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3" autoFilterDateGrouping="1"/>
  </bookViews>
  <sheets>
    <sheet name="Updated Legend" sheetId="1" state="visible" r:id="rId1"/>
    <sheet name="PAPs Kitcholm soils 3,4" sheetId="2" state="visible" r:id="rId2"/>
    <sheet name="PFAS combined" sheetId="3" state="visible" r:id="rId3"/>
    <sheet name="PFAS Kitcholm soils 3,4" sheetId="4" state="visible" r:id="rId4"/>
    <sheet name="20250516__Kitcholm_soils_3,4 (c" sheetId="5" state="visible" r:id="rId5"/>
    <sheet name="20250516__Kitcholm_soils_3,4 (s" sheetId="6" state="visible" r:id="rId6"/>
    <sheet name="PAPs Table 1" sheetId="7" state="visible" r:id="rId7"/>
    <sheet name="PFAS Table 1" sheetId="8" state="visible" r:id="rId8"/>
    <sheet name="PFAS Table 1 cut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32">
    <font>
      <name val="Aptos Narrow"/>
      <family val="2"/>
      <color theme="1"/>
      <sz val="12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rgb="FF000000"/>
      <sz val="12"/>
      <scheme val="minor"/>
    </font>
    <font>
      <name val="Aptos Narrow"/>
      <family val="2"/>
      <b val="1"/>
      <color theme="1"/>
      <sz val="12"/>
      <u val="single"/>
      <scheme val="minor"/>
    </font>
    <font>
      <name val="Arial"/>
      <family val="2"/>
      <b val="1"/>
      <sz val="10"/>
    </font>
    <font>
      <name val="Aptos Narrow"/>
      <color theme="1"/>
      <sz val="12"/>
    </font>
    <font>
      <name val="Aptos Narrow"/>
      <family val="2"/>
      <sz val="12"/>
      <scheme val="minor"/>
    </font>
    <font>
      <name val="Aptos Narrow"/>
      <b val="1"/>
      <sz val="12"/>
      <scheme val="minor"/>
    </font>
    <font>
      <name val="Aptos Narrow"/>
      <b val="1"/>
      <color theme="1"/>
      <sz val="11"/>
      <scheme val="minor"/>
    </font>
    <font>
      <name val="Aptos Narrow"/>
      <family val="2"/>
      <color theme="8" tint="0.3999755851924192"/>
      <sz val="12"/>
      <scheme val="minor"/>
    </font>
    <font>
      <name val="Aptos Narrow"/>
      <color theme="1"/>
      <sz val="12"/>
      <scheme val="minor"/>
    </font>
    <font>
      <name val="Helvetica"/>
      <family val="2"/>
      <color theme="1"/>
      <sz val="12"/>
    </font>
    <font>
      <name val="Aptos Narrow"/>
      <b val="1"/>
      <color theme="1"/>
      <sz val="12"/>
      <scheme val="minor"/>
    </font>
  </fonts>
  <fills count="3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4" tint="0.7999816888943144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5">
    <xf numFmtId="0" fontId="3" fillId="0" borderId="0"/>
    <xf numFmtId="0" fontId="4" fillId="0" borderId="0"/>
    <xf numFmtId="0" fontId="5" fillId="0" borderId="1"/>
    <xf numFmtId="0" fontId="6" fillId="0" borderId="2"/>
    <xf numFmtId="0" fontId="7" fillId="0" borderId="3"/>
    <xf numFmtId="0" fontId="7" fillId="0" borderId="0"/>
    <xf numFmtId="0" fontId="8" fillId="2" borderId="0"/>
    <xf numFmtId="0" fontId="9" fillId="3" borderId="0"/>
    <xf numFmtId="0" fontId="10" fillId="4" borderId="0"/>
    <xf numFmtId="0" fontId="11" fillId="5" borderId="4"/>
    <xf numFmtId="0" fontId="12" fillId="6" borderId="5"/>
    <xf numFmtId="0" fontId="13" fillId="6" borderId="4"/>
    <xf numFmtId="0" fontId="14" fillId="0" borderId="6"/>
    <xf numFmtId="0" fontId="15" fillId="7" borderId="7"/>
    <xf numFmtId="0" fontId="16" fillId="0" borderId="0"/>
    <xf numFmtId="0" fontId="3" fillId="8" borderId="8"/>
    <xf numFmtId="0" fontId="17" fillId="0" borderId="0"/>
    <xf numFmtId="0" fontId="18" fillId="0" borderId="9"/>
    <xf numFmtId="0" fontId="19" fillId="9" borderId="0"/>
    <xf numFmtId="0" fontId="3" fillId="10" borderId="0"/>
    <xf numFmtId="0" fontId="3" fillId="11" borderId="0"/>
    <xf numFmtId="0" fontId="3" fillId="12" borderId="0"/>
    <xf numFmtId="0" fontId="19" fillId="13" borderId="0"/>
    <xf numFmtId="0" fontId="3" fillId="14" borderId="0"/>
    <xf numFmtId="0" fontId="3" fillId="15" borderId="0"/>
    <xf numFmtId="0" fontId="3" fillId="16" borderId="0"/>
    <xf numFmtId="0" fontId="19" fillId="17" borderId="0"/>
    <xf numFmtId="0" fontId="3" fillId="18" borderId="0"/>
    <xf numFmtId="0" fontId="3" fillId="19" borderId="0"/>
    <xf numFmtId="0" fontId="3" fillId="20" borderId="0"/>
    <xf numFmtId="0" fontId="19" fillId="21" borderId="0"/>
    <xf numFmtId="0" fontId="3" fillId="22" borderId="0"/>
    <xf numFmtId="0" fontId="3" fillId="23" borderId="0"/>
    <xf numFmtId="0" fontId="3" fillId="24" borderId="0"/>
    <xf numFmtId="0" fontId="19" fillId="25" borderId="0"/>
    <xf numFmtId="0" fontId="3" fillId="26" borderId="0"/>
    <xf numFmtId="0" fontId="3" fillId="27" borderId="0"/>
    <xf numFmtId="0" fontId="3" fillId="28" borderId="0"/>
    <xf numFmtId="0" fontId="19" fillId="29" borderId="0"/>
    <xf numFmtId="0" fontId="3" fillId="30" borderId="0"/>
    <xf numFmtId="0" fontId="3" fillId="31" borderId="0"/>
    <xf numFmtId="0" fontId="3" fillId="32" borderId="0"/>
    <xf numFmtId="0" fontId="2" fillId="16" borderId="0"/>
    <xf numFmtId="0" fontId="2" fillId="20" borderId="0"/>
    <xf numFmtId="0" fontId="2" fillId="0" borderId="0"/>
  </cellStyleXfs>
  <cellXfs count="48">
    <xf numFmtId="0" fontId="0" fillId="0" borderId="0" pivotButton="0" quotePrefix="0" xfId="0"/>
    <xf numFmtId="0" fontId="20" fillId="0" borderId="0" applyAlignment="1" pivotButton="0" quotePrefix="0" xfId="0">
      <alignment wrapText="1"/>
    </xf>
    <xf numFmtId="0" fontId="20" fillId="12" borderId="10" applyAlignment="1" pivotButton="0" quotePrefix="0" xfId="21">
      <alignment wrapText="1"/>
    </xf>
    <xf numFmtId="0" fontId="20" fillId="16" borderId="10" applyAlignment="1" pivotButton="0" quotePrefix="0" xfId="25">
      <alignment wrapText="1"/>
    </xf>
    <xf numFmtId="0" fontId="20" fillId="20" borderId="10" applyAlignment="1" pivotButton="0" quotePrefix="0" xfId="29">
      <alignment wrapText="1"/>
    </xf>
    <xf numFmtId="0" fontId="20" fillId="24" borderId="10" applyAlignment="1" pivotButton="0" quotePrefix="0" xfId="33">
      <alignment wrapText="1"/>
    </xf>
    <xf numFmtId="0" fontId="20" fillId="32" borderId="10" applyAlignment="1" pivotButton="0" quotePrefix="0" xfId="41">
      <alignment wrapText="1"/>
    </xf>
    <xf numFmtId="0" fontId="20" fillId="0" borderId="10" applyAlignment="1" pivotButton="0" quotePrefix="0" xfId="0">
      <alignment wrapText="1"/>
    </xf>
    <xf numFmtId="0" fontId="0" fillId="0" borderId="11" pivotButton="0" quotePrefix="0" xfId="0"/>
    <xf numFmtId="0" fontId="18" fillId="0" borderId="0" pivotButton="0" quotePrefix="0" xfId="0"/>
    <xf numFmtId="164" fontId="0" fillId="0" borderId="0" pivotButton="0" quotePrefix="0" xfId="0"/>
    <xf numFmtId="0" fontId="18" fillId="0" borderId="10" pivotButton="0" quotePrefix="0" xfId="0"/>
    <xf numFmtId="0" fontId="0" fillId="0" borderId="10" pivotButton="0" quotePrefix="0" xfId="0"/>
    <xf numFmtId="0" fontId="0" fillId="0" borderId="0" applyAlignment="1" pivotButton="0" quotePrefix="0" xfId="0">
      <alignment wrapText="1"/>
    </xf>
    <xf numFmtId="0" fontId="20" fillId="0" borderId="10" applyAlignment="1" pivotButton="0" quotePrefix="0" xfId="41">
      <alignment wrapText="1"/>
    </xf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" fillId="16" borderId="0" pivotButton="0" quotePrefix="0" xfId="42"/>
    <xf numFmtId="0" fontId="2" fillId="20" borderId="0" pivotButton="0" quotePrefix="0" xfId="43"/>
    <xf numFmtId="0" fontId="23" fillId="0" borderId="0" pivotButton="0" quotePrefix="0" xfId="0"/>
    <xf numFmtId="0" fontId="24" fillId="0" borderId="0" pivotButton="0" quotePrefix="0" xfId="0"/>
    <xf numFmtId="0" fontId="23" fillId="37" borderId="0" pivotButton="0" quotePrefix="0" xfId="0"/>
    <xf numFmtId="0" fontId="18" fillId="37" borderId="0" pivotButton="0" quotePrefix="0" xfId="0"/>
    <xf numFmtId="0" fontId="25" fillId="37" borderId="0" pivotButton="0" quotePrefix="0" xfId="7"/>
    <xf numFmtId="0" fontId="26" fillId="37" borderId="0" pivotButton="0" quotePrefix="0" xfId="7"/>
    <xf numFmtId="0" fontId="0" fillId="37" borderId="0" pivotButton="0" quotePrefix="0" xfId="0"/>
    <xf numFmtId="0" fontId="25" fillId="0" borderId="0" pivotButton="0" quotePrefix="0" xfId="7"/>
    <xf numFmtId="0" fontId="26" fillId="0" borderId="0" pivotButton="0" quotePrefix="0" xfId="7"/>
    <xf numFmtId="0" fontId="1" fillId="0" borderId="0" pivotButton="0" quotePrefix="0" xfId="44"/>
    <xf numFmtId="0" fontId="0" fillId="0" borderId="0" applyAlignment="1" pivotButton="0" quotePrefix="0" xfId="0">
      <alignment horizontal="right"/>
    </xf>
    <xf numFmtId="0" fontId="0" fillId="0" borderId="13" pivotButton="0" quotePrefix="0" xfId="0"/>
    <xf numFmtId="0" fontId="21" fillId="0" borderId="13" pivotButton="0" quotePrefix="0" xfId="0"/>
    <xf numFmtId="0" fontId="28" fillId="0" borderId="0" pivotButton="0" quotePrefix="0" xfId="0"/>
    <xf numFmtId="0" fontId="29" fillId="0" borderId="0" pivotButton="0" quotePrefix="0" xfId="0"/>
    <xf numFmtId="0" fontId="0" fillId="38" borderId="14" pivotButton="0" quotePrefix="0" xfId="0"/>
    <xf numFmtId="0" fontId="0" fillId="38" borderId="12" pivotButton="0" quotePrefix="0" xfId="0"/>
    <xf numFmtId="0" fontId="0" fillId="38" borderId="15" pivotButton="0" quotePrefix="0" xfId="0"/>
    <xf numFmtId="0" fontId="0" fillId="38" borderId="16" pivotButton="0" quotePrefix="0" xfId="0"/>
    <xf numFmtId="0" fontId="3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5" fontId="30" fillId="0" borderId="0" pivotButton="0" quotePrefix="0" xfId="0"/>
    <xf numFmtId="165" fontId="31" fillId="0" borderId="0" pivotButton="0" quotePrefix="0" xfId="0"/>
    <xf numFmtId="165" fontId="21" fillId="0" borderId="0" pivotButton="0" quotePrefix="0" xfId="0"/>
  </cellXfs>
  <cellStyles count="45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  <cellStyle name="60% - Accent2 2" xfId="42"/>
    <cellStyle name="60% - Accent3 2" xfId="43"/>
    <cellStyle name="Normal 2" xfId="4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'PFAS combined'!$C$8:$C$12</f>
              <numCache>
                <formatCode>General</formatCode>
                <ptCount val="5"/>
                <pt idx="0">
                  <v>1.6</v>
                </pt>
                <pt idx="1">
                  <v>4</v>
                </pt>
                <pt idx="2">
                  <v>20</v>
                </pt>
                <pt idx="3">
                  <v>40</v>
                </pt>
                <pt idx="4">
                  <v>80</v>
                </pt>
              </numCache>
            </numRef>
          </xVal>
          <yVal>
            <numRef>
              <f>'PFAS combined'!$H$8:$H$12</f>
              <numCache>
                <formatCode>General</formatCode>
                <ptCount val="5"/>
                <pt idx="0">
                  <v>1.382995316921219e-05</v>
                </pt>
                <pt idx="1">
                  <v>6.100400414876926e-05</v>
                </pt>
                <pt idx="2">
                  <v>9.872496431272796e-05</v>
                </pt>
                <pt idx="3">
                  <v>0.0004786437325630018</v>
                </pt>
                <pt idx="4">
                  <v>0.002098848327985469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'PAPs Kitcholm soils 3,4'!$C$92:$C$97</f>
              <numCache>
                <formatCode>General</formatCode>
                <ptCount val="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4</v>
                </pt>
                <pt idx="4">
                  <v>8</v>
                </pt>
                <pt idx="5">
                  <v>12</v>
                </pt>
              </numCache>
            </numRef>
          </xVal>
          <yVal>
            <numRef>
              <f>'PAPs Kitcholm soils 3,4'!$H$92:$H$97</f>
              <numCache>
                <formatCode>General</formatCode>
                <ptCount val="6"/>
                <pt idx="0">
                  <v>0.1120587935815809</v>
                </pt>
                <pt idx="1">
                  <v>0.03764237625439303</v>
                </pt>
                <pt idx="2">
                  <v>0.04027062144361306</v>
                </pt>
                <pt idx="3">
                  <v>0.06467582242095177</v>
                </pt>
                <pt idx="4">
                  <v>0.02618992413172071</v>
                </pt>
                <pt idx="5">
                  <v>0.01825920679690561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'PAPs Kitcholm soils 3,4'!$C$8:$C$15</f>
              <numCache>
                <formatCode>0.0</formatCode>
                <ptCount val="8"/>
                <pt idx="0">
                  <v>0</v>
                </pt>
                <pt idx="1">
                  <v>0.8775955898934698</v>
                </pt>
                <pt idx="2">
                  <v>1.75519117978694</v>
                </pt>
                <pt idx="3">
                  <v>3.510382359573879</v>
                </pt>
                <pt idx="4">
                  <v>7.020764719147758</v>
                </pt>
                <pt idx="5">
                  <v>10.53114707872164</v>
                </pt>
                <pt idx="6">
                  <v>14.04152943829552</v>
                </pt>
                <pt idx="7">
                  <v>17.5519117978694</v>
                </pt>
              </numCache>
            </numRef>
          </xVal>
          <yVal>
            <numRef>
              <f>'PAPs Kitcholm soils 3,4'!$H$8:$H$15</f>
              <numCache>
                <formatCode>General</formatCode>
                <ptCount val="8"/>
                <pt idx="0">
                  <v>0.0002575513455560414</v>
                </pt>
                <pt idx="1">
                  <v>0.0008045052292839904</v>
                </pt>
                <pt idx="2">
                  <v>0.0007796048210045253</v>
                </pt>
                <pt idx="3">
                  <v>0.0008370136234980561</v>
                </pt>
                <pt idx="4">
                  <v>0.0002372568791014435</v>
                </pt>
                <pt idx="5">
                  <v>0.0007961662173519926</v>
                </pt>
                <pt idx="6">
                  <v>0.0007759526802827641</v>
                </pt>
                <pt idx="7">
                  <v>0.001457784802324273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0.0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'PAPs Kitcholm soils 3,4'!$C$177:$C$182</f>
              <numCache>
                <formatCode>0.0</formatCode>
                <ptCount val="6"/>
                <pt idx="0">
                  <v>29.93096889913863</v>
                </pt>
                <pt idx="1">
                  <v>59.86193779827726</v>
                </pt>
                <pt idx="2">
                  <v>119.7238755965545</v>
                </pt>
                <pt idx="3">
                  <v>239.447751193109</v>
                </pt>
                <pt idx="4">
                  <v>359.1716267896635</v>
                </pt>
                <pt idx="5">
                  <v>478.8955023862181</v>
                </pt>
              </numCache>
            </numRef>
          </xVal>
          <yVal>
            <numRef>
              <f>'PAPs Kitcholm soils 3,4'!$H$177:$H$182</f>
              <numCache>
                <formatCode>General</formatCode>
                <ptCount val="6"/>
                <pt idx="0">
                  <v>1.125756870051234</v>
                </pt>
                <pt idx="1">
                  <v>4.386325552220081</v>
                </pt>
                <pt idx="2">
                  <v>7.398429498122225</v>
                </pt>
                <pt idx="3">
                  <v>15.76897111397497</v>
                </pt>
                <pt idx="4">
                  <v>14.32511412869646</v>
                </pt>
                <pt idx="5">
                  <v>17.18379052369077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0.0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'PAPs Kitcholm soils 3,4'!$C$346:$C$350</f>
              <numCache>
                <formatCode>General</formatCode>
                <ptCount val="5"/>
                <pt idx="0">
                  <v>2</v>
                </pt>
                <pt idx="1">
                  <v>4</v>
                </pt>
                <pt idx="2">
                  <v>8</v>
                </pt>
                <pt idx="3">
                  <v>12</v>
                </pt>
                <pt idx="4">
                  <v>16</v>
                </pt>
              </numCache>
            </numRef>
          </xVal>
          <yVal>
            <numRef>
              <f>'PAPs Kitcholm soils 3,4'!$H$346:$H$350</f>
              <numCache>
                <formatCode>General</formatCode>
                <ptCount val="5"/>
                <pt idx="0">
                  <v>0.003522367030644593</v>
                </pt>
                <pt idx="1">
                  <v>0.007904681589792807</v>
                </pt>
                <pt idx="2">
                  <v>0.002332415329338303</v>
                </pt>
                <pt idx="3">
                  <v>0.03828859630582804</v>
                </pt>
                <pt idx="4">
                  <v>0.1063695322090844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'PAPs Kitcholm soils 3,4'!$C$429:$C$434</f>
              <numCache>
                <formatCode>0.0</formatCode>
                <ptCount val="6"/>
                <pt idx="0">
                  <v>11.6</v>
                </pt>
                <pt idx="1">
                  <v>23.3</v>
                </pt>
                <pt idx="2">
                  <v>46.5</v>
                </pt>
                <pt idx="3">
                  <v>93</v>
                </pt>
                <pt idx="4">
                  <v>139.5</v>
                </pt>
                <pt idx="5">
                  <v>186</v>
                </pt>
              </numCache>
            </numRef>
          </xVal>
          <yVal>
            <numRef>
              <f>'PAPs Kitcholm soils 3,4'!$H$429:$H$434</f>
              <numCache>
                <formatCode>General</formatCode>
                <ptCount val="6"/>
                <pt idx="0">
                  <v>1.207175974629601</v>
                </pt>
                <pt idx="1">
                  <v>2.213547601549217</v>
                </pt>
                <pt idx="2">
                  <v>4.394718039010896</v>
                </pt>
                <pt idx="3">
                  <v>9.381804363770094</v>
                </pt>
                <pt idx="4">
                  <v>16.51363660852304</v>
                </pt>
                <pt idx="5">
                  <v>28.11526882632293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0.0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'PAPs Kitcholm soils 3,4'!$C$598:$C$603</f>
              <numCache>
                <formatCode>0.0</formatCode>
                <ptCount val="6"/>
                <pt idx="0">
                  <v>0.3307223826142189</v>
                </pt>
                <pt idx="1">
                  <v>0.6614447652284378</v>
                </pt>
                <pt idx="2">
                  <v>1.322889530456876</v>
                </pt>
                <pt idx="3">
                  <v>1.984334295685313</v>
                </pt>
                <pt idx="4">
                  <v>2.645779060913751</v>
                </pt>
                <pt idx="5">
                  <v>3.307223826142189</v>
                </pt>
              </numCache>
            </numRef>
          </xVal>
          <yVal>
            <numRef>
              <f>'PAPs Kitcholm soils 3,4'!$H$598:$H$603</f>
              <numCache>
                <formatCode>General</formatCode>
                <ptCount val="6"/>
                <pt idx="0">
                  <v>0.0002721406771799455</v>
                </pt>
                <pt idx="1">
                  <v>0.001307652125277675</v>
                </pt>
                <pt idx="2">
                  <v>0.004486479666710576</v>
                </pt>
                <pt idx="3">
                  <v>0.006221636506167238</v>
                </pt>
                <pt idx="4">
                  <v>0.009076291020151377</v>
                </pt>
                <pt idx="5">
                  <v>0.01085576970189686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0.0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'PAPs Kitcholm soils 3,4'!$C$680:$C$685</f>
              <numCache>
                <formatCode>General</formatCode>
                <ptCount val="6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4</v>
                </pt>
                <pt idx="4">
                  <v>8</v>
                </pt>
                <pt idx="5">
                  <v>12</v>
                </pt>
              </numCache>
            </numRef>
          </xVal>
          <yVal>
            <numRef>
              <f>'PAPs Kitcholm soils 3,4'!$H$680:$H$685</f>
              <numCache>
                <formatCode>General</formatCode>
                <ptCount val="6"/>
                <pt idx="0">
                  <v>0.01111881384112698</v>
                </pt>
                <pt idx="1">
                  <v>0.7490943241764758</v>
                </pt>
                <pt idx="2">
                  <v>1.13763395343134</v>
                </pt>
                <pt idx="3">
                  <v>2.420685901597696</v>
                </pt>
                <pt idx="4">
                  <v>5.381687603170574</v>
                </pt>
                <pt idx="5">
                  <v>9.628343880413926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'PAPs Kitcholm soils 3,4'!$C$764:$C$769</f>
              <numCache>
                <formatCode>0.0</formatCode>
                <ptCount val="6"/>
                <pt idx="0">
                  <v>0</v>
                </pt>
                <pt idx="1">
                  <v>3.85374311999859</v>
                </pt>
                <pt idx="2">
                  <v>7.70748623999718</v>
                </pt>
                <pt idx="3">
                  <v>15.41497247999436</v>
                </pt>
                <pt idx="4">
                  <v>30.82994495998872</v>
                </pt>
                <pt idx="5">
                  <v>46.24491743998308</v>
                </pt>
              </numCache>
            </numRef>
          </xVal>
          <yVal>
            <numRef>
              <f>'PAPs Kitcholm soils 3,4'!$H$764:$H$769</f>
              <numCache>
                <formatCode>General</formatCode>
                <ptCount val="6"/>
                <pt idx="0">
                  <v>0.05370576892841811</v>
                </pt>
                <pt idx="1">
                  <v>0.501140941137766</v>
                </pt>
                <pt idx="2">
                  <v>0.8633704288306133</v>
                </pt>
                <pt idx="3">
                  <v>1.573150722633094</v>
                </pt>
                <pt idx="4">
                  <v>3.330624767090571</v>
                </pt>
                <pt idx="5">
                  <v>5.639357187555688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0.0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'PAPs Kitcholm soils 3,4'!$C$849:$C$854</f>
              <numCache>
                <formatCode>General</formatCode>
                <ptCount val="6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12</v>
                </pt>
                <pt idx="5">
                  <v>16</v>
                </pt>
              </numCache>
            </numRef>
          </xVal>
          <yVal>
            <numRef>
              <f>'PAPs Kitcholm soils 3,4'!$H$849:$H$854</f>
              <numCache>
                <formatCode>General</formatCode>
                <ptCount val="6"/>
                <pt idx="0">
                  <v>0.0181900255157666</v>
                </pt>
                <pt idx="1">
                  <v>0.030946064047723</v>
                </pt>
                <pt idx="2">
                  <v>0.0639440312200079</v>
                </pt>
                <pt idx="3">
                  <v>0.1757512705580807</v>
                </pt>
                <pt idx="4">
                  <v>0.346453984475692</v>
                </pt>
                <pt idx="5">
                  <v>0.542264327712089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'PAPs Kitcholm soils 3,4'!$C$932:$C$938</f>
              <numCache>
                <formatCode>General</formatCode>
                <ptCount val="7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4</v>
                </pt>
                <pt idx="4">
                  <v>8</v>
                </pt>
                <pt idx="5">
                  <v>12</v>
                </pt>
                <pt idx="6">
                  <v>16</v>
                </pt>
              </numCache>
            </numRef>
          </xVal>
          <yVal>
            <numRef>
              <f>'PAPs Kitcholm soils 3,4'!$H$932:$H$938</f>
              <numCache>
                <formatCode>General</formatCode>
                <ptCount val="7"/>
                <pt idx="0">
                  <v>0.01625577515301556</v>
                </pt>
                <pt idx="1">
                  <v>0.08598532734223018</v>
                </pt>
                <pt idx="2">
                  <v>0.178136091825024</v>
                </pt>
                <pt idx="3">
                  <v>0.3468287131899656</v>
                </pt>
                <pt idx="4">
                  <v>0.564492569551606</v>
                </pt>
                <pt idx="5">
                  <v>0.8328856642574303</v>
                </pt>
                <pt idx="6">
                  <v>1.117141618139651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'PAPs Kitcholm soils 3,4'!$C$1016:$C$1020</f>
              <numCache>
                <formatCode>0.0</formatCode>
                <ptCount val="5"/>
                <pt idx="0">
                  <v>0</v>
                </pt>
                <pt idx="1">
                  <v>1.500615751808861</v>
                </pt>
                <pt idx="2">
                  <v>3.001231503617722</v>
                </pt>
                <pt idx="3">
                  <v>6.002463007235443</v>
                </pt>
                <pt idx="4">
                  <v>12.00492601447089</v>
                </pt>
              </numCache>
            </numRef>
          </xVal>
          <yVal>
            <numRef>
              <f>'PAPs Kitcholm soils 3,4'!$H$1016:$H$1020</f>
              <numCache>
                <formatCode>General</formatCode>
                <ptCount val="5"/>
                <pt idx="0">
                  <v>0.01483187366146963</v>
                </pt>
                <pt idx="1">
                  <v>0.1105087086420792</v>
                </pt>
                <pt idx="2">
                  <v>0.1770102679732488</v>
                </pt>
                <pt idx="3">
                  <v>0.3753510839496415</v>
                </pt>
                <pt idx="4">
                  <v>0.7059185038981959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0.0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3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'PAPs Kitcholm soils 3,4'!$C$1100:$C$1106</f>
              <numCache>
                <formatCode>0.0</formatCode>
                <ptCount val="7"/>
                <pt idx="0">
                  <v>0</v>
                </pt>
                <pt idx="1">
                  <v>14.56746492606482</v>
                </pt>
                <pt idx="2">
                  <v>29.13492985212965</v>
                </pt>
                <pt idx="3">
                  <v>58.2698597042593</v>
                </pt>
                <pt idx="4">
                  <v>116.5397194085186</v>
                </pt>
                <pt idx="5">
                  <v>174.8095791127779</v>
                </pt>
                <pt idx="6">
                  <v>233.0794388170372</v>
                </pt>
              </numCache>
            </numRef>
          </xVal>
          <yVal>
            <numRef>
              <f>'PAPs Kitcholm soils 3,4'!$H$1100:$H$1106</f>
              <numCache>
                <formatCode>General</formatCode>
                <ptCount val="7"/>
                <pt idx="0">
                  <v>0.2049549875702942</v>
                </pt>
                <pt idx="1">
                  <v>1.405553224232429</v>
                </pt>
                <pt idx="2">
                  <v>2.34880583521579</v>
                </pt>
                <pt idx="3">
                  <v>4.589288537201814</v>
                </pt>
                <pt idx="4">
                  <v>8.992008051998752</v>
                </pt>
                <pt idx="5">
                  <v>14.41082199363786</v>
                </pt>
                <pt idx="6">
                  <v>19.49688816146774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0.0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4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'PAPs Kitcholm soils 3,4'!$C$1226:$C$1231</f>
              <numCache>
                <formatCode>0.0</formatCode>
                <ptCount val="6"/>
                <pt idx="0">
                  <v>0</v>
                </pt>
                <pt idx="1">
                  <v>0.5502976073798143</v>
                </pt>
                <pt idx="2">
                  <v>1.100595214759629</v>
                </pt>
                <pt idx="3">
                  <v>2.201190429519257</v>
                </pt>
                <pt idx="4">
                  <v>4.402380859038514</v>
                </pt>
                <pt idx="5">
                  <v>6.603571288557771</v>
                </pt>
              </numCache>
            </numRef>
          </xVal>
          <yVal>
            <numRef>
              <f>'PAPs Kitcholm soils 3,4'!$H$1226:$H$1231</f>
              <numCache>
                <formatCode>General</formatCode>
                <ptCount val="6"/>
                <pt idx="0">
                  <v>0.03197055897986547</v>
                </pt>
                <pt idx="1">
                  <v>0.1006990080356004</v>
                </pt>
                <pt idx="2">
                  <v>0.1086111756189936</v>
                </pt>
                <pt idx="3">
                  <v>0.2513119260730159</v>
                </pt>
                <pt idx="4">
                  <v>0.2710820885569394</v>
                </pt>
                <pt idx="5">
                  <v>0.4147670809330493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0.0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5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'PAPs Kitcholm soils 3,4'!$C$1269:$C$1274</f>
              <numCache>
                <formatCode>0.0</formatCode>
                <ptCount val="6"/>
                <pt idx="0">
                  <v>1.450453379639404</v>
                </pt>
                <pt idx="1">
                  <v>2.900906759278808</v>
                </pt>
                <pt idx="2">
                  <v>5.801813518557616</v>
                </pt>
                <pt idx="3">
                  <v>11.60362703711523</v>
                </pt>
                <pt idx="4">
                  <v>17.40544055567285</v>
                </pt>
                <pt idx="5">
                  <v>23.20725407423046</v>
                </pt>
              </numCache>
            </numRef>
          </xVal>
          <yVal>
            <numRef>
              <f>'PAPs Kitcholm soils 3,4'!$H$1269:$H$1274</f>
              <numCache>
                <formatCode>General</formatCode>
                <ptCount val="6"/>
                <pt idx="0">
                  <v>0.02905717654647954</v>
                </pt>
                <pt idx="1">
                  <v>0.05917563798156938</v>
                </pt>
                <pt idx="2">
                  <v>0.1700028668867545</v>
                </pt>
                <pt idx="3">
                  <v>0.1781978473013799</v>
                </pt>
                <pt idx="4">
                  <v>0.2617706004752784</v>
                </pt>
                <pt idx="5">
                  <v>0.464283318551143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0.0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6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layout>
                <manualLayout>
                  <wMode val="factor"/>
                  <hMode val="factor"/>
                  <x val="-0.1530545716122573"/>
                  <y val="0.02072837665799811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'PAPs Kitcholm soils 3,4'!$C$1353:$C$1359</f>
              <numCache>
                <formatCode>0.0</formatCode>
                <ptCount val="7"/>
                <pt idx="0">
                  <v>0.9</v>
                </pt>
                <pt idx="1">
                  <v>1.9</v>
                </pt>
                <pt idx="2">
                  <v>3.8</v>
                </pt>
                <pt idx="3">
                  <v>7.6</v>
                </pt>
                <pt idx="4">
                  <v>11.4</v>
                </pt>
                <pt idx="5">
                  <v>15.2</v>
                </pt>
                <pt idx="6">
                  <v>19</v>
                </pt>
              </numCache>
            </numRef>
          </xVal>
          <yVal>
            <numRef>
              <f>'PAPs Kitcholm soils 3,4'!$H$1353:$H$1359</f>
              <numCache>
                <formatCode>General</formatCode>
                <ptCount val="7"/>
                <pt idx="0">
                  <v>0.01427259017610125</v>
                </pt>
                <pt idx="1">
                  <v>0.02474756250772169</v>
                </pt>
                <pt idx="2">
                  <v>0.07213051897685561</v>
                </pt>
                <pt idx="3">
                  <v>0.08496497427050989</v>
                </pt>
                <pt idx="4">
                  <v>0.1240431650836595</v>
                </pt>
                <pt idx="5">
                  <v>0.1235716916998943</v>
                </pt>
                <pt idx="6">
                  <v>0.1407966094461857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0.0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7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layout>
                <manualLayout>
                  <wMode val="factor"/>
                  <hMode val="factor"/>
                  <x val="-0.1530545716122573"/>
                  <y val="0.02072837665799811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'PAPs Kitcholm soils 3,4'!$C$1438:$C$1442</f>
              <numCache>
                <formatCode>0.0</formatCode>
                <ptCount val="5"/>
                <pt idx="0">
                  <v>1.258645612174909</v>
                </pt>
                <pt idx="1">
                  <v>2.517291224349819</v>
                </pt>
                <pt idx="2">
                  <v>5.034582448699638</v>
                </pt>
                <pt idx="3">
                  <v>7.551873673049458</v>
                </pt>
                <pt idx="4">
                  <v>10.06916489739928</v>
                </pt>
              </numCache>
            </numRef>
          </xVal>
          <yVal>
            <numRef>
              <f>'PAPs Kitcholm soils 3,4'!$H$1438:$H$1442</f>
              <numCache>
                <formatCode>General</formatCode>
                <ptCount val="5"/>
                <pt idx="0">
                  <v>0.004861742917065737</v>
                </pt>
                <pt idx="1">
                  <v>0.01568078007460941</v>
                </pt>
                <pt idx="2">
                  <v>0.02238976549155507</v>
                </pt>
                <pt idx="3">
                  <v>0.02900366460274743</v>
                </pt>
                <pt idx="4">
                  <v>0.0584026659114477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0.0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8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layout>
                <manualLayout>
                  <wMode val="factor"/>
                  <hMode val="factor"/>
                  <x val="-0.1530545716122573"/>
                  <y val="0.02072837665799811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'PAPs Kitcholm soils 3,4'!$C$1647:$C$1651</f>
              <numCache>
                <formatCode>0.0</formatCode>
                <ptCount val="5"/>
                <pt idx="0">
                  <v>13.63628418240784</v>
                </pt>
                <pt idx="1">
                  <v>27.27256836481568</v>
                </pt>
                <pt idx="2">
                  <v>54.54513672963137</v>
                </pt>
                <pt idx="3">
                  <v>109.0902734592627</v>
                </pt>
                <pt idx="4">
                  <v>163.6354101888941</v>
                </pt>
              </numCache>
            </numRef>
          </xVal>
          <yVal>
            <numRef>
              <f>'PAPs Kitcholm soils 3,4'!$H$1647:$H$1651</f>
              <numCache>
                <formatCode>General</formatCode>
                <ptCount val="5"/>
                <pt idx="0">
                  <v>1.110636039729761</v>
                </pt>
                <pt idx="1">
                  <v>1.821628681691097</v>
                </pt>
                <pt idx="2">
                  <v>3.465990808374124</v>
                </pt>
                <pt idx="3">
                  <v>8.13059593098477</v>
                </pt>
                <pt idx="4">
                  <v>13.01753949306823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0.0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9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layout>
                <manualLayout>
                  <wMode val="factor"/>
                  <hMode val="factor"/>
                  <x val="-0.1530545716122573"/>
                  <y val="0.02072837665799811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'PAPs Kitcholm soils 3,4'!$C$1732:$C$1736</f>
              <numCache>
                <formatCode>General</formatCode>
                <ptCount val="5"/>
                <pt idx="0">
                  <v>10</v>
                </pt>
                <pt idx="1">
                  <v>20</v>
                </pt>
                <pt idx="2">
                  <v>40</v>
                </pt>
                <pt idx="3">
                  <v>60</v>
                </pt>
                <pt idx="4">
                  <v>100</v>
                </pt>
              </numCache>
            </numRef>
          </xVal>
          <yVal>
            <numRef>
              <f>'PAPs Kitcholm soils 3,4'!$H$1732:$H$1736</f>
              <numCache>
                <formatCode>General</formatCode>
                <ptCount val="5"/>
                <pt idx="0">
                  <v>0.492027253704481</v>
                </pt>
                <pt idx="1">
                  <v>1.438239382979743</v>
                </pt>
                <pt idx="2">
                  <v>1.887646031391083</v>
                </pt>
                <pt idx="3">
                  <v>3.662412553415341</v>
                </pt>
                <pt idx="4">
                  <v>4.548776936993526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0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layout>
                <manualLayout>
                  <wMode val="factor"/>
                  <hMode val="factor"/>
                  <x val="-0.1530545716122573"/>
                  <y val="0.02072837665799811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'PAPs Kitcholm soils 3,4'!$C$1815:$C$1820</f>
              <numCache>
                <formatCode>General</formatCode>
                <ptCount val="6"/>
                <pt idx="0">
                  <v>5</v>
                </pt>
                <pt idx="1">
                  <v>10</v>
                </pt>
                <pt idx="2">
                  <v>20</v>
                </pt>
                <pt idx="3">
                  <v>40</v>
                </pt>
                <pt idx="4">
                  <v>60</v>
                </pt>
                <pt idx="5">
                  <v>100</v>
                </pt>
              </numCache>
            </numRef>
          </xVal>
          <yVal>
            <numRef>
              <f>'PAPs Kitcholm soils 3,4'!$H$1815:$H$1820</f>
              <numCache>
                <formatCode>General</formatCode>
                <ptCount val="6"/>
                <pt idx="0">
                  <v>0.6766528697310387</v>
                </pt>
                <pt idx="1">
                  <v>1.197295074476835</v>
                </pt>
                <pt idx="2">
                  <v>1.456003217198161</v>
                </pt>
                <pt idx="3">
                  <v>2.471400511298735</v>
                </pt>
                <pt idx="4">
                  <v>3.290114484594941</v>
                </pt>
                <pt idx="5">
                  <v>4.984519100851581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1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layout>
                <manualLayout>
                  <wMode val="factor"/>
                  <hMode val="factor"/>
                  <x val="-0.1530545716122573"/>
                  <y val="0.02072837665799811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'PAPs Kitcholm soils 3,4'!$C$1898:$C$1904</f>
              <numCache>
                <formatCode>General</formatCode>
                <ptCount val="7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4</v>
                </pt>
                <pt idx="4">
                  <v>8</v>
                </pt>
                <pt idx="5">
                  <v>12</v>
                </pt>
                <pt idx="6">
                  <v>16</v>
                </pt>
              </numCache>
            </numRef>
          </xVal>
          <yVal>
            <numRef>
              <f>'PAPs Kitcholm soils 3,4'!$H$1898:$H$1904</f>
              <numCache>
                <formatCode>General</formatCode>
                <ptCount val="7"/>
                <pt idx="0">
                  <v>0.002091354222563256</v>
                </pt>
                <pt idx="1">
                  <v>0.2346284141101292</v>
                </pt>
                <pt idx="2">
                  <v>0.3559198125262338</v>
                </pt>
                <pt idx="3">
                  <v>0.7099208484028529</v>
                </pt>
                <pt idx="4">
                  <v>1.992554136624341</v>
                </pt>
                <pt idx="5">
                  <v>2.978933039476243</v>
                </pt>
                <pt idx="6">
                  <v>3.584868579356669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2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layout>
                <manualLayout>
                  <wMode val="factor"/>
                  <hMode val="factor"/>
                  <x val="-0.1530545716122573"/>
                  <y val="0.02072837665799811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'PAPs Kitcholm soils 3,4'!$C$1985:$C$1989</f>
              <numCache>
                <formatCode>General</formatCode>
                <ptCount val="5"/>
                <pt idx="0">
                  <v>20</v>
                </pt>
                <pt idx="1">
                  <v>40</v>
                </pt>
                <pt idx="2">
                  <v>60</v>
                </pt>
                <pt idx="3">
                  <v>80</v>
                </pt>
                <pt idx="4">
                  <v>100</v>
                </pt>
              </numCache>
            </numRef>
          </xVal>
          <yVal>
            <numRef>
              <f>'PAPs Kitcholm soils 3,4'!$H$1985:$H$1989</f>
              <numCache>
                <formatCode>General</formatCode>
                <ptCount val="5"/>
                <pt idx="0">
                  <v>1.808073364159695e-05</v>
                </pt>
                <pt idx="1">
                  <v>0.006752449416360953</v>
                </pt>
                <pt idx="2">
                  <v>0.01336626617647159</v>
                </pt>
                <pt idx="3">
                  <v>0.03734441788797394</v>
                </pt>
                <pt idx="4">
                  <v>0.02551119889429966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3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layout>
                <manualLayout>
                  <wMode val="factor"/>
                  <hMode val="factor"/>
                  <x val="-0.1530545716122573"/>
                  <y val="0.02072837665799811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'PAPs Kitcholm soils 3,4'!$C$2066:$C$2072</f>
              <numCache>
                <formatCode>General</formatCode>
                <ptCount val="7"/>
                <pt idx="0">
                  <v>0</v>
                </pt>
                <pt idx="1">
                  <v>5</v>
                </pt>
                <pt idx="2">
                  <v>10</v>
                </pt>
                <pt idx="3">
                  <v>20</v>
                </pt>
                <pt idx="4">
                  <v>40</v>
                </pt>
                <pt idx="5">
                  <v>60</v>
                </pt>
                <pt idx="6">
                  <v>80</v>
                </pt>
              </numCache>
            </numRef>
          </xVal>
          <yVal>
            <numRef>
              <f>'PAPs Kitcholm soils 3,4'!$H$2066:$H$2072</f>
              <numCache>
                <formatCode>General</formatCode>
                <ptCount val="7"/>
                <pt idx="0">
                  <v>0.6197009277578226</v>
                </pt>
                <pt idx="1">
                  <v>2.802474096769099</v>
                </pt>
                <pt idx="2">
                  <v>3.582984929911867</v>
                </pt>
                <pt idx="3">
                  <v>6.665636623475361</v>
                </pt>
                <pt idx="4">
                  <v>21.81417463792578</v>
                </pt>
                <pt idx="5">
                  <v>32.45073852109312</v>
                </pt>
                <pt idx="6">
                  <v>36.47942964382528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4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layout>
                <manualLayout>
                  <wMode val="factor"/>
                  <hMode val="factor"/>
                  <x val="-0.1530545716122573"/>
                  <y val="0.02072837665799811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'PAPs Kitcholm soils 3,4'!$C$2150:$C$2155</f>
              <numCache>
                <formatCode>General</formatCode>
                <ptCount val="6"/>
                <pt idx="0">
                  <v>0</v>
                </pt>
                <pt idx="1">
                  <v>5</v>
                </pt>
                <pt idx="2">
                  <v>10</v>
                </pt>
                <pt idx="3">
                  <v>20</v>
                </pt>
                <pt idx="4">
                  <v>40</v>
                </pt>
                <pt idx="5">
                  <v>60</v>
                </pt>
              </numCache>
            </numRef>
          </xVal>
          <yVal>
            <numRef>
              <f>'PAPs Kitcholm soils 3,4'!$H$2150:$H$2155</f>
              <numCache>
                <formatCode>General</formatCode>
                <ptCount val="6"/>
                <pt idx="0">
                  <v>0.101216841781756</v>
                </pt>
                <pt idx="1">
                  <v>0.2493057099260597</v>
                </pt>
                <pt idx="2">
                  <v>0.2617166908143501</v>
                </pt>
                <pt idx="3">
                  <v>0.3972279426776412</v>
                </pt>
                <pt idx="4">
                  <v>1.006113284063456</v>
                </pt>
                <pt idx="5">
                  <v>1.563651091843969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5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'PFAS combined'!$C$8:$C$12</f>
              <numCache>
                <formatCode>General</formatCode>
                <ptCount val="5"/>
                <pt idx="0">
                  <v>1.6</v>
                </pt>
                <pt idx="1">
                  <v>4</v>
                </pt>
                <pt idx="2">
                  <v>20</v>
                </pt>
                <pt idx="3">
                  <v>40</v>
                </pt>
                <pt idx="4">
                  <v>80</v>
                </pt>
              </numCache>
            </numRef>
          </xVal>
          <yVal>
            <numRef>
              <f>'PFAS combined'!$H$8:$H$12</f>
              <numCache>
                <formatCode>General</formatCode>
                <ptCount val="5"/>
                <pt idx="0">
                  <v>1.382995316921219e-05</v>
                </pt>
                <pt idx="1">
                  <v>6.100400414876926e-05</v>
                </pt>
                <pt idx="2">
                  <v>9.872496431272796e-05</v>
                </pt>
                <pt idx="3">
                  <v>0.0004786437325630018</v>
                </pt>
                <pt idx="4">
                  <v>0.002098848327985469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6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'PFAS combined'!$C$59:$C$64</f>
              <numCache>
                <formatCode>General</formatCode>
                <ptCount val="6"/>
                <pt idx="0">
                  <v>0.4</v>
                </pt>
                <pt idx="1">
                  <v>1.6</v>
                </pt>
                <pt idx="2">
                  <v>4</v>
                </pt>
                <pt idx="3">
                  <v>20</v>
                </pt>
                <pt idx="4">
                  <v>40</v>
                </pt>
                <pt idx="5">
                  <v>80</v>
                </pt>
              </numCache>
            </numRef>
          </xVal>
          <yVal>
            <numRef>
              <f>'PFAS combined'!$H$59:$H$64</f>
              <numCache>
                <formatCode>General</formatCode>
                <ptCount val="6"/>
                <pt idx="0">
                  <v>5.964283925991281e-06</v>
                </pt>
                <pt idx="1">
                  <v>0.0004709312919371943</v>
                </pt>
                <pt idx="2">
                  <v>0.0003027836214064169</v>
                </pt>
                <pt idx="3">
                  <v>0.005713984626914617</v>
                </pt>
                <pt idx="4">
                  <v>0.02011886260744426</v>
                </pt>
                <pt idx="5">
                  <v>0.03676488318773777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7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'PFAS combined'!$C$110:$C$116</f>
              <numCache>
                <formatCode>General</formatCode>
                <ptCount val="7"/>
                <pt idx="0">
                  <v>0.08</v>
                </pt>
                <pt idx="1">
                  <v>0.4</v>
                </pt>
                <pt idx="2">
                  <v>1.6</v>
                </pt>
                <pt idx="3">
                  <v>4</v>
                </pt>
                <pt idx="4">
                  <v>20</v>
                </pt>
                <pt idx="5">
                  <v>40</v>
                </pt>
                <pt idx="6">
                  <v>80</v>
                </pt>
              </numCache>
            </numRef>
          </xVal>
          <yVal>
            <numRef>
              <f>'PFAS combined'!$H$110:$H$116</f>
              <numCache>
                <formatCode>General</formatCode>
                <ptCount val="7"/>
                <pt idx="0">
                  <v>0.01135883584886642</v>
                </pt>
                <pt idx="1">
                  <v>0.01342449348318758</v>
                </pt>
                <pt idx="2">
                  <v>0.01416315523680444</v>
                </pt>
                <pt idx="3">
                  <v>0.01652624563715763</v>
                </pt>
                <pt idx="4">
                  <v>0.04078616685766897</v>
                </pt>
                <pt idx="5">
                  <v>0.07533011822605699</v>
                </pt>
                <pt idx="6">
                  <v>0.1280083856831647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8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'PFAS combined'!$C$162:$C$168</f>
              <numCache>
                <formatCode>General</formatCode>
                <ptCount val="7"/>
                <pt idx="0">
                  <v>0.08</v>
                </pt>
                <pt idx="1">
                  <v>0.4</v>
                </pt>
                <pt idx="2">
                  <v>1.6</v>
                </pt>
                <pt idx="3">
                  <v>4</v>
                </pt>
                <pt idx="4">
                  <v>20</v>
                </pt>
                <pt idx="5">
                  <v>40</v>
                </pt>
                <pt idx="6">
                  <v>80</v>
                </pt>
              </numCache>
            </numRef>
          </xVal>
          <yVal>
            <numRef>
              <f>'PFAS combined'!$H$162:$H$168</f>
              <numCache>
                <formatCode>General</formatCode>
                <ptCount val="7"/>
                <pt idx="0">
                  <v>0.010218726317715</v>
                </pt>
                <pt idx="1">
                  <v>0.0104975558225767</v>
                </pt>
                <pt idx="2">
                  <v>0.03546684361402625</v>
                </pt>
                <pt idx="3">
                  <v>0.05659009732312939</v>
                </pt>
                <pt idx="4">
                  <v>0.3006024025385627</v>
                </pt>
                <pt idx="5">
                  <v>0.7890904397508519</v>
                </pt>
                <pt idx="6">
                  <v>1.498999773915405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9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'PFAS combined'!$C$214:$C$220</f>
              <numCache>
                <formatCode>General</formatCode>
                <ptCount val="7"/>
                <pt idx="0">
                  <v>0.08</v>
                </pt>
                <pt idx="1">
                  <v>0.4</v>
                </pt>
                <pt idx="2">
                  <v>1.6</v>
                </pt>
                <pt idx="3">
                  <v>4</v>
                </pt>
                <pt idx="4">
                  <v>20</v>
                </pt>
                <pt idx="5">
                  <v>40</v>
                </pt>
                <pt idx="6">
                  <v>80</v>
                </pt>
              </numCache>
            </numRef>
          </xVal>
          <yVal>
            <numRef>
              <f>'PFAS combined'!$H$214:$H$220</f>
              <numCache>
                <formatCode>General</formatCode>
                <ptCount val="7"/>
                <pt idx="0">
                  <v>0.03589978683610272</v>
                </pt>
                <pt idx="1">
                  <v>0.02989202010712686</v>
                </pt>
                <pt idx="2">
                  <v>0.1193053029173217</v>
                </pt>
                <pt idx="3">
                  <v>0.1552753181526546</v>
                </pt>
                <pt idx="4">
                  <v>0.8461969050001006</v>
                </pt>
                <pt idx="5">
                  <v>1.872813704192546</v>
                </pt>
                <pt idx="6">
                  <v>3.434063487855762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0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'PFAS combined'!$C$267:$C$271</f>
              <numCache>
                <formatCode>General</formatCode>
                <ptCount val="5"/>
                <pt idx="0">
                  <v>0.2</v>
                </pt>
                <pt idx="1">
                  <v>0.8</v>
                </pt>
                <pt idx="2">
                  <v>2</v>
                </pt>
                <pt idx="3">
                  <v>10</v>
                </pt>
                <pt idx="4">
                  <v>20</v>
                </pt>
              </numCache>
            </numRef>
          </xVal>
          <yVal>
            <numRef>
              <f>'PFAS combined'!$H$267:$H$271</f>
              <numCache>
                <formatCode>General</formatCode>
                <ptCount val="5"/>
                <pt idx="0">
                  <v>0.01028800725925164</v>
                </pt>
                <pt idx="1">
                  <v>0.03883264381223156</v>
                </pt>
                <pt idx="2">
                  <v>0.06491737142526295</v>
                </pt>
                <pt idx="3">
                  <v>0.4595531747200305</v>
                </pt>
                <pt idx="4">
                  <v>0.9681712572100123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1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'PFAS combined'!$C$319:$C$324</f>
              <numCache>
                <formatCode>General</formatCode>
                <ptCount val="6"/>
                <pt idx="0">
                  <v>0.5</v>
                </pt>
                <pt idx="1">
                  <v>2</v>
                </pt>
                <pt idx="2">
                  <v>5</v>
                </pt>
                <pt idx="3">
                  <v>25</v>
                </pt>
                <pt idx="4">
                  <v>50</v>
                </pt>
                <pt idx="5">
                  <v>100</v>
                </pt>
              </numCache>
            </numRef>
          </xVal>
          <yVal>
            <numRef>
              <f>'PFAS combined'!$H$319:$H$324</f>
              <numCache>
                <formatCode>General</formatCode>
                <ptCount val="6"/>
                <pt idx="0">
                  <v>2.81022374187947e-05</v>
                </pt>
                <pt idx="1">
                  <v>0.0002718596414490271</v>
                </pt>
                <pt idx="2">
                  <v>0.0079663960331708</v>
                </pt>
                <pt idx="3">
                  <v>0.03669137962393577</v>
                </pt>
                <pt idx="4">
                  <v>0.1063362234491116</v>
                </pt>
                <pt idx="5">
                  <v>0.2281698889391834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2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'PFAS combined'!$C$371:$C$376</f>
              <numCache>
                <formatCode>General</formatCode>
                <ptCount val="6"/>
                <pt idx="0">
                  <v>0.2</v>
                </pt>
                <pt idx="1">
                  <v>0.8</v>
                </pt>
                <pt idx="2">
                  <v>2</v>
                </pt>
                <pt idx="3">
                  <v>10</v>
                </pt>
                <pt idx="4">
                  <v>20</v>
                </pt>
                <pt idx="5">
                  <v>40</v>
                </pt>
              </numCache>
            </numRef>
          </xVal>
          <yVal>
            <numRef>
              <f>'PFAS combined'!$H$371:$H$376</f>
              <numCache>
                <formatCode>General</formatCode>
                <ptCount val="6"/>
                <pt idx="0">
                  <v>0.0340471388590855</v>
                </pt>
                <pt idx="1">
                  <v>0.05535623056824651</v>
                </pt>
                <pt idx="2">
                  <v>0.1150760989355914</v>
                </pt>
                <pt idx="3">
                  <v>0.681421803926498</v>
                </pt>
                <pt idx="4">
                  <v>1.321292367304392</v>
                </pt>
                <pt idx="5">
                  <v>2.747267973968624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3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'PFAS combined'!$C$425:$C$428</f>
              <numCache>
                <formatCode>General</formatCode>
                <ptCount val="4"/>
                <pt idx="0">
                  <v>2</v>
                </pt>
                <pt idx="1">
                  <v>10</v>
                </pt>
                <pt idx="2">
                  <v>20</v>
                </pt>
                <pt idx="3">
                  <v>40</v>
                </pt>
              </numCache>
            </numRef>
          </xVal>
          <yVal>
            <numRef>
              <f>'PFAS combined'!$H$425:$H$428</f>
              <numCache>
                <formatCode>General</formatCode>
                <ptCount val="4"/>
                <pt idx="0">
                  <v>0.05689843792161767</v>
                </pt>
                <pt idx="1">
                  <v>0.3756233814600854</v>
                </pt>
                <pt idx="2">
                  <v>1.009760653643456</v>
                </pt>
                <pt idx="3">
                  <v>2.400596841075065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4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'PFAS combined'!$C$423:$C$428</f>
              <numCache>
                <formatCode>General</formatCode>
                <ptCount val="6"/>
                <pt idx="0">
                  <v>0.2</v>
                </pt>
                <pt idx="1">
                  <v>0.8</v>
                </pt>
                <pt idx="2">
                  <v>2</v>
                </pt>
                <pt idx="3">
                  <v>10</v>
                </pt>
                <pt idx="4">
                  <v>20</v>
                </pt>
                <pt idx="5">
                  <v>40</v>
                </pt>
              </numCache>
            </numRef>
          </xVal>
          <yVal>
            <numRef>
              <f>'PFAS combined'!$H$423:$H$428</f>
              <numCache>
                <formatCode>General</formatCode>
                <ptCount val="6"/>
                <pt idx="0">
                  <v>0.008259469437152859</v>
                </pt>
                <pt idx="1">
                  <v>0.03907071084461779</v>
                </pt>
                <pt idx="2">
                  <v>0.05689843792161767</v>
                </pt>
                <pt idx="3">
                  <v>0.3756233814600854</v>
                </pt>
                <pt idx="4">
                  <v>1.009760653643456</v>
                </pt>
                <pt idx="5">
                  <v>2.400596841075065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5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'PFAS combined'!$C$423:$C$428</f>
              <numCache>
                <formatCode>General</formatCode>
                <ptCount val="6"/>
                <pt idx="0">
                  <v>0.2</v>
                </pt>
                <pt idx="1">
                  <v>0.8</v>
                </pt>
                <pt idx="2">
                  <v>2</v>
                </pt>
                <pt idx="3">
                  <v>10</v>
                </pt>
                <pt idx="4">
                  <v>20</v>
                </pt>
                <pt idx="5">
                  <v>40</v>
                </pt>
              </numCache>
            </numRef>
          </xVal>
          <yVal>
            <numRef>
              <f>'PFAS combined'!$H$423:$H$428</f>
              <numCache>
                <formatCode>General</formatCode>
                <ptCount val="6"/>
                <pt idx="0">
                  <v>0.008259469437152859</v>
                </pt>
                <pt idx="1">
                  <v>0.03907071084461779</v>
                </pt>
                <pt idx="2">
                  <v>0.05689843792161767</v>
                </pt>
                <pt idx="3">
                  <v>0.3756233814600854</v>
                </pt>
                <pt idx="4">
                  <v>1.009760653643456</v>
                </pt>
                <pt idx="5">
                  <v>2.400596841075065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6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'PFAS combined'!$C$578:$C$584</f>
              <numCache>
                <formatCode>General</formatCode>
                <ptCount val="7"/>
                <pt idx="0">
                  <v>0.02</v>
                </pt>
                <pt idx="1">
                  <v>0.1</v>
                </pt>
                <pt idx="2">
                  <v>0.4</v>
                </pt>
                <pt idx="3">
                  <v>1</v>
                </pt>
                <pt idx="4">
                  <v>5</v>
                </pt>
                <pt idx="5">
                  <v>10</v>
                </pt>
                <pt idx="6">
                  <v>20</v>
                </pt>
              </numCache>
            </numRef>
          </xVal>
          <yVal>
            <numRef>
              <f>'PFAS combined'!$H$578:$H$584</f>
              <numCache>
                <formatCode>General</formatCode>
                <ptCount val="7"/>
                <pt idx="0">
                  <v>0.03165147674387597</v>
                </pt>
                <pt idx="1">
                  <v>0.02245974927292724</v>
                </pt>
                <pt idx="2">
                  <v>0.06873421590769542</v>
                </pt>
                <pt idx="3">
                  <v>0.1406537514526841</v>
                </pt>
                <pt idx="4">
                  <v>0.87508614354597</v>
                </pt>
                <pt idx="5">
                  <v>2.045321384185363</v>
                </pt>
                <pt idx="6">
                  <v>3.573696627832532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7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'PFAS combined'!$C$630:$C$635</f>
              <numCache>
                <formatCode>General</formatCode>
                <ptCount val="6"/>
                <pt idx="0">
                  <v>0.02</v>
                </pt>
                <pt idx="1">
                  <v>0.1</v>
                </pt>
                <pt idx="2">
                  <v>0.4</v>
                </pt>
                <pt idx="3">
                  <v>1</v>
                </pt>
                <pt idx="4">
                  <v>5</v>
                </pt>
                <pt idx="5">
                  <v>10</v>
                </pt>
              </numCache>
            </numRef>
          </xVal>
          <yVal>
            <numRef>
              <f>'PFAS combined'!$H$630:$H$635</f>
              <numCache>
                <formatCode>General</formatCode>
                <ptCount val="6"/>
                <pt idx="0">
                  <v>0.07068621306832747</v>
                </pt>
                <pt idx="1">
                  <v>0.07733772714280485</v>
                </pt>
                <pt idx="2">
                  <v>0.1190008626607617</v>
                </pt>
                <pt idx="3">
                  <v>0.2548653450335829</v>
                </pt>
                <pt idx="4">
                  <v>0.8798573519604362</v>
                </pt>
                <pt idx="5">
                  <v>1.767088380422344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8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'PFAS combined'!$C$681:$C$687</f>
              <numCache>
                <formatCode>General</formatCode>
                <ptCount val="7"/>
                <pt idx="0">
                  <v>0</v>
                </pt>
                <pt idx="1">
                  <v>0.04</v>
                </pt>
                <pt idx="2">
                  <v>0.2</v>
                </pt>
                <pt idx="3">
                  <v>0.8</v>
                </pt>
                <pt idx="4">
                  <v>2</v>
                </pt>
                <pt idx="5">
                  <v>10</v>
                </pt>
                <pt idx="6">
                  <v>20</v>
                </pt>
              </numCache>
            </numRef>
          </xVal>
          <yVal>
            <numRef>
              <f>'PFAS combined'!$H$681:$H$687</f>
              <numCache>
                <formatCode>General</formatCode>
                <ptCount val="7"/>
                <pt idx="0">
                  <v>0.08653536716478219</v>
                </pt>
                <pt idx="1">
                  <v>0.7038805086165932</v>
                </pt>
                <pt idx="2">
                  <v>0.6994447219745815</v>
                </pt>
                <pt idx="3">
                  <v>2.643825141093635</v>
                </pt>
                <pt idx="4">
                  <v>4.250423248295302</v>
                </pt>
                <pt idx="5">
                  <v>23.9876614209373</v>
                </pt>
                <pt idx="6">
                  <v>51.50667595517587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9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'PFAS combined'!$C$736:$C$740</f>
              <numCache>
                <formatCode>General</formatCode>
                <ptCount val="5"/>
                <pt idx="0">
                  <v>1.6</v>
                </pt>
                <pt idx="1">
                  <v>4</v>
                </pt>
                <pt idx="2">
                  <v>20</v>
                </pt>
                <pt idx="3">
                  <v>40</v>
                </pt>
                <pt idx="4">
                  <v>80</v>
                </pt>
              </numCache>
            </numRef>
          </xVal>
          <yVal>
            <numRef>
              <f>'PFAS combined'!$H$736:$H$740</f>
              <numCache>
                <formatCode>General</formatCode>
                <ptCount val="5"/>
                <pt idx="0">
                  <v>0.03480524825797202</v>
                </pt>
                <pt idx="1">
                  <v>0.03798423375528904</v>
                </pt>
                <pt idx="2">
                  <v>0.3431230999748829</v>
                </pt>
                <pt idx="3">
                  <v>0.9333827669851391</v>
                </pt>
                <pt idx="4">
                  <v>2.383484774564214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0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'PFAS combined'!$C$786:$C$791</f>
              <numCache>
                <formatCode>General</formatCode>
                <ptCount val="6"/>
                <pt idx="0">
                  <v>0.5</v>
                </pt>
                <pt idx="1">
                  <v>2.5</v>
                </pt>
                <pt idx="2">
                  <v>10</v>
                </pt>
                <pt idx="3">
                  <v>25</v>
                </pt>
                <pt idx="4">
                  <v>125</v>
                </pt>
                <pt idx="5">
                  <v>250</v>
                </pt>
              </numCache>
            </numRef>
          </xVal>
          <yVal>
            <numRef>
              <f>'PFAS combined'!$H$786:$H$791</f>
              <numCache>
                <formatCode>General</formatCode>
                <ptCount val="6"/>
                <pt idx="0">
                  <v>0.02305783026052293</v>
                </pt>
                <pt idx="1">
                  <v>0.2802080035597604</v>
                </pt>
                <pt idx="2">
                  <v>0.9826781669888247</v>
                </pt>
                <pt idx="3">
                  <v>1.888657909215834</v>
                </pt>
                <pt idx="4">
                  <v>11.53674169069375</v>
                </pt>
                <pt idx="5">
                  <v>23.77779703908099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1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'PFAS combined'!$C$838:$C$844</f>
              <numCache>
                <formatCode>General</formatCode>
                <ptCount val="7"/>
                <pt idx="0">
                  <v>0.02</v>
                </pt>
                <pt idx="1">
                  <v>0.1</v>
                </pt>
                <pt idx="2">
                  <v>0.4</v>
                </pt>
                <pt idx="3">
                  <v>1</v>
                </pt>
                <pt idx="4">
                  <v>5</v>
                </pt>
                <pt idx="5">
                  <v>10</v>
                </pt>
                <pt idx="6">
                  <v>20</v>
                </pt>
              </numCache>
            </numRef>
          </xVal>
          <yVal>
            <numRef>
              <f>'PFAS combined'!$H$838:$H$844</f>
              <numCache>
                <formatCode>General</formatCode>
                <ptCount val="7"/>
                <pt idx="0">
                  <v>0.02205990792059827</v>
                </pt>
                <pt idx="1">
                  <v>0.07596898153267721</v>
                </pt>
                <pt idx="2">
                  <v>0.3409009675451808</v>
                </pt>
                <pt idx="3">
                  <v>0.2548613033879659</v>
                </pt>
                <pt idx="4">
                  <v>1.902121191670163</v>
                </pt>
                <pt idx="5">
                  <v>5.830537414972984</v>
                </pt>
                <pt idx="6">
                  <v>11.61467176900042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2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'PFAS combined'!$C$890:$C$896</f>
              <numCache>
                <formatCode>General</formatCode>
                <ptCount val="7"/>
                <pt idx="0">
                  <v>0.2</v>
                </pt>
                <pt idx="1">
                  <v>1</v>
                </pt>
                <pt idx="2">
                  <v>4</v>
                </pt>
                <pt idx="3">
                  <v>10</v>
                </pt>
                <pt idx="4">
                  <v>50</v>
                </pt>
                <pt idx="5">
                  <v>100</v>
                </pt>
                <pt idx="6">
                  <v>200</v>
                </pt>
              </numCache>
            </numRef>
          </xVal>
          <yVal>
            <numRef>
              <f>'PFAS combined'!$H$890:$H$896</f>
              <numCache>
                <formatCode>General</formatCode>
                <ptCount val="7"/>
                <pt idx="0">
                  <v>0.05330362309233786</v>
                </pt>
                <pt idx="1">
                  <v>0.1082644870392266</v>
                </pt>
                <pt idx="2">
                  <v>0.6573109514042325</v>
                </pt>
                <pt idx="3">
                  <v>0.8891071953547349</v>
                </pt>
                <pt idx="4">
                  <v>4.287384679616491</v>
                </pt>
                <pt idx="5">
                  <v>10.79508522791735</v>
                </pt>
                <pt idx="6">
                  <v>18.97812724985552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3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'PFAS combined'!$C$942:$C$948</f>
              <numCache>
                <formatCode>General</formatCode>
                <ptCount val="7"/>
                <pt idx="0">
                  <v>0.02</v>
                </pt>
                <pt idx="1">
                  <v>0.1</v>
                </pt>
                <pt idx="2">
                  <v>0.4</v>
                </pt>
                <pt idx="3">
                  <v>1</v>
                </pt>
                <pt idx="4">
                  <v>5</v>
                </pt>
                <pt idx="5">
                  <v>10</v>
                </pt>
                <pt idx="6">
                  <v>20</v>
                </pt>
              </numCache>
            </numRef>
          </xVal>
          <yVal>
            <numRef>
              <f>'PFAS combined'!$H$942:$H$948</f>
              <numCache>
                <formatCode>General</formatCode>
                <ptCount val="7"/>
                <pt idx="0">
                  <v>0.03596881782061906</v>
                </pt>
                <pt idx="1">
                  <v>0.03402846032691184</v>
                </pt>
                <pt idx="2">
                  <v>0.1871774367961668</v>
                </pt>
                <pt idx="3">
                  <v>0.2597451816281913</v>
                </pt>
                <pt idx="4">
                  <v>1.040358975858942</v>
                </pt>
                <pt idx="5">
                  <v>2.541633807364801</v>
                </pt>
                <pt idx="6">
                  <v>4.420790501547033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4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'PFAS combined'!$C$943:$C$948</f>
              <numCache>
                <formatCode>General</formatCode>
                <ptCount val="6"/>
                <pt idx="0">
                  <v>0.1</v>
                </pt>
                <pt idx="1">
                  <v>0.4</v>
                </pt>
                <pt idx="2">
                  <v>1</v>
                </pt>
                <pt idx="3">
                  <v>5</v>
                </pt>
                <pt idx="4">
                  <v>10</v>
                </pt>
                <pt idx="5">
                  <v>20</v>
                </pt>
              </numCache>
            </numRef>
          </xVal>
          <yVal>
            <numRef>
              <f>'PFAS combined'!$H$943:$H$948</f>
              <numCache>
                <formatCode>General</formatCode>
                <ptCount val="6"/>
                <pt idx="0">
                  <v>0.03402846032691184</v>
                </pt>
                <pt idx="1">
                  <v>0.1871774367961668</v>
                </pt>
                <pt idx="2">
                  <v>0.2597451816281913</v>
                </pt>
                <pt idx="3">
                  <v>1.040358975858942</v>
                </pt>
                <pt idx="4">
                  <v>2.541633807364801</v>
                </pt>
                <pt idx="5">
                  <v>4.420790501547033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5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'PFAS combined'!$C$1046:$C$1051</f>
              <numCache>
                <formatCode>General</formatCode>
                <ptCount val="6"/>
                <pt idx="0">
                  <v>0.08</v>
                </pt>
                <pt idx="1">
                  <v>0.4</v>
                </pt>
                <pt idx="2">
                  <v>1.6</v>
                </pt>
                <pt idx="3">
                  <v>4</v>
                </pt>
                <pt idx="4">
                  <v>20</v>
                </pt>
                <pt idx="5">
                  <v>40</v>
                </pt>
              </numCache>
            </numRef>
          </xVal>
          <yVal>
            <numRef>
              <f>'PFAS combined'!$H$1046:$H$1051</f>
              <numCache>
                <formatCode>General</formatCode>
                <ptCount val="6"/>
                <pt idx="0">
                  <v>0.4135349657739015</v>
                </pt>
                <pt idx="1">
                  <v>0.5696577284855442</v>
                </pt>
                <pt idx="2">
                  <v>2.683972308266526</v>
                </pt>
                <pt idx="3">
                  <v>4.299076286263346</v>
                </pt>
                <pt idx="4">
                  <v>27.24625768217734</v>
                </pt>
                <pt idx="5">
                  <v>56.08025732463162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6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'PFAS combined'!$C$1100:$C$1104</f>
              <numCache>
                <formatCode>General</formatCode>
                <ptCount val="5"/>
                <pt idx="0">
                  <v>0.4</v>
                </pt>
                <pt idx="1">
                  <v>1</v>
                </pt>
                <pt idx="2">
                  <v>5</v>
                </pt>
                <pt idx="3">
                  <v>10</v>
                </pt>
                <pt idx="4">
                  <v>20</v>
                </pt>
              </numCache>
            </numRef>
          </xVal>
          <yVal>
            <numRef>
              <f>'PFAS combined'!$H$1100:$H$1104</f>
              <numCache>
                <formatCode>General</formatCode>
                <ptCount val="5"/>
                <pt idx="0">
                  <v>0.03979187375856005</v>
                </pt>
                <pt idx="1">
                  <v>0.1558563514251901</v>
                </pt>
                <pt idx="2">
                  <v>0.8109882951534483</v>
                </pt>
                <pt idx="3">
                  <v>2.518918607557568</v>
                </pt>
                <pt idx="4">
                  <v>5.653122931240934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7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'PFAS combined'!$C$1151:$C$1155</f>
              <numCache>
                <formatCode>General</formatCode>
                <ptCount val="5"/>
                <pt idx="0">
                  <v>0.1</v>
                </pt>
                <pt idx="1">
                  <v>0.4</v>
                </pt>
                <pt idx="2">
                  <v>1</v>
                </pt>
                <pt idx="3">
                  <v>5</v>
                </pt>
                <pt idx="4">
                  <v>10</v>
                </pt>
              </numCache>
            </numRef>
          </xVal>
          <yVal>
            <numRef>
              <f>'PFAS combined'!$H$1151:$H$1155</f>
              <numCache>
                <formatCode>General</formatCode>
                <ptCount val="5"/>
                <pt idx="0">
                  <v>0.07376837794064993</v>
                </pt>
                <pt idx="1">
                  <v>0.1196829389484423</v>
                </pt>
                <pt idx="2">
                  <v>0.2400623502439346</v>
                </pt>
                <pt idx="3">
                  <v>0.932261159138763</v>
                </pt>
                <pt idx="4">
                  <v>1.640091174329035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8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'PFAS combined'!$C$1202:$C$1207</f>
              <numCache>
                <formatCode>General</formatCode>
                <ptCount val="6"/>
                <pt idx="0">
                  <v>0.08</v>
                </pt>
                <pt idx="1">
                  <v>0.4</v>
                </pt>
                <pt idx="2">
                  <v>1.6</v>
                </pt>
                <pt idx="3">
                  <v>4</v>
                </pt>
                <pt idx="4">
                  <v>20</v>
                </pt>
                <pt idx="5">
                  <v>40</v>
                </pt>
              </numCache>
            </numRef>
          </xVal>
          <yVal>
            <numRef>
              <f>'PFAS combined'!$H$1202:$H$1207</f>
              <numCache>
                <formatCode>General</formatCode>
                <ptCount val="6"/>
                <pt idx="0">
                  <v>0.05712390439664751</v>
                </pt>
                <pt idx="1">
                  <v>0.07062045001563287</v>
                </pt>
                <pt idx="2">
                  <v>0.2691915011099114</v>
                </pt>
                <pt idx="3">
                  <v>0.3577147784895519</v>
                </pt>
                <pt idx="4">
                  <v>1.668017509008003</v>
                </pt>
                <pt idx="5">
                  <v>3.746053635351752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9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'PFAS combined'!$C$1255:$C$1260</f>
              <numCache>
                <formatCode>General</formatCode>
                <ptCount val="6"/>
                <pt idx="0">
                  <v>2.5</v>
                </pt>
                <pt idx="1">
                  <v>10</v>
                </pt>
                <pt idx="2">
                  <v>25</v>
                </pt>
                <pt idx="3">
                  <v>125</v>
                </pt>
                <pt idx="4">
                  <v>250</v>
                </pt>
                <pt idx="5">
                  <v>500</v>
                </pt>
              </numCache>
            </numRef>
          </xVal>
          <yVal>
            <numRef>
              <f>'PFAS combined'!$H$1255:$H$1260</f>
              <numCache>
                <formatCode>General</formatCode>
                <ptCount val="6"/>
                <pt idx="0">
                  <v>21.97447615826106</v>
                </pt>
                <pt idx="1">
                  <v>31.66827772291687</v>
                </pt>
                <pt idx="2">
                  <v>258.6758754959706</v>
                </pt>
                <pt idx="3">
                  <v>209.1256703035112</v>
                </pt>
                <pt idx="4">
                  <v>1219.718547965047</v>
                </pt>
                <pt idx="5">
                  <v>13172.52158595397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0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'PFAS combined'!$C$1307:$C$1311</f>
              <numCache>
                <formatCode>General</formatCode>
                <ptCount val="5"/>
                <pt idx="0">
                  <v>0.3</v>
                </pt>
                <pt idx="1">
                  <v>1.2</v>
                </pt>
                <pt idx="2">
                  <v>3</v>
                </pt>
                <pt idx="3">
                  <v>15</v>
                </pt>
                <pt idx="4">
                  <v>30</v>
                </pt>
              </numCache>
            </numRef>
          </xVal>
          <yVal>
            <numRef>
              <f>'PFAS combined'!$H$1307:$H$1311</f>
              <numCache>
                <formatCode>General</formatCode>
                <ptCount val="5"/>
                <pt idx="0">
                  <v>0.01190064973133492</v>
                </pt>
                <pt idx="1">
                  <v>0.04961608405062071</v>
                </pt>
                <pt idx="2">
                  <v>0.07050379115378086</v>
                </pt>
                <pt idx="3">
                  <v>0.2825455162956758</v>
                </pt>
                <pt idx="4">
                  <v>0.5812889565824666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1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'PFAS combined'!$C$1359:$C$1362</f>
              <numCache>
                <formatCode>General</formatCode>
                <ptCount val="4"/>
                <pt idx="0">
                  <v>0.1</v>
                </pt>
                <pt idx="1">
                  <v>0.4</v>
                </pt>
                <pt idx="2">
                  <v>1</v>
                </pt>
                <pt idx="3">
                  <v>5</v>
                </pt>
              </numCache>
            </numRef>
          </xVal>
          <yVal>
            <numRef>
              <f>'PFAS combined'!$H$1359:$H$1362</f>
              <numCache>
                <formatCode>General</formatCode>
                <ptCount val="4"/>
                <pt idx="0">
                  <v>0.001510520022924882</v>
                </pt>
                <pt idx="1">
                  <v>0.006944508352421904</v>
                </pt>
                <pt idx="2">
                  <v>0.01270897141307921</v>
                </pt>
                <pt idx="3">
                  <v>0.09427025105923482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2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'PFAS combined'!$C$1410:$C$1415</f>
              <numCache>
                <formatCode>General</formatCode>
                <ptCount val="6"/>
                <pt idx="0">
                  <v>0.02</v>
                </pt>
                <pt idx="1">
                  <v>0.1</v>
                </pt>
                <pt idx="2">
                  <v>0.4</v>
                </pt>
                <pt idx="3">
                  <v>1</v>
                </pt>
                <pt idx="4">
                  <v>5</v>
                </pt>
                <pt idx="5">
                  <v>10</v>
                </pt>
              </numCache>
            </numRef>
          </xVal>
          <yVal>
            <numRef>
              <f>'PFAS combined'!$H$1410:$H$1415</f>
              <numCache>
                <formatCode>General</formatCode>
                <ptCount val="6"/>
                <pt idx="0">
                  <v>0.08223910066657725</v>
                </pt>
                <pt idx="1">
                  <v>0.1467256330434224</v>
                </pt>
                <pt idx="2">
                  <v>0.2134672455783214</v>
                </pt>
                <pt idx="3">
                  <v>0.2798037036667466</v>
                </pt>
                <pt idx="4">
                  <v>1.267828835725311</v>
                </pt>
                <pt idx="5">
                  <v>2.51819153384191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3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'PFAS combined'!$C$1462:$C$1468</f>
              <numCache>
                <formatCode>General</formatCode>
                <ptCount val="7"/>
                <pt idx="0">
                  <v>0.06</v>
                </pt>
                <pt idx="1">
                  <v>0.3</v>
                </pt>
                <pt idx="2">
                  <v>1.2</v>
                </pt>
                <pt idx="3">
                  <v>3</v>
                </pt>
                <pt idx="4">
                  <v>15</v>
                </pt>
                <pt idx="5">
                  <v>30</v>
                </pt>
                <pt idx="6">
                  <v>60</v>
                </pt>
              </numCache>
            </numRef>
          </xVal>
          <yVal>
            <numRef>
              <f>'PFAS combined'!$H$1462:$H$1468</f>
              <numCache>
                <formatCode>General</formatCode>
                <ptCount val="7"/>
                <pt idx="0">
                  <v>0.02172606242070103</v>
                </pt>
                <pt idx="1">
                  <v>0.07046100982877938</v>
                </pt>
                <pt idx="2">
                  <v>0.2193729926092739</v>
                </pt>
                <pt idx="3">
                  <v>0.1155133871877275</v>
                </pt>
                <pt idx="4">
                  <v>0.8481413474831346</v>
                </pt>
                <pt idx="5">
                  <v>1.942763165401876</v>
                </pt>
                <pt idx="6">
                  <v>3.649397699256351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4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'PFAS combined'!$C$1463:$C$1468</f>
              <numCache>
                <formatCode>General</formatCode>
                <ptCount val="6"/>
                <pt idx="0">
                  <v>0.3</v>
                </pt>
                <pt idx="1">
                  <v>1.2</v>
                </pt>
                <pt idx="2">
                  <v>3</v>
                </pt>
                <pt idx="3">
                  <v>15</v>
                </pt>
                <pt idx="4">
                  <v>30</v>
                </pt>
                <pt idx="5">
                  <v>60</v>
                </pt>
              </numCache>
            </numRef>
          </xVal>
          <yVal>
            <numRef>
              <f>'PFAS combined'!$H$1463:$H$1468</f>
              <numCache>
                <formatCode>General</formatCode>
                <ptCount val="6"/>
                <pt idx="0">
                  <v>0.07046100982877938</v>
                </pt>
                <pt idx="1">
                  <v>0.2193729926092739</v>
                </pt>
                <pt idx="2">
                  <v>0.1155133871877275</v>
                </pt>
                <pt idx="3">
                  <v>0.8481413474831346</v>
                </pt>
                <pt idx="4">
                  <v>1.942763165401876</v>
                </pt>
                <pt idx="5">
                  <v>3.649397699256351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5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'PFAS combined'!$C$1566:$C$1572</f>
              <numCache>
                <formatCode>General</formatCode>
                <ptCount val="7"/>
                <pt idx="0">
                  <v>0.02</v>
                </pt>
                <pt idx="1">
                  <v>0.1</v>
                </pt>
                <pt idx="2">
                  <v>0.4</v>
                </pt>
                <pt idx="3">
                  <v>1</v>
                </pt>
                <pt idx="4">
                  <v>5</v>
                </pt>
                <pt idx="5">
                  <v>10</v>
                </pt>
                <pt idx="6">
                  <v>20</v>
                </pt>
              </numCache>
            </numRef>
          </xVal>
          <yVal>
            <numRef>
              <f>'PFAS combined'!$H$1566:$H$1572</f>
              <numCache>
                <formatCode>General</formatCode>
                <ptCount val="7"/>
                <pt idx="0">
                  <v>0.002206452319407051</v>
                </pt>
                <pt idx="1">
                  <v>0.03885766661376763</v>
                </pt>
                <pt idx="2">
                  <v>0.1248111740175774</v>
                </pt>
                <pt idx="3">
                  <v>0.1353871975286941</v>
                </pt>
                <pt idx="4">
                  <v>0.8114613477080527</v>
                </pt>
                <pt idx="5">
                  <v>1.923754964588442</v>
                </pt>
                <pt idx="6">
                  <v>3.667681000536197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6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'PFAS combined'!$C$1617:$C$1624</f>
              <numCache>
                <formatCode>General</formatCode>
                <ptCount val="8"/>
                <pt idx="0">
                  <v>0</v>
                </pt>
                <pt idx="1">
                  <v>0.02</v>
                </pt>
                <pt idx="2">
                  <v>0.1</v>
                </pt>
                <pt idx="3">
                  <v>0.4</v>
                </pt>
                <pt idx="4">
                  <v>1</v>
                </pt>
                <pt idx="5">
                  <v>5</v>
                </pt>
                <pt idx="6">
                  <v>10</v>
                </pt>
                <pt idx="7">
                  <v>20</v>
                </pt>
              </numCache>
            </numRef>
          </xVal>
          <yVal>
            <numRef>
              <f>'PFAS combined'!$H$1617:$H$1624</f>
              <numCache>
                <formatCode>General</formatCode>
                <ptCount val="8"/>
                <pt idx="0">
                  <v>0.00582051010965026</v>
                </pt>
                <pt idx="1">
                  <v>0.03154142343477782</v>
                </pt>
                <pt idx="2">
                  <v>0.02997598403023021</v>
                </pt>
                <pt idx="3">
                  <v>0.1413557903231456</v>
                </pt>
                <pt idx="4">
                  <v>0.1491193985914094</v>
                </pt>
                <pt idx="5">
                  <v>0.8323303755124012</v>
                </pt>
                <pt idx="6">
                  <v>1.991807289715684</v>
                </pt>
                <pt idx="7">
                  <v>3.676797576234619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7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'PFAS combined'!$C$1670:$C$1676</f>
              <numCache>
                <formatCode>General</formatCode>
                <ptCount val="7"/>
                <pt idx="0">
                  <v>0.02</v>
                </pt>
                <pt idx="1">
                  <v>0.1</v>
                </pt>
                <pt idx="2">
                  <v>0.4</v>
                </pt>
                <pt idx="3">
                  <v>1</v>
                </pt>
                <pt idx="4">
                  <v>5</v>
                </pt>
                <pt idx="5">
                  <v>10</v>
                </pt>
                <pt idx="6">
                  <v>20</v>
                </pt>
              </numCache>
            </numRef>
          </xVal>
          <yVal>
            <numRef>
              <f>'PFAS combined'!$H$1670:$H$1676</f>
              <numCache>
                <formatCode>General</formatCode>
                <ptCount val="7"/>
                <pt idx="0">
                  <v>0.001564752234433866</v>
                </pt>
                <pt idx="1">
                  <v>0.01116290247459677</v>
                </pt>
                <pt idx="2">
                  <v>0.0647641517428052</v>
                </pt>
                <pt idx="3">
                  <v>0.0765046115561603</v>
                </pt>
                <pt idx="4">
                  <v>0.5625636684886841</v>
                </pt>
                <pt idx="5">
                  <v>1.454393203355578</v>
                </pt>
                <pt idx="6">
                  <v>2.82916042895447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8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'PFAS combined'!$C$1724:$C$1727</f>
              <numCache>
                <formatCode>General</formatCode>
                <ptCount val="4"/>
                <pt idx="0">
                  <v>0.4</v>
                </pt>
                <pt idx="1">
                  <v>1</v>
                </pt>
                <pt idx="2">
                  <v>5</v>
                </pt>
                <pt idx="3">
                  <v>10</v>
                </pt>
              </numCache>
            </numRef>
          </xVal>
          <yVal>
            <numRef>
              <f>'PFAS combined'!$H$1724:$H$1727</f>
              <numCache>
                <formatCode>General</formatCode>
                <ptCount val="4"/>
                <pt idx="0">
                  <v>1.068966536391327</v>
                </pt>
                <pt idx="1">
                  <v>6.793922665549449</v>
                </pt>
                <pt idx="2">
                  <v>5.481871057329895</v>
                </pt>
                <pt idx="3">
                  <v>31.50643604396069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9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'PFAS combined'!$C$1774:$C$1780</f>
              <numCache>
                <formatCode>General</formatCode>
                <ptCount val="7"/>
                <pt idx="0">
                  <v>0.02</v>
                </pt>
                <pt idx="1">
                  <v>0.1</v>
                </pt>
                <pt idx="2">
                  <v>0.4</v>
                </pt>
                <pt idx="3">
                  <v>1</v>
                </pt>
                <pt idx="4">
                  <v>5</v>
                </pt>
                <pt idx="5">
                  <v>10</v>
                </pt>
                <pt idx="6">
                  <v>20</v>
                </pt>
              </numCache>
            </numRef>
          </xVal>
          <yVal>
            <numRef>
              <f>'PFAS combined'!$H$1774:$H$1780</f>
              <numCache>
                <formatCode>General</formatCode>
                <ptCount val="7"/>
                <pt idx="0">
                  <v>0.004671070623340159</v>
                </pt>
                <pt idx="1">
                  <v>0.01819726638348067</v>
                </pt>
                <pt idx="2">
                  <v>0.06673683737376765</v>
                </pt>
                <pt idx="3">
                  <v>0.09211360398806002</v>
                </pt>
                <pt idx="4">
                  <v>0.5842419781925234</v>
                </pt>
                <pt idx="5">
                  <v>1.448215112920617</v>
                </pt>
                <pt idx="6">
                  <v>2.661371136094811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0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'PFAS combined'!$C$1827:$C$1832</f>
              <numCache>
                <formatCode>General</formatCode>
                <ptCount val="6"/>
                <pt idx="0">
                  <v>0.4</v>
                </pt>
                <pt idx="1">
                  <v>1.6</v>
                </pt>
                <pt idx="2">
                  <v>4</v>
                </pt>
                <pt idx="3">
                  <v>20</v>
                </pt>
                <pt idx="4">
                  <v>40</v>
                </pt>
                <pt idx="5">
                  <v>80</v>
                </pt>
              </numCache>
            </numRef>
          </xVal>
          <yVal>
            <numRef>
              <f>'PFAS combined'!$H$1827:$H$1832</f>
              <numCache>
                <formatCode>General</formatCode>
                <ptCount val="6"/>
                <pt idx="0">
                  <v>0.0877867213073885</v>
                </pt>
                <pt idx="1">
                  <v>0.2456443459936397</v>
                </pt>
                <pt idx="2">
                  <v>0.3517818047717559</v>
                </pt>
                <pt idx="3">
                  <v>1.919985872751899</v>
                </pt>
                <pt idx="4">
                  <v>3.651967071201749</v>
                </pt>
                <pt idx="5">
                  <v>5.624466971803918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1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'PFAS combined'!$C$1878:$C$1884</f>
              <numCache>
                <formatCode>General</formatCode>
                <ptCount val="7"/>
                <pt idx="0">
                  <v>0.08</v>
                </pt>
                <pt idx="1">
                  <v>0.4</v>
                </pt>
                <pt idx="2">
                  <v>1.6</v>
                </pt>
                <pt idx="3">
                  <v>4</v>
                </pt>
                <pt idx="4">
                  <v>20</v>
                </pt>
                <pt idx="5">
                  <v>40</v>
                </pt>
                <pt idx="6">
                  <v>80</v>
                </pt>
              </numCache>
            </numRef>
          </xVal>
          <yVal>
            <numRef>
              <f>'PFAS combined'!$H$1878:$H$1884</f>
              <numCache>
                <formatCode>General</formatCode>
                <ptCount val="7"/>
                <pt idx="0">
                  <v>7.469381555548729</v>
                </pt>
                <pt idx="1">
                  <v>13.4031151694289</v>
                </pt>
                <pt idx="2">
                  <v>48.55829956370015</v>
                </pt>
                <pt idx="3">
                  <v>47.25321820546628</v>
                </pt>
                <pt idx="4">
                  <v>316.1243996486004</v>
                </pt>
                <pt idx="5">
                  <v>799.1390781408883</v>
                </pt>
                <pt idx="6">
                  <v>1592.226049187625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2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'PFAS combined'!$C$1930:$C$1936</f>
              <numCache>
                <formatCode>General</formatCode>
                <ptCount val="7"/>
                <pt idx="0">
                  <v>0.2</v>
                </pt>
                <pt idx="1">
                  <v>1</v>
                </pt>
                <pt idx="2">
                  <v>4</v>
                </pt>
                <pt idx="3">
                  <v>10</v>
                </pt>
                <pt idx="4">
                  <v>50</v>
                </pt>
                <pt idx="5">
                  <v>100</v>
                </pt>
                <pt idx="6">
                  <v>200</v>
                </pt>
              </numCache>
            </numRef>
          </xVal>
          <yVal>
            <numRef>
              <f>'PFAS combined'!$H$1930:$H$1936</f>
              <numCache>
                <formatCode>General</formatCode>
                <ptCount val="7"/>
                <pt idx="0">
                  <v>0.09971569857461871</v>
                </pt>
                <pt idx="1">
                  <v>0.1808233968385659</v>
                </pt>
                <pt idx="2">
                  <v>0.6207923758219535</v>
                </pt>
                <pt idx="3">
                  <v>0.8844186776465351</v>
                </pt>
                <pt idx="4">
                  <v>4.7879565757632</v>
                </pt>
                <pt idx="5">
                  <v>10.94374986207747</v>
                </pt>
                <pt idx="6">
                  <v>20.01855710641782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3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'PFAS combined'!$C$1982:$C$1988</f>
              <numCache>
                <formatCode>General</formatCode>
                <ptCount val="7"/>
                <pt idx="0">
                  <v>0.02</v>
                </pt>
                <pt idx="1">
                  <v>0.1</v>
                </pt>
                <pt idx="2">
                  <v>0.4</v>
                </pt>
                <pt idx="3">
                  <v>1</v>
                </pt>
                <pt idx="4">
                  <v>5</v>
                </pt>
                <pt idx="5">
                  <v>10</v>
                </pt>
                <pt idx="6">
                  <v>20</v>
                </pt>
              </numCache>
            </numRef>
          </xVal>
          <yVal>
            <numRef>
              <f>'PFAS combined'!$H$1982:$H$1988</f>
              <numCache>
                <formatCode>General</formatCode>
                <ptCount val="7"/>
                <pt idx="0">
                  <v>0.1571113090788697</v>
                </pt>
                <pt idx="1">
                  <v>0.157907737781062</v>
                </pt>
                <pt idx="2">
                  <v>0.7083309462244849</v>
                </pt>
                <pt idx="3">
                  <v>0.6341958272458398</v>
                </pt>
                <pt idx="4">
                  <v>3.009865489723667</v>
                </pt>
                <pt idx="5">
                  <v>8.186102102831057</v>
                </pt>
                <pt idx="6">
                  <v>18.06761879441628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4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'PFAS combined'!$C$2034:$C$2040</f>
              <numCache>
                <formatCode>General</formatCode>
                <ptCount val="7"/>
                <pt idx="0">
                  <v>0.02</v>
                </pt>
                <pt idx="1">
                  <v>0.1</v>
                </pt>
                <pt idx="2">
                  <v>0.4</v>
                </pt>
                <pt idx="3">
                  <v>1</v>
                </pt>
                <pt idx="4">
                  <v>5</v>
                </pt>
                <pt idx="5">
                  <v>10</v>
                </pt>
                <pt idx="6">
                  <v>20</v>
                </pt>
              </numCache>
            </numRef>
          </xVal>
          <yVal>
            <numRef>
              <f>'PFAS combined'!$H$2034:$H$2040</f>
              <numCache>
                <formatCode>General</formatCode>
                <ptCount val="7"/>
                <pt idx="0">
                  <v>0.00793832999946064</v>
                </pt>
                <pt idx="1">
                  <v>0.01588404556702073</v>
                </pt>
                <pt idx="2">
                  <v>0.04330196645958154</v>
                </pt>
                <pt idx="3">
                  <v>0.07098213366519139</v>
                </pt>
                <pt idx="4">
                  <v>0.3613461425978973</v>
                </pt>
                <pt idx="5">
                  <v>0.890683446141969</v>
                </pt>
                <pt idx="6">
                  <v>1.555051879383467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5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'PFAS combined'!$C$2086:$C$2091</f>
              <numCache>
                <formatCode>General</formatCode>
                <ptCount val="6"/>
                <pt idx="0">
                  <v>0.2</v>
                </pt>
                <pt idx="1">
                  <v>1</v>
                </pt>
                <pt idx="2">
                  <v>4</v>
                </pt>
                <pt idx="3">
                  <v>10</v>
                </pt>
                <pt idx="4">
                  <v>50</v>
                </pt>
                <pt idx="5">
                  <v>100</v>
                </pt>
              </numCache>
            </numRef>
          </xVal>
          <yVal>
            <numRef>
              <f>'PFAS combined'!$H$2086:$H$2091</f>
              <numCache>
                <formatCode>General</formatCode>
                <ptCount val="6"/>
                <pt idx="0">
                  <v>0.0122195258449253</v>
                </pt>
                <pt idx="1">
                  <v>0.02421719909432558</v>
                </pt>
                <pt idx="2">
                  <v>0.06010850455056371</v>
                </pt>
                <pt idx="3">
                  <v>0.1113223971157314</v>
                </pt>
                <pt idx="4">
                  <v>0.6242556433855936</v>
                </pt>
                <pt idx="5">
                  <v>1.252160808955128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6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'PFAS combined'!$C$2138:$C$2144</f>
              <numCache>
                <formatCode>General</formatCode>
                <ptCount val="7"/>
                <pt idx="0">
                  <v>0.02</v>
                </pt>
                <pt idx="1">
                  <v>0.1</v>
                </pt>
                <pt idx="2">
                  <v>0.4</v>
                </pt>
                <pt idx="3">
                  <v>1</v>
                </pt>
                <pt idx="4">
                  <v>5</v>
                </pt>
                <pt idx="5">
                  <v>10</v>
                </pt>
                <pt idx="6">
                  <v>20</v>
                </pt>
              </numCache>
            </numRef>
          </xVal>
          <yVal>
            <numRef>
              <f>'PFAS combined'!$H$2138:$H$2144</f>
              <numCache>
                <formatCode>General</formatCode>
                <ptCount val="7"/>
                <pt idx="0">
                  <v>0.005949939010237733</v>
                </pt>
                <pt idx="1">
                  <v>0.01139195246042029</v>
                </pt>
                <pt idx="2">
                  <v>0.05521138668938175</v>
                </pt>
                <pt idx="3">
                  <v>0.07132122812883969</v>
                </pt>
                <pt idx="4">
                  <v>0.4315925559461898</v>
                </pt>
                <pt idx="5">
                  <v>0.8947167173426759</v>
                </pt>
                <pt idx="6">
                  <v>1.71044890882501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7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'PFAS combined'!$C$2190:$C$2196</f>
              <numCache>
                <formatCode>General</formatCode>
                <ptCount val="7"/>
                <pt idx="0">
                  <v>0.02</v>
                </pt>
                <pt idx="1">
                  <v>0.1</v>
                </pt>
                <pt idx="2">
                  <v>0.4</v>
                </pt>
                <pt idx="3">
                  <v>1</v>
                </pt>
                <pt idx="4">
                  <v>5</v>
                </pt>
                <pt idx="5">
                  <v>10</v>
                </pt>
                <pt idx="6">
                  <v>20</v>
                </pt>
              </numCache>
            </numRef>
          </xVal>
          <yVal>
            <numRef>
              <f>'PFAS combined'!$H$2190:$H$2196</f>
              <numCache>
                <formatCode>General</formatCode>
                <ptCount val="7"/>
                <pt idx="0">
                  <v>0.05824743283023698</v>
                </pt>
                <pt idx="1">
                  <v>0.1812120286901731</v>
                </pt>
                <pt idx="2">
                  <v>0.3141176190686593</v>
                </pt>
                <pt idx="3">
                  <v>0.6538485246135174</v>
                </pt>
                <pt idx="4">
                  <v>5.600049855026829</v>
                </pt>
                <pt idx="5">
                  <v>9.111282527533195</v>
                </pt>
                <pt idx="6">
                  <v>19.0525431500729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8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'PFAS combined'!$C$2241:$C$2248</f>
              <numCache>
                <formatCode>General</formatCode>
                <ptCount val="8"/>
                <pt idx="0">
                  <v>0</v>
                </pt>
                <pt idx="1">
                  <v>0.08</v>
                </pt>
                <pt idx="2">
                  <v>0.4</v>
                </pt>
                <pt idx="3">
                  <v>1.6</v>
                </pt>
                <pt idx="4">
                  <v>4</v>
                </pt>
                <pt idx="5">
                  <v>20</v>
                </pt>
                <pt idx="6">
                  <v>40</v>
                </pt>
                <pt idx="7">
                  <v>80</v>
                </pt>
              </numCache>
            </numRef>
          </xVal>
          <yVal>
            <numRef>
              <f>'PFAS combined'!$H$2241:$H$2248</f>
              <numCache>
                <formatCode>General</formatCode>
                <ptCount val="8"/>
                <pt idx="0">
                  <v>2.198572575923839</v>
                </pt>
                <pt idx="1">
                  <v>3.761502627062186</v>
                </pt>
                <pt idx="2">
                  <v>5.867138501728365</v>
                </pt>
                <pt idx="3">
                  <v>23.19745276509834</v>
                </pt>
                <pt idx="4">
                  <v>31.90836741794353</v>
                </pt>
                <pt idx="5">
                  <v>272.0418664147676</v>
                </pt>
                <pt idx="6">
                  <v>425.234774868767</v>
                </pt>
                <pt idx="7">
                  <v>851.479536048535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9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'PFAS combined'!$C$2294:$C$2299</f>
              <numCache>
                <formatCode>General</formatCode>
                <ptCount val="6"/>
                <pt idx="0">
                  <v>0.02</v>
                </pt>
                <pt idx="1">
                  <v>0.1</v>
                </pt>
                <pt idx="2">
                  <v>0.4</v>
                </pt>
                <pt idx="3">
                  <v>1</v>
                </pt>
                <pt idx="4">
                  <v>5</v>
                </pt>
                <pt idx="5">
                  <v>10</v>
                </pt>
              </numCache>
            </numRef>
          </xVal>
          <yVal>
            <numRef>
              <f>'PFAS combined'!$H$2294:$H$2299</f>
              <numCache>
                <formatCode>General</formatCode>
                <ptCount val="6"/>
                <pt idx="0">
                  <v>0.01669217979799459</v>
                </pt>
                <pt idx="1">
                  <v>0.0627021018994502</v>
                </pt>
                <pt idx="2">
                  <v>0.2615418338298958</v>
                </pt>
                <pt idx="3">
                  <v>0.4170853663654969</v>
                </pt>
                <pt idx="4">
                  <v>2.367738746898125</v>
                </pt>
                <pt idx="5">
                  <v>5.226393423930507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0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'PFAS combined'!$C$2346:$C$2352</f>
              <numCache>
                <formatCode>General</formatCode>
                <ptCount val="7"/>
                <pt idx="0">
                  <v>0.02</v>
                </pt>
                <pt idx="1">
                  <v>0.1</v>
                </pt>
                <pt idx="2">
                  <v>0.4</v>
                </pt>
                <pt idx="3">
                  <v>1</v>
                </pt>
                <pt idx="4">
                  <v>5</v>
                </pt>
                <pt idx="5">
                  <v>10</v>
                </pt>
                <pt idx="6">
                  <v>20</v>
                </pt>
              </numCache>
            </numRef>
          </xVal>
          <yVal>
            <numRef>
              <f>'PFAS combined'!$H$2346:$H$2352</f>
              <numCache>
                <formatCode>General</formatCode>
                <ptCount val="7"/>
                <pt idx="0">
                  <v>0.2294240868374215</v>
                </pt>
                <pt idx="1">
                  <v>0.2632689597681758</v>
                </pt>
                <pt idx="2">
                  <v>0.6466484193160416</v>
                </pt>
                <pt idx="3">
                  <v>0.8896838037732413</v>
                </pt>
                <pt idx="4">
                  <v>3.853020060517406</v>
                </pt>
                <pt idx="5">
                  <v>8.057563412839091</v>
                </pt>
                <pt idx="6">
                  <v>16.34290242854596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1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'PFAS combined'!$C$8:$C$12</f>
              <numCache>
                <formatCode>General</formatCode>
                <ptCount val="5"/>
                <pt idx="0">
                  <v>1.6</v>
                </pt>
                <pt idx="1">
                  <v>4</v>
                </pt>
                <pt idx="2">
                  <v>20</v>
                </pt>
                <pt idx="3">
                  <v>40</v>
                </pt>
                <pt idx="4">
                  <v>80</v>
                </pt>
              </numCache>
            </numRef>
          </xVal>
          <yVal>
            <numRef>
              <f>'PFAS combined'!$H$8:$H$12</f>
              <numCache>
                <formatCode>General</formatCode>
                <ptCount val="5"/>
                <pt idx="0">
                  <v>1.382995316921219e-05</v>
                </pt>
                <pt idx="1">
                  <v>6.100400414876926e-05</v>
                </pt>
                <pt idx="2">
                  <v>9.872496431272796e-05</v>
                </pt>
                <pt idx="3">
                  <v>0.0004786437325630018</v>
                </pt>
                <pt idx="4">
                  <v>0.002098848327985469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2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spPr>
            <a:ln w="381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'PFAS combined'!$C$8:$C$12</f>
              <numCache>
                <formatCode>General</formatCode>
                <ptCount val="5"/>
                <pt idx="0">
                  <v>1.6</v>
                </pt>
                <pt idx="1">
                  <v>4</v>
                </pt>
                <pt idx="2">
                  <v>20</v>
                </pt>
                <pt idx="3">
                  <v>40</v>
                </pt>
                <pt idx="4">
                  <v>80</v>
                </pt>
              </numCache>
            </numRef>
          </xVal>
          <yVal>
            <numRef>
              <f>'PFAS combined'!$H$8:$H$12</f>
              <numCache>
                <formatCode>General</formatCode>
                <ptCount val="5"/>
                <pt idx="0">
                  <v>1.382995316921219e-05</v>
                </pt>
                <pt idx="1">
                  <v>6.100400414876926e-05</v>
                </pt>
                <pt idx="2">
                  <v>9.872496431272796e-05</v>
                </pt>
                <pt idx="3">
                  <v>0.0004786437325630018</v>
                </pt>
                <pt idx="4">
                  <v>0.002098848327985469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552447936"/>
        <axId val="552449648"/>
      </scatterChart>
      <valAx>
        <axId val="5524479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9648"/>
        <crosses val="autoZero"/>
        <crossBetween val="midCat"/>
      </valAx>
      <valAx>
        <axId val="552449648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52447936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Relationship Type="http://schemas.openxmlformats.org/officeDocument/2006/relationships/chart" Target="/xl/charts/chart14.xml" Id="rId14" /><Relationship Type="http://schemas.openxmlformats.org/officeDocument/2006/relationships/chart" Target="/xl/charts/chart15.xml" Id="rId15" /><Relationship Type="http://schemas.openxmlformats.org/officeDocument/2006/relationships/chart" Target="/xl/charts/chart16.xml" Id="rId16" /><Relationship Type="http://schemas.openxmlformats.org/officeDocument/2006/relationships/chart" Target="/xl/charts/chart17.xml" Id="rId17" /><Relationship Type="http://schemas.openxmlformats.org/officeDocument/2006/relationships/chart" Target="/xl/charts/chart18.xml" Id="rId18" /><Relationship Type="http://schemas.openxmlformats.org/officeDocument/2006/relationships/chart" Target="/xl/charts/chart19.xml" Id="rId19" /><Relationship Type="http://schemas.openxmlformats.org/officeDocument/2006/relationships/chart" Target="/xl/charts/chart20.xml" Id="rId20" /><Relationship Type="http://schemas.openxmlformats.org/officeDocument/2006/relationships/chart" Target="/xl/charts/chart21.xml" Id="rId21" /><Relationship Type="http://schemas.openxmlformats.org/officeDocument/2006/relationships/chart" Target="/xl/charts/chart22.xml" Id="rId22" /><Relationship Type="http://schemas.openxmlformats.org/officeDocument/2006/relationships/chart" Target="/xl/charts/chart23.xml" Id="rId23" /><Relationship Type="http://schemas.openxmlformats.org/officeDocument/2006/relationships/chart" Target="/xl/charts/chart24.xml" Id="rId2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5.xml" Id="rId1" /><Relationship Type="http://schemas.openxmlformats.org/officeDocument/2006/relationships/chart" Target="/xl/charts/chart26.xml" Id="rId2" /><Relationship Type="http://schemas.openxmlformats.org/officeDocument/2006/relationships/chart" Target="/xl/charts/chart27.xml" Id="rId3" /><Relationship Type="http://schemas.openxmlformats.org/officeDocument/2006/relationships/chart" Target="/xl/charts/chart28.xml" Id="rId4" /><Relationship Type="http://schemas.openxmlformats.org/officeDocument/2006/relationships/chart" Target="/xl/charts/chart29.xml" Id="rId5" /><Relationship Type="http://schemas.openxmlformats.org/officeDocument/2006/relationships/chart" Target="/xl/charts/chart30.xml" Id="rId6" /><Relationship Type="http://schemas.openxmlformats.org/officeDocument/2006/relationships/chart" Target="/xl/charts/chart31.xml" Id="rId7" /><Relationship Type="http://schemas.openxmlformats.org/officeDocument/2006/relationships/chart" Target="/xl/charts/chart32.xml" Id="rId8" /><Relationship Type="http://schemas.openxmlformats.org/officeDocument/2006/relationships/chart" Target="/xl/charts/chart33.xml" Id="rId9" /><Relationship Type="http://schemas.openxmlformats.org/officeDocument/2006/relationships/chart" Target="/xl/charts/chart34.xml" Id="rId10" /><Relationship Type="http://schemas.openxmlformats.org/officeDocument/2006/relationships/chart" Target="/xl/charts/chart35.xml" Id="rId11" /><Relationship Type="http://schemas.openxmlformats.org/officeDocument/2006/relationships/chart" Target="/xl/charts/chart36.xml" Id="rId12" /><Relationship Type="http://schemas.openxmlformats.org/officeDocument/2006/relationships/chart" Target="/xl/charts/chart37.xml" Id="rId13" /><Relationship Type="http://schemas.openxmlformats.org/officeDocument/2006/relationships/chart" Target="/xl/charts/chart38.xml" Id="rId14" /><Relationship Type="http://schemas.openxmlformats.org/officeDocument/2006/relationships/chart" Target="/xl/charts/chart39.xml" Id="rId15" /><Relationship Type="http://schemas.openxmlformats.org/officeDocument/2006/relationships/chart" Target="/xl/charts/chart40.xml" Id="rId16" /><Relationship Type="http://schemas.openxmlformats.org/officeDocument/2006/relationships/chart" Target="/xl/charts/chart41.xml" Id="rId17" /><Relationship Type="http://schemas.openxmlformats.org/officeDocument/2006/relationships/chart" Target="/xl/charts/chart42.xml" Id="rId18" /><Relationship Type="http://schemas.openxmlformats.org/officeDocument/2006/relationships/chart" Target="/xl/charts/chart43.xml" Id="rId19" /><Relationship Type="http://schemas.openxmlformats.org/officeDocument/2006/relationships/chart" Target="/xl/charts/chart44.xml" Id="rId20" /><Relationship Type="http://schemas.openxmlformats.org/officeDocument/2006/relationships/chart" Target="/xl/charts/chart45.xml" Id="rId21" /><Relationship Type="http://schemas.openxmlformats.org/officeDocument/2006/relationships/chart" Target="/xl/charts/chart46.xml" Id="rId22" /><Relationship Type="http://schemas.openxmlformats.org/officeDocument/2006/relationships/chart" Target="/xl/charts/chart47.xml" Id="rId23" /><Relationship Type="http://schemas.openxmlformats.org/officeDocument/2006/relationships/chart" Target="/xl/charts/chart48.xml" Id="rId24" /><Relationship Type="http://schemas.openxmlformats.org/officeDocument/2006/relationships/chart" Target="/xl/charts/chart49.xml" Id="rId25" /><Relationship Type="http://schemas.openxmlformats.org/officeDocument/2006/relationships/chart" Target="/xl/charts/chart50.xml" Id="rId26" /><Relationship Type="http://schemas.openxmlformats.org/officeDocument/2006/relationships/chart" Target="/xl/charts/chart51.xml" Id="rId27" /><Relationship Type="http://schemas.openxmlformats.org/officeDocument/2006/relationships/chart" Target="/xl/charts/chart52.xml" Id="rId28" /><Relationship Type="http://schemas.openxmlformats.org/officeDocument/2006/relationships/chart" Target="/xl/charts/chart53.xml" Id="rId29" /><Relationship Type="http://schemas.openxmlformats.org/officeDocument/2006/relationships/chart" Target="/xl/charts/chart54.xml" Id="rId30" /><Relationship Type="http://schemas.openxmlformats.org/officeDocument/2006/relationships/chart" Target="/xl/charts/chart55.xml" Id="rId31" /><Relationship Type="http://schemas.openxmlformats.org/officeDocument/2006/relationships/chart" Target="/xl/charts/chart56.xml" Id="rId32" /><Relationship Type="http://schemas.openxmlformats.org/officeDocument/2006/relationships/chart" Target="/xl/charts/chart57.xml" Id="rId33" /><Relationship Type="http://schemas.openxmlformats.org/officeDocument/2006/relationships/chart" Target="/xl/charts/chart58.xml" Id="rId34" /><Relationship Type="http://schemas.openxmlformats.org/officeDocument/2006/relationships/chart" Target="/xl/charts/chart59.xml" Id="rId35" /><Relationship Type="http://schemas.openxmlformats.org/officeDocument/2006/relationships/chart" Target="/xl/charts/chart60.xml" Id="rId36" /><Relationship Type="http://schemas.openxmlformats.org/officeDocument/2006/relationships/chart" Target="/xl/charts/chart61.xml" Id="rId37" /><Relationship Type="http://schemas.openxmlformats.org/officeDocument/2006/relationships/chart" Target="/xl/charts/chart62.xml" Id="rId38" /><Relationship Type="http://schemas.openxmlformats.org/officeDocument/2006/relationships/chart" Target="/xl/charts/chart63.xml" Id="rId39" /><Relationship Type="http://schemas.openxmlformats.org/officeDocument/2006/relationships/chart" Target="/xl/charts/chart64.xml" Id="rId40" /><Relationship Type="http://schemas.openxmlformats.org/officeDocument/2006/relationships/chart" Target="/xl/charts/chart65.xml" Id="rId41" /><Relationship Type="http://schemas.openxmlformats.org/officeDocument/2006/relationships/chart" Target="/xl/charts/chart66.xml" Id="rId42" /><Relationship Type="http://schemas.openxmlformats.org/officeDocument/2006/relationships/chart" Target="/xl/charts/chart67.xml" Id="rId43" /><Relationship Type="http://schemas.openxmlformats.org/officeDocument/2006/relationships/chart" Target="/xl/charts/chart68.xml" Id="rId44" /><Relationship Type="http://schemas.openxmlformats.org/officeDocument/2006/relationships/chart" Target="/xl/charts/chart69.xml" Id="rId45" /><Relationship Type="http://schemas.openxmlformats.org/officeDocument/2006/relationships/chart" Target="/xl/charts/chart70.xml" Id="rId46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71.xml" Id="rId1" /><Relationship Type="http://schemas.openxmlformats.org/officeDocument/2006/relationships/chart" Target="/xl/charts/chart7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12</col>
      <colOff>523875</colOff>
      <row>6</row>
      <rowOff>59531</rowOff>
    </from>
    <to>
      <col>15</col>
      <colOff>697706</colOff>
      <row>15</row>
      <rowOff>68791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12</col>
      <colOff>523875</colOff>
      <row>90</row>
      <rowOff>59531</rowOff>
    </from>
    <to>
      <col>15</col>
      <colOff>697706</colOff>
      <row>99</row>
      <rowOff>68791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12</col>
      <colOff>523875</colOff>
      <row>6</row>
      <rowOff>59531</rowOff>
    </from>
    <to>
      <col>15</col>
      <colOff>697706</colOff>
      <row>15</row>
      <rowOff>68791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12</col>
      <colOff>523875</colOff>
      <row>174</row>
      <rowOff>59531</rowOff>
    </from>
    <to>
      <col>15</col>
      <colOff>697706</colOff>
      <row>183</row>
      <rowOff>68791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12</col>
      <colOff>523875</colOff>
      <row>342</row>
      <rowOff>59531</rowOff>
    </from>
    <to>
      <col>15</col>
      <colOff>697706</colOff>
      <row>351</row>
      <rowOff>68791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>
    <from>
      <col>12</col>
      <colOff>523875</colOff>
      <row>426</row>
      <rowOff>59531</rowOff>
    </from>
    <to>
      <col>15</col>
      <colOff>697706</colOff>
      <row>435</row>
      <rowOff>68791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  <twoCellAnchor>
    <from>
      <col>12</col>
      <colOff>523875</colOff>
      <row>594</row>
      <rowOff>59531</rowOff>
    </from>
    <to>
      <col>15</col>
      <colOff>697706</colOff>
      <row>603</row>
      <rowOff>68791</rowOff>
    </to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twoCellAnchor>
  <twoCellAnchor>
    <from>
      <col>12</col>
      <colOff>523875</colOff>
      <row>678</row>
      <rowOff>59531</rowOff>
    </from>
    <to>
      <col>15</col>
      <colOff>697706</colOff>
      <row>687</row>
      <rowOff>68791</rowOff>
    </to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twoCellAnchor>
  <twoCellAnchor>
    <from>
      <col>12</col>
      <colOff>523875</colOff>
      <row>762</row>
      <rowOff>59531</rowOff>
    </from>
    <to>
      <col>15</col>
      <colOff>697706</colOff>
      <row>771</row>
      <rowOff>68791</rowOff>
    </to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twoCellAnchor>
  <twoCellAnchor>
    <from>
      <col>12</col>
      <colOff>523875</colOff>
      <row>846</row>
      <rowOff>59531</rowOff>
    </from>
    <to>
      <col>15</col>
      <colOff>697706</colOff>
      <row>855</row>
      <rowOff>68791</rowOff>
    </to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twoCellAnchor>
  <twoCellAnchor>
    <from>
      <col>12</col>
      <colOff>523875</colOff>
      <row>930</row>
      <rowOff>59531</rowOff>
    </from>
    <to>
      <col>15</col>
      <colOff>697706</colOff>
      <row>939</row>
      <rowOff>68791</rowOff>
    </to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twoCellAnchor>
  <twoCellAnchor>
    <from>
      <col>12</col>
      <colOff>523875</colOff>
      <row>1014</row>
      <rowOff>59531</rowOff>
    </from>
    <to>
      <col>15</col>
      <colOff>697706</colOff>
      <row>1023</row>
      <rowOff>68791</rowOff>
    </to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twoCellAnchor>
  <twoCellAnchor>
    <from>
      <col>12</col>
      <colOff>523875</colOff>
      <row>1098</row>
      <rowOff>59531</rowOff>
    </from>
    <to>
      <col>15</col>
      <colOff>697706</colOff>
      <row>1107</row>
      <rowOff>68791</rowOff>
    </to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twoCellAnchor>
  <twoCellAnchor>
    <from>
      <col>12</col>
      <colOff>523875</colOff>
      <row>1224</row>
      <rowOff>59531</rowOff>
    </from>
    <to>
      <col>15</col>
      <colOff>697706</colOff>
      <row>1233</row>
      <rowOff>68791</rowOff>
    </to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twoCellAnchor>
  <twoCellAnchor>
    <from>
      <col>12</col>
      <colOff>523875</colOff>
      <row>1266</row>
      <rowOff>59531</rowOff>
    </from>
    <to>
      <col>15</col>
      <colOff>697706</colOff>
      <row>1275</row>
      <rowOff>68791</rowOff>
    </to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twoCellAnchor>
  <twoCellAnchor>
    <from>
      <col>12</col>
      <colOff>523875</colOff>
      <row>1350</row>
      <rowOff>59531</rowOff>
    </from>
    <to>
      <col>15</col>
      <colOff>697706</colOff>
      <row>1359</row>
      <rowOff>68791</rowOff>
    </to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twoCellAnchor>
  <twoCellAnchor>
    <from>
      <col>12</col>
      <colOff>523875</colOff>
      <row>1434</row>
      <rowOff>59531</rowOff>
    </from>
    <to>
      <col>15</col>
      <colOff>697706</colOff>
      <row>1443</row>
      <rowOff>68791</rowOff>
    </to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twoCellAnchor>
  <twoCellAnchor>
    <from>
      <col>12</col>
      <colOff>523875</colOff>
      <row>1644</row>
      <rowOff>59531</rowOff>
    </from>
    <to>
      <col>15</col>
      <colOff>697706</colOff>
      <row>1653</row>
      <rowOff>68791</rowOff>
    </to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twoCellAnchor>
  <twoCellAnchor>
    <from>
      <col>12</col>
      <colOff>523875</colOff>
      <row>1728</row>
      <rowOff>59531</rowOff>
    </from>
    <to>
      <col>15</col>
      <colOff>697706</colOff>
      <row>1737</row>
      <rowOff>68791</rowOff>
    </to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twoCellAnchor>
  <twoCellAnchor>
    <from>
      <col>12</col>
      <colOff>523875</colOff>
      <row>1812</row>
      <rowOff>59531</rowOff>
    </from>
    <to>
      <col>15</col>
      <colOff>697706</colOff>
      <row>1821</row>
      <rowOff>68791</rowOff>
    </to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twoCellAnchor>
  <twoCellAnchor>
    <from>
      <col>12</col>
      <colOff>523875</colOff>
      <row>1896</row>
      <rowOff>59531</rowOff>
    </from>
    <to>
      <col>15</col>
      <colOff>697706</colOff>
      <row>1905</row>
      <rowOff>68791</rowOff>
    </to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twoCellAnchor>
  <twoCellAnchor>
    <from>
      <col>12</col>
      <colOff>523875</colOff>
      <row>1980</row>
      <rowOff>59531</rowOff>
    </from>
    <to>
      <col>15</col>
      <colOff>697706</colOff>
      <row>1989</row>
      <rowOff>68791</rowOff>
    </to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twoCellAnchor>
  <twoCellAnchor>
    <from>
      <col>12</col>
      <colOff>523875</colOff>
      <row>2064</row>
      <rowOff>59531</rowOff>
    </from>
    <to>
      <col>15</col>
      <colOff>697706</colOff>
      <row>2073</row>
      <rowOff>68791</rowOff>
    </to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twoCellAnchor>
  <twoCellAnchor>
    <from>
      <col>12</col>
      <colOff>523875</colOff>
      <row>2148</row>
      <rowOff>59531</rowOff>
    </from>
    <to>
      <col>15</col>
      <colOff>697706</colOff>
      <row>2157</row>
      <rowOff>68791</rowOff>
    </to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12</col>
      <colOff>523875</colOff>
      <row>3</row>
      <rowOff>59531</rowOff>
    </from>
    <to>
      <col>15</col>
      <colOff>697706</colOff>
      <row>12</row>
      <rowOff>68791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12</col>
      <colOff>523875</colOff>
      <row>55</row>
      <rowOff>59531</rowOff>
    </from>
    <to>
      <col>15</col>
      <colOff>697706</colOff>
      <row>64</row>
      <rowOff>68791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12</col>
      <colOff>523875</colOff>
      <row>107</row>
      <rowOff>59531</rowOff>
    </from>
    <to>
      <col>15</col>
      <colOff>697706</colOff>
      <row>116</row>
      <rowOff>68791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12</col>
      <colOff>523875</colOff>
      <row>159</row>
      <rowOff>59531</rowOff>
    </from>
    <to>
      <col>15</col>
      <colOff>697706</colOff>
      <row>168</row>
      <rowOff>68791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12</col>
      <colOff>523875</colOff>
      <row>211</row>
      <rowOff>59531</rowOff>
    </from>
    <to>
      <col>15</col>
      <colOff>697706</colOff>
      <row>220</row>
      <rowOff>68791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>
    <from>
      <col>12</col>
      <colOff>523875</colOff>
      <row>263</row>
      <rowOff>59531</rowOff>
    </from>
    <to>
      <col>15</col>
      <colOff>697706</colOff>
      <row>272</row>
      <rowOff>68791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  <twoCellAnchor>
    <from>
      <col>12</col>
      <colOff>523875</colOff>
      <row>315</row>
      <rowOff>59531</rowOff>
    </from>
    <to>
      <col>15</col>
      <colOff>697706</colOff>
      <row>324</row>
      <rowOff>68791</rowOff>
    </to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twoCellAnchor>
  <twoCellAnchor>
    <from>
      <col>12</col>
      <colOff>523875</colOff>
      <row>367</row>
      <rowOff>59531</rowOff>
    </from>
    <to>
      <col>15</col>
      <colOff>697706</colOff>
      <row>376</row>
      <rowOff>68791</rowOff>
    </to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twoCellAnchor>
  <twoCellAnchor>
    <from>
      <col>12</col>
      <colOff>523875</colOff>
      <row>419</row>
      <rowOff>59531</rowOff>
    </from>
    <to>
      <col>15</col>
      <colOff>697706</colOff>
      <row>428</row>
      <rowOff>68791</rowOff>
    </to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twoCellAnchor>
  <twoCellAnchor>
    <from>
      <col>12</col>
      <colOff>523875</colOff>
      <row>471</row>
      <rowOff>59531</rowOff>
    </from>
    <to>
      <col>15</col>
      <colOff>697706</colOff>
      <row>480</row>
      <rowOff>68791</rowOff>
    </to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twoCellAnchor>
  <twoCellAnchor>
    <from>
      <col>12</col>
      <colOff>523875</colOff>
      <row>523</row>
      <rowOff>59531</rowOff>
    </from>
    <to>
      <col>15</col>
      <colOff>697706</colOff>
      <row>532</row>
      <rowOff>68791</rowOff>
    </to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twoCellAnchor>
  <twoCellAnchor>
    <from>
      <col>12</col>
      <colOff>523875</colOff>
      <row>575</row>
      <rowOff>59531</rowOff>
    </from>
    <to>
      <col>15</col>
      <colOff>697706</colOff>
      <row>584</row>
      <rowOff>68791</rowOff>
    </to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twoCellAnchor>
  <twoCellAnchor>
    <from>
      <col>12</col>
      <colOff>523875</colOff>
      <row>627</row>
      <rowOff>59531</rowOff>
    </from>
    <to>
      <col>15</col>
      <colOff>697706</colOff>
      <row>636</row>
      <rowOff>68791</rowOff>
    </to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twoCellAnchor>
  <twoCellAnchor>
    <from>
      <col>12</col>
      <colOff>523875</colOff>
      <row>679</row>
      <rowOff>59531</rowOff>
    </from>
    <to>
      <col>15</col>
      <colOff>697706</colOff>
      <row>688</row>
      <rowOff>68791</rowOff>
    </to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twoCellAnchor>
  <twoCellAnchor>
    <from>
      <col>12</col>
      <colOff>523875</colOff>
      <row>731</row>
      <rowOff>59531</rowOff>
    </from>
    <to>
      <col>15</col>
      <colOff>697706</colOff>
      <row>740</row>
      <rowOff>68791</rowOff>
    </to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twoCellAnchor>
  <twoCellAnchor>
    <from>
      <col>12</col>
      <colOff>523875</colOff>
      <row>783</row>
      <rowOff>59531</rowOff>
    </from>
    <to>
      <col>15</col>
      <colOff>697706</colOff>
      <row>792</row>
      <rowOff>68791</rowOff>
    </to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twoCellAnchor>
  <twoCellAnchor>
    <from>
      <col>12</col>
      <colOff>523875</colOff>
      <row>835</row>
      <rowOff>59531</rowOff>
    </from>
    <to>
      <col>15</col>
      <colOff>697706</colOff>
      <row>844</row>
      <rowOff>68791</rowOff>
    </to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twoCellAnchor>
  <twoCellAnchor>
    <from>
      <col>12</col>
      <colOff>523875</colOff>
      <row>887</row>
      <rowOff>59531</rowOff>
    </from>
    <to>
      <col>15</col>
      <colOff>697706</colOff>
      <row>896</row>
      <rowOff>68791</rowOff>
    </to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twoCellAnchor>
  <twoCellAnchor>
    <from>
      <col>12</col>
      <colOff>523875</colOff>
      <row>939</row>
      <rowOff>59531</rowOff>
    </from>
    <to>
      <col>15</col>
      <colOff>697706</colOff>
      <row>948</row>
      <rowOff>68791</rowOff>
    </to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twoCellAnchor>
  <twoCellAnchor>
    <from>
      <col>12</col>
      <colOff>523875</colOff>
      <row>991</row>
      <rowOff>59531</rowOff>
    </from>
    <to>
      <col>15</col>
      <colOff>697706</colOff>
      <row>1000</row>
      <rowOff>68791</rowOff>
    </to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twoCellAnchor>
  <twoCellAnchor>
    <from>
      <col>12</col>
      <colOff>523875</colOff>
      <row>1043</row>
      <rowOff>59531</rowOff>
    </from>
    <to>
      <col>15</col>
      <colOff>697706</colOff>
      <row>1052</row>
      <rowOff>68791</rowOff>
    </to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twoCellAnchor>
  <twoCellAnchor>
    <from>
      <col>12</col>
      <colOff>523875</colOff>
      <row>1095</row>
      <rowOff>59531</rowOff>
    </from>
    <to>
      <col>15</col>
      <colOff>697706</colOff>
      <row>1104</row>
      <rowOff>68791</rowOff>
    </to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twoCellAnchor>
  <twoCellAnchor>
    <from>
      <col>12</col>
      <colOff>523875</colOff>
      <row>1147</row>
      <rowOff>59531</rowOff>
    </from>
    <to>
      <col>15</col>
      <colOff>697706</colOff>
      <row>1156</row>
      <rowOff>68791</rowOff>
    </to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twoCellAnchor>
  <twoCellAnchor>
    <from>
      <col>12</col>
      <colOff>523875</colOff>
      <row>1199</row>
      <rowOff>59531</rowOff>
    </from>
    <to>
      <col>15</col>
      <colOff>697706</colOff>
      <row>1208</row>
      <rowOff>68791</rowOff>
    </to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twoCellAnchor>
  <twoCellAnchor>
    <from>
      <col>12</col>
      <colOff>523875</colOff>
      <row>1251</row>
      <rowOff>59531</rowOff>
    </from>
    <to>
      <col>15</col>
      <colOff>697706</colOff>
      <row>1260</row>
      <rowOff>68791</rowOff>
    </to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/>
  </twoCellAnchor>
  <twoCellAnchor>
    <from>
      <col>12</col>
      <colOff>523875</colOff>
      <row>1303</row>
      <rowOff>59531</rowOff>
    </from>
    <to>
      <col>15</col>
      <colOff>697706</colOff>
      <row>1312</row>
      <rowOff>68791</rowOff>
    </to>
    <graphicFrame>
      <nvGraphicFramePr>
        <cNvPr id="26" name="Chart 26"/>
        <cNvGraphicFramePr/>
      </nvGraphicFramePr>
      <xfrm/>
      <a:graphic>
        <a:graphicData uri="http://schemas.openxmlformats.org/drawingml/2006/chart">
          <c:chart r:id="rId26"/>
        </a:graphicData>
      </a:graphic>
    </graphicFrame>
    <clientData/>
  </twoCellAnchor>
  <twoCellAnchor>
    <from>
      <col>12</col>
      <colOff>523875</colOff>
      <row>1355</row>
      <rowOff>59531</rowOff>
    </from>
    <to>
      <col>15</col>
      <colOff>697706</colOff>
      <row>1364</row>
      <rowOff>68791</rowOff>
    </to>
    <graphicFrame>
      <nvGraphicFramePr>
        <cNvPr id="27" name="Chart 27"/>
        <cNvGraphicFramePr/>
      </nvGraphicFramePr>
      <xfrm/>
      <a:graphic>
        <a:graphicData uri="http://schemas.openxmlformats.org/drawingml/2006/chart">
          <c:chart r:id="rId27"/>
        </a:graphicData>
      </a:graphic>
    </graphicFrame>
    <clientData/>
  </twoCellAnchor>
  <twoCellAnchor>
    <from>
      <col>12</col>
      <colOff>523875</colOff>
      <row>1407</row>
      <rowOff>59531</rowOff>
    </from>
    <to>
      <col>15</col>
      <colOff>697706</colOff>
      <row>1416</row>
      <rowOff>68791</rowOff>
    </to>
    <graphicFrame>
      <nvGraphicFramePr>
        <cNvPr id="28" name="Chart 28"/>
        <cNvGraphicFramePr/>
      </nvGraphicFramePr>
      <xfrm/>
      <a:graphic>
        <a:graphicData uri="http://schemas.openxmlformats.org/drawingml/2006/chart">
          <c:chart r:id="rId28"/>
        </a:graphicData>
      </a:graphic>
    </graphicFrame>
    <clientData/>
  </twoCellAnchor>
  <twoCellAnchor>
    <from>
      <col>12</col>
      <colOff>523875</colOff>
      <row>1459</row>
      <rowOff>59531</rowOff>
    </from>
    <to>
      <col>15</col>
      <colOff>697706</colOff>
      <row>1468</row>
      <rowOff>68791</rowOff>
    </to>
    <graphicFrame>
      <nvGraphicFramePr>
        <cNvPr id="29" name="Chart 29"/>
        <cNvGraphicFramePr/>
      </nvGraphicFramePr>
      <xfrm/>
      <a:graphic>
        <a:graphicData uri="http://schemas.openxmlformats.org/drawingml/2006/chart">
          <c:chart r:id="rId29"/>
        </a:graphicData>
      </a:graphic>
    </graphicFrame>
    <clientData/>
  </twoCellAnchor>
  <twoCellAnchor>
    <from>
      <col>12</col>
      <colOff>523875</colOff>
      <row>1511</row>
      <rowOff>59531</rowOff>
    </from>
    <to>
      <col>15</col>
      <colOff>697706</colOff>
      <row>1520</row>
      <rowOff>68791</rowOff>
    </to>
    <graphicFrame>
      <nvGraphicFramePr>
        <cNvPr id="30" name="Chart 30"/>
        <cNvGraphicFramePr/>
      </nvGraphicFramePr>
      <xfrm/>
      <a:graphic>
        <a:graphicData uri="http://schemas.openxmlformats.org/drawingml/2006/chart">
          <c:chart r:id="rId30"/>
        </a:graphicData>
      </a:graphic>
    </graphicFrame>
    <clientData/>
  </twoCellAnchor>
  <twoCellAnchor>
    <from>
      <col>12</col>
      <colOff>523875</colOff>
      <row>1563</row>
      <rowOff>59531</rowOff>
    </from>
    <to>
      <col>15</col>
      <colOff>697706</colOff>
      <row>1572</row>
      <rowOff>68791</rowOff>
    </to>
    <graphicFrame>
      <nvGraphicFramePr>
        <cNvPr id="31" name="Chart 31"/>
        <cNvGraphicFramePr/>
      </nvGraphicFramePr>
      <xfrm/>
      <a:graphic>
        <a:graphicData uri="http://schemas.openxmlformats.org/drawingml/2006/chart">
          <c:chart r:id="rId31"/>
        </a:graphicData>
      </a:graphic>
    </graphicFrame>
    <clientData/>
  </twoCellAnchor>
  <twoCellAnchor>
    <from>
      <col>12</col>
      <colOff>523875</colOff>
      <row>1615</row>
      <rowOff>59531</rowOff>
    </from>
    <to>
      <col>15</col>
      <colOff>697706</colOff>
      <row>1624</row>
      <rowOff>68791</rowOff>
    </to>
    <graphicFrame>
      <nvGraphicFramePr>
        <cNvPr id="32" name="Chart 32"/>
        <cNvGraphicFramePr/>
      </nvGraphicFramePr>
      <xfrm/>
      <a:graphic>
        <a:graphicData uri="http://schemas.openxmlformats.org/drawingml/2006/chart">
          <c:chart r:id="rId32"/>
        </a:graphicData>
      </a:graphic>
    </graphicFrame>
    <clientData/>
  </twoCellAnchor>
  <twoCellAnchor>
    <from>
      <col>12</col>
      <colOff>523875</colOff>
      <row>1667</row>
      <rowOff>59531</rowOff>
    </from>
    <to>
      <col>15</col>
      <colOff>697706</colOff>
      <row>1676</row>
      <rowOff>68791</rowOff>
    </to>
    <graphicFrame>
      <nvGraphicFramePr>
        <cNvPr id="33" name="Chart 33"/>
        <cNvGraphicFramePr/>
      </nvGraphicFramePr>
      <xfrm/>
      <a:graphic>
        <a:graphicData uri="http://schemas.openxmlformats.org/drawingml/2006/chart">
          <c:chart r:id="rId33"/>
        </a:graphicData>
      </a:graphic>
    </graphicFrame>
    <clientData/>
  </twoCellAnchor>
  <twoCellAnchor>
    <from>
      <col>12</col>
      <colOff>523875</colOff>
      <row>1719</row>
      <rowOff>59531</rowOff>
    </from>
    <to>
      <col>15</col>
      <colOff>697706</colOff>
      <row>1728</row>
      <rowOff>68791</rowOff>
    </to>
    <graphicFrame>
      <nvGraphicFramePr>
        <cNvPr id="34" name="Chart 34"/>
        <cNvGraphicFramePr/>
      </nvGraphicFramePr>
      <xfrm/>
      <a:graphic>
        <a:graphicData uri="http://schemas.openxmlformats.org/drawingml/2006/chart">
          <c:chart r:id="rId34"/>
        </a:graphicData>
      </a:graphic>
    </graphicFrame>
    <clientData/>
  </twoCellAnchor>
  <twoCellAnchor>
    <from>
      <col>12</col>
      <colOff>523875</colOff>
      <row>1771</row>
      <rowOff>59531</rowOff>
    </from>
    <to>
      <col>15</col>
      <colOff>697706</colOff>
      <row>1780</row>
      <rowOff>68791</rowOff>
    </to>
    <graphicFrame>
      <nvGraphicFramePr>
        <cNvPr id="35" name="Chart 35"/>
        <cNvGraphicFramePr/>
      </nvGraphicFramePr>
      <xfrm/>
      <a:graphic>
        <a:graphicData uri="http://schemas.openxmlformats.org/drawingml/2006/chart">
          <c:chart r:id="rId35"/>
        </a:graphicData>
      </a:graphic>
    </graphicFrame>
    <clientData/>
  </twoCellAnchor>
  <twoCellAnchor>
    <from>
      <col>12</col>
      <colOff>523875</colOff>
      <row>1823</row>
      <rowOff>59531</rowOff>
    </from>
    <to>
      <col>15</col>
      <colOff>697706</colOff>
      <row>1832</row>
      <rowOff>68791</rowOff>
    </to>
    <graphicFrame>
      <nvGraphicFramePr>
        <cNvPr id="36" name="Chart 36"/>
        <cNvGraphicFramePr/>
      </nvGraphicFramePr>
      <xfrm/>
      <a:graphic>
        <a:graphicData uri="http://schemas.openxmlformats.org/drawingml/2006/chart">
          <c:chart r:id="rId36"/>
        </a:graphicData>
      </a:graphic>
    </graphicFrame>
    <clientData/>
  </twoCellAnchor>
  <twoCellAnchor>
    <from>
      <col>12</col>
      <colOff>523875</colOff>
      <row>1875</row>
      <rowOff>59531</rowOff>
    </from>
    <to>
      <col>15</col>
      <colOff>697706</colOff>
      <row>1884</row>
      <rowOff>68791</rowOff>
    </to>
    <graphicFrame>
      <nvGraphicFramePr>
        <cNvPr id="37" name="Chart 37"/>
        <cNvGraphicFramePr/>
      </nvGraphicFramePr>
      <xfrm/>
      <a:graphic>
        <a:graphicData uri="http://schemas.openxmlformats.org/drawingml/2006/chart">
          <c:chart r:id="rId37"/>
        </a:graphicData>
      </a:graphic>
    </graphicFrame>
    <clientData/>
  </twoCellAnchor>
  <twoCellAnchor>
    <from>
      <col>12</col>
      <colOff>523875</colOff>
      <row>1927</row>
      <rowOff>59531</rowOff>
    </from>
    <to>
      <col>15</col>
      <colOff>697706</colOff>
      <row>1936</row>
      <rowOff>68791</rowOff>
    </to>
    <graphicFrame>
      <nvGraphicFramePr>
        <cNvPr id="38" name="Chart 38"/>
        <cNvGraphicFramePr/>
      </nvGraphicFramePr>
      <xfrm/>
      <a:graphic>
        <a:graphicData uri="http://schemas.openxmlformats.org/drawingml/2006/chart">
          <c:chart r:id="rId38"/>
        </a:graphicData>
      </a:graphic>
    </graphicFrame>
    <clientData/>
  </twoCellAnchor>
  <twoCellAnchor>
    <from>
      <col>12</col>
      <colOff>523875</colOff>
      <row>1979</row>
      <rowOff>59531</rowOff>
    </from>
    <to>
      <col>15</col>
      <colOff>697706</colOff>
      <row>1988</row>
      <rowOff>68791</rowOff>
    </to>
    <graphicFrame>
      <nvGraphicFramePr>
        <cNvPr id="39" name="Chart 39"/>
        <cNvGraphicFramePr/>
      </nvGraphicFramePr>
      <xfrm/>
      <a:graphic>
        <a:graphicData uri="http://schemas.openxmlformats.org/drawingml/2006/chart">
          <c:chart r:id="rId39"/>
        </a:graphicData>
      </a:graphic>
    </graphicFrame>
    <clientData/>
  </twoCellAnchor>
  <twoCellAnchor>
    <from>
      <col>12</col>
      <colOff>523875</colOff>
      <row>2031</row>
      <rowOff>59531</rowOff>
    </from>
    <to>
      <col>15</col>
      <colOff>697706</colOff>
      <row>2040</row>
      <rowOff>68791</rowOff>
    </to>
    <graphicFrame>
      <nvGraphicFramePr>
        <cNvPr id="40" name="Chart 40"/>
        <cNvGraphicFramePr/>
      </nvGraphicFramePr>
      <xfrm/>
      <a:graphic>
        <a:graphicData uri="http://schemas.openxmlformats.org/drawingml/2006/chart">
          <c:chart r:id="rId40"/>
        </a:graphicData>
      </a:graphic>
    </graphicFrame>
    <clientData/>
  </twoCellAnchor>
  <twoCellAnchor>
    <from>
      <col>12</col>
      <colOff>523875</colOff>
      <row>2083</row>
      <rowOff>59531</rowOff>
    </from>
    <to>
      <col>15</col>
      <colOff>697706</colOff>
      <row>2092</row>
      <rowOff>68791</rowOff>
    </to>
    <graphicFrame>
      <nvGraphicFramePr>
        <cNvPr id="41" name="Chart 41"/>
        <cNvGraphicFramePr/>
      </nvGraphicFramePr>
      <xfrm/>
      <a:graphic>
        <a:graphicData uri="http://schemas.openxmlformats.org/drawingml/2006/chart">
          <c:chart r:id="rId41"/>
        </a:graphicData>
      </a:graphic>
    </graphicFrame>
    <clientData/>
  </twoCellAnchor>
  <twoCellAnchor>
    <from>
      <col>12</col>
      <colOff>523875</colOff>
      <row>2135</row>
      <rowOff>59531</rowOff>
    </from>
    <to>
      <col>15</col>
      <colOff>697706</colOff>
      <row>2144</row>
      <rowOff>68791</rowOff>
    </to>
    <graphicFrame>
      <nvGraphicFramePr>
        <cNvPr id="42" name="Chart 42"/>
        <cNvGraphicFramePr/>
      </nvGraphicFramePr>
      <xfrm/>
      <a:graphic>
        <a:graphicData uri="http://schemas.openxmlformats.org/drawingml/2006/chart">
          <c:chart r:id="rId42"/>
        </a:graphicData>
      </a:graphic>
    </graphicFrame>
    <clientData/>
  </twoCellAnchor>
  <twoCellAnchor>
    <from>
      <col>12</col>
      <colOff>523875</colOff>
      <row>2187</row>
      <rowOff>59531</rowOff>
    </from>
    <to>
      <col>15</col>
      <colOff>697706</colOff>
      <row>2196</row>
      <rowOff>68791</rowOff>
    </to>
    <graphicFrame>
      <nvGraphicFramePr>
        <cNvPr id="43" name="Chart 43"/>
        <cNvGraphicFramePr/>
      </nvGraphicFramePr>
      <xfrm/>
      <a:graphic>
        <a:graphicData uri="http://schemas.openxmlformats.org/drawingml/2006/chart">
          <c:chart r:id="rId43"/>
        </a:graphicData>
      </a:graphic>
    </graphicFrame>
    <clientData/>
  </twoCellAnchor>
  <twoCellAnchor>
    <from>
      <col>12</col>
      <colOff>523875</colOff>
      <row>2239</row>
      <rowOff>59531</rowOff>
    </from>
    <to>
      <col>15</col>
      <colOff>697706</colOff>
      <row>2248</row>
      <rowOff>68791</rowOff>
    </to>
    <graphicFrame>
      <nvGraphicFramePr>
        <cNvPr id="44" name="Chart 44"/>
        <cNvGraphicFramePr/>
      </nvGraphicFramePr>
      <xfrm/>
      <a:graphic>
        <a:graphicData uri="http://schemas.openxmlformats.org/drawingml/2006/chart">
          <c:chart r:id="rId44"/>
        </a:graphicData>
      </a:graphic>
    </graphicFrame>
    <clientData/>
  </twoCellAnchor>
  <twoCellAnchor>
    <from>
      <col>12</col>
      <colOff>523875</colOff>
      <row>2291</row>
      <rowOff>59531</rowOff>
    </from>
    <to>
      <col>15</col>
      <colOff>697706</colOff>
      <row>2300</row>
      <rowOff>68791</rowOff>
    </to>
    <graphicFrame>
      <nvGraphicFramePr>
        <cNvPr id="45" name="Chart 45"/>
        <cNvGraphicFramePr/>
      </nvGraphicFramePr>
      <xfrm/>
      <a:graphic>
        <a:graphicData uri="http://schemas.openxmlformats.org/drawingml/2006/chart">
          <c:chart r:id="rId45"/>
        </a:graphicData>
      </a:graphic>
    </graphicFrame>
    <clientData/>
  </twoCellAnchor>
  <twoCellAnchor>
    <from>
      <col>12</col>
      <colOff>523875</colOff>
      <row>2343</row>
      <rowOff>59531</rowOff>
    </from>
    <to>
      <col>15</col>
      <colOff>697706</colOff>
      <row>2352</row>
      <rowOff>68791</rowOff>
    </to>
    <graphicFrame>
      <nvGraphicFramePr>
        <cNvPr id="46" name="Chart 46"/>
        <cNvGraphicFramePr/>
      </nvGraphicFramePr>
      <xfrm/>
      <a:graphic>
        <a:graphicData uri="http://schemas.openxmlformats.org/drawingml/2006/chart">
          <c:chart r:id="rId46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12</col>
      <colOff>523875</colOff>
      <row>6</row>
      <rowOff>59531</rowOff>
    </from>
    <to>
      <col>15</col>
      <colOff>697706</colOff>
      <row>15</row>
      <rowOff>68791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12</col>
      <colOff>523875</colOff>
      <row>58</row>
      <rowOff>59531</rowOff>
    </from>
    <to>
      <col>15</col>
      <colOff>697706</colOff>
      <row>67</row>
      <rowOff>68791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AM55"/>
  <sheetViews>
    <sheetView topLeftCell="A2" zoomScale="120" zoomScaleNormal="120" workbookViewId="0">
      <selection activeCell="G7" sqref="G7:AM17"/>
    </sheetView>
  </sheetViews>
  <sheetFormatPr baseColWidth="8" defaultColWidth="8.83203125" defaultRowHeight="16"/>
  <cols>
    <col width="11.83203125" customWidth="1" min="1" max="1"/>
    <col width="14.1640625" customWidth="1" min="2" max="2"/>
    <col width="11.1640625" customWidth="1" min="3" max="3"/>
    <col width="8.83203125" customWidth="1" min="6" max="7"/>
    <col width="9.1640625" customWidth="1" min="12" max="12"/>
    <col width="9.33203125" customWidth="1" min="13" max="13"/>
    <col width="9.83203125" customWidth="1" min="14" max="14"/>
    <col width="9.5" customWidth="1" min="16" max="16"/>
    <col width="10.6640625" customWidth="1" min="17" max="17"/>
    <col width="10.83203125" customWidth="1" min="21" max="21"/>
  </cols>
  <sheetData>
    <row r="5">
      <c r="K5" t="n">
        <v>27803.41</v>
      </c>
      <c r="L5" t="n">
        <v>4880.03</v>
      </c>
      <c r="M5" s="45" t="n">
        <v>166436.6</v>
      </c>
      <c r="N5" s="42" t="n">
        <v>64655.82</v>
      </c>
      <c r="O5" t="n">
        <v>919.521</v>
      </c>
      <c r="P5" t="n">
        <v>21429.44</v>
      </c>
      <c r="Q5" s="42" t="n">
        <v>8344.447</v>
      </c>
      <c r="R5" t="n">
        <v>81005.03999999999</v>
      </c>
      <c r="S5" t="n">
        <v>3060.03</v>
      </c>
      <c r="T5" t="n">
        <v>8065.51</v>
      </c>
      <c r="U5" t="n">
        <v>5277.77</v>
      </c>
      <c r="V5" t="n">
        <v>3499.464</v>
      </c>
      <c r="W5" t="n">
        <v>75827.03999999999</v>
      </c>
      <c r="X5" t="n">
        <v>112072.2</v>
      </c>
      <c r="Y5" t="n">
        <v>111758.7</v>
      </c>
      <c r="Z5" t="n">
        <v>3979.6</v>
      </c>
      <c r="AA5" t="n">
        <v>13858.17</v>
      </c>
      <c r="AB5" t="n">
        <v>30800.13</v>
      </c>
      <c r="AC5" t="n">
        <v>3720.82</v>
      </c>
      <c r="AD5" t="n">
        <v>8836.639999999999</v>
      </c>
      <c r="AE5" t="n">
        <v>12311.16</v>
      </c>
      <c r="AF5" t="n">
        <v>3274.75</v>
      </c>
      <c r="AG5" t="n">
        <v>4034.26</v>
      </c>
      <c r="AH5" t="n">
        <v>5562.02</v>
      </c>
      <c r="AI5" t="n">
        <v>3113.04</v>
      </c>
      <c r="AJ5" t="n">
        <v>1043.99</v>
      </c>
      <c r="AK5" t="n">
        <v>1181.73</v>
      </c>
      <c r="AL5" t="n">
        <v>3067.94</v>
      </c>
      <c r="AM5" t="n">
        <v>3056.51</v>
      </c>
    </row>
    <row r="6">
      <c r="B6" t="n">
        <v>1000</v>
      </c>
      <c r="C6" t="n">
        <v>500</v>
      </c>
      <c r="D6" t="n">
        <v>250</v>
      </c>
      <c r="E6" t="n">
        <v>1250</v>
      </c>
      <c r="F6" t="n">
        <v>6250</v>
      </c>
      <c r="L6" s="43">
        <f>L5/$K$5</f>
        <v/>
      </c>
      <c r="M6" s="43">
        <f>M5/$K$5</f>
        <v/>
      </c>
      <c r="N6" s="43">
        <f>N5/$K$5</f>
        <v/>
      </c>
      <c r="O6" s="43">
        <f>O5/$K$5</f>
        <v/>
      </c>
      <c r="P6" s="43">
        <f>P5/$K$5</f>
        <v/>
      </c>
      <c r="Q6" s="43">
        <f>Q5/$K$5</f>
        <v/>
      </c>
      <c r="R6" s="43">
        <f>R5/$K$5</f>
        <v/>
      </c>
      <c r="S6" s="43">
        <f>S5/$K$5</f>
        <v/>
      </c>
      <c r="T6" s="43">
        <f>T5/$K$5</f>
        <v/>
      </c>
      <c r="U6" s="43">
        <f>U5/$K$5</f>
        <v/>
      </c>
      <c r="V6" s="43">
        <f>V5/$K$5</f>
        <v/>
      </c>
      <c r="W6" s="43">
        <f>W5/$K$5</f>
        <v/>
      </c>
      <c r="X6" s="43">
        <f>X5/$K$5</f>
        <v/>
      </c>
      <c r="Y6" s="43">
        <f>Y5/$K$5</f>
        <v/>
      </c>
      <c r="Z6" s="43">
        <f>Z5/$K$5</f>
        <v/>
      </c>
      <c r="AA6" s="43">
        <f>AA5/$K$5</f>
        <v/>
      </c>
      <c r="AB6" s="43">
        <f>AB5/$K$5</f>
        <v/>
      </c>
      <c r="AC6" s="43">
        <f>AC5/$K$5</f>
        <v/>
      </c>
      <c r="AD6" s="43">
        <f>AD5/$K$5</f>
        <v/>
      </c>
      <c r="AE6" s="43">
        <f>AE5/$K$5</f>
        <v/>
      </c>
      <c r="AF6" s="43">
        <f>AF5/$K$5</f>
        <v/>
      </c>
      <c r="AG6" s="43">
        <f>AG5/$K$5</f>
        <v/>
      </c>
      <c r="AH6" s="43">
        <f>AH5/$K$5</f>
        <v/>
      </c>
      <c r="AI6" s="43">
        <f>AI5/$K$5</f>
        <v/>
      </c>
      <c r="AJ6" s="43">
        <f>AJ5/$K$5</f>
        <v/>
      </c>
      <c r="AK6" s="43">
        <f>AK5/$K$5</f>
        <v/>
      </c>
      <c r="AL6" s="43">
        <f>AL5/$K$5</f>
        <v/>
      </c>
      <c r="AM6" s="43">
        <f>AM5/$K$5</f>
        <v/>
      </c>
    </row>
    <row r="7" ht="91.25" customHeight="1">
      <c r="A7" s="1" t="inlineStr">
        <is>
          <t>Standards Label</t>
        </is>
      </c>
      <c r="B7" s="2" t="inlineStr">
        <is>
          <t>PFBA,HFPO (Genx), FTS, ADONA, Cl-PFESA, PFPrA, TFA, PFEtS, PFMeS, PFPrS</t>
        </is>
      </c>
      <c r="C7" s="3" t="inlineStr">
        <is>
          <t>PFPeA, PF4OPeA, PF5OHxA, 3,6-OPFHpA, PFEESA</t>
        </is>
      </c>
      <c r="D7" s="4" t="inlineStr">
        <is>
          <t>PFCA (C6-14), FOSAs, PFSAs, PFBS</t>
        </is>
      </c>
      <c r="E7" s="5" t="inlineStr">
        <is>
          <t>FPrPA(3:3 FTCA)</t>
        </is>
      </c>
      <c r="F7" s="6" t="inlineStr">
        <is>
          <t xml:space="preserve">5:3, 7:3 FTCA, </t>
        </is>
      </c>
      <c r="G7" s="7" t="inlineStr">
        <is>
          <t>(6:2, 8:2) FTCA, (6:2, 10:2) FTUCA, (6:2, 8:2) monoPAP</t>
        </is>
      </c>
      <c r="H7" s="7" t="inlineStr">
        <is>
          <t>FOSEs</t>
        </is>
      </c>
      <c r="I7" s="7" t="inlineStr">
        <is>
          <t>NBP1, NBP2</t>
        </is>
      </c>
      <c r="J7" s="7" t="inlineStr">
        <is>
          <t>PFPi's, PF-PAs,SAMPAP</t>
        </is>
      </c>
      <c r="K7" s="14" t="inlineStr">
        <is>
          <t>PAPs (Zonyl) 8:2 diPAP</t>
        </is>
      </c>
      <c r="L7" s="13" t="inlineStr">
        <is>
          <t>4:2 monoPAP</t>
        </is>
      </c>
      <c r="M7" s="13" t="inlineStr">
        <is>
          <t>6:2 monoPAP</t>
        </is>
      </c>
      <c r="N7" s="13" t="inlineStr">
        <is>
          <t>8:2 monoPAP</t>
        </is>
      </c>
      <c r="O7" s="13" t="inlineStr">
        <is>
          <t>4-4 diPAP</t>
        </is>
      </c>
      <c r="P7" s="13" t="inlineStr">
        <is>
          <t>10:2 monoPAP</t>
        </is>
      </c>
      <c r="Q7" s="13" t="inlineStr">
        <is>
          <t>12:1 monoPAP</t>
        </is>
      </c>
      <c r="R7" s="13" t="inlineStr">
        <is>
          <t>6-6 diPAP</t>
        </is>
      </c>
      <c r="S7" s="13" t="inlineStr">
        <is>
          <t>6-6-6 triPAP</t>
        </is>
      </c>
      <c r="T7" s="13" t="inlineStr">
        <is>
          <t>6-6-8 triPAP</t>
        </is>
      </c>
      <c r="U7" s="13" t="inlineStr">
        <is>
          <t>6-6-10 triPAP</t>
        </is>
      </c>
      <c r="V7" s="13" t="inlineStr">
        <is>
          <t>6-6-12 triPAP</t>
        </is>
      </c>
      <c r="W7" s="13" t="inlineStr">
        <is>
          <t>6-8 diPAP</t>
        </is>
      </c>
      <c r="X7" s="13" t="inlineStr">
        <is>
          <t>6-8-8 triPAP</t>
        </is>
      </c>
      <c r="Y7" s="13" t="inlineStr">
        <is>
          <t>6-8-10 triPAP</t>
        </is>
      </c>
      <c r="Z7" s="13" t="inlineStr">
        <is>
          <t>6-10 diPAP</t>
        </is>
      </c>
      <c r="AA7" s="13" t="inlineStr">
        <is>
          <t>8-8-8 triPAP</t>
        </is>
      </c>
      <c r="AB7" s="13" t="inlineStr">
        <is>
          <t>8-10 diPAP</t>
        </is>
      </c>
      <c r="AC7" s="13" t="inlineStr">
        <is>
          <t>6-12 diPAP</t>
        </is>
      </c>
      <c r="AD7" s="13" t="inlineStr">
        <is>
          <t>10-10 di PAP</t>
        </is>
      </c>
      <c r="AE7" s="13" t="inlineStr">
        <is>
          <t>8-12 diPAP</t>
        </is>
      </c>
      <c r="AF7" s="13" t="inlineStr">
        <is>
          <t>6-14 diPAP</t>
        </is>
      </c>
      <c r="AG7" s="13" t="inlineStr">
        <is>
          <t>10-12 diPAP</t>
        </is>
      </c>
      <c r="AH7" s="13" t="inlineStr">
        <is>
          <t>8-14 diPAP</t>
        </is>
      </c>
      <c r="AI7" s="13" t="inlineStr">
        <is>
          <t>6-16 diPAP</t>
        </is>
      </c>
      <c r="AJ7" s="13" t="inlineStr">
        <is>
          <t>12-12 diPAP</t>
        </is>
      </c>
      <c r="AK7" s="13" t="inlineStr">
        <is>
          <t>10-14 diPAP</t>
        </is>
      </c>
      <c r="AL7" s="13" t="inlineStr">
        <is>
          <t>8-16 diPAP</t>
        </is>
      </c>
      <c r="AM7" s="13" t="inlineStr">
        <is>
          <t>6-18 di PAP</t>
        </is>
      </c>
    </row>
    <row r="8">
      <c r="A8" s="8" t="n">
        <v>0</v>
      </c>
      <c r="B8" t="n">
        <v>0</v>
      </c>
      <c r="C8">
        <f>B8/2</f>
        <v/>
      </c>
      <c r="D8" t="n">
        <v>0</v>
      </c>
      <c r="E8">
        <f>D8*5</f>
        <v/>
      </c>
      <c r="F8">
        <f>D8*25</f>
        <v/>
      </c>
      <c r="G8">
        <f>E8</f>
        <v/>
      </c>
      <c r="H8">
        <f>D8*10</f>
        <v/>
      </c>
      <c r="I8">
        <f>D8*3</f>
        <v/>
      </c>
      <c r="J8">
        <f>3.12*D8</f>
        <v/>
      </c>
      <c r="K8" t="n">
        <v>0</v>
      </c>
      <c r="L8" s="44">
        <f>K8*$L$6</f>
        <v/>
      </c>
      <c r="M8" s="44">
        <f>K8*$M$6</f>
        <v/>
      </c>
      <c r="N8" s="44">
        <f>K8*$N$6</f>
        <v/>
      </c>
      <c r="O8" s="44">
        <f>K8*$O$6</f>
        <v/>
      </c>
      <c r="P8" s="44">
        <f>K8*$P$6</f>
        <v/>
      </c>
      <c r="Q8" s="44">
        <f>K8*$Q$6</f>
        <v/>
      </c>
      <c r="R8">
        <f>$K$8*R6</f>
        <v/>
      </c>
      <c r="S8" s="44">
        <f>K8*$S$6</f>
        <v/>
      </c>
      <c r="T8" s="44">
        <f>K8*$T$6</f>
        <v/>
      </c>
      <c r="U8" s="44">
        <f>K8*$U$6</f>
        <v/>
      </c>
      <c r="V8" s="44">
        <f>K8*$V$6</f>
        <v/>
      </c>
      <c r="W8" s="44">
        <f>K8*$W$6</f>
        <v/>
      </c>
      <c r="X8">
        <f>K8*$X$6</f>
        <v/>
      </c>
      <c r="Y8" s="44">
        <f>K8*$Y$6</f>
        <v/>
      </c>
      <c r="Z8" s="44">
        <f>K8*$Z$6</f>
        <v/>
      </c>
      <c r="AA8" s="44">
        <f>K8*$AA$6</f>
        <v/>
      </c>
      <c r="AB8" s="44">
        <f>K8*$AB$6</f>
        <v/>
      </c>
      <c r="AC8" s="44">
        <f>K8*$AC$6</f>
        <v/>
      </c>
      <c r="AD8" s="44">
        <f>K8*$AD$6</f>
        <v/>
      </c>
      <c r="AE8" s="44">
        <f>K8*$AE$6</f>
        <v/>
      </c>
      <c r="AF8" s="44">
        <f>K8*$AF$6</f>
        <v/>
      </c>
      <c r="AG8" s="44">
        <f>K8*$AG$6</f>
        <v/>
      </c>
      <c r="AH8" s="44">
        <f>K8*$AH$6</f>
        <v/>
      </c>
      <c r="AI8" s="44">
        <f>K8*$AI$6</f>
        <v/>
      </c>
      <c r="AJ8" s="44">
        <f>K8*$AJ$6</f>
        <v/>
      </c>
      <c r="AK8" s="44">
        <f>K8*$AK$6</f>
        <v/>
      </c>
      <c r="AL8" s="44">
        <f>K8*$AL$6</f>
        <v/>
      </c>
      <c r="AM8" s="44">
        <f>K8*$AM$6</f>
        <v/>
      </c>
    </row>
    <row r="9">
      <c r="A9" s="8" t="n">
        <v>0.02</v>
      </c>
      <c r="B9">
        <f>D9*4</f>
        <v/>
      </c>
      <c r="C9">
        <f>B9/2</f>
        <v/>
      </c>
      <c r="D9" t="n">
        <v>0.02</v>
      </c>
      <c r="E9">
        <f>D9*5</f>
        <v/>
      </c>
      <c r="F9">
        <f>D9*25</f>
        <v/>
      </c>
      <c r="G9">
        <f>D9*10</f>
        <v/>
      </c>
      <c r="H9">
        <f>D9*10</f>
        <v/>
      </c>
      <c r="I9">
        <f>D9*3</f>
        <v/>
      </c>
      <c r="J9" t="n">
        <v>1</v>
      </c>
      <c r="K9">
        <f>3*500/300</f>
        <v/>
      </c>
      <c r="L9" s="44">
        <f>K9*$L$6</f>
        <v/>
      </c>
      <c r="M9" s="44">
        <f>K9*$M$6</f>
        <v/>
      </c>
      <c r="N9" s="44">
        <f>K9*$N$6</f>
        <v/>
      </c>
      <c r="O9" s="44">
        <f>K9*$O$6</f>
        <v/>
      </c>
      <c r="P9" s="44">
        <f>K9*$P$6</f>
        <v/>
      </c>
      <c r="Q9" s="44">
        <f>K9*$Q$6</f>
        <v/>
      </c>
      <c r="R9" s="44">
        <f>K9*$R$6</f>
        <v/>
      </c>
      <c r="S9" s="44">
        <f>K9*$S$6</f>
        <v/>
      </c>
      <c r="T9" s="44">
        <f>K9*$T$6</f>
        <v/>
      </c>
      <c r="U9" s="44">
        <f>K9*$U$6</f>
        <v/>
      </c>
      <c r="V9" s="44">
        <f>K9*$V$6</f>
        <v/>
      </c>
      <c r="W9" s="44">
        <f>K9*$W$6</f>
        <v/>
      </c>
      <c r="X9" s="44">
        <f>K9*$X$6</f>
        <v/>
      </c>
      <c r="Y9" s="44">
        <f>K9*$Y$6</f>
        <v/>
      </c>
      <c r="Z9" s="44">
        <f>K9*$Z$6</f>
        <v/>
      </c>
      <c r="AA9" s="44">
        <f>K9*$AA$6</f>
        <v/>
      </c>
      <c r="AB9" s="44">
        <f>K9*$AB$6</f>
        <v/>
      </c>
      <c r="AC9" s="44">
        <f>K9*$AC$6</f>
        <v/>
      </c>
      <c r="AD9" s="44">
        <f>K9*$AD$6</f>
        <v/>
      </c>
      <c r="AE9" s="44">
        <f>K9*$AE$6</f>
        <v/>
      </c>
      <c r="AF9" s="44">
        <f>K9*$AF$6</f>
        <v/>
      </c>
      <c r="AG9" s="44">
        <f>K9*$AG$6</f>
        <v/>
      </c>
      <c r="AH9" s="44">
        <f>K9*$AH$6</f>
        <v/>
      </c>
      <c r="AI9" s="44">
        <f>K9*$AI$6</f>
        <v/>
      </c>
      <c r="AJ9" s="44">
        <f>K9*$AJ$6</f>
        <v/>
      </c>
      <c r="AK9" s="44">
        <f>K9*$AK$6</f>
        <v/>
      </c>
      <c r="AL9" s="44">
        <f>K9*$AL$6</f>
        <v/>
      </c>
      <c r="AM9" s="44">
        <f>K9*$AM$6</f>
        <v/>
      </c>
    </row>
    <row r="10">
      <c r="A10" s="8" t="n">
        <v>0.1</v>
      </c>
      <c r="B10">
        <f>D10*4</f>
        <v/>
      </c>
      <c r="C10">
        <f>B10/2</f>
        <v/>
      </c>
      <c r="D10" t="n">
        <v>0.1</v>
      </c>
      <c r="E10">
        <f>D10*5</f>
        <v/>
      </c>
      <c r="F10">
        <f>D10*25</f>
        <v/>
      </c>
      <c r="G10">
        <f>D10*10</f>
        <v/>
      </c>
      <c r="H10">
        <f>D10*10</f>
        <v/>
      </c>
      <c r="I10">
        <f>D10*3</f>
        <v/>
      </c>
      <c r="J10" t="n">
        <v>2</v>
      </c>
      <c r="K10">
        <f>6*500/300</f>
        <v/>
      </c>
      <c r="L10" s="44">
        <f>K10*$L$6</f>
        <v/>
      </c>
      <c r="M10" s="44">
        <f>K10*$M$6</f>
        <v/>
      </c>
      <c r="N10" s="44">
        <f>K10*$N$6</f>
        <v/>
      </c>
      <c r="O10" s="44">
        <f>K10*$O$6</f>
        <v/>
      </c>
      <c r="P10" s="44">
        <f>K10*$P$6</f>
        <v/>
      </c>
      <c r="Q10" s="44">
        <f>K10*$Q$6</f>
        <v/>
      </c>
      <c r="R10" s="44">
        <f>K10*$R$6</f>
        <v/>
      </c>
      <c r="S10" s="44">
        <f>K10*$S$6</f>
        <v/>
      </c>
      <c r="T10" s="44">
        <f>K10*$T$6</f>
        <v/>
      </c>
      <c r="U10" s="44">
        <f>K10*$U$6</f>
        <v/>
      </c>
      <c r="V10" s="44">
        <f>K10*$V$6</f>
        <v/>
      </c>
      <c r="W10" s="44">
        <f>K10*$W$6</f>
        <v/>
      </c>
      <c r="X10" s="44">
        <f>K10*$X$6</f>
        <v/>
      </c>
      <c r="Y10" s="44">
        <f>K10*$Y$6</f>
        <v/>
      </c>
      <c r="Z10" s="44">
        <f>K10*$Z$6</f>
        <v/>
      </c>
      <c r="AA10" s="44">
        <f>K10*$AA$6</f>
        <v/>
      </c>
      <c r="AB10" s="44">
        <f>K10*$AB$6</f>
        <v/>
      </c>
      <c r="AC10" s="44">
        <f>K10*$AC$6</f>
        <v/>
      </c>
      <c r="AD10" s="44">
        <f>K10*$AD$6</f>
        <v/>
      </c>
      <c r="AE10" s="44">
        <f>K10*$AE$6</f>
        <v/>
      </c>
      <c r="AF10" s="44">
        <f>K10*$AF$6</f>
        <v/>
      </c>
      <c r="AG10" s="44">
        <f>K10*$AG$6</f>
        <v/>
      </c>
      <c r="AH10" s="44">
        <f>K10*$AH$6</f>
        <v/>
      </c>
      <c r="AI10" s="44">
        <f>K10*$AI$6</f>
        <v/>
      </c>
      <c r="AJ10" s="44">
        <f>K10*$AJ$6</f>
        <v/>
      </c>
      <c r="AK10" s="44">
        <f>K10*$AK$6</f>
        <v/>
      </c>
      <c r="AL10" s="44">
        <f>K10*$AL$6</f>
        <v/>
      </c>
      <c r="AM10" s="44">
        <f>K10*$AM$6</f>
        <v/>
      </c>
    </row>
    <row r="11">
      <c r="A11" s="8" t="n">
        <v>0.4</v>
      </c>
      <c r="B11">
        <f>D11*4</f>
        <v/>
      </c>
      <c r="C11">
        <f>B11/2</f>
        <v/>
      </c>
      <c r="D11" t="n">
        <v>0.4</v>
      </c>
      <c r="E11">
        <f>D11*5</f>
        <v/>
      </c>
      <c r="F11">
        <f>D11*25</f>
        <v/>
      </c>
      <c r="G11">
        <f>D11*10</f>
        <v/>
      </c>
      <c r="H11">
        <f>D11*10</f>
        <v/>
      </c>
      <c r="I11">
        <f>D11*3</f>
        <v/>
      </c>
      <c r="J11" t="n">
        <v>4</v>
      </c>
      <c r="K11">
        <f>12*500/300</f>
        <v/>
      </c>
      <c r="L11" s="44">
        <f>K11*$L$6</f>
        <v/>
      </c>
      <c r="M11" s="44">
        <f>K11*$M$6</f>
        <v/>
      </c>
      <c r="N11" s="44">
        <f>K11*$N$6</f>
        <v/>
      </c>
      <c r="O11" s="44">
        <f>K11*$O$6</f>
        <v/>
      </c>
      <c r="P11" s="44">
        <f>K11*$P$6</f>
        <v/>
      </c>
      <c r="Q11" s="44">
        <f>K11*$Q$6</f>
        <v/>
      </c>
      <c r="R11" s="44">
        <f>K11*$R$6</f>
        <v/>
      </c>
      <c r="S11" s="44">
        <f>K11*$S$6</f>
        <v/>
      </c>
      <c r="T11" s="44">
        <f>K11*$T$6</f>
        <v/>
      </c>
      <c r="U11" s="44">
        <f>K11*$U$6</f>
        <v/>
      </c>
      <c r="V11" s="44">
        <f>K11*$V$6</f>
        <v/>
      </c>
      <c r="W11" s="44">
        <f>K11*$W$6</f>
        <v/>
      </c>
      <c r="X11" s="44">
        <f>K11*$X$6</f>
        <v/>
      </c>
      <c r="Y11" s="44">
        <f>K11*$Y$6</f>
        <v/>
      </c>
      <c r="Z11" s="44">
        <f>K11*$Z$6</f>
        <v/>
      </c>
      <c r="AA11" s="44">
        <f>K11*$AA$6</f>
        <v/>
      </c>
      <c r="AB11" s="44">
        <f>K11*$AB$6</f>
        <v/>
      </c>
      <c r="AC11" s="44">
        <f>K11*$AC$6</f>
        <v/>
      </c>
      <c r="AD11" s="44">
        <f>K11*$AD$6</f>
        <v/>
      </c>
      <c r="AE11" s="44">
        <f>K11*$AE$6</f>
        <v/>
      </c>
      <c r="AF11" s="44">
        <f>K11*$AF$6</f>
        <v/>
      </c>
      <c r="AG11" s="44">
        <f>K11*$AG$6</f>
        <v/>
      </c>
      <c r="AH11" s="44">
        <f>K11*$AH$6</f>
        <v/>
      </c>
      <c r="AI11" s="44">
        <f>K11*$AI$6</f>
        <v/>
      </c>
      <c r="AJ11" s="44">
        <f>K11*$AJ$6</f>
        <v/>
      </c>
      <c r="AK11" s="44">
        <f>K11*$AK$6</f>
        <v/>
      </c>
      <c r="AL11" s="44">
        <f>K11*$AL$6</f>
        <v/>
      </c>
      <c r="AM11" s="44">
        <f>K11*$AM$6</f>
        <v/>
      </c>
    </row>
    <row r="12">
      <c r="A12" s="8" t="n">
        <v>1</v>
      </c>
      <c r="B12">
        <f>D12*4</f>
        <v/>
      </c>
      <c r="C12">
        <f>B12/2</f>
        <v/>
      </c>
      <c r="D12" t="n">
        <v>1</v>
      </c>
      <c r="E12">
        <f>D12*5</f>
        <v/>
      </c>
      <c r="F12">
        <f>D12*25</f>
        <v/>
      </c>
      <c r="G12">
        <f>D12*10</f>
        <v/>
      </c>
      <c r="H12">
        <f>D12*10</f>
        <v/>
      </c>
      <c r="I12">
        <f>D12*3</f>
        <v/>
      </c>
      <c r="J12" t="n">
        <v>8</v>
      </c>
      <c r="K12">
        <f>24*500/300</f>
        <v/>
      </c>
      <c r="L12" s="44">
        <f>K12*$L$6</f>
        <v/>
      </c>
      <c r="M12" s="44">
        <f>K12*$M$6</f>
        <v/>
      </c>
      <c r="N12" s="44">
        <f>K12*$N$6</f>
        <v/>
      </c>
      <c r="O12" s="44">
        <f>K12*$O$6</f>
        <v/>
      </c>
      <c r="P12" s="44">
        <f>K12*$P$6</f>
        <v/>
      </c>
      <c r="Q12" s="44">
        <f>K12*$Q$6</f>
        <v/>
      </c>
      <c r="R12" s="44">
        <f>K12*$R$6</f>
        <v/>
      </c>
      <c r="S12" s="44">
        <f>K12*$S$6</f>
        <v/>
      </c>
      <c r="T12" s="44">
        <f>K12*$T$6</f>
        <v/>
      </c>
      <c r="U12" s="44">
        <f>K12*$U$6</f>
        <v/>
      </c>
      <c r="V12" s="44">
        <f>K12*$V$6</f>
        <v/>
      </c>
      <c r="W12" s="44">
        <f>K12*$W$6</f>
        <v/>
      </c>
      <c r="X12" s="44">
        <f>K12*$X$6</f>
        <v/>
      </c>
      <c r="Y12" s="44">
        <f>K12*$Y$6</f>
        <v/>
      </c>
      <c r="Z12" s="44">
        <f>K12*$Z$6</f>
        <v/>
      </c>
      <c r="AA12" s="44">
        <f>K12*$AA$6</f>
        <v/>
      </c>
      <c r="AB12" s="44">
        <f>K12*$AB$6</f>
        <v/>
      </c>
      <c r="AC12" s="44">
        <f>K12*$AC$6</f>
        <v/>
      </c>
      <c r="AD12" s="44">
        <f>K12*$AD$6</f>
        <v/>
      </c>
      <c r="AE12" s="44">
        <f>K12*$AE$6</f>
        <v/>
      </c>
      <c r="AF12" s="44">
        <f>K12*$AF$6</f>
        <v/>
      </c>
      <c r="AG12" s="44">
        <f>K12*$AG$6</f>
        <v/>
      </c>
      <c r="AH12" s="44">
        <f>K12*$AH$6</f>
        <v/>
      </c>
      <c r="AI12" s="44">
        <f>K12*$AI$6</f>
        <v/>
      </c>
      <c r="AJ12" s="44">
        <f>K12*$AJ$6</f>
        <v/>
      </c>
      <c r="AK12" s="44">
        <f>K12*$AK$6</f>
        <v/>
      </c>
      <c r="AL12" s="44">
        <f>K12*$AL$6</f>
        <v/>
      </c>
      <c r="AM12" s="44">
        <f>K12*$AM$6</f>
        <v/>
      </c>
    </row>
    <row r="13">
      <c r="A13" s="8" t="n">
        <v>5</v>
      </c>
      <c r="B13">
        <f>D13*4</f>
        <v/>
      </c>
      <c r="C13">
        <f>B13/2</f>
        <v/>
      </c>
      <c r="D13" t="n">
        <v>5</v>
      </c>
      <c r="E13">
        <f>D13*5</f>
        <v/>
      </c>
      <c r="F13">
        <f>D13*25</f>
        <v/>
      </c>
      <c r="G13">
        <f>D13*10</f>
        <v/>
      </c>
      <c r="H13">
        <f>D13*10</f>
        <v/>
      </c>
      <c r="I13">
        <f>D13*3</f>
        <v/>
      </c>
      <c r="J13" t="n">
        <v>12</v>
      </c>
      <c r="K13">
        <f>36*500/300</f>
        <v/>
      </c>
      <c r="L13" s="44">
        <f>K13*$L$6</f>
        <v/>
      </c>
      <c r="M13" s="44">
        <f>K13*$M$6</f>
        <v/>
      </c>
      <c r="N13" s="44">
        <f>K13*$N$6</f>
        <v/>
      </c>
      <c r="O13" s="44">
        <f>K13*$O$6</f>
        <v/>
      </c>
      <c r="P13" s="44">
        <f>K13*$P$6</f>
        <v/>
      </c>
      <c r="Q13" s="44">
        <f>K13*$Q$6</f>
        <v/>
      </c>
      <c r="R13" s="44">
        <f>K13*$R$6</f>
        <v/>
      </c>
      <c r="S13" s="44">
        <f>K13*$S$6</f>
        <v/>
      </c>
      <c r="T13" s="44">
        <f>K13*$T$6</f>
        <v/>
      </c>
      <c r="U13" s="44">
        <f>K13*$U$6</f>
        <v/>
      </c>
      <c r="V13" s="44">
        <f>K13*$V$6</f>
        <v/>
      </c>
      <c r="W13" s="44">
        <f>K13*$W$6</f>
        <v/>
      </c>
      <c r="X13" s="44">
        <f>K13*$X$6</f>
        <v/>
      </c>
      <c r="Y13" s="44">
        <f>K13*$Y$6</f>
        <v/>
      </c>
      <c r="Z13" s="44">
        <f>K13*$Z$6</f>
        <v/>
      </c>
      <c r="AA13" s="44">
        <f>K13*$AA$6</f>
        <v/>
      </c>
      <c r="AB13" s="44">
        <f>K13*$AB$6</f>
        <v/>
      </c>
      <c r="AC13" s="44">
        <f>K13*$AC$6</f>
        <v/>
      </c>
      <c r="AD13" s="44">
        <f>K13*$AD$6</f>
        <v/>
      </c>
      <c r="AE13" s="44">
        <f>K13*$AE$6</f>
        <v/>
      </c>
      <c r="AF13" s="44">
        <f>K13*$AF$6</f>
        <v/>
      </c>
      <c r="AG13" s="44">
        <f>K13*$AG$6</f>
        <v/>
      </c>
      <c r="AH13" s="44">
        <f>K13*$AH$6</f>
        <v/>
      </c>
      <c r="AI13" s="44">
        <f>K13*$AI$6</f>
        <v/>
      </c>
      <c r="AJ13" s="44">
        <f>K13*$AJ$6</f>
        <v/>
      </c>
      <c r="AK13" s="44">
        <f>K13*$AK$6</f>
        <v/>
      </c>
      <c r="AL13" s="44">
        <f>K13*$AL$6</f>
        <v/>
      </c>
      <c r="AM13" s="44">
        <f>K13*$AM$6</f>
        <v/>
      </c>
    </row>
    <row r="14">
      <c r="A14" s="8" t="n">
        <v>10</v>
      </c>
      <c r="B14">
        <f>D14*4</f>
        <v/>
      </c>
      <c r="C14">
        <f>B14/2</f>
        <v/>
      </c>
      <c r="D14" t="n">
        <v>10</v>
      </c>
      <c r="E14">
        <f>D14*5</f>
        <v/>
      </c>
      <c r="F14">
        <f>D14*25</f>
        <v/>
      </c>
      <c r="G14">
        <f>D14*10</f>
        <v/>
      </c>
      <c r="H14">
        <f>D14*10</f>
        <v/>
      </c>
      <c r="I14">
        <f>D14*3</f>
        <v/>
      </c>
      <c r="J14" t="n">
        <v>16</v>
      </c>
      <c r="K14">
        <f>48*500/300</f>
        <v/>
      </c>
      <c r="L14" s="44">
        <f>K14*$L$6</f>
        <v/>
      </c>
      <c r="M14" s="44">
        <f>K14*$M$6</f>
        <v/>
      </c>
      <c r="N14" s="44">
        <f>K14*$N$6</f>
        <v/>
      </c>
      <c r="O14" s="44">
        <f>K14*$O$6</f>
        <v/>
      </c>
      <c r="P14" s="44">
        <f>K14*$P$6</f>
        <v/>
      </c>
      <c r="Q14" s="44">
        <f>K14*$Q$6</f>
        <v/>
      </c>
      <c r="R14" s="44">
        <f>K14*$R$6</f>
        <v/>
      </c>
      <c r="S14" s="44">
        <f>K14*$S$6</f>
        <v/>
      </c>
      <c r="T14" s="44">
        <f>K14*$T$6</f>
        <v/>
      </c>
      <c r="U14" s="44">
        <f>K14*$U$6</f>
        <v/>
      </c>
      <c r="V14" s="44">
        <f>K14*$V$6</f>
        <v/>
      </c>
      <c r="W14" s="44">
        <f>K14*$W$6</f>
        <v/>
      </c>
      <c r="X14" s="44">
        <f>K14*$X$6</f>
        <v/>
      </c>
      <c r="Y14" s="44">
        <f>K14*$Y$6</f>
        <v/>
      </c>
      <c r="Z14" s="44">
        <f>K14*$Z$6</f>
        <v/>
      </c>
      <c r="AA14" s="44">
        <f>K14*$AA$6</f>
        <v/>
      </c>
      <c r="AB14" s="44">
        <f>K14*$AB$6</f>
        <v/>
      </c>
      <c r="AC14" s="44">
        <f>K14*$AC$6</f>
        <v/>
      </c>
      <c r="AD14" s="44">
        <f>K14*$AD$6</f>
        <v/>
      </c>
      <c r="AE14" s="44">
        <f>K14*$AE$6</f>
        <v/>
      </c>
      <c r="AF14" s="44">
        <f>K14*$AF$6</f>
        <v/>
      </c>
      <c r="AG14" s="44">
        <f>K14*$AG$6</f>
        <v/>
      </c>
      <c r="AH14" s="44">
        <f>K14*$AH$6</f>
        <v/>
      </c>
      <c r="AI14" s="44">
        <f>K14*$AI$6</f>
        <v/>
      </c>
      <c r="AJ14" s="44">
        <f>K14*$AJ$6</f>
        <v/>
      </c>
      <c r="AK14" s="44">
        <f>K14*$AK$6</f>
        <v/>
      </c>
      <c r="AL14" s="44">
        <f>K14*$AL$6</f>
        <v/>
      </c>
      <c r="AM14" s="44">
        <f>K14*$AM$6</f>
        <v/>
      </c>
    </row>
    <row r="15">
      <c r="A15" s="8" t="n">
        <v>20</v>
      </c>
      <c r="B15">
        <f>D15*4</f>
        <v/>
      </c>
      <c r="C15">
        <f>B15/2</f>
        <v/>
      </c>
      <c r="D15" t="n">
        <v>20</v>
      </c>
      <c r="E15">
        <f>D15*5</f>
        <v/>
      </c>
      <c r="F15">
        <f>D15*25</f>
        <v/>
      </c>
      <c r="G15">
        <f>D15*10</f>
        <v/>
      </c>
      <c r="H15">
        <f>D15*10</f>
        <v/>
      </c>
      <c r="I15">
        <f>D15*3</f>
        <v/>
      </c>
      <c r="J15">
        <f>D15</f>
        <v/>
      </c>
      <c r="K15">
        <f>60*500/300</f>
        <v/>
      </c>
      <c r="L15" s="44">
        <f>K15*$L$6</f>
        <v/>
      </c>
      <c r="M15" s="44">
        <f>K15*$M$6</f>
        <v/>
      </c>
      <c r="N15" s="44">
        <f>K15*$N$6</f>
        <v/>
      </c>
      <c r="O15" s="44">
        <f>K15*$O$6</f>
        <v/>
      </c>
      <c r="P15" s="44">
        <f>K15*$P$6</f>
        <v/>
      </c>
      <c r="Q15" s="44">
        <f>K15*$Q$6</f>
        <v/>
      </c>
      <c r="R15" s="44">
        <f>K15*$R$6</f>
        <v/>
      </c>
      <c r="S15" s="44">
        <f>K15*$S$6</f>
        <v/>
      </c>
      <c r="T15" s="44">
        <f>K15*$T$6</f>
        <v/>
      </c>
      <c r="U15" s="44">
        <f>K15*$U$6</f>
        <v/>
      </c>
      <c r="V15" s="44">
        <f>K15*$V$6</f>
        <v/>
      </c>
      <c r="W15" s="44">
        <f>K15*$W$6</f>
        <v/>
      </c>
      <c r="X15" s="44">
        <f>K15*$X$6</f>
        <v/>
      </c>
      <c r="Y15" s="44">
        <f>K15*$Y$6</f>
        <v/>
      </c>
      <c r="Z15" s="44">
        <f>K15*$Z$6</f>
        <v/>
      </c>
      <c r="AA15" s="44">
        <f>K15*$AA$6</f>
        <v/>
      </c>
      <c r="AB15" s="44">
        <f>K15*$AB$6</f>
        <v/>
      </c>
      <c r="AC15" s="44">
        <f>K15*$AC$6</f>
        <v/>
      </c>
      <c r="AD15" s="44">
        <f>K15*$AD$6</f>
        <v/>
      </c>
      <c r="AE15" s="44">
        <f>K15*$AE$6</f>
        <v/>
      </c>
      <c r="AF15" s="44">
        <f>K15*$AF$6</f>
        <v/>
      </c>
      <c r="AG15" s="44">
        <f>K15*$AG$6</f>
        <v/>
      </c>
      <c r="AH15" s="44">
        <f>K15*$AH$6</f>
        <v/>
      </c>
      <c r="AI15" s="44">
        <f>K15*$AI$6</f>
        <v/>
      </c>
      <c r="AJ15" s="44">
        <f>K15*$AJ$6</f>
        <v/>
      </c>
      <c r="AK15" s="44">
        <f>K15*$AK$6</f>
        <v/>
      </c>
      <c r="AL15" s="44">
        <f>K15*$AL$6</f>
        <v/>
      </c>
      <c r="AM15" s="44">
        <f>K15*$AM$6</f>
        <v/>
      </c>
    </row>
    <row r="16">
      <c r="A16" s="8" t="n">
        <v>40</v>
      </c>
      <c r="B16">
        <f>D16*4</f>
        <v/>
      </c>
      <c r="C16">
        <f>B16/2</f>
        <v/>
      </c>
      <c r="D16" t="n">
        <v>40</v>
      </c>
      <c r="E16">
        <f>D16*5</f>
        <v/>
      </c>
      <c r="F16">
        <f>D16*25</f>
        <v/>
      </c>
      <c r="G16">
        <f>D16*10</f>
        <v/>
      </c>
      <c r="H16">
        <f>D16*10</f>
        <v/>
      </c>
      <c r="I16">
        <f>D16*3</f>
        <v/>
      </c>
      <c r="J16">
        <f>D16</f>
        <v/>
      </c>
      <c r="K16">
        <f>72*500/300</f>
        <v/>
      </c>
      <c r="L16" s="44">
        <f>K16*$L$6</f>
        <v/>
      </c>
      <c r="M16" s="44">
        <f>K16*$M$6</f>
        <v/>
      </c>
      <c r="N16" s="44">
        <f>K16*$N$6</f>
        <v/>
      </c>
      <c r="O16" s="44">
        <f>K16*$O$6</f>
        <v/>
      </c>
      <c r="P16" s="44">
        <f>K16*$P$6</f>
        <v/>
      </c>
      <c r="Q16" s="44">
        <f>K16*$Q$6</f>
        <v/>
      </c>
      <c r="R16" s="44">
        <f>K16*$R$6</f>
        <v/>
      </c>
      <c r="S16" s="44">
        <f>K16*$S$6</f>
        <v/>
      </c>
      <c r="T16" s="44">
        <f>K16*$T$6</f>
        <v/>
      </c>
      <c r="U16" s="44">
        <f>K16*$U$6</f>
        <v/>
      </c>
      <c r="V16" s="44">
        <f>K16*$V$6</f>
        <v/>
      </c>
      <c r="W16" s="44">
        <f>K16*$W$6</f>
        <v/>
      </c>
      <c r="X16" s="44">
        <f>K16*$X$6</f>
        <v/>
      </c>
      <c r="Y16" s="44">
        <f>K16*$Y$6</f>
        <v/>
      </c>
      <c r="Z16" s="44">
        <f>K16*$Z$6</f>
        <v/>
      </c>
      <c r="AA16" s="44">
        <f>K16*$AA$6</f>
        <v/>
      </c>
      <c r="AB16" s="44">
        <f>K16*$AB$6</f>
        <v/>
      </c>
      <c r="AC16" s="44">
        <f>K16*$AC$6</f>
        <v/>
      </c>
      <c r="AD16" s="44">
        <f>K16*$AD$6</f>
        <v/>
      </c>
      <c r="AE16" s="44">
        <f>K16*$AE$6</f>
        <v/>
      </c>
      <c r="AF16" s="44">
        <f>K16*$AF$6</f>
        <v/>
      </c>
      <c r="AG16" s="44">
        <f>K16*$AG$6</f>
        <v/>
      </c>
      <c r="AH16" s="44">
        <f>K16*$AH$6</f>
        <v/>
      </c>
      <c r="AI16" s="44">
        <f>K16*$AI$6</f>
        <v/>
      </c>
      <c r="AJ16" s="44">
        <f>K16*$AJ$6</f>
        <v/>
      </c>
      <c r="AK16" s="44">
        <f>K16*$AK$6</f>
        <v/>
      </c>
      <c r="AL16" s="44">
        <f>K16*$AL$6</f>
        <v/>
      </c>
      <c r="AM16" s="44">
        <f>K16*$AM$6</f>
        <v/>
      </c>
    </row>
    <row r="17">
      <c r="A17" s="9" t="inlineStr">
        <is>
          <t>10ppb SPIKE</t>
        </is>
      </c>
      <c r="B17" s="9">
        <f>B14*1.1</f>
        <v/>
      </c>
      <c r="C17" s="9">
        <f>C14*1.1</f>
        <v/>
      </c>
      <c r="D17" s="9">
        <f>D14*1.1</f>
        <v/>
      </c>
      <c r="E17" s="9">
        <f>E14*1.1</f>
        <v/>
      </c>
      <c r="F17" s="9">
        <f>F14*1.1</f>
        <v/>
      </c>
      <c r="G17" s="9">
        <f>G14*1.1</f>
        <v/>
      </c>
      <c r="H17" s="9">
        <f>H14*1.1</f>
        <v/>
      </c>
      <c r="I17" s="9">
        <f>I14*1.1</f>
        <v/>
      </c>
      <c r="J17" s="9">
        <f>J14*1.1</f>
        <v/>
      </c>
      <c r="K17" s="9">
        <f>K14*1.1</f>
        <v/>
      </c>
      <c r="L17" s="46">
        <f>K17*$L$6</f>
        <v/>
      </c>
      <c r="M17" s="46">
        <f>K17*$M$6</f>
        <v/>
      </c>
      <c r="N17" s="46">
        <f>K17*$N$6</f>
        <v/>
      </c>
      <c r="O17" s="46">
        <f>K17*$O$6</f>
        <v/>
      </c>
      <c r="P17" s="46">
        <f>K17*$P$6</f>
        <v/>
      </c>
      <c r="Q17" s="46">
        <f>K17*$Q$6</f>
        <v/>
      </c>
      <c r="R17" s="46">
        <f>R14*1.1</f>
        <v/>
      </c>
      <c r="S17" s="46">
        <f>K17*$S$6</f>
        <v/>
      </c>
      <c r="T17" s="46">
        <f>K17*$T$6</f>
        <v/>
      </c>
      <c r="U17" s="46">
        <f>K17*$U$6</f>
        <v/>
      </c>
      <c r="V17" s="46">
        <f>K17*$V$6</f>
        <v/>
      </c>
      <c r="W17" s="46">
        <f>K17*$W$6</f>
        <v/>
      </c>
      <c r="X17" s="46">
        <f>K17*$X$6</f>
        <v/>
      </c>
      <c r="Y17" s="46">
        <f>K17*$Y$6</f>
        <v/>
      </c>
      <c r="Z17" s="46">
        <f>K17*$Z$6</f>
        <v/>
      </c>
      <c r="AA17" s="46">
        <f>K17*$AA$6</f>
        <v/>
      </c>
      <c r="AB17" s="46">
        <f>K17*$AB$6</f>
        <v/>
      </c>
      <c r="AC17" s="46">
        <f>K17*$AC$6</f>
        <v/>
      </c>
      <c r="AD17" s="46">
        <f>K17*$AD$6</f>
        <v/>
      </c>
      <c r="AE17" s="46">
        <f>K17*$AE$6</f>
        <v/>
      </c>
      <c r="AF17" s="46">
        <f>K17*$AF$6</f>
        <v/>
      </c>
      <c r="AG17" s="46">
        <f>K17*$AG$6</f>
        <v/>
      </c>
      <c r="AH17" s="46">
        <f>K17*$AH$6</f>
        <v/>
      </c>
      <c r="AI17" s="46">
        <f>K17*$AI$6</f>
        <v/>
      </c>
      <c r="AJ17" s="46">
        <f>K17*$AJ$6</f>
        <v/>
      </c>
      <c r="AK17" s="46">
        <f>K17*$AK$6</f>
        <v/>
      </c>
      <c r="AL17" s="46">
        <f>K17*$AL$6</f>
        <v/>
      </c>
      <c r="AM17" s="46">
        <f>K17*$AM$6</f>
        <v/>
      </c>
    </row>
    <row r="18">
      <c r="A18" t="inlineStr">
        <is>
          <t>Old Spike</t>
        </is>
      </c>
      <c r="B18" t="n">
        <v>21.6</v>
      </c>
      <c r="C18" t="n">
        <v>10.8</v>
      </c>
      <c r="D18" t="n">
        <v>5.4</v>
      </c>
      <c r="E18" t="n">
        <v>27</v>
      </c>
      <c r="F18" t="n">
        <v>135</v>
      </c>
      <c r="G18" t="n">
        <v>27</v>
      </c>
      <c r="H18" t="n">
        <v>54</v>
      </c>
      <c r="I18" t="inlineStr">
        <is>
          <t>N/A</t>
        </is>
      </c>
      <c r="J18" t="n">
        <v>16.8</v>
      </c>
    </row>
    <row r="19">
      <c r="B19" t="inlineStr">
        <is>
          <t>sand spike</t>
        </is>
      </c>
      <c r="C19" t="inlineStr">
        <is>
          <t>100uL</t>
        </is>
      </c>
      <c r="D19" t="inlineStr">
        <is>
          <t>10ppb PFOA</t>
        </is>
      </c>
    </row>
    <row r="20">
      <c r="B20" t="inlineStr">
        <is>
          <t>EIS</t>
        </is>
      </c>
      <c r="C20" t="inlineStr">
        <is>
          <t>50uL</t>
        </is>
      </c>
    </row>
    <row r="21" ht="13" customHeight="1">
      <c r="B21" t="inlineStr">
        <is>
          <t>NIS</t>
        </is>
      </c>
      <c r="C21" t="inlineStr">
        <is>
          <t>25uL</t>
        </is>
      </c>
    </row>
    <row r="23">
      <c r="A23" s="11" t="inlineStr">
        <is>
          <t>NOTES: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</row>
    <row r="24">
      <c r="A24" s="15" t="inlineStr">
        <is>
          <t>low recovery</t>
        </is>
      </c>
    </row>
    <row r="25">
      <c r="A25" s="16" t="inlineStr">
        <is>
          <t>check conc.</t>
        </is>
      </c>
      <c r="G25" t="inlineStr">
        <is>
          <t>Biosolids Masses</t>
        </is>
      </c>
      <c r="H25" t="inlineStr">
        <is>
          <t>(g)</t>
        </is>
      </c>
    </row>
    <row r="26">
      <c r="A26" s="17" t="inlineStr">
        <is>
          <t>high blank</t>
        </is>
      </c>
      <c r="G26" t="inlineStr">
        <is>
          <t>SS1</t>
        </is>
      </c>
      <c r="H26" t="n">
        <v>1.0846</v>
      </c>
    </row>
    <row r="27">
      <c r="A27" s="18" t="inlineStr">
        <is>
          <t>not working</t>
        </is>
      </c>
      <c r="G27" t="inlineStr">
        <is>
          <t>SS2</t>
        </is>
      </c>
      <c r="H27" t="n">
        <v>1.0726</v>
      </c>
    </row>
    <row r="28">
      <c r="G28" t="inlineStr">
        <is>
          <t>SS3</t>
        </is>
      </c>
      <c r="H28" t="n">
        <v>1.1534</v>
      </c>
    </row>
    <row r="29">
      <c r="G29" t="inlineStr">
        <is>
          <t>K4-1A</t>
        </is>
      </c>
      <c r="H29" t="n">
        <v>1.0267</v>
      </c>
    </row>
    <row r="30">
      <c r="G30" t="inlineStr">
        <is>
          <t>K4-1B</t>
        </is>
      </c>
      <c r="H30" t="n">
        <v>1.1481</v>
      </c>
    </row>
    <row r="31">
      <c r="G31" t="inlineStr">
        <is>
          <t>K4-1C</t>
        </is>
      </c>
      <c r="H31" t="n">
        <v>1.0402</v>
      </c>
    </row>
    <row r="32">
      <c r="G32" t="inlineStr">
        <is>
          <t>K4-2A</t>
        </is>
      </c>
      <c r="H32" t="n">
        <v>1.127</v>
      </c>
    </row>
    <row r="33">
      <c r="G33" t="inlineStr">
        <is>
          <t>K4-2B</t>
        </is>
      </c>
      <c r="H33" t="n">
        <v>1.1154</v>
      </c>
    </row>
    <row r="34" ht="32" customHeight="1">
      <c r="B34" s="13" t="inlineStr">
        <is>
          <t>amount into extract</t>
        </is>
      </c>
      <c r="C34" s="13" t="inlineStr">
        <is>
          <t>conc. in extract</t>
        </is>
      </c>
      <c r="D34" s="13" t="inlineStr">
        <is>
          <t>conc. in vial</t>
        </is>
      </c>
      <c r="G34" t="inlineStr">
        <is>
          <t>K4-2C</t>
        </is>
      </c>
      <c r="H34" t="n">
        <v>1.1711</v>
      </c>
    </row>
    <row r="35">
      <c r="A35" t="inlineStr">
        <is>
          <t>sand spike</t>
        </is>
      </c>
      <c r="B35" t="inlineStr">
        <is>
          <t>100uL</t>
        </is>
      </c>
      <c r="C35" t="inlineStr">
        <is>
          <t>10ppb PFOA</t>
        </is>
      </c>
      <c r="D35" t="inlineStr">
        <is>
          <t>9ppb PFOA</t>
        </is>
      </c>
      <c r="G35" t="inlineStr">
        <is>
          <t>K4-4A</t>
        </is>
      </c>
      <c r="H35" t="n">
        <v>1.0932</v>
      </c>
    </row>
    <row r="36">
      <c r="A36" t="inlineStr">
        <is>
          <t>EIS</t>
        </is>
      </c>
      <c r="B36" t="inlineStr">
        <is>
          <t>50uL</t>
        </is>
      </c>
      <c r="C36" t="inlineStr">
        <is>
          <t>5ppb PFOA</t>
        </is>
      </c>
      <c r="D36" t="inlineStr">
        <is>
          <t>4.5ppb PFOA</t>
        </is>
      </c>
      <c r="G36" t="inlineStr">
        <is>
          <t>K4-4B</t>
        </is>
      </c>
      <c r="H36" t="n">
        <v>1.15</v>
      </c>
    </row>
    <row r="37">
      <c r="A37" t="inlineStr">
        <is>
          <t>NIS</t>
        </is>
      </c>
      <c r="B37" t="inlineStr">
        <is>
          <t>25uL</t>
        </is>
      </c>
      <c r="C37" t="inlineStr">
        <is>
          <t>5ppb PFOA</t>
        </is>
      </c>
      <c r="D37" t="inlineStr">
        <is>
          <t>4.5ppb PFOA</t>
        </is>
      </c>
      <c r="G37" t="inlineStr">
        <is>
          <t>K4-4C</t>
        </is>
      </c>
      <c r="H37" t="n">
        <v>1.0482</v>
      </c>
    </row>
    <row r="38">
      <c r="G38" t="inlineStr">
        <is>
          <t>K4-5A</t>
        </is>
      </c>
      <c r="H38" t="n">
        <v>1.1054</v>
      </c>
    </row>
    <row r="39">
      <c r="G39" t="inlineStr">
        <is>
          <t>K4-5B</t>
        </is>
      </c>
      <c r="H39" s="10" t="n">
        <v>1.0463</v>
      </c>
      <c r="V39" s="10" t="n"/>
    </row>
    <row r="40">
      <c r="G40" t="inlineStr">
        <is>
          <t>K4-5C</t>
        </is>
      </c>
      <c r="H40" t="n">
        <v>1.1155</v>
      </c>
    </row>
    <row r="41">
      <c r="G41" t="inlineStr">
        <is>
          <t>K3-1A</t>
        </is>
      </c>
      <c r="H41" t="n">
        <v>1.0874</v>
      </c>
    </row>
    <row r="42">
      <c r="G42" t="inlineStr">
        <is>
          <t>K3-1B</t>
        </is>
      </c>
      <c r="H42" t="n">
        <v>1.0898</v>
      </c>
    </row>
    <row r="43">
      <c r="G43" t="inlineStr">
        <is>
          <t>K3-1C</t>
        </is>
      </c>
      <c r="H43" t="n">
        <v>1.0536</v>
      </c>
    </row>
    <row r="44">
      <c r="G44" t="inlineStr">
        <is>
          <t>K3-2A</t>
        </is>
      </c>
      <c r="H44" s="10" t="n">
        <v>1.1218</v>
      </c>
      <c r="V44" s="10" t="n"/>
    </row>
    <row r="45">
      <c r="G45" t="inlineStr">
        <is>
          <t>K3-2B</t>
        </is>
      </c>
      <c r="H45" t="n">
        <v>1.198</v>
      </c>
    </row>
    <row r="46">
      <c r="G46" t="inlineStr">
        <is>
          <t>K3-2C</t>
        </is>
      </c>
      <c r="H46" t="n">
        <v>1.1538</v>
      </c>
    </row>
    <row r="47">
      <c r="G47" t="inlineStr">
        <is>
          <t>K3-3A</t>
        </is>
      </c>
      <c r="H47" t="n">
        <v>1.1183</v>
      </c>
    </row>
    <row r="48">
      <c r="G48" t="inlineStr">
        <is>
          <t>K3-3B</t>
        </is>
      </c>
      <c r="H48" t="n">
        <v>1.1448</v>
      </c>
    </row>
    <row r="49">
      <c r="G49" t="inlineStr">
        <is>
          <t>K3-3C</t>
        </is>
      </c>
      <c r="H49" t="n">
        <v>1.0493</v>
      </c>
    </row>
    <row r="50">
      <c r="G50" t="inlineStr">
        <is>
          <t>K3-4A</t>
        </is>
      </c>
      <c r="H50" t="n">
        <v>1.0704</v>
      </c>
    </row>
    <row r="51">
      <c r="G51" t="inlineStr">
        <is>
          <t>K3-4B</t>
        </is>
      </c>
      <c r="H51" t="n">
        <v>1.1589</v>
      </c>
    </row>
    <row r="52">
      <c r="G52" t="inlineStr">
        <is>
          <t>K3-4C</t>
        </is>
      </c>
      <c r="H52" t="n">
        <v>1.0206</v>
      </c>
    </row>
    <row r="53">
      <c r="G53" t="inlineStr">
        <is>
          <t>K3-6A</t>
        </is>
      </c>
      <c r="H53" t="n">
        <v>1.1289</v>
      </c>
    </row>
    <row r="54">
      <c r="G54" t="inlineStr">
        <is>
          <t>K3-6B</t>
        </is>
      </c>
      <c r="H54" t="n">
        <v>1.195</v>
      </c>
    </row>
    <row r="55">
      <c r="G55" t="inlineStr">
        <is>
          <t>K3-6C</t>
        </is>
      </c>
      <c r="H55" t="n">
        <v>1.1716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59"/>
  <sheetViews>
    <sheetView topLeftCell="A1343" zoomScaleNormal="100" workbookViewId="0">
      <selection activeCell="N1659" sqref="N1659"/>
    </sheetView>
  </sheetViews>
  <sheetFormatPr baseColWidth="8" defaultColWidth="10.6640625" defaultRowHeight="16"/>
  <sheetData>
    <row r="1">
      <c r="A1" t="inlineStr">
        <is>
          <t xml:space="preserve">Quantify Compound Summary Report </t>
        </is>
      </c>
    </row>
    <row r="3">
      <c r="A3" t="inlineStr">
        <is>
          <t>Printed Tue Jul 01 18:22:03 2025</t>
        </is>
      </c>
    </row>
    <row r="5">
      <c r="A5" t="inlineStr">
        <is>
          <t>Compound 1:  4:2 monoPAP 1</t>
        </is>
      </c>
    </row>
    <row r="6">
      <c r="I6" t="inlineStr">
        <is>
          <t>LINEST</t>
        </is>
      </c>
      <c r="Q6" t="inlineStr">
        <is>
          <t>Biosolids Masses</t>
        </is>
      </c>
      <c r="R6" t="inlineStr">
        <is>
          <t>(g)</t>
        </is>
      </c>
    </row>
    <row r="7">
      <c r="B7" t="inlineStr">
        <is>
          <t>Sample Text</t>
        </is>
      </c>
      <c r="C7" t="inlineStr">
        <is>
          <t>Std. Conc</t>
        </is>
      </c>
      <c r="D7" t="inlineStr">
        <is>
          <t>RT</t>
        </is>
      </c>
      <c r="E7" t="inlineStr">
        <is>
          <t>Area</t>
        </is>
      </c>
      <c r="F7" t="inlineStr">
        <is>
          <t>IS Area</t>
        </is>
      </c>
      <c r="G7" t="inlineStr">
        <is>
          <t>S/N</t>
        </is>
      </c>
      <c r="H7" t="inlineStr">
        <is>
          <t>ratio</t>
        </is>
      </c>
      <c r="I7">
        <f t="array" ref="I7:J11">LINEST(H11:H15,C11:C15,1,1)</f>
        <v/>
      </c>
      <c r="J7" t="n">
        <v>0.0002867633928615795</v>
      </c>
      <c r="L7" s="20" t="inlineStr">
        <is>
          <t>By S/N Ratio</t>
        </is>
      </c>
      <c r="Q7" t="inlineStr">
        <is>
          <t>SS1</t>
        </is>
      </c>
      <c r="R7" t="n">
        <v>1.0846</v>
      </c>
    </row>
    <row r="8">
      <c r="A8" t="n">
        <v>1</v>
      </c>
      <c r="B8" t="inlineStr">
        <is>
          <t>EPA1633 &amp; diPAPs Calibration 0 ppb</t>
        </is>
      </c>
      <c r="C8" s="44" t="n">
        <v>0</v>
      </c>
      <c r="D8" t="n">
        <v>4.78</v>
      </c>
      <c r="E8" t="n">
        <v>0.043</v>
      </c>
      <c r="F8" t="n">
        <v>166.957</v>
      </c>
      <c r="G8" t="n">
        <v>0.294</v>
      </c>
      <c r="H8">
        <f>E8/F8</f>
        <v/>
      </c>
      <c r="I8" t="n">
        <v>3.419334595163027e-05</v>
      </c>
      <c r="J8" t="n">
        <v>0.0003981001730183725</v>
      </c>
      <c r="K8" t="inlineStr">
        <is>
          <t>LOD</t>
        </is>
      </c>
      <c r="L8" s="21">
        <f>IF(G11&gt;3,C11,IF(G12&gt;3,C12,IF(G13&gt;3,C13,IF(G14&gt;3,C14,C15))))</f>
        <v/>
      </c>
      <c r="Q8" t="inlineStr">
        <is>
          <t>SS2</t>
        </is>
      </c>
      <c r="R8" t="n">
        <v>1.0726</v>
      </c>
    </row>
    <row r="9">
      <c r="A9" t="n">
        <v>2</v>
      </c>
      <c r="B9" t="inlineStr">
        <is>
          <t>EPA1633 &amp; diPAPs Calibration 0.02 ppb</t>
        </is>
      </c>
      <c r="C9" s="44" t="n">
        <v>0.8775955898934698</v>
      </c>
      <c r="D9" t="n">
        <v>4.78</v>
      </c>
      <c r="E9" t="n">
        <v>0.133</v>
      </c>
      <c r="F9" t="n">
        <v>165.319</v>
      </c>
      <c r="G9" t="n">
        <v>0.217</v>
      </c>
      <c r="H9">
        <f>E9/F9</f>
        <v/>
      </c>
      <c r="I9" t="n">
        <v>0.4230440357155731</v>
      </c>
      <c r="J9" t="n">
        <v>0.0003795736217452158</v>
      </c>
      <c r="K9" t="inlineStr">
        <is>
          <t>LOQ</t>
        </is>
      </c>
      <c r="L9" s="22">
        <f>IF(G11&gt;10,C11,IF(G12&gt;10,C12,IF(G13&gt;10,C13,IF(G14&gt;10,C14,C15))))</f>
        <v/>
      </c>
      <c r="Q9" t="inlineStr">
        <is>
          <t>SS3</t>
        </is>
      </c>
      <c r="R9" t="n">
        <v>1.1534</v>
      </c>
    </row>
    <row r="10">
      <c r="A10" t="n">
        <v>3</v>
      </c>
      <c r="B10" t="inlineStr">
        <is>
          <t>EPA1633 &amp; diPAPs Calibration 0.1 ppb</t>
        </is>
      </c>
      <c r="C10" s="44" t="n">
        <v>1.75519117978694</v>
      </c>
      <c r="D10" t="n">
        <v>4.78</v>
      </c>
      <c r="E10" t="n">
        <v>0.08699999999999999</v>
      </c>
      <c r="F10" t="n">
        <v>111.595</v>
      </c>
      <c r="G10" t="n">
        <v>0.238</v>
      </c>
      <c r="H10">
        <f>E10/F10</f>
        <v/>
      </c>
      <c r="I10" t="n">
        <v>2.199703592146358</v>
      </c>
      <c r="J10" t="n">
        <v>3</v>
      </c>
      <c r="Q10" t="inlineStr">
        <is>
          <t>K4-5A</t>
        </is>
      </c>
      <c r="R10" t="n">
        <v>1.1054</v>
      </c>
    </row>
    <row r="11">
      <c r="A11" t="n">
        <v>4</v>
      </c>
      <c r="B11" t="inlineStr">
        <is>
          <t>EPA1633 &amp; diPAPs Calibration 0.4 ppb</t>
        </is>
      </c>
      <c r="C11" s="44" t="n">
        <v>3.510382359573879</v>
      </c>
      <c r="D11" t="n">
        <v>4.82</v>
      </c>
      <c r="E11" t="n">
        <v>0.152</v>
      </c>
      <c r="F11" t="n">
        <v>181.598</v>
      </c>
      <c r="G11" t="n">
        <v>0.624</v>
      </c>
      <c r="H11">
        <f>E11/F11</f>
        <v/>
      </c>
      <c r="I11" t="n">
        <v>3.1692479021678e-07</v>
      </c>
      <c r="J11" t="n">
        <v>4.322284029743404e-07</v>
      </c>
      <c r="Q11" t="inlineStr">
        <is>
          <t>K4-5B</t>
        </is>
      </c>
      <c r="R11" s="10" t="n">
        <v>1.0463</v>
      </c>
    </row>
    <row r="12">
      <c r="A12" t="n">
        <v>5</v>
      </c>
      <c r="B12" t="inlineStr">
        <is>
          <t>EPA1633 &amp; diPAPs Calibration 1 ppb</t>
        </is>
      </c>
      <c r="C12" s="44" t="n">
        <v>7.020764719147758</v>
      </c>
      <c r="D12" t="n">
        <v>4.8</v>
      </c>
      <c r="E12" t="n">
        <v>0.044</v>
      </c>
      <c r="F12" t="n">
        <v>185.453</v>
      </c>
      <c r="G12" t="n">
        <v>0.236</v>
      </c>
      <c r="H12">
        <f>E12/F12</f>
        <v/>
      </c>
      <c r="Q12" t="inlineStr">
        <is>
          <t>K4-5C</t>
        </is>
      </c>
      <c r="R12" t="n">
        <v>1.1155</v>
      </c>
    </row>
    <row r="13">
      <c r="A13" t="n">
        <v>6</v>
      </c>
      <c r="B13" t="inlineStr">
        <is>
          <t>EPA1633 &amp; diPAPs Calibration 5 ppb</t>
        </is>
      </c>
      <c r="C13" s="44" t="n">
        <v>10.53114707872164</v>
      </c>
      <c r="D13" t="n">
        <v>4.79</v>
      </c>
      <c r="E13" t="n">
        <v>0.575</v>
      </c>
      <c r="F13" t="n">
        <v>722.211</v>
      </c>
      <c r="G13" t="n">
        <v>2.12</v>
      </c>
      <c r="H13">
        <f>E13/F13</f>
        <v/>
      </c>
      <c r="Q13" t="inlineStr">
        <is>
          <t>K3-1A</t>
        </is>
      </c>
      <c r="R13" t="n">
        <v>1.0874</v>
      </c>
    </row>
    <row r="14">
      <c r="A14" t="n">
        <v>7</v>
      </c>
      <c r="B14" t="inlineStr">
        <is>
          <t>EPA1633 &amp; diPAPs Calibration 10 ppb</t>
        </is>
      </c>
      <c r="C14" s="44" t="n">
        <v>14.04152943829552</v>
      </c>
      <c r="D14" t="n">
        <v>4.78</v>
      </c>
      <c r="E14" t="n">
        <v>1.506</v>
      </c>
      <c r="F14" t="n">
        <v>1940.84</v>
      </c>
      <c r="G14" t="n">
        <v>5.564</v>
      </c>
      <c r="H14">
        <f>E14/F14</f>
        <v/>
      </c>
      <c r="I14" s="23" t="inlineStr">
        <is>
          <t>Background</t>
        </is>
      </c>
      <c r="J14" s="23" t="inlineStr">
        <is>
          <t>Spike</t>
        </is>
      </c>
      <c r="K14" s="9" t="inlineStr">
        <is>
          <t>Old Spike</t>
        </is>
      </c>
      <c r="O14" s="24" t="inlineStr">
        <is>
          <t>±</t>
        </is>
      </c>
      <c r="Q14" t="inlineStr">
        <is>
          <t>K3-1B</t>
        </is>
      </c>
      <c r="R14" t="n">
        <v>1.0898</v>
      </c>
    </row>
    <row r="15">
      <c r="A15" t="n">
        <v>8</v>
      </c>
      <c r="B15" t="inlineStr">
        <is>
          <t>EPA1633 &amp; diPAPs Calibration 20 ppb</t>
        </is>
      </c>
      <c r="C15" s="44" t="n">
        <v>17.5519117978694</v>
      </c>
      <c r="D15" t="n">
        <v>4.81</v>
      </c>
      <c r="E15" t="n">
        <v>2.708</v>
      </c>
      <c r="F15" t="n">
        <v>1857.613</v>
      </c>
      <c r="G15" t="n">
        <v>5.017</v>
      </c>
      <c r="H15">
        <f>E15/F15</f>
        <v/>
      </c>
      <c r="I15">
        <f>AVERAGE(I18:I20)</f>
        <v/>
      </c>
      <c r="J15" s="44" t="n">
        <v>15.44568238212507</v>
      </c>
      <c r="Q15" t="inlineStr">
        <is>
          <t>K3-1C</t>
        </is>
      </c>
      <c r="R15" t="n">
        <v>1.0536</v>
      </c>
    </row>
    <row r="16">
      <c r="A16" t="n">
        <v>9</v>
      </c>
      <c r="B16" t="inlineStr">
        <is>
          <t>MeOH</t>
        </is>
      </c>
      <c r="C16" s="44" t="n"/>
      <c r="D16" t="n">
        <v>4.78</v>
      </c>
      <c r="E16" t="n">
        <v>1.407</v>
      </c>
      <c r="G16" t="n">
        <v>3.536</v>
      </c>
      <c r="I16" s="23" t="inlineStr">
        <is>
          <t>Conc.In Vial (ppb)</t>
        </is>
      </c>
      <c r="J16" s="9" t="inlineStr">
        <is>
          <t>Corr. Conc.(ppb)</t>
        </is>
      </c>
      <c r="K16" s="9" t="inlineStr">
        <is>
          <t>Conc. In soil (ng/g)</t>
        </is>
      </c>
      <c r="Q16" t="inlineStr">
        <is>
          <t>K3-2A</t>
        </is>
      </c>
      <c r="R16" s="10" t="n">
        <v>1.1218</v>
      </c>
    </row>
    <row r="17">
      <c r="A17" t="n">
        <v>10</v>
      </c>
      <c r="B17" t="inlineStr">
        <is>
          <t>MeOH</t>
        </is>
      </c>
      <c r="C17" s="44" t="n"/>
      <c r="D17" t="n">
        <v>5.27</v>
      </c>
      <c r="E17" t="n">
        <v>3.787</v>
      </c>
      <c r="G17" t="n">
        <v>8.081</v>
      </c>
      <c r="L17" s="23" t="inlineStr">
        <is>
          <t>Average</t>
        </is>
      </c>
      <c r="M17" s="23" t="inlineStr">
        <is>
          <t>Stdev</t>
        </is>
      </c>
      <c r="N17" s="9" t="inlineStr">
        <is>
          <t>Combined</t>
        </is>
      </c>
      <c r="O17" s="9" t="n"/>
      <c r="P17" s="9" t="n"/>
      <c r="Q17" t="inlineStr">
        <is>
          <t>K3-2B</t>
        </is>
      </c>
      <c r="R17" t="n">
        <v>1.198</v>
      </c>
    </row>
    <row r="18">
      <c r="A18" t="n">
        <v>11</v>
      </c>
      <c r="B18" t="inlineStr">
        <is>
          <t>SB1</t>
        </is>
      </c>
      <c r="D18" t="n">
        <v>4.55</v>
      </c>
      <c r="E18" t="n">
        <v>8.032999999999999</v>
      </c>
      <c r="F18" t="n">
        <v>28.066</v>
      </c>
      <c r="G18" t="n">
        <v>4.455</v>
      </c>
      <c r="H18">
        <f>E18/F18</f>
        <v/>
      </c>
      <c r="I18">
        <f>((H18-$J$7)/$I$7)</f>
        <v/>
      </c>
      <c r="J18">
        <f>(I18-IF(I15&gt;0,I15,0))</f>
        <v/>
      </c>
      <c r="K18">
        <f>J18*1.1</f>
        <v/>
      </c>
      <c r="L18">
        <f>AVERAGE(K18:K20)</f>
        <v/>
      </c>
      <c r="M18">
        <f>STDEV(K19:K20)</f>
        <v/>
      </c>
      <c r="N18">
        <f>_xlfn.CONCAT(ROUND(L18,1)," ± ",ROUND(M18,1))</f>
        <v/>
      </c>
      <c r="Q18" t="inlineStr">
        <is>
          <t>K3-2C</t>
        </is>
      </c>
      <c r="R18" t="n">
        <v>1.1538</v>
      </c>
    </row>
    <row r="19">
      <c r="A19" t="n">
        <v>12</v>
      </c>
      <c r="B19" t="inlineStr">
        <is>
          <t>SB2</t>
        </is>
      </c>
      <c r="D19" t="n">
        <v>4.56</v>
      </c>
      <c r="E19" t="n">
        <v>5.121</v>
      </c>
      <c r="F19" t="n">
        <v>142.746</v>
      </c>
      <c r="G19" t="n">
        <v>3.545</v>
      </c>
      <c r="H19">
        <f>E19/F19</f>
        <v/>
      </c>
      <c r="I19">
        <f>((H19-$J$7)/$I$7)</f>
        <v/>
      </c>
      <c r="J19">
        <f>(I19-IF(I15&gt;0,I15,0))</f>
        <v/>
      </c>
      <c r="K19">
        <f>J19*1.1</f>
        <v/>
      </c>
      <c r="Q19" t="inlineStr">
        <is>
          <t>K3-3A</t>
        </is>
      </c>
      <c r="R19" t="n">
        <v>1.1183</v>
      </c>
    </row>
    <row r="20">
      <c r="A20" t="n">
        <v>13</v>
      </c>
      <c r="B20" t="inlineStr">
        <is>
          <t>SB3</t>
        </is>
      </c>
      <c r="D20" t="n">
        <v>4.48</v>
      </c>
      <c r="E20" t="n">
        <v>1.957</v>
      </c>
      <c r="F20" t="n">
        <v>116.972</v>
      </c>
      <c r="G20" t="n">
        <v>2.764</v>
      </c>
      <c r="H20">
        <f>E20/F20</f>
        <v/>
      </c>
      <c r="I20">
        <f>((H20-$J$7)/$I$7)</f>
        <v/>
      </c>
      <c r="J20">
        <f>(I20-IF(I15&gt;0,I15,0))</f>
        <v/>
      </c>
      <c r="K20" s="30">
        <f>J20*1.1</f>
        <v/>
      </c>
      <c r="L20" s="25" t="inlineStr">
        <is>
          <t>Average</t>
        </is>
      </c>
      <c r="M20" s="25" t="inlineStr">
        <is>
          <t>Stdev</t>
        </is>
      </c>
      <c r="N20" s="26" t="inlineStr">
        <is>
          <t>%Recovery</t>
        </is>
      </c>
      <c r="O20" s="26" t="inlineStr">
        <is>
          <t>Uncertainty</t>
        </is>
      </c>
      <c r="P20" s="26" t="inlineStr">
        <is>
          <t>Combined</t>
        </is>
      </c>
      <c r="Q20" t="inlineStr">
        <is>
          <t>K3-3B</t>
        </is>
      </c>
      <c r="R20" t="n">
        <v>1.1448</v>
      </c>
    </row>
    <row r="21">
      <c r="A21" t="n">
        <v>14</v>
      </c>
      <c r="B21" t="inlineStr">
        <is>
          <t>SS1</t>
        </is>
      </c>
      <c r="D21" t="n">
        <v>4.62</v>
      </c>
      <c r="E21" t="n">
        <v>1.546</v>
      </c>
      <c r="F21" t="n">
        <v>472.826</v>
      </c>
      <c r="G21" t="n">
        <v>4.032</v>
      </c>
      <c r="H21">
        <f>E21/F21</f>
        <v/>
      </c>
      <c r="I21">
        <f>((H21-$J$7)/$I$7)</f>
        <v/>
      </c>
      <c r="J21">
        <f>(I21-IF($I$15&gt;0,$I$15,0))</f>
        <v/>
      </c>
      <c r="K21">
        <f>J21/R7*1.1</f>
        <v/>
      </c>
      <c r="L21" s="27">
        <f>AVERAGE(K21:K23)</f>
        <v/>
      </c>
      <c r="M21" s="27">
        <f>STDEV(K21:K23)</f>
        <v/>
      </c>
      <c r="N21" s="28">
        <f>L21/J15*100</f>
        <v/>
      </c>
      <c r="O21" s="29">
        <f>M21/J15*100</f>
        <v/>
      </c>
      <c r="P21" s="29">
        <f>_xlfn.CONCAT(ROUND(N21,1)," ± ",ROUND(O21,1))</f>
        <v/>
      </c>
      <c r="Q21" t="inlineStr">
        <is>
          <t>K3-3C</t>
        </is>
      </c>
      <c r="R21" t="n">
        <v>1.0493</v>
      </c>
    </row>
    <row r="22">
      <c r="A22" t="n">
        <v>15</v>
      </c>
      <c r="B22" t="inlineStr">
        <is>
          <t>SS2</t>
        </is>
      </c>
      <c r="D22" t="n">
        <v>4.7</v>
      </c>
      <c r="E22" t="n">
        <v>0.65</v>
      </c>
      <c r="F22" t="n">
        <v>645.388</v>
      </c>
      <c r="G22" t="n">
        <v>1.807</v>
      </c>
      <c r="H22">
        <f>E22/F22</f>
        <v/>
      </c>
      <c r="I22">
        <f>((H22-$J$7)/$I$7)</f>
        <v/>
      </c>
      <c r="J22">
        <f>(I22-IF($I$15&gt;0,$I$15,0))</f>
        <v/>
      </c>
      <c r="K22">
        <f>J22/R8*1.1</f>
        <v/>
      </c>
      <c r="Q22" t="inlineStr">
        <is>
          <t>K3-4A</t>
        </is>
      </c>
      <c r="R22" t="n">
        <v>1.0704</v>
      </c>
    </row>
    <row r="23">
      <c r="A23" t="n">
        <v>16</v>
      </c>
      <c r="B23" t="inlineStr">
        <is>
          <t>SS3</t>
        </is>
      </c>
      <c r="D23" t="n">
        <v>4.6</v>
      </c>
      <c r="E23" t="n">
        <v>1.304</v>
      </c>
      <c r="F23" t="n">
        <v>584.283</v>
      </c>
      <c r="G23" t="n">
        <v>4.223</v>
      </c>
      <c r="H23">
        <f>E23/F23</f>
        <v/>
      </c>
      <c r="I23">
        <f>((H23-$J$7)/$I$7)</f>
        <v/>
      </c>
      <c r="J23">
        <f>(I23-IF($I$15&gt;0,$I$15,0))</f>
        <v/>
      </c>
      <c r="K23" s="30">
        <f>J23/R9*1.1</f>
        <v/>
      </c>
      <c r="Q23" t="inlineStr">
        <is>
          <t>K3-4B</t>
        </is>
      </c>
      <c r="R23" t="n">
        <v>1.1589</v>
      </c>
    </row>
    <row r="24">
      <c r="A24" t="n">
        <v>17</v>
      </c>
      <c r="B24" t="inlineStr">
        <is>
          <t>MeOH</t>
        </is>
      </c>
      <c r="L24" s="23" t="inlineStr">
        <is>
          <t>Average</t>
        </is>
      </c>
      <c r="M24" s="23" t="inlineStr">
        <is>
          <t>Stdev</t>
        </is>
      </c>
      <c r="N24" s="9" t="inlineStr">
        <is>
          <t>Combined</t>
        </is>
      </c>
      <c r="Q24" t="inlineStr">
        <is>
          <t>K3-4C</t>
        </is>
      </c>
      <c r="R24" t="n">
        <v>1.0206</v>
      </c>
    </row>
    <row r="25">
      <c r="A25" t="n">
        <v>18</v>
      </c>
      <c r="B25" t="inlineStr">
        <is>
          <t>K4-5A</t>
        </is>
      </c>
      <c r="D25" t="n">
        <v>4.46</v>
      </c>
      <c r="E25" t="n">
        <v>2.53</v>
      </c>
      <c r="F25" t="n">
        <v>47.3</v>
      </c>
      <c r="G25" t="n">
        <v>5.089</v>
      </c>
      <c r="H25">
        <f>E25/F25</f>
        <v/>
      </c>
      <c r="I25">
        <f>((H25-$J$7)/$I$7)</f>
        <v/>
      </c>
      <c r="J25">
        <f>(I25-IF($I$15&gt;0,$I$15,0))</f>
        <v/>
      </c>
      <c r="K25">
        <f>J25/R9*1.1</f>
        <v/>
      </c>
      <c r="L25">
        <f>AVERAGE(K25:K27)</f>
        <v/>
      </c>
      <c r="M25">
        <f>STDEV(K25:K27)</f>
        <v/>
      </c>
      <c r="N25">
        <f>_xlfn.CONCAT(ROUND(L25,1)," ± ",ROUND(M25,1))</f>
        <v/>
      </c>
      <c r="Q25" t="inlineStr">
        <is>
          <t>K3-6A</t>
        </is>
      </c>
      <c r="R25" t="n">
        <v>1.1289</v>
      </c>
    </row>
    <row r="26">
      <c r="A26" t="n">
        <v>19</v>
      </c>
      <c r="B26" t="inlineStr">
        <is>
          <t>K4-5B</t>
        </is>
      </c>
      <c r="D26" t="n">
        <v>4.47</v>
      </c>
      <c r="E26" t="n">
        <v>2.555</v>
      </c>
      <c r="F26" t="n">
        <v>90.40000000000001</v>
      </c>
      <c r="G26" t="n">
        <v>3.172</v>
      </c>
      <c r="H26">
        <f>E26/F26</f>
        <v/>
      </c>
      <c r="I26">
        <f>((H26-$J$7)/$I$7)</f>
        <v/>
      </c>
      <c r="J26">
        <f>(I26-IF($I$15&gt;0,$I$15,0))</f>
        <v/>
      </c>
      <c r="K26">
        <f>J26/R10*1.1</f>
        <v/>
      </c>
      <c r="Q26" t="inlineStr">
        <is>
          <t>K3-6B</t>
        </is>
      </c>
      <c r="R26" t="n">
        <v>1.195</v>
      </c>
    </row>
    <row r="27">
      <c r="A27" t="n">
        <v>20</v>
      </c>
      <c r="B27" t="inlineStr">
        <is>
          <t>K4-5C</t>
        </is>
      </c>
      <c r="D27" t="n">
        <v>4.38</v>
      </c>
      <c r="E27" t="n">
        <v>1.847</v>
      </c>
      <c r="F27" t="n">
        <v>124.816</v>
      </c>
      <c r="G27" t="n">
        <v>2.975</v>
      </c>
      <c r="H27">
        <f>E27/F27</f>
        <v/>
      </c>
      <c r="I27">
        <f>((H27-$J$7)/$I$7)</f>
        <v/>
      </c>
      <c r="J27">
        <f>(I27-IF($I$15&gt;0,$I$15,0))</f>
        <v/>
      </c>
      <c r="K27">
        <f>J27/R11*1.1</f>
        <v/>
      </c>
      <c r="L27" s="23" t="n"/>
      <c r="M27" s="23" t="n"/>
      <c r="N27" s="9" t="n"/>
      <c r="Q27" t="inlineStr">
        <is>
          <t>K3-6C</t>
        </is>
      </c>
      <c r="R27" t="n">
        <v>1.1716</v>
      </c>
    </row>
    <row r="28">
      <c r="A28" t="n">
        <v>21</v>
      </c>
      <c r="B28" t="inlineStr">
        <is>
          <t>MeOH</t>
        </is>
      </c>
      <c r="L28" s="23" t="inlineStr">
        <is>
          <t>Average</t>
        </is>
      </c>
      <c r="M28" s="23" t="inlineStr">
        <is>
          <t>Stdev</t>
        </is>
      </c>
      <c r="N28" s="9" t="inlineStr">
        <is>
          <t>Combined</t>
        </is>
      </c>
    </row>
    <row r="29">
      <c r="A29" t="n">
        <v>22</v>
      </c>
      <c r="B29" t="inlineStr">
        <is>
          <t>K3-1A</t>
        </is>
      </c>
      <c r="D29" t="n">
        <v>4.46</v>
      </c>
      <c r="E29" t="n">
        <v>4.885</v>
      </c>
      <c r="F29" t="n">
        <v>223.733</v>
      </c>
      <c r="G29" t="n">
        <v>3.681</v>
      </c>
      <c r="H29">
        <f>E29/F29</f>
        <v/>
      </c>
      <c r="I29">
        <f>((H29-$J$7)/$I$7)</f>
        <v/>
      </c>
      <c r="J29">
        <f>(I29-IF($I$15&gt;0,$I$15,0))</f>
        <v/>
      </c>
      <c r="K29">
        <f>J29/R12*1.1</f>
        <v/>
      </c>
      <c r="L29">
        <f>AVERAGE(K29:K31)</f>
        <v/>
      </c>
      <c r="M29">
        <f>STDEV(K30:K31)</f>
        <v/>
      </c>
      <c r="N29">
        <f>_xlfn.CONCAT(ROUND(L29,1)," ± ",ROUND(M29,1))</f>
        <v/>
      </c>
    </row>
    <row r="30">
      <c r="A30" t="n">
        <v>23</v>
      </c>
      <c r="B30" t="inlineStr">
        <is>
          <t>K3-1B</t>
        </is>
      </c>
      <c r="D30" t="n">
        <v>4.25</v>
      </c>
      <c r="E30" t="n">
        <v>5.308</v>
      </c>
      <c r="F30" t="n">
        <v>99.345</v>
      </c>
      <c r="G30" t="n">
        <v>2.221</v>
      </c>
      <c r="H30">
        <f>E30/F30</f>
        <v/>
      </c>
      <c r="I30">
        <f>((H30-$J$7)/$I$7)</f>
        <v/>
      </c>
      <c r="J30">
        <f>(I30-IF($I$15&gt;0,$I$15,0))</f>
        <v/>
      </c>
      <c r="K30">
        <f>J30/R13*1.1</f>
        <v/>
      </c>
    </row>
    <row r="31">
      <c r="A31" t="n">
        <v>24</v>
      </c>
      <c r="B31" t="inlineStr">
        <is>
          <t>K3-1C</t>
        </is>
      </c>
      <c r="D31" t="n">
        <v>4.41</v>
      </c>
      <c r="E31" t="n">
        <v>3.107</v>
      </c>
      <c r="F31" t="n">
        <v>75.879</v>
      </c>
      <c r="G31" t="n">
        <v>1.875</v>
      </c>
      <c r="H31">
        <f>E31/F31</f>
        <v/>
      </c>
      <c r="I31">
        <f>((H31-$J$7)/$I$7)</f>
        <v/>
      </c>
      <c r="J31">
        <f>(I31-IF($I$15&gt;0,$I$15,0))</f>
        <v/>
      </c>
      <c r="K31">
        <f>J31/R14*1.1</f>
        <v/>
      </c>
      <c r="L31" s="23" t="inlineStr">
        <is>
          <t>Average</t>
        </is>
      </c>
      <c r="M31" s="23" t="inlineStr">
        <is>
          <t>Stdev</t>
        </is>
      </c>
      <c r="N31" s="9" t="inlineStr">
        <is>
          <t>Combined</t>
        </is>
      </c>
    </row>
    <row r="32">
      <c r="A32" t="n">
        <v>25</v>
      </c>
      <c r="B32" t="inlineStr">
        <is>
          <t>K3-2A</t>
        </is>
      </c>
      <c r="D32" t="n">
        <v>4.66</v>
      </c>
      <c r="E32" t="n">
        <v>3.609</v>
      </c>
      <c r="F32" t="n">
        <v>114.793</v>
      </c>
      <c r="G32" t="n">
        <v>2.487</v>
      </c>
      <c r="H32">
        <f>E32/F32</f>
        <v/>
      </c>
      <c r="I32">
        <f>((H32-$J$7)/$I$7)</f>
        <v/>
      </c>
      <c r="J32">
        <f>(I32-IF($I$15&gt;0,$I$15,0))</f>
        <v/>
      </c>
      <c r="K32">
        <f>J32/R15*1.1</f>
        <v/>
      </c>
      <c r="L32">
        <f>AVERAGE(K32:K34)</f>
        <v/>
      </c>
      <c r="M32">
        <f>STDEV(K32:K34)</f>
        <v/>
      </c>
      <c r="N32">
        <f>_xlfn.CONCAT(ROUND(L32,1)," ± ",ROUND(M32,1))</f>
        <v/>
      </c>
    </row>
    <row r="33">
      <c r="A33" t="n">
        <v>26</v>
      </c>
      <c r="B33" t="inlineStr">
        <is>
          <t>K3-2B</t>
        </is>
      </c>
      <c r="D33" t="n">
        <v>4.73</v>
      </c>
      <c r="E33" t="n">
        <v>4.807</v>
      </c>
      <c r="F33" t="n">
        <v>89.536</v>
      </c>
      <c r="G33" t="n">
        <v>4.069</v>
      </c>
      <c r="H33">
        <f>E33/F33</f>
        <v/>
      </c>
      <c r="I33">
        <f>((H33-$J$7)/$I$7)</f>
        <v/>
      </c>
      <c r="J33">
        <f>(I33-IF($I$15&gt;0,$I$15,0))</f>
        <v/>
      </c>
      <c r="K33">
        <f>J33/R16*1.1</f>
        <v/>
      </c>
    </row>
    <row r="34">
      <c r="A34" t="n">
        <v>27</v>
      </c>
      <c r="B34" t="inlineStr">
        <is>
          <t>K3-2C</t>
        </is>
      </c>
      <c r="D34" t="n">
        <v>4.73</v>
      </c>
      <c r="E34" t="n">
        <v>2.74</v>
      </c>
      <c r="F34" t="n">
        <v>109.063</v>
      </c>
      <c r="G34" t="n">
        <v>2.546</v>
      </c>
      <c r="H34">
        <f>E34/F34</f>
        <v/>
      </c>
      <c r="I34">
        <f>((H34-$J$7)/$I$7)</f>
        <v/>
      </c>
      <c r="J34">
        <f>(I34-IF($I$15&gt;0,$I$15,0))</f>
        <v/>
      </c>
      <c r="K34">
        <f>J34/R17*1.1</f>
        <v/>
      </c>
      <c r="L34" s="23" t="n"/>
      <c r="M34" s="23" t="n"/>
      <c r="N34" s="9" t="n"/>
    </row>
    <row r="35">
      <c r="A35" t="n">
        <v>28</v>
      </c>
      <c r="B35" t="inlineStr">
        <is>
          <t>MeOH</t>
        </is>
      </c>
      <c r="L35" s="23" t="inlineStr">
        <is>
          <t>Average</t>
        </is>
      </c>
      <c r="M35" s="23" t="inlineStr">
        <is>
          <t>Stdev</t>
        </is>
      </c>
      <c r="N35" s="9" t="inlineStr">
        <is>
          <t>Combined</t>
        </is>
      </c>
    </row>
    <row r="36">
      <c r="A36" t="n">
        <v>29</v>
      </c>
      <c r="B36" t="inlineStr">
        <is>
          <t>K3-3A</t>
        </is>
      </c>
      <c r="D36" t="n">
        <v>4.27</v>
      </c>
      <c r="E36" t="n">
        <v>5.79</v>
      </c>
      <c r="F36" t="n">
        <v>85.82299999999999</v>
      </c>
      <c r="G36" t="n">
        <v>3.498</v>
      </c>
      <c r="H36">
        <f>E36/F36</f>
        <v/>
      </c>
      <c r="I36">
        <f>((H36-$J$7)/$I$7)</f>
        <v/>
      </c>
      <c r="J36">
        <f>(I36-IF($I$15&gt;0,$I$15,0))</f>
        <v/>
      </c>
      <c r="K36">
        <f>J36/R18*1.1</f>
        <v/>
      </c>
      <c r="L36">
        <f>AVERAGE(K36:K38)</f>
        <v/>
      </c>
      <c r="M36">
        <f>STDEV(K37:K38)</f>
        <v/>
      </c>
      <c r="N36">
        <f>_xlfn.CONCAT(ROUND(L36,1)," ± ",ROUND(M36,1))</f>
        <v/>
      </c>
    </row>
    <row r="37">
      <c r="A37" t="n">
        <v>30</v>
      </c>
      <c r="B37" t="inlineStr">
        <is>
          <t>K3-3B</t>
        </is>
      </c>
      <c r="D37" t="n">
        <v>5.59</v>
      </c>
      <c r="E37" t="n">
        <v>8.003</v>
      </c>
      <c r="F37" t="n">
        <v>88.152</v>
      </c>
      <c r="G37" t="n">
        <v>4.761</v>
      </c>
      <c r="H37">
        <f>E37/F37</f>
        <v/>
      </c>
      <c r="I37">
        <f>((H37-$J$7)/$I$7)</f>
        <v/>
      </c>
      <c r="J37">
        <f>(I37-IF($I$15&gt;0,$I$15,0))</f>
        <v/>
      </c>
      <c r="K37">
        <f>J37/R19*1.1</f>
        <v/>
      </c>
    </row>
    <row r="38">
      <c r="A38" t="n">
        <v>31</v>
      </c>
      <c r="B38" t="inlineStr">
        <is>
          <t>K3-3C</t>
        </is>
      </c>
      <c r="D38" t="n">
        <v>5.35</v>
      </c>
      <c r="E38" t="n">
        <v>4.607</v>
      </c>
      <c r="F38" t="n">
        <v>101.444</v>
      </c>
      <c r="G38" t="n">
        <v>3.116</v>
      </c>
      <c r="H38">
        <f>E38/F38</f>
        <v/>
      </c>
      <c r="I38">
        <f>((H38-$J$7)/$I$7)</f>
        <v/>
      </c>
      <c r="J38">
        <f>(I38-IF($I$15&gt;0,$I$15,0))</f>
        <v/>
      </c>
      <c r="K38">
        <f>J38/R20*1.1</f>
        <v/>
      </c>
      <c r="L38" s="23" t="inlineStr">
        <is>
          <t>Average</t>
        </is>
      </c>
      <c r="M38" s="23" t="inlineStr">
        <is>
          <t>Stdev</t>
        </is>
      </c>
      <c r="N38" s="9" t="inlineStr">
        <is>
          <t>Combined</t>
        </is>
      </c>
    </row>
    <row r="39">
      <c r="A39" t="n">
        <v>32</v>
      </c>
      <c r="B39" t="inlineStr">
        <is>
          <t>K3-4A</t>
        </is>
      </c>
      <c r="D39" t="n">
        <v>3.55</v>
      </c>
      <c r="E39" t="n">
        <v>2.587</v>
      </c>
      <c r="F39" t="n">
        <v>68.256</v>
      </c>
      <c r="G39" t="n">
        <v>3.271</v>
      </c>
      <c r="H39">
        <f>E39/F39</f>
        <v/>
      </c>
      <c r="I39">
        <f>((H39-$J$7)/$I$7)</f>
        <v/>
      </c>
      <c r="J39">
        <f>(I39-IF($I$15&gt;0,$I$15,0))</f>
        <v/>
      </c>
      <c r="K39">
        <f>J39/R21*1.1</f>
        <v/>
      </c>
      <c r="L39">
        <f>AVERAGE(K39:K41)</f>
        <v/>
      </c>
      <c r="M39">
        <f>STDEV(K39:K41)</f>
        <v/>
      </c>
      <c r="N39">
        <f>_xlfn.CONCAT(ROUND(L39,1)," ± ",ROUND(M39,1))</f>
        <v/>
      </c>
    </row>
    <row r="40">
      <c r="A40" t="n">
        <v>33</v>
      </c>
      <c r="B40" t="inlineStr">
        <is>
          <t>K3-4B</t>
        </is>
      </c>
      <c r="D40" t="n">
        <v>4.05</v>
      </c>
      <c r="E40" t="n">
        <v>2.623</v>
      </c>
      <c r="F40" t="n">
        <v>78.85599999999999</v>
      </c>
      <c r="G40" t="n">
        <v>3.229</v>
      </c>
      <c r="H40">
        <f>E40/F40</f>
        <v/>
      </c>
      <c r="I40">
        <f>((H40-$J$7)/$I$7)</f>
        <v/>
      </c>
      <c r="J40">
        <f>(I40-IF($I$15&gt;0,$I$15,0))</f>
        <v/>
      </c>
      <c r="K40">
        <f>J40/R22*1.1</f>
        <v/>
      </c>
    </row>
    <row r="41">
      <c r="A41" t="n">
        <v>34</v>
      </c>
      <c r="B41" t="inlineStr">
        <is>
          <t>K3-4C</t>
        </is>
      </c>
      <c r="D41" t="n">
        <v>4.08</v>
      </c>
      <c r="E41" t="n">
        <v>3.668</v>
      </c>
      <c r="F41" t="n">
        <v>79.253</v>
      </c>
      <c r="G41" t="n">
        <v>1.918</v>
      </c>
      <c r="H41">
        <f>E41/F41</f>
        <v/>
      </c>
      <c r="I41">
        <f>((H41-$J$7)/$I$7)</f>
        <v/>
      </c>
      <c r="J41">
        <f>(I41-IF($I$15&gt;0,$I$15,0))</f>
        <v/>
      </c>
      <c r="K41">
        <f>J41/R23*1.1</f>
        <v/>
      </c>
      <c r="L41" s="23" t="n"/>
      <c r="M41" s="23" t="n"/>
      <c r="N41" s="9" t="n"/>
    </row>
    <row r="42">
      <c r="A42" t="n">
        <v>35</v>
      </c>
      <c r="B42" t="inlineStr">
        <is>
          <t>MeOH</t>
        </is>
      </c>
      <c r="L42" s="23" t="inlineStr">
        <is>
          <t>Average</t>
        </is>
      </c>
      <c r="M42" s="23" t="inlineStr">
        <is>
          <t>Stdev</t>
        </is>
      </c>
      <c r="N42" s="9" t="inlineStr">
        <is>
          <t>Combined</t>
        </is>
      </c>
    </row>
    <row r="43">
      <c r="A43" t="n">
        <v>36</v>
      </c>
      <c r="B43" t="inlineStr">
        <is>
          <t>K3-6A</t>
        </is>
      </c>
      <c r="F43" t="n">
        <v>76.111</v>
      </c>
      <c r="H43">
        <f>E43/F43</f>
        <v/>
      </c>
      <c r="I43">
        <f>((H43-$J$7)/$I$7)</f>
        <v/>
      </c>
      <c r="J43">
        <f>(I43-IF($I$15&gt;0,$I$15,0))</f>
        <v/>
      </c>
      <c r="K43">
        <f>J43/R24*1.1</f>
        <v/>
      </c>
      <c r="L43">
        <f>AVERAGE(K43:K45)</f>
        <v/>
      </c>
      <c r="M43">
        <f>STDEV(K44:K45)</f>
        <v/>
      </c>
      <c r="N43">
        <f>_xlfn.CONCAT(ROUND(L43,1)," ± ",ROUND(M43,1))</f>
        <v/>
      </c>
    </row>
    <row r="44">
      <c r="A44" t="n">
        <v>37</v>
      </c>
      <c r="B44" t="inlineStr">
        <is>
          <t>K3-6B</t>
        </is>
      </c>
      <c r="D44" t="n">
        <v>3.92</v>
      </c>
      <c r="E44" t="n">
        <v>2.335</v>
      </c>
      <c r="F44" t="n">
        <v>56.162</v>
      </c>
      <c r="G44" t="n">
        <v>4.288</v>
      </c>
      <c r="H44">
        <f>E44/F44</f>
        <v/>
      </c>
      <c r="I44">
        <f>((H44-$J$7)/$I$7)</f>
        <v/>
      </c>
      <c r="J44">
        <f>(I44-IF($I$15&gt;0,$I$15,0))</f>
        <v/>
      </c>
      <c r="K44">
        <f>J44/R25*1.1</f>
        <v/>
      </c>
    </row>
    <row r="45">
      <c r="A45" t="n">
        <v>38</v>
      </c>
      <c r="B45" t="inlineStr">
        <is>
          <t>K3-6C</t>
        </is>
      </c>
      <c r="D45" t="n">
        <v>4.76</v>
      </c>
      <c r="E45" t="n">
        <v>4.235</v>
      </c>
      <c r="F45" t="n">
        <v>136.768</v>
      </c>
      <c r="G45" t="n">
        <v>6.004</v>
      </c>
      <c r="H45">
        <f>E45/F45</f>
        <v/>
      </c>
      <c r="I45">
        <f>((H45-$J$7)/$I$7)</f>
        <v/>
      </c>
      <c r="J45">
        <f>(I45-IF($I$15&gt;0,$I$15,0))</f>
        <v/>
      </c>
      <c r="K45">
        <f>J45/R26*1.1</f>
        <v/>
      </c>
      <c r="L45" s="23" t="n"/>
      <c r="M45" s="23" t="n"/>
      <c r="N45" s="9" t="n"/>
    </row>
    <row r="47">
      <c r="A47" t="inlineStr">
        <is>
          <t>Compound 2:  4:2 monoPAP 2</t>
        </is>
      </c>
    </row>
    <row r="49">
      <c r="B49" t="inlineStr">
        <is>
          <t>Sample Text</t>
        </is>
      </c>
      <c r="C49" t="inlineStr">
        <is>
          <t>Std. Conc</t>
        </is>
      </c>
      <c r="D49" t="inlineStr">
        <is>
          <t>RT</t>
        </is>
      </c>
      <c r="E49" t="inlineStr">
        <is>
          <t>Area</t>
        </is>
      </c>
      <c r="F49" t="inlineStr">
        <is>
          <t>IS Area</t>
        </is>
      </c>
      <c r="G49" t="inlineStr">
        <is>
          <t>S/N</t>
        </is>
      </c>
      <c r="H49" t="inlineStr">
        <is>
          <t>Primary Flags</t>
        </is>
      </c>
      <c r="I49" t="inlineStr">
        <is>
          <t>Response</t>
        </is>
      </c>
      <c r="J49" t="inlineStr">
        <is>
          <t>Conc.</t>
        </is>
      </c>
      <c r="K49" t="inlineStr">
        <is>
          <t>Name</t>
        </is>
      </c>
    </row>
    <row r="50">
      <c r="A50" t="n">
        <v>1</v>
      </c>
      <c r="B50" t="inlineStr">
        <is>
          <t>EPA1633 &amp; diPAPs Calibration 0 ppb</t>
        </is>
      </c>
      <c r="D50" t="n">
        <v>2.06</v>
      </c>
      <c r="E50" t="n">
        <v>0.855</v>
      </c>
      <c r="F50" t="n">
        <v>2.385</v>
      </c>
      <c r="G50" t="n">
        <v>110</v>
      </c>
      <c r="H50" t="inlineStr">
        <is>
          <t>bb</t>
        </is>
      </c>
      <c r="K50" t="inlineStr">
        <is>
          <t>20250617-12</t>
        </is>
      </c>
    </row>
    <row r="51">
      <c r="A51" t="n">
        <v>2</v>
      </c>
      <c r="B51" t="inlineStr">
        <is>
          <t>EPA1633 &amp; diPAPs Calibration 0.02 ppb</t>
        </is>
      </c>
      <c r="D51" t="n">
        <v>2.08</v>
      </c>
      <c r="E51" t="n">
        <v>0.272</v>
      </c>
      <c r="F51" t="n">
        <v>2.874</v>
      </c>
      <c r="G51" t="n">
        <v>35</v>
      </c>
      <c r="H51" t="inlineStr">
        <is>
          <t>bb</t>
        </is>
      </c>
      <c r="K51" t="inlineStr">
        <is>
          <t>20250617-13</t>
        </is>
      </c>
    </row>
    <row r="52">
      <c r="A52" t="n">
        <v>3</v>
      </c>
      <c r="B52" t="inlineStr">
        <is>
          <t>EPA1633 &amp; diPAPs Calibration 0.1 ppb</t>
        </is>
      </c>
      <c r="D52" t="n">
        <v>4.36</v>
      </c>
      <c r="E52" t="n">
        <v>0.415</v>
      </c>
      <c r="F52" t="n">
        <v>14.5</v>
      </c>
      <c r="G52" t="n">
        <v>55</v>
      </c>
      <c r="H52" t="inlineStr">
        <is>
          <t>bb</t>
        </is>
      </c>
      <c r="K52" t="inlineStr">
        <is>
          <t>20250617-14</t>
        </is>
      </c>
    </row>
    <row r="53">
      <c r="A53" t="n">
        <v>4</v>
      </c>
      <c r="B53" t="inlineStr">
        <is>
          <t>EPA1633 &amp; diPAPs Calibration 0.4 ppb</t>
        </is>
      </c>
      <c r="F53" t="n">
        <v>22.744</v>
      </c>
      <c r="K53" t="inlineStr">
        <is>
          <t>20250617-15</t>
        </is>
      </c>
    </row>
    <row r="54">
      <c r="A54" t="n">
        <v>5</v>
      </c>
      <c r="B54" t="inlineStr">
        <is>
          <t>EPA1633 &amp; diPAPs Calibration 1 ppb</t>
        </is>
      </c>
      <c r="F54" t="n">
        <v>104.89</v>
      </c>
      <c r="K54" t="inlineStr">
        <is>
          <t>20250617-16</t>
        </is>
      </c>
    </row>
    <row r="55">
      <c r="A55" t="n">
        <v>6</v>
      </c>
      <c r="B55" t="inlineStr">
        <is>
          <t>EPA1633 &amp; diPAPs Calibration 5 ppb</t>
        </is>
      </c>
      <c r="D55" t="n">
        <v>3.77</v>
      </c>
      <c r="E55" t="n">
        <v>0.734</v>
      </c>
      <c r="F55" t="n">
        <v>166.098</v>
      </c>
      <c r="G55" t="n">
        <v>8.058999999999999</v>
      </c>
      <c r="H55" t="inlineStr">
        <is>
          <t>bb</t>
        </is>
      </c>
      <c r="K55" t="inlineStr">
        <is>
          <t>20250617-17</t>
        </is>
      </c>
    </row>
    <row r="56">
      <c r="A56" t="n">
        <v>7</v>
      </c>
      <c r="B56" t="inlineStr">
        <is>
          <t>EPA1633 &amp; diPAPs Calibration 10 ppb</t>
        </is>
      </c>
      <c r="D56" t="n">
        <v>4.77</v>
      </c>
      <c r="E56" t="n">
        <v>1.762</v>
      </c>
      <c r="F56" t="n">
        <v>319.112</v>
      </c>
      <c r="G56" t="n">
        <v>11.137</v>
      </c>
      <c r="H56" t="inlineStr">
        <is>
          <t>bb</t>
        </is>
      </c>
      <c r="K56" t="inlineStr">
        <is>
          <t>20250617-18</t>
        </is>
      </c>
    </row>
    <row r="57">
      <c r="A57" t="n">
        <v>8</v>
      </c>
      <c r="B57" t="inlineStr">
        <is>
          <t>EPA1633 &amp; diPAPs Calibration 20 ppb</t>
        </is>
      </c>
      <c r="D57" t="n">
        <v>6.51</v>
      </c>
      <c r="E57" t="n">
        <v>1.408</v>
      </c>
      <c r="F57" t="n">
        <v>151.387</v>
      </c>
      <c r="G57" t="n">
        <v>1.046</v>
      </c>
      <c r="H57" t="inlineStr">
        <is>
          <t>bb</t>
        </is>
      </c>
      <c r="K57" t="inlineStr">
        <is>
          <t>20250617-19</t>
        </is>
      </c>
    </row>
    <row r="58">
      <c r="A58" t="n">
        <v>9</v>
      </c>
      <c r="B58" t="inlineStr">
        <is>
          <t>MeOH</t>
        </is>
      </c>
      <c r="D58" t="n">
        <v>5.56</v>
      </c>
      <c r="E58" t="n">
        <v>0.406</v>
      </c>
      <c r="G58" t="n">
        <v>4.382</v>
      </c>
      <c r="H58" t="inlineStr">
        <is>
          <t>bb</t>
        </is>
      </c>
      <c r="K58" t="inlineStr">
        <is>
          <t>20250617-20</t>
        </is>
      </c>
    </row>
    <row r="59">
      <c r="A59" t="n">
        <v>10</v>
      </c>
      <c r="B59" t="inlineStr">
        <is>
          <t>MeOH</t>
        </is>
      </c>
      <c r="D59" t="n">
        <v>1.3</v>
      </c>
      <c r="E59" t="n">
        <v>0.492</v>
      </c>
      <c r="G59" t="n">
        <v>29.414</v>
      </c>
      <c r="H59" t="inlineStr">
        <is>
          <t>bb</t>
        </is>
      </c>
      <c r="K59" t="inlineStr">
        <is>
          <t>20250617-21</t>
        </is>
      </c>
    </row>
    <row r="60">
      <c r="A60" t="n">
        <v>11</v>
      </c>
      <c r="B60" t="inlineStr">
        <is>
          <t>SB1</t>
        </is>
      </c>
      <c r="D60" t="n">
        <v>4.07</v>
      </c>
      <c r="E60" t="n">
        <v>1.06</v>
      </c>
      <c r="F60" t="n">
        <v>1.33</v>
      </c>
      <c r="G60" t="n">
        <v>36.208</v>
      </c>
      <c r="H60" t="inlineStr">
        <is>
          <t>bb</t>
        </is>
      </c>
      <c r="K60" t="inlineStr">
        <is>
          <t>20250617-22</t>
        </is>
      </c>
    </row>
    <row r="61">
      <c r="A61" t="n">
        <v>12</v>
      </c>
      <c r="B61" t="inlineStr">
        <is>
          <t>SB2</t>
        </is>
      </c>
      <c r="D61" t="n">
        <v>4.98</v>
      </c>
      <c r="E61" t="n">
        <v>0.185</v>
      </c>
      <c r="F61" t="n">
        <v>13.761</v>
      </c>
      <c r="G61" t="n">
        <v>24</v>
      </c>
      <c r="H61" t="inlineStr">
        <is>
          <t>bb</t>
        </is>
      </c>
      <c r="K61" t="inlineStr">
        <is>
          <t>20250617-23</t>
        </is>
      </c>
    </row>
    <row r="62">
      <c r="A62" t="n">
        <v>13</v>
      </c>
      <c r="B62" t="inlineStr">
        <is>
          <t>SB3</t>
        </is>
      </c>
      <c r="D62" t="n">
        <v>4.77</v>
      </c>
      <c r="E62" t="n">
        <v>0.485</v>
      </c>
      <c r="F62" t="n">
        <v>4.471</v>
      </c>
      <c r="G62" t="n">
        <v>64</v>
      </c>
      <c r="H62" t="inlineStr">
        <is>
          <t>bb</t>
        </is>
      </c>
      <c r="K62" t="inlineStr">
        <is>
          <t>20250617-24</t>
        </is>
      </c>
    </row>
    <row r="63">
      <c r="A63" t="n">
        <v>14</v>
      </c>
      <c r="B63" t="inlineStr">
        <is>
          <t>SS1</t>
        </is>
      </c>
      <c r="D63" t="n">
        <v>3.88</v>
      </c>
      <c r="E63" t="n">
        <v>0.306</v>
      </c>
      <c r="F63" t="n">
        <v>64.504</v>
      </c>
      <c r="G63" t="n">
        <v>40</v>
      </c>
      <c r="H63" t="inlineStr">
        <is>
          <t>bb</t>
        </is>
      </c>
      <c r="K63" t="inlineStr">
        <is>
          <t>20250617-25</t>
        </is>
      </c>
    </row>
    <row r="64">
      <c r="A64" t="n">
        <v>15</v>
      </c>
      <c r="B64" t="inlineStr">
        <is>
          <t>SS2</t>
        </is>
      </c>
      <c r="D64" t="n">
        <v>6.42</v>
      </c>
      <c r="E64" t="n">
        <v>2.397</v>
      </c>
      <c r="F64" t="n">
        <v>76.886</v>
      </c>
      <c r="G64" t="n">
        <v>62</v>
      </c>
      <c r="H64" t="inlineStr">
        <is>
          <t>bb</t>
        </is>
      </c>
      <c r="K64" t="inlineStr">
        <is>
          <t>20250617-26</t>
        </is>
      </c>
    </row>
    <row r="65">
      <c r="A65" t="n">
        <v>16</v>
      </c>
      <c r="B65" t="inlineStr">
        <is>
          <t>SS3</t>
        </is>
      </c>
      <c r="D65" t="n">
        <v>3.6</v>
      </c>
      <c r="E65" t="n">
        <v>0.5580000000000001</v>
      </c>
      <c r="F65" t="n">
        <v>32.446</v>
      </c>
      <c r="G65" t="n">
        <v>22.456</v>
      </c>
      <c r="H65" t="inlineStr">
        <is>
          <t>bb</t>
        </is>
      </c>
      <c r="K65" t="inlineStr">
        <is>
          <t>20250617-27</t>
        </is>
      </c>
    </row>
    <row r="66">
      <c r="A66" t="n">
        <v>17</v>
      </c>
      <c r="B66" t="inlineStr">
        <is>
          <t>MeOH</t>
        </is>
      </c>
      <c r="H66" t="inlineStr">
        <is>
          <t>MM-</t>
        </is>
      </c>
      <c r="K66" t="inlineStr">
        <is>
          <t>20250617-28</t>
        </is>
      </c>
    </row>
    <row r="67">
      <c r="A67" t="n">
        <v>18</v>
      </c>
      <c r="B67" t="inlineStr">
        <is>
          <t>K4-5A</t>
        </is>
      </c>
      <c r="D67" t="n">
        <v>4.71</v>
      </c>
      <c r="E67" t="n">
        <v>0.393</v>
      </c>
      <c r="F67" t="n">
        <v>1.25</v>
      </c>
      <c r="G67" t="n">
        <v>30.058</v>
      </c>
      <c r="H67" t="inlineStr">
        <is>
          <t>bb</t>
        </is>
      </c>
      <c r="K67" t="inlineStr">
        <is>
          <t>20250617-29</t>
        </is>
      </c>
    </row>
    <row r="68">
      <c r="A68" t="n">
        <v>19</v>
      </c>
      <c r="B68" t="inlineStr">
        <is>
          <t>K4-5B</t>
        </is>
      </c>
      <c r="D68" t="n">
        <v>4.22</v>
      </c>
      <c r="E68" t="n">
        <v>1.035</v>
      </c>
      <c r="F68" t="n">
        <v>5.708</v>
      </c>
      <c r="G68" t="n">
        <v>7.229</v>
      </c>
      <c r="H68" t="inlineStr">
        <is>
          <t>MM</t>
        </is>
      </c>
      <c r="K68" t="inlineStr">
        <is>
          <t>20250617-30</t>
        </is>
      </c>
    </row>
    <row r="69">
      <c r="A69" t="n">
        <v>20</v>
      </c>
      <c r="B69" t="inlineStr">
        <is>
          <t>K4-5C</t>
        </is>
      </c>
      <c r="D69" t="n">
        <v>5.76</v>
      </c>
      <c r="E69" t="n">
        <v>0.8139999999999999</v>
      </c>
      <c r="F69" t="n">
        <v>1.923</v>
      </c>
      <c r="G69" t="n">
        <v>32</v>
      </c>
      <c r="H69" t="inlineStr">
        <is>
          <t>bb</t>
        </is>
      </c>
      <c r="K69" t="inlineStr">
        <is>
          <t>20250617-31</t>
        </is>
      </c>
    </row>
    <row r="70">
      <c r="A70" t="n">
        <v>21</v>
      </c>
      <c r="B70" t="inlineStr">
        <is>
          <t>MeOH</t>
        </is>
      </c>
      <c r="H70" t="inlineStr">
        <is>
          <t>MM-</t>
        </is>
      </c>
      <c r="K70" t="inlineStr">
        <is>
          <t>20250617-32</t>
        </is>
      </c>
    </row>
    <row r="71">
      <c r="A71" t="n">
        <v>22</v>
      </c>
      <c r="B71" t="inlineStr">
        <is>
          <t>K3-1A</t>
        </is>
      </c>
      <c r="D71" t="n">
        <v>4.55</v>
      </c>
      <c r="E71" t="n">
        <v>0.458</v>
      </c>
      <c r="F71" t="n">
        <v>25.216</v>
      </c>
      <c r="G71" t="n">
        <v>5.934</v>
      </c>
      <c r="H71" t="inlineStr">
        <is>
          <t>MM</t>
        </is>
      </c>
      <c r="K71" t="inlineStr">
        <is>
          <t>20250617-33</t>
        </is>
      </c>
    </row>
    <row r="72">
      <c r="A72" t="n">
        <v>23</v>
      </c>
      <c r="B72" t="inlineStr">
        <is>
          <t>K3-1B</t>
        </is>
      </c>
      <c r="D72" t="n">
        <v>1.11</v>
      </c>
      <c r="E72" t="n">
        <v>0.614</v>
      </c>
      <c r="F72" t="n">
        <v>3.287</v>
      </c>
      <c r="G72" t="n">
        <v>52.604</v>
      </c>
      <c r="H72" t="inlineStr">
        <is>
          <t>bb</t>
        </is>
      </c>
      <c r="K72" t="inlineStr">
        <is>
          <t>20250617-34</t>
        </is>
      </c>
    </row>
    <row r="73">
      <c r="A73" t="n">
        <v>24</v>
      </c>
      <c r="B73" t="inlineStr">
        <is>
          <t>K3-1C</t>
        </is>
      </c>
      <c r="D73" t="n">
        <v>4.68</v>
      </c>
      <c r="E73" t="n">
        <v>0.726</v>
      </c>
      <c r="F73" t="n">
        <v>0.276</v>
      </c>
      <c r="G73" t="n">
        <v>94</v>
      </c>
      <c r="H73" t="inlineStr">
        <is>
          <t>bb</t>
        </is>
      </c>
      <c r="K73" t="inlineStr">
        <is>
          <t>20250617-35</t>
        </is>
      </c>
    </row>
    <row r="74">
      <c r="A74" t="n">
        <v>25</v>
      </c>
      <c r="B74" t="inlineStr">
        <is>
          <t>K3-2A</t>
        </is>
      </c>
      <c r="D74" t="n">
        <v>4.42</v>
      </c>
      <c r="E74" t="n">
        <v>0.311</v>
      </c>
      <c r="F74" t="n">
        <v>0.89</v>
      </c>
      <c r="G74" t="n">
        <v>40</v>
      </c>
      <c r="H74" t="inlineStr">
        <is>
          <t>bb</t>
        </is>
      </c>
      <c r="K74" t="inlineStr">
        <is>
          <t>20250617-36</t>
        </is>
      </c>
    </row>
    <row r="75">
      <c r="A75" t="n">
        <v>26</v>
      </c>
      <c r="B75" t="inlineStr">
        <is>
          <t>K3-2B</t>
        </is>
      </c>
      <c r="D75" t="n">
        <v>1.13</v>
      </c>
      <c r="E75" t="n">
        <v>1.018</v>
      </c>
      <c r="F75" t="n">
        <v>5.602</v>
      </c>
      <c r="G75" t="n">
        <v>78</v>
      </c>
      <c r="H75" t="inlineStr">
        <is>
          <t>bb</t>
        </is>
      </c>
      <c r="K75" t="inlineStr">
        <is>
          <t>20250617-37</t>
        </is>
      </c>
    </row>
    <row r="76">
      <c r="A76" t="n">
        <v>27</v>
      </c>
      <c r="B76" t="inlineStr">
        <is>
          <t>K3-2C</t>
        </is>
      </c>
      <c r="D76" t="n">
        <v>1.05</v>
      </c>
      <c r="E76" t="n">
        <v>0.501</v>
      </c>
      <c r="F76" t="n">
        <v>0.634</v>
      </c>
      <c r="G76" t="n">
        <v>61</v>
      </c>
      <c r="H76" t="inlineStr">
        <is>
          <t>bb</t>
        </is>
      </c>
      <c r="K76" t="inlineStr">
        <is>
          <t>20250617-38</t>
        </is>
      </c>
    </row>
    <row r="77">
      <c r="A77" t="n">
        <v>28</v>
      </c>
      <c r="B77" t="inlineStr">
        <is>
          <t>MeOH</t>
        </is>
      </c>
      <c r="D77" t="n">
        <v>1.13</v>
      </c>
      <c r="E77" t="n">
        <v>1.316</v>
      </c>
      <c r="G77" t="n">
        <v>141.075</v>
      </c>
      <c r="H77" t="inlineStr">
        <is>
          <t>bb</t>
        </is>
      </c>
      <c r="K77" t="inlineStr">
        <is>
          <t>20250617-39</t>
        </is>
      </c>
    </row>
    <row r="78">
      <c r="A78" t="n">
        <v>29</v>
      </c>
      <c r="B78" t="inlineStr">
        <is>
          <t>K3-3A</t>
        </is>
      </c>
      <c r="D78" t="n">
        <v>1.04</v>
      </c>
      <c r="E78" t="n">
        <v>0.297</v>
      </c>
      <c r="F78" t="n">
        <v>0.57</v>
      </c>
      <c r="G78" t="n">
        <v>9.365</v>
      </c>
      <c r="H78" t="inlineStr">
        <is>
          <t>bb</t>
        </is>
      </c>
      <c r="K78" t="inlineStr">
        <is>
          <t>20250617-40</t>
        </is>
      </c>
    </row>
    <row r="79">
      <c r="A79" t="n">
        <v>30</v>
      </c>
      <c r="B79" t="inlineStr">
        <is>
          <t>K3-3B</t>
        </is>
      </c>
      <c r="D79" t="n">
        <v>1.1</v>
      </c>
      <c r="E79" t="n">
        <v>0.27</v>
      </c>
      <c r="F79" t="n">
        <v>17.73</v>
      </c>
      <c r="G79" t="n">
        <v>35</v>
      </c>
      <c r="H79" t="inlineStr">
        <is>
          <t>bb</t>
        </is>
      </c>
      <c r="K79" t="inlineStr">
        <is>
          <t>20250617-41</t>
        </is>
      </c>
    </row>
    <row r="80">
      <c r="A80" t="n">
        <v>31</v>
      </c>
      <c r="B80" t="inlineStr">
        <is>
          <t>K3-3C</t>
        </is>
      </c>
      <c r="D80" t="n">
        <v>3.69</v>
      </c>
      <c r="E80" t="n">
        <v>1.04</v>
      </c>
      <c r="F80" t="n">
        <v>8.109999999999999</v>
      </c>
      <c r="G80" t="n">
        <v>20.504</v>
      </c>
      <c r="H80" t="inlineStr">
        <is>
          <t>bb</t>
        </is>
      </c>
      <c r="K80" t="inlineStr">
        <is>
          <t>20250617-42</t>
        </is>
      </c>
    </row>
    <row r="81">
      <c r="A81" t="n">
        <v>32</v>
      </c>
      <c r="B81" t="inlineStr">
        <is>
          <t>K3-4A</t>
        </is>
      </c>
      <c r="D81" t="n">
        <v>5.57</v>
      </c>
      <c r="E81" t="n">
        <v>1.86</v>
      </c>
      <c r="F81" t="n">
        <v>17.307</v>
      </c>
      <c r="G81" t="n">
        <v>9.176</v>
      </c>
      <c r="H81" t="inlineStr">
        <is>
          <t>bb</t>
        </is>
      </c>
      <c r="K81" t="inlineStr">
        <is>
          <t>20250617-43</t>
        </is>
      </c>
    </row>
    <row r="82">
      <c r="A82" t="n">
        <v>33</v>
      </c>
      <c r="B82" t="inlineStr">
        <is>
          <t>K3-4B</t>
        </is>
      </c>
      <c r="D82" t="n">
        <v>4.88</v>
      </c>
      <c r="E82" t="n">
        <v>0.5600000000000001</v>
      </c>
      <c r="F82" t="n">
        <v>8.846</v>
      </c>
      <c r="G82" t="n">
        <v>5.701</v>
      </c>
      <c r="H82" t="inlineStr">
        <is>
          <t>bb</t>
        </is>
      </c>
      <c r="K82" t="inlineStr">
        <is>
          <t>20250617-44</t>
        </is>
      </c>
    </row>
    <row r="83">
      <c r="A83" t="n">
        <v>34</v>
      </c>
      <c r="B83" t="inlineStr">
        <is>
          <t>K3-4C</t>
        </is>
      </c>
      <c r="D83" t="n">
        <v>3.77</v>
      </c>
      <c r="E83" t="n">
        <v>0.411</v>
      </c>
      <c r="F83" t="n">
        <v>0.951</v>
      </c>
      <c r="G83" t="n">
        <v>29.342</v>
      </c>
      <c r="H83" t="inlineStr">
        <is>
          <t>bb</t>
        </is>
      </c>
      <c r="K83" t="inlineStr">
        <is>
          <t>20250617-45</t>
        </is>
      </c>
    </row>
    <row r="84">
      <c r="A84" t="n">
        <v>35</v>
      </c>
      <c r="B84" t="inlineStr">
        <is>
          <t>MeOH</t>
        </is>
      </c>
      <c r="D84" t="n">
        <v>3.31</v>
      </c>
      <c r="E84" t="n">
        <v>0.434</v>
      </c>
      <c r="G84" t="n">
        <v>55</v>
      </c>
      <c r="H84" t="inlineStr">
        <is>
          <t>bb</t>
        </is>
      </c>
      <c r="K84" t="inlineStr">
        <is>
          <t>20250617-46</t>
        </is>
      </c>
    </row>
    <row r="85">
      <c r="A85" t="n">
        <v>36</v>
      </c>
      <c r="B85" t="inlineStr">
        <is>
          <t>K3-6A</t>
        </is>
      </c>
      <c r="D85" t="n">
        <v>3.71</v>
      </c>
      <c r="E85" t="n">
        <v>0.178</v>
      </c>
      <c r="F85" t="n">
        <v>4.772</v>
      </c>
      <c r="G85" t="n">
        <v>5.81</v>
      </c>
      <c r="H85" t="inlineStr">
        <is>
          <t>bb</t>
        </is>
      </c>
      <c r="K85" t="inlineStr">
        <is>
          <t>20250617-47</t>
        </is>
      </c>
    </row>
    <row r="86">
      <c r="A86" t="n">
        <v>37</v>
      </c>
      <c r="B86" t="inlineStr">
        <is>
          <t>K3-6B</t>
        </is>
      </c>
      <c r="D86" t="n">
        <v>1.04</v>
      </c>
      <c r="E86" t="n">
        <v>0.401</v>
      </c>
      <c r="F86" t="n">
        <v>0.16</v>
      </c>
      <c r="G86" t="n">
        <v>43</v>
      </c>
      <c r="H86" t="inlineStr">
        <is>
          <t>bb</t>
        </is>
      </c>
      <c r="K86" t="inlineStr">
        <is>
          <t>20250617-48</t>
        </is>
      </c>
    </row>
    <row r="87">
      <c r="A87" t="n">
        <v>38</v>
      </c>
      <c r="B87" t="inlineStr">
        <is>
          <t>K3-6C</t>
        </is>
      </c>
      <c r="D87" t="n">
        <v>3.73</v>
      </c>
      <c r="E87" t="n">
        <v>1.091</v>
      </c>
      <c r="F87" t="n">
        <v>0.6</v>
      </c>
      <c r="G87" t="n">
        <v>42.94</v>
      </c>
      <c r="H87" t="inlineStr">
        <is>
          <t>bb</t>
        </is>
      </c>
      <c r="K87" t="inlineStr">
        <is>
          <t>20250617-49</t>
        </is>
      </c>
    </row>
    <row r="89">
      <c r="A89" t="inlineStr">
        <is>
          <t>Compound 3:  PFHxPA 1</t>
        </is>
      </c>
    </row>
    <row r="90">
      <c r="I90" t="inlineStr">
        <is>
          <t>LINEST</t>
        </is>
      </c>
      <c r="Q90" t="inlineStr">
        <is>
          <t>Biosolids Masses</t>
        </is>
      </c>
      <c r="R90" t="inlineStr">
        <is>
          <t>(g)</t>
        </is>
      </c>
    </row>
    <row r="91">
      <c r="B91" t="inlineStr">
        <is>
          <t>Sample Text</t>
        </is>
      </c>
      <c r="C91" t="inlineStr">
        <is>
          <t>Std. Conc</t>
        </is>
      </c>
      <c r="D91" t="inlineStr">
        <is>
          <t>RT</t>
        </is>
      </c>
      <c r="E91" t="inlineStr">
        <is>
          <t>Area</t>
        </is>
      </c>
      <c r="F91" t="inlineStr">
        <is>
          <t>IS Area</t>
        </is>
      </c>
      <c r="G91" t="inlineStr">
        <is>
          <t>S/N</t>
        </is>
      </c>
      <c r="H91" t="inlineStr">
        <is>
          <t>ratio</t>
        </is>
      </c>
      <c r="I91">
        <f t="array" ref="I91:J95">LINEST(H95:H99,C95:C99,1,1)</f>
        <v/>
      </c>
      <c r="J91" t="n">
        <v>0.06550186164339331</v>
      </c>
      <c r="L91" s="20" t="inlineStr">
        <is>
          <t>By S/N Ratio</t>
        </is>
      </c>
      <c r="Q91" t="inlineStr">
        <is>
          <t>SS1</t>
        </is>
      </c>
      <c r="R91" t="n">
        <v>1.0846</v>
      </c>
    </row>
    <row r="92">
      <c r="A92" t="n">
        <v>1</v>
      </c>
      <c r="B92" t="inlineStr">
        <is>
          <t>EPA1633 &amp; diPAPs Calibration 0 ppb</t>
        </is>
      </c>
      <c r="C92" t="n">
        <v>0</v>
      </c>
      <c r="D92" t="n">
        <v>10.3</v>
      </c>
      <c r="E92" t="n">
        <v>18.709</v>
      </c>
      <c r="F92" t="n">
        <v>166.957</v>
      </c>
      <c r="G92" t="n">
        <v>147</v>
      </c>
      <c r="H92">
        <f>E92/F92</f>
        <v/>
      </c>
      <c r="I92" t="n">
        <v>0.0009674582783633675</v>
      </c>
      <c r="J92" t="n">
        <v>0.012834784438618</v>
      </c>
      <c r="K92" t="inlineStr">
        <is>
          <t>LOD</t>
        </is>
      </c>
      <c r="L92" s="21">
        <f>IF(G95&gt;3,C95,IF(G96&gt;3,C96,IF(G97&gt;3,C97,IF(G98&gt;3,C98,C99))))</f>
        <v/>
      </c>
      <c r="Q92" t="inlineStr">
        <is>
          <t>SS2</t>
        </is>
      </c>
      <c r="R92" t="n">
        <v>1.0726</v>
      </c>
    </row>
    <row r="93">
      <c r="A93" t="n">
        <v>2</v>
      </c>
      <c r="B93" t="inlineStr">
        <is>
          <t>EPA1633 &amp; diPAPs Calibration 0.02 ppb</t>
        </is>
      </c>
      <c r="C93" t="n">
        <v>1</v>
      </c>
      <c r="D93" t="n">
        <v>8.23</v>
      </c>
      <c r="E93" t="n">
        <v>6.223</v>
      </c>
      <c r="F93" t="n">
        <v>165.319</v>
      </c>
      <c r="G93" t="n">
        <v>83</v>
      </c>
      <c r="H93">
        <f>E93/F93</f>
        <v/>
      </c>
      <c r="I93" t="n">
        <v>0.8083909414798723</v>
      </c>
      <c r="J93" t="n">
        <v>0.01223748680325375</v>
      </c>
      <c r="K93" t="inlineStr">
        <is>
          <t>LOQ</t>
        </is>
      </c>
      <c r="L93" s="22">
        <f>IF(G95&gt;10,C95,IF(G96&gt;10,C96,IF(G97&gt;10,C97,IF(G98&gt;10,C98,C99))))</f>
        <v/>
      </c>
      <c r="Q93" t="inlineStr">
        <is>
          <t>SS3</t>
        </is>
      </c>
      <c r="R93" t="n">
        <v>1.1534</v>
      </c>
    </row>
    <row r="94">
      <c r="A94" t="n">
        <v>3</v>
      </c>
      <c r="B94" t="inlineStr">
        <is>
          <t>EPA1633 &amp; diPAPs Calibration 0.1 ppb</t>
        </is>
      </c>
      <c r="C94" t="n">
        <v>2</v>
      </c>
      <c r="D94" t="n">
        <v>10.3</v>
      </c>
      <c r="E94" t="n">
        <v>4.494</v>
      </c>
      <c r="F94" t="n">
        <v>111.595</v>
      </c>
      <c r="G94" t="n">
        <v>37</v>
      </c>
      <c r="H94">
        <f>E94/F94</f>
        <v/>
      </c>
      <c r="I94" t="n">
        <v>12.65687981126876</v>
      </c>
      <c r="J94" t="n">
        <v>3</v>
      </c>
      <c r="Q94" t="inlineStr">
        <is>
          <t>K4-5A</t>
        </is>
      </c>
      <c r="R94" t="n">
        <v>1.1054</v>
      </c>
    </row>
    <row r="95">
      <c r="A95" t="n">
        <v>4</v>
      </c>
      <c r="B95" t="inlineStr">
        <is>
          <t>EPA1633 &amp; diPAPs Calibration 0.4 ppb</t>
        </is>
      </c>
      <c r="C95" t="n">
        <v>4</v>
      </c>
      <c r="D95" t="n">
        <v>8.970000000000001</v>
      </c>
      <c r="E95" t="n">
        <v>11.745</v>
      </c>
      <c r="F95" t="n">
        <v>181.598</v>
      </c>
      <c r="G95" t="n">
        <v>133</v>
      </c>
      <c r="H95">
        <f>E95/F95</f>
        <v/>
      </c>
      <c r="I95" t="n">
        <v>0.00189544474682577</v>
      </c>
      <c r="J95" t="n">
        <v>0.0004492682497794294</v>
      </c>
      <c r="Q95" t="inlineStr">
        <is>
          <t>K4-5B</t>
        </is>
      </c>
      <c r="R95" s="10" t="n">
        <v>1.0463</v>
      </c>
    </row>
    <row r="96">
      <c r="A96" t="n">
        <v>5</v>
      </c>
      <c r="B96" t="inlineStr">
        <is>
          <t>EPA1633 &amp; diPAPs Calibration 1 ppb</t>
        </is>
      </c>
      <c r="C96" t="n">
        <v>8</v>
      </c>
      <c r="D96" t="n">
        <v>7.25</v>
      </c>
      <c r="E96" t="n">
        <v>4.857</v>
      </c>
      <c r="F96" t="n">
        <v>185.453</v>
      </c>
      <c r="G96" t="n">
        <v>73</v>
      </c>
      <c r="H96">
        <f>E96/F96</f>
        <v/>
      </c>
      <c r="Q96" t="inlineStr">
        <is>
          <t>K4-5C</t>
        </is>
      </c>
      <c r="R96" t="n">
        <v>1.1155</v>
      </c>
    </row>
    <row r="97">
      <c r="A97" t="n">
        <v>6</v>
      </c>
      <c r="B97" t="inlineStr">
        <is>
          <t>EPA1633 &amp; diPAPs Calibration 5 ppb</t>
        </is>
      </c>
      <c r="C97" t="n">
        <v>12</v>
      </c>
      <c r="D97" t="n">
        <v>10.22</v>
      </c>
      <c r="E97" t="n">
        <v>13.187</v>
      </c>
      <c r="F97" t="n">
        <v>722.211</v>
      </c>
      <c r="G97" t="n">
        <v>104</v>
      </c>
      <c r="H97">
        <f>E97/F97</f>
        <v/>
      </c>
      <c r="Q97" t="inlineStr">
        <is>
          <t>K3-1A</t>
        </is>
      </c>
      <c r="R97" t="n">
        <v>1.0874</v>
      </c>
    </row>
    <row r="98">
      <c r="A98" t="n">
        <v>7</v>
      </c>
      <c r="B98" t="inlineStr">
        <is>
          <t>EPA1633 &amp; diPAPs Calibration 10 ppb</t>
        </is>
      </c>
      <c r="C98" t="n">
        <v>16</v>
      </c>
      <c r="D98" t="n">
        <v>10.05</v>
      </c>
      <c r="E98" t="n">
        <v>11.406</v>
      </c>
      <c r="F98" t="n">
        <v>1940.84</v>
      </c>
      <c r="G98" t="n">
        <v>95</v>
      </c>
      <c r="H98">
        <f>E98/F98</f>
        <v/>
      </c>
      <c r="I98" s="23" t="inlineStr">
        <is>
          <t>Background</t>
        </is>
      </c>
      <c r="J98" s="23" t="inlineStr">
        <is>
          <t>Spike</t>
        </is>
      </c>
      <c r="K98" s="9" t="inlineStr">
        <is>
          <t>Old Spike</t>
        </is>
      </c>
      <c r="O98" s="24" t="inlineStr">
        <is>
          <t>±</t>
        </is>
      </c>
      <c r="Q98" t="inlineStr">
        <is>
          <t>K3-1B</t>
        </is>
      </c>
      <c r="R98" t="n">
        <v>1.0898</v>
      </c>
    </row>
    <row r="99">
      <c r="A99" t="n">
        <v>8</v>
      </c>
      <c r="B99" t="inlineStr">
        <is>
          <t>EPA1633 &amp; diPAPs Calibration 20 ppb</t>
        </is>
      </c>
      <c r="C99" t="n">
        <v>20</v>
      </c>
      <c r="D99" t="n">
        <v>9.73</v>
      </c>
      <c r="E99" t="n">
        <v>11.136</v>
      </c>
      <c r="F99" t="n">
        <v>1857.613</v>
      </c>
      <c r="G99" t="n">
        <v>8.239000000000001</v>
      </c>
      <c r="H99">
        <f>E99/F99</f>
        <v/>
      </c>
      <c r="I99">
        <f>AVERAGE(I102:I104)</f>
        <v/>
      </c>
      <c r="J99" t="n">
        <v>17.6</v>
      </c>
      <c r="Q99" t="inlineStr">
        <is>
          <t>K3-1C</t>
        </is>
      </c>
      <c r="R99" t="n">
        <v>1.0536</v>
      </c>
    </row>
    <row r="100">
      <c r="A100" t="n">
        <v>9</v>
      </c>
      <c r="B100" t="inlineStr">
        <is>
          <t>MeOH</t>
        </is>
      </c>
      <c r="I100" s="23" t="inlineStr">
        <is>
          <t>Conc.In Vial (ppb)</t>
        </is>
      </c>
      <c r="J100" s="9" t="inlineStr">
        <is>
          <t>Corr. Conc.(ppb)</t>
        </is>
      </c>
      <c r="K100" s="9" t="inlineStr">
        <is>
          <t>Conc. In soil (ng/g)</t>
        </is>
      </c>
      <c r="Q100" t="inlineStr">
        <is>
          <t>K3-2A</t>
        </is>
      </c>
      <c r="R100" s="10" t="n">
        <v>1.1218</v>
      </c>
    </row>
    <row r="101">
      <c r="A101" t="n">
        <v>10</v>
      </c>
      <c r="B101" t="inlineStr">
        <is>
          <t>MeOH</t>
        </is>
      </c>
      <c r="L101" s="23" t="inlineStr">
        <is>
          <t>Average</t>
        </is>
      </c>
      <c r="M101" s="23" t="inlineStr">
        <is>
          <t>Stdev</t>
        </is>
      </c>
      <c r="N101" s="9" t="inlineStr">
        <is>
          <t>Combined</t>
        </is>
      </c>
      <c r="O101" s="9" t="n"/>
      <c r="P101" s="9" t="n"/>
      <c r="Q101" t="inlineStr">
        <is>
          <t>K3-2B</t>
        </is>
      </c>
      <c r="R101" t="n">
        <v>1.198</v>
      </c>
    </row>
    <row r="102">
      <c r="A102" t="n">
        <v>11</v>
      </c>
      <c r="B102" t="inlineStr">
        <is>
          <t>SB1</t>
        </is>
      </c>
      <c r="D102" t="n">
        <v>9.98</v>
      </c>
      <c r="E102" t="n">
        <v>1.531</v>
      </c>
      <c r="F102" t="n">
        <v>28.066</v>
      </c>
      <c r="G102" t="n">
        <v>16</v>
      </c>
      <c r="H102">
        <f>E102/F102</f>
        <v/>
      </c>
      <c r="I102">
        <f>((H102-$J$91)/$I$91)</f>
        <v/>
      </c>
      <c r="J102">
        <f>(I102-IF(I99&gt;0,I99,0))</f>
        <v/>
      </c>
      <c r="K102">
        <f>J102*1.1</f>
        <v/>
      </c>
      <c r="L102">
        <f>AVERAGE(K102:K104)</f>
        <v/>
      </c>
      <c r="M102">
        <f>STDEV(K103:K104)</f>
        <v/>
      </c>
      <c r="N102">
        <f>_xlfn.CONCAT(ROUND(L102,1)," ± ",ROUND(M102,1))</f>
        <v/>
      </c>
      <c r="Q102" t="inlineStr">
        <is>
          <t>K3-2C</t>
        </is>
      </c>
      <c r="R102" t="n">
        <v>1.1538</v>
      </c>
    </row>
    <row r="103">
      <c r="A103" t="n">
        <v>12</v>
      </c>
      <c r="B103" t="inlineStr">
        <is>
          <t>SB2</t>
        </is>
      </c>
      <c r="D103" t="n">
        <v>8.74</v>
      </c>
      <c r="E103" t="n">
        <v>13.837</v>
      </c>
      <c r="F103" t="n">
        <v>142.746</v>
      </c>
      <c r="G103" t="n">
        <v>178</v>
      </c>
      <c r="H103">
        <f>E103/F103</f>
        <v/>
      </c>
      <c r="I103">
        <f>((H103-$J$91)/$I$91)</f>
        <v/>
      </c>
      <c r="J103">
        <f>(I103-IF(I99&gt;0,I99,0))</f>
        <v/>
      </c>
      <c r="K103">
        <f>J103*1.1</f>
        <v/>
      </c>
      <c r="Q103" t="inlineStr">
        <is>
          <t>K3-3A</t>
        </is>
      </c>
      <c r="R103" t="n">
        <v>1.1183</v>
      </c>
    </row>
    <row r="104">
      <c r="A104" t="n">
        <v>13</v>
      </c>
      <c r="B104" t="inlineStr">
        <is>
          <t>SB3</t>
        </is>
      </c>
      <c r="D104" t="n">
        <v>9.800000000000001</v>
      </c>
      <c r="E104" t="n">
        <v>3.738</v>
      </c>
      <c r="F104" t="n">
        <v>116.972</v>
      </c>
      <c r="G104" t="n">
        <v>9.992000000000001</v>
      </c>
      <c r="H104">
        <f>E104/F104</f>
        <v/>
      </c>
      <c r="I104">
        <f>((H104-$J$91)/$I$91)</f>
        <v/>
      </c>
      <c r="J104">
        <f>(I104-IF(I99&gt;0,I99,0))</f>
        <v/>
      </c>
      <c r="K104" s="30">
        <f>J104*1.1</f>
        <v/>
      </c>
      <c r="L104" s="25" t="inlineStr">
        <is>
          <t>Average</t>
        </is>
      </c>
      <c r="M104" s="25" t="inlineStr">
        <is>
          <t>Stdev</t>
        </is>
      </c>
      <c r="N104" s="26" t="inlineStr">
        <is>
          <t>%Recovery</t>
        </is>
      </c>
      <c r="O104" s="26" t="inlineStr">
        <is>
          <t>Uncertainty</t>
        </is>
      </c>
      <c r="P104" s="26" t="inlineStr">
        <is>
          <t>Combined</t>
        </is>
      </c>
      <c r="Q104" t="inlineStr">
        <is>
          <t>K3-3B</t>
        </is>
      </c>
      <c r="R104" t="n">
        <v>1.1448</v>
      </c>
    </row>
    <row r="105">
      <c r="A105" t="n">
        <v>14</v>
      </c>
      <c r="B105" t="inlineStr">
        <is>
          <t>SS1</t>
        </is>
      </c>
      <c r="D105" t="n">
        <v>10.28</v>
      </c>
      <c r="E105" t="n">
        <v>22.438</v>
      </c>
      <c r="F105" t="n">
        <v>472.826</v>
      </c>
      <c r="G105" t="n">
        <v>1.503</v>
      </c>
      <c r="H105">
        <f>E105/F105</f>
        <v/>
      </c>
      <c r="I105">
        <f>((H105-$J$91)/$I$91)</f>
        <v/>
      </c>
      <c r="J105">
        <f>(I105-IF($I$99&gt;0,$I$99,0))</f>
        <v/>
      </c>
      <c r="K105">
        <f>J105/R91*1.1</f>
        <v/>
      </c>
      <c r="L105" s="27">
        <f>AVERAGE(K105:K107)</f>
        <v/>
      </c>
      <c r="M105" s="27">
        <f>STDEV(K105:K107)</f>
        <v/>
      </c>
      <c r="N105" s="28">
        <f>L105/J99*100</f>
        <v/>
      </c>
      <c r="O105" s="29">
        <f>M105/J99*100</f>
        <v/>
      </c>
      <c r="P105" s="29">
        <f>_xlfn.CONCAT(ROUND(N105,1)," ± ",ROUND(O105,1))</f>
        <v/>
      </c>
      <c r="Q105" t="inlineStr">
        <is>
          <t>K3-3C</t>
        </is>
      </c>
      <c r="R105" t="n">
        <v>1.0493</v>
      </c>
    </row>
    <row r="106">
      <c r="A106" t="n">
        <v>15</v>
      </c>
      <c r="B106" t="inlineStr">
        <is>
          <t>SS2</t>
        </is>
      </c>
      <c r="D106" t="n">
        <v>10.15</v>
      </c>
      <c r="E106" t="n">
        <v>23.945</v>
      </c>
      <c r="F106" t="n">
        <v>645.388</v>
      </c>
      <c r="G106" t="n">
        <v>3.142</v>
      </c>
      <c r="H106">
        <f>E106/F106</f>
        <v/>
      </c>
      <c r="I106">
        <f>((H106-$J$91)/$I$91)</f>
        <v/>
      </c>
      <c r="J106">
        <f>(I106-IF($I$99&gt;0,$I$99,0))</f>
        <v/>
      </c>
      <c r="K106">
        <f>J106/R92*1.1</f>
        <v/>
      </c>
      <c r="Q106" t="inlineStr">
        <is>
          <t>K3-4A</t>
        </is>
      </c>
      <c r="R106" t="n">
        <v>1.0704</v>
      </c>
    </row>
    <row r="107">
      <c r="A107" t="n">
        <v>16</v>
      </c>
      <c r="B107" t="inlineStr">
        <is>
          <t>SS3</t>
        </is>
      </c>
      <c r="D107" t="n">
        <v>9.85</v>
      </c>
      <c r="E107" t="n">
        <v>1.558</v>
      </c>
      <c r="F107" t="n">
        <v>584.283</v>
      </c>
      <c r="G107" t="n">
        <v>2.087</v>
      </c>
      <c r="H107">
        <f>E107/F107</f>
        <v/>
      </c>
      <c r="I107">
        <f>((H107-$J$91)/$I$91)</f>
        <v/>
      </c>
      <c r="J107">
        <f>(I107-IF($I$99&gt;0,$I$99,0))</f>
        <v/>
      </c>
      <c r="K107" s="30">
        <f>J107/R93*1.1</f>
        <v/>
      </c>
      <c r="Q107" t="inlineStr">
        <is>
          <t>K3-4B</t>
        </is>
      </c>
      <c r="R107" t="n">
        <v>1.1589</v>
      </c>
    </row>
    <row r="108">
      <c r="A108" t="n">
        <v>17</v>
      </c>
      <c r="B108" t="inlineStr">
        <is>
          <t>MeOH</t>
        </is>
      </c>
      <c r="L108" s="23" t="inlineStr">
        <is>
          <t>Average</t>
        </is>
      </c>
      <c r="M108" s="23" t="inlineStr">
        <is>
          <t>Stdev</t>
        </is>
      </c>
      <c r="N108" s="9" t="inlineStr">
        <is>
          <t>Combined</t>
        </is>
      </c>
      <c r="Q108" t="inlineStr">
        <is>
          <t>K3-4C</t>
        </is>
      </c>
      <c r="R108" t="n">
        <v>1.0206</v>
      </c>
    </row>
    <row r="109">
      <c r="A109" t="n">
        <v>18</v>
      </c>
      <c r="B109" t="inlineStr">
        <is>
          <t>K4-5A</t>
        </is>
      </c>
      <c r="D109" t="n">
        <v>10.55</v>
      </c>
      <c r="E109" t="n">
        <v>9.282999999999999</v>
      </c>
      <c r="F109" t="n">
        <v>47.3</v>
      </c>
      <c r="G109" t="n">
        <v>44</v>
      </c>
      <c r="H109">
        <f>E109/F109</f>
        <v/>
      </c>
      <c r="I109">
        <f>((H109-$J$7)/$I$7)</f>
        <v/>
      </c>
      <c r="J109">
        <f>(I109-IF($I$99&gt;0,$I$99,0))</f>
        <v/>
      </c>
      <c r="K109">
        <f>J109/R93*1.1</f>
        <v/>
      </c>
      <c r="L109">
        <f>AVERAGE(K109:K111)</f>
        <v/>
      </c>
      <c r="M109">
        <f>STDEV(K109:K111)</f>
        <v/>
      </c>
      <c r="N109">
        <f>_xlfn.CONCAT(ROUND(L109,1)," ± ",ROUND(M109,1))</f>
        <v/>
      </c>
      <c r="Q109" t="inlineStr">
        <is>
          <t>K3-6A</t>
        </is>
      </c>
      <c r="R109" t="n">
        <v>1.1289</v>
      </c>
    </row>
    <row r="110">
      <c r="A110" t="n">
        <v>19</v>
      </c>
      <c r="B110" t="inlineStr">
        <is>
          <t>K4-5B</t>
        </is>
      </c>
      <c r="D110" t="n">
        <v>10.25</v>
      </c>
      <c r="E110" t="n">
        <v>14.105</v>
      </c>
      <c r="F110" t="n">
        <v>90.40000000000001</v>
      </c>
      <c r="G110" t="n">
        <v>114</v>
      </c>
      <c r="H110">
        <f>E110/F110</f>
        <v/>
      </c>
      <c r="I110">
        <f>((H110-$J$7)/$I$7)</f>
        <v/>
      </c>
      <c r="J110">
        <f>(I110-IF($I$99&gt;0,$I$99,0))</f>
        <v/>
      </c>
      <c r="K110">
        <f>J110/R94*1.1</f>
        <v/>
      </c>
      <c r="Q110" t="inlineStr">
        <is>
          <t>K3-6B</t>
        </is>
      </c>
      <c r="R110" t="n">
        <v>1.195</v>
      </c>
    </row>
    <row r="111">
      <c r="A111" t="n">
        <v>20</v>
      </c>
      <c r="B111" t="inlineStr">
        <is>
          <t>K4-5C</t>
        </is>
      </c>
      <c r="D111" t="n">
        <v>9.99</v>
      </c>
      <c r="E111" t="n">
        <v>0.514</v>
      </c>
      <c r="F111" t="n">
        <v>124.816</v>
      </c>
      <c r="G111" t="n">
        <v>5</v>
      </c>
      <c r="H111">
        <f>E111/F111</f>
        <v/>
      </c>
      <c r="I111">
        <f>((H111-$J$7)/$I$7)</f>
        <v/>
      </c>
      <c r="J111">
        <f>(I111-IF($I$99&gt;0,$I$99,0))</f>
        <v/>
      </c>
      <c r="K111">
        <f>J111/R95*1.1</f>
        <v/>
      </c>
      <c r="L111" s="23" t="n"/>
      <c r="M111" s="23" t="n"/>
      <c r="N111" s="9" t="n"/>
      <c r="Q111" t="inlineStr">
        <is>
          <t>K3-6C</t>
        </is>
      </c>
      <c r="R111" t="n">
        <v>1.1716</v>
      </c>
    </row>
    <row r="112">
      <c r="A112" t="n">
        <v>21</v>
      </c>
      <c r="B112" t="inlineStr">
        <is>
          <t>MeOH</t>
        </is>
      </c>
      <c r="L112" s="23" t="inlineStr">
        <is>
          <t>Average</t>
        </is>
      </c>
      <c r="M112" s="23" t="inlineStr">
        <is>
          <t>Stdev</t>
        </is>
      </c>
      <c r="N112" s="9" t="inlineStr">
        <is>
          <t>Combined</t>
        </is>
      </c>
    </row>
    <row r="113">
      <c r="A113" t="n">
        <v>22</v>
      </c>
      <c r="B113" t="inlineStr">
        <is>
          <t>K3-1A</t>
        </is>
      </c>
      <c r="D113" t="n">
        <v>6.63</v>
      </c>
      <c r="E113" t="n">
        <v>1.492</v>
      </c>
      <c r="F113" t="n">
        <v>223.733</v>
      </c>
      <c r="G113" t="n">
        <v>28</v>
      </c>
      <c r="H113">
        <f>E113/F113</f>
        <v/>
      </c>
      <c r="I113">
        <f>((H113-$J$7)/$I$7)</f>
        <v/>
      </c>
      <c r="J113">
        <f>(I113-IF($I$99&gt;0,$I$99,0))</f>
        <v/>
      </c>
      <c r="K113">
        <f>J113/R96*1.1</f>
        <v/>
      </c>
      <c r="L113">
        <f>AVERAGE(K113:K115)</f>
        <v/>
      </c>
      <c r="M113">
        <f>STDEV(K114:K115)</f>
        <v/>
      </c>
      <c r="N113">
        <f>_xlfn.CONCAT(ROUND(L113,1)," ± ",ROUND(M113,1))</f>
        <v/>
      </c>
    </row>
    <row r="114">
      <c r="A114" t="n">
        <v>23</v>
      </c>
      <c r="B114" t="inlineStr">
        <is>
          <t>K3-1B</t>
        </is>
      </c>
      <c r="D114" t="n">
        <v>9.619999999999999</v>
      </c>
      <c r="E114" t="n">
        <v>0.676</v>
      </c>
      <c r="F114" t="n">
        <v>99.345</v>
      </c>
      <c r="G114" t="n">
        <v>8</v>
      </c>
      <c r="H114">
        <f>E114/F114</f>
        <v/>
      </c>
      <c r="I114">
        <f>((H114-$J$7)/$I$7)</f>
        <v/>
      </c>
      <c r="J114">
        <f>(I114-IF($I$99&gt;0,$I$99,0))</f>
        <v/>
      </c>
      <c r="K114">
        <f>J114/R97*1.1</f>
        <v/>
      </c>
    </row>
    <row r="115">
      <c r="A115" t="n">
        <v>24</v>
      </c>
      <c r="B115" t="inlineStr">
        <is>
          <t>K3-1C</t>
        </is>
      </c>
      <c r="D115" t="n">
        <v>9.960000000000001</v>
      </c>
      <c r="E115" t="n">
        <v>0.9</v>
      </c>
      <c r="F115" t="n">
        <v>75.879</v>
      </c>
      <c r="G115" t="n">
        <v>10</v>
      </c>
      <c r="H115">
        <f>E115/F115</f>
        <v/>
      </c>
      <c r="I115">
        <f>((H115-$J$7)/$I$7)</f>
        <v/>
      </c>
      <c r="J115">
        <f>(I115-IF($I$99&gt;0,$I$99,0))</f>
        <v/>
      </c>
      <c r="K115">
        <f>J115/R98*1.1</f>
        <v/>
      </c>
      <c r="L115" s="23" t="inlineStr">
        <is>
          <t>Average</t>
        </is>
      </c>
      <c r="M115" s="23" t="inlineStr">
        <is>
          <t>Stdev</t>
        </is>
      </c>
      <c r="N115" s="9" t="inlineStr">
        <is>
          <t>Combined</t>
        </is>
      </c>
    </row>
    <row r="116">
      <c r="A116" t="n">
        <v>25</v>
      </c>
      <c r="B116" t="inlineStr">
        <is>
          <t>K3-2A</t>
        </is>
      </c>
      <c r="D116" t="n">
        <v>10.94</v>
      </c>
      <c r="E116" t="n">
        <v>13.356</v>
      </c>
      <c r="F116" t="n">
        <v>114.793</v>
      </c>
      <c r="G116" t="n">
        <v>9.960000000000001</v>
      </c>
      <c r="H116">
        <f>E116/F116</f>
        <v/>
      </c>
      <c r="I116">
        <f>((H116-$J$7)/$I$7)</f>
        <v/>
      </c>
      <c r="J116">
        <f>(I116-IF($I$99&gt;0,$I$99,0))</f>
        <v/>
      </c>
      <c r="K116">
        <f>J116/R99*1.1</f>
        <v/>
      </c>
      <c r="L116">
        <f>AVERAGE(K116:K118)</f>
        <v/>
      </c>
      <c r="M116">
        <f>STDEV(K116:K118)</f>
        <v/>
      </c>
      <c r="N116">
        <f>_xlfn.CONCAT(ROUND(L116,1)," ± ",ROUND(M116,1))</f>
        <v/>
      </c>
    </row>
    <row r="117">
      <c r="A117" t="n">
        <v>26</v>
      </c>
      <c r="B117" t="inlineStr">
        <is>
          <t>K3-2B</t>
        </is>
      </c>
      <c r="D117" t="n">
        <v>9.119999999999999</v>
      </c>
      <c r="E117" t="n">
        <v>2.243</v>
      </c>
      <c r="F117" t="n">
        <v>89.536</v>
      </c>
      <c r="G117" t="n">
        <v>26</v>
      </c>
      <c r="H117">
        <f>E117/F117</f>
        <v/>
      </c>
      <c r="I117">
        <f>((H117-$J$7)/$I$7)</f>
        <v/>
      </c>
      <c r="J117">
        <f>(I117-IF($I$99&gt;0,$I$99,0))</f>
        <v/>
      </c>
      <c r="K117">
        <f>J117/R100*1.1</f>
        <v/>
      </c>
    </row>
    <row r="118">
      <c r="A118" t="n">
        <v>27</v>
      </c>
      <c r="B118" t="inlineStr">
        <is>
          <t>K3-2C</t>
        </is>
      </c>
      <c r="F118" t="n">
        <v>109.063</v>
      </c>
      <c r="H118">
        <f>E118/F118</f>
        <v/>
      </c>
      <c r="I118">
        <f>((H118-$J$7)/$I$7)</f>
        <v/>
      </c>
      <c r="J118">
        <f>(I118-IF($I$99&gt;0,$I$99,0))</f>
        <v/>
      </c>
      <c r="K118">
        <f>J118/R101*1.1</f>
        <v/>
      </c>
      <c r="L118" s="23" t="n"/>
      <c r="M118" s="23" t="n"/>
      <c r="N118" s="9" t="n"/>
    </row>
    <row r="119">
      <c r="A119" t="n">
        <v>28</v>
      </c>
      <c r="B119" t="inlineStr">
        <is>
          <t>MeOH</t>
        </is>
      </c>
      <c r="L119" s="23" t="inlineStr">
        <is>
          <t>Average</t>
        </is>
      </c>
      <c r="M119" s="23" t="inlineStr">
        <is>
          <t>Stdev</t>
        </is>
      </c>
      <c r="N119" s="9" t="inlineStr">
        <is>
          <t>Combined</t>
        </is>
      </c>
    </row>
    <row r="120">
      <c r="A120" t="n">
        <v>29</v>
      </c>
      <c r="B120" t="inlineStr">
        <is>
          <t>K3-3A</t>
        </is>
      </c>
      <c r="D120" t="n">
        <v>9.460000000000001</v>
      </c>
      <c r="E120" t="n">
        <v>0.404</v>
      </c>
      <c r="F120" t="n">
        <v>85.82299999999999</v>
      </c>
      <c r="G120" t="n">
        <v>5</v>
      </c>
      <c r="H120">
        <f>E120/F120</f>
        <v/>
      </c>
      <c r="I120">
        <f>((H120-$J$7)/$I$7)</f>
        <v/>
      </c>
      <c r="J120">
        <f>(I120-IF($I$99&gt;0,$I$99,0))</f>
        <v/>
      </c>
      <c r="K120">
        <f>J120/R102*1.1</f>
        <v/>
      </c>
      <c r="L120">
        <f>AVERAGE(K120:K122)</f>
        <v/>
      </c>
      <c r="M120">
        <f>STDEV(K121:K122)</f>
        <v/>
      </c>
      <c r="N120">
        <f>_xlfn.CONCAT(ROUND(L120,1)," ± ",ROUND(M120,1))</f>
        <v/>
      </c>
    </row>
    <row r="121">
      <c r="A121" t="n">
        <v>30</v>
      </c>
      <c r="B121" t="inlineStr">
        <is>
          <t>K3-3B</t>
        </is>
      </c>
      <c r="D121" t="n">
        <v>9.18</v>
      </c>
      <c r="E121" t="n">
        <v>0.534</v>
      </c>
      <c r="F121" t="n">
        <v>88.152</v>
      </c>
      <c r="G121" t="n">
        <v>6</v>
      </c>
      <c r="H121">
        <f>E121/F121</f>
        <v/>
      </c>
      <c r="I121">
        <f>((H121-$J$7)/$I$7)</f>
        <v/>
      </c>
      <c r="J121">
        <f>(I121-IF($I$99&gt;0,$I$99,0))</f>
        <v/>
      </c>
      <c r="K121">
        <f>J121/R103*1.1</f>
        <v/>
      </c>
    </row>
    <row r="122">
      <c r="A122" t="n">
        <v>31</v>
      </c>
      <c r="B122" t="inlineStr">
        <is>
          <t>K3-3C</t>
        </is>
      </c>
      <c r="D122" t="n">
        <v>10.57</v>
      </c>
      <c r="E122" t="n">
        <v>0.141</v>
      </c>
      <c r="F122" t="n">
        <v>101.444</v>
      </c>
      <c r="G122" t="n">
        <v>0.721</v>
      </c>
      <c r="H122">
        <f>E122/F122</f>
        <v/>
      </c>
      <c r="I122">
        <f>((H122-$J$7)/$I$7)</f>
        <v/>
      </c>
      <c r="J122">
        <f>(I122-IF($I$99&gt;0,$I$99,0))</f>
        <v/>
      </c>
      <c r="K122">
        <f>J122/R104*1.1</f>
        <v/>
      </c>
      <c r="L122" s="23" t="inlineStr">
        <is>
          <t>Average</t>
        </is>
      </c>
      <c r="M122" s="23" t="inlineStr">
        <is>
          <t>Stdev</t>
        </is>
      </c>
      <c r="N122" s="9" t="inlineStr">
        <is>
          <t>Combined</t>
        </is>
      </c>
    </row>
    <row r="123">
      <c r="A123" t="n">
        <v>32</v>
      </c>
      <c r="B123" t="inlineStr">
        <is>
          <t>K3-4A</t>
        </is>
      </c>
      <c r="D123" t="n">
        <v>10.68</v>
      </c>
      <c r="E123" t="n">
        <v>2.265</v>
      </c>
      <c r="F123" t="n">
        <v>68.256</v>
      </c>
      <c r="G123" t="n">
        <v>10</v>
      </c>
      <c r="H123">
        <f>E123/F123</f>
        <v/>
      </c>
      <c r="I123">
        <f>((H123-$J$7)/$I$7)</f>
        <v/>
      </c>
      <c r="J123">
        <f>(I123-IF($I$99&gt;0,$I$99,0))</f>
        <v/>
      </c>
      <c r="K123">
        <f>J123/R105*1.1</f>
        <v/>
      </c>
      <c r="L123">
        <f>AVERAGE(K123:K125)</f>
        <v/>
      </c>
      <c r="M123">
        <f>STDEV(K123:K125)</f>
        <v/>
      </c>
      <c r="N123">
        <f>_xlfn.CONCAT(ROUND(L123,1)," ± ",ROUND(M123,1))</f>
        <v/>
      </c>
    </row>
    <row r="124">
      <c r="A124" t="n">
        <v>33</v>
      </c>
      <c r="B124" t="inlineStr">
        <is>
          <t>K3-4B</t>
        </is>
      </c>
      <c r="D124" t="n">
        <v>8.460000000000001</v>
      </c>
      <c r="E124" t="n">
        <v>1.88</v>
      </c>
      <c r="F124" t="n">
        <v>78.85599999999999</v>
      </c>
      <c r="G124" t="n">
        <v>26</v>
      </c>
      <c r="H124">
        <f>E124/F124</f>
        <v/>
      </c>
      <c r="I124">
        <f>((H124-$J$7)/$I$7)</f>
        <v/>
      </c>
      <c r="J124">
        <f>(I124-IF($I$99&gt;0,$I$99,0))</f>
        <v/>
      </c>
      <c r="K124">
        <f>J124/R106*1.1</f>
        <v/>
      </c>
    </row>
    <row r="125">
      <c r="A125" t="n">
        <v>34</v>
      </c>
      <c r="B125" t="inlineStr">
        <is>
          <t>K3-4C</t>
        </is>
      </c>
      <c r="D125" t="n">
        <v>11.15</v>
      </c>
      <c r="E125" t="n">
        <v>13.553</v>
      </c>
      <c r="F125" t="n">
        <v>79.253</v>
      </c>
      <c r="G125" t="n">
        <v>110</v>
      </c>
      <c r="H125">
        <f>E125/F125</f>
        <v/>
      </c>
      <c r="I125">
        <f>((H125-$J$7)/$I$7)</f>
        <v/>
      </c>
      <c r="J125">
        <f>(I125-IF($I$99&gt;0,$I$99,0))</f>
        <v/>
      </c>
      <c r="K125">
        <f>J125/R107*1.1</f>
        <v/>
      </c>
      <c r="L125" s="23" t="n"/>
      <c r="M125" s="23" t="n"/>
      <c r="N125" s="9" t="n"/>
    </row>
    <row r="126">
      <c r="A126" t="n">
        <v>35</v>
      </c>
      <c r="B126" t="inlineStr">
        <is>
          <t>MeOH</t>
        </is>
      </c>
      <c r="L126" s="23" t="inlineStr">
        <is>
          <t>Average</t>
        </is>
      </c>
      <c r="M126" s="23" t="inlineStr">
        <is>
          <t>Stdev</t>
        </is>
      </c>
      <c r="N126" s="9" t="inlineStr">
        <is>
          <t>Combined</t>
        </is>
      </c>
    </row>
    <row r="127">
      <c r="A127" t="n">
        <v>36</v>
      </c>
      <c r="B127" t="inlineStr">
        <is>
          <t>K3-6A</t>
        </is>
      </c>
      <c r="D127" t="n">
        <v>9.779999999999999</v>
      </c>
      <c r="E127" t="n">
        <v>0.261</v>
      </c>
      <c r="F127" t="n">
        <v>76.111</v>
      </c>
      <c r="G127" t="n">
        <v>3</v>
      </c>
      <c r="H127">
        <f>E127/F127</f>
        <v/>
      </c>
      <c r="I127">
        <f>((H127-$J$7)/$I$7)</f>
        <v/>
      </c>
      <c r="J127">
        <f>(I127-IF($I$99&gt;0,$I$99,0))</f>
        <v/>
      </c>
      <c r="K127">
        <f>J127/R108*1.1</f>
        <v/>
      </c>
      <c r="L127">
        <f>AVERAGE(K127:K129)</f>
        <v/>
      </c>
      <c r="M127">
        <f>STDEV(K128:K129)</f>
        <v/>
      </c>
      <c r="N127">
        <f>_xlfn.CONCAT(ROUND(L127,1)," ± ",ROUND(M127,1))</f>
        <v/>
      </c>
    </row>
    <row r="128">
      <c r="A128" t="n">
        <v>37</v>
      </c>
      <c r="B128" t="inlineStr">
        <is>
          <t>K3-6B</t>
        </is>
      </c>
      <c r="D128" t="n">
        <v>9.140000000000001</v>
      </c>
      <c r="E128" t="n">
        <v>2.623</v>
      </c>
      <c r="F128" t="n">
        <v>56.162</v>
      </c>
      <c r="G128" t="n">
        <v>30</v>
      </c>
      <c r="H128">
        <f>E128/F128</f>
        <v/>
      </c>
      <c r="I128">
        <f>((H128-$J$7)/$I$7)</f>
        <v/>
      </c>
      <c r="J128">
        <f>(I128-IF($I$99&gt;0,$I$99,0))</f>
        <v/>
      </c>
      <c r="K128">
        <f>J128/R109*1.1</f>
        <v/>
      </c>
    </row>
    <row r="129">
      <c r="A129" t="n">
        <v>38</v>
      </c>
      <c r="B129" t="inlineStr">
        <is>
          <t>K3-6C</t>
        </is>
      </c>
      <c r="D129" t="n">
        <v>9.300000000000001</v>
      </c>
      <c r="E129" t="n">
        <v>2.575</v>
      </c>
      <c r="F129" t="n">
        <v>136.768</v>
      </c>
      <c r="G129" t="n">
        <v>30</v>
      </c>
      <c r="H129">
        <f>E129/F129</f>
        <v/>
      </c>
      <c r="I129">
        <f>((H129-$J$7)/$I$7)</f>
        <v/>
      </c>
      <c r="J129">
        <f>(I129-IF($I$99&gt;0,$I$99,0))</f>
        <v/>
      </c>
      <c r="K129">
        <f>J129/R110*1.1</f>
        <v/>
      </c>
      <c r="L129" s="23" t="n"/>
      <c r="M129" s="23" t="n"/>
      <c r="N129" s="9" t="n"/>
    </row>
    <row r="131">
      <c r="A131" t="inlineStr">
        <is>
          <t>Compound 4:  PFHxPA 2</t>
        </is>
      </c>
    </row>
    <row r="133">
      <c r="B133" t="inlineStr">
        <is>
          <t>Sample Text</t>
        </is>
      </c>
      <c r="C133" t="inlineStr">
        <is>
          <t>Std. Conc</t>
        </is>
      </c>
      <c r="D133" t="inlineStr">
        <is>
          <t>RT</t>
        </is>
      </c>
      <c r="E133" t="inlineStr">
        <is>
          <t>Area</t>
        </is>
      </c>
      <c r="F133" t="inlineStr">
        <is>
          <t>IS Area</t>
        </is>
      </c>
      <c r="G133" t="inlineStr">
        <is>
          <t>S/N</t>
        </is>
      </c>
      <c r="H133" t="inlineStr">
        <is>
          <t>Primary Flags</t>
        </is>
      </c>
      <c r="I133" t="inlineStr">
        <is>
          <t>Response</t>
        </is>
      </c>
      <c r="J133" t="inlineStr">
        <is>
          <t>Conc.</t>
        </is>
      </c>
      <c r="K133" t="inlineStr">
        <is>
          <t>Name</t>
        </is>
      </c>
    </row>
    <row r="134">
      <c r="A134" t="n">
        <v>1</v>
      </c>
      <c r="B134" t="inlineStr">
        <is>
          <t>EPA1633 &amp; diPAPs Calibration 0 ppb</t>
        </is>
      </c>
      <c r="D134" t="n">
        <v>7.89</v>
      </c>
      <c r="E134" t="n">
        <v>31.208</v>
      </c>
      <c r="G134" t="n">
        <v>430</v>
      </c>
      <c r="H134" t="inlineStr">
        <is>
          <t>bb</t>
        </is>
      </c>
      <c r="I134" t="n">
        <v>31.208</v>
      </c>
      <c r="K134" t="inlineStr">
        <is>
          <t>20250617-12</t>
        </is>
      </c>
    </row>
    <row r="135">
      <c r="A135" t="n">
        <v>2</v>
      </c>
      <c r="B135" t="inlineStr">
        <is>
          <t>EPA1633 &amp; diPAPs Calibration 0.02 ppb</t>
        </is>
      </c>
      <c r="D135" t="n">
        <v>7.93</v>
      </c>
      <c r="E135" t="n">
        <v>49.071</v>
      </c>
      <c r="G135" t="n">
        <v>560</v>
      </c>
      <c r="H135" t="inlineStr">
        <is>
          <t>bb</t>
        </is>
      </c>
      <c r="I135" t="n">
        <v>49.071</v>
      </c>
      <c r="K135" t="inlineStr">
        <is>
          <t>20250617-13</t>
        </is>
      </c>
    </row>
    <row r="136">
      <c r="A136" t="n">
        <v>3</v>
      </c>
      <c r="B136" t="inlineStr">
        <is>
          <t>EPA1633 &amp; diPAPs Calibration 0.1 ppb</t>
        </is>
      </c>
      <c r="D136" t="n">
        <v>7.94</v>
      </c>
      <c r="E136" t="n">
        <v>139.23</v>
      </c>
      <c r="G136" t="n">
        <v>15.736</v>
      </c>
      <c r="H136" t="inlineStr">
        <is>
          <t>bb</t>
        </is>
      </c>
      <c r="I136" t="n">
        <v>139.23</v>
      </c>
      <c r="K136" t="inlineStr">
        <is>
          <t>20250617-14</t>
        </is>
      </c>
    </row>
    <row r="137">
      <c r="A137" t="n">
        <v>4</v>
      </c>
      <c r="B137" t="inlineStr">
        <is>
          <t>EPA1633 &amp; diPAPs Calibration 0.4 ppb</t>
        </is>
      </c>
      <c r="D137" t="n">
        <v>7.93</v>
      </c>
      <c r="E137" t="n">
        <v>431.701</v>
      </c>
      <c r="G137" t="n">
        <v>73.142</v>
      </c>
      <c r="H137" t="inlineStr">
        <is>
          <t>bb</t>
        </is>
      </c>
      <c r="I137" t="n">
        <v>431.701</v>
      </c>
      <c r="K137" t="inlineStr">
        <is>
          <t>20250617-15</t>
        </is>
      </c>
    </row>
    <row r="138">
      <c r="A138" t="n">
        <v>5</v>
      </c>
      <c r="B138" t="inlineStr">
        <is>
          <t>EPA1633 &amp; diPAPs Calibration 1 ppb</t>
        </is>
      </c>
      <c r="D138" t="n">
        <v>7.93</v>
      </c>
      <c r="E138" t="n">
        <v>598.527</v>
      </c>
      <c r="G138" t="n">
        <v>86.917</v>
      </c>
      <c r="H138" t="inlineStr">
        <is>
          <t>bb</t>
        </is>
      </c>
      <c r="I138" t="n">
        <v>598.527</v>
      </c>
      <c r="K138" t="inlineStr">
        <is>
          <t>20250617-16</t>
        </is>
      </c>
    </row>
    <row r="139">
      <c r="A139" t="n">
        <v>6</v>
      </c>
      <c r="B139" t="inlineStr">
        <is>
          <t>EPA1633 &amp; diPAPs Calibration 5 ppb</t>
        </is>
      </c>
      <c r="D139" t="n">
        <v>7.94</v>
      </c>
      <c r="E139" t="n">
        <v>2875.665</v>
      </c>
      <c r="G139" t="n">
        <v>84.992</v>
      </c>
      <c r="H139" t="inlineStr">
        <is>
          <t>bb</t>
        </is>
      </c>
      <c r="I139" t="n">
        <v>2875.665</v>
      </c>
      <c r="K139" t="inlineStr">
        <is>
          <t>20250617-17</t>
        </is>
      </c>
    </row>
    <row r="140">
      <c r="A140" t="n">
        <v>7</v>
      </c>
      <c r="B140" t="inlineStr">
        <is>
          <t>EPA1633 &amp; diPAPs Calibration 10 ppb</t>
        </is>
      </c>
      <c r="D140" t="n">
        <v>7.94</v>
      </c>
      <c r="E140" t="n">
        <v>8705.558000000001</v>
      </c>
      <c r="G140" t="n">
        <v>1190.948</v>
      </c>
      <c r="H140" t="inlineStr">
        <is>
          <t>bb</t>
        </is>
      </c>
      <c r="I140" t="n">
        <v>8705.558000000001</v>
      </c>
      <c r="K140" t="inlineStr">
        <is>
          <t>20250617-18</t>
        </is>
      </c>
    </row>
    <row r="141">
      <c r="A141" t="n">
        <v>8</v>
      </c>
      <c r="B141" t="inlineStr">
        <is>
          <t>EPA1633 &amp; diPAPs Calibration 20 ppb</t>
        </is>
      </c>
      <c r="D141" t="n">
        <v>7.93</v>
      </c>
      <c r="E141" t="n">
        <v>6921.03</v>
      </c>
      <c r="G141" t="n">
        <v>150.393</v>
      </c>
      <c r="H141" t="inlineStr">
        <is>
          <t>bb</t>
        </is>
      </c>
      <c r="I141" t="n">
        <v>6921.03</v>
      </c>
      <c r="K141" t="inlineStr">
        <is>
          <t>20250617-19</t>
        </is>
      </c>
    </row>
    <row r="142">
      <c r="A142" t="n">
        <v>9</v>
      </c>
      <c r="B142" t="inlineStr">
        <is>
          <t>MeOH</t>
        </is>
      </c>
      <c r="D142" t="n">
        <v>7.96</v>
      </c>
      <c r="E142" t="n">
        <v>37.407</v>
      </c>
      <c r="G142" t="n">
        <v>20.888</v>
      </c>
      <c r="H142" t="inlineStr">
        <is>
          <t>bb</t>
        </is>
      </c>
      <c r="I142" t="n">
        <v>37.407</v>
      </c>
      <c r="K142" t="inlineStr">
        <is>
          <t>20250617-20</t>
        </is>
      </c>
    </row>
    <row r="143">
      <c r="A143" t="n">
        <v>10</v>
      </c>
      <c r="B143" t="inlineStr">
        <is>
          <t>MeOH</t>
        </is>
      </c>
      <c r="D143" t="n">
        <v>7.94</v>
      </c>
      <c r="E143" t="n">
        <v>20.584</v>
      </c>
      <c r="G143" t="n">
        <v>225</v>
      </c>
      <c r="H143" t="inlineStr">
        <is>
          <t>bb</t>
        </is>
      </c>
      <c r="I143" t="n">
        <v>20.584</v>
      </c>
      <c r="K143" t="inlineStr">
        <is>
          <t>20250617-21</t>
        </is>
      </c>
    </row>
    <row r="144">
      <c r="A144" t="n">
        <v>11</v>
      </c>
      <c r="B144" t="inlineStr">
        <is>
          <t>SB1</t>
        </is>
      </c>
      <c r="D144" t="n">
        <v>7.93</v>
      </c>
      <c r="E144" t="n">
        <v>16.095</v>
      </c>
      <c r="G144" t="n">
        <v>5.438</v>
      </c>
      <c r="H144" t="inlineStr">
        <is>
          <t>bb</t>
        </is>
      </c>
      <c r="I144" t="n">
        <v>16.095</v>
      </c>
      <c r="K144" t="inlineStr">
        <is>
          <t>20250617-22</t>
        </is>
      </c>
    </row>
    <row r="145">
      <c r="A145" t="n">
        <v>12</v>
      </c>
      <c r="B145" t="inlineStr">
        <is>
          <t>SB2</t>
        </is>
      </c>
      <c r="D145" t="n">
        <v>7.92</v>
      </c>
      <c r="E145" t="n">
        <v>2.522</v>
      </c>
      <c r="G145" t="n">
        <v>6.333</v>
      </c>
      <c r="H145" t="inlineStr">
        <is>
          <t>bb</t>
        </is>
      </c>
      <c r="I145" t="n">
        <v>2.522</v>
      </c>
      <c r="K145" t="inlineStr">
        <is>
          <t>20250617-23</t>
        </is>
      </c>
    </row>
    <row r="146">
      <c r="A146" t="n">
        <v>13</v>
      </c>
      <c r="B146" t="inlineStr">
        <is>
          <t>SB3</t>
        </is>
      </c>
      <c r="D146" t="n">
        <v>9.31</v>
      </c>
      <c r="E146" t="n">
        <v>1.187</v>
      </c>
      <c r="G146" t="n">
        <v>14</v>
      </c>
      <c r="H146" t="inlineStr">
        <is>
          <t>bb</t>
        </is>
      </c>
      <c r="I146" t="n">
        <v>1.187</v>
      </c>
      <c r="K146" t="inlineStr">
        <is>
          <t>20250617-24</t>
        </is>
      </c>
    </row>
    <row r="147">
      <c r="A147" t="n">
        <v>14</v>
      </c>
      <c r="B147" t="inlineStr">
        <is>
          <t>SS1</t>
        </is>
      </c>
      <c r="D147" t="n">
        <v>7.96</v>
      </c>
      <c r="E147" t="n">
        <v>2232.71</v>
      </c>
      <c r="G147" t="n">
        <v>50.567</v>
      </c>
      <c r="H147" t="inlineStr">
        <is>
          <t>bb</t>
        </is>
      </c>
      <c r="I147" t="n">
        <v>2232.71</v>
      </c>
      <c r="K147" t="inlineStr">
        <is>
          <t>20250617-25</t>
        </is>
      </c>
    </row>
    <row r="148">
      <c r="A148" t="n">
        <v>15</v>
      </c>
      <c r="B148" t="inlineStr">
        <is>
          <t>SS2</t>
        </is>
      </c>
      <c r="D148" t="n">
        <v>7.96</v>
      </c>
      <c r="E148" t="n">
        <v>2169.227</v>
      </c>
      <c r="G148" t="n">
        <v>1793.213</v>
      </c>
      <c r="H148" t="inlineStr">
        <is>
          <t>bb</t>
        </is>
      </c>
      <c r="I148" t="n">
        <v>2169.227</v>
      </c>
      <c r="K148" t="inlineStr">
        <is>
          <t>20250617-26</t>
        </is>
      </c>
    </row>
    <row r="149">
      <c r="A149" t="n">
        <v>16</v>
      </c>
      <c r="B149" t="inlineStr">
        <is>
          <t>SS3</t>
        </is>
      </c>
      <c r="D149" t="n">
        <v>7.96</v>
      </c>
      <c r="E149" t="n">
        <v>1943.233</v>
      </c>
      <c r="G149" t="n">
        <v>132.482</v>
      </c>
      <c r="H149" t="inlineStr">
        <is>
          <t>bb</t>
        </is>
      </c>
      <c r="I149" t="n">
        <v>1943.233</v>
      </c>
      <c r="K149" t="inlineStr">
        <is>
          <t>20250617-27</t>
        </is>
      </c>
    </row>
    <row r="150">
      <c r="A150" t="n">
        <v>17</v>
      </c>
      <c r="B150" t="inlineStr">
        <is>
          <t>MeOH</t>
        </is>
      </c>
      <c r="D150" t="n">
        <v>8</v>
      </c>
      <c r="E150" t="n">
        <v>18.919</v>
      </c>
      <c r="G150" t="n">
        <v>7.335</v>
      </c>
      <c r="H150" t="inlineStr">
        <is>
          <t>bb</t>
        </is>
      </c>
      <c r="I150" t="n">
        <v>18.919</v>
      </c>
      <c r="K150" t="inlineStr">
        <is>
          <t>20250617-28</t>
        </is>
      </c>
    </row>
    <row r="151">
      <c r="A151" t="n">
        <v>18</v>
      </c>
      <c r="B151" t="inlineStr">
        <is>
          <t>K4-5A</t>
        </is>
      </c>
      <c r="D151" t="n">
        <v>7.95</v>
      </c>
      <c r="E151" t="n">
        <v>14.804</v>
      </c>
      <c r="G151" t="n">
        <v>203</v>
      </c>
      <c r="H151" t="inlineStr">
        <is>
          <t>bb</t>
        </is>
      </c>
      <c r="I151" t="n">
        <v>14.804</v>
      </c>
      <c r="K151" t="inlineStr">
        <is>
          <t>20250617-29</t>
        </is>
      </c>
    </row>
    <row r="152">
      <c r="A152" t="n">
        <v>19</v>
      </c>
      <c r="B152" t="inlineStr">
        <is>
          <t>K4-5B</t>
        </is>
      </c>
      <c r="D152" t="n">
        <v>7.98</v>
      </c>
      <c r="E152" t="n">
        <v>12.179</v>
      </c>
      <c r="G152" t="n">
        <v>99.72499999999999</v>
      </c>
      <c r="H152" t="inlineStr">
        <is>
          <t>bb</t>
        </is>
      </c>
      <c r="I152" t="n">
        <v>12.179</v>
      </c>
      <c r="K152" t="inlineStr">
        <is>
          <t>20250617-30</t>
        </is>
      </c>
    </row>
    <row r="153">
      <c r="A153" t="n">
        <v>20</v>
      </c>
      <c r="B153" t="inlineStr">
        <is>
          <t>K4-5C</t>
        </is>
      </c>
      <c r="D153" t="n">
        <v>7.98</v>
      </c>
      <c r="E153" t="n">
        <v>29.99</v>
      </c>
      <c r="G153" t="n">
        <v>3.638</v>
      </c>
      <c r="H153" t="inlineStr">
        <is>
          <t>bb</t>
        </is>
      </c>
      <c r="I153" t="n">
        <v>29.99</v>
      </c>
      <c r="K153" t="inlineStr">
        <is>
          <t>20250617-31</t>
        </is>
      </c>
    </row>
    <row r="154">
      <c r="A154" t="n">
        <v>21</v>
      </c>
      <c r="B154" t="inlineStr">
        <is>
          <t>MeOH</t>
        </is>
      </c>
      <c r="D154" t="n">
        <v>7.95</v>
      </c>
      <c r="E154" t="n">
        <v>2.585</v>
      </c>
      <c r="G154" t="n">
        <v>38</v>
      </c>
      <c r="H154" t="inlineStr">
        <is>
          <t>MM</t>
        </is>
      </c>
      <c r="I154" t="n">
        <v>2.585</v>
      </c>
      <c r="K154" t="inlineStr">
        <is>
          <t>20250617-32</t>
        </is>
      </c>
    </row>
    <row r="155">
      <c r="A155" t="n">
        <v>22</v>
      </c>
      <c r="B155" t="inlineStr">
        <is>
          <t>K3-1A</t>
        </is>
      </c>
      <c r="D155" t="n">
        <v>7.94</v>
      </c>
      <c r="E155" t="n">
        <v>0.309</v>
      </c>
      <c r="G155" t="n">
        <v>5</v>
      </c>
      <c r="H155" t="inlineStr">
        <is>
          <t>bb</t>
        </is>
      </c>
      <c r="I155" t="n">
        <v>0.309</v>
      </c>
      <c r="K155" t="inlineStr">
        <is>
          <t>20250617-33</t>
        </is>
      </c>
    </row>
    <row r="156">
      <c r="A156" t="n">
        <v>23</v>
      </c>
      <c r="B156" t="inlineStr">
        <is>
          <t>K3-1B</t>
        </is>
      </c>
      <c r="D156" t="n">
        <v>7.94</v>
      </c>
      <c r="E156" t="n">
        <v>1.881</v>
      </c>
      <c r="G156" t="n">
        <v>28</v>
      </c>
      <c r="H156" t="inlineStr">
        <is>
          <t>bb</t>
        </is>
      </c>
      <c r="I156" t="n">
        <v>1.881</v>
      </c>
      <c r="K156" t="inlineStr">
        <is>
          <t>20250617-34</t>
        </is>
      </c>
    </row>
    <row r="157">
      <c r="A157" t="n">
        <v>24</v>
      </c>
      <c r="B157" t="inlineStr">
        <is>
          <t>K3-1C</t>
        </is>
      </c>
      <c r="D157" t="n">
        <v>7.94</v>
      </c>
      <c r="E157" t="n">
        <v>0.154</v>
      </c>
      <c r="G157" t="n">
        <v>2</v>
      </c>
      <c r="H157" t="inlineStr">
        <is>
          <t>MM</t>
        </is>
      </c>
      <c r="I157" t="n">
        <v>0.154</v>
      </c>
      <c r="K157" t="inlineStr">
        <is>
          <t>20250617-35</t>
        </is>
      </c>
    </row>
    <row r="158">
      <c r="A158" t="n">
        <v>25</v>
      </c>
      <c r="B158" t="inlineStr">
        <is>
          <t>K3-2A</t>
        </is>
      </c>
      <c r="D158" t="n">
        <v>6</v>
      </c>
      <c r="E158" t="n">
        <v>0.036</v>
      </c>
      <c r="G158" t="n">
        <v>1</v>
      </c>
      <c r="H158" t="inlineStr">
        <is>
          <t>bb</t>
        </is>
      </c>
      <c r="I158" t="n">
        <v>0.036</v>
      </c>
      <c r="K158" t="inlineStr">
        <is>
          <t>20250617-36</t>
        </is>
      </c>
    </row>
    <row r="159">
      <c r="A159" t="n">
        <v>26</v>
      </c>
      <c r="B159" t="inlineStr">
        <is>
          <t>K3-2B</t>
        </is>
      </c>
      <c r="D159" t="n">
        <v>8</v>
      </c>
      <c r="E159" t="n">
        <v>1.732</v>
      </c>
      <c r="G159" t="n">
        <v>8.994</v>
      </c>
      <c r="H159" t="inlineStr">
        <is>
          <t>bb</t>
        </is>
      </c>
      <c r="I159" t="n">
        <v>1.732</v>
      </c>
      <c r="K159" t="inlineStr">
        <is>
          <t>20250617-37</t>
        </is>
      </c>
    </row>
    <row r="160">
      <c r="A160" t="n">
        <v>27</v>
      </c>
      <c r="B160" t="inlineStr">
        <is>
          <t>K3-2C</t>
        </is>
      </c>
      <c r="D160" t="n">
        <v>7.95</v>
      </c>
      <c r="E160" t="n">
        <v>8.382999999999999</v>
      </c>
      <c r="G160" t="n">
        <v>123</v>
      </c>
      <c r="H160" t="inlineStr">
        <is>
          <t>bb</t>
        </is>
      </c>
      <c r="I160" t="n">
        <v>8.382999999999999</v>
      </c>
      <c r="K160" t="inlineStr">
        <is>
          <t>20250617-38</t>
        </is>
      </c>
    </row>
    <row r="161">
      <c r="A161" t="n">
        <v>28</v>
      </c>
      <c r="B161" t="inlineStr">
        <is>
          <t>MeOH</t>
        </is>
      </c>
      <c r="D161" t="n">
        <v>7.94</v>
      </c>
      <c r="E161" t="n">
        <v>1.708</v>
      </c>
      <c r="G161" t="n">
        <v>25</v>
      </c>
      <c r="H161" t="inlineStr">
        <is>
          <t>bb</t>
        </is>
      </c>
      <c r="I161" t="n">
        <v>1.708</v>
      </c>
      <c r="K161" t="inlineStr">
        <is>
          <t>20250617-39</t>
        </is>
      </c>
    </row>
    <row r="162">
      <c r="A162" t="n">
        <v>29</v>
      </c>
      <c r="B162" t="inlineStr">
        <is>
          <t>K3-3A</t>
        </is>
      </c>
      <c r="D162" t="n">
        <v>7.98</v>
      </c>
      <c r="E162" t="n">
        <v>2.957</v>
      </c>
      <c r="G162" t="n">
        <v>43</v>
      </c>
      <c r="H162" t="inlineStr">
        <is>
          <t>bb</t>
        </is>
      </c>
      <c r="I162" t="n">
        <v>2.957</v>
      </c>
      <c r="K162" t="inlineStr">
        <is>
          <t>20250617-40</t>
        </is>
      </c>
    </row>
    <row r="163">
      <c r="A163" t="n">
        <v>30</v>
      </c>
      <c r="B163" t="inlineStr">
        <is>
          <t>K3-3B</t>
        </is>
      </c>
      <c r="D163" t="n">
        <v>7.95</v>
      </c>
      <c r="E163" t="n">
        <v>1.674</v>
      </c>
      <c r="G163" t="n">
        <v>24</v>
      </c>
      <c r="H163" t="inlineStr">
        <is>
          <t>MM</t>
        </is>
      </c>
      <c r="I163" t="n">
        <v>1.674</v>
      </c>
      <c r="K163" t="inlineStr">
        <is>
          <t>20250617-41</t>
        </is>
      </c>
    </row>
    <row r="164">
      <c r="A164" t="n">
        <v>31</v>
      </c>
      <c r="B164" t="inlineStr">
        <is>
          <t>K3-3C</t>
        </is>
      </c>
      <c r="D164" t="n">
        <v>7.96</v>
      </c>
      <c r="E164" t="n">
        <v>20.359</v>
      </c>
      <c r="G164" t="n">
        <v>4.047</v>
      </c>
      <c r="H164" t="inlineStr">
        <is>
          <t>bb</t>
        </is>
      </c>
      <c r="I164" t="n">
        <v>20.359</v>
      </c>
      <c r="K164" t="inlineStr">
        <is>
          <t>20250617-42</t>
        </is>
      </c>
    </row>
    <row r="165">
      <c r="A165" t="n">
        <v>32</v>
      </c>
      <c r="B165" t="inlineStr">
        <is>
          <t>K3-4A</t>
        </is>
      </c>
      <c r="D165" t="n">
        <v>7.96</v>
      </c>
      <c r="E165" t="n">
        <v>21.09</v>
      </c>
      <c r="G165" t="n">
        <v>252</v>
      </c>
      <c r="H165" t="inlineStr">
        <is>
          <t>bb</t>
        </is>
      </c>
      <c r="I165" t="n">
        <v>21.09</v>
      </c>
      <c r="K165" t="inlineStr">
        <is>
          <t>20250617-43</t>
        </is>
      </c>
    </row>
    <row r="166">
      <c r="A166" t="n">
        <v>33</v>
      </c>
      <c r="B166" t="inlineStr">
        <is>
          <t>K3-4B</t>
        </is>
      </c>
      <c r="D166" t="n">
        <v>7.96</v>
      </c>
      <c r="E166" t="n">
        <v>3.034</v>
      </c>
      <c r="G166" t="n">
        <v>2.671</v>
      </c>
      <c r="H166" t="inlineStr">
        <is>
          <t>MM</t>
        </is>
      </c>
      <c r="I166" t="n">
        <v>3.034</v>
      </c>
      <c r="K166" t="inlineStr">
        <is>
          <t>20250617-44</t>
        </is>
      </c>
    </row>
    <row r="167">
      <c r="A167" t="n">
        <v>34</v>
      </c>
      <c r="B167" t="inlineStr">
        <is>
          <t>K3-4C</t>
        </is>
      </c>
      <c r="D167" t="n">
        <v>7.98</v>
      </c>
      <c r="E167" t="n">
        <v>1.543</v>
      </c>
      <c r="G167" t="n">
        <v>17</v>
      </c>
      <c r="H167" t="inlineStr">
        <is>
          <t>bb</t>
        </is>
      </c>
      <c r="I167" t="n">
        <v>1.543</v>
      </c>
      <c r="K167" t="inlineStr">
        <is>
          <t>20250617-45</t>
        </is>
      </c>
    </row>
    <row r="168">
      <c r="A168" t="n">
        <v>35</v>
      </c>
      <c r="B168" t="inlineStr">
        <is>
          <t>MeOH</t>
        </is>
      </c>
      <c r="D168" t="n">
        <v>7.96</v>
      </c>
      <c r="E168" t="n">
        <v>0.266</v>
      </c>
      <c r="G168" t="n">
        <v>4</v>
      </c>
      <c r="H168" t="inlineStr">
        <is>
          <t>bb</t>
        </is>
      </c>
      <c r="I168" t="n">
        <v>0.266</v>
      </c>
      <c r="K168" t="inlineStr">
        <is>
          <t>20250617-46</t>
        </is>
      </c>
    </row>
    <row r="169">
      <c r="A169" t="n">
        <v>36</v>
      </c>
      <c r="B169" t="inlineStr">
        <is>
          <t>K3-6A</t>
        </is>
      </c>
      <c r="D169" t="n">
        <v>7.96</v>
      </c>
      <c r="E169" t="n">
        <v>4.431</v>
      </c>
      <c r="G169" t="n">
        <v>55.61</v>
      </c>
      <c r="H169" t="inlineStr">
        <is>
          <t>bb</t>
        </is>
      </c>
      <c r="I169" t="n">
        <v>4.431</v>
      </c>
      <c r="K169" t="inlineStr">
        <is>
          <t>20250617-47</t>
        </is>
      </c>
    </row>
    <row r="170">
      <c r="A170" t="n">
        <v>37</v>
      </c>
      <c r="B170" t="inlineStr">
        <is>
          <t>K3-6B</t>
        </is>
      </c>
      <c r="D170" t="n">
        <v>7.98</v>
      </c>
      <c r="E170" t="n">
        <v>2.583</v>
      </c>
      <c r="G170" t="n">
        <v>36</v>
      </c>
      <c r="H170" t="inlineStr">
        <is>
          <t>bb</t>
        </is>
      </c>
      <c r="I170" t="n">
        <v>2.583</v>
      </c>
      <c r="K170" t="inlineStr">
        <is>
          <t>20250617-48</t>
        </is>
      </c>
    </row>
    <row r="171">
      <c r="A171" t="n">
        <v>38</v>
      </c>
      <c r="B171" t="inlineStr">
        <is>
          <t>K3-6C</t>
        </is>
      </c>
      <c r="D171" t="n">
        <v>7.96</v>
      </c>
      <c r="E171" t="n">
        <v>1.624</v>
      </c>
      <c r="G171" t="n">
        <v>24</v>
      </c>
      <c r="H171" t="inlineStr">
        <is>
          <t>bb</t>
        </is>
      </c>
      <c r="I171" t="n">
        <v>1.624</v>
      </c>
      <c r="K171" t="inlineStr">
        <is>
          <t>20250617-49</t>
        </is>
      </c>
    </row>
    <row r="173">
      <c r="A173" t="inlineStr">
        <is>
          <t>Compound 5:  6:2 monoPAP 1</t>
        </is>
      </c>
    </row>
    <row r="174">
      <c r="I174" t="inlineStr">
        <is>
          <t>LINEST</t>
        </is>
      </c>
      <c r="Q174" t="inlineStr">
        <is>
          <t>Biosolids Masses</t>
        </is>
      </c>
      <c r="R174" t="inlineStr">
        <is>
          <t>(g)</t>
        </is>
      </c>
    </row>
    <row r="175">
      <c r="B175" t="inlineStr">
        <is>
          <t>Sample Text</t>
        </is>
      </c>
      <c r="C175" t="inlineStr">
        <is>
          <t>Std. Conc</t>
        </is>
      </c>
      <c r="D175" t="inlineStr">
        <is>
          <t>RT</t>
        </is>
      </c>
      <c r="E175" t="inlineStr">
        <is>
          <t>Area</t>
        </is>
      </c>
      <c r="F175" t="inlineStr">
        <is>
          <t>IS Area</t>
        </is>
      </c>
      <c r="G175" t="inlineStr">
        <is>
          <t>S/N</t>
        </is>
      </c>
      <c r="H175" t="inlineStr">
        <is>
          <t>ratio</t>
        </is>
      </c>
      <c r="I175">
        <f t="array" ref="I175:J179">LINEST(H177:H182,C177:C182,1,1)</f>
        <v/>
      </c>
      <c r="J175" t="n">
        <v>2.690361713084233</v>
      </c>
      <c r="L175" s="20" t="inlineStr">
        <is>
          <t>By S/N Ratio</t>
        </is>
      </c>
      <c r="Q175" t="inlineStr">
        <is>
          <t>SS1</t>
        </is>
      </c>
      <c r="R175" t="n">
        <v>1.0846</v>
      </c>
    </row>
    <row r="176">
      <c r="A176" t="n">
        <v>1</v>
      </c>
      <c r="B176" t="inlineStr">
        <is>
          <t>EPA1633 &amp; diPAPs Calibration 0 ppb</t>
        </is>
      </c>
      <c r="C176" s="44" t="n">
        <v>0</v>
      </c>
      <c r="D176" t="n">
        <v>8.41</v>
      </c>
      <c r="E176" t="n">
        <v>185.878</v>
      </c>
      <c r="F176" t="n">
        <v>166.957</v>
      </c>
      <c r="G176" t="n">
        <v>7.334</v>
      </c>
      <c r="H176">
        <f>E176/F176</f>
        <v/>
      </c>
      <c r="I176" t="n">
        <v>0.007440339549058667</v>
      </c>
      <c r="J176" t="n">
        <v>2.0022060776892</v>
      </c>
      <c r="K176" t="inlineStr">
        <is>
          <t>LOD</t>
        </is>
      </c>
      <c r="L176" s="21">
        <f>IF(G179&gt;3,C179,IF(G180&gt;3,#REF!,IF(G181&gt;3,C180,IF(G182&gt;3,C181,C182))))</f>
        <v/>
      </c>
      <c r="Q176" t="inlineStr">
        <is>
          <t>SS2</t>
        </is>
      </c>
      <c r="R176" t="n">
        <v>1.0726</v>
      </c>
    </row>
    <row r="177">
      <c r="A177" t="n">
        <v>2</v>
      </c>
      <c r="B177" t="inlineStr">
        <is>
          <t>EPA1633 &amp; diPAPs Calibration 0.02 ppb</t>
        </is>
      </c>
      <c r="C177" s="44" t="n">
        <v>29.93096889913863</v>
      </c>
      <c r="D177" t="n">
        <v>8.42</v>
      </c>
      <c r="E177" t="n">
        <v>186.109</v>
      </c>
      <c r="F177" t="n">
        <v>165.319</v>
      </c>
      <c r="G177" t="n">
        <v>7.906</v>
      </c>
      <c r="H177">
        <f>E177/F177</f>
        <v/>
      </c>
      <c r="I177" t="n">
        <v>0.84099827568631</v>
      </c>
      <c r="J177" t="n">
        <v>2.961389948581105</v>
      </c>
      <c r="K177" t="inlineStr">
        <is>
          <t>LOQ</t>
        </is>
      </c>
      <c r="L177" s="22">
        <f>IF(G179&gt;10,C179,IF(G180&gt;10,#REF!,IF(G181&gt;10,C180,IF(G182&gt;10,C181,C182))))</f>
        <v/>
      </c>
      <c r="Q177" t="inlineStr">
        <is>
          <t>SS3</t>
        </is>
      </c>
      <c r="R177" t="n">
        <v>1.1534</v>
      </c>
    </row>
    <row r="178">
      <c r="A178" t="n">
        <v>3</v>
      </c>
      <c r="B178" t="inlineStr">
        <is>
          <t>EPA1633 &amp; diPAPs Calibration 0.1 ppb</t>
        </is>
      </c>
      <c r="C178" s="44" t="n">
        <v>59.86193779827726</v>
      </c>
      <c r="D178" t="n">
        <v>8.43</v>
      </c>
      <c r="E178" t="n">
        <v>489.492</v>
      </c>
      <c r="F178" t="n">
        <v>111.595</v>
      </c>
      <c r="G178" t="n">
        <v>24.904</v>
      </c>
      <c r="H178">
        <f>E178/F178</f>
        <v/>
      </c>
      <c r="I178" t="n">
        <v>21.15695988370863</v>
      </c>
      <c r="J178" t="n">
        <v>4</v>
      </c>
      <c r="Q178" t="inlineStr">
        <is>
          <t>K4-5A</t>
        </is>
      </c>
      <c r="R178" t="n">
        <v>1.1054</v>
      </c>
    </row>
    <row r="179">
      <c r="A179" t="n">
        <v>4</v>
      </c>
      <c r="B179" t="inlineStr">
        <is>
          <t>EPA1633 &amp; diPAPs Calibration 0.4 ppb</t>
        </is>
      </c>
      <c r="C179" s="44" t="n">
        <v>119.7238755965545</v>
      </c>
      <c r="D179" t="n">
        <v>8.43</v>
      </c>
      <c r="E179" t="n">
        <v>1343.54</v>
      </c>
      <c r="F179" t="n">
        <v>181.598</v>
      </c>
      <c r="G179" t="n">
        <v>32.36</v>
      </c>
      <c r="H179">
        <f>E179/F179</f>
        <v/>
      </c>
      <c r="I179" t="n">
        <v>185.542950542755</v>
      </c>
      <c r="J179" t="n">
        <v>35.0793217102288</v>
      </c>
      <c r="Q179" t="inlineStr">
        <is>
          <t>K4-5B</t>
        </is>
      </c>
      <c r="R179" s="10" t="n">
        <v>1.0463</v>
      </c>
    </row>
    <row r="180">
      <c r="A180" t="n">
        <v>5</v>
      </c>
      <c r="B180" t="inlineStr">
        <is>
          <t>EPA1633 &amp; diPAPs Calibration 1 ppb</t>
        </is>
      </c>
      <c r="C180" s="44" t="n">
        <v>239.447751193109</v>
      </c>
      <c r="D180" t="n">
        <v>8.43</v>
      </c>
      <c r="E180" t="n">
        <v>2924.403</v>
      </c>
      <c r="F180" t="n">
        <v>185.453</v>
      </c>
      <c r="G180" t="n">
        <v>128.701</v>
      </c>
      <c r="H180">
        <f>E180/F180</f>
        <v/>
      </c>
      <c r="Q180" t="inlineStr">
        <is>
          <t>K4-5C</t>
        </is>
      </c>
      <c r="R180" t="n">
        <v>1.1155</v>
      </c>
    </row>
    <row r="181">
      <c r="A181" t="n">
        <v>6</v>
      </c>
      <c r="B181" t="inlineStr">
        <is>
          <t>EPA1633 &amp; diPAPs Calibration 5 ppb</t>
        </is>
      </c>
      <c r="C181" s="44" t="n">
        <v>359.1716267896635</v>
      </c>
      <c r="D181" t="n">
        <v>8.44</v>
      </c>
      <c r="E181" t="n">
        <v>10345.755</v>
      </c>
      <c r="F181" t="n">
        <v>722.211</v>
      </c>
      <c r="G181" t="n">
        <v>497.747</v>
      </c>
      <c r="H181">
        <f>E181/F181</f>
        <v/>
      </c>
      <c r="Q181" t="inlineStr">
        <is>
          <t>K3-1A</t>
        </is>
      </c>
      <c r="R181" t="n">
        <v>1.0874</v>
      </c>
    </row>
    <row r="182">
      <c r="A182" t="n">
        <v>7</v>
      </c>
      <c r="B182" t="inlineStr">
        <is>
          <t>EPA1633 &amp; diPAPs Calibration 10 ppb</t>
        </is>
      </c>
      <c r="C182" s="44" t="n">
        <v>478.8955023862181</v>
      </c>
      <c r="D182" t="n">
        <v>8.44</v>
      </c>
      <c r="E182" t="n">
        <v>33350.988</v>
      </c>
      <c r="F182" t="n">
        <v>1940.84</v>
      </c>
      <c r="G182" t="n">
        <v>892.119</v>
      </c>
      <c r="H182">
        <f>E182/F182</f>
        <v/>
      </c>
      <c r="I182" s="23" t="inlineStr">
        <is>
          <t>Background</t>
        </is>
      </c>
      <c r="J182" s="23" t="inlineStr">
        <is>
          <t>Spike</t>
        </is>
      </c>
      <c r="K182" s="9" t="inlineStr">
        <is>
          <t>Old Spike</t>
        </is>
      </c>
      <c r="O182" s="24" t="inlineStr">
        <is>
          <t>±</t>
        </is>
      </c>
      <c r="Q182" t="inlineStr">
        <is>
          <t>K3-1B</t>
        </is>
      </c>
      <c r="R182" t="n">
        <v>1.0898</v>
      </c>
    </row>
    <row r="183">
      <c r="A183" t="n">
        <v>8</v>
      </c>
      <c r="B183" t="inlineStr">
        <is>
          <t>EPA1633 &amp; diPAPs Calibration 20 ppb</t>
        </is>
      </c>
      <c r="C183" s="44" t="n">
        <v>598.6193779827726</v>
      </c>
      <c r="D183" t="n">
        <v>8.44</v>
      </c>
      <c r="E183" t="n">
        <v>28831.936</v>
      </c>
      <c r="F183" t="n">
        <v>1857.613</v>
      </c>
      <c r="G183" t="n">
        <v>1185.118</v>
      </c>
      <c r="H183">
        <f>E183/F183</f>
        <v/>
      </c>
      <c r="I183">
        <f>AVERAGE(I186:I188)</f>
        <v/>
      </c>
      <c r="J183" t="n">
        <v>526.8</v>
      </c>
      <c r="Q183" t="inlineStr">
        <is>
          <t>K3-1C</t>
        </is>
      </c>
      <c r="R183" t="n">
        <v>1.0536</v>
      </c>
    </row>
    <row r="184">
      <c r="A184" t="n">
        <v>9</v>
      </c>
      <c r="B184" t="inlineStr">
        <is>
          <t>MeOH</t>
        </is>
      </c>
      <c r="I184" s="23" t="inlineStr">
        <is>
          <t>Conc.In Vial (ppb)</t>
        </is>
      </c>
      <c r="J184" s="9" t="inlineStr">
        <is>
          <t>Corr. Conc.(ppb)</t>
        </is>
      </c>
      <c r="K184" s="9" t="inlineStr">
        <is>
          <t>Conc. In soil (ng/g)</t>
        </is>
      </c>
      <c r="Q184" t="inlineStr">
        <is>
          <t>K3-2A</t>
        </is>
      </c>
      <c r="R184" s="10" t="n">
        <v>1.1218</v>
      </c>
    </row>
    <row r="185">
      <c r="A185" t="n">
        <v>10</v>
      </c>
      <c r="B185" t="inlineStr">
        <is>
          <t>MeOH</t>
        </is>
      </c>
      <c r="L185" s="23" t="inlineStr">
        <is>
          <t>Average</t>
        </is>
      </c>
      <c r="M185" s="23" t="inlineStr">
        <is>
          <t>Stdev</t>
        </is>
      </c>
      <c r="N185" s="9" t="inlineStr">
        <is>
          <t>Combined</t>
        </is>
      </c>
      <c r="O185" s="9" t="n"/>
      <c r="P185" s="9" t="n"/>
      <c r="Q185" t="inlineStr">
        <is>
          <t>K3-2B</t>
        </is>
      </c>
      <c r="R185" t="n">
        <v>1.198</v>
      </c>
    </row>
    <row r="186">
      <c r="A186" t="n">
        <v>11</v>
      </c>
      <c r="B186" t="inlineStr">
        <is>
          <t>SB1</t>
        </is>
      </c>
      <c r="D186" t="n">
        <v>8.32</v>
      </c>
      <c r="E186" t="n">
        <v>57.677</v>
      </c>
      <c r="F186" t="n">
        <v>28.066</v>
      </c>
      <c r="G186" t="n">
        <v>1.727</v>
      </c>
      <c r="H186">
        <f>E186/F186</f>
        <v/>
      </c>
      <c r="I186">
        <f>((H186-$J$175)/$I$175)</f>
        <v/>
      </c>
      <c r="J186">
        <f>(I186-IF(I183&gt;0,I183,0))</f>
        <v/>
      </c>
      <c r="K186">
        <f>J186*1.1</f>
        <v/>
      </c>
      <c r="L186">
        <f>AVERAGE(K186:K188)</f>
        <v/>
      </c>
      <c r="M186">
        <f>STDEV(K187:K188)</f>
        <v/>
      </c>
      <c r="N186">
        <f>_xlfn.CONCAT(ROUND(L186,1)," ± ",ROUND(M186,1))</f>
        <v/>
      </c>
      <c r="Q186" t="inlineStr">
        <is>
          <t>K3-2C</t>
        </is>
      </c>
      <c r="R186" t="n">
        <v>1.1538</v>
      </c>
    </row>
    <row r="187">
      <c r="A187" t="n">
        <v>12</v>
      </c>
      <c r="B187" t="inlineStr">
        <is>
          <t>SB2</t>
        </is>
      </c>
      <c r="D187" t="n">
        <v>8.5</v>
      </c>
      <c r="E187" t="n">
        <v>68.93000000000001</v>
      </c>
      <c r="F187" t="n">
        <v>142.746</v>
      </c>
      <c r="G187" t="n">
        <v>1.809</v>
      </c>
      <c r="H187">
        <f>E187/F187</f>
        <v/>
      </c>
      <c r="I187">
        <f>((H187-$J$175)/$I$175)</f>
        <v/>
      </c>
      <c r="J187">
        <f>(I187-IF(I183&gt;0,I183,0))</f>
        <v/>
      </c>
      <c r="K187">
        <f>J187*1.1</f>
        <v/>
      </c>
      <c r="Q187" t="inlineStr">
        <is>
          <t>K3-3A</t>
        </is>
      </c>
      <c r="R187" t="n">
        <v>1.1183</v>
      </c>
    </row>
    <row r="188">
      <c r="A188" t="n">
        <v>13</v>
      </c>
      <c r="B188" t="inlineStr">
        <is>
          <t>SB3</t>
        </is>
      </c>
      <c r="D188" t="n">
        <v>8.52</v>
      </c>
      <c r="E188" t="n">
        <v>73.723</v>
      </c>
      <c r="F188" t="n">
        <v>116.972</v>
      </c>
      <c r="G188" t="n">
        <v>2.393</v>
      </c>
      <c r="H188">
        <f>E188/F188</f>
        <v/>
      </c>
      <c r="I188">
        <f>((H188-$J$175)/$I$175)</f>
        <v/>
      </c>
      <c r="J188">
        <f>(I188-IF(I183&gt;0,I183,0))</f>
        <v/>
      </c>
      <c r="K188" s="30">
        <f>J188*1.1</f>
        <v/>
      </c>
      <c r="L188" s="25" t="inlineStr">
        <is>
          <t>Average</t>
        </is>
      </c>
      <c r="M188" s="25" t="inlineStr">
        <is>
          <t>Stdev</t>
        </is>
      </c>
      <c r="N188" s="26" t="inlineStr">
        <is>
          <t>%Recovery</t>
        </is>
      </c>
      <c r="O188" s="26" t="inlineStr">
        <is>
          <t>Uncertainty</t>
        </is>
      </c>
      <c r="P188" s="26" t="inlineStr">
        <is>
          <t>Combined</t>
        </is>
      </c>
      <c r="Q188" t="inlineStr">
        <is>
          <t>K3-3B</t>
        </is>
      </c>
      <c r="R188" t="n">
        <v>1.1448</v>
      </c>
    </row>
    <row r="189">
      <c r="A189" t="n">
        <v>14</v>
      </c>
      <c r="B189" t="inlineStr">
        <is>
          <t>SS1</t>
        </is>
      </c>
      <c r="D189" t="n">
        <v>8.449999999999999</v>
      </c>
      <c r="E189" t="n">
        <v>8747.923000000001</v>
      </c>
      <c r="F189" t="n">
        <v>472.826</v>
      </c>
      <c r="G189" t="n">
        <v>159.942</v>
      </c>
      <c r="H189">
        <f>E189/F189</f>
        <v/>
      </c>
      <c r="I189">
        <f>((H189-$J$175)/$I$175)</f>
        <v/>
      </c>
      <c r="J189">
        <f>(I189-IF($I$183&gt;0,$I$183,0))</f>
        <v/>
      </c>
      <c r="K189">
        <f>J189/R175*1.1</f>
        <v/>
      </c>
      <c r="L189" s="27">
        <f>AVERAGE(K189:K191)</f>
        <v/>
      </c>
      <c r="M189" s="27">
        <f>STDEV(K189:K191)</f>
        <v/>
      </c>
      <c r="N189" s="28">
        <f>L189/J183*100</f>
        <v/>
      </c>
      <c r="O189" s="29">
        <f>M189/J183*100</f>
        <v/>
      </c>
      <c r="P189" s="29">
        <f>_xlfn.CONCAT(ROUND(N189,1)," ± ",ROUND(O189,1))</f>
        <v/>
      </c>
      <c r="Q189" t="inlineStr">
        <is>
          <t>K3-3C</t>
        </is>
      </c>
      <c r="R189" t="n">
        <v>1.0493</v>
      </c>
    </row>
    <row r="190">
      <c r="A190" t="n">
        <v>15</v>
      </c>
      <c r="B190" t="inlineStr">
        <is>
          <t>SS2</t>
        </is>
      </c>
      <c r="D190" t="n">
        <v>8.460000000000001</v>
      </c>
      <c r="E190" t="n">
        <v>9551.987999999999</v>
      </c>
      <c r="F190" t="n">
        <v>645.388</v>
      </c>
      <c r="G190" t="n">
        <v>174.284</v>
      </c>
      <c r="H190">
        <f>E190/F190</f>
        <v/>
      </c>
      <c r="I190">
        <f>((H190-$J$175)/$I$175)</f>
        <v/>
      </c>
      <c r="J190">
        <f>(I190-IF($I$183&gt;0,$I$183,0))</f>
        <v/>
      </c>
      <c r="K190">
        <f>J190/R176*1.1</f>
        <v/>
      </c>
      <c r="Q190" t="inlineStr">
        <is>
          <t>K3-4A</t>
        </is>
      </c>
      <c r="R190" t="n">
        <v>1.0704</v>
      </c>
    </row>
    <row r="191">
      <c r="A191" t="n">
        <v>16</v>
      </c>
      <c r="B191" t="inlineStr">
        <is>
          <t>SS3</t>
        </is>
      </c>
      <c r="D191" t="n">
        <v>8.460000000000001</v>
      </c>
      <c r="E191" t="n">
        <v>8686.192999999999</v>
      </c>
      <c r="F191" t="n">
        <v>584.283</v>
      </c>
      <c r="G191" t="n">
        <v>152.625</v>
      </c>
      <c r="H191">
        <f>E191/F191</f>
        <v/>
      </c>
      <c r="I191">
        <f>((H191-$J$175)/$I$175)</f>
        <v/>
      </c>
      <c r="J191">
        <f>(I191-IF($I$183&gt;0,$I$183,0))</f>
        <v/>
      </c>
      <c r="K191" s="30">
        <f>J191/R177*1.1</f>
        <v/>
      </c>
      <c r="Q191" t="inlineStr">
        <is>
          <t>K3-4B</t>
        </is>
      </c>
      <c r="R191" t="n">
        <v>1.1589</v>
      </c>
    </row>
    <row r="192">
      <c r="A192" t="n">
        <v>17</v>
      </c>
      <c r="B192" t="inlineStr">
        <is>
          <t>MeOH</t>
        </is>
      </c>
      <c r="L192" s="23" t="inlineStr">
        <is>
          <t>Average</t>
        </is>
      </c>
      <c r="M192" s="23" t="inlineStr">
        <is>
          <t>Stdev</t>
        </is>
      </c>
      <c r="N192" s="9" t="inlineStr">
        <is>
          <t>Combined</t>
        </is>
      </c>
      <c r="Q192" t="inlineStr">
        <is>
          <t>K3-4C</t>
        </is>
      </c>
      <c r="R192" t="n">
        <v>1.0206</v>
      </c>
    </row>
    <row r="193">
      <c r="A193" t="n">
        <v>18</v>
      </c>
      <c r="B193" t="inlineStr">
        <is>
          <t>K4-5A</t>
        </is>
      </c>
      <c r="D193" t="n">
        <v>8.68</v>
      </c>
      <c r="E193" t="n">
        <v>152.311</v>
      </c>
      <c r="F193" t="n">
        <v>47.3</v>
      </c>
      <c r="G193" t="n">
        <v>5.685</v>
      </c>
      <c r="H193">
        <f>E193/F193</f>
        <v/>
      </c>
      <c r="I193">
        <f>((H193-$J$175)/$I$175)</f>
        <v/>
      </c>
      <c r="J193">
        <f>(I193-IF($I$183&gt;0,$I$183,0))</f>
        <v/>
      </c>
      <c r="K193">
        <f>J193/R177*1.1</f>
        <v/>
      </c>
      <c r="L193">
        <f>AVERAGE(K193:K195)</f>
        <v/>
      </c>
      <c r="M193">
        <f>STDEV(K193:K195)</f>
        <v/>
      </c>
      <c r="N193">
        <f>_xlfn.CONCAT(ROUND(L193,1)," ± ",ROUND(M193,1))</f>
        <v/>
      </c>
      <c r="Q193" t="inlineStr">
        <is>
          <t>K3-6A</t>
        </is>
      </c>
      <c r="R193" t="n">
        <v>1.1289</v>
      </c>
    </row>
    <row r="194">
      <c r="A194" t="n">
        <v>19</v>
      </c>
      <c r="B194" t="inlineStr">
        <is>
          <t>K4-5B</t>
        </is>
      </c>
      <c r="D194" t="n">
        <v>8.56</v>
      </c>
      <c r="E194" t="n">
        <v>100.053</v>
      </c>
      <c r="F194" t="n">
        <v>90.40000000000001</v>
      </c>
      <c r="G194" t="n">
        <v>2.923</v>
      </c>
      <c r="H194">
        <f>E194/F194</f>
        <v/>
      </c>
      <c r="I194">
        <f>((H194-$J$175)/$I$175)</f>
        <v/>
      </c>
      <c r="J194">
        <f>(I194-IF($I$183&gt;0,$I$183,0))</f>
        <v/>
      </c>
      <c r="K194">
        <f>J194/R178*1.1</f>
        <v/>
      </c>
      <c r="Q194" t="inlineStr">
        <is>
          <t>K3-6B</t>
        </is>
      </c>
      <c r="R194" t="n">
        <v>1.195</v>
      </c>
    </row>
    <row r="195">
      <c r="A195" t="n">
        <v>20</v>
      </c>
      <c r="B195" t="inlineStr">
        <is>
          <t>K4-5C</t>
        </is>
      </c>
      <c r="D195" t="n">
        <v>8.57</v>
      </c>
      <c r="E195" t="n">
        <v>43.753</v>
      </c>
      <c r="F195" t="n">
        <v>124.816</v>
      </c>
      <c r="G195" t="n">
        <v>1.139</v>
      </c>
      <c r="H195">
        <f>E195/F195</f>
        <v/>
      </c>
      <c r="I195">
        <f>((H195-$J$175)/$I$175)</f>
        <v/>
      </c>
      <c r="J195">
        <f>(I195-IF($I$183&gt;0,$I$183,0))</f>
        <v/>
      </c>
      <c r="K195">
        <f>J195/R179*1.1</f>
        <v/>
      </c>
      <c r="L195" s="23" t="n"/>
      <c r="M195" s="23" t="n"/>
      <c r="N195" s="9" t="n"/>
      <c r="Q195" t="inlineStr">
        <is>
          <t>K3-6C</t>
        </is>
      </c>
      <c r="R195" t="n">
        <v>1.1716</v>
      </c>
    </row>
    <row r="196">
      <c r="A196" t="n">
        <v>21</v>
      </c>
      <c r="B196" t="inlineStr">
        <is>
          <t>MeOH</t>
        </is>
      </c>
      <c r="L196" s="23" t="inlineStr">
        <is>
          <t>Average</t>
        </is>
      </c>
      <c r="M196" s="23" t="inlineStr">
        <is>
          <t>Stdev</t>
        </is>
      </c>
      <c r="N196" s="9" t="inlineStr">
        <is>
          <t>Combined</t>
        </is>
      </c>
    </row>
    <row r="197">
      <c r="A197" t="n">
        <v>22</v>
      </c>
      <c r="B197" t="inlineStr">
        <is>
          <t>K3-1A</t>
        </is>
      </c>
      <c r="D197" t="n">
        <v>8.300000000000001</v>
      </c>
      <c r="E197" t="n">
        <v>90.38</v>
      </c>
      <c r="F197" t="n">
        <v>223.733</v>
      </c>
      <c r="G197" t="n">
        <v>2.031</v>
      </c>
      <c r="H197">
        <f>E197/F197</f>
        <v/>
      </c>
      <c r="I197">
        <f>((H197-$J$175)/$I$175)</f>
        <v/>
      </c>
      <c r="J197">
        <f>(I197-IF($I$183&gt;0,$I$183,0))</f>
        <v/>
      </c>
      <c r="K197">
        <f>J197/R180*1.1</f>
        <v/>
      </c>
      <c r="L197">
        <f>AVERAGE(K197:K199)</f>
        <v/>
      </c>
      <c r="M197">
        <f>STDEV(K198:K199)</f>
        <v/>
      </c>
      <c r="N197">
        <f>_xlfn.CONCAT(ROUND(L197,1)," ± ",ROUND(M197,1))</f>
        <v/>
      </c>
    </row>
    <row r="198">
      <c r="A198" t="n">
        <v>23</v>
      </c>
      <c r="B198" t="inlineStr">
        <is>
          <t>K3-1B</t>
        </is>
      </c>
      <c r="D198" t="n">
        <v>8.48</v>
      </c>
      <c r="E198" t="n">
        <v>109.278</v>
      </c>
      <c r="F198" t="n">
        <v>99.345</v>
      </c>
      <c r="G198" t="n">
        <v>1.776</v>
      </c>
      <c r="H198">
        <f>E198/F198</f>
        <v/>
      </c>
      <c r="I198">
        <f>((H198-$J$175)/$I$175)</f>
        <v/>
      </c>
      <c r="J198">
        <f>(I198-IF($I$183&gt;0,$I$183,0))</f>
        <v/>
      </c>
      <c r="K198">
        <f>J198/R181*1.1</f>
        <v/>
      </c>
    </row>
    <row r="199">
      <c r="A199" t="n">
        <v>24</v>
      </c>
      <c r="B199" t="inlineStr">
        <is>
          <t>K3-1C</t>
        </is>
      </c>
      <c r="D199" t="n">
        <v>8.57</v>
      </c>
      <c r="E199" t="n">
        <v>63.579</v>
      </c>
      <c r="F199" t="n">
        <v>75.879</v>
      </c>
      <c r="G199" t="n">
        <v>2.018</v>
      </c>
      <c r="H199">
        <f>E199/F199</f>
        <v/>
      </c>
      <c r="I199">
        <f>((H199-$J$175)/$I$175)</f>
        <v/>
      </c>
      <c r="J199">
        <f>(I199-IF($I$183&gt;0,$I$183,0))</f>
        <v/>
      </c>
      <c r="K199">
        <f>J199/R182*1.1</f>
        <v/>
      </c>
      <c r="L199" s="23" t="inlineStr">
        <is>
          <t>Average</t>
        </is>
      </c>
      <c r="M199" s="23" t="inlineStr">
        <is>
          <t>Stdev</t>
        </is>
      </c>
      <c r="N199" s="9" t="inlineStr">
        <is>
          <t>Combined</t>
        </is>
      </c>
    </row>
    <row r="200">
      <c r="A200" t="n">
        <v>25</v>
      </c>
      <c r="B200" t="inlineStr">
        <is>
          <t>K3-2A</t>
        </is>
      </c>
      <c r="D200" t="n">
        <v>8.68</v>
      </c>
      <c r="E200" t="n">
        <v>47.435</v>
      </c>
      <c r="F200" t="n">
        <v>114.793</v>
      </c>
      <c r="G200" t="n">
        <v>1.981</v>
      </c>
      <c r="H200">
        <f>E200/F200</f>
        <v/>
      </c>
      <c r="I200">
        <f>((H200-$J$175)/$I$175)</f>
        <v/>
      </c>
      <c r="J200">
        <f>(I200-IF($I$183&gt;0,$I$183,0))</f>
        <v/>
      </c>
      <c r="K200">
        <f>J200/R183*1.1</f>
        <v/>
      </c>
      <c r="L200">
        <f>AVERAGE(K200:K202)</f>
        <v/>
      </c>
      <c r="M200">
        <f>STDEV(K200:K202)</f>
        <v/>
      </c>
      <c r="N200">
        <f>_xlfn.CONCAT(ROUND(L200,1)," ± ",ROUND(M200,1))</f>
        <v/>
      </c>
    </row>
    <row r="201">
      <c r="A201" t="n">
        <v>26</v>
      </c>
      <c r="B201" t="inlineStr">
        <is>
          <t>K3-2B</t>
        </is>
      </c>
      <c r="D201" t="n">
        <v>8.52</v>
      </c>
      <c r="E201" t="n">
        <v>40.709</v>
      </c>
      <c r="F201" t="n">
        <v>89.536</v>
      </c>
      <c r="G201" t="n">
        <v>3.768</v>
      </c>
      <c r="H201">
        <f>E201/F201</f>
        <v/>
      </c>
      <c r="I201">
        <f>((H201-$J$175)/$I$175)</f>
        <v/>
      </c>
      <c r="J201">
        <f>(I201-IF($I$183&gt;0,$I$183,0))</f>
        <v/>
      </c>
      <c r="K201">
        <f>J201/R184*1.1</f>
        <v/>
      </c>
    </row>
    <row r="202">
      <c r="A202" t="n">
        <v>27</v>
      </c>
      <c r="B202" t="inlineStr">
        <is>
          <t>K3-2C</t>
        </is>
      </c>
      <c r="D202" t="n">
        <v>8.92</v>
      </c>
      <c r="E202" t="n">
        <v>35.811</v>
      </c>
      <c r="F202" t="n">
        <v>109.063</v>
      </c>
      <c r="G202" t="n">
        <v>1.434</v>
      </c>
      <c r="H202">
        <f>E202/F202</f>
        <v/>
      </c>
      <c r="I202">
        <f>((H202-$J$175)/$I$175)</f>
        <v/>
      </c>
      <c r="J202">
        <f>(I202-IF($I$183&gt;0,$I$183,0))</f>
        <v/>
      </c>
      <c r="K202">
        <f>J202/R185*1.1</f>
        <v/>
      </c>
      <c r="L202" s="23" t="n"/>
      <c r="M202" s="23" t="n"/>
      <c r="N202" s="9" t="n"/>
    </row>
    <row r="203">
      <c r="A203" t="n">
        <v>28</v>
      </c>
      <c r="B203" t="inlineStr">
        <is>
          <t>MeOH</t>
        </is>
      </c>
      <c r="L203" s="23" t="inlineStr">
        <is>
          <t>Average</t>
        </is>
      </c>
      <c r="M203" s="23" t="inlineStr">
        <is>
          <t>Stdev</t>
        </is>
      </c>
      <c r="N203" s="9" t="inlineStr">
        <is>
          <t>Combined</t>
        </is>
      </c>
    </row>
    <row r="204">
      <c r="A204" t="n">
        <v>29</v>
      </c>
      <c r="B204" t="inlineStr">
        <is>
          <t>K3-3A</t>
        </is>
      </c>
      <c r="D204" t="n">
        <v>8.84</v>
      </c>
      <c r="E204" t="n">
        <v>40.212</v>
      </c>
      <c r="F204" t="n">
        <v>85.82299999999999</v>
      </c>
      <c r="G204" t="n">
        <v>1.713</v>
      </c>
      <c r="H204">
        <f>E204/F204</f>
        <v/>
      </c>
      <c r="I204">
        <f>((H204-$J$175)/$I$175)</f>
        <v/>
      </c>
      <c r="J204">
        <f>(I204-IF($I$183&gt;0,$I$183,0))</f>
        <v/>
      </c>
      <c r="K204">
        <f>J204/R186*1.1</f>
        <v/>
      </c>
      <c r="L204">
        <f>AVERAGE(K204:K206)</f>
        <v/>
      </c>
      <c r="M204">
        <f>STDEV(K205:K206)</f>
        <v/>
      </c>
      <c r="N204">
        <f>_xlfn.CONCAT(ROUND(L204,1)," ± ",ROUND(M204,1))</f>
        <v/>
      </c>
    </row>
    <row r="205">
      <c r="A205" t="n">
        <v>30</v>
      </c>
      <c r="B205" t="inlineStr">
        <is>
          <t>K3-3B</t>
        </is>
      </c>
      <c r="D205" t="n">
        <v>8.68</v>
      </c>
      <c r="E205" t="n">
        <v>34.553</v>
      </c>
      <c r="F205" t="n">
        <v>88.152</v>
      </c>
      <c r="G205" t="n">
        <v>0.877</v>
      </c>
      <c r="H205">
        <f>E205/F205</f>
        <v/>
      </c>
      <c r="I205">
        <f>((H205-$J$175)/$I$175)</f>
        <v/>
      </c>
      <c r="J205">
        <f>(I205-IF($I$183&gt;0,$I$183,0))</f>
        <v/>
      </c>
      <c r="K205">
        <f>J205/R187*1.1</f>
        <v/>
      </c>
    </row>
    <row r="206">
      <c r="A206" t="n">
        <v>31</v>
      </c>
      <c r="B206" t="inlineStr">
        <is>
          <t>K3-3C</t>
        </is>
      </c>
      <c r="D206" t="n">
        <v>8.43</v>
      </c>
      <c r="E206" t="n">
        <v>42.995</v>
      </c>
      <c r="F206" t="n">
        <v>101.444</v>
      </c>
      <c r="G206" t="n">
        <v>1.576</v>
      </c>
      <c r="H206">
        <f>E206/F206</f>
        <v/>
      </c>
      <c r="I206">
        <f>((H206-$J$175)/$I$175)</f>
        <v/>
      </c>
      <c r="J206">
        <f>(I206-IF($I$183&gt;0,$I$183,0))</f>
        <v/>
      </c>
      <c r="K206">
        <f>J206/R188*1.1</f>
        <v/>
      </c>
      <c r="L206" s="23" t="inlineStr">
        <is>
          <t>Average</t>
        </is>
      </c>
      <c r="M206" s="23" t="inlineStr">
        <is>
          <t>Stdev</t>
        </is>
      </c>
      <c r="N206" s="9" t="inlineStr">
        <is>
          <t>Combined</t>
        </is>
      </c>
    </row>
    <row r="207">
      <c r="A207" t="n">
        <v>32</v>
      </c>
      <c r="B207" t="inlineStr">
        <is>
          <t>K3-4A</t>
        </is>
      </c>
      <c r="D207" t="n">
        <v>8.6</v>
      </c>
      <c r="E207" t="n">
        <v>113.138</v>
      </c>
      <c r="F207" t="n">
        <v>68.256</v>
      </c>
      <c r="G207" t="n">
        <v>2.325</v>
      </c>
      <c r="H207">
        <f>E207/F207</f>
        <v/>
      </c>
      <c r="I207">
        <f>((H207-$J$175)/$I$175)</f>
        <v/>
      </c>
      <c r="J207">
        <f>(I207-IF($I$183&gt;0,$I$183,0))</f>
        <v/>
      </c>
      <c r="K207">
        <f>J207/R189*1.1</f>
        <v/>
      </c>
      <c r="L207">
        <f>AVERAGE(K207:K209)</f>
        <v/>
      </c>
      <c r="M207">
        <f>STDEV(K207:K209)</f>
        <v/>
      </c>
      <c r="N207">
        <f>_xlfn.CONCAT(ROUND(L207,1)," ± ",ROUND(M207,1))</f>
        <v/>
      </c>
    </row>
    <row r="208">
      <c r="A208" t="n">
        <v>33</v>
      </c>
      <c r="B208" t="inlineStr">
        <is>
          <t>K3-4B</t>
        </is>
      </c>
      <c r="D208" t="n">
        <v>8.359999999999999</v>
      </c>
      <c r="E208" t="n">
        <v>68.33</v>
      </c>
      <c r="F208" t="n">
        <v>78.85599999999999</v>
      </c>
      <c r="G208" t="n">
        <v>3.131</v>
      </c>
      <c r="H208">
        <f>E208/F208</f>
        <v/>
      </c>
      <c r="I208">
        <f>((H208-$J$175)/$I$175)</f>
        <v/>
      </c>
      <c r="J208">
        <f>(I208-IF($I$183&gt;0,$I$183,0))</f>
        <v/>
      </c>
      <c r="K208">
        <f>J208/R190*1.1</f>
        <v/>
      </c>
    </row>
    <row r="209">
      <c r="A209" t="n">
        <v>34</v>
      </c>
      <c r="B209" t="inlineStr">
        <is>
          <t>K3-4C</t>
        </is>
      </c>
      <c r="D209" t="n">
        <v>8.52</v>
      </c>
      <c r="E209" t="n">
        <v>78.102</v>
      </c>
      <c r="F209" t="n">
        <v>79.253</v>
      </c>
      <c r="G209" t="n">
        <v>2.448</v>
      </c>
      <c r="H209">
        <f>E209/F209</f>
        <v/>
      </c>
      <c r="I209">
        <f>((H209-$J$175)/$I$175)</f>
        <v/>
      </c>
      <c r="J209">
        <f>(I209-IF($I$183&gt;0,$I$183,0))</f>
        <v/>
      </c>
      <c r="K209">
        <f>J209/R191*1.1</f>
        <v/>
      </c>
      <c r="L209" s="23" t="n"/>
      <c r="M209" s="23" t="n"/>
      <c r="N209" s="9" t="n"/>
    </row>
    <row r="210">
      <c r="A210" t="n">
        <v>35</v>
      </c>
      <c r="B210" t="inlineStr">
        <is>
          <t>MeOH</t>
        </is>
      </c>
      <c r="L210" s="23" t="inlineStr">
        <is>
          <t>Average</t>
        </is>
      </c>
      <c r="M210" s="23" t="inlineStr">
        <is>
          <t>Stdev</t>
        </is>
      </c>
      <c r="N210" s="9" t="inlineStr">
        <is>
          <t>Combined</t>
        </is>
      </c>
    </row>
    <row r="211">
      <c r="A211" t="n">
        <v>36</v>
      </c>
      <c r="B211" t="inlineStr">
        <is>
          <t>K3-6A</t>
        </is>
      </c>
      <c r="D211" t="n">
        <v>8.57</v>
      </c>
      <c r="E211" t="n">
        <v>55.842</v>
      </c>
      <c r="F211" t="n">
        <v>76.111</v>
      </c>
      <c r="G211" t="n">
        <v>2.72</v>
      </c>
      <c r="H211">
        <f>E211/F211</f>
        <v/>
      </c>
      <c r="I211">
        <f>((H211-$J$175)/$I$175)</f>
        <v/>
      </c>
      <c r="J211">
        <f>(I211-IF($I$183&gt;0,$I$183,0))</f>
        <v/>
      </c>
      <c r="K211">
        <f>J211/R192*1.1</f>
        <v/>
      </c>
      <c r="L211">
        <f>AVERAGE(K211:K213)</f>
        <v/>
      </c>
      <c r="M211">
        <f>STDEV(K212:K213)</f>
        <v/>
      </c>
      <c r="N211">
        <f>_xlfn.CONCAT(ROUND(L211,1)," ± ",ROUND(M211,1))</f>
        <v/>
      </c>
    </row>
    <row r="212">
      <c r="A212" t="n">
        <v>37</v>
      </c>
      <c r="B212" t="inlineStr">
        <is>
          <t>K3-6B</t>
        </is>
      </c>
      <c r="D212" t="n">
        <v>8.57</v>
      </c>
      <c r="E212" t="n">
        <v>23.49</v>
      </c>
      <c r="F212" t="n">
        <v>56.162</v>
      </c>
      <c r="G212" t="n">
        <v>1.113</v>
      </c>
      <c r="H212">
        <f>E212/F212</f>
        <v/>
      </c>
      <c r="I212">
        <f>((H212-$J$175)/$I$175)</f>
        <v/>
      </c>
      <c r="J212">
        <f>(I212-IF($I$183&gt;0,$I$183,0))</f>
        <v/>
      </c>
      <c r="K212">
        <f>J212/R193*1.1</f>
        <v/>
      </c>
    </row>
    <row r="213">
      <c r="A213" t="n">
        <v>38</v>
      </c>
      <c r="B213" t="inlineStr">
        <is>
          <t>K3-6C</t>
        </is>
      </c>
      <c r="D213" t="n">
        <v>8.44</v>
      </c>
      <c r="E213" t="n">
        <v>28.682</v>
      </c>
      <c r="F213" t="n">
        <v>136.768</v>
      </c>
      <c r="G213" t="n">
        <v>1.915</v>
      </c>
      <c r="H213">
        <f>E213/F213</f>
        <v/>
      </c>
      <c r="I213">
        <f>((H213-$J$175)/$I$175)</f>
        <v/>
      </c>
      <c r="J213">
        <f>(I213-IF($I$183&gt;0,$I$183,0))</f>
        <v/>
      </c>
      <c r="K213">
        <f>J213/R194*1.1</f>
        <v/>
      </c>
      <c r="L213" s="23" t="n"/>
      <c r="M213" s="23" t="n"/>
      <c r="N213" s="9" t="n"/>
    </row>
    <row r="215">
      <c r="A215" t="inlineStr">
        <is>
          <t>Compound 6:  6:2 monoPAP 2</t>
        </is>
      </c>
    </row>
    <row r="217">
      <c r="B217" t="inlineStr">
        <is>
          <t>Sample Text</t>
        </is>
      </c>
      <c r="C217" t="inlineStr">
        <is>
          <t>Std. Conc</t>
        </is>
      </c>
      <c r="D217" t="inlineStr">
        <is>
          <t>RT</t>
        </is>
      </c>
      <c r="E217" t="inlineStr">
        <is>
          <t>Area</t>
        </is>
      </c>
      <c r="F217" t="inlineStr">
        <is>
          <t>IS Area</t>
        </is>
      </c>
      <c r="G217" t="inlineStr">
        <is>
          <t>S/N</t>
        </is>
      </c>
      <c r="H217" t="inlineStr">
        <is>
          <t>Primary Flags</t>
        </is>
      </c>
      <c r="I217" t="inlineStr">
        <is>
          <t>Response</t>
        </is>
      </c>
      <c r="J217" t="inlineStr">
        <is>
          <t>Conc.</t>
        </is>
      </c>
      <c r="K217" t="inlineStr">
        <is>
          <t>Name</t>
        </is>
      </c>
    </row>
    <row r="218">
      <c r="A218" t="n">
        <v>1</v>
      </c>
      <c r="B218" t="inlineStr">
        <is>
          <t>EPA1633 &amp; diPAPs Calibration 0 ppb</t>
        </is>
      </c>
      <c r="D218" t="n">
        <v>9.050000000000001</v>
      </c>
      <c r="E218" t="n">
        <v>5.062</v>
      </c>
      <c r="F218" t="n">
        <v>2.385</v>
      </c>
      <c r="G218" t="n">
        <v>58</v>
      </c>
      <c r="H218" t="inlineStr">
        <is>
          <t>bb</t>
        </is>
      </c>
      <c r="K218" t="inlineStr">
        <is>
          <t>20250617-12</t>
        </is>
      </c>
    </row>
    <row r="219">
      <c r="A219" t="n">
        <v>2</v>
      </c>
      <c r="B219" t="inlineStr">
        <is>
          <t>EPA1633 &amp; diPAPs Calibration 0.02 ppb</t>
        </is>
      </c>
      <c r="D219" t="n">
        <v>7.96</v>
      </c>
      <c r="E219" t="n">
        <v>2.018</v>
      </c>
      <c r="F219" t="n">
        <v>2.874</v>
      </c>
      <c r="G219" t="n">
        <v>0.624</v>
      </c>
      <c r="H219" t="inlineStr">
        <is>
          <t>bb</t>
        </is>
      </c>
      <c r="K219" t="inlineStr">
        <is>
          <t>20250617-13</t>
        </is>
      </c>
    </row>
    <row r="220">
      <c r="A220" t="n">
        <v>3</v>
      </c>
      <c r="B220" t="inlineStr">
        <is>
          <t>EPA1633 &amp; diPAPs Calibration 0.1 ppb</t>
        </is>
      </c>
      <c r="D220" t="n">
        <v>8.9</v>
      </c>
      <c r="E220" t="n">
        <v>0.733</v>
      </c>
      <c r="F220" t="n">
        <v>14.5</v>
      </c>
      <c r="G220" t="n">
        <v>9</v>
      </c>
      <c r="H220" t="inlineStr">
        <is>
          <t>bb</t>
        </is>
      </c>
      <c r="K220" t="inlineStr">
        <is>
          <t>20250617-14</t>
        </is>
      </c>
    </row>
    <row r="221">
      <c r="A221" t="n">
        <v>4</v>
      </c>
      <c r="B221" t="inlineStr">
        <is>
          <t>EPA1633 &amp; diPAPs Calibration 0.4 ppb</t>
        </is>
      </c>
      <c r="D221" t="n">
        <v>7.59</v>
      </c>
      <c r="E221" t="n">
        <v>21.463</v>
      </c>
      <c r="F221" t="n">
        <v>22.744</v>
      </c>
      <c r="G221" t="n">
        <v>1.796</v>
      </c>
      <c r="H221" t="inlineStr">
        <is>
          <t>bb</t>
        </is>
      </c>
      <c r="K221" t="inlineStr">
        <is>
          <t>20250617-15</t>
        </is>
      </c>
    </row>
    <row r="222">
      <c r="A222" t="n">
        <v>5</v>
      </c>
      <c r="B222" t="inlineStr">
        <is>
          <t>EPA1633 &amp; diPAPs Calibration 1 ppb</t>
        </is>
      </c>
      <c r="D222" t="n">
        <v>6.61</v>
      </c>
      <c r="E222" t="n">
        <v>9.561999999999999</v>
      </c>
      <c r="F222" t="n">
        <v>104.89</v>
      </c>
      <c r="G222" t="n">
        <v>1.402</v>
      </c>
      <c r="H222" t="inlineStr">
        <is>
          <t>bb</t>
        </is>
      </c>
      <c r="K222" t="inlineStr">
        <is>
          <t>20250617-16</t>
        </is>
      </c>
    </row>
    <row r="223">
      <c r="A223" t="n">
        <v>6</v>
      </c>
      <c r="B223" t="inlineStr">
        <is>
          <t>EPA1633 &amp; diPAPs Calibration 5 ppb</t>
        </is>
      </c>
      <c r="D223" t="n">
        <v>6.47</v>
      </c>
      <c r="E223" t="n">
        <v>4.233</v>
      </c>
      <c r="F223" t="n">
        <v>166.098</v>
      </c>
      <c r="G223" t="n">
        <v>1.37</v>
      </c>
      <c r="H223" t="inlineStr">
        <is>
          <t>bb</t>
        </is>
      </c>
      <c r="K223" t="inlineStr">
        <is>
          <t>20250617-17</t>
        </is>
      </c>
    </row>
    <row r="224">
      <c r="A224" t="n">
        <v>7</v>
      </c>
      <c r="B224" t="inlineStr">
        <is>
          <t>EPA1633 &amp; diPAPs Calibration 10 ppb</t>
        </is>
      </c>
      <c r="D224" t="n">
        <v>6.44</v>
      </c>
      <c r="E224" t="n">
        <v>73.282</v>
      </c>
      <c r="F224" t="n">
        <v>319.112</v>
      </c>
      <c r="G224" t="n">
        <v>4.92</v>
      </c>
      <c r="H224" t="inlineStr">
        <is>
          <t>bd</t>
        </is>
      </c>
      <c r="K224" t="inlineStr">
        <is>
          <t>20250617-18</t>
        </is>
      </c>
    </row>
    <row r="225">
      <c r="A225" t="n">
        <v>8</v>
      </c>
      <c r="B225" t="inlineStr">
        <is>
          <t>EPA1633 &amp; diPAPs Calibration 20 ppb</t>
        </is>
      </c>
      <c r="D225" t="n">
        <v>8.800000000000001</v>
      </c>
      <c r="E225" t="n">
        <v>11.374</v>
      </c>
      <c r="F225" t="n">
        <v>151.387</v>
      </c>
      <c r="G225" t="n">
        <v>1.843</v>
      </c>
      <c r="H225" t="inlineStr">
        <is>
          <t>bb</t>
        </is>
      </c>
      <c r="K225" t="inlineStr">
        <is>
          <t>20250617-19</t>
        </is>
      </c>
    </row>
    <row r="226">
      <c r="A226" t="n">
        <v>9</v>
      </c>
      <c r="B226" t="inlineStr">
        <is>
          <t>MeOH</t>
        </is>
      </c>
      <c r="K226" t="inlineStr">
        <is>
          <t>20250617-20</t>
        </is>
      </c>
    </row>
    <row r="227">
      <c r="A227" t="n">
        <v>10</v>
      </c>
      <c r="B227" t="inlineStr">
        <is>
          <t>MeOH</t>
        </is>
      </c>
      <c r="K227" t="inlineStr">
        <is>
          <t>20250617-21</t>
        </is>
      </c>
    </row>
    <row r="228">
      <c r="A228" t="n">
        <v>11</v>
      </c>
      <c r="B228" t="inlineStr">
        <is>
          <t>SB1</t>
        </is>
      </c>
      <c r="D228" t="n">
        <v>8.76</v>
      </c>
      <c r="E228" t="n">
        <v>11.336</v>
      </c>
      <c r="F228" t="n">
        <v>1.33</v>
      </c>
      <c r="G228" t="n">
        <v>4.185</v>
      </c>
      <c r="H228" t="inlineStr">
        <is>
          <t>bb</t>
        </is>
      </c>
      <c r="K228" t="inlineStr">
        <is>
          <t>20250617-22</t>
        </is>
      </c>
    </row>
    <row r="229">
      <c r="A229" t="n">
        <v>12</v>
      </c>
      <c r="B229" t="inlineStr">
        <is>
          <t>SB2</t>
        </is>
      </c>
      <c r="D229" t="n">
        <v>8.890000000000001</v>
      </c>
      <c r="E229" t="n">
        <v>11.489</v>
      </c>
      <c r="F229" t="n">
        <v>13.761</v>
      </c>
      <c r="G229" t="n">
        <v>1.991</v>
      </c>
      <c r="H229" t="inlineStr">
        <is>
          <t>bb</t>
        </is>
      </c>
      <c r="K229" t="inlineStr">
        <is>
          <t>20250617-23</t>
        </is>
      </c>
    </row>
    <row r="230">
      <c r="A230" t="n">
        <v>13</v>
      </c>
      <c r="B230" t="inlineStr">
        <is>
          <t>SB3</t>
        </is>
      </c>
      <c r="D230" t="n">
        <v>8.57</v>
      </c>
      <c r="E230" t="n">
        <v>3.3</v>
      </c>
      <c r="F230" t="n">
        <v>4.471</v>
      </c>
      <c r="G230" t="n">
        <v>4.572</v>
      </c>
      <c r="H230" t="inlineStr">
        <is>
          <t>MM</t>
        </is>
      </c>
      <c r="K230" t="inlineStr">
        <is>
          <t>20250617-24</t>
        </is>
      </c>
    </row>
    <row r="231">
      <c r="A231" t="n">
        <v>14</v>
      </c>
      <c r="B231" t="inlineStr">
        <is>
          <t>SS1</t>
        </is>
      </c>
      <c r="D231" t="n">
        <v>8.49</v>
      </c>
      <c r="E231" t="n">
        <v>17.981</v>
      </c>
      <c r="F231" t="n">
        <v>64.504</v>
      </c>
      <c r="G231" t="n">
        <v>0.739</v>
      </c>
      <c r="H231" t="inlineStr">
        <is>
          <t>MM</t>
        </is>
      </c>
      <c r="K231" t="inlineStr">
        <is>
          <t>20250617-25</t>
        </is>
      </c>
    </row>
    <row r="232">
      <c r="A232" t="n">
        <v>15</v>
      </c>
      <c r="B232" t="inlineStr">
        <is>
          <t>SS2</t>
        </is>
      </c>
      <c r="D232" t="n">
        <v>8.529999999999999</v>
      </c>
      <c r="E232" t="n">
        <v>21.821</v>
      </c>
      <c r="F232" t="n">
        <v>76.886</v>
      </c>
      <c r="G232" t="n">
        <v>1.073</v>
      </c>
      <c r="H232" t="inlineStr">
        <is>
          <t>MM</t>
        </is>
      </c>
      <c r="K232" t="inlineStr">
        <is>
          <t>20250617-26</t>
        </is>
      </c>
    </row>
    <row r="233">
      <c r="A233" t="n">
        <v>16</v>
      </c>
      <c r="B233" t="inlineStr">
        <is>
          <t>SS3</t>
        </is>
      </c>
      <c r="D233" t="n">
        <v>8.84</v>
      </c>
      <c r="E233" t="n">
        <v>40.656</v>
      </c>
      <c r="F233" t="n">
        <v>32.446</v>
      </c>
      <c r="G233" t="n">
        <v>2.094</v>
      </c>
      <c r="H233" t="inlineStr">
        <is>
          <t>MM</t>
        </is>
      </c>
      <c r="K233" t="inlineStr">
        <is>
          <t>20250617-27</t>
        </is>
      </c>
    </row>
    <row r="234">
      <c r="A234" t="n">
        <v>17</v>
      </c>
      <c r="B234" t="inlineStr">
        <is>
          <t>MeOH</t>
        </is>
      </c>
      <c r="H234" t="inlineStr">
        <is>
          <t>MM-</t>
        </is>
      </c>
      <c r="K234" t="inlineStr">
        <is>
          <t>20250617-28</t>
        </is>
      </c>
    </row>
    <row r="235">
      <c r="A235" t="n">
        <v>18</v>
      </c>
      <c r="B235" t="inlineStr">
        <is>
          <t>K4-5A</t>
        </is>
      </c>
      <c r="D235" t="n">
        <v>8.550000000000001</v>
      </c>
      <c r="E235" t="n">
        <v>5.211</v>
      </c>
      <c r="F235" t="n">
        <v>1.25</v>
      </c>
      <c r="G235" t="n">
        <v>1.038</v>
      </c>
      <c r="H235" t="inlineStr">
        <is>
          <t>MM</t>
        </is>
      </c>
      <c r="K235" t="inlineStr">
        <is>
          <t>20250617-29</t>
        </is>
      </c>
    </row>
    <row r="236">
      <c r="A236" t="n">
        <v>19</v>
      </c>
      <c r="B236" t="inlineStr">
        <is>
          <t>K4-5B</t>
        </is>
      </c>
      <c r="D236" t="n">
        <v>8.779999999999999</v>
      </c>
      <c r="E236" t="n">
        <v>14.7</v>
      </c>
      <c r="F236" t="n">
        <v>5.708</v>
      </c>
      <c r="G236" t="n">
        <v>28.448</v>
      </c>
      <c r="H236" t="inlineStr">
        <is>
          <t>bb</t>
        </is>
      </c>
      <c r="K236" t="inlineStr">
        <is>
          <t>20250617-30</t>
        </is>
      </c>
    </row>
    <row r="237">
      <c r="A237" t="n">
        <v>20</v>
      </c>
      <c r="B237" t="inlineStr">
        <is>
          <t>K4-5C</t>
        </is>
      </c>
      <c r="D237" t="n">
        <v>8.93</v>
      </c>
      <c r="E237" t="n">
        <v>2.718</v>
      </c>
      <c r="F237" t="n">
        <v>1.923</v>
      </c>
      <c r="G237" t="n">
        <v>2.316</v>
      </c>
      <c r="H237" t="inlineStr">
        <is>
          <t>MM</t>
        </is>
      </c>
      <c r="K237" t="inlineStr">
        <is>
          <t>20250617-31</t>
        </is>
      </c>
    </row>
    <row r="238">
      <c r="A238" t="n">
        <v>21</v>
      </c>
      <c r="B238" t="inlineStr">
        <is>
          <t>MeOH</t>
        </is>
      </c>
      <c r="H238" t="inlineStr">
        <is>
          <t>MM-</t>
        </is>
      </c>
      <c r="K238" t="inlineStr">
        <is>
          <t>20250617-32</t>
        </is>
      </c>
    </row>
    <row r="239">
      <c r="A239" t="n">
        <v>22</v>
      </c>
      <c r="B239" t="inlineStr">
        <is>
          <t>K3-1A</t>
        </is>
      </c>
      <c r="D239" t="n">
        <v>9.01</v>
      </c>
      <c r="E239" t="n">
        <v>11.58</v>
      </c>
      <c r="F239" t="n">
        <v>25.216</v>
      </c>
      <c r="G239" t="n">
        <v>89</v>
      </c>
      <c r="H239" t="inlineStr">
        <is>
          <t>bb</t>
        </is>
      </c>
      <c r="K239" t="inlineStr">
        <is>
          <t>20250617-33</t>
        </is>
      </c>
    </row>
    <row r="240">
      <c r="A240" t="n">
        <v>23</v>
      </c>
      <c r="B240" t="inlineStr">
        <is>
          <t>K3-1B</t>
        </is>
      </c>
      <c r="D240" t="n">
        <v>8.66</v>
      </c>
      <c r="E240" t="n">
        <v>0.75</v>
      </c>
      <c r="F240" t="n">
        <v>3.287</v>
      </c>
      <c r="G240" t="n">
        <v>10</v>
      </c>
      <c r="H240" t="inlineStr">
        <is>
          <t>MM</t>
        </is>
      </c>
      <c r="K240" t="inlineStr">
        <is>
          <t>20250617-34</t>
        </is>
      </c>
    </row>
    <row r="241">
      <c r="A241" t="n">
        <v>24</v>
      </c>
      <c r="B241" t="inlineStr">
        <is>
          <t>K3-1C</t>
        </is>
      </c>
      <c r="D241" t="n">
        <v>8.9</v>
      </c>
      <c r="E241" t="n">
        <v>3.769</v>
      </c>
      <c r="F241" t="n">
        <v>0.276</v>
      </c>
      <c r="G241" t="n">
        <v>0.551</v>
      </c>
      <c r="H241" t="inlineStr">
        <is>
          <t>bb</t>
        </is>
      </c>
      <c r="K241" t="inlineStr">
        <is>
          <t>20250617-35</t>
        </is>
      </c>
    </row>
    <row r="242">
      <c r="A242" t="n">
        <v>25</v>
      </c>
      <c r="B242" t="inlineStr">
        <is>
          <t>K3-2A</t>
        </is>
      </c>
      <c r="D242" t="n">
        <v>8.800000000000001</v>
      </c>
      <c r="E242" t="n">
        <v>0.546</v>
      </c>
      <c r="F242" t="n">
        <v>0.89</v>
      </c>
      <c r="G242" t="n">
        <v>7</v>
      </c>
      <c r="H242" t="inlineStr">
        <is>
          <t>MM</t>
        </is>
      </c>
      <c r="K242" t="inlineStr">
        <is>
          <t>20250617-36</t>
        </is>
      </c>
    </row>
    <row r="243">
      <c r="A243" t="n">
        <v>26</v>
      </c>
      <c r="B243" t="inlineStr">
        <is>
          <t>K3-2B</t>
        </is>
      </c>
      <c r="D243" t="n">
        <v>9.130000000000001</v>
      </c>
      <c r="E243" t="n">
        <v>17.885</v>
      </c>
      <c r="F243" t="n">
        <v>5.602</v>
      </c>
      <c r="G243" t="n">
        <v>13.408</v>
      </c>
      <c r="H243" t="inlineStr">
        <is>
          <t>MM</t>
        </is>
      </c>
      <c r="K243" t="inlineStr">
        <is>
          <t>20250617-37</t>
        </is>
      </c>
    </row>
    <row r="244">
      <c r="A244" t="n">
        <v>27</v>
      </c>
      <c r="B244" t="inlineStr">
        <is>
          <t>K3-2C</t>
        </is>
      </c>
      <c r="D244" t="n">
        <v>8.859999999999999</v>
      </c>
      <c r="E244" t="n">
        <v>3.114</v>
      </c>
      <c r="F244" t="n">
        <v>0.634</v>
      </c>
      <c r="G244" t="n">
        <v>3.018</v>
      </c>
      <c r="H244" t="inlineStr">
        <is>
          <t>bb</t>
        </is>
      </c>
      <c r="K244" t="inlineStr">
        <is>
          <t>20250617-38</t>
        </is>
      </c>
    </row>
    <row r="245">
      <c r="A245" t="n">
        <v>28</v>
      </c>
      <c r="B245" t="inlineStr">
        <is>
          <t>MeOH</t>
        </is>
      </c>
      <c r="H245" t="inlineStr">
        <is>
          <t>MM-</t>
        </is>
      </c>
      <c r="K245" t="inlineStr">
        <is>
          <t>20250617-39</t>
        </is>
      </c>
    </row>
    <row r="246">
      <c r="A246" t="n">
        <v>29</v>
      </c>
      <c r="B246" t="inlineStr">
        <is>
          <t>K3-3A</t>
        </is>
      </c>
      <c r="D246" t="n">
        <v>8.94</v>
      </c>
      <c r="E246" t="n">
        <v>0.23</v>
      </c>
      <c r="F246" t="n">
        <v>0.57</v>
      </c>
      <c r="G246" t="n">
        <v>3</v>
      </c>
      <c r="H246" t="inlineStr">
        <is>
          <t>MM</t>
        </is>
      </c>
      <c r="K246" t="inlineStr">
        <is>
          <t>20250617-40</t>
        </is>
      </c>
    </row>
    <row r="247">
      <c r="A247" t="n">
        <v>30</v>
      </c>
      <c r="B247" t="inlineStr">
        <is>
          <t>K3-3B</t>
        </is>
      </c>
      <c r="D247" t="n">
        <v>8.890000000000001</v>
      </c>
      <c r="E247" t="n">
        <v>3.936</v>
      </c>
      <c r="F247" t="n">
        <v>17.73</v>
      </c>
      <c r="G247" t="n">
        <v>4.792</v>
      </c>
      <c r="H247" t="inlineStr">
        <is>
          <t>MM</t>
        </is>
      </c>
      <c r="K247" t="inlineStr">
        <is>
          <t>20250617-41</t>
        </is>
      </c>
    </row>
    <row r="248">
      <c r="A248" t="n">
        <v>31</v>
      </c>
      <c r="B248" t="inlineStr">
        <is>
          <t>K3-3C</t>
        </is>
      </c>
      <c r="D248" t="n">
        <v>9.1</v>
      </c>
      <c r="E248" t="n">
        <v>0.285</v>
      </c>
      <c r="F248" t="n">
        <v>8.109999999999999</v>
      </c>
      <c r="G248" t="n">
        <v>0.603</v>
      </c>
      <c r="H248" t="inlineStr">
        <is>
          <t>MM</t>
        </is>
      </c>
      <c r="K248" t="inlineStr">
        <is>
          <t>20250617-42</t>
        </is>
      </c>
    </row>
    <row r="249">
      <c r="A249" t="n">
        <v>32</v>
      </c>
      <c r="B249" t="inlineStr">
        <is>
          <t>K3-4A</t>
        </is>
      </c>
      <c r="D249" t="n">
        <v>8.9</v>
      </c>
      <c r="E249" t="n">
        <v>0.777</v>
      </c>
      <c r="F249" t="n">
        <v>17.307</v>
      </c>
      <c r="G249" t="n">
        <v>0.416</v>
      </c>
      <c r="H249" t="inlineStr">
        <is>
          <t>MM</t>
        </is>
      </c>
      <c r="K249" t="inlineStr">
        <is>
          <t>20250617-43</t>
        </is>
      </c>
    </row>
    <row r="250">
      <c r="A250" t="n">
        <v>33</v>
      </c>
      <c r="B250" t="inlineStr">
        <is>
          <t>K3-4B</t>
        </is>
      </c>
      <c r="D250" t="n">
        <v>8.710000000000001</v>
      </c>
      <c r="E250" t="n">
        <v>0.2</v>
      </c>
      <c r="F250" t="n">
        <v>8.846</v>
      </c>
      <c r="G250" t="n">
        <v>3</v>
      </c>
      <c r="H250" t="inlineStr">
        <is>
          <t>bb</t>
        </is>
      </c>
      <c r="K250" t="inlineStr">
        <is>
          <t>20250617-44</t>
        </is>
      </c>
    </row>
    <row r="251">
      <c r="A251" t="n">
        <v>34</v>
      </c>
      <c r="B251" t="inlineStr">
        <is>
          <t>K3-4C</t>
        </is>
      </c>
      <c r="D251" t="n">
        <v>8.789999999999999</v>
      </c>
      <c r="E251" t="n">
        <v>0.712</v>
      </c>
      <c r="F251" t="n">
        <v>0.951</v>
      </c>
      <c r="G251" t="n">
        <v>9</v>
      </c>
      <c r="H251" t="inlineStr">
        <is>
          <t>MM</t>
        </is>
      </c>
      <c r="K251" t="inlineStr">
        <is>
          <t>20250617-45</t>
        </is>
      </c>
    </row>
    <row r="252">
      <c r="A252" t="n">
        <v>35</v>
      </c>
      <c r="B252" t="inlineStr">
        <is>
          <t>MeOH</t>
        </is>
      </c>
      <c r="H252" t="inlineStr">
        <is>
          <t>MM-</t>
        </is>
      </c>
      <c r="K252" t="inlineStr">
        <is>
          <t>20250617-46</t>
        </is>
      </c>
    </row>
    <row r="253">
      <c r="A253" t="n">
        <v>36</v>
      </c>
      <c r="B253" t="inlineStr">
        <is>
          <t>K3-6A</t>
        </is>
      </c>
      <c r="D253" t="n">
        <v>8.890000000000001</v>
      </c>
      <c r="E253" t="n">
        <v>1.727</v>
      </c>
      <c r="F253" t="n">
        <v>4.772</v>
      </c>
      <c r="G253" t="n">
        <v>1.105</v>
      </c>
      <c r="H253" t="inlineStr">
        <is>
          <t>MM</t>
        </is>
      </c>
      <c r="K253" t="inlineStr">
        <is>
          <t>20250617-47</t>
        </is>
      </c>
    </row>
    <row r="254">
      <c r="A254" t="n">
        <v>37</v>
      </c>
      <c r="B254" t="inlineStr">
        <is>
          <t>K3-6B</t>
        </is>
      </c>
      <c r="D254" t="n">
        <v>8.970000000000001</v>
      </c>
      <c r="E254" t="n">
        <v>0.9</v>
      </c>
      <c r="F254" t="n">
        <v>0.16</v>
      </c>
      <c r="G254" t="n">
        <v>11</v>
      </c>
      <c r="H254" t="inlineStr">
        <is>
          <t>bb</t>
        </is>
      </c>
      <c r="K254" t="inlineStr">
        <is>
          <t>20250617-48</t>
        </is>
      </c>
    </row>
    <row r="255">
      <c r="A255" t="n">
        <v>38</v>
      </c>
      <c r="B255" t="inlineStr">
        <is>
          <t>K3-6C</t>
        </is>
      </c>
      <c r="D255" t="n">
        <v>8.470000000000001</v>
      </c>
      <c r="E255" t="n">
        <v>0.38</v>
      </c>
      <c r="F255" t="n">
        <v>0.6</v>
      </c>
      <c r="G255" t="n">
        <v>5</v>
      </c>
      <c r="H255" t="inlineStr">
        <is>
          <t>MM</t>
        </is>
      </c>
      <c r="K255" t="inlineStr">
        <is>
          <t>20250617-49</t>
        </is>
      </c>
    </row>
    <row r="257">
      <c r="A257" t="inlineStr">
        <is>
          <t>Compound 7:  m2 6:2 monoPAP 1</t>
        </is>
      </c>
    </row>
    <row r="259">
      <c r="B259" t="inlineStr">
        <is>
          <t>Sample Text</t>
        </is>
      </c>
      <c r="C259" t="inlineStr">
        <is>
          <t>Std. Conc</t>
        </is>
      </c>
      <c r="D259" t="inlineStr">
        <is>
          <t>RT</t>
        </is>
      </c>
      <c r="E259" t="inlineStr">
        <is>
          <t>Area</t>
        </is>
      </c>
      <c r="F259" t="inlineStr">
        <is>
          <t>IS Area</t>
        </is>
      </c>
      <c r="G259" t="inlineStr">
        <is>
          <t>S/N</t>
        </is>
      </c>
      <c r="H259" t="inlineStr">
        <is>
          <t>Primary Flags</t>
        </is>
      </c>
      <c r="I259" t="inlineStr">
        <is>
          <t>Response</t>
        </is>
      </c>
      <c r="J259" t="inlineStr">
        <is>
          <t>Conc.</t>
        </is>
      </c>
      <c r="K259" t="inlineStr">
        <is>
          <t>Name</t>
        </is>
      </c>
    </row>
    <row r="260">
      <c r="A260" t="n">
        <v>1</v>
      </c>
      <c r="B260" t="inlineStr">
        <is>
          <t>EPA1633 &amp; diPAPs Calibration 0 ppb</t>
        </is>
      </c>
      <c r="D260" t="n">
        <v>8.94</v>
      </c>
      <c r="E260" t="n">
        <v>166.957</v>
      </c>
      <c r="G260" t="n">
        <v>1.412</v>
      </c>
      <c r="H260" t="inlineStr">
        <is>
          <t>MM</t>
        </is>
      </c>
      <c r="I260" t="n">
        <v>166.957</v>
      </c>
      <c r="K260" t="inlineStr">
        <is>
          <t>20250617-12</t>
        </is>
      </c>
    </row>
    <row r="261">
      <c r="A261" t="n">
        <v>2</v>
      </c>
      <c r="B261" t="inlineStr">
        <is>
          <t>EPA1633 &amp; diPAPs Calibration 0.02 ppb</t>
        </is>
      </c>
      <c r="D261" t="n">
        <v>8.94</v>
      </c>
      <c r="E261" t="n">
        <v>165.319</v>
      </c>
      <c r="G261" t="n">
        <v>4.746</v>
      </c>
      <c r="H261" t="inlineStr">
        <is>
          <t>MM</t>
        </is>
      </c>
      <c r="I261" t="n">
        <v>165.319</v>
      </c>
      <c r="K261" t="inlineStr">
        <is>
          <t>20250617-13</t>
        </is>
      </c>
    </row>
    <row r="262">
      <c r="A262" t="n">
        <v>3</v>
      </c>
      <c r="B262" t="inlineStr">
        <is>
          <t>EPA1633 &amp; diPAPs Calibration 0.1 ppb</t>
        </is>
      </c>
      <c r="D262" t="n">
        <v>8.34</v>
      </c>
      <c r="E262" t="n">
        <v>111.595</v>
      </c>
      <c r="G262" t="n">
        <v>1.876</v>
      </c>
      <c r="H262" t="inlineStr">
        <is>
          <t>MM</t>
        </is>
      </c>
      <c r="I262" t="n">
        <v>111.595</v>
      </c>
      <c r="K262" t="inlineStr">
        <is>
          <t>20250617-14</t>
        </is>
      </c>
    </row>
    <row r="263">
      <c r="A263" t="n">
        <v>4</v>
      </c>
      <c r="B263" t="inlineStr">
        <is>
          <t>EPA1633 &amp; diPAPs Calibration 0.4 ppb</t>
        </is>
      </c>
      <c r="D263" t="n">
        <v>8.4</v>
      </c>
      <c r="E263" t="n">
        <v>181.598</v>
      </c>
      <c r="G263" t="n">
        <v>5.852</v>
      </c>
      <c r="H263" t="inlineStr">
        <is>
          <t>bb</t>
        </is>
      </c>
      <c r="I263" t="n">
        <v>181.598</v>
      </c>
      <c r="K263" t="inlineStr">
        <is>
          <t>20250617-15</t>
        </is>
      </c>
    </row>
    <row r="264">
      <c r="A264" t="n">
        <v>5</v>
      </c>
      <c r="B264" t="inlineStr">
        <is>
          <t>EPA1633 &amp; diPAPs Calibration 1 ppb</t>
        </is>
      </c>
      <c r="D264" t="n">
        <v>8.449999999999999</v>
      </c>
      <c r="E264" t="n">
        <v>185.453</v>
      </c>
      <c r="G264" t="n">
        <v>9.960000000000001</v>
      </c>
      <c r="H264" t="inlineStr">
        <is>
          <t>bb</t>
        </is>
      </c>
      <c r="I264" t="n">
        <v>185.453</v>
      </c>
      <c r="K264" t="inlineStr">
        <is>
          <t>20250617-16</t>
        </is>
      </c>
    </row>
    <row r="265">
      <c r="A265" t="n">
        <v>6</v>
      </c>
      <c r="B265" t="inlineStr">
        <is>
          <t>EPA1633 &amp; diPAPs Calibration 5 ppb</t>
        </is>
      </c>
      <c r="D265" t="n">
        <v>8.44</v>
      </c>
      <c r="E265" t="n">
        <v>722.211</v>
      </c>
      <c r="G265" t="n">
        <v>20.02</v>
      </c>
      <c r="H265" t="inlineStr">
        <is>
          <t>MM</t>
        </is>
      </c>
      <c r="I265" t="n">
        <v>722.211</v>
      </c>
      <c r="K265" t="inlineStr">
        <is>
          <t>20250617-17</t>
        </is>
      </c>
    </row>
    <row r="266">
      <c r="A266" t="n">
        <v>7</v>
      </c>
      <c r="B266" t="inlineStr">
        <is>
          <t>EPA1633 &amp; diPAPs Calibration 10 ppb</t>
        </is>
      </c>
      <c r="D266" t="n">
        <v>8.44</v>
      </c>
      <c r="E266" t="n">
        <v>1940.84</v>
      </c>
      <c r="G266" t="n">
        <v>95.16500000000001</v>
      </c>
      <c r="H266" t="inlineStr">
        <is>
          <t>bb</t>
        </is>
      </c>
      <c r="I266" t="n">
        <v>1940.84</v>
      </c>
      <c r="K266" t="inlineStr">
        <is>
          <t>20250617-18</t>
        </is>
      </c>
    </row>
    <row r="267">
      <c r="A267" t="n">
        <v>8</v>
      </c>
      <c r="B267" t="inlineStr">
        <is>
          <t>EPA1633 &amp; diPAPs Calibration 20 ppb</t>
        </is>
      </c>
      <c r="D267" t="n">
        <v>8.44</v>
      </c>
      <c r="E267" t="n">
        <v>1857.613</v>
      </c>
      <c r="G267" t="n">
        <v>67.23399999999999</v>
      </c>
      <c r="H267" t="inlineStr">
        <is>
          <t>db</t>
        </is>
      </c>
      <c r="I267" t="n">
        <v>1857.613</v>
      </c>
      <c r="K267" t="inlineStr">
        <is>
          <t>20250617-19</t>
        </is>
      </c>
    </row>
    <row r="268">
      <c r="A268" t="n">
        <v>9</v>
      </c>
      <c r="B268" t="inlineStr">
        <is>
          <t>MeOH</t>
        </is>
      </c>
      <c r="H268" t="inlineStr">
        <is>
          <t>MM-</t>
        </is>
      </c>
      <c r="K268" t="inlineStr">
        <is>
          <t>20250617-20</t>
        </is>
      </c>
    </row>
    <row r="269">
      <c r="A269" t="n">
        <v>10</v>
      </c>
      <c r="B269" t="inlineStr">
        <is>
          <t>MeOH</t>
        </is>
      </c>
      <c r="H269" t="inlineStr">
        <is>
          <t>MM-</t>
        </is>
      </c>
      <c r="K269" t="inlineStr">
        <is>
          <t>20250617-21</t>
        </is>
      </c>
    </row>
    <row r="270">
      <c r="A270" t="n">
        <v>11</v>
      </c>
      <c r="B270" t="inlineStr">
        <is>
          <t>SB1</t>
        </is>
      </c>
      <c r="D270" t="n">
        <v>8.380000000000001</v>
      </c>
      <c r="E270" t="n">
        <v>28.066</v>
      </c>
      <c r="G270" t="n">
        <v>1.554</v>
      </c>
      <c r="H270" t="inlineStr">
        <is>
          <t>MM</t>
        </is>
      </c>
      <c r="I270" t="n">
        <v>28.066</v>
      </c>
      <c r="K270" t="inlineStr">
        <is>
          <t>20250617-22</t>
        </is>
      </c>
    </row>
    <row r="271">
      <c r="A271" t="n">
        <v>12</v>
      </c>
      <c r="B271" t="inlineStr">
        <is>
          <t>SB2</t>
        </is>
      </c>
      <c r="D271" t="n">
        <v>8.25</v>
      </c>
      <c r="E271" t="n">
        <v>142.746</v>
      </c>
      <c r="G271" t="n">
        <v>1.81</v>
      </c>
      <c r="H271" t="inlineStr">
        <is>
          <t>MM</t>
        </is>
      </c>
      <c r="I271" t="n">
        <v>142.746</v>
      </c>
      <c r="K271" t="inlineStr">
        <is>
          <t>20250617-23</t>
        </is>
      </c>
    </row>
    <row r="272">
      <c r="A272" t="n">
        <v>13</v>
      </c>
      <c r="B272" t="inlineStr">
        <is>
          <t>SB3</t>
        </is>
      </c>
      <c r="D272" t="n">
        <v>8.4</v>
      </c>
      <c r="E272" t="n">
        <v>116.972</v>
      </c>
      <c r="G272" t="n">
        <v>2.961</v>
      </c>
      <c r="H272" t="inlineStr">
        <is>
          <t>MM</t>
        </is>
      </c>
      <c r="I272" t="n">
        <v>116.972</v>
      </c>
      <c r="K272" t="inlineStr">
        <is>
          <t>20250617-24</t>
        </is>
      </c>
    </row>
    <row r="273">
      <c r="A273" t="n">
        <v>14</v>
      </c>
      <c r="B273" t="inlineStr">
        <is>
          <t>SS1</t>
        </is>
      </c>
      <c r="D273" t="n">
        <v>8.449999999999999</v>
      </c>
      <c r="E273" t="n">
        <v>472.826</v>
      </c>
      <c r="G273" t="n">
        <v>19.925</v>
      </c>
      <c r="H273" t="inlineStr">
        <is>
          <t>bb</t>
        </is>
      </c>
      <c r="I273" t="n">
        <v>472.826</v>
      </c>
      <c r="K273" t="inlineStr">
        <is>
          <t>20250617-25</t>
        </is>
      </c>
    </row>
    <row r="274">
      <c r="A274" t="n">
        <v>15</v>
      </c>
      <c r="B274" t="inlineStr">
        <is>
          <t>SS2</t>
        </is>
      </c>
      <c r="D274" t="n">
        <v>8.460000000000001</v>
      </c>
      <c r="E274" t="n">
        <v>645.388</v>
      </c>
      <c r="G274" t="n">
        <v>35.889</v>
      </c>
      <c r="H274" t="inlineStr">
        <is>
          <t>bb</t>
        </is>
      </c>
      <c r="I274" t="n">
        <v>645.388</v>
      </c>
      <c r="K274" t="inlineStr">
        <is>
          <t>20250617-26</t>
        </is>
      </c>
    </row>
    <row r="275">
      <c r="A275" t="n">
        <v>16</v>
      </c>
      <c r="B275" t="inlineStr">
        <is>
          <t>SS3</t>
        </is>
      </c>
      <c r="D275" t="n">
        <v>8.460000000000001</v>
      </c>
      <c r="E275" t="n">
        <v>584.283</v>
      </c>
      <c r="G275" t="n">
        <v>20.741</v>
      </c>
      <c r="H275" t="inlineStr">
        <is>
          <t>MM</t>
        </is>
      </c>
      <c r="I275" t="n">
        <v>584.283</v>
      </c>
      <c r="K275" t="inlineStr">
        <is>
          <t>20250617-27</t>
        </is>
      </c>
    </row>
    <row r="276">
      <c r="A276" t="n">
        <v>17</v>
      </c>
      <c r="B276" t="inlineStr">
        <is>
          <t>MeOH</t>
        </is>
      </c>
      <c r="H276" t="inlineStr">
        <is>
          <t>MM-</t>
        </is>
      </c>
      <c r="K276" t="inlineStr">
        <is>
          <t>20250617-28</t>
        </is>
      </c>
    </row>
    <row r="277">
      <c r="A277" t="n">
        <v>18</v>
      </c>
      <c r="B277" t="inlineStr">
        <is>
          <t>K4-5A</t>
        </is>
      </c>
      <c r="D277" t="n">
        <v>8.5</v>
      </c>
      <c r="E277" t="n">
        <v>47.3</v>
      </c>
      <c r="G277" t="n">
        <v>1.524</v>
      </c>
      <c r="H277" t="inlineStr">
        <is>
          <t>MM</t>
        </is>
      </c>
      <c r="I277" t="n">
        <v>47.3</v>
      </c>
      <c r="K277" t="inlineStr">
        <is>
          <t>20250617-29</t>
        </is>
      </c>
    </row>
    <row r="278">
      <c r="A278" t="n">
        <v>19</v>
      </c>
      <c r="B278" t="inlineStr">
        <is>
          <t>K4-5B</t>
        </is>
      </c>
      <c r="D278" t="n">
        <v>8.630000000000001</v>
      </c>
      <c r="E278" t="n">
        <v>90.40000000000001</v>
      </c>
      <c r="G278" t="n">
        <v>4.391</v>
      </c>
      <c r="H278" t="inlineStr">
        <is>
          <t>MM</t>
        </is>
      </c>
      <c r="I278" t="n">
        <v>90.40000000000001</v>
      </c>
      <c r="K278" t="inlineStr">
        <is>
          <t>20250617-30</t>
        </is>
      </c>
    </row>
    <row r="279">
      <c r="A279" t="n">
        <v>20</v>
      </c>
      <c r="B279" t="inlineStr">
        <is>
          <t>K4-5C</t>
        </is>
      </c>
      <c r="D279" t="n">
        <v>8.18</v>
      </c>
      <c r="E279" t="n">
        <v>124.816</v>
      </c>
      <c r="G279" t="n">
        <v>2.536</v>
      </c>
      <c r="H279" t="inlineStr">
        <is>
          <t>MM</t>
        </is>
      </c>
      <c r="I279" t="n">
        <v>124.816</v>
      </c>
      <c r="K279" t="inlineStr">
        <is>
          <t>20250617-31</t>
        </is>
      </c>
    </row>
    <row r="280">
      <c r="A280" t="n">
        <v>21</v>
      </c>
      <c r="B280" t="inlineStr">
        <is>
          <t>MeOH</t>
        </is>
      </c>
      <c r="H280" t="inlineStr">
        <is>
          <t>MM-</t>
        </is>
      </c>
      <c r="K280" t="inlineStr">
        <is>
          <t>20250617-32</t>
        </is>
      </c>
    </row>
    <row r="281">
      <c r="A281" t="n">
        <v>22</v>
      </c>
      <c r="B281" t="inlineStr">
        <is>
          <t>K3-1A</t>
        </is>
      </c>
      <c r="D281" t="n">
        <v>8.199999999999999</v>
      </c>
      <c r="E281" t="n">
        <v>223.733</v>
      </c>
      <c r="G281" t="n">
        <v>4.451</v>
      </c>
      <c r="H281" t="inlineStr">
        <is>
          <t>MM</t>
        </is>
      </c>
      <c r="I281" t="n">
        <v>223.733</v>
      </c>
      <c r="K281" t="inlineStr">
        <is>
          <t>20250617-33</t>
        </is>
      </c>
    </row>
    <row r="282">
      <c r="A282" t="n">
        <v>23</v>
      </c>
      <c r="B282" t="inlineStr">
        <is>
          <t>K3-1B</t>
        </is>
      </c>
      <c r="D282" t="n">
        <v>8.51</v>
      </c>
      <c r="E282" t="n">
        <v>99.345</v>
      </c>
      <c r="G282" t="n">
        <v>1.749</v>
      </c>
      <c r="H282" t="inlineStr">
        <is>
          <t>MM</t>
        </is>
      </c>
      <c r="I282" t="n">
        <v>99.345</v>
      </c>
      <c r="K282" t="inlineStr">
        <is>
          <t>20250617-34</t>
        </is>
      </c>
    </row>
    <row r="283">
      <c r="A283" t="n">
        <v>24</v>
      </c>
      <c r="B283" t="inlineStr">
        <is>
          <t>K3-1C</t>
        </is>
      </c>
      <c r="D283" t="n">
        <v>8.640000000000001</v>
      </c>
      <c r="E283" t="n">
        <v>75.879</v>
      </c>
      <c r="G283" t="n">
        <v>2.054</v>
      </c>
      <c r="H283" t="inlineStr">
        <is>
          <t>MM</t>
        </is>
      </c>
      <c r="I283" t="n">
        <v>75.879</v>
      </c>
      <c r="K283" t="inlineStr">
        <is>
          <t>20250617-35</t>
        </is>
      </c>
    </row>
    <row r="284">
      <c r="A284" t="n">
        <v>25</v>
      </c>
      <c r="B284" t="inlineStr">
        <is>
          <t>K3-2A</t>
        </is>
      </c>
      <c r="D284" t="n">
        <v>8.44</v>
      </c>
      <c r="E284" t="n">
        <v>114.793</v>
      </c>
      <c r="G284" t="n">
        <v>4.027</v>
      </c>
      <c r="H284" t="inlineStr">
        <is>
          <t>MM</t>
        </is>
      </c>
      <c r="I284" t="n">
        <v>114.793</v>
      </c>
      <c r="K284" t="inlineStr">
        <is>
          <t>20250617-36</t>
        </is>
      </c>
    </row>
    <row r="285">
      <c r="A285" t="n">
        <v>26</v>
      </c>
      <c r="B285" t="inlineStr">
        <is>
          <t>K3-2B</t>
        </is>
      </c>
      <c r="D285" t="n">
        <v>8.83</v>
      </c>
      <c r="E285" t="n">
        <v>89.536</v>
      </c>
      <c r="G285" t="n">
        <v>2.675</v>
      </c>
      <c r="H285" t="inlineStr">
        <is>
          <t>bb</t>
        </is>
      </c>
      <c r="I285" t="n">
        <v>89.536</v>
      </c>
      <c r="K285" t="inlineStr">
        <is>
          <t>20250617-37</t>
        </is>
      </c>
    </row>
    <row r="286">
      <c r="A286" t="n">
        <v>27</v>
      </c>
      <c r="B286" t="inlineStr">
        <is>
          <t>K3-2C</t>
        </is>
      </c>
      <c r="D286" t="n">
        <v>8.69</v>
      </c>
      <c r="E286" t="n">
        <v>109.063</v>
      </c>
      <c r="G286" t="n">
        <v>2.79</v>
      </c>
      <c r="H286" t="inlineStr">
        <is>
          <t>MM</t>
        </is>
      </c>
      <c r="I286" t="n">
        <v>109.063</v>
      </c>
      <c r="K286" t="inlineStr">
        <is>
          <t>20250617-38</t>
        </is>
      </c>
    </row>
    <row r="287">
      <c r="A287" t="n">
        <v>28</v>
      </c>
      <c r="B287" t="inlineStr">
        <is>
          <t>MeOH</t>
        </is>
      </c>
      <c r="H287" t="inlineStr">
        <is>
          <t>MM-</t>
        </is>
      </c>
      <c r="K287" t="inlineStr">
        <is>
          <t>20250617-39</t>
        </is>
      </c>
    </row>
    <row r="288">
      <c r="A288" t="n">
        <v>29</v>
      </c>
      <c r="B288" t="inlineStr">
        <is>
          <t>K3-3A</t>
        </is>
      </c>
      <c r="D288" t="n">
        <v>8.539999999999999</v>
      </c>
      <c r="E288" t="n">
        <v>85.82299999999999</v>
      </c>
      <c r="G288" t="n">
        <v>3.099</v>
      </c>
      <c r="H288" t="inlineStr">
        <is>
          <t>MM</t>
        </is>
      </c>
      <c r="I288" t="n">
        <v>85.82299999999999</v>
      </c>
      <c r="K288" t="inlineStr">
        <is>
          <t>20250617-40</t>
        </is>
      </c>
    </row>
    <row r="289">
      <c r="A289" t="n">
        <v>30</v>
      </c>
      <c r="B289" t="inlineStr">
        <is>
          <t>K3-3B</t>
        </is>
      </c>
      <c r="D289" t="n">
        <v>8.609999999999999</v>
      </c>
      <c r="E289" t="n">
        <v>88.152</v>
      </c>
      <c r="G289" t="n">
        <v>3.159</v>
      </c>
      <c r="H289" t="inlineStr">
        <is>
          <t>MM</t>
        </is>
      </c>
      <c r="I289" t="n">
        <v>88.152</v>
      </c>
      <c r="K289" t="inlineStr">
        <is>
          <t>20250617-41</t>
        </is>
      </c>
    </row>
    <row r="290">
      <c r="A290" t="n">
        <v>31</v>
      </c>
      <c r="B290" t="inlineStr">
        <is>
          <t>K3-3C</t>
        </is>
      </c>
      <c r="D290" t="n">
        <v>8.119999999999999</v>
      </c>
      <c r="E290" t="n">
        <v>101.444</v>
      </c>
      <c r="G290" t="n">
        <v>1.986</v>
      </c>
      <c r="H290" t="inlineStr">
        <is>
          <t>MM</t>
        </is>
      </c>
      <c r="I290" t="n">
        <v>101.444</v>
      </c>
      <c r="K290" t="inlineStr">
        <is>
          <t>20250617-42</t>
        </is>
      </c>
    </row>
    <row r="291">
      <c r="A291" t="n">
        <v>32</v>
      </c>
      <c r="B291" t="inlineStr">
        <is>
          <t>K3-4A</t>
        </is>
      </c>
      <c r="D291" t="n">
        <v>8.609999999999999</v>
      </c>
      <c r="E291" t="n">
        <v>68.256</v>
      </c>
      <c r="G291" t="n">
        <v>2.902</v>
      </c>
      <c r="H291" t="inlineStr">
        <is>
          <t>MM</t>
        </is>
      </c>
      <c r="I291" t="n">
        <v>68.256</v>
      </c>
      <c r="K291" t="inlineStr">
        <is>
          <t>20250617-43</t>
        </is>
      </c>
    </row>
    <row r="292">
      <c r="A292" t="n">
        <v>33</v>
      </c>
      <c r="B292" t="inlineStr">
        <is>
          <t>K3-4B</t>
        </is>
      </c>
      <c r="D292" t="n">
        <v>8.609999999999999</v>
      </c>
      <c r="E292" t="n">
        <v>78.85599999999999</v>
      </c>
      <c r="G292" t="n">
        <v>2.1</v>
      </c>
      <c r="H292" t="inlineStr">
        <is>
          <t>MM</t>
        </is>
      </c>
      <c r="I292" t="n">
        <v>78.85599999999999</v>
      </c>
      <c r="K292" t="inlineStr">
        <is>
          <t>20250617-44</t>
        </is>
      </c>
    </row>
    <row r="293">
      <c r="A293" t="n">
        <v>34</v>
      </c>
      <c r="B293" t="inlineStr">
        <is>
          <t>K3-4C</t>
        </is>
      </c>
      <c r="D293" t="n">
        <v>8.59</v>
      </c>
      <c r="E293" t="n">
        <v>79.253</v>
      </c>
      <c r="G293" t="n">
        <v>1.292</v>
      </c>
      <c r="H293" t="inlineStr">
        <is>
          <t>MM</t>
        </is>
      </c>
      <c r="I293" t="n">
        <v>79.253</v>
      </c>
      <c r="K293" t="inlineStr">
        <is>
          <t>20250617-45</t>
        </is>
      </c>
    </row>
    <row r="294">
      <c r="A294" t="n">
        <v>35</v>
      </c>
      <c r="B294" t="inlineStr">
        <is>
          <t>MeOH</t>
        </is>
      </c>
      <c r="H294" t="inlineStr">
        <is>
          <t>MM-</t>
        </is>
      </c>
      <c r="K294" t="inlineStr">
        <is>
          <t>20250617-46</t>
        </is>
      </c>
    </row>
    <row r="295">
      <c r="A295" t="n">
        <v>36</v>
      </c>
      <c r="B295" t="inlineStr">
        <is>
          <t>K3-6A</t>
        </is>
      </c>
      <c r="D295" t="n">
        <v>8.609999999999999</v>
      </c>
      <c r="E295" t="n">
        <v>76.111</v>
      </c>
      <c r="G295" t="n">
        <v>3.15</v>
      </c>
      <c r="H295" t="inlineStr">
        <is>
          <t>MM</t>
        </is>
      </c>
      <c r="I295" t="n">
        <v>76.111</v>
      </c>
      <c r="K295" t="inlineStr">
        <is>
          <t>20250617-47</t>
        </is>
      </c>
    </row>
    <row r="296">
      <c r="A296" t="n">
        <v>37</v>
      </c>
      <c r="B296" t="inlineStr">
        <is>
          <t>K3-6B</t>
        </is>
      </c>
      <c r="D296" t="n">
        <v>8.5</v>
      </c>
      <c r="E296" t="n">
        <v>56.162</v>
      </c>
      <c r="G296" t="n">
        <v>4.685</v>
      </c>
      <c r="H296" t="inlineStr">
        <is>
          <t>MM</t>
        </is>
      </c>
      <c r="I296" t="n">
        <v>56.162</v>
      </c>
      <c r="K296" t="inlineStr">
        <is>
          <t>20250617-48</t>
        </is>
      </c>
    </row>
    <row r="297">
      <c r="A297" t="n">
        <v>38</v>
      </c>
      <c r="B297" t="inlineStr">
        <is>
          <t>K3-6C</t>
        </is>
      </c>
      <c r="D297" t="n">
        <v>8.630000000000001</v>
      </c>
      <c r="E297" t="n">
        <v>136.768</v>
      </c>
      <c r="G297" t="n">
        <v>2.845</v>
      </c>
      <c r="H297" t="inlineStr">
        <is>
          <t>MM</t>
        </is>
      </c>
      <c r="I297" t="n">
        <v>136.768</v>
      </c>
      <c r="K297" t="inlineStr">
        <is>
          <t>20250617-49</t>
        </is>
      </c>
    </row>
    <row r="299">
      <c r="A299" t="inlineStr">
        <is>
          <t>Compound 8:  m2 6:2 monoPAP 2</t>
        </is>
      </c>
    </row>
    <row r="301">
      <c r="B301" t="inlineStr">
        <is>
          <t>Sample Text</t>
        </is>
      </c>
      <c r="C301" t="inlineStr">
        <is>
          <t>Std. Conc</t>
        </is>
      </c>
      <c r="D301" t="inlineStr">
        <is>
          <t>RT</t>
        </is>
      </c>
      <c r="E301" t="inlineStr">
        <is>
          <t>Area</t>
        </is>
      </c>
      <c r="F301" t="inlineStr">
        <is>
          <t>IS Area</t>
        </is>
      </c>
      <c r="G301" t="inlineStr">
        <is>
          <t>S/N</t>
        </is>
      </c>
      <c r="H301" t="inlineStr">
        <is>
          <t>Primary Flags</t>
        </is>
      </c>
      <c r="I301" t="inlineStr">
        <is>
          <t>Response</t>
        </is>
      </c>
      <c r="J301" t="inlineStr">
        <is>
          <t>Conc.</t>
        </is>
      </c>
      <c r="K301" t="inlineStr">
        <is>
          <t>Name</t>
        </is>
      </c>
    </row>
    <row r="302">
      <c r="A302" t="n">
        <v>1</v>
      </c>
      <c r="B302" t="inlineStr">
        <is>
          <t>EPA1633 &amp; diPAPs Calibration 0 ppb</t>
        </is>
      </c>
      <c r="D302" t="n">
        <v>8.710000000000001</v>
      </c>
      <c r="E302" t="n">
        <v>2.385</v>
      </c>
      <c r="G302" t="n">
        <v>27</v>
      </c>
      <c r="H302" t="inlineStr">
        <is>
          <t>MM</t>
        </is>
      </c>
      <c r="I302" t="n">
        <v>2.385</v>
      </c>
      <c r="K302" t="inlineStr">
        <is>
          <t>20250617-12</t>
        </is>
      </c>
    </row>
    <row r="303">
      <c r="A303" t="n">
        <v>2</v>
      </c>
      <c r="B303" t="inlineStr">
        <is>
          <t>EPA1633 &amp; diPAPs Calibration 0.02 ppb</t>
        </is>
      </c>
      <c r="D303" t="n">
        <v>8.73</v>
      </c>
      <c r="E303" t="n">
        <v>2.874</v>
      </c>
      <c r="G303" t="n">
        <v>1.414</v>
      </c>
      <c r="H303" t="inlineStr">
        <is>
          <t>MM</t>
        </is>
      </c>
      <c r="I303" t="n">
        <v>2.874</v>
      </c>
      <c r="K303" t="inlineStr">
        <is>
          <t>20250617-13</t>
        </is>
      </c>
    </row>
    <row r="304">
      <c r="A304" t="n">
        <v>3</v>
      </c>
      <c r="B304" t="inlineStr">
        <is>
          <t>EPA1633 &amp; diPAPs Calibration 0.1 ppb</t>
        </is>
      </c>
      <c r="D304" t="n">
        <v>8.699999999999999</v>
      </c>
      <c r="E304" t="n">
        <v>14.5</v>
      </c>
      <c r="G304" t="n">
        <v>2.655</v>
      </c>
      <c r="H304" t="inlineStr">
        <is>
          <t>MM</t>
        </is>
      </c>
      <c r="I304" t="n">
        <v>14.5</v>
      </c>
      <c r="K304" t="inlineStr">
        <is>
          <t>20250617-14</t>
        </is>
      </c>
    </row>
    <row r="305">
      <c r="A305" t="n">
        <v>4</v>
      </c>
      <c r="B305" t="inlineStr">
        <is>
          <t>EPA1633 &amp; diPAPs Calibration 0.4 ppb</t>
        </is>
      </c>
      <c r="D305" t="n">
        <v>8.789999999999999</v>
      </c>
      <c r="E305" t="n">
        <v>22.744</v>
      </c>
      <c r="G305" t="n">
        <v>2.355</v>
      </c>
      <c r="H305" t="inlineStr">
        <is>
          <t>bb</t>
        </is>
      </c>
      <c r="I305" t="n">
        <v>22.744</v>
      </c>
      <c r="K305" t="inlineStr">
        <is>
          <t>20250617-15</t>
        </is>
      </c>
    </row>
    <row r="306">
      <c r="A306" t="n">
        <v>5</v>
      </c>
      <c r="B306" t="inlineStr">
        <is>
          <t>EPA1633 &amp; diPAPs Calibration 1 ppb</t>
        </is>
      </c>
      <c r="D306" t="n">
        <v>8.75</v>
      </c>
      <c r="E306" t="n">
        <v>104.89</v>
      </c>
      <c r="G306" t="n">
        <v>38.569</v>
      </c>
      <c r="H306" t="inlineStr">
        <is>
          <t>bb</t>
        </is>
      </c>
      <c r="I306" t="n">
        <v>104.89</v>
      </c>
      <c r="K306" t="inlineStr">
        <is>
          <t>20250617-16</t>
        </is>
      </c>
    </row>
    <row r="307">
      <c r="A307" t="n">
        <v>6</v>
      </c>
      <c r="B307" t="inlineStr">
        <is>
          <t>EPA1633 &amp; diPAPs Calibration 5 ppb</t>
        </is>
      </c>
      <c r="D307" t="n">
        <v>8.73</v>
      </c>
      <c r="E307" t="n">
        <v>166.098</v>
      </c>
      <c r="G307" t="n">
        <v>14.464</v>
      </c>
      <c r="H307" t="inlineStr">
        <is>
          <t>bb</t>
        </is>
      </c>
      <c r="I307" t="n">
        <v>166.098</v>
      </c>
      <c r="K307" t="inlineStr">
        <is>
          <t>20250617-17</t>
        </is>
      </c>
    </row>
    <row r="308">
      <c r="A308" t="n">
        <v>7</v>
      </c>
      <c r="B308" t="inlineStr">
        <is>
          <t>EPA1633 &amp; diPAPs Calibration 10 ppb</t>
        </is>
      </c>
      <c r="D308" t="n">
        <v>8.74</v>
      </c>
      <c r="E308" t="n">
        <v>319.112</v>
      </c>
      <c r="G308" t="n">
        <v>3018</v>
      </c>
      <c r="H308" t="inlineStr">
        <is>
          <t>bb</t>
        </is>
      </c>
      <c r="I308" t="n">
        <v>319.112</v>
      </c>
      <c r="K308" t="inlineStr">
        <is>
          <t>20250617-18</t>
        </is>
      </c>
    </row>
    <row r="309">
      <c r="A309" t="n">
        <v>8</v>
      </c>
      <c r="B309" t="inlineStr">
        <is>
          <t>EPA1633 &amp; diPAPs Calibration 20 ppb</t>
        </is>
      </c>
      <c r="D309" t="n">
        <v>8.74</v>
      </c>
      <c r="E309" t="n">
        <v>151.387</v>
      </c>
      <c r="G309" t="n">
        <v>310.686</v>
      </c>
      <c r="H309" t="inlineStr">
        <is>
          <t>bb</t>
        </is>
      </c>
      <c r="I309" t="n">
        <v>151.387</v>
      </c>
      <c r="K309" t="inlineStr">
        <is>
          <t>20250617-19</t>
        </is>
      </c>
    </row>
    <row r="310">
      <c r="A310" t="n">
        <v>9</v>
      </c>
      <c r="B310" t="inlineStr">
        <is>
          <t>MeOH</t>
        </is>
      </c>
      <c r="H310" t="inlineStr">
        <is>
          <t>MM-</t>
        </is>
      </c>
      <c r="K310" t="inlineStr">
        <is>
          <t>20250617-20</t>
        </is>
      </c>
    </row>
    <row r="311">
      <c r="A311" t="n">
        <v>10</v>
      </c>
      <c r="B311" t="inlineStr">
        <is>
          <t>MeOH</t>
        </is>
      </c>
      <c r="H311" t="inlineStr">
        <is>
          <t>MM-</t>
        </is>
      </c>
      <c r="K311" t="inlineStr">
        <is>
          <t>20250617-21</t>
        </is>
      </c>
    </row>
    <row r="312">
      <c r="A312" t="n">
        <v>11</v>
      </c>
      <c r="B312" t="inlineStr">
        <is>
          <t>SB1</t>
        </is>
      </c>
      <c r="D312" t="n">
        <v>8.66</v>
      </c>
      <c r="E312" t="n">
        <v>1.33</v>
      </c>
      <c r="G312" t="n">
        <v>0.241</v>
      </c>
      <c r="H312" t="inlineStr">
        <is>
          <t>MM</t>
        </is>
      </c>
      <c r="I312" t="n">
        <v>1.33</v>
      </c>
      <c r="K312" t="inlineStr">
        <is>
          <t>20250617-22</t>
        </is>
      </c>
    </row>
    <row r="313">
      <c r="A313" t="n">
        <v>12</v>
      </c>
      <c r="B313" t="inlineStr">
        <is>
          <t>SB2</t>
        </is>
      </c>
      <c r="D313" t="n">
        <v>8.380000000000001</v>
      </c>
      <c r="E313" t="n">
        <v>13.761</v>
      </c>
      <c r="G313" t="n">
        <v>0.958</v>
      </c>
      <c r="H313" t="inlineStr">
        <is>
          <t>bd</t>
        </is>
      </c>
      <c r="I313" t="n">
        <v>13.761</v>
      </c>
      <c r="K313" t="inlineStr">
        <is>
          <t>20250617-23</t>
        </is>
      </c>
    </row>
    <row r="314">
      <c r="A314" t="n">
        <v>13</v>
      </c>
      <c r="B314" t="inlineStr">
        <is>
          <t>SB3</t>
        </is>
      </c>
      <c r="D314" t="n">
        <v>8.390000000000001</v>
      </c>
      <c r="E314" t="n">
        <v>4.471</v>
      </c>
      <c r="G314" t="n">
        <v>0.944</v>
      </c>
      <c r="H314" t="inlineStr">
        <is>
          <t>MM</t>
        </is>
      </c>
      <c r="I314" t="n">
        <v>4.471</v>
      </c>
      <c r="K314" t="inlineStr">
        <is>
          <t>20250617-24</t>
        </is>
      </c>
    </row>
    <row r="315">
      <c r="A315" t="n">
        <v>14</v>
      </c>
      <c r="B315" t="inlineStr">
        <is>
          <t>SS1</t>
        </is>
      </c>
      <c r="D315" t="n">
        <v>8.77</v>
      </c>
      <c r="E315" t="n">
        <v>64.504</v>
      </c>
      <c r="G315" t="n">
        <v>6.69</v>
      </c>
      <c r="H315" t="inlineStr">
        <is>
          <t>bb</t>
        </is>
      </c>
      <c r="I315" t="n">
        <v>64.504</v>
      </c>
      <c r="K315" t="inlineStr">
        <is>
          <t>20250617-25</t>
        </is>
      </c>
    </row>
    <row r="316">
      <c r="A316" t="n">
        <v>15</v>
      </c>
      <c r="B316" t="inlineStr">
        <is>
          <t>SS2</t>
        </is>
      </c>
      <c r="D316" t="n">
        <v>8.74</v>
      </c>
      <c r="E316" t="n">
        <v>76.886</v>
      </c>
      <c r="G316" t="n">
        <v>9.712</v>
      </c>
      <c r="H316" t="inlineStr">
        <is>
          <t>bb</t>
        </is>
      </c>
      <c r="I316" t="n">
        <v>76.886</v>
      </c>
      <c r="K316" t="inlineStr">
        <is>
          <t>20250617-26</t>
        </is>
      </c>
    </row>
    <row r="317">
      <c r="A317" t="n">
        <v>16</v>
      </c>
      <c r="B317" t="inlineStr">
        <is>
          <t>SS3</t>
        </is>
      </c>
      <c r="D317" t="n">
        <v>8.77</v>
      </c>
      <c r="E317" t="n">
        <v>32.446</v>
      </c>
      <c r="G317" t="n">
        <v>6.645</v>
      </c>
      <c r="H317" t="inlineStr">
        <is>
          <t>bb</t>
        </is>
      </c>
      <c r="I317" t="n">
        <v>32.446</v>
      </c>
      <c r="K317" t="inlineStr">
        <is>
          <t>20250617-27</t>
        </is>
      </c>
    </row>
    <row r="318">
      <c r="A318" t="n">
        <v>17</v>
      </c>
      <c r="B318" t="inlineStr">
        <is>
          <t>MeOH</t>
        </is>
      </c>
      <c r="H318" t="inlineStr">
        <is>
          <t>MM-</t>
        </is>
      </c>
      <c r="K318" t="inlineStr">
        <is>
          <t>20250617-28</t>
        </is>
      </c>
    </row>
    <row r="319">
      <c r="A319" t="n">
        <v>18</v>
      </c>
      <c r="B319" t="inlineStr">
        <is>
          <t>K4-5A</t>
        </is>
      </c>
      <c r="D319" t="n">
        <v>8.59</v>
      </c>
      <c r="E319" t="n">
        <v>1.25</v>
      </c>
      <c r="G319" t="n">
        <v>1.381</v>
      </c>
      <c r="H319" t="inlineStr">
        <is>
          <t>MM</t>
        </is>
      </c>
      <c r="I319" t="n">
        <v>1.25</v>
      </c>
      <c r="K319" t="inlineStr">
        <is>
          <t>20250617-29</t>
        </is>
      </c>
    </row>
    <row r="320">
      <c r="A320" t="n">
        <v>19</v>
      </c>
      <c r="B320" t="inlineStr">
        <is>
          <t>K4-5B</t>
        </is>
      </c>
      <c r="D320" t="n">
        <v>9.67</v>
      </c>
      <c r="E320" t="n">
        <v>5.708</v>
      </c>
      <c r="G320" t="n">
        <v>65</v>
      </c>
      <c r="H320" t="inlineStr">
        <is>
          <t>bb</t>
        </is>
      </c>
      <c r="I320" t="n">
        <v>5.708</v>
      </c>
      <c r="K320" t="inlineStr">
        <is>
          <t>20250617-30</t>
        </is>
      </c>
    </row>
    <row r="321">
      <c r="A321" t="n">
        <v>20</v>
      </c>
      <c r="B321" t="inlineStr">
        <is>
          <t>K4-5C</t>
        </is>
      </c>
      <c r="D321" t="n">
        <v>9.050000000000001</v>
      </c>
      <c r="E321" t="n">
        <v>1.923</v>
      </c>
      <c r="G321" t="n">
        <v>0.891</v>
      </c>
      <c r="H321" t="inlineStr">
        <is>
          <t>bb</t>
        </is>
      </c>
      <c r="I321" t="n">
        <v>1.923</v>
      </c>
      <c r="K321" t="inlineStr">
        <is>
          <t>20250617-31</t>
        </is>
      </c>
    </row>
    <row r="322">
      <c r="A322" t="n">
        <v>21</v>
      </c>
      <c r="B322" t="inlineStr">
        <is>
          <t>MeOH</t>
        </is>
      </c>
      <c r="H322" t="inlineStr">
        <is>
          <t>MM-</t>
        </is>
      </c>
      <c r="K322" t="inlineStr">
        <is>
          <t>20250617-32</t>
        </is>
      </c>
    </row>
    <row r="323">
      <c r="A323" t="n">
        <v>22</v>
      </c>
      <c r="B323" t="inlineStr">
        <is>
          <t>K3-1A</t>
        </is>
      </c>
      <c r="D323" t="n">
        <v>10.28</v>
      </c>
      <c r="E323" t="n">
        <v>25.216</v>
      </c>
      <c r="G323" t="n">
        <v>3.213</v>
      </c>
      <c r="H323" t="inlineStr">
        <is>
          <t>bb</t>
        </is>
      </c>
      <c r="I323" t="n">
        <v>25.216</v>
      </c>
      <c r="K323" t="inlineStr">
        <is>
          <t>20250617-33</t>
        </is>
      </c>
    </row>
    <row r="324">
      <c r="A324" t="n">
        <v>23</v>
      </c>
      <c r="B324" t="inlineStr">
        <is>
          <t>K3-1B</t>
        </is>
      </c>
      <c r="D324" t="n">
        <v>9.380000000000001</v>
      </c>
      <c r="E324" t="n">
        <v>3.287</v>
      </c>
      <c r="G324" t="n">
        <v>38</v>
      </c>
      <c r="H324" t="inlineStr">
        <is>
          <t>MM</t>
        </is>
      </c>
      <c r="I324" t="n">
        <v>3.287</v>
      </c>
      <c r="K324" t="inlineStr">
        <is>
          <t>20250617-34</t>
        </is>
      </c>
    </row>
    <row r="325">
      <c r="A325" t="n">
        <v>24</v>
      </c>
      <c r="B325" t="inlineStr">
        <is>
          <t>K3-1C</t>
        </is>
      </c>
      <c r="D325" t="n">
        <v>8.960000000000001</v>
      </c>
      <c r="E325" t="n">
        <v>0.276</v>
      </c>
      <c r="G325" t="n">
        <v>2.908</v>
      </c>
      <c r="H325" t="inlineStr">
        <is>
          <t>MM</t>
        </is>
      </c>
      <c r="I325" t="n">
        <v>0.276</v>
      </c>
      <c r="K325" t="inlineStr">
        <is>
          <t>20250617-35</t>
        </is>
      </c>
    </row>
    <row r="326">
      <c r="A326" t="n">
        <v>25</v>
      </c>
      <c r="B326" t="inlineStr">
        <is>
          <t>K3-2A</t>
        </is>
      </c>
      <c r="D326" t="n">
        <v>8.44</v>
      </c>
      <c r="E326" t="n">
        <v>0.89</v>
      </c>
      <c r="G326" t="n">
        <v>12</v>
      </c>
      <c r="H326" t="inlineStr">
        <is>
          <t>bb</t>
        </is>
      </c>
      <c r="I326" t="n">
        <v>0.89</v>
      </c>
      <c r="K326" t="inlineStr">
        <is>
          <t>20250617-36</t>
        </is>
      </c>
    </row>
    <row r="327">
      <c r="A327" t="n">
        <v>26</v>
      </c>
      <c r="B327" t="inlineStr">
        <is>
          <t>K3-2B</t>
        </is>
      </c>
      <c r="D327" t="n">
        <v>9.460000000000001</v>
      </c>
      <c r="E327" t="n">
        <v>5.602</v>
      </c>
      <c r="G327" t="n">
        <v>1.512</v>
      </c>
      <c r="H327" t="inlineStr">
        <is>
          <t>bb</t>
        </is>
      </c>
      <c r="I327" t="n">
        <v>5.602</v>
      </c>
      <c r="K327" t="inlineStr">
        <is>
          <t>20250617-37</t>
        </is>
      </c>
    </row>
    <row r="328">
      <c r="A328" t="n">
        <v>27</v>
      </c>
      <c r="B328" t="inlineStr">
        <is>
          <t>K3-2C</t>
        </is>
      </c>
      <c r="D328" t="n">
        <v>9.039999999999999</v>
      </c>
      <c r="E328" t="n">
        <v>0.634</v>
      </c>
      <c r="G328" t="n">
        <v>7</v>
      </c>
      <c r="H328" t="inlineStr">
        <is>
          <t>MM</t>
        </is>
      </c>
      <c r="I328" t="n">
        <v>0.634</v>
      </c>
      <c r="K328" t="inlineStr">
        <is>
          <t>20250617-38</t>
        </is>
      </c>
    </row>
    <row r="329">
      <c r="A329" t="n">
        <v>28</v>
      </c>
      <c r="B329" t="inlineStr">
        <is>
          <t>MeOH</t>
        </is>
      </c>
      <c r="H329" t="inlineStr">
        <is>
          <t>MM-</t>
        </is>
      </c>
      <c r="K329" t="inlineStr">
        <is>
          <t>20250617-39</t>
        </is>
      </c>
    </row>
    <row r="330">
      <c r="A330" t="n">
        <v>29</v>
      </c>
      <c r="B330" t="inlineStr">
        <is>
          <t>K3-3A</t>
        </is>
      </c>
      <c r="D330" t="n">
        <v>9.449999999999999</v>
      </c>
      <c r="E330" t="n">
        <v>0.57</v>
      </c>
      <c r="G330" t="n">
        <v>6</v>
      </c>
      <c r="H330" t="inlineStr">
        <is>
          <t>bb</t>
        </is>
      </c>
      <c r="I330" t="n">
        <v>0.57</v>
      </c>
      <c r="K330" t="inlineStr">
        <is>
          <t>20250617-40</t>
        </is>
      </c>
    </row>
    <row r="331">
      <c r="A331" t="n">
        <v>30</v>
      </c>
      <c r="B331" t="inlineStr">
        <is>
          <t>K3-3B</t>
        </is>
      </c>
      <c r="D331" t="n">
        <v>10.27</v>
      </c>
      <c r="E331" t="n">
        <v>17.73</v>
      </c>
      <c r="G331" t="n">
        <v>147</v>
      </c>
      <c r="H331" t="inlineStr">
        <is>
          <t>bb</t>
        </is>
      </c>
      <c r="I331" t="n">
        <v>17.73</v>
      </c>
      <c r="K331" t="inlineStr">
        <is>
          <t>20250617-41</t>
        </is>
      </c>
    </row>
    <row r="332">
      <c r="A332" t="n">
        <v>31</v>
      </c>
      <c r="B332" t="inlineStr">
        <is>
          <t>K3-3C</t>
        </is>
      </c>
      <c r="D332" t="n">
        <v>8.83</v>
      </c>
      <c r="E332" t="n">
        <v>8.109999999999999</v>
      </c>
      <c r="G332" t="n">
        <v>101</v>
      </c>
      <c r="H332" t="inlineStr">
        <is>
          <t>MM</t>
        </is>
      </c>
      <c r="I332" t="n">
        <v>8.109999999999999</v>
      </c>
      <c r="K332" t="inlineStr">
        <is>
          <t>20250617-42</t>
        </is>
      </c>
    </row>
    <row r="333">
      <c r="A333" t="n">
        <v>32</v>
      </c>
      <c r="B333" t="inlineStr">
        <is>
          <t>K3-4A</t>
        </is>
      </c>
      <c r="D333" t="n">
        <v>9.140000000000001</v>
      </c>
      <c r="E333" t="n">
        <v>17.307</v>
      </c>
      <c r="G333" t="n">
        <v>191</v>
      </c>
      <c r="H333" t="inlineStr">
        <is>
          <t>bb</t>
        </is>
      </c>
      <c r="I333" t="n">
        <v>17.307</v>
      </c>
      <c r="K333" t="inlineStr">
        <is>
          <t>20250617-43</t>
        </is>
      </c>
    </row>
    <row r="334">
      <c r="A334" t="n">
        <v>33</v>
      </c>
      <c r="B334" t="inlineStr">
        <is>
          <t>K3-4B</t>
        </is>
      </c>
      <c r="D334" t="n">
        <v>8.51</v>
      </c>
      <c r="E334" t="n">
        <v>8.846</v>
      </c>
      <c r="G334" t="n">
        <v>112</v>
      </c>
      <c r="H334" t="inlineStr">
        <is>
          <t>bb</t>
        </is>
      </c>
      <c r="I334" t="n">
        <v>8.846</v>
      </c>
      <c r="K334" t="inlineStr">
        <is>
          <t>20250617-44</t>
        </is>
      </c>
    </row>
    <row r="335">
      <c r="A335" t="n">
        <v>34</v>
      </c>
      <c r="B335" t="inlineStr">
        <is>
          <t>K3-4C</t>
        </is>
      </c>
      <c r="D335" t="n">
        <v>10.23</v>
      </c>
      <c r="E335" t="n">
        <v>0.951</v>
      </c>
      <c r="G335" t="n">
        <v>7</v>
      </c>
      <c r="H335" t="inlineStr">
        <is>
          <t>bb</t>
        </is>
      </c>
      <c r="I335" t="n">
        <v>0.951</v>
      </c>
      <c r="K335" t="inlineStr">
        <is>
          <t>20250617-45</t>
        </is>
      </c>
    </row>
    <row r="336">
      <c r="A336" t="n">
        <v>35</v>
      </c>
      <c r="B336" t="inlineStr">
        <is>
          <t>MeOH</t>
        </is>
      </c>
      <c r="H336" t="inlineStr">
        <is>
          <t>MM-</t>
        </is>
      </c>
      <c r="K336" t="inlineStr">
        <is>
          <t>20250617-46</t>
        </is>
      </c>
    </row>
    <row r="337">
      <c r="A337" t="n">
        <v>36</v>
      </c>
      <c r="B337" t="inlineStr">
        <is>
          <t>K3-6A</t>
        </is>
      </c>
      <c r="D337" t="n">
        <v>8.630000000000001</v>
      </c>
      <c r="E337" t="n">
        <v>4.772</v>
      </c>
      <c r="G337" t="n">
        <v>68</v>
      </c>
      <c r="H337" t="inlineStr">
        <is>
          <t>MM</t>
        </is>
      </c>
      <c r="I337" t="n">
        <v>4.772</v>
      </c>
      <c r="K337" t="inlineStr">
        <is>
          <t>20250617-47</t>
        </is>
      </c>
    </row>
    <row r="338">
      <c r="A338" t="n">
        <v>37</v>
      </c>
      <c r="B338" t="inlineStr">
        <is>
          <t>K3-6B</t>
        </is>
      </c>
      <c r="D338" t="n">
        <v>8.470000000000001</v>
      </c>
      <c r="E338" t="n">
        <v>0.16</v>
      </c>
      <c r="G338" t="n">
        <v>2</v>
      </c>
      <c r="H338" t="inlineStr">
        <is>
          <t>MM</t>
        </is>
      </c>
      <c r="I338" t="n">
        <v>0.16</v>
      </c>
      <c r="K338" t="inlineStr">
        <is>
          <t>20250617-48</t>
        </is>
      </c>
    </row>
    <row r="339">
      <c r="A339" t="n">
        <v>38</v>
      </c>
      <c r="B339" t="inlineStr">
        <is>
          <t>K3-6C</t>
        </is>
      </c>
      <c r="D339" t="n">
        <v>8.44</v>
      </c>
      <c r="E339" t="n">
        <v>0.6</v>
      </c>
      <c r="G339" t="n">
        <v>3.814</v>
      </c>
      <c r="H339" t="inlineStr">
        <is>
          <t>MM</t>
        </is>
      </c>
      <c r="I339" t="n">
        <v>0.6</v>
      </c>
      <c r="K339" t="inlineStr">
        <is>
          <t>20250617-49</t>
        </is>
      </c>
    </row>
    <row r="341">
      <c r="A341" t="inlineStr">
        <is>
          <t>Compound 9:  PFOPA 1</t>
        </is>
      </c>
    </row>
    <row r="342">
      <c r="I342" t="inlineStr">
        <is>
          <t>LINEST</t>
        </is>
      </c>
      <c r="Q342" t="inlineStr">
        <is>
          <t>Biosolids Masses</t>
        </is>
      </c>
      <c r="R342" t="inlineStr">
        <is>
          <t>(g)</t>
        </is>
      </c>
    </row>
    <row r="343">
      <c r="B343" t="inlineStr">
        <is>
          <t>Sample Text</t>
        </is>
      </c>
      <c r="C343" t="inlineStr">
        <is>
          <t>Std. Conc</t>
        </is>
      </c>
      <c r="D343" t="inlineStr">
        <is>
          <t>RT</t>
        </is>
      </c>
      <c r="E343" t="inlineStr">
        <is>
          <t>Area</t>
        </is>
      </c>
      <c r="F343" t="inlineStr">
        <is>
          <t>IS Area</t>
        </is>
      </c>
      <c r="G343" t="inlineStr">
        <is>
          <t>S/N</t>
        </is>
      </c>
      <c r="H343" t="inlineStr">
        <is>
          <t>ratio</t>
        </is>
      </c>
      <c r="I343">
        <f t="array" ref="I343:J347">LINEST(H346:H350,C346:C350,1,1)</f>
        <v/>
      </c>
      <c r="J343" t="n">
        <v>-0.02516954316775918</v>
      </c>
      <c r="L343" s="20" t="inlineStr">
        <is>
          <t>By S/N Ratio</t>
        </is>
      </c>
      <c r="Q343" t="inlineStr">
        <is>
          <t>SS1</t>
        </is>
      </c>
      <c r="R343" t="n">
        <v>1.0846</v>
      </c>
    </row>
    <row r="344">
      <c r="A344" t="n">
        <v>1</v>
      </c>
      <c r="B344" t="inlineStr">
        <is>
          <t>EPA1633 &amp; diPAPs Calibration 0 ppb</t>
        </is>
      </c>
      <c r="C344" t="n">
        <v>0</v>
      </c>
      <c r="D344" t="n">
        <v>9.34</v>
      </c>
      <c r="E344" t="n">
        <v>6.93</v>
      </c>
      <c r="F344" t="n">
        <v>1227.559</v>
      </c>
      <c r="G344" t="n">
        <v>0.988</v>
      </c>
      <c r="H344">
        <f>E344/F344</f>
        <v/>
      </c>
      <c r="I344" t="n">
        <v>0.002157116686494492</v>
      </c>
      <c r="J344" t="n">
        <v>0.02122322200416347</v>
      </c>
      <c r="K344" t="inlineStr">
        <is>
          <t>LOD</t>
        </is>
      </c>
      <c r="L344" s="21">
        <f>IF(G347&gt;3,C347,IF(G348&gt;3,#REF!,IF(G349&gt;3,C348,IF(G350&gt;3,C349,C350))))</f>
        <v/>
      </c>
      <c r="Q344" t="inlineStr">
        <is>
          <t>SS2</t>
        </is>
      </c>
      <c r="R344" t="n">
        <v>1.0726</v>
      </c>
    </row>
    <row r="345">
      <c r="A345" t="n">
        <v>2</v>
      </c>
      <c r="B345" t="inlineStr">
        <is>
          <t>EPA1633 &amp; diPAPs Calibration 0.02 ppb</t>
        </is>
      </c>
      <c r="C345" t="n">
        <v>1</v>
      </c>
      <c r="D345" t="n">
        <v>9.77</v>
      </c>
      <c r="E345" t="n">
        <v>1.181</v>
      </c>
      <c r="F345" t="n">
        <v>1045.628</v>
      </c>
      <c r="G345" t="n">
        <v>15</v>
      </c>
      <c r="H345">
        <f>E345/F345</f>
        <v/>
      </c>
      <c r="I345" t="n">
        <v>0.7664403773723795</v>
      </c>
      <c r="J345" t="n">
        <v>0.02470816858386858</v>
      </c>
      <c r="K345" t="inlineStr">
        <is>
          <t>LOQ</t>
        </is>
      </c>
      <c r="L345" s="22">
        <f>IF(G347&gt;10,C347,IF(G348&gt;10,#REF!,IF(G349&gt;10,C348,IF(G350&gt;10,C349,C350))))</f>
        <v/>
      </c>
      <c r="Q345" t="inlineStr">
        <is>
          <t>SS3</t>
        </is>
      </c>
      <c r="R345" t="n">
        <v>1.1534</v>
      </c>
    </row>
    <row r="346">
      <c r="A346" t="n">
        <v>3</v>
      </c>
      <c r="B346" t="inlineStr">
        <is>
          <t>EPA1633 &amp; diPAPs Calibration 0.1 ppb</t>
        </is>
      </c>
      <c r="C346" t="n">
        <v>2</v>
      </c>
      <c r="D346" t="n">
        <v>9.460000000000001</v>
      </c>
      <c r="E346" t="n">
        <v>4.51</v>
      </c>
      <c r="F346" t="n">
        <v>1280.389</v>
      </c>
      <c r="G346" t="n">
        <v>0.533</v>
      </c>
      <c r="H346">
        <f>E346/F346</f>
        <v/>
      </c>
      <c r="I346" t="n">
        <v>9.844685936075079</v>
      </c>
      <c r="J346" t="n">
        <v>3</v>
      </c>
      <c r="Q346" t="inlineStr">
        <is>
          <t>K4-5A</t>
        </is>
      </c>
      <c r="R346" t="n">
        <v>1.1054</v>
      </c>
    </row>
    <row r="347">
      <c r="A347" t="n">
        <v>4</v>
      </c>
      <c r="B347" t="inlineStr">
        <is>
          <t>EPA1633 &amp; diPAPs Calibration 0.4 ppb</t>
        </is>
      </c>
      <c r="C347" t="n">
        <v>4</v>
      </c>
      <c r="D347" t="n">
        <v>9.42</v>
      </c>
      <c r="E347" t="n">
        <v>8.961</v>
      </c>
      <c r="F347" t="n">
        <v>1133.632</v>
      </c>
      <c r="G347" t="n">
        <v>2.384</v>
      </c>
      <c r="H347">
        <f>E347/F347</f>
        <v/>
      </c>
      <c r="I347" t="n">
        <v>0.006010117706485018</v>
      </c>
      <c r="J347" t="n">
        <v>0.001831480784306612</v>
      </c>
      <c r="Q347" t="inlineStr">
        <is>
          <t>K4-5B</t>
        </is>
      </c>
      <c r="R347" s="10" t="n">
        <v>1.0463</v>
      </c>
    </row>
    <row r="348">
      <c r="A348" t="n">
        <v>5</v>
      </c>
      <c r="B348" t="inlineStr">
        <is>
          <t>EPA1633 &amp; diPAPs Calibration 1 ppb</t>
        </is>
      </c>
      <c r="C348" t="n">
        <v>8</v>
      </c>
      <c r="D348" t="n">
        <v>9.44</v>
      </c>
      <c r="E348" t="n">
        <v>3.336</v>
      </c>
      <c r="F348" t="n">
        <v>1430.277</v>
      </c>
      <c r="G348" t="n">
        <v>0.475</v>
      </c>
      <c r="H348">
        <f>E348/F348</f>
        <v/>
      </c>
      <c r="Q348" t="inlineStr">
        <is>
          <t>K4-5C</t>
        </is>
      </c>
      <c r="R348" t="n">
        <v>1.1155</v>
      </c>
    </row>
    <row r="349">
      <c r="A349" t="n">
        <v>6</v>
      </c>
      <c r="B349" t="inlineStr">
        <is>
          <t>EPA1633 &amp; diPAPs Calibration 5 ppb</t>
        </is>
      </c>
      <c r="C349" t="n">
        <v>12</v>
      </c>
      <c r="D349" t="n">
        <v>9.470000000000001</v>
      </c>
      <c r="E349" t="n">
        <v>36.956</v>
      </c>
      <c r="F349" t="n">
        <v>965.196</v>
      </c>
      <c r="G349" t="n">
        <v>3.955</v>
      </c>
      <c r="H349">
        <f>E349/F349</f>
        <v/>
      </c>
      <c r="Q349" t="inlineStr">
        <is>
          <t>K3-1A</t>
        </is>
      </c>
      <c r="R349" t="n">
        <v>1.0874</v>
      </c>
    </row>
    <row r="350">
      <c r="A350" t="n">
        <v>7</v>
      </c>
      <c r="B350" t="inlineStr">
        <is>
          <t>EPA1633 &amp; diPAPs Calibration 10 ppb</t>
        </is>
      </c>
      <c r="C350" t="n">
        <v>16</v>
      </c>
      <c r="D350" t="n">
        <v>9.43</v>
      </c>
      <c r="E350" t="n">
        <v>105.362</v>
      </c>
      <c r="F350" t="n">
        <v>990.528</v>
      </c>
      <c r="G350" t="n">
        <v>23.81</v>
      </c>
      <c r="H350">
        <f>E350/F350</f>
        <v/>
      </c>
      <c r="I350" s="23" t="inlineStr">
        <is>
          <t>Background</t>
        </is>
      </c>
      <c r="J350" s="23" t="inlineStr">
        <is>
          <t>Spike</t>
        </is>
      </c>
      <c r="K350" s="9" t="inlineStr">
        <is>
          <t>Old Spike</t>
        </is>
      </c>
      <c r="O350" s="24" t="inlineStr">
        <is>
          <t>±</t>
        </is>
      </c>
      <c r="Q350" t="inlineStr">
        <is>
          <t>K3-1B</t>
        </is>
      </c>
      <c r="R350" t="n">
        <v>1.0898</v>
      </c>
    </row>
    <row r="351">
      <c r="A351" t="n">
        <v>8</v>
      </c>
      <c r="B351" t="inlineStr">
        <is>
          <t>EPA1633 &amp; diPAPs Calibration 20 ppb</t>
        </is>
      </c>
      <c r="C351" t="n">
        <v>20</v>
      </c>
      <c r="D351" t="n">
        <v>9.42</v>
      </c>
      <c r="E351" t="n">
        <v>161.406</v>
      </c>
      <c r="F351" t="n">
        <v>107.462</v>
      </c>
      <c r="G351" t="n">
        <v>14.623</v>
      </c>
      <c r="H351">
        <f>E351/F351</f>
        <v/>
      </c>
      <c r="I351">
        <f>AVERAGE(I354:I356)</f>
        <v/>
      </c>
      <c r="J351" t="n">
        <v>17.6</v>
      </c>
      <c r="Q351" t="inlineStr">
        <is>
          <t>K3-1C</t>
        </is>
      </c>
      <c r="R351" t="n">
        <v>1.0536</v>
      </c>
    </row>
    <row r="352">
      <c r="A352" t="n">
        <v>9</v>
      </c>
      <c r="B352" t="inlineStr">
        <is>
          <t>MeOH</t>
        </is>
      </c>
      <c r="I352" s="23" t="inlineStr">
        <is>
          <t>Conc.In Vial (ppb)</t>
        </is>
      </c>
      <c r="J352" s="9" t="inlineStr">
        <is>
          <t>Corr. Conc.(ppb)</t>
        </is>
      </c>
      <c r="K352" s="9" t="inlineStr">
        <is>
          <t>Conc. In soil (ng/g)</t>
        </is>
      </c>
      <c r="Q352" t="inlineStr">
        <is>
          <t>K3-2A</t>
        </is>
      </c>
      <c r="R352" s="10" t="n">
        <v>1.1218</v>
      </c>
    </row>
    <row r="353">
      <c r="A353" t="n">
        <v>10</v>
      </c>
      <c r="B353" t="inlineStr">
        <is>
          <t>MeOH</t>
        </is>
      </c>
      <c r="L353" s="23" t="inlineStr">
        <is>
          <t>Average</t>
        </is>
      </c>
      <c r="M353" s="23" t="inlineStr">
        <is>
          <t>Stdev</t>
        </is>
      </c>
      <c r="N353" s="9" t="inlineStr">
        <is>
          <t>Combined</t>
        </is>
      </c>
      <c r="O353" s="9" t="n"/>
      <c r="P353" s="9" t="n"/>
      <c r="Q353" t="inlineStr">
        <is>
          <t>K3-2B</t>
        </is>
      </c>
      <c r="R353" t="n">
        <v>1.198</v>
      </c>
    </row>
    <row r="354">
      <c r="A354" t="n">
        <v>11</v>
      </c>
      <c r="B354" t="inlineStr">
        <is>
          <t>SB1</t>
        </is>
      </c>
      <c r="D354" t="n">
        <v>8.119999999999999</v>
      </c>
      <c r="E354" t="n">
        <v>10.381</v>
      </c>
      <c r="F354" t="n">
        <v>642.432</v>
      </c>
      <c r="G354" t="n">
        <v>1.089</v>
      </c>
      <c r="H354">
        <f>E354/F354</f>
        <v/>
      </c>
      <c r="I354">
        <f>((H354-$J$343)/$I$343)</f>
        <v/>
      </c>
      <c r="J354">
        <f>(I354-IF(I351&gt;0,I351,0))</f>
        <v/>
      </c>
      <c r="K354">
        <f>J354*1.1</f>
        <v/>
      </c>
      <c r="L354">
        <f>AVERAGE(K354:K356)</f>
        <v/>
      </c>
      <c r="M354">
        <f>STDEV(K355:K356)</f>
        <v/>
      </c>
      <c r="N354">
        <f>_xlfn.CONCAT(ROUND(L354,1)," ± ",ROUND(M354,1))</f>
        <v/>
      </c>
      <c r="Q354" t="inlineStr">
        <is>
          <t>K3-2C</t>
        </is>
      </c>
      <c r="R354" t="n">
        <v>1.1538</v>
      </c>
    </row>
    <row r="355">
      <c r="A355" t="n">
        <v>12</v>
      </c>
      <c r="B355" t="inlineStr">
        <is>
          <t>SB2</t>
        </is>
      </c>
      <c r="D355" t="n">
        <v>8.56</v>
      </c>
      <c r="E355" t="n">
        <v>10.827</v>
      </c>
      <c r="F355" t="n">
        <v>524.691</v>
      </c>
      <c r="G355" t="n">
        <v>1.78</v>
      </c>
      <c r="H355">
        <f>E355/F355</f>
        <v/>
      </c>
      <c r="I355">
        <f>((H355-$J$343)/$I$343)</f>
        <v/>
      </c>
      <c r="J355">
        <f>(I355-IF(I351&gt;0,I351,0))</f>
        <v/>
      </c>
      <c r="K355">
        <f>J355*1.1</f>
        <v/>
      </c>
      <c r="Q355" t="inlineStr">
        <is>
          <t>K3-3A</t>
        </is>
      </c>
      <c r="R355" t="n">
        <v>1.1183</v>
      </c>
    </row>
    <row r="356">
      <c r="A356" t="n">
        <v>13</v>
      </c>
      <c r="B356" t="inlineStr">
        <is>
          <t>SB3</t>
        </is>
      </c>
      <c r="D356" t="n">
        <v>8.93</v>
      </c>
      <c r="E356" t="n">
        <v>25.504</v>
      </c>
      <c r="F356" t="n">
        <v>583.399</v>
      </c>
      <c r="G356" t="n">
        <v>2.722</v>
      </c>
      <c r="H356">
        <f>E356/F356</f>
        <v/>
      </c>
      <c r="I356">
        <f>((H356-$J$343)/$I$343)</f>
        <v/>
      </c>
      <c r="J356">
        <f>(I356-IF(I351&gt;0,I351,0))</f>
        <v/>
      </c>
      <c r="K356" s="30">
        <f>J356*1.1</f>
        <v/>
      </c>
      <c r="L356" s="25" t="inlineStr">
        <is>
          <t>Average</t>
        </is>
      </c>
      <c r="M356" s="25" t="inlineStr">
        <is>
          <t>Stdev</t>
        </is>
      </c>
      <c r="N356" s="26" t="inlineStr">
        <is>
          <t>%Recovery</t>
        </is>
      </c>
      <c r="O356" s="26" t="inlineStr">
        <is>
          <t>Uncertainty</t>
        </is>
      </c>
      <c r="P356" s="26" t="inlineStr">
        <is>
          <t>Combined</t>
        </is>
      </c>
      <c r="Q356" t="inlineStr">
        <is>
          <t>K3-3B</t>
        </is>
      </c>
      <c r="R356" t="n">
        <v>1.1448</v>
      </c>
    </row>
    <row r="357">
      <c r="A357" t="n">
        <v>14</v>
      </c>
      <c r="B357" t="inlineStr">
        <is>
          <t>SS1</t>
        </is>
      </c>
      <c r="D357" t="n">
        <v>9.07</v>
      </c>
      <c r="E357" t="n">
        <v>19.498</v>
      </c>
      <c r="F357" t="n">
        <v>504.42</v>
      </c>
      <c r="G357" t="n">
        <v>0.802</v>
      </c>
      <c r="H357">
        <f>E357/F357</f>
        <v/>
      </c>
      <c r="I357">
        <f>((H357-$J$343)/$I$343)</f>
        <v/>
      </c>
      <c r="J357">
        <f>(I357-IF($I$351&gt;0,$I$351,0))</f>
        <v/>
      </c>
      <c r="K357">
        <f>J357/R343*1.1</f>
        <v/>
      </c>
      <c r="L357" s="27">
        <f>AVERAGE(K357:K359)</f>
        <v/>
      </c>
      <c r="M357" s="27">
        <f>STDEV(K357:K359)</f>
        <v/>
      </c>
      <c r="N357" s="28">
        <f>L357/J351*100</f>
        <v/>
      </c>
      <c r="O357" s="29">
        <f>M357/J351*100</f>
        <v/>
      </c>
      <c r="P357" s="29">
        <f>_xlfn.CONCAT(ROUND(N357,1)," ± ",ROUND(O357,1))</f>
        <v/>
      </c>
      <c r="Q357" t="inlineStr">
        <is>
          <t>K3-3C</t>
        </is>
      </c>
      <c r="R357" t="n">
        <v>1.0493</v>
      </c>
    </row>
    <row r="358">
      <c r="A358" t="n">
        <v>15</v>
      </c>
      <c r="B358" t="inlineStr">
        <is>
          <t>SS2</t>
        </is>
      </c>
      <c r="D358" t="n">
        <v>9.42</v>
      </c>
      <c r="E358" t="n">
        <v>190.233</v>
      </c>
      <c r="F358" t="n">
        <v>614.583</v>
      </c>
      <c r="G358" t="n">
        <v>2.581</v>
      </c>
      <c r="H358">
        <f>E358/F358</f>
        <v/>
      </c>
      <c r="I358">
        <f>((H358-$J$343)/$I$343)</f>
        <v/>
      </c>
      <c r="J358">
        <f>(I358-IF($I$351&gt;0,$I$351,0))</f>
        <v/>
      </c>
      <c r="K358">
        <f>J358/R344*1.1</f>
        <v/>
      </c>
      <c r="Q358" t="inlineStr">
        <is>
          <t>K3-4A</t>
        </is>
      </c>
      <c r="R358" t="n">
        <v>1.0704</v>
      </c>
    </row>
    <row r="359">
      <c r="A359" t="n">
        <v>16</v>
      </c>
      <c r="B359" t="inlineStr">
        <is>
          <t>SS3</t>
        </is>
      </c>
      <c r="D359" t="n">
        <v>9.460000000000001</v>
      </c>
      <c r="E359" t="n">
        <v>62.787</v>
      </c>
      <c r="F359" t="n">
        <v>590.708</v>
      </c>
      <c r="G359" t="n">
        <v>2.858</v>
      </c>
      <c r="H359">
        <f>E359/F359</f>
        <v/>
      </c>
      <c r="I359">
        <f>((H359-$J$343)/$I$343)</f>
        <v/>
      </c>
      <c r="J359">
        <f>(I359-IF($I$351&gt;0,$I$351,0))</f>
        <v/>
      </c>
      <c r="K359" s="30">
        <f>J359/R345*1.1</f>
        <v/>
      </c>
      <c r="Q359" t="inlineStr">
        <is>
          <t>K3-4B</t>
        </is>
      </c>
      <c r="R359" t="n">
        <v>1.1589</v>
      </c>
    </row>
    <row r="360">
      <c r="A360" t="n">
        <v>17</v>
      </c>
      <c r="B360" t="inlineStr">
        <is>
          <t>MeOH</t>
        </is>
      </c>
      <c r="L360" s="23" t="inlineStr">
        <is>
          <t>Average</t>
        </is>
      </c>
      <c r="M360" s="23" t="inlineStr">
        <is>
          <t>Stdev</t>
        </is>
      </c>
      <c r="N360" s="9" t="inlineStr">
        <is>
          <t>Combined</t>
        </is>
      </c>
      <c r="Q360" t="inlineStr">
        <is>
          <t>K3-4C</t>
        </is>
      </c>
      <c r="R360" t="n">
        <v>1.0206</v>
      </c>
    </row>
    <row r="361">
      <c r="A361" t="n">
        <v>18</v>
      </c>
      <c r="B361" t="inlineStr">
        <is>
          <t>K4-5A</t>
        </is>
      </c>
      <c r="D361" t="n">
        <v>8.49</v>
      </c>
      <c r="E361" t="n">
        <v>2.28</v>
      </c>
      <c r="F361" t="n">
        <v>465.479</v>
      </c>
      <c r="G361" t="n">
        <v>1.231</v>
      </c>
      <c r="H361">
        <f>E361/F361</f>
        <v/>
      </c>
      <c r="I361">
        <f>((H361-$J$343)/$I$343)</f>
        <v/>
      </c>
      <c r="J361">
        <f>(I361-IF($I$351&gt;0,$I$351,0))</f>
        <v/>
      </c>
      <c r="K361">
        <f>J361/R345*1.1</f>
        <v/>
      </c>
      <c r="L361">
        <f>AVERAGE(K361:K363)</f>
        <v/>
      </c>
      <c r="M361">
        <f>STDEV(K361:K363)</f>
        <v/>
      </c>
      <c r="N361">
        <f>_xlfn.CONCAT(ROUND(L361,1)," ± ",ROUND(M361,1))</f>
        <v/>
      </c>
      <c r="Q361" t="inlineStr">
        <is>
          <t>K3-6A</t>
        </is>
      </c>
      <c r="R361" t="n">
        <v>1.1289</v>
      </c>
    </row>
    <row r="362">
      <c r="A362" t="n">
        <v>19</v>
      </c>
      <c r="B362" t="inlineStr">
        <is>
          <t>K4-5B</t>
        </is>
      </c>
      <c r="D362" t="n">
        <v>8.4</v>
      </c>
      <c r="E362" t="n">
        <v>0.48</v>
      </c>
      <c r="F362" t="n">
        <v>473.146</v>
      </c>
      <c r="G362" t="n">
        <v>6</v>
      </c>
      <c r="H362">
        <f>E362/F362</f>
        <v/>
      </c>
      <c r="I362">
        <f>((H362-$J$343)/$I$343)</f>
        <v/>
      </c>
      <c r="J362">
        <f>(I362-IF($I$351&gt;0,$I$351,0))</f>
        <v/>
      </c>
      <c r="K362">
        <f>J362/R346*1.1</f>
        <v/>
      </c>
      <c r="Q362" t="inlineStr">
        <is>
          <t>K3-6B</t>
        </is>
      </c>
      <c r="R362" t="n">
        <v>1.195</v>
      </c>
    </row>
    <row r="363">
      <c r="A363" t="n">
        <v>20</v>
      </c>
      <c r="B363" t="inlineStr">
        <is>
          <t>K4-5C</t>
        </is>
      </c>
      <c r="D363" t="n">
        <v>7.67</v>
      </c>
      <c r="E363" t="n">
        <v>0.662</v>
      </c>
      <c r="F363" t="n">
        <v>535.058</v>
      </c>
      <c r="G363" t="n">
        <v>0.435</v>
      </c>
      <c r="H363">
        <f>E363/F363</f>
        <v/>
      </c>
      <c r="I363">
        <f>((H363-$J$343)/$I$343)</f>
        <v/>
      </c>
      <c r="J363">
        <f>(I363-IF($I$351&gt;0,$I$351,0))</f>
        <v/>
      </c>
      <c r="K363">
        <f>J363/R347*1.1</f>
        <v/>
      </c>
      <c r="L363" s="23" t="n"/>
      <c r="M363" s="23" t="n"/>
      <c r="N363" s="9" t="n"/>
      <c r="Q363" t="inlineStr">
        <is>
          <t>K3-6C</t>
        </is>
      </c>
      <c r="R363" t="n">
        <v>1.1716</v>
      </c>
    </row>
    <row r="364">
      <c r="A364" t="n">
        <v>21</v>
      </c>
      <c r="B364" t="inlineStr">
        <is>
          <t>MeOH</t>
        </is>
      </c>
      <c r="L364" s="23" t="inlineStr">
        <is>
          <t>Average</t>
        </is>
      </c>
      <c r="M364" s="23" t="inlineStr">
        <is>
          <t>Stdev</t>
        </is>
      </c>
      <c r="N364" s="9" t="inlineStr">
        <is>
          <t>Combined</t>
        </is>
      </c>
    </row>
    <row r="365">
      <c r="A365" t="n">
        <v>22</v>
      </c>
      <c r="B365" t="inlineStr">
        <is>
          <t>K3-1A</t>
        </is>
      </c>
      <c r="D365" t="n">
        <v>9.109999999999999</v>
      </c>
      <c r="E365" t="n">
        <v>8.507999999999999</v>
      </c>
      <c r="F365" t="n">
        <v>415.837</v>
      </c>
      <c r="G365" t="n">
        <v>1.295</v>
      </c>
      <c r="H365">
        <f>E365/F365</f>
        <v/>
      </c>
      <c r="I365">
        <f>((H365-$J$343)/$I$343)</f>
        <v/>
      </c>
      <c r="J365">
        <f>(I365-IF($I$351&gt;0,$I$351,0))</f>
        <v/>
      </c>
      <c r="K365">
        <f>J365/R348*1.1</f>
        <v/>
      </c>
      <c r="L365">
        <f>AVERAGE(K365:K367)</f>
        <v/>
      </c>
      <c r="M365">
        <f>STDEV(K366:K367)</f>
        <v/>
      </c>
      <c r="N365">
        <f>_xlfn.CONCAT(ROUND(L365,1)," ± ",ROUND(M365,1))</f>
        <v/>
      </c>
    </row>
    <row r="366">
      <c r="A366" t="n">
        <v>23</v>
      </c>
      <c r="B366" t="inlineStr">
        <is>
          <t>K3-1B</t>
        </is>
      </c>
      <c r="D366" t="n">
        <v>7.97</v>
      </c>
      <c r="E366" t="n">
        <v>3.089</v>
      </c>
      <c r="F366" t="n">
        <v>487.725</v>
      </c>
      <c r="G366" t="n">
        <v>1.764</v>
      </c>
      <c r="H366">
        <f>E366/F366</f>
        <v/>
      </c>
      <c r="I366">
        <f>((H366-$J$343)/$I$343)</f>
        <v/>
      </c>
      <c r="J366">
        <f>(I366-IF($I$351&gt;0,$I$351,0))</f>
        <v/>
      </c>
      <c r="K366">
        <f>J366/R349*1.1</f>
        <v/>
      </c>
    </row>
    <row r="367">
      <c r="A367" t="n">
        <v>24</v>
      </c>
      <c r="B367" t="inlineStr">
        <is>
          <t>K3-1C</t>
        </is>
      </c>
      <c r="D367" t="n">
        <v>8.5</v>
      </c>
      <c r="E367" t="n">
        <v>4.29</v>
      </c>
      <c r="F367" t="n">
        <v>444.802</v>
      </c>
      <c r="G367" t="n">
        <v>0.669</v>
      </c>
      <c r="H367">
        <f>E367/F367</f>
        <v/>
      </c>
      <c r="I367">
        <f>((H367-$J$343)/$I$343)</f>
        <v/>
      </c>
      <c r="J367">
        <f>(I367-IF($I$351&gt;0,$I$351,0))</f>
        <v/>
      </c>
      <c r="K367">
        <f>J367/R350*1.1</f>
        <v/>
      </c>
      <c r="L367" s="23" t="inlineStr">
        <is>
          <t>Average</t>
        </is>
      </c>
      <c r="M367" s="23" t="inlineStr">
        <is>
          <t>Stdev</t>
        </is>
      </c>
      <c r="N367" s="9" t="inlineStr">
        <is>
          <t>Combined</t>
        </is>
      </c>
    </row>
    <row r="368">
      <c r="A368" t="n">
        <v>25</v>
      </c>
      <c r="B368" t="inlineStr">
        <is>
          <t>K3-2A</t>
        </is>
      </c>
      <c r="D368" t="n">
        <v>8.57</v>
      </c>
      <c r="E368" t="n">
        <v>28.545</v>
      </c>
      <c r="F368" t="n">
        <v>380.911</v>
      </c>
      <c r="G368" t="n">
        <v>5.809</v>
      </c>
      <c r="H368">
        <f>E368/F368</f>
        <v/>
      </c>
      <c r="I368">
        <f>((H368-$J$343)/$I$343)</f>
        <v/>
      </c>
      <c r="J368">
        <f>(I368-IF($I$351&gt;0,$I$351,0))</f>
        <v/>
      </c>
      <c r="K368">
        <f>J368/R351*1.1</f>
        <v/>
      </c>
      <c r="L368">
        <f>AVERAGE(K368:K370)</f>
        <v/>
      </c>
      <c r="M368">
        <f>STDEV(K368:K370)</f>
        <v/>
      </c>
      <c r="N368">
        <f>_xlfn.CONCAT(ROUND(L368,1)," ± ",ROUND(M368,1))</f>
        <v/>
      </c>
    </row>
    <row r="369">
      <c r="A369" t="n">
        <v>26</v>
      </c>
      <c r="B369" t="inlineStr">
        <is>
          <t>K3-2B</t>
        </is>
      </c>
      <c r="D369" t="n">
        <v>8.23</v>
      </c>
      <c r="E369" t="n">
        <v>2.8</v>
      </c>
      <c r="F369" t="n">
        <v>557.828</v>
      </c>
      <c r="G369" t="n">
        <v>1.158</v>
      </c>
      <c r="H369">
        <f>E369/F369</f>
        <v/>
      </c>
      <c r="I369">
        <f>((H369-$J$343)/$I$343)</f>
        <v/>
      </c>
      <c r="J369">
        <f>(I369-IF($I$351&gt;0,$I$351,0))</f>
        <v/>
      </c>
      <c r="K369">
        <f>J369/R352*1.1</f>
        <v/>
      </c>
    </row>
    <row r="370">
      <c r="A370" t="n">
        <v>27</v>
      </c>
      <c r="B370" t="inlineStr">
        <is>
          <t>K3-2C</t>
        </is>
      </c>
      <c r="D370" t="n">
        <v>8.5</v>
      </c>
      <c r="E370" t="n">
        <v>4.671</v>
      </c>
      <c r="F370" t="n">
        <v>472.435</v>
      </c>
      <c r="G370" t="n">
        <v>0.462</v>
      </c>
      <c r="H370">
        <f>E370/F370</f>
        <v/>
      </c>
      <c r="I370">
        <f>((H370-$J$343)/$I$343)</f>
        <v/>
      </c>
      <c r="J370">
        <f>(I370-IF($I$351&gt;0,$I$351,0))</f>
        <v/>
      </c>
      <c r="K370">
        <f>J370/R353*1.1</f>
        <v/>
      </c>
      <c r="L370" s="23" t="n"/>
      <c r="M370" s="23" t="n"/>
      <c r="N370" s="9" t="n"/>
    </row>
    <row r="371">
      <c r="A371" t="n">
        <v>28</v>
      </c>
      <c r="B371" t="inlineStr">
        <is>
          <t>MeOH</t>
        </is>
      </c>
      <c r="L371" s="23" t="inlineStr">
        <is>
          <t>Average</t>
        </is>
      </c>
      <c r="M371" s="23" t="inlineStr">
        <is>
          <t>Stdev</t>
        </is>
      </c>
      <c r="N371" s="9" t="inlineStr">
        <is>
          <t>Combined</t>
        </is>
      </c>
    </row>
    <row r="372">
      <c r="A372" t="n">
        <v>29</v>
      </c>
      <c r="B372" t="inlineStr">
        <is>
          <t>K3-3A</t>
        </is>
      </c>
      <c r="D372" t="n">
        <v>8.26</v>
      </c>
      <c r="E372" t="n">
        <v>0.68</v>
      </c>
      <c r="F372" t="n">
        <v>418.769</v>
      </c>
      <c r="G372" t="n">
        <v>0.113</v>
      </c>
      <c r="H372">
        <f>E372/F372</f>
        <v/>
      </c>
      <c r="I372">
        <f>((H372-$J$343)/$I$343)</f>
        <v/>
      </c>
      <c r="J372">
        <f>(I372-IF($I$351&gt;0,$I$351,0))</f>
        <v/>
      </c>
      <c r="K372">
        <f>J372/R354*1.1</f>
        <v/>
      </c>
      <c r="L372">
        <f>AVERAGE(K372:K374)</f>
        <v/>
      </c>
      <c r="M372">
        <f>STDEV(K373:K374)</f>
        <v/>
      </c>
      <c r="N372">
        <f>_xlfn.CONCAT(ROUND(L372,1)," ± ",ROUND(M372,1))</f>
        <v/>
      </c>
    </row>
    <row r="373">
      <c r="A373" t="n">
        <v>30</v>
      </c>
      <c r="B373" t="inlineStr">
        <is>
          <t>K3-3B</t>
        </is>
      </c>
      <c r="D373" t="n">
        <v>9.460000000000001</v>
      </c>
      <c r="E373" t="n">
        <v>0.907</v>
      </c>
      <c r="F373" t="n">
        <v>621.9160000000001</v>
      </c>
      <c r="G373" t="n">
        <v>10</v>
      </c>
      <c r="H373">
        <f>E373/F373</f>
        <v/>
      </c>
      <c r="I373">
        <f>((H373-$J$343)/$I$343)</f>
        <v/>
      </c>
      <c r="J373">
        <f>(I373-IF($I$351&gt;0,$I$351,0))</f>
        <v/>
      </c>
      <c r="K373">
        <f>J373/R355*1.1</f>
        <v/>
      </c>
    </row>
    <row r="374">
      <c r="A374" t="n">
        <v>31</v>
      </c>
      <c r="B374" t="inlineStr">
        <is>
          <t>K3-3C</t>
        </is>
      </c>
      <c r="D374" t="n">
        <v>7.98</v>
      </c>
      <c r="E374" t="n">
        <v>5.361</v>
      </c>
      <c r="F374" t="n">
        <v>357.94</v>
      </c>
      <c r="G374" t="n">
        <v>5.266</v>
      </c>
      <c r="H374">
        <f>E374/F374</f>
        <v/>
      </c>
      <c r="I374">
        <f>((H374-$J$343)/$I$343)</f>
        <v/>
      </c>
      <c r="J374">
        <f>(I374-IF($I$351&gt;0,$I$351,0))</f>
        <v/>
      </c>
      <c r="K374">
        <f>J374/R356*1.1</f>
        <v/>
      </c>
      <c r="L374" s="23" t="inlineStr">
        <is>
          <t>Average</t>
        </is>
      </c>
      <c r="M374" s="23" t="inlineStr">
        <is>
          <t>Stdev</t>
        </is>
      </c>
      <c r="N374" s="9" t="inlineStr">
        <is>
          <t>Combined</t>
        </is>
      </c>
    </row>
    <row r="375">
      <c r="A375" t="n">
        <v>32</v>
      </c>
      <c r="B375" t="inlineStr">
        <is>
          <t>K3-4A</t>
        </is>
      </c>
      <c r="D375" t="n">
        <v>7.94</v>
      </c>
      <c r="E375" t="n">
        <v>1.315</v>
      </c>
      <c r="F375" t="n">
        <v>345.339</v>
      </c>
      <c r="G375" t="n">
        <v>0.718</v>
      </c>
      <c r="H375">
        <f>E375/F375</f>
        <v/>
      </c>
      <c r="I375">
        <f>((H375-$J$343)/$I$343)</f>
        <v/>
      </c>
      <c r="J375">
        <f>(I375-IF($I$351&gt;0,$I$351,0))</f>
        <v/>
      </c>
      <c r="K375">
        <f>J375/R357*1.1</f>
        <v/>
      </c>
      <c r="L375">
        <f>AVERAGE(K375:K377)</f>
        <v/>
      </c>
      <c r="M375">
        <f>STDEV(K375:K377)</f>
        <v/>
      </c>
      <c r="N375">
        <f>_xlfn.CONCAT(ROUND(L375,1)," ± ",ROUND(M375,1))</f>
        <v/>
      </c>
    </row>
    <row r="376">
      <c r="A376" t="n">
        <v>33</v>
      </c>
      <c r="B376" t="inlineStr">
        <is>
          <t>K3-4B</t>
        </is>
      </c>
      <c r="D376" t="n">
        <v>8.529999999999999</v>
      </c>
      <c r="E376" t="n">
        <v>18.1</v>
      </c>
      <c r="F376" t="n">
        <v>533.263</v>
      </c>
      <c r="G376" t="n">
        <v>3.356</v>
      </c>
      <c r="H376">
        <f>E376/F376</f>
        <v/>
      </c>
      <c r="I376">
        <f>((H376-$J$343)/$I$343)</f>
        <v/>
      </c>
      <c r="J376">
        <f>(I376-IF($I$351&gt;0,$I$351,0))</f>
        <v/>
      </c>
      <c r="K376">
        <f>J376/R358*1.1</f>
        <v/>
      </c>
    </row>
    <row r="377">
      <c r="A377" t="n">
        <v>34</v>
      </c>
      <c r="B377" t="inlineStr">
        <is>
          <t>K3-4C</t>
        </is>
      </c>
      <c r="D377" t="n">
        <v>8.6</v>
      </c>
      <c r="E377" t="n">
        <v>1.849</v>
      </c>
      <c r="F377" t="n">
        <v>417.558</v>
      </c>
      <c r="G377" t="n">
        <v>0.406</v>
      </c>
      <c r="H377">
        <f>E377/F377</f>
        <v/>
      </c>
      <c r="I377">
        <f>((H377-$J$343)/$I$343)</f>
        <v/>
      </c>
      <c r="J377">
        <f>(I377-IF($I$351&gt;0,$I$351,0))</f>
        <v/>
      </c>
      <c r="K377">
        <f>J377/R359*1.1</f>
        <v/>
      </c>
      <c r="L377" s="23" t="n"/>
      <c r="M377" s="23" t="n"/>
      <c r="N377" s="9" t="n"/>
    </row>
    <row r="378">
      <c r="A378" t="n">
        <v>35</v>
      </c>
      <c r="B378" t="inlineStr">
        <is>
          <t>MeOH</t>
        </is>
      </c>
      <c r="D378" t="n">
        <v>8.67</v>
      </c>
      <c r="E378" t="n">
        <v>6.86</v>
      </c>
      <c r="G378" t="n">
        <v>2.868</v>
      </c>
      <c r="L378" s="23" t="inlineStr">
        <is>
          <t>Average</t>
        </is>
      </c>
      <c r="M378" s="23" t="inlineStr">
        <is>
          <t>Stdev</t>
        </is>
      </c>
      <c r="N378" s="9" t="inlineStr">
        <is>
          <t>Combined</t>
        </is>
      </c>
    </row>
    <row r="379">
      <c r="A379" t="n">
        <v>36</v>
      </c>
      <c r="B379" t="inlineStr">
        <is>
          <t>K3-6A</t>
        </is>
      </c>
      <c r="D379" t="n">
        <v>8.67</v>
      </c>
      <c r="E379" t="n">
        <v>6.45</v>
      </c>
      <c r="F379" t="n">
        <v>353.045</v>
      </c>
      <c r="G379" t="n">
        <v>1.526</v>
      </c>
      <c r="H379">
        <f>E379/F379</f>
        <v/>
      </c>
      <c r="I379">
        <f>((H379-$J$343)/$I$343)</f>
        <v/>
      </c>
      <c r="J379">
        <f>(I379-IF($I$351&gt;0,$I$351,0))</f>
        <v/>
      </c>
      <c r="K379">
        <f>J379/R360*1.1</f>
        <v/>
      </c>
      <c r="L379">
        <f>AVERAGE(K379:K381)</f>
        <v/>
      </c>
      <c r="M379">
        <f>STDEV(K380:K381)</f>
        <v/>
      </c>
      <c r="N379">
        <f>_xlfn.CONCAT(ROUND(L379,1)," ± ",ROUND(M379,1))</f>
        <v/>
      </c>
    </row>
    <row r="380">
      <c r="A380" t="n">
        <v>37</v>
      </c>
      <c r="B380" t="inlineStr">
        <is>
          <t>K3-6B</t>
        </is>
      </c>
      <c r="D380" t="n">
        <v>8.390000000000001</v>
      </c>
      <c r="E380" t="n">
        <v>5.17</v>
      </c>
      <c r="F380" t="n">
        <v>247.754</v>
      </c>
      <c r="G380" t="n">
        <v>0.8120000000000001</v>
      </c>
      <c r="H380">
        <f>E380/F380</f>
        <v/>
      </c>
      <c r="I380">
        <f>((H380-$J$343)/$I$343)</f>
        <v/>
      </c>
      <c r="J380">
        <f>(I380-IF($I$351&gt;0,$I$351,0))</f>
        <v/>
      </c>
      <c r="K380">
        <f>J380/R361*1.1</f>
        <v/>
      </c>
    </row>
    <row r="381">
      <c r="A381" t="n">
        <v>38</v>
      </c>
      <c r="B381" t="inlineStr">
        <is>
          <t>K3-6C</t>
        </is>
      </c>
      <c r="D381" t="n">
        <v>8.539999999999999</v>
      </c>
      <c r="E381" t="n">
        <v>0.16</v>
      </c>
      <c r="F381" t="n">
        <v>310.722</v>
      </c>
      <c r="G381" t="n">
        <v>2</v>
      </c>
      <c r="H381">
        <f>E381/F381</f>
        <v/>
      </c>
      <c r="I381">
        <f>((H381-$J$343)/$I$343)</f>
        <v/>
      </c>
      <c r="J381">
        <f>(I381-IF($I$351&gt;0,$I$351,0))</f>
        <v/>
      </c>
      <c r="K381">
        <f>J381/R362*1.1</f>
        <v/>
      </c>
      <c r="L381" s="23" t="n"/>
      <c r="M381" s="23" t="n"/>
      <c r="N381" s="9" t="n"/>
    </row>
    <row r="383">
      <c r="A383" t="inlineStr">
        <is>
          <t>Compound 10:  PFOPA 2</t>
        </is>
      </c>
    </row>
    <row r="385">
      <c r="B385" t="inlineStr">
        <is>
          <t>Sample Text</t>
        </is>
      </c>
      <c r="C385" t="inlineStr">
        <is>
          <t>Std. Conc</t>
        </is>
      </c>
      <c r="D385" t="inlineStr">
        <is>
          <t>RT</t>
        </is>
      </c>
      <c r="E385" t="inlineStr">
        <is>
          <t>Area</t>
        </is>
      </c>
      <c r="F385" t="inlineStr">
        <is>
          <t>IS Area</t>
        </is>
      </c>
      <c r="G385" t="inlineStr">
        <is>
          <t>S/N</t>
        </is>
      </c>
      <c r="H385" t="inlineStr">
        <is>
          <t>Primary Flags</t>
        </is>
      </c>
      <c r="I385" t="inlineStr">
        <is>
          <t>Response</t>
        </is>
      </c>
      <c r="J385" t="inlineStr">
        <is>
          <t>Conc.</t>
        </is>
      </c>
      <c r="K385" t="inlineStr">
        <is>
          <t>Name</t>
        </is>
      </c>
    </row>
    <row r="386">
      <c r="A386" t="n">
        <v>1</v>
      </c>
      <c r="B386" t="inlineStr">
        <is>
          <t>EPA1633 &amp; diPAPs Calibration 0 ppb</t>
        </is>
      </c>
      <c r="D386" t="n">
        <v>9.470000000000001</v>
      </c>
      <c r="E386" t="n">
        <v>176.485</v>
      </c>
      <c r="F386" t="n">
        <v>307.703</v>
      </c>
      <c r="G386" t="n">
        <v>9.406000000000001</v>
      </c>
      <c r="H386" t="inlineStr">
        <is>
          <t>MM</t>
        </is>
      </c>
      <c r="K386" t="inlineStr">
        <is>
          <t>20250617-12</t>
        </is>
      </c>
    </row>
    <row r="387">
      <c r="A387" t="n">
        <v>2</v>
      </c>
      <c r="B387" t="inlineStr">
        <is>
          <t>EPA1633 &amp; diPAPs Calibration 0.02 ppb</t>
        </is>
      </c>
      <c r="D387" t="n">
        <v>9.48</v>
      </c>
      <c r="E387" t="n">
        <v>274.582</v>
      </c>
      <c r="F387" t="n">
        <v>225.366</v>
      </c>
      <c r="G387" t="n">
        <v>17.543</v>
      </c>
      <c r="H387" t="inlineStr">
        <is>
          <t>bb</t>
        </is>
      </c>
      <c r="K387" t="inlineStr">
        <is>
          <t>20250617-13</t>
        </is>
      </c>
    </row>
    <row r="388">
      <c r="A388" t="n">
        <v>3</v>
      </c>
      <c r="B388" t="inlineStr">
        <is>
          <t>EPA1633 &amp; diPAPs Calibration 0.1 ppb</t>
        </is>
      </c>
      <c r="D388" t="n">
        <v>9.460000000000001</v>
      </c>
      <c r="E388" t="n">
        <v>442.22</v>
      </c>
      <c r="F388" t="n">
        <v>255.999</v>
      </c>
      <c r="G388" t="n">
        <v>30.775</v>
      </c>
      <c r="H388" t="inlineStr">
        <is>
          <t>MM</t>
        </is>
      </c>
      <c r="K388" t="inlineStr">
        <is>
          <t>20250617-14</t>
        </is>
      </c>
    </row>
    <row r="389">
      <c r="A389" t="n">
        <v>4</v>
      </c>
      <c r="B389" t="inlineStr">
        <is>
          <t>EPA1633 &amp; diPAPs Calibration 0.4 ppb</t>
        </is>
      </c>
      <c r="D389" t="n">
        <v>9.48</v>
      </c>
      <c r="E389" t="n">
        <v>892.7619999999999</v>
      </c>
      <c r="F389" t="n">
        <v>249.341</v>
      </c>
      <c r="G389" t="n">
        <v>114.28</v>
      </c>
      <c r="H389" t="inlineStr">
        <is>
          <t>MM</t>
        </is>
      </c>
      <c r="K389" t="inlineStr">
        <is>
          <t>20250617-15</t>
        </is>
      </c>
    </row>
    <row r="390">
      <c r="A390" t="n">
        <v>5</v>
      </c>
      <c r="B390" t="inlineStr">
        <is>
          <t>EPA1633 &amp; diPAPs Calibration 1 ppb</t>
        </is>
      </c>
      <c r="D390" t="n">
        <v>9.48</v>
      </c>
      <c r="E390" t="n">
        <v>2109.819</v>
      </c>
      <c r="F390" t="n">
        <v>256.233</v>
      </c>
      <c r="G390" t="n">
        <v>111.948</v>
      </c>
      <c r="H390" t="inlineStr">
        <is>
          <t>MM</t>
        </is>
      </c>
      <c r="K390" t="inlineStr">
        <is>
          <t>20250617-16</t>
        </is>
      </c>
    </row>
    <row r="391">
      <c r="A391" t="n">
        <v>6</v>
      </c>
      <c r="B391" t="inlineStr">
        <is>
          <t>EPA1633 &amp; diPAPs Calibration 5 ppb</t>
        </is>
      </c>
      <c r="D391" t="n">
        <v>9.48</v>
      </c>
      <c r="E391" t="n">
        <v>6937.978</v>
      </c>
      <c r="F391" t="n">
        <v>272.698</v>
      </c>
      <c r="G391" t="n">
        <v>815.922</v>
      </c>
      <c r="H391" t="inlineStr">
        <is>
          <t>MM</t>
        </is>
      </c>
      <c r="K391" t="inlineStr">
        <is>
          <t>20250617-17</t>
        </is>
      </c>
    </row>
    <row r="392">
      <c r="A392" t="n">
        <v>7</v>
      </c>
      <c r="B392" t="inlineStr">
        <is>
          <t>EPA1633 &amp; diPAPs Calibration 10 ppb</t>
        </is>
      </c>
      <c r="D392" t="n">
        <v>9.49</v>
      </c>
      <c r="E392" t="n">
        <v>22458.123</v>
      </c>
      <c r="F392" t="n">
        <v>229.316</v>
      </c>
      <c r="G392" t="n">
        <v>2713.929</v>
      </c>
      <c r="H392" t="inlineStr">
        <is>
          <t>MM</t>
        </is>
      </c>
      <c r="K392" t="inlineStr">
        <is>
          <t>20250617-18</t>
        </is>
      </c>
    </row>
    <row r="393">
      <c r="A393" t="n">
        <v>8</v>
      </c>
      <c r="B393" t="inlineStr">
        <is>
          <t>EPA1633 &amp; diPAPs Calibration 20 ppb</t>
        </is>
      </c>
      <c r="D393" t="n">
        <v>9.48</v>
      </c>
      <c r="E393" t="n">
        <v>20209.771</v>
      </c>
      <c r="F393" t="n">
        <v>45.687</v>
      </c>
      <c r="G393" t="n">
        <v>344.286</v>
      </c>
      <c r="H393" t="inlineStr">
        <is>
          <t>MM</t>
        </is>
      </c>
      <c r="K393" t="inlineStr">
        <is>
          <t>20250617-19</t>
        </is>
      </c>
    </row>
    <row r="394">
      <c r="A394" t="n">
        <v>9</v>
      </c>
      <c r="B394" t="inlineStr">
        <is>
          <t>MeOH</t>
        </is>
      </c>
      <c r="H394" t="inlineStr">
        <is>
          <t>MM-</t>
        </is>
      </c>
      <c r="K394" t="inlineStr">
        <is>
          <t>20250617-20</t>
        </is>
      </c>
    </row>
    <row r="395">
      <c r="A395" t="n">
        <v>10</v>
      </c>
      <c r="B395" t="inlineStr">
        <is>
          <t>MeOH</t>
        </is>
      </c>
      <c r="H395" t="inlineStr">
        <is>
          <t>MM-</t>
        </is>
      </c>
      <c r="K395" t="inlineStr">
        <is>
          <t>20250617-21</t>
        </is>
      </c>
    </row>
    <row r="396">
      <c r="A396" t="n">
        <v>11</v>
      </c>
      <c r="B396" t="inlineStr">
        <is>
          <t>SB1</t>
        </is>
      </c>
      <c r="D396" t="n">
        <v>9.5</v>
      </c>
      <c r="E396" t="n">
        <v>752.873</v>
      </c>
      <c r="F396" t="n">
        <v>110.635</v>
      </c>
      <c r="G396" t="n">
        <v>21.164</v>
      </c>
      <c r="H396" t="inlineStr">
        <is>
          <t>MM</t>
        </is>
      </c>
      <c r="K396" t="inlineStr">
        <is>
          <t>20250617-22</t>
        </is>
      </c>
    </row>
    <row r="397">
      <c r="A397" t="n">
        <v>12</v>
      </c>
      <c r="B397" t="inlineStr">
        <is>
          <t>SB2</t>
        </is>
      </c>
      <c r="D397" t="n">
        <v>9.51</v>
      </c>
      <c r="E397" t="n">
        <v>701.794</v>
      </c>
      <c r="F397" t="n">
        <v>91.488</v>
      </c>
      <c r="G397" t="n">
        <v>71.16800000000001</v>
      </c>
      <c r="H397" t="inlineStr">
        <is>
          <t>MM</t>
        </is>
      </c>
      <c r="K397" t="inlineStr">
        <is>
          <t>20250617-23</t>
        </is>
      </c>
    </row>
    <row r="398">
      <c r="A398" t="n">
        <v>13</v>
      </c>
      <c r="B398" t="inlineStr">
        <is>
          <t>SB3</t>
        </is>
      </c>
      <c r="D398" t="n">
        <v>9.5</v>
      </c>
      <c r="E398" t="n">
        <v>600.527</v>
      </c>
      <c r="F398" t="n">
        <v>98.111</v>
      </c>
      <c r="G398" t="n">
        <v>40.395</v>
      </c>
      <c r="H398" t="inlineStr">
        <is>
          <t>MM</t>
        </is>
      </c>
      <c r="K398" t="inlineStr">
        <is>
          <t>20250617-24</t>
        </is>
      </c>
    </row>
    <row r="399">
      <c r="A399" t="n">
        <v>14</v>
      </c>
      <c r="B399" t="inlineStr">
        <is>
          <t>SS1</t>
        </is>
      </c>
      <c r="D399" t="n">
        <v>9.5</v>
      </c>
      <c r="E399" t="n">
        <v>7986.28</v>
      </c>
      <c r="F399" t="n">
        <v>74.13</v>
      </c>
      <c r="G399" t="n">
        <v>535.929</v>
      </c>
      <c r="H399" t="inlineStr">
        <is>
          <t>MM</t>
        </is>
      </c>
      <c r="K399" t="inlineStr">
        <is>
          <t>20250617-25</t>
        </is>
      </c>
    </row>
    <row r="400">
      <c r="A400" t="n">
        <v>15</v>
      </c>
      <c r="B400" t="inlineStr">
        <is>
          <t>SS2</t>
        </is>
      </c>
      <c r="D400" t="n">
        <v>9.51</v>
      </c>
      <c r="E400" t="n">
        <v>8505.612999999999</v>
      </c>
      <c r="F400" t="n">
        <v>101.72</v>
      </c>
      <c r="G400" t="n">
        <v>1644.464</v>
      </c>
      <c r="H400" t="inlineStr">
        <is>
          <t>MM</t>
        </is>
      </c>
      <c r="K400" t="inlineStr">
        <is>
          <t>20250617-26</t>
        </is>
      </c>
    </row>
    <row r="401">
      <c r="A401" t="n">
        <v>16</v>
      </c>
      <c r="B401" t="inlineStr">
        <is>
          <t>SS3</t>
        </is>
      </c>
      <c r="D401" t="n">
        <v>9.51</v>
      </c>
      <c r="E401" t="n">
        <v>8587.893</v>
      </c>
      <c r="F401" t="n">
        <v>89.792</v>
      </c>
      <c r="G401" t="n">
        <v>296.693</v>
      </c>
      <c r="H401" t="inlineStr">
        <is>
          <t>MM</t>
        </is>
      </c>
      <c r="K401" t="inlineStr">
        <is>
          <t>20250617-27</t>
        </is>
      </c>
    </row>
    <row r="402">
      <c r="A402" t="n">
        <v>17</v>
      </c>
      <c r="B402" t="inlineStr">
        <is>
          <t>MeOH</t>
        </is>
      </c>
      <c r="H402" t="inlineStr">
        <is>
          <t>MM-</t>
        </is>
      </c>
      <c r="K402" t="inlineStr">
        <is>
          <t>20250617-28</t>
        </is>
      </c>
    </row>
    <row r="403">
      <c r="A403" t="n">
        <v>18</v>
      </c>
      <c r="B403" t="inlineStr">
        <is>
          <t>K4-5A</t>
        </is>
      </c>
      <c r="D403" t="n">
        <v>9.52</v>
      </c>
      <c r="E403" t="n">
        <v>771.703</v>
      </c>
      <c r="F403" t="n">
        <v>90.40600000000001</v>
      </c>
      <c r="G403" t="n">
        <v>77.741</v>
      </c>
      <c r="H403" t="inlineStr">
        <is>
          <t>MM</t>
        </is>
      </c>
      <c r="K403" t="inlineStr">
        <is>
          <t>20250617-29</t>
        </is>
      </c>
    </row>
    <row r="404">
      <c r="A404" t="n">
        <v>19</v>
      </c>
      <c r="B404" t="inlineStr">
        <is>
          <t>K4-5B</t>
        </is>
      </c>
      <c r="D404" t="n">
        <v>9.52</v>
      </c>
      <c r="E404" t="n">
        <v>890.524</v>
      </c>
      <c r="F404" t="n">
        <v>89.22799999999999</v>
      </c>
      <c r="G404" t="n">
        <v>34.186</v>
      </c>
      <c r="H404" t="inlineStr">
        <is>
          <t>MM</t>
        </is>
      </c>
      <c r="K404" t="inlineStr">
        <is>
          <t>20250617-30</t>
        </is>
      </c>
    </row>
    <row r="405">
      <c r="A405" t="n">
        <v>20</v>
      </c>
      <c r="B405" t="inlineStr">
        <is>
          <t>K4-5C</t>
        </is>
      </c>
      <c r="D405" t="n">
        <v>9.52</v>
      </c>
      <c r="E405" t="n">
        <v>1352.168</v>
      </c>
      <c r="F405" t="n">
        <v>74.886</v>
      </c>
      <c r="G405" t="n">
        <v>214.78</v>
      </c>
      <c r="H405" t="inlineStr">
        <is>
          <t>MM</t>
        </is>
      </c>
      <c r="K405" t="inlineStr">
        <is>
          <t>20250617-31</t>
        </is>
      </c>
    </row>
    <row r="406">
      <c r="A406" t="n">
        <v>21</v>
      </c>
      <c r="B406" t="inlineStr">
        <is>
          <t>MeOH</t>
        </is>
      </c>
      <c r="H406" t="inlineStr">
        <is>
          <t>MM-</t>
        </is>
      </c>
      <c r="K406" t="inlineStr">
        <is>
          <t>20250617-32</t>
        </is>
      </c>
    </row>
    <row r="407">
      <c r="A407" t="n">
        <v>22</v>
      </c>
      <c r="B407" t="inlineStr">
        <is>
          <t>K3-1A</t>
        </is>
      </c>
      <c r="D407" t="n">
        <v>9.52</v>
      </c>
      <c r="E407" t="n">
        <v>1445.424</v>
      </c>
      <c r="F407" t="n">
        <v>113.907</v>
      </c>
      <c r="G407" t="n">
        <v>93.581</v>
      </c>
      <c r="H407" t="inlineStr">
        <is>
          <t>MM</t>
        </is>
      </c>
      <c r="K407" t="inlineStr">
        <is>
          <t>20250617-33</t>
        </is>
      </c>
    </row>
    <row r="408">
      <c r="A408" t="n">
        <v>23</v>
      </c>
      <c r="B408" t="inlineStr">
        <is>
          <t>K3-1B</t>
        </is>
      </c>
      <c r="D408" t="n">
        <v>9.52</v>
      </c>
      <c r="E408" t="n">
        <v>1485.802</v>
      </c>
      <c r="F408" t="n">
        <v>74.749</v>
      </c>
      <c r="G408" t="n">
        <v>131.092</v>
      </c>
      <c r="H408" t="inlineStr">
        <is>
          <t>MM</t>
        </is>
      </c>
      <c r="K408" t="inlineStr">
        <is>
          <t>20250617-34</t>
        </is>
      </c>
    </row>
    <row r="409">
      <c r="A409" t="n">
        <v>24</v>
      </c>
      <c r="B409" t="inlineStr">
        <is>
          <t>K3-1C</t>
        </is>
      </c>
      <c r="D409" t="n">
        <v>9.52</v>
      </c>
      <c r="E409" t="n">
        <v>1303.198</v>
      </c>
      <c r="F409" t="n">
        <v>57.963</v>
      </c>
      <c r="G409" t="n">
        <v>117.019</v>
      </c>
      <c r="H409" t="inlineStr">
        <is>
          <t>MM</t>
        </is>
      </c>
      <c r="K409" t="inlineStr">
        <is>
          <t>20250617-35</t>
        </is>
      </c>
    </row>
    <row r="410">
      <c r="A410" t="n">
        <v>25</v>
      </c>
      <c r="B410" t="inlineStr">
        <is>
          <t>K3-2A</t>
        </is>
      </c>
      <c r="D410" t="n">
        <v>9.52</v>
      </c>
      <c r="E410" t="n">
        <v>1450.399</v>
      </c>
      <c r="F410" t="n">
        <v>86.604</v>
      </c>
      <c r="G410" t="n">
        <v>48.901</v>
      </c>
      <c r="H410" t="inlineStr">
        <is>
          <t>MM</t>
        </is>
      </c>
      <c r="K410" t="inlineStr">
        <is>
          <t>20250617-36</t>
        </is>
      </c>
    </row>
    <row r="411">
      <c r="A411" t="n">
        <v>26</v>
      </c>
      <c r="B411" t="inlineStr">
        <is>
          <t>K3-2B</t>
        </is>
      </c>
      <c r="D411" t="n">
        <v>9.52</v>
      </c>
      <c r="E411" t="n">
        <v>1734.698</v>
      </c>
      <c r="F411" t="n">
        <v>75.304</v>
      </c>
      <c r="G411" t="n">
        <v>167.692</v>
      </c>
      <c r="H411" t="inlineStr">
        <is>
          <t>MM</t>
        </is>
      </c>
      <c r="K411" t="inlineStr">
        <is>
          <t>20250617-37</t>
        </is>
      </c>
    </row>
    <row r="412">
      <c r="A412" t="n">
        <v>27</v>
      </c>
      <c r="B412" t="inlineStr">
        <is>
          <t>K3-2C</t>
        </is>
      </c>
      <c r="D412" t="n">
        <v>9.52</v>
      </c>
      <c r="E412" t="n">
        <v>1470.685</v>
      </c>
      <c r="F412" t="n">
        <v>74.127</v>
      </c>
      <c r="G412" t="n">
        <v>129.634</v>
      </c>
      <c r="H412" t="inlineStr">
        <is>
          <t>MM</t>
        </is>
      </c>
      <c r="K412" t="inlineStr">
        <is>
          <t>20250617-38</t>
        </is>
      </c>
    </row>
    <row r="413">
      <c r="A413" t="n">
        <v>28</v>
      </c>
      <c r="B413" t="inlineStr">
        <is>
          <t>MeOH</t>
        </is>
      </c>
      <c r="H413" t="inlineStr">
        <is>
          <t>MM-</t>
        </is>
      </c>
      <c r="K413" t="inlineStr">
        <is>
          <t>20250617-39</t>
        </is>
      </c>
    </row>
    <row r="414">
      <c r="A414" t="n">
        <v>29</v>
      </c>
      <c r="B414" t="inlineStr">
        <is>
          <t>K3-3A</t>
        </is>
      </c>
      <c r="D414" t="n">
        <v>9.52</v>
      </c>
      <c r="E414" t="n">
        <v>1736.997</v>
      </c>
      <c r="F414" t="n">
        <v>101.84</v>
      </c>
      <c r="G414" t="n">
        <v>83.53100000000001</v>
      </c>
      <c r="H414" t="inlineStr">
        <is>
          <t>MM</t>
        </is>
      </c>
      <c r="K414" t="inlineStr">
        <is>
          <t>20250617-40</t>
        </is>
      </c>
    </row>
    <row r="415">
      <c r="A415" t="n">
        <v>30</v>
      </c>
      <c r="B415" t="inlineStr">
        <is>
          <t>K3-3B</t>
        </is>
      </c>
      <c r="D415" t="n">
        <v>9.529999999999999</v>
      </c>
      <c r="E415" t="n">
        <v>1662.016</v>
      </c>
      <c r="F415" t="n">
        <v>96.505</v>
      </c>
      <c r="G415" t="n">
        <v>42.712</v>
      </c>
      <c r="H415" t="inlineStr">
        <is>
          <t>MM</t>
        </is>
      </c>
      <c r="K415" t="inlineStr">
        <is>
          <t>20250617-41</t>
        </is>
      </c>
    </row>
    <row r="416">
      <c r="A416" t="n">
        <v>31</v>
      </c>
      <c r="B416" t="inlineStr">
        <is>
          <t>K3-3C</t>
        </is>
      </c>
      <c r="D416" t="n">
        <v>9.52</v>
      </c>
      <c r="E416" t="n">
        <v>1337.617</v>
      </c>
      <c r="F416" t="n">
        <v>116.668</v>
      </c>
      <c r="G416" t="n">
        <v>64.95099999999999</v>
      </c>
      <c r="H416" t="inlineStr">
        <is>
          <t>MM</t>
        </is>
      </c>
      <c r="K416" t="inlineStr">
        <is>
          <t>20250617-42</t>
        </is>
      </c>
    </row>
    <row r="417">
      <c r="A417" t="n">
        <v>32</v>
      </c>
      <c r="B417" t="inlineStr">
        <is>
          <t>K3-4A</t>
        </is>
      </c>
      <c r="D417" t="n">
        <v>9.52</v>
      </c>
      <c r="E417" t="n">
        <v>1568.98</v>
      </c>
      <c r="F417" t="n">
        <v>95.196</v>
      </c>
      <c r="G417" t="n">
        <v>63.116</v>
      </c>
      <c r="H417" t="inlineStr">
        <is>
          <t>MM</t>
        </is>
      </c>
      <c r="K417" t="inlineStr">
        <is>
          <t>20250617-43</t>
        </is>
      </c>
    </row>
    <row r="418">
      <c r="A418" t="n">
        <v>33</v>
      </c>
      <c r="B418" t="inlineStr">
        <is>
          <t>K3-4B</t>
        </is>
      </c>
      <c r="D418" t="n">
        <v>9.52</v>
      </c>
      <c r="E418" t="n">
        <v>1512.95</v>
      </c>
      <c r="F418" t="n">
        <v>52.646</v>
      </c>
      <c r="G418" t="n">
        <v>45.661</v>
      </c>
      <c r="H418" t="inlineStr">
        <is>
          <t>MM</t>
        </is>
      </c>
      <c r="K418" t="inlineStr">
        <is>
          <t>20250617-44</t>
        </is>
      </c>
    </row>
    <row r="419">
      <c r="A419" t="n">
        <v>34</v>
      </c>
      <c r="B419" t="inlineStr">
        <is>
          <t>K3-4C</t>
        </is>
      </c>
      <c r="D419" t="n">
        <v>9.529999999999999</v>
      </c>
      <c r="E419" t="n">
        <v>1361.918</v>
      </c>
      <c r="F419" t="n">
        <v>62.052</v>
      </c>
      <c r="G419" t="n">
        <v>80.818</v>
      </c>
      <c r="H419" t="inlineStr">
        <is>
          <t>MM</t>
        </is>
      </c>
      <c r="K419" t="inlineStr">
        <is>
          <t>20250617-45</t>
        </is>
      </c>
    </row>
    <row r="420">
      <c r="A420" t="n">
        <v>35</v>
      </c>
      <c r="B420" t="inlineStr">
        <is>
          <t>MeOH</t>
        </is>
      </c>
      <c r="K420" t="inlineStr">
        <is>
          <t>20250617-46</t>
        </is>
      </c>
    </row>
    <row r="421">
      <c r="A421" t="n">
        <v>36</v>
      </c>
      <c r="B421" t="inlineStr">
        <is>
          <t>K3-6A</t>
        </is>
      </c>
      <c r="D421" t="n">
        <v>9.52</v>
      </c>
      <c r="E421" t="n">
        <v>1070.108</v>
      </c>
      <c r="F421" t="n">
        <v>93.878</v>
      </c>
      <c r="G421" t="n">
        <v>38.727</v>
      </c>
      <c r="H421" t="inlineStr">
        <is>
          <t>MM</t>
        </is>
      </c>
      <c r="K421" t="inlineStr">
        <is>
          <t>20250617-47</t>
        </is>
      </c>
    </row>
    <row r="422">
      <c r="A422" t="n">
        <v>37</v>
      </c>
      <c r="B422" t="inlineStr">
        <is>
          <t>K3-6B</t>
        </is>
      </c>
      <c r="D422" t="n">
        <v>9.52</v>
      </c>
      <c r="E422" t="n">
        <v>882.621</v>
      </c>
      <c r="F422" t="n">
        <v>67.396</v>
      </c>
      <c r="G422" t="n">
        <v>120.754</v>
      </c>
      <c r="H422" t="inlineStr">
        <is>
          <t>MM</t>
        </is>
      </c>
      <c r="K422" t="inlineStr">
        <is>
          <t>20250617-48</t>
        </is>
      </c>
    </row>
    <row r="423">
      <c r="A423" t="n">
        <v>38</v>
      </c>
      <c r="B423" t="inlineStr">
        <is>
          <t>K3-6C</t>
        </is>
      </c>
      <c r="D423" t="n">
        <v>9.529999999999999</v>
      </c>
      <c r="E423" t="n">
        <v>990.856</v>
      </c>
      <c r="F423" t="n">
        <v>117.664</v>
      </c>
      <c r="G423" t="n">
        <v>94.723</v>
      </c>
      <c r="H423" t="inlineStr">
        <is>
          <t>MM</t>
        </is>
      </c>
      <c r="K423" t="inlineStr">
        <is>
          <t>20250617-49</t>
        </is>
      </c>
    </row>
    <row r="425">
      <c r="A425" t="inlineStr">
        <is>
          <t>Compound 11:  8:2 monoPAP 1</t>
        </is>
      </c>
    </row>
    <row r="426">
      <c r="I426" t="inlineStr">
        <is>
          <t>LINEST</t>
        </is>
      </c>
      <c r="Q426" t="inlineStr">
        <is>
          <t>Biosolids Masses</t>
        </is>
      </c>
      <c r="R426" t="inlineStr">
        <is>
          <t>(g)</t>
        </is>
      </c>
    </row>
    <row r="427">
      <c r="B427" t="inlineStr">
        <is>
          <t>Sample Text</t>
        </is>
      </c>
      <c r="C427" t="inlineStr">
        <is>
          <t>Std. Conc</t>
        </is>
      </c>
      <c r="D427" t="inlineStr">
        <is>
          <t>RT</t>
        </is>
      </c>
      <c r="E427" t="inlineStr">
        <is>
          <t>Area</t>
        </is>
      </c>
      <c r="F427" t="inlineStr">
        <is>
          <t>IS Area</t>
        </is>
      </c>
      <c r="G427" t="inlineStr">
        <is>
          <t>S/N</t>
        </is>
      </c>
      <c r="H427" t="inlineStr">
        <is>
          <t>ratio</t>
        </is>
      </c>
      <c r="I427">
        <f t="array" ref="I427:J431">LINEST(H429:H434,C429:C434,1,1)</f>
        <v/>
      </c>
      <c r="J427" t="n">
        <v>-1.984430219351335</v>
      </c>
      <c r="L427" s="20" t="inlineStr">
        <is>
          <t>By S/N Ratio</t>
        </is>
      </c>
      <c r="Q427" t="inlineStr">
        <is>
          <t>SS1</t>
        </is>
      </c>
      <c r="R427" t="n">
        <v>1.0846</v>
      </c>
    </row>
    <row r="428">
      <c r="A428" t="n">
        <v>1</v>
      </c>
      <c r="B428" t="inlineStr">
        <is>
          <t>EPA1633 &amp; diPAPs Calibration 0 ppb</t>
        </is>
      </c>
      <c r="C428" s="47" t="n">
        <v>0</v>
      </c>
      <c r="D428" t="n">
        <v>7.78</v>
      </c>
      <c r="E428" t="n">
        <v>94.785</v>
      </c>
      <c r="F428" t="n">
        <v>1227.559</v>
      </c>
      <c r="G428" t="n">
        <v>16.055</v>
      </c>
      <c r="H428">
        <f>E428/F428</f>
        <v/>
      </c>
      <c r="I428" t="n">
        <v>0.01444721006514288</v>
      </c>
      <c r="J428" t="n">
        <v>1.510003592771279</v>
      </c>
      <c r="K428" t="inlineStr">
        <is>
          <t>LOD</t>
        </is>
      </c>
      <c r="L428" s="21">
        <f>IF(G431&gt;3,C431,IF(G432&gt;3,#REF!,IF(G433&gt;3,C433,IF(G434&gt;3,C434,C435))))</f>
        <v/>
      </c>
      <c r="Q428" t="inlineStr">
        <is>
          <t>SS2</t>
        </is>
      </c>
      <c r="R428" t="n">
        <v>1.0726</v>
      </c>
    </row>
    <row r="429">
      <c r="A429" t="n">
        <v>2</v>
      </c>
      <c r="B429" t="inlineStr">
        <is>
          <t>EPA1633 &amp; diPAPs Calibration 0.02 ppb</t>
        </is>
      </c>
      <c r="C429" s="47" t="n">
        <v>11.6</v>
      </c>
      <c r="D429" t="n">
        <v>7.77</v>
      </c>
      <c r="E429" t="n">
        <v>1262.257</v>
      </c>
      <c r="F429" t="n">
        <v>1045.628</v>
      </c>
      <c r="G429" t="n">
        <v>92.471</v>
      </c>
      <c r="H429">
        <f>E429/F429</f>
        <v/>
      </c>
      <c r="I429" t="n">
        <v>0.9630411520865648</v>
      </c>
      <c r="J429" t="n">
        <v>2.233248420299247</v>
      </c>
      <c r="K429" t="inlineStr">
        <is>
          <t>LOQ</t>
        </is>
      </c>
      <c r="L429" s="22">
        <f>IF(G431&gt;10,C431,IF(G432&gt;10,#REF!,IF(G433&gt;10,C433,IF(G434&gt;10,C434,C435))))</f>
        <v/>
      </c>
      <c r="Q429" t="inlineStr">
        <is>
          <t>SS3</t>
        </is>
      </c>
      <c r="R429" t="n">
        <v>1.1534</v>
      </c>
    </row>
    <row r="430">
      <c r="A430" t="n">
        <v>3</v>
      </c>
      <c r="B430" t="inlineStr">
        <is>
          <t>EPA1633 &amp; diPAPs Calibration 0.1 ppb</t>
        </is>
      </c>
      <c r="C430" s="47" t="n">
        <v>23.3</v>
      </c>
      <c r="D430" t="n">
        <v>7.77</v>
      </c>
      <c r="E430" t="n">
        <v>2834.202</v>
      </c>
      <c r="F430" t="n">
        <v>1280.389</v>
      </c>
      <c r="G430" t="n">
        <v>172.655</v>
      </c>
      <c r="H430">
        <f>E430/F430</f>
        <v/>
      </c>
      <c r="I430" t="n">
        <v>104.2284818338703</v>
      </c>
      <c r="J430" t="n">
        <v>4</v>
      </c>
      <c r="Q430" t="inlineStr">
        <is>
          <t>K4-5A</t>
        </is>
      </c>
      <c r="R430" t="n">
        <v>1.1054</v>
      </c>
    </row>
    <row r="431">
      <c r="A431" t="n">
        <v>4</v>
      </c>
      <c r="B431" t="inlineStr">
        <is>
          <t>EPA1633 &amp; diPAPs Calibration 0.4 ppb</t>
        </is>
      </c>
      <c r="C431" s="47" t="n">
        <v>46.5</v>
      </c>
      <c r="D431" t="n">
        <v>7.78</v>
      </c>
      <c r="E431" t="n">
        <v>4981.993</v>
      </c>
      <c r="F431" t="n">
        <v>1133.632</v>
      </c>
      <c r="G431" t="n">
        <v>230.093</v>
      </c>
      <c r="H431">
        <f>E431/F431</f>
        <v/>
      </c>
      <c r="I431" t="n">
        <v>519.8289746610528</v>
      </c>
      <c r="J431" t="n">
        <v>19.94959402707632</v>
      </c>
      <c r="Q431" t="inlineStr">
        <is>
          <t>K4-5B</t>
        </is>
      </c>
      <c r="R431" s="10" t="n">
        <v>1.0463</v>
      </c>
    </row>
    <row r="432">
      <c r="A432" t="n">
        <v>5</v>
      </c>
      <c r="B432" t="inlineStr">
        <is>
          <t>EPA1633 &amp; diPAPs Calibration 1 ppb</t>
        </is>
      </c>
      <c r="C432" s="47" t="n">
        <v>93</v>
      </c>
      <c r="D432" t="n">
        <v>7.78</v>
      </c>
      <c r="E432" t="n">
        <v>13418.579</v>
      </c>
      <c r="F432" t="n">
        <v>1430.277</v>
      </c>
      <c r="G432" t="n">
        <v>582.102</v>
      </c>
      <c r="H432">
        <f>E432/F432</f>
        <v/>
      </c>
      <c r="Q432" t="inlineStr">
        <is>
          <t>K4-5C</t>
        </is>
      </c>
      <c r="R432" t="n">
        <v>1.1155</v>
      </c>
    </row>
    <row r="433">
      <c r="A433" t="n">
        <v>6</v>
      </c>
      <c r="B433" t="inlineStr">
        <is>
          <t>EPA1633 &amp; diPAPs Calibration 5 ppb</t>
        </is>
      </c>
      <c r="C433" s="47" t="n">
        <v>139.5</v>
      </c>
      <c r="D433" t="n">
        <v>7.78</v>
      </c>
      <c r="E433" t="n">
        <v>15938.896</v>
      </c>
      <c r="F433" t="n">
        <v>965.196</v>
      </c>
      <c r="G433" t="n">
        <v>866.764</v>
      </c>
      <c r="H433">
        <f>E433/F433</f>
        <v/>
      </c>
      <c r="Q433" t="inlineStr">
        <is>
          <t>K3-1A</t>
        </is>
      </c>
      <c r="R433" t="n">
        <v>1.0874</v>
      </c>
    </row>
    <row r="434">
      <c r="A434" t="n">
        <v>7</v>
      </c>
      <c r="B434" t="inlineStr">
        <is>
          <t>EPA1633 &amp; diPAPs Calibration 10 ppb</t>
        </is>
      </c>
      <c r="C434" s="47" t="n">
        <v>186</v>
      </c>
      <c r="D434" t="n">
        <v>7.79</v>
      </c>
      <c r="E434" t="n">
        <v>27848.961</v>
      </c>
      <c r="F434" t="n">
        <v>990.528</v>
      </c>
      <c r="G434" t="n">
        <v>2065.312</v>
      </c>
      <c r="H434">
        <f>E434/F434</f>
        <v/>
      </c>
      <c r="I434" s="23" t="inlineStr">
        <is>
          <t>Background</t>
        </is>
      </c>
      <c r="J434" s="23" t="inlineStr">
        <is>
          <t>Spike</t>
        </is>
      </c>
      <c r="K434" s="9" t="inlineStr">
        <is>
          <t>Old Spike</t>
        </is>
      </c>
      <c r="O434" s="24" t="inlineStr">
        <is>
          <t>±</t>
        </is>
      </c>
      <c r="Q434" t="inlineStr">
        <is>
          <t>K3-1B</t>
        </is>
      </c>
      <c r="R434" t="n">
        <v>1.0898</v>
      </c>
    </row>
    <row r="435">
      <c r="A435" t="n">
        <v>8</v>
      </c>
      <c r="B435" t="inlineStr">
        <is>
          <t>EPA1633 &amp; diPAPs Calibration 20 ppb</t>
        </is>
      </c>
      <c r="C435" s="47" t="n">
        <v>232.5</v>
      </c>
      <c r="D435" t="n">
        <v>7.79</v>
      </c>
      <c r="E435" t="n">
        <v>13735.792</v>
      </c>
      <c r="F435" t="n">
        <v>107.462</v>
      </c>
      <c r="G435" t="n">
        <v>838.519</v>
      </c>
      <c r="H435">
        <f>E435/F435</f>
        <v/>
      </c>
      <c r="I435">
        <f>AVERAGE(I438:I440)</f>
        <v/>
      </c>
      <c r="J435" t="n">
        <v>204.6</v>
      </c>
      <c r="Q435" t="inlineStr">
        <is>
          <t>K3-1C</t>
        </is>
      </c>
      <c r="R435" t="n">
        <v>1.0536</v>
      </c>
    </row>
    <row r="436">
      <c r="A436" t="n">
        <v>9</v>
      </c>
      <c r="B436" t="inlineStr">
        <is>
          <t>MeOH</t>
        </is>
      </c>
      <c r="I436" s="23" t="inlineStr">
        <is>
          <t>Conc.In Vial (ppb)</t>
        </is>
      </c>
      <c r="J436" s="9" t="inlineStr">
        <is>
          <t>Corr. Conc.(ppb)</t>
        </is>
      </c>
      <c r="K436" s="9" t="inlineStr">
        <is>
          <t>Conc. In soil (ng/g)</t>
        </is>
      </c>
      <c r="Q436" t="inlineStr">
        <is>
          <t>K3-2A</t>
        </is>
      </c>
      <c r="R436" s="10" t="n">
        <v>1.1218</v>
      </c>
    </row>
    <row r="437">
      <c r="A437" t="n">
        <v>10</v>
      </c>
      <c r="B437" t="inlineStr">
        <is>
          <t>MeOH</t>
        </is>
      </c>
      <c r="L437" s="23" t="inlineStr">
        <is>
          <t>Average</t>
        </is>
      </c>
      <c r="M437" s="23" t="inlineStr">
        <is>
          <t>Stdev</t>
        </is>
      </c>
      <c r="N437" s="9" t="inlineStr">
        <is>
          <t>Combined</t>
        </is>
      </c>
      <c r="O437" s="9" t="n"/>
      <c r="P437" s="9" t="n"/>
      <c r="Q437" t="inlineStr">
        <is>
          <t>K3-2B</t>
        </is>
      </c>
      <c r="R437" t="n">
        <v>1.198</v>
      </c>
    </row>
    <row r="438">
      <c r="A438" t="n">
        <v>11</v>
      </c>
      <c r="B438" t="inlineStr">
        <is>
          <t>SB1</t>
        </is>
      </c>
      <c r="D438" t="n">
        <v>7.81</v>
      </c>
      <c r="E438" t="n">
        <v>130.801</v>
      </c>
      <c r="F438" t="n">
        <v>642.432</v>
      </c>
      <c r="G438" t="n">
        <v>9.339</v>
      </c>
      <c r="H438">
        <f>E438/F438</f>
        <v/>
      </c>
      <c r="I438">
        <f>((H438-$J$427)/$I$427)</f>
        <v/>
      </c>
      <c r="J438">
        <f>(I438-IF(I435&gt;0,I435,0))</f>
        <v/>
      </c>
      <c r="K438">
        <f>J438*1.1</f>
        <v/>
      </c>
      <c r="L438">
        <f>AVERAGE(K438:K440)</f>
        <v/>
      </c>
      <c r="M438">
        <f>STDEV(K439:K440)</f>
        <v/>
      </c>
      <c r="N438">
        <f>_xlfn.CONCAT(ROUND(L438,1)," ± ",ROUND(M438,1))</f>
        <v/>
      </c>
      <c r="Q438" t="inlineStr">
        <is>
          <t>K3-2C</t>
        </is>
      </c>
      <c r="R438" t="n">
        <v>1.1538</v>
      </c>
    </row>
    <row r="439">
      <c r="A439" t="n">
        <v>12</v>
      </c>
      <c r="B439" t="inlineStr">
        <is>
          <t>SB2</t>
        </is>
      </c>
      <c r="D439" t="n">
        <v>7.81</v>
      </c>
      <c r="E439" t="n">
        <v>157.919</v>
      </c>
      <c r="F439" t="n">
        <v>524.691</v>
      </c>
      <c r="G439" t="n">
        <v>10.337</v>
      </c>
      <c r="H439">
        <f>E439/F439</f>
        <v/>
      </c>
      <c r="I439">
        <f>((H439-$J$427)/$I$427)</f>
        <v/>
      </c>
      <c r="J439">
        <f>(I439-IF(I435&gt;0,I435,0))</f>
        <v/>
      </c>
      <c r="K439">
        <f>J439*1.1</f>
        <v/>
      </c>
      <c r="Q439" t="inlineStr">
        <is>
          <t>K3-3A</t>
        </is>
      </c>
      <c r="R439" t="n">
        <v>1.1183</v>
      </c>
    </row>
    <row r="440">
      <c r="A440" t="n">
        <v>13</v>
      </c>
      <c r="B440" t="inlineStr">
        <is>
          <t>SB3</t>
        </is>
      </c>
      <c r="D440" t="n">
        <v>7.8</v>
      </c>
      <c r="E440" t="n">
        <v>52.164</v>
      </c>
      <c r="F440" t="n">
        <v>583.399</v>
      </c>
      <c r="G440" t="n">
        <v>1.727</v>
      </c>
      <c r="H440">
        <f>E440/F440</f>
        <v/>
      </c>
      <c r="I440">
        <f>((H440-$J$427)/$I$427)</f>
        <v/>
      </c>
      <c r="J440">
        <f>(I440-IF(I435&gt;0,I435,0))</f>
        <v/>
      </c>
      <c r="K440" s="30">
        <f>J440*1.1</f>
        <v/>
      </c>
      <c r="L440" s="25" t="inlineStr">
        <is>
          <t>Average</t>
        </is>
      </c>
      <c r="M440" s="25" t="inlineStr">
        <is>
          <t>Stdev</t>
        </is>
      </c>
      <c r="N440" s="26" t="inlineStr">
        <is>
          <t>%Recovery</t>
        </is>
      </c>
      <c r="O440" s="26" t="inlineStr">
        <is>
          <t>Uncertainty</t>
        </is>
      </c>
      <c r="P440" s="26" t="inlineStr">
        <is>
          <t>Combined</t>
        </is>
      </c>
      <c r="Q440" t="inlineStr">
        <is>
          <t>K3-3B</t>
        </is>
      </c>
      <c r="R440" t="n">
        <v>1.1448</v>
      </c>
    </row>
    <row r="441">
      <c r="A441" t="n">
        <v>14</v>
      </c>
      <c r="B441" t="inlineStr">
        <is>
          <t>SS1</t>
        </is>
      </c>
      <c r="D441" t="n">
        <v>7.82</v>
      </c>
      <c r="E441" t="n">
        <v>3391.41</v>
      </c>
      <c r="F441" t="n">
        <v>504.42</v>
      </c>
      <c r="G441" t="n">
        <v>246.478</v>
      </c>
      <c r="H441">
        <f>E441/F441</f>
        <v/>
      </c>
      <c r="I441">
        <f>((H441-$J$427)/$I$427)</f>
        <v/>
      </c>
      <c r="J441">
        <f>(I441-IF($I$435&gt;0,$I$435,0))</f>
        <v/>
      </c>
      <c r="K441">
        <f>J441/R427*1.1</f>
        <v/>
      </c>
      <c r="L441" s="27">
        <f>AVERAGE(K441:K443)</f>
        <v/>
      </c>
      <c r="M441" s="27">
        <f>STDEV(K441:K443)</f>
        <v/>
      </c>
      <c r="N441" s="28">
        <f>L441/J435*100</f>
        <v/>
      </c>
      <c r="O441" s="29">
        <f>M441/J435*100</f>
        <v/>
      </c>
      <c r="P441" s="29">
        <f>_xlfn.CONCAT(ROUND(N441,1)," ± ",ROUND(O441,1))</f>
        <v/>
      </c>
      <c r="Q441" t="inlineStr">
        <is>
          <t>K3-3C</t>
        </is>
      </c>
      <c r="R441" t="n">
        <v>1.0493</v>
      </c>
    </row>
    <row r="442">
      <c r="A442" t="n">
        <v>15</v>
      </c>
      <c r="B442" t="inlineStr">
        <is>
          <t>SS2</t>
        </is>
      </c>
      <c r="D442" t="n">
        <v>7.82</v>
      </c>
      <c r="E442" t="n">
        <v>4164.914</v>
      </c>
      <c r="F442" t="n">
        <v>614.583</v>
      </c>
      <c r="G442" t="n">
        <v>196.162</v>
      </c>
      <c r="H442">
        <f>E442/F442</f>
        <v/>
      </c>
      <c r="I442">
        <f>((H442-$J$427)/$I$427)</f>
        <v/>
      </c>
      <c r="J442">
        <f>(I442-IF($I$435&gt;0,$I$435,0))</f>
        <v/>
      </c>
      <c r="K442">
        <f>J442/R428*1.1</f>
        <v/>
      </c>
      <c r="Q442" t="inlineStr">
        <is>
          <t>K3-4A</t>
        </is>
      </c>
      <c r="R442" t="n">
        <v>1.0704</v>
      </c>
    </row>
    <row r="443">
      <c r="A443" t="n">
        <v>16</v>
      </c>
      <c r="B443" t="inlineStr">
        <is>
          <t>SS3</t>
        </is>
      </c>
      <c r="D443" t="n">
        <v>7.83</v>
      </c>
      <c r="E443" t="n">
        <v>3547.622</v>
      </c>
      <c r="F443" t="n">
        <v>590.708</v>
      </c>
      <c r="G443" t="n">
        <v>442.947</v>
      </c>
      <c r="H443">
        <f>E443/F443</f>
        <v/>
      </c>
      <c r="I443">
        <f>((H443-$J$427)/$I$427)</f>
        <v/>
      </c>
      <c r="J443">
        <f>(I443-IF($I$435&gt;0,$I$435,0))</f>
        <v/>
      </c>
      <c r="K443" s="30">
        <f>J443/R429*1.1</f>
        <v/>
      </c>
      <c r="Q443" t="inlineStr">
        <is>
          <t>K3-4B</t>
        </is>
      </c>
      <c r="R443" t="n">
        <v>1.1589</v>
      </c>
    </row>
    <row r="444">
      <c r="A444" t="n">
        <v>17</v>
      </c>
      <c r="B444" t="inlineStr">
        <is>
          <t>MeOH</t>
        </is>
      </c>
      <c r="L444" s="23" t="inlineStr">
        <is>
          <t>Average</t>
        </is>
      </c>
      <c r="M444" s="23" t="inlineStr">
        <is>
          <t>Stdev</t>
        </is>
      </c>
      <c r="N444" s="9" t="inlineStr">
        <is>
          <t>Combined</t>
        </is>
      </c>
      <c r="Q444" t="inlineStr">
        <is>
          <t>K3-4C</t>
        </is>
      </c>
      <c r="R444" t="n">
        <v>1.0206</v>
      </c>
    </row>
    <row r="445">
      <c r="A445" t="n">
        <v>18</v>
      </c>
      <c r="B445" t="inlineStr">
        <is>
          <t>K4-5A</t>
        </is>
      </c>
      <c r="D445" t="n">
        <v>7.86</v>
      </c>
      <c r="E445" t="n">
        <v>92.765</v>
      </c>
      <c r="F445" t="n">
        <v>465.479</v>
      </c>
      <c r="G445" t="n">
        <v>5.254</v>
      </c>
      <c r="H445">
        <f>E445/F445</f>
        <v/>
      </c>
      <c r="I445">
        <f>((H445-$J$427)/$I$427)</f>
        <v/>
      </c>
      <c r="J445">
        <f>(I445-IF($I$435&gt;0,$I$435,0))</f>
        <v/>
      </c>
      <c r="K445">
        <f>J445/R429*1.1</f>
        <v/>
      </c>
      <c r="L445">
        <f>AVERAGE(K445:K447)</f>
        <v/>
      </c>
      <c r="M445">
        <f>STDEV(K445:K447)</f>
        <v/>
      </c>
      <c r="N445">
        <f>_xlfn.CONCAT(ROUND(L445,1)," ± ",ROUND(M445,1))</f>
        <v/>
      </c>
      <c r="Q445" t="inlineStr">
        <is>
          <t>K3-6A</t>
        </is>
      </c>
      <c r="R445" t="n">
        <v>1.1289</v>
      </c>
    </row>
    <row r="446">
      <c r="A446" t="n">
        <v>19</v>
      </c>
      <c r="B446" t="inlineStr">
        <is>
          <t>K4-5B</t>
        </is>
      </c>
      <c r="D446" t="n">
        <v>7.85</v>
      </c>
      <c r="E446" t="n">
        <v>68.286</v>
      </c>
      <c r="F446" t="n">
        <v>473.146</v>
      </c>
      <c r="G446" t="n">
        <v>5.103</v>
      </c>
      <c r="H446">
        <f>E446/F446</f>
        <v/>
      </c>
      <c r="I446">
        <f>((H446-$J$427)/$I$427)</f>
        <v/>
      </c>
      <c r="J446">
        <f>(I446-IF($I$435&gt;0,$I$435,0))</f>
        <v/>
      </c>
      <c r="K446">
        <f>J446/R430*1.1</f>
        <v/>
      </c>
      <c r="Q446" t="inlineStr">
        <is>
          <t>K3-6B</t>
        </is>
      </c>
      <c r="R446" t="n">
        <v>1.195</v>
      </c>
    </row>
    <row r="447">
      <c r="A447" t="n">
        <v>20</v>
      </c>
      <c r="B447" t="inlineStr">
        <is>
          <t>K4-5C</t>
        </is>
      </c>
      <c r="D447" t="n">
        <v>7.89</v>
      </c>
      <c r="E447" t="n">
        <v>40.148</v>
      </c>
      <c r="F447" t="n">
        <v>535.058</v>
      </c>
      <c r="G447" t="n">
        <v>3.427</v>
      </c>
      <c r="H447">
        <f>E447/F447</f>
        <v/>
      </c>
      <c r="I447">
        <f>((H447-$J$427)/$I$427)</f>
        <v/>
      </c>
      <c r="J447">
        <f>(I447-IF($I$435&gt;0,$I$435,0))</f>
        <v/>
      </c>
      <c r="K447">
        <f>J447/R431*1.1</f>
        <v/>
      </c>
      <c r="L447" s="23" t="n"/>
      <c r="M447" s="23" t="n"/>
      <c r="N447" s="9" t="n"/>
      <c r="Q447" t="inlineStr">
        <is>
          <t>K3-6C</t>
        </is>
      </c>
      <c r="R447" t="n">
        <v>1.1716</v>
      </c>
    </row>
    <row r="448">
      <c r="A448" t="n">
        <v>21</v>
      </c>
      <c r="B448" t="inlineStr">
        <is>
          <t>MeOH</t>
        </is>
      </c>
      <c r="L448" s="23" t="inlineStr">
        <is>
          <t>Average</t>
        </is>
      </c>
      <c r="M448" s="23" t="inlineStr">
        <is>
          <t>Stdev</t>
        </is>
      </c>
      <c r="N448" s="9" t="inlineStr">
        <is>
          <t>Combined</t>
        </is>
      </c>
    </row>
    <row r="449">
      <c r="A449" t="n">
        <v>22</v>
      </c>
      <c r="B449" t="inlineStr">
        <is>
          <t>K3-1A</t>
        </is>
      </c>
      <c r="D449" t="n">
        <v>7.86</v>
      </c>
      <c r="E449" t="n">
        <v>31.724</v>
      </c>
      <c r="F449" t="n">
        <v>415.837</v>
      </c>
      <c r="G449" t="n">
        <v>2.025</v>
      </c>
      <c r="H449">
        <f>E449/F449</f>
        <v/>
      </c>
      <c r="I449">
        <f>((H449-$J$427)/$I$427)</f>
        <v/>
      </c>
      <c r="J449">
        <f>(I449-IF($I$435&gt;0,$I$435,0))</f>
        <v/>
      </c>
      <c r="K449">
        <f>J449/R432*1.1</f>
        <v/>
      </c>
      <c r="L449">
        <f>AVERAGE(K449:K451)</f>
        <v/>
      </c>
      <c r="M449">
        <f>STDEV(K450:K451)</f>
        <v/>
      </c>
      <c r="N449">
        <f>_xlfn.CONCAT(ROUND(L449,1)," ± ",ROUND(M449,1))</f>
        <v/>
      </c>
    </row>
    <row r="450">
      <c r="A450" t="n">
        <v>23</v>
      </c>
      <c r="B450" t="inlineStr">
        <is>
          <t>K3-1B</t>
        </is>
      </c>
      <c r="D450" t="n">
        <v>7.88</v>
      </c>
      <c r="E450" t="n">
        <v>91.541</v>
      </c>
      <c r="F450" t="n">
        <v>487.725</v>
      </c>
      <c r="G450" t="n">
        <v>6.559</v>
      </c>
      <c r="H450">
        <f>E450/F450</f>
        <v/>
      </c>
      <c r="I450">
        <f>((H450-$J$427)/$I$427)</f>
        <v/>
      </c>
      <c r="J450">
        <f>(I450-IF($I$435&gt;0,$I$435,0))</f>
        <v/>
      </c>
      <c r="K450">
        <f>J450/R433*1.1</f>
        <v/>
      </c>
    </row>
    <row r="451">
      <c r="A451" t="n">
        <v>24</v>
      </c>
      <c r="B451" t="inlineStr">
        <is>
          <t>K3-1C</t>
        </is>
      </c>
      <c r="D451" t="n">
        <v>7.89</v>
      </c>
      <c r="E451" t="n">
        <v>24.406</v>
      </c>
      <c r="F451" t="n">
        <v>444.802</v>
      </c>
      <c r="G451" t="n">
        <v>2.146</v>
      </c>
      <c r="H451">
        <f>E451/F451</f>
        <v/>
      </c>
      <c r="I451">
        <f>((H451-$J$427)/$I$427)</f>
        <v/>
      </c>
      <c r="J451">
        <f>(I451-IF($I$435&gt;0,$I$435,0))</f>
        <v/>
      </c>
      <c r="K451">
        <f>J451/R434*1.1</f>
        <v/>
      </c>
      <c r="L451" s="23" t="inlineStr">
        <is>
          <t>Average</t>
        </is>
      </c>
      <c r="M451" s="23" t="inlineStr">
        <is>
          <t>Stdev</t>
        </is>
      </c>
      <c r="N451" s="9" t="inlineStr">
        <is>
          <t>Combined</t>
        </is>
      </c>
    </row>
    <row r="452">
      <c r="A452" t="n">
        <v>25</v>
      </c>
      <c r="B452" t="inlineStr">
        <is>
          <t>K3-2A</t>
        </is>
      </c>
      <c r="D452" t="n">
        <v>7.87</v>
      </c>
      <c r="E452" t="n">
        <v>30.25</v>
      </c>
      <c r="F452" t="n">
        <v>380.911</v>
      </c>
      <c r="G452" t="n">
        <v>2.751</v>
      </c>
      <c r="H452">
        <f>E452/F452</f>
        <v/>
      </c>
      <c r="I452">
        <f>((H452-$J$427)/$I$427)</f>
        <v/>
      </c>
      <c r="J452">
        <f>(I452-IF($I$435&gt;0,$I$435,0))</f>
        <v/>
      </c>
      <c r="K452">
        <f>J452/R435*1.1</f>
        <v/>
      </c>
      <c r="L452">
        <f>AVERAGE(K452:K454)</f>
        <v/>
      </c>
      <c r="M452">
        <f>STDEV(K452:K454)</f>
        <v/>
      </c>
      <c r="N452">
        <f>_xlfn.CONCAT(ROUND(L452,1)," ± ",ROUND(M452,1))</f>
        <v/>
      </c>
    </row>
    <row r="453">
      <c r="A453" t="n">
        <v>26</v>
      </c>
      <c r="B453" t="inlineStr">
        <is>
          <t>K3-2B</t>
        </is>
      </c>
      <c r="D453" t="n">
        <v>7.87</v>
      </c>
      <c r="E453" t="n">
        <v>21.283</v>
      </c>
      <c r="F453" t="n">
        <v>557.828</v>
      </c>
      <c r="G453" t="n">
        <v>0.9</v>
      </c>
      <c r="H453">
        <f>E453/F453</f>
        <v/>
      </c>
      <c r="I453">
        <f>((H453-$J$427)/$I$427)</f>
        <v/>
      </c>
      <c r="J453">
        <f>(I453-IF($I$435&gt;0,$I$435,0))</f>
        <v/>
      </c>
      <c r="K453">
        <f>J453/R436*1.1</f>
        <v/>
      </c>
    </row>
    <row r="454">
      <c r="A454" t="n">
        <v>27</v>
      </c>
      <c r="B454" t="inlineStr">
        <is>
          <t>K3-2C</t>
        </is>
      </c>
      <c r="D454" t="n">
        <v>7.9</v>
      </c>
      <c r="E454" t="n">
        <v>30.481</v>
      </c>
      <c r="F454" t="n">
        <v>472.435</v>
      </c>
      <c r="G454" t="n">
        <v>2.399</v>
      </c>
      <c r="H454">
        <f>E454/F454</f>
        <v/>
      </c>
      <c r="I454">
        <f>((H454-$J$427)/$I$427)</f>
        <v/>
      </c>
      <c r="J454">
        <f>(I454-IF($I$435&gt;0,$I$435,0))</f>
        <v/>
      </c>
      <c r="K454">
        <f>J454/R437*1.1</f>
        <v/>
      </c>
      <c r="L454" s="23" t="n"/>
      <c r="M454" s="23" t="n"/>
      <c r="N454" s="9" t="n"/>
    </row>
    <row r="455">
      <c r="A455" t="n">
        <v>28</v>
      </c>
      <c r="B455" t="inlineStr">
        <is>
          <t>MeOH</t>
        </is>
      </c>
      <c r="L455" s="23" t="inlineStr">
        <is>
          <t>Average</t>
        </is>
      </c>
      <c r="M455" s="23" t="inlineStr">
        <is>
          <t>Stdev</t>
        </is>
      </c>
      <c r="N455" s="9" t="inlineStr">
        <is>
          <t>Combined</t>
        </is>
      </c>
    </row>
    <row r="456">
      <c r="A456" t="n">
        <v>29</v>
      </c>
      <c r="B456" t="inlineStr">
        <is>
          <t>K3-3A</t>
        </is>
      </c>
      <c r="D456" t="n">
        <v>7.88</v>
      </c>
      <c r="E456" t="n">
        <v>33.175</v>
      </c>
      <c r="F456" t="n">
        <v>418.769</v>
      </c>
      <c r="G456" t="n">
        <v>2.917</v>
      </c>
      <c r="H456">
        <f>E456/F456</f>
        <v/>
      </c>
      <c r="I456">
        <f>((H456-$J$427)/$I$427)</f>
        <v/>
      </c>
      <c r="J456">
        <f>(I456-IF($I$435&gt;0,$I$435,0))</f>
        <v/>
      </c>
      <c r="K456">
        <f>J456/R438*1.1</f>
        <v/>
      </c>
      <c r="L456">
        <f>AVERAGE(K456:K458)</f>
        <v/>
      </c>
      <c r="M456">
        <f>STDEV(K457:K458)</f>
        <v/>
      </c>
      <c r="N456">
        <f>_xlfn.CONCAT(ROUND(L456,1)," ± ",ROUND(M456,1))</f>
        <v/>
      </c>
    </row>
    <row r="457">
      <c r="A457" t="n">
        <v>30</v>
      </c>
      <c r="B457" t="inlineStr">
        <is>
          <t>K3-3B</t>
        </is>
      </c>
      <c r="D457" t="n">
        <v>7.71</v>
      </c>
      <c r="E457" t="n">
        <v>59.369</v>
      </c>
      <c r="F457" t="n">
        <v>621.9160000000001</v>
      </c>
      <c r="G457" t="n">
        <v>1.314</v>
      </c>
      <c r="H457">
        <f>E457/F457</f>
        <v/>
      </c>
      <c r="I457">
        <f>((H457-$J$427)/$I$427)</f>
        <v/>
      </c>
      <c r="J457">
        <f>(I457-IF($I$435&gt;0,$I$435,0))</f>
        <v/>
      </c>
      <c r="K457">
        <f>J457/R439*1.1</f>
        <v/>
      </c>
    </row>
    <row r="458">
      <c r="A458" t="n">
        <v>31</v>
      </c>
      <c r="B458" t="inlineStr">
        <is>
          <t>K3-3C</t>
        </is>
      </c>
      <c r="D458" t="n">
        <v>7.93</v>
      </c>
      <c r="E458" t="n">
        <v>8.319000000000001</v>
      </c>
      <c r="F458" t="n">
        <v>357.94</v>
      </c>
      <c r="G458" t="n">
        <v>0.21</v>
      </c>
      <c r="H458">
        <f>E458/F458</f>
        <v/>
      </c>
      <c r="I458">
        <f>((H458-$J$427)/$I$427)</f>
        <v/>
      </c>
      <c r="J458">
        <f>(I458-IF($I$435&gt;0,$I$435,0))</f>
        <v/>
      </c>
      <c r="K458">
        <f>J458/R440*1.1</f>
        <v/>
      </c>
      <c r="L458" s="23" t="inlineStr">
        <is>
          <t>Average</t>
        </is>
      </c>
      <c r="M458" s="23" t="inlineStr">
        <is>
          <t>Stdev</t>
        </is>
      </c>
      <c r="N458" s="9" t="inlineStr">
        <is>
          <t>Combined</t>
        </is>
      </c>
    </row>
    <row r="459">
      <c r="A459" t="n">
        <v>32</v>
      </c>
      <c r="B459" t="inlineStr">
        <is>
          <t>K3-4A</t>
        </is>
      </c>
      <c r="D459" t="n">
        <v>7.89</v>
      </c>
      <c r="E459" t="n">
        <v>53.183</v>
      </c>
      <c r="F459" t="n">
        <v>345.339</v>
      </c>
      <c r="G459" t="n">
        <v>6.041</v>
      </c>
      <c r="H459">
        <f>E459/F459</f>
        <v/>
      </c>
      <c r="I459">
        <f>((H459-$J$427)/$I$427)</f>
        <v/>
      </c>
      <c r="J459">
        <f>(I459-IF($I$435&gt;0,$I$435,0))</f>
        <v/>
      </c>
      <c r="K459">
        <f>J459/R441*1.1</f>
        <v/>
      </c>
      <c r="L459">
        <f>AVERAGE(K459:K461)</f>
        <v/>
      </c>
      <c r="M459">
        <f>STDEV(K459:K461)</f>
        <v/>
      </c>
      <c r="N459">
        <f>_xlfn.CONCAT(ROUND(L459,1)," ± ",ROUND(M459,1))</f>
        <v/>
      </c>
    </row>
    <row r="460">
      <c r="A460" t="n">
        <v>33</v>
      </c>
      <c r="B460" t="inlineStr">
        <is>
          <t>K3-4B</t>
        </is>
      </c>
      <c r="D460" t="n">
        <v>7.85</v>
      </c>
      <c r="E460" t="n">
        <v>12.176</v>
      </c>
      <c r="F460" t="n">
        <v>533.263</v>
      </c>
      <c r="G460" t="n">
        <v>0.608</v>
      </c>
      <c r="H460">
        <f>E460/F460</f>
        <v/>
      </c>
      <c r="I460">
        <f>((H460-$J$427)/$I$427)</f>
        <v/>
      </c>
      <c r="J460">
        <f>(I460-IF($I$435&gt;0,$I$435,0))</f>
        <v/>
      </c>
      <c r="K460">
        <f>J460/R442*1.1</f>
        <v/>
      </c>
    </row>
    <row r="461">
      <c r="A461" t="n">
        <v>34</v>
      </c>
      <c r="B461" t="inlineStr">
        <is>
          <t>K3-4C</t>
        </is>
      </c>
      <c r="D461" t="n">
        <v>7.87</v>
      </c>
      <c r="E461" t="n">
        <v>33.598</v>
      </c>
      <c r="F461" t="n">
        <v>417.558</v>
      </c>
      <c r="G461" t="n">
        <v>0.921</v>
      </c>
      <c r="H461">
        <f>E461/F461</f>
        <v/>
      </c>
      <c r="I461">
        <f>((H461-$J$427)/$I$427)</f>
        <v/>
      </c>
      <c r="J461">
        <f>(I461-IF($I$435&gt;0,$I$435,0))</f>
        <v/>
      </c>
      <c r="K461">
        <f>J461/R443*1.1</f>
        <v/>
      </c>
      <c r="L461" s="23" t="n"/>
      <c r="M461" s="23" t="n"/>
      <c r="N461" s="9" t="n"/>
    </row>
    <row r="462">
      <c r="A462" t="n">
        <v>35</v>
      </c>
      <c r="B462" t="inlineStr">
        <is>
          <t>MeOH</t>
        </is>
      </c>
      <c r="L462" s="23" t="inlineStr">
        <is>
          <t>Average</t>
        </is>
      </c>
      <c r="M462" s="23" t="inlineStr">
        <is>
          <t>Stdev</t>
        </is>
      </c>
      <c r="N462" s="9" t="inlineStr">
        <is>
          <t>Combined</t>
        </is>
      </c>
    </row>
    <row r="463">
      <c r="A463" t="n">
        <v>36</v>
      </c>
      <c r="B463" t="inlineStr">
        <is>
          <t>K3-6A</t>
        </is>
      </c>
      <c r="D463" t="n">
        <v>7.93</v>
      </c>
      <c r="E463" t="n">
        <v>30.912</v>
      </c>
      <c r="F463" t="n">
        <v>353.045</v>
      </c>
      <c r="G463" t="n">
        <v>1.557</v>
      </c>
      <c r="H463">
        <f>E463/F463</f>
        <v/>
      </c>
      <c r="I463">
        <f>((H463-$J$427)/$I$427)</f>
        <v/>
      </c>
      <c r="J463">
        <f>(I463-IF($I$435&gt;0,$I$435,0))</f>
        <v/>
      </c>
      <c r="K463">
        <f>J463/R444*1.1</f>
        <v/>
      </c>
      <c r="L463">
        <f>AVERAGE(K463:K465)</f>
        <v/>
      </c>
      <c r="M463">
        <f>STDEV(K464:K465)</f>
        <v/>
      </c>
      <c r="N463">
        <f>_xlfn.CONCAT(ROUND(L463,1)," ± ",ROUND(M463,1))</f>
        <v/>
      </c>
    </row>
    <row r="464">
      <c r="A464" t="n">
        <v>37</v>
      </c>
      <c r="B464" t="inlineStr">
        <is>
          <t>K3-6B</t>
        </is>
      </c>
      <c r="D464" t="n">
        <v>7.83</v>
      </c>
      <c r="E464" t="n">
        <v>26.496</v>
      </c>
      <c r="F464" t="n">
        <v>247.754</v>
      </c>
      <c r="G464" t="n">
        <v>2.643</v>
      </c>
      <c r="H464">
        <f>E464/F464</f>
        <v/>
      </c>
      <c r="I464">
        <f>((H464-$J$427)/$I$427)</f>
        <v/>
      </c>
      <c r="J464">
        <f>(I464-IF($I$435&gt;0,$I$435,0))</f>
        <v/>
      </c>
      <c r="K464">
        <f>J464/R445*1.1</f>
        <v/>
      </c>
    </row>
    <row r="465">
      <c r="A465" t="n">
        <v>38</v>
      </c>
      <c r="B465" t="inlineStr">
        <is>
          <t>K3-6C</t>
        </is>
      </c>
      <c r="D465" t="n">
        <v>7.75</v>
      </c>
      <c r="E465" t="n">
        <v>29.282</v>
      </c>
      <c r="F465" t="n">
        <v>310.722</v>
      </c>
      <c r="G465" t="n">
        <v>2.73</v>
      </c>
      <c r="H465">
        <f>E465/F465</f>
        <v/>
      </c>
      <c r="I465">
        <f>((H465-$J$427)/$I$427)</f>
        <v/>
      </c>
      <c r="J465">
        <f>(I465-IF($I$435&gt;0,$I$435,0))</f>
        <v/>
      </c>
      <c r="K465">
        <f>J465/R446*1.1</f>
        <v/>
      </c>
      <c r="L465" s="23" t="n"/>
      <c r="M465" s="23" t="n"/>
      <c r="N465" s="9" t="n"/>
    </row>
    <row r="467">
      <c r="A467" t="inlineStr">
        <is>
          <t>Compound 12:  8:2 monoPAP 2</t>
        </is>
      </c>
    </row>
    <row r="469">
      <c r="B469" t="inlineStr">
        <is>
          <t>Sample Text</t>
        </is>
      </c>
      <c r="C469" t="inlineStr">
        <is>
          <t>Std. Conc</t>
        </is>
      </c>
      <c r="D469" t="inlineStr">
        <is>
          <t>RT</t>
        </is>
      </c>
      <c r="E469" t="inlineStr">
        <is>
          <t>Area</t>
        </is>
      </c>
      <c r="F469" t="inlineStr">
        <is>
          <t>IS Area</t>
        </is>
      </c>
      <c r="G469" t="inlineStr">
        <is>
          <t>S/N</t>
        </is>
      </c>
      <c r="H469" t="inlineStr">
        <is>
          <t>Primary Flags</t>
        </is>
      </c>
      <c r="I469" t="inlineStr">
        <is>
          <t>Response</t>
        </is>
      </c>
      <c r="J469" t="inlineStr">
        <is>
          <t>Conc.</t>
        </is>
      </c>
      <c r="K469" t="inlineStr">
        <is>
          <t>Name</t>
        </is>
      </c>
    </row>
    <row r="470">
      <c r="A470" t="n">
        <v>1</v>
      </c>
      <c r="B470" t="inlineStr">
        <is>
          <t>EPA1633 &amp; diPAPs Calibration 0 ppb</t>
        </is>
      </c>
      <c r="D470" t="n">
        <v>7.79</v>
      </c>
      <c r="E470" t="n">
        <v>3.872</v>
      </c>
      <c r="F470" t="n">
        <v>307.703</v>
      </c>
      <c r="G470" t="n">
        <v>58</v>
      </c>
      <c r="H470" t="inlineStr">
        <is>
          <t>bb</t>
        </is>
      </c>
      <c r="K470" t="inlineStr">
        <is>
          <t>20250617-12</t>
        </is>
      </c>
    </row>
    <row r="471">
      <c r="A471" t="n">
        <v>2</v>
      </c>
      <c r="B471" t="inlineStr">
        <is>
          <t>EPA1633 &amp; diPAPs Calibration 0.02 ppb</t>
        </is>
      </c>
      <c r="D471" t="n">
        <v>7.77</v>
      </c>
      <c r="E471" t="n">
        <v>321.57</v>
      </c>
      <c r="F471" t="n">
        <v>225.366</v>
      </c>
      <c r="G471" t="n">
        <v>82.45699999999999</v>
      </c>
      <c r="H471" t="inlineStr">
        <is>
          <t>bb</t>
        </is>
      </c>
      <c r="K471" t="inlineStr">
        <is>
          <t>20250617-13</t>
        </is>
      </c>
    </row>
    <row r="472">
      <c r="A472" t="n">
        <v>3</v>
      </c>
      <c r="B472" t="inlineStr">
        <is>
          <t>EPA1633 &amp; diPAPs Calibration 0.1 ppb</t>
        </is>
      </c>
      <c r="D472" t="n">
        <v>7.78</v>
      </c>
      <c r="E472" t="n">
        <v>581.802</v>
      </c>
      <c r="F472" t="n">
        <v>255.999</v>
      </c>
      <c r="G472" t="n">
        <v>24.589</v>
      </c>
      <c r="H472" t="inlineStr">
        <is>
          <t>bb</t>
        </is>
      </c>
      <c r="K472" t="inlineStr">
        <is>
          <t>20250617-14</t>
        </is>
      </c>
    </row>
    <row r="473">
      <c r="A473" t="n">
        <v>4</v>
      </c>
      <c r="B473" t="inlineStr">
        <is>
          <t>EPA1633 &amp; diPAPs Calibration 0.4 ppb</t>
        </is>
      </c>
      <c r="D473" t="n">
        <v>7.78</v>
      </c>
      <c r="E473" t="n">
        <v>969.558</v>
      </c>
      <c r="F473" t="n">
        <v>249.341</v>
      </c>
      <c r="G473" t="n">
        <v>433.738</v>
      </c>
      <c r="H473" t="inlineStr">
        <is>
          <t>bb</t>
        </is>
      </c>
      <c r="K473" t="inlineStr">
        <is>
          <t>20250617-15</t>
        </is>
      </c>
    </row>
    <row r="474">
      <c r="A474" t="n">
        <v>5</v>
      </c>
      <c r="B474" t="inlineStr">
        <is>
          <t>EPA1633 &amp; diPAPs Calibration 1 ppb</t>
        </is>
      </c>
      <c r="D474" t="n">
        <v>7.78</v>
      </c>
      <c r="E474" t="n">
        <v>3219.366</v>
      </c>
      <c r="F474" t="n">
        <v>256.233</v>
      </c>
      <c r="G474" t="n">
        <v>334.223</v>
      </c>
      <c r="H474" t="inlineStr">
        <is>
          <t>bb</t>
        </is>
      </c>
      <c r="K474" t="inlineStr">
        <is>
          <t>20250617-16</t>
        </is>
      </c>
    </row>
    <row r="475">
      <c r="A475" t="n">
        <v>6</v>
      </c>
      <c r="B475" t="inlineStr">
        <is>
          <t>EPA1633 &amp; diPAPs Calibration 5 ppb</t>
        </is>
      </c>
      <c r="D475" t="n">
        <v>7.79</v>
      </c>
      <c r="E475" t="n">
        <v>3551.033</v>
      </c>
      <c r="F475" t="n">
        <v>272.698</v>
      </c>
      <c r="G475" t="n">
        <v>329.403</v>
      </c>
      <c r="H475" t="inlineStr">
        <is>
          <t>bb</t>
        </is>
      </c>
      <c r="K475" t="inlineStr">
        <is>
          <t>20250617-17</t>
        </is>
      </c>
    </row>
    <row r="476">
      <c r="A476" t="n">
        <v>7</v>
      </c>
      <c r="B476" t="inlineStr">
        <is>
          <t>EPA1633 &amp; diPAPs Calibration 10 ppb</t>
        </is>
      </c>
      <c r="D476" t="n">
        <v>7.8</v>
      </c>
      <c r="E476" t="n">
        <v>5999.762</v>
      </c>
      <c r="F476" t="n">
        <v>229.316</v>
      </c>
      <c r="G476" t="n">
        <v>420.253</v>
      </c>
      <c r="H476" t="inlineStr">
        <is>
          <t>bb</t>
        </is>
      </c>
      <c r="K476" t="inlineStr">
        <is>
          <t>20250617-18</t>
        </is>
      </c>
    </row>
    <row r="477">
      <c r="A477" t="n">
        <v>8</v>
      </c>
      <c r="B477" t="inlineStr">
        <is>
          <t>EPA1633 &amp; diPAPs Calibration 20 ppb</t>
        </is>
      </c>
      <c r="D477" t="n">
        <v>7.79</v>
      </c>
      <c r="E477" t="n">
        <v>3062.484</v>
      </c>
      <c r="F477" t="n">
        <v>45.687</v>
      </c>
      <c r="G477" t="n">
        <v>287.027</v>
      </c>
      <c r="H477" t="inlineStr">
        <is>
          <t>bb</t>
        </is>
      </c>
      <c r="K477" t="inlineStr">
        <is>
          <t>20250617-19</t>
        </is>
      </c>
    </row>
    <row r="478">
      <c r="A478" t="n">
        <v>9</v>
      </c>
      <c r="B478" t="inlineStr">
        <is>
          <t>MeOH</t>
        </is>
      </c>
      <c r="H478" t="inlineStr">
        <is>
          <t>MM-</t>
        </is>
      </c>
      <c r="K478" t="inlineStr">
        <is>
          <t>20250617-20</t>
        </is>
      </c>
    </row>
    <row r="479">
      <c r="A479" t="n">
        <v>10</v>
      </c>
      <c r="B479" t="inlineStr">
        <is>
          <t>MeOH</t>
        </is>
      </c>
      <c r="H479" t="inlineStr">
        <is>
          <t>MM-</t>
        </is>
      </c>
      <c r="K479" t="inlineStr">
        <is>
          <t>20250617-21</t>
        </is>
      </c>
    </row>
    <row r="480">
      <c r="A480" t="n">
        <v>11</v>
      </c>
      <c r="B480" t="inlineStr">
        <is>
          <t>SB1</t>
        </is>
      </c>
      <c r="D480" t="n">
        <v>7.81</v>
      </c>
      <c r="E480" t="n">
        <v>10.744</v>
      </c>
      <c r="F480" t="n">
        <v>110.635</v>
      </c>
      <c r="G480" t="n">
        <v>130</v>
      </c>
      <c r="H480" t="inlineStr">
        <is>
          <t>bb</t>
        </is>
      </c>
      <c r="K480" t="inlineStr">
        <is>
          <t>20250617-22</t>
        </is>
      </c>
    </row>
    <row r="481">
      <c r="A481" t="n">
        <v>12</v>
      </c>
      <c r="B481" t="inlineStr">
        <is>
          <t>SB2</t>
        </is>
      </c>
      <c r="D481" t="n">
        <v>7.82</v>
      </c>
      <c r="E481" t="n">
        <v>18.788</v>
      </c>
      <c r="F481" t="n">
        <v>91.488</v>
      </c>
      <c r="G481" t="n">
        <v>3.486</v>
      </c>
      <c r="H481" t="inlineStr">
        <is>
          <t>bb</t>
        </is>
      </c>
      <c r="K481" t="inlineStr">
        <is>
          <t>20250617-23</t>
        </is>
      </c>
    </row>
    <row r="482">
      <c r="A482" t="n">
        <v>13</v>
      </c>
      <c r="B482" t="inlineStr">
        <is>
          <t>SB3</t>
        </is>
      </c>
      <c r="D482" t="n">
        <v>7.83</v>
      </c>
      <c r="E482" t="n">
        <v>0.082</v>
      </c>
      <c r="F482" t="n">
        <v>98.111</v>
      </c>
      <c r="G482" t="n">
        <v>0.228</v>
      </c>
      <c r="H482" t="inlineStr">
        <is>
          <t>MM</t>
        </is>
      </c>
      <c r="K482" t="inlineStr">
        <is>
          <t>20250617-24</t>
        </is>
      </c>
    </row>
    <row r="483">
      <c r="A483" t="n">
        <v>14</v>
      </c>
      <c r="B483" t="inlineStr">
        <is>
          <t>SS1</t>
        </is>
      </c>
      <c r="D483" t="n">
        <v>7.82</v>
      </c>
      <c r="E483" t="n">
        <v>695.87</v>
      </c>
      <c r="F483" t="n">
        <v>74.13</v>
      </c>
      <c r="G483" t="n">
        <v>17.664</v>
      </c>
      <c r="H483" t="inlineStr">
        <is>
          <t>bb</t>
        </is>
      </c>
      <c r="K483" t="inlineStr">
        <is>
          <t>20250617-25</t>
        </is>
      </c>
    </row>
    <row r="484">
      <c r="A484" t="n">
        <v>15</v>
      </c>
      <c r="B484" t="inlineStr">
        <is>
          <t>SS2</t>
        </is>
      </c>
      <c r="D484" t="n">
        <v>7.82</v>
      </c>
      <c r="E484" t="n">
        <v>701.524</v>
      </c>
      <c r="F484" t="n">
        <v>101.72</v>
      </c>
      <c r="G484" t="n">
        <v>48.461</v>
      </c>
      <c r="H484" t="inlineStr">
        <is>
          <t>bb</t>
        </is>
      </c>
      <c r="K484" t="inlineStr">
        <is>
          <t>20250617-26</t>
        </is>
      </c>
    </row>
    <row r="485">
      <c r="A485" t="n">
        <v>16</v>
      </c>
      <c r="B485" t="inlineStr">
        <is>
          <t>SS3</t>
        </is>
      </c>
      <c r="D485" t="n">
        <v>7.83</v>
      </c>
      <c r="E485" t="n">
        <v>805.66</v>
      </c>
      <c r="F485" t="n">
        <v>89.792</v>
      </c>
      <c r="G485" t="n">
        <v>6712</v>
      </c>
      <c r="H485" t="inlineStr">
        <is>
          <t>bb</t>
        </is>
      </c>
      <c r="K485" t="inlineStr">
        <is>
          <t>20250617-27</t>
        </is>
      </c>
    </row>
    <row r="486">
      <c r="A486" t="n">
        <v>17</v>
      </c>
      <c r="B486" t="inlineStr">
        <is>
          <t>MeOH</t>
        </is>
      </c>
      <c r="H486" t="inlineStr">
        <is>
          <t>MM-</t>
        </is>
      </c>
      <c r="K486" t="inlineStr">
        <is>
          <t>20250617-28</t>
        </is>
      </c>
    </row>
    <row r="487">
      <c r="A487" t="n">
        <v>18</v>
      </c>
      <c r="B487" t="inlineStr">
        <is>
          <t>K4-5A</t>
        </is>
      </c>
      <c r="D487" t="n">
        <v>7.91</v>
      </c>
      <c r="E487" t="n">
        <v>10.055</v>
      </c>
      <c r="F487" t="n">
        <v>90.40600000000001</v>
      </c>
      <c r="G487" t="n">
        <v>58.553</v>
      </c>
      <c r="H487" t="inlineStr">
        <is>
          <t>bb</t>
        </is>
      </c>
      <c r="K487" t="inlineStr">
        <is>
          <t>20250617-29</t>
        </is>
      </c>
    </row>
    <row r="488">
      <c r="A488" t="n">
        <v>19</v>
      </c>
      <c r="B488" t="inlineStr">
        <is>
          <t>K4-5B</t>
        </is>
      </c>
      <c r="D488" t="n">
        <v>7.9</v>
      </c>
      <c r="E488" t="n">
        <v>4.071</v>
      </c>
      <c r="F488" t="n">
        <v>89.22799999999999</v>
      </c>
      <c r="G488" t="n">
        <v>3.318</v>
      </c>
      <c r="H488" t="inlineStr">
        <is>
          <t>bb</t>
        </is>
      </c>
      <c r="K488" t="inlineStr">
        <is>
          <t>20250617-30</t>
        </is>
      </c>
    </row>
    <row r="489">
      <c r="A489" t="n">
        <v>20</v>
      </c>
      <c r="B489" t="inlineStr">
        <is>
          <t>K4-5C</t>
        </is>
      </c>
      <c r="D489" t="n">
        <v>7.86</v>
      </c>
      <c r="E489" t="n">
        <v>12.937</v>
      </c>
      <c r="F489" t="n">
        <v>74.886</v>
      </c>
      <c r="G489" t="n">
        <v>182</v>
      </c>
      <c r="H489" t="inlineStr">
        <is>
          <t>bb</t>
        </is>
      </c>
      <c r="K489" t="inlineStr">
        <is>
          <t>20250617-31</t>
        </is>
      </c>
    </row>
    <row r="490">
      <c r="A490" t="n">
        <v>21</v>
      </c>
      <c r="B490" t="inlineStr">
        <is>
          <t>MeOH</t>
        </is>
      </c>
      <c r="D490" t="n">
        <v>7.85</v>
      </c>
      <c r="E490" t="n">
        <v>12.286</v>
      </c>
      <c r="G490" t="n">
        <v>154</v>
      </c>
      <c r="H490" t="inlineStr">
        <is>
          <t>bb</t>
        </is>
      </c>
      <c r="K490" t="inlineStr">
        <is>
          <t>20250617-32</t>
        </is>
      </c>
    </row>
    <row r="491">
      <c r="A491" t="n">
        <v>22</v>
      </c>
      <c r="B491" t="inlineStr">
        <is>
          <t>K3-1A</t>
        </is>
      </c>
      <c r="F491" t="n">
        <v>113.907</v>
      </c>
      <c r="K491" t="inlineStr">
        <is>
          <t>20250617-33</t>
        </is>
      </c>
    </row>
    <row r="492">
      <c r="A492" t="n">
        <v>23</v>
      </c>
      <c r="B492" t="inlineStr">
        <is>
          <t>K3-1B</t>
        </is>
      </c>
      <c r="D492" t="n">
        <v>7.87</v>
      </c>
      <c r="E492" t="n">
        <v>43.366</v>
      </c>
      <c r="F492" t="n">
        <v>74.749</v>
      </c>
      <c r="G492" t="n">
        <v>3.496</v>
      </c>
      <c r="H492" t="inlineStr">
        <is>
          <t>MM</t>
        </is>
      </c>
      <c r="K492" t="inlineStr">
        <is>
          <t>20250617-34</t>
        </is>
      </c>
    </row>
    <row r="493">
      <c r="A493" t="n">
        <v>24</v>
      </c>
      <c r="B493" t="inlineStr">
        <is>
          <t>K3-1C</t>
        </is>
      </c>
      <c r="D493" t="n">
        <v>7.89</v>
      </c>
      <c r="E493" t="n">
        <v>4.805</v>
      </c>
      <c r="F493" t="n">
        <v>57.963</v>
      </c>
      <c r="G493" t="n">
        <v>5.356</v>
      </c>
      <c r="H493" t="inlineStr">
        <is>
          <t>bb</t>
        </is>
      </c>
      <c r="K493" t="inlineStr">
        <is>
          <t>20250617-35</t>
        </is>
      </c>
    </row>
    <row r="494">
      <c r="A494" t="n">
        <v>25</v>
      </c>
      <c r="B494" t="inlineStr">
        <is>
          <t>K3-2A</t>
        </is>
      </c>
      <c r="D494" t="n">
        <v>7.87</v>
      </c>
      <c r="E494" t="n">
        <v>0.635</v>
      </c>
      <c r="F494" t="n">
        <v>86.604</v>
      </c>
      <c r="G494" t="n">
        <v>9</v>
      </c>
      <c r="H494" t="inlineStr">
        <is>
          <t>bb</t>
        </is>
      </c>
      <c r="K494" t="inlineStr">
        <is>
          <t>20250617-36</t>
        </is>
      </c>
    </row>
    <row r="495">
      <c r="A495" t="n">
        <v>26</v>
      </c>
      <c r="B495" t="inlineStr">
        <is>
          <t>K3-2B</t>
        </is>
      </c>
      <c r="D495" t="n">
        <v>7.68</v>
      </c>
      <c r="E495" t="n">
        <v>0.236</v>
      </c>
      <c r="F495" t="n">
        <v>75.304</v>
      </c>
      <c r="G495" t="n">
        <v>3</v>
      </c>
      <c r="H495" t="inlineStr">
        <is>
          <t>MM</t>
        </is>
      </c>
      <c r="K495" t="inlineStr">
        <is>
          <t>20250617-37</t>
        </is>
      </c>
    </row>
    <row r="496">
      <c r="A496" t="n">
        <v>27</v>
      </c>
      <c r="B496" t="inlineStr">
        <is>
          <t>K3-2C</t>
        </is>
      </c>
      <c r="D496" t="n">
        <v>8.140000000000001</v>
      </c>
      <c r="E496" t="n">
        <v>0.9</v>
      </c>
      <c r="F496" t="n">
        <v>74.127</v>
      </c>
      <c r="G496" t="n">
        <v>12</v>
      </c>
      <c r="H496" t="inlineStr">
        <is>
          <t>bb</t>
        </is>
      </c>
      <c r="K496" t="inlineStr">
        <is>
          <t>20250617-38</t>
        </is>
      </c>
    </row>
    <row r="497">
      <c r="A497" t="n">
        <v>28</v>
      </c>
      <c r="B497" t="inlineStr">
        <is>
          <t>MeOH</t>
        </is>
      </c>
      <c r="H497" t="inlineStr">
        <is>
          <t>MM-</t>
        </is>
      </c>
      <c r="K497" t="inlineStr">
        <is>
          <t>20250617-39</t>
        </is>
      </c>
    </row>
    <row r="498">
      <c r="A498" t="n">
        <v>29</v>
      </c>
      <c r="B498" t="inlineStr">
        <is>
          <t>K3-3A</t>
        </is>
      </c>
      <c r="D498" t="n">
        <v>7.9</v>
      </c>
      <c r="E498" t="n">
        <v>0.063</v>
      </c>
      <c r="F498" t="n">
        <v>101.84</v>
      </c>
      <c r="G498" t="n">
        <v>1</v>
      </c>
      <c r="H498" t="inlineStr">
        <is>
          <t>MM</t>
        </is>
      </c>
      <c r="K498" t="inlineStr">
        <is>
          <t>20250617-40</t>
        </is>
      </c>
    </row>
    <row r="499">
      <c r="A499" t="n">
        <v>30</v>
      </c>
      <c r="B499" t="inlineStr">
        <is>
          <t>K3-3B</t>
        </is>
      </c>
      <c r="D499" t="n">
        <v>7.91</v>
      </c>
      <c r="E499" t="n">
        <v>0.218</v>
      </c>
      <c r="F499" t="n">
        <v>96.505</v>
      </c>
      <c r="G499" t="n">
        <v>3</v>
      </c>
      <c r="H499" t="inlineStr">
        <is>
          <t>bb</t>
        </is>
      </c>
      <c r="K499" t="inlineStr">
        <is>
          <t>20250617-41</t>
        </is>
      </c>
    </row>
    <row r="500">
      <c r="A500" t="n">
        <v>31</v>
      </c>
      <c r="B500" t="inlineStr">
        <is>
          <t>K3-3C</t>
        </is>
      </c>
      <c r="D500" t="n">
        <v>7.69</v>
      </c>
      <c r="E500" t="n">
        <v>1.17</v>
      </c>
      <c r="F500" t="n">
        <v>116.668</v>
      </c>
      <c r="G500" t="n">
        <v>17</v>
      </c>
      <c r="H500" t="inlineStr">
        <is>
          <t>bb</t>
        </is>
      </c>
      <c r="K500" t="inlineStr">
        <is>
          <t>20250617-42</t>
        </is>
      </c>
    </row>
    <row r="501">
      <c r="A501" t="n">
        <v>32</v>
      </c>
      <c r="B501" t="inlineStr">
        <is>
          <t>K3-4A</t>
        </is>
      </c>
      <c r="D501" t="n">
        <v>7.88</v>
      </c>
      <c r="E501" t="n">
        <v>1.333</v>
      </c>
      <c r="F501" t="n">
        <v>95.196</v>
      </c>
      <c r="G501" t="n">
        <v>8.098000000000001</v>
      </c>
      <c r="H501" t="inlineStr">
        <is>
          <t>bb</t>
        </is>
      </c>
      <c r="K501" t="inlineStr">
        <is>
          <t>20250617-43</t>
        </is>
      </c>
    </row>
    <row r="502">
      <c r="A502" t="n">
        <v>33</v>
      </c>
      <c r="B502" t="inlineStr">
        <is>
          <t>K3-4B</t>
        </is>
      </c>
      <c r="D502" t="n">
        <v>6.57</v>
      </c>
      <c r="E502" t="n">
        <v>0.677</v>
      </c>
      <c r="F502" t="n">
        <v>52.646</v>
      </c>
      <c r="G502" t="n">
        <v>12</v>
      </c>
      <c r="H502" t="inlineStr">
        <is>
          <t>bb</t>
        </is>
      </c>
      <c r="K502" t="inlineStr">
        <is>
          <t>20250617-44</t>
        </is>
      </c>
    </row>
    <row r="503">
      <c r="A503" t="n">
        <v>34</v>
      </c>
      <c r="B503" t="inlineStr">
        <is>
          <t>K3-4C</t>
        </is>
      </c>
      <c r="D503" t="n">
        <v>6.76</v>
      </c>
      <c r="E503" t="n">
        <v>3.929</v>
      </c>
      <c r="F503" t="n">
        <v>62.052</v>
      </c>
      <c r="G503" t="n">
        <v>74</v>
      </c>
      <c r="H503" t="inlineStr">
        <is>
          <t>bb</t>
        </is>
      </c>
      <c r="K503" t="inlineStr">
        <is>
          <t>20250617-45</t>
        </is>
      </c>
    </row>
    <row r="504">
      <c r="A504" t="n">
        <v>35</v>
      </c>
      <c r="B504" t="inlineStr">
        <is>
          <t>MeOH</t>
        </is>
      </c>
      <c r="H504" t="inlineStr">
        <is>
          <t>MM-</t>
        </is>
      </c>
      <c r="K504" t="inlineStr">
        <is>
          <t>20250617-46</t>
        </is>
      </c>
    </row>
    <row r="505">
      <c r="A505" t="n">
        <v>36</v>
      </c>
      <c r="B505" t="inlineStr">
        <is>
          <t>K3-6A</t>
        </is>
      </c>
      <c r="F505" t="n">
        <v>93.878</v>
      </c>
      <c r="K505" t="inlineStr">
        <is>
          <t>20250617-47</t>
        </is>
      </c>
    </row>
    <row r="506">
      <c r="A506" t="n">
        <v>37</v>
      </c>
      <c r="B506" t="inlineStr">
        <is>
          <t>K3-6B</t>
        </is>
      </c>
      <c r="D506" t="n">
        <v>8.82</v>
      </c>
      <c r="E506" t="n">
        <v>0.654</v>
      </c>
      <c r="F506" t="n">
        <v>67.396</v>
      </c>
      <c r="G506" t="n">
        <v>8</v>
      </c>
      <c r="H506" t="inlineStr">
        <is>
          <t>MM</t>
        </is>
      </c>
      <c r="K506" t="inlineStr">
        <is>
          <t>20250617-48</t>
        </is>
      </c>
    </row>
    <row r="507">
      <c r="A507" t="n">
        <v>38</v>
      </c>
      <c r="B507" t="inlineStr">
        <is>
          <t>K3-6C</t>
        </is>
      </c>
      <c r="D507" t="n">
        <v>8.56</v>
      </c>
      <c r="E507" t="n">
        <v>5.7</v>
      </c>
      <c r="F507" t="n">
        <v>117.664</v>
      </c>
      <c r="G507" t="n">
        <v>78</v>
      </c>
      <c r="H507" t="inlineStr">
        <is>
          <t>bb</t>
        </is>
      </c>
      <c r="K507" t="inlineStr">
        <is>
          <t>20250617-49</t>
        </is>
      </c>
    </row>
    <row r="509">
      <c r="A509" t="inlineStr">
        <is>
          <t>Compound 13:  m2 8:2 monoPAP 1</t>
        </is>
      </c>
    </row>
    <row r="511">
      <c r="B511" t="inlineStr">
        <is>
          <t>Sample Text</t>
        </is>
      </c>
      <c r="C511" t="inlineStr">
        <is>
          <t>Std. Conc</t>
        </is>
      </c>
      <c r="D511" t="inlineStr">
        <is>
          <t>RT</t>
        </is>
      </c>
      <c r="E511" t="inlineStr">
        <is>
          <t>Area</t>
        </is>
      </c>
      <c r="F511" t="inlineStr">
        <is>
          <t>IS Area</t>
        </is>
      </c>
      <c r="G511" t="inlineStr">
        <is>
          <t>S/N</t>
        </is>
      </c>
      <c r="H511" t="inlineStr">
        <is>
          <t>Primary Flags</t>
        </is>
      </c>
      <c r="I511" t="inlineStr">
        <is>
          <t>Response</t>
        </is>
      </c>
      <c r="J511" t="inlineStr">
        <is>
          <t>Conc.</t>
        </is>
      </c>
      <c r="K511" t="inlineStr">
        <is>
          <t>Name</t>
        </is>
      </c>
    </row>
    <row r="512">
      <c r="A512" t="n">
        <v>1</v>
      </c>
      <c r="B512" t="inlineStr">
        <is>
          <t>EPA1633 &amp; diPAPs Calibration 0 ppb</t>
        </is>
      </c>
      <c r="D512" t="n">
        <v>7.77</v>
      </c>
      <c r="E512" t="n">
        <v>1227.559</v>
      </c>
      <c r="G512" t="n">
        <v>66.938</v>
      </c>
      <c r="H512" t="inlineStr">
        <is>
          <t>bb</t>
        </is>
      </c>
      <c r="I512" t="n">
        <v>1227.559</v>
      </c>
      <c r="K512" t="inlineStr">
        <is>
          <t>20250617-12</t>
        </is>
      </c>
    </row>
    <row r="513">
      <c r="A513" t="n">
        <v>2</v>
      </c>
      <c r="B513" t="inlineStr">
        <is>
          <t>EPA1633 &amp; diPAPs Calibration 0.02 ppb</t>
        </is>
      </c>
      <c r="D513" t="n">
        <v>7.77</v>
      </c>
      <c r="E513" t="n">
        <v>1045.628</v>
      </c>
      <c r="G513" t="n">
        <v>71.55</v>
      </c>
      <c r="H513" t="inlineStr">
        <is>
          <t>bb</t>
        </is>
      </c>
      <c r="I513" t="n">
        <v>1045.628</v>
      </c>
      <c r="K513" t="inlineStr">
        <is>
          <t>20250617-13</t>
        </is>
      </c>
    </row>
    <row r="514">
      <c r="A514" t="n">
        <v>3</v>
      </c>
      <c r="B514" t="inlineStr">
        <is>
          <t>EPA1633 &amp; diPAPs Calibration 0.1 ppb</t>
        </is>
      </c>
      <c r="D514" t="n">
        <v>7.77</v>
      </c>
      <c r="E514" t="n">
        <v>1280.389</v>
      </c>
      <c r="G514" t="n">
        <v>75.843</v>
      </c>
      <c r="H514" t="inlineStr">
        <is>
          <t>bb</t>
        </is>
      </c>
      <c r="I514" t="n">
        <v>1280.389</v>
      </c>
      <c r="K514" t="inlineStr">
        <is>
          <t>20250617-14</t>
        </is>
      </c>
    </row>
    <row r="515">
      <c r="A515" t="n">
        <v>4</v>
      </c>
      <c r="B515" t="inlineStr">
        <is>
          <t>EPA1633 &amp; diPAPs Calibration 0.4 ppb</t>
        </is>
      </c>
      <c r="D515" t="n">
        <v>7.79</v>
      </c>
      <c r="E515" t="n">
        <v>1133.632</v>
      </c>
      <c r="G515" t="n">
        <v>72.761</v>
      </c>
      <c r="H515" t="inlineStr">
        <is>
          <t>bb</t>
        </is>
      </c>
      <c r="I515" t="n">
        <v>1133.632</v>
      </c>
      <c r="K515" t="inlineStr">
        <is>
          <t>20250617-15</t>
        </is>
      </c>
    </row>
    <row r="516">
      <c r="A516" t="n">
        <v>5</v>
      </c>
      <c r="B516" t="inlineStr">
        <is>
          <t>EPA1633 &amp; diPAPs Calibration 1 ppb</t>
        </is>
      </c>
      <c r="D516" t="n">
        <v>7.79</v>
      </c>
      <c r="E516" t="n">
        <v>1430.277</v>
      </c>
      <c r="G516" t="n">
        <v>108.738</v>
      </c>
      <c r="H516" t="inlineStr">
        <is>
          <t>bb</t>
        </is>
      </c>
      <c r="I516" t="n">
        <v>1430.277</v>
      </c>
      <c r="K516" t="inlineStr">
        <is>
          <t>20250617-16</t>
        </is>
      </c>
    </row>
    <row r="517">
      <c r="A517" t="n">
        <v>6</v>
      </c>
      <c r="B517" t="inlineStr">
        <is>
          <t>EPA1633 &amp; diPAPs Calibration 5 ppb</t>
        </is>
      </c>
      <c r="D517" t="n">
        <v>7.79</v>
      </c>
      <c r="E517" t="n">
        <v>965.196</v>
      </c>
      <c r="G517" t="n">
        <v>95.072</v>
      </c>
      <c r="H517" t="inlineStr">
        <is>
          <t>bb</t>
        </is>
      </c>
      <c r="I517" t="n">
        <v>965.196</v>
      </c>
      <c r="K517" t="inlineStr">
        <is>
          <t>20250617-17</t>
        </is>
      </c>
    </row>
    <row r="518">
      <c r="A518" t="n">
        <v>7</v>
      </c>
      <c r="B518" t="inlineStr">
        <is>
          <t>EPA1633 &amp; diPAPs Calibration 10 ppb</t>
        </is>
      </c>
      <c r="D518" t="n">
        <v>7.79</v>
      </c>
      <c r="E518" t="n">
        <v>990.528</v>
      </c>
      <c r="G518" t="n">
        <v>29.95</v>
      </c>
      <c r="H518" t="inlineStr">
        <is>
          <t>bb</t>
        </is>
      </c>
      <c r="I518" t="n">
        <v>990.528</v>
      </c>
      <c r="K518" t="inlineStr">
        <is>
          <t>20250617-18</t>
        </is>
      </c>
    </row>
    <row r="519">
      <c r="A519" t="n">
        <v>8</v>
      </c>
      <c r="B519" t="inlineStr">
        <is>
          <t>EPA1633 &amp; diPAPs Calibration 20 ppb</t>
        </is>
      </c>
      <c r="D519" t="n">
        <v>7.79</v>
      </c>
      <c r="E519" t="n">
        <v>107.462</v>
      </c>
      <c r="G519" t="n">
        <v>10.205</v>
      </c>
      <c r="H519" t="inlineStr">
        <is>
          <t>MM</t>
        </is>
      </c>
      <c r="I519" t="n">
        <v>107.462</v>
      </c>
      <c r="K519" t="inlineStr">
        <is>
          <t>20250617-19</t>
        </is>
      </c>
    </row>
    <row r="520">
      <c r="A520" t="n">
        <v>9</v>
      </c>
      <c r="B520" t="inlineStr">
        <is>
          <t>MeOH</t>
        </is>
      </c>
      <c r="H520" t="inlineStr">
        <is>
          <t>MM-</t>
        </is>
      </c>
      <c r="K520" t="inlineStr">
        <is>
          <t>20250617-20</t>
        </is>
      </c>
    </row>
    <row r="521">
      <c r="A521" t="n">
        <v>10</v>
      </c>
      <c r="B521" t="inlineStr">
        <is>
          <t>MeOH</t>
        </is>
      </c>
      <c r="H521" t="inlineStr">
        <is>
          <t>MM-</t>
        </is>
      </c>
      <c r="K521" t="inlineStr">
        <is>
          <t>20250617-21</t>
        </is>
      </c>
    </row>
    <row r="522">
      <c r="A522" t="n">
        <v>11</v>
      </c>
      <c r="B522" t="inlineStr">
        <is>
          <t>SB1</t>
        </is>
      </c>
      <c r="D522" t="n">
        <v>7.81</v>
      </c>
      <c r="E522" t="n">
        <v>642.432</v>
      </c>
      <c r="G522" t="n">
        <v>42.324</v>
      </c>
      <c r="H522" t="inlineStr">
        <is>
          <t>MM</t>
        </is>
      </c>
      <c r="I522" t="n">
        <v>642.432</v>
      </c>
      <c r="K522" t="inlineStr">
        <is>
          <t>20250617-22</t>
        </is>
      </c>
    </row>
    <row r="523">
      <c r="A523" t="n">
        <v>12</v>
      </c>
      <c r="B523" t="inlineStr">
        <is>
          <t>SB2</t>
        </is>
      </c>
      <c r="D523" t="n">
        <v>7.82</v>
      </c>
      <c r="E523" t="n">
        <v>524.691</v>
      </c>
      <c r="G523" t="n">
        <v>13.139</v>
      </c>
      <c r="H523" t="inlineStr">
        <is>
          <t>MM</t>
        </is>
      </c>
      <c r="I523" t="n">
        <v>524.691</v>
      </c>
      <c r="K523" t="inlineStr">
        <is>
          <t>20250617-23</t>
        </is>
      </c>
    </row>
    <row r="524">
      <c r="A524" t="n">
        <v>13</v>
      </c>
      <c r="B524" t="inlineStr">
        <is>
          <t>SB3</t>
        </is>
      </c>
      <c r="D524" t="n">
        <v>7.8</v>
      </c>
      <c r="E524" t="n">
        <v>583.399</v>
      </c>
      <c r="G524" t="n">
        <v>42.435</v>
      </c>
      <c r="H524" t="inlineStr">
        <is>
          <t>MM</t>
        </is>
      </c>
      <c r="I524" t="n">
        <v>583.399</v>
      </c>
      <c r="K524" t="inlineStr">
        <is>
          <t>20250617-24</t>
        </is>
      </c>
    </row>
    <row r="525">
      <c r="A525" t="n">
        <v>14</v>
      </c>
      <c r="B525" t="inlineStr">
        <is>
          <t>SS1</t>
        </is>
      </c>
      <c r="D525" t="n">
        <v>7.83</v>
      </c>
      <c r="E525" t="n">
        <v>504.42</v>
      </c>
      <c r="G525" t="n">
        <v>27.454</v>
      </c>
      <c r="H525" t="inlineStr">
        <is>
          <t>MM</t>
        </is>
      </c>
      <c r="I525" t="n">
        <v>504.42</v>
      </c>
      <c r="K525" t="inlineStr">
        <is>
          <t>20250617-25</t>
        </is>
      </c>
    </row>
    <row r="526">
      <c r="A526" t="n">
        <v>15</v>
      </c>
      <c r="B526" t="inlineStr">
        <is>
          <t>SS2</t>
        </is>
      </c>
      <c r="D526" t="n">
        <v>7.82</v>
      </c>
      <c r="E526" t="n">
        <v>614.583</v>
      </c>
      <c r="G526" t="n">
        <v>39.125</v>
      </c>
      <c r="H526" t="inlineStr">
        <is>
          <t>MM</t>
        </is>
      </c>
      <c r="I526" t="n">
        <v>614.583</v>
      </c>
      <c r="K526" t="inlineStr">
        <is>
          <t>20250617-26</t>
        </is>
      </c>
    </row>
    <row r="527">
      <c r="A527" t="n">
        <v>16</v>
      </c>
      <c r="B527" t="inlineStr">
        <is>
          <t>SS3</t>
        </is>
      </c>
      <c r="D527" t="n">
        <v>7.83</v>
      </c>
      <c r="E527" t="n">
        <v>590.708</v>
      </c>
      <c r="G527" t="n">
        <v>42.115</v>
      </c>
      <c r="H527" t="inlineStr">
        <is>
          <t>MM</t>
        </is>
      </c>
      <c r="I527" t="n">
        <v>590.708</v>
      </c>
      <c r="K527" t="inlineStr">
        <is>
          <t>20250617-27</t>
        </is>
      </c>
    </row>
    <row r="528">
      <c r="A528" t="n">
        <v>17</v>
      </c>
      <c r="B528" t="inlineStr">
        <is>
          <t>MeOH</t>
        </is>
      </c>
      <c r="H528" t="inlineStr">
        <is>
          <t>MM-</t>
        </is>
      </c>
      <c r="K528" t="inlineStr">
        <is>
          <t>20250617-28</t>
        </is>
      </c>
    </row>
    <row r="529">
      <c r="A529" t="n">
        <v>18</v>
      </c>
      <c r="B529" t="inlineStr">
        <is>
          <t>K4-5A</t>
        </is>
      </c>
      <c r="D529" t="n">
        <v>7.86</v>
      </c>
      <c r="E529" t="n">
        <v>465.479</v>
      </c>
      <c r="G529" t="n">
        <v>35.904</v>
      </c>
      <c r="H529" t="inlineStr">
        <is>
          <t>MM</t>
        </is>
      </c>
      <c r="I529" t="n">
        <v>465.479</v>
      </c>
      <c r="K529" t="inlineStr">
        <is>
          <t>20250617-29</t>
        </is>
      </c>
    </row>
    <row r="530">
      <c r="A530" t="n">
        <v>19</v>
      </c>
      <c r="B530" t="inlineStr">
        <is>
          <t>K4-5B</t>
        </is>
      </c>
      <c r="D530" t="n">
        <v>7.88</v>
      </c>
      <c r="E530" t="n">
        <v>473.146</v>
      </c>
      <c r="G530" t="n">
        <v>23.31</v>
      </c>
      <c r="H530" t="inlineStr">
        <is>
          <t>MM</t>
        </is>
      </c>
      <c r="I530" t="n">
        <v>473.146</v>
      </c>
      <c r="K530" t="inlineStr">
        <is>
          <t>20250617-30</t>
        </is>
      </c>
    </row>
    <row r="531">
      <c r="A531" t="n">
        <v>20</v>
      </c>
      <c r="B531" t="inlineStr">
        <is>
          <t>K4-5C</t>
        </is>
      </c>
      <c r="D531" t="n">
        <v>7.89</v>
      </c>
      <c r="E531" t="n">
        <v>535.058</v>
      </c>
      <c r="G531" t="n">
        <v>68.98</v>
      </c>
      <c r="H531" t="inlineStr">
        <is>
          <t>MM</t>
        </is>
      </c>
      <c r="I531" t="n">
        <v>535.058</v>
      </c>
      <c r="K531" t="inlineStr">
        <is>
          <t>20250617-31</t>
        </is>
      </c>
    </row>
    <row r="532">
      <c r="A532" t="n">
        <v>21</v>
      </c>
      <c r="B532" t="inlineStr">
        <is>
          <t>MeOH</t>
        </is>
      </c>
      <c r="H532" t="inlineStr">
        <is>
          <t>MM-</t>
        </is>
      </c>
      <c r="K532" t="inlineStr">
        <is>
          <t>20250617-32</t>
        </is>
      </c>
    </row>
    <row r="533">
      <c r="A533" t="n">
        <v>22</v>
      </c>
      <c r="B533" t="inlineStr">
        <is>
          <t>K3-1A</t>
        </is>
      </c>
      <c r="D533" t="n">
        <v>7.88</v>
      </c>
      <c r="E533" t="n">
        <v>415.837</v>
      </c>
      <c r="G533" t="n">
        <v>33.896</v>
      </c>
      <c r="H533" t="inlineStr">
        <is>
          <t>MM</t>
        </is>
      </c>
      <c r="I533" t="n">
        <v>415.837</v>
      </c>
      <c r="K533" t="inlineStr">
        <is>
          <t>20250617-33</t>
        </is>
      </c>
    </row>
    <row r="534">
      <c r="A534" t="n">
        <v>23</v>
      </c>
      <c r="B534" t="inlineStr">
        <is>
          <t>K3-1B</t>
        </is>
      </c>
      <c r="D534" t="n">
        <v>7.87</v>
      </c>
      <c r="E534" t="n">
        <v>487.725</v>
      </c>
      <c r="G534" t="n">
        <v>25.975</v>
      </c>
      <c r="H534" t="inlineStr">
        <is>
          <t>MM</t>
        </is>
      </c>
      <c r="I534" t="n">
        <v>487.725</v>
      </c>
      <c r="K534" t="inlineStr">
        <is>
          <t>20250617-34</t>
        </is>
      </c>
    </row>
    <row r="535">
      <c r="A535" t="n">
        <v>24</v>
      </c>
      <c r="B535" t="inlineStr">
        <is>
          <t>K3-1C</t>
        </is>
      </c>
      <c r="D535" t="n">
        <v>7.87</v>
      </c>
      <c r="E535" t="n">
        <v>444.802</v>
      </c>
      <c r="G535" t="n">
        <v>26.715</v>
      </c>
      <c r="H535" t="inlineStr">
        <is>
          <t>MM</t>
        </is>
      </c>
      <c r="I535" t="n">
        <v>444.802</v>
      </c>
      <c r="K535" t="inlineStr">
        <is>
          <t>20250617-35</t>
        </is>
      </c>
    </row>
    <row r="536">
      <c r="A536" t="n">
        <v>25</v>
      </c>
      <c r="B536" t="inlineStr">
        <is>
          <t>K3-2A</t>
        </is>
      </c>
      <c r="D536" t="n">
        <v>7.86</v>
      </c>
      <c r="E536" t="n">
        <v>380.911</v>
      </c>
      <c r="G536" t="n">
        <v>21.178</v>
      </c>
      <c r="H536" t="inlineStr">
        <is>
          <t>MM</t>
        </is>
      </c>
      <c r="I536" t="n">
        <v>380.911</v>
      </c>
      <c r="K536" t="inlineStr">
        <is>
          <t>20250617-36</t>
        </is>
      </c>
    </row>
    <row r="537">
      <c r="A537" t="n">
        <v>26</v>
      </c>
      <c r="B537" t="inlineStr">
        <is>
          <t>K3-2B</t>
        </is>
      </c>
      <c r="D537" t="n">
        <v>7.87</v>
      </c>
      <c r="E537" t="n">
        <v>557.828</v>
      </c>
      <c r="G537" t="n">
        <v>22.782</v>
      </c>
      <c r="H537" t="inlineStr">
        <is>
          <t>MM</t>
        </is>
      </c>
      <c r="I537" t="n">
        <v>557.828</v>
      </c>
      <c r="K537" t="inlineStr">
        <is>
          <t>20250617-37</t>
        </is>
      </c>
    </row>
    <row r="538">
      <c r="A538" t="n">
        <v>27</v>
      </c>
      <c r="B538" t="inlineStr">
        <is>
          <t>K3-2C</t>
        </is>
      </c>
      <c r="D538" t="n">
        <v>7.87</v>
      </c>
      <c r="E538" t="n">
        <v>472.435</v>
      </c>
      <c r="G538" t="n">
        <v>27.801</v>
      </c>
      <c r="H538" t="inlineStr">
        <is>
          <t>MM</t>
        </is>
      </c>
      <c r="I538" t="n">
        <v>472.435</v>
      </c>
      <c r="K538" t="inlineStr">
        <is>
          <t>20250617-38</t>
        </is>
      </c>
    </row>
    <row r="539">
      <c r="A539" t="n">
        <v>28</v>
      </c>
      <c r="B539" t="inlineStr">
        <is>
          <t>MeOH</t>
        </is>
      </c>
      <c r="H539" t="inlineStr">
        <is>
          <t>MM-</t>
        </is>
      </c>
      <c r="K539" t="inlineStr">
        <is>
          <t>20250617-39</t>
        </is>
      </c>
    </row>
    <row r="540">
      <c r="A540" t="n">
        <v>29</v>
      </c>
      <c r="B540" t="inlineStr">
        <is>
          <t>K3-3A</t>
        </is>
      </c>
      <c r="D540" t="n">
        <v>7.89</v>
      </c>
      <c r="E540" t="n">
        <v>418.769</v>
      </c>
      <c r="G540" t="n">
        <v>36.392</v>
      </c>
      <c r="H540" t="inlineStr">
        <is>
          <t>MM</t>
        </is>
      </c>
      <c r="I540" t="n">
        <v>418.769</v>
      </c>
      <c r="K540" t="inlineStr">
        <is>
          <t>20250617-40</t>
        </is>
      </c>
    </row>
    <row r="541">
      <c r="A541" t="n">
        <v>30</v>
      </c>
      <c r="B541" t="inlineStr">
        <is>
          <t>K3-3B</t>
        </is>
      </c>
      <c r="D541" t="n">
        <v>7.89</v>
      </c>
      <c r="E541" t="n">
        <v>621.9160000000001</v>
      </c>
      <c r="G541" t="n">
        <v>25.249</v>
      </c>
      <c r="H541" t="inlineStr">
        <is>
          <t>MM</t>
        </is>
      </c>
      <c r="I541" t="n">
        <v>621.9160000000001</v>
      </c>
      <c r="K541" t="inlineStr">
        <is>
          <t>20250617-41</t>
        </is>
      </c>
    </row>
    <row r="542">
      <c r="A542" t="n">
        <v>31</v>
      </c>
      <c r="B542" t="inlineStr">
        <is>
          <t>K3-3C</t>
        </is>
      </c>
      <c r="D542" t="n">
        <v>7.88</v>
      </c>
      <c r="E542" t="n">
        <v>357.94</v>
      </c>
      <c r="G542" t="n">
        <v>28.279</v>
      </c>
      <c r="H542" t="inlineStr">
        <is>
          <t>MM</t>
        </is>
      </c>
      <c r="I542" t="n">
        <v>357.94</v>
      </c>
      <c r="K542" t="inlineStr">
        <is>
          <t>20250617-42</t>
        </is>
      </c>
    </row>
    <row r="543">
      <c r="A543" t="n">
        <v>32</v>
      </c>
      <c r="B543" t="inlineStr">
        <is>
          <t>K3-4A</t>
        </is>
      </c>
      <c r="D543" t="n">
        <v>7.87</v>
      </c>
      <c r="E543" t="n">
        <v>345.339</v>
      </c>
      <c r="G543" t="n">
        <v>27.866</v>
      </c>
      <c r="H543" t="inlineStr">
        <is>
          <t>MM</t>
        </is>
      </c>
      <c r="I543" t="n">
        <v>345.339</v>
      </c>
      <c r="K543" t="inlineStr">
        <is>
          <t>20250617-43</t>
        </is>
      </c>
    </row>
    <row r="544">
      <c r="A544" t="n">
        <v>33</v>
      </c>
      <c r="B544" t="inlineStr">
        <is>
          <t>K3-4B</t>
        </is>
      </c>
      <c r="D544" t="n">
        <v>7.86</v>
      </c>
      <c r="E544" t="n">
        <v>533.263</v>
      </c>
      <c r="G544" t="n">
        <v>16.54</v>
      </c>
      <c r="H544" t="inlineStr">
        <is>
          <t>MM</t>
        </is>
      </c>
      <c r="I544" t="n">
        <v>533.263</v>
      </c>
      <c r="K544" t="inlineStr">
        <is>
          <t>20250617-44</t>
        </is>
      </c>
    </row>
    <row r="545">
      <c r="A545" t="n">
        <v>34</v>
      </c>
      <c r="B545" t="inlineStr">
        <is>
          <t>K3-4C</t>
        </is>
      </c>
      <c r="D545" t="n">
        <v>7.86</v>
      </c>
      <c r="E545" t="n">
        <v>417.558</v>
      </c>
      <c r="G545" t="n">
        <v>21.065</v>
      </c>
      <c r="H545" t="inlineStr">
        <is>
          <t>MM</t>
        </is>
      </c>
      <c r="I545" t="n">
        <v>417.558</v>
      </c>
      <c r="K545" t="inlineStr">
        <is>
          <t>20250617-45</t>
        </is>
      </c>
    </row>
    <row r="546">
      <c r="A546" t="n">
        <v>35</v>
      </c>
      <c r="B546" t="inlineStr">
        <is>
          <t>MeOH</t>
        </is>
      </c>
      <c r="K546" t="inlineStr">
        <is>
          <t>20250617-46</t>
        </is>
      </c>
    </row>
    <row r="547">
      <c r="A547" t="n">
        <v>36</v>
      </c>
      <c r="B547" t="inlineStr">
        <is>
          <t>K3-6A</t>
        </is>
      </c>
      <c r="D547" t="n">
        <v>7.87</v>
      </c>
      <c r="E547" t="n">
        <v>353.045</v>
      </c>
      <c r="G547" t="n">
        <v>18.391</v>
      </c>
      <c r="H547" t="inlineStr">
        <is>
          <t>MM</t>
        </is>
      </c>
      <c r="I547" t="n">
        <v>353.045</v>
      </c>
      <c r="K547" t="inlineStr">
        <is>
          <t>20250617-47</t>
        </is>
      </c>
    </row>
    <row r="548">
      <c r="A548" t="n">
        <v>37</v>
      </c>
      <c r="B548" t="inlineStr">
        <is>
          <t>K3-6B</t>
        </is>
      </c>
      <c r="D548" t="n">
        <v>7.88</v>
      </c>
      <c r="E548" t="n">
        <v>247.754</v>
      </c>
      <c r="G548" t="n">
        <v>15.2</v>
      </c>
      <c r="H548" t="inlineStr">
        <is>
          <t>MM</t>
        </is>
      </c>
      <c r="I548" t="n">
        <v>247.754</v>
      </c>
      <c r="K548" t="inlineStr">
        <is>
          <t>20250617-48</t>
        </is>
      </c>
    </row>
    <row r="549">
      <c r="A549" t="n">
        <v>38</v>
      </c>
      <c r="B549" t="inlineStr">
        <is>
          <t>K3-6C</t>
        </is>
      </c>
      <c r="D549" t="n">
        <v>7.87</v>
      </c>
      <c r="E549" t="n">
        <v>310.722</v>
      </c>
      <c r="G549" t="n">
        <v>21.488</v>
      </c>
      <c r="H549" t="inlineStr">
        <is>
          <t>MM</t>
        </is>
      </c>
      <c r="I549" t="n">
        <v>310.722</v>
      </c>
      <c r="K549" t="inlineStr">
        <is>
          <t>20250617-49</t>
        </is>
      </c>
    </row>
    <row r="551">
      <c r="A551" t="inlineStr">
        <is>
          <t>Compound 14:  m2 8:2 monoPAP 2</t>
        </is>
      </c>
    </row>
    <row r="553">
      <c r="B553" t="inlineStr">
        <is>
          <t>Sample Text</t>
        </is>
      </c>
      <c r="C553" t="inlineStr">
        <is>
          <t>Std. Conc</t>
        </is>
      </c>
      <c r="D553" t="inlineStr">
        <is>
          <t>RT</t>
        </is>
      </c>
      <c r="E553" t="inlineStr">
        <is>
          <t>Area</t>
        </is>
      </c>
      <c r="F553" t="inlineStr">
        <is>
          <t>IS Area</t>
        </is>
      </c>
      <c r="G553" t="inlineStr">
        <is>
          <t>S/N</t>
        </is>
      </c>
      <c r="H553" t="inlineStr">
        <is>
          <t>Primary Flags</t>
        </is>
      </c>
      <c r="I553" t="inlineStr">
        <is>
          <t>Response</t>
        </is>
      </c>
      <c r="J553" t="inlineStr">
        <is>
          <t>Conc.</t>
        </is>
      </c>
      <c r="K553" t="inlineStr">
        <is>
          <t>Name</t>
        </is>
      </c>
    </row>
    <row r="554">
      <c r="A554" t="n">
        <v>1</v>
      </c>
      <c r="B554" t="inlineStr">
        <is>
          <t>EPA1633 &amp; diPAPs Calibration 0 ppb</t>
        </is>
      </c>
      <c r="D554" t="n">
        <v>7.77</v>
      </c>
      <c r="E554" t="n">
        <v>307.703</v>
      </c>
      <c r="G554" t="n">
        <v>6.676</v>
      </c>
      <c r="H554" t="inlineStr">
        <is>
          <t>bb</t>
        </is>
      </c>
      <c r="I554" t="n">
        <v>307.703</v>
      </c>
      <c r="K554" t="inlineStr">
        <is>
          <t>20250617-12</t>
        </is>
      </c>
    </row>
    <row r="555">
      <c r="A555" t="n">
        <v>2</v>
      </c>
      <c r="B555" t="inlineStr">
        <is>
          <t>EPA1633 &amp; diPAPs Calibration 0.02 ppb</t>
        </is>
      </c>
      <c r="D555" t="n">
        <v>7.77</v>
      </c>
      <c r="E555" t="n">
        <v>225.366</v>
      </c>
      <c r="G555" t="n">
        <v>37.197</v>
      </c>
      <c r="H555" t="inlineStr">
        <is>
          <t>bb</t>
        </is>
      </c>
      <c r="I555" t="n">
        <v>225.366</v>
      </c>
      <c r="K555" t="inlineStr">
        <is>
          <t>20250617-13</t>
        </is>
      </c>
    </row>
    <row r="556">
      <c r="A556" t="n">
        <v>3</v>
      </c>
      <c r="B556" t="inlineStr">
        <is>
          <t>EPA1633 &amp; diPAPs Calibration 0.1 ppb</t>
        </is>
      </c>
      <c r="D556" t="n">
        <v>7.78</v>
      </c>
      <c r="E556" t="n">
        <v>255.999</v>
      </c>
      <c r="G556" t="n">
        <v>2547</v>
      </c>
      <c r="H556" t="inlineStr">
        <is>
          <t>bb</t>
        </is>
      </c>
      <c r="I556" t="n">
        <v>255.999</v>
      </c>
      <c r="K556" t="inlineStr">
        <is>
          <t>20250617-14</t>
        </is>
      </c>
    </row>
    <row r="557">
      <c r="A557" t="n">
        <v>4</v>
      </c>
      <c r="B557" t="inlineStr">
        <is>
          <t>EPA1633 &amp; diPAPs Calibration 0.4 ppb</t>
        </is>
      </c>
      <c r="D557" t="n">
        <v>7.78</v>
      </c>
      <c r="E557" t="n">
        <v>249.341</v>
      </c>
      <c r="G557" t="n">
        <v>273.281</v>
      </c>
      <c r="H557" t="inlineStr">
        <is>
          <t>bb</t>
        </is>
      </c>
      <c r="I557" t="n">
        <v>249.341</v>
      </c>
      <c r="K557" t="inlineStr">
        <is>
          <t>20250617-15</t>
        </is>
      </c>
    </row>
    <row r="558">
      <c r="A558" t="n">
        <v>5</v>
      </c>
      <c r="B558" t="inlineStr">
        <is>
          <t>EPA1633 &amp; diPAPs Calibration 1 ppb</t>
        </is>
      </c>
      <c r="D558" t="n">
        <v>7.79</v>
      </c>
      <c r="E558" t="n">
        <v>256.233</v>
      </c>
      <c r="G558" t="n">
        <v>30.3</v>
      </c>
      <c r="H558" t="inlineStr">
        <is>
          <t>bb</t>
        </is>
      </c>
      <c r="I558" t="n">
        <v>256.233</v>
      </c>
      <c r="K558" t="inlineStr">
        <is>
          <t>20250617-16</t>
        </is>
      </c>
    </row>
    <row r="559">
      <c r="A559" t="n">
        <v>6</v>
      </c>
      <c r="B559" t="inlineStr">
        <is>
          <t>EPA1633 &amp; diPAPs Calibration 5 ppb</t>
        </is>
      </c>
      <c r="D559" t="n">
        <v>7.79</v>
      </c>
      <c r="E559" t="n">
        <v>272.698</v>
      </c>
      <c r="G559" t="n">
        <v>7.341</v>
      </c>
      <c r="H559" t="inlineStr">
        <is>
          <t>bb</t>
        </is>
      </c>
      <c r="I559" t="n">
        <v>272.698</v>
      </c>
      <c r="K559" t="inlineStr">
        <is>
          <t>20250617-17</t>
        </is>
      </c>
    </row>
    <row r="560">
      <c r="A560" t="n">
        <v>7</v>
      </c>
      <c r="B560" t="inlineStr">
        <is>
          <t>EPA1633 &amp; diPAPs Calibration 10 ppb</t>
        </is>
      </c>
      <c r="D560" t="n">
        <v>7.8</v>
      </c>
      <c r="E560" t="n">
        <v>229.316</v>
      </c>
      <c r="G560" t="n">
        <v>19.889</v>
      </c>
      <c r="H560" t="inlineStr">
        <is>
          <t>MM</t>
        </is>
      </c>
      <c r="I560" t="n">
        <v>229.316</v>
      </c>
      <c r="K560" t="inlineStr">
        <is>
          <t>20250617-18</t>
        </is>
      </c>
    </row>
    <row r="561">
      <c r="A561" t="n">
        <v>8</v>
      </c>
      <c r="B561" t="inlineStr">
        <is>
          <t>EPA1633 &amp; diPAPs Calibration 20 ppb</t>
        </is>
      </c>
      <c r="D561" t="n">
        <v>7.79</v>
      </c>
      <c r="E561" t="n">
        <v>45.687</v>
      </c>
      <c r="G561" t="n">
        <v>4.999</v>
      </c>
      <c r="H561" t="inlineStr">
        <is>
          <t>MM</t>
        </is>
      </c>
      <c r="I561" t="n">
        <v>45.687</v>
      </c>
      <c r="K561" t="inlineStr">
        <is>
          <t>20250617-19</t>
        </is>
      </c>
    </row>
    <row r="562">
      <c r="A562" t="n">
        <v>9</v>
      </c>
      <c r="B562" t="inlineStr">
        <is>
          <t>MeOH</t>
        </is>
      </c>
      <c r="H562" t="inlineStr">
        <is>
          <t>MM-</t>
        </is>
      </c>
      <c r="K562" t="inlineStr">
        <is>
          <t>20250617-20</t>
        </is>
      </c>
    </row>
    <row r="563">
      <c r="A563" t="n">
        <v>10</v>
      </c>
      <c r="B563" t="inlineStr">
        <is>
          <t>MeOH</t>
        </is>
      </c>
      <c r="H563" t="inlineStr">
        <is>
          <t>MM-</t>
        </is>
      </c>
      <c r="K563" t="inlineStr">
        <is>
          <t>20250617-21</t>
        </is>
      </c>
    </row>
    <row r="564">
      <c r="A564" t="n">
        <v>11</v>
      </c>
      <c r="B564" t="inlineStr">
        <is>
          <t>SB1</t>
        </is>
      </c>
      <c r="D564" t="n">
        <v>7.81</v>
      </c>
      <c r="E564" t="n">
        <v>110.635</v>
      </c>
      <c r="G564" t="n">
        <v>633.609</v>
      </c>
      <c r="H564" t="inlineStr">
        <is>
          <t>bb</t>
        </is>
      </c>
      <c r="I564" t="n">
        <v>110.635</v>
      </c>
      <c r="K564" t="inlineStr">
        <is>
          <t>20250617-22</t>
        </is>
      </c>
    </row>
    <row r="565">
      <c r="A565" t="n">
        <v>12</v>
      </c>
      <c r="B565" t="inlineStr">
        <is>
          <t>SB2</t>
        </is>
      </c>
      <c r="D565" t="n">
        <v>7.82</v>
      </c>
      <c r="E565" t="n">
        <v>91.488</v>
      </c>
      <c r="G565" t="n">
        <v>30.868</v>
      </c>
      <c r="H565" t="inlineStr">
        <is>
          <t>bb</t>
        </is>
      </c>
      <c r="I565" t="n">
        <v>91.488</v>
      </c>
      <c r="K565" t="inlineStr">
        <is>
          <t>20250617-23</t>
        </is>
      </c>
    </row>
    <row r="566">
      <c r="A566" t="n">
        <v>13</v>
      </c>
      <c r="B566" t="inlineStr">
        <is>
          <t>SB3</t>
        </is>
      </c>
      <c r="D566" t="n">
        <v>7.79</v>
      </c>
      <c r="E566" t="n">
        <v>98.111</v>
      </c>
      <c r="G566" t="n">
        <v>7.395</v>
      </c>
      <c r="H566" t="inlineStr">
        <is>
          <t>bb</t>
        </is>
      </c>
      <c r="I566" t="n">
        <v>98.111</v>
      </c>
      <c r="K566" t="inlineStr">
        <is>
          <t>20250617-24</t>
        </is>
      </c>
    </row>
    <row r="567">
      <c r="A567" t="n">
        <v>14</v>
      </c>
      <c r="B567" t="inlineStr">
        <is>
          <t>SS1</t>
        </is>
      </c>
      <c r="D567" t="n">
        <v>7.83</v>
      </c>
      <c r="E567" t="n">
        <v>74.13</v>
      </c>
      <c r="G567" t="n">
        <v>8.061</v>
      </c>
      <c r="H567" t="inlineStr">
        <is>
          <t>bb</t>
        </is>
      </c>
      <c r="I567" t="n">
        <v>74.13</v>
      </c>
      <c r="K567" t="inlineStr">
        <is>
          <t>20250617-25</t>
        </is>
      </c>
    </row>
    <row r="568">
      <c r="A568" t="n">
        <v>15</v>
      </c>
      <c r="B568" t="inlineStr">
        <is>
          <t>SS2</t>
        </is>
      </c>
      <c r="D568" t="n">
        <v>7.83</v>
      </c>
      <c r="E568" t="n">
        <v>101.72</v>
      </c>
      <c r="G568" t="n">
        <v>44.84</v>
      </c>
      <c r="H568" t="inlineStr">
        <is>
          <t>bb</t>
        </is>
      </c>
      <c r="I568" t="n">
        <v>101.72</v>
      </c>
      <c r="K568" t="inlineStr">
        <is>
          <t>20250617-26</t>
        </is>
      </c>
    </row>
    <row r="569">
      <c r="A569" t="n">
        <v>16</v>
      </c>
      <c r="B569" t="inlineStr">
        <is>
          <t>SS3</t>
        </is>
      </c>
      <c r="D569" t="n">
        <v>7.83</v>
      </c>
      <c r="E569" t="n">
        <v>89.792</v>
      </c>
      <c r="G569" t="n">
        <v>8.275</v>
      </c>
      <c r="H569" t="inlineStr">
        <is>
          <t>bb</t>
        </is>
      </c>
      <c r="I569" t="n">
        <v>89.792</v>
      </c>
      <c r="K569" t="inlineStr">
        <is>
          <t>20250617-27</t>
        </is>
      </c>
    </row>
    <row r="570">
      <c r="A570" t="n">
        <v>17</v>
      </c>
      <c r="B570" t="inlineStr">
        <is>
          <t>MeOH</t>
        </is>
      </c>
      <c r="H570" t="inlineStr">
        <is>
          <t>MM-</t>
        </is>
      </c>
      <c r="K570" t="inlineStr">
        <is>
          <t>20250617-28</t>
        </is>
      </c>
    </row>
    <row r="571">
      <c r="A571" t="n">
        <v>18</v>
      </c>
      <c r="B571" t="inlineStr">
        <is>
          <t>K4-5A</t>
        </is>
      </c>
      <c r="D571" t="n">
        <v>7.88</v>
      </c>
      <c r="E571" t="n">
        <v>90.40600000000001</v>
      </c>
      <c r="G571" t="n">
        <v>4.302</v>
      </c>
      <c r="H571" t="inlineStr">
        <is>
          <t>bb</t>
        </is>
      </c>
      <c r="I571" t="n">
        <v>90.40600000000001</v>
      </c>
      <c r="K571" t="inlineStr">
        <is>
          <t>20250617-29</t>
        </is>
      </c>
    </row>
    <row r="572">
      <c r="A572" t="n">
        <v>19</v>
      </c>
      <c r="B572" t="inlineStr">
        <is>
          <t>K4-5B</t>
        </is>
      </c>
      <c r="D572" t="n">
        <v>7.86</v>
      </c>
      <c r="E572" t="n">
        <v>89.22799999999999</v>
      </c>
      <c r="G572" t="n">
        <v>4.664</v>
      </c>
      <c r="H572" t="inlineStr">
        <is>
          <t>bb</t>
        </is>
      </c>
      <c r="I572" t="n">
        <v>89.22799999999999</v>
      </c>
      <c r="K572" t="inlineStr">
        <is>
          <t>20250617-30</t>
        </is>
      </c>
    </row>
    <row r="573">
      <c r="A573" t="n">
        <v>20</v>
      </c>
      <c r="B573" t="inlineStr">
        <is>
          <t>K4-5C</t>
        </is>
      </c>
      <c r="D573" t="n">
        <v>7.87</v>
      </c>
      <c r="E573" t="n">
        <v>74.886</v>
      </c>
      <c r="G573" t="n">
        <v>7.807</v>
      </c>
      <c r="H573" t="inlineStr">
        <is>
          <t>bb</t>
        </is>
      </c>
      <c r="I573" t="n">
        <v>74.886</v>
      </c>
      <c r="K573" t="inlineStr">
        <is>
          <t>20250617-31</t>
        </is>
      </c>
    </row>
    <row r="574">
      <c r="A574" t="n">
        <v>21</v>
      </c>
      <c r="B574" t="inlineStr">
        <is>
          <t>MeOH</t>
        </is>
      </c>
      <c r="H574" t="inlineStr">
        <is>
          <t>MM-</t>
        </is>
      </c>
      <c r="K574" t="inlineStr">
        <is>
          <t>20250617-32</t>
        </is>
      </c>
    </row>
    <row r="575">
      <c r="A575" t="n">
        <v>22</v>
      </c>
      <c r="B575" t="inlineStr">
        <is>
          <t>K3-1A</t>
        </is>
      </c>
      <c r="D575" t="n">
        <v>7.84</v>
      </c>
      <c r="E575" t="n">
        <v>113.907</v>
      </c>
      <c r="G575" t="n">
        <v>11.682</v>
      </c>
      <c r="H575" t="inlineStr">
        <is>
          <t>bb</t>
        </is>
      </c>
      <c r="I575" t="n">
        <v>113.907</v>
      </c>
      <c r="K575" t="inlineStr">
        <is>
          <t>20250617-33</t>
        </is>
      </c>
    </row>
    <row r="576">
      <c r="A576" t="n">
        <v>23</v>
      </c>
      <c r="B576" t="inlineStr">
        <is>
          <t>K3-1B</t>
        </is>
      </c>
      <c r="D576" t="n">
        <v>7.87</v>
      </c>
      <c r="E576" t="n">
        <v>74.749</v>
      </c>
      <c r="G576" t="n">
        <v>6.838</v>
      </c>
      <c r="H576" t="inlineStr">
        <is>
          <t>bb</t>
        </is>
      </c>
      <c r="I576" t="n">
        <v>74.749</v>
      </c>
      <c r="K576" t="inlineStr">
        <is>
          <t>20250617-34</t>
        </is>
      </c>
    </row>
    <row r="577">
      <c r="A577" t="n">
        <v>24</v>
      </c>
      <c r="B577" t="inlineStr">
        <is>
          <t>K3-1C</t>
        </is>
      </c>
      <c r="D577" t="n">
        <v>7.88</v>
      </c>
      <c r="E577" t="n">
        <v>57.963</v>
      </c>
      <c r="G577" t="n">
        <v>20.082</v>
      </c>
      <c r="H577" t="inlineStr">
        <is>
          <t>bb</t>
        </is>
      </c>
      <c r="I577" t="n">
        <v>57.963</v>
      </c>
      <c r="K577" t="inlineStr">
        <is>
          <t>20250617-35</t>
        </is>
      </c>
    </row>
    <row r="578">
      <c r="A578" t="n">
        <v>25</v>
      </c>
      <c r="B578" t="inlineStr">
        <is>
          <t>K3-2A</t>
        </is>
      </c>
      <c r="D578" t="n">
        <v>7.88</v>
      </c>
      <c r="E578" t="n">
        <v>86.604</v>
      </c>
      <c r="G578" t="n">
        <v>3.384</v>
      </c>
      <c r="H578" t="inlineStr">
        <is>
          <t>bb</t>
        </is>
      </c>
      <c r="I578" t="n">
        <v>86.604</v>
      </c>
      <c r="K578" t="inlineStr">
        <is>
          <t>20250617-36</t>
        </is>
      </c>
    </row>
    <row r="579">
      <c r="A579" t="n">
        <v>26</v>
      </c>
      <c r="B579" t="inlineStr">
        <is>
          <t>K3-2B</t>
        </is>
      </c>
      <c r="D579" t="n">
        <v>7.86</v>
      </c>
      <c r="E579" t="n">
        <v>75.304</v>
      </c>
      <c r="G579" t="n">
        <v>8.673</v>
      </c>
      <c r="H579" t="inlineStr">
        <is>
          <t>bb</t>
        </is>
      </c>
      <c r="I579" t="n">
        <v>75.304</v>
      </c>
      <c r="K579" t="inlineStr">
        <is>
          <t>20250617-37</t>
        </is>
      </c>
    </row>
    <row r="580">
      <c r="A580" t="n">
        <v>27</v>
      </c>
      <c r="B580" t="inlineStr">
        <is>
          <t>K3-2C</t>
        </is>
      </c>
      <c r="D580" t="n">
        <v>7.88</v>
      </c>
      <c r="E580" t="n">
        <v>74.127</v>
      </c>
      <c r="G580" t="n">
        <v>18.428</v>
      </c>
      <c r="H580" t="inlineStr">
        <is>
          <t>bb</t>
        </is>
      </c>
      <c r="I580" t="n">
        <v>74.127</v>
      </c>
      <c r="K580" t="inlineStr">
        <is>
          <t>20250617-38</t>
        </is>
      </c>
    </row>
    <row r="581">
      <c r="A581" t="n">
        <v>28</v>
      </c>
      <c r="B581" t="inlineStr">
        <is>
          <t>MeOH</t>
        </is>
      </c>
      <c r="H581" t="inlineStr">
        <is>
          <t>MM-</t>
        </is>
      </c>
      <c r="K581" t="inlineStr">
        <is>
          <t>20250617-39</t>
        </is>
      </c>
    </row>
    <row r="582">
      <c r="A582" t="n">
        <v>29</v>
      </c>
      <c r="B582" t="inlineStr">
        <is>
          <t>K3-3A</t>
        </is>
      </c>
      <c r="D582" t="n">
        <v>7.89</v>
      </c>
      <c r="E582" t="n">
        <v>101.84</v>
      </c>
      <c r="G582" t="n">
        <v>6.336</v>
      </c>
      <c r="H582" t="inlineStr">
        <is>
          <t>bb</t>
        </is>
      </c>
      <c r="I582" t="n">
        <v>101.84</v>
      </c>
      <c r="K582" t="inlineStr">
        <is>
          <t>20250617-40</t>
        </is>
      </c>
    </row>
    <row r="583">
      <c r="A583" t="n">
        <v>30</v>
      </c>
      <c r="B583" t="inlineStr">
        <is>
          <t>K3-3B</t>
        </is>
      </c>
      <c r="D583" t="n">
        <v>7.9</v>
      </c>
      <c r="E583" t="n">
        <v>96.505</v>
      </c>
      <c r="G583" t="n">
        <v>59.187</v>
      </c>
      <c r="H583" t="inlineStr">
        <is>
          <t>bb</t>
        </is>
      </c>
      <c r="I583" t="n">
        <v>96.505</v>
      </c>
      <c r="K583" t="inlineStr">
        <is>
          <t>20250617-41</t>
        </is>
      </c>
    </row>
    <row r="584">
      <c r="A584" t="n">
        <v>31</v>
      </c>
      <c r="B584" t="inlineStr">
        <is>
          <t>K3-3C</t>
        </is>
      </c>
      <c r="D584" t="n">
        <v>7.87</v>
      </c>
      <c r="E584" t="n">
        <v>116.668</v>
      </c>
      <c r="G584" t="n">
        <v>107.17</v>
      </c>
      <c r="H584" t="inlineStr">
        <is>
          <t>bb</t>
        </is>
      </c>
      <c r="I584" t="n">
        <v>116.668</v>
      </c>
      <c r="K584" t="inlineStr">
        <is>
          <t>20250617-42</t>
        </is>
      </c>
    </row>
    <row r="585">
      <c r="A585" t="n">
        <v>32</v>
      </c>
      <c r="B585" t="inlineStr">
        <is>
          <t>K3-4A</t>
        </is>
      </c>
      <c r="D585" t="n">
        <v>7.87</v>
      </c>
      <c r="E585" t="n">
        <v>95.196</v>
      </c>
      <c r="G585" t="n">
        <v>3.13</v>
      </c>
      <c r="H585" t="inlineStr">
        <is>
          <t>bb</t>
        </is>
      </c>
      <c r="I585" t="n">
        <v>95.196</v>
      </c>
      <c r="K585" t="inlineStr">
        <is>
          <t>20250617-43</t>
        </is>
      </c>
    </row>
    <row r="586">
      <c r="A586" t="n">
        <v>33</v>
      </c>
      <c r="B586" t="inlineStr">
        <is>
          <t>K3-4B</t>
        </is>
      </c>
      <c r="D586" t="n">
        <v>7.88</v>
      </c>
      <c r="E586" t="n">
        <v>52.646</v>
      </c>
      <c r="G586" t="n">
        <v>547</v>
      </c>
      <c r="H586" t="inlineStr">
        <is>
          <t>bb</t>
        </is>
      </c>
      <c r="I586" t="n">
        <v>52.646</v>
      </c>
      <c r="K586" t="inlineStr">
        <is>
          <t>20250617-44</t>
        </is>
      </c>
    </row>
    <row r="587">
      <c r="A587" t="n">
        <v>34</v>
      </c>
      <c r="B587" t="inlineStr">
        <is>
          <t>K3-4C</t>
        </is>
      </c>
      <c r="D587" t="n">
        <v>7.86</v>
      </c>
      <c r="E587" t="n">
        <v>62.052</v>
      </c>
      <c r="G587" t="n">
        <v>3.359</v>
      </c>
      <c r="H587" t="inlineStr">
        <is>
          <t>bb</t>
        </is>
      </c>
      <c r="I587" t="n">
        <v>62.052</v>
      </c>
      <c r="K587" t="inlineStr">
        <is>
          <t>20250617-45</t>
        </is>
      </c>
    </row>
    <row r="588">
      <c r="A588" t="n">
        <v>35</v>
      </c>
      <c r="B588" t="inlineStr">
        <is>
          <t>MeOH</t>
        </is>
      </c>
      <c r="H588" t="inlineStr">
        <is>
          <t>MM-</t>
        </is>
      </c>
      <c r="K588" t="inlineStr">
        <is>
          <t>20250617-46</t>
        </is>
      </c>
    </row>
    <row r="589">
      <c r="A589" t="n">
        <v>36</v>
      </c>
      <c r="B589" t="inlineStr">
        <is>
          <t>K3-6A</t>
        </is>
      </c>
      <c r="D589" t="n">
        <v>7.86</v>
      </c>
      <c r="E589" t="n">
        <v>93.878</v>
      </c>
      <c r="G589" t="n">
        <v>27.258</v>
      </c>
      <c r="H589" t="inlineStr">
        <is>
          <t>bb</t>
        </is>
      </c>
      <c r="I589" t="n">
        <v>93.878</v>
      </c>
      <c r="K589" t="inlineStr">
        <is>
          <t>20250617-47</t>
        </is>
      </c>
    </row>
    <row r="590">
      <c r="A590" t="n">
        <v>37</v>
      </c>
      <c r="B590" t="inlineStr">
        <is>
          <t>K3-6B</t>
        </is>
      </c>
      <c r="D590" t="n">
        <v>7.88</v>
      </c>
      <c r="E590" t="n">
        <v>67.396</v>
      </c>
      <c r="G590" t="n">
        <v>614</v>
      </c>
      <c r="H590" t="inlineStr">
        <is>
          <t>bb</t>
        </is>
      </c>
      <c r="I590" t="n">
        <v>67.396</v>
      </c>
      <c r="K590" t="inlineStr">
        <is>
          <t>20250617-48</t>
        </is>
      </c>
    </row>
    <row r="591">
      <c r="A591" t="n">
        <v>38</v>
      </c>
      <c r="B591" t="inlineStr">
        <is>
          <t>K3-6C</t>
        </is>
      </c>
      <c r="D591" t="n">
        <v>7.9</v>
      </c>
      <c r="E591" t="n">
        <v>117.664</v>
      </c>
      <c r="G591" t="n">
        <v>17.255</v>
      </c>
      <c r="H591" t="inlineStr">
        <is>
          <t>bb</t>
        </is>
      </c>
      <c r="I591" t="n">
        <v>117.664</v>
      </c>
      <c r="K591" t="inlineStr">
        <is>
          <t>20250617-49</t>
        </is>
      </c>
    </row>
    <row r="593">
      <c r="A593" t="inlineStr">
        <is>
          <t>Compound 15:  4-4 diPAP 1</t>
        </is>
      </c>
    </row>
    <row r="594">
      <c r="I594" t="inlineStr">
        <is>
          <t>LINEST</t>
        </is>
      </c>
      <c r="Q594" t="inlineStr">
        <is>
          <t>Biosolids Masses</t>
        </is>
      </c>
      <c r="R594" t="inlineStr">
        <is>
          <t>(g)</t>
        </is>
      </c>
    </row>
    <row r="595">
      <c r="B595" t="inlineStr">
        <is>
          <t>Sample Text</t>
        </is>
      </c>
      <c r="C595" t="inlineStr">
        <is>
          <t>Std. Conc</t>
        </is>
      </c>
      <c r="D595" t="inlineStr">
        <is>
          <t>RT</t>
        </is>
      </c>
      <c r="E595" t="inlineStr">
        <is>
          <t>Area</t>
        </is>
      </c>
      <c r="F595" t="inlineStr">
        <is>
          <t>IS Area</t>
        </is>
      </c>
      <c r="G595" t="inlineStr">
        <is>
          <t>S/N</t>
        </is>
      </c>
      <c r="H595" t="inlineStr">
        <is>
          <t>ratio</t>
        </is>
      </c>
      <c r="I595">
        <f t="array" ref="I595:J599">LINEST(H598:H603,C598:C603,1,1)</f>
        <v/>
      </c>
      <c r="J595" t="n">
        <v>-0.0008182305179254461</v>
      </c>
      <c r="L595" s="20" t="inlineStr">
        <is>
          <t>By S/N Ratio</t>
        </is>
      </c>
      <c r="Q595" t="inlineStr">
        <is>
          <t>SS1</t>
        </is>
      </c>
      <c r="R595" t="n">
        <v>1.0846</v>
      </c>
    </row>
    <row r="596">
      <c r="A596" t="n">
        <v>1</v>
      </c>
      <c r="B596" t="inlineStr">
        <is>
          <t>EPA1633 &amp; diPAPs Calibration 0 ppb</t>
        </is>
      </c>
      <c r="C596" s="44" t="n">
        <v>0</v>
      </c>
      <c r="D596" t="n">
        <v>10.29</v>
      </c>
      <c r="E596" t="n">
        <v>53.305</v>
      </c>
      <c r="F596" t="n">
        <v>19473.51</v>
      </c>
      <c r="G596" t="n">
        <v>2.168</v>
      </c>
      <c r="H596">
        <f>E596/F596</f>
        <v/>
      </c>
      <c r="I596" t="n">
        <v>0.0001449768587107613</v>
      </c>
      <c r="J596" t="n">
        <v>0.0002909931629797412</v>
      </c>
      <c r="K596" t="inlineStr">
        <is>
          <t>LOD</t>
        </is>
      </c>
      <c r="L596" s="21">
        <f>IF(G599&gt;3,C599,IF(G600&gt;3,C600,IF(G601&gt;3,C601,IF(G602&gt;3,C602,C603))))</f>
        <v/>
      </c>
      <c r="Q596" t="inlineStr">
        <is>
          <t>SS2</t>
        </is>
      </c>
      <c r="R596" t="n">
        <v>1.0726</v>
      </c>
    </row>
    <row r="597">
      <c r="A597" t="n">
        <v>2</v>
      </c>
      <c r="B597" t="inlineStr">
        <is>
          <t>EPA1633 &amp; diPAPs Calibration 0.02 ppb</t>
        </is>
      </c>
      <c r="C597" s="44" t="n">
        <v>0.1653611913071094</v>
      </c>
      <c r="D597" t="n">
        <v>10.44</v>
      </c>
      <c r="E597" t="n">
        <v>31.803</v>
      </c>
      <c r="F597" t="n">
        <v>13285.255</v>
      </c>
      <c r="G597" t="n">
        <v>1.338</v>
      </c>
      <c r="H597">
        <f>E597/F597</f>
        <v/>
      </c>
      <c r="I597" t="n">
        <v>0.9936306058039354</v>
      </c>
      <c r="J597" t="n">
        <v>0.0003739668278949744</v>
      </c>
      <c r="K597" t="inlineStr">
        <is>
          <t>LOQ</t>
        </is>
      </c>
      <c r="L597" s="22">
        <f>IF(G599&gt;10,C599,IF(G600&gt;10,#REF!,IF(G601&gt;10,C601,IF(G602&gt;10,C602,C603))))</f>
        <v/>
      </c>
      <c r="Q597" t="inlineStr">
        <is>
          <t>SS3</t>
        </is>
      </c>
      <c r="R597" t="n">
        <v>1.1534</v>
      </c>
    </row>
    <row r="598">
      <c r="A598" t="n">
        <v>3</v>
      </c>
      <c r="B598" t="inlineStr">
        <is>
          <t>EPA1633 &amp; diPAPs Calibration 0.1 ppb</t>
        </is>
      </c>
      <c r="C598" s="44" t="n">
        <v>0.3307223826142189</v>
      </c>
      <c r="D598" t="n">
        <v>10.4</v>
      </c>
      <c r="E598" t="n">
        <v>4.357</v>
      </c>
      <c r="F598" t="n">
        <v>16010.102</v>
      </c>
      <c r="G598" t="n">
        <v>0.145</v>
      </c>
      <c r="H598">
        <f>E598/F598</f>
        <v/>
      </c>
      <c r="I598" t="n">
        <v>624.0032098612285</v>
      </c>
      <c r="J598" t="n">
        <v>4</v>
      </c>
      <c r="Q598" t="inlineStr">
        <is>
          <t>K4-5A</t>
        </is>
      </c>
      <c r="R598" t="n">
        <v>1.1054</v>
      </c>
    </row>
    <row r="599">
      <c r="A599" t="n">
        <v>4</v>
      </c>
      <c r="B599" t="inlineStr">
        <is>
          <t>EPA1633 &amp; diPAPs Calibration 0.4 ppb</t>
        </is>
      </c>
      <c r="C599" s="44" t="n">
        <v>0.6614447652284378</v>
      </c>
      <c r="D599" t="n">
        <v>10.42</v>
      </c>
      <c r="E599" t="n">
        <v>18.587</v>
      </c>
      <c r="F599" t="n">
        <v>14214.025</v>
      </c>
      <c r="G599" t="n">
        <v>1.014</v>
      </c>
      <c r="H599">
        <f>E599/F599</f>
        <v/>
      </c>
      <c r="I599" t="n">
        <v>8.726759044318483e-05</v>
      </c>
      <c r="J599" t="n">
        <v>5.594047534633176e-07</v>
      </c>
      <c r="Q599" t="inlineStr">
        <is>
          <t>K4-5B</t>
        </is>
      </c>
      <c r="R599" s="10" t="n">
        <v>1.0463</v>
      </c>
    </row>
    <row r="600">
      <c r="A600" t="n">
        <v>5</v>
      </c>
      <c r="B600" t="inlineStr">
        <is>
          <t>EPA1633 &amp; diPAPs Calibration 1 ppb</t>
        </is>
      </c>
      <c r="C600" s="44" t="n">
        <v>1.322889530456876</v>
      </c>
      <c r="D600" t="n">
        <v>10.42</v>
      </c>
      <c r="E600" t="n">
        <v>98.395</v>
      </c>
      <c r="F600" t="n">
        <v>21931.449</v>
      </c>
      <c r="G600" t="n">
        <v>7.148</v>
      </c>
      <c r="H600">
        <f>E600/F600</f>
        <v/>
      </c>
      <c r="Q600" t="inlineStr">
        <is>
          <t>K4-5C</t>
        </is>
      </c>
      <c r="R600" t="n">
        <v>1.1155</v>
      </c>
    </row>
    <row r="601">
      <c r="A601" t="n">
        <v>6</v>
      </c>
      <c r="B601" t="inlineStr">
        <is>
          <t>EPA1633 &amp; diPAPs Calibration 5 ppb</t>
        </is>
      </c>
      <c r="C601" s="44" t="n">
        <v>1.984334295685313</v>
      </c>
      <c r="D601" t="n">
        <v>10.42</v>
      </c>
      <c r="E601" t="n">
        <v>109.112</v>
      </c>
      <c r="F601" t="n">
        <v>17537.508</v>
      </c>
      <c r="G601" t="n">
        <v>4.956</v>
      </c>
      <c r="H601">
        <f>E601/F601</f>
        <v/>
      </c>
      <c r="Q601" t="inlineStr">
        <is>
          <t>K3-1A</t>
        </is>
      </c>
      <c r="R601" t="n">
        <v>1.0874</v>
      </c>
    </row>
    <row r="602">
      <c r="A602" t="n">
        <v>7</v>
      </c>
      <c r="B602" t="inlineStr">
        <is>
          <t>EPA1633 &amp; diPAPs Calibration 10 ppb</t>
        </is>
      </c>
      <c r="C602" s="44" t="n">
        <v>2.645779060913751</v>
      </c>
      <c r="D602" t="n">
        <v>10.43</v>
      </c>
      <c r="E602" t="n">
        <v>265.873</v>
      </c>
      <c r="F602" t="n">
        <v>29293.133</v>
      </c>
      <c r="G602" t="n">
        <v>10.049</v>
      </c>
      <c r="H602">
        <f>E602/F602</f>
        <v/>
      </c>
      <c r="I602" s="23" t="inlineStr">
        <is>
          <t>Background</t>
        </is>
      </c>
      <c r="J602" s="23" t="inlineStr">
        <is>
          <t>Spike</t>
        </is>
      </c>
      <c r="K602" s="9" t="inlineStr">
        <is>
          <t>Old Spike</t>
        </is>
      </c>
      <c r="O602" s="24" t="inlineStr">
        <is>
          <t>±</t>
        </is>
      </c>
      <c r="Q602" t="inlineStr">
        <is>
          <t>K3-1B</t>
        </is>
      </c>
      <c r="R602" t="n">
        <v>1.0898</v>
      </c>
    </row>
    <row r="603">
      <c r="A603" t="n">
        <v>8</v>
      </c>
      <c r="B603" t="inlineStr">
        <is>
          <t>EPA1633 &amp; diPAPs Calibration 20 ppb</t>
        </is>
      </c>
      <c r="C603" s="44" t="n">
        <v>3.307223826142189</v>
      </c>
      <c r="D603" t="n">
        <v>10.44</v>
      </c>
      <c r="E603" t="n">
        <v>151.103</v>
      </c>
      <c r="F603" t="n">
        <v>13919.142</v>
      </c>
      <c r="G603" t="n">
        <v>5.308</v>
      </c>
      <c r="H603">
        <f>E603/F603</f>
        <v/>
      </c>
      <c r="I603">
        <f>AVERAGE(I606:I608)</f>
        <v/>
      </c>
      <c r="J603" t="n">
        <v>2.9</v>
      </c>
      <c r="Q603" t="inlineStr">
        <is>
          <t>K3-1C</t>
        </is>
      </c>
      <c r="R603" t="n">
        <v>1.0536</v>
      </c>
    </row>
    <row r="604">
      <c r="A604" t="n">
        <v>9</v>
      </c>
      <c r="B604" t="inlineStr">
        <is>
          <t>MeOH</t>
        </is>
      </c>
      <c r="I604" s="23" t="inlineStr">
        <is>
          <t>Conc.In Vial (ppb)</t>
        </is>
      </c>
      <c r="J604" s="9" t="inlineStr">
        <is>
          <t>Corr. Conc.(ppb)</t>
        </is>
      </c>
      <c r="K604" s="9" t="inlineStr">
        <is>
          <t>Conc. In soil (ng/g)</t>
        </is>
      </c>
      <c r="Q604" t="inlineStr">
        <is>
          <t>K3-2A</t>
        </is>
      </c>
      <c r="R604" s="10" t="n">
        <v>1.1218</v>
      </c>
    </row>
    <row r="605">
      <c r="A605" t="n">
        <v>10</v>
      </c>
      <c r="B605" t="inlineStr">
        <is>
          <t>MeOH</t>
        </is>
      </c>
      <c r="L605" s="23" t="inlineStr">
        <is>
          <t>Average</t>
        </is>
      </c>
      <c r="M605" s="23" t="inlineStr">
        <is>
          <t>Stdev</t>
        </is>
      </c>
      <c r="N605" s="9" t="inlineStr">
        <is>
          <t>Combined</t>
        </is>
      </c>
      <c r="O605" s="9" t="n"/>
      <c r="P605" s="9" t="n"/>
      <c r="Q605" t="inlineStr">
        <is>
          <t>K3-2B</t>
        </is>
      </c>
      <c r="R605" t="n">
        <v>1.198</v>
      </c>
    </row>
    <row r="606">
      <c r="A606" t="n">
        <v>11</v>
      </c>
      <c r="B606" t="inlineStr">
        <is>
          <t>SB1</t>
        </is>
      </c>
      <c r="D606" t="n">
        <v>10.39</v>
      </c>
      <c r="E606" t="n">
        <v>47.166</v>
      </c>
      <c r="F606" t="n">
        <v>5289.194</v>
      </c>
      <c r="G606" t="n">
        <v>1.469</v>
      </c>
      <c r="H606">
        <f>E606/F606</f>
        <v/>
      </c>
      <c r="I606">
        <f>((H606-$J$595)/$I$595)</f>
        <v/>
      </c>
      <c r="J606">
        <f>(I606-IF(I603&gt;0,I603,0))</f>
        <v/>
      </c>
      <c r="K606">
        <f>J606*1.1</f>
        <v/>
      </c>
      <c r="L606">
        <f>AVERAGE(K606:K608)</f>
        <v/>
      </c>
      <c r="M606">
        <f>STDEV(K607:K608)</f>
        <v/>
      </c>
      <c r="N606">
        <f>_xlfn.CONCAT(ROUND(L606,1)," ± ",ROUND(M606,1))</f>
        <v/>
      </c>
      <c r="Q606" t="inlineStr">
        <is>
          <t>K3-2C</t>
        </is>
      </c>
      <c r="R606" t="n">
        <v>1.1538</v>
      </c>
    </row>
    <row r="607">
      <c r="A607" t="n">
        <v>12</v>
      </c>
      <c r="B607" t="inlineStr">
        <is>
          <t>SB2</t>
        </is>
      </c>
      <c r="D607" t="n">
        <v>10.44</v>
      </c>
      <c r="E607" t="n">
        <v>23.516</v>
      </c>
      <c r="F607" t="n">
        <v>6667.125</v>
      </c>
      <c r="G607" t="n">
        <v>1.133</v>
      </c>
      <c r="H607">
        <f>E607/F607</f>
        <v/>
      </c>
      <c r="I607">
        <f>((H607-$J$595)/$I$595)</f>
        <v/>
      </c>
      <c r="J607">
        <f>(I607-IF(I603&gt;0,I603,0))</f>
        <v/>
      </c>
      <c r="K607">
        <f>J607*1.1</f>
        <v/>
      </c>
      <c r="Q607" t="inlineStr">
        <is>
          <t>K3-3A</t>
        </is>
      </c>
      <c r="R607" t="n">
        <v>1.1183</v>
      </c>
    </row>
    <row r="608">
      <c r="A608" t="n">
        <v>13</v>
      </c>
      <c r="B608" t="inlineStr">
        <is>
          <t>SB3</t>
        </is>
      </c>
      <c r="D608" t="n">
        <v>10.41</v>
      </c>
      <c r="E608" t="n">
        <v>12.089</v>
      </c>
      <c r="F608" t="n">
        <v>5460.875</v>
      </c>
      <c r="G608" t="n">
        <v>0.194</v>
      </c>
      <c r="H608">
        <f>E608/F608</f>
        <v/>
      </c>
      <c r="I608">
        <f>((H608-$J$595)/$I$595)</f>
        <v/>
      </c>
      <c r="J608">
        <f>(I608-IF(I603&gt;0,I603,0))</f>
        <v/>
      </c>
      <c r="K608" s="30">
        <f>J608*1.1</f>
        <v/>
      </c>
      <c r="L608" s="25" t="inlineStr">
        <is>
          <t>Average</t>
        </is>
      </c>
      <c r="M608" s="25" t="inlineStr">
        <is>
          <t>Stdev</t>
        </is>
      </c>
      <c r="N608" s="26" t="inlineStr">
        <is>
          <t>%Recovery</t>
        </is>
      </c>
      <c r="O608" s="26" t="inlineStr">
        <is>
          <t>Uncertainty</t>
        </is>
      </c>
      <c r="P608" s="26" t="inlineStr">
        <is>
          <t>Combined</t>
        </is>
      </c>
      <c r="Q608" t="inlineStr">
        <is>
          <t>K3-3B</t>
        </is>
      </c>
      <c r="R608" t="n">
        <v>1.1448</v>
      </c>
    </row>
    <row r="609">
      <c r="A609" t="n">
        <v>14</v>
      </c>
      <c r="B609" t="inlineStr">
        <is>
          <t>SS1</t>
        </is>
      </c>
      <c r="D609" t="n">
        <v>10.43</v>
      </c>
      <c r="E609" t="n">
        <v>47.228</v>
      </c>
      <c r="F609" t="n">
        <v>6517.947</v>
      </c>
      <c r="G609" t="n">
        <v>1.758</v>
      </c>
      <c r="H609">
        <f>E609/F609</f>
        <v/>
      </c>
      <c r="I609">
        <f>((H609-$J$595)/$I$595)</f>
        <v/>
      </c>
      <c r="J609">
        <f>(I609-IF($I$603&gt;0,$I$603,0))</f>
        <v/>
      </c>
      <c r="K609">
        <f>J609/R595*1.1</f>
        <v/>
      </c>
      <c r="L609" s="27">
        <f>AVERAGE(K609:K611)</f>
        <v/>
      </c>
      <c r="M609" s="27">
        <f>STDEV(K609:K611)</f>
        <v/>
      </c>
      <c r="N609" s="28">
        <f>L609/J603*100</f>
        <v/>
      </c>
      <c r="O609" s="29">
        <f>M609/J603*100</f>
        <v/>
      </c>
      <c r="P609" s="29">
        <f>_xlfn.CONCAT(ROUND(N609,1)," ± ",ROUND(O609,1))</f>
        <v/>
      </c>
      <c r="Q609" t="inlineStr">
        <is>
          <t>K3-3C</t>
        </is>
      </c>
      <c r="R609" t="n">
        <v>1.0493</v>
      </c>
    </row>
    <row r="610">
      <c r="A610" t="n">
        <v>15</v>
      </c>
      <c r="B610" t="inlineStr">
        <is>
          <t>SS2</t>
        </is>
      </c>
      <c r="D610" t="n">
        <v>10.47</v>
      </c>
      <c r="E610" t="n">
        <v>103.342</v>
      </c>
      <c r="F610" t="n">
        <v>6712.642</v>
      </c>
      <c r="G610" t="n">
        <v>4.322</v>
      </c>
      <c r="H610">
        <f>E610/F610</f>
        <v/>
      </c>
      <c r="I610">
        <f>((H610-$J$595)/$I$595)</f>
        <v/>
      </c>
      <c r="J610">
        <f>(I610-IF($I$603&gt;0,$I$603,0))</f>
        <v/>
      </c>
      <c r="K610">
        <f>J610/R596*1.1</f>
        <v/>
      </c>
      <c r="Q610" t="inlineStr">
        <is>
          <t>K3-4A</t>
        </is>
      </c>
      <c r="R610" t="n">
        <v>1.0704</v>
      </c>
    </row>
    <row r="611">
      <c r="A611" t="n">
        <v>16</v>
      </c>
      <c r="B611" t="inlineStr">
        <is>
          <t>SS3</t>
        </is>
      </c>
      <c r="D611" t="n">
        <v>10.45</v>
      </c>
      <c r="E611" t="n">
        <v>43.279</v>
      </c>
      <c r="F611" t="n">
        <v>6363.637</v>
      </c>
      <c r="G611" t="n">
        <v>1.527</v>
      </c>
      <c r="H611">
        <f>E611/F611</f>
        <v/>
      </c>
      <c r="I611">
        <f>((H611-$J$595)/$I$595)</f>
        <v/>
      </c>
      <c r="J611">
        <f>(I611-IF($I$603&gt;0,$I$603,0))</f>
        <v/>
      </c>
      <c r="K611" s="30">
        <f>J611/R597*1.1</f>
        <v/>
      </c>
      <c r="Q611" t="inlineStr">
        <is>
          <t>K3-4B</t>
        </is>
      </c>
      <c r="R611" t="n">
        <v>1.1589</v>
      </c>
    </row>
    <row r="612">
      <c r="A612" t="n">
        <v>17</v>
      </c>
      <c r="B612" t="inlineStr">
        <is>
          <t>MeOH</t>
        </is>
      </c>
      <c r="L612" s="23" t="inlineStr">
        <is>
          <t>Average</t>
        </is>
      </c>
      <c r="M612" s="23" t="inlineStr">
        <is>
          <t>Stdev</t>
        </is>
      </c>
      <c r="N612" s="9" t="inlineStr">
        <is>
          <t>Combined</t>
        </is>
      </c>
      <c r="Q612" t="inlineStr">
        <is>
          <t>K3-4C</t>
        </is>
      </c>
      <c r="R612" t="n">
        <v>1.0206</v>
      </c>
    </row>
    <row r="613">
      <c r="A613" t="n">
        <v>18</v>
      </c>
      <c r="B613" t="inlineStr">
        <is>
          <t>K4-5A</t>
        </is>
      </c>
      <c r="D613" t="n">
        <v>10.71</v>
      </c>
      <c r="E613" t="n">
        <v>74.443</v>
      </c>
      <c r="F613" t="n">
        <v>3930.075</v>
      </c>
      <c r="G613" t="n">
        <v>1.694</v>
      </c>
      <c r="H613">
        <f>E613/F613</f>
        <v/>
      </c>
      <c r="I613">
        <f>((H613-$J$595)/$I$595)</f>
        <v/>
      </c>
      <c r="J613">
        <f>(I613-IF($I$435&gt;0,$I$435,0))</f>
        <v/>
      </c>
      <c r="K613">
        <f>J613/R597*1.1</f>
        <v/>
      </c>
      <c r="L613">
        <f>AVERAGE(K613:K615)</f>
        <v/>
      </c>
      <c r="M613">
        <f>STDEV(K613:K615)</f>
        <v/>
      </c>
      <c r="N613">
        <f>_xlfn.CONCAT(ROUND(L613,1)," ± ",ROUND(M613,1))</f>
        <v/>
      </c>
      <c r="Q613" t="inlineStr">
        <is>
          <t>K3-6A</t>
        </is>
      </c>
      <c r="R613" t="n">
        <v>1.1289</v>
      </c>
    </row>
    <row r="614">
      <c r="A614" t="n">
        <v>19</v>
      </c>
      <c r="B614" t="inlineStr">
        <is>
          <t>K4-5B</t>
        </is>
      </c>
      <c r="D614" t="n">
        <v>10.75</v>
      </c>
      <c r="E614" t="n">
        <v>17.876</v>
      </c>
      <c r="F614" t="n">
        <v>6277.964</v>
      </c>
      <c r="G614" t="n">
        <v>0.918</v>
      </c>
      <c r="H614">
        <f>E614/F614</f>
        <v/>
      </c>
      <c r="I614">
        <f>((H614-$J$595)/$I$595)</f>
        <v/>
      </c>
      <c r="J614">
        <f>(I614-IF($I$435&gt;0,$I$435,0))</f>
        <v/>
      </c>
      <c r="K614">
        <f>J614/R598*1.1</f>
        <v/>
      </c>
      <c r="Q614" t="inlineStr">
        <is>
          <t>K3-6B</t>
        </is>
      </c>
      <c r="R614" t="n">
        <v>1.195</v>
      </c>
    </row>
    <row r="615">
      <c r="A615" t="n">
        <v>20</v>
      </c>
      <c r="B615" t="inlineStr">
        <is>
          <t>K4-5C</t>
        </is>
      </c>
      <c r="D615" t="n">
        <v>10.47</v>
      </c>
      <c r="E615" t="n">
        <v>35.928</v>
      </c>
      <c r="F615" t="n">
        <v>2207.119</v>
      </c>
      <c r="G615" t="n">
        <v>1.062</v>
      </c>
      <c r="H615">
        <f>E615/F615</f>
        <v/>
      </c>
      <c r="I615">
        <f>((H615-$J$595)/$I$595)</f>
        <v/>
      </c>
      <c r="J615">
        <f>(I615-IF($I$435&gt;0,$I$435,0))</f>
        <v/>
      </c>
      <c r="K615">
        <f>J615/R599*1.1</f>
        <v/>
      </c>
      <c r="L615" s="23" t="n"/>
      <c r="M615" s="23" t="n"/>
      <c r="N615" s="9" t="n"/>
      <c r="Q615" t="inlineStr">
        <is>
          <t>K3-6C</t>
        </is>
      </c>
      <c r="R615" t="n">
        <v>1.1716</v>
      </c>
    </row>
    <row r="616">
      <c r="A616" t="n">
        <v>21</v>
      </c>
      <c r="B616" t="inlineStr">
        <is>
          <t>MeOH</t>
        </is>
      </c>
      <c r="L616" s="23" t="inlineStr">
        <is>
          <t>Average</t>
        </is>
      </c>
      <c r="M616" s="23" t="inlineStr">
        <is>
          <t>Stdev</t>
        </is>
      </c>
      <c r="N616" s="9" t="inlineStr">
        <is>
          <t>Combined</t>
        </is>
      </c>
    </row>
    <row r="617">
      <c r="A617" t="n">
        <v>22</v>
      </c>
      <c r="B617" t="inlineStr">
        <is>
          <t>K3-1A</t>
        </is>
      </c>
      <c r="D617" t="n">
        <v>10.78</v>
      </c>
      <c r="E617" t="n">
        <v>25.071</v>
      </c>
      <c r="F617" t="n">
        <v>4603.346</v>
      </c>
      <c r="G617" t="n">
        <v>1.699</v>
      </c>
      <c r="H617">
        <f>E617/F617</f>
        <v/>
      </c>
      <c r="I617">
        <f>((H617-$J$595)/$I$595)</f>
        <v/>
      </c>
      <c r="J617">
        <f>(I617-IF($I$435&gt;0,$I$435,0))</f>
        <v/>
      </c>
      <c r="K617">
        <f>J617/R600*1.1</f>
        <v/>
      </c>
      <c r="L617">
        <f>AVERAGE(K617:K619)</f>
        <v/>
      </c>
      <c r="M617">
        <f>STDEV(K617:K619)</f>
        <v/>
      </c>
      <c r="N617">
        <f>_xlfn.CONCAT(ROUND(L617,1)," ± ",ROUND(M617,1))</f>
        <v/>
      </c>
    </row>
    <row r="618">
      <c r="A618" t="n">
        <v>23</v>
      </c>
      <c r="B618" t="inlineStr">
        <is>
          <t>K3-1B</t>
        </is>
      </c>
      <c r="D618" t="n">
        <v>10.61</v>
      </c>
      <c r="E618" t="n">
        <v>1.032</v>
      </c>
      <c r="F618" t="n">
        <v>4832.73</v>
      </c>
      <c r="G618" t="n">
        <v>0.08599999999999999</v>
      </c>
      <c r="H618">
        <f>E618/F618</f>
        <v/>
      </c>
      <c r="I618">
        <f>((H618-$J$595)/$I$595)</f>
        <v/>
      </c>
      <c r="J618">
        <f>(I618-IF($I$435&gt;0,$I$435,0))</f>
        <v/>
      </c>
      <c r="K618">
        <f>J618/R601*1.1</f>
        <v/>
      </c>
    </row>
    <row r="619">
      <c r="A619" t="n">
        <v>24</v>
      </c>
      <c r="B619" t="inlineStr">
        <is>
          <t>K3-1C</t>
        </is>
      </c>
      <c r="D619" t="n">
        <v>10.41</v>
      </c>
      <c r="E619" t="n">
        <v>43.395</v>
      </c>
      <c r="F619" t="n">
        <v>5250.105</v>
      </c>
      <c r="G619" t="n">
        <v>1.84</v>
      </c>
      <c r="H619">
        <f>E619/F619</f>
        <v/>
      </c>
      <c r="I619">
        <f>((H619-$J$595)/$I$595)</f>
        <v/>
      </c>
      <c r="J619">
        <f>(I619-IF($I$435&gt;0,$I$435,0))</f>
        <v/>
      </c>
      <c r="K619">
        <f>J619/R602*1.1</f>
        <v/>
      </c>
      <c r="L619" s="23" t="inlineStr">
        <is>
          <t>Average</t>
        </is>
      </c>
      <c r="M619" s="23" t="inlineStr">
        <is>
          <t>Stdev</t>
        </is>
      </c>
      <c r="N619" s="9" t="inlineStr">
        <is>
          <t>Combined</t>
        </is>
      </c>
    </row>
    <row r="620">
      <c r="A620" t="n">
        <v>25</v>
      </c>
      <c r="B620" t="inlineStr">
        <is>
          <t>K3-2A</t>
        </is>
      </c>
      <c r="D620" t="n">
        <v>10.3</v>
      </c>
      <c r="E620" t="n">
        <v>19.155</v>
      </c>
      <c r="F620" t="n">
        <v>4574.33</v>
      </c>
      <c r="G620" t="n">
        <v>0.499</v>
      </c>
      <c r="H620">
        <f>E620/F620</f>
        <v/>
      </c>
      <c r="I620">
        <f>((H620-$J$595)/$I$595)</f>
        <v/>
      </c>
      <c r="J620">
        <f>(I620-IF($I$435&gt;0,$I$435,0))</f>
        <v/>
      </c>
      <c r="K620">
        <f>J620/R603*1.1</f>
        <v/>
      </c>
      <c r="L620">
        <f>AVERAGE(K620:K622)</f>
        <v/>
      </c>
      <c r="M620">
        <f>STDEV(K620:K622)</f>
        <v/>
      </c>
      <c r="N620">
        <f>_xlfn.CONCAT(ROUND(L620,1)," ± ",ROUND(M620,1))</f>
        <v/>
      </c>
    </row>
    <row r="621">
      <c r="A621" t="n">
        <v>26</v>
      </c>
      <c r="B621" t="inlineStr">
        <is>
          <t>K3-2B</t>
        </is>
      </c>
      <c r="D621" t="n">
        <v>10.19</v>
      </c>
      <c r="E621" t="n">
        <v>38.302</v>
      </c>
      <c r="F621" t="n">
        <v>5271.769</v>
      </c>
      <c r="G621" t="n">
        <v>2.174</v>
      </c>
      <c r="H621">
        <f>E621/F621</f>
        <v/>
      </c>
      <c r="I621">
        <f>((H621-$J$595)/$I$595)</f>
        <v/>
      </c>
      <c r="J621">
        <f>(I621-IF($I$435&gt;0,$I$435,0))</f>
        <v/>
      </c>
      <c r="K621">
        <f>J621/R604*1.1</f>
        <v/>
      </c>
    </row>
    <row r="622">
      <c r="A622" t="n">
        <v>27</v>
      </c>
      <c r="B622" t="inlineStr">
        <is>
          <t>K3-2C</t>
        </is>
      </c>
      <c r="D622" t="n">
        <v>10.47</v>
      </c>
      <c r="E622" t="n">
        <v>7.129</v>
      </c>
      <c r="F622" t="n">
        <v>4675.447</v>
      </c>
      <c r="G622" t="n">
        <v>0.48</v>
      </c>
      <c r="H622">
        <f>E622/F622</f>
        <v/>
      </c>
      <c r="I622">
        <f>((H622-$J$595)/$I$595)</f>
        <v/>
      </c>
      <c r="J622">
        <f>(I622-IF($I$435&gt;0,$I$435,0))</f>
        <v/>
      </c>
      <c r="K622">
        <f>J622/R605*1.1</f>
        <v/>
      </c>
      <c r="L622" s="23" t="n"/>
      <c r="M622" s="23" t="n"/>
      <c r="N622" s="9" t="n"/>
    </row>
    <row r="623">
      <c r="A623" t="n">
        <v>28</v>
      </c>
      <c r="B623" t="inlineStr">
        <is>
          <t>MeOH</t>
        </is>
      </c>
      <c r="L623" s="23" t="inlineStr">
        <is>
          <t>Average</t>
        </is>
      </c>
      <c r="M623" s="23" t="inlineStr">
        <is>
          <t>Stdev</t>
        </is>
      </c>
      <c r="N623" s="9" t="inlineStr">
        <is>
          <t>Combined</t>
        </is>
      </c>
    </row>
    <row r="624">
      <c r="A624" t="n">
        <v>29</v>
      </c>
      <c r="B624" t="inlineStr">
        <is>
          <t>K3-3A</t>
        </is>
      </c>
      <c r="D624" t="n">
        <v>10.41</v>
      </c>
      <c r="E624" t="n">
        <v>1.364</v>
      </c>
      <c r="F624" t="n">
        <v>3868.886</v>
      </c>
      <c r="G624" t="n">
        <v>0.094</v>
      </c>
      <c r="H624">
        <f>E624/F624</f>
        <v/>
      </c>
      <c r="I624">
        <f>((H624-$J$595)/$I$595)</f>
        <v/>
      </c>
      <c r="J624">
        <f>(I624-IF($I$435&gt;0,$I$435,0))</f>
        <v/>
      </c>
      <c r="K624">
        <f>J624/R606*1.1</f>
        <v/>
      </c>
      <c r="L624">
        <f>AVERAGE(K624:K626)</f>
        <v/>
      </c>
      <c r="M624">
        <f>STDEV(K624:K626)</f>
        <v/>
      </c>
      <c r="N624">
        <f>_xlfn.CONCAT(ROUND(L624,1)," ± ",ROUND(M624,1))</f>
        <v/>
      </c>
    </row>
    <row r="625">
      <c r="A625" t="n">
        <v>30</v>
      </c>
      <c r="B625" t="inlineStr">
        <is>
          <t>K3-3B</t>
        </is>
      </c>
      <c r="D625" t="n">
        <v>10.38</v>
      </c>
      <c r="E625" t="n">
        <v>50.336</v>
      </c>
      <c r="F625" t="n">
        <v>5558.256</v>
      </c>
      <c r="G625" t="n">
        <v>4.258</v>
      </c>
      <c r="H625">
        <f>E625/F625</f>
        <v/>
      </c>
      <c r="I625">
        <f>((H625-$J$595)/$I$595)</f>
        <v/>
      </c>
      <c r="J625">
        <f>(I625-IF($I$435&gt;0,$I$435,0))</f>
        <v/>
      </c>
      <c r="K625">
        <f>J625/R607*1.1</f>
        <v/>
      </c>
    </row>
    <row r="626">
      <c r="A626" t="n">
        <v>31</v>
      </c>
      <c r="B626" t="inlineStr">
        <is>
          <t>K3-3C</t>
        </is>
      </c>
      <c r="D626" t="n">
        <v>10.42</v>
      </c>
      <c r="E626" t="n">
        <v>24.395</v>
      </c>
      <c r="F626" t="n">
        <v>5019.609</v>
      </c>
      <c r="G626" t="n">
        <v>0.856</v>
      </c>
      <c r="H626">
        <f>E626/F626</f>
        <v/>
      </c>
      <c r="I626">
        <f>((H626-$J$595)/$I$595)</f>
        <v/>
      </c>
      <c r="J626">
        <f>(I626-IF($I$435&gt;0,$I$435,0))</f>
        <v/>
      </c>
      <c r="K626">
        <f>J626/R608*1.1</f>
        <v/>
      </c>
      <c r="L626" s="23" t="inlineStr">
        <is>
          <t>Average</t>
        </is>
      </c>
      <c r="M626" s="23" t="inlineStr">
        <is>
          <t>Stdev</t>
        </is>
      </c>
      <c r="N626" s="9" t="inlineStr">
        <is>
          <t>Combined</t>
        </is>
      </c>
    </row>
    <row r="627">
      <c r="A627" t="n">
        <v>32</v>
      </c>
      <c r="B627" t="inlineStr">
        <is>
          <t>K3-4A</t>
        </is>
      </c>
      <c r="D627" t="n">
        <v>10.29</v>
      </c>
      <c r="E627" t="n">
        <v>5.991</v>
      </c>
      <c r="F627" t="n">
        <v>4571.521</v>
      </c>
      <c r="G627" t="n">
        <v>0.148</v>
      </c>
      <c r="H627">
        <f>E627/F627</f>
        <v/>
      </c>
      <c r="I627">
        <f>((H627-$J$595)/$I$595)</f>
        <v/>
      </c>
      <c r="J627">
        <f>(I627-IF($I$435&gt;0,$I$435,0))</f>
        <v/>
      </c>
      <c r="K627">
        <f>J627/R609*1.1</f>
        <v/>
      </c>
      <c r="L627">
        <f>AVERAGE(K627:K629)</f>
        <v/>
      </c>
      <c r="M627">
        <f>STDEV(K627:K629)</f>
        <v/>
      </c>
      <c r="N627">
        <f>_xlfn.CONCAT(ROUND(L627,1)," ± ",ROUND(M627,1))</f>
        <v/>
      </c>
    </row>
    <row r="628">
      <c r="A628" t="n">
        <v>33</v>
      </c>
      <c r="B628" t="inlineStr">
        <is>
          <t>K3-4B</t>
        </is>
      </c>
      <c r="D628" t="n">
        <v>10.63</v>
      </c>
      <c r="E628" t="n">
        <v>14.366</v>
      </c>
      <c r="F628" t="n">
        <v>5043.437</v>
      </c>
      <c r="G628" t="n">
        <v>0.669</v>
      </c>
      <c r="H628">
        <f>E628/F628</f>
        <v/>
      </c>
      <c r="I628">
        <f>((H628-$J$595)/$I$595)</f>
        <v/>
      </c>
      <c r="J628">
        <f>(I628-IF($I$435&gt;0,$I$435,0))</f>
        <v/>
      </c>
      <c r="K628">
        <f>J628/R610*1.1</f>
        <v/>
      </c>
    </row>
    <row r="629">
      <c r="A629" t="n">
        <v>34</v>
      </c>
      <c r="B629" t="inlineStr">
        <is>
          <t>K3-4C</t>
        </is>
      </c>
      <c r="D629" t="n">
        <v>10.46</v>
      </c>
      <c r="E629" t="n">
        <v>10.914</v>
      </c>
      <c r="F629" t="n">
        <v>5033.665</v>
      </c>
      <c r="G629" t="n">
        <v>0.717</v>
      </c>
      <c r="H629">
        <f>E629/F629</f>
        <v/>
      </c>
      <c r="I629">
        <f>((H629-$J$595)/$I$595)</f>
        <v/>
      </c>
      <c r="J629">
        <f>(I629-IF($I$435&gt;0,$I$435,0))</f>
        <v/>
      </c>
      <c r="K629">
        <f>J629/R611*1.1</f>
        <v/>
      </c>
      <c r="L629" s="23" t="n"/>
      <c r="M629" s="23" t="n"/>
      <c r="N629" s="9" t="n"/>
    </row>
    <row r="630">
      <c r="A630" t="n">
        <v>35</v>
      </c>
      <c r="B630" t="inlineStr">
        <is>
          <t>MeOH</t>
        </is>
      </c>
      <c r="L630" s="23" t="inlineStr">
        <is>
          <t>Average</t>
        </is>
      </c>
      <c r="M630" s="23" t="inlineStr">
        <is>
          <t>Stdev</t>
        </is>
      </c>
      <c r="N630" s="9" t="inlineStr">
        <is>
          <t>Combined</t>
        </is>
      </c>
    </row>
    <row r="631">
      <c r="A631" t="n">
        <v>36</v>
      </c>
      <c r="B631" t="inlineStr">
        <is>
          <t>K3-6A</t>
        </is>
      </c>
      <c r="D631" t="n">
        <v>10.37</v>
      </c>
      <c r="E631" t="n">
        <v>18.264</v>
      </c>
      <c r="F631" t="n">
        <v>3966.205</v>
      </c>
      <c r="G631" t="n">
        <v>0.991</v>
      </c>
      <c r="H631">
        <f>E631/F631</f>
        <v/>
      </c>
      <c r="I631">
        <f>((H631-$J$595)/$I$595)</f>
        <v/>
      </c>
      <c r="J631">
        <f>(I631-IF($I$435&gt;0,$I$435,0))</f>
        <v/>
      </c>
      <c r="K631">
        <f>J631/R612*1.1</f>
        <v/>
      </c>
      <c r="L631">
        <f>AVERAGE(K631:K633)</f>
        <v/>
      </c>
      <c r="M631">
        <f>STDEV(K631:K633)</f>
        <v/>
      </c>
      <c r="N631">
        <f>_xlfn.CONCAT(ROUND(L631,1)," ± ",ROUND(M631,1))</f>
        <v/>
      </c>
    </row>
    <row r="632">
      <c r="A632" t="n">
        <v>37</v>
      </c>
      <c r="B632" t="inlineStr">
        <is>
          <t>K3-6B</t>
        </is>
      </c>
      <c r="D632" t="n">
        <v>10.58</v>
      </c>
      <c r="E632" t="n">
        <v>40.268</v>
      </c>
      <c r="F632" t="n">
        <v>3977.533</v>
      </c>
      <c r="G632" t="n">
        <v>1.801</v>
      </c>
      <c r="H632">
        <f>E632/F632</f>
        <v/>
      </c>
      <c r="I632">
        <f>((H632-$J$595)/$I$595)</f>
        <v/>
      </c>
      <c r="J632">
        <f>(I632-IF($I$435&gt;0,$I$435,0))</f>
        <v/>
      </c>
      <c r="K632">
        <f>J632/R613*1.1</f>
        <v/>
      </c>
    </row>
    <row r="633">
      <c r="A633" t="n">
        <v>38</v>
      </c>
      <c r="B633" t="inlineStr">
        <is>
          <t>K3-6C</t>
        </is>
      </c>
      <c r="D633" t="n">
        <v>10.53</v>
      </c>
      <c r="E633" t="n">
        <v>21.086</v>
      </c>
      <c r="F633" t="n">
        <v>3666.082</v>
      </c>
      <c r="G633" t="n">
        <v>0.5669999999999999</v>
      </c>
      <c r="H633">
        <f>E633/F633</f>
        <v/>
      </c>
      <c r="I633">
        <f>((H633-$J$595)/$I$595)</f>
        <v/>
      </c>
      <c r="J633">
        <f>(I633-IF($I$435&gt;0,$I$435,0))</f>
        <v/>
      </c>
      <c r="K633">
        <f>J633/R614*1.1</f>
        <v/>
      </c>
      <c r="L633" s="23" t="n"/>
      <c r="M633" s="23" t="n"/>
      <c r="N633" s="9" t="n"/>
    </row>
    <row r="635">
      <c r="A635" t="inlineStr">
        <is>
          <t>Compound 16:  4-4 diPAP 2</t>
        </is>
      </c>
    </row>
    <row r="637">
      <c r="B637" t="inlineStr">
        <is>
          <t>Sample Text</t>
        </is>
      </c>
      <c r="C637" t="inlineStr">
        <is>
          <t>Std. Conc</t>
        </is>
      </c>
      <c r="D637" t="inlineStr">
        <is>
          <t>RT</t>
        </is>
      </c>
      <c r="E637" t="inlineStr">
        <is>
          <t>Area</t>
        </is>
      </c>
      <c r="F637" t="inlineStr">
        <is>
          <t>IS Area</t>
        </is>
      </c>
      <c r="G637" t="inlineStr">
        <is>
          <t>S/N</t>
        </is>
      </c>
      <c r="H637" t="inlineStr">
        <is>
          <t>Primary Flags</t>
        </is>
      </c>
      <c r="I637" t="inlineStr">
        <is>
          <t>Response</t>
        </is>
      </c>
      <c r="J637" t="inlineStr">
        <is>
          <t>Conc.</t>
        </is>
      </c>
      <c r="K637" t="inlineStr">
        <is>
          <t>Name</t>
        </is>
      </c>
    </row>
    <row r="638">
      <c r="A638" t="n">
        <v>1</v>
      </c>
      <c r="B638" t="inlineStr">
        <is>
          <t>EPA1633 &amp; diPAPs Calibration 0 ppb</t>
        </is>
      </c>
      <c r="D638" t="n">
        <v>10.89</v>
      </c>
      <c r="E638" t="n">
        <v>0.284</v>
      </c>
      <c r="F638" t="n">
        <v>19473.51</v>
      </c>
      <c r="G638" t="n">
        <v>2</v>
      </c>
      <c r="H638" t="inlineStr">
        <is>
          <t>bb</t>
        </is>
      </c>
      <c r="K638" t="inlineStr">
        <is>
          <t>20250617-12</t>
        </is>
      </c>
    </row>
    <row r="639">
      <c r="A639" t="n">
        <v>2</v>
      </c>
      <c r="B639" t="inlineStr">
        <is>
          <t>EPA1633 &amp; diPAPs Calibration 0.02 ppb</t>
        </is>
      </c>
      <c r="F639" t="n">
        <v>13285.255</v>
      </c>
      <c r="K639" t="inlineStr">
        <is>
          <t>20250617-13</t>
        </is>
      </c>
    </row>
    <row r="640">
      <c r="A640" t="n">
        <v>3</v>
      </c>
      <c r="B640" t="inlineStr">
        <is>
          <t>EPA1633 &amp; diPAPs Calibration 0.1 ppb</t>
        </is>
      </c>
      <c r="D640" t="n">
        <v>10.38</v>
      </c>
      <c r="E640" t="n">
        <v>3.168</v>
      </c>
      <c r="F640" t="n">
        <v>16010.102</v>
      </c>
      <c r="G640" t="n">
        <v>25</v>
      </c>
      <c r="H640" t="inlineStr">
        <is>
          <t>bb</t>
        </is>
      </c>
      <c r="K640" t="inlineStr">
        <is>
          <t>20250617-14</t>
        </is>
      </c>
    </row>
    <row r="641">
      <c r="A641" t="n">
        <v>4</v>
      </c>
      <c r="B641" t="inlineStr">
        <is>
          <t>EPA1633 &amp; diPAPs Calibration 0.4 ppb</t>
        </is>
      </c>
      <c r="D641" t="n">
        <v>10.37</v>
      </c>
      <c r="E641" t="n">
        <v>2.329</v>
      </c>
      <c r="F641" t="n">
        <v>14214.025</v>
      </c>
      <c r="G641" t="n">
        <v>19</v>
      </c>
      <c r="H641" t="inlineStr">
        <is>
          <t>bb</t>
        </is>
      </c>
      <c r="K641" t="inlineStr">
        <is>
          <t>20250617-15</t>
        </is>
      </c>
    </row>
    <row r="642">
      <c r="A642" t="n">
        <v>5</v>
      </c>
      <c r="B642" t="inlineStr">
        <is>
          <t>EPA1633 &amp; diPAPs Calibration 1 ppb</t>
        </is>
      </c>
      <c r="D642" t="n">
        <v>10.47</v>
      </c>
      <c r="E642" t="n">
        <v>53.885</v>
      </c>
      <c r="F642" t="n">
        <v>21931.449</v>
      </c>
      <c r="G642" t="n">
        <v>22.78</v>
      </c>
      <c r="H642" t="inlineStr">
        <is>
          <t>bb</t>
        </is>
      </c>
      <c r="K642" t="inlineStr">
        <is>
          <t>20250617-16</t>
        </is>
      </c>
    </row>
    <row r="643">
      <c r="A643" t="n">
        <v>6</v>
      </c>
      <c r="B643" t="inlineStr">
        <is>
          <t>EPA1633 &amp; diPAPs Calibration 5 ppb</t>
        </is>
      </c>
      <c r="D643" t="n">
        <v>10.42</v>
      </c>
      <c r="E643" t="n">
        <v>45.171</v>
      </c>
      <c r="F643" t="n">
        <v>17537.508</v>
      </c>
      <c r="G643" t="n">
        <v>291</v>
      </c>
      <c r="H643" t="inlineStr">
        <is>
          <t>bb</t>
        </is>
      </c>
      <c r="K643" t="inlineStr">
        <is>
          <t>20250617-17</t>
        </is>
      </c>
    </row>
    <row r="644">
      <c r="A644" t="n">
        <v>7</v>
      </c>
      <c r="B644" t="inlineStr">
        <is>
          <t>EPA1633 &amp; diPAPs Calibration 10 ppb</t>
        </is>
      </c>
      <c r="D644" t="n">
        <v>10.42</v>
      </c>
      <c r="E644" t="n">
        <v>103.986</v>
      </c>
      <c r="F644" t="n">
        <v>29293.133</v>
      </c>
      <c r="G644" t="n">
        <v>11.19</v>
      </c>
      <c r="H644" t="inlineStr">
        <is>
          <t>bb</t>
        </is>
      </c>
      <c r="K644" t="inlineStr">
        <is>
          <t>20250617-18</t>
        </is>
      </c>
    </row>
    <row r="645">
      <c r="A645" t="n">
        <v>8</v>
      </c>
      <c r="B645" t="inlineStr">
        <is>
          <t>EPA1633 &amp; diPAPs Calibration 20 ppb</t>
        </is>
      </c>
      <c r="D645" t="n">
        <v>10.47</v>
      </c>
      <c r="E645" t="n">
        <v>13.66</v>
      </c>
      <c r="F645" t="n">
        <v>13919.142</v>
      </c>
      <c r="G645" t="n">
        <v>88</v>
      </c>
      <c r="H645" t="inlineStr">
        <is>
          <t>bb</t>
        </is>
      </c>
      <c r="K645" t="inlineStr">
        <is>
          <t>20250617-19</t>
        </is>
      </c>
    </row>
    <row r="646">
      <c r="A646" t="n">
        <v>9</v>
      </c>
      <c r="B646" t="inlineStr">
        <is>
          <t>MeOH</t>
        </is>
      </c>
      <c r="K646" t="inlineStr">
        <is>
          <t>20250617-20</t>
        </is>
      </c>
    </row>
    <row r="647">
      <c r="A647" t="n">
        <v>10</v>
      </c>
      <c r="B647" t="inlineStr">
        <is>
          <t>MeOH</t>
        </is>
      </c>
      <c r="K647" t="inlineStr">
        <is>
          <t>20250617-21</t>
        </is>
      </c>
    </row>
    <row r="648">
      <c r="A648" t="n">
        <v>11</v>
      </c>
      <c r="B648" t="inlineStr">
        <is>
          <t>SB1</t>
        </is>
      </c>
      <c r="D648" t="n">
        <v>10.4</v>
      </c>
      <c r="E648" t="n">
        <v>0.575</v>
      </c>
      <c r="F648" t="n">
        <v>5289.194</v>
      </c>
      <c r="G648" t="n">
        <v>2</v>
      </c>
      <c r="H648" t="inlineStr">
        <is>
          <t>bb</t>
        </is>
      </c>
      <c r="K648" t="inlineStr">
        <is>
          <t>20250617-22</t>
        </is>
      </c>
    </row>
    <row r="649">
      <c r="A649" t="n">
        <v>12</v>
      </c>
      <c r="B649" t="inlineStr">
        <is>
          <t>SB2</t>
        </is>
      </c>
      <c r="F649" t="n">
        <v>6667.125</v>
      </c>
      <c r="K649" t="inlineStr">
        <is>
          <t>20250617-23</t>
        </is>
      </c>
    </row>
    <row r="650">
      <c r="A650" t="n">
        <v>13</v>
      </c>
      <c r="B650" t="inlineStr">
        <is>
          <t>SB3</t>
        </is>
      </c>
      <c r="D650" t="n">
        <v>10.56</v>
      </c>
      <c r="E650" t="n">
        <v>0.805</v>
      </c>
      <c r="F650" t="n">
        <v>5460.875</v>
      </c>
      <c r="G650" t="n">
        <v>6</v>
      </c>
      <c r="H650" t="inlineStr">
        <is>
          <t>bb</t>
        </is>
      </c>
      <c r="K650" t="inlineStr">
        <is>
          <t>20250617-24</t>
        </is>
      </c>
    </row>
    <row r="651">
      <c r="A651" t="n">
        <v>14</v>
      </c>
      <c r="B651" t="inlineStr">
        <is>
          <t>SS1</t>
        </is>
      </c>
      <c r="D651" t="n">
        <v>10.45</v>
      </c>
      <c r="E651" t="n">
        <v>7.832</v>
      </c>
      <c r="F651" t="n">
        <v>6517.947</v>
      </c>
      <c r="G651" t="n">
        <v>3.601</v>
      </c>
      <c r="H651" t="inlineStr">
        <is>
          <t>bb</t>
        </is>
      </c>
      <c r="K651" t="inlineStr">
        <is>
          <t>20250617-25</t>
        </is>
      </c>
    </row>
    <row r="652">
      <c r="A652" t="n">
        <v>15</v>
      </c>
      <c r="B652" t="inlineStr">
        <is>
          <t>SS2</t>
        </is>
      </c>
      <c r="D652" t="n">
        <v>10.43</v>
      </c>
      <c r="E652" t="n">
        <v>0.497</v>
      </c>
      <c r="F652" t="n">
        <v>6712.642</v>
      </c>
      <c r="G652" t="n">
        <v>4</v>
      </c>
      <c r="H652" t="inlineStr">
        <is>
          <t>bb</t>
        </is>
      </c>
      <c r="K652" t="inlineStr">
        <is>
          <t>20250617-26</t>
        </is>
      </c>
    </row>
    <row r="653">
      <c r="A653" t="n">
        <v>16</v>
      </c>
      <c r="B653" t="inlineStr">
        <is>
          <t>SS3</t>
        </is>
      </c>
      <c r="D653" t="n">
        <v>10.44</v>
      </c>
      <c r="E653" t="n">
        <v>29.113</v>
      </c>
      <c r="F653" t="n">
        <v>6363.637</v>
      </c>
      <c r="G653" t="n">
        <v>228</v>
      </c>
      <c r="H653" t="inlineStr">
        <is>
          <t>bb</t>
        </is>
      </c>
      <c r="K653" t="inlineStr">
        <is>
          <t>20250617-27</t>
        </is>
      </c>
    </row>
    <row r="654">
      <c r="A654" t="n">
        <v>17</v>
      </c>
      <c r="B654" t="inlineStr">
        <is>
          <t>MeOH</t>
        </is>
      </c>
      <c r="K654" t="inlineStr">
        <is>
          <t>20250617-28</t>
        </is>
      </c>
    </row>
    <row r="655">
      <c r="A655" t="n">
        <v>18</v>
      </c>
      <c r="B655" t="inlineStr">
        <is>
          <t>K4-5A</t>
        </is>
      </c>
      <c r="F655" t="n">
        <v>3930.075</v>
      </c>
      <c r="K655" t="inlineStr">
        <is>
          <t>20250617-29</t>
        </is>
      </c>
    </row>
    <row r="656">
      <c r="A656" t="n">
        <v>19</v>
      </c>
      <c r="B656" t="inlineStr">
        <is>
          <t>K4-5B</t>
        </is>
      </c>
      <c r="F656" t="n">
        <v>6277.964</v>
      </c>
      <c r="K656" t="inlineStr">
        <is>
          <t>20250617-30</t>
        </is>
      </c>
    </row>
    <row r="657">
      <c r="A657" t="n">
        <v>20</v>
      </c>
      <c r="B657" t="inlineStr">
        <is>
          <t>K4-5C</t>
        </is>
      </c>
      <c r="D657" t="n">
        <v>10.47</v>
      </c>
      <c r="E657" t="n">
        <v>0.168</v>
      </c>
      <c r="F657" t="n">
        <v>2207.119</v>
      </c>
      <c r="G657" t="n">
        <v>1</v>
      </c>
      <c r="H657" t="inlineStr">
        <is>
          <t>bb</t>
        </is>
      </c>
      <c r="K657" t="inlineStr">
        <is>
          <t>20250617-31</t>
        </is>
      </c>
    </row>
    <row r="658">
      <c r="A658" t="n">
        <v>21</v>
      </c>
      <c r="B658" t="inlineStr">
        <is>
          <t>MeOH</t>
        </is>
      </c>
      <c r="K658" t="inlineStr">
        <is>
          <t>20250617-32</t>
        </is>
      </c>
    </row>
    <row r="659">
      <c r="A659" t="n">
        <v>22</v>
      </c>
      <c r="B659" t="inlineStr">
        <is>
          <t>K3-1A</t>
        </is>
      </c>
      <c r="D659" t="n">
        <v>10.43</v>
      </c>
      <c r="E659" t="n">
        <v>18.049</v>
      </c>
      <c r="F659" t="n">
        <v>4603.346</v>
      </c>
      <c r="G659" t="n">
        <v>145</v>
      </c>
      <c r="H659" t="inlineStr">
        <is>
          <t>bb</t>
        </is>
      </c>
      <c r="K659" t="inlineStr">
        <is>
          <t>20250617-33</t>
        </is>
      </c>
    </row>
    <row r="660">
      <c r="A660" t="n">
        <v>23</v>
      </c>
      <c r="B660" t="inlineStr">
        <is>
          <t>K3-1B</t>
        </is>
      </c>
      <c r="F660" t="n">
        <v>4832.73</v>
      </c>
      <c r="K660" t="inlineStr">
        <is>
          <t>20250617-34</t>
        </is>
      </c>
    </row>
    <row r="661">
      <c r="A661" t="n">
        <v>24</v>
      </c>
      <c r="B661" t="inlineStr">
        <is>
          <t>K3-1C</t>
        </is>
      </c>
      <c r="D661" t="n">
        <v>10.59</v>
      </c>
      <c r="E661" t="n">
        <v>0.142</v>
      </c>
      <c r="F661" t="n">
        <v>5250.105</v>
      </c>
      <c r="G661" t="n">
        <v>1</v>
      </c>
      <c r="H661" t="inlineStr">
        <is>
          <t>bb</t>
        </is>
      </c>
      <c r="K661" t="inlineStr">
        <is>
          <t>20250617-35</t>
        </is>
      </c>
    </row>
    <row r="662">
      <c r="A662" t="n">
        <v>25</v>
      </c>
      <c r="B662" t="inlineStr">
        <is>
          <t>K3-2A</t>
        </is>
      </c>
      <c r="F662" t="n">
        <v>4574.33</v>
      </c>
      <c r="K662" t="inlineStr">
        <is>
          <t>20250617-36</t>
        </is>
      </c>
    </row>
    <row r="663">
      <c r="A663" t="n">
        <v>26</v>
      </c>
      <c r="B663" t="inlineStr">
        <is>
          <t>K3-2B</t>
        </is>
      </c>
      <c r="F663" t="n">
        <v>5271.769</v>
      </c>
      <c r="K663" t="inlineStr">
        <is>
          <t>20250617-37</t>
        </is>
      </c>
    </row>
    <row r="664">
      <c r="A664" t="n">
        <v>27</v>
      </c>
      <c r="B664" t="inlineStr">
        <is>
          <t>K3-2C</t>
        </is>
      </c>
      <c r="F664" t="n">
        <v>4675.447</v>
      </c>
      <c r="K664" t="inlineStr">
        <is>
          <t>20250617-38</t>
        </is>
      </c>
    </row>
    <row r="665">
      <c r="A665" t="n">
        <v>28</v>
      </c>
      <c r="B665" t="inlineStr">
        <is>
          <t>MeOH</t>
        </is>
      </c>
      <c r="K665" t="inlineStr">
        <is>
          <t>20250617-39</t>
        </is>
      </c>
    </row>
    <row r="666">
      <c r="A666" t="n">
        <v>29</v>
      </c>
      <c r="B666" t="inlineStr">
        <is>
          <t>K3-3A</t>
        </is>
      </c>
      <c r="F666" t="n">
        <v>3868.886</v>
      </c>
      <c r="K666" t="inlineStr">
        <is>
          <t>20250617-40</t>
        </is>
      </c>
    </row>
    <row r="667">
      <c r="A667" t="n">
        <v>30</v>
      </c>
      <c r="B667" t="inlineStr">
        <is>
          <t>K3-3B</t>
        </is>
      </c>
      <c r="F667" t="n">
        <v>5558.256</v>
      </c>
      <c r="K667" t="inlineStr">
        <is>
          <t>20250617-41</t>
        </is>
      </c>
    </row>
    <row r="668">
      <c r="A668" t="n">
        <v>31</v>
      </c>
      <c r="B668" t="inlineStr">
        <is>
          <t>K3-3C</t>
        </is>
      </c>
      <c r="F668" t="n">
        <v>5019.609</v>
      </c>
      <c r="K668" t="inlineStr">
        <is>
          <t>20250617-42</t>
        </is>
      </c>
    </row>
    <row r="669">
      <c r="A669" t="n">
        <v>32</v>
      </c>
      <c r="B669" t="inlineStr">
        <is>
          <t>K3-4A</t>
        </is>
      </c>
      <c r="F669" t="n">
        <v>4571.521</v>
      </c>
      <c r="K669" t="inlineStr">
        <is>
          <t>20250617-43</t>
        </is>
      </c>
    </row>
    <row r="670">
      <c r="A670" t="n">
        <v>33</v>
      </c>
      <c r="B670" t="inlineStr">
        <is>
          <t>K3-4B</t>
        </is>
      </c>
      <c r="D670" t="n">
        <v>10.58</v>
      </c>
      <c r="E670" t="n">
        <v>0.353</v>
      </c>
      <c r="F670" t="n">
        <v>5043.437</v>
      </c>
      <c r="G670" t="n">
        <v>3</v>
      </c>
      <c r="H670" t="inlineStr">
        <is>
          <t>bb</t>
        </is>
      </c>
      <c r="K670" t="inlineStr">
        <is>
          <t>20250617-44</t>
        </is>
      </c>
    </row>
    <row r="671">
      <c r="A671" t="n">
        <v>34</v>
      </c>
      <c r="B671" t="inlineStr">
        <is>
          <t>K3-4C</t>
        </is>
      </c>
      <c r="F671" t="n">
        <v>5033.665</v>
      </c>
      <c r="K671" t="inlineStr">
        <is>
          <t>20250617-45</t>
        </is>
      </c>
    </row>
    <row r="672">
      <c r="A672" t="n">
        <v>35</v>
      </c>
      <c r="B672" t="inlineStr">
        <is>
          <t>MeOH</t>
        </is>
      </c>
      <c r="K672" t="inlineStr">
        <is>
          <t>20250617-46</t>
        </is>
      </c>
    </row>
    <row r="673">
      <c r="A673" t="n">
        <v>36</v>
      </c>
      <c r="B673" t="inlineStr">
        <is>
          <t>K3-6A</t>
        </is>
      </c>
      <c r="F673" t="n">
        <v>3966.205</v>
      </c>
      <c r="K673" t="inlineStr">
        <is>
          <t>20250617-47</t>
        </is>
      </c>
    </row>
    <row r="674">
      <c r="A674" t="n">
        <v>37</v>
      </c>
      <c r="B674" t="inlineStr">
        <is>
          <t>K3-6B</t>
        </is>
      </c>
      <c r="D674" t="n">
        <v>10.42</v>
      </c>
      <c r="E674" t="n">
        <v>1.219</v>
      </c>
      <c r="F674" t="n">
        <v>3977.533</v>
      </c>
      <c r="G674" t="n">
        <v>10</v>
      </c>
      <c r="H674" t="inlineStr">
        <is>
          <t>bb</t>
        </is>
      </c>
      <c r="K674" t="inlineStr">
        <is>
          <t>20250617-48</t>
        </is>
      </c>
    </row>
    <row r="675">
      <c r="A675" t="n">
        <v>38</v>
      </c>
      <c r="B675" t="inlineStr">
        <is>
          <t>K3-6C</t>
        </is>
      </c>
      <c r="F675" t="n">
        <v>3666.082</v>
      </c>
      <c r="K675" t="inlineStr">
        <is>
          <t>20250617-49</t>
        </is>
      </c>
    </row>
    <row r="677">
      <c r="A677" t="inlineStr">
        <is>
          <t>Compound 17:  PFDPA 1</t>
        </is>
      </c>
    </row>
    <row r="678">
      <c r="I678" t="inlineStr">
        <is>
          <t>LINEST</t>
        </is>
      </c>
      <c r="Q678" t="inlineStr">
        <is>
          <t>Biosolids Masses</t>
        </is>
      </c>
      <c r="R678" t="inlineStr">
        <is>
          <t>(g)</t>
        </is>
      </c>
    </row>
    <row r="679">
      <c r="B679" t="inlineStr">
        <is>
          <t>Sample Text</t>
        </is>
      </c>
      <c r="C679" t="inlineStr">
        <is>
          <t>Std. Conc</t>
        </is>
      </c>
      <c r="D679" t="inlineStr">
        <is>
          <t>RT</t>
        </is>
      </c>
      <c r="E679" t="inlineStr">
        <is>
          <t>Area</t>
        </is>
      </c>
      <c r="F679" t="inlineStr">
        <is>
          <t>IS Area</t>
        </is>
      </c>
      <c r="G679" t="inlineStr">
        <is>
          <t>S/N</t>
        </is>
      </c>
      <c r="H679" t="inlineStr">
        <is>
          <t>ratio</t>
        </is>
      </c>
      <c r="I679">
        <f t="array" ref="I679:J683">LINEST(H680:H685,C680:C685,1,1)</f>
        <v/>
      </c>
      <c r="J679" t="n">
        <v>-0.3083388093039283</v>
      </c>
      <c r="L679" s="20" t="inlineStr">
        <is>
          <t>By S/N Ratio</t>
        </is>
      </c>
      <c r="Q679" t="inlineStr">
        <is>
          <t>SS1</t>
        </is>
      </c>
      <c r="R679" t="n">
        <v>1.0846</v>
      </c>
    </row>
    <row r="680">
      <c r="A680" t="n">
        <v>1</v>
      </c>
      <c r="B680" t="inlineStr">
        <is>
          <t>EPA1633 &amp; diPAPs Calibration 0 ppb</t>
        </is>
      </c>
      <c r="C680" t="n">
        <v>0</v>
      </c>
      <c r="D680" t="n">
        <v>7.99</v>
      </c>
      <c r="E680" t="n">
        <v>13.649</v>
      </c>
      <c r="F680" t="n">
        <v>1227.559</v>
      </c>
      <c r="G680" t="n">
        <v>4.575</v>
      </c>
      <c r="H680">
        <f>E680/F680</f>
        <v/>
      </c>
      <c r="I680" t="n">
        <v>0.04762991412138268</v>
      </c>
      <c r="J680" t="n">
        <v>0.2942536877987984</v>
      </c>
      <c r="K680" t="inlineStr">
        <is>
          <t>LOD</t>
        </is>
      </c>
      <c r="L680" s="21">
        <f>IF(G683&gt;3,C683,IF(G684&gt;3,#REF!,IF(G685&gt;3,C685,IF(G686&gt;3,C686,C687))))</f>
        <v/>
      </c>
      <c r="Q680" t="inlineStr">
        <is>
          <t>SS2</t>
        </is>
      </c>
      <c r="R680" t="n">
        <v>1.0726</v>
      </c>
    </row>
    <row r="681">
      <c r="A681" t="n">
        <v>2</v>
      </c>
      <c r="B681" t="inlineStr">
        <is>
          <t>EPA1633 &amp; diPAPs Calibration 0.02 ppb</t>
        </is>
      </c>
      <c r="C681" t="n">
        <v>1</v>
      </c>
      <c r="D681" t="n">
        <v>8</v>
      </c>
      <c r="E681" t="n">
        <v>783.274</v>
      </c>
      <c r="F681" t="n">
        <v>1045.628</v>
      </c>
      <c r="G681" t="n">
        <v>137.49</v>
      </c>
      <c r="H681">
        <f>E681/F681</f>
        <v/>
      </c>
      <c r="I681" t="n">
        <v>0.9854656959477454</v>
      </c>
      <c r="J681" t="n">
        <v>0.4938374604210439</v>
      </c>
      <c r="K681" t="inlineStr">
        <is>
          <t>LOQ</t>
        </is>
      </c>
      <c r="L681" s="22">
        <f>IF(G683&gt;10,C683,IF(G684&gt;10,#REF!,IF(G685&gt;10,C685,IF(G686&gt;10,C686,C687))))</f>
        <v/>
      </c>
      <c r="Q681" t="inlineStr">
        <is>
          <t>SS3</t>
        </is>
      </c>
      <c r="R681" t="n">
        <v>1.1534</v>
      </c>
    </row>
    <row r="682">
      <c r="A682" t="n">
        <v>3</v>
      </c>
      <c r="B682" t="inlineStr">
        <is>
          <t>EPA1633 &amp; diPAPs Calibration 0.1 ppb</t>
        </is>
      </c>
      <c r="C682" t="n">
        <v>2</v>
      </c>
      <c r="D682" t="n">
        <v>8.01</v>
      </c>
      <c r="E682" t="n">
        <v>1456.614</v>
      </c>
      <c r="F682" t="n">
        <v>1280.389</v>
      </c>
      <c r="G682" t="n">
        <v>353.637</v>
      </c>
      <c r="H682">
        <f>E682/F682</f>
        <v/>
      </c>
      <c r="I682" t="n">
        <v>271.2109757453102</v>
      </c>
      <c r="J682" t="n">
        <v>4</v>
      </c>
      <c r="Q682" t="inlineStr">
        <is>
          <t>K4-5A</t>
        </is>
      </c>
      <c r="R682" t="n">
        <v>1.1054</v>
      </c>
    </row>
    <row r="683">
      <c r="A683" t="n">
        <v>4</v>
      </c>
      <c r="B683" t="inlineStr">
        <is>
          <t>EPA1633 &amp; diPAPs Calibration 0.4 ppb</t>
        </is>
      </c>
      <c r="C683" t="n">
        <v>4</v>
      </c>
      <c r="D683" t="n">
        <v>8.01</v>
      </c>
      <c r="E683" t="n">
        <v>2744.167</v>
      </c>
      <c r="F683" t="n">
        <v>1133.632</v>
      </c>
      <c r="G683" t="n">
        <v>404.362</v>
      </c>
      <c r="H683">
        <f>E683/F683</f>
        <v/>
      </c>
      <c r="I683" t="n">
        <v>66.14169531454417</v>
      </c>
      <c r="J683" t="n">
        <v>0.9755017492604243</v>
      </c>
      <c r="Q683" t="inlineStr">
        <is>
          <t>K4-5B</t>
        </is>
      </c>
      <c r="R683" s="10" t="n">
        <v>1.0463</v>
      </c>
    </row>
    <row r="684">
      <c r="A684" t="n">
        <v>5</v>
      </c>
      <c r="B684" t="inlineStr">
        <is>
          <t>EPA1633 &amp; diPAPs Calibration 1 ppb</t>
        </is>
      </c>
      <c r="C684" t="n">
        <v>8</v>
      </c>
      <c r="D684" t="n">
        <v>8.02</v>
      </c>
      <c r="E684" t="n">
        <v>7697.304</v>
      </c>
      <c r="F684" t="n">
        <v>1430.277</v>
      </c>
      <c r="G684" t="n">
        <v>1254.453</v>
      </c>
      <c r="H684">
        <f>E684/F684</f>
        <v/>
      </c>
      <c r="Q684" t="inlineStr">
        <is>
          <t>K4-5C</t>
        </is>
      </c>
      <c r="R684" t="n">
        <v>1.1155</v>
      </c>
    </row>
    <row r="685">
      <c r="A685" t="n">
        <v>6</v>
      </c>
      <c r="B685" t="inlineStr">
        <is>
          <t>EPA1633 &amp; diPAPs Calibration 5 ppb</t>
        </is>
      </c>
      <c r="C685" t="n">
        <v>12</v>
      </c>
      <c r="D685" t="n">
        <v>8.02</v>
      </c>
      <c r="E685" t="n">
        <v>9293.239</v>
      </c>
      <c r="F685" t="n">
        <v>965.196</v>
      </c>
      <c r="G685" t="n">
        <v>149.068</v>
      </c>
      <c r="H685">
        <f>E685/F685</f>
        <v/>
      </c>
      <c r="Q685" t="inlineStr">
        <is>
          <t>K3-1A</t>
        </is>
      </c>
      <c r="R685" t="n">
        <v>1.0874</v>
      </c>
    </row>
    <row r="686">
      <c r="A686" t="n">
        <v>7</v>
      </c>
      <c r="B686" t="inlineStr">
        <is>
          <t>EPA1633 &amp; diPAPs Calibration 10 ppb</t>
        </is>
      </c>
      <c r="C686" t="n">
        <v>16</v>
      </c>
      <c r="D686" t="n">
        <v>8.029999999999999</v>
      </c>
      <c r="E686" t="n">
        <v>18564.74</v>
      </c>
      <c r="F686" t="n">
        <v>990.528</v>
      </c>
      <c r="G686" t="n">
        <v>2806.863</v>
      </c>
      <c r="H686">
        <f>E686/F686</f>
        <v/>
      </c>
      <c r="I686" s="23" t="inlineStr">
        <is>
          <t>Background</t>
        </is>
      </c>
      <c r="J686" s="23" t="inlineStr">
        <is>
          <t>Spike</t>
        </is>
      </c>
      <c r="K686" s="9" t="inlineStr">
        <is>
          <t>Old Spike</t>
        </is>
      </c>
      <c r="O686" s="24" t="inlineStr">
        <is>
          <t>±</t>
        </is>
      </c>
      <c r="Q686" t="inlineStr">
        <is>
          <t>K3-1B</t>
        </is>
      </c>
      <c r="R686" t="n">
        <v>1.0898</v>
      </c>
    </row>
    <row r="687">
      <c r="A687" t="n">
        <v>8</v>
      </c>
      <c r="B687" t="inlineStr">
        <is>
          <t>EPA1633 &amp; diPAPs Calibration 20 ppb</t>
        </is>
      </c>
      <c r="C687" t="n">
        <v>20</v>
      </c>
      <c r="D687" t="n">
        <v>8.029999999999999</v>
      </c>
      <c r="E687" t="n">
        <v>9196.120999999999</v>
      </c>
      <c r="F687" t="n">
        <v>107.462</v>
      </c>
      <c r="G687" t="n">
        <v>1150.944</v>
      </c>
      <c r="H687">
        <f>E687/F687</f>
        <v/>
      </c>
      <c r="I687">
        <f>AVERAGE(I690:I692)</f>
        <v/>
      </c>
      <c r="J687" t="n">
        <v>17.6</v>
      </c>
      <c r="Q687" t="inlineStr">
        <is>
          <t>K3-1C</t>
        </is>
      </c>
      <c r="R687" t="n">
        <v>1.0536</v>
      </c>
    </row>
    <row r="688">
      <c r="A688" t="n">
        <v>9</v>
      </c>
      <c r="B688" t="inlineStr">
        <is>
          <t>MeOH</t>
        </is>
      </c>
      <c r="I688" s="23" t="inlineStr">
        <is>
          <t>Conc.In Vial (ppb)</t>
        </is>
      </c>
      <c r="J688" s="9" t="inlineStr">
        <is>
          <t>Corr. Conc.(ppb)</t>
        </is>
      </c>
      <c r="K688" s="9" t="inlineStr">
        <is>
          <t>Conc. In soil (ng/g)</t>
        </is>
      </c>
      <c r="Q688" t="inlineStr">
        <is>
          <t>K3-2A</t>
        </is>
      </c>
      <c r="R688" s="10" t="n">
        <v>1.1218</v>
      </c>
    </row>
    <row r="689">
      <c r="A689" t="n">
        <v>10</v>
      </c>
      <c r="B689" t="inlineStr">
        <is>
          <t>MeOH</t>
        </is>
      </c>
      <c r="L689" s="23" t="inlineStr">
        <is>
          <t>Average</t>
        </is>
      </c>
      <c r="M689" s="23" t="inlineStr">
        <is>
          <t>Stdev</t>
        </is>
      </c>
      <c r="N689" s="9" t="inlineStr">
        <is>
          <t>Combined</t>
        </is>
      </c>
      <c r="O689" s="9" t="n"/>
      <c r="P689" s="9" t="n"/>
      <c r="Q689" t="inlineStr">
        <is>
          <t>K3-2B</t>
        </is>
      </c>
      <c r="R689" t="n">
        <v>1.198</v>
      </c>
    </row>
    <row r="690">
      <c r="A690" t="n">
        <v>11</v>
      </c>
      <c r="B690" t="inlineStr">
        <is>
          <t>SB1</t>
        </is>
      </c>
      <c r="D690" t="n">
        <v>8.029999999999999</v>
      </c>
      <c r="E690" t="n">
        <v>5.686</v>
      </c>
      <c r="F690" t="n">
        <v>642.432</v>
      </c>
      <c r="G690" t="n">
        <v>65</v>
      </c>
      <c r="H690">
        <f>E690/F690</f>
        <v/>
      </c>
      <c r="I690">
        <f>((H690-$J$679)/$I$679)</f>
        <v/>
      </c>
      <c r="J690">
        <f>(I690-IF(I687&gt;0,I687,0))</f>
        <v/>
      </c>
      <c r="K690">
        <f>J690*1.1</f>
        <v/>
      </c>
      <c r="L690">
        <f>AVERAGE(K690:K692)</f>
        <v/>
      </c>
      <c r="M690">
        <f>STDEV(K691:K692)</f>
        <v/>
      </c>
      <c r="N690">
        <f>_xlfn.CONCAT(ROUND(L690,1)," ± ",ROUND(M690,1))</f>
        <v/>
      </c>
      <c r="Q690" t="inlineStr">
        <is>
          <t>K3-2C</t>
        </is>
      </c>
      <c r="R690" t="n">
        <v>1.1538</v>
      </c>
    </row>
    <row r="691">
      <c r="A691" t="n">
        <v>12</v>
      </c>
      <c r="B691" t="inlineStr">
        <is>
          <t>SB2</t>
        </is>
      </c>
      <c r="D691" t="n">
        <v>8.08</v>
      </c>
      <c r="E691" t="n">
        <v>3.05</v>
      </c>
      <c r="F691" t="n">
        <v>524.691</v>
      </c>
      <c r="G691" t="n">
        <v>40</v>
      </c>
      <c r="H691">
        <f>E691/F691</f>
        <v/>
      </c>
      <c r="I691">
        <f>((H691-$J$679)/$I$679)</f>
        <v/>
      </c>
      <c r="J691">
        <f>(I691-IF(I687&gt;0,I687,0))</f>
        <v/>
      </c>
      <c r="K691">
        <f>J691*1.1</f>
        <v/>
      </c>
      <c r="Q691" t="inlineStr">
        <is>
          <t>K3-3A</t>
        </is>
      </c>
      <c r="R691" t="n">
        <v>1.1183</v>
      </c>
    </row>
    <row r="692">
      <c r="A692" t="n">
        <v>13</v>
      </c>
      <c r="B692" t="inlineStr">
        <is>
          <t>SB3</t>
        </is>
      </c>
      <c r="D692" t="n">
        <v>8.01</v>
      </c>
      <c r="E692" t="n">
        <v>2.77</v>
      </c>
      <c r="F692" t="n">
        <v>583.399</v>
      </c>
      <c r="G692" t="n">
        <v>6.702</v>
      </c>
      <c r="H692">
        <f>E692/F692</f>
        <v/>
      </c>
      <c r="I692">
        <f>((H692-$J$679)/$I$679)</f>
        <v/>
      </c>
      <c r="J692">
        <f>(I692-IF(I687&gt;0,I687,0))</f>
        <v/>
      </c>
      <c r="K692" s="30">
        <f>J692*1.1</f>
        <v/>
      </c>
      <c r="L692" s="25" t="inlineStr">
        <is>
          <t>Average</t>
        </is>
      </c>
      <c r="M692" s="25" t="inlineStr">
        <is>
          <t>Stdev</t>
        </is>
      </c>
      <c r="N692" s="26" t="inlineStr">
        <is>
          <t>%Recovery</t>
        </is>
      </c>
      <c r="O692" s="26" t="inlineStr">
        <is>
          <t>Uncertainty</t>
        </is>
      </c>
      <c r="P692" s="26" t="inlineStr">
        <is>
          <t>Combined</t>
        </is>
      </c>
      <c r="Q692" t="inlineStr">
        <is>
          <t>K3-3B</t>
        </is>
      </c>
      <c r="R692" t="n">
        <v>1.1448</v>
      </c>
    </row>
    <row r="693">
      <c r="A693" t="n">
        <v>14</v>
      </c>
      <c r="B693" t="inlineStr">
        <is>
          <t>SS1</t>
        </is>
      </c>
      <c r="D693" t="n">
        <v>8.050000000000001</v>
      </c>
      <c r="E693" t="n">
        <v>3171.095</v>
      </c>
      <c r="F693" t="n">
        <v>504.42</v>
      </c>
      <c r="G693" t="n">
        <v>5121.907</v>
      </c>
      <c r="H693">
        <f>E693/F693</f>
        <v/>
      </c>
      <c r="I693">
        <f>((H693-$J$679)/$I$679)</f>
        <v/>
      </c>
      <c r="J693">
        <f>(I693-IF($I$687&gt;0,$I$687,0))</f>
        <v/>
      </c>
      <c r="K693">
        <f>J693/R679*1.1</f>
        <v/>
      </c>
      <c r="L693" s="27">
        <f>AVERAGE(K693:K695)</f>
        <v/>
      </c>
      <c r="M693" s="27">
        <f>STDEV(K693:K695)</f>
        <v/>
      </c>
      <c r="N693" s="28">
        <f>L693/J687*100</f>
        <v/>
      </c>
      <c r="O693" s="29">
        <f>M693/J687*100</f>
        <v/>
      </c>
      <c r="P693" s="29">
        <f>_xlfn.CONCAT(ROUND(N693,1)," ± ",ROUND(O693,1))</f>
        <v/>
      </c>
      <c r="Q693" t="inlineStr">
        <is>
          <t>K3-3C</t>
        </is>
      </c>
      <c r="R693" t="n">
        <v>1.0493</v>
      </c>
    </row>
    <row r="694">
      <c r="A694" t="n">
        <v>15</v>
      </c>
      <c r="B694" t="inlineStr">
        <is>
          <t>SS2</t>
        </is>
      </c>
      <c r="D694" t="n">
        <v>8.050000000000001</v>
      </c>
      <c r="E694" t="n">
        <v>3443.782</v>
      </c>
      <c r="F694" t="n">
        <v>614.583</v>
      </c>
      <c r="G694" t="n">
        <v>510.93</v>
      </c>
      <c r="H694">
        <f>E694/F694</f>
        <v/>
      </c>
      <c r="I694">
        <f>((H694-$J$679)/$I$679)</f>
        <v/>
      </c>
      <c r="J694">
        <f>(I694-IF($I$687&gt;0,$I$687,0))</f>
        <v/>
      </c>
      <c r="K694">
        <f>J694/R680*1.1</f>
        <v/>
      </c>
      <c r="Q694" t="inlineStr">
        <is>
          <t>K3-4A</t>
        </is>
      </c>
      <c r="R694" t="n">
        <v>1.0704</v>
      </c>
    </row>
    <row r="695">
      <c r="A695" t="n">
        <v>16</v>
      </c>
      <c r="B695" t="inlineStr">
        <is>
          <t>SS3</t>
        </is>
      </c>
      <c r="D695" t="n">
        <v>8.050000000000001</v>
      </c>
      <c r="E695" t="n">
        <v>2998.965</v>
      </c>
      <c r="F695" t="n">
        <v>590.708</v>
      </c>
      <c r="G695" t="n">
        <v>27890</v>
      </c>
      <c r="H695">
        <f>E695/F695</f>
        <v/>
      </c>
      <c r="I695">
        <f>((H695-$J$679)/$I$679)</f>
        <v/>
      </c>
      <c r="J695">
        <f>(I695-IF($I$687&gt;0,$I$687,0))</f>
        <v/>
      </c>
      <c r="K695" s="30">
        <f>J695/R681*1.1</f>
        <v/>
      </c>
      <c r="Q695" t="inlineStr">
        <is>
          <t>K3-4B</t>
        </is>
      </c>
      <c r="R695" t="n">
        <v>1.1589</v>
      </c>
    </row>
    <row r="696">
      <c r="A696" t="n">
        <v>17</v>
      </c>
      <c r="B696" t="inlineStr">
        <is>
          <t>MeOH</t>
        </is>
      </c>
      <c r="L696" s="23" t="inlineStr">
        <is>
          <t>Average</t>
        </is>
      </c>
      <c r="M696" s="23" t="inlineStr">
        <is>
          <t>Stdev</t>
        </is>
      </c>
      <c r="N696" s="9" t="inlineStr">
        <is>
          <t>Combined</t>
        </is>
      </c>
      <c r="Q696" t="inlineStr">
        <is>
          <t>K3-4C</t>
        </is>
      </c>
      <c r="R696" t="n">
        <v>1.0206</v>
      </c>
    </row>
    <row r="697">
      <c r="A697" t="n">
        <v>18</v>
      </c>
      <c r="B697" t="inlineStr">
        <is>
          <t>K4-5A</t>
        </is>
      </c>
      <c r="D697" t="n">
        <v>8.07</v>
      </c>
      <c r="E697" t="n">
        <v>6.551</v>
      </c>
      <c r="F697" t="n">
        <v>465.479</v>
      </c>
      <c r="G697" t="n">
        <v>5.676</v>
      </c>
      <c r="H697">
        <f>E697/F697</f>
        <v/>
      </c>
      <c r="I697">
        <f>((H697-$J$679)/$I$679)</f>
        <v/>
      </c>
      <c r="J697">
        <f>(I697-IF($I$687&gt;0,$I$687,0))</f>
        <v/>
      </c>
      <c r="K697">
        <f>J697/R681*1.1</f>
        <v/>
      </c>
      <c r="L697">
        <f>AVERAGE(K697:K699)</f>
        <v/>
      </c>
      <c r="M697">
        <f>STDEV(K697:K699)</f>
        <v/>
      </c>
      <c r="N697">
        <f>_xlfn.CONCAT(ROUND(L697,1)," ± ",ROUND(M697,1))</f>
        <v/>
      </c>
      <c r="Q697" t="inlineStr">
        <is>
          <t>K3-6A</t>
        </is>
      </c>
      <c r="R697" t="n">
        <v>1.1289</v>
      </c>
    </row>
    <row r="698">
      <c r="A698" t="n">
        <v>19</v>
      </c>
      <c r="B698" t="inlineStr">
        <is>
          <t>K4-5B</t>
        </is>
      </c>
      <c r="D698" t="n">
        <v>8.15</v>
      </c>
      <c r="E698" t="n">
        <v>5.728</v>
      </c>
      <c r="F698" t="n">
        <v>473.146</v>
      </c>
      <c r="G698" t="n">
        <v>49</v>
      </c>
      <c r="H698">
        <f>E698/F698</f>
        <v/>
      </c>
      <c r="I698">
        <f>((H698-$J$679)/$I$679)</f>
        <v/>
      </c>
      <c r="J698">
        <f>(I698-IF($I$687&gt;0,$I$687,0))</f>
        <v/>
      </c>
      <c r="K698">
        <f>J698/R682*1.1</f>
        <v/>
      </c>
      <c r="Q698" t="inlineStr">
        <is>
          <t>K3-6B</t>
        </is>
      </c>
      <c r="R698" t="n">
        <v>1.195</v>
      </c>
    </row>
    <row r="699">
      <c r="A699" t="n">
        <v>20</v>
      </c>
      <c r="B699" t="inlineStr">
        <is>
          <t>K4-5C</t>
        </is>
      </c>
      <c r="D699" t="n">
        <v>8.17</v>
      </c>
      <c r="E699" t="n">
        <v>3.491</v>
      </c>
      <c r="F699" t="n">
        <v>535.058</v>
      </c>
      <c r="G699" t="n">
        <v>35</v>
      </c>
      <c r="H699">
        <f>E699/F699</f>
        <v/>
      </c>
      <c r="I699">
        <f>((H699-$J$679)/$I$679)</f>
        <v/>
      </c>
      <c r="J699">
        <f>(I699-IF($I$687&gt;0,$I$687,0))</f>
        <v/>
      </c>
      <c r="K699">
        <f>J699/R683*1.1</f>
        <v/>
      </c>
      <c r="L699" s="23" t="n"/>
      <c r="M699" s="23" t="n"/>
      <c r="N699" s="9" t="n"/>
      <c r="Q699" t="inlineStr">
        <is>
          <t>K3-6C</t>
        </is>
      </c>
      <c r="R699" t="n">
        <v>1.1716</v>
      </c>
    </row>
    <row r="700">
      <c r="A700" t="n">
        <v>21</v>
      </c>
      <c r="B700" t="inlineStr">
        <is>
          <t>MeOH</t>
        </is>
      </c>
      <c r="L700" s="23" t="inlineStr">
        <is>
          <t>Average</t>
        </is>
      </c>
      <c r="M700" s="23" t="inlineStr">
        <is>
          <t>Stdev</t>
        </is>
      </c>
      <c r="N700" s="9" t="inlineStr">
        <is>
          <t>Combined</t>
        </is>
      </c>
    </row>
    <row r="701">
      <c r="A701" t="n">
        <v>22</v>
      </c>
      <c r="B701" t="inlineStr">
        <is>
          <t>K3-1A</t>
        </is>
      </c>
      <c r="D701" t="n">
        <v>8.130000000000001</v>
      </c>
      <c r="E701" t="n">
        <v>0.569</v>
      </c>
      <c r="F701" t="n">
        <v>415.837</v>
      </c>
      <c r="G701" t="n">
        <v>6</v>
      </c>
      <c r="H701">
        <f>E701/F701</f>
        <v/>
      </c>
      <c r="I701">
        <f>((H701-$J$679)/$I$679)</f>
        <v/>
      </c>
      <c r="J701">
        <f>(I701-IF($I$687&gt;0,$I$687,0))</f>
        <v/>
      </c>
      <c r="K701">
        <f>J701/R684*1.1</f>
        <v/>
      </c>
      <c r="L701">
        <f>AVERAGE(K701:K703)</f>
        <v/>
      </c>
      <c r="M701">
        <f>STDEV(K702:K703)</f>
        <v/>
      </c>
      <c r="N701">
        <f>_xlfn.CONCAT(ROUND(L701,1)," ± ",ROUND(M701,1))</f>
        <v/>
      </c>
    </row>
    <row r="702">
      <c r="A702" t="n">
        <v>23</v>
      </c>
      <c r="B702" t="inlineStr">
        <is>
          <t>K3-1B</t>
        </is>
      </c>
      <c r="D702" t="n">
        <v>7.79</v>
      </c>
      <c r="E702" t="n">
        <v>0.218</v>
      </c>
      <c r="F702" t="n">
        <v>487.725</v>
      </c>
      <c r="G702" t="n">
        <v>3</v>
      </c>
      <c r="H702">
        <f>E702/F702</f>
        <v/>
      </c>
      <c r="I702">
        <f>((H702-$J$679)/$I$679)</f>
        <v/>
      </c>
      <c r="J702">
        <f>(I702-IF($I$687&gt;0,$I$687,0))</f>
        <v/>
      </c>
      <c r="K702">
        <f>J702/R685*1.1</f>
        <v/>
      </c>
    </row>
    <row r="703">
      <c r="A703" t="n">
        <v>24</v>
      </c>
      <c r="B703" t="inlineStr">
        <is>
          <t>K3-1C</t>
        </is>
      </c>
      <c r="D703" t="n">
        <v>7.6</v>
      </c>
      <c r="E703" t="n">
        <v>0.154</v>
      </c>
      <c r="F703" t="n">
        <v>444.802</v>
      </c>
      <c r="G703" t="n">
        <v>2</v>
      </c>
      <c r="H703">
        <f>E703/F703</f>
        <v/>
      </c>
      <c r="I703">
        <f>((H703-$J$679)/$I$679)</f>
        <v/>
      </c>
      <c r="J703">
        <f>(I703-IF($I$687&gt;0,$I$687,0))</f>
        <v/>
      </c>
      <c r="K703">
        <f>J703/R686*1.1</f>
        <v/>
      </c>
      <c r="L703" s="23" t="inlineStr">
        <is>
          <t>Average</t>
        </is>
      </c>
      <c r="M703" s="23" t="inlineStr">
        <is>
          <t>Stdev</t>
        </is>
      </c>
      <c r="N703" s="9" t="inlineStr">
        <is>
          <t>Combined</t>
        </is>
      </c>
    </row>
    <row r="704">
      <c r="A704" t="n">
        <v>25</v>
      </c>
      <c r="B704" t="inlineStr">
        <is>
          <t>K3-2A</t>
        </is>
      </c>
      <c r="D704" t="n">
        <v>7.78</v>
      </c>
      <c r="E704" t="n">
        <v>0.381</v>
      </c>
      <c r="F704" t="n">
        <v>380.911</v>
      </c>
      <c r="G704" t="n">
        <v>1.613</v>
      </c>
      <c r="H704">
        <f>E704/F704</f>
        <v/>
      </c>
      <c r="I704">
        <f>((H704-$J$679)/$I$679)</f>
        <v/>
      </c>
      <c r="J704">
        <f>(I704-IF($I$687&gt;0,$I$687,0))</f>
        <v/>
      </c>
      <c r="K704">
        <f>J704/R687*1.1</f>
        <v/>
      </c>
      <c r="L704">
        <f>AVERAGE(K704:K706)</f>
        <v/>
      </c>
      <c r="M704">
        <f>STDEV(K704:K706)</f>
        <v/>
      </c>
      <c r="N704">
        <f>_xlfn.CONCAT(ROUND(L704,1)," ± ",ROUND(M704,1))</f>
        <v/>
      </c>
    </row>
    <row r="705">
      <c r="A705" t="n">
        <v>26</v>
      </c>
      <c r="B705" t="inlineStr">
        <is>
          <t>K3-2B</t>
        </is>
      </c>
      <c r="D705" t="n">
        <v>8.300000000000001</v>
      </c>
      <c r="E705" t="n">
        <v>0.08</v>
      </c>
      <c r="F705" t="n">
        <v>557.828</v>
      </c>
      <c r="G705" t="n">
        <v>1</v>
      </c>
      <c r="H705">
        <f>E705/F705</f>
        <v/>
      </c>
      <c r="I705">
        <f>((H705-$J$679)/$I$679)</f>
        <v/>
      </c>
      <c r="J705">
        <f>(I705-IF($I$687&gt;0,$I$687,0))</f>
        <v/>
      </c>
      <c r="K705">
        <f>J705/R688*1.1</f>
        <v/>
      </c>
    </row>
    <row r="706">
      <c r="A706" t="n">
        <v>27</v>
      </c>
      <c r="B706" t="inlineStr">
        <is>
          <t>K3-2C</t>
        </is>
      </c>
      <c r="D706" t="n">
        <v>8.49</v>
      </c>
      <c r="E706" t="n">
        <v>0.14</v>
      </c>
      <c r="F706" t="n">
        <v>472.435</v>
      </c>
      <c r="G706" t="n">
        <v>2</v>
      </c>
      <c r="H706">
        <f>E706/F706</f>
        <v/>
      </c>
      <c r="I706">
        <f>((H706-$J$679)/$I$679)</f>
        <v/>
      </c>
      <c r="J706">
        <f>(I706-IF($I$687&gt;0,$I$687,0))</f>
        <v/>
      </c>
      <c r="K706">
        <f>J706/R689*1.1</f>
        <v/>
      </c>
      <c r="L706" s="23" t="n"/>
      <c r="M706" s="23" t="n"/>
      <c r="N706" s="9" t="n"/>
    </row>
    <row r="707">
      <c r="A707" t="n">
        <v>28</v>
      </c>
      <c r="B707" t="inlineStr">
        <is>
          <t>MeOH</t>
        </is>
      </c>
      <c r="L707" s="23" t="inlineStr">
        <is>
          <t>Average</t>
        </is>
      </c>
      <c r="M707" s="23" t="inlineStr">
        <is>
          <t>Stdev</t>
        </is>
      </c>
      <c r="N707" s="9" t="inlineStr">
        <is>
          <t>Combined</t>
        </is>
      </c>
    </row>
    <row r="708">
      <c r="A708" t="n">
        <v>29</v>
      </c>
      <c r="B708" t="inlineStr">
        <is>
          <t>K3-3A</t>
        </is>
      </c>
      <c r="F708" t="n">
        <v>418.769</v>
      </c>
      <c r="H708">
        <f>E708/F708</f>
        <v/>
      </c>
      <c r="I708">
        <f>((H708-$J$679)/$I$679)</f>
        <v/>
      </c>
      <c r="J708">
        <f>(I708-IF($I$687&gt;0,$I$687,0))</f>
        <v/>
      </c>
      <c r="K708">
        <f>J708/R690*1.1</f>
        <v/>
      </c>
      <c r="L708">
        <f>AVERAGE(K708:K710)</f>
        <v/>
      </c>
      <c r="M708">
        <f>STDEV(K709:K710)</f>
        <v/>
      </c>
      <c r="N708">
        <f>_xlfn.CONCAT(ROUND(L708,1)," ± ",ROUND(M708,1))</f>
        <v/>
      </c>
    </row>
    <row r="709">
      <c r="A709" t="n">
        <v>30</v>
      </c>
      <c r="B709" t="inlineStr">
        <is>
          <t>K3-3B</t>
        </is>
      </c>
      <c r="F709" t="n">
        <v>621.9160000000001</v>
      </c>
      <c r="H709">
        <f>E709/F709</f>
        <v/>
      </c>
      <c r="I709">
        <f>((H709-$J$679)/$I$679)</f>
        <v/>
      </c>
      <c r="J709">
        <f>(I709-IF($I$687&gt;0,$I$687,0))</f>
        <v/>
      </c>
      <c r="K709">
        <f>J709/R691*1.1</f>
        <v/>
      </c>
    </row>
    <row r="710">
      <c r="A710" t="n">
        <v>31</v>
      </c>
      <c r="B710" t="inlineStr">
        <is>
          <t>K3-3C</t>
        </is>
      </c>
      <c r="F710" t="n">
        <v>357.94</v>
      </c>
      <c r="H710">
        <f>E710/F710</f>
        <v/>
      </c>
      <c r="I710">
        <f>((H710-$J$679)/$I$679)</f>
        <v/>
      </c>
      <c r="J710">
        <f>(I710-IF($I$687&gt;0,$I$687,0))</f>
        <v/>
      </c>
      <c r="K710">
        <f>J710/R692*1.1</f>
        <v/>
      </c>
      <c r="L710" s="23" t="inlineStr">
        <is>
          <t>Average</t>
        </is>
      </c>
      <c r="M710" s="23" t="inlineStr">
        <is>
          <t>Stdev</t>
        </is>
      </c>
      <c r="N710" s="9" t="inlineStr">
        <is>
          <t>Combined</t>
        </is>
      </c>
    </row>
    <row r="711">
      <c r="A711" t="n">
        <v>32</v>
      </c>
      <c r="B711" t="inlineStr">
        <is>
          <t>K3-4A</t>
        </is>
      </c>
      <c r="F711" t="n">
        <v>345.339</v>
      </c>
      <c r="H711">
        <f>E711/F711</f>
        <v/>
      </c>
      <c r="I711">
        <f>((H711-$J$679)/$I$679)</f>
        <v/>
      </c>
      <c r="J711">
        <f>(I711-IF($I$687&gt;0,$I$687,0))</f>
        <v/>
      </c>
      <c r="K711">
        <f>J711/R693*1.1</f>
        <v/>
      </c>
      <c r="L711">
        <f>AVERAGE(K711:K713)</f>
        <v/>
      </c>
      <c r="M711">
        <f>STDEV(K711:K713)</f>
        <v/>
      </c>
      <c r="N711">
        <f>_xlfn.CONCAT(ROUND(L711,1)," ± ",ROUND(M711,1))</f>
        <v/>
      </c>
    </row>
    <row r="712">
      <c r="A712" t="n">
        <v>33</v>
      </c>
      <c r="B712" t="inlineStr">
        <is>
          <t>K3-4B</t>
        </is>
      </c>
      <c r="F712" t="n">
        <v>533.263</v>
      </c>
      <c r="H712">
        <f>E712/F712</f>
        <v/>
      </c>
      <c r="I712">
        <f>((H712-$J$679)/$I$679)</f>
        <v/>
      </c>
      <c r="J712">
        <f>(I712-IF($I$687&gt;0,$I$687,0))</f>
        <v/>
      </c>
      <c r="K712">
        <f>J712/R694*1.1</f>
        <v/>
      </c>
    </row>
    <row r="713">
      <c r="A713" t="n">
        <v>34</v>
      </c>
      <c r="B713" t="inlineStr">
        <is>
          <t>K3-4C</t>
        </is>
      </c>
      <c r="F713" t="n">
        <v>417.558</v>
      </c>
      <c r="H713">
        <f>E713/F713</f>
        <v/>
      </c>
      <c r="I713">
        <f>((H713-$J$679)/$I$679)</f>
        <v/>
      </c>
      <c r="J713">
        <f>(I713-IF($I$687&gt;0,$I$687,0))</f>
        <v/>
      </c>
      <c r="K713">
        <f>J713/R695*1.1</f>
        <v/>
      </c>
      <c r="L713" s="23" t="n"/>
      <c r="M713" s="23" t="n"/>
      <c r="N713" s="9" t="n"/>
    </row>
    <row r="714">
      <c r="A714" t="n">
        <v>35</v>
      </c>
      <c r="B714" t="inlineStr">
        <is>
          <t>MeOH</t>
        </is>
      </c>
      <c r="L714" s="23" t="inlineStr">
        <is>
          <t>Average</t>
        </is>
      </c>
      <c r="M714" s="23" t="inlineStr">
        <is>
          <t>Stdev</t>
        </is>
      </c>
      <c r="N714" s="9" t="inlineStr">
        <is>
          <t>Combined</t>
        </is>
      </c>
    </row>
    <row r="715">
      <c r="A715" t="n">
        <v>36</v>
      </c>
      <c r="B715" t="inlineStr">
        <is>
          <t>K3-6A</t>
        </is>
      </c>
      <c r="D715" t="n">
        <v>8.640000000000001</v>
      </c>
      <c r="E715" t="n">
        <v>0.23</v>
      </c>
      <c r="F715" t="n">
        <v>353.045</v>
      </c>
      <c r="G715" t="n">
        <v>3</v>
      </c>
      <c r="H715">
        <f>E715/F715</f>
        <v/>
      </c>
      <c r="I715">
        <f>((H715-$J$679)/$I$679)</f>
        <v/>
      </c>
      <c r="J715">
        <f>(I715-IF($I$687&gt;0,$I$687,0))</f>
        <v/>
      </c>
      <c r="K715">
        <f>J715/R696*1.1</f>
        <v/>
      </c>
      <c r="L715">
        <f>AVERAGE(K715:K717)</f>
        <v/>
      </c>
      <c r="M715">
        <f>STDEV(K716:K717)</f>
        <v/>
      </c>
      <c r="N715">
        <f>_xlfn.CONCAT(ROUND(L715,1)," ± ",ROUND(M715,1))</f>
        <v/>
      </c>
    </row>
    <row r="716">
      <c r="A716" t="n">
        <v>37</v>
      </c>
      <c r="B716" t="inlineStr">
        <is>
          <t>K3-6B</t>
        </is>
      </c>
      <c r="D716" t="n">
        <v>8.039999999999999</v>
      </c>
      <c r="E716" t="n">
        <v>1.39</v>
      </c>
      <c r="F716" t="n">
        <v>247.754</v>
      </c>
      <c r="G716" t="n">
        <v>19</v>
      </c>
      <c r="H716">
        <f>E716/F716</f>
        <v/>
      </c>
      <c r="I716">
        <f>((H716-$J$679)/$I$679)</f>
        <v/>
      </c>
      <c r="J716">
        <f>(I716-IF($I$687&gt;0,$I$687,0))</f>
        <v/>
      </c>
      <c r="K716">
        <f>J716/R697*1.1</f>
        <v/>
      </c>
    </row>
    <row r="717">
      <c r="A717" t="n">
        <v>38</v>
      </c>
      <c r="B717" t="inlineStr">
        <is>
          <t>K3-6C</t>
        </is>
      </c>
      <c r="F717" t="n">
        <v>310.722</v>
      </c>
      <c r="H717">
        <f>E717/F717</f>
        <v/>
      </c>
      <c r="I717">
        <f>((H717-$J$679)/$I$679)</f>
        <v/>
      </c>
      <c r="J717">
        <f>(I717-IF($I$687&gt;0,$I$687,0))</f>
        <v/>
      </c>
      <c r="K717">
        <f>J717/R698*1.1</f>
        <v/>
      </c>
      <c r="L717" s="23" t="n"/>
      <c r="M717" s="23" t="n"/>
      <c r="N717" s="9" t="n"/>
    </row>
    <row r="719">
      <c r="A719" t="inlineStr">
        <is>
          <t>Compound 18:  PFDPA 2</t>
        </is>
      </c>
    </row>
    <row r="721">
      <c r="B721" t="inlineStr">
        <is>
          <t>Sample Text</t>
        </is>
      </c>
      <c r="C721" t="inlineStr">
        <is>
          <t>Std. Conc</t>
        </is>
      </c>
      <c r="D721" t="inlineStr">
        <is>
          <t>RT</t>
        </is>
      </c>
      <c r="E721" t="inlineStr">
        <is>
          <t>Area</t>
        </is>
      </c>
      <c r="F721" t="inlineStr">
        <is>
          <t>IS Area</t>
        </is>
      </c>
      <c r="G721" t="inlineStr">
        <is>
          <t>S/N</t>
        </is>
      </c>
      <c r="H721" t="inlineStr">
        <is>
          <t>Primary Flags</t>
        </is>
      </c>
      <c r="I721" t="inlineStr">
        <is>
          <t>Response</t>
        </is>
      </c>
      <c r="J721" t="inlineStr">
        <is>
          <t>Conc.</t>
        </is>
      </c>
      <c r="K721" t="inlineStr">
        <is>
          <t>Name</t>
        </is>
      </c>
    </row>
    <row r="722">
      <c r="A722" t="n">
        <v>1</v>
      </c>
      <c r="B722" t="inlineStr">
        <is>
          <t>EPA1633 &amp; diPAPs Calibration 0 ppb</t>
        </is>
      </c>
      <c r="D722" t="n">
        <v>10.66</v>
      </c>
      <c r="E722" t="n">
        <v>81.61799999999999</v>
      </c>
      <c r="F722" t="n">
        <v>307.703</v>
      </c>
      <c r="G722" t="n">
        <v>6.131</v>
      </c>
      <c r="H722" t="inlineStr">
        <is>
          <t>bb</t>
        </is>
      </c>
      <c r="K722" t="inlineStr">
        <is>
          <t>20250617-12</t>
        </is>
      </c>
    </row>
    <row r="723">
      <c r="A723" t="n">
        <v>2</v>
      </c>
      <c r="B723" t="inlineStr">
        <is>
          <t>EPA1633 &amp; diPAPs Calibration 0.02 ppb</t>
        </is>
      </c>
      <c r="D723" t="n">
        <v>10.66</v>
      </c>
      <c r="E723" t="n">
        <v>39.477</v>
      </c>
      <c r="F723" t="n">
        <v>225.366</v>
      </c>
      <c r="G723" t="n">
        <v>286</v>
      </c>
      <c r="H723" t="inlineStr">
        <is>
          <t>bb</t>
        </is>
      </c>
      <c r="K723" t="inlineStr">
        <is>
          <t>20250617-13</t>
        </is>
      </c>
    </row>
    <row r="724">
      <c r="A724" t="n">
        <v>3</v>
      </c>
      <c r="B724" t="inlineStr">
        <is>
          <t>EPA1633 &amp; diPAPs Calibration 0.1 ppb</t>
        </is>
      </c>
      <c r="D724" t="n">
        <v>10.68</v>
      </c>
      <c r="E724" t="n">
        <v>136.942</v>
      </c>
      <c r="F724" t="n">
        <v>255.999</v>
      </c>
      <c r="G724" t="n">
        <v>2.434</v>
      </c>
      <c r="H724" t="inlineStr">
        <is>
          <t>bb</t>
        </is>
      </c>
      <c r="K724" t="inlineStr">
        <is>
          <t>20250617-14</t>
        </is>
      </c>
    </row>
    <row r="725">
      <c r="A725" t="n">
        <v>4</v>
      </c>
      <c r="B725" t="inlineStr">
        <is>
          <t>EPA1633 &amp; diPAPs Calibration 0.4 ppb</t>
        </is>
      </c>
      <c r="D725" t="n">
        <v>10.66</v>
      </c>
      <c r="E725" t="n">
        <v>508.805</v>
      </c>
      <c r="F725" t="n">
        <v>249.341</v>
      </c>
      <c r="G725" t="n">
        <v>19.909</v>
      </c>
      <c r="H725" t="inlineStr">
        <is>
          <t>bb</t>
        </is>
      </c>
      <c r="K725" t="inlineStr">
        <is>
          <t>20250617-15</t>
        </is>
      </c>
    </row>
    <row r="726">
      <c r="A726" t="n">
        <v>5</v>
      </c>
      <c r="B726" t="inlineStr">
        <is>
          <t>EPA1633 &amp; diPAPs Calibration 1 ppb</t>
        </is>
      </c>
      <c r="D726" t="n">
        <v>10.68</v>
      </c>
      <c r="E726" t="n">
        <v>1067.105</v>
      </c>
      <c r="F726" t="n">
        <v>256.233</v>
      </c>
      <c r="G726" t="n">
        <v>236.803</v>
      </c>
      <c r="H726" t="inlineStr">
        <is>
          <t>bb</t>
        </is>
      </c>
      <c r="K726" t="inlineStr">
        <is>
          <t>20250617-16</t>
        </is>
      </c>
    </row>
    <row r="727">
      <c r="A727" t="n">
        <v>6</v>
      </c>
      <c r="B727" t="inlineStr">
        <is>
          <t>EPA1633 &amp; diPAPs Calibration 5 ppb</t>
        </is>
      </c>
      <c r="D727" t="n">
        <v>10.68</v>
      </c>
      <c r="E727" t="n">
        <v>4279.524</v>
      </c>
      <c r="F727" t="n">
        <v>272.698</v>
      </c>
      <c r="G727" t="n">
        <v>27.394</v>
      </c>
      <c r="H727" t="inlineStr">
        <is>
          <t>bb</t>
        </is>
      </c>
      <c r="K727" t="inlineStr">
        <is>
          <t>20250617-17</t>
        </is>
      </c>
    </row>
    <row r="728">
      <c r="A728" t="n">
        <v>7</v>
      </c>
      <c r="B728" t="inlineStr">
        <is>
          <t>EPA1633 &amp; diPAPs Calibration 10 ppb</t>
        </is>
      </c>
      <c r="D728" t="n">
        <v>10.68</v>
      </c>
      <c r="E728" t="n">
        <v>12840.307</v>
      </c>
      <c r="F728" t="n">
        <v>229.316</v>
      </c>
      <c r="G728" t="n">
        <v>649.385</v>
      </c>
      <c r="H728" t="inlineStr">
        <is>
          <t>bb</t>
        </is>
      </c>
      <c r="K728" t="inlineStr">
        <is>
          <t>20250617-18</t>
        </is>
      </c>
    </row>
    <row r="729">
      <c r="A729" t="n">
        <v>8</v>
      </c>
      <c r="B729" t="inlineStr">
        <is>
          <t>EPA1633 &amp; diPAPs Calibration 20 ppb</t>
        </is>
      </c>
      <c r="D729" t="n">
        <v>10.68</v>
      </c>
      <c r="E729" t="n">
        <v>12294.883</v>
      </c>
      <c r="F729" t="n">
        <v>45.687</v>
      </c>
      <c r="G729" t="n">
        <v>581.237</v>
      </c>
      <c r="H729" t="inlineStr">
        <is>
          <t>bb</t>
        </is>
      </c>
      <c r="K729" t="inlineStr">
        <is>
          <t>20250617-19</t>
        </is>
      </c>
    </row>
    <row r="730">
      <c r="A730" t="n">
        <v>9</v>
      </c>
      <c r="B730" t="inlineStr">
        <is>
          <t>MeOH</t>
        </is>
      </c>
      <c r="D730" t="n">
        <v>10.71</v>
      </c>
      <c r="E730" t="n">
        <v>58.01</v>
      </c>
      <c r="G730" t="n">
        <v>352</v>
      </c>
      <c r="H730" t="inlineStr">
        <is>
          <t>bb</t>
        </is>
      </c>
      <c r="K730" t="inlineStr">
        <is>
          <t>20250617-20</t>
        </is>
      </c>
    </row>
    <row r="731">
      <c r="A731" t="n">
        <v>10</v>
      </c>
      <c r="B731" t="inlineStr">
        <is>
          <t>MeOH</t>
        </is>
      </c>
      <c r="D731" t="n">
        <v>10.66</v>
      </c>
      <c r="E731" t="n">
        <v>14.892</v>
      </c>
      <c r="G731" t="n">
        <v>110</v>
      </c>
      <c r="H731" t="inlineStr">
        <is>
          <t>bb</t>
        </is>
      </c>
      <c r="K731" t="inlineStr">
        <is>
          <t>20250617-21</t>
        </is>
      </c>
    </row>
    <row r="732">
      <c r="A732" t="n">
        <v>11</v>
      </c>
      <c r="B732" t="inlineStr">
        <is>
          <t>SB1</t>
        </is>
      </c>
      <c r="D732" t="n">
        <v>10.71</v>
      </c>
      <c r="E732" t="n">
        <v>11.621</v>
      </c>
      <c r="F732" t="n">
        <v>110.635</v>
      </c>
      <c r="G732" t="n">
        <v>82</v>
      </c>
      <c r="H732" t="inlineStr">
        <is>
          <t>bb</t>
        </is>
      </c>
      <c r="K732" t="inlineStr">
        <is>
          <t>20250617-22</t>
        </is>
      </c>
    </row>
    <row r="733">
      <c r="A733" t="n">
        <v>12</v>
      </c>
      <c r="B733" t="inlineStr">
        <is>
          <t>SB2</t>
        </is>
      </c>
      <c r="F733" t="n">
        <v>91.488</v>
      </c>
      <c r="K733" t="inlineStr">
        <is>
          <t>20250617-23</t>
        </is>
      </c>
    </row>
    <row r="734">
      <c r="A734" t="n">
        <v>13</v>
      </c>
      <c r="B734" t="inlineStr">
        <is>
          <t>SB3</t>
        </is>
      </c>
      <c r="D734" t="n">
        <v>10.67</v>
      </c>
      <c r="E734" t="n">
        <v>0.142</v>
      </c>
      <c r="F734" t="n">
        <v>98.111</v>
      </c>
      <c r="G734" t="n">
        <v>1</v>
      </c>
      <c r="H734" t="inlineStr">
        <is>
          <t>bb</t>
        </is>
      </c>
      <c r="K734" t="inlineStr">
        <is>
          <t>20250617-24</t>
        </is>
      </c>
    </row>
    <row r="735">
      <c r="A735" t="n">
        <v>14</v>
      </c>
      <c r="B735" t="inlineStr">
        <is>
          <t>SS1</t>
        </is>
      </c>
      <c r="D735" t="n">
        <v>10.7</v>
      </c>
      <c r="E735" t="n">
        <v>4071.372</v>
      </c>
      <c r="F735" t="n">
        <v>74.13</v>
      </c>
      <c r="G735" t="n">
        <v>26495</v>
      </c>
      <c r="H735" t="inlineStr">
        <is>
          <t>bb</t>
        </is>
      </c>
      <c r="K735" t="inlineStr">
        <is>
          <t>20250617-25</t>
        </is>
      </c>
    </row>
    <row r="736">
      <c r="A736" t="n">
        <v>15</v>
      </c>
      <c r="B736" t="inlineStr">
        <is>
          <t>SS2</t>
        </is>
      </c>
      <c r="D736" t="n">
        <v>10.7</v>
      </c>
      <c r="E736" t="n">
        <v>3611.29</v>
      </c>
      <c r="F736" t="n">
        <v>101.72</v>
      </c>
      <c r="G736" t="n">
        <v>57.303</v>
      </c>
      <c r="H736" t="inlineStr">
        <is>
          <t>bb</t>
        </is>
      </c>
      <c r="K736" t="inlineStr">
        <is>
          <t>20250617-26</t>
        </is>
      </c>
    </row>
    <row r="737">
      <c r="A737" t="n">
        <v>16</v>
      </c>
      <c r="B737" t="inlineStr">
        <is>
          <t>SS3</t>
        </is>
      </c>
      <c r="D737" t="n">
        <v>10.7</v>
      </c>
      <c r="E737" t="n">
        <v>3506.073</v>
      </c>
      <c r="F737" t="n">
        <v>89.792</v>
      </c>
      <c r="G737" t="n">
        <v>1668.84</v>
      </c>
      <c r="H737" t="inlineStr">
        <is>
          <t>bb</t>
        </is>
      </c>
      <c r="K737" t="inlineStr">
        <is>
          <t>20250617-27</t>
        </is>
      </c>
    </row>
    <row r="738">
      <c r="A738" t="n">
        <v>17</v>
      </c>
      <c r="B738" t="inlineStr">
        <is>
          <t>MeOH</t>
        </is>
      </c>
      <c r="D738" t="n">
        <v>10.7</v>
      </c>
      <c r="E738" t="n">
        <v>63.333</v>
      </c>
      <c r="G738" t="n">
        <v>85.974</v>
      </c>
      <c r="H738" t="inlineStr">
        <is>
          <t>bb</t>
        </is>
      </c>
      <c r="K738" t="inlineStr">
        <is>
          <t>20250617-28</t>
        </is>
      </c>
    </row>
    <row r="739">
      <c r="A739" t="n">
        <v>18</v>
      </c>
      <c r="B739" t="inlineStr">
        <is>
          <t>K4-5A</t>
        </is>
      </c>
      <c r="F739" t="n">
        <v>90.40600000000001</v>
      </c>
      <c r="K739" t="inlineStr">
        <is>
          <t>20250617-29</t>
        </is>
      </c>
    </row>
    <row r="740">
      <c r="A740" t="n">
        <v>19</v>
      </c>
      <c r="B740" t="inlineStr">
        <is>
          <t>K4-5B</t>
        </is>
      </c>
      <c r="D740" t="n">
        <v>11.7</v>
      </c>
      <c r="E740" t="n">
        <v>0.84</v>
      </c>
      <c r="F740" t="n">
        <v>89.22799999999999</v>
      </c>
      <c r="G740" t="n">
        <v>7</v>
      </c>
      <c r="H740" t="inlineStr">
        <is>
          <t>bb</t>
        </is>
      </c>
      <c r="K740" t="inlineStr">
        <is>
          <t>20250617-30</t>
        </is>
      </c>
    </row>
    <row r="741">
      <c r="A741" t="n">
        <v>20</v>
      </c>
      <c r="B741" t="inlineStr">
        <is>
          <t>K4-5C</t>
        </is>
      </c>
      <c r="F741" t="n">
        <v>74.886</v>
      </c>
      <c r="K741" t="inlineStr">
        <is>
          <t>20250617-31</t>
        </is>
      </c>
    </row>
    <row r="742">
      <c r="A742" t="n">
        <v>21</v>
      </c>
      <c r="B742" t="inlineStr">
        <is>
          <t>MeOH</t>
        </is>
      </c>
      <c r="D742" t="n">
        <v>11.5</v>
      </c>
      <c r="E742" t="n">
        <v>8.369999999999999</v>
      </c>
      <c r="G742" t="n">
        <v>69</v>
      </c>
      <c r="H742" t="inlineStr">
        <is>
          <t>bb</t>
        </is>
      </c>
      <c r="K742" t="inlineStr">
        <is>
          <t>20250617-32</t>
        </is>
      </c>
    </row>
    <row r="743">
      <c r="A743" t="n">
        <v>22</v>
      </c>
      <c r="B743" t="inlineStr">
        <is>
          <t>K3-1A</t>
        </is>
      </c>
      <c r="F743" t="n">
        <v>113.907</v>
      </c>
      <c r="K743" t="inlineStr">
        <is>
          <t>20250617-33</t>
        </is>
      </c>
    </row>
    <row r="744">
      <c r="A744" t="n">
        <v>23</v>
      </c>
      <c r="B744" t="inlineStr">
        <is>
          <t>K3-1B</t>
        </is>
      </c>
      <c r="D744" t="n">
        <v>10.71</v>
      </c>
      <c r="E744" t="n">
        <v>4.722</v>
      </c>
      <c r="F744" t="n">
        <v>74.749</v>
      </c>
      <c r="G744" t="n">
        <v>36</v>
      </c>
      <c r="H744" t="inlineStr">
        <is>
          <t>bb</t>
        </is>
      </c>
      <c r="K744" t="inlineStr">
        <is>
          <t>20250617-34</t>
        </is>
      </c>
    </row>
    <row r="745">
      <c r="A745" t="n">
        <v>24</v>
      </c>
      <c r="B745" t="inlineStr">
        <is>
          <t>K3-1C</t>
        </is>
      </c>
      <c r="F745" t="n">
        <v>57.963</v>
      </c>
      <c r="K745" t="inlineStr">
        <is>
          <t>20250617-35</t>
        </is>
      </c>
    </row>
    <row r="746">
      <c r="A746" t="n">
        <v>25</v>
      </c>
      <c r="B746" t="inlineStr">
        <is>
          <t>K3-2A</t>
        </is>
      </c>
      <c r="D746" t="n">
        <v>10.42</v>
      </c>
      <c r="E746" t="n">
        <v>14.867</v>
      </c>
      <c r="F746" t="n">
        <v>86.604</v>
      </c>
      <c r="G746" t="n">
        <v>123</v>
      </c>
      <c r="H746" t="inlineStr">
        <is>
          <t>bb</t>
        </is>
      </c>
      <c r="K746" t="inlineStr">
        <is>
          <t>20250617-36</t>
        </is>
      </c>
    </row>
    <row r="747">
      <c r="A747" t="n">
        <v>26</v>
      </c>
      <c r="B747" t="inlineStr">
        <is>
          <t>K3-2B</t>
        </is>
      </c>
      <c r="D747" t="n">
        <v>10.71</v>
      </c>
      <c r="E747" t="n">
        <v>3.692</v>
      </c>
      <c r="F747" t="n">
        <v>75.304</v>
      </c>
      <c r="G747" t="n">
        <v>28</v>
      </c>
      <c r="H747" t="inlineStr">
        <is>
          <t>bb</t>
        </is>
      </c>
      <c r="K747" t="inlineStr">
        <is>
          <t>20250617-37</t>
        </is>
      </c>
    </row>
    <row r="748">
      <c r="A748" t="n">
        <v>27</v>
      </c>
      <c r="B748" t="inlineStr">
        <is>
          <t>K3-2C</t>
        </is>
      </c>
      <c r="F748" t="n">
        <v>74.127</v>
      </c>
      <c r="K748" t="inlineStr">
        <is>
          <t>20250617-38</t>
        </is>
      </c>
    </row>
    <row r="749">
      <c r="A749" t="n">
        <v>28</v>
      </c>
      <c r="B749" t="inlineStr">
        <is>
          <t>MeOH</t>
        </is>
      </c>
      <c r="K749" t="inlineStr">
        <is>
          <t>20250617-39</t>
        </is>
      </c>
    </row>
    <row r="750">
      <c r="A750" t="n">
        <v>29</v>
      </c>
      <c r="B750" t="inlineStr">
        <is>
          <t>K3-3A</t>
        </is>
      </c>
      <c r="D750" t="n">
        <v>10.72</v>
      </c>
      <c r="E750" t="n">
        <v>1.609</v>
      </c>
      <c r="F750" t="n">
        <v>101.84</v>
      </c>
      <c r="G750" t="n">
        <v>9</v>
      </c>
      <c r="H750" t="inlineStr">
        <is>
          <t>bb</t>
        </is>
      </c>
      <c r="K750" t="inlineStr">
        <is>
          <t>20250617-40</t>
        </is>
      </c>
    </row>
    <row r="751">
      <c r="A751" t="n">
        <v>30</v>
      </c>
      <c r="B751" t="inlineStr">
        <is>
          <t>K3-3B</t>
        </is>
      </c>
      <c r="F751" t="n">
        <v>96.505</v>
      </c>
      <c r="K751" t="inlineStr">
        <is>
          <t>20250617-41</t>
        </is>
      </c>
    </row>
    <row r="752">
      <c r="A752" t="n">
        <v>31</v>
      </c>
      <c r="B752" t="inlineStr">
        <is>
          <t>K3-3C</t>
        </is>
      </c>
      <c r="F752" t="n">
        <v>116.668</v>
      </c>
      <c r="K752" t="inlineStr">
        <is>
          <t>20250617-42</t>
        </is>
      </c>
    </row>
    <row r="753">
      <c r="A753" t="n">
        <v>32</v>
      </c>
      <c r="B753" t="inlineStr">
        <is>
          <t>K3-4A</t>
        </is>
      </c>
      <c r="F753" t="n">
        <v>95.196</v>
      </c>
      <c r="K753" t="inlineStr">
        <is>
          <t>20250617-43</t>
        </is>
      </c>
    </row>
    <row r="754">
      <c r="A754" t="n">
        <v>33</v>
      </c>
      <c r="B754" t="inlineStr">
        <is>
          <t>K3-4B</t>
        </is>
      </c>
      <c r="F754" t="n">
        <v>52.646</v>
      </c>
      <c r="K754" t="inlineStr">
        <is>
          <t>20250617-44</t>
        </is>
      </c>
    </row>
    <row r="755">
      <c r="A755" t="n">
        <v>34</v>
      </c>
      <c r="B755" t="inlineStr">
        <is>
          <t>K3-4C</t>
        </is>
      </c>
      <c r="D755" t="n">
        <v>10.64</v>
      </c>
      <c r="E755" t="n">
        <v>1.438</v>
      </c>
      <c r="F755" t="n">
        <v>62.052</v>
      </c>
      <c r="G755" t="n">
        <v>11</v>
      </c>
      <c r="H755" t="inlineStr">
        <is>
          <t>bb</t>
        </is>
      </c>
      <c r="K755" t="inlineStr">
        <is>
          <t>20250617-45</t>
        </is>
      </c>
    </row>
    <row r="756">
      <c r="A756" t="n">
        <v>35</v>
      </c>
      <c r="B756" t="inlineStr">
        <is>
          <t>MeOH</t>
        </is>
      </c>
      <c r="K756" t="inlineStr">
        <is>
          <t>20250617-46</t>
        </is>
      </c>
    </row>
    <row r="757">
      <c r="A757" t="n">
        <v>36</v>
      </c>
      <c r="B757" t="inlineStr">
        <is>
          <t>K3-6A</t>
        </is>
      </c>
      <c r="D757" t="n">
        <v>10.75</v>
      </c>
      <c r="E757" t="n">
        <v>8.005000000000001</v>
      </c>
      <c r="F757" t="n">
        <v>93.878</v>
      </c>
      <c r="G757" t="n">
        <v>34.262</v>
      </c>
      <c r="H757" t="inlineStr">
        <is>
          <t>bb</t>
        </is>
      </c>
      <c r="K757" t="inlineStr">
        <is>
          <t>20250617-47</t>
        </is>
      </c>
    </row>
    <row r="758">
      <c r="A758" t="n">
        <v>37</v>
      </c>
      <c r="B758" t="inlineStr">
        <is>
          <t>K3-6B</t>
        </is>
      </c>
      <c r="F758" t="n">
        <v>67.396</v>
      </c>
      <c r="K758" t="inlineStr">
        <is>
          <t>20250617-48</t>
        </is>
      </c>
    </row>
    <row r="759">
      <c r="A759" t="n">
        <v>38</v>
      </c>
      <c r="B759" t="inlineStr">
        <is>
          <t>K3-6C</t>
        </is>
      </c>
      <c r="D759" t="n">
        <v>11.8</v>
      </c>
      <c r="E759" t="n">
        <v>2.005</v>
      </c>
      <c r="F759" t="n">
        <v>117.664</v>
      </c>
      <c r="G759" t="n">
        <v>16</v>
      </c>
      <c r="H759" t="inlineStr">
        <is>
          <t>MM</t>
        </is>
      </c>
      <c r="K759" t="inlineStr">
        <is>
          <t>20250617-49</t>
        </is>
      </c>
    </row>
    <row r="761">
      <c r="A761" t="inlineStr">
        <is>
          <t>Compound 19:  10:2 monoPAP 1</t>
        </is>
      </c>
    </row>
    <row r="762">
      <c r="I762" t="inlineStr">
        <is>
          <t>LINEST</t>
        </is>
      </c>
      <c r="Q762" t="inlineStr">
        <is>
          <t>Biosolids Masses</t>
        </is>
      </c>
      <c r="R762" t="inlineStr">
        <is>
          <t>(g)</t>
        </is>
      </c>
    </row>
    <row r="763">
      <c r="B763" t="inlineStr">
        <is>
          <t>Sample Text</t>
        </is>
      </c>
      <c r="C763" t="inlineStr">
        <is>
          <t>Std. Conc</t>
        </is>
      </c>
      <c r="D763" t="inlineStr">
        <is>
          <t>RT</t>
        </is>
      </c>
      <c r="E763" t="inlineStr">
        <is>
          <t>Area</t>
        </is>
      </c>
      <c r="F763" t="inlineStr">
        <is>
          <t>IS Area</t>
        </is>
      </c>
      <c r="G763" t="inlineStr">
        <is>
          <t>S/N</t>
        </is>
      </c>
      <c r="H763" t="inlineStr">
        <is>
          <t>ratio</t>
        </is>
      </c>
      <c r="I763">
        <f t="array" ref="I763:J767">LINEST(H764:H769,C764:C769,1,1)</f>
        <v/>
      </c>
      <c r="J763" t="n">
        <v>-0.05809404211971358</v>
      </c>
      <c r="L763" s="20" t="inlineStr">
        <is>
          <t>By S/N Ratio</t>
        </is>
      </c>
      <c r="Q763" t="inlineStr">
        <is>
          <t>SS1</t>
        </is>
      </c>
      <c r="R763" t="n">
        <v>1.0846</v>
      </c>
    </row>
    <row r="764">
      <c r="A764" t="n">
        <v>1</v>
      </c>
      <c r="B764" t="inlineStr">
        <is>
          <t>EPA1633 &amp; diPAPs Calibration 0 ppb</t>
        </is>
      </c>
      <c r="C764" s="44" t="n">
        <v>0</v>
      </c>
      <c r="D764" t="n">
        <v>9.07</v>
      </c>
      <c r="E764" t="n">
        <v>65.92700000000001</v>
      </c>
      <c r="F764" t="n">
        <v>1227.559</v>
      </c>
      <c r="G764" t="n">
        <v>4.029</v>
      </c>
      <c r="H764">
        <f>E764/F764</f>
        <v/>
      </c>
      <c r="I764" t="n">
        <v>0.005286237749988762</v>
      </c>
      <c r="J764" t="n">
        <v>0.1258553176512593</v>
      </c>
      <c r="K764" t="inlineStr">
        <is>
          <t>LOD</t>
        </is>
      </c>
      <c r="L764" s="21">
        <f>IF(G767&gt;3,C767,IF(G768&gt;3,#REF!,IF(G769&gt;3,C769,IF(G770&gt;3,C770,C771))))</f>
        <v/>
      </c>
      <c r="Q764" t="inlineStr">
        <is>
          <t>SS2</t>
        </is>
      </c>
      <c r="R764" t="n">
        <v>1.0726</v>
      </c>
    </row>
    <row r="765">
      <c r="A765" t="n">
        <v>2</v>
      </c>
      <c r="B765" t="inlineStr">
        <is>
          <t>EPA1633 &amp; diPAPs Calibration 0.02 ppb</t>
        </is>
      </c>
      <c r="C765" s="44" t="n">
        <v>3.85374311999859</v>
      </c>
      <c r="D765" t="n">
        <v>9.050000000000001</v>
      </c>
      <c r="E765" t="n">
        <v>524.0069999999999</v>
      </c>
      <c r="F765" t="n">
        <v>1045.628</v>
      </c>
      <c r="G765" t="n">
        <v>18.573</v>
      </c>
      <c r="H765">
        <f>E765/F765</f>
        <v/>
      </c>
      <c r="I765" t="n">
        <v>0.9920771427869395</v>
      </c>
      <c r="J765" t="n">
        <v>0.2112193424467099</v>
      </c>
      <c r="K765" t="inlineStr">
        <is>
          <t>LOQ</t>
        </is>
      </c>
      <c r="L765" s="22">
        <f>IF(G767&gt;10,C767,IF(G768&gt;10,#REF!,IF(G769&gt;10,C769,IF(G770&gt;10,C770,C771))))</f>
        <v/>
      </c>
      <c r="Q765" t="inlineStr">
        <is>
          <t>SS3</t>
        </is>
      </c>
      <c r="R765" t="n">
        <v>1.1534</v>
      </c>
    </row>
    <row r="766">
      <c r="A766" t="n">
        <v>3</v>
      </c>
      <c r="B766" t="inlineStr">
        <is>
          <t>EPA1633 &amp; diPAPs Calibration 0.1 ppb</t>
        </is>
      </c>
      <c r="C766" s="44" t="n">
        <v>7.70748623999718</v>
      </c>
      <c r="D766" t="n">
        <v>9.06</v>
      </c>
      <c r="E766" t="n">
        <v>1105.45</v>
      </c>
      <c r="F766" t="n">
        <v>1280.389</v>
      </c>
      <c r="G766" t="n">
        <v>27.408</v>
      </c>
      <c r="H766">
        <f>E766/F766</f>
        <v/>
      </c>
      <c r="I766" t="n">
        <v>500.8683691290199</v>
      </c>
      <c r="J766" t="n">
        <v>4</v>
      </c>
      <c r="Q766" t="inlineStr">
        <is>
          <t>K4-5A</t>
        </is>
      </c>
      <c r="R766" t="n">
        <v>1.1054</v>
      </c>
    </row>
    <row r="767">
      <c r="A767" t="n">
        <v>4</v>
      </c>
      <c r="B767" t="inlineStr">
        <is>
          <t>EPA1633 &amp; diPAPs Calibration 0.4 ppb</t>
        </is>
      </c>
      <c r="C767" s="44" t="n">
        <v>15.41497247999436</v>
      </c>
      <c r="D767" t="n">
        <v>9.06</v>
      </c>
      <c r="E767" t="n">
        <v>1783.374</v>
      </c>
      <c r="F767" t="n">
        <v>1133.632</v>
      </c>
      <c r="G767" t="n">
        <v>53.001</v>
      </c>
      <c r="H767">
        <f>E767/F767</f>
        <v/>
      </c>
      <c r="I767" t="n">
        <v>22.34554639400992</v>
      </c>
      <c r="J767" t="n">
        <v>0.178454442494482</v>
      </c>
      <c r="Q767" t="inlineStr">
        <is>
          <t>K4-5B</t>
        </is>
      </c>
      <c r="R767" s="10" t="n">
        <v>1.0463</v>
      </c>
    </row>
    <row r="768">
      <c r="A768" t="n">
        <v>5</v>
      </c>
      <c r="B768" t="inlineStr">
        <is>
          <t>EPA1633 &amp; diPAPs Calibration 1 ppb</t>
        </is>
      </c>
      <c r="C768" s="44" t="n">
        <v>30.82994495998872</v>
      </c>
      <c r="D768" t="n">
        <v>9.07</v>
      </c>
      <c r="E768" t="n">
        <v>4763.716</v>
      </c>
      <c r="F768" t="n">
        <v>1430.277</v>
      </c>
      <c r="G768" t="n">
        <v>245.884</v>
      </c>
      <c r="H768">
        <f>E768/F768</f>
        <v/>
      </c>
      <c r="Q768" t="inlineStr">
        <is>
          <t>K4-5C</t>
        </is>
      </c>
      <c r="R768" t="n">
        <v>1.1155</v>
      </c>
    </row>
    <row r="769">
      <c r="A769" t="n">
        <v>6</v>
      </c>
      <c r="B769" t="inlineStr">
        <is>
          <t>EPA1633 &amp; diPAPs Calibration 5 ppb</t>
        </is>
      </c>
      <c r="C769" s="44" t="n">
        <v>46.24491743998308</v>
      </c>
      <c r="D769" t="n">
        <v>9.07</v>
      </c>
      <c r="E769" t="n">
        <v>5443.085</v>
      </c>
      <c r="F769" t="n">
        <v>965.196</v>
      </c>
      <c r="G769" t="n">
        <v>224.026</v>
      </c>
      <c r="H769">
        <f>E769/F769</f>
        <v/>
      </c>
      <c r="Q769" t="inlineStr">
        <is>
          <t>K3-1A</t>
        </is>
      </c>
      <c r="R769" t="n">
        <v>1.0874</v>
      </c>
    </row>
    <row r="770">
      <c r="A770" t="n">
        <v>7</v>
      </c>
      <c r="B770" t="inlineStr">
        <is>
          <t>EPA1633 &amp; diPAPs Calibration 10 ppb</t>
        </is>
      </c>
      <c r="C770" s="44" t="n">
        <v>61.65988991997744</v>
      </c>
      <c r="D770" t="n">
        <v>9.08</v>
      </c>
      <c r="E770" t="n">
        <v>5747.642</v>
      </c>
      <c r="F770" t="n">
        <v>990.528</v>
      </c>
      <c r="G770" t="n">
        <v>281.384</v>
      </c>
      <c r="H770">
        <f>E770/F770</f>
        <v/>
      </c>
      <c r="I770" s="23" t="inlineStr">
        <is>
          <t>Background</t>
        </is>
      </c>
      <c r="J770" s="23" t="inlineStr">
        <is>
          <t>Spike</t>
        </is>
      </c>
      <c r="K770" s="9" t="inlineStr">
        <is>
          <t>Old Spike</t>
        </is>
      </c>
      <c r="O770" s="24" t="inlineStr">
        <is>
          <t>±</t>
        </is>
      </c>
      <c r="Q770" t="inlineStr">
        <is>
          <t>K3-1B</t>
        </is>
      </c>
      <c r="R770" t="n">
        <v>1.0898</v>
      </c>
    </row>
    <row r="771">
      <c r="A771" t="n">
        <v>8</v>
      </c>
      <c r="B771" t="inlineStr">
        <is>
          <t>EPA1633 &amp; diPAPs Calibration 20 ppb</t>
        </is>
      </c>
      <c r="C771" s="44" t="n">
        <v>77.07486239997181</v>
      </c>
      <c r="D771" t="n">
        <v>9.07</v>
      </c>
      <c r="E771" t="n">
        <v>4083.684</v>
      </c>
      <c r="F771" t="n">
        <v>107.462</v>
      </c>
      <c r="G771" t="n">
        <v>169.332</v>
      </c>
      <c r="H771">
        <f>E771/F771</f>
        <v/>
      </c>
      <c r="I771">
        <f>AVERAGE(I774:I776)</f>
        <v/>
      </c>
      <c r="J771" t="n">
        <v>67.8</v>
      </c>
      <c r="Q771" t="inlineStr">
        <is>
          <t>K3-1C</t>
        </is>
      </c>
      <c r="R771" t="n">
        <v>1.0536</v>
      </c>
    </row>
    <row r="772">
      <c r="A772" t="n">
        <v>9</v>
      </c>
      <c r="B772" t="inlineStr">
        <is>
          <t>MeOH</t>
        </is>
      </c>
      <c r="I772" s="23" t="inlineStr">
        <is>
          <t>Conc.In Vial (ppb)</t>
        </is>
      </c>
      <c r="J772" s="9" t="inlineStr">
        <is>
          <t>Corr. Conc.(ppb)</t>
        </is>
      </c>
      <c r="K772" s="9" t="inlineStr">
        <is>
          <t>Conc. In soil (ng/g)</t>
        </is>
      </c>
      <c r="Q772" t="inlineStr">
        <is>
          <t>K3-2A</t>
        </is>
      </c>
      <c r="R772" s="10" t="n">
        <v>1.1218</v>
      </c>
    </row>
    <row r="773">
      <c r="A773" t="n">
        <v>10</v>
      </c>
      <c r="B773" t="inlineStr">
        <is>
          <t>MeOH</t>
        </is>
      </c>
      <c r="L773" s="23" t="inlineStr">
        <is>
          <t>Average</t>
        </is>
      </c>
      <c r="M773" s="23" t="inlineStr">
        <is>
          <t>Stdev</t>
        </is>
      </c>
      <c r="N773" s="9" t="inlineStr">
        <is>
          <t>Combined</t>
        </is>
      </c>
      <c r="O773" s="9" t="n"/>
      <c r="P773" s="9" t="n"/>
      <c r="Q773" t="inlineStr">
        <is>
          <t>K3-2B</t>
        </is>
      </c>
      <c r="R773" t="n">
        <v>1.198</v>
      </c>
    </row>
    <row r="774">
      <c r="A774" t="n">
        <v>11</v>
      </c>
      <c r="B774" t="inlineStr">
        <is>
          <t>SB1</t>
        </is>
      </c>
      <c r="D774" t="n">
        <v>9.1</v>
      </c>
      <c r="E774" t="n">
        <v>87.925</v>
      </c>
      <c r="F774" t="n">
        <v>642.432</v>
      </c>
      <c r="G774" t="n">
        <v>3.541</v>
      </c>
      <c r="H774">
        <f>E774/F774</f>
        <v/>
      </c>
      <c r="I774">
        <f>((H774-$J$763)/$I$763)</f>
        <v/>
      </c>
      <c r="J774">
        <f>(I774-IF(I771&gt;0,I771,0))</f>
        <v/>
      </c>
      <c r="K774">
        <f>J774*1.1</f>
        <v/>
      </c>
      <c r="L774">
        <f>AVERAGE(K774:K776)</f>
        <v/>
      </c>
      <c r="M774">
        <f>STDEV(K775:K776)</f>
        <v/>
      </c>
      <c r="N774">
        <f>_xlfn.CONCAT(ROUND(L774,1)," ± ",ROUND(M774,1))</f>
        <v/>
      </c>
      <c r="Q774" t="inlineStr">
        <is>
          <t>K3-2C</t>
        </is>
      </c>
      <c r="R774" t="n">
        <v>1.1538</v>
      </c>
    </row>
    <row r="775">
      <c r="A775" t="n">
        <v>12</v>
      </c>
      <c r="B775" t="inlineStr">
        <is>
          <t>SB2</t>
        </is>
      </c>
      <c r="D775" t="n">
        <v>9.1</v>
      </c>
      <c r="E775" t="n">
        <v>56.106</v>
      </c>
      <c r="F775" t="n">
        <v>524.691</v>
      </c>
      <c r="G775" t="n">
        <v>1.646</v>
      </c>
      <c r="H775">
        <f>E775/F775</f>
        <v/>
      </c>
      <c r="I775">
        <f>((H775-$J$763)/$I$763)</f>
        <v/>
      </c>
      <c r="J775">
        <f>(I775-IF(I771&gt;0,I771,0))</f>
        <v/>
      </c>
      <c r="K775">
        <f>J775*1.1</f>
        <v/>
      </c>
      <c r="Q775" t="inlineStr">
        <is>
          <t>K3-3A</t>
        </is>
      </c>
      <c r="R775" t="n">
        <v>1.1183</v>
      </c>
    </row>
    <row r="776">
      <c r="A776" t="n">
        <v>13</v>
      </c>
      <c r="B776" t="inlineStr">
        <is>
          <t>SB3</t>
        </is>
      </c>
      <c r="D776" t="n">
        <v>9.119999999999999</v>
      </c>
      <c r="E776" t="n">
        <v>78.407</v>
      </c>
      <c r="F776" t="n">
        <v>583.399</v>
      </c>
      <c r="G776" t="n">
        <v>2.02</v>
      </c>
      <c r="H776">
        <f>E776/F776</f>
        <v/>
      </c>
      <c r="I776">
        <f>((H776-$J$763)/$I$763)</f>
        <v/>
      </c>
      <c r="J776">
        <f>(I776-IF(I771&gt;0,I771,0))</f>
        <v/>
      </c>
      <c r="K776" s="30">
        <f>J776*1.1</f>
        <v/>
      </c>
      <c r="L776" s="25" t="inlineStr">
        <is>
          <t>Average</t>
        </is>
      </c>
      <c r="M776" s="25" t="inlineStr">
        <is>
          <t>Stdev</t>
        </is>
      </c>
      <c r="N776" s="26" t="inlineStr">
        <is>
          <t>%Recovery</t>
        </is>
      </c>
      <c r="O776" s="26" t="inlineStr">
        <is>
          <t>Uncertainty</t>
        </is>
      </c>
      <c r="P776" s="26" t="inlineStr">
        <is>
          <t>Combined</t>
        </is>
      </c>
      <c r="Q776" t="inlineStr">
        <is>
          <t>K3-3B</t>
        </is>
      </c>
      <c r="R776" t="n">
        <v>1.1448</v>
      </c>
    </row>
    <row r="777">
      <c r="A777" t="n">
        <v>14</v>
      </c>
      <c r="B777" t="inlineStr">
        <is>
          <t>SS1</t>
        </is>
      </c>
      <c r="D777" t="n">
        <v>9.1</v>
      </c>
      <c r="E777" t="n">
        <v>1020.35</v>
      </c>
      <c r="F777" t="n">
        <v>504.42</v>
      </c>
      <c r="G777" t="n">
        <v>95.104</v>
      </c>
      <c r="H777">
        <f>E777/F777</f>
        <v/>
      </c>
      <c r="I777">
        <f>((H777-$J$763)/$I$763)</f>
        <v/>
      </c>
      <c r="J777">
        <f>(I777-IF($I$771&gt;0,$I$771,0))</f>
        <v/>
      </c>
      <c r="K777">
        <f>J777/R763*1.1</f>
        <v/>
      </c>
      <c r="L777" s="27">
        <f>AVERAGE(K777:K779)</f>
        <v/>
      </c>
      <c r="M777" s="27">
        <f>STDEV(K777:K779)</f>
        <v/>
      </c>
      <c r="N777" s="28">
        <f>L777/J771*100</f>
        <v/>
      </c>
      <c r="O777" s="29">
        <f>M777/J771*100</f>
        <v/>
      </c>
      <c r="P777" s="29">
        <f>_xlfn.CONCAT(ROUND(N777,1)," ± ",ROUND(O777,1))</f>
        <v/>
      </c>
      <c r="Q777" t="inlineStr">
        <is>
          <t>K3-3C</t>
        </is>
      </c>
      <c r="R777" t="n">
        <v>1.0493</v>
      </c>
    </row>
    <row r="778">
      <c r="A778" t="n">
        <v>15</v>
      </c>
      <c r="B778" t="inlineStr">
        <is>
          <t>SS2</t>
        </is>
      </c>
      <c r="D778" t="n">
        <v>9.109999999999999</v>
      </c>
      <c r="E778" t="n">
        <v>968.126</v>
      </c>
      <c r="F778" t="n">
        <v>614.583</v>
      </c>
      <c r="G778" t="n">
        <v>39.561</v>
      </c>
      <c r="H778">
        <f>E778/F778</f>
        <v/>
      </c>
      <c r="I778">
        <f>((H778-$J$763)/$I$763)</f>
        <v/>
      </c>
      <c r="J778">
        <f>(I778-IF($I$771&gt;0,$I$771,0))</f>
        <v/>
      </c>
      <c r="K778">
        <f>J778/R764*1.1</f>
        <v/>
      </c>
      <c r="Q778" t="inlineStr">
        <is>
          <t>K3-4A</t>
        </is>
      </c>
      <c r="R778" t="n">
        <v>1.0704</v>
      </c>
    </row>
    <row r="779">
      <c r="A779" t="n">
        <v>16</v>
      </c>
      <c r="B779" t="inlineStr">
        <is>
          <t>SS3</t>
        </is>
      </c>
      <c r="D779" t="n">
        <v>9.1</v>
      </c>
      <c r="E779" t="n">
        <v>776.606</v>
      </c>
      <c r="F779" t="n">
        <v>590.708</v>
      </c>
      <c r="G779" t="n">
        <v>35.329</v>
      </c>
      <c r="H779">
        <f>E779/F779</f>
        <v/>
      </c>
      <c r="I779">
        <f>((H779-$J$763)/$I$763)</f>
        <v/>
      </c>
      <c r="J779">
        <f>(I779-IF($I$771&gt;0,$I$771,0))</f>
        <v/>
      </c>
      <c r="K779" s="30">
        <f>J779/R765*1.1</f>
        <v/>
      </c>
      <c r="Q779" t="inlineStr">
        <is>
          <t>K3-4B</t>
        </is>
      </c>
      <c r="R779" t="n">
        <v>1.1589</v>
      </c>
    </row>
    <row r="780">
      <c r="A780" t="n">
        <v>17</v>
      </c>
      <c r="B780" t="inlineStr">
        <is>
          <t>MeOH</t>
        </is>
      </c>
      <c r="L780" s="23" t="inlineStr">
        <is>
          <t>Average</t>
        </is>
      </c>
      <c r="M780" s="23" t="inlineStr">
        <is>
          <t>Stdev</t>
        </is>
      </c>
      <c r="N780" s="9" t="inlineStr">
        <is>
          <t>Combined</t>
        </is>
      </c>
      <c r="Q780" t="inlineStr">
        <is>
          <t>K3-4C</t>
        </is>
      </c>
      <c r="R780" t="n">
        <v>1.0206</v>
      </c>
    </row>
    <row r="781">
      <c r="A781" t="n">
        <v>18</v>
      </c>
      <c r="B781" t="inlineStr">
        <is>
          <t>K4-5A</t>
        </is>
      </c>
      <c r="D781" t="n">
        <v>9.220000000000001</v>
      </c>
      <c r="E781" t="n">
        <v>33.763</v>
      </c>
      <c r="F781" t="n">
        <v>465.479</v>
      </c>
      <c r="G781" t="n">
        <v>1.326</v>
      </c>
      <c r="H781">
        <f>E781/F781</f>
        <v/>
      </c>
      <c r="I781">
        <f>((H781-$J$763)/$I$763)</f>
        <v/>
      </c>
      <c r="J781">
        <f>(I781-IF($I$771&gt;0,$I$771,0))</f>
        <v/>
      </c>
      <c r="K781">
        <f>J781/R765*1.1</f>
        <v/>
      </c>
      <c r="L781">
        <f>AVERAGE(K781:K783)</f>
        <v/>
      </c>
      <c r="M781">
        <f>STDEV(K781:K783)</f>
        <v/>
      </c>
      <c r="N781">
        <f>_xlfn.CONCAT(ROUND(L781,1)," ± ",ROUND(M781,1))</f>
        <v/>
      </c>
      <c r="Q781" t="inlineStr">
        <is>
          <t>K3-6A</t>
        </is>
      </c>
      <c r="R781" t="n">
        <v>1.1289</v>
      </c>
    </row>
    <row r="782">
      <c r="A782" t="n">
        <v>19</v>
      </c>
      <c r="B782" t="inlineStr">
        <is>
          <t>K4-5B</t>
        </is>
      </c>
      <c r="D782" t="n">
        <v>9.19</v>
      </c>
      <c r="E782" t="n">
        <v>57.867</v>
      </c>
      <c r="F782" t="n">
        <v>473.146</v>
      </c>
      <c r="G782" t="n">
        <v>2.605</v>
      </c>
      <c r="H782">
        <f>E782/F782</f>
        <v/>
      </c>
      <c r="I782">
        <f>((H782-$J$763)/$I$763)</f>
        <v/>
      </c>
      <c r="J782">
        <f>(I782-IF($I$771&gt;0,$I$771,0))</f>
        <v/>
      </c>
      <c r="K782">
        <f>J782/R766*1.1</f>
        <v/>
      </c>
      <c r="Q782" t="inlineStr">
        <is>
          <t>K3-6B</t>
        </is>
      </c>
      <c r="R782" t="n">
        <v>1.195</v>
      </c>
    </row>
    <row r="783">
      <c r="A783" t="n">
        <v>20</v>
      </c>
      <c r="B783" t="inlineStr">
        <is>
          <t>K4-5C</t>
        </is>
      </c>
      <c r="D783" t="n">
        <v>8.9</v>
      </c>
      <c r="E783" t="n">
        <v>40.892</v>
      </c>
      <c r="F783" t="n">
        <v>535.058</v>
      </c>
      <c r="G783" t="n">
        <v>2.193</v>
      </c>
      <c r="H783">
        <f>E783/F783</f>
        <v/>
      </c>
      <c r="I783">
        <f>((H783-$J$763)/$I$763)</f>
        <v/>
      </c>
      <c r="J783">
        <f>(I783-IF($I$771&gt;0,$I$771,0))</f>
        <v/>
      </c>
      <c r="K783">
        <f>J783/R767*1.1</f>
        <v/>
      </c>
      <c r="L783" s="23" t="n"/>
      <c r="M783" s="23" t="n"/>
      <c r="N783" s="9" t="n"/>
      <c r="Q783" t="inlineStr">
        <is>
          <t>K3-6C</t>
        </is>
      </c>
      <c r="R783" t="n">
        <v>1.1716</v>
      </c>
    </row>
    <row r="784">
      <c r="A784" t="n">
        <v>21</v>
      </c>
      <c r="B784" t="inlineStr">
        <is>
          <t>MeOH</t>
        </is>
      </c>
      <c r="L784" s="23" t="inlineStr">
        <is>
          <t>Average</t>
        </is>
      </c>
      <c r="M784" s="23" t="inlineStr">
        <is>
          <t>Stdev</t>
        </is>
      </c>
      <c r="N784" s="9" t="inlineStr">
        <is>
          <t>Combined</t>
        </is>
      </c>
    </row>
    <row r="785">
      <c r="A785" t="n">
        <v>22</v>
      </c>
      <c r="B785" t="inlineStr">
        <is>
          <t>K3-1A</t>
        </is>
      </c>
      <c r="D785" t="n">
        <v>9.19</v>
      </c>
      <c r="E785" t="n">
        <v>53.361</v>
      </c>
      <c r="F785" t="n">
        <v>415.837</v>
      </c>
      <c r="G785" t="n">
        <v>2.321</v>
      </c>
      <c r="H785">
        <f>E785/F785</f>
        <v/>
      </c>
      <c r="I785">
        <f>((H785-$J$763)/$I$763)</f>
        <v/>
      </c>
      <c r="J785">
        <f>(I785-IF($I$771&gt;0,$I$771,0))</f>
        <v/>
      </c>
      <c r="K785">
        <f>J785/R768*1.1</f>
        <v/>
      </c>
      <c r="L785">
        <f>AVERAGE(K785:K787)</f>
        <v/>
      </c>
      <c r="M785">
        <f>STDEV(K786:K787)</f>
        <v/>
      </c>
      <c r="N785">
        <f>_xlfn.CONCAT(ROUND(L785,1)," ± ",ROUND(M785,1))</f>
        <v/>
      </c>
    </row>
    <row r="786">
      <c r="A786" t="n">
        <v>23</v>
      </c>
      <c r="B786" t="inlineStr">
        <is>
          <t>K3-1B</t>
        </is>
      </c>
      <c r="D786" t="n">
        <v>9.199999999999999</v>
      </c>
      <c r="E786" t="n">
        <v>18.552</v>
      </c>
      <c r="F786" t="n">
        <v>487.725</v>
      </c>
      <c r="G786" t="n">
        <v>1.155</v>
      </c>
      <c r="H786">
        <f>E786/F786</f>
        <v/>
      </c>
      <c r="I786">
        <f>((H786-$J$763)/$I$763)</f>
        <v/>
      </c>
      <c r="J786">
        <f>(I786-IF($I$771&gt;0,$I$771,0))</f>
        <v/>
      </c>
      <c r="K786">
        <f>J786/R769*1.1</f>
        <v/>
      </c>
    </row>
    <row r="787">
      <c r="A787" t="n">
        <v>24</v>
      </c>
      <c r="B787" t="inlineStr">
        <is>
          <t>K3-1C</t>
        </is>
      </c>
      <c r="D787" t="n">
        <v>9.26</v>
      </c>
      <c r="E787" t="n">
        <v>39.44</v>
      </c>
      <c r="F787" t="n">
        <v>444.802</v>
      </c>
      <c r="G787" t="n">
        <v>1.495</v>
      </c>
      <c r="H787">
        <f>E787/F787</f>
        <v/>
      </c>
      <c r="I787">
        <f>((H787-$J$763)/$I$763)</f>
        <v/>
      </c>
      <c r="J787">
        <f>(I787-IF($I$771&gt;0,$I$771,0))</f>
        <v/>
      </c>
      <c r="K787">
        <f>J787/R770*1.1</f>
        <v/>
      </c>
      <c r="L787" s="23" t="inlineStr">
        <is>
          <t>Average</t>
        </is>
      </c>
      <c r="M787" s="23" t="inlineStr">
        <is>
          <t>Stdev</t>
        </is>
      </c>
      <c r="N787" s="9" t="inlineStr">
        <is>
          <t>Combined</t>
        </is>
      </c>
    </row>
    <row r="788">
      <c r="A788" t="n">
        <v>25</v>
      </c>
      <c r="B788" t="inlineStr">
        <is>
          <t>K3-2A</t>
        </is>
      </c>
      <c r="D788" t="n">
        <v>9.23</v>
      </c>
      <c r="E788" t="n">
        <v>14.825</v>
      </c>
      <c r="F788" t="n">
        <v>380.911</v>
      </c>
      <c r="G788" t="n">
        <v>2.063</v>
      </c>
      <c r="H788">
        <f>E788/F788</f>
        <v/>
      </c>
      <c r="I788">
        <f>((H788-$J$763)/$I$763)</f>
        <v/>
      </c>
      <c r="J788">
        <f>(I788-IF($I$771&gt;0,$I$771,0))</f>
        <v/>
      </c>
      <c r="K788">
        <f>J788/R771*1.1</f>
        <v/>
      </c>
      <c r="L788">
        <f>AVERAGE(K788:K790)</f>
        <v/>
      </c>
      <c r="M788">
        <f>STDEV(K788:K790)</f>
        <v/>
      </c>
      <c r="N788">
        <f>_xlfn.CONCAT(ROUND(L788,1)," ± ",ROUND(M788,1))</f>
        <v/>
      </c>
    </row>
    <row r="789">
      <c r="A789" t="n">
        <v>26</v>
      </c>
      <c r="B789" t="inlineStr">
        <is>
          <t>K3-2B</t>
        </is>
      </c>
      <c r="D789" t="n">
        <v>9.19</v>
      </c>
      <c r="E789" t="n">
        <v>60.398</v>
      </c>
      <c r="F789" t="n">
        <v>557.828</v>
      </c>
      <c r="G789" t="n">
        <v>6.887</v>
      </c>
      <c r="H789">
        <f>E789/F789</f>
        <v/>
      </c>
      <c r="I789">
        <f>((H789-$J$763)/$I$763)</f>
        <v/>
      </c>
      <c r="J789">
        <f>(I789-IF($I$771&gt;0,$I$771,0))</f>
        <v/>
      </c>
      <c r="K789">
        <f>J789/R772*1.1</f>
        <v/>
      </c>
    </row>
    <row r="790">
      <c r="A790" t="n">
        <v>27</v>
      </c>
      <c r="B790" t="inlineStr">
        <is>
          <t>K3-2C</t>
        </is>
      </c>
      <c r="D790" t="n">
        <v>9.23</v>
      </c>
      <c r="E790" t="n">
        <v>14.823</v>
      </c>
      <c r="F790" t="n">
        <v>472.435</v>
      </c>
      <c r="G790" t="n">
        <v>1.276</v>
      </c>
      <c r="H790">
        <f>E790/F790</f>
        <v/>
      </c>
      <c r="I790">
        <f>((H790-$J$763)/$I$763)</f>
        <v/>
      </c>
      <c r="J790">
        <f>(I790-IF($I$771&gt;0,$I$771,0))</f>
        <v/>
      </c>
      <c r="K790">
        <f>J790/R773*1.1</f>
        <v/>
      </c>
      <c r="L790" s="23" t="n"/>
      <c r="M790" s="23" t="n"/>
      <c r="N790" s="9" t="n"/>
    </row>
    <row r="791">
      <c r="A791" t="n">
        <v>28</v>
      </c>
      <c r="B791" t="inlineStr">
        <is>
          <t>MeOH</t>
        </is>
      </c>
      <c r="L791" s="23" t="inlineStr">
        <is>
          <t>Average</t>
        </is>
      </c>
      <c r="M791" s="23" t="inlineStr">
        <is>
          <t>Stdev</t>
        </is>
      </c>
      <c r="N791" s="9" t="inlineStr">
        <is>
          <t>Combined</t>
        </is>
      </c>
    </row>
    <row r="792">
      <c r="A792" t="n">
        <v>29</v>
      </c>
      <c r="B792" t="inlineStr">
        <is>
          <t>K3-3A</t>
        </is>
      </c>
      <c r="D792" t="n">
        <v>8.640000000000001</v>
      </c>
      <c r="E792" t="n">
        <v>14.622</v>
      </c>
      <c r="F792" t="n">
        <v>418.769</v>
      </c>
      <c r="G792" t="n">
        <v>1.618</v>
      </c>
      <c r="H792">
        <f>E792/F792</f>
        <v/>
      </c>
      <c r="I792">
        <f>((H792-$J$763)/$I$763)</f>
        <v/>
      </c>
      <c r="J792">
        <f>(I792-IF($I$771&gt;0,$I$771,0))</f>
        <v/>
      </c>
      <c r="K792">
        <f>J792/R774*1.1</f>
        <v/>
      </c>
      <c r="L792">
        <f>AVERAGE(K792:K794)</f>
        <v/>
      </c>
      <c r="M792">
        <f>STDEV(K793:K794)</f>
        <v/>
      </c>
      <c r="N792">
        <f>_xlfn.CONCAT(ROUND(L792,1)," ± ",ROUND(M792,1))</f>
        <v/>
      </c>
    </row>
    <row r="793">
      <c r="A793" t="n">
        <v>30</v>
      </c>
      <c r="B793" t="inlineStr">
        <is>
          <t>K3-3B</t>
        </is>
      </c>
      <c r="D793" t="n">
        <v>9.210000000000001</v>
      </c>
      <c r="E793" t="n">
        <v>40.74</v>
      </c>
      <c r="F793" t="n">
        <v>621.9160000000001</v>
      </c>
      <c r="G793" t="n">
        <v>1.824</v>
      </c>
      <c r="H793">
        <f>E793/F793</f>
        <v/>
      </c>
      <c r="I793">
        <f>((H793-$J$763)/$I$763)</f>
        <v/>
      </c>
      <c r="J793">
        <f>(I793-IF($I$771&gt;0,$I$771,0))</f>
        <v/>
      </c>
      <c r="K793">
        <f>J793/R775*1.1</f>
        <v/>
      </c>
    </row>
    <row r="794">
      <c r="A794" t="n">
        <v>31</v>
      </c>
      <c r="B794" t="inlineStr">
        <is>
          <t>K3-3C</t>
        </is>
      </c>
      <c r="D794" t="n">
        <v>9.199999999999999</v>
      </c>
      <c r="E794" t="n">
        <v>33.359</v>
      </c>
      <c r="F794" t="n">
        <v>357.94</v>
      </c>
      <c r="G794" t="n">
        <v>1.15</v>
      </c>
      <c r="H794">
        <f>E794/F794</f>
        <v/>
      </c>
      <c r="I794">
        <f>((H794-$J$763)/$I$763)</f>
        <v/>
      </c>
      <c r="J794">
        <f>(I794-IF($I$771&gt;0,$I$771,0))</f>
        <v/>
      </c>
      <c r="K794">
        <f>J794/R776*1.1</f>
        <v/>
      </c>
      <c r="L794" s="23" t="inlineStr">
        <is>
          <t>Average</t>
        </is>
      </c>
      <c r="M794" s="23" t="inlineStr">
        <is>
          <t>Stdev</t>
        </is>
      </c>
      <c r="N794" s="9" t="inlineStr">
        <is>
          <t>Combined</t>
        </is>
      </c>
    </row>
    <row r="795">
      <c r="A795" t="n">
        <v>32</v>
      </c>
      <c r="B795" t="inlineStr">
        <is>
          <t>K3-4A</t>
        </is>
      </c>
      <c r="D795" t="n">
        <v>9.050000000000001</v>
      </c>
      <c r="E795" t="n">
        <v>14.636</v>
      </c>
      <c r="F795" t="n">
        <v>345.339</v>
      </c>
      <c r="G795" t="n">
        <v>2.386</v>
      </c>
      <c r="H795">
        <f>E795/F795</f>
        <v/>
      </c>
      <c r="I795">
        <f>((H795-$J$763)/$I$763)</f>
        <v/>
      </c>
      <c r="J795">
        <f>(I795-IF($I$771&gt;0,$I$771,0))</f>
        <v/>
      </c>
      <c r="K795">
        <f>J795/R777*1.1</f>
        <v/>
      </c>
      <c r="L795">
        <f>AVERAGE(K795:K797)</f>
        <v/>
      </c>
      <c r="M795">
        <f>STDEV(K795:K797)</f>
        <v/>
      </c>
      <c r="N795">
        <f>_xlfn.CONCAT(ROUND(L795,1)," ± ",ROUND(M795,1))</f>
        <v/>
      </c>
    </row>
    <row r="796">
      <c r="A796" t="n">
        <v>33</v>
      </c>
      <c r="B796" t="inlineStr">
        <is>
          <t>K3-4B</t>
        </is>
      </c>
      <c r="D796" t="n">
        <v>9.050000000000001</v>
      </c>
      <c r="E796" t="n">
        <v>3.847</v>
      </c>
      <c r="F796" t="n">
        <v>533.263</v>
      </c>
      <c r="G796" t="n">
        <v>0.454</v>
      </c>
      <c r="H796">
        <f>E796/F796</f>
        <v/>
      </c>
      <c r="I796">
        <f>((H796-$J$763)/$I$763)</f>
        <v/>
      </c>
      <c r="J796">
        <f>(I796-IF($I$771&gt;0,$I$771,0))</f>
        <v/>
      </c>
      <c r="K796">
        <f>J796/R778*1.1</f>
        <v/>
      </c>
    </row>
    <row r="797">
      <c r="A797" t="n">
        <v>34</v>
      </c>
      <c r="B797" t="inlineStr">
        <is>
          <t>K3-4C</t>
        </is>
      </c>
      <c r="D797" t="n">
        <v>8.65</v>
      </c>
      <c r="E797" t="n">
        <v>8.06</v>
      </c>
      <c r="F797" t="n">
        <v>417.558</v>
      </c>
      <c r="G797" t="n">
        <v>1.357</v>
      </c>
      <c r="H797">
        <f>E797/F797</f>
        <v/>
      </c>
      <c r="I797">
        <f>((H797-$J$763)/$I$763)</f>
        <v/>
      </c>
      <c r="J797">
        <f>(I797-IF($I$771&gt;0,$I$771,0))</f>
        <v/>
      </c>
      <c r="K797">
        <f>J797/R779*1.1</f>
        <v/>
      </c>
      <c r="L797" s="23" t="n"/>
      <c r="M797" s="23" t="n"/>
      <c r="N797" s="9" t="n"/>
    </row>
    <row r="798">
      <c r="A798" t="n">
        <v>35</v>
      </c>
      <c r="B798" t="inlineStr">
        <is>
          <t>MeOH</t>
        </is>
      </c>
      <c r="L798" s="23" t="inlineStr">
        <is>
          <t>Average</t>
        </is>
      </c>
      <c r="M798" s="23" t="inlineStr">
        <is>
          <t>Stdev</t>
        </is>
      </c>
      <c r="N798" s="9" t="inlineStr">
        <is>
          <t>Combined</t>
        </is>
      </c>
    </row>
    <row r="799">
      <c r="A799" t="n">
        <v>36</v>
      </c>
      <c r="B799" t="inlineStr">
        <is>
          <t>K3-6A</t>
        </is>
      </c>
      <c r="D799" t="n">
        <v>8.67</v>
      </c>
      <c r="E799" t="n">
        <v>4.463</v>
      </c>
      <c r="F799" t="n">
        <v>353.045</v>
      </c>
      <c r="G799" t="n">
        <v>1.82</v>
      </c>
      <c r="H799">
        <f>E799/F799</f>
        <v/>
      </c>
      <c r="I799">
        <f>((H799-$J$763)/$I$763)</f>
        <v/>
      </c>
      <c r="J799">
        <f>(I799-IF($I$771&gt;0,$I$771,0))</f>
        <v/>
      </c>
      <c r="K799">
        <f>J799/R780*1.1</f>
        <v/>
      </c>
      <c r="L799">
        <f>AVERAGE(K799:K801)</f>
        <v/>
      </c>
      <c r="M799">
        <f>STDEV(K800:K801)</f>
        <v/>
      </c>
      <c r="N799">
        <f>_xlfn.CONCAT(ROUND(L799,1)," ± ",ROUND(M799,1))</f>
        <v/>
      </c>
    </row>
    <row r="800">
      <c r="A800" t="n">
        <v>37</v>
      </c>
      <c r="B800" t="inlineStr">
        <is>
          <t>K3-6B</t>
        </is>
      </c>
      <c r="D800" t="n">
        <v>8.68</v>
      </c>
      <c r="E800" t="n">
        <v>2.89</v>
      </c>
      <c r="F800" t="n">
        <v>247.754</v>
      </c>
      <c r="G800" t="n">
        <v>0.29</v>
      </c>
      <c r="H800">
        <f>E800/F800</f>
        <v/>
      </c>
      <c r="I800">
        <f>((H800-$J$763)/$I$763)</f>
        <v/>
      </c>
      <c r="J800">
        <f>(I800-IF($I$771&gt;0,$I$771,0))</f>
        <v/>
      </c>
      <c r="K800">
        <f>J800/R781*1.1</f>
        <v/>
      </c>
    </row>
    <row r="801">
      <c r="A801" t="n">
        <v>38</v>
      </c>
      <c r="B801" t="inlineStr">
        <is>
          <t>K3-6C</t>
        </is>
      </c>
      <c r="D801" t="n">
        <v>9.65</v>
      </c>
      <c r="E801" t="n">
        <v>2.541</v>
      </c>
      <c r="F801" t="n">
        <v>310.722</v>
      </c>
      <c r="G801" t="n">
        <v>0.08400000000000001</v>
      </c>
      <c r="H801">
        <f>E801/F801</f>
        <v/>
      </c>
      <c r="I801">
        <f>((H801-$J$763)/$I$763)</f>
        <v/>
      </c>
      <c r="J801">
        <f>(I801-IF($I$771&gt;0,$I$771,0))</f>
        <v/>
      </c>
      <c r="K801">
        <f>J801/R782*1.1</f>
        <v/>
      </c>
      <c r="L801" s="23" t="n"/>
      <c r="M801" s="23" t="n"/>
      <c r="N801" s="9" t="n"/>
    </row>
    <row r="803">
      <c r="A803" t="inlineStr">
        <is>
          <t>Compound 20:  10:2 monoPAP 2</t>
        </is>
      </c>
    </row>
    <row r="805">
      <c r="B805" t="inlineStr">
        <is>
          <t>Sample Text</t>
        </is>
      </c>
      <c r="C805" t="inlineStr">
        <is>
          <t>Std. Conc</t>
        </is>
      </c>
      <c r="D805" t="inlineStr">
        <is>
          <t>RT</t>
        </is>
      </c>
      <c r="E805" t="inlineStr">
        <is>
          <t>Area</t>
        </is>
      </c>
      <c r="F805" t="inlineStr">
        <is>
          <t>IS Area</t>
        </is>
      </c>
      <c r="G805" t="inlineStr">
        <is>
          <t>S/N</t>
        </is>
      </c>
      <c r="H805" t="inlineStr">
        <is>
          <t>Primary Flags</t>
        </is>
      </c>
      <c r="I805" t="inlineStr">
        <is>
          <t>Response</t>
        </is>
      </c>
      <c r="J805" t="inlineStr">
        <is>
          <t>Conc.</t>
        </is>
      </c>
      <c r="K805" t="inlineStr">
        <is>
          <t>Name</t>
        </is>
      </c>
    </row>
    <row r="806">
      <c r="A806" t="n">
        <v>1</v>
      </c>
      <c r="B806" t="inlineStr">
        <is>
          <t>EPA1633 &amp; diPAPs Calibration 0 ppb</t>
        </is>
      </c>
      <c r="F806" t="n">
        <v>307.703</v>
      </c>
      <c r="K806" t="inlineStr">
        <is>
          <t>20250617-12</t>
        </is>
      </c>
    </row>
    <row r="807">
      <c r="A807" t="n">
        <v>2</v>
      </c>
      <c r="B807" t="inlineStr">
        <is>
          <t>EPA1633 &amp; diPAPs Calibration 0.02 ppb</t>
        </is>
      </c>
      <c r="D807" t="n">
        <v>9.08</v>
      </c>
      <c r="E807" t="n">
        <v>68.482</v>
      </c>
      <c r="F807" t="n">
        <v>225.366</v>
      </c>
      <c r="G807" t="n">
        <v>632</v>
      </c>
      <c r="H807" t="inlineStr">
        <is>
          <t>bb</t>
        </is>
      </c>
      <c r="K807" t="inlineStr">
        <is>
          <t>20250617-13</t>
        </is>
      </c>
    </row>
    <row r="808">
      <c r="A808" t="n">
        <v>3</v>
      </c>
      <c r="B808" t="inlineStr">
        <is>
          <t>EPA1633 &amp; diPAPs Calibration 0.1 ppb</t>
        </is>
      </c>
      <c r="D808" t="n">
        <v>9.06</v>
      </c>
      <c r="E808" t="n">
        <v>157.5</v>
      </c>
      <c r="F808" t="n">
        <v>255.999</v>
      </c>
      <c r="G808" t="n">
        <v>1250</v>
      </c>
      <c r="H808" t="inlineStr">
        <is>
          <t>bb</t>
        </is>
      </c>
      <c r="K808" t="inlineStr">
        <is>
          <t>20250617-14</t>
        </is>
      </c>
    </row>
    <row r="809">
      <c r="A809" t="n">
        <v>4</v>
      </c>
      <c r="B809" t="inlineStr">
        <is>
          <t>EPA1633 &amp; diPAPs Calibration 0.4 ppb</t>
        </is>
      </c>
      <c r="D809" t="n">
        <v>9.07</v>
      </c>
      <c r="E809" t="n">
        <v>276.436</v>
      </c>
      <c r="F809" t="n">
        <v>249.341</v>
      </c>
      <c r="G809" t="n">
        <v>6.744</v>
      </c>
      <c r="H809" t="inlineStr">
        <is>
          <t>bb</t>
        </is>
      </c>
      <c r="K809" t="inlineStr">
        <is>
          <t>20250617-15</t>
        </is>
      </c>
    </row>
    <row r="810">
      <c r="A810" t="n">
        <v>5</v>
      </c>
      <c r="B810" t="inlineStr">
        <is>
          <t>EPA1633 &amp; diPAPs Calibration 1 ppb</t>
        </is>
      </c>
      <c r="D810" t="n">
        <v>9.07</v>
      </c>
      <c r="E810" t="n">
        <v>736.8920000000001</v>
      </c>
      <c r="F810" t="n">
        <v>256.233</v>
      </c>
      <c r="G810" t="n">
        <v>21.052</v>
      </c>
      <c r="H810" t="inlineStr">
        <is>
          <t>bb</t>
        </is>
      </c>
      <c r="K810" t="inlineStr">
        <is>
          <t>20250617-16</t>
        </is>
      </c>
    </row>
    <row r="811">
      <c r="A811" t="n">
        <v>6</v>
      </c>
      <c r="B811" t="inlineStr">
        <is>
          <t>EPA1633 &amp; diPAPs Calibration 5 ppb</t>
        </is>
      </c>
      <c r="D811" t="n">
        <v>9.07</v>
      </c>
      <c r="E811" t="n">
        <v>732.365</v>
      </c>
      <c r="F811" t="n">
        <v>272.698</v>
      </c>
      <c r="G811" t="n">
        <v>30.742</v>
      </c>
      <c r="H811" t="inlineStr">
        <is>
          <t>bb</t>
        </is>
      </c>
      <c r="K811" t="inlineStr">
        <is>
          <t>20250617-17</t>
        </is>
      </c>
    </row>
    <row r="812">
      <c r="A812" t="n">
        <v>7</v>
      </c>
      <c r="B812" t="inlineStr">
        <is>
          <t>EPA1633 &amp; diPAPs Calibration 10 ppb</t>
        </is>
      </c>
      <c r="D812" t="n">
        <v>9.07</v>
      </c>
      <c r="E812" t="n">
        <v>918.782</v>
      </c>
      <c r="F812" t="n">
        <v>229.316</v>
      </c>
      <c r="G812" t="n">
        <v>46.591</v>
      </c>
      <c r="H812" t="inlineStr">
        <is>
          <t>bb</t>
        </is>
      </c>
      <c r="K812" t="inlineStr">
        <is>
          <t>20250617-18</t>
        </is>
      </c>
    </row>
    <row r="813">
      <c r="A813" t="n">
        <v>8</v>
      </c>
      <c r="B813" t="inlineStr">
        <is>
          <t>EPA1633 &amp; diPAPs Calibration 20 ppb</t>
        </is>
      </c>
      <c r="D813" t="n">
        <v>9.08</v>
      </c>
      <c r="E813" t="n">
        <v>607.917</v>
      </c>
      <c r="F813" t="n">
        <v>45.687</v>
      </c>
      <c r="G813" t="n">
        <v>119.557</v>
      </c>
      <c r="H813" t="inlineStr">
        <is>
          <t>bb</t>
        </is>
      </c>
      <c r="K813" t="inlineStr">
        <is>
          <t>20250617-19</t>
        </is>
      </c>
    </row>
    <row r="814">
      <c r="A814" t="n">
        <v>9</v>
      </c>
      <c r="B814" t="inlineStr">
        <is>
          <t>MeOH</t>
        </is>
      </c>
      <c r="H814" t="inlineStr">
        <is>
          <t>MM-</t>
        </is>
      </c>
      <c r="K814" t="inlineStr">
        <is>
          <t>20250617-20</t>
        </is>
      </c>
    </row>
    <row r="815">
      <c r="A815" t="n">
        <v>10</v>
      </c>
      <c r="B815" t="inlineStr">
        <is>
          <t>MeOH</t>
        </is>
      </c>
      <c r="K815" t="inlineStr">
        <is>
          <t>20250617-21</t>
        </is>
      </c>
    </row>
    <row r="816">
      <c r="A816" t="n">
        <v>11</v>
      </c>
      <c r="B816" t="inlineStr">
        <is>
          <t>SB1</t>
        </is>
      </c>
      <c r="D816" t="n">
        <v>9.81</v>
      </c>
      <c r="E816" t="n">
        <v>1.341</v>
      </c>
      <c r="F816" t="n">
        <v>110.635</v>
      </c>
      <c r="G816" t="n">
        <v>15</v>
      </c>
      <c r="H816" t="inlineStr">
        <is>
          <t>bb</t>
        </is>
      </c>
      <c r="K816" t="inlineStr">
        <is>
          <t>20250617-22</t>
        </is>
      </c>
    </row>
    <row r="817">
      <c r="A817" t="n">
        <v>12</v>
      </c>
      <c r="B817" t="inlineStr">
        <is>
          <t>SB2</t>
        </is>
      </c>
      <c r="D817" t="n">
        <v>9.039999999999999</v>
      </c>
      <c r="E817" t="n">
        <v>14.694</v>
      </c>
      <c r="F817" t="n">
        <v>91.488</v>
      </c>
      <c r="G817" t="n">
        <v>4.137</v>
      </c>
      <c r="H817" t="inlineStr">
        <is>
          <t>bb</t>
        </is>
      </c>
      <c r="K817" t="inlineStr">
        <is>
          <t>20250617-23</t>
        </is>
      </c>
    </row>
    <row r="818">
      <c r="A818" t="n">
        <v>13</v>
      </c>
      <c r="B818" t="inlineStr">
        <is>
          <t>SB3</t>
        </is>
      </c>
      <c r="D818" t="n">
        <v>9.1</v>
      </c>
      <c r="E818" t="n">
        <v>3.916</v>
      </c>
      <c r="F818" t="n">
        <v>98.111</v>
      </c>
      <c r="G818" t="n">
        <v>43</v>
      </c>
      <c r="H818" t="inlineStr">
        <is>
          <t>bb</t>
        </is>
      </c>
      <c r="K818" t="inlineStr">
        <is>
          <t>20250617-24</t>
        </is>
      </c>
    </row>
    <row r="819">
      <c r="A819" t="n">
        <v>14</v>
      </c>
      <c r="B819" t="inlineStr">
        <is>
          <t>SS1</t>
        </is>
      </c>
      <c r="D819" t="n">
        <v>9.109999999999999</v>
      </c>
      <c r="E819" t="n">
        <v>68.86199999999999</v>
      </c>
      <c r="F819" t="n">
        <v>74.13</v>
      </c>
      <c r="G819" t="n">
        <v>658</v>
      </c>
      <c r="H819" t="inlineStr">
        <is>
          <t>bb</t>
        </is>
      </c>
      <c r="K819" t="inlineStr">
        <is>
          <t>20250617-25</t>
        </is>
      </c>
    </row>
    <row r="820">
      <c r="A820" t="n">
        <v>15</v>
      </c>
      <c r="B820" t="inlineStr">
        <is>
          <t>SS2</t>
        </is>
      </c>
      <c r="D820" t="n">
        <v>9.119999999999999</v>
      </c>
      <c r="E820" t="n">
        <v>154.626</v>
      </c>
      <c r="F820" t="n">
        <v>101.72</v>
      </c>
      <c r="G820" t="n">
        <v>503.779</v>
      </c>
      <c r="H820" t="inlineStr">
        <is>
          <t>bb</t>
        </is>
      </c>
      <c r="K820" t="inlineStr">
        <is>
          <t>20250617-26</t>
        </is>
      </c>
    </row>
    <row r="821">
      <c r="A821" t="n">
        <v>16</v>
      </c>
      <c r="B821" t="inlineStr">
        <is>
          <t>SS3</t>
        </is>
      </c>
      <c r="D821" t="n">
        <v>9.109999999999999</v>
      </c>
      <c r="E821" t="n">
        <v>154.561</v>
      </c>
      <c r="F821" t="n">
        <v>89.792</v>
      </c>
      <c r="G821" t="n">
        <v>12.016</v>
      </c>
      <c r="H821" t="inlineStr">
        <is>
          <t>MM</t>
        </is>
      </c>
      <c r="K821" t="inlineStr">
        <is>
          <t>20250617-27</t>
        </is>
      </c>
    </row>
    <row r="822">
      <c r="A822" t="n">
        <v>17</v>
      </c>
      <c r="B822" t="inlineStr">
        <is>
          <t>MeOH</t>
        </is>
      </c>
      <c r="D822" t="n">
        <v>10.34</v>
      </c>
      <c r="E822" t="n">
        <v>0.262</v>
      </c>
      <c r="G822" t="n">
        <v>2</v>
      </c>
      <c r="H822" t="inlineStr">
        <is>
          <t>bb</t>
        </is>
      </c>
      <c r="K822" t="inlineStr">
        <is>
          <t>20250617-28</t>
        </is>
      </c>
    </row>
    <row r="823">
      <c r="A823" t="n">
        <v>18</v>
      </c>
      <c r="B823" t="inlineStr">
        <is>
          <t>K4-5A</t>
        </is>
      </c>
      <c r="D823" t="n">
        <v>9.16</v>
      </c>
      <c r="E823" t="n">
        <v>5.803</v>
      </c>
      <c r="F823" t="n">
        <v>90.40600000000001</v>
      </c>
      <c r="G823" t="n">
        <v>67</v>
      </c>
      <c r="H823" t="inlineStr">
        <is>
          <t>bb</t>
        </is>
      </c>
      <c r="K823" t="inlineStr">
        <is>
          <t>20250617-29</t>
        </is>
      </c>
    </row>
    <row r="824">
      <c r="A824" t="n">
        <v>19</v>
      </c>
      <c r="B824" t="inlineStr">
        <is>
          <t>K4-5B</t>
        </is>
      </c>
      <c r="D824" t="n">
        <v>9.380000000000001</v>
      </c>
      <c r="E824" t="n">
        <v>0.676</v>
      </c>
      <c r="F824" t="n">
        <v>89.22799999999999</v>
      </c>
      <c r="G824" t="n">
        <v>8</v>
      </c>
      <c r="H824" t="inlineStr">
        <is>
          <t>bb</t>
        </is>
      </c>
      <c r="K824" t="inlineStr">
        <is>
          <t>20250617-30</t>
        </is>
      </c>
    </row>
    <row r="825">
      <c r="A825" t="n">
        <v>20</v>
      </c>
      <c r="B825" t="inlineStr">
        <is>
          <t>K4-5C</t>
        </is>
      </c>
      <c r="F825" t="n">
        <v>74.886</v>
      </c>
      <c r="K825" t="inlineStr">
        <is>
          <t>20250617-31</t>
        </is>
      </c>
    </row>
    <row r="826">
      <c r="A826" t="n">
        <v>21</v>
      </c>
      <c r="B826" t="inlineStr">
        <is>
          <t>MeOH</t>
        </is>
      </c>
      <c r="H826" t="inlineStr">
        <is>
          <t>MM-</t>
        </is>
      </c>
      <c r="K826" t="inlineStr">
        <is>
          <t>20250617-32</t>
        </is>
      </c>
    </row>
    <row r="827">
      <c r="A827" t="n">
        <v>22</v>
      </c>
      <c r="B827" t="inlineStr">
        <is>
          <t>K3-1A</t>
        </is>
      </c>
      <c r="D827" t="n">
        <v>9.199999999999999</v>
      </c>
      <c r="E827" t="n">
        <v>0.795</v>
      </c>
      <c r="F827" t="n">
        <v>113.907</v>
      </c>
      <c r="G827" t="n">
        <v>9</v>
      </c>
      <c r="H827" t="inlineStr">
        <is>
          <t>bb</t>
        </is>
      </c>
      <c r="K827" t="inlineStr">
        <is>
          <t>20250617-33</t>
        </is>
      </c>
    </row>
    <row r="828">
      <c r="A828" t="n">
        <v>23</v>
      </c>
      <c r="B828" t="inlineStr">
        <is>
          <t>K3-1B</t>
        </is>
      </c>
      <c r="D828" t="n">
        <v>9.19</v>
      </c>
      <c r="E828" t="n">
        <v>2.515</v>
      </c>
      <c r="F828" t="n">
        <v>74.749</v>
      </c>
      <c r="G828" t="n">
        <v>7.686</v>
      </c>
      <c r="H828" t="inlineStr">
        <is>
          <t>bb</t>
        </is>
      </c>
      <c r="K828" t="inlineStr">
        <is>
          <t>20250617-34</t>
        </is>
      </c>
    </row>
    <row r="829">
      <c r="A829" t="n">
        <v>24</v>
      </c>
      <c r="B829" t="inlineStr">
        <is>
          <t>K3-1C</t>
        </is>
      </c>
      <c r="D829" t="n">
        <v>9.300000000000001</v>
      </c>
      <c r="E829" t="n">
        <v>0.285</v>
      </c>
      <c r="F829" t="n">
        <v>57.963</v>
      </c>
      <c r="G829" t="n">
        <v>3</v>
      </c>
      <c r="H829" t="inlineStr">
        <is>
          <t>bb</t>
        </is>
      </c>
      <c r="K829" t="inlineStr">
        <is>
          <t>20250617-35</t>
        </is>
      </c>
    </row>
    <row r="830">
      <c r="A830" t="n">
        <v>25</v>
      </c>
      <c r="B830" t="inlineStr">
        <is>
          <t>K3-2A</t>
        </is>
      </c>
      <c r="D830" t="n">
        <v>9.199999999999999</v>
      </c>
      <c r="E830" t="n">
        <v>0.119</v>
      </c>
      <c r="F830" t="n">
        <v>86.604</v>
      </c>
      <c r="G830" t="n">
        <v>1</v>
      </c>
      <c r="H830" t="inlineStr">
        <is>
          <t>bb</t>
        </is>
      </c>
      <c r="K830" t="inlineStr">
        <is>
          <t>20250617-36</t>
        </is>
      </c>
    </row>
    <row r="831">
      <c r="A831" t="n">
        <v>26</v>
      </c>
      <c r="B831" t="inlineStr">
        <is>
          <t>K3-2B</t>
        </is>
      </c>
      <c r="F831" t="n">
        <v>75.304</v>
      </c>
      <c r="K831" t="inlineStr">
        <is>
          <t>20250617-37</t>
        </is>
      </c>
    </row>
    <row r="832">
      <c r="A832" t="n">
        <v>27</v>
      </c>
      <c r="B832" t="inlineStr">
        <is>
          <t>K3-2C</t>
        </is>
      </c>
      <c r="D832" t="n">
        <v>9.289999999999999</v>
      </c>
      <c r="E832" t="n">
        <v>0.19</v>
      </c>
      <c r="F832" t="n">
        <v>74.127</v>
      </c>
      <c r="G832" t="n">
        <v>2</v>
      </c>
      <c r="H832" t="inlineStr">
        <is>
          <t>bb</t>
        </is>
      </c>
      <c r="K832" t="inlineStr">
        <is>
          <t>20250617-38</t>
        </is>
      </c>
    </row>
    <row r="833">
      <c r="A833" t="n">
        <v>28</v>
      </c>
      <c r="B833" t="inlineStr">
        <is>
          <t>MeOH</t>
        </is>
      </c>
      <c r="K833" t="inlineStr">
        <is>
          <t>20250617-39</t>
        </is>
      </c>
    </row>
    <row r="834">
      <c r="A834" t="n">
        <v>29</v>
      </c>
      <c r="B834" t="inlineStr">
        <is>
          <t>K3-3A</t>
        </is>
      </c>
      <c r="D834" t="n">
        <v>9.199999999999999</v>
      </c>
      <c r="E834" t="n">
        <v>0.356</v>
      </c>
      <c r="F834" t="n">
        <v>101.84</v>
      </c>
      <c r="G834" t="n">
        <v>4</v>
      </c>
      <c r="H834" t="inlineStr">
        <is>
          <t>bb</t>
        </is>
      </c>
      <c r="K834" t="inlineStr">
        <is>
          <t>20250617-40</t>
        </is>
      </c>
    </row>
    <row r="835">
      <c r="A835" t="n">
        <v>30</v>
      </c>
      <c r="B835" t="inlineStr">
        <is>
          <t>K3-3B</t>
        </is>
      </c>
      <c r="F835" t="n">
        <v>96.505</v>
      </c>
      <c r="K835" t="inlineStr">
        <is>
          <t>20250617-41</t>
        </is>
      </c>
    </row>
    <row r="836">
      <c r="A836" t="n">
        <v>31</v>
      </c>
      <c r="B836" t="inlineStr">
        <is>
          <t>K3-3C</t>
        </is>
      </c>
      <c r="F836" t="n">
        <v>116.668</v>
      </c>
      <c r="K836" t="inlineStr">
        <is>
          <t>20250617-42</t>
        </is>
      </c>
    </row>
    <row r="837">
      <c r="A837" t="n">
        <v>32</v>
      </c>
      <c r="B837" t="inlineStr">
        <is>
          <t>K3-4A</t>
        </is>
      </c>
      <c r="F837" t="n">
        <v>95.196</v>
      </c>
      <c r="K837" t="inlineStr">
        <is>
          <t>20250617-43</t>
        </is>
      </c>
    </row>
    <row r="838">
      <c r="A838" t="n">
        <v>33</v>
      </c>
      <c r="B838" t="inlineStr">
        <is>
          <t>K3-4B</t>
        </is>
      </c>
      <c r="D838" t="n">
        <v>8.199999999999999</v>
      </c>
      <c r="E838" t="n">
        <v>0.18</v>
      </c>
      <c r="F838" t="n">
        <v>52.646</v>
      </c>
      <c r="G838" t="n">
        <v>2</v>
      </c>
      <c r="H838" t="inlineStr">
        <is>
          <t>bb</t>
        </is>
      </c>
      <c r="K838" t="inlineStr">
        <is>
          <t>20250617-44</t>
        </is>
      </c>
    </row>
    <row r="839">
      <c r="A839" t="n">
        <v>34</v>
      </c>
      <c r="B839" t="inlineStr">
        <is>
          <t>K3-4C</t>
        </is>
      </c>
      <c r="F839" t="n">
        <v>62.052</v>
      </c>
      <c r="K839" t="inlineStr">
        <is>
          <t>20250617-45</t>
        </is>
      </c>
    </row>
    <row r="840">
      <c r="A840" t="n">
        <v>35</v>
      </c>
      <c r="B840" t="inlineStr">
        <is>
          <t>MeOH</t>
        </is>
      </c>
      <c r="H840" t="inlineStr">
        <is>
          <t>MM-</t>
        </is>
      </c>
      <c r="K840" t="inlineStr">
        <is>
          <t>20250617-46</t>
        </is>
      </c>
    </row>
    <row r="841">
      <c r="A841" t="n">
        <v>36</v>
      </c>
      <c r="B841" t="inlineStr">
        <is>
          <t>K3-6A</t>
        </is>
      </c>
      <c r="F841" t="n">
        <v>93.878</v>
      </c>
      <c r="K841" t="inlineStr">
        <is>
          <t>20250617-47</t>
        </is>
      </c>
    </row>
    <row r="842">
      <c r="A842" t="n">
        <v>37</v>
      </c>
      <c r="B842" t="inlineStr">
        <is>
          <t>K3-6B</t>
        </is>
      </c>
      <c r="D842" t="n">
        <v>9.41</v>
      </c>
      <c r="E842" t="n">
        <v>1.317</v>
      </c>
      <c r="F842" t="n">
        <v>67.396</v>
      </c>
      <c r="G842" t="n">
        <v>15</v>
      </c>
      <c r="H842" t="inlineStr">
        <is>
          <t>bb</t>
        </is>
      </c>
      <c r="K842" t="inlineStr">
        <is>
          <t>20250617-48</t>
        </is>
      </c>
    </row>
    <row r="843">
      <c r="A843" t="n">
        <v>38</v>
      </c>
      <c r="B843" t="inlineStr">
        <is>
          <t>K3-6C</t>
        </is>
      </c>
      <c r="D843" t="n">
        <v>8.890000000000001</v>
      </c>
      <c r="E843" t="n">
        <v>0.186</v>
      </c>
      <c r="F843" t="n">
        <v>117.664</v>
      </c>
      <c r="G843" t="n">
        <v>2</v>
      </c>
      <c r="H843" t="inlineStr">
        <is>
          <t>bb</t>
        </is>
      </c>
      <c r="K843" t="inlineStr">
        <is>
          <t>20250617-49</t>
        </is>
      </c>
    </row>
    <row r="845">
      <c r="A845" t="inlineStr">
        <is>
          <t>Compound 21:  SAmPAP 1</t>
        </is>
      </c>
    </row>
    <row r="846">
      <c r="I846" t="inlineStr">
        <is>
          <t>LINEST</t>
        </is>
      </c>
      <c r="Q846" t="inlineStr">
        <is>
          <t>Biosolids Masses</t>
        </is>
      </c>
      <c r="R846" t="inlineStr">
        <is>
          <t>(g)</t>
        </is>
      </c>
    </row>
    <row r="847">
      <c r="B847" t="inlineStr">
        <is>
          <t>Sample Text</t>
        </is>
      </c>
      <c r="C847" t="inlineStr">
        <is>
          <t>Std. Conc</t>
        </is>
      </c>
      <c r="D847" t="inlineStr">
        <is>
          <t>RT</t>
        </is>
      </c>
      <c r="E847" t="inlineStr">
        <is>
          <t>Area</t>
        </is>
      </c>
      <c r="F847" t="inlineStr">
        <is>
          <t>IS Area</t>
        </is>
      </c>
      <c r="G847" t="inlineStr">
        <is>
          <t>S/N</t>
        </is>
      </c>
      <c r="H847" t="inlineStr">
        <is>
          <t>ratio</t>
        </is>
      </c>
      <c r="I847">
        <f t="array" ref="I847:J851">LINEST(H849:H854,C849:C854,1,1)</f>
        <v/>
      </c>
      <c r="J847" t="n">
        <v>-0.05243812468495601</v>
      </c>
      <c r="L847" s="20" t="inlineStr">
        <is>
          <t>By S/N Ratio</t>
        </is>
      </c>
      <c r="Q847" t="inlineStr">
        <is>
          <t>SS1</t>
        </is>
      </c>
      <c r="R847" t="n">
        <v>1.0846</v>
      </c>
    </row>
    <row r="848">
      <c r="A848" t="n">
        <v>1</v>
      </c>
      <c r="B848" t="inlineStr">
        <is>
          <t>EPA1633 &amp; diPAPs Calibration 0 ppb</t>
        </is>
      </c>
      <c r="C848" t="n">
        <v>0</v>
      </c>
      <c r="D848" t="n">
        <v>8.529999999999999</v>
      </c>
      <c r="E848" t="n">
        <v>8.531000000000001</v>
      </c>
      <c r="F848" t="n">
        <v>1227.559</v>
      </c>
      <c r="G848" t="n">
        <v>0.945</v>
      </c>
      <c r="H848">
        <f>E848/F848</f>
        <v/>
      </c>
      <c r="I848" t="n">
        <v>0.002983774567492331</v>
      </c>
      <c r="J848" t="n">
        <v>0.02682632933880075</v>
      </c>
      <c r="K848" t="inlineStr">
        <is>
          <t>LOD</t>
        </is>
      </c>
      <c r="L848" s="21">
        <f>IF(G851&gt;3,C851,IF(G852&gt;3,#REF!,IF(G853&gt;3,C853,IF(G854&gt;3,C854,C855))))</f>
        <v/>
      </c>
      <c r="Q848" t="inlineStr">
        <is>
          <t>SS2</t>
        </is>
      </c>
      <c r="R848" t="n">
        <v>1.0726</v>
      </c>
    </row>
    <row r="849">
      <c r="A849" t="n">
        <v>2</v>
      </c>
      <c r="B849" t="inlineStr">
        <is>
          <t>EPA1633 &amp; diPAPs Calibration 0.02 ppb</t>
        </is>
      </c>
      <c r="C849" t="n">
        <v>1</v>
      </c>
      <c r="D849" t="n">
        <v>8.699999999999999</v>
      </c>
      <c r="E849" t="n">
        <v>19.02</v>
      </c>
      <c r="F849" t="n">
        <v>1045.628</v>
      </c>
      <c r="G849" t="n">
        <v>0.978</v>
      </c>
      <c r="H849">
        <f>E849/F849</f>
        <v/>
      </c>
      <c r="I849" t="n">
        <v>0.9712769552586547</v>
      </c>
      <c r="J849" t="n">
        <v>0.03967784482651181</v>
      </c>
      <c r="K849" t="inlineStr">
        <is>
          <t>LOQ</t>
        </is>
      </c>
      <c r="L849" s="22">
        <f>IF(G851&gt;10,C851,IF(G852&gt;10,C852,IF(G853&gt;10,C853,IF(G854&gt;10,C854,C855))))</f>
        <v/>
      </c>
      <c r="Q849" t="inlineStr">
        <is>
          <t>SS3</t>
        </is>
      </c>
      <c r="R849" t="n">
        <v>1.1534</v>
      </c>
    </row>
    <row r="850">
      <c r="A850" t="n">
        <v>3</v>
      </c>
      <c r="B850" t="inlineStr">
        <is>
          <t>EPA1633 &amp; diPAPs Calibration 0.1 ppb</t>
        </is>
      </c>
      <c r="C850" t="n">
        <v>2</v>
      </c>
      <c r="D850" t="n">
        <v>8.77</v>
      </c>
      <c r="E850" t="n">
        <v>39.623</v>
      </c>
      <c r="F850" t="n">
        <v>1280.389</v>
      </c>
      <c r="G850" t="n">
        <v>2.381</v>
      </c>
      <c r="H850">
        <f>E850/F850</f>
        <v/>
      </c>
      <c r="I850" t="n">
        <v>135.2610023073986</v>
      </c>
      <c r="J850" t="n">
        <v>4</v>
      </c>
      <c r="Q850" t="inlineStr">
        <is>
          <t>K4-5A</t>
        </is>
      </c>
      <c r="R850" t="n">
        <v>1.1054</v>
      </c>
    </row>
    <row r="851">
      <c r="A851" t="n">
        <v>4</v>
      </c>
      <c r="B851" t="inlineStr">
        <is>
          <t>EPA1633 &amp; diPAPs Calibration 0.4 ppb</t>
        </is>
      </c>
      <c r="C851" t="n">
        <v>4</v>
      </c>
      <c r="D851" t="n">
        <v>8.779999999999999</v>
      </c>
      <c r="E851" t="n">
        <v>72.489</v>
      </c>
      <c r="F851" t="n">
        <v>1133.632</v>
      </c>
      <c r="G851" t="n">
        <v>3.836</v>
      </c>
      <c r="H851">
        <f>E851/F851</f>
        <v/>
      </c>
      <c r="I851" t="n">
        <v>0.2129456390805613</v>
      </c>
      <c r="J851" t="n">
        <v>0.006297325480307</v>
      </c>
      <c r="Q851" t="inlineStr">
        <is>
          <t>K4-5B</t>
        </is>
      </c>
      <c r="R851" s="10" t="n">
        <v>1.0463</v>
      </c>
    </row>
    <row r="852">
      <c r="A852" t="n">
        <v>5</v>
      </c>
      <c r="B852" t="inlineStr">
        <is>
          <t>EPA1633 &amp; diPAPs Calibration 1 ppb</t>
        </is>
      </c>
      <c r="C852" t="n">
        <v>8</v>
      </c>
      <c r="D852" t="n">
        <v>8.76</v>
      </c>
      <c r="E852" t="n">
        <v>251.373</v>
      </c>
      <c r="F852" t="n">
        <v>1430.277</v>
      </c>
      <c r="G852" t="n">
        <v>12.916</v>
      </c>
      <c r="H852">
        <f>E852/F852</f>
        <v/>
      </c>
      <c r="Q852" t="inlineStr">
        <is>
          <t>K4-5C</t>
        </is>
      </c>
      <c r="R852" t="n">
        <v>1.1155</v>
      </c>
    </row>
    <row r="853">
      <c r="A853" t="n">
        <v>6</v>
      </c>
      <c r="B853" t="inlineStr">
        <is>
          <t>EPA1633 &amp; diPAPs Calibration 5 ppb</t>
        </is>
      </c>
      <c r="C853" t="n">
        <v>12</v>
      </c>
      <c r="D853" t="n">
        <v>8.75</v>
      </c>
      <c r="E853" t="n">
        <v>334.396</v>
      </c>
      <c r="F853" t="n">
        <v>965.196</v>
      </c>
      <c r="G853" t="n">
        <v>14.624</v>
      </c>
      <c r="H853">
        <f>E853/F853</f>
        <v/>
      </c>
      <c r="Q853" t="inlineStr">
        <is>
          <t>K3-1A</t>
        </is>
      </c>
      <c r="R853" t="n">
        <v>1.0874</v>
      </c>
    </row>
    <row r="854">
      <c r="A854" t="n">
        <v>7</v>
      </c>
      <c r="B854" t="inlineStr">
        <is>
          <t>EPA1633 &amp; diPAPs Calibration 10 ppb</t>
        </is>
      </c>
      <c r="C854" t="n">
        <v>16</v>
      </c>
      <c r="D854" t="n">
        <v>8.75</v>
      </c>
      <c r="E854" t="n">
        <v>537.128</v>
      </c>
      <c r="F854" t="n">
        <v>990.528</v>
      </c>
      <c r="G854" t="n">
        <v>41.793</v>
      </c>
      <c r="H854">
        <f>E854/F854</f>
        <v/>
      </c>
      <c r="I854" s="23" t="inlineStr">
        <is>
          <t>Background</t>
        </is>
      </c>
      <c r="J854" s="23" t="inlineStr">
        <is>
          <t>Spike</t>
        </is>
      </c>
      <c r="K854" s="9" t="inlineStr">
        <is>
          <t>Old Spike</t>
        </is>
      </c>
      <c r="O854" s="24" t="inlineStr">
        <is>
          <t>±</t>
        </is>
      </c>
      <c r="Q854" t="inlineStr">
        <is>
          <t>K3-1B</t>
        </is>
      </c>
      <c r="R854" t="n">
        <v>1.0898</v>
      </c>
    </row>
    <row r="855">
      <c r="A855" t="n">
        <v>8</v>
      </c>
      <c r="B855" t="inlineStr">
        <is>
          <t>EPA1633 &amp; diPAPs Calibration 20 ppb</t>
        </is>
      </c>
      <c r="C855" t="n">
        <v>20</v>
      </c>
      <c r="D855" t="n">
        <v>8.75</v>
      </c>
      <c r="E855" t="n">
        <v>284.771</v>
      </c>
      <c r="F855" t="n">
        <v>107.462</v>
      </c>
      <c r="G855" t="n">
        <v>22.398</v>
      </c>
      <c r="H855">
        <f>E855/F855</f>
        <v/>
      </c>
      <c r="I855">
        <f>AVERAGE(I858:I860)</f>
        <v/>
      </c>
      <c r="J855" t="n">
        <v>17.6</v>
      </c>
      <c r="Q855" t="inlineStr">
        <is>
          <t>K3-1C</t>
        </is>
      </c>
      <c r="R855" t="n">
        <v>1.0536</v>
      </c>
    </row>
    <row r="856">
      <c r="A856" t="n">
        <v>9</v>
      </c>
      <c r="B856" t="inlineStr">
        <is>
          <t>MeOH</t>
        </is>
      </c>
      <c r="I856" s="23" t="inlineStr">
        <is>
          <t>Conc.In Vial (ppb)</t>
        </is>
      </c>
      <c r="J856" s="9" t="inlineStr">
        <is>
          <t>Corr. Conc.(ppb)</t>
        </is>
      </c>
      <c r="K856" s="9" t="inlineStr">
        <is>
          <t>Conc. In soil (ng/g)</t>
        </is>
      </c>
      <c r="Q856" t="inlineStr">
        <is>
          <t>K3-2A</t>
        </is>
      </c>
      <c r="R856" s="10" t="n">
        <v>1.1218</v>
      </c>
    </row>
    <row r="857">
      <c r="A857" t="n">
        <v>10</v>
      </c>
      <c r="B857" t="inlineStr">
        <is>
          <t>MeOH</t>
        </is>
      </c>
      <c r="L857" s="23" t="inlineStr">
        <is>
          <t>Average</t>
        </is>
      </c>
      <c r="M857" s="23" t="inlineStr">
        <is>
          <t>Stdev</t>
        </is>
      </c>
      <c r="N857" s="9" t="inlineStr">
        <is>
          <t>Combined</t>
        </is>
      </c>
      <c r="O857" s="9" t="n"/>
      <c r="P857" s="9" t="n"/>
      <c r="Q857" t="inlineStr">
        <is>
          <t>K3-2B</t>
        </is>
      </c>
      <c r="R857" t="n">
        <v>1.198</v>
      </c>
    </row>
    <row r="858">
      <c r="A858" t="n">
        <v>11</v>
      </c>
      <c r="B858" t="inlineStr">
        <is>
          <t>SB1</t>
        </is>
      </c>
      <c r="D858" t="n">
        <v>8.74</v>
      </c>
      <c r="E858" t="n">
        <v>4.028</v>
      </c>
      <c r="F858" t="n">
        <v>642.432</v>
      </c>
      <c r="G858" t="n">
        <v>0.669</v>
      </c>
      <c r="H858">
        <f>E858/F858</f>
        <v/>
      </c>
      <c r="I858">
        <f>((H858-$J$847)/$I$847)</f>
        <v/>
      </c>
      <c r="J858">
        <f>(I858-IF(I855&gt;0,I855,0))</f>
        <v/>
      </c>
      <c r="K858">
        <f>J858*1.1</f>
        <v/>
      </c>
      <c r="L858">
        <f>AVERAGE(K858:K860)</f>
        <v/>
      </c>
      <c r="M858">
        <f>STDEV(K859:K860)</f>
        <v/>
      </c>
      <c r="N858">
        <f>_xlfn.CONCAT(ROUND(L858,1)," ± ",ROUND(M858,1))</f>
        <v/>
      </c>
      <c r="Q858" t="inlineStr">
        <is>
          <t>K3-2C</t>
        </is>
      </c>
      <c r="R858" t="n">
        <v>1.1538</v>
      </c>
    </row>
    <row r="859">
      <c r="A859" t="n">
        <v>12</v>
      </c>
      <c r="B859" t="inlineStr">
        <is>
          <t>SB2</t>
        </is>
      </c>
      <c r="D859" t="n">
        <v>8.92</v>
      </c>
      <c r="E859" t="n">
        <v>3.039</v>
      </c>
      <c r="F859" t="n">
        <v>524.691</v>
      </c>
      <c r="G859" t="n">
        <v>0.42</v>
      </c>
      <c r="H859">
        <f>E859/F859</f>
        <v/>
      </c>
      <c r="I859">
        <f>((H859-$J$847)/$I$847)</f>
        <v/>
      </c>
      <c r="J859">
        <f>(I859-IF(I855&gt;0,I855,0))</f>
        <v/>
      </c>
      <c r="K859">
        <f>J859*1.1</f>
        <v/>
      </c>
      <c r="Q859" t="inlineStr">
        <is>
          <t>K3-3A</t>
        </is>
      </c>
      <c r="R859" t="n">
        <v>1.1183</v>
      </c>
    </row>
    <row r="860">
      <c r="A860" t="n">
        <v>13</v>
      </c>
      <c r="B860" t="inlineStr">
        <is>
          <t>SB3</t>
        </is>
      </c>
      <c r="D860" t="n">
        <v>8.960000000000001</v>
      </c>
      <c r="E860" t="n">
        <v>2.657</v>
      </c>
      <c r="F860" t="n">
        <v>583.399</v>
      </c>
      <c r="G860" t="n">
        <v>0.169</v>
      </c>
      <c r="H860">
        <f>E860/F860</f>
        <v/>
      </c>
      <c r="I860">
        <f>((H860-$J$847)/$I$847)</f>
        <v/>
      </c>
      <c r="J860">
        <f>(I860-IF(I855&gt;0,I855,0))</f>
        <v/>
      </c>
      <c r="K860" s="30">
        <f>J860*1.1</f>
        <v/>
      </c>
      <c r="L860" s="25" t="inlineStr">
        <is>
          <t>Average</t>
        </is>
      </c>
      <c r="M860" s="25" t="inlineStr">
        <is>
          <t>Stdev</t>
        </is>
      </c>
      <c r="N860" s="26" t="inlineStr">
        <is>
          <t>%Recovery</t>
        </is>
      </c>
      <c r="O860" s="26" t="inlineStr">
        <is>
          <t>Uncertainty</t>
        </is>
      </c>
      <c r="P860" s="26" t="inlineStr">
        <is>
          <t>Combined</t>
        </is>
      </c>
      <c r="Q860" t="inlineStr">
        <is>
          <t>K3-3B</t>
        </is>
      </c>
      <c r="R860" t="n">
        <v>1.1448</v>
      </c>
    </row>
    <row r="861">
      <c r="A861" t="n">
        <v>14</v>
      </c>
      <c r="B861" t="inlineStr">
        <is>
          <t>SS1</t>
        </is>
      </c>
      <c r="D861" t="n">
        <v>8.800000000000001</v>
      </c>
      <c r="E861" t="n">
        <v>74.73</v>
      </c>
      <c r="F861" t="n">
        <v>504.42</v>
      </c>
      <c r="G861" t="n">
        <v>2.82</v>
      </c>
      <c r="H861">
        <f>E861/F861</f>
        <v/>
      </c>
      <c r="I861">
        <f>((H861-$J$847)/$I$847)</f>
        <v/>
      </c>
      <c r="J861">
        <f>(I861-IF($I$855&gt;0,$I$855,0))</f>
        <v/>
      </c>
      <c r="K861">
        <f>J861/R847*1.1</f>
        <v/>
      </c>
      <c r="L861" s="27">
        <f>AVERAGE(K861:K863)</f>
        <v/>
      </c>
      <c r="M861" s="27">
        <f>STDEV(K861:K863)</f>
        <v/>
      </c>
      <c r="N861" s="28">
        <f>L861/J855*100</f>
        <v/>
      </c>
      <c r="O861" s="29">
        <f>M861/J855*100</f>
        <v/>
      </c>
      <c r="P861" s="29">
        <f>_xlfn.CONCAT(ROUND(N861,1)," ± ",ROUND(O861,1))</f>
        <v/>
      </c>
      <c r="Q861" t="inlineStr">
        <is>
          <t>K3-3C</t>
        </is>
      </c>
      <c r="R861" t="n">
        <v>1.0493</v>
      </c>
    </row>
    <row r="862">
      <c r="A862" t="n">
        <v>15</v>
      </c>
      <c r="B862" t="inlineStr">
        <is>
          <t>SS2</t>
        </is>
      </c>
      <c r="D862" t="n">
        <v>8.82</v>
      </c>
      <c r="E862" t="n">
        <v>34.975</v>
      </c>
      <c r="F862" t="n">
        <v>614.583</v>
      </c>
      <c r="G862" t="n">
        <v>3.326</v>
      </c>
      <c r="H862">
        <f>E862/F862</f>
        <v/>
      </c>
      <c r="I862">
        <f>((H862-$J$847)/$I$847)</f>
        <v/>
      </c>
      <c r="J862">
        <f>(I862-IF($I$855&gt;0,$I$855,0))</f>
        <v/>
      </c>
      <c r="K862">
        <f>J862/R848*1.1</f>
        <v/>
      </c>
      <c r="Q862" t="inlineStr">
        <is>
          <t>K3-4A</t>
        </is>
      </c>
      <c r="R862" t="n">
        <v>1.0704</v>
      </c>
    </row>
    <row r="863">
      <c r="A863" t="n">
        <v>16</v>
      </c>
      <c r="B863" t="inlineStr">
        <is>
          <t>SS3</t>
        </is>
      </c>
      <c r="D863" t="n">
        <v>8.77</v>
      </c>
      <c r="E863" t="n">
        <v>20.907</v>
      </c>
      <c r="F863" t="n">
        <v>590.708</v>
      </c>
      <c r="G863" t="n">
        <v>1.144</v>
      </c>
      <c r="H863">
        <f>E863/F863</f>
        <v/>
      </c>
      <c r="I863">
        <f>((H863-$J$847)/$I$847)</f>
        <v/>
      </c>
      <c r="J863">
        <f>(I863-IF($I$855&gt;0,$I$855,0))</f>
        <v/>
      </c>
      <c r="K863" s="30">
        <f>J863/R849*1.1</f>
        <v/>
      </c>
      <c r="Q863" t="inlineStr">
        <is>
          <t>K3-4B</t>
        </is>
      </c>
      <c r="R863" t="n">
        <v>1.1589</v>
      </c>
    </row>
    <row r="864">
      <c r="A864" t="n">
        <v>17</v>
      </c>
      <c r="B864" t="inlineStr">
        <is>
          <t>MeOH</t>
        </is>
      </c>
      <c r="L864" s="23" t="inlineStr">
        <is>
          <t>Average</t>
        </is>
      </c>
      <c r="M864" s="23" t="inlineStr">
        <is>
          <t>Stdev</t>
        </is>
      </c>
      <c r="N864" s="9" t="inlineStr">
        <is>
          <t>Combined</t>
        </is>
      </c>
      <c r="Q864" t="inlineStr">
        <is>
          <t>K3-4C</t>
        </is>
      </c>
      <c r="R864" t="n">
        <v>1.0206</v>
      </c>
    </row>
    <row r="865">
      <c r="A865" t="n">
        <v>18</v>
      </c>
      <c r="B865" t="inlineStr">
        <is>
          <t>K4-5A</t>
        </is>
      </c>
      <c r="D865" t="n">
        <v>8.06</v>
      </c>
      <c r="E865" t="n">
        <v>1.839</v>
      </c>
      <c r="F865" t="n">
        <v>465.479</v>
      </c>
      <c r="G865" t="n">
        <v>0.175</v>
      </c>
      <c r="H865">
        <f>E865/F865</f>
        <v/>
      </c>
      <c r="I865">
        <f>((H865-$J$847)/$I$847)</f>
        <v/>
      </c>
      <c r="J865">
        <f>(I865-IF($I$855&gt;0,$I$855,0))</f>
        <v/>
      </c>
      <c r="K865">
        <f>J865/R849*1.1</f>
        <v/>
      </c>
      <c r="L865">
        <f>AVERAGE(K865:K867)</f>
        <v/>
      </c>
      <c r="M865">
        <f>STDEV(K865:K867)</f>
        <v/>
      </c>
      <c r="N865">
        <f>_xlfn.CONCAT(ROUND(L865,1)," ± ",ROUND(M865,1))</f>
        <v/>
      </c>
      <c r="Q865" t="inlineStr">
        <is>
          <t>K3-6A</t>
        </is>
      </c>
      <c r="R865" t="n">
        <v>1.1289</v>
      </c>
    </row>
    <row r="866">
      <c r="A866" t="n">
        <v>19</v>
      </c>
      <c r="B866" t="inlineStr">
        <is>
          <t>K4-5B</t>
        </is>
      </c>
      <c r="D866" t="n">
        <v>8.890000000000001</v>
      </c>
      <c r="E866" t="n">
        <v>5.798</v>
      </c>
      <c r="F866" t="n">
        <v>473.146</v>
      </c>
      <c r="G866" t="n">
        <v>0.9399999999999999</v>
      </c>
      <c r="H866">
        <f>E866/F866</f>
        <v/>
      </c>
      <c r="I866">
        <f>((H866-$J$847)/$I$847)</f>
        <v/>
      </c>
      <c r="J866">
        <f>(I866-IF($I$855&gt;0,$I$855,0))</f>
        <v/>
      </c>
      <c r="K866">
        <f>J866/R850*1.1</f>
        <v/>
      </c>
      <c r="Q866" t="inlineStr">
        <is>
          <t>K3-6B</t>
        </is>
      </c>
      <c r="R866" t="n">
        <v>1.195</v>
      </c>
    </row>
    <row r="867">
      <c r="A867" t="n">
        <v>20</v>
      </c>
      <c r="B867" t="inlineStr">
        <is>
          <t>K4-5C</t>
        </is>
      </c>
      <c r="D867" t="n">
        <v>9.27</v>
      </c>
      <c r="E867" t="n">
        <v>5.258</v>
      </c>
      <c r="F867" t="n">
        <v>535.058</v>
      </c>
      <c r="G867" t="n">
        <v>0.349</v>
      </c>
      <c r="H867">
        <f>E867/F867</f>
        <v/>
      </c>
      <c r="I867">
        <f>((H867-$J$847)/$I$847)</f>
        <v/>
      </c>
      <c r="J867">
        <f>(I867-IF($I$855&gt;0,$I$855,0))</f>
        <v/>
      </c>
      <c r="K867">
        <f>J867/R851*1.1</f>
        <v/>
      </c>
      <c r="L867" s="23" t="n"/>
      <c r="M867" s="23" t="n"/>
      <c r="N867" s="9" t="n"/>
      <c r="Q867" t="inlineStr">
        <is>
          <t>K3-6C</t>
        </is>
      </c>
      <c r="R867" t="n">
        <v>1.1716</v>
      </c>
    </row>
    <row r="868">
      <c r="A868" t="n">
        <v>21</v>
      </c>
      <c r="B868" t="inlineStr">
        <is>
          <t>MeOH</t>
        </is>
      </c>
      <c r="L868" s="23" t="inlineStr">
        <is>
          <t>Average</t>
        </is>
      </c>
      <c r="M868" s="23" t="inlineStr">
        <is>
          <t>Stdev</t>
        </is>
      </c>
      <c r="N868" s="9" t="inlineStr">
        <is>
          <t>Combined</t>
        </is>
      </c>
    </row>
    <row r="869">
      <c r="A869" t="n">
        <v>22</v>
      </c>
      <c r="B869" t="inlineStr">
        <is>
          <t>K3-1A</t>
        </is>
      </c>
      <c r="D869" t="n">
        <v>8.19</v>
      </c>
      <c r="E869" t="n">
        <v>0.57</v>
      </c>
      <c r="F869" t="n">
        <v>415.837</v>
      </c>
      <c r="G869" t="n">
        <v>0.158</v>
      </c>
      <c r="H869">
        <f>E869/F869</f>
        <v/>
      </c>
      <c r="I869">
        <f>((H869-$J$847)/$I$847)</f>
        <v/>
      </c>
      <c r="J869">
        <f>(I869-IF($I$855&gt;0,$I$855,0))</f>
        <v/>
      </c>
      <c r="K869">
        <f>J869/R852*1.1</f>
        <v/>
      </c>
      <c r="L869">
        <f>AVERAGE(K869:K871)</f>
        <v/>
      </c>
      <c r="M869">
        <f>STDEV(K870:K871)</f>
        <v/>
      </c>
      <c r="N869">
        <f>_xlfn.CONCAT(ROUND(L869,1)," ± ",ROUND(M869,1))</f>
        <v/>
      </c>
    </row>
    <row r="870">
      <c r="A870" t="n">
        <v>23</v>
      </c>
      <c r="B870" t="inlineStr">
        <is>
          <t>K3-1B</t>
        </is>
      </c>
      <c r="D870" t="n">
        <v>9.07</v>
      </c>
      <c r="E870" t="n">
        <v>1.983</v>
      </c>
      <c r="F870" t="n">
        <v>487.725</v>
      </c>
      <c r="G870" t="n">
        <v>0.784</v>
      </c>
      <c r="H870">
        <f>E870/F870</f>
        <v/>
      </c>
      <c r="I870">
        <f>((H870-$J$847)/$I$847)</f>
        <v/>
      </c>
      <c r="J870">
        <f>(I870-IF($I$855&gt;0,$I$855,0))</f>
        <v/>
      </c>
      <c r="K870">
        <f>J870/R853*1.1</f>
        <v/>
      </c>
    </row>
    <row r="871">
      <c r="A871" t="n">
        <v>24</v>
      </c>
      <c r="B871" t="inlineStr">
        <is>
          <t>K3-1C</t>
        </is>
      </c>
      <c r="D871" t="n">
        <v>8.82</v>
      </c>
      <c r="E871" t="n">
        <v>1.594</v>
      </c>
      <c r="F871" t="n">
        <v>444.802</v>
      </c>
      <c r="G871" t="n">
        <v>0.317</v>
      </c>
      <c r="H871">
        <f>E871/F871</f>
        <v/>
      </c>
      <c r="I871">
        <f>((H871-$J$847)/$I$847)</f>
        <v/>
      </c>
      <c r="J871">
        <f>(I871-IF($I$855&gt;0,$I$855,0))</f>
        <v/>
      </c>
      <c r="K871">
        <f>J871/R854*1.1</f>
        <v/>
      </c>
      <c r="L871" s="23" t="inlineStr">
        <is>
          <t>Average</t>
        </is>
      </c>
      <c r="M871" s="23" t="inlineStr">
        <is>
          <t>Stdev</t>
        </is>
      </c>
      <c r="N871" s="9" t="inlineStr">
        <is>
          <t>Combined</t>
        </is>
      </c>
    </row>
    <row r="872">
      <c r="A872" t="n">
        <v>25</v>
      </c>
      <c r="B872" t="inlineStr">
        <is>
          <t>K3-2A</t>
        </is>
      </c>
      <c r="D872" t="n">
        <v>8.9</v>
      </c>
      <c r="E872" t="n">
        <v>7.834</v>
      </c>
      <c r="F872" t="n">
        <v>380.911</v>
      </c>
      <c r="G872" t="n">
        <v>0.897</v>
      </c>
      <c r="H872">
        <f>E872/F872</f>
        <v/>
      </c>
      <c r="I872">
        <f>((H872-$J$847)/$I$847)</f>
        <v/>
      </c>
      <c r="J872">
        <f>(I872-IF($I$855&gt;0,$I$855,0))</f>
        <v/>
      </c>
      <c r="K872">
        <f>J872/R855*1.1</f>
        <v/>
      </c>
      <c r="L872">
        <f>AVERAGE(K872:K874)</f>
        <v/>
      </c>
      <c r="M872">
        <f>STDEV(K872:K874)</f>
        <v/>
      </c>
      <c r="N872">
        <f>_xlfn.CONCAT(ROUND(L872,1)," ± ",ROUND(M872,1))</f>
        <v/>
      </c>
    </row>
    <row r="873">
      <c r="A873" t="n">
        <v>26</v>
      </c>
      <c r="B873" t="inlineStr">
        <is>
          <t>K3-2B</t>
        </is>
      </c>
      <c r="D873" t="n">
        <v>8.380000000000001</v>
      </c>
      <c r="E873" t="n">
        <v>2.26</v>
      </c>
      <c r="F873" t="n">
        <v>557.828</v>
      </c>
      <c r="G873" t="n">
        <v>0.53</v>
      </c>
      <c r="H873">
        <f>E873/F873</f>
        <v/>
      </c>
      <c r="I873">
        <f>((H873-$J$847)/$I$847)</f>
        <v/>
      </c>
      <c r="J873">
        <f>(I873-IF($I$855&gt;0,$I$855,0))</f>
        <v/>
      </c>
      <c r="K873">
        <f>J873/R856*1.1</f>
        <v/>
      </c>
    </row>
    <row r="874">
      <c r="A874" t="n">
        <v>27</v>
      </c>
      <c r="B874" t="inlineStr">
        <is>
          <t>K3-2C</t>
        </is>
      </c>
      <c r="D874" t="n">
        <v>8.99</v>
      </c>
      <c r="E874" t="n">
        <v>21.729</v>
      </c>
      <c r="F874" t="n">
        <v>472.435</v>
      </c>
      <c r="G874" t="n">
        <v>2.261</v>
      </c>
      <c r="H874">
        <f>E874/F874</f>
        <v/>
      </c>
      <c r="I874">
        <f>((H874-$J$847)/$I$847)</f>
        <v/>
      </c>
      <c r="J874">
        <f>(I874-IF($I$855&gt;0,$I$855,0))</f>
        <v/>
      </c>
      <c r="K874">
        <f>J874/R857*1.1</f>
        <v/>
      </c>
      <c r="L874" s="23" t="n"/>
      <c r="M874" s="23" t="n"/>
      <c r="N874" s="9" t="n"/>
    </row>
    <row r="875">
      <c r="A875" t="n">
        <v>28</v>
      </c>
      <c r="B875" t="inlineStr">
        <is>
          <t>MeOH</t>
        </is>
      </c>
      <c r="L875" s="23" t="inlineStr">
        <is>
          <t>Average</t>
        </is>
      </c>
      <c r="M875" s="23" t="inlineStr">
        <is>
          <t>Stdev</t>
        </is>
      </c>
      <c r="N875" s="9" t="inlineStr">
        <is>
          <t>Combined</t>
        </is>
      </c>
    </row>
    <row r="876">
      <c r="A876" t="n">
        <v>29</v>
      </c>
      <c r="B876" t="inlineStr">
        <is>
          <t>K3-3A</t>
        </is>
      </c>
      <c r="D876" t="n">
        <v>8.51</v>
      </c>
      <c r="E876" t="n">
        <v>0.51</v>
      </c>
      <c r="F876" t="n">
        <v>418.769</v>
      </c>
      <c r="G876" t="n">
        <v>0.049</v>
      </c>
      <c r="H876">
        <f>E876/F876</f>
        <v/>
      </c>
      <c r="I876">
        <f>((H876-$J$847)/$I$847)</f>
        <v/>
      </c>
      <c r="J876">
        <f>(I876-IF($I$855&gt;0,$I$855,0))</f>
        <v/>
      </c>
      <c r="K876">
        <f>J876/R858*1.1</f>
        <v/>
      </c>
      <c r="L876">
        <f>AVERAGE(K876:K878)</f>
        <v/>
      </c>
      <c r="M876">
        <f>STDEV(K877:K878)</f>
        <v/>
      </c>
      <c r="N876">
        <f>_xlfn.CONCAT(ROUND(L876,1)," ± ",ROUND(M876,1))</f>
        <v/>
      </c>
    </row>
    <row r="877">
      <c r="A877" t="n">
        <v>30</v>
      </c>
      <c r="B877" t="inlineStr">
        <is>
          <t>K3-3B</t>
        </is>
      </c>
      <c r="D877" t="n">
        <v>8.039999999999999</v>
      </c>
      <c r="E877" t="n">
        <v>0.858</v>
      </c>
      <c r="F877" t="n">
        <v>621.9160000000001</v>
      </c>
      <c r="G877" t="n">
        <v>1.021</v>
      </c>
      <c r="H877">
        <f>E877/F877</f>
        <v/>
      </c>
      <c r="I877">
        <f>((H877-$J$847)/$I$847)</f>
        <v/>
      </c>
      <c r="J877">
        <f>(I877-IF($I$855&gt;0,$I$855,0))</f>
        <v/>
      </c>
      <c r="K877">
        <f>J877/R859*1.1</f>
        <v/>
      </c>
    </row>
    <row r="878">
      <c r="A878" t="n">
        <v>31</v>
      </c>
      <c r="B878" t="inlineStr">
        <is>
          <t>K3-3C</t>
        </is>
      </c>
      <c r="D878" t="n">
        <v>8.84</v>
      </c>
      <c r="E878" t="n">
        <v>0.638</v>
      </c>
      <c r="F878" t="n">
        <v>357.94</v>
      </c>
      <c r="G878" t="n">
        <v>0.032</v>
      </c>
      <c r="H878">
        <f>E878/F878</f>
        <v/>
      </c>
      <c r="I878">
        <f>((H878-$J$847)/$I$847)</f>
        <v/>
      </c>
      <c r="J878">
        <f>(I878-IF($I$855&gt;0,$I$855,0))</f>
        <v/>
      </c>
      <c r="K878">
        <f>J878/R860*1.1</f>
        <v/>
      </c>
      <c r="L878" s="23" t="inlineStr">
        <is>
          <t>Average</t>
        </is>
      </c>
      <c r="M878" s="23" t="inlineStr">
        <is>
          <t>Stdev</t>
        </is>
      </c>
      <c r="N878" s="9" t="inlineStr">
        <is>
          <t>Combined</t>
        </is>
      </c>
    </row>
    <row r="879">
      <c r="A879" t="n">
        <v>32</v>
      </c>
      <c r="B879" t="inlineStr">
        <is>
          <t>K3-4A</t>
        </is>
      </c>
      <c r="D879" t="n">
        <v>9.01</v>
      </c>
      <c r="E879" t="n">
        <v>3.109</v>
      </c>
      <c r="F879" t="n">
        <v>345.339</v>
      </c>
      <c r="G879" t="n">
        <v>0.272</v>
      </c>
      <c r="H879">
        <f>E879/F879</f>
        <v/>
      </c>
      <c r="I879">
        <f>((H879-$J$847)/$I$847)</f>
        <v/>
      </c>
      <c r="J879">
        <f>(I879-IF($I$855&gt;0,$I$855,0))</f>
        <v/>
      </c>
      <c r="K879">
        <f>J879/R861*1.1</f>
        <v/>
      </c>
      <c r="L879">
        <f>AVERAGE(K879:K881)</f>
        <v/>
      </c>
      <c r="M879">
        <f>STDEV(K879:K881)</f>
        <v/>
      </c>
      <c r="N879">
        <f>_xlfn.CONCAT(ROUND(L879,1)," ± ",ROUND(M879,1))</f>
        <v/>
      </c>
    </row>
    <row r="880">
      <c r="A880" t="n">
        <v>33</v>
      </c>
      <c r="B880" t="inlineStr">
        <is>
          <t>K3-4B</t>
        </is>
      </c>
      <c r="D880" t="n">
        <v>8.859999999999999</v>
      </c>
      <c r="E880" t="n">
        <v>2.584</v>
      </c>
      <c r="F880" t="n">
        <v>533.263</v>
      </c>
      <c r="G880" t="n">
        <v>32</v>
      </c>
      <c r="H880">
        <f>E880/F880</f>
        <v/>
      </c>
      <c r="I880">
        <f>((H880-$J$847)/$I$847)</f>
        <v/>
      </c>
      <c r="J880">
        <f>(I880-IF($I$855&gt;0,$I$855,0))</f>
        <v/>
      </c>
      <c r="K880">
        <f>J880/R862*1.1</f>
        <v/>
      </c>
    </row>
    <row r="881">
      <c r="A881" t="n">
        <v>34</v>
      </c>
      <c r="B881" t="inlineStr">
        <is>
          <t>K3-4C</t>
        </is>
      </c>
      <c r="D881" t="n">
        <v>8.6</v>
      </c>
      <c r="E881" t="n">
        <v>3.52</v>
      </c>
      <c r="F881" t="n">
        <v>417.558</v>
      </c>
      <c r="G881" t="n">
        <v>0.586</v>
      </c>
      <c r="H881">
        <f>E881/F881</f>
        <v/>
      </c>
      <c r="I881">
        <f>((H881-$J$847)/$I$847)</f>
        <v/>
      </c>
      <c r="J881">
        <f>(I881-IF($I$855&gt;0,$I$855,0))</f>
        <v/>
      </c>
      <c r="K881">
        <f>J881/R863*1.1</f>
        <v/>
      </c>
      <c r="L881" s="23" t="n"/>
      <c r="M881" s="23" t="n"/>
      <c r="N881" s="9" t="n"/>
    </row>
    <row r="882">
      <c r="A882" t="n">
        <v>35</v>
      </c>
      <c r="B882" t="inlineStr">
        <is>
          <t>MeOH</t>
        </is>
      </c>
      <c r="L882" s="23" t="inlineStr">
        <is>
          <t>Average</t>
        </is>
      </c>
      <c r="M882" s="23" t="inlineStr">
        <is>
          <t>Stdev</t>
        </is>
      </c>
      <c r="N882" s="9" t="inlineStr">
        <is>
          <t>Combined</t>
        </is>
      </c>
    </row>
    <row r="883">
      <c r="A883" t="n">
        <v>36</v>
      </c>
      <c r="B883" t="inlineStr">
        <is>
          <t>K3-6A</t>
        </is>
      </c>
      <c r="D883" t="n">
        <v>9.01</v>
      </c>
      <c r="E883" t="n">
        <v>1.064</v>
      </c>
      <c r="F883" t="n">
        <v>353.045</v>
      </c>
      <c r="G883" t="n">
        <v>0.103</v>
      </c>
      <c r="H883">
        <f>E883/F883</f>
        <v/>
      </c>
      <c r="I883">
        <f>((H883-$J$847)/$I$847)</f>
        <v/>
      </c>
      <c r="J883">
        <f>(I883-IF($I$855&gt;0,$I$855,0))</f>
        <v/>
      </c>
      <c r="K883">
        <f>J883/R864*1.1</f>
        <v/>
      </c>
      <c r="L883">
        <f>AVERAGE(K883:K885)</f>
        <v/>
      </c>
      <c r="M883">
        <f>STDEV(K884:K885)</f>
        <v/>
      </c>
      <c r="N883">
        <f>_xlfn.CONCAT(ROUND(L883,1)," ± ",ROUND(M883,1))</f>
        <v/>
      </c>
    </row>
    <row r="884">
      <c r="A884" t="n">
        <v>37</v>
      </c>
      <c r="B884" t="inlineStr">
        <is>
          <t>K3-6B</t>
        </is>
      </c>
      <c r="D884" t="n">
        <v>8.890000000000001</v>
      </c>
      <c r="E884" t="n">
        <v>8.727</v>
      </c>
      <c r="F884" t="n">
        <v>247.754</v>
      </c>
      <c r="G884" t="n">
        <v>2.827</v>
      </c>
      <c r="H884">
        <f>E884/F884</f>
        <v/>
      </c>
      <c r="I884">
        <f>((H884-$J$847)/$I$847)</f>
        <v/>
      </c>
      <c r="J884">
        <f>(I884-IF($I$855&gt;0,$I$855,0))</f>
        <v/>
      </c>
      <c r="K884">
        <f>J884/R865*1.1</f>
        <v/>
      </c>
    </row>
    <row r="885">
      <c r="A885" t="n">
        <v>38</v>
      </c>
      <c r="B885" t="inlineStr">
        <is>
          <t>K3-6C</t>
        </is>
      </c>
      <c r="D885" t="n">
        <v>9.289999999999999</v>
      </c>
      <c r="E885" t="n">
        <v>1.282</v>
      </c>
      <c r="F885" t="n">
        <v>310.722</v>
      </c>
      <c r="G885" t="n">
        <v>0.23</v>
      </c>
      <c r="H885">
        <f>E885/F885</f>
        <v/>
      </c>
      <c r="I885">
        <f>((H885-$J$847)/$I$847)</f>
        <v/>
      </c>
      <c r="J885">
        <f>(I885-IF($I$855&gt;0,$I$855,0))</f>
        <v/>
      </c>
      <c r="K885">
        <f>J885/R866*1.1</f>
        <v/>
      </c>
      <c r="L885" s="23" t="n"/>
      <c r="M885" s="23" t="n"/>
      <c r="N885" s="9" t="n"/>
    </row>
    <row r="887">
      <c r="A887" t="inlineStr">
        <is>
          <t>Compound 22:  SAmPAP 2</t>
        </is>
      </c>
    </row>
    <row r="889">
      <c r="B889" t="inlineStr">
        <is>
          <t>Sample Text</t>
        </is>
      </c>
      <c r="C889" t="inlineStr">
        <is>
          <t>Std. Conc</t>
        </is>
      </c>
      <c r="D889" t="inlineStr">
        <is>
          <t>RT</t>
        </is>
      </c>
      <c r="E889" t="inlineStr">
        <is>
          <t>Area</t>
        </is>
      </c>
      <c r="F889" t="inlineStr">
        <is>
          <t>IS Area</t>
        </is>
      </c>
      <c r="G889" t="inlineStr">
        <is>
          <t>S/N</t>
        </is>
      </c>
      <c r="H889" t="inlineStr">
        <is>
          <t>Primary Flags</t>
        </is>
      </c>
      <c r="I889" t="inlineStr">
        <is>
          <t>Response</t>
        </is>
      </c>
      <c r="J889" t="inlineStr">
        <is>
          <t>Conc.</t>
        </is>
      </c>
      <c r="K889" t="inlineStr">
        <is>
          <t>Name</t>
        </is>
      </c>
    </row>
    <row r="890">
      <c r="A890" t="n">
        <v>1</v>
      </c>
      <c r="B890" t="inlineStr">
        <is>
          <t>EPA1633 &amp; diPAPs Calibration 0 ppb</t>
        </is>
      </c>
      <c r="F890" t="n">
        <v>307.703</v>
      </c>
      <c r="K890" t="inlineStr">
        <is>
          <t>20250617-12</t>
        </is>
      </c>
    </row>
    <row r="891">
      <c r="A891" t="n">
        <v>2</v>
      </c>
      <c r="B891" t="inlineStr">
        <is>
          <t>EPA1633 &amp; diPAPs Calibration 0.02 ppb</t>
        </is>
      </c>
      <c r="D891" t="n">
        <v>8.73</v>
      </c>
      <c r="E891" t="n">
        <v>79.059</v>
      </c>
      <c r="F891" t="n">
        <v>225.366</v>
      </c>
      <c r="G891" t="n">
        <v>959</v>
      </c>
      <c r="H891" t="inlineStr">
        <is>
          <t>bb</t>
        </is>
      </c>
      <c r="K891" t="inlineStr">
        <is>
          <t>20250617-13</t>
        </is>
      </c>
    </row>
    <row r="892">
      <c r="A892" t="n">
        <v>3</v>
      </c>
      <c r="B892" t="inlineStr">
        <is>
          <t>EPA1633 &amp; diPAPs Calibration 0.1 ppb</t>
        </is>
      </c>
      <c r="D892" t="n">
        <v>8.76</v>
      </c>
      <c r="E892" t="n">
        <v>113.386</v>
      </c>
      <c r="F892" t="n">
        <v>255.999</v>
      </c>
      <c r="G892" t="n">
        <v>1127</v>
      </c>
      <c r="H892" t="inlineStr">
        <is>
          <t>bb</t>
        </is>
      </c>
      <c r="K892" t="inlineStr">
        <is>
          <t>20250617-14</t>
        </is>
      </c>
    </row>
    <row r="893">
      <c r="A893" t="n">
        <v>4</v>
      </c>
      <c r="B893" t="inlineStr">
        <is>
          <t>EPA1633 &amp; diPAPs Calibration 0.4 ppb</t>
        </is>
      </c>
      <c r="D893" t="n">
        <v>8.75</v>
      </c>
      <c r="E893" t="n">
        <v>322.244</v>
      </c>
      <c r="F893" t="n">
        <v>249.341</v>
      </c>
      <c r="G893" t="n">
        <v>2.923</v>
      </c>
      <c r="H893" t="inlineStr">
        <is>
          <t>bb</t>
        </is>
      </c>
      <c r="K893" t="inlineStr">
        <is>
          <t>20250617-15</t>
        </is>
      </c>
    </row>
    <row r="894">
      <c r="A894" t="n">
        <v>5</v>
      </c>
      <c r="B894" t="inlineStr">
        <is>
          <t>EPA1633 &amp; diPAPs Calibration 1 ppb</t>
        </is>
      </c>
      <c r="D894" t="n">
        <v>8.75</v>
      </c>
      <c r="E894" t="n">
        <v>399.579</v>
      </c>
      <c r="F894" t="n">
        <v>256.233</v>
      </c>
      <c r="G894" t="n">
        <v>3356</v>
      </c>
      <c r="H894" t="inlineStr">
        <is>
          <t>bb</t>
        </is>
      </c>
      <c r="K894" t="inlineStr">
        <is>
          <t>20250617-16</t>
        </is>
      </c>
    </row>
    <row r="895">
      <c r="A895" t="n">
        <v>6</v>
      </c>
      <c r="B895" t="inlineStr">
        <is>
          <t>EPA1633 &amp; diPAPs Calibration 5 ppb</t>
        </is>
      </c>
      <c r="D895" t="n">
        <v>8.76</v>
      </c>
      <c r="E895" t="n">
        <v>652.148</v>
      </c>
      <c r="F895" t="n">
        <v>272.698</v>
      </c>
      <c r="G895" t="n">
        <v>5968</v>
      </c>
      <c r="H895" t="inlineStr">
        <is>
          <t>bb</t>
        </is>
      </c>
      <c r="K895" t="inlineStr">
        <is>
          <t>20250617-17</t>
        </is>
      </c>
    </row>
    <row r="896">
      <c r="A896" t="n">
        <v>7</v>
      </c>
      <c r="B896" t="inlineStr">
        <is>
          <t>EPA1633 &amp; diPAPs Calibration 10 ppb</t>
        </is>
      </c>
      <c r="D896" t="n">
        <v>8.75</v>
      </c>
      <c r="E896" t="n">
        <v>1402.356</v>
      </c>
      <c r="F896" t="n">
        <v>229.316</v>
      </c>
      <c r="G896" t="n">
        <v>12349</v>
      </c>
      <c r="H896" t="inlineStr">
        <is>
          <t>bb</t>
        </is>
      </c>
      <c r="K896" t="inlineStr">
        <is>
          <t>20250617-18</t>
        </is>
      </c>
    </row>
    <row r="897">
      <c r="A897" t="n">
        <v>8</v>
      </c>
      <c r="B897" t="inlineStr">
        <is>
          <t>EPA1633 &amp; diPAPs Calibration 20 ppb</t>
        </is>
      </c>
      <c r="D897" t="n">
        <v>8.76</v>
      </c>
      <c r="E897" t="n">
        <v>713.308</v>
      </c>
      <c r="F897" t="n">
        <v>45.687</v>
      </c>
      <c r="G897" t="n">
        <v>6.073</v>
      </c>
      <c r="H897" t="inlineStr">
        <is>
          <t>bb</t>
        </is>
      </c>
      <c r="K897" t="inlineStr">
        <is>
          <t>20250617-19</t>
        </is>
      </c>
    </row>
    <row r="898">
      <c r="A898" t="n">
        <v>9</v>
      </c>
      <c r="B898" t="inlineStr">
        <is>
          <t>MeOH</t>
        </is>
      </c>
      <c r="H898" t="inlineStr">
        <is>
          <t>MM-</t>
        </is>
      </c>
      <c r="K898" t="inlineStr">
        <is>
          <t>20250617-20</t>
        </is>
      </c>
    </row>
    <row r="899">
      <c r="A899" t="n">
        <v>10</v>
      </c>
      <c r="B899" t="inlineStr">
        <is>
          <t>MeOH</t>
        </is>
      </c>
      <c r="K899" t="inlineStr">
        <is>
          <t>20250617-21</t>
        </is>
      </c>
    </row>
    <row r="900">
      <c r="A900" t="n">
        <v>11</v>
      </c>
      <c r="B900" t="inlineStr">
        <is>
          <t>SB1</t>
        </is>
      </c>
      <c r="D900" t="n">
        <v>8.109999999999999</v>
      </c>
      <c r="E900" t="n">
        <v>0.08</v>
      </c>
      <c r="F900" t="n">
        <v>110.635</v>
      </c>
      <c r="G900" t="n">
        <v>1</v>
      </c>
      <c r="H900" t="inlineStr">
        <is>
          <t>MM</t>
        </is>
      </c>
      <c r="K900" t="inlineStr">
        <is>
          <t>20250617-22</t>
        </is>
      </c>
    </row>
    <row r="901">
      <c r="A901" t="n">
        <v>12</v>
      </c>
      <c r="B901" t="inlineStr">
        <is>
          <t>SB2</t>
        </is>
      </c>
      <c r="F901" t="n">
        <v>91.488</v>
      </c>
      <c r="K901" t="inlineStr">
        <is>
          <t>20250617-23</t>
        </is>
      </c>
    </row>
    <row r="902">
      <c r="A902" t="n">
        <v>13</v>
      </c>
      <c r="B902" t="inlineStr">
        <is>
          <t>SB3</t>
        </is>
      </c>
      <c r="F902" t="n">
        <v>98.111</v>
      </c>
      <c r="K902" t="inlineStr">
        <is>
          <t>20250617-24</t>
        </is>
      </c>
    </row>
    <row r="903">
      <c r="A903" t="n">
        <v>14</v>
      </c>
      <c r="B903" t="inlineStr">
        <is>
          <t>SS1</t>
        </is>
      </c>
      <c r="D903" t="n">
        <v>8.77</v>
      </c>
      <c r="E903" t="n">
        <v>148.809</v>
      </c>
      <c r="F903" t="n">
        <v>74.13</v>
      </c>
      <c r="G903" t="n">
        <v>8.413</v>
      </c>
      <c r="H903" t="inlineStr">
        <is>
          <t>bb</t>
        </is>
      </c>
      <c r="K903" t="inlineStr">
        <is>
          <t>20250617-25</t>
        </is>
      </c>
    </row>
    <row r="904">
      <c r="A904" t="n">
        <v>15</v>
      </c>
      <c r="B904" t="inlineStr">
        <is>
          <t>SS2</t>
        </is>
      </c>
      <c r="D904" t="n">
        <v>8.779999999999999</v>
      </c>
      <c r="E904" t="n">
        <v>77.616</v>
      </c>
      <c r="F904" t="n">
        <v>101.72</v>
      </c>
      <c r="G904" t="n">
        <v>7.348</v>
      </c>
      <c r="H904" t="inlineStr">
        <is>
          <t>MM</t>
        </is>
      </c>
      <c r="K904" t="inlineStr">
        <is>
          <t>20250617-26</t>
        </is>
      </c>
    </row>
    <row r="905">
      <c r="A905" t="n">
        <v>16</v>
      </c>
      <c r="B905" t="inlineStr">
        <is>
          <t>SS3</t>
        </is>
      </c>
      <c r="D905" t="n">
        <v>8.789999999999999</v>
      </c>
      <c r="E905" t="n">
        <v>80.44499999999999</v>
      </c>
      <c r="F905" t="n">
        <v>89.792</v>
      </c>
      <c r="G905" t="n">
        <v>4.708</v>
      </c>
      <c r="H905" t="inlineStr">
        <is>
          <t>MM</t>
        </is>
      </c>
      <c r="K905" t="inlineStr">
        <is>
          <t>20250617-27</t>
        </is>
      </c>
    </row>
    <row r="906">
      <c r="A906" t="n">
        <v>17</v>
      </c>
      <c r="B906" t="inlineStr">
        <is>
          <t>MeOH</t>
        </is>
      </c>
      <c r="K906" t="inlineStr">
        <is>
          <t>20250617-28</t>
        </is>
      </c>
    </row>
    <row r="907">
      <c r="A907" t="n">
        <v>18</v>
      </c>
      <c r="B907" t="inlineStr">
        <is>
          <t>K4-5A</t>
        </is>
      </c>
      <c r="F907" t="n">
        <v>90.40600000000001</v>
      </c>
      <c r="K907" t="inlineStr">
        <is>
          <t>20250617-29</t>
        </is>
      </c>
    </row>
    <row r="908">
      <c r="A908" t="n">
        <v>19</v>
      </c>
      <c r="B908" t="inlineStr">
        <is>
          <t>K4-5B</t>
        </is>
      </c>
      <c r="F908" t="n">
        <v>89.22799999999999</v>
      </c>
      <c r="K908" t="inlineStr">
        <is>
          <t>20250617-30</t>
        </is>
      </c>
    </row>
    <row r="909">
      <c r="A909" t="n">
        <v>20</v>
      </c>
      <c r="B909" t="inlineStr">
        <is>
          <t>K4-5C</t>
        </is>
      </c>
      <c r="D909" t="n">
        <v>8.960000000000001</v>
      </c>
      <c r="E909" t="n">
        <v>0.275</v>
      </c>
      <c r="F909" t="n">
        <v>74.886</v>
      </c>
      <c r="G909" t="n">
        <v>3</v>
      </c>
      <c r="H909" t="inlineStr">
        <is>
          <t>bb</t>
        </is>
      </c>
      <c r="K909" t="inlineStr">
        <is>
          <t>20250617-31</t>
        </is>
      </c>
    </row>
    <row r="910">
      <c r="A910" t="n">
        <v>21</v>
      </c>
      <c r="B910" t="inlineStr">
        <is>
          <t>MeOH</t>
        </is>
      </c>
      <c r="K910" t="inlineStr">
        <is>
          <t>20250617-32</t>
        </is>
      </c>
    </row>
    <row r="911">
      <c r="A911" t="n">
        <v>22</v>
      </c>
      <c r="B911" t="inlineStr">
        <is>
          <t>K3-1A</t>
        </is>
      </c>
      <c r="F911" t="n">
        <v>113.907</v>
      </c>
      <c r="K911" t="inlineStr">
        <is>
          <t>20250617-33</t>
        </is>
      </c>
    </row>
    <row r="912">
      <c r="A912" t="n">
        <v>23</v>
      </c>
      <c r="B912" t="inlineStr">
        <is>
          <t>K3-1B</t>
        </is>
      </c>
      <c r="F912" t="n">
        <v>74.749</v>
      </c>
      <c r="K912" t="inlineStr">
        <is>
          <t>20250617-34</t>
        </is>
      </c>
    </row>
    <row r="913">
      <c r="A913" t="n">
        <v>24</v>
      </c>
      <c r="B913" t="inlineStr">
        <is>
          <t>K3-1C</t>
        </is>
      </c>
      <c r="F913" t="n">
        <v>57.963</v>
      </c>
      <c r="K913" t="inlineStr">
        <is>
          <t>20250617-35</t>
        </is>
      </c>
    </row>
    <row r="914">
      <c r="A914" t="n">
        <v>25</v>
      </c>
      <c r="B914" t="inlineStr">
        <is>
          <t>K3-2A</t>
        </is>
      </c>
      <c r="D914" t="n">
        <v>9.449999999999999</v>
      </c>
      <c r="E914" t="n">
        <v>0.154</v>
      </c>
      <c r="F914" t="n">
        <v>86.604</v>
      </c>
      <c r="G914" t="n">
        <v>2</v>
      </c>
      <c r="H914" t="inlineStr">
        <is>
          <t>MM</t>
        </is>
      </c>
      <c r="K914" t="inlineStr">
        <is>
          <t>20250617-36</t>
        </is>
      </c>
    </row>
    <row r="915">
      <c r="A915" t="n">
        <v>26</v>
      </c>
      <c r="B915" t="inlineStr">
        <is>
          <t>K3-2B</t>
        </is>
      </c>
      <c r="F915" t="n">
        <v>75.304</v>
      </c>
      <c r="K915" t="inlineStr">
        <is>
          <t>20250617-37</t>
        </is>
      </c>
    </row>
    <row r="916">
      <c r="A916" t="n">
        <v>27</v>
      </c>
      <c r="B916" t="inlineStr">
        <is>
          <t>K3-2C</t>
        </is>
      </c>
      <c r="F916" t="n">
        <v>74.127</v>
      </c>
      <c r="K916" t="inlineStr">
        <is>
          <t>20250617-38</t>
        </is>
      </c>
    </row>
    <row r="917">
      <c r="A917" t="n">
        <v>28</v>
      </c>
      <c r="B917" t="inlineStr">
        <is>
          <t>MeOH</t>
        </is>
      </c>
      <c r="K917" t="inlineStr">
        <is>
          <t>20250617-39</t>
        </is>
      </c>
    </row>
    <row r="918">
      <c r="A918" t="n">
        <v>29</v>
      </c>
      <c r="B918" t="inlineStr">
        <is>
          <t>K3-3A</t>
        </is>
      </c>
      <c r="F918" t="n">
        <v>101.84</v>
      </c>
      <c r="K918" t="inlineStr">
        <is>
          <t>20250617-40</t>
        </is>
      </c>
    </row>
    <row r="919">
      <c r="A919" t="n">
        <v>30</v>
      </c>
      <c r="B919" t="inlineStr">
        <is>
          <t>K3-3B</t>
        </is>
      </c>
      <c r="F919" t="n">
        <v>96.505</v>
      </c>
      <c r="K919" t="inlineStr">
        <is>
          <t>20250617-41</t>
        </is>
      </c>
    </row>
    <row r="920">
      <c r="A920" t="n">
        <v>31</v>
      </c>
      <c r="B920" t="inlineStr">
        <is>
          <t>K3-3C</t>
        </is>
      </c>
      <c r="D920" t="n">
        <v>9.470000000000001</v>
      </c>
      <c r="E920" t="n">
        <v>0.309</v>
      </c>
      <c r="F920" t="n">
        <v>116.668</v>
      </c>
      <c r="G920" t="n">
        <v>3</v>
      </c>
      <c r="H920" t="inlineStr">
        <is>
          <t>MM</t>
        </is>
      </c>
      <c r="K920" t="inlineStr">
        <is>
          <t>20250617-42</t>
        </is>
      </c>
    </row>
    <row r="921">
      <c r="A921" t="n">
        <v>32</v>
      </c>
      <c r="B921" t="inlineStr">
        <is>
          <t>K3-4A</t>
        </is>
      </c>
      <c r="F921" t="n">
        <v>95.196</v>
      </c>
      <c r="K921" t="inlineStr">
        <is>
          <t>20250617-43</t>
        </is>
      </c>
    </row>
    <row r="922">
      <c r="A922" t="n">
        <v>33</v>
      </c>
      <c r="B922" t="inlineStr">
        <is>
          <t>K3-4B</t>
        </is>
      </c>
      <c r="F922" t="n">
        <v>52.646</v>
      </c>
      <c r="K922" t="inlineStr">
        <is>
          <t>20250617-44</t>
        </is>
      </c>
    </row>
    <row r="923">
      <c r="A923" t="n">
        <v>34</v>
      </c>
      <c r="B923" t="inlineStr">
        <is>
          <t>K3-4C</t>
        </is>
      </c>
      <c r="D923" t="n">
        <v>8.02</v>
      </c>
      <c r="E923" t="n">
        <v>0.467</v>
      </c>
      <c r="F923" t="n">
        <v>62.052</v>
      </c>
      <c r="G923" t="n">
        <v>6</v>
      </c>
      <c r="H923" t="inlineStr">
        <is>
          <t>MM</t>
        </is>
      </c>
      <c r="K923" t="inlineStr">
        <is>
          <t>20250617-45</t>
        </is>
      </c>
    </row>
    <row r="924">
      <c r="A924" t="n">
        <v>35</v>
      </c>
      <c r="B924" t="inlineStr">
        <is>
          <t>MeOH</t>
        </is>
      </c>
      <c r="K924" t="inlineStr">
        <is>
          <t>20250617-46</t>
        </is>
      </c>
    </row>
    <row r="925">
      <c r="A925" t="n">
        <v>36</v>
      </c>
      <c r="B925" t="inlineStr">
        <is>
          <t>K3-6A</t>
        </is>
      </c>
      <c r="F925" t="n">
        <v>93.878</v>
      </c>
      <c r="K925" t="inlineStr">
        <is>
          <t>20250617-47</t>
        </is>
      </c>
    </row>
    <row r="926">
      <c r="A926" t="n">
        <v>37</v>
      </c>
      <c r="B926" t="inlineStr">
        <is>
          <t>K3-6B</t>
        </is>
      </c>
      <c r="F926" t="n">
        <v>67.396</v>
      </c>
      <c r="K926" t="inlineStr">
        <is>
          <t>20250617-48</t>
        </is>
      </c>
    </row>
    <row r="927">
      <c r="A927" t="n">
        <v>38</v>
      </c>
      <c r="B927" t="inlineStr">
        <is>
          <t>K3-6C</t>
        </is>
      </c>
      <c r="F927" t="n">
        <v>117.664</v>
      </c>
      <c r="K927" t="inlineStr">
        <is>
          <t>20250617-49</t>
        </is>
      </c>
    </row>
    <row r="929">
      <c r="A929" t="inlineStr">
        <is>
          <t>Compound 23:  6:6 PFPi 1</t>
        </is>
      </c>
    </row>
    <row r="930">
      <c r="I930" t="inlineStr">
        <is>
          <t>LINEST</t>
        </is>
      </c>
      <c r="Q930" t="inlineStr">
        <is>
          <t>Biosolids Masses</t>
        </is>
      </c>
      <c r="R930" t="inlineStr">
        <is>
          <t>(g)</t>
        </is>
      </c>
    </row>
    <row r="931">
      <c r="B931" t="inlineStr">
        <is>
          <t>Sample Text</t>
        </is>
      </c>
      <c r="C931" t="inlineStr">
        <is>
          <t>Std. Conc</t>
        </is>
      </c>
      <c r="D931" t="inlineStr">
        <is>
          <t>RT</t>
        </is>
      </c>
      <c r="E931" t="inlineStr">
        <is>
          <t>Area</t>
        </is>
      </c>
      <c r="F931" t="inlineStr">
        <is>
          <t>IS Area</t>
        </is>
      </c>
      <c r="G931" t="inlineStr">
        <is>
          <t>S/N</t>
        </is>
      </c>
      <c r="H931" t="inlineStr">
        <is>
          <t>ratio</t>
        </is>
      </c>
      <c r="I931">
        <f t="array" ref="I931:J935">LINEST(H932:H938,C932:C938,1,1)</f>
        <v/>
      </c>
      <c r="J931" t="n">
        <v>0.03396992350166184</v>
      </c>
      <c r="L931" s="20" t="inlineStr">
        <is>
          <t>By S/N Ratio</t>
        </is>
      </c>
      <c r="Q931" t="inlineStr">
        <is>
          <t>SS1</t>
        </is>
      </c>
      <c r="R931" t="n">
        <v>1.0846</v>
      </c>
    </row>
    <row r="932">
      <c r="A932" t="n">
        <v>1</v>
      </c>
      <c r="B932" t="inlineStr">
        <is>
          <t>EPA1633 &amp; diPAPs Calibration 0 ppb</t>
        </is>
      </c>
      <c r="C932" t="n">
        <v>0</v>
      </c>
      <c r="D932" t="n">
        <v>11.38</v>
      </c>
      <c r="E932" t="n">
        <v>316.557</v>
      </c>
      <c r="F932" t="n">
        <v>19473.51</v>
      </c>
      <c r="G932" t="n">
        <v>2384</v>
      </c>
      <c r="H932">
        <f>E932/F932</f>
        <v/>
      </c>
      <c r="I932" t="n">
        <v>0.001562687705419521</v>
      </c>
      <c r="J932" t="n">
        <v>0.01300750629095493</v>
      </c>
      <c r="K932" t="inlineStr">
        <is>
          <t>LOD</t>
        </is>
      </c>
      <c r="L932" s="21">
        <f>IF(G935&gt;3,C935,IF(G936&gt;3,#REF!,IF(G937&gt;3,C937,IF(G938&gt;3,C938,C939))))</f>
        <v/>
      </c>
      <c r="Q932" t="inlineStr">
        <is>
          <t>SS2</t>
        </is>
      </c>
      <c r="R932" t="n">
        <v>1.0726</v>
      </c>
    </row>
    <row r="933">
      <c r="A933" t="n">
        <v>2</v>
      </c>
      <c r="B933" t="inlineStr">
        <is>
          <t>EPA1633 &amp; diPAPs Calibration 0.02 ppb</t>
        </is>
      </c>
      <c r="C933" t="n">
        <v>1</v>
      </c>
      <c r="D933" t="n">
        <v>11.38</v>
      </c>
      <c r="E933" t="n">
        <v>1142.337</v>
      </c>
      <c r="F933" t="n">
        <v>13285.255</v>
      </c>
      <c r="G933" t="n">
        <v>7943</v>
      </c>
      <c r="H933">
        <f>E933/F933</f>
        <v/>
      </c>
      <c r="I933" t="n">
        <v>0.9973299708255791</v>
      </c>
      <c r="J933" t="n">
        <v>0.02322351323483157</v>
      </c>
      <c r="K933" t="inlineStr">
        <is>
          <t>LOQ</t>
        </is>
      </c>
      <c r="L933" s="22">
        <f>IF(G935&gt;10,C935,IF(G936&gt;10,#REF!,IF(G937&gt;10,C937,IF(G938&gt;10,C938,C939))))</f>
        <v/>
      </c>
      <c r="Q933" t="inlineStr">
        <is>
          <t>SS3</t>
        </is>
      </c>
      <c r="R933" t="n">
        <v>1.1534</v>
      </c>
    </row>
    <row r="934">
      <c r="A934" t="n">
        <v>3</v>
      </c>
      <c r="B934" t="inlineStr">
        <is>
          <t>EPA1633 &amp; diPAPs Calibration 0.1 ppb</t>
        </is>
      </c>
      <c r="C934" t="n">
        <v>2</v>
      </c>
      <c r="D934" t="n">
        <v>11.39</v>
      </c>
      <c r="E934" t="n">
        <v>2851.977</v>
      </c>
      <c r="F934" t="n">
        <v>16010.102</v>
      </c>
      <c r="G934" t="n">
        <v>495.596</v>
      </c>
      <c r="H934">
        <f>E934/F934</f>
        <v/>
      </c>
      <c r="I934" t="n">
        <v>1867.638714175936</v>
      </c>
      <c r="J934" t="n">
        <v>5</v>
      </c>
      <c r="Q934" t="inlineStr">
        <is>
          <t>K4-5A</t>
        </is>
      </c>
      <c r="R934" t="n">
        <v>1.1054</v>
      </c>
    </row>
    <row r="935">
      <c r="A935" t="n">
        <v>4</v>
      </c>
      <c r="B935" t="inlineStr">
        <is>
          <t>EPA1633 &amp; diPAPs Calibration 0.4 ppb</t>
        </is>
      </c>
      <c r="C935" t="n">
        <v>4</v>
      </c>
      <c r="D935" t="n">
        <v>11.39</v>
      </c>
      <c r="E935" t="n">
        <v>4929.832</v>
      </c>
      <c r="F935" t="n">
        <v>14214.025</v>
      </c>
      <c r="G935" t="n">
        <v>34458</v>
      </c>
      <c r="H935">
        <f>E935/F935</f>
        <v/>
      </c>
      <c r="I935" t="n">
        <v>1.00727651424735</v>
      </c>
      <c r="J935" t="n">
        <v>0.002696657834841986</v>
      </c>
      <c r="Q935" t="inlineStr">
        <is>
          <t>K4-5B</t>
        </is>
      </c>
      <c r="R935" s="10" t="n">
        <v>1.0463</v>
      </c>
    </row>
    <row r="936">
      <c r="A936" t="n">
        <v>5</v>
      </c>
      <c r="B936" t="inlineStr">
        <is>
          <t>EPA1633 &amp; diPAPs Calibration 1 ppb</t>
        </is>
      </c>
      <c r="C936" t="n">
        <v>8</v>
      </c>
      <c r="D936" t="n">
        <v>11.39</v>
      </c>
      <c r="E936" t="n">
        <v>12380.14</v>
      </c>
      <c r="F936" t="n">
        <v>21931.449</v>
      </c>
      <c r="G936" t="n">
        <v>87761</v>
      </c>
      <c r="H936">
        <f>E936/F936</f>
        <v/>
      </c>
      <c r="Q936" t="inlineStr">
        <is>
          <t>K4-5C</t>
        </is>
      </c>
      <c r="R936" t="n">
        <v>1.1155</v>
      </c>
    </row>
    <row r="937">
      <c r="A937" t="n">
        <v>6</v>
      </c>
      <c r="B937" t="inlineStr">
        <is>
          <t>EPA1633 &amp; diPAPs Calibration 5 ppb</t>
        </is>
      </c>
      <c r="C937" t="n">
        <v>12</v>
      </c>
      <c r="D937" t="n">
        <v>11.39</v>
      </c>
      <c r="E937" t="n">
        <v>14606.739</v>
      </c>
      <c r="F937" t="n">
        <v>17537.508</v>
      </c>
      <c r="G937" t="n">
        <v>2574.438</v>
      </c>
      <c r="H937">
        <f>E937/F937</f>
        <v/>
      </c>
      <c r="Q937" t="inlineStr">
        <is>
          <t>K3-1A</t>
        </is>
      </c>
      <c r="R937" t="n">
        <v>1.0874</v>
      </c>
    </row>
    <row r="938">
      <c r="A938" t="n">
        <v>7</v>
      </c>
      <c r="B938" t="inlineStr">
        <is>
          <t>EPA1633 &amp; diPAPs Calibration 10 ppb</t>
        </is>
      </c>
      <c r="C938" t="n">
        <v>16</v>
      </c>
      <c r="D938" t="n">
        <v>11.4</v>
      </c>
      <c r="E938" t="n">
        <v>32724.578</v>
      </c>
      <c r="F938" t="n">
        <v>29293.133</v>
      </c>
      <c r="G938" t="n">
        <v>2816.603</v>
      </c>
      <c r="H938">
        <f>E938/F938</f>
        <v/>
      </c>
      <c r="I938" s="23" t="inlineStr">
        <is>
          <t>Background</t>
        </is>
      </c>
      <c r="J938" s="23" t="inlineStr">
        <is>
          <t>Spike</t>
        </is>
      </c>
      <c r="K938" s="9" t="inlineStr">
        <is>
          <t>Old Spike</t>
        </is>
      </c>
      <c r="O938" s="24" t="inlineStr">
        <is>
          <t>±</t>
        </is>
      </c>
      <c r="Q938" t="inlineStr">
        <is>
          <t>K3-1B</t>
        </is>
      </c>
      <c r="R938" t="n">
        <v>1.0898</v>
      </c>
    </row>
    <row r="939">
      <c r="A939" t="n">
        <v>8</v>
      </c>
      <c r="B939" t="inlineStr">
        <is>
          <t>EPA1633 &amp; diPAPs Calibration 20 ppb</t>
        </is>
      </c>
      <c r="C939" t="n">
        <v>20</v>
      </c>
      <c r="D939" t="n">
        <v>11.41</v>
      </c>
      <c r="E939" t="n">
        <v>15715.922</v>
      </c>
      <c r="F939" t="n">
        <v>13919.142</v>
      </c>
      <c r="G939" t="n">
        <v>3347.81</v>
      </c>
      <c r="H939">
        <f>E939/F939</f>
        <v/>
      </c>
      <c r="I939">
        <f>AVERAGE(I942:I944)</f>
        <v/>
      </c>
      <c r="J939" t="n">
        <v>17.6</v>
      </c>
      <c r="Q939" t="inlineStr">
        <is>
          <t>K3-1C</t>
        </is>
      </c>
      <c r="R939" t="n">
        <v>1.0536</v>
      </c>
    </row>
    <row r="940">
      <c r="A940" t="n">
        <v>9</v>
      </c>
      <c r="B940" t="inlineStr">
        <is>
          <t>MeOH</t>
        </is>
      </c>
      <c r="I940" s="23" t="inlineStr">
        <is>
          <t>Conc.In Vial (ppb)</t>
        </is>
      </c>
      <c r="J940" s="9" t="inlineStr">
        <is>
          <t>Corr. Conc.(ppb)</t>
        </is>
      </c>
      <c r="K940" s="9" t="inlineStr">
        <is>
          <t>Conc. In soil (ng/g)</t>
        </is>
      </c>
      <c r="Q940" t="inlineStr">
        <is>
          <t>K3-2A</t>
        </is>
      </c>
      <c r="R940" s="10" t="n">
        <v>1.1218</v>
      </c>
    </row>
    <row r="941">
      <c r="A941" t="n">
        <v>10</v>
      </c>
      <c r="B941" t="inlineStr">
        <is>
          <t>MeOH</t>
        </is>
      </c>
      <c r="L941" s="23" t="inlineStr">
        <is>
          <t>Average</t>
        </is>
      </c>
      <c r="M941" s="23" t="inlineStr">
        <is>
          <t>Stdev</t>
        </is>
      </c>
      <c r="N941" s="9" t="inlineStr">
        <is>
          <t>Combined</t>
        </is>
      </c>
      <c r="O941" s="9" t="n"/>
      <c r="P941" s="9" t="n"/>
      <c r="Q941" t="inlineStr">
        <is>
          <t>K3-2B</t>
        </is>
      </c>
      <c r="R941" t="n">
        <v>1.198</v>
      </c>
    </row>
    <row r="942">
      <c r="A942" t="n">
        <v>11</v>
      </c>
      <c r="B942" t="inlineStr">
        <is>
          <t>SB1</t>
        </is>
      </c>
      <c r="D942" t="n">
        <v>11.42</v>
      </c>
      <c r="E942" t="n">
        <v>37.594</v>
      </c>
      <c r="F942" t="n">
        <v>5289.194</v>
      </c>
      <c r="G942" t="n">
        <v>3.67</v>
      </c>
      <c r="H942">
        <f>E942/F942</f>
        <v/>
      </c>
      <c r="I942">
        <f>((H942-$J$931)/$I$931)</f>
        <v/>
      </c>
      <c r="J942">
        <f>(I942-IF(I939&gt;0,I939,0))</f>
        <v/>
      </c>
      <c r="K942">
        <f>J942*1.1</f>
        <v/>
      </c>
      <c r="L942">
        <f>AVERAGE(K942:K944)</f>
        <v/>
      </c>
      <c r="M942">
        <f>STDEV(K943:K944)</f>
        <v/>
      </c>
      <c r="N942">
        <f>_xlfn.CONCAT(ROUND(L942,1)," ± ",ROUND(M942,1))</f>
        <v/>
      </c>
      <c r="Q942" t="inlineStr">
        <is>
          <t>K3-2C</t>
        </is>
      </c>
      <c r="R942" t="n">
        <v>1.1538</v>
      </c>
    </row>
    <row r="943">
      <c r="A943" t="n">
        <v>12</v>
      </c>
      <c r="B943" t="inlineStr">
        <is>
          <t>SB2</t>
        </is>
      </c>
      <c r="D943" t="n">
        <v>11.41</v>
      </c>
      <c r="E943" t="n">
        <v>6.723</v>
      </c>
      <c r="F943" t="n">
        <v>6667.125</v>
      </c>
      <c r="G943" t="n">
        <v>53</v>
      </c>
      <c r="H943">
        <f>E943/F943</f>
        <v/>
      </c>
      <c r="I943">
        <f>((H943-$J$931)/$I$931)</f>
        <v/>
      </c>
      <c r="J943">
        <f>(I943-IF(I939&gt;0,I939,0))</f>
        <v/>
      </c>
      <c r="K943">
        <f>J943*1.1</f>
        <v/>
      </c>
      <c r="Q943" t="inlineStr">
        <is>
          <t>K3-3A</t>
        </is>
      </c>
      <c r="R943" t="n">
        <v>1.1183</v>
      </c>
    </row>
    <row r="944">
      <c r="A944" t="n">
        <v>13</v>
      </c>
      <c r="B944" t="inlineStr">
        <is>
          <t>SB3</t>
        </is>
      </c>
      <c r="D944" t="n">
        <v>11.71</v>
      </c>
      <c r="E944" t="n">
        <v>0.411</v>
      </c>
      <c r="F944" t="n">
        <v>5460.875</v>
      </c>
      <c r="G944" t="n">
        <v>3</v>
      </c>
      <c r="H944">
        <f>E944/F944</f>
        <v/>
      </c>
      <c r="I944">
        <f>((H944-$J$931)/$I$931)</f>
        <v/>
      </c>
      <c r="J944">
        <f>(I944-IF(I939&gt;0,I939,0))</f>
        <v/>
      </c>
      <c r="K944" s="30">
        <f>J944*1.1</f>
        <v/>
      </c>
      <c r="L944" s="25" t="inlineStr">
        <is>
          <t>Average</t>
        </is>
      </c>
      <c r="M944" s="25" t="inlineStr">
        <is>
          <t>Stdev</t>
        </is>
      </c>
      <c r="N944" s="26" t="inlineStr">
        <is>
          <t>%Recovery</t>
        </is>
      </c>
      <c r="O944" s="26" t="inlineStr">
        <is>
          <t>Uncertainty</t>
        </is>
      </c>
      <c r="P944" s="26" t="inlineStr">
        <is>
          <t>Combined</t>
        </is>
      </c>
      <c r="Q944" t="inlineStr">
        <is>
          <t>K3-3B</t>
        </is>
      </c>
      <c r="R944" t="n">
        <v>1.1448</v>
      </c>
    </row>
    <row r="945">
      <c r="A945" t="n">
        <v>14</v>
      </c>
      <c r="B945" t="inlineStr">
        <is>
          <t>SS1</t>
        </is>
      </c>
      <c r="D945" t="n">
        <v>11.41</v>
      </c>
      <c r="E945" t="n">
        <v>5142.086</v>
      </c>
      <c r="F945" t="n">
        <v>6517.947</v>
      </c>
      <c r="G945" t="n">
        <v>36843</v>
      </c>
      <c r="H945">
        <f>E945/F945</f>
        <v/>
      </c>
      <c r="I945">
        <f>((H945-$J$931)/$I$931)</f>
        <v/>
      </c>
      <c r="J945">
        <f>(I945-IF($I$939&gt;0,$I$939,0))</f>
        <v/>
      </c>
      <c r="K945">
        <f>J945/R931*1.1</f>
        <v/>
      </c>
      <c r="L945" s="27">
        <f>AVERAGE(K945:K947)</f>
        <v/>
      </c>
      <c r="M945" s="27">
        <f>STDEV(K945:K947)</f>
        <v/>
      </c>
      <c r="N945" s="28">
        <f>L945/J939*100</f>
        <v/>
      </c>
      <c r="O945" s="29">
        <f>M945/J939*100</f>
        <v/>
      </c>
      <c r="P945" s="29">
        <f>_xlfn.CONCAT(ROUND(N945,1)," ± ",ROUND(O945,1))</f>
        <v/>
      </c>
      <c r="Q945" t="inlineStr">
        <is>
          <t>K3-3C</t>
        </is>
      </c>
      <c r="R945" t="n">
        <v>1.0493</v>
      </c>
    </row>
    <row r="946">
      <c r="A946" t="n">
        <v>15</v>
      </c>
      <c r="B946" t="inlineStr">
        <is>
          <t>SS2</t>
        </is>
      </c>
      <c r="D946" t="n">
        <v>11.42</v>
      </c>
      <c r="E946" t="n">
        <v>4999.526</v>
      </c>
      <c r="F946" t="n">
        <v>6712.642</v>
      </c>
      <c r="G946" t="n">
        <v>34723</v>
      </c>
      <c r="H946">
        <f>E946/F946</f>
        <v/>
      </c>
      <c r="I946">
        <f>((H946-$J$931)/$I$931)</f>
        <v/>
      </c>
      <c r="J946">
        <f>(I946-IF($I$939&gt;0,$I$939,0))</f>
        <v/>
      </c>
      <c r="K946">
        <f>J946/R932*1.1</f>
        <v/>
      </c>
      <c r="Q946" t="inlineStr">
        <is>
          <t>K3-4A</t>
        </is>
      </c>
      <c r="R946" t="n">
        <v>1.0704</v>
      </c>
    </row>
    <row r="947">
      <c r="A947" t="n">
        <v>16</v>
      </c>
      <c r="B947" t="inlineStr">
        <is>
          <t>SS3</t>
        </is>
      </c>
      <c r="D947" t="n">
        <v>11.42</v>
      </c>
      <c r="E947" t="n">
        <v>5092.645</v>
      </c>
      <c r="F947" t="n">
        <v>6363.637</v>
      </c>
      <c r="G947" t="n">
        <v>2214.022</v>
      </c>
      <c r="H947">
        <f>E947/F947</f>
        <v/>
      </c>
      <c r="I947">
        <f>((H947-$J$931)/$I$931)</f>
        <v/>
      </c>
      <c r="J947">
        <f>(I947-IF($I$939&gt;0,$I$939,0))</f>
        <v/>
      </c>
      <c r="K947" s="30">
        <f>J947/R933*1.1</f>
        <v/>
      </c>
      <c r="Q947" t="inlineStr">
        <is>
          <t>K3-4B</t>
        </is>
      </c>
      <c r="R947" t="n">
        <v>1.1589</v>
      </c>
    </row>
    <row r="948">
      <c r="A948" t="n">
        <v>17</v>
      </c>
      <c r="B948" t="inlineStr">
        <is>
          <t>MeOH</t>
        </is>
      </c>
      <c r="L948" s="23" t="inlineStr">
        <is>
          <t>Average</t>
        </is>
      </c>
      <c r="M948" s="23" t="inlineStr">
        <is>
          <t>Stdev</t>
        </is>
      </c>
      <c r="N948" s="9" t="inlineStr">
        <is>
          <t>Combined</t>
        </is>
      </c>
      <c r="Q948" t="inlineStr">
        <is>
          <t>K3-4C</t>
        </is>
      </c>
      <c r="R948" t="n">
        <v>1.0206</v>
      </c>
    </row>
    <row r="949">
      <c r="A949" t="n">
        <v>18</v>
      </c>
      <c r="B949" t="inlineStr">
        <is>
          <t>K4-5A</t>
        </is>
      </c>
      <c r="F949" t="n">
        <v>3930.075</v>
      </c>
      <c r="H949">
        <f>E949/F949</f>
        <v/>
      </c>
      <c r="I949">
        <f>((H949-$J$931)/$I$931)</f>
        <v/>
      </c>
      <c r="J949">
        <f>(I949-IF($I$939&gt;0,$I$939,0))</f>
        <v/>
      </c>
      <c r="K949">
        <f>J949/R933*1.1</f>
        <v/>
      </c>
      <c r="L949">
        <f>AVERAGE(K949:K951)</f>
        <v/>
      </c>
      <c r="M949">
        <f>STDEV(K949:K951)</f>
        <v/>
      </c>
      <c r="N949">
        <f>_xlfn.CONCAT(ROUND(L949,1)," ± ",ROUND(M949,1))</f>
        <v/>
      </c>
      <c r="Q949" t="inlineStr">
        <is>
          <t>K3-6A</t>
        </is>
      </c>
      <c r="R949" t="n">
        <v>1.1289</v>
      </c>
    </row>
    <row r="950">
      <c r="A950" t="n">
        <v>19</v>
      </c>
      <c r="B950" t="inlineStr">
        <is>
          <t>K4-5B</t>
        </is>
      </c>
      <c r="D950" t="n">
        <v>11.42</v>
      </c>
      <c r="E950" t="n">
        <v>0.76</v>
      </c>
      <c r="F950" t="n">
        <v>6277.964</v>
      </c>
      <c r="G950" t="n">
        <v>7</v>
      </c>
      <c r="H950">
        <f>E950/F950</f>
        <v/>
      </c>
      <c r="I950">
        <f>((H950-$J$931)/$I$931)</f>
        <v/>
      </c>
      <c r="J950">
        <f>(I950-IF($I$939&gt;0,$I$939,0))</f>
        <v/>
      </c>
      <c r="K950">
        <f>J950/R934*1.1</f>
        <v/>
      </c>
      <c r="Q950" t="inlineStr">
        <is>
          <t>K3-6B</t>
        </is>
      </c>
      <c r="R950" t="n">
        <v>1.195</v>
      </c>
    </row>
    <row r="951">
      <c r="A951" t="n">
        <v>20</v>
      </c>
      <c r="B951" t="inlineStr">
        <is>
          <t>K4-5C</t>
        </is>
      </c>
      <c r="F951" t="n">
        <v>2207.119</v>
      </c>
      <c r="H951">
        <f>E951/F951</f>
        <v/>
      </c>
      <c r="I951">
        <f>((H951-$J$931)/$I$931)</f>
        <v/>
      </c>
      <c r="J951">
        <f>(I951-IF($I$939&gt;0,$I$939,0))</f>
        <v/>
      </c>
      <c r="K951">
        <f>J951/R935*1.1</f>
        <v/>
      </c>
      <c r="L951" s="23" t="n"/>
      <c r="M951" s="23" t="n"/>
      <c r="N951" s="9" t="n"/>
      <c r="Q951" t="inlineStr">
        <is>
          <t>K3-6C</t>
        </is>
      </c>
      <c r="R951" t="n">
        <v>1.1716</v>
      </c>
    </row>
    <row r="952">
      <c r="A952" t="n">
        <v>21</v>
      </c>
      <c r="B952" t="inlineStr">
        <is>
          <t>MeOH</t>
        </is>
      </c>
      <c r="L952" s="23" t="inlineStr">
        <is>
          <t>Average</t>
        </is>
      </c>
      <c r="M952" s="23" t="inlineStr">
        <is>
          <t>Stdev</t>
        </is>
      </c>
      <c r="N952" s="9" t="inlineStr">
        <is>
          <t>Combined</t>
        </is>
      </c>
    </row>
    <row r="953">
      <c r="A953" t="n">
        <v>22</v>
      </c>
      <c r="B953" t="inlineStr">
        <is>
          <t>K3-1A</t>
        </is>
      </c>
      <c r="F953" t="n">
        <v>4603.346</v>
      </c>
      <c r="H953">
        <f>E953/F953</f>
        <v/>
      </c>
      <c r="I953">
        <f>((H953-$J$931)/$I$931)</f>
        <v/>
      </c>
      <c r="J953">
        <f>(I953-IF($I$939&gt;0,$I$939,0))</f>
        <v/>
      </c>
      <c r="K953">
        <f>J953/R936*1.1</f>
        <v/>
      </c>
      <c r="L953">
        <f>AVERAGE(K953:K955)</f>
        <v/>
      </c>
      <c r="M953">
        <f>STDEV(K954:K955)</f>
        <v/>
      </c>
      <c r="N953">
        <f>_xlfn.CONCAT(ROUND(L953,1)," ± ",ROUND(M953,1))</f>
        <v/>
      </c>
    </row>
    <row r="954">
      <c r="A954" t="n">
        <v>23</v>
      </c>
      <c r="B954" t="inlineStr">
        <is>
          <t>K3-1B</t>
        </is>
      </c>
      <c r="D954" t="n">
        <v>12.16</v>
      </c>
      <c r="E954" t="n">
        <v>0.286</v>
      </c>
      <c r="F954" t="n">
        <v>4832.73</v>
      </c>
      <c r="G954" t="n">
        <v>2</v>
      </c>
      <c r="H954">
        <f>E954/F954</f>
        <v/>
      </c>
      <c r="I954">
        <f>((H954-$J$931)/$I$931)</f>
        <v/>
      </c>
      <c r="J954">
        <f>(I954-IF($I$939&gt;0,$I$939,0))</f>
        <v/>
      </c>
      <c r="K954">
        <f>J954/R937*1.1</f>
        <v/>
      </c>
    </row>
    <row r="955">
      <c r="A955" t="n">
        <v>24</v>
      </c>
      <c r="B955" t="inlineStr">
        <is>
          <t>K3-1C</t>
        </is>
      </c>
      <c r="F955" t="n">
        <v>5250.105</v>
      </c>
      <c r="H955">
        <f>E955/F955</f>
        <v/>
      </c>
      <c r="I955">
        <f>((H955-$J$931)/$I$931)</f>
        <v/>
      </c>
      <c r="J955">
        <f>(I955-IF($I$939&gt;0,$I$939,0))</f>
        <v/>
      </c>
      <c r="K955">
        <f>J955/R938*1.1</f>
        <v/>
      </c>
      <c r="L955" s="23" t="inlineStr">
        <is>
          <t>Average</t>
        </is>
      </c>
      <c r="M955" s="23" t="inlineStr">
        <is>
          <t>Stdev</t>
        </is>
      </c>
      <c r="N955" s="9" t="inlineStr">
        <is>
          <t>Combined</t>
        </is>
      </c>
    </row>
    <row r="956">
      <c r="A956" t="n">
        <v>25</v>
      </c>
      <c r="B956" t="inlineStr">
        <is>
          <t>K3-2A</t>
        </is>
      </c>
      <c r="F956" t="n">
        <v>4574.33</v>
      </c>
      <c r="H956">
        <f>E956/F956</f>
        <v/>
      </c>
      <c r="I956">
        <f>((H956-$J$931)/$I$931)</f>
        <v/>
      </c>
      <c r="J956">
        <f>(I956-IF($I$939&gt;0,$I$939,0))</f>
        <v/>
      </c>
      <c r="K956">
        <f>J956/R939*1.1</f>
        <v/>
      </c>
      <c r="L956">
        <f>AVERAGE(K956:K958)</f>
        <v/>
      </c>
      <c r="M956">
        <f>STDEV(K956:K958)</f>
        <v/>
      </c>
      <c r="N956">
        <f>_xlfn.CONCAT(ROUND(L956,1)," ± ",ROUND(M956,1))</f>
        <v/>
      </c>
    </row>
    <row r="957">
      <c r="A957" t="n">
        <v>26</v>
      </c>
      <c r="B957" t="inlineStr">
        <is>
          <t>K3-2B</t>
        </is>
      </c>
      <c r="D957" t="n">
        <v>11.47</v>
      </c>
      <c r="E957" t="n">
        <v>0.319</v>
      </c>
      <c r="F957" t="n">
        <v>5271.769</v>
      </c>
      <c r="G957" t="n">
        <v>1.351</v>
      </c>
      <c r="H957">
        <f>E957/F957</f>
        <v/>
      </c>
      <c r="I957">
        <f>((H957-$J$931)/$I$931)</f>
        <v/>
      </c>
      <c r="J957">
        <f>(I957-IF($I$939&gt;0,$I$939,0))</f>
        <v/>
      </c>
      <c r="K957">
        <f>J957/R940*1.1</f>
        <v/>
      </c>
    </row>
    <row r="958">
      <c r="A958" t="n">
        <v>27</v>
      </c>
      <c r="B958" t="inlineStr">
        <is>
          <t>K3-2C</t>
        </is>
      </c>
      <c r="F958" t="n">
        <v>4675.447</v>
      </c>
      <c r="H958">
        <f>E958/F958</f>
        <v/>
      </c>
      <c r="I958">
        <f>((H958-$J$931)/$I$931)</f>
        <v/>
      </c>
      <c r="J958">
        <f>(I958-IF($I$939&gt;0,$I$939,0))</f>
        <v/>
      </c>
      <c r="K958">
        <f>J958/R941*1.1</f>
        <v/>
      </c>
      <c r="L958" s="23" t="n"/>
      <c r="M958" s="23" t="n"/>
      <c r="N958" s="9" t="n"/>
    </row>
    <row r="959">
      <c r="A959" t="n">
        <v>28</v>
      </c>
      <c r="B959" t="inlineStr">
        <is>
          <t>MeOH</t>
        </is>
      </c>
      <c r="L959" s="23" t="inlineStr">
        <is>
          <t>Average</t>
        </is>
      </c>
      <c r="M959" s="23" t="inlineStr">
        <is>
          <t>Stdev</t>
        </is>
      </c>
      <c r="N959" s="9" t="inlineStr">
        <is>
          <t>Combined</t>
        </is>
      </c>
    </row>
    <row r="960">
      <c r="A960" t="n">
        <v>29</v>
      </c>
      <c r="B960" t="inlineStr">
        <is>
          <t>K3-3A</t>
        </is>
      </c>
      <c r="F960" t="n">
        <v>3868.886</v>
      </c>
      <c r="H960">
        <f>E960/F960</f>
        <v/>
      </c>
      <c r="I960">
        <f>((H960-$J$931)/$I$931)</f>
        <v/>
      </c>
      <c r="J960">
        <f>(I960-IF($I$939&gt;0,$I$939,0))</f>
        <v/>
      </c>
      <c r="K960">
        <f>J960/R942*1.1</f>
        <v/>
      </c>
      <c r="L960">
        <f>AVERAGE(K960:K962)</f>
        <v/>
      </c>
      <c r="M960">
        <f>STDEV(K961:K962)</f>
        <v/>
      </c>
      <c r="N960">
        <f>_xlfn.CONCAT(ROUND(L960,1)," ± ",ROUND(M960,1))</f>
        <v/>
      </c>
    </row>
    <row r="961">
      <c r="A961" t="n">
        <v>30</v>
      </c>
      <c r="B961" t="inlineStr">
        <is>
          <t>K3-3B</t>
        </is>
      </c>
      <c r="F961" t="n">
        <v>5558.256</v>
      </c>
      <c r="H961">
        <f>E961/F961</f>
        <v/>
      </c>
      <c r="I961">
        <f>((H961-$J$931)/$I$931)</f>
        <v/>
      </c>
      <c r="J961">
        <f>(I961-IF($I$939&gt;0,$I$939,0))</f>
        <v/>
      </c>
      <c r="K961">
        <f>J961/R943*1.1</f>
        <v/>
      </c>
    </row>
    <row r="962">
      <c r="A962" t="n">
        <v>31</v>
      </c>
      <c r="B962" t="inlineStr">
        <is>
          <t>K3-3C</t>
        </is>
      </c>
      <c r="D962" t="n">
        <v>11.48</v>
      </c>
      <c r="E962" t="n">
        <v>2.355</v>
      </c>
      <c r="F962" t="n">
        <v>5019.609</v>
      </c>
      <c r="G962" t="n">
        <v>4.273</v>
      </c>
      <c r="H962">
        <f>E962/F962</f>
        <v/>
      </c>
      <c r="I962">
        <f>((H962-$J$931)/$I$931)</f>
        <v/>
      </c>
      <c r="J962">
        <f>(I962-IF($I$939&gt;0,$I$939,0))</f>
        <v/>
      </c>
      <c r="K962">
        <f>J962/R944*1.1</f>
        <v/>
      </c>
      <c r="L962" s="23" t="inlineStr">
        <is>
          <t>Average</t>
        </is>
      </c>
      <c r="M962" s="23" t="inlineStr">
        <is>
          <t>Stdev</t>
        </is>
      </c>
      <c r="N962" s="9" t="inlineStr">
        <is>
          <t>Combined</t>
        </is>
      </c>
    </row>
    <row r="963">
      <c r="A963" t="n">
        <v>32</v>
      </c>
      <c r="B963" t="inlineStr">
        <is>
          <t>K3-4A</t>
        </is>
      </c>
      <c r="D963" t="n">
        <v>11.46</v>
      </c>
      <c r="E963" t="n">
        <v>2.601</v>
      </c>
      <c r="F963" t="n">
        <v>4571.521</v>
      </c>
      <c r="G963" t="n">
        <v>22</v>
      </c>
      <c r="H963">
        <f>E963/F963</f>
        <v/>
      </c>
      <c r="I963">
        <f>((H963-$J$931)/$I$931)</f>
        <v/>
      </c>
      <c r="J963">
        <f>(I963-IF($I$939&gt;0,$I$939,0))</f>
        <v/>
      </c>
      <c r="K963">
        <f>J963/R945*1.1</f>
        <v/>
      </c>
      <c r="L963">
        <f>AVERAGE(K963:K965)</f>
        <v/>
      </c>
      <c r="M963">
        <f>STDEV(K963:K965)</f>
        <v/>
      </c>
      <c r="N963">
        <f>_xlfn.CONCAT(ROUND(L963,1)," ± ",ROUND(M963,1))</f>
        <v/>
      </c>
    </row>
    <row r="964">
      <c r="A964" t="n">
        <v>33</v>
      </c>
      <c r="B964" t="inlineStr">
        <is>
          <t>K3-4B</t>
        </is>
      </c>
      <c r="F964" t="n">
        <v>5043.437</v>
      </c>
      <c r="H964">
        <f>E964/F964</f>
        <v/>
      </c>
      <c r="I964">
        <f>((H964-$J$931)/$I$931)</f>
        <v/>
      </c>
      <c r="J964">
        <f>(I964-IF($I$939&gt;0,$I$939,0))</f>
        <v/>
      </c>
      <c r="K964">
        <f>J964/R946*1.1</f>
        <v/>
      </c>
    </row>
    <row r="965">
      <c r="A965" t="n">
        <v>34</v>
      </c>
      <c r="B965" t="inlineStr">
        <is>
          <t>K3-4C</t>
        </is>
      </c>
      <c r="F965" t="n">
        <v>5033.665</v>
      </c>
      <c r="H965">
        <f>E965/F965</f>
        <v/>
      </c>
      <c r="I965">
        <f>((H965-$J$931)/$I$931)</f>
        <v/>
      </c>
      <c r="J965">
        <f>(I965-IF($I$939&gt;0,$I$939,0))</f>
        <v/>
      </c>
      <c r="K965">
        <f>J965/R947*1.1</f>
        <v/>
      </c>
      <c r="L965" s="23" t="n"/>
      <c r="M965" s="23" t="n"/>
      <c r="N965" s="9" t="n"/>
    </row>
    <row r="966">
      <c r="A966" t="n">
        <v>35</v>
      </c>
      <c r="B966" t="inlineStr">
        <is>
          <t>MeOH</t>
        </is>
      </c>
      <c r="L966" s="23" t="inlineStr">
        <is>
          <t>Average</t>
        </is>
      </c>
      <c r="M966" s="23" t="inlineStr">
        <is>
          <t>Stdev</t>
        </is>
      </c>
      <c r="N966" s="9" t="inlineStr">
        <is>
          <t>Combined</t>
        </is>
      </c>
    </row>
    <row r="967">
      <c r="A967" t="n">
        <v>36</v>
      </c>
      <c r="B967" t="inlineStr">
        <is>
          <t>K3-6A</t>
        </is>
      </c>
      <c r="F967" t="n">
        <v>3966.205</v>
      </c>
      <c r="H967">
        <f>E967/F967</f>
        <v/>
      </c>
      <c r="I967">
        <f>((H967-$J$931)/$I$931)</f>
        <v/>
      </c>
      <c r="J967">
        <f>(I967-IF($I$939&gt;0,$I$939,0))</f>
        <v/>
      </c>
      <c r="K967">
        <f>J967/R948*1.1</f>
        <v/>
      </c>
      <c r="L967">
        <f>AVERAGE(K967:K969)</f>
        <v/>
      </c>
      <c r="M967">
        <f>STDEV(K968:K969)</f>
        <v/>
      </c>
      <c r="N967">
        <f>_xlfn.CONCAT(ROUND(L967,1)," ± ",ROUND(M967,1))</f>
        <v/>
      </c>
    </row>
    <row r="968">
      <c r="A968" t="n">
        <v>37</v>
      </c>
      <c r="B968" t="inlineStr">
        <is>
          <t>K3-6B</t>
        </is>
      </c>
      <c r="D968" t="n">
        <v>11.44</v>
      </c>
      <c r="E968" t="n">
        <v>37.8</v>
      </c>
      <c r="F968" t="n">
        <v>3977.533</v>
      </c>
      <c r="G968" t="n">
        <v>317</v>
      </c>
      <c r="H968">
        <f>E968/F968</f>
        <v/>
      </c>
      <c r="I968">
        <f>((H968-$J$931)/$I$931)</f>
        <v/>
      </c>
      <c r="J968">
        <f>(I968-IF($I$939&gt;0,$I$939,0))</f>
        <v/>
      </c>
      <c r="K968">
        <f>J968/R949*1.1</f>
        <v/>
      </c>
    </row>
    <row r="969">
      <c r="A969" t="n">
        <v>38</v>
      </c>
      <c r="B969" t="inlineStr">
        <is>
          <t>K3-6C</t>
        </is>
      </c>
      <c r="D969" t="n">
        <v>11.03</v>
      </c>
      <c r="E969" t="n">
        <v>3.83</v>
      </c>
      <c r="F969" t="n">
        <v>3666.082</v>
      </c>
      <c r="G969" t="n">
        <v>30</v>
      </c>
      <c r="H969">
        <f>E969/F969</f>
        <v/>
      </c>
      <c r="I969">
        <f>((H969-$J$931)/$I$931)</f>
        <v/>
      </c>
      <c r="J969">
        <f>(I969-IF($I$939&gt;0,$I$939,0))</f>
        <v/>
      </c>
      <c r="K969">
        <f>J969/R950*1.1</f>
        <v/>
      </c>
      <c r="L969" s="23" t="n"/>
      <c r="M969" s="23" t="n"/>
      <c r="N969" s="9" t="n"/>
    </row>
    <row r="971">
      <c r="A971" t="inlineStr">
        <is>
          <t>Compound 24:  6:6 PFPi 2</t>
        </is>
      </c>
    </row>
    <row r="973">
      <c r="B973" t="inlineStr">
        <is>
          <t>Sample Text</t>
        </is>
      </c>
      <c r="C973" t="inlineStr">
        <is>
          <t>Std. Conc</t>
        </is>
      </c>
      <c r="D973" t="inlineStr">
        <is>
          <t>RT</t>
        </is>
      </c>
      <c r="E973" t="inlineStr">
        <is>
          <t>Area</t>
        </is>
      </c>
      <c r="F973" t="inlineStr">
        <is>
          <t>IS Area</t>
        </is>
      </c>
      <c r="G973" t="inlineStr">
        <is>
          <t>S/N</t>
        </is>
      </c>
      <c r="H973" t="inlineStr">
        <is>
          <t>Primary Flags</t>
        </is>
      </c>
      <c r="I973" t="inlineStr">
        <is>
          <t>Response</t>
        </is>
      </c>
      <c r="J973" t="inlineStr">
        <is>
          <t>Conc.</t>
        </is>
      </c>
      <c r="K973" t="inlineStr">
        <is>
          <t>Name</t>
        </is>
      </c>
    </row>
    <row r="974">
      <c r="A974" t="n">
        <v>1</v>
      </c>
      <c r="B974" t="inlineStr">
        <is>
          <t>EPA1633 &amp; diPAPs Calibration 0 ppb</t>
        </is>
      </c>
      <c r="D974" t="n">
        <v>11.34</v>
      </c>
      <c r="E974" t="n">
        <v>0.374</v>
      </c>
      <c r="F974" t="n">
        <v>19473.51</v>
      </c>
      <c r="G974" t="n">
        <v>3</v>
      </c>
      <c r="H974" t="inlineStr">
        <is>
          <t>bb</t>
        </is>
      </c>
      <c r="K974" t="inlineStr">
        <is>
          <t>20250617-12</t>
        </is>
      </c>
    </row>
    <row r="975">
      <c r="A975" t="n">
        <v>2</v>
      </c>
      <c r="B975" t="inlineStr">
        <is>
          <t>EPA1633 &amp; diPAPs Calibration 0.02 ppb</t>
        </is>
      </c>
      <c r="D975" t="n">
        <v>11.38</v>
      </c>
      <c r="E975" t="n">
        <v>0.279</v>
      </c>
      <c r="F975" t="n">
        <v>13285.255</v>
      </c>
      <c r="G975" t="n">
        <v>2</v>
      </c>
      <c r="H975" t="inlineStr">
        <is>
          <t>bb</t>
        </is>
      </c>
      <c r="K975" t="inlineStr">
        <is>
          <t>20250617-13</t>
        </is>
      </c>
    </row>
    <row r="976">
      <c r="A976" t="n">
        <v>3</v>
      </c>
      <c r="B976" t="inlineStr">
        <is>
          <t>EPA1633 &amp; diPAPs Calibration 0.1 ppb</t>
        </is>
      </c>
      <c r="D976" t="n">
        <v>11.36</v>
      </c>
      <c r="E976" t="n">
        <v>20.151</v>
      </c>
      <c r="F976" t="n">
        <v>16010.102</v>
      </c>
      <c r="G976" t="n">
        <v>163</v>
      </c>
      <c r="H976" t="inlineStr">
        <is>
          <t>bb</t>
        </is>
      </c>
      <c r="K976" t="inlineStr">
        <is>
          <t>20250617-14</t>
        </is>
      </c>
    </row>
    <row r="977">
      <c r="A977" t="n">
        <v>4</v>
      </c>
      <c r="B977" t="inlineStr">
        <is>
          <t>EPA1633 &amp; diPAPs Calibration 0.4 ppb</t>
        </is>
      </c>
      <c r="D977" t="n">
        <v>11.39</v>
      </c>
      <c r="E977" t="n">
        <v>31.049</v>
      </c>
      <c r="F977" t="n">
        <v>14214.025</v>
      </c>
      <c r="G977" t="n">
        <v>243</v>
      </c>
      <c r="H977" t="inlineStr">
        <is>
          <t>bb</t>
        </is>
      </c>
      <c r="K977" t="inlineStr">
        <is>
          <t>20250617-15</t>
        </is>
      </c>
    </row>
    <row r="978">
      <c r="A978" t="n">
        <v>5</v>
      </c>
      <c r="B978" t="inlineStr">
        <is>
          <t>EPA1633 &amp; diPAPs Calibration 1 ppb</t>
        </is>
      </c>
      <c r="D978" t="n">
        <v>11.39</v>
      </c>
      <c r="E978" t="n">
        <v>297.5</v>
      </c>
      <c r="F978" t="n">
        <v>21931.449</v>
      </c>
      <c r="G978" t="n">
        <v>212.413</v>
      </c>
      <c r="H978" t="inlineStr">
        <is>
          <t>bb</t>
        </is>
      </c>
      <c r="K978" t="inlineStr">
        <is>
          <t>20250617-16</t>
        </is>
      </c>
    </row>
    <row r="979">
      <c r="A979" t="n">
        <v>6</v>
      </c>
      <c r="B979" t="inlineStr">
        <is>
          <t>EPA1633 &amp; diPAPs Calibration 5 ppb</t>
        </is>
      </c>
      <c r="D979" t="n">
        <v>11.39</v>
      </c>
      <c r="E979" t="n">
        <v>307.307</v>
      </c>
      <c r="F979" t="n">
        <v>17537.508</v>
      </c>
      <c r="G979" t="n">
        <v>2217</v>
      </c>
      <c r="H979" t="inlineStr">
        <is>
          <t>bb</t>
        </is>
      </c>
      <c r="K979" t="inlineStr">
        <is>
          <t>20250617-17</t>
        </is>
      </c>
    </row>
    <row r="980">
      <c r="A980" t="n">
        <v>7</v>
      </c>
      <c r="B980" t="inlineStr">
        <is>
          <t>EPA1633 &amp; diPAPs Calibration 10 ppb</t>
        </is>
      </c>
      <c r="D980" t="n">
        <v>11.39</v>
      </c>
      <c r="E980" t="n">
        <v>693.977</v>
      </c>
      <c r="F980" t="n">
        <v>29293.133</v>
      </c>
      <c r="G980" t="n">
        <v>781.752</v>
      </c>
      <c r="H980" t="inlineStr">
        <is>
          <t>bb</t>
        </is>
      </c>
      <c r="K980" t="inlineStr">
        <is>
          <t>20250617-18</t>
        </is>
      </c>
    </row>
    <row r="981">
      <c r="A981" t="n">
        <v>8</v>
      </c>
      <c r="B981" t="inlineStr">
        <is>
          <t>EPA1633 &amp; diPAPs Calibration 20 ppb</t>
        </is>
      </c>
      <c r="D981" t="n">
        <v>11.41</v>
      </c>
      <c r="E981" t="n">
        <v>359.198</v>
      </c>
      <c r="F981" t="n">
        <v>13919.142</v>
      </c>
      <c r="G981" t="n">
        <v>5.589</v>
      </c>
      <c r="H981" t="inlineStr">
        <is>
          <t>bb</t>
        </is>
      </c>
      <c r="K981" t="inlineStr">
        <is>
          <t>20250617-19</t>
        </is>
      </c>
    </row>
    <row r="982">
      <c r="A982" t="n">
        <v>9</v>
      </c>
      <c r="B982" t="inlineStr">
        <is>
          <t>MeOH</t>
        </is>
      </c>
      <c r="K982" t="inlineStr">
        <is>
          <t>20250617-20</t>
        </is>
      </c>
    </row>
    <row r="983">
      <c r="A983" t="n">
        <v>10</v>
      </c>
      <c r="B983" t="inlineStr">
        <is>
          <t>MeOH</t>
        </is>
      </c>
      <c r="K983" t="inlineStr">
        <is>
          <t>20250617-21</t>
        </is>
      </c>
    </row>
    <row r="984">
      <c r="A984" t="n">
        <v>11</v>
      </c>
      <c r="B984" t="inlineStr">
        <is>
          <t>SB1</t>
        </is>
      </c>
      <c r="F984" t="n">
        <v>5289.194</v>
      </c>
      <c r="K984" t="inlineStr">
        <is>
          <t>20250617-22</t>
        </is>
      </c>
    </row>
    <row r="985">
      <c r="A985" t="n">
        <v>12</v>
      </c>
      <c r="B985" t="inlineStr">
        <is>
          <t>SB2</t>
        </is>
      </c>
      <c r="F985" t="n">
        <v>6667.125</v>
      </c>
      <c r="K985" t="inlineStr">
        <is>
          <t>20250617-23</t>
        </is>
      </c>
    </row>
    <row r="986">
      <c r="A986" t="n">
        <v>13</v>
      </c>
      <c r="B986" t="inlineStr">
        <is>
          <t>SB3</t>
        </is>
      </c>
      <c r="F986" t="n">
        <v>5460.875</v>
      </c>
      <c r="K986" t="inlineStr">
        <is>
          <t>20250617-24</t>
        </is>
      </c>
    </row>
    <row r="987">
      <c r="A987" t="n">
        <v>14</v>
      </c>
      <c r="B987" t="inlineStr">
        <is>
          <t>SS1</t>
        </is>
      </c>
      <c r="D987" t="n">
        <v>11.42</v>
      </c>
      <c r="E987" t="n">
        <v>62.464</v>
      </c>
      <c r="F987" t="n">
        <v>6517.947</v>
      </c>
      <c r="G987" t="n">
        <v>474</v>
      </c>
      <c r="H987" t="inlineStr">
        <is>
          <t>bb</t>
        </is>
      </c>
      <c r="K987" t="inlineStr">
        <is>
          <t>20250617-25</t>
        </is>
      </c>
    </row>
    <row r="988">
      <c r="A988" t="n">
        <v>15</v>
      </c>
      <c r="B988" t="inlineStr">
        <is>
          <t>SS2</t>
        </is>
      </c>
      <c r="D988" t="n">
        <v>11.42</v>
      </c>
      <c r="E988" t="n">
        <v>134.055</v>
      </c>
      <c r="F988" t="n">
        <v>6712.642</v>
      </c>
      <c r="G988" t="n">
        <v>959</v>
      </c>
      <c r="H988" t="inlineStr">
        <is>
          <t>bb</t>
        </is>
      </c>
      <c r="K988" t="inlineStr">
        <is>
          <t>20250617-26</t>
        </is>
      </c>
    </row>
    <row r="989">
      <c r="A989" t="n">
        <v>16</v>
      </c>
      <c r="B989" t="inlineStr">
        <is>
          <t>SS3</t>
        </is>
      </c>
      <c r="D989" t="n">
        <v>11.41</v>
      </c>
      <c r="E989" t="n">
        <v>15.901</v>
      </c>
      <c r="F989" t="n">
        <v>6363.637</v>
      </c>
      <c r="G989" t="n">
        <v>127</v>
      </c>
      <c r="H989" t="inlineStr">
        <is>
          <t>bb</t>
        </is>
      </c>
      <c r="K989" t="inlineStr">
        <is>
          <t>20250617-27</t>
        </is>
      </c>
    </row>
    <row r="990">
      <c r="A990" t="n">
        <v>17</v>
      </c>
      <c r="B990" t="inlineStr">
        <is>
          <t>MeOH</t>
        </is>
      </c>
      <c r="K990" t="inlineStr">
        <is>
          <t>20250617-28</t>
        </is>
      </c>
    </row>
    <row r="991">
      <c r="A991" t="n">
        <v>18</v>
      </c>
      <c r="B991" t="inlineStr">
        <is>
          <t>K4-5A</t>
        </is>
      </c>
      <c r="F991" t="n">
        <v>3930.075</v>
      </c>
      <c r="K991" t="inlineStr">
        <is>
          <t>20250617-29</t>
        </is>
      </c>
    </row>
    <row r="992">
      <c r="A992" t="n">
        <v>19</v>
      </c>
      <c r="B992" t="inlineStr">
        <is>
          <t>K4-5B</t>
        </is>
      </c>
      <c r="F992" t="n">
        <v>6277.964</v>
      </c>
      <c r="K992" t="inlineStr">
        <is>
          <t>20250617-30</t>
        </is>
      </c>
    </row>
    <row r="993">
      <c r="A993" t="n">
        <v>20</v>
      </c>
      <c r="B993" t="inlineStr">
        <is>
          <t>K4-5C</t>
        </is>
      </c>
      <c r="F993" t="n">
        <v>2207.119</v>
      </c>
      <c r="K993" t="inlineStr">
        <is>
          <t>20250617-31</t>
        </is>
      </c>
    </row>
    <row r="994">
      <c r="A994" t="n">
        <v>21</v>
      </c>
      <c r="B994" t="inlineStr">
        <is>
          <t>MeOH</t>
        </is>
      </c>
      <c r="K994" t="inlineStr">
        <is>
          <t>20250617-32</t>
        </is>
      </c>
    </row>
    <row r="995">
      <c r="A995" t="n">
        <v>22</v>
      </c>
      <c r="B995" t="inlineStr">
        <is>
          <t>K3-1A</t>
        </is>
      </c>
      <c r="F995" t="n">
        <v>4603.346</v>
      </c>
      <c r="K995" t="inlineStr">
        <is>
          <t>20250617-33</t>
        </is>
      </c>
    </row>
    <row r="996">
      <c r="A996" t="n">
        <v>23</v>
      </c>
      <c r="B996" t="inlineStr">
        <is>
          <t>K3-1B</t>
        </is>
      </c>
      <c r="D996" t="n">
        <v>11.81</v>
      </c>
      <c r="E996" t="n">
        <v>0.291</v>
      </c>
      <c r="F996" t="n">
        <v>4832.73</v>
      </c>
      <c r="G996" t="n">
        <v>2</v>
      </c>
      <c r="H996" t="inlineStr">
        <is>
          <t>bb</t>
        </is>
      </c>
      <c r="K996" t="inlineStr">
        <is>
          <t>20250617-34</t>
        </is>
      </c>
    </row>
    <row r="997">
      <c r="A997" t="n">
        <v>24</v>
      </c>
      <c r="B997" t="inlineStr">
        <is>
          <t>K3-1C</t>
        </is>
      </c>
      <c r="F997" t="n">
        <v>5250.105</v>
      </c>
      <c r="K997" t="inlineStr">
        <is>
          <t>20250617-35</t>
        </is>
      </c>
    </row>
    <row r="998">
      <c r="A998" t="n">
        <v>25</v>
      </c>
      <c r="B998" t="inlineStr">
        <is>
          <t>K3-2A</t>
        </is>
      </c>
      <c r="F998" t="n">
        <v>4574.33</v>
      </c>
      <c r="K998" t="inlineStr">
        <is>
          <t>20250617-36</t>
        </is>
      </c>
    </row>
    <row r="999">
      <c r="A999" t="n">
        <v>26</v>
      </c>
      <c r="B999" t="inlineStr">
        <is>
          <t>K3-2B</t>
        </is>
      </c>
      <c r="F999" t="n">
        <v>5271.769</v>
      </c>
      <c r="K999" t="inlineStr">
        <is>
          <t>20250617-37</t>
        </is>
      </c>
    </row>
    <row r="1000">
      <c r="A1000" t="n">
        <v>27</v>
      </c>
      <c r="B1000" t="inlineStr">
        <is>
          <t>K3-2C</t>
        </is>
      </c>
      <c r="F1000" t="n">
        <v>4675.447</v>
      </c>
      <c r="K1000" t="inlineStr">
        <is>
          <t>20250617-38</t>
        </is>
      </c>
    </row>
    <row r="1001">
      <c r="A1001" t="n">
        <v>28</v>
      </c>
      <c r="B1001" t="inlineStr">
        <is>
          <t>MeOH</t>
        </is>
      </c>
      <c r="K1001" t="inlineStr">
        <is>
          <t>20250617-39</t>
        </is>
      </c>
    </row>
    <row r="1002">
      <c r="A1002" t="n">
        <v>29</v>
      </c>
      <c r="B1002" t="inlineStr">
        <is>
          <t>K3-3A</t>
        </is>
      </c>
      <c r="F1002" t="n">
        <v>3868.886</v>
      </c>
      <c r="K1002" t="inlineStr">
        <is>
          <t>20250617-40</t>
        </is>
      </c>
    </row>
    <row r="1003">
      <c r="A1003" t="n">
        <v>30</v>
      </c>
      <c r="B1003" t="inlineStr">
        <is>
          <t>K3-3B</t>
        </is>
      </c>
      <c r="F1003" t="n">
        <v>5558.256</v>
      </c>
      <c r="K1003" t="inlineStr">
        <is>
          <t>20250617-41</t>
        </is>
      </c>
    </row>
    <row r="1004">
      <c r="A1004" t="n">
        <v>31</v>
      </c>
      <c r="B1004" t="inlineStr">
        <is>
          <t>K3-3C</t>
        </is>
      </c>
      <c r="F1004" t="n">
        <v>5019.609</v>
      </c>
      <c r="K1004" t="inlineStr">
        <is>
          <t>20250617-42</t>
        </is>
      </c>
    </row>
    <row r="1005">
      <c r="A1005" t="n">
        <v>32</v>
      </c>
      <c r="B1005" t="inlineStr">
        <is>
          <t>K3-4A</t>
        </is>
      </c>
      <c r="F1005" t="n">
        <v>4571.521</v>
      </c>
      <c r="K1005" t="inlineStr">
        <is>
          <t>20250617-43</t>
        </is>
      </c>
    </row>
    <row r="1006">
      <c r="A1006" t="n">
        <v>33</v>
      </c>
      <c r="B1006" t="inlineStr">
        <is>
          <t>K3-4B</t>
        </is>
      </c>
      <c r="F1006" t="n">
        <v>5043.437</v>
      </c>
      <c r="K1006" t="inlineStr">
        <is>
          <t>20250617-44</t>
        </is>
      </c>
    </row>
    <row r="1007">
      <c r="A1007" t="n">
        <v>34</v>
      </c>
      <c r="B1007" t="inlineStr">
        <is>
          <t>K3-4C</t>
        </is>
      </c>
      <c r="F1007" t="n">
        <v>5033.665</v>
      </c>
      <c r="K1007" t="inlineStr">
        <is>
          <t>20250617-45</t>
        </is>
      </c>
    </row>
    <row r="1008">
      <c r="A1008" t="n">
        <v>35</v>
      </c>
      <c r="B1008" t="inlineStr">
        <is>
          <t>MeOH</t>
        </is>
      </c>
      <c r="K1008" t="inlineStr">
        <is>
          <t>20250617-46</t>
        </is>
      </c>
    </row>
    <row r="1009">
      <c r="A1009" t="n">
        <v>36</v>
      </c>
      <c r="B1009" t="inlineStr">
        <is>
          <t>K3-6A</t>
        </is>
      </c>
      <c r="F1009" t="n">
        <v>3966.205</v>
      </c>
      <c r="K1009" t="inlineStr">
        <is>
          <t>20250617-47</t>
        </is>
      </c>
    </row>
    <row r="1010">
      <c r="A1010" t="n">
        <v>37</v>
      </c>
      <c r="B1010" t="inlineStr">
        <is>
          <t>K3-6B</t>
        </is>
      </c>
      <c r="F1010" t="n">
        <v>3977.533</v>
      </c>
      <c r="K1010" t="inlineStr">
        <is>
          <t>20250617-48</t>
        </is>
      </c>
    </row>
    <row r="1011">
      <c r="A1011" t="n">
        <v>38</v>
      </c>
      <c r="B1011" t="inlineStr">
        <is>
          <t>K3-6C</t>
        </is>
      </c>
      <c r="F1011" t="n">
        <v>3666.082</v>
      </c>
      <c r="K1011" t="inlineStr">
        <is>
          <t>20250617-49</t>
        </is>
      </c>
    </row>
    <row r="1013">
      <c r="A1013" t="inlineStr">
        <is>
          <t>Compound 25:  12:2 monoPAP 1</t>
        </is>
      </c>
    </row>
    <row r="1014">
      <c r="I1014" t="inlineStr">
        <is>
          <t>LINEST</t>
        </is>
      </c>
      <c r="Q1014" t="inlineStr">
        <is>
          <t>Biosolids Masses</t>
        </is>
      </c>
      <c r="R1014" t="inlineStr">
        <is>
          <t>(g)</t>
        </is>
      </c>
    </row>
    <row r="1015">
      <c r="B1015" t="inlineStr">
        <is>
          <t>Sample Text</t>
        </is>
      </c>
      <c r="C1015" t="inlineStr">
        <is>
          <t>Std. Conc</t>
        </is>
      </c>
      <c r="D1015" t="inlineStr">
        <is>
          <t>RT</t>
        </is>
      </c>
      <c r="E1015" t="inlineStr">
        <is>
          <t>Area</t>
        </is>
      </c>
      <c r="F1015" t="inlineStr">
        <is>
          <t>IS Area</t>
        </is>
      </c>
      <c r="G1015" t="inlineStr">
        <is>
          <t>S/N</t>
        </is>
      </c>
      <c r="H1015" t="inlineStr">
        <is>
          <t>ratio</t>
        </is>
      </c>
      <c r="I1015">
        <f t="array" ref="I1015:J1019">LINEST(H1016:H1020,C1016:C1020,1,1)</f>
        <v/>
      </c>
      <c r="J1015" t="n">
        <v>0.01704256533501647</v>
      </c>
      <c r="L1015" s="20" t="inlineStr">
        <is>
          <t>By S/N Ratio</t>
        </is>
      </c>
      <c r="Q1015" t="inlineStr">
        <is>
          <t>SS1</t>
        </is>
      </c>
      <c r="R1015" t="n">
        <v>1.0846</v>
      </c>
    </row>
    <row r="1016">
      <c r="A1016" t="n">
        <v>1</v>
      </c>
      <c r="B1016" t="inlineStr">
        <is>
          <t>EPA1633 &amp; diPAPs Calibration 0 ppb</t>
        </is>
      </c>
      <c r="C1016" s="44" t="n">
        <v>0</v>
      </c>
      <c r="D1016" t="n">
        <v>10.13</v>
      </c>
      <c r="E1016" t="n">
        <v>18.207</v>
      </c>
      <c r="F1016" t="n">
        <v>1227.559</v>
      </c>
      <c r="G1016" t="n">
        <v>1.816</v>
      </c>
      <c r="H1016">
        <f>E1016/F1016</f>
        <v/>
      </c>
      <c r="I1016" t="n">
        <v>0.001192395720660363</v>
      </c>
      <c r="J1016" t="n">
        <v>0.007377587521603758</v>
      </c>
      <c r="K1016" t="inlineStr">
        <is>
          <t>LOD</t>
        </is>
      </c>
      <c r="L1016" s="21">
        <f>IF(G1019&gt;3,C1019,IF(G1020&gt;3,#REF!,IF(G1021&gt;3,C1021,IF(G1022&gt;3,C1022,C1023))))</f>
        <v/>
      </c>
      <c r="Q1016" t="inlineStr">
        <is>
          <t>SS2</t>
        </is>
      </c>
      <c r="R1016" t="n">
        <v>1.0726</v>
      </c>
    </row>
    <row r="1017">
      <c r="A1017" t="n">
        <v>2</v>
      </c>
      <c r="B1017" t="inlineStr">
        <is>
          <t>EPA1633 &amp; diPAPs Calibration 0.02 ppb</t>
        </is>
      </c>
      <c r="C1017" s="44" t="n">
        <v>1.500615751808861</v>
      </c>
      <c r="D1017" t="n">
        <v>10.13</v>
      </c>
      <c r="E1017" t="n">
        <v>115.551</v>
      </c>
      <c r="F1017" t="n">
        <v>1045.628</v>
      </c>
      <c r="G1017" t="n">
        <v>6.23</v>
      </c>
      <c r="H1017">
        <f>E1017/F1017</f>
        <v/>
      </c>
      <c r="I1017" t="n">
        <v>0.9987197195563496</v>
      </c>
      <c r="J1017" t="n">
        <v>0.01131670266245465</v>
      </c>
      <c r="K1017" t="inlineStr">
        <is>
          <t>LOQ</t>
        </is>
      </c>
      <c r="L1017" s="22">
        <f>IF(G1019&gt;10,C1019,IF(G1020&gt;10,#REF!,IF(G1021&gt;10,C1021,IF(G1022&gt;10,C1022,C1023))))</f>
        <v/>
      </c>
      <c r="Q1017" t="inlineStr">
        <is>
          <t>SS3</t>
        </is>
      </c>
      <c r="R1017" t="n">
        <v>1.1534</v>
      </c>
    </row>
    <row r="1018">
      <c r="A1018" t="n">
        <v>3</v>
      </c>
      <c r="B1018" t="inlineStr">
        <is>
          <t>EPA1633 &amp; diPAPs Calibration 0.1 ppb</t>
        </is>
      </c>
      <c r="C1018" s="44" t="n">
        <v>3.001231503617722</v>
      </c>
      <c r="D1018" t="n">
        <v>10.14</v>
      </c>
      <c r="E1018" t="n">
        <v>226.642</v>
      </c>
      <c r="F1018" t="n">
        <v>1280.389</v>
      </c>
      <c r="G1018" t="n">
        <v>13.507</v>
      </c>
      <c r="H1018">
        <f>E1018/F1018</f>
        <v/>
      </c>
      <c r="I1018" t="n">
        <v>2340.23660482234</v>
      </c>
      <c r="J1018" t="n">
        <v>3</v>
      </c>
      <c r="Q1018" t="inlineStr">
        <is>
          <t>K4-5A</t>
        </is>
      </c>
      <c r="R1018" t="n">
        <v>1.1054</v>
      </c>
    </row>
    <row r="1019">
      <c r="A1019" t="n">
        <v>4</v>
      </c>
      <c r="B1019" t="inlineStr">
        <is>
          <t>EPA1633 &amp; diPAPs Calibration 0.4 ppb</t>
        </is>
      </c>
      <c r="C1019" s="44" t="n">
        <v>6.002463007235443</v>
      </c>
      <c r="D1019" t="n">
        <v>10.14</v>
      </c>
      <c r="E1019" t="n">
        <v>425.51</v>
      </c>
      <c r="F1019" t="n">
        <v>1133.632</v>
      </c>
      <c r="G1019" t="n">
        <v>10.795</v>
      </c>
      <c r="H1019">
        <f>E1019/F1019</f>
        <v/>
      </c>
      <c r="I1019" t="n">
        <v>0.2997088578613565</v>
      </c>
      <c r="J1019" t="n">
        <v>0.0003842032774512245</v>
      </c>
      <c r="Q1019" t="inlineStr">
        <is>
          <t>K4-5B</t>
        </is>
      </c>
      <c r="R1019" s="10" t="n">
        <v>1.0463</v>
      </c>
    </row>
    <row r="1020">
      <c r="A1020" t="n">
        <v>5</v>
      </c>
      <c r="B1020" t="inlineStr">
        <is>
          <t>EPA1633 &amp; diPAPs Calibration 1 ppb</t>
        </is>
      </c>
      <c r="C1020" s="44" t="n">
        <v>12.00492601447089</v>
      </c>
      <c r="D1020" t="n">
        <v>10.14</v>
      </c>
      <c r="E1020" t="n">
        <v>1009.659</v>
      </c>
      <c r="F1020" t="n">
        <v>1430.277</v>
      </c>
      <c r="G1020" t="n">
        <v>41.079</v>
      </c>
      <c r="H1020">
        <f>E1020/F1020</f>
        <v/>
      </c>
      <c r="Q1020" t="inlineStr">
        <is>
          <t>K4-5C</t>
        </is>
      </c>
      <c r="R1020" t="n">
        <v>1.1155</v>
      </c>
    </row>
    <row r="1021">
      <c r="A1021" t="n">
        <v>6</v>
      </c>
      <c r="B1021" t="inlineStr">
        <is>
          <t>EPA1633 &amp; diPAPs Calibration 5 ppb</t>
        </is>
      </c>
      <c r="C1021" s="44" t="n">
        <v>18.00738902170633</v>
      </c>
      <c r="D1021" t="n">
        <v>10.15</v>
      </c>
      <c r="E1021" t="n">
        <v>1240.583</v>
      </c>
      <c r="F1021" t="n">
        <v>965.196</v>
      </c>
      <c r="G1021" t="n">
        <v>50.273</v>
      </c>
      <c r="H1021">
        <f>E1021/F1021</f>
        <v/>
      </c>
      <c r="Q1021" t="inlineStr">
        <is>
          <t>K3-1A</t>
        </is>
      </c>
      <c r="R1021" t="n">
        <v>1.0874</v>
      </c>
    </row>
    <row r="1022">
      <c r="A1022" t="n">
        <v>7</v>
      </c>
      <c r="B1022" t="inlineStr">
        <is>
          <t>EPA1633 &amp; diPAPs Calibration 10 ppb</t>
        </is>
      </c>
      <c r="C1022" s="44" t="n">
        <v>24.00985202894177</v>
      </c>
      <c r="D1022" t="n">
        <v>10.16</v>
      </c>
      <c r="E1022" t="n">
        <v>320.238</v>
      </c>
      <c r="F1022" t="n">
        <v>990.528</v>
      </c>
      <c r="G1022" t="n">
        <v>20.204</v>
      </c>
      <c r="H1022">
        <f>E1022/F1022</f>
        <v/>
      </c>
      <c r="I1022" s="23" t="inlineStr">
        <is>
          <t>Background</t>
        </is>
      </c>
      <c r="J1022" s="23" t="inlineStr">
        <is>
          <t>Spike</t>
        </is>
      </c>
      <c r="K1022" s="9" t="inlineStr">
        <is>
          <t>Old Spike</t>
        </is>
      </c>
      <c r="O1022" s="24" t="inlineStr">
        <is>
          <t>±</t>
        </is>
      </c>
      <c r="Q1022" t="inlineStr">
        <is>
          <t>K3-1B</t>
        </is>
      </c>
      <c r="R1022" t="n">
        <v>1.0898</v>
      </c>
    </row>
    <row r="1023">
      <c r="A1023" t="n">
        <v>8</v>
      </c>
      <c r="B1023" t="inlineStr">
        <is>
          <t>EPA1633 &amp; diPAPs Calibration 20 ppb</t>
        </is>
      </c>
      <c r="C1023" s="44" t="n">
        <v>30.01231503617722</v>
      </c>
      <c r="D1023" t="n">
        <v>10.14</v>
      </c>
      <c r="E1023" t="n">
        <v>924.4880000000001</v>
      </c>
      <c r="F1023" t="n">
        <v>107.462</v>
      </c>
      <c r="G1023" t="n">
        <v>13.19</v>
      </c>
      <c r="H1023">
        <f>E1023/F1023</f>
        <v/>
      </c>
      <c r="I1023">
        <f>AVERAGE(I1026:I1028)</f>
        <v/>
      </c>
      <c r="J1023" t="n">
        <v>26.4</v>
      </c>
      <c r="Q1023" t="inlineStr">
        <is>
          <t>K3-1C</t>
        </is>
      </c>
      <c r="R1023" t="n">
        <v>1.0536</v>
      </c>
    </row>
    <row r="1024">
      <c r="A1024" t="n">
        <v>9</v>
      </c>
      <c r="B1024" t="inlineStr">
        <is>
          <t>MeOH</t>
        </is>
      </c>
      <c r="I1024" s="23" t="inlineStr">
        <is>
          <t>Conc.In Vial (ppb)</t>
        </is>
      </c>
      <c r="J1024" s="9" t="inlineStr">
        <is>
          <t>Corr. Conc.(ppb)</t>
        </is>
      </c>
      <c r="K1024" s="9" t="inlineStr">
        <is>
          <t>Conc. In soil (ng/g)</t>
        </is>
      </c>
      <c r="Q1024" t="inlineStr">
        <is>
          <t>K3-2A</t>
        </is>
      </c>
      <c r="R1024" s="10" t="n">
        <v>1.1218</v>
      </c>
    </row>
    <row r="1025">
      <c r="A1025" t="n">
        <v>10</v>
      </c>
      <c r="B1025" t="inlineStr">
        <is>
          <t>MeOH</t>
        </is>
      </c>
      <c r="L1025" s="23" t="inlineStr">
        <is>
          <t>Average</t>
        </is>
      </c>
      <c r="M1025" s="23" t="inlineStr">
        <is>
          <t>Stdev</t>
        </is>
      </c>
      <c r="N1025" s="9" t="inlineStr">
        <is>
          <t>Combined</t>
        </is>
      </c>
      <c r="O1025" s="9" t="n"/>
      <c r="P1025" s="9" t="n"/>
      <c r="Q1025" t="inlineStr">
        <is>
          <t>K3-2B</t>
        </is>
      </c>
      <c r="R1025" t="n">
        <v>1.198</v>
      </c>
    </row>
    <row r="1026">
      <c r="A1026" t="n">
        <v>11</v>
      </c>
      <c r="B1026" t="inlineStr">
        <is>
          <t>SB1</t>
        </is>
      </c>
      <c r="D1026" t="n">
        <v>10.18</v>
      </c>
      <c r="E1026" t="n">
        <v>54.649</v>
      </c>
      <c r="F1026" t="n">
        <v>642.432</v>
      </c>
      <c r="G1026" t="n">
        <v>2.827</v>
      </c>
      <c r="H1026">
        <f>E1026/F1026</f>
        <v/>
      </c>
      <c r="I1026">
        <f>((H1026-$J$1015)/$I$1015)</f>
        <v/>
      </c>
      <c r="J1026">
        <f>(I1026-IF(I1023&gt;0,I1023,0))</f>
        <v/>
      </c>
      <c r="K1026">
        <f>J1026*1.1</f>
        <v/>
      </c>
      <c r="L1026">
        <f>AVERAGE(K1026:K1028)</f>
        <v/>
      </c>
      <c r="M1026">
        <f>STDEV(K1027:K1028)</f>
        <v/>
      </c>
      <c r="N1026">
        <f>_xlfn.CONCAT(ROUND(L1026,1)," ± ",ROUND(M1026,1))</f>
        <v/>
      </c>
      <c r="Q1026" t="inlineStr">
        <is>
          <t>K3-2C</t>
        </is>
      </c>
      <c r="R1026" t="n">
        <v>1.1538</v>
      </c>
    </row>
    <row r="1027">
      <c r="A1027" t="n">
        <v>12</v>
      </c>
      <c r="B1027" t="inlineStr">
        <is>
          <t>SB2</t>
        </is>
      </c>
      <c r="D1027" t="n">
        <v>10.14</v>
      </c>
      <c r="E1027" t="n">
        <v>4.48</v>
      </c>
      <c r="F1027" t="n">
        <v>524.691</v>
      </c>
      <c r="G1027" t="n">
        <v>0.261</v>
      </c>
      <c r="H1027">
        <f>E1027/F1027</f>
        <v/>
      </c>
      <c r="I1027">
        <f>((H1027-$J$1015)/$I$1015)</f>
        <v/>
      </c>
      <c r="J1027">
        <f>(I1027-IF(I1023&gt;0,I1023,0))</f>
        <v/>
      </c>
      <c r="K1027">
        <f>J1027*1.1</f>
        <v/>
      </c>
      <c r="Q1027" t="inlineStr">
        <is>
          <t>K3-3A</t>
        </is>
      </c>
      <c r="R1027" t="n">
        <v>1.1183</v>
      </c>
    </row>
    <row r="1028">
      <c r="A1028" t="n">
        <v>13</v>
      </c>
      <c r="B1028" t="inlineStr">
        <is>
          <t>SB3</t>
        </is>
      </c>
      <c r="D1028" t="n">
        <v>10.16</v>
      </c>
      <c r="E1028" t="n">
        <v>35.576</v>
      </c>
      <c r="F1028" t="n">
        <v>583.399</v>
      </c>
      <c r="G1028" t="n">
        <v>1.267</v>
      </c>
      <c r="H1028">
        <f>E1028/F1028</f>
        <v/>
      </c>
      <c r="I1028">
        <f>((H1028-$J$1015)/$I$1015)</f>
        <v/>
      </c>
      <c r="J1028">
        <f>(I1028-IF(I1023&gt;0,I1023,0))</f>
        <v/>
      </c>
      <c r="K1028" s="30">
        <f>J1028*1.1</f>
        <v/>
      </c>
      <c r="L1028" s="25" t="inlineStr">
        <is>
          <t>Average</t>
        </is>
      </c>
      <c r="M1028" s="25" t="inlineStr">
        <is>
          <t>Stdev</t>
        </is>
      </c>
      <c r="N1028" s="26" t="inlineStr">
        <is>
          <t>%Recovery</t>
        </is>
      </c>
      <c r="O1028" s="26" t="inlineStr">
        <is>
          <t>Uncertainty</t>
        </is>
      </c>
      <c r="P1028" s="26" t="inlineStr">
        <is>
          <t>Combined</t>
        </is>
      </c>
      <c r="Q1028" t="inlineStr">
        <is>
          <t>K3-3B</t>
        </is>
      </c>
      <c r="R1028" t="n">
        <v>1.1448</v>
      </c>
    </row>
    <row r="1029">
      <c r="A1029" t="n">
        <v>14</v>
      </c>
      <c r="B1029" t="inlineStr">
        <is>
          <t>SS1</t>
        </is>
      </c>
      <c r="D1029" t="n">
        <v>10.18</v>
      </c>
      <c r="E1029" t="n">
        <v>240.164</v>
      </c>
      <c r="F1029" t="n">
        <v>504.42</v>
      </c>
      <c r="G1029" t="n">
        <v>6.977</v>
      </c>
      <c r="H1029">
        <f>E1029/F1029</f>
        <v/>
      </c>
      <c r="I1029">
        <f>((H1029-$J$1015)/$I$1015)</f>
        <v/>
      </c>
      <c r="J1029">
        <f>(I1029-IF($I$1023&gt;0,$I$1023,0))</f>
        <v/>
      </c>
      <c r="K1029">
        <f>J1029/R1015*1.1</f>
        <v/>
      </c>
      <c r="L1029" s="27">
        <f>AVERAGE(K1029:K1031)</f>
        <v/>
      </c>
      <c r="M1029" s="27">
        <f>STDEV(K1029:K1031)</f>
        <v/>
      </c>
      <c r="N1029" s="28">
        <f>L1029/J1023*100</f>
        <v/>
      </c>
      <c r="O1029" s="29">
        <f>M1029/J1023*100</f>
        <v/>
      </c>
      <c r="P1029" s="29">
        <f>_xlfn.CONCAT(ROUND(N1029,1)," ± ",ROUND(O1029,1))</f>
        <v/>
      </c>
      <c r="Q1029" t="inlineStr">
        <is>
          <t>K3-3C</t>
        </is>
      </c>
      <c r="R1029" t="n">
        <v>1.0493</v>
      </c>
    </row>
    <row r="1030">
      <c r="A1030" t="n">
        <v>15</v>
      </c>
      <c r="B1030" t="inlineStr">
        <is>
          <t>SS2</t>
        </is>
      </c>
      <c r="D1030" t="n">
        <v>10.18</v>
      </c>
      <c r="E1030" t="n">
        <v>277.242</v>
      </c>
      <c r="F1030" t="n">
        <v>614.583</v>
      </c>
      <c r="G1030" t="n">
        <v>20.492</v>
      </c>
      <c r="H1030">
        <f>E1030/F1030</f>
        <v/>
      </c>
      <c r="I1030">
        <f>((H1030-$J$1015)/$I$1015)</f>
        <v/>
      </c>
      <c r="J1030">
        <f>(I1030-IF($I$1023&gt;0,$I$1023,0))</f>
        <v/>
      </c>
      <c r="K1030">
        <f>J1030/R1016*1.1</f>
        <v/>
      </c>
      <c r="Q1030" t="inlineStr">
        <is>
          <t>K3-4A</t>
        </is>
      </c>
      <c r="R1030" t="n">
        <v>1.0704</v>
      </c>
    </row>
    <row r="1031">
      <c r="A1031" t="n">
        <v>16</v>
      </c>
      <c r="B1031" t="inlineStr">
        <is>
          <t>SS3</t>
        </is>
      </c>
      <c r="D1031" t="n">
        <v>10.18</v>
      </c>
      <c r="E1031" t="n">
        <v>146.941</v>
      </c>
      <c r="F1031" t="n">
        <v>590.708</v>
      </c>
      <c r="G1031" t="n">
        <v>7.055</v>
      </c>
      <c r="H1031">
        <f>E1031/F1031</f>
        <v/>
      </c>
      <c r="I1031">
        <f>((H1031-$J$1015)/$I$1015)</f>
        <v/>
      </c>
      <c r="J1031">
        <f>(I1031-IF($I$1023&gt;0,$I$1023,0))</f>
        <v/>
      </c>
      <c r="K1031" s="30">
        <f>J1031/R1017*1.1</f>
        <v/>
      </c>
      <c r="Q1031" t="inlineStr">
        <is>
          <t>K3-4B</t>
        </is>
      </c>
      <c r="R1031" t="n">
        <v>1.1589</v>
      </c>
    </row>
    <row r="1032">
      <c r="A1032" t="n">
        <v>17</v>
      </c>
      <c r="B1032" t="inlineStr">
        <is>
          <t>MeOH</t>
        </is>
      </c>
      <c r="L1032" s="23" t="inlineStr">
        <is>
          <t>Average</t>
        </is>
      </c>
      <c r="M1032" s="23" t="inlineStr">
        <is>
          <t>Stdev</t>
        </is>
      </c>
      <c r="N1032" s="9" t="inlineStr">
        <is>
          <t>Combined</t>
        </is>
      </c>
      <c r="Q1032" t="inlineStr">
        <is>
          <t>K3-4C</t>
        </is>
      </c>
      <c r="R1032" t="n">
        <v>1.0206</v>
      </c>
    </row>
    <row r="1033">
      <c r="A1033" t="n">
        <v>18</v>
      </c>
      <c r="B1033" t="inlineStr">
        <is>
          <t>K4-5A</t>
        </is>
      </c>
      <c r="D1033" t="n">
        <v>10.03</v>
      </c>
      <c r="E1033" t="n">
        <v>14.219</v>
      </c>
      <c r="F1033" t="n">
        <v>465.479</v>
      </c>
      <c r="G1033" t="n">
        <v>0.364</v>
      </c>
      <c r="H1033">
        <f>E1033/F1033</f>
        <v/>
      </c>
      <c r="I1033">
        <f>((H1033-$J$1015)/$I$1015)</f>
        <v/>
      </c>
      <c r="J1033">
        <f>(I1033-IF($I$1023&gt;0,$I$1023,0))</f>
        <v/>
      </c>
      <c r="K1033">
        <f>J1033/R1017*1.1</f>
        <v/>
      </c>
      <c r="L1033">
        <f>AVERAGE(K1033:K1035)</f>
        <v/>
      </c>
      <c r="M1033">
        <f>STDEV(K1033:K1035)</f>
        <v/>
      </c>
      <c r="N1033">
        <f>_xlfn.CONCAT(ROUND(L1033,1)," ± ",ROUND(M1033,1))</f>
        <v/>
      </c>
      <c r="Q1033" t="inlineStr">
        <is>
          <t>K3-6A</t>
        </is>
      </c>
      <c r="R1033" t="n">
        <v>1.1289</v>
      </c>
    </row>
    <row r="1034">
      <c r="A1034" t="n">
        <v>19</v>
      </c>
      <c r="B1034" t="inlineStr">
        <is>
          <t>K4-5B</t>
        </is>
      </c>
      <c r="D1034" t="n">
        <v>10.34</v>
      </c>
      <c r="E1034" t="n">
        <v>6.511</v>
      </c>
      <c r="F1034" t="n">
        <v>473.146</v>
      </c>
      <c r="G1034" t="n">
        <v>0.722</v>
      </c>
      <c r="H1034">
        <f>E1034/F1034</f>
        <v/>
      </c>
      <c r="I1034">
        <f>((H1034-$J$1015)/$I$1015)</f>
        <v/>
      </c>
      <c r="J1034">
        <f>(I1034-IF($I$1023&gt;0,$I$1023,0))</f>
        <v/>
      </c>
      <c r="K1034">
        <f>J1034/R1018*1.1</f>
        <v/>
      </c>
      <c r="Q1034" t="inlineStr">
        <is>
          <t>K3-6B</t>
        </is>
      </c>
      <c r="R1034" t="n">
        <v>1.195</v>
      </c>
    </row>
    <row r="1035">
      <c r="A1035" t="n">
        <v>20</v>
      </c>
      <c r="B1035" t="inlineStr">
        <is>
          <t>K4-5C</t>
        </is>
      </c>
      <c r="D1035" t="n">
        <v>10.42</v>
      </c>
      <c r="E1035" t="n">
        <v>4.131</v>
      </c>
      <c r="F1035" t="n">
        <v>535.058</v>
      </c>
      <c r="G1035" t="n">
        <v>0.201</v>
      </c>
      <c r="H1035">
        <f>E1035/F1035</f>
        <v/>
      </c>
      <c r="I1035">
        <f>((H1035-$J$1015)/$I$1015)</f>
        <v/>
      </c>
      <c r="J1035">
        <f>(I1035-IF($I$1023&gt;0,$I$1023,0))</f>
        <v/>
      </c>
      <c r="K1035">
        <f>J1035/R1019*1.1</f>
        <v/>
      </c>
      <c r="L1035" s="23" t="n"/>
      <c r="M1035" s="23" t="n"/>
      <c r="N1035" s="9" t="n"/>
      <c r="Q1035" t="inlineStr">
        <is>
          <t>K3-6C</t>
        </is>
      </c>
      <c r="R1035" t="n">
        <v>1.1716</v>
      </c>
    </row>
    <row r="1036">
      <c r="A1036" t="n">
        <v>21</v>
      </c>
      <c r="B1036" t="inlineStr">
        <is>
          <t>MeOH</t>
        </is>
      </c>
      <c r="L1036" s="23" t="inlineStr">
        <is>
          <t>Average</t>
        </is>
      </c>
      <c r="M1036" s="23" t="inlineStr">
        <is>
          <t>Stdev</t>
        </is>
      </c>
      <c r="N1036" s="9" t="inlineStr">
        <is>
          <t>Combined</t>
        </is>
      </c>
    </row>
    <row r="1037">
      <c r="A1037" t="n">
        <v>22</v>
      </c>
      <c r="B1037" t="inlineStr">
        <is>
          <t>K3-1A</t>
        </is>
      </c>
      <c r="D1037" t="n">
        <v>10.34</v>
      </c>
      <c r="E1037" t="n">
        <v>3.525</v>
      </c>
      <c r="F1037" t="n">
        <v>415.837</v>
      </c>
      <c r="G1037" t="n">
        <v>0.152</v>
      </c>
      <c r="H1037">
        <f>E1037/F1037</f>
        <v/>
      </c>
      <c r="I1037">
        <f>((H1037-$J$1015)/$I$1015)</f>
        <v/>
      </c>
      <c r="J1037">
        <f>(I1037-IF($I$1023&gt;0,$I$1023,0))</f>
        <v/>
      </c>
      <c r="K1037">
        <f>J1037/R1020*1.1</f>
        <v/>
      </c>
      <c r="L1037">
        <f>AVERAGE(K1037:K1039)</f>
        <v/>
      </c>
      <c r="M1037">
        <f>STDEV(K1038:K1039)</f>
        <v/>
      </c>
      <c r="N1037">
        <f>_xlfn.CONCAT(ROUND(L1037,1)," ± ",ROUND(M1037,1))</f>
        <v/>
      </c>
    </row>
    <row r="1038">
      <c r="A1038" t="n">
        <v>23</v>
      </c>
      <c r="B1038" t="inlineStr">
        <is>
          <t>K3-1B</t>
        </is>
      </c>
      <c r="D1038" t="n">
        <v>10.13</v>
      </c>
      <c r="E1038" t="n">
        <v>4.877</v>
      </c>
      <c r="F1038" t="n">
        <v>487.725</v>
      </c>
      <c r="G1038" t="n">
        <v>0.635</v>
      </c>
      <c r="H1038">
        <f>E1038/F1038</f>
        <v/>
      </c>
      <c r="I1038">
        <f>((H1038-$J$1015)/$I$1015)</f>
        <v/>
      </c>
      <c r="J1038">
        <f>(I1038-IF($I$1023&gt;0,$I$1023,0))</f>
        <v/>
      </c>
      <c r="K1038">
        <f>J1038/R1021*1.1</f>
        <v/>
      </c>
    </row>
    <row r="1039">
      <c r="A1039" t="n">
        <v>24</v>
      </c>
      <c r="B1039" t="inlineStr">
        <is>
          <t>K3-1C</t>
        </is>
      </c>
      <c r="D1039" t="n">
        <v>9.99</v>
      </c>
      <c r="E1039" t="n">
        <v>6.399</v>
      </c>
      <c r="F1039" t="n">
        <v>444.802</v>
      </c>
      <c r="G1039" t="n">
        <v>0.414</v>
      </c>
      <c r="H1039">
        <f>E1039/F1039</f>
        <v/>
      </c>
      <c r="I1039">
        <f>((H1039-$J$1015)/$I$1015)</f>
        <v/>
      </c>
      <c r="J1039">
        <f>(I1039-IF($I$1023&gt;0,$I$1023,0))</f>
        <v/>
      </c>
      <c r="K1039">
        <f>J1039/R1022*1.1</f>
        <v/>
      </c>
      <c r="L1039" s="23" t="inlineStr">
        <is>
          <t>Average</t>
        </is>
      </c>
      <c r="M1039" s="23" t="inlineStr">
        <is>
          <t>Stdev</t>
        </is>
      </c>
      <c r="N1039" s="9" t="inlineStr">
        <is>
          <t>Combined</t>
        </is>
      </c>
    </row>
    <row r="1040">
      <c r="A1040" t="n">
        <v>25</v>
      </c>
      <c r="B1040" t="inlineStr">
        <is>
          <t>K3-2A</t>
        </is>
      </c>
      <c r="D1040" t="n">
        <v>10.23</v>
      </c>
      <c r="E1040" t="n">
        <v>6.987</v>
      </c>
      <c r="F1040" t="n">
        <v>380.911</v>
      </c>
      <c r="G1040" t="n">
        <v>0.447</v>
      </c>
      <c r="H1040">
        <f>E1040/F1040</f>
        <v/>
      </c>
      <c r="I1040">
        <f>((H1040-$J$1015)/$I$1015)</f>
        <v/>
      </c>
      <c r="J1040">
        <f>(I1040-IF($I$1023&gt;0,$I$1023,0))</f>
        <v/>
      </c>
      <c r="K1040">
        <f>J1040/R1023*1.1</f>
        <v/>
      </c>
      <c r="L1040">
        <f>AVERAGE(K1040:K1042)</f>
        <v/>
      </c>
      <c r="M1040">
        <f>STDEV(K1040:K1042)</f>
        <v/>
      </c>
      <c r="N1040">
        <f>_xlfn.CONCAT(ROUND(L1040,1)," ± ",ROUND(M1040,1))</f>
        <v/>
      </c>
    </row>
    <row r="1041">
      <c r="A1041" t="n">
        <v>26</v>
      </c>
      <c r="B1041" t="inlineStr">
        <is>
          <t>K3-2B</t>
        </is>
      </c>
      <c r="D1041" t="n">
        <v>10.91</v>
      </c>
      <c r="E1041" t="n">
        <v>27.716</v>
      </c>
      <c r="F1041" t="n">
        <v>557.828</v>
      </c>
      <c r="G1041" t="n">
        <v>0.712</v>
      </c>
      <c r="H1041">
        <f>E1041/F1041</f>
        <v/>
      </c>
      <c r="I1041">
        <f>((H1041-$J$1015)/$I$1015)</f>
        <v/>
      </c>
      <c r="J1041">
        <f>(I1041-IF($I$1023&gt;0,$I$1023,0))</f>
        <v/>
      </c>
      <c r="K1041">
        <f>J1041/R1024*1.1</f>
        <v/>
      </c>
    </row>
    <row r="1042">
      <c r="A1042" t="n">
        <v>27</v>
      </c>
      <c r="B1042" t="inlineStr">
        <is>
          <t>K3-2C</t>
        </is>
      </c>
      <c r="D1042" t="n">
        <v>10.18</v>
      </c>
      <c r="E1042" t="n">
        <v>6.232</v>
      </c>
      <c r="F1042" t="n">
        <v>472.435</v>
      </c>
      <c r="G1042" t="n">
        <v>0.705</v>
      </c>
      <c r="H1042">
        <f>E1042/F1042</f>
        <v/>
      </c>
      <c r="I1042">
        <f>((H1042-$J$1015)/$I$1015)</f>
        <v/>
      </c>
      <c r="J1042">
        <f>(I1042-IF($I$1023&gt;0,$I$1023,0))</f>
        <v/>
      </c>
      <c r="K1042">
        <f>J1042/R1025*1.1</f>
        <v/>
      </c>
      <c r="L1042" s="23" t="n"/>
      <c r="M1042" s="23" t="n"/>
      <c r="N1042" s="9" t="n"/>
    </row>
    <row r="1043">
      <c r="A1043" t="n">
        <v>28</v>
      </c>
      <c r="B1043" t="inlineStr">
        <is>
          <t>MeOH</t>
        </is>
      </c>
      <c r="L1043" s="23" t="inlineStr">
        <is>
          <t>Average</t>
        </is>
      </c>
      <c r="M1043" s="23" t="inlineStr">
        <is>
          <t>Stdev</t>
        </is>
      </c>
      <c r="N1043" s="9" t="inlineStr">
        <is>
          <t>Combined</t>
        </is>
      </c>
    </row>
    <row r="1044">
      <c r="A1044" t="n">
        <v>29</v>
      </c>
      <c r="B1044" t="inlineStr">
        <is>
          <t>K3-3A</t>
        </is>
      </c>
      <c r="D1044" t="n">
        <v>10.95</v>
      </c>
      <c r="E1044" t="n">
        <v>5.033</v>
      </c>
      <c r="F1044" t="n">
        <v>418.769</v>
      </c>
      <c r="G1044" t="n">
        <v>0.329</v>
      </c>
      <c r="H1044">
        <f>E1044/F1044</f>
        <v/>
      </c>
      <c r="I1044">
        <f>((H1044-$J$1015)/$I$1015)</f>
        <v/>
      </c>
      <c r="J1044">
        <f>(I1044-IF($I$1023&gt;0,$I$1023,0))</f>
        <v/>
      </c>
      <c r="K1044">
        <f>J1044/R1026*1.1</f>
        <v/>
      </c>
      <c r="L1044">
        <f>AVERAGE(K1044:K1046)</f>
        <v/>
      </c>
      <c r="M1044">
        <f>STDEV(K1045:K1046)</f>
        <v/>
      </c>
      <c r="N1044">
        <f>_xlfn.CONCAT(ROUND(L1044,1)," ± ",ROUND(M1044,1))</f>
        <v/>
      </c>
    </row>
    <row r="1045">
      <c r="A1045" t="n">
        <v>30</v>
      </c>
      <c r="B1045" t="inlineStr">
        <is>
          <t>K3-3B</t>
        </is>
      </c>
      <c r="D1045" t="n">
        <v>10</v>
      </c>
      <c r="E1045" t="n">
        <v>1.774</v>
      </c>
      <c r="F1045" t="n">
        <v>621.9160000000001</v>
      </c>
      <c r="G1045" t="n">
        <v>0.204</v>
      </c>
      <c r="H1045">
        <f>E1045/F1045</f>
        <v/>
      </c>
      <c r="I1045">
        <f>((H1045-$J$1015)/$I$1015)</f>
        <v/>
      </c>
      <c r="J1045">
        <f>(I1045-IF($I$1023&gt;0,$I$1023,0))</f>
        <v/>
      </c>
      <c r="K1045">
        <f>J1045/R1027*1.1</f>
        <v/>
      </c>
    </row>
    <row r="1046">
      <c r="A1046" t="n">
        <v>31</v>
      </c>
      <c r="B1046" t="inlineStr">
        <is>
          <t>K3-3C</t>
        </is>
      </c>
      <c r="D1046" t="n">
        <v>9.81</v>
      </c>
      <c r="E1046" t="n">
        <v>4.974</v>
      </c>
      <c r="F1046" t="n">
        <v>357.94</v>
      </c>
      <c r="G1046" t="n">
        <v>0.276</v>
      </c>
      <c r="H1046">
        <f>E1046/F1046</f>
        <v/>
      </c>
      <c r="I1046">
        <f>((H1046-$J$1015)/$I$1015)</f>
        <v/>
      </c>
      <c r="J1046">
        <f>(I1046-IF($I$1023&gt;0,$I$1023,0))</f>
        <v/>
      </c>
      <c r="K1046">
        <f>J1046/R1028*1.1</f>
        <v/>
      </c>
      <c r="L1046" s="23" t="inlineStr">
        <is>
          <t>Average</t>
        </is>
      </c>
      <c r="M1046" s="23" t="inlineStr">
        <is>
          <t>Stdev</t>
        </is>
      </c>
      <c r="N1046" s="9" t="inlineStr">
        <is>
          <t>Combined</t>
        </is>
      </c>
    </row>
    <row r="1047">
      <c r="A1047" t="n">
        <v>32</v>
      </c>
      <c r="B1047" t="inlineStr">
        <is>
          <t>K3-4A</t>
        </is>
      </c>
      <c r="D1047" t="n">
        <v>10.25</v>
      </c>
      <c r="E1047" t="n">
        <v>1.673</v>
      </c>
      <c r="F1047" t="n">
        <v>345.339</v>
      </c>
      <c r="G1047" t="n">
        <v>0.124</v>
      </c>
      <c r="H1047">
        <f>E1047/F1047</f>
        <v/>
      </c>
      <c r="I1047">
        <f>((H1047-$J$1015)/$I$1015)</f>
        <v/>
      </c>
      <c r="J1047">
        <f>(I1047-IF($I$1023&gt;0,$I$1023,0))</f>
        <v/>
      </c>
      <c r="K1047">
        <f>J1047/R1029*1.1</f>
        <v/>
      </c>
      <c r="L1047">
        <f>AVERAGE(K1047:K1049)</f>
        <v/>
      </c>
      <c r="M1047">
        <f>STDEV(K1047:K1049)</f>
        <v/>
      </c>
      <c r="N1047">
        <f>_xlfn.CONCAT(ROUND(L1047,1)," ± ",ROUND(M1047,1))</f>
        <v/>
      </c>
    </row>
    <row r="1048">
      <c r="A1048" t="n">
        <v>33</v>
      </c>
      <c r="B1048" t="inlineStr">
        <is>
          <t>K3-4B</t>
        </is>
      </c>
      <c r="D1048" t="n">
        <v>10.3</v>
      </c>
      <c r="E1048" t="n">
        <v>1.804</v>
      </c>
      <c r="F1048" t="n">
        <v>533.263</v>
      </c>
      <c r="G1048" t="n">
        <v>0.147</v>
      </c>
      <c r="H1048">
        <f>E1048/F1048</f>
        <v/>
      </c>
      <c r="I1048">
        <f>((H1048-$J$1015)/$I$1015)</f>
        <v/>
      </c>
      <c r="J1048">
        <f>(I1048-IF($I$1023&gt;0,$I$1023,0))</f>
        <v/>
      </c>
      <c r="K1048">
        <f>J1048/R1030*1.1</f>
        <v/>
      </c>
    </row>
    <row r="1049">
      <c r="A1049" t="n">
        <v>34</v>
      </c>
      <c r="B1049" t="inlineStr">
        <is>
          <t>K3-4C</t>
        </is>
      </c>
      <c r="D1049" t="n">
        <v>10.64</v>
      </c>
      <c r="E1049" t="n">
        <v>1.734</v>
      </c>
      <c r="F1049" t="n">
        <v>417.558</v>
      </c>
      <c r="G1049" t="n">
        <v>0.12</v>
      </c>
      <c r="H1049">
        <f>E1049/F1049</f>
        <v/>
      </c>
      <c r="I1049">
        <f>((H1049-$J$1015)/$I$1015)</f>
        <v/>
      </c>
      <c r="J1049">
        <f>(I1049-IF($I$1023&gt;0,$I$1023,0))</f>
        <v/>
      </c>
      <c r="K1049">
        <f>J1049/R1031*1.1</f>
        <v/>
      </c>
      <c r="L1049" s="23" t="n"/>
      <c r="M1049" s="23" t="n"/>
      <c r="N1049" s="9" t="n"/>
    </row>
    <row r="1050">
      <c r="A1050" t="n">
        <v>35</v>
      </c>
      <c r="B1050" t="inlineStr">
        <is>
          <t>MeOH</t>
        </is>
      </c>
      <c r="L1050" s="23" t="inlineStr">
        <is>
          <t>Average</t>
        </is>
      </c>
      <c r="M1050" s="23" t="inlineStr">
        <is>
          <t>Stdev</t>
        </is>
      </c>
      <c r="N1050" s="9" t="inlineStr">
        <is>
          <t>Combined</t>
        </is>
      </c>
    </row>
    <row r="1051">
      <c r="A1051" t="n">
        <v>36</v>
      </c>
      <c r="B1051" t="inlineStr">
        <is>
          <t>K3-6A</t>
        </is>
      </c>
      <c r="D1051" t="n">
        <v>11.18</v>
      </c>
      <c r="E1051" t="n">
        <v>3.128</v>
      </c>
      <c r="F1051" t="n">
        <v>353.045</v>
      </c>
      <c r="G1051" t="n">
        <v>0.322</v>
      </c>
      <c r="H1051">
        <f>E1051/F1051</f>
        <v/>
      </c>
      <c r="I1051">
        <f>((H1051-$J$1015)/$I$1015)</f>
        <v/>
      </c>
      <c r="J1051">
        <f>(I1051-IF($I$1023&gt;0,$I$1023,0))</f>
        <v/>
      </c>
      <c r="K1051">
        <f>J1051/R1032*1.1</f>
        <v/>
      </c>
      <c r="L1051">
        <f>AVERAGE(K1051:K1053)</f>
        <v/>
      </c>
      <c r="M1051">
        <f>STDEV(K1052:K1053)</f>
        <v/>
      </c>
      <c r="N1051">
        <f>_xlfn.CONCAT(ROUND(L1051,1)," ± ",ROUND(M1051,1))</f>
        <v/>
      </c>
    </row>
    <row r="1052">
      <c r="A1052" t="n">
        <v>37</v>
      </c>
      <c r="B1052" t="inlineStr">
        <is>
          <t>K3-6B</t>
        </is>
      </c>
      <c r="D1052" t="n">
        <v>10.03</v>
      </c>
      <c r="E1052" t="n">
        <v>17.225</v>
      </c>
      <c r="F1052" t="n">
        <v>247.754</v>
      </c>
      <c r="G1052" t="n">
        <v>1.273</v>
      </c>
      <c r="H1052">
        <f>E1052/F1052</f>
        <v/>
      </c>
      <c r="I1052">
        <f>((H1052-$J$1015)/$I$1015)</f>
        <v/>
      </c>
      <c r="J1052">
        <f>(I1052-IF($I$1023&gt;0,$I$1023,0))</f>
        <v/>
      </c>
      <c r="K1052">
        <f>J1052/R1033*1.1</f>
        <v/>
      </c>
    </row>
    <row r="1053">
      <c r="A1053" t="n">
        <v>38</v>
      </c>
      <c r="B1053" t="inlineStr">
        <is>
          <t>K3-6C</t>
        </is>
      </c>
      <c r="D1053" t="n">
        <v>9.92</v>
      </c>
      <c r="E1053" t="n">
        <v>7.506</v>
      </c>
      <c r="F1053" t="n">
        <v>310.722</v>
      </c>
      <c r="G1053" t="n">
        <v>1.347</v>
      </c>
      <c r="H1053">
        <f>E1053/F1053</f>
        <v/>
      </c>
      <c r="I1053">
        <f>((H1053-$J$1015)/$I$1015)</f>
        <v/>
      </c>
      <c r="J1053">
        <f>(I1053-IF($I$1023&gt;0,$I$1023,0))</f>
        <v/>
      </c>
      <c r="K1053">
        <f>J1053/R1034*1.1</f>
        <v/>
      </c>
      <c r="L1053" s="23" t="n"/>
      <c r="M1053" s="23" t="n"/>
      <c r="N1053" s="9" t="n"/>
    </row>
    <row r="1055">
      <c r="A1055" t="inlineStr">
        <is>
          <t>Compound 26:  12:2 monoPAP 2</t>
        </is>
      </c>
    </row>
    <row r="1057">
      <c r="B1057" t="inlineStr">
        <is>
          <t>Sample Text</t>
        </is>
      </c>
      <c r="C1057" t="inlineStr">
        <is>
          <t>Std. Conc</t>
        </is>
      </c>
      <c r="D1057" t="inlineStr">
        <is>
          <t>RT</t>
        </is>
      </c>
      <c r="E1057" t="inlineStr">
        <is>
          <t>Area</t>
        </is>
      </c>
      <c r="F1057" t="inlineStr">
        <is>
          <t>IS Area</t>
        </is>
      </c>
      <c r="G1057" t="inlineStr">
        <is>
          <t>S/N</t>
        </is>
      </c>
      <c r="H1057" t="inlineStr">
        <is>
          <t>Primary Flags</t>
        </is>
      </c>
      <c r="I1057" t="inlineStr">
        <is>
          <t>Response</t>
        </is>
      </c>
      <c r="J1057" t="inlineStr">
        <is>
          <t>Conc.</t>
        </is>
      </c>
      <c r="K1057" t="inlineStr">
        <is>
          <t>Name</t>
        </is>
      </c>
    </row>
    <row r="1058">
      <c r="A1058" t="n">
        <v>1</v>
      </c>
      <c r="B1058" t="inlineStr">
        <is>
          <t>EPA1633 &amp; diPAPs Calibration 0 ppb</t>
        </is>
      </c>
      <c r="D1058" t="n">
        <v>10.49</v>
      </c>
      <c r="E1058" t="n">
        <v>0.543</v>
      </c>
      <c r="F1058" t="n">
        <v>307.703</v>
      </c>
      <c r="G1058" t="n">
        <v>4</v>
      </c>
      <c r="H1058" t="inlineStr">
        <is>
          <t>bb</t>
        </is>
      </c>
      <c r="K1058" t="inlineStr">
        <is>
          <t>20250617-12</t>
        </is>
      </c>
    </row>
    <row r="1059">
      <c r="A1059" t="n">
        <v>2</v>
      </c>
      <c r="B1059" t="inlineStr">
        <is>
          <t>EPA1633 &amp; diPAPs Calibration 0.02 ppb</t>
        </is>
      </c>
      <c r="F1059" t="n">
        <v>225.366</v>
      </c>
      <c r="K1059" t="inlineStr">
        <is>
          <t>20250617-13</t>
        </is>
      </c>
    </row>
    <row r="1060">
      <c r="A1060" t="n">
        <v>3</v>
      </c>
      <c r="B1060" t="inlineStr">
        <is>
          <t>EPA1633 &amp; diPAPs Calibration 0.1 ppb</t>
        </is>
      </c>
      <c r="D1060" t="n">
        <v>11.36</v>
      </c>
      <c r="E1060" t="n">
        <v>0.326</v>
      </c>
      <c r="F1060" t="n">
        <v>255.999</v>
      </c>
      <c r="G1060" t="n">
        <v>3</v>
      </c>
      <c r="H1060" t="inlineStr">
        <is>
          <t>bb</t>
        </is>
      </c>
      <c r="K1060" t="inlineStr">
        <is>
          <t>20250617-14</t>
        </is>
      </c>
    </row>
    <row r="1061">
      <c r="A1061" t="n">
        <v>4</v>
      </c>
      <c r="B1061" t="inlineStr">
        <is>
          <t>EPA1633 &amp; diPAPs Calibration 0.4 ppb</t>
        </is>
      </c>
      <c r="D1061" t="n">
        <v>10.16</v>
      </c>
      <c r="E1061" t="n">
        <v>48.651</v>
      </c>
      <c r="F1061" t="n">
        <v>249.341</v>
      </c>
      <c r="G1061" t="n">
        <v>5.219</v>
      </c>
      <c r="H1061" t="inlineStr">
        <is>
          <t>bb</t>
        </is>
      </c>
      <c r="K1061" t="inlineStr">
        <is>
          <t>20250617-15</t>
        </is>
      </c>
    </row>
    <row r="1062">
      <c r="A1062" t="n">
        <v>5</v>
      </c>
      <c r="B1062" t="inlineStr">
        <is>
          <t>EPA1633 &amp; diPAPs Calibration 1 ppb</t>
        </is>
      </c>
      <c r="D1062" t="n">
        <v>10.14</v>
      </c>
      <c r="E1062" t="n">
        <v>86.551</v>
      </c>
      <c r="F1062" t="n">
        <v>256.233</v>
      </c>
      <c r="G1062" t="n">
        <v>467</v>
      </c>
      <c r="H1062" t="inlineStr">
        <is>
          <t>bb</t>
        </is>
      </c>
      <c r="K1062" t="inlineStr">
        <is>
          <t>20250617-16</t>
        </is>
      </c>
    </row>
    <row r="1063">
      <c r="A1063" t="n">
        <v>6</v>
      </c>
      <c r="B1063" t="inlineStr">
        <is>
          <t>EPA1633 &amp; diPAPs Calibration 5 ppb</t>
        </is>
      </c>
      <c r="D1063" t="n">
        <v>10.16</v>
      </c>
      <c r="E1063" t="n">
        <v>75.533</v>
      </c>
      <c r="F1063" t="n">
        <v>272.698</v>
      </c>
      <c r="G1063" t="n">
        <v>46.975</v>
      </c>
      <c r="H1063" t="inlineStr">
        <is>
          <t>bb</t>
        </is>
      </c>
      <c r="K1063" t="inlineStr">
        <is>
          <t>20250617-17</t>
        </is>
      </c>
    </row>
    <row r="1064">
      <c r="A1064" t="n">
        <v>7</v>
      </c>
      <c r="B1064" t="inlineStr">
        <is>
          <t>EPA1633 &amp; diPAPs Calibration 10 ppb</t>
        </is>
      </c>
      <c r="D1064" t="n">
        <v>10.13</v>
      </c>
      <c r="E1064" t="n">
        <v>24.226</v>
      </c>
      <c r="F1064" t="n">
        <v>229.316</v>
      </c>
      <c r="G1064" t="n">
        <v>20.211</v>
      </c>
      <c r="H1064" t="inlineStr">
        <is>
          <t>bb</t>
        </is>
      </c>
      <c r="K1064" t="inlineStr">
        <is>
          <t>20250617-18</t>
        </is>
      </c>
    </row>
    <row r="1065">
      <c r="A1065" t="n">
        <v>8</v>
      </c>
      <c r="B1065" t="inlineStr">
        <is>
          <t>EPA1633 &amp; diPAPs Calibration 20 ppb</t>
        </is>
      </c>
      <c r="D1065" t="n">
        <v>10.13</v>
      </c>
      <c r="E1065" t="n">
        <v>38.622</v>
      </c>
      <c r="F1065" t="n">
        <v>45.687</v>
      </c>
      <c r="G1065" t="n">
        <v>3.948</v>
      </c>
      <c r="H1065" t="inlineStr">
        <is>
          <t>MM</t>
        </is>
      </c>
      <c r="K1065" t="inlineStr">
        <is>
          <t>20250617-19</t>
        </is>
      </c>
    </row>
    <row r="1066">
      <c r="A1066" t="n">
        <v>9</v>
      </c>
      <c r="B1066" t="inlineStr">
        <is>
          <t>MeOH</t>
        </is>
      </c>
      <c r="D1066" t="n">
        <v>9.91</v>
      </c>
      <c r="E1066" t="n">
        <v>0.914</v>
      </c>
      <c r="G1066" t="n">
        <v>10</v>
      </c>
      <c r="H1066" t="inlineStr">
        <is>
          <t>bb</t>
        </is>
      </c>
      <c r="K1066" t="inlineStr">
        <is>
          <t>20250617-20</t>
        </is>
      </c>
    </row>
    <row r="1067">
      <c r="A1067" t="n">
        <v>10</v>
      </c>
      <c r="B1067" t="inlineStr">
        <is>
          <t>MeOH</t>
        </is>
      </c>
      <c r="K1067" t="inlineStr">
        <is>
          <t>20250617-21</t>
        </is>
      </c>
    </row>
    <row r="1068">
      <c r="A1068" t="n">
        <v>11</v>
      </c>
      <c r="B1068" t="inlineStr">
        <is>
          <t>SB1</t>
        </is>
      </c>
      <c r="D1068" t="n">
        <v>11.22</v>
      </c>
      <c r="E1068" t="n">
        <v>0.263</v>
      </c>
      <c r="F1068" t="n">
        <v>110.635</v>
      </c>
      <c r="G1068" t="n">
        <v>2</v>
      </c>
      <c r="H1068" t="inlineStr">
        <is>
          <t>bb</t>
        </is>
      </c>
      <c r="K1068" t="inlineStr">
        <is>
          <t>20250617-22</t>
        </is>
      </c>
    </row>
    <row r="1069">
      <c r="A1069" t="n">
        <v>12</v>
      </c>
      <c r="B1069" t="inlineStr">
        <is>
          <t>SB2</t>
        </is>
      </c>
      <c r="F1069" t="n">
        <v>91.488</v>
      </c>
      <c r="K1069" t="inlineStr">
        <is>
          <t>20250617-23</t>
        </is>
      </c>
    </row>
    <row r="1070">
      <c r="A1070" t="n">
        <v>13</v>
      </c>
      <c r="B1070" t="inlineStr">
        <is>
          <t>SB3</t>
        </is>
      </c>
      <c r="D1070" t="n">
        <v>9.98</v>
      </c>
      <c r="E1070" t="n">
        <v>0.171</v>
      </c>
      <c r="F1070" t="n">
        <v>98.111</v>
      </c>
      <c r="G1070" t="n">
        <v>2</v>
      </c>
      <c r="H1070" t="inlineStr">
        <is>
          <t>bb</t>
        </is>
      </c>
      <c r="K1070" t="inlineStr">
        <is>
          <t>20250617-24</t>
        </is>
      </c>
    </row>
    <row r="1071">
      <c r="A1071" t="n">
        <v>14</v>
      </c>
      <c r="B1071" t="inlineStr">
        <is>
          <t>SS1</t>
        </is>
      </c>
      <c r="D1071" t="n">
        <v>10.24</v>
      </c>
      <c r="E1071" t="n">
        <v>5.432</v>
      </c>
      <c r="F1071" t="n">
        <v>74.13</v>
      </c>
      <c r="G1071" t="n">
        <v>41</v>
      </c>
      <c r="H1071" t="inlineStr">
        <is>
          <t>bb</t>
        </is>
      </c>
      <c r="K1071" t="inlineStr">
        <is>
          <t>20250617-25</t>
        </is>
      </c>
    </row>
    <row r="1072">
      <c r="A1072" t="n">
        <v>15</v>
      </c>
      <c r="B1072" t="inlineStr">
        <is>
          <t>SS2</t>
        </is>
      </c>
      <c r="D1072" t="n">
        <v>11.6</v>
      </c>
      <c r="E1072" t="n">
        <v>1.49</v>
      </c>
      <c r="F1072" t="n">
        <v>101.72</v>
      </c>
      <c r="G1072" t="n">
        <v>12</v>
      </c>
      <c r="H1072" t="inlineStr">
        <is>
          <t>MM</t>
        </is>
      </c>
      <c r="K1072" t="inlineStr">
        <is>
          <t>20250617-26</t>
        </is>
      </c>
    </row>
    <row r="1073">
      <c r="A1073" t="n">
        <v>16</v>
      </c>
      <c r="B1073" t="inlineStr">
        <is>
          <t>SS3</t>
        </is>
      </c>
      <c r="D1073" t="n">
        <v>10.14</v>
      </c>
      <c r="E1073" t="n">
        <v>3.001</v>
      </c>
      <c r="F1073" t="n">
        <v>89.792</v>
      </c>
      <c r="G1073" t="n">
        <v>4.809</v>
      </c>
      <c r="H1073" t="inlineStr">
        <is>
          <t>bb</t>
        </is>
      </c>
      <c r="K1073" t="inlineStr">
        <is>
          <t>20250617-27</t>
        </is>
      </c>
    </row>
    <row r="1074">
      <c r="A1074" t="n">
        <v>17</v>
      </c>
      <c r="B1074" t="inlineStr">
        <is>
          <t>MeOH</t>
        </is>
      </c>
      <c r="K1074" t="inlineStr">
        <is>
          <t>20250617-28</t>
        </is>
      </c>
    </row>
    <row r="1075">
      <c r="A1075" t="n">
        <v>18</v>
      </c>
      <c r="B1075" t="inlineStr">
        <is>
          <t>K4-5A</t>
        </is>
      </c>
      <c r="F1075" t="n">
        <v>90.40600000000001</v>
      </c>
      <c r="K1075" t="inlineStr">
        <is>
          <t>20250617-29</t>
        </is>
      </c>
    </row>
    <row r="1076">
      <c r="A1076" t="n">
        <v>19</v>
      </c>
      <c r="B1076" t="inlineStr">
        <is>
          <t>K4-5B</t>
        </is>
      </c>
      <c r="F1076" t="n">
        <v>89.22799999999999</v>
      </c>
      <c r="K1076" t="inlineStr">
        <is>
          <t>20250617-30</t>
        </is>
      </c>
    </row>
    <row r="1077">
      <c r="A1077" t="n">
        <v>20</v>
      </c>
      <c r="B1077" t="inlineStr">
        <is>
          <t>K4-5C</t>
        </is>
      </c>
      <c r="D1077" t="n">
        <v>9.26</v>
      </c>
      <c r="E1077" t="n">
        <v>0.285</v>
      </c>
      <c r="F1077" t="n">
        <v>74.886</v>
      </c>
      <c r="G1077" t="n">
        <v>3</v>
      </c>
      <c r="H1077" t="inlineStr">
        <is>
          <t>bb</t>
        </is>
      </c>
      <c r="K1077" t="inlineStr">
        <is>
          <t>20250617-31</t>
        </is>
      </c>
    </row>
    <row r="1078">
      <c r="A1078" t="n">
        <v>21</v>
      </c>
      <c r="B1078" t="inlineStr">
        <is>
          <t>MeOH</t>
        </is>
      </c>
      <c r="K1078" t="inlineStr">
        <is>
          <t>20250617-32</t>
        </is>
      </c>
    </row>
    <row r="1079">
      <c r="A1079" t="n">
        <v>22</v>
      </c>
      <c r="B1079" t="inlineStr">
        <is>
          <t>K3-1A</t>
        </is>
      </c>
      <c r="F1079" t="n">
        <v>113.907</v>
      </c>
      <c r="K1079" t="inlineStr">
        <is>
          <t>20250617-33</t>
        </is>
      </c>
    </row>
    <row r="1080">
      <c r="A1080" t="n">
        <v>23</v>
      </c>
      <c r="B1080" t="inlineStr">
        <is>
          <t>K3-1B</t>
        </is>
      </c>
      <c r="D1080" t="n">
        <v>10.28</v>
      </c>
      <c r="E1080" t="n">
        <v>2.034</v>
      </c>
      <c r="F1080" t="n">
        <v>74.749</v>
      </c>
      <c r="G1080" t="n">
        <v>17</v>
      </c>
      <c r="H1080" t="inlineStr">
        <is>
          <t>bb</t>
        </is>
      </c>
      <c r="K1080" t="inlineStr">
        <is>
          <t>20250617-34</t>
        </is>
      </c>
    </row>
    <row r="1081">
      <c r="A1081" t="n">
        <v>24</v>
      </c>
      <c r="B1081" t="inlineStr">
        <is>
          <t>K3-1C</t>
        </is>
      </c>
      <c r="F1081" t="n">
        <v>57.963</v>
      </c>
      <c r="K1081" t="inlineStr">
        <is>
          <t>20250617-35</t>
        </is>
      </c>
    </row>
    <row r="1082">
      <c r="A1082" t="n">
        <v>25</v>
      </c>
      <c r="B1082" t="inlineStr">
        <is>
          <t>K3-2A</t>
        </is>
      </c>
      <c r="F1082" t="n">
        <v>86.604</v>
      </c>
      <c r="K1082" t="inlineStr">
        <is>
          <t>20250617-36</t>
        </is>
      </c>
    </row>
    <row r="1083">
      <c r="A1083" t="n">
        <v>26</v>
      </c>
      <c r="B1083" t="inlineStr">
        <is>
          <t>K3-2B</t>
        </is>
      </c>
      <c r="F1083" t="n">
        <v>75.304</v>
      </c>
      <c r="K1083" t="inlineStr">
        <is>
          <t>20250617-37</t>
        </is>
      </c>
    </row>
    <row r="1084">
      <c r="A1084" t="n">
        <v>27</v>
      </c>
      <c r="B1084" t="inlineStr">
        <is>
          <t>K3-2C</t>
        </is>
      </c>
      <c r="D1084" t="n">
        <v>10.72</v>
      </c>
      <c r="E1084" t="n">
        <v>1.651</v>
      </c>
      <c r="F1084" t="n">
        <v>74.127</v>
      </c>
      <c r="G1084" t="n">
        <v>13</v>
      </c>
      <c r="H1084" t="inlineStr">
        <is>
          <t>bb</t>
        </is>
      </c>
      <c r="K1084" t="inlineStr">
        <is>
          <t>20250617-38</t>
        </is>
      </c>
    </row>
    <row r="1085">
      <c r="A1085" t="n">
        <v>28</v>
      </c>
      <c r="B1085" t="inlineStr">
        <is>
          <t>MeOH</t>
        </is>
      </c>
      <c r="D1085" t="n">
        <v>9.76</v>
      </c>
      <c r="E1085" t="n">
        <v>0.783</v>
      </c>
      <c r="G1085" t="n">
        <v>9</v>
      </c>
      <c r="H1085" t="inlineStr">
        <is>
          <t>bb</t>
        </is>
      </c>
      <c r="K1085" t="inlineStr">
        <is>
          <t>20250617-39</t>
        </is>
      </c>
    </row>
    <row r="1086">
      <c r="A1086" t="n">
        <v>29</v>
      </c>
      <c r="B1086" t="inlineStr">
        <is>
          <t>K3-3A</t>
        </is>
      </c>
      <c r="F1086" t="n">
        <v>101.84</v>
      </c>
      <c r="K1086" t="inlineStr">
        <is>
          <t>20250617-40</t>
        </is>
      </c>
    </row>
    <row r="1087">
      <c r="A1087" t="n">
        <v>30</v>
      </c>
      <c r="B1087" t="inlineStr">
        <is>
          <t>K3-3B</t>
        </is>
      </c>
      <c r="F1087" t="n">
        <v>96.505</v>
      </c>
      <c r="K1087" t="inlineStr">
        <is>
          <t>20250617-41</t>
        </is>
      </c>
    </row>
    <row r="1088">
      <c r="A1088" t="n">
        <v>31</v>
      </c>
      <c r="B1088" t="inlineStr">
        <is>
          <t>K3-3C</t>
        </is>
      </c>
      <c r="D1088" t="n">
        <v>9.289999999999999</v>
      </c>
      <c r="E1088" t="n">
        <v>0.19</v>
      </c>
      <c r="F1088" t="n">
        <v>116.668</v>
      </c>
      <c r="G1088" t="n">
        <v>2</v>
      </c>
      <c r="H1088" t="inlineStr">
        <is>
          <t>bb</t>
        </is>
      </c>
      <c r="K1088" t="inlineStr">
        <is>
          <t>20250617-42</t>
        </is>
      </c>
    </row>
    <row r="1089">
      <c r="A1089" t="n">
        <v>32</v>
      </c>
      <c r="B1089" t="inlineStr">
        <is>
          <t>K3-4A</t>
        </is>
      </c>
      <c r="F1089" t="n">
        <v>95.196</v>
      </c>
      <c r="K1089" t="inlineStr">
        <is>
          <t>20250617-43</t>
        </is>
      </c>
    </row>
    <row r="1090">
      <c r="A1090" t="n">
        <v>33</v>
      </c>
      <c r="B1090" t="inlineStr">
        <is>
          <t>K3-4B</t>
        </is>
      </c>
      <c r="D1090" t="n">
        <v>8.91</v>
      </c>
      <c r="E1090" t="n">
        <v>0.197</v>
      </c>
      <c r="F1090" t="n">
        <v>52.646</v>
      </c>
      <c r="G1090" t="n">
        <v>2</v>
      </c>
      <c r="H1090" t="inlineStr">
        <is>
          <t>bb</t>
        </is>
      </c>
      <c r="K1090" t="inlineStr">
        <is>
          <t>20250617-44</t>
        </is>
      </c>
    </row>
    <row r="1091">
      <c r="A1091" t="n">
        <v>34</v>
      </c>
      <c r="B1091" t="inlineStr">
        <is>
          <t>K3-4C</t>
        </is>
      </c>
      <c r="D1091" t="n">
        <v>9.16</v>
      </c>
      <c r="E1091" t="n">
        <v>0.57</v>
      </c>
      <c r="F1091" t="n">
        <v>62.052</v>
      </c>
      <c r="G1091" t="n">
        <v>7</v>
      </c>
      <c r="H1091" t="inlineStr">
        <is>
          <t>bb</t>
        </is>
      </c>
      <c r="K1091" t="inlineStr">
        <is>
          <t>20250617-45</t>
        </is>
      </c>
    </row>
    <row r="1092">
      <c r="A1092" t="n">
        <v>35</v>
      </c>
      <c r="B1092" t="inlineStr">
        <is>
          <t>MeOH</t>
        </is>
      </c>
      <c r="K1092" t="inlineStr">
        <is>
          <t>20250617-46</t>
        </is>
      </c>
    </row>
    <row r="1093">
      <c r="A1093" t="n">
        <v>36</v>
      </c>
      <c r="B1093" t="inlineStr">
        <is>
          <t>K3-6A</t>
        </is>
      </c>
      <c r="F1093" t="n">
        <v>93.878</v>
      </c>
      <c r="K1093" t="inlineStr">
        <is>
          <t>20250617-47</t>
        </is>
      </c>
    </row>
    <row r="1094">
      <c r="A1094" t="n">
        <v>37</v>
      </c>
      <c r="B1094" t="inlineStr">
        <is>
          <t>K3-6B</t>
        </is>
      </c>
      <c r="D1094" t="n">
        <v>9.57</v>
      </c>
      <c r="E1094" t="n">
        <v>0.214</v>
      </c>
      <c r="F1094" t="n">
        <v>67.396</v>
      </c>
      <c r="G1094" t="n">
        <v>2</v>
      </c>
      <c r="H1094" t="inlineStr">
        <is>
          <t>bb</t>
        </is>
      </c>
      <c r="K1094" t="inlineStr">
        <is>
          <t>20250617-48</t>
        </is>
      </c>
    </row>
    <row r="1095">
      <c r="A1095" t="n">
        <v>38</v>
      </c>
      <c r="B1095" t="inlineStr">
        <is>
          <t>K3-6C</t>
        </is>
      </c>
      <c r="F1095" t="n">
        <v>117.664</v>
      </c>
      <c r="K1095" t="inlineStr">
        <is>
          <t>20250617-49</t>
        </is>
      </c>
    </row>
    <row r="1097">
      <c r="A1097" t="inlineStr">
        <is>
          <t>Compound 27:  6-6 diPAP 1</t>
        </is>
      </c>
    </row>
    <row r="1098">
      <c r="I1098" t="inlineStr">
        <is>
          <t>LINEST</t>
        </is>
      </c>
      <c r="Q1098" t="inlineStr">
        <is>
          <t>Biosolids Masses</t>
        </is>
      </c>
      <c r="R1098" t="inlineStr">
        <is>
          <t>(g)</t>
        </is>
      </c>
    </row>
    <row r="1099">
      <c r="B1099" t="inlineStr">
        <is>
          <t>Sample Text</t>
        </is>
      </c>
      <c r="C1099" t="inlineStr">
        <is>
          <t>Std. Conc</t>
        </is>
      </c>
      <c r="D1099" t="inlineStr">
        <is>
          <t>RT</t>
        </is>
      </c>
      <c r="E1099" t="inlineStr">
        <is>
          <t>Area</t>
        </is>
      </c>
      <c r="F1099" t="inlineStr">
        <is>
          <t>IS Area</t>
        </is>
      </c>
      <c r="G1099" t="inlineStr">
        <is>
          <t>S/N</t>
        </is>
      </c>
      <c r="H1099" t="inlineStr">
        <is>
          <t>ratio</t>
        </is>
      </c>
      <c r="I1099">
        <f t="array" ref="I1099:J1103">LINEST(H1100:H1106,C1100:C1106,1,1)</f>
        <v/>
      </c>
      <c r="J1099" t="n">
        <v>-0.02745932003318607</v>
      </c>
      <c r="L1099" s="20" t="inlineStr">
        <is>
          <t>By S/N Ratio</t>
        </is>
      </c>
      <c r="Q1099" t="inlineStr">
        <is>
          <t>SS1</t>
        </is>
      </c>
      <c r="R1099" t="n">
        <v>1.0846</v>
      </c>
    </row>
    <row r="1100">
      <c r="A1100" t="n">
        <v>1</v>
      </c>
      <c r="B1100" t="inlineStr">
        <is>
          <t>EPA1633 &amp; diPAPs Calibration 0 ppb</t>
        </is>
      </c>
      <c r="C1100" s="44" t="n">
        <v>0</v>
      </c>
      <c r="D1100" t="n">
        <v>11.98</v>
      </c>
      <c r="E1100" t="n">
        <v>3991.193</v>
      </c>
      <c r="F1100" t="n">
        <v>19473.51</v>
      </c>
      <c r="G1100" t="n">
        <v>111.888</v>
      </c>
      <c r="H1100">
        <f>E1100/F1100</f>
        <v/>
      </c>
      <c r="I1100" t="n">
        <v>0.001580944206716876</v>
      </c>
      <c r="J1100" t="n">
        <v>0.1917001152066097</v>
      </c>
      <c r="K1100" t="inlineStr">
        <is>
          <t>LOD</t>
        </is>
      </c>
      <c r="L1100" s="21">
        <f>IF(G1103&gt;3,C1103,IF(G1104&gt;3,#REF!,IF(G1105&gt;3,C1105,IF(G1106&gt;3,C1106,C1107))))</f>
        <v/>
      </c>
      <c r="Q1100" t="inlineStr">
        <is>
          <t>SS2</t>
        </is>
      </c>
      <c r="R1100" t="n">
        <v>1.0726</v>
      </c>
    </row>
    <row r="1101">
      <c r="A1101" t="n">
        <v>2</v>
      </c>
      <c r="B1101" t="inlineStr">
        <is>
          <t>EPA1633 &amp; diPAPs Calibration 0.02 ppb</t>
        </is>
      </c>
      <c r="C1101" s="44" t="n">
        <v>14.56746492606482</v>
      </c>
      <c r="D1101" t="n">
        <v>11.97</v>
      </c>
      <c r="E1101" t="n">
        <v>18673.133</v>
      </c>
      <c r="F1101" t="n">
        <v>13285.255</v>
      </c>
      <c r="G1101" t="n">
        <v>904.225</v>
      </c>
      <c r="H1101">
        <f>E1101/F1101</f>
        <v/>
      </c>
      <c r="I1101" t="n">
        <v>0.9981646087845313</v>
      </c>
      <c r="J1101" t="n">
        <v>0.3422600814512162</v>
      </c>
      <c r="K1101" t="inlineStr">
        <is>
          <t>LOQ</t>
        </is>
      </c>
      <c r="L1101" s="22">
        <f>IF(G1103&gt;10,C1103,IF(G1104&gt;10,#REF!,IF(G1105&gt;10,C1105,IF(G1106&gt;10,C1106,C1107))))</f>
        <v/>
      </c>
      <c r="Q1101" t="inlineStr">
        <is>
          <t>SS3</t>
        </is>
      </c>
      <c r="R1101" t="n">
        <v>1.1534</v>
      </c>
    </row>
    <row r="1102">
      <c r="A1102" t="n">
        <v>3</v>
      </c>
      <c r="B1102" t="inlineStr">
        <is>
          <t>EPA1633 &amp; diPAPs Calibration 0.1 ppb</t>
        </is>
      </c>
      <c r="C1102" s="44" t="n">
        <v>29.13492985212965</v>
      </c>
      <c r="D1102" t="n">
        <v>12</v>
      </c>
      <c r="E1102" t="n">
        <v>37604.621</v>
      </c>
      <c r="F1102" t="n">
        <v>16010.102</v>
      </c>
      <c r="G1102" t="n">
        <v>1272.678</v>
      </c>
      <c r="H1102">
        <f>E1102/F1102</f>
        <v/>
      </c>
      <c r="I1102" t="n">
        <v>2719.214847417686</v>
      </c>
      <c r="J1102" t="n">
        <v>5</v>
      </c>
      <c r="Q1102" t="inlineStr">
        <is>
          <t>K4-5A</t>
        </is>
      </c>
      <c r="R1102" t="n">
        <v>1.1054</v>
      </c>
    </row>
    <row r="1103">
      <c r="A1103" t="n">
        <v>4</v>
      </c>
      <c r="B1103" t="inlineStr">
        <is>
          <t>EPA1633 &amp; diPAPs Calibration 0.4 ppb</t>
        </is>
      </c>
      <c r="C1103" s="44" t="n">
        <v>58.2698597042593</v>
      </c>
      <c r="D1103" t="n">
        <v>11.98</v>
      </c>
      <c r="E1103" t="n">
        <v>65232.262</v>
      </c>
      <c r="F1103" t="n">
        <v>14214.025</v>
      </c>
      <c r="G1103" t="n">
        <v>1979.736</v>
      </c>
      <c r="H1103">
        <f>E1103/F1103</f>
        <v/>
      </c>
      <c r="I1103" t="n">
        <v>318.5341660105557</v>
      </c>
      <c r="J1103" t="n">
        <v>0.5857098167749656</v>
      </c>
      <c r="Q1103" t="inlineStr">
        <is>
          <t>K4-5B</t>
        </is>
      </c>
      <c r="R1103" s="10" t="n">
        <v>1.0463</v>
      </c>
    </row>
    <row r="1104">
      <c r="A1104" t="n">
        <v>5</v>
      </c>
      <c r="B1104" t="inlineStr">
        <is>
          <t>EPA1633 &amp; diPAPs Calibration 1 ppb</t>
        </is>
      </c>
      <c r="C1104" s="44" t="n">
        <v>116.5397194085186</v>
      </c>
      <c r="D1104" t="n">
        <v>12</v>
      </c>
      <c r="E1104" t="n">
        <v>197207.766</v>
      </c>
      <c r="F1104" t="n">
        <v>21931.449</v>
      </c>
      <c r="G1104" t="n">
        <v>3307.593</v>
      </c>
      <c r="H1104">
        <f>E1104/F1104</f>
        <v/>
      </c>
      <c r="Q1104" t="inlineStr">
        <is>
          <t>K4-5C</t>
        </is>
      </c>
      <c r="R1104" t="n">
        <v>1.1155</v>
      </c>
    </row>
    <row r="1105">
      <c r="A1105" t="n">
        <v>6</v>
      </c>
      <c r="B1105" t="inlineStr">
        <is>
          <t>EPA1633 &amp; diPAPs Calibration 5 ppb</t>
        </is>
      </c>
      <c r="C1105" s="44" t="n">
        <v>174.8095791127779</v>
      </c>
      <c r="D1105" t="n">
        <v>12</v>
      </c>
      <c r="E1105" t="n">
        <v>252729.906</v>
      </c>
      <c r="F1105" t="n">
        <v>17537.508</v>
      </c>
      <c r="G1105" t="n">
        <v>2927.805</v>
      </c>
      <c r="H1105">
        <f>E1105/F1105</f>
        <v/>
      </c>
      <c r="Q1105" t="inlineStr">
        <is>
          <t>K3-1A</t>
        </is>
      </c>
      <c r="R1105" t="n">
        <v>1.0874</v>
      </c>
    </row>
    <row r="1106">
      <c r="A1106" t="n">
        <v>7</v>
      </c>
      <c r="B1106" t="inlineStr">
        <is>
          <t>EPA1633 &amp; diPAPs Calibration 10 ppb</t>
        </is>
      </c>
      <c r="C1106" s="44" t="n">
        <v>233.0794388170372</v>
      </c>
      <c r="D1106" t="n">
        <v>12</v>
      </c>
      <c r="E1106" t="n">
        <v>571124.938</v>
      </c>
      <c r="F1106" t="n">
        <v>29293.133</v>
      </c>
      <c r="G1106" t="n">
        <v>18446.012</v>
      </c>
      <c r="H1106">
        <f>E1106/F1106</f>
        <v/>
      </c>
      <c r="I1106" s="23" t="inlineStr">
        <is>
          <t>Background</t>
        </is>
      </c>
      <c r="J1106" s="23" t="inlineStr">
        <is>
          <t>Spike</t>
        </is>
      </c>
      <c r="K1106" s="9" t="inlineStr">
        <is>
          <t>Old Spike</t>
        </is>
      </c>
      <c r="O1106" s="24" t="inlineStr">
        <is>
          <t>±</t>
        </is>
      </c>
      <c r="Q1106" t="inlineStr">
        <is>
          <t>K3-1B</t>
        </is>
      </c>
      <c r="R1106" t="n">
        <v>1.0898</v>
      </c>
    </row>
    <row r="1107">
      <c r="A1107" t="n">
        <v>8</v>
      </c>
      <c r="B1107" t="inlineStr">
        <is>
          <t>EPA1633 &amp; diPAPs Calibration 20 ppb</t>
        </is>
      </c>
      <c r="C1107" s="44" t="n">
        <v>291.3492985212965</v>
      </c>
      <c r="D1107" t="n">
        <v>12</v>
      </c>
      <c r="E1107" t="n">
        <v>287284.938</v>
      </c>
      <c r="F1107" t="n">
        <v>13919.142</v>
      </c>
      <c r="G1107" t="n">
        <v>3534.11</v>
      </c>
      <c r="H1107">
        <f>E1107/F1107</f>
        <v/>
      </c>
      <c r="I1107">
        <f>AVERAGE(I1110:I1112)</f>
        <v/>
      </c>
      <c r="J1107" t="n">
        <v>256.4</v>
      </c>
      <c r="Q1107" t="inlineStr">
        <is>
          <t>K3-1C</t>
        </is>
      </c>
      <c r="R1107" t="n">
        <v>1.0536</v>
      </c>
    </row>
    <row r="1108">
      <c r="A1108" t="n">
        <v>9</v>
      </c>
      <c r="B1108" t="inlineStr">
        <is>
          <t>MeOH</t>
        </is>
      </c>
      <c r="D1108" t="n">
        <v>12</v>
      </c>
      <c r="E1108" t="n">
        <v>6194.625</v>
      </c>
      <c r="G1108" t="n">
        <v>298.015</v>
      </c>
      <c r="I1108" s="23" t="inlineStr">
        <is>
          <t>Conc.In Vial (ppb)</t>
        </is>
      </c>
      <c r="J1108" s="9" t="inlineStr">
        <is>
          <t>Corr. Conc.(ppb)</t>
        </is>
      </c>
      <c r="K1108" s="9" t="inlineStr">
        <is>
          <t>Conc. In soil (ng/g)</t>
        </is>
      </c>
      <c r="Q1108" t="inlineStr">
        <is>
          <t>K3-2A</t>
        </is>
      </c>
      <c r="R1108" s="10" t="n">
        <v>1.1218</v>
      </c>
    </row>
    <row r="1109">
      <c r="A1109" t="n">
        <v>10</v>
      </c>
      <c r="B1109" t="inlineStr">
        <is>
          <t>MeOH</t>
        </is>
      </c>
      <c r="L1109" s="23" t="inlineStr">
        <is>
          <t>Average</t>
        </is>
      </c>
      <c r="M1109" s="23" t="inlineStr">
        <is>
          <t>Stdev</t>
        </is>
      </c>
      <c r="N1109" s="9" t="inlineStr">
        <is>
          <t>Combined</t>
        </is>
      </c>
      <c r="O1109" s="9" t="n"/>
      <c r="P1109" s="9" t="n"/>
      <c r="Q1109" t="inlineStr">
        <is>
          <t>K3-2B</t>
        </is>
      </c>
      <c r="R1109" t="n">
        <v>1.198</v>
      </c>
    </row>
    <row r="1110">
      <c r="A1110" t="n">
        <v>11</v>
      </c>
      <c r="B1110" t="inlineStr">
        <is>
          <t>SB1</t>
        </is>
      </c>
      <c r="D1110" t="n">
        <v>12.02</v>
      </c>
      <c r="E1110" t="n">
        <v>2488.667</v>
      </c>
      <c r="F1110" t="n">
        <v>5289.194</v>
      </c>
      <c r="G1110" t="n">
        <v>52.667</v>
      </c>
      <c r="H1110">
        <f>E1110/F1110</f>
        <v/>
      </c>
      <c r="I1110">
        <f>((H1110-$J$1099)/$I$1099)</f>
        <v/>
      </c>
      <c r="J1110">
        <f>(I1110-IF(I1107&gt;0,I1107,0))</f>
        <v/>
      </c>
      <c r="K1110">
        <f>J1110*1.1</f>
        <v/>
      </c>
      <c r="L1110">
        <f>AVERAGE(K1110:K1112)</f>
        <v/>
      </c>
      <c r="M1110">
        <f>STDEV(K1111:K1112)</f>
        <v/>
      </c>
      <c r="N1110">
        <f>_xlfn.CONCAT(ROUND(L1110,1)," ± ",ROUND(M1110,1))</f>
        <v/>
      </c>
      <c r="Q1110" t="inlineStr">
        <is>
          <t>K3-2C</t>
        </is>
      </c>
      <c r="R1110" t="n">
        <v>1.1538</v>
      </c>
    </row>
    <row r="1111">
      <c r="A1111" t="n">
        <v>12</v>
      </c>
      <c r="B1111" t="inlineStr">
        <is>
          <t>SB2</t>
        </is>
      </c>
      <c r="D1111" t="n">
        <v>12.02</v>
      </c>
      <c r="E1111" t="n">
        <v>1638.608</v>
      </c>
      <c r="F1111" t="n">
        <v>6667.125</v>
      </c>
      <c r="G1111" t="n">
        <v>59.742</v>
      </c>
      <c r="H1111">
        <f>E1111/F1111</f>
        <v/>
      </c>
      <c r="I1111">
        <f>((H1111-$J$1099)/$I$1099)</f>
        <v/>
      </c>
      <c r="J1111">
        <f>(I1111-IF(I1107&gt;0,I1107,0))</f>
        <v/>
      </c>
      <c r="K1111">
        <f>J1111*1.1</f>
        <v/>
      </c>
      <c r="Q1111" t="inlineStr">
        <is>
          <t>K3-3A</t>
        </is>
      </c>
      <c r="R1111" t="n">
        <v>1.1183</v>
      </c>
    </row>
    <row r="1112">
      <c r="A1112" t="n">
        <v>13</v>
      </c>
      <c r="B1112" t="inlineStr">
        <is>
          <t>SB3</t>
        </is>
      </c>
      <c r="D1112" t="n">
        <v>12.02</v>
      </c>
      <c r="E1112" t="n">
        <v>823.7809999999999</v>
      </c>
      <c r="F1112" t="n">
        <v>5460.875</v>
      </c>
      <c r="G1112" t="n">
        <v>17.727</v>
      </c>
      <c r="H1112">
        <f>E1112/F1112</f>
        <v/>
      </c>
      <c r="I1112">
        <f>((H1112-$J$1099)/$I$1099)</f>
        <v/>
      </c>
      <c r="J1112">
        <f>(I1112-IF(I1107&gt;0,I1107,0))</f>
        <v/>
      </c>
      <c r="K1112" s="30">
        <f>J1112*1.1</f>
        <v/>
      </c>
      <c r="L1112" s="25" t="inlineStr">
        <is>
          <t>Average</t>
        </is>
      </c>
      <c r="M1112" s="25" t="inlineStr">
        <is>
          <t>Stdev</t>
        </is>
      </c>
      <c r="N1112" s="26" t="inlineStr">
        <is>
          <t>%Recovery</t>
        </is>
      </c>
      <c r="O1112" s="26" t="inlineStr">
        <is>
          <t>Uncertainty</t>
        </is>
      </c>
      <c r="P1112" s="26" t="inlineStr">
        <is>
          <t>Combined</t>
        </is>
      </c>
      <c r="Q1112" t="inlineStr">
        <is>
          <t>K3-3B</t>
        </is>
      </c>
      <c r="R1112" t="n">
        <v>1.1448</v>
      </c>
    </row>
    <row r="1113">
      <c r="A1113" t="n">
        <v>14</v>
      </c>
      <c r="B1113" t="inlineStr">
        <is>
          <t>SS1</t>
        </is>
      </c>
      <c r="D1113" t="n">
        <v>12.02</v>
      </c>
      <c r="E1113" t="n">
        <v>70313.898</v>
      </c>
      <c r="F1113" t="n">
        <v>6517.947</v>
      </c>
      <c r="G1113" t="n">
        <v>3540.625</v>
      </c>
      <c r="H1113">
        <f>E1113/F1113</f>
        <v/>
      </c>
      <c r="I1113">
        <f>((H1113-$J$1099)/$I$1099)</f>
        <v/>
      </c>
      <c r="J1113">
        <f>(I1113-IF($I$1107&gt;0,$I$1107,0))</f>
        <v/>
      </c>
      <c r="K1113">
        <f>J1113/R1099*1.1</f>
        <v/>
      </c>
      <c r="L1113" s="27">
        <f>AVERAGE(K1113:K1115)</f>
        <v/>
      </c>
      <c r="M1113" s="27">
        <f>STDEV(K1113:K1115)</f>
        <v/>
      </c>
      <c r="N1113" s="28">
        <f>L1113/J1107*100</f>
        <v/>
      </c>
      <c r="O1113" s="29">
        <f>M1113/J1107*100</f>
        <v/>
      </c>
      <c r="P1113" s="29">
        <f>_xlfn.CONCAT(ROUND(N1113,1)," ± ",ROUND(O1113,1))</f>
        <v/>
      </c>
      <c r="Q1113" t="inlineStr">
        <is>
          <t>K3-3C</t>
        </is>
      </c>
      <c r="R1113" t="n">
        <v>1.0493</v>
      </c>
    </row>
    <row r="1114">
      <c r="A1114" t="n">
        <v>15</v>
      </c>
      <c r="B1114" t="inlineStr">
        <is>
          <t>SS2</t>
        </is>
      </c>
      <c r="D1114" t="n">
        <v>12.03</v>
      </c>
      <c r="E1114" t="n">
        <v>73789.883</v>
      </c>
      <c r="F1114" t="n">
        <v>6712.642</v>
      </c>
      <c r="G1114" t="n">
        <v>1298.897</v>
      </c>
      <c r="H1114">
        <f>E1114/F1114</f>
        <v/>
      </c>
      <c r="I1114">
        <f>((H1114-$J$1099)/$I$1099)</f>
        <v/>
      </c>
      <c r="J1114">
        <f>(I1114-IF($I$1107&gt;0,$I$1107,0))</f>
        <v/>
      </c>
      <c r="K1114">
        <f>J1114/R1100*1.1</f>
        <v/>
      </c>
      <c r="Q1114" t="inlineStr">
        <is>
          <t>K3-4A</t>
        </is>
      </c>
      <c r="R1114" t="n">
        <v>1.0704</v>
      </c>
    </row>
    <row r="1115">
      <c r="A1115" t="n">
        <v>16</v>
      </c>
      <c r="B1115" t="inlineStr">
        <is>
          <t>SS3</t>
        </is>
      </c>
      <c r="D1115" t="n">
        <v>12.03</v>
      </c>
      <c r="E1115" t="n">
        <v>68760.45299999999</v>
      </c>
      <c r="F1115" t="n">
        <v>6363.637</v>
      </c>
      <c r="G1115" t="n">
        <v>1928.375</v>
      </c>
      <c r="H1115">
        <f>E1115/F1115</f>
        <v/>
      </c>
      <c r="I1115">
        <f>((H1115-$J$1099)/$I$1099)</f>
        <v/>
      </c>
      <c r="J1115">
        <f>(I1115-IF($I$1107&gt;0,$I$1107,0))</f>
        <v/>
      </c>
      <c r="K1115" s="30">
        <f>J1115/R1101*1.1</f>
        <v/>
      </c>
      <c r="Q1115" t="inlineStr">
        <is>
          <t>K3-4B</t>
        </is>
      </c>
      <c r="R1115" t="n">
        <v>1.1589</v>
      </c>
    </row>
    <row r="1116">
      <c r="A1116" t="n">
        <v>17</v>
      </c>
      <c r="B1116" t="inlineStr">
        <is>
          <t>MeOH</t>
        </is>
      </c>
      <c r="L1116" s="23" t="inlineStr">
        <is>
          <t>Average</t>
        </is>
      </c>
      <c r="M1116" s="23" t="inlineStr">
        <is>
          <t>Stdev</t>
        </is>
      </c>
      <c r="N1116" s="9" t="inlineStr">
        <is>
          <t>Combined</t>
        </is>
      </c>
      <c r="Q1116" t="inlineStr">
        <is>
          <t>K3-4C</t>
        </is>
      </c>
      <c r="R1116" t="n">
        <v>1.0206</v>
      </c>
    </row>
    <row r="1117">
      <c r="A1117" t="n">
        <v>18</v>
      </c>
      <c r="B1117" t="inlineStr">
        <is>
          <t>K4-5A</t>
        </is>
      </c>
      <c r="D1117" t="n">
        <v>12.03</v>
      </c>
      <c r="E1117" t="n">
        <v>2023.26</v>
      </c>
      <c r="F1117" t="n">
        <v>3930.075</v>
      </c>
      <c r="G1117" t="n">
        <v>36.782</v>
      </c>
      <c r="H1117">
        <f>E1117/F1117</f>
        <v/>
      </c>
      <c r="I1117">
        <f>((H1117-$J$1099)/$I$1099)</f>
        <v/>
      </c>
      <c r="J1117">
        <f>(I1117-IF($I$1107&gt;0,$I$1107,0))</f>
        <v/>
      </c>
      <c r="K1117">
        <f>J1117/R1101*1.1</f>
        <v/>
      </c>
      <c r="L1117">
        <f>AVERAGE(K1117:K1119)</f>
        <v/>
      </c>
      <c r="M1117">
        <f>STDEV(K1117:K1119)</f>
        <v/>
      </c>
      <c r="N1117">
        <f>_xlfn.CONCAT(ROUND(L1117,1)," ± ",ROUND(M1117,1))</f>
        <v/>
      </c>
      <c r="Q1117" t="inlineStr">
        <is>
          <t>K3-6A</t>
        </is>
      </c>
      <c r="R1117" t="n">
        <v>1.1289</v>
      </c>
    </row>
    <row r="1118">
      <c r="A1118" t="n">
        <v>19</v>
      </c>
      <c r="B1118" t="inlineStr">
        <is>
          <t>K4-5B</t>
        </is>
      </c>
      <c r="D1118" t="n">
        <v>12.03</v>
      </c>
      <c r="E1118" t="n">
        <v>1382.26</v>
      </c>
      <c r="F1118" t="n">
        <v>6277.964</v>
      </c>
      <c r="G1118" t="n">
        <v>24.862</v>
      </c>
      <c r="H1118">
        <f>E1118/F1118</f>
        <v/>
      </c>
      <c r="I1118">
        <f>((H1118-$J$1099)/$I$1099)</f>
        <v/>
      </c>
      <c r="J1118">
        <f>(I1118-IF($I$1107&gt;0,$I$1107,0))</f>
        <v/>
      </c>
      <c r="K1118">
        <f>J1118/R1102*1.1</f>
        <v/>
      </c>
      <c r="Q1118" t="inlineStr">
        <is>
          <t>K3-6B</t>
        </is>
      </c>
      <c r="R1118" t="n">
        <v>1.195</v>
      </c>
    </row>
    <row r="1119">
      <c r="A1119" t="n">
        <v>20</v>
      </c>
      <c r="B1119" t="inlineStr">
        <is>
          <t>K4-5C</t>
        </is>
      </c>
      <c r="D1119" t="n">
        <v>12.03</v>
      </c>
      <c r="E1119" t="n">
        <v>642.29</v>
      </c>
      <c r="F1119" t="n">
        <v>2207.119</v>
      </c>
      <c r="G1119" t="n">
        <v>17.749</v>
      </c>
      <c r="H1119">
        <f>E1119/F1119</f>
        <v/>
      </c>
      <c r="I1119">
        <f>((H1119-$J$1099)/$I$1099)</f>
        <v/>
      </c>
      <c r="J1119">
        <f>(I1119-IF($I$1107&gt;0,$I$1107,0))</f>
        <v/>
      </c>
      <c r="K1119">
        <f>J1119/R1103*1.1</f>
        <v/>
      </c>
      <c r="L1119" s="23" t="n"/>
      <c r="M1119" s="23" t="n"/>
      <c r="N1119" s="9" t="n"/>
      <c r="Q1119" t="inlineStr">
        <is>
          <t>K3-6C</t>
        </is>
      </c>
      <c r="R1119" t="n">
        <v>1.1716</v>
      </c>
    </row>
    <row r="1120">
      <c r="A1120" t="n">
        <v>21</v>
      </c>
      <c r="B1120" t="inlineStr">
        <is>
          <t>MeOH</t>
        </is>
      </c>
      <c r="L1120" s="23" t="inlineStr">
        <is>
          <t>Average</t>
        </is>
      </c>
      <c r="M1120" s="23" t="inlineStr">
        <is>
          <t>Stdev</t>
        </is>
      </c>
      <c r="N1120" s="9" t="inlineStr">
        <is>
          <t>Combined</t>
        </is>
      </c>
    </row>
    <row r="1121">
      <c r="A1121" t="n">
        <v>22</v>
      </c>
      <c r="B1121" t="inlineStr">
        <is>
          <t>K3-1A</t>
        </is>
      </c>
      <c r="D1121" t="n">
        <v>12.05</v>
      </c>
      <c r="E1121" t="n">
        <v>636.434</v>
      </c>
      <c r="F1121" t="n">
        <v>4603.346</v>
      </c>
      <c r="G1121" t="n">
        <v>18.871</v>
      </c>
      <c r="H1121">
        <f>E1121/F1121</f>
        <v/>
      </c>
      <c r="I1121">
        <f>((H1121-$J$1099)/$I$1099)</f>
        <v/>
      </c>
      <c r="J1121">
        <f>(I1121-IF($I$1107&gt;0,$I$1107,0))</f>
        <v/>
      </c>
      <c r="K1121">
        <f>J1121/R1104*1.1</f>
        <v/>
      </c>
      <c r="L1121">
        <f>AVERAGE(K1121:K1123)</f>
        <v/>
      </c>
      <c r="M1121">
        <f>STDEV(K1122:K1123)</f>
        <v/>
      </c>
      <c r="N1121">
        <f>_xlfn.CONCAT(ROUND(L1121,1)," ± ",ROUND(M1121,1))</f>
        <v/>
      </c>
    </row>
    <row r="1122">
      <c r="A1122" t="n">
        <v>23</v>
      </c>
      <c r="B1122" t="inlineStr">
        <is>
          <t>K3-1B</t>
        </is>
      </c>
      <c r="D1122" t="n">
        <v>12.07</v>
      </c>
      <c r="E1122" t="n">
        <v>364.257</v>
      </c>
      <c r="F1122" t="n">
        <v>4832.73</v>
      </c>
      <c r="G1122" t="n">
        <v>11.945</v>
      </c>
      <c r="H1122">
        <f>E1122/F1122</f>
        <v/>
      </c>
      <c r="I1122">
        <f>((H1122-$J$1099)/$I$1099)</f>
        <v/>
      </c>
      <c r="J1122">
        <f>(I1122-IF($I$1107&gt;0,$I$1107,0))</f>
        <v/>
      </c>
      <c r="K1122">
        <f>J1122/R1105*1.1</f>
        <v/>
      </c>
    </row>
    <row r="1123">
      <c r="A1123" t="n">
        <v>24</v>
      </c>
      <c r="B1123" t="inlineStr">
        <is>
          <t>K3-1C</t>
        </is>
      </c>
      <c r="D1123" t="n">
        <v>12.05</v>
      </c>
      <c r="E1123" t="n">
        <v>194.611</v>
      </c>
      <c r="F1123" t="n">
        <v>5250.105</v>
      </c>
      <c r="G1123" t="n">
        <v>5.97</v>
      </c>
      <c r="H1123">
        <f>E1123/F1123</f>
        <v/>
      </c>
      <c r="I1123">
        <f>((H1123-$J$1099)/$I$1099)</f>
        <v/>
      </c>
      <c r="J1123">
        <f>(I1123-IF($I$1107&gt;0,$I$1107,0))</f>
        <v/>
      </c>
      <c r="K1123">
        <f>J1123/R1106*1.1</f>
        <v/>
      </c>
      <c r="L1123" s="23" t="inlineStr">
        <is>
          <t>Average</t>
        </is>
      </c>
      <c r="M1123" s="23" t="inlineStr">
        <is>
          <t>Stdev</t>
        </is>
      </c>
      <c r="N1123" s="9" t="inlineStr">
        <is>
          <t>Combined</t>
        </is>
      </c>
    </row>
    <row r="1124">
      <c r="A1124" t="n">
        <v>25</v>
      </c>
      <c r="B1124" t="inlineStr">
        <is>
          <t>K3-2A</t>
        </is>
      </c>
      <c r="D1124" t="n">
        <v>12.05</v>
      </c>
      <c r="E1124" t="n">
        <v>426.778</v>
      </c>
      <c r="F1124" t="n">
        <v>4574.33</v>
      </c>
      <c r="G1124" t="n">
        <v>8.955</v>
      </c>
      <c r="H1124">
        <f>E1124/F1124</f>
        <v/>
      </c>
      <c r="I1124">
        <f>((H1124-$J$1099)/$I$1099)</f>
        <v/>
      </c>
      <c r="J1124">
        <f>(I1124-IF($I$1107&gt;0,$I$1107,0))</f>
        <v/>
      </c>
      <c r="K1124">
        <f>J1124/R1107*1.1</f>
        <v/>
      </c>
      <c r="L1124">
        <f>AVERAGE(K1124:K1126)</f>
        <v/>
      </c>
      <c r="M1124">
        <f>STDEV(K1124:K1126)</f>
        <v/>
      </c>
      <c r="N1124">
        <f>_xlfn.CONCAT(ROUND(L1124,1)," ± ",ROUND(M1124,1))</f>
        <v/>
      </c>
    </row>
    <row r="1125">
      <c r="A1125" t="n">
        <v>26</v>
      </c>
      <c r="B1125" t="inlineStr">
        <is>
          <t>K3-2B</t>
        </is>
      </c>
      <c r="D1125" t="n">
        <v>12.05</v>
      </c>
      <c r="E1125" t="n">
        <v>235.705</v>
      </c>
      <c r="F1125" t="n">
        <v>5271.769</v>
      </c>
      <c r="G1125" t="n">
        <v>5.16</v>
      </c>
      <c r="H1125">
        <f>E1125/F1125</f>
        <v/>
      </c>
      <c r="I1125">
        <f>((H1125-$J$1099)/$I$1099)</f>
        <v/>
      </c>
      <c r="J1125">
        <f>(I1125-IF($I$1107&gt;0,$I$1107,0))</f>
        <v/>
      </c>
      <c r="K1125">
        <f>J1125/R1108*1.1</f>
        <v/>
      </c>
    </row>
    <row r="1126">
      <c r="A1126" t="n">
        <v>27</v>
      </c>
      <c r="B1126" t="inlineStr">
        <is>
          <t>K3-2C</t>
        </is>
      </c>
      <c r="D1126" t="n">
        <v>12.06</v>
      </c>
      <c r="E1126" t="n">
        <v>154.229</v>
      </c>
      <c r="F1126" t="n">
        <v>4675.447</v>
      </c>
      <c r="G1126" t="n">
        <v>13.18</v>
      </c>
      <c r="H1126">
        <f>E1126/F1126</f>
        <v/>
      </c>
      <c r="I1126">
        <f>((H1126-$J$1099)/$I$1099)</f>
        <v/>
      </c>
      <c r="J1126">
        <f>(I1126-IF($I$1107&gt;0,$I$1107,0))</f>
        <v/>
      </c>
      <c r="K1126">
        <f>J1126/R1109*1.1</f>
        <v/>
      </c>
      <c r="L1126" s="23" t="n"/>
      <c r="M1126" s="23" t="n"/>
      <c r="N1126" s="9" t="n"/>
    </row>
    <row r="1127">
      <c r="A1127" t="n">
        <v>28</v>
      </c>
      <c r="B1127" t="inlineStr">
        <is>
          <t>MeOH</t>
        </is>
      </c>
      <c r="L1127" s="23" t="inlineStr">
        <is>
          <t>Average</t>
        </is>
      </c>
      <c r="M1127" s="23" t="inlineStr">
        <is>
          <t>Stdev</t>
        </is>
      </c>
      <c r="N1127" s="9" t="inlineStr">
        <is>
          <t>Combined</t>
        </is>
      </c>
    </row>
    <row r="1128">
      <c r="A1128" t="n">
        <v>29</v>
      </c>
      <c r="B1128" t="inlineStr">
        <is>
          <t>K3-3A</t>
        </is>
      </c>
      <c r="D1128" t="n">
        <v>12.07</v>
      </c>
      <c r="E1128" t="n">
        <v>219.136</v>
      </c>
      <c r="F1128" t="n">
        <v>3868.886</v>
      </c>
      <c r="G1128" t="n">
        <v>6.05</v>
      </c>
      <c r="H1128">
        <f>E1128/F1128</f>
        <v/>
      </c>
      <c r="I1128">
        <f>((H1128-$J$1099)/$I$1099)</f>
        <v/>
      </c>
      <c r="J1128">
        <f>(I1128-IF($I$1107&gt;0,$I$1107,0))</f>
        <v/>
      </c>
      <c r="K1128">
        <f>J1128/R1110*1.1</f>
        <v/>
      </c>
      <c r="L1128">
        <f>AVERAGE(K1128:K1130)</f>
        <v/>
      </c>
      <c r="M1128">
        <f>STDEV(K1129:K1130)</f>
        <v/>
      </c>
      <c r="N1128">
        <f>_xlfn.CONCAT(ROUND(L1128,1)," ± ",ROUND(M1128,1))</f>
        <v/>
      </c>
    </row>
    <row r="1129">
      <c r="A1129" t="n">
        <v>30</v>
      </c>
      <c r="B1129" t="inlineStr">
        <is>
          <t>K3-3B</t>
        </is>
      </c>
      <c r="D1129" t="n">
        <v>12.07</v>
      </c>
      <c r="E1129" t="n">
        <v>233.663</v>
      </c>
      <c r="F1129" t="n">
        <v>5558.256</v>
      </c>
      <c r="G1129" t="n">
        <v>6.202</v>
      </c>
      <c r="H1129">
        <f>E1129/F1129</f>
        <v/>
      </c>
      <c r="I1129">
        <f>((H1129-$J$1099)/$I$1099)</f>
        <v/>
      </c>
      <c r="J1129">
        <f>(I1129-IF($I$1107&gt;0,$I$1107,0))</f>
        <v/>
      </c>
      <c r="K1129">
        <f>J1129/R1111*1.1</f>
        <v/>
      </c>
    </row>
    <row r="1130">
      <c r="A1130" t="n">
        <v>31</v>
      </c>
      <c r="B1130" t="inlineStr">
        <is>
          <t>K3-3C</t>
        </is>
      </c>
      <c r="D1130" t="n">
        <v>12.07</v>
      </c>
      <c r="E1130" t="n">
        <v>240.557</v>
      </c>
      <c r="F1130" t="n">
        <v>5019.609</v>
      </c>
      <c r="G1130" t="n">
        <v>10.899</v>
      </c>
      <c r="H1130">
        <f>E1130/F1130</f>
        <v/>
      </c>
      <c r="I1130">
        <f>((H1130-$J$1099)/$I$1099)</f>
        <v/>
      </c>
      <c r="J1130">
        <f>(I1130-IF($I$1107&gt;0,$I$1107,0))</f>
        <v/>
      </c>
      <c r="K1130">
        <f>J1130/R1112*1.1</f>
        <v/>
      </c>
      <c r="L1130" s="23" t="inlineStr">
        <is>
          <t>Average</t>
        </is>
      </c>
      <c r="M1130" s="23" t="inlineStr">
        <is>
          <t>Stdev</t>
        </is>
      </c>
      <c r="N1130" s="9" t="inlineStr">
        <is>
          <t>Combined</t>
        </is>
      </c>
    </row>
    <row r="1131">
      <c r="A1131" t="n">
        <v>32</v>
      </c>
      <c r="B1131" t="inlineStr">
        <is>
          <t>K3-4A</t>
        </is>
      </c>
      <c r="D1131" t="n">
        <v>12.04</v>
      </c>
      <c r="E1131" t="n">
        <v>192.284</v>
      </c>
      <c r="F1131" t="n">
        <v>4571.521</v>
      </c>
      <c r="G1131" t="n">
        <v>3.096</v>
      </c>
      <c r="H1131">
        <f>E1131/F1131</f>
        <v/>
      </c>
      <c r="I1131">
        <f>((H1131-$J$1099)/$I$1099)</f>
        <v/>
      </c>
      <c r="J1131">
        <f>(I1131-IF($I$1107&gt;0,$I$1107,0))</f>
        <v/>
      </c>
      <c r="K1131">
        <f>J1131/R1113*1.1</f>
        <v/>
      </c>
      <c r="L1131">
        <f>AVERAGE(K1131:K1133)</f>
        <v/>
      </c>
      <c r="M1131">
        <f>STDEV(K1131:K1133)</f>
        <v/>
      </c>
      <c r="N1131">
        <f>_xlfn.CONCAT(ROUND(L1131,1)," ± ",ROUND(M1131,1))</f>
        <v/>
      </c>
    </row>
    <row r="1132">
      <c r="A1132" t="n">
        <v>33</v>
      </c>
      <c r="B1132" t="inlineStr">
        <is>
          <t>K3-4B</t>
        </is>
      </c>
      <c r="D1132" t="n">
        <v>12.09</v>
      </c>
      <c r="E1132" t="n">
        <v>138.679</v>
      </c>
      <c r="F1132" t="n">
        <v>5043.437</v>
      </c>
      <c r="G1132" t="n">
        <v>7.053</v>
      </c>
      <c r="H1132">
        <f>E1132/F1132</f>
        <v/>
      </c>
      <c r="I1132">
        <f>((H1132-$J$1099)/$I$1099)</f>
        <v/>
      </c>
      <c r="J1132">
        <f>(I1132-IF($I$1107&gt;0,$I$1107,0))</f>
        <v/>
      </c>
      <c r="K1132">
        <f>J1132/R1114*1.1</f>
        <v/>
      </c>
    </row>
    <row r="1133">
      <c r="A1133" t="n">
        <v>34</v>
      </c>
      <c r="B1133" t="inlineStr">
        <is>
          <t>K3-4C</t>
        </is>
      </c>
      <c r="D1133" t="n">
        <v>12.06</v>
      </c>
      <c r="E1133" t="n">
        <v>129.187</v>
      </c>
      <c r="F1133" t="n">
        <v>5033.665</v>
      </c>
      <c r="G1133" t="n">
        <v>6.841</v>
      </c>
      <c r="H1133">
        <f>E1133/F1133</f>
        <v/>
      </c>
      <c r="I1133">
        <f>((H1133-$J$1099)/$I$1099)</f>
        <v/>
      </c>
      <c r="J1133">
        <f>(I1133-IF($I$1107&gt;0,$I$1107,0))</f>
        <v/>
      </c>
      <c r="K1133">
        <f>J1133/R1115*1.1</f>
        <v/>
      </c>
      <c r="L1133" s="23" t="n"/>
      <c r="M1133" s="23" t="n"/>
      <c r="N1133" s="9" t="n"/>
    </row>
    <row r="1134">
      <c r="A1134" t="n">
        <v>35</v>
      </c>
      <c r="B1134" t="inlineStr">
        <is>
          <t>MeOH</t>
        </is>
      </c>
      <c r="L1134" s="23" t="inlineStr">
        <is>
          <t>Average</t>
        </is>
      </c>
      <c r="M1134" s="23" t="inlineStr">
        <is>
          <t>Stdev</t>
        </is>
      </c>
      <c r="N1134" s="9" t="inlineStr">
        <is>
          <t>Combined</t>
        </is>
      </c>
    </row>
    <row r="1135">
      <c r="A1135" t="n">
        <v>36</v>
      </c>
      <c r="B1135" t="inlineStr">
        <is>
          <t>K3-6A</t>
        </is>
      </c>
      <c r="D1135" t="n">
        <v>12.09</v>
      </c>
      <c r="E1135" t="n">
        <v>207.505</v>
      </c>
      <c r="F1135" t="n">
        <v>3966.205</v>
      </c>
      <c r="G1135" t="n">
        <v>4.551</v>
      </c>
      <c r="H1135">
        <f>E1135/F1135</f>
        <v/>
      </c>
      <c r="I1135">
        <f>((H1135-$J$1099)/$I$1099)</f>
        <v/>
      </c>
      <c r="J1135">
        <f>(I1135-IF($I$1107&gt;0,$I$1107,0))</f>
        <v/>
      </c>
      <c r="K1135">
        <f>J1135/R1116*1.1</f>
        <v/>
      </c>
      <c r="L1135">
        <f>AVERAGE(K1135:K1137)</f>
        <v/>
      </c>
      <c r="M1135">
        <f>STDEV(K1136:K1137)</f>
        <v/>
      </c>
      <c r="N1135">
        <f>_xlfn.CONCAT(ROUND(L1135,1)," ± ",ROUND(M1135,1))</f>
        <v/>
      </c>
    </row>
    <row r="1136">
      <c r="A1136" t="n">
        <v>37</v>
      </c>
      <c r="B1136" t="inlineStr">
        <is>
          <t>K3-6B</t>
        </is>
      </c>
      <c r="D1136" t="n">
        <v>12.07</v>
      </c>
      <c r="E1136" t="n">
        <v>240.379</v>
      </c>
      <c r="F1136" t="n">
        <v>3977.533</v>
      </c>
      <c r="G1136" t="n">
        <v>19.911</v>
      </c>
      <c r="H1136">
        <f>E1136/F1136</f>
        <v/>
      </c>
      <c r="I1136">
        <f>((H1136-$J$1099)/$I$1099)</f>
        <v/>
      </c>
      <c r="J1136">
        <f>(I1136-IF($I$1107&gt;0,$I$1107,0))</f>
        <v/>
      </c>
      <c r="K1136">
        <f>J1136/R1117*1.1</f>
        <v/>
      </c>
    </row>
    <row r="1137">
      <c r="A1137" t="n">
        <v>38</v>
      </c>
      <c r="B1137" t="inlineStr">
        <is>
          <t>K3-6C</t>
        </is>
      </c>
      <c r="D1137" t="n">
        <v>12.09</v>
      </c>
      <c r="E1137" t="n">
        <v>157.595</v>
      </c>
      <c r="F1137" t="n">
        <v>3666.082</v>
      </c>
      <c r="G1137" t="n">
        <v>5.536</v>
      </c>
      <c r="H1137">
        <f>E1137/F1137</f>
        <v/>
      </c>
      <c r="I1137">
        <f>((H1137-$J$1099)/$I$1099)</f>
        <v/>
      </c>
      <c r="J1137">
        <f>(I1137-IF($I$1107&gt;0,$I$1107,0))</f>
        <v/>
      </c>
      <c r="K1137">
        <f>J1137/R1118*1.1</f>
        <v/>
      </c>
      <c r="L1137" s="23" t="n"/>
      <c r="M1137" s="23" t="n"/>
      <c r="N1137" s="9" t="n"/>
    </row>
    <row r="1139">
      <c r="A1139" t="inlineStr">
        <is>
          <t>Compound 28:  6-6 diPAP 2</t>
        </is>
      </c>
    </row>
    <row r="1141">
      <c r="B1141" t="inlineStr">
        <is>
          <t>Sample Text</t>
        </is>
      </c>
      <c r="C1141" t="inlineStr">
        <is>
          <t>Std. Conc</t>
        </is>
      </c>
      <c r="D1141" t="inlineStr">
        <is>
          <t>RT</t>
        </is>
      </c>
      <c r="E1141" t="inlineStr">
        <is>
          <t>Area</t>
        </is>
      </c>
      <c r="F1141" t="inlineStr">
        <is>
          <t>IS Area</t>
        </is>
      </c>
      <c r="G1141" t="inlineStr">
        <is>
          <t>S/N</t>
        </is>
      </c>
      <c r="H1141" t="inlineStr">
        <is>
          <t>Primary Flags</t>
        </is>
      </c>
      <c r="I1141" t="inlineStr">
        <is>
          <t>Response</t>
        </is>
      </c>
      <c r="J1141" t="inlineStr">
        <is>
          <t>Conc.</t>
        </is>
      </c>
      <c r="K1141" t="inlineStr">
        <is>
          <t>Name</t>
        </is>
      </c>
    </row>
    <row r="1142">
      <c r="A1142" t="n">
        <v>1</v>
      </c>
      <c r="B1142" t="inlineStr">
        <is>
          <t>EPA1633 &amp; diPAPs Calibration 0 ppb</t>
        </is>
      </c>
      <c r="F1142" t="n">
        <v>19473.51</v>
      </c>
      <c r="K1142" t="inlineStr">
        <is>
          <t>20250617-12</t>
        </is>
      </c>
    </row>
    <row r="1143">
      <c r="A1143" t="n">
        <v>2</v>
      </c>
      <c r="B1143" t="inlineStr">
        <is>
          <t>EPA1633 &amp; diPAPs Calibration 0.02 ppb</t>
        </is>
      </c>
      <c r="F1143" t="n">
        <v>13285.255</v>
      </c>
      <c r="K1143" t="inlineStr">
        <is>
          <t>20250617-13</t>
        </is>
      </c>
    </row>
    <row r="1144">
      <c r="A1144" t="n">
        <v>3</v>
      </c>
      <c r="B1144" t="inlineStr">
        <is>
          <t>EPA1633 &amp; diPAPs Calibration 0.1 ppb</t>
        </is>
      </c>
      <c r="D1144" t="n">
        <v>12</v>
      </c>
      <c r="E1144" t="n">
        <v>79.949</v>
      </c>
      <c r="F1144" t="n">
        <v>16010.102</v>
      </c>
      <c r="G1144" t="n">
        <v>5.649</v>
      </c>
      <c r="H1144" t="inlineStr">
        <is>
          <t>bb</t>
        </is>
      </c>
      <c r="K1144" t="inlineStr">
        <is>
          <t>20250617-14</t>
        </is>
      </c>
    </row>
    <row r="1145">
      <c r="A1145" t="n">
        <v>4</v>
      </c>
      <c r="B1145" t="inlineStr">
        <is>
          <t>EPA1633 &amp; diPAPs Calibration 0.4 ppb</t>
        </is>
      </c>
      <c r="D1145" t="n">
        <v>12</v>
      </c>
      <c r="E1145" t="n">
        <v>136.773</v>
      </c>
      <c r="F1145" t="n">
        <v>14214.025</v>
      </c>
      <c r="G1145" t="n">
        <v>855</v>
      </c>
      <c r="H1145" t="inlineStr">
        <is>
          <t>bb</t>
        </is>
      </c>
      <c r="K1145" t="inlineStr">
        <is>
          <t>20250617-15</t>
        </is>
      </c>
    </row>
    <row r="1146">
      <c r="A1146" t="n">
        <v>5</v>
      </c>
      <c r="B1146" t="inlineStr">
        <is>
          <t>EPA1633 &amp; diPAPs Calibration 1 ppb</t>
        </is>
      </c>
      <c r="D1146" t="n">
        <v>12.02</v>
      </c>
      <c r="E1146" t="n">
        <v>473.27</v>
      </c>
      <c r="F1146" t="n">
        <v>21931.449</v>
      </c>
      <c r="G1146" t="n">
        <v>1233.86</v>
      </c>
      <c r="H1146" t="inlineStr">
        <is>
          <t>bb</t>
        </is>
      </c>
      <c r="K1146" t="inlineStr">
        <is>
          <t>20250617-16</t>
        </is>
      </c>
    </row>
    <row r="1147">
      <c r="A1147" t="n">
        <v>6</v>
      </c>
      <c r="B1147" t="inlineStr">
        <is>
          <t>EPA1633 &amp; diPAPs Calibration 5 ppb</t>
        </is>
      </c>
      <c r="D1147" t="n">
        <v>12</v>
      </c>
      <c r="E1147" t="n">
        <v>893.149</v>
      </c>
      <c r="F1147" t="n">
        <v>17537.508</v>
      </c>
      <c r="G1147" t="n">
        <v>2281.618</v>
      </c>
      <c r="H1147" t="inlineStr">
        <is>
          <t>bb</t>
        </is>
      </c>
      <c r="K1147" t="inlineStr">
        <is>
          <t>20250617-17</t>
        </is>
      </c>
    </row>
    <row r="1148">
      <c r="A1148" t="n">
        <v>7</v>
      </c>
      <c r="B1148" t="inlineStr">
        <is>
          <t>EPA1633 &amp; diPAPs Calibration 10 ppb</t>
        </is>
      </c>
      <c r="D1148" t="n">
        <v>12</v>
      </c>
      <c r="E1148" t="n">
        <v>1735.725</v>
      </c>
      <c r="F1148" t="n">
        <v>29293.133</v>
      </c>
      <c r="G1148" t="n">
        <v>11255</v>
      </c>
      <c r="H1148" t="inlineStr">
        <is>
          <t>bb</t>
        </is>
      </c>
      <c r="K1148" t="inlineStr">
        <is>
          <t>20250617-18</t>
        </is>
      </c>
    </row>
    <row r="1149">
      <c r="A1149" t="n">
        <v>8</v>
      </c>
      <c r="B1149" t="inlineStr">
        <is>
          <t>EPA1633 &amp; diPAPs Calibration 20 ppb</t>
        </is>
      </c>
      <c r="D1149" t="n">
        <v>12</v>
      </c>
      <c r="E1149" t="n">
        <v>634.561</v>
      </c>
      <c r="F1149" t="n">
        <v>13919.142</v>
      </c>
      <c r="G1149" t="n">
        <v>4135</v>
      </c>
      <c r="H1149" t="inlineStr">
        <is>
          <t>bb</t>
        </is>
      </c>
      <c r="K1149" t="inlineStr">
        <is>
          <t>20250617-19</t>
        </is>
      </c>
    </row>
    <row r="1150">
      <c r="A1150" t="n">
        <v>9</v>
      </c>
      <c r="B1150" t="inlineStr">
        <is>
          <t>MeOH</t>
        </is>
      </c>
      <c r="K1150" t="inlineStr">
        <is>
          <t>20250617-20</t>
        </is>
      </c>
    </row>
    <row r="1151">
      <c r="A1151" t="n">
        <v>10</v>
      </c>
      <c r="B1151" t="inlineStr">
        <is>
          <t>MeOH</t>
        </is>
      </c>
      <c r="K1151" t="inlineStr">
        <is>
          <t>20250617-21</t>
        </is>
      </c>
    </row>
    <row r="1152">
      <c r="A1152" t="n">
        <v>11</v>
      </c>
      <c r="B1152" t="inlineStr">
        <is>
          <t>SB1</t>
        </is>
      </c>
      <c r="F1152" t="n">
        <v>5289.194</v>
      </c>
      <c r="K1152" t="inlineStr">
        <is>
          <t>20250617-22</t>
        </is>
      </c>
    </row>
    <row r="1153">
      <c r="A1153" t="n">
        <v>12</v>
      </c>
      <c r="B1153" t="inlineStr">
        <is>
          <t>SB2</t>
        </is>
      </c>
      <c r="F1153" t="n">
        <v>6667.125</v>
      </c>
      <c r="K1153" t="inlineStr">
        <is>
          <t>20250617-23</t>
        </is>
      </c>
    </row>
    <row r="1154">
      <c r="A1154" t="n">
        <v>13</v>
      </c>
      <c r="B1154" t="inlineStr">
        <is>
          <t>SB3</t>
        </is>
      </c>
      <c r="F1154" t="n">
        <v>5460.875</v>
      </c>
      <c r="K1154" t="inlineStr">
        <is>
          <t>20250617-24</t>
        </is>
      </c>
    </row>
    <row r="1155">
      <c r="A1155" t="n">
        <v>14</v>
      </c>
      <c r="B1155" t="inlineStr">
        <is>
          <t>SS1</t>
        </is>
      </c>
      <c r="D1155" t="n">
        <v>12.03</v>
      </c>
      <c r="E1155" t="n">
        <v>237.869</v>
      </c>
      <c r="F1155" t="n">
        <v>6517.947</v>
      </c>
      <c r="G1155" t="n">
        <v>7.507</v>
      </c>
      <c r="H1155" t="inlineStr">
        <is>
          <t>bb</t>
        </is>
      </c>
      <c r="K1155" t="inlineStr">
        <is>
          <t>20250617-25</t>
        </is>
      </c>
    </row>
    <row r="1156">
      <c r="A1156" t="n">
        <v>15</v>
      </c>
      <c r="B1156" t="inlineStr">
        <is>
          <t>SS2</t>
        </is>
      </c>
      <c r="D1156" t="n">
        <v>12.03</v>
      </c>
      <c r="E1156" t="n">
        <v>155.414</v>
      </c>
      <c r="F1156" t="n">
        <v>6712.642</v>
      </c>
      <c r="G1156" t="n">
        <v>7.956</v>
      </c>
      <c r="H1156" t="inlineStr">
        <is>
          <t>bb</t>
        </is>
      </c>
      <c r="K1156" t="inlineStr">
        <is>
          <t>20250617-26</t>
        </is>
      </c>
    </row>
    <row r="1157">
      <c r="A1157" t="n">
        <v>16</v>
      </c>
      <c r="B1157" t="inlineStr">
        <is>
          <t>SS3</t>
        </is>
      </c>
      <c r="D1157" t="n">
        <v>12.02</v>
      </c>
      <c r="E1157" t="n">
        <v>47.246</v>
      </c>
      <c r="F1157" t="n">
        <v>6363.637</v>
      </c>
      <c r="G1157" t="n">
        <v>6.053</v>
      </c>
      <c r="H1157" t="inlineStr">
        <is>
          <t>bb</t>
        </is>
      </c>
      <c r="K1157" t="inlineStr">
        <is>
          <t>20250617-27</t>
        </is>
      </c>
    </row>
    <row r="1158">
      <c r="A1158" t="n">
        <v>17</v>
      </c>
      <c r="B1158" t="inlineStr">
        <is>
          <t>MeOH</t>
        </is>
      </c>
      <c r="K1158" t="inlineStr">
        <is>
          <t>20250617-28</t>
        </is>
      </c>
    </row>
    <row r="1159">
      <c r="A1159" t="n">
        <v>18</v>
      </c>
      <c r="B1159" t="inlineStr">
        <is>
          <t>K4-5A</t>
        </is>
      </c>
      <c r="D1159" t="n">
        <v>12.05</v>
      </c>
      <c r="E1159" t="n">
        <v>22.253</v>
      </c>
      <c r="F1159" t="n">
        <v>3930.075</v>
      </c>
      <c r="G1159" t="n">
        <v>164</v>
      </c>
      <c r="H1159" t="inlineStr">
        <is>
          <t>bb</t>
        </is>
      </c>
      <c r="K1159" t="inlineStr">
        <is>
          <t>20250617-29</t>
        </is>
      </c>
    </row>
    <row r="1160">
      <c r="A1160" t="n">
        <v>19</v>
      </c>
      <c r="B1160" t="inlineStr">
        <is>
          <t>K4-5B</t>
        </is>
      </c>
      <c r="F1160" t="n">
        <v>6277.964</v>
      </c>
      <c r="K1160" t="inlineStr">
        <is>
          <t>20250617-30</t>
        </is>
      </c>
    </row>
    <row r="1161">
      <c r="A1161" t="n">
        <v>20</v>
      </c>
      <c r="B1161" t="inlineStr">
        <is>
          <t>K4-5C</t>
        </is>
      </c>
      <c r="F1161" t="n">
        <v>2207.119</v>
      </c>
      <c r="K1161" t="inlineStr">
        <is>
          <t>20250617-31</t>
        </is>
      </c>
    </row>
    <row r="1162">
      <c r="A1162" t="n">
        <v>21</v>
      </c>
      <c r="B1162" t="inlineStr">
        <is>
          <t>MeOH</t>
        </is>
      </c>
      <c r="K1162" t="inlineStr">
        <is>
          <t>20250617-32</t>
        </is>
      </c>
    </row>
    <row r="1163">
      <c r="A1163" t="n">
        <v>22</v>
      </c>
      <c r="B1163" t="inlineStr">
        <is>
          <t>K3-1A</t>
        </is>
      </c>
      <c r="F1163" t="n">
        <v>4603.346</v>
      </c>
      <c r="K1163" t="inlineStr">
        <is>
          <t>20250617-33</t>
        </is>
      </c>
    </row>
    <row r="1164">
      <c r="A1164" t="n">
        <v>23</v>
      </c>
      <c r="B1164" t="inlineStr">
        <is>
          <t>K3-1B</t>
        </is>
      </c>
      <c r="F1164" t="n">
        <v>4832.73</v>
      </c>
      <c r="K1164" t="inlineStr">
        <is>
          <t>20250617-34</t>
        </is>
      </c>
    </row>
    <row r="1165">
      <c r="A1165" t="n">
        <v>24</v>
      </c>
      <c r="B1165" t="inlineStr">
        <is>
          <t>K3-1C</t>
        </is>
      </c>
      <c r="F1165" t="n">
        <v>5250.105</v>
      </c>
      <c r="K1165" t="inlineStr">
        <is>
          <t>20250617-35</t>
        </is>
      </c>
    </row>
    <row r="1166">
      <c r="A1166" t="n">
        <v>25</v>
      </c>
      <c r="B1166" t="inlineStr">
        <is>
          <t>K3-2A</t>
        </is>
      </c>
      <c r="F1166" t="n">
        <v>4574.33</v>
      </c>
      <c r="K1166" t="inlineStr">
        <is>
          <t>20250617-36</t>
        </is>
      </c>
    </row>
    <row r="1167">
      <c r="A1167" t="n">
        <v>26</v>
      </c>
      <c r="B1167" t="inlineStr">
        <is>
          <t>K3-2B</t>
        </is>
      </c>
      <c r="F1167" t="n">
        <v>5271.769</v>
      </c>
      <c r="K1167" t="inlineStr">
        <is>
          <t>20250617-37</t>
        </is>
      </c>
    </row>
    <row r="1168">
      <c r="A1168" t="n">
        <v>27</v>
      </c>
      <c r="B1168" t="inlineStr">
        <is>
          <t>K3-2C</t>
        </is>
      </c>
      <c r="F1168" t="n">
        <v>4675.447</v>
      </c>
      <c r="K1168" t="inlineStr">
        <is>
          <t>20250617-38</t>
        </is>
      </c>
    </row>
    <row r="1169">
      <c r="A1169" t="n">
        <v>28</v>
      </c>
      <c r="B1169" t="inlineStr">
        <is>
          <t>MeOH</t>
        </is>
      </c>
      <c r="K1169" t="inlineStr">
        <is>
          <t>20250617-39</t>
        </is>
      </c>
    </row>
    <row r="1170">
      <c r="A1170" t="n">
        <v>29</v>
      </c>
      <c r="B1170" t="inlineStr">
        <is>
          <t>K3-3A</t>
        </is>
      </c>
      <c r="F1170" t="n">
        <v>3868.886</v>
      </c>
      <c r="K1170" t="inlineStr">
        <is>
          <t>20250617-40</t>
        </is>
      </c>
    </row>
    <row r="1171">
      <c r="A1171" t="n">
        <v>30</v>
      </c>
      <c r="B1171" t="inlineStr">
        <is>
          <t>K3-3B</t>
        </is>
      </c>
      <c r="F1171" t="n">
        <v>5558.256</v>
      </c>
      <c r="K1171" t="inlineStr">
        <is>
          <t>20250617-41</t>
        </is>
      </c>
    </row>
    <row r="1172">
      <c r="A1172" t="n">
        <v>31</v>
      </c>
      <c r="B1172" t="inlineStr">
        <is>
          <t>K3-3C</t>
        </is>
      </c>
      <c r="F1172" t="n">
        <v>5019.609</v>
      </c>
      <c r="K1172" t="inlineStr">
        <is>
          <t>20250617-42</t>
        </is>
      </c>
    </row>
    <row r="1173">
      <c r="A1173" t="n">
        <v>32</v>
      </c>
      <c r="B1173" t="inlineStr">
        <is>
          <t>K3-4A</t>
        </is>
      </c>
      <c r="F1173" t="n">
        <v>4571.521</v>
      </c>
      <c r="K1173" t="inlineStr">
        <is>
          <t>20250617-43</t>
        </is>
      </c>
    </row>
    <row r="1174">
      <c r="A1174" t="n">
        <v>33</v>
      </c>
      <c r="B1174" t="inlineStr">
        <is>
          <t>K3-4B</t>
        </is>
      </c>
      <c r="F1174" t="n">
        <v>5043.437</v>
      </c>
      <c r="K1174" t="inlineStr">
        <is>
          <t>20250617-44</t>
        </is>
      </c>
    </row>
    <row r="1175">
      <c r="A1175" t="n">
        <v>34</v>
      </c>
      <c r="B1175" t="inlineStr">
        <is>
          <t>K3-4C</t>
        </is>
      </c>
      <c r="F1175" t="n">
        <v>5033.665</v>
      </c>
      <c r="K1175" t="inlineStr">
        <is>
          <t>20250617-45</t>
        </is>
      </c>
    </row>
    <row r="1176">
      <c r="A1176" t="n">
        <v>35</v>
      </c>
      <c r="B1176" t="inlineStr">
        <is>
          <t>MeOH</t>
        </is>
      </c>
      <c r="K1176" t="inlineStr">
        <is>
          <t>20250617-46</t>
        </is>
      </c>
    </row>
    <row r="1177">
      <c r="A1177" t="n">
        <v>36</v>
      </c>
      <c r="B1177" t="inlineStr">
        <is>
          <t>K3-6A</t>
        </is>
      </c>
      <c r="D1177" t="n">
        <v>12.16</v>
      </c>
      <c r="E1177" t="n">
        <v>0.287</v>
      </c>
      <c r="F1177" t="n">
        <v>3966.205</v>
      </c>
      <c r="G1177" t="n">
        <v>2</v>
      </c>
      <c r="H1177" t="inlineStr">
        <is>
          <t>bb</t>
        </is>
      </c>
      <c r="K1177" t="inlineStr">
        <is>
          <t>20250617-47</t>
        </is>
      </c>
    </row>
    <row r="1178">
      <c r="A1178" t="n">
        <v>37</v>
      </c>
      <c r="B1178" t="inlineStr">
        <is>
          <t>K3-6B</t>
        </is>
      </c>
      <c r="F1178" t="n">
        <v>3977.533</v>
      </c>
      <c r="K1178" t="inlineStr">
        <is>
          <t>20250617-48</t>
        </is>
      </c>
    </row>
    <row r="1179">
      <c r="A1179" t="n">
        <v>38</v>
      </c>
      <c r="B1179" t="inlineStr">
        <is>
          <t>K3-6C</t>
        </is>
      </c>
      <c r="D1179" t="n">
        <v>11.52</v>
      </c>
      <c r="E1179" t="n">
        <v>0.644</v>
      </c>
      <c r="F1179" t="n">
        <v>3666.082</v>
      </c>
      <c r="G1179" t="n">
        <v>5</v>
      </c>
      <c r="H1179" t="inlineStr">
        <is>
          <t>bb</t>
        </is>
      </c>
      <c r="K1179" t="inlineStr">
        <is>
          <t>20250617-49</t>
        </is>
      </c>
    </row>
    <row r="1181">
      <c r="A1181" t="inlineStr">
        <is>
          <t>Compound 29:  6-6-6 triPAP 1</t>
        </is>
      </c>
    </row>
    <row r="1183">
      <c r="B1183" t="inlineStr">
        <is>
          <t>Sample Text</t>
        </is>
      </c>
      <c r="C1183" t="inlineStr">
        <is>
          <t>Std. Conc</t>
        </is>
      </c>
      <c r="D1183" t="inlineStr">
        <is>
          <t>RT</t>
        </is>
      </c>
      <c r="E1183" t="inlineStr">
        <is>
          <t>Area</t>
        </is>
      </c>
      <c r="F1183" t="inlineStr">
        <is>
          <t>IS Area</t>
        </is>
      </c>
      <c r="G1183" t="inlineStr">
        <is>
          <t>S/N</t>
        </is>
      </c>
      <c r="H1183" t="inlineStr">
        <is>
          <t>Primary Flags</t>
        </is>
      </c>
      <c r="I1183" t="inlineStr">
        <is>
          <t>Response</t>
        </is>
      </c>
      <c r="J1183" t="inlineStr">
        <is>
          <t>Conc.</t>
        </is>
      </c>
      <c r="K1183" t="inlineStr">
        <is>
          <t>Name</t>
        </is>
      </c>
    </row>
    <row r="1184">
      <c r="A1184" t="n">
        <v>1</v>
      </c>
      <c r="B1184" t="inlineStr">
        <is>
          <t>EPA1633 &amp; diPAPs Calibration 0 ppb</t>
        </is>
      </c>
      <c r="F1184" t="n">
        <v>19473.51</v>
      </c>
      <c r="K1184" t="inlineStr">
        <is>
          <t>20250617-12</t>
        </is>
      </c>
    </row>
    <row r="1185">
      <c r="A1185" t="n">
        <v>2</v>
      </c>
      <c r="B1185" t="inlineStr">
        <is>
          <t>EPA1633 &amp; diPAPs Calibration 0.02 ppb</t>
        </is>
      </c>
      <c r="F1185" t="n">
        <v>13285.255</v>
      </c>
      <c r="K1185" t="inlineStr">
        <is>
          <t>20250617-13</t>
        </is>
      </c>
    </row>
    <row r="1186">
      <c r="A1186" t="n">
        <v>3</v>
      </c>
      <c r="B1186" t="inlineStr">
        <is>
          <t>EPA1633 &amp; diPAPs Calibration 0.1 ppb</t>
        </is>
      </c>
      <c r="F1186" t="n">
        <v>16010.102</v>
      </c>
      <c r="K1186" t="inlineStr">
        <is>
          <t>20250617-14</t>
        </is>
      </c>
    </row>
    <row r="1187">
      <c r="A1187" t="n">
        <v>4</v>
      </c>
      <c r="B1187" t="inlineStr">
        <is>
          <t>EPA1633 &amp; diPAPs Calibration 0.4 ppb</t>
        </is>
      </c>
      <c r="F1187" t="n">
        <v>14214.025</v>
      </c>
      <c r="K1187" t="inlineStr">
        <is>
          <t>20250617-15</t>
        </is>
      </c>
    </row>
    <row r="1188">
      <c r="A1188" t="n">
        <v>5</v>
      </c>
      <c r="B1188" t="inlineStr">
        <is>
          <t>EPA1633 &amp; diPAPs Calibration 1 ppb</t>
        </is>
      </c>
      <c r="F1188" t="n">
        <v>21931.449</v>
      </c>
      <c r="K1188" t="inlineStr">
        <is>
          <t>20250617-16</t>
        </is>
      </c>
    </row>
    <row r="1189">
      <c r="A1189" t="n">
        <v>6</v>
      </c>
      <c r="B1189" t="inlineStr">
        <is>
          <t>EPA1633 &amp; diPAPs Calibration 5 ppb</t>
        </is>
      </c>
      <c r="F1189" t="n">
        <v>17537.508</v>
      </c>
      <c r="K1189" t="inlineStr">
        <is>
          <t>20250617-17</t>
        </is>
      </c>
    </row>
    <row r="1190">
      <c r="A1190" t="n">
        <v>7</v>
      </c>
      <c r="B1190" t="inlineStr">
        <is>
          <t>EPA1633 &amp; diPAPs Calibration 10 ppb</t>
        </is>
      </c>
      <c r="D1190" t="n">
        <v>16.1</v>
      </c>
      <c r="E1190" t="n">
        <v>3.906</v>
      </c>
      <c r="F1190" t="n">
        <v>29293.133</v>
      </c>
      <c r="G1190" t="n">
        <v>32</v>
      </c>
      <c r="H1190" t="inlineStr">
        <is>
          <t>bb</t>
        </is>
      </c>
      <c r="K1190" t="inlineStr">
        <is>
          <t>20250617-18</t>
        </is>
      </c>
    </row>
    <row r="1191">
      <c r="A1191" t="n">
        <v>8</v>
      </c>
      <c r="B1191" t="inlineStr">
        <is>
          <t>EPA1633 &amp; diPAPs Calibration 20 ppb</t>
        </is>
      </c>
      <c r="F1191" t="n">
        <v>13919.142</v>
      </c>
      <c r="K1191" t="inlineStr">
        <is>
          <t>20250617-19</t>
        </is>
      </c>
    </row>
    <row r="1192">
      <c r="A1192" t="n">
        <v>9</v>
      </c>
      <c r="B1192" t="inlineStr">
        <is>
          <t>MeOH</t>
        </is>
      </c>
      <c r="K1192" t="inlineStr">
        <is>
          <t>20250617-20</t>
        </is>
      </c>
    </row>
    <row r="1193">
      <c r="A1193" t="n">
        <v>10</v>
      </c>
      <c r="B1193" t="inlineStr">
        <is>
          <t>MeOH</t>
        </is>
      </c>
      <c r="K1193" t="inlineStr">
        <is>
          <t>20250617-21</t>
        </is>
      </c>
    </row>
    <row r="1194">
      <c r="A1194" t="n">
        <v>11</v>
      </c>
      <c r="B1194" t="inlineStr">
        <is>
          <t>SB1</t>
        </is>
      </c>
      <c r="F1194" t="n">
        <v>5289.194</v>
      </c>
      <c r="K1194" t="inlineStr">
        <is>
          <t>20250617-22</t>
        </is>
      </c>
    </row>
    <row r="1195">
      <c r="A1195" t="n">
        <v>12</v>
      </c>
      <c r="B1195" t="inlineStr">
        <is>
          <t>SB2</t>
        </is>
      </c>
      <c r="F1195" t="n">
        <v>6667.125</v>
      </c>
      <c r="K1195" t="inlineStr">
        <is>
          <t>20250617-23</t>
        </is>
      </c>
    </row>
    <row r="1196">
      <c r="A1196" t="n">
        <v>13</v>
      </c>
      <c r="B1196" t="inlineStr">
        <is>
          <t>SB3</t>
        </is>
      </c>
      <c r="F1196" t="n">
        <v>5460.875</v>
      </c>
      <c r="K1196" t="inlineStr">
        <is>
          <t>20250617-24</t>
        </is>
      </c>
    </row>
    <row r="1197">
      <c r="A1197" t="n">
        <v>14</v>
      </c>
      <c r="B1197" t="inlineStr">
        <is>
          <t>SS1</t>
        </is>
      </c>
      <c r="F1197" t="n">
        <v>6517.947</v>
      </c>
      <c r="K1197" t="inlineStr">
        <is>
          <t>20250617-25</t>
        </is>
      </c>
    </row>
    <row r="1198">
      <c r="A1198" t="n">
        <v>15</v>
      </c>
      <c r="B1198" t="inlineStr">
        <is>
          <t>SS2</t>
        </is>
      </c>
      <c r="F1198" t="n">
        <v>6712.642</v>
      </c>
      <c r="K1198" t="inlineStr">
        <is>
          <t>20250617-26</t>
        </is>
      </c>
    </row>
    <row r="1199">
      <c r="A1199" t="n">
        <v>16</v>
      </c>
      <c r="B1199" t="inlineStr">
        <is>
          <t>SS3</t>
        </is>
      </c>
      <c r="F1199" t="n">
        <v>6363.637</v>
      </c>
      <c r="K1199" t="inlineStr">
        <is>
          <t>20250617-27</t>
        </is>
      </c>
    </row>
    <row r="1200">
      <c r="A1200" t="n">
        <v>17</v>
      </c>
      <c r="B1200" t="inlineStr">
        <is>
          <t>MeOH</t>
        </is>
      </c>
      <c r="K1200" t="inlineStr">
        <is>
          <t>20250617-28</t>
        </is>
      </c>
    </row>
    <row r="1201">
      <c r="A1201" t="n">
        <v>18</v>
      </c>
      <c r="B1201" t="inlineStr">
        <is>
          <t>K4-5A</t>
        </is>
      </c>
      <c r="F1201" t="n">
        <v>3930.075</v>
      </c>
      <c r="K1201" t="inlineStr">
        <is>
          <t>20250617-29</t>
        </is>
      </c>
    </row>
    <row r="1202">
      <c r="A1202" t="n">
        <v>19</v>
      </c>
      <c r="B1202" t="inlineStr">
        <is>
          <t>K4-5B</t>
        </is>
      </c>
      <c r="F1202" t="n">
        <v>6277.964</v>
      </c>
      <c r="K1202" t="inlineStr">
        <is>
          <t>20250617-30</t>
        </is>
      </c>
    </row>
    <row r="1203">
      <c r="A1203" t="n">
        <v>20</v>
      </c>
      <c r="B1203" t="inlineStr">
        <is>
          <t>K4-5C</t>
        </is>
      </c>
      <c r="F1203" t="n">
        <v>2207.119</v>
      </c>
      <c r="K1203" t="inlineStr">
        <is>
          <t>20250617-31</t>
        </is>
      </c>
    </row>
    <row r="1204">
      <c r="A1204" t="n">
        <v>21</v>
      </c>
      <c r="B1204" t="inlineStr">
        <is>
          <t>MeOH</t>
        </is>
      </c>
      <c r="K1204" t="inlineStr">
        <is>
          <t>20250617-32</t>
        </is>
      </c>
    </row>
    <row r="1205">
      <c r="A1205" t="n">
        <v>22</v>
      </c>
      <c r="B1205" t="inlineStr">
        <is>
          <t>K3-1A</t>
        </is>
      </c>
      <c r="F1205" t="n">
        <v>4603.346</v>
      </c>
      <c r="K1205" t="inlineStr">
        <is>
          <t>20250617-33</t>
        </is>
      </c>
    </row>
    <row r="1206">
      <c r="A1206" t="n">
        <v>23</v>
      </c>
      <c r="B1206" t="inlineStr">
        <is>
          <t>K3-1B</t>
        </is>
      </c>
      <c r="F1206" t="n">
        <v>4832.73</v>
      </c>
      <c r="K1206" t="inlineStr">
        <is>
          <t>20250617-34</t>
        </is>
      </c>
    </row>
    <row r="1207">
      <c r="A1207" t="n">
        <v>24</v>
      </c>
      <c r="B1207" t="inlineStr">
        <is>
          <t>K3-1C</t>
        </is>
      </c>
      <c r="D1207" t="n">
        <v>16.35</v>
      </c>
      <c r="E1207" t="n">
        <v>0.312</v>
      </c>
      <c r="F1207" t="n">
        <v>5250.105</v>
      </c>
      <c r="G1207" t="n">
        <v>3</v>
      </c>
      <c r="H1207" t="inlineStr">
        <is>
          <t>bb</t>
        </is>
      </c>
      <c r="K1207" t="inlineStr">
        <is>
          <t>20250617-35</t>
        </is>
      </c>
    </row>
    <row r="1208">
      <c r="A1208" t="n">
        <v>25</v>
      </c>
      <c r="B1208" t="inlineStr">
        <is>
          <t>K3-2A</t>
        </is>
      </c>
      <c r="F1208" t="n">
        <v>4574.33</v>
      </c>
      <c r="K1208" t="inlineStr">
        <is>
          <t>20250617-36</t>
        </is>
      </c>
    </row>
    <row r="1209">
      <c r="A1209" t="n">
        <v>26</v>
      </c>
      <c r="B1209" t="inlineStr">
        <is>
          <t>K3-2B</t>
        </is>
      </c>
      <c r="D1209" t="n">
        <v>16.3</v>
      </c>
      <c r="E1209" t="n">
        <v>0.18</v>
      </c>
      <c r="F1209" t="n">
        <v>5271.769</v>
      </c>
      <c r="G1209" t="n">
        <v>1</v>
      </c>
      <c r="H1209" t="inlineStr">
        <is>
          <t>bb</t>
        </is>
      </c>
      <c r="K1209" t="inlineStr">
        <is>
          <t>20250617-37</t>
        </is>
      </c>
    </row>
    <row r="1210">
      <c r="A1210" t="n">
        <v>27</v>
      </c>
      <c r="B1210" t="inlineStr">
        <is>
          <t>K3-2C</t>
        </is>
      </c>
      <c r="F1210" t="n">
        <v>4675.447</v>
      </c>
      <c r="K1210" t="inlineStr">
        <is>
          <t>20250617-38</t>
        </is>
      </c>
    </row>
    <row r="1211">
      <c r="A1211" t="n">
        <v>28</v>
      </c>
      <c r="B1211" t="inlineStr">
        <is>
          <t>MeOH</t>
        </is>
      </c>
      <c r="K1211" t="inlineStr">
        <is>
          <t>20250617-39</t>
        </is>
      </c>
    </row>
    <row r="1212">
      <c r="A1212" t="n">
        <v>29</v>
      </c>
      <c r="B1212" t="inlineStr">
        <is>
          <t>K3-3A</t>
        </is>
      </c>
      <c r="F1212" t="n">
        <v>3868.886</v>
      </c>
      <c r="K1212" t="inlineStr">
        <is>
          <t>20250617-40</t>
        </is>
      </c>
    </row>
    <row r="1213">
      <c r="A1213" t="n">
        <v>30</v>
      </c>
      <c r="B1213" t="inlineStr">
        <is>
          <t>K3-3B</t>
        </is>
      </c>
      <c r="F1213" t="n">
        <v>5558.256</v>
      </c>
      <c r="K1213" t="inlineStr">
        <is>
          <t>20250617-41</t>
        </is>
      </c>
    </row>
    <row r="1214">
      <c r="A1214" t="n">
        <v>31</v>
      </c>
      <c r="B1214" t="inlineStr">
        <is>
          <t>K3-3C</t>
        </is>
      </c>
      <c r="F1214" t="n">
        <v>5019.609</v>
      </c>
      <c r="K1214" t="inlineStr">
        <is>
          <t>20250617-42</t>
        </is>
      </c>
    </row>
    <row r="1215">
      <c r="A1215" t="n">
        <v>32</v>
      </c>
      <c r="B1215" t="inlineStr">
        <is>
          <t>K3-4A</t>
        </is>
      </c>
      <c r="F1215" t="n">
        <v>4571.521</v>
      </c>
      <c r="K1215" t="inlineStr">
        <is>
          <t>20250617-43</t>
        </is>
      </c>
    </row>
    <row r="1216">
      <c r="A1216" t="n">
        <v>33</v>
      </c>
      <c r="B1216" t="inlineStr">
        <is>
          <t>K3-4B</t>
        </is>
      </c>
      <c r="F1216" t="n">
        <v>5043.437</v>
      </c>
      <c r="K1216" t="inlineStr">
        <is>
          <t>20250617-44</t>
        </is>
      </c>
    </row>
    <row r="1217">
      <c r="A1217" t="n">
        <v>34</v>
      </c>
      <c r="B1217" t="inlineStr">
        <is>
          <t>K3-4C</t>
        </is>
      </c>
      <c r="F1217" t="n">
        <v>5033.665</v>
      </c>
      <c r="K1217" t="inlineStr">
        <is>
          <t>20250617-45</t>
        </is>
      </c>
    </row>
    <row r="1218">
      <c r="A1218" t="n">
        <v>35</v>
      </c>
      <c r="B1218" t="inlineStr">
        <is>
          <t>MeOH</t>
        </is>
      </c>
      <c r="K1218" t="inlineStr">
        <is>
          <t>20250617-46</t>
        </is>
      </c>
    </row>
    <row r="1219">
      <c r="A1219" t="n">
        <v>36</v>
      </c>
      <c r="B1219" t="inlineStr">
        <is>
          <t>K3-6A</t>
        </is>
      </c>
      <c r="F1219" t="n">
        <v>3966.205</v>
      </c>
      <c r="K1219" t="inlineStr">
        <is>
          <t>20250617-47</t>
        </is>
      </c>
    </row>
    <row r="1220">
      <c r="A1220" t="n">
        <v>37</v>
      </c>
      <c r="B1220" t="inlineStr">
        <is>
          <t>K3-6B</t>
        </is>
      </c>
      <c r="F1220" t="n">
        <v>3977.533</v>
      </c>
      <c r="K1220" t="inlineStr">
        <is>
          <t>20250617-48</t>
        </is>
      </c>
    </row>
    <row r="1221">
      <c r="A1221" t="n">
        <v>38</v>
      </c>
      <c r="B1221" t="inlineStr">
        <is>
          <t>K3-6C</t>
        </is>
      </c>
      <c r="F1221" t="n">
        <v>3666.082</v>
      </c>
      <c r="K1221" t="inlineStr">
        <is>
          <t>20250617-49</t>
        </is>
      </c>
    </row>
    <row r="1223">
      <c r="A1223" t="inlineStr">
        <is>
          <t>Compound 30:  6-6-6 triPAP 2</t>
        </is>
      </c>
    </row>
    <row r="1224">
      <c r="I1224" t="inlineStr">
        <is>
          <t>LINEST</t>
        </is>
      </c>
      <c r="Q1224" t="inlineStr">
        <is>
          <t>Biosolids Masses</t>
        </is>
      </c>
      <c r="R1224" t="inlineStr">
        <is>
          <t>(g)</t>
        </is>
      </c>
    </row>
    <row r="1225">
      <c r="B1225" t="inlineStr">
        <is>
          <t>Sample Text</t>
        </is>
      </c>
      <c r="C1225" t="inlineStr">
        <is>
          <t>Std. Conc</t>
        </is>
      </c>
      <c r="D1225" t="inlineStr">
        <is>
          <t>RT</t>
        </is>
      </c>
      <c r="E1225" t="inlineStr">
        <is>
          <t>Area</t>
        </is>
      </c>
      <c r="F1225" t="inlineStr">
        <is>
          <t>IS Area</t>
        </is>
      </c>
      <c r="G1225" t="inlineStr">
        <is>
          <t>S/N</t>
        </is>
      </c>
      <c r="H1225" t="inlineStr">
        <is>
          <t>ratio</t>
        </is>
      </c>
      <c r="I1225">
        <f t="array" ref="I1225:J1229">LINEST(H1226:H1231,C1226:C1231,1,1)</f>
        <v/>
      </c>
      <c r="J1225" t="n">
        <v>0.063874962605178</v>
      </c>
      <c r="L1225" s="20" t="inlineStr">
        <is>
          <t>By S/N Ratio</t>
        </is>
      </c>
      <c r="Q1225" t="inlineStr">
        <is>
          <t>SS1</t>
        </is>
      </c>
      <c r="R1225" t="n">
        <v>1.0846</v>
      </c>
    </row>
    <row r="1226">
      <c r="A1226" t="n">
        <v>1</v>
      </c>
      <c r="B1226" t="inlineStr">
        <is>
          <t>EPA1633 &amp; diPAPs Calibration 0 ppb</t>
        </is>
      </c>
      <c r="C1226" s="44" t="n">
        <v>0</v>
      </c>
      <c r="D1226" t="n">
        <v>15.86</v>
      </c>
      <c r="E1226" t="n">
        <v>622.579</v>
      </c>
      <c r="F1226" t="n">
        <v>19473.51</v>
      </c>
      <c r="G1226" t="n">
        <v>4.579</v>
      </c>
      <c r="H1226">
        <f>E1226/F1226</f>
        <v/>
      </c>
      <c r="I1226" t="n">
        <v>0.007297596296275344</v>
      </c>
      <c r="J1226" t="n">
        <v>0.02480958930201638</v>
      </c>
      <c r="K1226" t="inlineStr">
        <is>
          <t>LOD</t>
        </is>
      </c>
      <c r="L1226" s="21">
        <f>IF(G1229&gt;3,C1229,IF(G1230&gt;3,#REF!,IF(G1231&gt;3,C1231,IF(G1232&gt;3,C1232,C1233))))</f>
        <v/>
      </c>
      <c r="Q1226" t="inlineStr">
        <is>
          <t>SS2</t>
        </is>
      </c>
      <c r="R1226" t="n">
        <v>1.0726</v>
      </c>
    </row>
    <row r="1227">
      <c r="A1227" t="n">
        <v>2</v>
      </c>
      <c r="B1227" t="inlineStr">
        <is>
          <t>EPA1633 &amp; diPAPs Calibration 0.02 ppb</t>
        </is>
      </c>
      <c r="C1227" s="44" t="n">
        <v>0.5502976073798143</v>
      </c>
      <c r="D1227" t="n">
        <v>15.83</v>
      </c>
      <c r="E1227" t="n">
        <v>1337.812</v>
      </c>
      <c r="F1227" t="n">
        <v>13285.255</v>
      </c>
      <c r="G1227" t="n">
        <v>13.402</v>
      </c>
      <c r="H1227">
        <f>E1227/F1227</f>
        <v/>
      </c>
      <c r="I1227" t="n">
        <v>0.9307779507975926</v>
      </c>
      <c r="J1227" t="n">
        <v>0.04163721673855229</v>
      </c>
      <c r="K1227" t="inlineStr">
        <is>
          <t>LOQ</t>
        </is>
      </c>
      <c r="L1227" s="22">
        <f>IF(G1229&gt;10,C1229,IF(G1230&gt;10,#REF!,IF(G1231&gt;10,C1231,IF(G1232&gt;10,C1232,C1233))))</f>
        <v/>
      </c>
      <c r="Q1227" t="inlineStr">
        <is>
          <t>SS3</t>
        </is>
      </c>
      <c r="R1227" t="n">
        <v>1.1534</v>
      </c>
    </row>
    <row r="1228">
      <c r="A1228" t="n">
        <v>3</v>
      </c>
      <c r="B1228" t="inlineStr">
        <is>
          <t>EPA1633 &amp; diPAPs Calibration 0.1 ppb</t>
        </is>
      </c>
      <c r="C1228" s="44" t="n">
        <v>1.100595214759629</v>
      </c>
      <c r="D1228" t="n">
        <v>15.82</v>
      </c>
      <c r="E1228" t="n">
        <v>1738.876</v>
      </c>
      <c r="F1228" t="n">
        <v>16010.102</v>
      </c>
      <c r="G1228" t="n">
        <v>18.702</v>
      </c>
      <c r="H1228">
        <f>E1228/F1228</f>
        <v/>
      </c>
      <c r="I1228" t="n">
        <v>53.78505615030088</v>
      </c>
      <c r="J1228" t="n">
        <v>4</v>
      </c>
      <c r="Q1228" t="inlineStr">
        <is>
          <t>K4-5A</t>
        </is>
      </c>
      <c r="R1228" t="n">
        <v>1.1054</v>
      </c>
    </row>
    <row r="1229">
      <c r="A1229" t="n">
        <v>4</v>
      </c>
      <c r="B1229" t="inlineStr">
        <is>
          <t>EPA1633 &amp; diPAPs Calibration 0.4 ppb</t>
        </is>
      </c>
      <c r="C1229" s="44" t="n">
        <v>2.201190429519257</v>
      </c>
      <c r="D1229" t="n">
        <v>15.82</v>
      </c>
      <c r="E1229" t="n">
        <v>3572.154</v>
      </c>
      <c r="F1229" t="n">
        <v>14214.025</v>
      </c>
      <c r="G1229" t="n">
        <v>28.345</v>
      </c>
      <c r="H1229">
        <f>E1229/F1229</f>
        <v/>
      </c>
      <c r="I1229" t="n">
        <v>0.09324488307218712</v>
      </c>
      <c r="J1229" t="n">
        <v>0.006934631270932716</v>
      </c>
      <c r="Q1229" t="inlineStr">
        <is>
          <t>K4-5B</t>
        </is>
      </c>
      <c r="R1229" s="10" t="n">
        <v>1.0463</v>
      </c>
    </row>
    <row r="1230">
      <c r="A1230" t="n">
        <v>5</v>
      </c>
      <c r="B1230" t="inlineStr">
        <is>
          <t>EPA1633 &amp; diPAPs Calibration 1 ppb</t>
        </is>
      </c>
      <c r="C1230" s="44" t="n">
        <v>4.402380859038514</v>
      </c>
      <c r="D1230" t="n">
        <v>15.82</v>
      </c>
      <c r="E1230" t="n">
        <v>5945.223</v>
      </c>
      <c r="F1230" t="n">
        <v>21931.449</v>
      </c>
      <c r="G1230" t="n">
        <v>49.158</v>
      </c>
      <c r="H1230">
        <f>E1230/F1230</f>
        <v/>
      </c>
      <c r="Q1230" t="inlineStr">
        <is>
          <t>K4-5C</t>
        </is>
      </c>
      <c r="R1230" t="n">
        <v>1.1155</v>
      </c>
    </row>
    <row r="1231">
      <c r="A1231" t="n">
        <v>6</v>
      </c>
      <c r="B1231" t="inlineStr">
        <is>
          <t>EPA1633 &amp; diPAPs Calibration 5 ppb</t>
        </is>
      </c>
      <c r="C1231" s="44" t="n">
        <v>6.603571288557771</v>
      </c>
      <c r="D1231" t="n">
        <v>15.83</v>
      </c>
      <c r="E1231" t="n">
        <v>7273.981</v>
      </c>
      <c r="F1231" t="n">
        <v>17537.508</v>
      </c>
      <c r="G1231" t="n">
        <v>52.333</v>
      </c>
      <c r="H1231">
        <f>E1231/F1231</f>
        <v/>
      </c>
      <c r="Q1231" t="inlineStr">
        <is>
          <t>K3-1A</t>
        </is>
      </c>
      <c r="R1231" t="n">
        <v>1.0874</v>
      </c>
    </row>
    <row r="1232">
      <c r="A1232" t="n">
        <v>7</v>
      </c>
      <c r="B1232" t="inlineStr">
        <is>
          <t>EPA1633 &amp; diPAPs Calibration 10 ppb</t>
        </is>
      </c>
      <c r="C1232" s="44" t="n">
        <v>8.804761718077028</v>
      </c>
      <c r="D1232" t="n">
        <v>15.82</v>
      </c>
      <c r="E1232" t="n">
        <v>30002.164</v>
      </c>
      <c r="F1232" t="n">
        <v>29293.133</v>
      </c>
      <c r="G1232" t="n">
        <v>233.868</v>
      </c>
      <c r="H1232">
        <f>E1232/F1232</f>
        <v/>
      </c>
      <c r="I1232" s="23" t="inlineStr">
        <is>
          <t>Background</t>
        </is>
      </c>
      <c r="J1232" s="23" t="inlineStr">
        <is>
          <t>Spike</t>
        </is>
      </c>
      <c r="K1232" s="9" t="inlineStr">
        <is>
          <t>Old Spike</t>
        </is>
      </c>
      <c r="O1232" s="24" t="inlineStr">
        <is>
          <t>±</t>
        </is>
      </c>
      <c r="Q1232" t="inlineStr">
        <is>
          <t>K3-1B</t>
        </is>
      </c>
      <c r="R1232" t="n">
        <v>1.0898</v>
      </c>
    </row>
    <row r="1233">
      <c r="A1233" t="n">
        <v>8</v>
      </c>
      <c r="B1233" t="inlineStr">
        <is>
          <t>EPA1633 &amp; diPAPs Calibration 20 ppb</t>
        </is>
      </c>
      <c r="C1233" s="44" t="n">
        <v>11.00595214759628</v>
      </c>
      <c r="D1233" t="n">
        <v>15.82</v>
      </c>
      <c r="E1233" t="n">
        <v>11523.099</v>
      </c>
      <c r="F1233" t="n">
        <v>13919.142</v>
      </c>
      <c r="G1233" t="n">
        <v>102.678</v>
      </c>
      <c r="H1233">
        <f>E1233/F1233</f>
        <v/>
      </c>
      <c r="I1233">
        <f>AVERAGE(I1236:I1238)</f>
        <v/>
      </c>
      <c r="J1233" t="n">
        <v>9.699999999999999</v>
      </c>
      <c r="Q1233" t="inlineStr">
        <is>
          <t>K3-1C</t>
        </is>
      </c>
      <c r="R1233" t="n">
        <v>1.0536</v>
      </c>
    </row>
    <row r="1234">
      <c r="A1234" t="n">
        <v>9</v>
      </c>
      <c r="B1234" t="inlineStr">
        <is>
          <t>MeOH</t>
        </is>
      </c>
      <c r="I1234" s="23" t="inlineStr">
        <is>
          <t>Conc.In Vial (ppb)</t>
        </is>
      </c>
      <c r="J1234" s="9" t="inlineStr">
        <is>
          <t>Corr. Conc.(ppb)</t>
        </is>
      </c>
      <c r="K1234" s="9" t="inlineStr">
        <is>
          <t>Conc. In soil (ng/g)</t>
        </is>
      </c>
      <c r="Q1234" t="inlineStr">
        <is>
          <t>K3-2A</t>
        </is>
      </c>
      <c r="R1234" s="10" t="n">
        <v>1.1218</v>
      </c>
    </row>
    <row r="1235">
      <c r="A1235" t="n">
        <v>10</v>
      </c>
      <c r="B1235" t="inlineStr">
        <is>
          <t>MeOH</t>
        </is>
      </c>
      <c r="L1235" s="23" t="inlineStr">
        <is>
          <t>Average</t>
        </is>
      </c>
      <c r="M1235" s="23" t="inlineStr">
        <is>
          <t>Stdev</t>
        </is>
      </c>
      <c r="N1235" s="9" t="inlineStr">
        <is>
          <t>Combined</t>
        </is>
      </c>
      <c r="O1235" s="9" t="n"/>
      <c r="P1235" s="9" t="n"/>
      <c r="Q1235" t="inlineStr">
        <is>
          <t>K3-2B</t>
        </is>
      </c>
      <c r="R1235" t="n">
        <v>1.198</v>
      </c>
    </row>
    <row r="1236">
      <c r="A1236" t="n">
        <v>11</v>
      </c>
      <c r="B1236" t="inlineStr">
        <is>
          <t>SB1</t>
        </is>
      </c>
      <c r="D1236" t="n">
        <v>15.84</v>
      </c>
      <c r="E1236" t="n">
        <v>1000.248</v>
      </c>
      <c r="F1236" t="n">
        <v>5289.194</v>
      </c>
      <c r="G1236" t="n">
        <v>7.009</v>
      </c>
      <c r="H1236">
        <f>E1236/F1236</f>
        <v/>
      </c>
      <c r="I1236">
        <f>((H1236-$J$1225)/$I$1225)</f>
        <v/>
      </c>
      <c r="J1236">
        <f>(I1236-IF(I1233&gt;0,I1233,0))</f>
        <v/>
      </c>
      <c r="K1236">
        <f>J1236*1.1</f>
        <v/>
      </c>
      <c r="L1236">
        <f>AVERAGE(K1236:K1238)</f>
        <v/>
      </c>
      <c r="M1236">
        <f>STDEV(K1237:K1238)</f>
        <v/>
      </c>
      <c r="N1236">
        <f>_xlfn.CONCAT(ROUND(L1236,1)," ± ",ROUND(M1236,1))</f>
        <v/>
      </c>
      <c r="Q1236" t="inlineStr">
        <is>
          <t>K3-2C</t>
        </is>
      </c>
      <c r="R1236" t="n">
        <v>1.1538</v>
      </c>
    </row>
    <row r="1237">
      <c r="A1237" t="n">
        <v>12</v>
      </c>
      <c r="B1237" t="inlineStr">
        <is>
          <t>SB2</t>
        </is>
      </c>
      <c r="D1237" t="n">
        <v>15.84</v>
      </c>
      <c r="E1237" t="n">
        <v>677.439</v>
      </c>
      <c r="F1237" t="n">
        <v>6667.125</v>
      </c>
      <c r="G1237" t="n">
        <v>6.973</v>
      </c>
      <c r="H1237">
        <f>E1237/F1237</f>
        <v/>
      </c>
      <c r="I1237">
        <f>((H1237-$J$1225)/$I$1225)</f>
        <v/>
      </c>
      <c r="J1237">
        <f>(I1237-IF(I1233&gt;0,I1233,0))</f>
        <v/>
      </c>
      <c r="K1237">
        <f>J1237*1.1</f>
        <v/>
      </c>
      <c r="Q1237" t="inlineStr">
        <is>
          <t>K3-3A</t>
        </is>
      </c>
      <c r="R1237" t="n">
        <v>1.1183</v>
      </c>
    </row>
    <row r="1238">
      <c r="A1238" t="n">
        <v>13</v>
      </c>
      <c r="B1238" t="inlineStr">
        <is>
          <t>SB3</t>
        </is>
      </c>
      <c r="D1238" t="n">
        <v>16.45</v>
      </c>
      <c r="E1238" t="n">
        <v>858.245</v>
      </c>
      <c r="F1238" t="n">
        <v>5460.875</v>
      </c>
      <c r="G1238" t="n">
        <v>2.037</v>
      </c>
      <c r="H1238">
        <f>E1238/F1238</f>
        <v/>
      </c>
      <c r="I1238">
        <f>((H1238-$J$1225)/$I$1225)</f>
        <v/>
      </c>
      <c r="J1238">
        <f>(I1238-IF(I1233&gt;0,I1233,0))</f>
        <v/>
      </c>
      <c r="K1238" s="30">
        <f>J1238*1.1</f>
        <v/>
      </c>
      <c r="L1238" s="25" t="inlineStr">
        <is>
          <t>Average</t>
        </is>
      </c>
      <c r="M1238" s="25" t="inlineStr">
        <is>
          <t>Stdev</t>
        </is>
      </c>
      <c r="N1238" s="26" t="inlineStr">
        <is>
          <t>%Recovery</t>
        </is>
      </c>
      <c r="O1238" s="26" t="inlineStr">
        <is>
          <t>Uncertainty</t>
        </is>
      </c>
      <c r="P1238" s="26" t="inlineStr">
        <is>
          <t>Combined</t>
        </is>
      </c>
      <c r="Q1238" t="inlineStr">
        <is>
          <t>K3-3B</t>
        </is>
      </c>
      <c r="R1238" t="n">
        <v>1.1448</v>
      </c>
    </row>
    <row r="1239">
      <c r="A1239" t="n">
        <v>14</v>
      </c>
      <c r="B1239" t="inlineStr">
        <is>
          <t>SS1</t>
        </is>
      </c>
      <c r="D1239" t="n">
        <v>15.82</v>
      </c>
      <c r="E1239" t="n">
        <v>11850.412</v>
      </c>
      <c r="F1239" t="n">
        <v>6517.947</v>
      </c>
      <c r="G1239" t="n">
        <v>210.061</v>
      </c>
      <c r="H1239">
        <f>E1239/F1239</f>
        <v/>
      </c>
      <c r="I1239">
        <f>((H1239-$J$1225)/$I$1225)</f>
        <v/>
      </c>
      <c r="J1239">
        <f>(I1239-IF($I$1233&gt;0,$I$1233,0))</f>
        <v/>
      </c>
      <c r="K1239">
        <f>J1239/R1225*1.1</f>
        <v/>
      </c>
      <c r="L1239" s="27">
        <f>AVERAGE(K1239:K1241)</f>
        <v/>
      </c>
      <c r="M1239" s="27">
        <f>STDEV(K1239:K1241)</f>
        <v/>
      </c>
      <c r="N1239" s="28">
        <f>L1239/J1233*100</f>
        <v/>
      </c>
      <c r="O1239" s="29">
        <f>M1239/J1233*100</f>
        <v/>
      </c>
      <c r="P1239" s="29">
        <f>_xlfn.CONCAT(ROUND(N1239,1)," ± ",ROUND(O1239,1))</f>
        <v/>
      </c>
      <c r="Q1239" t="inlineStr">
        <is>
          <t>K3-3C</t>
        </is>
      </c>
      <c r="R1239" t="n">
        <v>1.0493</v>
      </c>
    </row>
    <row r="1240">
      <c r="A1240" t="n">
        <v>15</v>
      </c>
      <c r="B1240" t="inlineStr">
        <is>
          <t>SS2</t>
        </is>
      </c>
      <c r="D1240" t="n">
        <v>15.84</v>
      </c>
      <c r="E1240" t="n">
        <v>13695.567</v>
      </c>
      <c r="F1240" t="n">
        <v>6712.642</v>
      </c>
      <c r="G1240" t="n">
        <v>135.825</v>
      </c>
      <c r="H1240">
        <f>E1240/F1240</f>
        <v/>
      </c>
      <c r="I1240">
        <f>((H1240-$J$1225)/$I$1225)</f>
        <v/>
      </c>
      <c r="J1240">
        <f>(I1240-IF($I$1233&gt;0,$I$1233,0))</f>
        <v/>
      </c>
      <c r="K1240">
        <f>J1240/R1226*1.1</f>
        <v/>
      </c>
      <c r="Q1240" t="inlineStr">
        <is>
          <t>K3-4A</t>
        </is>
      </c>
      <c r="R1240" t="n">
        <v>1.0704</v>
      </c>
    </row>
    <row r="1241">
      <c r="A1241" t="n">
        <v>16</v>
      </c>
      <c r="B1241" t="inlineStr">
        <is>
          <t>SS3</t>
        </is>
      </c>
      <c r="D1241" t="n">
        <v>15.82</v>
      </c>
      <c r="E1241" t="n">
        <v>14256.617</v>
      </c>
      <c r="F1241" t="n">
        <v>6363.637</v>
      </c>
      <c r="G1241" t="n">
        <v>210.108</v>
      </c>
      <c r="H1241">
        <f>E1241/F1241</f>
        <v/>
      </c>
      <c r="I1241">
        <f>((H1241-$J$1225)/$I$1225)</f>
        <v/>
      </c>
      <c r="J1241">
        <f>(I1241-IF($I$1233&gt;0,$I$1233,0))</f>
        <v/>
      </c>
      <c r="K1241" s="30">
        <f>J1241/R1227*1.1</f>
        <v/>
      </c>
      <c r="Q1241" t="inlineStr">
        <is>
          <t>K3-4B</t>
        </is>
      </c>
      <c r="R1241" t="n">
        <v>1.1589</v>
      </c>
    </row>
    <row r="1242">
      <c r="A1242" t="n">
        <v>17</v>
      </c>
      <c r="B1242" t="inlineStr">
        <is>
          <t>MeOH</t>
        </is>
      </c>
      <c r="L1242" s="23" t="inlineStr">
        <is>
          <t>Average</t>
        </is>
      </c>
      <c r="M1242" s="23" t="inlineStr">
        <is>
          <t>Stdev</t>
        </is>
      </c>
      <c r="N1242" s="9" t="inlineStr">
        <is>
          <t>Combined</t>
        </is>
      </c>
      <c r="Q1242" t="inlineStr">
        <is>
          <t>K3-4C</t>
        </is>
      </c>
      <c r="R1242" t="n">
        <v>1.0206</v>
      </c>
    </row>
    <row r="1243">
      <c r="A1243" t="n">
        <v>18</v>
      </c>
      <c r="B1243" t="inlineStr">
        <is>
          <t>K4-5A</t>
        </is>
      </c>
      <c r="D1243" t="n">
        <v>15.82</v>
      </c>
      <c r="E1243" t="n">
        <v>1927.239</v>
      </c>
      <c r="F1243" t="n">
        <v>3930.075</v>
      </c>
      <c r="G1243" t="n">
        <v>16.554</v>
      </c>
      <c r="H1243">
        <f>E1243/F1243</f>
        <v/>
      </c>
      <c r="I1243">
        <f>((H1243-$J$1225)/$I$1225)</f>
        <v/>
      </c>
      <c r="J1243">
        <f>(I1243-IF($I$1233&gt;0,$I$1233,0))</f>
        <v/>
      </c>
      <c r="K1243">
        <f>J1243/R1227*1.1</f>
        <v/>
      </c>
      <c r="L1243">
        <f>AVERAGE(K1243:K1245)</f>
        <v/>
      </c>
      <c r="M1243">
        <f>STDEV(K1243:K1245)</f>
        <v/>
      </c>
      <c r="N1243">
        <f>_xlfn.CONCAT(ROUND(L1243,1)," ± ",ROUND(M1243,1))</f>
        <v/>
      </c>
      <c r="Q1243" t="inlineStr">
        <is>
          <t>K3-6A</t>
        </is>
      </c>
      <c r="R1243" t="n">
        <v>1.1289</v>
      </c>
    </row>
    <row r="1244">
      <c r="A1244" t="n">
        <v>19</v>
      </c>
      <c r="B1244" t="inlineStr">
        <is>
          <t>K4-5B</t>
        </is>
      </c>
      <c r="D1244" t="n">
        <v>15.82</v>
      </c>
      <c r="E1244" t="n">
        <v>885.832</v>
      </c>
      <c r="F1244" t="n">
        <v>6277.964</v>
      </c>
      <c r="G1244" t="n">
        <v>10.996</v>
      </c>
      <c r="H1244">
        <f>E1244/F1244</f>
        <v/>
      </c>
      <c r="I1244">
        <f>((H1244-$J$1225)/$I$1225)</f>
        <v/>
      </c>
      <c r="J1244">
        <f>(I1244-IF($I$1233&gt;0,$I$1233,0))</f>
        <v/>
      </c>
      <c r="K1244">
        <f>J1244/R1228*1.1</f>
        <v/>
      </c>
      <c r="Q1244" t="inlineStr">
        <is>
          <t>K3-6B</t>
        </is>
      </c>
      <c r="R1244" t="n">
        <v>1.195</v>
      </c>
    </row>
    <row r="1245">
      <c r="A1245" t="n">
        <v>20</v>
      </c>
      <c r="B1245" t="inlineStr">
        <is>
          <t>K4-5C</t>
        </is>
      </c>
      <c r="D1245" t="n">
        <v>16.22</v>
      </c>
      <c r="E1245" t="n">
        <v>408.17</v>
      </c>
      <c r="F1245" t="n">
        <v>2207.119</v>
      </c>
      <c r="G1245" t="n">
        <v>2.799</v>
      </c>
      <c r="H1245">
        <f>E1245/F1245</f>
        <v/>
      </c>
      <c r="I1245">
        <f>((H1245-$J$1225)/$I$1225)</f>
        <v/>
      </c>
      <c r="J1245">
        <f>(I1245-IF($I$1233&gt;0,$I$1233,0))</f>
        <v/>
      </c>
      <c r="K1245">
        <f>J1245/R1229*1.1</f>
        <v/>
      </c>
      <c r="L1245" s="23" t="n"/>
      <c r="M1245" s="23" t="n"/>
      <c r="N1245" s="9" t="n"/>
      <c r="Q1245" t="inlineStr">
        <is>
          <t>K3-6C</t>
        </is>
      </c>
      <c r="R1245" t="n">
        <v>1.1716</v>
      </c>
    </row>
    <row r="1246">
      <c r="A1246" t="n">
        <v>21</v>
      </c>
      <c r="B1246" t="inlineStr">
        <is>
          <t>MeOH</t>
        </is>
      </c>
      <c r="L1246" s="23" t="inlineStr">
        <is>
          <t>Average</t>
        </is>
      </c>
      <c r="M1246" s="23" t="inlineStr">
        <is>
          <t>Stdev</t>
        </is>
      </c>
      <c r="N1246" s="9" t="inlineStr">
        <is>
          <t>Combined</t>
        </is>
      </c>
    </row>
    <row r="1247">
      <c r="A1247" t="n">
        <v>22</v>
      </c>
      <c r="B1247" t="inlineStr">
        <is>
          <t>K3-1A</t>
        </is>
      </c>
      <c r="D1247" t="n">
        <v>15.84</v>
      </c>
      <c r="E1247" t="n">
        <v>992.886</v>
      </c>
      <c r="F1247" t="n">
        <v>4603.346</v>
      </c>
      <c r="G1247" t="n">
        <v>10.225</v>
      </c>
      <c r="H1247">
        <f>E1247/F1247</f>
        <v/>
      </c>
      <c r="I1247">
        <f>((H1247-$J$1225)/$I$1225)</f>
        <v/>
      </c>
      <c r="J1247">
        <f>(I1247-IF($I$1233&gt;0,$I$1233,0))</f>
        <v/>
      </c>
      <c r="K1247">
        <f>J1247/R1230*1.1</f>
        <v/>
      </c>
      <c r="L1247">
        <f>AVERAGE(K1247:K1249)</f>
        <v/>
      </c>
      <c r="M1247">
        <f>STDEV(K1248:K1249)</f>
        <v/>
      </c>
      <c r="N1247">
        <f>_xlfn.CONCAT(ROUND(L1247,1)," ± ",ROUND(M1247,1))</f>
        <v/>
      </c>
    </row>
    <row r="1248">
      <c r="A1248" t="n">
        <v>23</v>
      </c>
      <c r="B1248" t="inlineStr">
        <is>
          <t>K3-1B</t>
        </is>
      </c>
      <c r="D1248" t="n">
        <v>15.82</v>
      </c>
      <c r="E1248" t="n">
        <v>458.29</v>
      </c>
      <c r="F1248" t="n">
        <v>4832.73</v>
      </c>
      <c r="G1248" t="n">
        <v>4.624</v>
      </c>
      <c r="H1248">
        <f>E1248/F1248</f>
        <v/>
      </c>
      <c r="I1248">
        <f>((H1248-$J$1225)/$I$1225)</f>
        <v/>
      </c>
      <c r="J1248">
        <f>(I1248-IF($I$1233&gt;0,$I$1233,0))</f>
        <v/>
      </c>
      <c r="K1248">
        <f>J1248/R1231*1.1</f>
        <v/>
      </c>
    </row>
    <row r="1249">
      <c r="A1249" t="n">
        <v>24</v>
      </c>
      <c r="B1249" t="inlineStr">
        <is>
          <t>K3-1C</t>
        </is>
      </c>
      <c r="D1249" t="n">
        <v>15.84</v>
      </c>
      <c r="E1249" t="n">
        <v>541.75</v>
      </c>
      <c r="F1249" t="n">
        <v>5250.105</v>
      </c>
      <c r="G1249" t="n">
        <v>5.363</v>
      </c>
      <c r="H1249">
        <f>E1249/F1249</f>
        <v/>
      </c>
      <c r="I1249">
        <f>((H1249-$J$1225)/$I$1225)</f>
        <v/>
      </c>
      <c r="J1249">
        <f>(I1249-IF($I$1233&gt;0,$I$1233,0))</f>
        <v/>
      </c>
      <c r="K1249">
        <f>J1249/R1232*1.1</f>
        <v/>
      </c>
      <c r="L1249" s="23" t="inlineStr">
        <is>
          <t>Average</t>
        </is>
      </c>
      <c r="M1249" s="23" t="inlineStr">
        <is>
          <t>Stdev</t>
        </is>
      </c>
      <c r="N1249" s="9" t="inlineStr">
        <is>
          <t>Combined</t>
        </is>
      </c>
    </row>
    <row r="1250">
      <c r="A1250" t="n">
        <v>25</v>
      </c>
      <c r="B1250" t="inlineStr">
        <is>
          <t>K3-2A</t>
        </is>
      </c>
      <c r="D1250" t="n">
        <v>15.82</v>
      </c>
      <c r="E1250" t="n">
        <v>821.246</v>
      </c>
      <c r="F1250" t="n">
        <v>4574.33</v>
      </c>
      <c r="G1250" t="n">
        <v>7.334</v>
      </c>
      <c r="H1250">
        <f>E1250/F1250</f>
        <v/>
      </c>
      <c r="I1250">
        <f>((H1250-$J$1225)/$I$1225)</f>
        <v/>
      </c>
      <c r="J1250">
        <f>(I1250-IF($I$1233&gt;0,$I$1233,0))</f>
        <v/>
      </c>
      <c r="K1250">
        <f>J1250/R1233*1.1</f>
        <v/>
      </c>
      <c r="L1250">
        <f>AVERAGE(K1250:K1252)</f>
        <v/>
      </c>
      <c r="M1250">
        <f>STDEV(K1250:K1252)</f>
        <v/>
      </c>
      <c r="N1250">
        <f>_xlfn.CONCAT(ROUND(L1250,1)," ± ",ROUND(M1250,1))</f>
        <v/>
      </c>
    </row>
    <row r="1251">
      <c r="A1251" t="n">
        <v>26</v>
      </c>
      <c r="B1251" t="inlineStr">
        <is>
          <t>K3-2B</t>
        </is>
      </c>
      <c r="D1251" t="n">
        <v>15.84</v>
      </c>
      <c r="E1251" t="n">
        <v>663.431</v>
      </c>
      <c r="F1251" t="n">
        <v>5271.769</v>
      </c>
      <c r="G1251" t="n">
        <v>3.844</v>
      </c>
      <c r="H1251">
        <f>E1251/F1251</f>
        <v/>
      </c>
      <c r="I1251">
        <f>((H1251-$J$1225)/$I$1225)</f>
        <v/>
      </c>
      <c r="J1251">
        <f>(I1251-IF($I$1233&gt;0,$I$1233,0))</f>
        <v/>
      </c>
      <c r="K1251">
        <f>J1251/R1234*1.1</f>
        <v/>
      </c>
    </row>
    <row r="1252">
      <c r="A1252" t="n">
        <v>27</v>
      </c>
      <c r="B1252" t="inlineStr">
        <is>
          <t>K3-2C</t>
        </is>
      </c>
      <c r="D1252" t="n">
        <v>15.83</v>
      </c>
      <c r="E1252" t="n">
        <v>707.029</v>
      </c>
      <c r="F1252" t="n">
        <v>4675.447</v>
      </c>
      <c r="G1252" t="n">
        <v>9.189</v>
      </c>
      <c r="H1252">
        <f>E1252/F1252</f>
        <v/>
      </c>
      <c r="I1252">
        <f>((H1252-$J$1225)/$I$1225)</f>
        <v/>
      </c>
      <c r="J1252">
        <f>(I1252-IF($I$1233&gt;0,$I$1233,0))</f>
        <v/>
      </c>
      <c r="K1252">
        <f>J1252/R1235*1.1</f>
        <v/>
      </c>
      <c r="L1252" s="23" t="n"/>
      <c r="M1252" s="23" t="n"/>
      <c r="N1252" s="9" t="n"/>
    </row>
    <row r="1253">
      <c r="A1253" t="n">
        <v>28</v>
      </c>
      <c r="B1253" t="inlineStr">
        <is>
          <t>MeOH</t>
        </is>
      </c>
      <c r="L1253" s="23" t="inlineStr">
        <is>
          <t>Average</t>
        </is>
      </c>
      <c r="M1253" s="23" t="inlineStr">
        <is>
          <t>Stdev</t>
        </is>
      </c>
      <c r="N1253" s="9" t="inlineStr">
        <is>
          <t>Combined</t>
        </is>
      </c>
    </row>
    <row r="1254">
      <c r="A1254" t="n">
        <v>29</v>
      </c>
      <c r="B1254" t="inlineStr">
        <is>
          <t>K3-3A</t>
        </is>
      </c>
      <c r="D1254" t="n">
        <v>15.83</v>
      </c>
      <c r="E1254" t="n">
        <v>729.884</v>
      </c>
      <c r="F1254" t="n">
        <v>3868.886</v>
      </c>
      <c r="G1254" t="n">
        <v>6.681</v>
      </c>
      <c r="H1254">
        <f>E1254/F1254</f>
        <v/>
      </c>
      <c r="I1254">
        <f>((H1254-$J$1225)/$I$1225)</f>
        <v/>
      </c>
      <c r="J1254">
        <f>(I1254-IF($I$1233&gt;0,$I$1233,0))</f>
        <v/>
      </c>
      <c r="K1254">
        <f>J1254/R1236*1.1</f>
        <v/>
      </c>
      <c r="L1254">
        <f>AVERAGE(K1254:K1256)</f>
        <v/>
      </c>
      <c r="M1254">
        <f>STDEV(K1255:K1256)</f>
        <v/>
      </c>
      <c r="N1254">
        <f>_xlfn.CONCAT(ROUND(L1254,1)," ± ",ROUND(M1254,1))</f>
        <v/>
      </c>
    </row>
    <row r="1255">
      <c r="A1255" t="n">
        <v>30</v>
      </c>
      <c r="B1255" t="inlineStr">
        <is>
          <t>K3-3B</t>
        </is>
      </c>
      <c r="D1255" t="n">
        <v>15.86</v>
      </c>
      <c r="E1255" t="n">
        <v>738.779</v>
      </c>
      <c r="F1255" t="n">
        <v>5558.256</v>
      </c>
      <c r="G1255" t="n">
        <v>3.556</v>
      </c>
      <c r="H1255">
        <f>E1255/F1255</f>
        <v/>
      </c>
      <c r="I1255">
        <f>((H1255-$J$1225)/$I$1225)</f>
        <v/>
      </c>
      <c r="J1255">
        <f>(I1255-IF($I$1233&gt;0,$I$1233,0))</f>
        <v/>
      </c>
      <c r="K1255">
        <f>J1255/R1237*1.1</f>
        <v/>
      </c>
    </row>
    <row r="1256">
      <c r="A1256" t="n">
        <v>31</v>
      </c>
      <c r="B1256" t="inlineStr">
        <is>
          <t>K3-3C</t>
        </is>
      </c>
      <c r="D1256" t="n">
        <v>15.82</v>
      </c>
      <c r="E1256" t="n">
        <v>797.934</v>
      </c>
      <c r="F1256" t="n">
        <v>5019.609</v>
      </c>
      <c r="G1256" t="n">
        <v>5.836</v>
      </c>
      <c r="H1256">
        <f>E1256/F1256</f>
        <v/>
      </c>
      <c r="I1256">
        <f>((H1256-$J$1225)/$I$1225)</f>
        <v/>
      </c>
      <c r="J1256">
        <f>(I1256-IF($I$1233&gt;0,$I$1233,0))</f>
        <v/>
      </c>
      <c r="K1256">
        <f>J1256/R1238*1.1</f>
        <v/>
      </c>
      <c r="L1256" s="23" t="inlineStr">
        <is>
          <t>Average</t>
        </is>
      </c>
      <c r="M1256" s="23" t="inlineStr">
        <is>
          <t>Stdev</t>
        </is>
      </c>
      <c r="N1256" s="9" t="inlineStr">
        <is>
          <t>Combined</t>
        </is>
      </c>
    </row>
    <row r="1257">
      <c r="A1257" t="n">
        <v>32</v>
      </c>
      <c r="B1257" t="inlineStr">
        <is>
          <t>K3-4A</t>
        </is>
      </c>
      <c r="D1257" t="n">
        <v>15.84</v>
      </c>
      <c r="E1257" t="n">
        <v>764.8869999999999</v>
      </c>
      <c r="F1257" t="n">
        <v>4571.521</v>
      </c>
      <c r="G1257" t="n">
        <v>4.318</v>
      </c>
      <c r="H1257">
        <f>E1257/F1257</f>
        <v/>
      </c>
      <c r="I1257">
        <f>((H1257-$J$1225)/$I$1225)</f>
        <v/>
      </c>
      <c r="J1257">
        <f>(I1257-IF($I$1233&gt;0,$I$1233,0))</f>
        <v/>
      </c>
      <c r="K1257">
        <f>J1257/R1239*1.1</f>
        <v/>
      </c>
      <c r="L1257">
        <f>AVERAGE(K1257:K1259)</f>
        <v/>
      </c>
      <c r="M1257">
        <f>STDEV(K1257:K1259)</f>
        <v/>
      </c>
      <c r="N1257">
        <f>_xlfn.CONCAT(ROUND(L1257,1)," ± ",ROUND(M1257,1))</f>
        <v/>
      </c>
    </row>
    <row r="1258">
      <c r="A1258" t="n">
        <v>33</v>
      </c>
      <c r="B1258" t="inlineStr">
        <is>
          <t>K3-4B</t>
        </is>
      </c>
      <c r="D1258" t="n">
        <v>15.83</v>
      </c>
      <c r="E1258" t="n">
        <v>498.634</v>
      </c>
      <c r="F1258" t="n">
        <v>5043.437</v>
      </c>
      <c r="G1258" t="n">
        <v>4.176</v>
      </c>
      <c r="H1258">
        <f>E1258/F1258</f>
        <v/>
      </c>
      <c r="I1258">
        <f>((H1258-$J$1225)/$I$1225)</f>
        <v/>
      </c>
      <c r="J1258">
        <f>(I1258-IF($I$1233&gt;0,$I$1233,0))</f>
        <v/>
      </c>
      <c r="K1258">
        <f>J1258/R1240*1.1</f>
        <v/>
      </c>
    </row>
    <row r="1259">
      <c r="A1259" t="n">
        <v>34</v>
      </c>
      <c r="B1259" t="inlineStr">
        <is>
          <t>K3-4C</t>
        </is>
      </c>
      <c r="D1259" t="n">
        <v>15.81</v>
      </c>
      <c r="E1259" t="n">
        <v>328.699</v>
      </c>
      <c r="F1259" t="n">
        <v>5033.665</v>
      </c>
      <c r="G1259" t="n">
        <v>3.545</v>
      </c>
      <c r="H1259">
        <f>E1259/F1259</f>
        <v/>
      </c>
      <c r="I1259">
        <f>((H1259-$J$1225)/$I$1225)</f>
        <v/>
      </c>
      <c r="J1259">
        <f>(I1259-IF($I$1233&gt;0,$I$1233,0))</f>
        <v/>
      </c>
      <c r="K1259">
        <f>J1259/R1241*1.1</f>
        <v/>
      </c>
      <c r="L1259" s="23" t="n"/>
      <c r="M1259" s="23" t="n"/>
      <c r="N1259" s="9" t="n"/>
    </row>
    <row r="1260">
      <c r="A1260" t="n">
        <v>35</v>
      </c>
      <c r="B1260" t="inlineStr">
        <is>
          <t>MeOH</t>
        </is>
      </c>
      <c r="L1260" s="23" t="inlineStr">
        <is>
          <t>Average</t>
        </is>
      </c>
      <c r="M1260" s="23" t="inlineStr">
        <is>
          <t>Stdev</t>
        </is>
      </c>
      <c r="N1260" s="9" t="inlineStr">
        <is>
          <t>Combined</t>
        </is>
      </c>
    </row>
    <row r="1261">
      <c r="A1261" t="n">
        <v>36</v>
      </c>
      <c r="B1261" t="inlineStr">
        <is>
          <t>K3-6A</t>
        </is>
      </c>
      <c r="D1261" t="n">
        <v>15.81</v>
      </c>
      <c r="E1261" t="n">
        <v>701.106</v>
      </c>
      <c r="F1261" t="n">
        <v>3966.205</v>
      </c>
      <c r="G1261" t="n">
        <v>4.567</v>
      </c>
      <c r="H1261">
        <f>E1261/F1261</f>
        <v/>
      </c>
      <c r="I1261">
        <f>((H1261-$J$1225)/$I$1225)</f>
        <v/>
      </c>
      <c r="J1261">
        <f>(I1261-IF($I$1233&gt;0,$I$1233,0))</f>
        <v/>
      </c>
      <c r="K1261">
        <f>J1261/R1242*1.1</f>
        <v/>
      </c>
      <c r="L1261">
        <f>AVERAGE(K1261:K1263)</f>
        <v/>
      </c>
      <c r="M1261">
        <f>STDEV(K1261:K1263)</f>
        <v/>
      </c>
      <c r="N1261">
        <f>_xlfn.CONCAT(ROUND(L1261,1)," ± ",ROUND(M1261,1))</f>
        <v/>
      </c>
    </row>
    <row r="1262">
      <c r="A1262" t="n">
        <v>37</v>
      </c>
      <c r="B1262" t="inlineStr">
        <is>
          <t>K3-6B</t>
        </is>
      </c>
      <c r="D1262" t="n">
        <v>16.46</v>
      </c>
      <c r="E1262" t="n">
        <v>669.795</v>
      </c>
      <c r="F1262" t="n">
        <v>3977.533</v>
      </c>
      <c r="G1262" t="n">
        <v>2.969</v>
      </c>
      <c r="H1262">
        <f>E1262/F1262</f>
        <v/>
      </c>
      <c r="I1262">
        <f>((H1262-$J$1225)/$I$1225)</f>
        <v/>
      </c>
      <c r="J1262">
        <f>(I1262-IF($I$1233&gt;0,$I$1233,0))</f>
        <v/>
      </c>
      <c r="K1262">
        <f>J1262/R1243*1.1</f>
        <v/>
      </c>
    </row>
    <row r="1263">
      <c r="A1263" t="n">
        <v>38</v>
      </c>
      <c r="B1263" t="inlineStr">
        <is>
          <t>K3-6C</t>
        </is>
      </c>
      <c r="D1263" t="n">
        <v>16.15</v>
      </c>
      <c r="E1263" t="n">
        <v>600.1420000000001</v>
      </c>
      <c r="F1263" t="n">
        <v>3666.082</v>
      </c>
      <c r="G1263" t="n">
        <v>2.995</v>
      </c>
      <c r="H1263">
        <f>E1263/F1263</f>
        <v/>
      </c>
      <c r="I1263">
        <f>((H1263-$J$1225)/$I$1225)</f>
        <v/>
      </c>
      <c r="J1263">
        <f>(I1263-IF($I$1233&gt;0,$I$1233,0))</f>
        <v/>
      </c>
      <c r="K1263">
        <f>J1263/R1244*1.1</f>
        <v/>
      </c>
      <c r="L1263" s="23" t="n"/>
      <c r="M1263" s="23" t="n"/>
      <c r="N1263" s="9" t="n"/>
    </row>
    <row r="1265">
      <c r="A1265" t="inlineStr">
        <is>
          <t>Compound 31:  6-6-8 triPAP 1</t>
        </is>
      </c>
    </row>
    <row r="1266">
      <c r="I1266" t="inlineStr">
        <is>
          <t>LINEST</t>
        </is>
      </c>
      <c r="Q1266" t="inlineStr">
        <is>
          <t>Biosolids Masses</t>
        </is>
      </c>
      <c r="R1266" t="inlineStr">
        <is>
          <t>(g)</t>
        </is>
      </c>
    </row>
    <row r="1267">
      <c r="B1267" t="inlineStr">
        <is>
          <t>Sample Text</t>
        </is>
      </c>
      <c r="C1267" t="inlineStr">
        <is>
          <t>Std. Conc</t>
        </is>
      </c>
      <c r="D1267" t="inlineStr">
        <is>
          <t>RT</t>
        </is>
      </c>
      <c r="E1267" t="inlineStr">
        <is>
          <t>Area</t>
        </is>
      </c>
      <c r="F1267" t="inlineStr">
        <is>
          <t>IS Area</t>
        </is>
      </c>
      <c r="G1267" t="inlineStr">
        <is>
          <t>S/N</t>
        </is>
      </c>
      <c r="H1267" t="inlineStr">
        <is>
          <t>ratio</t>
        </is>
      </c>
      <c r="I1267">
        <f t="array" ref="I1267:J1271">LINEST(H1269:H1274,C1269:C1274,1,1)</f>
        <v/>
      </c>
      <c r="J1267" t="n">
        <v>0.01171229322584655</v>
      </c>
      <c r="L1267" s="20" t="inlineStr">
        <is>
          <t>By S/N Ratio</t>
        </is>
      </c>
      <c r="Q1267" t="inlineStr">
        <is>
          <t>SS1</t>
        </is>
      </c>
      <c r="R1267" t="n">
        <v>1.0846</v>
      </c>
    </row>
    <row r="1268">
      <c r="A1268" t="n">
        <v>1</v>
      </c>
      <c r="B1268" t="inlineStr">
        <is>
          <t>EPA1633 &amp; diPAPs Calibration 0 ppb</t>
        </is>
      </c>
      <c r="C1268" s="44" t="n">
        <v>0</v>
      </c>
      <c r="D1268" t="n">
        <v>16.09</v>
      </c>
      <c r="E1268" t="n">
        <v>697.745</v>
      </c>
      <c r="F1268" t="n">
        <v>19473.51</v>
      </c>
      <c r="G1268" t="n">
        <v>12.118</v>
      </c>
      <c r="H1268">
        <f>E1268/F1268</f>
        <v/>
      </c>
      <c r="I1268" t="n">
        <v>0.002561811143933368</v>
      </c>
      <c r="J1268" t="n">
        <v>0.03340766552790627</v>
      </c>
      <c r="K1268" t="inlineStr">
        <is>
          <t>LOD</t>
        </is>
      </c>
      <c r="L1268" s="21">
        <f>IF(G1271&gt;3,C1271,IF(G1272&gt;3,#REF!,IF(G1273&gt;3,C1273,IF(G1274&gt;3,C1274,C1275))))</f>
        <v/>
      </c>
      <c r="Q1268" t="inlineStr">
        <is>
          <t>SS2</t>
        </is>
      </c>
      <c r="R1268" t="n">
        <v>1.0726</v>
      </c>
    </row>
    <row r="1269">
      <c r="A1269" t="n">
        <v>2</v>
      </c>
      <c r="B1269" t="inlineStr">
        <is>
          <t>EPA1633 &amp; diPAPs Calibration 0.02 ppb</t>
        </is>
      </c>
      <c r="C1269" s="44" t="n">
        <v>1.450453379639404</v>
      </c>
      <c r="D1269" t="n">
        <v>16.09</v>
      </c>
      <c r="E1269" t="n">
        <v>386.032</v>
      </c>
      <c r="F1269" t="n">
        <v>13285.255</v>
      </c>
      <c r="G1269" t="n">
        <v>9.141</v>
      </c>
      <c r="H1269">
        <f>E1269/F1269</f>
        <v/>
      </c>
      <c r="I1269" t="n">
        <v>0.9211479762276437</v>
      </c>
      <c r="J1269" t="n">
        <v>0.04941205902944939</v>
      </c>
      <c r="K1269" t="inlineStr">
        <is>
          <t>LOQ</t>
        </is>
      </c>
      <c r="L1269" s="22">
        <f>IF(G1271&gt;10,C1271,IF(G1272&gt;10,#REF!,IF(G1273&gt;10,C1273,IF(G1274&gt;10,C1274,C1275))))</f>
        <v/>
      </c>
      <c r="Q1269" t="inlineStr">
        <is>
          <t>SS3</t>
        </is>
      </c>
      <c r="R1269" t="n">
        <v>1.1534</v>
      </c>
    </row>
    <row r="1270">
      <c r="A1270" t="n">
        <v>3</v>
      </c>
      <c r="B1270" t="inlineStr">
        <is>
          <t>EPA1633 &amp; diPAPs Calibration 0.1 ppb</t>
        </is>
      </c>
      <c r="C1270" s="44" t="n">
        <v>2.900906759278808</v>
      </c>
      <c r="D1270" t="n">
        <v>16.1</v>
      </c>
      <c r="E1270" t="n">
        <v>947.408</v>
      </c>
      <c r="F1270" t="n">
        <v>16010.102</v>
      </c>
      <c r="G1270" t="n">
        <v>14.351</v>
      </c>
      <c r="H1270">
        <f>E1270/F1270</f>
        <v/>
      </c>
      <c r="I1270" t="n">
        <v>46.72793073197327</v>
      </c>
      <c r="J1270" t="n">
        <v>4</v>
      </c>
      <c r="Q1270" t="inlineStr">
        <is>
          <t>K4-5A</t>
        </is>
      </c>
      <c r="R1270" t="n">
        <v>1.1054</v>
      </c>
    </row>
    <row r="1271">
      <c r="A1271" t="n">
        <v>4</v>
      </c>
      <c r="B1271" t="inlineStr">
        <is>
          <t>EPA1633 &amp; diPAPs Calibration 0.4 ppb</t>
        </is>
      </c>
      <c r="C1271" s="44" t="n">
        <v>5.801813518557616</v>
      </c>
      <c r="D1271" t="n">
        <v>16.09</v>
      </c>
      <c r="E1271" t="n">
        <v>2416.425</v>
      </c>
      <c r="F1271" t="n">
        <v>14214.025</v>
      </c>
      <c r="G1271" t="n">
        <v>37.204</v>
      </c>
      <c r="H1271">
        <f>E1271/F1271</f>
        <v/>
      </c>
      <c r="I1271" t="n">
        <v>0.1140886529933521</v>
      </c>
      <c r="J1271" t="n">
        <v>0.009766206310119162</v>
      </c>
      <c r="Q1271" t="inlineStr">
        <is>
          <t>K4-5B</t>
        </is>
      </c>
      <c r="R1271" s="10" t="n">
        <v>1.0463</v>
      </c>
    </row>
    <row r="1272">
      <c r="A1272" t="n">
        <v>5</v>
      </c>
      <c r="B1272" t="inlineStr">
        <is>
          <t>EPA1633 &amp; diPAPs Calibration 1 ppb</t>
        </is>
      </c>
      <c r="C1272" s="44" t="n">
        <v>11.60362703711523</v>
      </c>
      <c r="D1272" t="n">
        <v>16.09</v>
      </c>
      <c r="E1272" t="n">
        <v>3908.137</v>
      </c>
      <c r="F1272" t="n">
        <v>21931.449</v>
      </c>
      <c r="G1272" t="n">
        <v>57.879</v>
      </c>
      <c r="H1272">
        <f>E1272/F1272</f>
        <v/>
      </c>
      <c r="Q1272" t="inlineStr">
        <is>
          <t>K4-5C</t>
        </is>
      </c>
      <c r="R1272" t="n">
        <v>1.1155</v>
      </c>
    </row>
    <row r="1273">
      <c r="A1273" t="n">
        <v>6</v>
      </c>
      <c r="B1273" t="inlineStr">
        <is>
          <t>EPA1633 &amp; diPAPs Calibration 5 ppb</t>
        </is>
      </c>
      <c r="C1273" s="44" t="n">
        <v>17.40544055567285</v>
      </c>
      <c r="D1273" t="n">
        <v>16.09</v>
      </c>
      <c r="E1273" t="n">
        <v>4590.804</v>
      </c>
      <c r="F1273" t="n">
        <v>17537.508</v>
      </c>
      <c r="G1273" t="n">
        <v>41.84</v>
      </c>
      <c r="H1273">
        <f>E1273/F1273</f>
        <v/>
      </c>
      <c r="Q1273" t="inlineStr">
        <is>
          <t>K3-1A</t>
        </is>
      </c>
      <c r="R1273" t="n">
        <v>1.0874</v>
      </c>
    </row>
    <row r="1274">
      <c r="A1274" t="n">
        <v>7</v>
      </c>
      <c r="B1274" t="inlineStr">
        <is>
          <t>EPA1633 &amp; diPAPs Calibration 10 ppb</t>
        </is>
      </c>
      <c r="C1274" s="44" t="n">
        <v>23.20725407423046</v>
      </c>
      <c r="D1274" t="n">
        <v>16.09</v>
      </c>
      <c r="E1274" t="n">
        <v>13600.313</v>
      </c>
      <c r="F1274" t="n">
        <v>29293.133</v>
      </c>
      <c r="G1274" t="n">
        <v>252.42</v>
      </c>
      <c r="H1274">
        <f>E1274/F1274</f>
        <v/>
      </c>
      <c r="I1274" s="23" t="inlineStr">
        <is>
          <t>Background</t>
        </is>
      </c>
      <c r="J1274" s="23" t="inlineStr">
        <is>
          <t>Spike</t>
        </is>
      </c>
      <c r="K1274" s="9" t="inlineStr">
        <is>
          <t>Old Spike</t>
        </is>
      </c>
      <c r="O1274" s="24" t="inlineStr">
        <is>
          <t>±</t>
        </is>
      </c>
      <c r="Q1274" t="inlineStr">
        <is>
          <t>K3-1B</t>
        </is>
      </c>
      <c r="R1274" t="n">
        <v>1.0898</v>
      </c>
    </row>
    <row r="1275">
      <c r="A1275" t="n">
        <v>8</v>
      </c>
      <c r="B1275" t="inlineStr">
        <is>
          <t>EPA1633 &amp; diPAPs Calibration 20 ppb</t>
        </is>
      </c>
      <c r="C1275" s="44" t="n">
        <v>29.00906759278808</v>
      </c>
      <c r="D1275" t="n">
        <v>16.09</v>
      </c>
      <c r="E1275" t="n">
        <v>5307.107</v>
      </c>
      <c r="F1275" t="n">
        <v>13919.142</v>
      </c>
      <c r="G1275" t="n">
        <v>80.083</v>
      </c>
      <c r="H1275">
        <f>E1275/F1275</f>
        <v/>
      </c>
      <c r="I1275">
        <f>AVERAGE(I1279:I1280)</f>
        <v/>
      </c>
      <c r="J1275" t="n">
        <v>25.5</v>
      </c>
      <c r="Q1275" t="inlineStr">
        <is>
          <t>K3-1C</t>
        </is>
      </c>
      <c r="R1275" t="n">
        <v>1.0536</v>
      </c>
    </row>
    <row r="1276">
      <c r="A1276" t="n">
        <v>9</v>
      </c>
      <c r="B1276" t="inlineStr">
        <is>
          <t>MeOH</t>
        </is>
      </c>
      <c r="I1276" s="23" t="inlineStr">
        <is>
          <t>Conc.In Vial (ppb)</t>
        </is>
      </c>
      <c r="J1276" s="9" t="inlineStr">
        <is>
          <t>Corr. Conc.(ppb)</t>
        </is>
      </c>
      <c r="K1276" s="9" t="inlineStr">
        <is>
          <t>Conc. In soil (ng/g)</t>
        </is>
      </c>
      <c r="Q1276" t="inlineStr">
        <is>
          <t>K3-2A</t>
        </is>
      </c>
      <c r="R1276" s="10" t="n">
        <v>1.1218</v>
      </c>
    </row>
    <row r="1277">
      <c r="A1277" t="n">
        <v>10</v>
      </c>
      <c r="B1277" t="inlineStr">
        <is>
          <t>MeOH</t>
        </is>
      </c>
      <c r="L1277" s="23" t="inlineStr">
        <is>
          <t>Average</t>
        </is>
      </c>
      <c r="M1277" s="23" t="inlineStr">
        <is>
          <t>Stdev</t>
        </is>
      </c>
      <c r="N1277" s="9" t="inlineStr">
        <is>
          <t>Combined</t>
        </is>
      </c>
      <c r="O1277" s="9" t="n"/>
      <c r="P1277" s="9" t="n"/>
      <c r="Q1277" t="inlineStr">
        <is>
          <t>K3-2B</t>
        </is>
      </c>
      <c r="R1277" t="n">
        <v>1.198</v>
      </c>
    </row>
    <row r="1278">
      <c r="A1278" t="n">
        <v>11</v>
      </c>
      <c r="B1278" t="inlineStr">
        <is>
          <t>SB1</t>
        </is>
      </c>
      <c r="D1278" t="n">
        <v>16.3</v>
      </c>
      <c r="E1278" t="n">
        <v>993.288</v>
      </c>
      <c r="F1278" t="n">
        <v>5289.194</v>
      </c>
      <c r="G1278" t="n">
        <v>13.304</v>
      </c>
      <c r="H1278">
        <f>E1278/F1278</f>
        <v/>
      </c>
      <c r="I1278">
        <f>((H1278-$J$1267)/$I$1267)</f>
        <v/>
      </c>
      <c r="J1278">
        <f>(I1278-IF(I1275&gt;0,I1275,0))</f>
        <v/>
      </c>
      <c r="K1278">
        <f>J1278*1.1</f>
        <v/>
      </c>
      <c r="L1278">
        <f>AVERAGE(K1278:K1280)</f>
        <v/>
      </c>
      <c r="M1278">
        <f>STDEV(K1279:K1280)</f>
        <v/>
      </c>
      <c r="N1278">
        <f>_xlfn.CONCAT(ROUND(L1278,1)," ± ",ROUND(M1278,1))</f>
        <v/>
      </c>
      <c r="Q1278" t="inlineStr">
        <is>
          <t>K3-2C</t>
        </is>
      </c>
      <c r="R1278" t="n">
        <v>1.1538</v>
      </c>
    </row>
    <row r="1279">
      <c r="A1279" t="n">
        <v>12</v>
      </c>
      <c r="B1279" t="inlineStr">
        <is>
          <t>SB2</t>
        </is>
      </c>
      <c r="D1279" t="n">
        <v>16.09</v>
      </c>
      <c r="E1279" t="n">
        <v>446.653</v>
      </c>
      <c r="F1279" t="n">
        <v>6667.125</v>
      </c>
      <c r="G1279" t="n">
        <v>11.265</v>
      </c>
      <c r="H1279">
        <f>E1279/F1279</f>
        <v/>
      </c>
      <c r="I1279">
        <f>((H1279-$J$1267)/$I$1267)</f>
        <v/>
      </c>
      <c r="J1279">
        <f>(I1279-IF(I1275&gt;0,I1275,0))</f>
        <v/>
      </c>
      <c r="K1279">
        <f>J1279*1.1</f>
        <v/>
      </c>
      <c r="Q1279" t="inlineStr">
        <is>
          <t>K3-3A</t>
        </is>
      </c>
      <c r="R1279" t="n">
        <v>1.1183</v>
      </c>
    </row>
    <row r="1280">
      <c r="A1280" t="n">
        <v>13</v>
      </c>
      <c r="B1280" t="inlineStr">
        <is>
          <t>SB3</t>
        </is>
      </c>
      <c r="D1280" t="n">
        <v>16.11</v>
      </c>
      <c r="E1280" t="n">
        <v>522.849</v>
      </c>
      <c r="F1280" t="n">
        <v>5460.875</v>
      </c>
      <c r="G1280" t="n">
        <v>5.212</v>
      </c>
      <c r="H1280">
        <f>E1280/F1280</f>
        <v/>
      </c>
      <c r="I1280">
        <f>((H1280-$J$1267)/$I$1267)</f>
        <v/>
      </c>
      <c r="J1280">
        <f>(I1280-IF(I1275&gt;0,I1275,0))</f>
        <v/>
      </c>
      <c r="K1280" s="30">
        <f>J1280*1.1</f>
        <v/>
      </c>
      <c r="L1280" s="25" t="inlineStr">
        <is>
          <t>Average</t>
        </is>
      </c>
      <c r="M1280" s="25" t="inlineStr">
        <is>
          <t>Stdev</t>
        </is>
      </c>
      <c r="N1280" s="26" t="inlineStr">
        <is>
          <t>%Recovery</t>
        </is>
      </c>
      <c r="O1280" s="26" t="inlineStr">
        <is>
          <t>Uncertainty</t>
        </is>
      </c>
      <c r="P1280" s="26" t="inlineStr">
        <is>
          <t>Combined</t>
        </is>
      </c>
      <c r="Q1280" t="inlineStr">
        <is>
          <t>K3-3B</t>
        </is>
      </c>
      <c r="R1280" t="n">
        <v>1.1448</v>
      </c>
    </row>
    <row r="1281">
      <c r="A1281" t="n">
        <v>14</v>
      </c>
      <c r="B1281" t="inlineStr">
        <is>
          <t>SS1</t>
        </is>
      </c>
      <c r="D1281" t="n">
        <v>16.1</v>
      </c>
      <c r="E1281" t="n">
        <v>571.309</v>
      </c>
      <c r="F1281" t="n">
        <v>6517.947</v>
      </c>
      <c r="G1281" t="n">
        <v>3.466</v>
      </c>
      <c r="H1281">
        <f>E1281/F1281</f>
        <v/>
      </c>
      <c r="I1281">
        <f>((H1281-$J$1267)/$I$1267)</f>
        <v/>
      </c>
      <c r="J1281">
        <f>(I1281-IF($I$1275&gt;0,$I$1275,0))</f>
        <v/>
      </c>
      <c r="K1281">
        <f>J1281/R1267*1.1</f>
        <v/>
      </c>
      <c r="L1281" s="27">
        <f>AVERAGE(K1281:K1283)</f>
        <v/>
      </c>
      <c r="M1281" s="27">
        <f>STDEV(K1281:K1283)</f>
        <v/>
      </c>
      <c r="N1281" s="28">
        <f>L1281/J1275*100</f>
        <v/>
      </c>
      <c r="O1281" s="29">
        <f>M1281/J1275*100</f>
        <v/>
      </c>
      <c r="P1281" s="29">
        <f>_xlfn.CONCAT(ROUND(N1281,1)," ± ",ROUND(O1281,1))</f>
        <v/>
      </c>
      <c r="Q1281" t="inlineStr">
        <is>
          <t>K3-3C</t>
        </is>
      </c>
      <c r="R1281" t="n">
        <v>1.0493</v>
      </c>
    </row>
    <row r="1282">
      <c r="A1282" t="n">
        <v>15</v>
      </c>
      <c r="B1282" t="inlineStr">
        <is>
          <t>SS2</t>
        </is>
      </c>
      <c r="D1282" t="n">
        <v>16.1</v>
      </c>
      <c r="E1282" t="n">
        <v>559.5</v>
      </c>
      <c r="F1282" t="n">
        <v>6712.642</v>
      </c>
      <c r="G1282" t="n">
        <v>6.714</v>
      </c>
      <c r="H1282">
        <f>E1282/F1282</f>
        <v/>
      </c>
      <c r="I1282">
        <f>((H1282-$J$1267)/$I$1267)</f>
        <v/>
      </c>
      <c r="J1282">
        <f>(I1282-IF($I$1275&gt;0,$I$1275,0))</f>
        <v/>
      </c>
      <c r="K1282">
        <f>J1282/R1268*1.1</f>
        <v/>
      </c>
      <c r="Q1282" t="inlineStr">
        <is>
          <t>K3-4A</t>
        </is>
      </c>
      <c r="R1282" t="n">
        <v>1.0704</v>
      </c>
    </row>
    <row r="1283">
      <c r="A1283" t="n">
        <v>16</v>
      </c>
      <c r="B1283" t="inlineStr">
        <is>
          <t>SS3</t>
        </is>
      </c>
      <c r="D1283" t="n">
        <v>16.1</v>
      </c>
      <c r="E1283" t="n">
        <v>377.191</v>
      </c>
      <c r="F1283" t="n">
        <v>6363.637</v>
      </c>
      <c r="G1283" t="n">
        <v>4.002</v>
      </c>
      <c r="H1283">
        <f>E1283/F1283</f>
        <v/>
      </c>
      <c r="I1283">
        <f>((H1283-$J$1267)/$I$1267)</f>
        <v/>
      </c>
      <c r="J1283">
        <f>(I1283-IF($I$1275&gt;0,$I$1275,0))</f>
        <v/>
      </c>
      <c r="K1283" s="30">
        <f>J1283/R1269*1.1</f>
        <v/>
      </c>
      <c r="Q1283" t="inlineStr">
        <is>
          <t>K3-4B</t>
        </is>
      </c>
      <c r="R1283" t="n">
        <v>1.1589</v>
      </c>
    </row>
    <row r="1284">
      <c r="A1284" t="n">
        <v>17</v>
      </c>
      <c r="B1284" t="inlineStr">
        <is>
          <t>MeOH</t>
        </is>
      </c>
      <c r="L1284" s="23" t="inlineStr">
        <is>
          <t>Average</t>
        </is>
      </c>
      <c r="M1284" s="23" t="inlineStr">
        <is>
          <t>Stdev</t>
        </is>
      </c>
      <c r="N1284" s="9" t="inlineStr">
        <is>
          <t>Combined</t>
        </is>
      </c>
      <c r="Q1284" t="inlineStr">
        <is>
          <t>K3-4C</t>
        </is>
      </c>
      <c r="R1284" t="n">
        <v>1.0206</v>
      </c>
    </row>
    <row r="1285">
      <c r="A1285" t="n">
        <v>18</v>
      </c>
      <c r="B1285" t="inlineStr">
        <is>
          <t>K4-5A</t>
        </is>
      </c>
      <c r="D1285" t="n">
        <v>16.06</v>
      </c>
      <c r="E1285" t="n">
        <v>179.259</v>
      </c>
      <c r="F1285" t="n">
        <v>3930.075</v>
      </c>
      <c r="G1285" t="n">
        <v>2.646</v>
      </c>
      <c r="H1285">
        <f>E1285/F1285</f>
        <v/>
      </c>
      <c r="I1285">
        <f>((H1285-$J$1267)/$I$1267)</f>
        <v/>
      </c>
      <c r="J1285">
        <f>(I1285-IF($I$1275&gt;0,$I$1275,0))</f>
        <v/>
      </c>
      <c r="K1285">
        <f>J1285/R1269*1.1</f>
        <v/>
      </c>
      <c r="L1285">
        <f>AVERAGE(K1285:K1287)</f>
        <v/>
      </c>
      <c r="M1285">
        <f>STDEV(K1285:K1287)</f>
        <v/>
      </c>
      <c r="N1285">
        <f>_xlfn.CONCAT(ROUND(L1285,1)," ± ",ROUND(M1285,1))</f>
        <v/>
      </c>
      <c r="Q1285" t="inlineStr">
        <is>
          <t>K3-6A</t>
        </is>
      </c>
      <c r="R1285" t="n">
        <v>1.1289</v>
      </c>
    </row>
    <row r="1286">
      <c r="A1286" t="n">
        <v>19</v>
      </c>
      <c r="B1286" t="inlineStr">
        <is>
          <t>K4-5B</t>
        </is>
      </c>
      <c r="D1286" t="n">
        <v>16.05</v>
      </c>
      <c r="E1286" t="n">
        <v>136.919</v>
      </c>
      <c r="F1286" t="n">
        <v>6277.964</v>
      </c>
      <c r="G1286" t="n">
        <v>2.76</v>
      </c>
      <c r="H1286">
        <f>E1286/F1286</f>
        <v/>
      </c>
      <c r="I1286">
        <f>((H1286-$J$1267)/$I$1267)</f>
        <v/>
      </c>
      <c r="J1286">
        <f>(I1286-IF($I$1275&gt;0,$I$1275,0))</f>
        <v/>
      </c>
      <c r="K1286">
        <f>J1286/R1270*1.1</f>
        <v/>
      </c>
      <c r="Q1286" t="inlineStr">
        <is>
          <t>K3-6B</t>
        </is>
      </c>
      <c r="R1286" t="n">
        <v>1.195</v>
      </c>
    </row>
    <row r="1287">
      <c r="A1287" t="n">
        <v>20</v>
      </c>
      <c r="B1287" t="inlineStr">
        <is>
          <t>K4-5C</t>
        </is>
      </c>
      <c r="D1287" t="n">
        <v>15.71</v>
      </c>
      <c r="E1287" t="n">
        <v>169.579</v>
      </c>
      <c r="F1287" t="n">
        <v>2207.119</v>
      </c>
      <c r="G1287" t="n">
        <v>2.054</v>
      </c>
      <c r="H1287">
        <f>E1287/F1287</f>
        <v/>
      </c>
      <c r="I1287">
        <f>((H1287-$J$1267)/$I$1267)</f>
        <v/>
      </c>
      <c r="J1287">
        <f>(I1287-IF($I$1275&gt;0,$I$1275,0))</f>
        <v/>
      </c>
      <c r="K1287">
        <f>J1287/R1271*1.1</f>
        <v/>
      </c>
      <c r="L1287" s="23" t="n"/>
      <c r="M1287" s="23" t="n"/>
      <c r="N1287" s="9" t="n"/>
      <c r="Q1287" t="inlineStr">
        <is>
          <t>K3-6C</t>
        </is>
      </c>
      <c r="R1287" t="n">
        <v>1.1716</v>
      </c>
    </row>
    <row r="1288">
      <c r="A1288" t="n">
        <v>21</v>
      </c>
      <c r="B1288" t="inlineStr">
        <is>
          <t>MeOH</t>
        </is>
      </c>
      <c r="D1288" t="n">
        <v>16.07</v>
      </c>
      <c r="E1288" t="n">
        <v>188.977</v>
      </c>
      <c r="G1288" t="n">
        <v>1.666</v>
      </c>
      <c r="L1288" s="23" t="inlineStr">
        <is>
          <t>Average</t>
        </is>
      </c>
      <c r="M1288" s="23" t="inlineStr">
        <is>
          <t>Stdev</t>
        </is>
      </c>
      <c r="N1288" s="9" t="inlineStr">
        <is>
          <t>Combined</t>
        </is>
      </c>
    </row>
    <row r="1289">
      <c r="A1289" t="n">
        <v>22</v>
      </c>
      <c r="B1289" t="inlineStr">
        <is>
          <t>K3-1A</t>
        </is>
      </c>
      <c r="D1289" t="n">
        <v>16.3</v>
      </c>
      <c r="E1289" t="n">
        <v>431.827</v>
      </c>
      <c r="F1289" t="n">
        <v>4603.346</v>
      </c>
      <c r="G1289" t="n">
        <v>6.582</v>
      </c>
      <c r="H1289">
        <f>E1289/F1289</f>
        <v/>
      </c>
      <c r="I1289">
        <f>((H1289-$J$1267)/$I$1267)</f>
        <v/>
      </c>
      <c r="J1289">
        <f>(I1289-IF($I$1275&gt;0,$I$1275,0))</f>
        <v/>
      </c>
      <c r="K1289">
        <f>J1289/R1272*1.1</f>
        <v/>
      </c>
      <c r="L1289">
        <f>AVERAGE(K1289:K1291)</f>
        <v/>
      </c>
      <c r="M1289">
        <f>STDEV(K1290:K1291)</f>
        <v/>
      </c>
      <c r="N1289">
        <f>_xlfn.CONCAT(ROUND(L1289,1)," ± ",ROUND(M1289,1))</f>
        <v/>
      </c>
    </row>
    <row r="1290">
      <c r="A1290" t="n">
        <v>23</v>
      </c>
      <c r="B1290" t="inlineStr">
        <is>
          <t>K3-1B</t>
        </is>
      </c>
      <c r="D1290" t="n">
        <v>16.37</v>
      </c>
      <c r="E1290" t="n">
        <v>195.444</v>
      </c>
      <c r="F1290" t="n">
        <v>4832.73</v>
      </c>
      <c r="G1290" t="n">
        <v>2.918</v>
      </c>
      <c r="H1290">
        <f>E1290/F1290</f>
        <v/>
      </c>
      <c r="I1290">
        <f>((H1290-$J$1267)/$I$1267)</f>
        <v/>
      </c>
      <c r="J1290">
        <f>(I1290-IF($I$1275&gt;0,$I$1275,0))</f>
        <v/>
      </c>
      <c r="K1290">
        <f>J1290/R1273*1.1</f>
        <v/>
      </c>
    </row>
    <row r="1291">
      <c r="A1291" t="n">
        <v>24</v>
      </c>
      <c r="B1291" t="inlineStr">
        <is>
          <t>K3-1C</t>
        </is>
      </c>
      <c r="D1291" t="n">
        <v>16.78</v>
      </c>
      <c r="E1291" t="n">
        <v>204.359</v>
      </c>
      <c r="F1291" t="n">
        <v>5250.105</v>
      </c>
      <c r="G1291" t="n">
        <v>3.736</v>
      </c>
      <c r="H1291">
        <f>E1291/F1291</f>
        <v/>
      </c>
      <c r="I1291">
        <f>((H1291-$J$1267)/$I$1267)</f>
        <v/>
      </c>
      <c r="J1291">
        <f>(I1291-IF($I$1275&gt;0,$I$1275,0))</f>
        <v/>
      </c>
      <c r="K1291">
        <f>J1291/R1274*1.1</f>
        <v/>
      </c>
      <c r="L1291" s="23" t="inlineStr">
        <is>
          <t>Average</t>
        </is>
      </c>
      <c r="M1291" s="23" t="inlineStr">
        <is>
          <t>Stdev</t>
        </is>
      </c>
      <c r="N1291" s="9" t="inlineStr">
        <is>
          <t>Combined</t>
        </is>
      </c>
    </row>
    <row r="1292">
      <c r="A1292" t="n">
        <v>25</v>
      </c>
      <c r="B1292" t="inlineStr">
        <is>
          <t>K3-2A</t>
        </is>
      </c>
      <c r="D1292" t="n">
        <v>16.19</v>
      </c>
      <c r="E1292" t="n">
        <v>217.112</v>
      </c>
      <c r="F1292" t="n">
        <v>4574.33</v>
      </c>
      <c r="G1292" t="n">
        <v>2.117</v>
      </c>
      <c r="H1292">
        <f>E1292/F1292</f>
        <v/>
      </c>
      <c r="I1292">
        <f>((H1292-$J$1267)/$I$1267)</f>
        <v/>
      </c>
      <c r="J1292">
        <f>(I1292-IF($I$1275&gt;0,$I$1275,0))</f>
        <v/>
      </c>
      <c r="K1292">
        <f>J1292/R1275*1.1</f>
        <v/>
      </c>
      <c r="L1292">
        <f>AVERAGE(K1292:K1294)</f>
        <v/>
      </c>
      <c r="M1292">
        <f>STDEV(K1292:K1294)</f>
        <v/>
      </c>
      <c r="N1292">
        <f>_xlfn.CONCAT(ROUND(L1292,1)," ± ",ROUND(M1292,1))</f>
        <v/>
      </c>
    </row>
    <row r="1293">
      <c r="A1293" t="n">
        <v>26</v>
      </c>
      <c r="B1293" t="inlineStr">
        <is>
          <t>K3-2B</t>
        </is>
      </c>
      <c r="D1293" t="n">
        <v>16.12</v>
      </c>
      <c r="E1293" t="n">
        <v>195.81</v>
      </c>
      <c r="F1293" t="n">
        <v>5271.769</v>
      </c>
      <c r="G1293" t="n">
        <v>3.523</v>
      </c>
      <c r="H1293">
        <f>E1293/F1293</f>
        <v/>
      </c>
      <c r="I1293">
        <f>((H1293-$J$1267)/$I$1267)</f>
        <v/>
      </c>
      <c r="J1293">
        <f>(I1293-IF($I$1275&gt;0,$I$1275,0))</f>
        <v/>
      </c>
      <c r="K1293">
        <f>J1293/R1276*1.1</f>
        <v/>
      </c>
    </row>
    <row r="1294">
      <c r="A1294" t="n">
        <v>27</v>
      </c>
      <c r="B1294" t="inlineStr">
        <is>
          <t>K3-2C</t>
        </is>
      </c>
      <c r="D1294" t="n">
        <v>16.29</v>
      </c>
      <c r="E1294" t="n">
        <v>222.954</v>
      </c>
      <c r="F1294" t="n">
        <v>4675.447</v>
      </c>
      <c r="G1294" t="n">
        <v>2.007</v>
      </c>
      <c r="H1294">
        <f>E1294/F1294</f>
        <v/>
      </c>
      <c r="I1294">
        <f>((H1294-$J$1267)/$I$1267)</f>
        <v/>
      </c>
      <c r="J1294">
        <f>(I1294-IF($I$1275&gt;0,$I$1275,0))</f>
        <v/>
      </c>
      <c r="K1294">
        <f>J1294/R1277*1.1</f>
        <v/>
      </c>
      <c r="L1294" s="23" t="n"/>
      <c r="M1294" s="23" t="n"/>
      <c r="N1294" s="9" t="n"/>
    </row>
    <row r="1295">
      <c r="A1295" t="n">
        <v>28</v>
      </c>
      <c r="B1295" t="inlineStr">
        <is>
          <t>MeOH</t>
        </is>
      </c>
      <c r="L1295" s="23" t="inlineStr">
        <is>
          <t>Average</t>
        </is>
      </c>
      <c r="M1295" s="23" t="inlineStr">
        <is>
          <t>Stdev</t>
        </is>
      </c>
      <c r="N1295" s="9" t="inlineStr">
        <is>
          <t>Combined</t>
        </is>
      </c>
    </row>
    <row r="1296">
      <c r="A1296" t="n">
        <v>29</v>
      </c>
      <c r="B1296" t="inlineStr">
        <is>
          <t>K3-3A</t>
        </is>
      </c>
      <c r="D1296" t="n">
        <v>16.39</v>
      </c>
      <c r="E1296" t="n">
        <v>279.174</v>
      </c>
      <c r="F1296" t="n">
        <v>3868.886</v>
      </c>
      <c r="G1296" t="n">
        <v>3.119</v>
      </c>
      <c r="H1296">
        <f>E1296/F1296</f>
        <v/>
      </c>
      <c r="I1296">
        <f>((H1296-$J$1267)/$I$1267)</f>
        <v/>
      </c>
      <c r="J1296">
        <f>(I1296-IF($I$1275&gt;0,$I$1275,0))</f>
        <v/>
      </c>
      <c r="K1296">
        <f>J1296/R1278*1.1</f>
        <v/>
      </c>
      <c r="L1296">
        <f>AVERAGE(K1296:K1298)</f>
        <v/>
      </c>
      <c r="M1296">
        <f>STDEV(K1297:K1298)</f>
        <v/>
      </c>
      <c r="N1296">
        <f>_xlfn.CONCAT(ROUND(L1296,1)," ± ",ROUND(M1296,1))</f>
        <v/>
      </c>
    </row>
    <row r="1297">
      <c r="A1297" t="n">
        <v>30</v>
      </c>
      <c r="B1297" t="inlineStr">
        <is>
          <t>K3-3B</t>
        </is>
      </c>
      <c r="D1297" t="n">
        <v>16.24</v>
      </c>
      <c r="E1297" t="n">
        <v>84.283</v>
      </c>
      <c r="F1297" t="n">
        <v>5558.256</v>
      </c>
      <c r="G1297" t="n">
        <v>2.261</v>
      </c>
      <c r="H1297">
        <f>E1297/F1297</f>
        <v/>
      </c>
      <c r="I1297">
        <f>((H1297-$J$1267)/$I$1267)</f>
        <v/>
      </c>
      <c r="J1297">
        <f>(I1297-IF($I$1275&gt;0,$I$1275,0))</f>
        <v/>
      </c>
      <c r="K1297">
        <f>J1297/R1279*1.1</f>
        <v/>
      </c>
    </row>
    <row r="1298">
      <c r="A1298" t="n">
        <v>31</v>
      </c>
      <c r="B1298" t="inlineStr">
        <is>
          <t>K3-3C</t>
        </is>
      </c>
      <c r="D1298" t="n">
        <v>16.4</v>
      </c>
      <c r="E1298" t="n">
        <v>172.511</v>
      </c>
      <c r="F1298" t="n">
        <v>5019.609</v>
      </c>
      <c r="G1298" t="n">
        <v>2.96</v>
      </c>
      <c r="H1298">
        <f>E1298/F1298</f>
        <v/>
      </c>
      <c r="I1298">
        <f>((H1298-$J$1267)/$I$1267)</f>
        <v/>
      </c>
      <c r="J1298">
        <f>(I1298-IF($I$1275&gt;0,$I$1275,0))</f>
        <v/>
      </c>
      <c r="K1298">
        <f>J1298/R1280*1.1</f>
        <v/>
      </c>
      <c r="L1298" s="23" t="inlineStr">
        <is>
          <t>Average</t>
        </is>
      </c>
      <c r="M1298" s="23" t="inlineStr">
        <is>
          <t>Stdev</t>
        </is>
      </c>
      <c r="N1298" s="9" t="inlineStr">
        <is>
          <t>Combined</t>
        </is>
      </c>
    </row>
    <row r="1299">
      <c r="A1299" t="n">
        <v>32</v>
      </c>
      <c r="B1299" t="inlineStr">
        <is>
          <t>K3-4A</t>
        </is>
      </c>
      <c r="D1299" t="n">
        <v>16.45</v>
      </c>
      <c r="E1299" t="n">
        <v>159.109</v>
      </c>
      <c r="F1299" t="n">
        <v>4571.521</v>
      </c>
      <c r="G1299" t="n">
        <v>1.692</v>
      </c>
      <c r="H1299">
        <f>E1299/F1299</f>
        <v/>
      </c>
      <c r="I1299">
        <f>((H1299-$J$1267)/$I$1267)</f>
        <v/>
      </c>
      <c r="J1299">
        <f>(I1299-IF($I$1275&gt;0,$I$1275,0))</f>
        <v/>
      </c>
      <c r="K1299">
        <f>J1299/R1281*1.1</f>
        <v/>
      </c>
      <c r="L1299">
        <f>AVERAGE(K1299:K1301)</f>
        <v/>
      </c>
      <c r="M1299">
        <f>STDEV(K1299:K1301)</f>
        <v/>
      </c>
      <c r="N1299">
        <f>_xlfn.CONCAT(ROUND(L1299,1)," ± ",ROUND(M1299,1))</f>
        <v/>
      </c>
    </row>
    <row r="1300">
      <c r="A1300" t="n">
        <v>33</v>
      </c>
      <c r="B1300" t="inlineStr">
        <is>
          <t>K3-4B</t>
        </is>
      </c>
      <c r="D1300" t="n">
        <v>16.47</v>
      </c>
      <c r="E1300" t="n">
        <v>90.88</v>
      </c>
      <c r="F1300" t="n">
        <v>5043.437</v>
      </c>
      <c r="G1300" t="n">
        <v>2.636</v>
      </c>
      <c r="H1300">
        <f>E1300/F1300</f>
        <v/>
      </c>
      <c r="I1300">
        <f>((H1300-$J$1267)/$I$1267)</f>
        <v/>
      </c>
      <c r="J1300">
        <f>(I1300-IF($I$1275&gt;0,$I$1275,0))</f>
        <v/>
      </c>
      <c r="K1300">
        <f>J1300/R1282*1.1</f>
        <v/>
      </c>
    </row>
    <row r="1301">
      <c r="A1301" t="n">
        <v>34</v>
      </c>
      <c r="B1301" t="inlineStr">
        <is>
          <t>K3-4C</t>
        </is>
      </c>
      <c r="D1301" t="n">
        <v>16.31</v>
      </c>
      <c r="E1301" t="n">
        <v>133.021</v>
      </c>
      <c r="F1301" t="n">
        <v>5033.665</v>
      </c>
      <c r="G1301" t="n">
        <v>1.485</v>
      </c>
      <c r="H1301">
        <f>E1301/F1301</f>
        <v/>
      </c>
      <c r="I1301">
        <f>((H1301-$J$1267)/$I$1267)</f>
        <v/>
      </c>
      <c r="J1301">
        <f>(I1301-IF($I$1275&gt;0,$I$1275,0))</f>
        <v/>
      </c>
      <c r="K1301">
        <f>J1301/R1283*1.1</f>
        <v/>
      </c>
      <c r="L1301" s="23" t="n"/>
      <c r="M1301" s="23" t="n"/>
      <c r="N1301" s="9" t="n"/>
    </row>
    <row r="1302">
      <c r="A1302" t="n">
        <v>35</v>
      </c>
      <c r="B1302" t="inlineStr">
        <is>
          <t>MeOH</t>
        </is>
      </c>
      <c r="D1302" t="n">
        <v>16.51</v>
      </c>
      <c r="E1302" t="n">
        <v>144.825</v>
      </c>
      <c r="G1302" t="n">
        <v>2.131</v>
      </c>
      <c r="L1302" s="23" t="inlineStr">
        <is>
          <t>Average</t>
        </is>
      </c>
      <c r="M1302" s="23" t="inlineStr">
        <is>
          <t>Stdev</t>
        </is>
      </c>
      <c r="N1302" s="9" t="inlineStr">
        <is>
          <t>Combined</t>
        </is>
      </c>
    </row>
    <row r="1303">
      <c r="A1303" t="n">
        <v>36</v>
      </c>
      <c r="B1303" t="inlineStr">
        <is>
          <t>K3-6A</t>
        </is>
      </c>
      <c r="D1303" t="n">
        <v>16.4</v>
      </c>
      <c r="E1303" t="n">
        <v>431.519</v>
      </c>
      <c r="F1303" t="n">
        <v>3966.205</v>
      </c>
      <c r="G1303" t="n">
        <v>4.216</v>
      </c>
      <c r="H1303">
        <f>E1303/F1303</f>
        <v/>
      </c>
      <c r="I1303">
        <f>((H1303-$J$1267)/$I$1267)</f>
        <v/>
      </c>
      <c r="J1303">
        <f>(I1303-IF($I$1275&gt;0,$I$1275,0))</f>
        <v/>
      </c>
      <c r="K1303">
        <f>J1303/R1284*1.1</f>
        <v/>
      </c>
      <c r="L1303">
        <f>AVERAGE(K1303:K1305)</f>
        <v/>
      </c>
      <c r="M1303">
        <f>STDEV(K1304:K1305)</f>
        <v/>
      </c>
      <c r="N1303">
        <f>_xlfn.CONCAT(ROUND(L1303,1)," ± ",ROUND(M1303,1))</f>
        <v/>
      </c>
    </row>
    <row r="1304">
      <c r="A1304" t="n">
        <v>37</v>
      </c>
      <c r="B1304" t="inlineStr">
        <is>
          <t>K3-6B</t>
        </is>
      </c>
      <c r="D1304" t="n">
        <v>16.27</v>
      </c>
      <c r="E1304" t="n">
        <v>126.751</v>
      </c>
      <c r="F1304" t="n">
        <v>3977.533</v>
      </c>
      <c r="G1304" t="n">
        <v>4.659</v>
      </c>
      <c r="H1304">
        <f>E1304/F1304</f>
        <v/>
      </c>
      <c r="I1304">
        <f>((H1304-$J$1267)/$I$1267)</f>
        <v/>
      </c>
      <c r="J1304">
        <f>(I1304-IF($I$1275&gt;0,$I$1275,0))</f>
        <v/>
      </c>
      <c r="K1304">
        <f>J1304/R1285*1.1</f>
        <v/>
      </c>
    </row>
    <row r="1305">
      <c r="A1305" t="n">
        <v>38</v>
      </c>
      <c r="B1305" t="inlineStr">
        <is>
          <t>K3-6C</t>
        </is>
      </c>
      <c r="D1305" t="n">
        <v>16.38</v>
      </c>
      <c r="E1305" t="n">
        <v>167.345</v>
      </c>
      <c r="F1305" t="n">
        <v>3666.082</v>
      </c>
      <c r="G1305" t="n">
        <v>2.612</v>
      </c>
      <c r="H1305">
        <f>E1305/F1305</f>
        <v/>
      </c>
      <c r="I1305">
        <f>((H1305-$J$1267)/$I$1267)</f>
        <v/>
      </c>
      <c r="J1305">
        <f>(I1305-IF($I$1275&gt;0,$I$1275,0))</f>
        <v/>
      </c>
      <c r="K1305">
        <f>J1305/R1286*1.1</f>
        <v/>
      </c>
      <c r="L1305" s="23" t="n"/>
      <c r="M1305" s="23" t="n"/>
      <c r="N1305" s="9" t="n"/>
    </row>
    <row r="1307">
      <c r="A1307" t="inlineStr">
        <is>
          <t>Compound 32:  6-6-8 triPAP 2</t>
        </is>
      </c>
    </row>
    <row r="1309">
      <c r="B1309" t="inlineStr">
        <is>
          <t>Sample Text</t>
        </is>
      </c>
      <c r="C1309" t="inlineStr">
        <is>
          <t>Std. Conc</t>
        </is>
      </c>
      <c r="D1309" t="inlineStr">
        <is>
          <t>RT</t>
        </is>
      </c>
      <c r="E1309" t="inlineStr">
        <is>
          <t>Area</t>
        </is>
      </c>
      <c r="F1309" t="inlineStr">
        <is>
          <t>IS Area</t>
        </is>
      </c>
      <c r="G1309" t="inlineStr">
        <is>
          <t>S/N</t>
        </is>
      </c>
      <c r="H1309" t="inlineStr">
        <is>
          <t>Primary Flags</t>
        </is>
      </c>
      <c r="I1309" t="inlineStr">
        <is>
          <t>Response</t>
        </is>
      </c>
      <c r="J1309" t="inlineStr">
        <is>
          <t>Conc.</t>
        </is>
      </c>
      <c r="K1309" t="inlineStr">
        <is>
          <t>Name</t>
        </is>
      </c>
    </row>
    <row r="1310">
      <c r="A1310" t="n">
        <v>1</v>
      </c>
      <c r="B1310" t="inlineStr">
        <is>
          <t>EPA1633 &amp; diPAPs Calibration 0 ppb</t>
        </is>
      </c>
      <c r="F1310" t="n">
        <v>19473.51</v>
      </c>
      <c r="K1310" t="inlineStr">
        <is>
          <t>20250617-12</t>
        </is>
      </c>
    </row>
    <row r="1311">
      <c r="A1311" t="n">
        <v>2</v>
      </c>
      <c r="B1311" t="inlineStr">
        <is>
          <t>EPA1633 &amp; diPAPs Calibration 0.02 ppb</t>
        </is>
      </c>
      <c r="F1311" t="n">
        <v>13285.255</v>
      </c>
      <c r="K1311" t="inlineStr">
        <is>
          <t>20250617-13</t>
        </is>
      </c>
    </row>
    <row r="1312">
      <c r="A1312" t="n">
        <v>3</v>
      </c>
      <c r="B1312" t="inlineStr">
        <is>
          <t>EPA1633 &amp; diPAPs Calibration 0.1 ppb</t>
        </is>
      </c>
      <c r="F1312" t="n">
        <v>16010.102</v>
      </c>
      <c r="K1312" t="inlineStr">
        <is>
          <t>20250617-14</t>
        </is>
      </c>
    </row>
    <row r="1313">
      <c r="A1313" t="n">
        <v>4</v>
      </c>
      <c r="B1313" t="inlineStr">
        <is>
          <t>EPA1633 &amp; diPAPs Calibration 0.4 ppb</t>
        </is>
      </c>
      <c r="F1313" t="n">
        <v>14214.025</v>
      </c>
      <c r="K1313" t="inlineStr">
        <is>
          <t>20250617-15</t>
        </is>
      </c>
    </row>
    <row r="1314">
      <c r="A1314" t="n">
        <v>5</v>
      </c>
      <c r="B1314" t="inlineStr">
        <is>
          <t>EPA1633 &amp; diPAPs Calibration 1 ppb</t>
        </is>
      </c>
      <c r="F1314" t="n">
        <v>21931.449</v>
      </c>
      <c r="K1314" t="inlineStr">
        <is>
          <t>20250617-16</t>
        </is>
      </c>
    </row>
    <row r="1315">
      <c r="A1315" t="n">
        <v>6</v>
      </c>
      <c r="B1315" t="inlineStr">
        <is>
          <t>EPA1633 &amp; diPAPs Calibration 5 ppb</t>
        </is>
      </c>
      <c r="F1315" t="n">
        <v>17537.508</v>
      </c>
      <c r="K1315" t="inlineStr">
        <is>
          <t>20250617-17</t>
        </is>
      </c>
    </row>
    <row r="1316">
      <c r="A1316" t="n">
        <v>7</v>
      </c>
      <c r="B1316" t="inlineStr">
        <is>
          <t>EPA1633 &amp; diPAPs Calibration 10 ppb</t>
        </is>
      </c>
      <c r="F1316" t="n">
        <v>29293.133</v>
      </c>
      <c r="K1316" t="inlineStr">
        <is>
          <t>20250617-18</t>
        </is>
      </c>
    </row>
    <row r="1317">
      <c r="A1317" t="n">
        <v>8</v>
      </c>
      <c r="B1317" t="inlineStr">
        <is>
          <t>EPA1633 &amp; diPAPs Calibration 20 ppb</t>
        </is>
      </c>
      <c r="F1317" t="n">
        <v>13919.142</v>
      </c>
      <c r="K1317" t="inlineStr">
        <is>
          <t>20250617-19</t>
        </is>
      </c>
    </row>
    <row r="1318">
      <c r="A1318" t="n">
        <v>9</v>
      </c>
      <c r="B1318" t="inlineStr">
        <is>
          <t>MeOH</t>
        </is>
      </c>
      <c r="K1318" t="inlineStr">
        <is>
          <t>20250617-20</t>
        </is>
      </c>
    </row>
    <row r="1319">
      <c r="A1319" t="n">
        <v>10</v>
      </c>
      <c r="B1319" t="inlineStr">
        <is>
          <t>MeOH</t>
        </is>
      </c>
      <c r="K1319" t="inlineStr">
        <is>
          <t>20250617-21</t>
        </is>
      </c>
    </row>
    <row r="1320">
      <c r="A1320" t="n">
        <v>11</v>
      </c>
      <c r="B1320" t="inlineStr">
        <is>
          <t>SB1</t>
        </is>
      </c>
      <c r="F1320" t="n">
        <v>5289.194</v>
      </c>
      <c r="K1320" t="inlineStr">
        <is>
          <t>20250617-22</t>
        </is>
      </c>
    </row>
    <row r="1321">
      <c r="A1321" t="n">
        <v>12</v>
      </c>
      <c r="B1321" t="inlineStr">
        <is>
          <t>SB2</t>
        </is>
      </c>
      <c r="F1321" t="n">
        <v>6667.125</v>
      </c>
      <c r="K1321" t="inlineStr">
        <is>
          <t>20250617-23</t>
        </is>
      </c>
    </row>
    <row r="1322">
      <c r="A1322" t="n">
        <v>13</v>
      </c>
      <c r="B1322" t="inlineStr">
        <is>
          <t>SB3</t>
        </is>
      </c>
      <c r="F1322" t="n">
        <v>5460.875</v>
      </c>
      <c r="K1322" t="inlineStr">
        <is>
          <t>20250617-24</t>
        </is>
      </c>
    </row>
    <row r="1323">
      <c r="A1323" t="n">
        <v>14</v>
      </c>
      <c r="B1323" t="inlineStr">
        <is>
          <t>SS1</t>
        </is>
      </c>
      <c r="F1323" t="n">
        <v>6517.947</v>
      </c>
      <c r="K1323" t="inlineStr">
        <is>
          <t>20250617-25</t>
        </is>
      </c>
    </row>
    <row r="1324">
      <c r="A1324" t="n">
        <v>15</v>
      </c>
      <c r="B1324" t="inlineStr">
        <is>
          <t>SS2</t>
        </is>
      </c>
      <c r="F1324" t="n">
        <v>6712.642</v>
      </c>
      <c r="K1324" t="inlineStr">
        <is>
          <t>20250617-26</t>
        </is>
      </c>
    </row>
    <row r="1325">
      <c r="A1325" t="n">
        <v>16</v>
      </c>
      <c r="B1325" t="inlineStr">
        <is>
          <t>SS3</t>
        </is>
      </c>
      <c r="F1325" t="n">
        <v>6363.637</v>
      </c>
      <c r="K1325" t="inlineStr">
        <is>
          <t>20250617-27</t>
        </is>
      </c>
    </row>
    <row r="1326">
      <c r="A1326" t="n">
        <v>17</v>
      </c>
      <c r="B1326" t="inlineStr">
        <is>
          <t>MeOH</t>
        </is>
      </c>
      <c r="K1326" t="inlineStr">
        <is>
          <t>20250617-28</t>
        </is>
      </c>
    </row>
    <row r="1327">
      <c r="A1327" t="n">
        <v>18</v>
      </c>
      <c r="B1327" t="inlineStr">
        <is>
          <t>K4-5A</t>
        </is>
      </c>
      <c r="F1327" t="n">
        <v>3930.075</v>
      </c>
      <c r="K1327" t="inlineStr">
        <is>
          <t>20250617-29</t>
        </is>
      </c>
    </row>
    <row r="1328">
      <c r="A1328" t="n">
        <v>19</v>
      </c>
      <c r="B1328" t="inlineStr">
        <is>
          <t>K4-5B</t>
        </is>
      </c>
      <c r="D1328" t="n">
        <v>16.4</v>
      </c>
      <c r="E1328" t="n">
        <v>0.803</v>
      </c>
      <c r="F1328" t="n">
        <v>6277.964</v>
      </c>
      <c r="G1328" t="n">
        <v>6</v>
      </c>
      <c r="H1328" t="inlineStr">
        <is>
          <t>bb</t>
        </is>
      </c>
      <c r="K1328" t="inlineStr">
        <is>
          <t>20250617-30</t>
        </is>
      </c>
    </row>
    <row r="1329">
      <c r="A1329" t="n">
        <v>20</v>
      </c>
      <c r="B1329" t="inlineStr">
        <is>
          <t>K4-5C</t>
        </is>
      </c>
      <c r="F1329" t="n">
        <v>2207.119</v>
      </c>
      <c r="K1329" t="inlineStr">
        <is>
          <t>20250617-31</t>
        </is>
      </c>
    </row>
    <row r="1330">
      <c r="A1330" t="n">
        <v>21</v>
      </c>
      <c r="B1330" t="inlineStr">
        <is>
          <t>MeOH</t>
        </is>
      </c>
      <c r="K1330" t="inlineStr">
        <is>
          <t>20250617-32</t>
        </is>
      </c>
    </row>
    <row r="1331">
      <c r="A1331" t="n">
        <v>22</v>
      </c>
      <c r="B1331" t="inlineStr">
        <is>
          <t>K3-1A</t>
        </is>
      </c>
      <c r="F1331" t="n">
        <v>4603.346</v>
      </c>
      <c r="K1331" t="inlineStr">
        <is>
          <t>20250617-33</t>
        </is>
      </c>
    </row>
    <row r="1332">
      <c r="A1332" t="n">
        <v>23</v>
      </c>
      <c r="B1332" t="inlineStr">
        <is>
          <t>K3-1B</t>
        </is>
      </c>
      <c r="F1332" t="n">
        <v>4832.73</v>
      </c>
      <c r="K1332" t="inlineStr">
        <is>
          <t>20250617-34</t>
        </is>
      </c>
    </row>
    <row r="1333">
      <c r="A1333" t="n">
        <v>24</v>
      </c>
      <c r="B1333" t="inlineStr">
        <is>
          <t>K3-1C</t>
        </is>
      </c>
      <c r="F1333" t="n">
        <v>5250.105</v>
      </c>
      <c r="K1333" t="inlineStr">
        <is>
          <t>20250617-35</t>
        </is>
      </c>
    </row>
    <row r="1334">
      <c r="A1334" t="n">
        <v>25</v>
      </c>
      <c r="B1334" t="inlineStr">
        <is>
          <t>K3-2A</t>
        </is>
      </c>
      <c r="F1334" t="n">
        <v>4574.33</v>
      </c>
      <c r="K1334" t="inlineStr">
        <is>
          <t>20250617-36</t>
        </is>
      </c>
    </row>
    <row r="1335">
      <c r="A1335" t="n">
        <v>26</v>
      </c>
      <c r="B1335" t="inlineStr">
        <is>
          <t>K3-2B</t>
        </is>
      </c>
      <c r="F1335" t="n">
        <v>5271.769</v>
      </c>
      <c r="K1335" t="inlineStr">
        <is>
          <t>20250617-37</t>
        </is>
      </c>
    </row>
    <row r="1336">
      <c r="A1336" t="n">
        <v>27</v>
      </c>
      <c r="B1336" t="inlineStr">
        <is>
          <t>K3-2C</t>
        </is>
      </c>
      <c r="F1336" t="n">
        <v>4675.447</v>
      </c>
      <c r="K1336" t="inlineStr">
        <is>
          <t>20250617-38</t>
        </is>
      </c>
    </row>
    <row r="1337">
      <c r="A1337" t="n">
        <v>28</v>
      </c>
      <c r="B1337" t="inlineStr">
        <is>
          <t>MeOH</t>
        </is>
      </c>
      <c r="K1337" t="inlineStr">
        <is>
          <t>20250617-39</t>
        </is>
      </c>
    </row>
    <row r="1338">
      <c r="A1338" t="n">
        <v>29</v>
      </c>
      <c r="B1338" t="inlineStr">
        <is>
          <t>K3-3A</t>
        </is>
      </c>
      <c r="F1338" t="n">
        <v>3868.886</v>
      </c>
      <c r="K1338" t="inlineStr">
        <is>
          <t>20250617-40</t>
        </is>
      </c>
    </row>
    <row r="1339">
      <c r="A1339" t="n">
        <v>30</v>
      </c>
      <c r="B1339" t="inlineStr">
        <is>
          <t>K3-3B</t>
        </is>
      </c>
      <c r="F1339" t="n">
        <v>5558.256</v>
      </c>
      <c r="K1339" t="inlineStr">
        <is>
          <t>20250617-41</t>
        </is>
      </c>
    </row>
    <row r="1340">
      <c r="A1340" t="n">
        <v>31</v>
      </c>
      <c r="B1340" t="inlineStr">
        <is>
          <t>K3-3C</t>
        </is>
      </c>
      <c r="F1340" t="n">
        <v>5019.609</v>
      </c>
      <c r="K1340" t="inlineStr">
        <is>
          <t>20250617-42</t>
        </is>
      </c>
    </row>
    <row r="1341">
      <c r="A1341" t="n">
        <v>32</v>
      </c>
      <c r="B1341" t="inlineStr">
        <is>
          <t>K3-4A</t>
        </is>
      </c>
      <c r="F1341" t="n">
        <v>4571.521</v>
      </c>
      <c r="K1341" t="inlineStr">
        <is>
          <t>20250617-43</t>
        </is>
      </c>
    </row>
    <row r="1342">
      <c r="A1342" t="n">
        <v>33</v>
      </c>
      <c r="B1342" t="inlineStr">
        <is>
          <t>K3-4B</t>
        </is>
      </c>
      <c r="F1342" t="n">
        <v>5043.437</v>
      </c>
      <c r="K1342" t="inlineStr">
        <is>
          <t>20250617-44</t>
        </is>
      </c>
    </row>
    <row r="1343">
      <c r="A1343" t="n">
        <v>34</v>
      </c>
      <c r="B1343" t="inlineStr">
        <is>
          <t>K3-4C</t>
        </is>
      </c>
      <c r="F1343" t="n">
        <v>5033.665</v>
      </c>
      <c r="K1343" t="inlineStr">
        <is>
          <t>20250617-45</t>
        </is>
      </c>
    </row>
    <row r="1344">
      <c r="A1344" t="n">
        <v>35</v>
      </c>
      <c r="B1344" t="inlineStr">
        <is>
          <t>MeOH</t>
        </is>
      </c>
      <c r="K1344" t="inlineStr">
        <is>
          <t>20250617-46</t>
        </is>
      </c>
    </row>
    <row r="1345">
      <c r="A1345" t="n">
        <v>36</v>
      </c>
      <c r="B1345" t="inlineStr">
        <is>
          <t>K3-6A</t>
        </is>
      </c>
      <c r="F1345" t="n">
        <v>3966.205</v>
      </c>
      <c r="K1345" t="inlineStr">
        <is>
          <t>20250617-47</t>
        </is>
      </c>
    </row>
    <row r="1346">
      <c r="A1346" t="n">
        <v>37</v>
      </c>
      <c r="B1346" t="inlineStr">
        <is>
          <t>K3-6B</t>
        </is>
      </c>
      <c r="F1346" t="n">
        <v>3977.533</v>
      </c>
      <c r="K1346" t="inlineStr">
        <is>
          <t>20250617-48</t>
        </is>
      </c>
    </row>
    <row r="1347">
      <c r="A1347" t="n">
        <v>38</v>
      </c>
      <c r="B1347" t="inlineStr">
        <is>
          <t>K3-6C</t>
        </is>
      </c>
      <c r="F1347" t="n">
        <v>3666.082</v>
      </c>
      <c r="K1347" t="inlineStr">
        <is>
          <t>20250617-49</t>
        </is>
      </c>
    </row>
    <row r="1349">
      <c r="A1349" t="inlineStr">
        <is>
          <t>Compound 33:  6-6-10 triPAP 1 *</t>
        </is>
      </c>
    </row>
    <row r="1350">
      <c r="I1350" t="inlineStr">
        <is>
          <t>LINEST</t>
        </is>
      </c>
      <c r="Q1350" t="inlineStr">
        <is>
          <t>Biosolids Masses</t>
        </is>
      </c>
      <c r="R1350" t="inlineStr">
        <is>
          <t>(g)</t>
        </is>
      </c>
    </row>
    <row r="1351">
      <c r="B1351" t="inlineStr">
        <is>
          <t>Sample Text</t>
        </is>
      </c>
      <c r="C1351" t="inlineStr">
        <is>
          <t>Std. Conc</t>
        </is>
      </c>
      <c r="D1351" t="inlineStr">
        <is>
          <t>RT</t>
        </is>
      </c>
      <c r="E1351" t="inlineStr">
        <is>
          <t>Area</t>
        </is>
      </c>
      <c r="F1351" t="inlineStr">
        <is>
          <t>IS Area</t>
        </is>
      </c>
      <c r="G1351" t="inlineStr">
        <is>
          <t>S/N</t>
        </is>
      </c>
      <c r="H1351" t="inlineStr">
        <is>
          <t>ratio</t>
        </is>
      </c>
      <c r="I1351">
        <f t="array" ref="I1351:J1355">LINEST(H1353:H1359,C1353:C1359,1,1)</f>
        <v/>
      </c>
      <c r="J1351" t="n">
        <v>0.02550350681560281</v>
      </c>
      <c r="L1351" s="20" t="inlineStr">
        <is>
          <t>By S/N Ratio</t>
        </is>
      </c>
      <c r="Q1351" t="inlineStr">
        <is>
          <t>SS1</t>
        </is>
      </c>
      <c r="R1351" t="n">
        <v>1.0846</v>
      </c>
    </row>
    <row r="1352">
      <c r="A1352" t="n">
        <v>1</v>
      </c>
      <c r="B1352" t="inlineStr">
        <is>
          <t>EPA1633 &amp; diPAPs Calibration 0 ppb</t>
        </is>
      </c>
      <c r="C1352" s="47" t="n">
        <v>0</v>
      </c>
      <c r="D1352" t="n">
        <v>16.35</v>
      </c>
      <c r="E1352" t="n">
        <v>255.208</v>
      </c>
      <c r="F1352" t="n">
        <v>19473.51</v>
      </c>
      <c r="G1352" t="n">
        <v>3.981</v>
      </c>
      <c r="H1352">
        <f>E1352/F1352</f>
        <v/>
      </c>
      <c r="I1352" t="n">
        <v>0.001068898914306682</v>
      </c>
      <c r="J1352" t="n">
        <v>0.01141715000250547</v>
      </c>
      <c r="K1352" t="inlineStr">
        <is>
          <t>LOD</t>
        </is>
      </c>
      <c r="L1352" s="21">
        <f>IF(G1355&gt;3,C1355,IF(G1356&gt;3,#REF!,IF(G1357&gt;3,C1357,IF(G1358&gt;3,C1358,C1359))))</f>
        <v/>
      </c>
      <c r="Q1352" t="inlineStr">
        <is>
          <t>SS2</t>
        </is>
      </c>
      <c r="R1352" t="n">
        <v>1.0726</v>
      </c>
    </row>
    <row r="1353">
      <c r="A1353" t="n">
        <v>2</v>
      </c>
      <c r="B1353" t="inlineStr">
        <is>
          <t>EPA1633 &amp; diPAPs Calibration 0.02 ppb</t>
        </is>
      </c>
      <c r="C1353" s="47" t="n">
        <v>0.9</v>
      </c>
      <c r="D1353" t="n">
        <v>16.29</v>
      </c>
      <c r="E1353" t="n">
        <v>189.615</v>
      </c>
      <c r="F1353" t="n">
        <v>13285.255</v>
      </c>
      <c r="G1353" t="n">
        <v>1.973</v>
      </c>
      <c r="H1353">
        <f>E1353/F1353</f>
        <v/>
      </c>
      <c r="I1353" t="n">
        <v>0.8897324961295405</v>
      </c>
      <c r="J1353" t="n">
        <v>0.01813216624803553</v>
      </c>
      <c r="K1353" t="inlineStr">
        <is>
          <t>LOQ</t>
        </is>
      </c>
      <c r="L1353" s="22">
        <f>IF(G1355&gt;10,C1355,IF(G1356&gt;10,#REF!,IF(G1357&gt;10,C1357,IF(G1358&gt;10,C1358,C1359))))</f>
        <v/>
      </c>
      <c r="Q1353" t="inlineStr">
        <is>
          <t>SS3</t>
        </is>
      </c>
      <c r="R1353" t="n">
        <v>1.1534</v>
      </c>
    </row>
    <row r="1354">
      <c r="A1354" t="n">
        <v>3</v>
      </c>
      <c r="B1354" t="inlineStr">
        <is>
          <t>EPA1633 &amp; diPAPs Calibration 0.1 ppb</t>
        </is>
      </c>
      <c r="C1354" s="47" t="n">
        <v>1.9</v>
      </c>
      <c r="D1354" t="n">
        <v>16.32</v>
      </c>
      <c r="E1354" t="n">
        <v>396.211</v>
      </c>
      <c r="F1354" t="n">
        <v>16010.102</v>
      </c>
      <c r="G1354" t="n">
        <v>4.222</v>
      </c>
      <c r="H1354">
        <f>E1354/F1354</f>
        <v/>
      </c>
      <c r="I1354" t="n">
        <v>40.34427482709612</v>
      </c>
      <c r="J1354" t="n">
        <v>5</v>
      </c>
      <c r="Q1354" t="inlineStr">
        <is>
          <t>K4-5A</t>
        </is>
      </c>
      <c r="R1354" t="n">
        <v>1.1054</v>
      </c>
    </row>
    <row r="1355">
      <c r="A1355" t="n">
        <v>4</v>
      </c>
      <c r="B1355" t="inlineStr">
        <is>
          <t>EPA1633 &amp; diPAPs Calibration 0.4 ppb</t>
        </is>
      </c>
      <c r="C1355" s="47" t="n">
        <v>3.8</v>
      </c>
      <c r="D1355" t="n">
        <v>16.32</v>
      </c>
      <c r="E1355" t="n">
        <v>1025.265</v>
      </c>
      <c r="F1355" t="n">
        <v>14214.025</v>
      </c>
      <c r="G1355" t="n">
        <v>16.631</v>
      </c>
      <c r="H1355">
        <f>E1355/F1355</f>
        <v/>
      </c>
      <c r="I1355" t="n">
        <v>0.0132642072260381</v>
      </c>
      <c r="J1355" t="n">
        <v>0.001643877264231994</v>
      </c>
      <c r="Q1355" t="inlineStr">
        <is>
          <t>K4-5B</t>
        </is>
      </c>
      <c r="R1355" s="10" t="n">
        <v>1.0463</v>
      </c>
    </row>
    <row r="1356">
      <c r="A1356" t="n">
        <v>5</v>
      </c>
      <c r="B1356" t="inlineStr">
        <is>
          <t>EPA1633 &amp; diPAPs Calibration 1 ppb</t>
        </is>
      </c>
      <c r="C1356" s="47" t="n">
        <v>7.6</v>
      </c>
      <c r="D1356" t="n">
        <v>16.32</v>
      </c>
      <c r="E1356" t="n">
        <v>1863.405</v>
      </c>
      <c r="F1356" t="n">
        <v>21931.449</v>
      </c>
      <c r="G1356" t="n">
        <v>35.21</v>
      </c>
      <c r="H1356">
        <f>E1356/F1356</f>
        <v/>
      </c>
      <c r="Q1356" t="inlineStr">
        <is>
          <t>K4-5C</t>
        </is>
      </c>
      <c r="R1356" t="n">
        <v>1.1155</v>
      </c>
    </row>
    <row r="1357">
      <c r="A1357" t="n">
        <v>6</v>
      </c>
      <c r="B1357" t="inlineStr">
        <is>
          <t>EPA1633 &amp; diPAPs Calibration 5 ppb</t>
        </is>
      </c>
      <c r="C1357" s="47" t="n">
        <v>11.4</v>
      </c>
      <c r="D1357" t="n">
        <v>16.32</v>
      </c>
      <c r="E1357" t="n">
        <v>2175.408</v>
      </c>
      <c r="F1357" t="n">
        <v>17537.508</v>
      </c>
      <c r="G1357" t="n">
        <v>26.992</v>
      </c>
      <c r="H1357">
        <f>E1357/F1357</f>
        <v/>
      </c>
      <c r="Q1357" t="inlineStr">
        <is>
          <t>K3-1A</t>
        </is>
      </c>
      <c r="R1357" t="n">
        <v>1.0874</v>
      </c>
    </row>
    <row r="1358">
      <c r="A1358" t="n">
        <v>7</v>
      </c>
      <c r="B1358" t="inlineStr">
        <is>
          <t>EPA1633 &amp; diPAPs Calibration 10 ppb</t>
        </is>
      </c>
      <c r="C1358" s="47" t="n">
        <v>15.2</v>
      </c>
      <c r="D1358" t="n">
        <v>16.32</v>
      </c>
      <c r="E1358" t="n">
        <v>3619.802</v>
      </c>
      <c r="F1358" t="n">
        <v>29293.133</v>
      </c>
      <c r="G1358" t="n">
        <v>73.473</v>
      </c>
      <c r="H1358">
        <f>E1358/F1358</f>
        <v/>
      </c>
      <c r="I1358" s="23" t="inlineStr">
        <is>
          <t>Background</t>
        </is>
      </c>
      <c r="J1358" s="23" t="inlineStr">
        <is>
          <t>Spike</t>
        </is>
      </c>
      <c r="K1358" s="9" t="inlineStr">
        <is>
          <t>Old Spike</t>
        </is>
      </c>
      <c r="O1358" s="24" t="inlineStr">
        <is>
          <t>±</t>
        </is>
      </c>
      <c r="Q1358" t="inlineStr">
        <is>
          <t>K3-1B</t>
        </is>
      </c>
      <c r="R1358" t="n">
        <v>1.0898</v>
      </c>
    </row>
    <row r="1359">
      <c r="A1359" t="n">
        <v>8</v>
      </c>
      <c r="B1359" t="inlineStr">
        <is>
          <t>EPA1633 &amp; diPAPs Calibration 20 ppb</t>
        </is>
      </c>
      <c r="C1359" s="47" t="n">
        <v>19</v>
      </c>
      <c r="D1359" t="n">
        <v>16.34</v>
      </c>
      <c r="E1359" t="n">
        <v>1959.768</v>
      </c>
      <c r="F1359" t="n">
        <v>13919.142</v>
      </c>
      <c r="G1359" t="n">
        <v>38.377</v>
      </c>
      <c r="H1359">
        <f>E1359/F1359</f>
        <v/>
      </c>
      <c r="I1359">
        <f>AVERAGE(I1362:I1364)</f>
        <v/>
      </c>
      <c r="J1359" t="n">
        <v>16.7</v>
      </c>
      <c r="Q1359" t="inlineStr">
        <is>
          <t>K3-1C</t>
        </is>
      </c>
      <c r="R1359" t="n">
        <v>1.0536</v>
      </c>
    </row>
    <row r="1360">
      <c r="A1360" t="n">
        <v>9</v>
      </c>
      <c r="B1360" t="inlineStr">
        <is>
          <t>MeOH</t>
        </is>
      </c>
      <c r="I1360" s="23" t="inlineStr">
        <is>
          <t>Conc.In Vial (ppb)</t>
        </is>
      </c>
      <c r="J1360" s="9" t="inlineStr">
        <is>
          <t>Corr. Conc.(ppb)</t>
        </is>
      </c>
      <c r="K1360" s="9" t="inlineStr">
        <is>
          <t>Conc. In soil (ng/g)</t>
        </is>
      </c>
      <c r="Q1360" t="inlineStr">
        <is>
          <t>K3-2A</t>
        </is>
      </c>
      <c r="R1360" s="10" t="n">
        <v>1.1218</v>
      </c>
    </row>
    <row r="1361">
      <c r="A1361" t="n">
        <v>10</v>
      </c>
      <c r="B1361" t="inlineStr">
        <is>
          <t>MeOH</t>
        </is>
      </c>
      <c r="L1361" s="23" t="inlineStr">
        <is>
          <t>Average</t>
        </is>
      </c>
      <c r="M1361" s="23" t="inlineStr">
        <is>
          <t>Stdev</t>
        </is>
      </c>
      <c r="N1361" s="9" t="inlineStr">
        <is>
          <t>Combined</t>
        </is>
      </c>
      <c r="O1361" s="9" t="n"/>
      <c r="P1361" s="9" t="n"/>
      <c r="Q1361" t="inlineStr">
        <is>
          <t>K3-2B</t>
        </is>
      </c>
      <c r="R1361" t="n">
        <v>1.198</v>
      </c>
    </row>
    <row r="1362">
      <c r="A1362" t="n">
        <v>11</v>
      </c>
      <c r="B1362" t="inlineStr">
        <is>
          <t>SB1</t>
        </is>
      </c>
      <c r="D1362" t="n">
        <v>16.55</v>
      </c>
      <c r="E1362" t="n">
        <v>251.91</v>
      </c>
      <c r="F1362" t="n">
        <v>5289.194</v>
      </c>
      <c r="G1362" t="n">
        <v>2.876</v>
      </c>
      <c r="H1362">
        <f>E1362/F1362</f>
        <v/>
      </c>
      <c r="I1362">
        <f>((H1362-$J$1351)/$I$1351)</f>
        <v/>
      </c>
      <c r="J1362">
        <f>(I1362-IF(I1359&gt;0,I1359,0))</f>
        <v/>
      </c>
      <c r="K1362">
        <f>J1362*1.1</f>
        <v/>
      </c>
      <c r="L1362">
        <f>AVERAGE(K1362:K1364)</f>
        <v/>
      </c>
      <c r="M1362">
        <f>STDEV(K1363:K1364)</f>
        <v/>
      </c>
      <c r="N1362">
        <f>_xlfn.CONCAT(ROUND(L1362,1)," ± ",ROUND(M1362,1))</f>
        <v/>
      </c>
      <c r="Q1362" t="inlineStr">
        <is>
          <t>K3-2C</t>
        </is>
      </c>
      <c r="R1362" t="n">
        <v>1.1538</v>
      </c>
    </row>
    <row r="1363">
      <c r="A1363" t="n">
        <v>12</v>
      </c>
      <c r="B1363" t="inlineStr">
        <is>
          <t>SB2</t>
        </is>
      </c>
      <c r="D1363" t="n">
        <v>16.52</v>
      </c>
      <c r="E1363" t="n">
        <v>98.081</v>
      </c>
      <c r="F1363" t="n">
        <v>6667.125</v>
      </c>
      <c r="G1363" t="n">
        <v>1.655</v>
      </c>
      <c r="H1363">
        <f>E1363/F1363</f>
        <v/>
      </c>
      <c r="I1363">
        <f>((H1363-$J$1351)/$I$1351)</f>
        <v/>
      </c>
      <c r="J1363">
        <f>(I1363-IF(I1359&gt;0,I1359,0))</f>
        <v/>
      </c>
      <c r="K1363">
        <f>J1363*1.1</f>
        <v/>
      </c>
      <c r="Q1363" t="inlineStr">
        <is>
          <t>K3-3A</t>
        </is>
      </c>
      <c r="R1363" t="n">
        <v>1.1183</v>
      </c>
    </row>
    <row r="1364">
      <c r="A1364" t="n">
        <v>13</v>
      </c>
      <c r="B1364" t="inlineStr">
        <is>
          <t>SB3</t>
        </is>
      </c>
      <c r="D1364" t="n">
        <v>16.48</v>
      </c>
      <c r="E1364" t="n">
        <v>101.415</v>
      </c>
      <c r="F1364" t="n">
        <v>5460.875</v>
      </c>
      <c r="G1364" t="n">
        <v>1.743</v>
      </c>
      <c r="H1364">
        <f>E1364/F1364</f>
        <v/>
      </c>
      <c r="I1364">
        <f>((H1364-$J$1351)/$I$1351)</f>
        <v/>
      </c>
      <c r="J1364">
        <f>(I1364-IF(I1359&gt;0,I1359,0))</f>
        <v/>
      </c>
      <c r="K1364" s="30">
        <f>J1364*1.1</f>
        <v/>
      </c>
      <c r="L1364" s="25" t="inlineStr">
        <is>
          <t>Average</t>
        </is>
      </c>
      <c r="M1364" s="25" t="inlineStr">
        <is>
          <t>Stdev</t>
        </is>
      </c>
      <c r="N1364" s="26" t="inlineStr">
        <is>
          <t>%Recovery</t>
        </is>
      </c>
      <c r="O1364" s="26" t="inlineStr">
        <is>
          <t>Uncertainty</t>
        </is>
      </c>
      <c r="P1364" s="26" t="inlineStr">
        <is>
          <t>Combined</t>
        </is>
      </c>
      <c r="Q1364" t="inlineStr">
        <is>
          <t>K3-3B</t>
        </is>
      </c>
      <c r="R1364" t="n">
        <v>1.1448</v>
      </c>
    </row>
    <row r="1365">
      <c r="A1365" t="n">
        <v>14</v>
      </c>
      <c r="B1365" t="inlineStr">
        <is>
          <t>SS1</t>
        </is>
      </c>
      <c r="D1365" t="n">
        <v>16.51</v>
      </c>
      <c r="E1365" t="n">
        <v>273.713</v>
      </c>
      <c r="F1365" t="n">
        <v>6517.947</v>
      </c>
      <c r="G1365" t="n">
        <v>3.39</v>
      </c>
      <c r="H1365">
        <f>E1365/F1365</f>
        <v/>
      </c>
      <c r="I1365">
        <f>((H1365-$J$1351)/$I$1351)</f>
        <v/>
      </c>
      <c r="J1365">
        <f>(I1365-IF($I$1359&gt;0,$I$1359))</f>
        <v/>
      </c>
      <c r="K1365">
        <f>J1365/R1351*1.1</f>
        <v/>
      </c>
      <c r="L1365" s="27">
        <f>AVERAGE(K1365:K1367)</f>
        <v/>
      </c>
      <c r="M1365" s="27">
        <f>STDEV(K1365:K1367)</f>
        <v/>
      </c>
      <c r="N1365" s="28">
        <f>L1365/J1359*100</f>
        <v/>
      </c>
      <c r="O1365" s="29">
        <f>M1365/J1359*100</f>
        <v/>
      </c>
      <c r="P1365" s="29">
        <f>_xlfn.CONCAT(ROUND(N1365,1)," ± ",ROUND(O1365,1))</f>
        <v/>
      </c>
      <c r="Q1365" t="inlineStr">
        <is>
          <t>K3-3C</t>
        </is>
      </c>
      <c r="R1365" t="n">
        <v>1.0493</v>
      </c>
    </row>
    <row r="1366">
      <c r="A1366" t="n">
        <v>15</v>
      </c>
      <c r="B1366" t="inlineStr">
        <is>
          <t>SS2</t>
        </is>
      </c>
      <c r="D1366" t="n">
        <v>16.37</v>
      </c>
      <c r="E1366" t="n">
        <v>265.572</v>
      </c>
      <c r="F1366" t="n">
        <v>6712.642</v>
      </c>
      <c r="G1366" t="n">
        <v>3.227</v>
      </c>
      <c r="H1366">
        <f>E1366/F1366</f>
        <v/>
      </c>
      <c r="I1366">
        <f>((H1366-$J$1351)/$I$1351)</f>
        <v/>
      </c>
      <c r="J1366">
        <f>(I1366-IF($I$1359&gt;0,$I$1359))</f>
        <v/>
      </c>
      <c r="K1366">
        <f>J1366/R1352*1.1</f>
        <v/>
      </c>
      <c r="Q1366" t="inlineStr">
        <is>
          <t>K3-4A</t>
        </is>
      </c>
      <c r="R1366" t="n">
        <v>1.0704</v>
      </c>
    </row>
    <row r="1367">
      <c r="A1367" t="n">
        <v>16</v>
      </c>
      <c r="B1367" t="inlineStr">
        <is>
          <t>SS3</t>
        </is>
      </c>
      <c r="D1367" t="n">
        <v>16.53</v>
      </c>
      <c r="E1367" t="n">
        <v>333.654</v>
      </c>
      <c r="F1367" t="n">
        <v>6363.637</v>
      </c>
      <c r="G1367" t="n">
        <v>6.495</v>
      </c>
      <c r="H1367">
        <f>E1367/F1367</f>
        <v/>
      </c>
      <c r="I1367">
        <f>((H1367-$J$1351)/$I$1351)</f>
        <v/>
      </c>
      <c r="J1367">
        <f>(I1367-IF($I$1359&gt;0,$I$1359))</f>
        <v/>
      </c>
      <c r="K1367" s="30">
        <f>J1367/R1353*1.1</f>
        <v/>
      </c>
      <c r="Q1367" t="inlineStr">
        <is>
          <t>K3-4B</t>
        </is>
      </c>
      <c r="R1367" t="n">
        <v>1.1589</v>
      </c>
    </row>
    <row r="1368">
      <c r="A1368" t="n">
        <v>17</v>
      </c>
      <c r="B1368" t="inlineStr">
        <is>
          <t>MeOH</t>
        </is>
      </c>
      <c r="L1368" s="23" t="inlineStr">
        <is>
          <t>Average</t>
        </is>
      </c>
      <c r="M1368" s="23" t="inlineStr">
        <is>
          <t>Stdev</t>
        </is>
      </c>
      <c r="N1368" s="9" t="inlineStr">
        <is>
          <t>Combined</t>
        </is>
      </c>
      <c r="Q1368" t="inlineStr">
        <is>
          <t>K3-4C</t>
        </is>
      </c>
      <c r="R1368" t="n">
        <v>1.0206</v>
      </c>
    </row>
    <row r="1369">
      <c r="A1369" t="n">
        <v>18</v>
      </c>
      <c r="B1369" t="inlineStr">
        <is>
          <t>K4-5A</t>
        </is>
      </c>
      <c r="D1369" t="n">
        <v>16.32</v>
      </c>
      <c r="E1369" t="n">
        <v>128.839</v>
      </c>
      <c r="F1369" t="n">
        <v>3930.075</v>
      </c>
      <c r="G1369" t="n">
        <v>3.355</v>
      </c>
      <c r="H1369">
        <f>E1369/F1369</f>
        <v/>
      </c>
      <c r="I1369">
        <f>((H1369-$J$1351)/$I$1351)</f>
        <v/>
      </c>
      <c r="J1369">
        <f>(I1369-IF($I$1359&gt;0,$I$1359))</f>
        <v/>
      </c>
      <c r="K1369">
        <f>J1369/R1353*1.1</f>
        <v/>
      </c>
      <c r="L1369">
        <f>AVERAGE(K1369:K1371)</f>
        <v/>
      </c>
      <c r="M1369">
        <f>STDEV(K1369:K1371)</f>
        <v/>
      </c>
      <c r="N1369">
        <f>_xlfn.CONCAT(ROUND(L1369,1)," ± ",ROUND(M1369,1))</f>
        <v/>
      </c>
      <c r="Q1369" t="inlineStr">
        <is>
          <t>K3-6A</t>
        </is>
      </c>
      <c r="R1369" t="n">
        <v>1.1289</v>
      </c>
    </row>
    <row r="1370">
      <c r="A1370" t="n">
        <v>19</v>
      </c>
      <c r="B1370" t="inlineStr">
        <is>
          <t>K4-5B</t>
        </is>
      </c>
      <c r="D1370" t="n">
        <v>16.35</v>
      </c>
      <c r="E1370" t="n">
        <v>120.655</v>
      </c>
      <c r="F1370" t="n">
        <v>6277.964</v>
      </c>
      <c r="G1370" t="n">
        <v>1.602</v>
      </c>
      <c r="H1370">
        <f>E1370/F1370</f>
        <v/>
      </c>
      <c r="I1370">
        <f>((H1370-$J$1351)/$I$1351)</f>
        <v/>
      </c>
      <c r="J1370">
        <f>(I1370-IF($I$1359&gt;0,$I$1359))</f>
        <v/>
      </c>
      <c r="K1370">
        <f>J1370/R1354*1.1</f>
        <v/>
      </c>
      <c r="Q1370" t="inlineStr">
        <is>
          <t>K3-6B</t>
        </is>
      </c>
      <c r="R1370" t="n">
        <v>1.195</v>
      </c>
    </row>
    <row r="1371">
      <c r="A1371" t="n">
        <v>20</v>
      </c>
      <c r="B1371" t="inlineStr">
        <is>
          <t>K4-5C</t>
        </is>
      </c>
      <c r="D1371" t="n">
        <v>16.45</v>
      </c>
      <c r="E1371" t="n">
        <v>114.833</v>
      </c>
      <c r="F1371" t="n">
        <v>2207.119</v>
      </c>
      <c r="G1371" t="n">
        <v>1.7</v>
      </c>
      <c r="H1371">
        <f>E1371/F1371</f>
        <v/>
      </c>
      <c r="I1371">
        <f>((H1371-$J$1351)/$I$1351)</f>
        <v/>
      </c>
      <c r="J1371">
        <f>(I1371-IF($I$1359&gt;0,$I$1359))</f>
        <v/>
      </c>
      <c r="K1371">
        <f>J1371/R1355*1.1</f>
        <v/>
      </c>
      <c r="L1371" s="23" t="n"/>
      <c r="M1371" s="23" t="n"/>
      <c r="N1371" s="9" t="n"/>
      <c r="Q1371" t="inlineStr">
        <is>
          <t>K3-6C</t>
        </is>
      </c>
      <c r="R1371" t="n">
        <v>1.1716</v>
      </c>
    </row>
    <row r="1372">
      <c r="A1372" t="n">
        <v>21</v>
      </c>
      <c r="B1372" t="inlineStr">
        <is>
          <t>MeOH</t>
        </is>
      </c>
      <c r="L1372" s="23" t="inlineStr">
        <is>
          <t>Average</t>
        </is>
      </c>
      <c r="M1372" s="23" t="inlineStr">
        <is>
          <t>Stdev</t>
        </is>
      </c>
      <c r="N1372" s="9" t="inlineStr">
        <is>
          <t>Combined</t>
        </is>
      </c>
    </row>
    <row r="1373">
      <c r="A1373" t="n">
        <v>22</v>
      </c>
      <c r="B1373" t="inlineStr">
        <is>
          <t>K3-1A</t>
        </is>
      </c>
      <c r="D1373" t="n">
        <v>16.55</v>
      </c>
      <c r="E1373" t="n">
        <v>292.122</v>
      </c>
      <c r="F1373" t="n">
        <v>4603.346</v>
      </c>
      <c r="G1373" t="n">
        <v>4.352</v>
      </c>
      <c r="H1373">
        <f>E1373/F1373</f>
        <v/>
      </c>
      <c r="I1373">
        <f>((H1373-$J$1351)/$I$1351)</f>
        <v/>
      </c>
      <c r="J1373">
        <f>(I1373-IF($I$1359&gt;0,$I$1359))</f>
        <v/>
      </c>
      <c r="K1373">
        <f>J1373/R1356*1.1</f>
        <v/>
      </c>
      <c r="L1373">
        <f>AVERAGE(K1373:K1375)</f>
        <v/>
      </c>
      <c r="M1373">
        <f>STDEV(K1374:K1375)</f>
        <v/>
      </c>
      <c r="N1373">
        <f>_xlfn.CONCAT(ROUND(L1373,1)," ± ",ROUND(M1373,1))</f>
        <v/>
      </c>
    </row>
    <row r="1374">
      <c r="A1374" t="n">
        <v>23</v>
      </c>
      <c r="B1374" t="inlineStr">
        <is>
          <t>K3-1B</t>
        </is>
      </c>
      <c r="D1374" t="n">
        <v>16.34</v>
      </c>
      <c r="E1374" t="n">
        <v>152.101</v>
      </c>
      <c r="F1374" t="n">
        <v>4832.73</v>
      </c>
      <c r="G1374" t="n">
        <v>3.4</v>
      </c>
      <c r="H1374">
        <f>E1374/F1374</f>
        <v/>
      </c>
      <c r="I1374">
        <f>((H1374-$J$1351)/$I$1351)</f>
        <v/>
      </c>
      <c r="J1374">
        <f>(I1374-IF($I$1359&gt;0,$I$1359))</f>
        <v/>
      </c>
      <c r="K1374">
        <f>J1374/R1357*1.1</f>
        <v/>
      </c>
    </row>
    <row r="1375">
      <c r="A1375" t="n">
        <v>24</v>
      </c>
      <c r="B1375" t="inlineStr">
        <is>
          <t>K3-1C</t>
        </is>
      </c>
      <c r="D1375" t="n">
        <v>16.19</v>
      </c>
      <c r="E1375" t="n">
        <v>78.151</v>
      </c>
      <c r="F1375" t="n">
        <v>5250.105</v>
      </c>
      <c r="G1375" t="n">
        <v>2.442</v>
      </c>
      <c r="H1375">
        <f>E1375/F1375</f>
        <v/>
      </c>
      <c r="I1375">
        <f>((H1375-$J$1351)/$I$1351)</f>
        <v/>
      </c>
      <c r="J1375">
        <f>(I1375-IF($I$1359&gt;0,$I$1359))</f>
        <v/>
      </c>
      <c r="K1375">
        <f>J1375/R1358*1.1</f>
        <v/>
      </c>
      <c r="L1375" s="23" t="inlineStr">
        <is>
          <t>Average</t>
        </is>
      </c>
      <c r="M1375" s="23" t="inlineStr">
        <is>
          <t>Stdev</t>
        </is>
      </c>
      <c r="N1375" s="9" t="inlineStr">
        <is>
          <t>Combined</t>
        </is>
      </c>
    </row>
    <row r="1376">
      <c r="A1376" t="n">
        <v>25</v>
      </c>
      <c r="B1376" t="inlineStr">
        <is>
          <t>K3-2A</t>
        </is>
      </c>
      <c r="D1376" t="n">
        <v>16.3</v>
      </c>
      <c r="E1376" t="n">
        <v>27.82</v>
      </c>
      <c r="F1376" t="n">
        <v>4574.33</v>
      </c>
      <c r="G1376" t="n">
        <v>0.806</v>
      </c>
      <c r="H1376">
        <f>E1376/F1376</f>
        <v/>
      </c>
      <c r="I1376">
        <f>((H1376-$J$1351)/$I$1351)</f>
        <v/>
      </c>
      <c r="J1376">
        <f>(I1376-IF($I$1359&gt;0,$I$1359))</f>
        <v/>
      </c>
      <c r="K1376">
        <f>J1376/R1359*1.1</f>
        <v/>
      </c>
      <c r="L1376">
        <f>AVERAGE(K1376:K1378)</f>
        <v/>
      </c>
      <c r="M1376">
        <f>STDEV(K1376:K1378)</f>
        <v/>
      </c>
      <c r="N1376">
        <f>_xlfn.CONCAT(ROUND(L1376,1)," ± ",ROUND(M1376,1))</f>
        <v/>
      </c>
    </row>
    <row r="1377">
      <c r="A1377" t="n">
        <v>26</v>
      </c>
      <c r="B1377" t="inlineStr">
        <is>
          <t>K3-2B</t>
        </is>
      </c>
      <c r="D1377" t="n">
        <v>16.72</v>
      </c>
      <c r="E1377" t="n">
        <v>121.405</v>
      </c>
      <c r="F1377" t="n">
        <v>5271.769</v>
      </c>
      <c r="G1377" t="n">
        <v>2.281</v>
      </c>
      <c r="H1377">
        <f>E1377/F1377</f>
        <v/>
      </c>
      <c r="I1377">
        <f>((H1377-$J$1351)/$I$1351)</f>
        <v/>
      </c>
      <c r="J1377">
        <f>(I1377-IF($I$1359&gt;0,$I$1359))</f>
        <v/>
      </c>
      <c r="K1377">
        <f>J1377/R1360*1.1</f>
        <v/>
      </c>
    </row>
    <row r="1378">
      <c r="A1378" t="n">
        <v>27</v>
      </c>
      <c r="B1378" t="inlineStr">
        <is>
          <t>K3-2C</t>
        </is>
      </c>
      <c r="D1378" t="n">
        <v>16.77</v>
      </c>
      <c r="E1378" t="n">
        <v>189.858</v>
      </c>
      <c r="F1378" t="n">
        <v>4675.447</v>
      </c>
      <c r="G1378" t="n">
        <v>3.779</v>
      </c>
      <c r="H1378">
        <f>E1378/F1378</f>
        <v/>
      </c>
      <c r="I1378">
        <f>((H1378-$J$1351)/$I$1351)</f>
        <v/>
      </c>
      <c r="J1378">
        <f>(I1378-IF($I$1359&gt;0,$I$1359))</f>
        <v/>
      </c>
      <c r="K1378">
        <f>J1378/R1361*1.1</f>
        <v/>
      </c>
      <c r="L1378" s="23" t="n"/>
      <c r="M1378" s="23" t="n"/>
      <c r="N1378" s="9" t="n"/>
    </row>
    <row r="1379">
      <c r="A1379" t="n">
        <v>28</v>
      </c>
      <c r="B1379" t="inlineStr">
        <is>
          <t>MeOH</t>
        </is>
      </c>
      <c r="L1379" s="23" t="inlineStr">
        <is>
          <t>Average</t>
        </is>
      </c>
      <c r="M1379" s="23" t="inlineStr">
        <is>
          <t>Stdev</t>
        </is>
      </c>
      <c r="N1379" s="9" t="inlineStr">
        <is>
          <t>Combined</t>
        </is>
      </c>
    </row>
    <row r="1380">
      <c r="A1380" t="n">
        <v>29</v>
      </c>
      <c r="B1380" t="inlineStr">
        <is>
          <t>K3-3A</t>
        </is>
      </c>
      <c r="D1380" t="n">
        <v>16.5</v>
      </c>
      <c r="E1380" t="n">
        <v>204.61</v>
      </c>
      <c r="F1380" t="n">
        <v>3868.886</v>
      </c>
      <c r="G1380" t="n">
        <v>3.139</v>
      </c>
      <c r="H1380">
        <f>E1380/F1380</f>
        <v/>
      </c>
      <c r="I1380">
        <f>((H1380-$J$1351)/$I$1351)</f>
        <v/>
      </c>
      <c r="J1380">
        <f>(I1380-IF($I$1359&gt;0,$I$1359))</f>
        <v/>
      </c>
      <c r="K1380">
        <f>J1380/R1362*1.1</f>
        <v/>
      </c>
      <c r="L1380">
        <f>AVERAGE(K1380:K1382)</f>
        <v/>
      </c>
      <c r="M1380">
        <f>STDEV(K1381:K1382)</f>
        <v/>
      </c>
      <c r="N1380">
        <f>_xlfn.CONCAT(ROUND(L1380,1)," ± ",ROUND(M1380,1))</f>
        <v/>
      </c>
    </row>
    <row r="1381">
      <c r="A1381" t="n">
        <v>30</v>
      </c>
      <c r="B1381" t="inlineStr">
        <is>
          <t>K3-3B</t>
        </is>
      </c>
      <c r="D1381" t="n">
        <v>16.66</v>
      </c>
      <c r="E1381" t="n">
        <v>100.037</v>
      </c>
      <c r="F1381" t="n">
        <v>5558.256</v>
      </c>
      <c r="G1381" t="n">
        <v>1.158</v>
      </c>
      <c r="H1381">
        <f>E1381/F1381</f>
        <v/>
      </c>
      <c r="I1381">
        <f>((H1381-$J$1351)/$I$1351)</f>
        <v/>
      </c>
      <c r="J1381">
        <f>(I1381-IF($I$1359&gt;0,$I$1359))</f>
        <v/>
      </c>
      <c r="K1381">
        <f>J1381/R1363*1.1</f>
        <v/>
      </c>
    </row>
    <row r="1382">
      <c r="A1382" t="n">
        <v>31</v>
      </c>
      <c r="B1382" t="inlineStr">
        <is>
          <t>K3-3C</t>
        </is>
      </c>
      <c r="D1382" t="n">
        <v>16.38</v>
      </c>
      <c r="E1382" t="n">
        <v>108.77</v>
      </c>
      <c r="F1382" t="n">
        <v>5019.609</v>
      </c>
      <c r="G1382" t="n">
        <v>2.55</v>
      </c>
      <c r="H1382">
        <f>E1382/F1382</f>
        <v/>
      </c>
      <c r="I1382">
        <f>((H1382-$J$1351)/$I$1351)</f>
        <v/>
      </c>
      <c r="J1382">
        <f>(I1382-IF($I$1359&gt;0,$I$1359))</f>
        <v/>
      </c>
      <c r="K1382">
        <f>J1382/R1364*1.1</f>
        <v/>
      </c>
      <c r="L1382" s="23" t="inlineStr">
        <is>
          <t>Average</t>
        </is>
      </c>
      <c r="M1382" s="23" t="inlineStr">
        <is>
          <t>Stdev</t>
        </is>
      </c>
      <c r="N1382" s="9" t="inlineStr">
        <is>
          <t>Combined</t>
        </is>
      </c>
    </row>
    <row r="1383">
      <c r="A1383" t="n">
        <v>32</v>
      </c>
      <c r="B1383" t="inlineStr">
        <is>
          <t>K3-4A</t>
        </is>
      </c>
      <c r="D1383" t="n">
        <v>16.53</v>
      </c>
      <c r="E1383" t="n">
        <v>129.261</v>
      </c>
      <c r="F1383" t="n">
        <v>4571.521</v>
      </c>
      <c r="G1383" t="n">
        <v>2.808</v>
      </c>
      <c r="H1383">
        <f>E1383/F1383</f>
        <v/>
      </c>
      <c r="I1383">
        <f>((H1383-$J$1351)/$I$1351)</f>
        <v/>
      </c>
      <c r="J1383">
        <f>(I1383-IF($I$1359&gt;0,$I$1359))</f>
        <v/>
      </c>
      <c r="K1383">
        <f>J1383/R1365*1.1</f>
        <v/>
      </c>
      <c r="L1383">
        <f>AVERAGE(K1383:K1385)</f>
        <v/>
      </c>
      <c r="M1383">
        <f>STDEV(K1383:K1385)</f>
        <v/>
      </c>
      <c r="N1383">
        <f>_xlfn.CONCAT(ROUND(L1383,1)," ± ",ROUND(M1383,1))</f>
        <v/>
      </c>
    </row>
    <row r="1384">
      <c r="A1384" t="n">
        <v>33</v>
      </c>
      <c r="B1384" t="inlineStr">
        <is>
          <t>K3-4B</t>
        </is>
      </c>
      <c r="D1384" t="n">
        <v>16.75</v>
      </c>
      <c r="E1384" t="n">
        <v>169.216</v>
      </c>
      <c r="F1384" t="n">
        <v>5043.437</v>
      </c>
      <c r="G1384" t="n">
        <v>5.48</v>
      </c>
      <c r="H1384">
        <f>E1384/F1384</f>
        <v/>
      </c>
      <c r="I1384">
        <f>((H1384-$J$1351)/$I$1351)</f>
        <v/>
      </c>
      <c r="J1384">
        <f>(I1384-IF($I$1359&gt;0,$I$1359))</f>
        <v/>
      </c>
      <c r="K1384">
        <f>J1384/R1366*1.1</f>
        <v/>
      </c>
    </row>
    <row r="1385">
      <c r="A1385" t="n">
        <v>34</v>
      </c>
      <c r="B1385" t="inlineStr">
        <is>
          <t>K3-4C</t>
        </is>
      </c>
      <c r="D1385" t="n">
        <v>16.57</v>
      </c>
      <c r="E1385" t="n">
        <v>282.057</v>
      </c>
      <c r="F1385" t="n">
        <v>5033.665</v>
      </c>
      <c r="G1385" t="n">
        <v>3.555</v>
      </c>
      <c r="H1385">
        <f>E1385/F1385</f>
        <v/>
      </c>
      <c r="I1385">
        <f>((H1385-$J$1351)/$I$1351)</f>
        <v/>
      </c>
      <c r="J1385">
        <f>(I1385-IF($I$1359&gt;0,$I$1359))</f>
        <v/>
      </c>
      <c r="K1385">
        <f>J1385/R1367*1.1</f>
        <v/>
      </c>
      <c r="L1385" s="23" t="n"/>
      <c r="M1385" s="23" t="n"/>
      <c r="N1385" s="9" t="n"/>
    </row>
    <row r="1386">
      <c r="A1386" t="n">
        <v>35</v>
      </c>
      <c r="B1386" t="inlineStr">
        <is>
          <t>MeOH</t>
        </is>
      </c>
      <c r="L1386" s="23" t="inlineStr">
        <is>
          <t>Average</t>
        </is>
      </c>
      <c r="M1386" s="23" t="inlineStr">
        <is>
          <t>Stdev</t>
        </is>
      </c>
      <c r="N1386" s="9" t="inlineStr">
        <is>
          <t>Combined</t>
        </is>
      </c>
    </row>
    <row r="1387">
      <c r="A1387" t="n">
        <v>36</v>
      </c>
      <c r="B1387" t="inlineStr">
        <is>
          <t>K3-6A</t>
        </is>
      </c>
      <c r="D1387" t="n">
        <v>16.86</v>
      </c>
      <c r="E1387" t="n">
        <v>96.777</v>
      </c>
      <c r="F1387" t="n">
        <v>3966.205</v>
      </c>
      <c r="G1387" t="n">
        <v>1.604</v>
      </c>
      <c r="H1387">
        <f>E1387/F1387</f>
        <v/>
      </c>
      <c r="I1387">
        <f>((H1387-$J$1351)/$I$1351)</f>
        <v/>
      </c>
      <c r="J1387">
        <f>(I1387-IF($I$1359&gt;0,$I$1359))</f>
        <v/>
      </c>
      <c r="K1387">
        <f>J1387/R1368*1.1</f>
        <v/>
      </c>
      <c r="L1387">
        <f>AVERAGE(K1387:K1389)</f>
        <v/>
      </c>
      <c r="M1387">
        <f>STDEV(K1388:K1389)</f>
        <v/>
      </c>
      <c r="N1387">
        <f>_xlfn.CONCAT(ROUND(L1387,1)," ± ",ROUND(M1387,1))</f>
        <v/>
      </c>
    </row>
    <row r="1388">
      <c r="A1388" t="n">
        <v>37</v>
      </c>
      <c r="B1388" t="inlineStr">
        <is>
          <t>K3-6B</t>
        </is>
      </c>
      <c r="D1388" t="n">
        <v>17.2</v>
      </c>
      <c r="E1388" t="n">
        <v>50.878</v>
      </c>
      <c r="F1388" t="n">
        <v>3977.533</v>
      </c>
      <c r="G1388" t="n">
        <v>0.861</v>
      </c>
      <c r="H1388">
        <f>E1388/F1388</f>
        <v/>
      </c>
      <c r="I1388">
        <f>((H1388-$J$1351)/$I$1351)</f>
        <v/>
      </c>
      <c r="J1388">
        <f>(I1388-IF($I$1359&gt;0,$I$1359))</f>
        <v/>
      </c>
      <c r="K1388">
        <f>J1388/R1369*1.1</f>
        <v/>
      </c>
    </row>
    <row r="1389">
      <c r="A1389" t="n">
        <v>38</v>
      </c>
      <c r="B1389" t="inlineStr">
        <is>
          <t>K3-6C</t>
        </is>
      </c>
      <c r="D1389" t="n">
        <v>16.84</v>
      </c>
      <c r="E1389" t="n">
        <v>92.139</v>
      </c>
      <c r="F1389" t="n">
        <v>3666.082</v>
      </c>
      <c r="G1389" t="n">
        <v>2.215</v>
      </c>
      <c r="H1389">
        <f>E1389/F1389</f>
        <v/>
      </c>
      <c r="I1389">
        <f>((H1389-$J$1351)/$I$1351)</f>
        <v/>
      </c>
      <c r="J1389">
        <f>(I1389-IF($I$1359&gt;0,$I$1359))</f>
        <v/>
      </c>
      <c r="K1389">
        <f>J1389/R1370*1.1</f>
        <v/>
      </c>
      <c r="L1389" s="23" t="n"/>
      <c r="M1389" s="23" t="n"/>
      <c r="N1389" s="9" t="n"/>
    </row>
    <row r="1391">
      <c r="A1391" t="inlineStr">
        <is>
          <t>Compound 34:  6-6-10 triPAP 2 *</t>
        </is>
      </c>
    </row>
    <row r="1393">
      <c r="B1393" t="inlineStr">
        <is>
          <t>Sample Text</t>
        </is>
      </c>
      <c r="C1393" t="inlineStr">
        <is>
          <t>Std. Conc</t>
        </is>
      </c>
      <c r="D1393" t="inlineStr">
        <is>
          <t>RT</t>
        </is>
      </c>
      <c r="E1393" t="inlineStr">
        <is>
          <t>Area</t>
        </is>
      </c>
      <c r="F1393" t="inlineStr">
        <is>
          <t>IS Area</t>
        </is>
      </c>
      <c r="G1393" t="inlineStr">
        <is>
          <t>S/N</t>
        </is>
      </c>
      <c r="H1393" t="inlineStr">
        <is>
          <t>Primary Flags</t>
        </is>
      </c>
      <c r="I1393" t="inlineStr">
        <is>
          <t>Response</t>
        </is>
      </c>
      <c r="J1393" t="inlineStr">
        <is>
          <t>Conc.</t>
        </is>
      </c>
      <c r="K1393" t="inlineStr">
        <is>
          <t>Name</t>
        </is>
      </c>
    </row>
    <row r="1394">
      <c r="A1394" t="n">
        <v>1</v>
      </c>
      <c r="B1394" t="inlineStr">
        <is>
          <t>EPA1633 &amp; diPAPs Calibration 0 ppb</t>
        </is>
      </c>
      <c r="F1394" t="n">
        <v>19473.51</v>
      </c>
      <c r="K1394" t="inlineStr">
        <is>
          <t>20250617-12</t>
        </is>
      </c>
    </row>
    <row r="1395">
      <c r="A1395" t="n">
        <v>2</v>
      </c>
      <c r="B1395" t="inlineStr">
        <is>
          <t>EPA1633 &amp; diPAPs Calibration 0.02 ppb</t>
        </is>
      </c>
      <c r="F1395" t="n">
        <v>13285.255</v>
      </c>
      <c r="K1395" t="inlineStr">
        <is>
          <t>20250617-13</t>
        </is>
      </c>
    </row>
    <row r="1396">
      <c r="A1396" t="n">
        <v>3</v>
      </c>
      <c r="B1396" t="inlineStr">
        <is>
          <t>EPA1633 &amp; diPAPs Calibration 0.1 ppb</t>
        </is>
      </c>
      <c r="F1396" t="n">
        <v>16010.102</v>
      </c>
      <c r="K1396" t="inlineStr">
        <is>
          <t>20250617-14</t>
        </is>
      </c>
    </row>
    <row r="1397">
      <c r="A1397" t="n">
        <v>4</v>
      </c>
      <c r="B1397" t="inlineStr">
        <is>
          <t>EPA1633 &amp; diPAPs Calibration 0.4 ppb</t>
        </is>
      </c>
      <c r="F1397" t="n">
        <v>14214.025</v>
      </c>
      <c r="K1397" t="inlineStr">
        <is>
          <t>20250617-15</t>
        </is>
      </c>
    </row>
    <row r="1398">
      <c r="A1398" t="n">
        <v>5</v>
      </c>
      <c r="B1398" t="inlineStr">
        <is>
          <t>EPA1633 &amp; diPAPs Calibration 1 ppb</t>
        </is>
      </c>
      <c r="F1398" t="n">
        <v>21931.449</v>
      </c>
      <c r="K1398" t="inlineStr">
        <is>
          <t>20250617-16</t>
        </is>
      </c>
    </row>
    <row r="1399">
      <c r="A1399" t="n">
        <v>6</v>
      </c>
      <c r="B1399" t="inlineStr">
        <is>
          <t>EPA1633 &amp; diPAPs Calibration 5 ppb</t>
        </is>
      </c>
      <c r="F1399" t="n">
        <v>17537.508</v>
      </c>
      <c r="K1399" t="inlineStr">
        <is>
          <t>20250617-17</t>
        </is>
      </c>
    </row>
    <row r="1400">
      <c r="A1400" t="n">
        <v>7</v>
      </c>
      <c r="B1400" t="inlineStr">
        <is>
          <t>EPA1633 &amp; diPAPs Calibration 10 ppb</t>
        </is>
      </c>
      <c r="F1400" t="n">
        <v>29293.133</v>
      </c>
      <c r="K1400" t="inlineStr">
        <is>
          <t>20250617-18</t>
        </is>
      </c>
    </row>
    <row r="1401">
      <c r="A1401" t="n">
        <v>8</v>
      </c>
      <c r="B1401" t="inlineStr">
        <is>
          <t>EPA1633 &amp; diPAPs Calibration 20 ppb</t>
        </is>
      </c>
      <c r="F1401" t="n">
        <v>13919.142</v>
      </c>
      <c r="K1401" t="inlineStr">
        <is>
          <t>20250617-19</t>
        </is>
      </c>
    </row>
    <row r="1402">
      <c r="A1402" t="n">
        <v>9</v>
      </c>
      <c r="B1402" t="inlineStr">
        <is>
          <t>MeOH</t>
        </is>
      </c>
      <c r="K1402" t="inlineStr">
        <is>
          <t>20250617-20</t>
        </is>
      </c>
    </row>
    <row r="1403">
      <c r="A1403" t="n">
        <v>10</v>
      </c>
      <c r="B1403" t="inlineStr">
        <is>
          <t>MeOH</t>
        </is>
      </c>
      <c r="K1403" t="inlineStr">
        <is>
          <t>20250617-21</t>
        </is>
      </c>
    </row>
    <row r="1404">
      <c r="A1404" t="n">
        <v>11</v>
      </c>
      <c r="B1404" t="inlineStr">
        <is>
          <t>SB1</t>
        </is>
      </c>
      <c r="F1404" t="n">
        <v>5289.194</v>
      </c>
      <c r="K1404" t="inlineStr">
        <is>
          <t>20250617-22</t>
        </is>
      </c>
    </row>
    <row r="1405">
      <c r="A1405" t="n">
        <v>12</v>
      </c>
      <c r="B1405" t="inlineStr">
        <is>
          <t>SB2</t>
        </is>
      </c>
      <c r="F1405" t="n">
        <v>6667.125</v>
      </c>
      <c r="K1405" t="inlineStr">
        <is>
          <t>20250617-23</t>
        </is>
      </c>
    </row>
    <row r="1406">
      <c r="A1406" t="n">
        <v>13</v>
      </c>
      <c r="B1406" t="inlineStr">
        <is>
          <t>SB3</t>
        </is>
      </c>
      <c r="F1406" t="n">
        <v>5460.875</v>
      </c>
      <c r="K1406" t="inlineStr">
        <is>
          <t>20250617-24</t>
        </is>
      </c>
    </row>
    <row r="1407">
      <c r="A1407" t="n">
        <v>14</v>
      </c>
      <c r="B1407" t="inlineStr">
        <is>
          <t>SS1</t>
        </is>
      </c>
      <c r="F1407" t="n">
        <v>6517.947</v>
      </c>
      <c r="K1407" t="inlineStr">
        <is>
          <t>20250617-25</t>
        </is>
      </c>
    </row>
    <row r="1408">
      <c r="A1408" t="n">
        <v>15</v>
      </c>
      <c r="B1408" t="inlineStr">
        <is>
          <t>SS2</t>
        </is>
      </c>
      <c r="F1408" t="n">
        <v>6712.642</v>
      </c>
      <c r="K1408" t="inlineStr">
        <is>
          <t>20250617-26</t>
        </is>
      </c>
    </row>
    <row r="1409">
      <c r="A1409" t="n">
        <v>16</v>
      </c>
      <c r="B1409" t="inlineStr">
        <is>
          <t>SS3</t>
        </is>
      </c>
      <c r="F1409" t="n">
        <v>6363.637</v>
      </c>
      <c r="K1409" t="inlineStr">
        <is>
          <t>20250617-27</t>
        </is>
      </c>
    </row>
    <row r="1410">
      <c r="A1410" t="n">
        <v>17</v>
      </c>
      <c r="B1410" t="inlineStr">
        <is>
          <t>MeOH</t>
        </is>
      </c>
      <c r="K1410" t="inlineStr">
        <is>
          <t>20250617-28</t>
        </is>
      </c>
    </row>
    <row r="1411">
      <c r="A1411" t="n">
        <v>18</v>
      </c>
      <c r="B1411" t="inlineStr">
        <is>
          <t>K4-5A</t>
        </is>
      </c>
      <c r="F1411" t="n">
        <v>3930.075</v>
      </c>
      <c r="K1411" t="inlineStr">
        <is>
          <t>20250617-29</t>
        </is>
      </c>
    </row>
    <row r="1412">
      <c r="A1412" t="n">
        <v>19</v>
      </c>
      <c r="B1412" t="inlineStr">
        <is>
          <t>K4-5B</t>
        </is>
      </c>
      <c r="F1412" t="n">
        <v>6277.964</v>
      </c>
      <c r="K1412" t="inlineStr">
        <is>
          <t>20250617-30</t>
        </is>
      </c>
    </row>
    <row r="1413">
      <c r="A1413" t="n">
        <v>20</v>
      </c>
      <c r="B1413" t="inlineStr">
        <is>
          <t>K4-5C</t>
        </is>
      </c>
      <c r="F1413" t="n">
        <v>2207.119</v>
      </c>
      <c r="K1413" t="inlineStr">
        <is>
          <t>20250617-31</t>
        </is>
      </c>
    </row>
    <row r="1414">
      <c r="A1414" t="n">
        <v>21</v>
      </c>
      <c r="B1414" t="inlineStr">
        <is>
          <t>MeOH</t>
        </is>
      </c>
      <c r="K1414" t="inlineStr">
        <is>
          <t>20250617-32</t>
        </is>
      </c>
    </row>
    <row r="1415">
      <c r="A1415" t="n">
        <v>22</v>
      </c>
      <c r="B1415" t="inlineStr">
        <is>
          <t>K3-1A</t>
        </is>
      </c>
      <c r="F1415" t="n">
        <v>4603.346</v>
      </c>
      <c r="K1415" t="inlineStr">
        <is>
          <t>20250617-33</t>
        </is>
      </c>
    </row>
    <row r="1416">
      <c r="A1416" t="n">
        <v>23</v>
      </c>
      <c r="B1416" t="inlineStr">
        <is>
          <t>K3-1B</t>
        </is>
      </c>
      <c r="F1416" t="n">
        <v>4832.73</v>
      </c>
      <c r="K1416" t="inlineStr">
        <is>
          <t>20250617-34</t>
        </is>
      </c>
    </row>
    <row r="1417">
      <c r="A1417" t="n">
        <v>24</v>
      </c>
      <c r="B1417" t="inlineStr">
        <is>
          <t>K3-1C</t>
        </is>
      </c>
      <c r="F1417" t="n">
        <v>5250.105</v>
      </c>
      <c r="K1417" t="inlineStr">
        <is>
          <t>20250617-35</t>
        </is>
      </c>
    </row>
    <row r="1418">
      <c r="A1418" t="n">
        <v>25</v>
      </c>
      <c r="B1418" t="inlineStr">
        <is>
          <t>K3-2A</t>
        </is>
      </c>
      <c r="F1418" t="n">
        <v>4574.33</v>
      </c>
      <c r="K1418" t="inlineStr">
        <is>
          <t>20250617-36</t>
        </is>
      </c>
    </row>
    <row r="1419">
      <c r="A1419" t="n">
        <v>26</v>
      </c>
      <c r="B1419" t="inlineStr">
        <is>
          <t>K3-2B</t>
        </is>
      </c>
      <c r="F1419" t="n">
        <v>5271.769</v>
      </c>
      <c r="K1419" t="inlineStr">
        <is>
          <t>20250617-37</t>
        </is>
      </c>
    </row>
    <row r="1420">
      <c r="A1420" t="n">
        <v>27</v>
      </c>
      <c r="B1420" t="inlineStr">
        <is>
          <t>K3-2C</t>
        </is>
      </c>
      <c r="F1420" t="n">
        <v>4675.447</v>
      </c>
      <c r="K1420" t="inlineStr">
        <is>
          <t>20250617-38</t>
        </is>
      </c>
    </row>
    <row r="1421">
      <c r="A1421" t="n">
        <v>28</v>
      </c>
      <c r="B1421" t="inlineStr">
        <is>
          <t>MeOH</t>
        </is>
      </c>
      <c r="K1421" t="inlineStr">
        <is>
          <t>20250617-39</t>
        </is>
      </c>
    </row>
    <row r="1422">
      <c r="A1422" t="n">
        <v>29</v>
      </c>
      <c r="B1422" t="inlineStr">
        <is>
          <t>K3-3A</t>
        </is>
      </c>
      <c r="F1422" t="n">
        <v>3868.886</v>
      </c>
      <c r="K1422" t="inlineStr">
        <is>
          <t>20250617-40</t>
        </is>
      </c>
    </row>
    <row r="1423">
      <c r="A1423" t="n">
        <v>30</v>
      </c>
      <c r="B1423" t="inlineStr">
        <is>
          <t>K3-3B</t>
        </is>
      </c>
      <c r="F1423" t="n">
        <v>5558.256</v>
      </c>
      <c r="K1423" t="inlineStr">
        <is>
          <t>20250617-41</t>
        </is>
      </c>
    </row>
    <row r="1424">
      <c r="A1424" t="n">
        <v>31</v>
      </c>
      <c r="B1424" t="inlineStr">
        <is>
          <t>K3-3C</t>
        </is>
      </c>
      <c r="F1424" t="n">
        <v>5019.609</v>
      </c>
      <c r="K1424" t="inlineStr">
        <is>
          <t>20250617-42</t>
        </is>
      </c>
    </row>
    <row r="1425">
      <c r="A1425" t="n">
        <v>32</v>
      </c>
      <c r="B1425" t="inlineStr">
        <is>
          <t>K3-4A</t>
        </is>
      </c>
      <c r="F1425" t="n">
        <v>4571.521</v>
      </c>
      <c r="K1425" t="inlineStr">
        <is>
          <t>20250617-43</t>
        </is>
      </c>
    </row>
    <row r="1426">
      <c r="A1426" t="n">
        <v>33</v>
      </c>
      <c r="B1426" t="inlineStr">
        <is>
          <t>K3-4B</t>
        </is>
      </c>
      <c r="F1426" t="n">
        <v>5043.437</v>
      </c>
      <c r="K1426" t="inlineStr">
        <is>
          <t>20250617-44</t>
        </is>
      </c>
    </row>
    <row r="1427">
      <c r="A1427" t="n">
        <v>34</v>
      </c>
      <c r="B1427" t="inlineStr">
        <is>
          <t>K3-4C</t>
        </is>
      </c>
      <c r="F1427" t="n">
        <v>5033.665</v>
      </c>
      <c r="K1427" t="inlineStr">
        <is>
          <t>20250617-45</t>
        </is>
      </c>
    </row>
    <row r="1428">
      <c r="A1428" t="n">
        <v>35</v>
      </c>
      <c r="B1428" t="inlineStr">
        <is>
          <t>MeOH</t>
        </is>
      </c>
      <c r="K1428" t="inlineStr">
        <is>
          <t>20250617-46</t>
        </is>
      </c>
    </row>
    <row r="1429">
      <c r="A1429" t="n">
        <v>36</v>
      </c>
      <c r="B1429" t="inlineStr">
        <is>
          <t>K3-6A</t>
        </is>
      </c>
      <c r="F1429" t="n">
        <v>3966.205</v>
      </c>
      <c r="K1429" t="inlineStr">
        <is>
          <t>20250617-47</t>
        </is>
      </c>
    </row>
    <row r="1430">
      <c r="A1430" t="n">
        <v>37</v>
      </c>
      <c r="B1430" t="inlineStr">
        <is>
          <t>K3-6B</t>
        </is>
      </c>
      <c r="F1430" t="n">
        <v>3977.533</v>
      </c>
      <c r="K1430" t="inlineStr">
        <is>
          <t>20250617-48</t>
        </is>
      </c>
    </row>
    <row r="1431">
      <c r="A1431" t="n">
        <v>38</v>
      </c>
      <c r="B1431" t="inlineStr">
        <is>
          <t>K3-6C</t>
        </is>
      </c>
      <c r="F1431" t="n">
        <v>3666.082</v>
      </c>
      <c r="K1431" t="inlineStr">
        <is>
          <t>20250617-49</t>
        </is>
      </c>
    </row>
    <row r="1433">
      <c r="A1433" t="inlineStr">
        <is>
          <t>Compound 35:  6-6-12 triPAP 1 *</t>
        </is>
      </c>
    </row>
    <row r="1434">
      <c r="I1434" t="inlineStr">
        <is>
          <t>LINEST</t>
        </is>
      </c>
      <c r="Q1434" t="inlineStr">
        <is>
          <t>Biosolids Masses</t>
        </is>
      </c>
      <c r="R1434" t="inlineStr">
        <is>
          <t>(g)</t>
        </is>
      </c>
    </row>
    <row r="1435">
      <c r="B1435" t="inlineStr">
        <is>
          <t>Sample Text</t>
        </is>
      </c>
      <c r="C1435" t="inlineStr">
        <is>
          <t>Std. Conc</t>
        </is>
      </c>
      <c r="D1435" t="inlineStr">
        <is>
          <t>RT</t>
        </is>
      </c>
      <c r="E1435" t="inlineStr">
        <is>
          <t>Area</t>
        </is>
      </c>
      <c r="F1435" t="inlineStr">
        <is>
          <t>IS Area</t>
        </is>
      </c>
      <c r="G1435" t="inlineStr">
        <is>
          <t>S/N</t>
        </is>
      </c>
      <c r="H1435" t="inlineStr">
        <is>
          <t>ratio</t>
        </is>
      </c>
      <c r="I1435">
        <f t="array" ref="I1435:J1439">LINEST(H1438:H1442,C1438:C1442,1,1)</f>
        <v/>
      </c>
      <c r="J1435" t="n">
        <v>-0.002052234024777586</v>
      </c>
      <c r="L1435" s="20" t="inlineStr">
        <is>
          <t>By S/N Ratio</t>
        </is>
      </c>
      <c r="Q1435" t="inlineStr">
        <is>
          <t>SS1</t>
        </is>
      </c>
      <c r="R1435" t="n">
        <v>1.0846</v>
      </c>
    </row>
    <row r="1436">
      <c r="A1436" t="n">
        <v>1</v>
      </c>
      <c r="B1436" t="inlineStr">
        <is>
          <t>EPA1633 &amp; diPAPs Calibration 0 ppb</t>
        </is>
      </c>
      <c r="C1436" s="44" t="n">
        <v>0</v>
      </c>
      <c r="D1436" t="n">
        <v>16.34</v>
      </c>
      <c r="E1436" t="n">
        <v>44.054</v>
      </c>
      <c r="F1436" t="n">
        <v>19473.51</v>
      </c>
      <c r="G1436" t="n">
        <v>2.128</v>
      </c>
      <c r="H1436">
        <f>E1436/F1436</f>
        <v/>
      </c>
      <c r="I1436" t="n">
        <v>0.0009971035155702482</v>
      </c>
      <c r="J1436" t="n">
        <v>0.006173783512502658</v>
      </c>
      <c r="K1436" t="inlineStr">
        <is>
          <t>LOD</t>
        </is>
      </c>
      <c r="L1436" s="21">
        <f>IF(G1439&gt;3,C1439,IF(G1440&gt;3,#REF!,IF(G1441&gt;3,C1441,IF(G1442&gt;3,#REF!,C1442))))</f>
        <v/>
      </c>
      <c r="Q1436" t="inlineStr">
        <is>
          <t>SS2</t>
        </is>
      </c>
      <c r="R1436" t="n">
        <v>1.0726</v>
      </c>
    </row>
    <row r="1437">
      <c r="A1437" t="n">
        <v>2</v>
      </c>
      <c r="B1437" t="inlineStr">
        <is>
          <t>EPA1633 &amp; diPAPs Calibration 0.02 ppb</t>
        </is>
      </c>
      <c r="C1437" s="44" t="n">
        <v>0.6293228060874547</v>
      </c>
      <c r="D1437" t="n">
        <v>16.52</v>
      </c>
      <c r="E1437" t="n">
        <v>97.489</v>
      </c>
      <c r="F1437" t="n">
        <v>13285.255</v>
      </c>
      <c r="G1437" t="n">
        <v>2.626</v>
      </c>
      <c r="H1437">
        <f>E1437/F1437</f>
        <v/>
      </c>
      <c r="I1437" t="n">
        <v>0.9046424874429198</v>
      </c>
      <c r="J1437" t="n">
        <v>0.00718754597192165</v>
      </c>
      <c r="K1437" t="inlineStr">
        <is>
          <t>LOQ</t>
        </is>
      </c>
      <c r="L1437" s="22">
        <f>IF(G1439&gt;10,C1439,IF(G1440&gt;10,#REF!,IF(G1441&gt;10,C1441,IF(G1442&gt;10,#REF!,C1442))))</f>
        <v/>
      </c>
      <c r="Q1437" t="inlineStr">
        <is>
          <t>SS3</t>
        </is>
      </c>
      <c r="R1437" t="n">
        <v>1.1534</v>
      </c>
    </row>
    <row r="1438">
      <c r="A1438" t="n">
        <v>3</v>
      </c>
      <c r="B1438" t="inlineStr">
        <is>
          <t>EPA1633 &amp; diPAPs Calibration 0.1 ppb</t>
        </is>
      </c>
      <c r="C1438" s="44" t="n">
        <v>1.258645612174909</v>
      </c>
      <c r="D1438" t="n">
        <v>16.56</v>
      </c>
      <c r="E1438" t="n">
        <v>77.837</v>
      </c>
      <c r="F1438" t="n">
        <v>16010.102</v>
      </c>
      <c r="G1438" t="n">
        <v>2.067</v>
      </c>
      <c r="H1438">
        <f>E1438/F1438</f>
        <v/>
      </c>
      <c r="I1438" t="n">
        <v>28.46055218464538</v>
      </c>
      <c r="J1438" t="n">
        <v>3</v>
      </c>
      <c r="Q1438" t="inlineStr">
        <is>
          <t>K4-5A</t>
        </is>
      </c>
      <c r="R1438" t="n">
        <v>1.1054</v>
      </c>
    </row>
    <row r="1439">
      <c r="A1439" t="n">
        <v>4</v>
      </c>
      <c r="B1439" t="inlineStr">
        <is>
          <t>EPA1633 &amp; diPAPs Calibration 0.4 ppb</t>
        </is>
      </c>
      <c r="C1439" s="44" t="n">
        <v>2.517291224349819</v>
      </c>
      <c r="D1439" t="n">
        <v>16.53</v>
      </c>
      <c r="E1439" t="n">
        <v>222.887</v>
      </c>
      <c r="F1439" t="n">
        <v>14214.025</v>
      </c>
      <c r="G1439" t="n">
        <v>10.256</v>
      </c>
      <c r="H1439">
        <f>E1439/F1439</f>
        <v/>
      </c>
      <c r="I1439" t="n">
        <v>0.001470295380932913</v>
      </c>
      <c r="J1439" t="n">
        <v>0.0001549824512954614</v>
      </c>
      <c r="Q1439" t="inlineStr">
        <is>
          <t>K4-5B</t>
        </is>
      </c>
      <c r="R1439" s="10" t="n">
        <v>1.0463</v>
      </c>
    </row>
    <row r="1440">
      <c r="A1440" t="n">
        <v>5</v>
      </c>
      <c r="B1440" t="inlineStr">
        <is>
          <t>EPA1633 &amp; diPAPs Calibration 1 ppb</t>
        </is>
      </c>
      <c r="C1440" s="44" t="n">
        <v>5.034582448699638</v>
      </c>
      <c r="D1440" t="n">
        <v>16.53</v>
      </c>
      <c r="E1440" t="n">
        <v>491.04</v>
      </c>
      <c r="F1440" t="n">
        <v>21931.449</v>
      </c>
      <c r="G1440" t="n">
        <v>19.51</v>
      </c>
      <c r="H1440">
        <f>E1440/F1440</f>
        <v/>
      </c>
      <c r="Q1440" t="inlineStr">
        <is>
          <t>K4-5C</t>
        </is>
      </c>
      <c r="R1440" t="n">
        <v>1.1155</v>
      </c>
    </row>
    <row r="1441">
      <c r="A1441" t="n">
        <v>6</v>
      </c>
      <c r="B1441" t="inlineStr">
        <is>
          <t>EPA1633 &amp; diPAPs Calibration 5 ppb</t>
        </is>
      </c>
      <c r="C1441" s="44" t="n">
        <v>7.551873673049458</v>
      </c>
      <c r="D1441" t="n">
        <v>16.53</v>
      </c>
      <c r="E1441" t="n">
        <v>508.652</v>
      </c>
      <c r="F1441" t="n">
        <v>17537.508</v>
      </c>
      <c r="G1441" t="n">
        <v>9.808</v>
      </c>
      <c r="H1441">
        <f>E1441/F1441</f>
        <v/>
      </c>
      <c r="Q1441" t="inlineStr">
        <is>
          <t>K3-1A</t>
        </is>
      </c>
      <c r="R1441" t="n">
        <v>1.0874</v>
      </c>
    </row>
    <row r="1442">
      <c r="A1442" t="n">
        <v>7</v>
      </c>
      <c r="B1442" t="inlineStr">
        <is>
          <t>EPA1633 &amp; diPAPs Calibration 10 ppb</t>
        </is>
      </c>
      <c r="C1442" s="44" t="n">
        <v>10.06916489739928</v>
      </c>
      <c r="D1442" t="n">
        <v>16.53</v>
      </c>
      <c r="E1442" t="n">
        <v>269.088</v>
      </c>
      <c r="F1442" t="n">
        <v>29293.133</v>
      </c>
      <c r="G1442" t="n">
        <v>6.907</v>
      </c>
      <c r="H1442">
        <f>E1443/F1443</f>
        <v/>
      </c>
      <c r="I1442" s="23" t="inlineStr">
        <is>
          <t>Background</t>
        </is>
      </c>
      <c r="J1442" s="23" t="inlineStr">
        <is>
          <t>Spike</t>
        </is>
      </c>
      <c r="K1442" s="9" t="inlineStr">
        <is>
          <t>Old Spike</t>
        </is>
      </c>
      <c r="O1442" s="24" t="inlineStr">
        <is>
          <t>±</t>
        </is>
      </c>
      <c r="Q1442" t="inlineStr">
        <is>
          <t>K3-1B</t>
        </is>
      </c>
      <c r="R1442" t="n">
        <v>1.0898</v>
      </c>
    </row>
    <row r="1443">
      <c r="A1443" t="n">
        <v>8</v>
      </c>
      <c r="B1443" t="inlineStr">
        <is>
          <t>EPA1633 &amp; diPAPs Calibration 20 ppb</t>
        </is>
      </c>
      <c r="C1443" s="44" t="n">
        <v>12.5864561217491</v>
      </c>
      <c r="D1443" t="n">
        <v>16.53</v>
      </c>
      <c r="E1443" t="n">
        <v>812.915</v>
      </c>
      <c r="F1443" t="n">
        <v>13919.142</v>
      </c>
      <c r="G1443" t="n">
        <v>14.161</v>
      </c>
      <c r="I1443">
        <f>AVERAGE(I1446:I1448)</f>
        <v/>
      </c>
      <c r="J1443" t="n">
        <v>11.1</v>
      </c>
      <c r="Q1443" t="inlineStr">
        <is>
          <t>K3-1C</t>
        </is>
      </c>
      <c r="R1443" t="n">
        <v>1.0536</v>
      </c>
    </row>
    <row r="1444">
      <c r="A1444" t="n">
        <v>9</v>
      </c>
      <c r="B1444" t="inlineStr">
        <is>
          <t>MeOH</t>
        </is>
      </c>
      <c r="I1444" s="23" t="inlineStr">
        <is>
          <t>Conc.In Vial (ppb)</t>
        </is>
      </c>
      <c r="J1444" s="9" t="inlineStr">
        <is>
          <t>Corr. Conc.(ppb)</t>
        </is>
      </c>
      <c r="K1444" s="9" t="inlineStr">
        <is>
          <t>Conc. In soil (ng/g)</t>
        </is>
      </c>
      <c r="Q1444" t="inlineStr">
        <is>
          <t>K3-2A</t>
        </is>
      </c>
      <c r="R1444" s="10" t="n">
        <v>1.1218</v>
      </c>
    </row>
    <row r="1445">
      <c r="A1445" t="n">
        <v>10</v>
      </c>
      <c r="B1445" t="inlineStr">
        <is>
          <t>MeOH</t>
        </is>
      </c>
      <c r="L1445" s="23" t="inlineStr">
        <is>
          <t>Average</t>
        </is>
      </c>
      <c r="M1445" s="23" t="inlineStr">
        <is>
          <t>Stdev</t>
        </is>
      </c>
      <c r="N1445" s="9" t="inlineStr">
        <is>
          <t>Combined</t>
        </is>
      </c>
      <c r="O1445" s="9" t="n"/>
      <c r="P1445" s="9" t="n"/>
      <c r="Q1445" t="inlineStr">
        <is>
          <t>K3-2B</t>
        </is>
      </c>
      <c r="R1445" t="n">
        <v>1.198</v>
      </c>
    </row>
    <row r="1446">
      <c r="A1446" t="n">
        <v>11</v>
      </c>
      <c r="B1446" t="inlineStr">
        <is>
          <t>SB1</t>
        </is>
      </c>
      <c r="D1446" t="n">
        <v>16.7</v>
      </c>
      <c r="E1446" t="n">
        <v>122.618</v>
      </c>
      <c r="F1446" t="n">
        <v>5289.194</v>
      </c>
      <c r="G1446" t="n">
        <v>2.224</v>
      </c>
      <c r="H1446">
        <f>E1446/F1446</f>
        <v/>
      </c>
      <c r="I1446">
        <f>((H1446-$J$1435)/$I$1435)</f>
        <v/>
      </c>
      <c r="J1446">
        <f>(I1446-IF(I1443&gt;0,I1443,0))</f>
        <v/>
      </c>
      <c r="K1446">
        <f>J1446*1.1</f>
        <v/>
      </c>
      <c r="L1446">
        <f>AVERAGE(K1446:K1448)</f>
        <v/>
      </c>
      <c r="M1446">
        <f>STDEV(K1447:K1448)</f>
        <v/>
      </c>
      <c r="N1446">
        <f>_xlfn.CONCAT(ROUND(L1446,1)," ± ",ROUND(M1446,1))</f>
        <v/>
      </c>
      <c r="Q1446" t="inlineStr">
        <is>
          <t>K3-2C</t>
        </is>
      </c>
      <c r="R1446" t="n">
        <v>1.1538</v>
      </c>
    </row>
    <row r="1447">
      <c r="A1447" t="n">
        <v>12</v>
      </c>
      <c r="B1447" t="inlineStr">
        <is>
          <t>SB2</t>
        </is>
      </c>
      <c r="D1447" t="n">
        <v>17.13</v>
      </c>
      <c r="E1447" t="n">
        <v>67.577</v>
      </c>
      <c r="F1447" t="n">
        <v>6667.125</v>
      </c>
      <c r="G1447" t="n">
        <v>1.148</v>
      </c>
      <c r="H1447">
        <f>E1447/F1447</f>
        <v/>
      </c>
      <c r="I1447">
        <f>((H1447-$J$1435)/$I$1435)</f>
        <v/>
      </c>
      <c r="J1447">
        <f>(I1447-IF(I1443&gt;0,I1443,0))</f>
        <v/>
      </c>
      <c r="K1447">
        <f>J1447*1.1</f>
        <v/>
      </c>
      <c r="Q1447" t="inlineStr">
        <is>
          <t>K3-3A</t>
        </is>
      </c>
      <c r="R1447" t="n">
        <v>1.1183</v>
      </c>
    </row>
    <row r="1448">
      <c r="A1448" t="n">
        <v>13</v>
      </c>
      <c r="B1448" t="inlineStr">
        <is>
          <t>SB3</t>
        </is>
      </c>
      <c r="D1448" t="n">
        <v>16.89</v>
      </c>
      <c r="E1448" t="n">
        <v>46.69</v>
      </c>
      <c r="F1448" t="n">
        <v>5460.875</v>
      </c>
      <c r="G1448" t="n">
        <v>0.802</v>
      </c>
      <c r="H1448">
        <f>E1448/F1448</f>
        <v/>
      </c>
      <c r="I1448">
        <f>((H1448-$J$1435)/$I$1435)</f>
        <v/>
      </c>
      <c r="J1448">
        <f>(I1448-IF(I1443&gt;0,I1443,0))</f>
        <v/>
      </c>
      <c r="K1448" s="30">
        <f>J1448*1.1</f>
        <v/>
      </c>
      <c r="L1448" s="25" t="inlineStr">
        <is>
          <t>Average</t>
        </is>
      </c>
      <c r="M1448" s="25" t="inlineStr">
        <is>
          <t>Stdev</t>
        </is>
      </c>
      <c r="N1448" s="26" t="inlineStr">
        <is>
          <t>%Recovery</t>
        </is>
      </c>
      <c r="O1448" s="26" t="inlineStr">
        <is>
          <t>Uncertainty</t>
        </is>
      </c>
      <c r="P1448" s="26" t="inlineStr">
        <is>
          <t>Combined</t>
        </is>
      </c>
      <c r="Q1448" t="inlineStr">
        <is>
          <t>K3-3B</t>
        </is>
      </c>
      <c r="R1448" t="n">
        <v>1.1448</v>
      </c>
    </row>
    <row r="1449">
      <c r="A1449" t="n">
        <v>14</v>
      </c>
      <c r="B1449" t="inlineStr">
        <is>
          <t>SS1</t>
        </is>
      </c>
      <c r="D1449" t="n">
        <v>16.55</v>
      </c>
      <c r="E1449" t="n">
        <v>142.604</v>
      </c>
      <c r="F1449" t="n">
        <v>6517.947</v>
      </c>
      <c r="G1449" t="n">
        <v>2.651</v>
      </c>
      <c r="H1449">
        <f>E1449/F1449</f>
        <v/>
      </c>
      <c r="I1449">
        <f>((H1449-$J$1435)/$I$1435)</f>
        <v/>
      </c>
      <c r="J1449">
        <f>(I1449-IF($I$1443&gt;0,$I$1443))</f>
        <v/>
      </c>
      <c r="K1449">
        <f>J1449/R1435*1.1</f>
        <v/>
      </c>
      <c r="L1449" s="27">
        <f>AVERAGE(K1449:K1451)</f>
        <v/>
      </c>
      <c r="M1449" s="27">
        <f>STDEV(K1449:K1451)</f>
        <v/>
      </c>
      <c r="N1449" s="28">
        <f>L1449/J1443*100</f>
        <v/>
      </c>
      <c r="O1449" s="29">
        <f>M1449/J1443*100</f>
        <v/>
      </c>
      <c r="P1449" s="29">
        <f>_xlfn.CONCAT(ROUND(N1449,1)," ± ",ROUND(O1449,1))</f>
        <v/>
      </c>
      <c r="Q1449" t="inlineStr">
        <is>
          <t>K3-3C</t>
        </is>
      </c>
      <c r="R1449" t="n">
        <v>1.0493</v>
      </c>
    </row>
    <row r="1450">
      <c r="A1450" t="n">
        <v>15</v>
      </c>
      <c r="B1450" t="inlineStr">
        <is>
          <t>SS2</t>
        </is>
      </c>
      <c r="D1450" t="n">
        <v>16.67</v>
      </c>
      <c r="E1450" t="n">
        <v>138.747</v>
      </c>
      <c r="F1450" t="n">
        <v>6712.642</v>
      </c>
      <c r="G1450" t="n">
        <v>2.46</v>
      </c>
      <c r="H1450">
        <f>E1450/F1450</f>
        <v/>
      </c>
      <c r="I1450">
        <f>((H1450-$J$1435)/$I$1435)</f>
        <v/>
      </c>
      <c r="J1450">
        <f>(I1450-IF($I$1443&gt;0,$I$1443))</f>
        <v/>
      </c>
      <c r="K1450">
        <f>J1450/R1436*1.1</f>
        <v/>
      </c>
      <c r="Q1450" t="inlineStr">
        <is>
          <t>K3-4A</t>
        </is>
      </c>
      <c r="R1450" t="n">
        <v>1.0704</v>
      </c>
    </row>
    <row r="1451">
      <c r="A1451" t="n">
        <v>16</v>
      </c>
      <c r="B1451" t="inlineStr">
        <is>
          <t>SS3</t>
        </is>
      </c>
      <c r="D1451" t="n">
        <v>16.75</v>
      </c>
      <c r="E1451" t="n">
        <v>92.098</v>
      </c>
      <c r="F1451" t="n">
        <v>6363.637</v>
      </c>
      <c r="G1451" t="n">
        <v>1.529</v>
      </c>
      <c r="H1451">
        <f>E1451/F1451</f>
        <v/>
      </c>
      <c r="I1451">
        <f>((H1451-$J$1435)/$I$1435)</f>
        <v/>
      </c>
      <c r="J1451">
        <f>(I1451-IF($I$1443&gt;0,$I$1443))</f>
        <v/>
      </c>
      <c r="K1451" s="30">
        <f>J1451/R1437*1.1</f>
        <v/>
      </c>
      <c r="Q1451" t="inlineStr">
        <is>
          <t>K3-4B</t>
        </is>
      </c>
      <c r="R1451" t="n">
        <v>1.1589</v>
      </c>
    </row>
    <row r="1452">
      <c r="A1452" t="n">
        <v>17</v>
      </c>
      <c r="B1452" t="inlineStr">
        <is>
          <t>MeOH</t>
        </is>
      </c>
      <c r="L1452" s="23" t="inlineStr">
        <is>
          <t>Average</t>
        </is>
      </c>
      <c r="M1452" s="23" t="inlineStr">
        <is>
          <t>Stdev</t>
        </is>
      </c>
      <c r="N1452" s="9" t="inlineStr">
        <is>
          <t>Combined</t>
        </is>
      </c>
      <c r="Q1452" t="inlineStr">
        <is>
          <t>K3-4C</t>
        </is>
      </c>
      <c r="R1452" t="n">
        <v>1.0206</v>
      </c>
    </row>
    <row r="1453">
      <c r="A1453" t="n">
        <v>18</v>
      </c>
      <c r="B1453" t="inlineStr">
        <is>
          <t>K4-5A</t>
        </is>
      </c>
      <c r="D1453" t="n">
        <v>16.7</v>
      </c>
      <c r="E1453" t="n">
        <v>76.78400000000001</v>
      </c>
      <c r="F1453" t="n">
        <v>3930.075</v>
      </c>
      <c r="G1453" t="n">
        <v>1.017</v>
      </c>
      <c r="H1453">
        <f>E1453/F1453</f>
        <v/>
      </c>
      <c r="I1453">
        <f>((H1453-$J$1435)/$I$1435)</f>
        <v/>
      </c>
      <c r="J1453">
        <f>(I1453-IF($I$1443&gt;0,$I$1443))</f>
        <v/>
      </c>
      <c r="K1453">
        <f>J1453/R1437*1.1</f>
        <v/>
      </c>
      <c r="L1453">
        <f>AVERAGE(K1453:K1455)</f>
        <v/>
      </c>
      <c r="M1453">
        <f>STDEV(K1453:K1455)</f>
        <v/>
      </c>
      <c r="N1453">
        <f>_xlfn.CONCAT(ROUND(L1453,1)," ± ",ROUND(M1453,1))</f>
        <v/>
      </c>
      <c r="Q1453" t="inlineStr">
        <is>
          <t>K3-6A</t>
        </is>
      </c>
      <c r="R1453" t="n">
        <v>1.1289</v>
      </c>
    </row>
    <row r="1454">
      <c r="A1454" t="n">
        <v>19</v>
      </c>
      <c r="B1454" t="inlineStr">
        <is>
          <t>K4-5B</t>
        </is>
      </c>
      <c r="D1454" t="n">
        <v>16.63</v>
      </c>
      <c r="E1454" t="n">
        <v>20.026</v>
      </c>
      <c r="F1454" t="n">
        <v>6277.964</v>
      </c>
      <c r="G1454" t="n">
        <v>0.858</v>
      </c>
      <c r="H1454">
        <f>E1454/F1454</f>
        <v/>
      </c>
      <c r="I1454">
        <f>((H1454-$J$1435)/$I$1435)</f>
        <v/>
      </c>
      <c r="J1454">
        <f>(I1454-IF($I$1443&gt;0,$I$1443))</f>
        <v/>
      </c>
      <c r="K1454">
        <f>J1454/R1438*1.1</f>
        <v/>
      </c>
      <c r="Q1454" t="inlineStr">
        <is>
          <t>K3-6B</t>
        </is>
      </c>
      <c r="R1454" t="n">
        <v>1.195</v>
      </c>
    </row>
    <row r="1455">
      <c r="A1455" t="n">
        <v>20</v>
      </c>
      <c r="B1455" t="inlineStr">
        <is>
          <t>K4-5C</t>
        </is>
      </c>
      <c r="D1455" t="n">
        <v>16.39</v>
      </c>
      <c r="E1455" t="n">
        <v>28.657</v>
      </c>
      <c r="F1455" t="n">
        <v>2207.119</v>
      </c>
      <c r="G1455" t="n">
        <v>0.884</v>
      </c>
      <c r="H1455">
        <f>E1455/F1455</f>
        <v/>
      </c>
      <c r="I1455">
        <f>((H1455-$J$1435)/$I$1435)</f>
        <v/>
      </c>
      <c r="J1455">
        <f>(I1455-IF($I$1443&gt;0,$I$1443))</f>
        <v/>
      </c>
      <c r="K1455">
        <f>J1455/R1439*1.1</f>
        <v/>
      </c>
      <c r="L1455" s="23" t="n"/>
      <c r="M1455" s="23" t="n"/>
      <c r="N1455" s="9" t="n"/>
      <c r="Q1455" t="inlineStr">
        <is>
          <t>K3-6C</t>
        </is>
      </c>
      <c r="R1455" t="n">
        <v>1.1716</v>
      </c>
    </row>
    <row r="1456">
      <c r="A1456" t="n">
        <v>21</v>
      </c>
      <c r="B1456" t="inlineStr">
        <is>
          <t>MeOH</t>
        </is>
      </c>
      <c r="L1456" s="23" t="inlineStr">
        <is>
          <t>Average</t>
        </is>
      </c>
      <c r="M1456" s="23" t="inlineStr">
        <is>
          <t>Stdev</t>
        </is>
      </c>
      <c r="N1456" s="9" t="inlineStr">
        <is>
          <t>Combined</t>
        </is>
      </c>
    </row>
    <row r="1457">
      <c r="A1457" t="n">
        <v>22</v>
      </c>
      <c r="B1457" t="inlineStr">
        <is>
          <t>K3-1A</t>
        </is>
      </c>
      <c r="D1457" t="n">
        <v>16.72</v>
      </c>
      <c r="E1457" t="n">
        <v>29.019</v>
      </c>
      <c r="F1457" t="n">
        <v>4603.346</v>
      </c>
      <c r="G1457" t="n">
        <v>1.032</v>
      </c>
      <c r="H1457">
        <f>E1457/F1457</f>
        <v/>
      </c>
      <c r="I1457">
        <f>((H1457-$J$1435)/$I$1435)</f>
        <v/>
      </c>
      <c r="J1457">
        <f>(I1457-IF($I$1443&gt;0,$I$1443))</f>
        <v/>
      </c>
      <c r="K1457">
        <f>J1457/R1440*1.1</f>
        <v/>
      </c>
      <c r="L1457">
        <f>AVERAGE(K1457:K1459)</f>
        <v/>
      </c>
      <c r="M1457">
        <f>STDEV(K1458:K1459)</f>
        <v/>
      </c>
      <c r="N1457">
        <f>_xlfn.CONCAT(ROUND(L1457,1)," ± ",ROUND(M1457,1))</f>
        <v/>
      </c>
    </row>
    <row r="1458">
      <c r="A1458" t="n">
        <v>23</v>
      </c>
      <c r="B1458" t="inlineStr">
        <is>
          <t>K3-1B</t>
        </is>
      </c>
      <c r="D1458" t="n">
        <v>16.39</v>
      </c>
      <c r="E1458" t="n">
        <v>5.77</v>
      </c>
      <c r="F1458" t="n">
        <v>4832.73</v>
      </c>
      <c r="G1458" t="n">
        <v>0.139</v>
      </c>
      <c r="H1458">
        <f>E1458/F1458</f>
        <v/>
      </c>
      <c r="I1458">
        <f>((H1458-$J$1435)/$I$1435)</f>
        <v/>
      </c>
      <c r="J1458">
        <f>(I1458-IF($I$1443&gt;0,$I$1443))</f>
        <v/>
      </c>
      <c r="K1458">
        <f>J1458/R1441*1.1</f>
        <v/>
      </c>
    </row>
    <row r="1459">
      <c r="A1459" t="n">
        <v>24</v>
      </c>
      <c r="B1459" t="inlineStr">
        <is>
          <t>K3-1C</t>
        </is>
      </c>
      <c r="D1459" t="n">
        <v>17.16</v>
      </c>
      <c r="E1459" t="n">
        <v>84.929</v>
      </c>
      <c r="F1459" t="n">
        <v>5250.105</v>
      </c>
      <c r="G1459" t="n">
        <v>2.285</v>
      </c>
      <c r="H1459">
        <f>E1459/F1459</f>
        <v/>
      </c>
      <c r="I1459">
        <f>((H1459-$J$1435)/$I$1435)</f>
        <v/>
      </c>
      <c r="J1459">
        <f>(I1459-IF($I$1443&gt;0,$I$1443))</f>
        <v/>
      </c>
      <c r="K1459">
        <f>J1459/R1442*1.1</f>
        <v/>
      </c>
      <c r="L1459" s="23" t="inlineStr">
        <is>
          <t>Average</t>
        </is>
      </c>
      <c r="M1459" s="23" t="inlineStr">
        <is>
          <t>Stdev</t>
        </is>
      </c>
      <c r="N1459" s="9" t="inlineStr">
        <is>
          <t>Combined</t>
        </is>
      </c>
    </row>
    <row r="1460">
      <c r="A1460" t="n">
        <v>25</v>
      </c>
      <c r="B1460" t="inlineStr">
        <is>
          <t>K3-2A</t>
        </is>
      </c>
      <c r="D1460" t="n">
        <v>17.19</v>
      </c>
      <c r="E1460" t="n">
        <v>92.863</v>
      </c>
      <c r="F1460" t="n">
        <v>4574.33</v>
      </c>
      <c r="G1460" t="n">
        <v>1.927</v>
      </c>
      <c r="H1460">
        <f>E1460/F1460</f>
        <v/>
      </c>
      <c r="I1460">
        <f>((H1460-$J$1435)/$I$1435)</f>
        <v/>
      </c>
      <c r="J1460">
        <f>(I1460-IF($I$1443&gt;0,$I$1443))</f>
        <v/>
      </c>
      <c r="K1460">
        <f>J1460/R1443*1.1</f>
        <v/>
      </c>
      <c r="L1460">
        <f>AVERAGE(K1460:K1462)</f>
        <v/>
      </c>
      <c r="M1460">
        <f>STDEV(K1460:K1462)</f>
        <v/>
      </c>
      <c r="N1460">
        <f>_xlfn.CONCAT(ROUND(L1460,1)," ± ",ROUND(M1460,1))</f>
        <v/>
      </c>
    </row>
    <row r="1461">
      <c r="A1461" t="n">
        <v>26</v>
      </c>
      <c r="B1461" t="inlineStr">
        <is>
          <t>K3-2B</t>
        </is>
      </c>
      <c r="D1461" t="n">
        <v>17.1</v>
      </c>
      <c r="E1461" t="n">
        <v>28.286</v>
      </c>
      <c r="F1461" t="n">
        <v>5271.769</v>
      </c>
      <c r="G1461" t="n">
        <v>1.246</v>
      </c>
      <c r="H1461">
        <f>E1461/F1461</f>
        <v/>
      </c>
      <c r="I1461">
        <f>((H1461-$J$1435)/$I$1435)</f>
        <v/>
      </c>
      <c r="J1461">
        <f>(I1461-IF($I$1443&gt;0,$I$1443))</f>
        <v/>
      </c>
      <c r="K1461">
        <f>J1461/R1444*1.1</f>
        <v/>
      </c>
    </row>
    <row r="1462">
      <c r="A1462" t="n">
        <v>27</v>
      </c>
      <c r="B1462" t="inlineStr">
        <is>
          <t>K3-2C</t>
        </is>
      </c>
      <c r="D1462" t="n">
        <v>16.95</v>
      </c>
      <c r="E1462" t="n">
        <v>92.512</v>
      </c>
      <c r="F1462" t="n">
        <v>4675.447</v>
      </c>
      <c r="G1462" t="n">
        <v>2.731</v>
      </c>
      <c r="H1462">
        <f>E1462/F1462</f>
        <v/>
      </c>
      <c r="I1462">
        <f>((H1462-$J$1435)/$I$1435)</f>
        <v/>
      </c>
      <c r="J1462">
        <f>(I1462-IF($I$1443&gt;0,$I$1443))</f>
        <v/>
      </c>
      <c r="K1462">
        <f>J1462/R1445*1.1</f>
        <v/>
      </c>
      <c r="L1462" s="23" t="n"/>
      <c r="M1462" s="23" t="n"/>
      <c r="N1462" s="9" t="n"/>
    </row>
    <row r="1463">
      <c r="A1463" t="n">
        <v>28</v>
      </c>
      <c r="B1463" t="inlineStr">
        <is>
          <t>MeOH</t>
        </is>
      </c>
      <c r="L1463" s="23" t="inlineStr">
        <is>
          <t>Average</t>
        </is>
      </c>
      <c r="M1463" s="23" t="inlineStr">
        <is>
          <t>Stdev</t>
        </is>
      </c>
      <c r="N1463" s="9" t="inlineStr">
        <is>
          <t>Combined</t>
        </is>
      </c>
    </row>
    <row r="1464">
      <c r="A1464" t="n">
        <v>29</v>
      </c>
      <c r="B1464" t="inlineStr">
        <is>
          <t>K3-3A</t>
        </is>
      </c>
      <c r="D1464" t="n">
        <v>16.75</v>
      </c>
      <c r="E1464" t="n">
        <v>94.25700000000001</v>
      </c>
      <c r="F1464" t="n">
        <v>3868.886</v>
      </c>
      <c r="G1464" t="n">
        <v>1.094</v>
      </c>
      <c r="H1464">
        <f>E1464/F1464</f>
        <v/>
      </c>
      <c r="I1464">
        <f>((H1464-$J$1435)/$I$1435)</f>
        <v/>
      </c>
      <c r="J1464">
        <f>(I1464-IF($I$1443&gt;0,$I$1443))</f>
        <v/>
      </c>
      <c r="K1464">
        <f>J1464/R1446*1.1</f>
        <v/>
      </c>
      <c r="L1464">
        <f>AVERAGE(K1464:K1466)</f>
        <v/>
      </c>
      <c r="M1464">
        <f>STDEV(K1465:K1466)</f>
        <v/>
      </c>
      <c r="N1464">
        <f>_xlfn.CONCAT(ROUND(L1464,1)," ± ",ROUND(M1464,1))</f>
        <v/>
      </c>
    </row>
    <row r="1465">
      <c r="A1465" t="n">
        <v>30</v>
      </c>
      <c r="B1465" t="inlineStr">
        <is>
          <t>K3-3B</t>
        </is>
      </c>
      <c r="D1465" t="n">
        <v>17.04</v>
      </c>
      <c r="E1465" t="n">
        <v>18.604</v>
      </c>
      <c r="F1465" t="n">
        <v>5558.256</v>
      </c>
      <c r="G1465" t="n">
        <v>0.715</v>
      </c>
      <c r="H1465">
        <f>E1465/F1465</f>
        <v/>
      </c>
      <c r="I1465">
        <f>((H1465-$J$1435)/$I$1435)</f>
        <v/>
      </c>
      <c r="J1465">
        <f>(I1465-IF($I$1443&gt;0,$I$1443))</f>
        <v/>
      </c>
      <c r="K1465">
        <f>J1465/R1447*1.1</f>
        <v/>
      </c>
    </row>
    <row r="1466">
      <c r="A1466" t="n">
        <v>31</v>
      </c>
      <c r="B1466" t="inlineStr">
        <is>
          <t>K3-3C</t>
        </is>
      </c>
      <c r="D1466" t="n">
        <v>16.5</v>
      </c>
      <c r="E1466" t="n">
        <v>35.515</v>
      </c>
      <c r="F1466" t="n">
        <v>5019.609</v>
      </c>
      <c r="G1466" t="n">
        <v>0.972</v>
      </c>
      <c r="H1466">
        <f>E1466/F1466</f>
        <v/>
      </c>
      <c r="I1466">
        <f>((H1466-$J$1435)/$I$1435)</f>
        <v/>
      </c>
      <c r="J1466">
        <f>(I1466-IF($I$1443&gt;0,$I$1443))</f>
        <v/>
      </c>
      <c r="K1466">
        <f>J1466/R1448*1.1</f>
        <v/>
      </c>
      <c r="L1466" s="23" t="inlineStr">
        <is>
          <t>Average</t>
        </is>
      </c>
      <c r="M1466" s="23" t="inlineStr">
        <is>
          <t>Stdev</t>
        </is>
      </c>
      <c r="N1466" s="9" t="inlineStr">
        <is>
          <t>Combined</t>
        </is>
      </c>
    </row>
    <row r="1467">
      <c r="A1467" t="n">
        <v>32</v>
      </c>
      <c r="B1467" t="inlineStr">
        <is>
          <t>K3-4A</t>
        </is>
      </c>
      <c r="D1467" t="n">
        <v>16.63</v>
      </c>
      <c r="E1467" t="n">
        <v>13.116</v>
      </c>
      <c r="F1467" t="n">
        <v>4571.521</v>
      </c>
      <c r="G1467" t="n">
        <v>0.256</v>
      </c>
      <c r="H1467">
        <f>E1467/F1467</f>
        <v/>
      </c>
      <c r="I1467">
        <f>((H1467-$J$1435)/$I$1435)</f>
        <v/>
      </c>
      <c r="J1467">
        <f>(I1467-IF($I$1443&gt;0,$I$1443))</f>
        <v/>
      </c>
      <c r="K1467">
        <f>J1467/R1449*1.1</f>
        <v/>
      </c>
      <c r="L1467">
        <f>AVERAGE(K1467:K1469)</f>
        <v/>
      </c>
      <c r="M1467">
        <f>STDEV(K1467:K1469)</f>
        <v/>
      </c>
      <c r="N1467">
        <f>_xlfn.CONCAT(ROUND(L1467,1)," ± ",ROUND(M1467,1))</f>
        <v/>
      </c>
    </row>
    <row r="1468">
      <c r="A1468" t="n">
        <v>33</v>
      </c>
      <c r="B1468" t="inlineStr">
        <is>
          <t>K3-4B</t>
        </is>
      </c>
      <c r="D1468" t="n">
        <v>17.11</v>
      </c>
      <c r="E1468" t="n">
        <v>74.56999999999999</v>
      </c>
      <c r="F1468" t="n">
        <v>5043.437</v>
      </c>
      <c r="G1468" t="n">
        <v>4.119</v>
      </c>
      <c r="H1468">
        <f>E1468/F1468</f>
        <v/>
      </c>
      <c r="I1468">
        <f>((H1468-$J$1435)/$I$1435)</f>
        <v/>
      </c>
      <c r="J1468">
        <f>(I1468-IF($I$1443&gt;0,$I$1443))</f>
        <v/>
      </c>
      <c r="K1468">
        <f>J1468/R1450*1.1</f>
        <v/>
      </c>
    </row>
    <row r="1469">
      <c r="A1469" t="n">
        <v>34</v>
      </c>
      <c r="B1469" t="inlineStr">
        <is>
          <t>K3-4C</t>
        </is>
      </c>
      <c r="D1469" t="n">
        <v>17.1</v>
      </c>
      <c r="E1469" t="n">
        <v>68.925</v>
      </c>
      <c r="F1469" t="n">
        <v>5033.665</v>
      </c>
      <c r="G1469" t="n">
        <v>1.793</v>
      </c>
      <c r="H1469">
        <f>E1469/F1469</f>
        <v/>
      </c>
      <c r="I1469">
        <f>((H1469-$J$1435)/$I$1435)</f>
        <v/>
      </c>
      <c r="J1469">
        <f>(I1469-IF($I$1443&gt;0,$I$1443))</f>
        <v/>
      </c>
      <c r="K1469">
        <f>J1469/R1451*1.1</f>
        <v/>
      </c>
      <c r="L1469" s="23" t="n"/>
      <c r="M1469" s="23" t="n"/>
      <c r="N1469" s="9" t="n"/>
    </row>
    <row r="1470">
      <c r="A1470" t="n">
        <v>35</v>
      </c>
      <c r="B1470" t="inlineStr">
        <is>
          <t>MeOH</t>
        </is>
      </c>
      <c r="L1470" s="23" t="inlineStr">
        <is>
          <t>Average</t>
        </is>
      </c>
      <c r="M1470" s="23" t="inlineStr">
        <is>
          <t>Stdev</t>
        </is>
      </c>
      <c r="N1470" s="9" t="inlineStr">
        <is>
          <t>Combined</t>
        </is>
      </c>
    </row>
    <row r="1471">
      <c r="A1471" t="n">
        <v>36</v>
      </c>
      <c r="B1471" t="inlineStr">
        <is>
          <t>K3-6A</t>
        </is>
      </c>
      <c r="D1471" t="n">
        <v>17.1</v>
      </c>
      <c r="E1471" t="n">
        <v>115.362</v>
      </c>
      <c r="F1471" t="n">
        <v>3966.205</v>
      </c>
      <c r="G1471" t="n">
        <v>2.003</v>
      </c>
      <c r="H1471">
        <f>E1471/F1471</f>
        <v/>
      </c>
      <c r="I1471">
        <f>((H1471-$J$1435)/$I$1435)</f>
        <v/>
      </c>
      <c r="J1471">
        <f>(I1471-IF($I$1443&gt;0,$I$1443))</f>
        <v/>
      </c>
      <c r="K1471">
        <f>J1471/R1452*1.1</f>
        <v/>
      </c>
      <c r="L1471">
        <f>AVERAGE(K1471:K1473)</f>
        <v/>
      </c>
      <c r="M1471">
        <f>STDEV(K1472:K1473)</f>
        <v/>
      </c>
      <c r="N1471">
        <f>_xlfn.CONCAT(ROUND(L1471,1)," ± ",ROUND(M1471,1))</f>
        <v/>
      </c>
    </row>
    <row r="1472">
      <c r="A1472" t="n">
        <v>37</v>
      </c>
      <c r="B1472" t="inlineStr">
        <is>
          <t>K3-6B</t>
        </is>
      </c>
      <c r="D1472" t="n">
        <v>16.37</v>
      </c>
      <c r="E1472" t="n">
        <v>45.36</v>
      </c>
      <c r="F1472" t="n">
        <v>3977.533</v>
      </c>
      <c r="G1472" t="n">
        <v>2.113</v>
      </c>
      <c r="H1472">
        <f>E1472/F1472</f>
        <v/>
      </c>
      <c r="I1472">
        <f>((H1472-$J$1435)/$I$1435)</f>
        <v/>
      </c>
      <c r="J1472">
        <f>(I1472-IF($I$1443&gt;0,$I$1443))</f>
        <v/>
      </c>
      <c r="K1472">
        <f>J1472/R1453*1.1</f>
        <v/>
      </c>
    </row>
    <row r="1473">
      <c r="A1473" t="n">
        <v>38</v>
      </c>
      <c r="B1473" t="inlineStr">
        <is>
          <t>K3-6C</t>
        </is>
      </c>
      <c r="D1473" t="n">
        <v>16.95</v>
      </c>
      <c r="E1473" t="n">
        <v>95.685</v>
      </c>
      <c r="F1473" t="n">
        <v>3666.082</v>
      </c>
      <c r="G1473" t="n">
        <v>1.684</v>
      </c>
      <c r="H1473">
        <f>E1473/F1473</f>
        <v/>
      </c>
      <c r="I1473">
        <f>((H1473-$J$1435)/$I$1435)</f>
        <v/>
      </c>
      <c r="J1473">
        <f>(I1473-IF($I$1443&gt;0,$I$1443))</f>
        <v/>
      </c>
      <c r="K1473">
        <f>J1473/R1454*1.1</f>
        <v/>
      </c>
      <c r="L1473" s="23" t="n"/>
      <c r="M1473" s="23" t="n"/>
      <c r="N1473" s="9" t="n"/>
    </row>
    <row r="1475">
      <c r="A1475" t="inlineStr">
        <is>
          <t>Compound 36:  6-6-12 triPAP 2 *</t>
        </is>
      </c>
    </row>
    <row r="1477">
      <c r="B1477" t="inlineStr">
        <is>
          <t>Sample Text</t>
        </is>
      </c>
      <c r="C1477" t="inlineStr">
        <is>
          <t>Std. Conc</t>
        </is>
      </c>
      <c r="D1477" t="inlineStr">
        <is>
          <t>RT</t>
        </is>
      </c>
      <c r="E1477" t="inlineStr">
        <is>
          <t>Area</t>
        </is>
      </c>
      <c r="F1477" t="inlineStr">
        <is>
          <t>IS Area</t>
        </is>
      </c>
      <c r="G1477" t="inlineStr">
        <is>
          <t>S/N</t>
        </is>
      </c>
      <c r="H1477" t="inlineStr">
        <is>
          <t>Primary Flags</t>
        </is>
      </c>
      <c r="I1477" t="inlineStr">
        <is>
          <t>Response</t>
        </is>
      </c>
      <c r="J1477" t="inlineStr">
        <is>
          <t>Conc.</t>
        </is>
      </c>
      <c r="K1477" t="inlineStr">
        <is>
          <t>Name</t>
        </is>
      </c>
    </row>
    <row r="1478">
      <c r="A1478" t="n">
        <v>1</v>
      </c>
      <c r="B1478" t="inlineStr">
        <is>
          <t>EPA1633 &amp; diPAPs Calibration 0 ppb</t>
        </is>
      </c>
      <c r="F1478" t="n">
        <v>19473.51</v>
      </c>
      <c r="K1478" t="inlineStr">
        <is>
          <t>20250617-12</t>
        </is>
      </c>
    </row>
    <row r="1479">
      <c r="A1479" t="n">
        <v>2</v>
      </c>
      <c r="B1479" t="inlineStr">
        <is>
          <t>EPA1633 &amp; diPAPs Calibration 0.02 ppb</t>
        </is>
      </c>
      <c r="F1479" t="n">
        <v>13285.255</v>
      </c>
      <c r="K1479" t="inlineStr">
        <is>
          <t>20250617-13</t>
        </is>
      </c>
    </row>
    <row r="1480">
      <c r="A1480" t="n">
        <v>3</v>
      </c>
      <c r="B1480" t="inlineStr">
        <is>
          <t>EPA1633 &amp; diPAPs Calibration 0.1 ppb</t>
        </is>
      </c>
      <c r="F1480" t="n">
        <v>16010.102</v>
      </c>
      <c r="K1480" t="inlineStr">
        <is>
          <t>20250617-14</t>
        </is>
      </c>
    </row>
    <row r="1481">
      <c r="A1481" t="n">
        <v>4</v>
      </c>
      <c r="B1481" t="inlineStr">
        <is>
          <t>EPA1633 &amp; diPAPs Calibration 0.4 ppb</t>
        </is>
      </c>
      <c r="F1481" t="n">
        <v>14214.025</v>
      </c>
      <c r="K1481" t="inlineStr">
        <is>
          <t>20250617-15</t>
        </is>
      </c>
    </row>
    <row r="1482">
      <c r="A1482" t="n">
        <v>5</v>
      </c>
      <c r="B1482" t="inlineStr">
        <is>
          <t>EPA1633 &amp; diPAPs Calibration 1 ppb</t>
        </is>
      </c>
      <c r="F1482" t="n">
        <v>21931.449</v>
      </c>
      <c r="K1482" t="inlineStr">
        <is>
          <t>20250617-16</t>
        </is>
      </c>
    </row>
    <row r="1483">
      <c r="A1483" t="n">
        <v>6</v>
      </c>
      <c r="B1483" t="inlineStr">
        <is>
          <t>EPA1633 &amp; diPAPs Calibration 5 ppb</t>
        </is>
      </c>
      <c r="F1483" t="n">
        <v>17537.508</v>
      </c>
      <c r="K1483" t="inlineStr">
        <is>
          <t>20250617-17</t>
        </is>
      </c>
    </row>
    <row r="1484">
      <c r="A1484" t="n">
        <v>7</v>
      </c>
      <c r="B1484" t="inlineStr">
        <is>
          <t>EPA1633 &amp; diPAPs Calibration 10 ppb</t>
        </is>
      </c>
      <c r="F1484" t="n">
        <v>29293.133</v>
      </c>
      <c r="K1484" t="inlineStr">
        <is>
          <t>20250617-18</t>
        </is>
      </c>
    </row>
    <row r="1485">
      <c r="A1485" t="n">
        <v>8</v>
      </c>
      <c r="B1485" t="inlineStr">
        <is>
          <t>EPA1633 &amp; diPAPs Calibration 20 ppb</t>
        </is>
      </c>
      <c r="F1485" t="n">
        <v>13919.142</v>
      </c>
      <c r="K1485" t="inlineStr">
        <is>
          <t>20250617-19</t>
        </is>
      </c>
    </row>
    <row r="1486">
      <c r="A1486" t="n">
        <v>9</v>
      </c>
      <c r="B1486" t="inlineStr">
        <is>
          <t>MeOH</t>
        </is>
      </c>
      <c r="K1486" t="inlineStr">
        <is>
          <t>20250617-20</t>
        </is>
      </c>
    </row>
    <row r="1487">
      <c r="A1487" t="n">
        <v>10</v>
      </c>
      <c r="B1487" t="inlineStr">
        <is>
          <t>MeOH</t>
        </is>
      </c>
      <c r="K1487" t="inlineStr">
        <is>
          <t>20250617-21</t>
        </is>
      </c>
    </row>
    <row r="1488">
      <c r="A1488" t="n">
        <v>11</v>
      </c>
      <c r="B1488" t="inlineStr">
        <is>
          <t>SB1</t>
        </is>
      </c>
      <c r="F1488" t="n">
        <v>5289.194</v>
      </c>
      <c r="K1488" t="inlineStr">
        <is>
          <t>20250617-22</t>
        </is>
      </c>
    </row>
    <row r="1489">
      <c r="A1489" t="n">
        <v>12</v>
      </c>
      <c r="B1489" t="inlineStr">
        <is>
          <t>SB2</t>
        </is>
      </c>
      <c r="F1489" t="n">
        <v>6667.125</v>
      </c>
      <c r="K1489" t="inlineStr">
        <is>
          <t>20250617-23</t>
        </is>
      </c>
    </row>
    <row r="1490">
      <c r="A1490" t="n">
        <v>13</v>
      </c>
      <c r="B1490" t="inlineStr">
        <is>
          <t>SB3</t>
        </is>
      </c>
      <c r="F1490" t="n">
        <v>5460.875</v>
      </c>
      <c r="K1490" t="inlineStr">
        <is>
          <t>20250617-24</t>
        </is>
      </c>
    </row>
    <row r="1491">
      <c r="A1491" t="n">
        <v>14</v>
      </c>
      <c r="B1491" t="inlineStr">
        <is>
          <t>SS1</t>
        </is>
      </c>
      <c r="F1491" t="n">
        <v>6517.947</v>
      </c>
      <c r="K1491" t="inlineStr">
        <is>
          <t>20250617-25</t>
        </is>
      </c>
    </row>
    <row r="1492">
      <c r="A1492" t="n">
        <v>15</v>
      </c>
      <c r="B1492" t="inlineStr">
        <is>
          <t>SS2</t>
        </is>
      </c>
      <c r="F1492" t="n">
        <v>6712.642</v>
      </c>
      <c r="K1492" t="inlineStr">
        <is>
          <t>20250617-26</t>
        </is>
      </c>
    </row>
    <row r="1493">
      <c r="A1493" t="n">
        <v>16</v>
      </c>
      <c r="B1493" t="inlineStr">
        <is>
          <t>SS3</t>
        </is>
      </c>
      <c r="F1493" t="n">
        <v>6363.637</v>
      </c>
      <c r="K1493" t="inlineStr">
        <is>
          <t>20250617-27</t>
        </is>
      </c>
    </row>
    <row r="1494">
      <c r="A1494" t="n">
        <v>17</v>
      </c>
      <c r="B1494" t="inlineStr">
        <is>
          <t>MeOH</t>
        </is>
      </c>
      <c r="K1494" t="inlineStr">
        <is>
          <t>20250617-28</t>
        </is>
      </c>
    </row>
    <row r="1495">
      <c r="A1495" t="n">
        <v>18</v>
      </c>
      <c r="B1495" t="inlineStr">
        <is>
          <t>K4-5A</t>
        </is>
      </c>
      <c r="F1495" t="n">
        <v>3930.075</v>
      </c>
      <c r="K1495" t="inlineStr">
        <is>
          <t>20250617-29</t>
        </is>
      </c>
    </row>
    <row r="1496">
      <c r="A1496" t="n">
        <v>19</v>
      </c>
      <c r="B1496" t="inlineStr">
        <is>
          <t>K4-5B</t>
        </is>
      </c>
      <c r="F1496" t="n">
        <v>6277.964</v>
      </c>
      <c r="K1496" t="inlineStr">
        <is>
          <t>20250617-30</t>
        </is>
      </c>
    </row>
    <row r="1497">
      <c r="A1497" t="n">
        <v>20</v>
      </c>
      <c r="B1497" t="inlineStr">
        <is>
          <t>K4-5C</t>
        </is>
      </c>
      <c r="F1497" t="n">
        <v>2207.119</v>
      </c>
      <c r="K1497" t="inlineStr">
        <is>
          <t>20250617-31</t>
        </is>
      </c>
    </row>
    <row r="1498">
      <c r="A1498" t="n">
        <v>21</v>
      </c>
      <c r="B1498" t="inlineStr">
        <is>
          <t>MeOH</t>
        </is>
      </c>
      <c r="D1498" t="n">
        <v>16.89</v>
      </c>
      <c r="E1498" t="n">
        <v>0.441</v>
      </c>
      <c r="G1498" t="n">
        <v>4</v>
      </c>
      <c r="H1498" t="inlineStr">
        <is>
          <t>bb</t>
        </is>
      </c>
      <c r="K1498" t="inlineStr">
        <is>
          <t>20250617-32</t>
        </is>
      </c>
    </row>
    <row r="1499">
      <c r="A1499" t="n">
        <v>22</v>
      </c>
      <c r="B1499" t="inlineStr">
        <is>
          <t>K3-1A</t>
        </is>
      </c>
      <c r="F1499" t="n">
        <v>4603.346</v>
      </c>
      <c r="K1499" t="inlineStr">
        <is>
          <t>20250617-33</t>
        </is>
      </c>
    </row>
    <row r="1500">
      <c r="A1500" t="n">
        <v>23</v>
      </c>
      <c r="B1500" t="inlineStr">
        <is>
          <t>K3-1B</t>
        </is>
      </c>
      <c r="F1500" t="n">
        <v>4832.73</v>
      </c>
      <c r="K1500" t="inlineStr">
        <is>
          <t>20250617-34</t>
        </is>
      </c>
    </row>
    <row r="1501">
      <c r="A1501" t="n">
        <v>24</v>
      </c>
      <c r="B1501" t="inlineStr">
        <is>
          <t>K3-1C</t>
        </is>
      </c>
      <c r="F1501" t="n">
        <v>5250.105</v>
      </c>
      <c r="K1501" t="inlineStr">
        <is>
          <t>20250617-35</t>
        </is>
      </c>
    </row>
    <row r="1502">
      <c r="A1502" t="n">
        <v>25</v>
      </c>
      <c r="B1502" t="inlineStr">
        <is>
          <t>K3-2A</t>
        </is>
      </c>
      <c r="F1502" t="n">
        <v>4574.33</v>
      </c>
      <c r="K1502" t="inlineStr">
        <is>
          <t>20250617-36</t>
        </is>
      </c>
    </row>
    <row r="1503">
      <c r="A1503" t="n">
        <v>26</v>
      </c>
      <c r="B1503" t="inlineStr">
        <is>
          <t>K3-2B</t>
        </is>
      </c>
      <c r="F1503" t="n">
        <v>5271.769</v>
      </c>
      <c r="K1503" t="inlineStr">
        <is>
          <t>20250617-37</t>
        </is>
      </c>
    </row>
    <row r="1504">
      <c r="A1504" t="n">
        <v>27</v>
      </c>
      <c r="B1504" t="inlineStr">
        <is>
          <t>K3-2C</t>
        </is>
      </c>
      <c r="F1504" t="n">
        <v>4675.447</v>
      </c>
      <c r="K1504" t="inlineStr">
        <is>
          <t>20250617-38</t>
        </is>
      </c>
    </row>
    <row r="1505">
      <c r="A1505" t="n">
        <v>28</v>
      </c>
      <c r="B1505" t="inlineStr">
        <is>
          <t>MeOH</t>
        </is>
      </c>
      <c r="K1505" t="inlineStr">
        <is>
          <t>20250617-39</t>
        </is>
      </c>
    </row>
    <row r="1506">
      <c r="A1506" t="n">
        <v>29</v>
      </c>
      <c r="B1506" t="inlineStr">
        <is>
          <t>K3-3A</t>
        </is>
      </c>
      <c r="F1506" t="n">
        <v>3868.886</v>
      </c>
      <c r="K1506" t="inlineStr">
        <is>
          <t>20250617-40</t>
        </is>
      </c>
    </row>
    <row r="1507">
      <c r="A1507" t="n">
        <v>30</v>
      </c>
      <c r="B1507" t="inlineStr">
        <is>
          <t>K3-3B</t>
        </is>
      </c>
      <c r="F1507" t="n">
        <v>5558.256</v>
      </c>
      <c r="K1507" t="inlineStr">
        <is>
          <t>20250617-41</t>
        </is>
      </c>
    </row>
    <row r="1508">
      <c r="A1508" t="n">
        <v>31</v>
      </c>
      <c r="B1508" t="inlineStr">
        <is>
          <t>K3-3C</t>
        </is>
      </c>
      <c r="F1508" t="n">
        <v>5019.609</v>
      </c>
      <c r="K1508" t="inlineStr">
        <is>
          <t>20250617-42</t>
        </is>
      </c>
    </row>
    <row r="1509">
      <c r="A1509" t="n">
        <v>32</v>
      </c>
      <c r="B1509" t="inlineStr">
        <is>
          <t>K3-4A</t>
        </is>
      </c>
      <c r="F1509" t="n">
        <v>4571.521</v>
      </c>
      <c r="K1509" t="inlineStr">
        <is>
          <t>20250617-43</t>
        </is>
      </c>
    </row>
    <row r="1510">
      <c r="A1510" t="n">
        <v>33</v>
      </c>
      <c r="B1510" t="inlineStr">
        <is>
          <t>K3-4B</t>
        </is>
      </c>
      <c r="F1510" t="n">
        <v>5043.437</v>
      </c>
      <c r="K1510" t="inlineStr">
        <is>
          <t>20250617-44</t>
        </is>
      </c>
    </row>
    <row r="1511">
      <c r="A1511" t="n">
        <v>34</v>
      </c>
      <c r="B1511" t="inlineStr">
        <is>
          <t>K3-4C</t>
        </is>
      </c>
      <c r="D1511" t="n">
        <v>17.03</v>
      </c>
      <c r="E1511" t="n">
        <v>0.405</v>
      </c>
      <c r="F1511" t="n">
        <v>5033.665</v>
      </c>
      <c r="G1511" t="n">
        <v>4</v>
      </c>
      <c r="H1511" t="inlineStr">
        <is>
          <t>bb</t>
        </is>
      </c>
      <c r="K1511" t="inlineStr">
        <is>
          <t>20250617-45</t>
        </is>
      </c>
    </row>
    <row r="1512">
      <c r="A1512" t="n">
        <v>35</v>
      </c>
      <c r="B1512" t="inlineStr">
        <is>
          <t>MeOH</t>
        </is>
      </c>
      <c r="K1512" t="inlineStr">
        <is>
          <t>20250617-46</t>
        </is>
      </c>
    </row>
    <row r="1513">
      <c r="A1513" t="n">
        <v>36</v>
      </c>
      <c r="B1513" t="inlineStr">
        <is>
          <t>K3-6A</t>
        </is>
      </c>
      <c r="D1513" t="n">
        <v>17.08</v>
      </c>
      <c r="E1513" t="n">
        <v>0.354</v>
      </c>
      <c r="F1513" t="n">
        <v>3966.205</v>
      </c>
      <c r="G1513" t="n">
        <v>3</v>
      </c>
      <c r="H1513" t="inlineStr">
        <is>
          <t>bb</t>
        </is>
      </c>
      <c r="K1513" t="inlineStr">
        <is>
          <t>20250617-47</t>
        </is>
      </c>
    </row>
    <row r="1514">
      <c r="A1514" t="n">
        <v>37</v>
      </c>
      <c r="B1514" t="inlineStr">
        <is>
          <t>K3-6B</t>
        </is>
      </c>
      <c r="F1514" t="n">
        <v>3977.533</v>
      </c>
      <c r="K1514" t="inlineStr">
        <is>
          <t>20250617-48</t>
        </is>
      </c>
    </row>
    <row r="1515">
      <c r="A1515" t="n">
        <v>38</v>
      </c>
      <c r="B1515" t="inlineStr">
        <is>
          <t>K3-6C</t>
        </is>
      </c>
      <c r="F1515" t="n">
        <v>3666.082</v>
      </c>
      <c r="K1515" t="inlineStr">
        <is>
          <t>20250617-49</t>
        </is>
      </c>
    </row>
    <row r="1517">
      <c r="A1517" t="inlineStr">
        <is>
          <t>Compound 37:  m4 6-6 diPAP 1</t>
        </is>
      </c>
    </row>
    <row r="1519">
      <c r="B1519" t="inlineStr">
        <is>
          <t>Sample Text</t>
        </is>
      </c>
      <c r="C1519" t="inlineStr">
        <is>
          <t>Std. Conc</t>
        </is>
      </c>
      <c r="D1519" t="inlineStr">
        <is>
          <t>RT</t>
        </is>
      </c>
      <c r="E1519" t="inlineStr">
        <is>
          <t>Area</t>
        </is>
      </c>
      <c r="F1519" t="inlineStr">
        <is>
          <t>IS Area</t>
        </is>
      </c>
      <c r="G1519" t="inlineStr">
        <is>
          <t>S/N</t>
        </is>
      </c>
      <c r="H1519" t="inlineStr">
        <is>
          <t>Primary Flags</t>
        </is>
      </c>
      <c r="I1519" t="inlineStr">
        <is>
          <t>Response</t>
        </is>
      </c>
      <c r="J1519" t="inlineStr">
        <is>
          <t>Conc.</t>
        </is>
      </c>
      <c r="K1519" t="inlineStr">
        <is>
          <t>Name</t>
        </is>
      </c>
    </row>
    <row r="1520">
      <c r="A1520" t="n">
        <v>1</v>
      </c>
      <c r="B1520" t="inlineStr">
        <is>
          <t>EPA1633 &amp; diPAPs Calibration 0 ppb</t>
        </is>
      </c>
      <c r="D1520" t="n">
        <v>11.98</v>
      </c>
      <c r="E1520" t="n">
        <v>19473.51</v>
      </c>
      <c r="G1520" t="n">
        <v>467.74</v>
      </c>
      <c r="H1520" t="inlineStr">
        <is>
          <t>bb</t>
        </is>
      </c>
      <c r="I1520" t="n">
        <v>19473.51</v>
      </c>
      <c r="K1520" t="inlineStr">
        <is>
          <t>20250617-12</t>
        </is>
      </c>
    </row>
    <row r="1521">
      <c r="A1521" t="n">
        <v>2</v>
      </c>
      <c r="B1521" t="inlineStr">
        <is>
          <t>EPA1633 &amp; diPAPs Calibration 0.02 ppb</t>
        </is>
      </c>
      <c r="D1521" t="n">
        <v>11.97</v>
      </c>
      <c r="E1521" t="n">
        <v>13285.255</v>
      </c>
      <c r="G1521" t="n">
        <v>549.699</v>
      </c>
      <c r="H1521" t="inlineStr">
        <is>
          <t>bb</t>
        </is>
      </c>
      <c r="I1521" t="n">
        <v>13285.255</v>
      </c>
      <c r="K1521" t="inlineStr">
        <is>
          <t>20250617-13</t>
        </is>
      </c>
    </row>
    <row r="1522">
      <c r="A1522" t="n">
        <v>3</v>
      </c>
      <c r="B1522" t="inlineStr">
        <is>
          <t>EPA1633 &amp; diPAPs Calibration 0.1 ppb</t>
        </is>
      </c>
      <c r="D1522" t="n">
        <v>11.98</v>
      </c>
      <c r="E1522" t="n">
        <v>16010.102</v>
      </c>
      <c r="G1522" t="n">
        <v>710.7859999999999</v>
      </c>
      <c r="H1522" t="inlineStr">
        <is>
          <t>bb</t>
        </is>
      </c>
      <c r="I1522" t="n">
        <v>16010.102</v>
      </c>
      <c r="K1522" t="inlineStr">
        <is>
          <t>20250617-14</t>
        </is>
      </c>
    </row>
    <row r="1523">
      <c r="A1523" t="n">
        <v>4</v>
      </c>
      <c r="B1523" t="inlineStr">
        <is>
          <t>EPA1633 &amp; diPAPs Calibration 0.4 ppb</t>
        </is>
      </c>
      <c r="D1523" t="n">
        <v>11.98</v>
      </c>
      <c r="E1523" t="n">
        <v>14214.025</v>
      </c>
      <c r="G1523" t="n">
        <v>353.65</v>
      </c>
      <c r="H1523" t="inlineStr">
        <is>
          <t>bb</t>
        </is>
      </c>
      <c r="I1523" t="n">
        <v>14214.025</v>
      </c>
      <c r="K1523" t="inlineStr">
        <is>
          <t>20250617-15</t>
        </is>
      </c>
    </row>
    <row r="1524">
      <c r="A1524" t="n">
        <v>5</v>
      </c>
      <c r="B1524" t="inlineStr">
        <is>
          <t>EPA1633 &amp; diPAPs Calibration 1 ppb</t>
        </is>
      </c>
      <c r="D1524" t="n">
        <v>12</v>
      </c>
      <c r="E1524" t="n">
        <v>21931.449</v>
      </c>
      <c r="G1524" t="n">
        <v>472.73</v>
      </c>
      <c r="H1524" t="inlineStr">
        <is>
          <t>bb</t>
        </is>
      </c>
      <c r="I1524" t="n">
        <v>21931.449</v>
      </c>
      <c r="K1524" t="inlineStr">
        <is>
          <t>20250617-16</t>
        </is>
      </c>
    </row>
    <row r="1525">
      <c r="A1525" t="n">
        <v>6</v>
      </c>
      <c r="B1525" t="inlineStr">
        <is>
          <t>EPA1633 &amp; diPAPs Calibration 5 ppb</t>
        </is>
      </c>
      <c r="D1525" t="n">
        <v>12</v>
      </c>
      <c r="E1525" t="n">
        <v>17537.508</v>
      </c>
      <c r="G1525" t="n">
        <v>397.174</v>
      </c>
      <c r="H1525" t="inlineStr">
        <is>
          <t>bb</t>
        </is>
      </c>
      <c r="I1525" t="n">
        <v>17537.508</v>
      </c>
      <c r="K1525" t="inlineStr">
        <is>
          <t>20250617-17</t>
        </is>
      </c>
    </row>
    <row r="1526">
      <c r="A1526" t="n">
        <v>7</v>
      </c>
      <c r="B1526" t="inlineStr">
        <is>
          <t>EPA1633 &amp; diPAPs Calibration 10 ppb</t>
        </is>
      </c>
      <c r="D1526" t="n">
        <v>12</v>
      </c>
      <c r="E1526" t="n">
        <v>29293.133</v>
      </c>
      <c r="G1526" t="n">
        <v>677.05</v>
      </c>
      <c r="H1526" t="inlineStr">
        <is>
          <t>bb</t>
        </is>
      </c>
      <c r="I1526" t="n">
        <v>29293.133</v>
      </c>
      <c r="K1526" t="inlineStr">
        <is>
          <t>20250617-18</t>
        </is>
      </c>
    </row>
    <row r="1527">
      <c r="A1527" t="n">
        <v>8</v>
      </c>
      <c r="B1527" t="inlineStr">
        <is>
          <t>EPA1633 &amp; diPAPs Calibration 20 ppb</t>
        </is>
      </c>
      <c r="D1527" t="n">
        <v>12</v>
      </c>
      <c r="E1527" t="n">
        <v>13919.142</v>
      </c>
      <c r="G1527" t="n">
        <v>340.934</v>
      </c>
      <c r="H1527" t="inlineStr">
        <is>
          <t>bb</t>
        </is>
      </c>
      <c r="I1527" t="n">
        <v>13919.142</v>
      </c>
      <c r="K1527" t="inlineStr">
        <is>
          <t>20250617-19</t>
        </is>
      </c>
    </row>
    <row r="1528">
      <c r="A1528" t="n">
        <v>9</v>
      </c>
      <c r="B1528" t="inlineStr">
        <is>
          <t>MeOH</t>
        </is>
      </c>
      <c r="H1528" t="inlineStr">
        <is>
          <t>MM-</t>
        </is>
      </c>
      <c r="K1528" t="inlineStr">
        <is>
          <t>20250617-20</t>
        </is>
      </c>
    </row>
    <row r="1529">
      <c r="A1529" t="n">
        <v>10</v>
      </c>
      <c r="B1529" t="inlineStr">
        <is>
          <t>MeOH</t>
        </is>
      </c>
      <c r="H1529" t="inlineStr">
        <is>
          <t>MM-</t>
        </is>
      </c>
      <c r="K1529" t="inlineStr">
        <is>
          <t>20250617-21</t>
        </is>
      </c>
    </row>
    <row r="1530">
      <c r="A1530" t="n">
        <v>11</v>
      </c>
      <c r="B1530" t="inlineStr">
        <is>
          <t>SB1</t>
        </is>
      </c>
      <c r="D1530" t="n">
        <v>12.02</v>
      </c>
      <c r="E1530" t="n">
        <v>5289.194</v>
      </c>
      <c r="G1530" t="n">
        <v>149.959</v>
      </c>
      <c r="H1530" t="inlineStr">
        <is>
          <t>bb</t>
        </is>
      </c>
      <c r="I1530" t="n">
        <v>5289.194</v>
      </c>
      <c r="K1530" t="inlineStr">
        <is>
          <t>20250617-22</t>
        </is>
      </c>
    </row>
    <row r="1531">
      <c r="A1531" t="n">
        <v>12</v>
      </c>
      <c r="B1531" t="inlineStr">
        <is>
          <t>SB2</t>
        </is>
      </c>
      <c r="D1531" t="n">
        <v>12.02</v>
      </c>
      <c r="E1531" t="n">
        <v>6667.125</v>
      </c>
      <c r="G1531" t="n">
        <v>301.013</v>
      </c>
      <c r="H1531" t="inlineStr">
        <is>
          <t>bb</t>
        </is>
      </c>
      <c r="I1531" t="n">
        <v>6667.125</v>
      </c>
      <c r="K1531" t="inlineStr">
        <is>
          <t>20250617-23</t>
        </is>
      </c>
    </row>
    <row r="1532">
      <c r="A1532" t="n">
        <v>13</v>
      </c>
      <c r="B1532" t="inlineStr">
        <is>
          <t>SB3</t>
        </is>
      </c>
      <c r="D1532" t="n">
        <v>12.02</v>
      </c>
      <c r="E1532" t="n">
        <v>5460.875</v>
      </c>
      <c r="G1532" t="n">
        <v>228.806</v>
      </c>
      <c r="H1532" t="inlineStr">
        <is>
          <t>bb</t>
        </is>
      </c>
      <c r="I1532" t="n">
        <v>5460.875</v>
      </c>
      <c r="K1532" t="inlineStr">
        <is>
          <t>20250617-24</t>
        </is>
      </c>
    </row>
    <row r="1533">
      <c r="A1533" t="n">
        <v>14</v>
      </c>
      <c r="B1533" t="inlineStr">
        <is>
          <t>SS1</t>
        </is>
      </c>
      <c r="D1533" t="n">
        <v>12.02</v>
      </c>
      <c r="E1533" t="n">
        <v>6517.947</v>
      </c>
      <c r="G1533" t="n">
        <v>196.723</v>
      </c>
      <c r="H1533" t="inlineStr">
        <is>
          <t>bb</t>
        </is>
      </c>
      <c r="I1533" t="n">
        <v>6517.947</v>
      </c>
      <c r="K1533" t="inlineStr">
        <is>
          <t>20250617-25</t>
        </is>
      </c>
    </row>
    <row r="1534">
      <c r="A1534" t="n">
        <v>15</v>
      </c>
      <c r="B1534" t="inlineStr">
        <is>
          <t>SS2</t>
        </is>
      </c>
      <c r="D1534" t="n">
        <v>12.03</v>
      </c>
      <c r="E1534" t="n">
        <v>6712.642</v>
      </c>
      <c r="G1534" t="n">
        <v>425.983</v>
      </c>
      <c r="H1534" t="inlineStr">
        <is>
          <t>bb</t>
        </is>
      </c>
      <c r="I1534" t="n">
        <v>6712.642</v>
      </c>
      <c r="K1534" t="inlineStr">
        <is>
          <t>20250617-26</t>
        </is>
      </c>
    </row>
    <row r="1535">
      <c r="A1535" t="n">
        <v>16</v>
      </c>
      <c r="B1535" t="inlineStr">
        <is>
          <t>SS3</t>
        </is>
      </c>
      <c r="D1535" t="n">
        <v>12.03</v>
      </c>
      <c r="E1535" t="n">
        <v>6363.637</v>
      </c>
      <c r="G1535" t="n">
        <v>261.241</v>
      </c>
      <c r="H1535" t="inlineStr">
        <is>
          <t>bb</t>
        </is>
      </c>
      <c r="I1535" t="n">
        <v>6363.637</v>
      </c>
      <c r="K1535" t="inlineStr">
        <is>
          <t>20250617-27</t>
        </is>
      </c>
    </row>
    <row r="1536">
      <c r="A1536" t="n">
        <v>17</v>
      </c>
      <c r="B1536" t="inlineStr">
        <is>
          <t>MeOH</t>
        </is>
      </c>
      <c r="H1536" t="inlineStr">
        <is>
          <t>MM-</t>
        </is>
      </c>
      <c r="K1536" t="inlineStr">
        <is>
          <t>20250617-28</t>
        </is>
      </c>
    </row>
    <row r="1537">
      <c r="A1537" t="n">
        <v>18</v>
      </c>
      <c r="B1537" t="inlineStr">
        <is>
          <t>K4-5A</t>
        </is>
      </c>
      <c r="D1537" t="n">
        <v>12.03</v>
      </c>
      <c r="E1537" t="n">
        <v>3930.075</v>
      </c>
      <c r="G1537" t="n">
        <v>184.988</v>
      </c>
      <c r="H1537" t="inlineStr">
        <is>
          <t>bb</t>
        </is>
      </c>
      <c r="I1537" t="n">
        <v>3930.075</v>
      </c>
      <c r="K1537" t="inlineStr">
        <is>
          <t>20250617-29</t>
        </is>
      </c>
    </row>
    <row r="1538">
      <c r="A1538" t="n">
        <v>19</v>
      </c>
      <c r="B1538" t="inlineStr">
        <is>
          <t>K4-5B</t>
        </is>
      </c>
      <c r="D1538" t="n">
        <v>12.03</v>
      </c>
      <c r="E1538" t="n">
        <v>6277.964</v>
      </c>
      <c r="G1538" t="n">
        <v>255.455</v>
      </c>
      <c r="H1538" t="inlineStr">
        <is>
          <t>bb</t>
        </is>
      </c>
      <c r="I1538" t="n">
        <v>6277.964</v>
      </c>
      <c r="K1538" t="inlineStr">
        <is>
          <t>20250617-30</t>
        </is>
      </c>
    </row>
    <row r="1539">
      <c r="A1539" t="n">
        <v>20</v>
      </c>
      <c r="B1539" t="inlineStr">
        <is>
          <t>K4-5C</t>
        </is>
      </c>
      <c r="D1539" t="n">
        <v>12.03</v>
      </c>
      <c r="E1539" t="n">
        <v>2207.119</v>
      </c>
      <c r="G1539" t="n">
        <v>195.438</v>
      </c>
      <c r="H1539" t="inlineStr">
        <is>
          <t>bb</t>
        </is>
      </c>
      <c r="I1539" t="n">
        <v>2207.119</v>
      </c>
      <c r="K1539" t="inlineStr">
        <is>
          <t>20250617-31</t>
        </is>
      </c>
    </row>
    <row r="1540">
      <c r="A1540" t="n">
        <v>21</v>
      </c>
      <c r="B1540" t="inlineStr">
        <is>
          <t>MeOH</t>
        </is>
      </c>
      <c r="H1540" t="inlineStr">
        <is>
          <t>MM-</t>
        </is>
      </c>
      <c r="K1540" t="inlineStr">
        <is>
          <t>20250617-32</t>
        </is>
      </c>
    </row>
    <row r="1541">
      <c r="A1541" t="n">
        <v>22</v>
      </c>
      <c r="B1541" t="inlineStr">
        <is>
          <t>K3-1A</t>
        </is>
      </c>
      <c r="D1541" t="n">
        <v>12.05</v>
      </c>
      <c r="E1541" t="n">
        <v>4603.346</v>
      </c>
      <c r="G1541" t="n">
        <v>243.068</v>
      </c>
      <c r="H1541" t="inlineStr">
        <is>
          <t>bb</t>
        </is>
      </c>
      <c r="I1541" t="n">
        <v>4603.346</v>
      </c>
      <c r="K1541" t="inlineStr">
        <is>
          <t>20250617-33</t>
        </is>
      </c>
    </row>
    <row r="1542">
      <c r="A1542" t="n">
        <v>23</v>
      </c>
      <c r="B1542" t="inlineStr">
        <is>
          <t>K3-1B</t>
        </is>
      </c>
      <c r="D1542" t="n">
        <v>12.05</v>
      </c>
      <c r="E1542" t="n">
        <v>4832.73</v>
      </c>
      <c r="G1542" t="n">
        <v>232.438</v>
      </c>
      <c r="H1542" t="inlineStr">
        <is>
          <t>bb</t>
        </is>
      </c>
      <c r="I1542" t="n">
        <v>4832.73</v>
      </c>
      <c r="K1542" t="inlineStr">
        <is>
          <t>20250617-34</t>
        </is>
      </c>
    </row>
    <row r="1543">
      <c r="A1543" t="n">
        <v>24</v>
      </c>
      <c r="B1543" t="inlineStr">
        <is>
          <t>K3-1C</t>
        </is>
      </c>
      <c r="D1543" t="n">
        <v>12.04</v>
      </c>
      <c r="E1543" t="n">
        <v>5250.105</v>
      </c>
      <c r="G1543" t="n">
        <v>429.791</v>
      </c>
      <c r="H1543" t="inlineStr">
        <is>
          <t>bb</t>
        </is>
      </c>
      <c r="I1543" t="n">
        <v>5250.105</v>
      </c>
      <c r="K1543" t="inlineStr">
        <is>
          <t>20250617-35</t>
        </is>
      </c>
    </row>
    <row r="1544">
      <c r="A1544" t="n">
        <v>25</v>
      </c>
      <c r="B1544" t="inlineStr">
        <is>
          <t>K3-2A</t>
        </is>
      </c>
      <c r="D1544" t="n">
        <v>12.05</v>
      </c>
      <c r="E1544" t="n">
        <v>4574.33</v>
      </c>
      <c r="G1544" t="n">
        <v>265.669</v>
      </c>
      <c r="H1544" t="inlineStr">
        <is>
          <t>bb</t>
        </is>
      </c>
      <c r="I1544" t="n">
        <v>4574.33</v>
      </c>
      <c r="K1544" t="inlineStr">
        <is>
          <t>20250617-36</t>
        </is>
      </c>
    </row>
    <row r="1545">
      <c r="A1545" t="n">
        <v>26</v>
      </c>
      <c r="B1545" t="inlineStr">
        <is>
          <t>K3-2B</t>
        </is>
      </c>
      <c r="D1545" t="n">
        <v>12.03</v>
      </c>
      <c r="E1545" t="n">
        <v>5271.769</v>
      </c>
      <c r="G1545" t="n">
        <v>501.308</v>
      </c>
      <c r="H1545" t="inlineStr">
        <is>
          <t>bb</t>
        </is>
      </c>
      <c r="I1545" t="n">
        <v>5271.769</v>
      </c>
      <c r="K1545" t="inlineStr">
        <is>
          <t>20250617-37</t>
        </is>
      </c>
    </row>
    <row r="1546">
      <c r="A1546" t="n">
        <v>27</v>
      </c>
      <c r="B1546" t="inlineStr">
        <is>
          <t>K3-2C</t>
        </is>
      </c>
      <c r="D1546" t="n">
        <v>12.06</v>
      </c>
      <c r="E1546" t="n">
        <v>4675.447</v>
      </c>
      <c r="G1546" t="n">
        <v>247.373</v>
      </c>
      <c r="H1546" t="inlineStr">
        <is>
          <t>bb</t>
        </is>
      </c>
      <c r="I1546" t="n">
        <v>4675.447</v>
      </c>
      <c r="K1546" t="inlineStr">
        <is>
          <t>20250617-38</t>
        </is>
      </c>
    </row>
    <row r="1547">
      <c r="A1547" t="n">
        <v>28</v>
      </c>
      <c r="B1547" t="inlineStr">
        <is>
          <t>MeOH</t>
        </is>
      </c>
      <c r="H1547" t="inlineStr">
        <is>
          <t>MM-</t>
        </is>
      </c>
      <c r="K1547" t="inlineStr">
        <is>
          <t>20250617-39</t>
        </is>
      </c>
    </row>
    <row r="1548">
      <c r="A1548" t="n">
        <v>29</v>
      </c>
      <c r="B1548" t="inlineStr">
        <is>
          <t>K3-3A</t>
        </is>
      </c>
      <c r="D1548" t="n">
        <v>12.06</v>
      </c>
      <c r="E1548" t="n">
        <v>3868.886</v>
      </c>
      <c r="G1548" t="n">
        <v>849.365</v>
      </c>
      <c r="H1548" t="inlineStr">
        <is>
          <t>bb</t>
        </is>
      </c>
      <c r="I1548" t="n">
        <v>3868.886</v>
      </c>
      <c r="K1548" t="inlineStr">
        <is>
          <t>20250617-40</t>
        </is>
      </c>
    </row>
    <row r="1549">
      <c r="A1549" t="n">
        <v>30</v>
      </c>
      <c r="B1549" t="inlineStr">
        <is>
          <t>K3-3B</t>
        </is>
      </c>
      <c r="D1549" t="n">
        <v>12.07</v>
      </c>
      <c r="E1549" t="n">
        <v>5558.256</v>
      </c>
      <c r="G1549" t="n">
        <v>95.589</v>
      </c>
      <c r="H1549" t="inlineStr">
        <is>
          <t>bb</t>
        </is>
      </c>
      <c r="I1549" t="n">
        <v>5558.256</v>
      </c>
      <c r="K1549" t="inlineStr">
        <is>
          <t>20250617-41</t>
        </is>
      </c>
    </row>
    <row r="1550">
      <c r="A1550" t="n">
        <v>31</v>
      </c>
      <c r="B1550" t="inlineStr">
        <is>
          <t>K3-3C</t>
        </is>
      </c>
      <c r="D1550" t="n">
        <v>12.05</v>
      </c>
      <c r="E1550" t="n">
        <v>5019.609</v>
      </c>
      <c r="G1550" t="n">
        <v>289.259</v>
      </c>
      <c r="H1550" t="inlineStr">
        <is>
          <t>bb</t>
        </is>
      </c>
      <c r="I1550" t="n">
        <v>5019.609</v>
      </c>
      <c r="K1550" t="inlineStr">
        <is>
          <t>20250617-42</t>
        </is>
      </c>
    </row>
    <row r="1551">
      <c r="A1551" t="n">
        <v>32</v>
      </c>
      <c r="B1551" t="inlineStr">
        <is>
          <t>K3-4A</t>
        </is>
      </c>
      <c r="D1551" t="n">
        <v>12.06</v>
      </c>
      <c r="E1551" t="n">
        <v>4571.521</v>
      </c>
      <c r="G1551" t="n">
        <v>198.87</v>
      </c>
      <c r="H1551" t="inlineStr">
        <is>
          <t>bb</t>
        </is>
      </c>
      <c r="I1551" t="n">
        <v>4571.521</v>
      </c>
      <c r="K1551" t="inlineStr">
        <is>
          <t>20250617-43</t>
        </is>
      </c>
    </row>
    <row r="1552">
      <c r="A1552" t="n">
        <v>33</v>
      </c>
      <c r="B1552" t="inlineStr">
        <is>
          <t>K3-4B</t>
        </is>
      </c>
      <c r="D1552" t="n">
        <v>12.06</v>
      </c>
      <c r="E1552" t="n">
        <v>5043.437</v>
      </c>
      <c r="G1552" t="n">
        <v>99.048</v>
      </c>
      <c r="H1552" t="inlineStr">
        <is>
          <t>bb</t>
        </is>
      </c>
      <c r="I1552" t="n">
        <v>5043.437</v>
      </c>
      <c r="K1552" t="inlineStr">
        <is>
          <t>20250617-44</t>
        </is>
      </c>
    </row>
    <row r="1553">
      <c r="A1553" t="n">
        <v>34</v>
      </c>
      <c r="B1553" t="inlineStr">
        <is>
          <t>K3-4C</t>
        </is>
      </c>
      <c r="D1553" t="n">
        <v>12.06</v>
      </c>
      <c r="E1553" t="n">
        <v>5033.665</v>
      </c>
      <c r="G1553" t="n">
        <v>133.39</v>
      </c>
      <c r="H1553" t="inlineStr">
        <is>
          <t>bb</t>
        </is>
      </c>
      <c r="I1553" t="n">
        <v>5033.665</v>
      </c>
      <c r="K1553" t="inlineStr">
        <is>
          <t>20250617-45</t>
        </is>
      </c>
    </row>
    <row r="1554">
      <c r="A1554" t="n">
        <v>35</v>
      </c>
      <c r="B1554" t="inlineStr">
        <is>
          <t>MeOH</t>
        </is>
      </c>
      <c r="H1554" t="inlineStr">
        <is>
          <t>MM-</t>
        </is>
      </c>
      <c r="K1554" t="inlineStr">
        <is>
          <t>20250617-46</t>
        </is>
      </c>
    </row>
    <row r="1555">
      <c r="A1555" t="n">
        <v>36</v>
      </c>
      <c r="B1555" t="inlineStr">
        <is>
          <t>K3-6A</t>
        </is>
      </c>
      <c r="D1555" t="n">
        <v>12.05</v>
      </c>
      <c r="E1555" t="n">
        <v>3966.205</v>
      </c>
      <c r="G1555" t="n">
        <v>121.041</v>
      </c>
      <c r="H1555" t="inlineStr">
        <is>
          <t>bb</t>
        </is>
      </c>
      <c r="I1555" t="n">
        <v>3966.205</v>
      </c>
      <c r="K1555" t="inlineStr">
        <is>
          <t>20250617-47</t>
        </is>
      </c>
    </row>
    <row r="1556">
      <c r="A1556" t="n">
        <v>37</v>
      </c>
      <c r="B1556" t="inlineStr">
        <is>
          <t>K3-6B</t>
        </is>
      </c>
      <c r="D1556" t="n">
        <v>12.07</v>
      </c>
      <c r="E1556" t="n">
        <v>3977.533</v>
      </c>
      <c r="G1556" t="n">
        <v>192.041</v>
      </c>
      <c r="H1556" t="inlineStr">
        <is>
          <t>bb</t>
        </is>
      </c>
      <c r="I1556" t="n">
        <v>3977.533</v>
      </c>
      <c r="K1556" t="inlineStr">
        <is>
          <t>20250617-48</t>
        </is>
      </c>
    </row>
    <row r="1557">
      <c r="A1557" t="n">
        <v>38</v>
      </c>
      <c r="B1557" t="inlineStr">
        <is>
          <t>K3-6C</t>
        </is>
      </c>
      <c r="D1557" t="n">
        <v>12.07</v>
      </c>
      <c r="E1557" t="n">
        <v>3666.082</v>
      </c>
      <c r="G1557" t="n">
        <v>236.31</v>
      </c>
      <c r="H1557" t="inlineStr">
        <is>
          <t>bb</t>
        </is>
      </c>
      <c r="I1557" t="n">
        <v>3666.082</v>
      </c>
      <c r="K1557" t="inlineStr">
        <is>
          <t>20250617-49</t>
        </is>
      </c>
    </row>
    <row r="1559">
      <c r="A1559" t="inlineStr">
        <is>
          <t>Compound 38:  6:8 PFPi 1</t>
        </is>
      </c>
    </row>
    <row r="1561">
      <c r="B1561" t="inlineStr">
        <is>
          <t>Sample Text</t>
        </is>
      </c>
      <c r="C1561" t="inlineStr">
        <is>
          <t>Std. Conc</t>
        </is>
      </c>
      <c r="D1561" t="inlineStr">
        <is>
          <t>RT</t>
        </is>
      </c>
      <c r="E1561" t="inlineStr">
        <is>
          <t>Area</t>
        </is>
      </c>
      <c r="F1561" t="inlineStr">
        <is>
          <t>IS Area</t>
        </is>
      </c>
      <c r="G1561" t="inlineStr">
        <is>
          <t>S/N</t>
        </is>
      </c>
      <c r="H1561" t="inlineStr">
        <is>
          <t>Primary Flags</t>
        </is>
      </c>
      <c r="I1561" t="inlineStr">
        <is>
          <t>Response</t>
        </is>
      </c>
      <c r="J1561" t="inlineStr">
        <is>
          <t>Conc.</t>
        </is>
      </c>
      <c r="K1561" t="inlineStr">
        <is>
          <t>Name</t>
        </is>
      </c>
    </row>
    <row r="1562">
      <c r="A1562" t="n">
        <v>1</v>
      </c>
      <c r="B1562" t="inlineStr">
        <is>
          <t>EPA1633 &amp; diPAPs Calibration 0 ppb</t>
        </is>
      </c>
      <c r="F1562" t="n">
        <v>19473.51</v>
      </c>
      <c r="K1562" t="inlineStr">
        <is>
          <t>20250617-12</t>
        </is>
      </c>
    </row>
    <row r="1563">
      <c r="A1563" t="n">
        <v>2</v>
      </c>
      <c r="B1563" t="inlineStr">
        <is>
          <t>EPA1633 &amp; diPAPs Calibration 0.02 ppb</t>
        </is>
      </c>
      <c r="F1563" t="n">
        <v>13285.255</v>
      </c>
      <c r="K1563" t="inlineStr">
        <is>
          <t>20250617-13</t>
        </is>
      </c>
    </row>
    <row r="1564">
      <c r="A1564" t="n">
        <v>3</v>
      </c>
      <c r="B1564" t="inlineStr">
        <is>
          <t>EPA1633 &amp; diPAPs Calibration 0.1 ppb</t>
        </is>
      </c>
      <c r="F1564" t="n">
        <v>16010.102</v>
      </c>
      <c r="K1564" t="inlineStr">
        <is>
          <t>20250617-14</t>
        </is>
      </c>
    </row>
    <row r="1565">
      <c r="A1565" t="n">
        <v>4</v>
      </c>
      <c r="B1565" t="inlineStr">
        <is>
          <t>EPA1633 &amp; diPAPs Calibration 0.4 ppb</t>
        </is>
      </c>
      <c r="F1565" t="n">
        <v>14214.025</v>
      </c>
      <c r="K1565" t="inlineStr">
        <is>
          <t>20250617-15</t>
        </is>
      </c>
    </row>
    <row r="1566">
      <c r="A1566" t="n">
        <v>5</v>
      </c>
      <c r="B1566" t="inlineStr">
        <is>
          <t>EPA1633 &amp; diPAPs Calibration 1 ppb</t>
        </is>
      </c>
      <c r="F1566" t="n">
        <v>21931.449</v>
      </c>
      <c r="K1566" t="inlineStr">
        <is>
          <t>20250617-16</t>
        </is>
      </c>
    </row>
    <row r="1567">
      <c r="A1567" t="n">
        <v>6</v>
      </c>
      <c r="B1567" t="inlineStr">
        <is>
          <t>EPA1633 &amp; diPAPs Calibration 5 ppb</t>
        </is>
      </c>
      <c r="F1567" t="n">
        <v>17537.508</v>
      </c>
      <c r="K1567" t="inlineStr">
        <is>
          <t>20250617-17</t>
        </is>
      </c>
    </row>
    <row r="1568">
      <c r="A1568" t="n">
        <v>7</v>
      </c>
      <c r="B1568" t="inlineStr">
        <is>
          <t>EPA1633 &amp; diPAPs Calibration 10 ppb</t>
        </is>
      </c>
      <c r="F1568" t="n">
        <v>29293.133</v>
      </c>
      <c r="K1568" t="inlineStr">
        <is>
          <t>20250617-18</t>
        </is>
      </c>
    </row>
    <row r="1569">
      <c r="A1569" t="n">
        <v>8</v>
      </c>
      <c r="B1569" t="inlineStr">
        <is>
          <t>EPA1633 &amp; diPAPs Calibration 20 ppb</t>
        </is>
      </c>
      <c r="F1569" t="n">
        <v>13919.142</v>
      </c>
      <c r="K1569" t="inlineStr">
        <is>
          <t>20250617-19</t>
        </is>
      </c>
    </row>
    <row r="1570">
      <c r="A1570" t="n">
        <v>9</v>
      </c>
      <c r="B1570" t="inlineStr">
        <is>
          <t>MeOH</t>
        </is>
      </c>
      <c r="K1570" t="inlineStr">
        <is>
          <t>20250617-20</t>
        </is>
      </c>
    </row>
    <row r="1571">
      <c r="A1571" t="n">
        <v>10</v>
      </c>
      <c r="B1571" t="inlineStr">
        <is>
          <t>MeOH</t>
        </is>
      </c>
      <c r="K1571" t="inlineStr">
        <is>
          <t>20250617-21</t>
        </is>
      </c>
    </row>
    <row r="1572">
      <c r="A1572" t="n">
        <v>11</v>
      </c>
      <c r="B1572" t="inlineStr">
        <is>
          <t>SB1</t>
        </is>
      </c>
      <c r="F1572" t="n">
        <v>5289.194</v>
      </c>
      <c r="K1572" t="inlineStr">
        <is>
          <t>20250617-22</t>
        </is>
      </c>
    </row>
    <row r="1573">
      <c r="A1573" t="n">
        <v>12</v>
      </c>
      <c r="B1573" t="inlineStr">
        <is>
          <t>SB2</t>
        </is>
      </c>
      <c r="F1573" t="n">
        <v>6667.125</v>
      </c>
      <c r="K1573" t="inlineStr">
        <is>
          <t>20250617-23</t>
        </is>
      </c>
    </row>
    <row r="1574">
      <c r="A1574" t="n">
        <v>13</v>
      </c>
      <c r="B1574" t="inlineStr">
        <is>
          <t>SB3</t>
        </is>
      </c>
      <c r="F1574" t="n">
        <v>5460.875</v>
      </c>
      <c r="K1574" t="inlineStr">
        <is>
          <t>20250617-24</t>
        </is>
      </c>
    </row>
    <row r="1575">
      <c r="A1575" t="n">
        <v>14</v>
      </c>
      <c r="B1575" t="inlineStr">
        <is>
          <t>SS1</t>
        </is>
      </c>
      <c r="F1575" t="n">
        <v>6517.947</v>
      </c>
      <c r="K1575" t="inlineStr">
        <is>
          <t>20250617-25</t>
        </is>
      </c>
    </row>
    <row r="1576">
      <c r="A1576" t="n">
        <v>15</v>
      </c>
      <c r="B1576" t="inlineStr">
        <is>
          <t>SS2</t>
        </is>
      </c>
      <c r="F1576" t="n">
        <v>6712.642</v>
      </c>
      <c r="K1576" t="inlineStr">
        <is>
          <t>20250617-26</t>
        </is>
      </c>
    </row>
    <row r="1577">
      <c r="A1577" t="n">
        <v>16</v>
      </c>
      <c r="B1577" t="inlineStr">
        <is>
          <t>SS3</t>
        </is>
      </c>
      <c r="F1577" t="n">
        <v>6363.637</v>
      </c>
      <c r="K1577" t="inlineStr">
        <is>
          <t>20250617-27</t>
        </is>
      </c>
    </row>
    <row r="1578">
      <c r="A1578" t="n">
        <v>17</v>
      </c>
      <c r="B1578" t="inlineStr">
        <is>
          <t>MeOH</t>
        </is>
      </c>
      <c r="K1578" t="inlineStr">
        <is>
          <t>20250617-28</t>
        </is>
      </c>
    </row>
    <row r="1579">
      <c r="A1579" t="n">
        <v>18</v>
      </c>
      <c r="B1579" t="inlineStr">
        <is>
          <t>K4-5A</t>
        </is>
      </c>
      <c r="F1579" t="n">
        <v>3930.075</v>
      </c>
      <c r="K1579" t="inlineStr">
        <is>
          <t>20250617-29</t>
        </is>
      </c>
    </row>
    <row r="1580">
      <c r="A1580" t="n">
        <v>19</v>
      </c>
      <c r="B1580" t="inlineStr">
        <is>
          <t>K4-5B</t>
        </is>
      </c>
      <c r="F1580" t="n">
        <v>6277.964</v>
      </c>
      <c r="K1580" t="inlineStr">
        <is>
          <t>20250617-30</t>
        </is>
      </c>
    </row>
    <row r="1581">
      <c r="A1581" t="n">
        <v>20</v>
      </c>
      <c r="B1581" t="inlineStr">
        <is>
          <t>K4-5C</t>
        </is>
      </c>
      <c r="F1581" t="n">
        <v>2207.119</v>
      </c>
      <c r="K1581" t="inlineStr">
        <is>
          <t>20250617-31</t>
        </is>
      </c>
    </row>
    <row r="1582">
      <c r="A1582" t="n">
        <v>21</v>
      </c>
      <c r="B1582" t="inlineStr">
        <is>
          <t>MeOH</t>
        </is>
      </c>
      <c r="K1582" t="inlineStr">
        <is>
          <t>20250617-32</t>
        </is>
      </c>
    </row>
    <row r="1583">
      <c r="A1583" t="n">
        <v>22</v>
      </c>
      <c r="B1583" t="inlineStr">
        <is>
          <t>K3-1A</t>
        </is>
      </c>
      <c r="F1583" t="n">
        <v>4603.346</v>
      </c>
      <c r="K1583" t="inlineStr">
        <is>
          <t>20250617-33</t>
        </is>
      </c>
    </row>
    <row r="1584">
      <c r="A1584" t="n">
        <v>23</v>
      </c>
      <c r="B1584" t="inlineStr">
        <is>
          <t>K3-1B</t>
        </is>
      </c>
      <c r="F1584" t="n">
        <v>4832.73</v>
      </c>
      <c r="K1584" t="inlineStr">
        <is>
          <t>20250617-34</t>
        </is>
      </c>
    </row>
    <row r="1585">
      <c r="A1585" t="n">
        <v>24</v>
      </c>
      <c r="B1585" t="inlineStr">
        <is>
          <t>K3-1C</t>
        </is>
      </c>
      <c r="F1585" t="n">
        <v>5250.105</v>
      </c>
      <c r="K1585" t="inlineStr">
        <is>
          <t>20250617-35</t>
        </is>
      </c>
    </row>
    <row r="1586">
      <c r="A1586" t="n">
        <v>25</v>
      </c>
      <c r="B1586" t="inlineStr">
        <is>
          <t>K3-2A</t>
        </is>
      </c>
      <c r="F1586" t="n">
        <v>4574.33</v>
      </c>
      <c r="K1586" t="inlineStr">
        <is>
          <t>20250617-36</t>
        </is>
      </c>
    </row>
    <row r="1587">
      <c r="A1587" t="n">
        <v>26</v>
      </c>
      <c r="B1587" t="inlineStr">
        <is>
          <t>K3-2B</t>
        </is>
      </c>
      <c r="F1587" t="n">
        <v>5271.769</v>
      </c>
      <c r="K1587" t="inlineStr">
        <is>
          <t>20250617-37</t>
        </is>
      </c>
    </row>
    <row r="1588">
      <c r="A1588" t="n">
        <v>27</v>
      </c>
      <c r="B1588" t="inlineStr">
        <is>
          <t>K3-2C</t>
        </is>
      </c>
      <c r="F1588" t="n">
        <v>4675.447</v>
      </c>
      <c r="K1588" t="inlineStr">
        <is>
          <t>20250617-38</t>
        </is>
      </c>
    </row>
    <row r="1589">
      <c r="A1589" t="n">
        <v>28</v>
      </c>
      <c r="B1589" t="inlineStr">
        <is>
          <t>MeOH</t>
        </is>
      </c>
      <c r="K1589" t="inlineStr">
        <is>
          <t>20250617-39</t>
        </is>
      </c>
    </row>
    <row r="1590">
      <c r="A1590" t="n">
        <v>29</v>
      </c>
      <c r="B1590" t="inlineStr">
        <is>
          <t>K3-3A</t>
        </is>
      </c>
      <c r="F1590" t="n">
        <v>3868.886</v>
      </c>
      <c r="K1590" t="inlineStr">
        <is>
          <t>20250617-40</t>
        </is>
      </c>
    </row>
    <row r="1591">
      <c r="A1591" t="n">
        <v>30</v>
      </c>
      <c r="B1591" t="inlineStr">
        <is>
          <t>K3-3B</t>
        </is>
      </c>
      <c r="F1591" t="n">
        <v>5558.256</v>
      </c>
      <c r="K1591" t="inlineStr">
        <is>
          <t>20250617-41</t>
        </is>
      </c>
    </row>
    <row r="1592">
      <c r="A1592" t="n">
        <v>31</v>
      </c>
      <c r="B1592" t="inlineStr">
        <is>
          <t>K3-3C</t>
        </is>
      </c>
      <c r="F1592" t="n">
        <v>5019.609</v>
      </c>
      <c r="K1592" t="inlineStr">
        <is>
          <t>20250617-42</t>
        </is>
      </c>
    </row>
    <row r="1593">
      <c r="A1593" t="n">
        <v>32</v>
      </c>
      <c r="B1593" t="inlineStr">
        <is>
          <t>K3-4A</t>
        </is>
      </c>
      <c r="F1593" t="n">
        <v>4571.521</v>
      </c>
      <c r="K1593" t="inlineStr">
        <is>
          <t>20250617-43</t>
        </is>
      </c>
    </row>
    <row r="1594">
      <c r="A1594" t="n">
        <v>33</v>
      </c>
      <c r="B1594" t="inlineStr">
        <is>
          <t>K3-4B</t>
        </is>
      </c>
      <c r="F1594" t="n">
        <v>5043.437</v>
      </c>
      <c r="K1594" t="inlineStr">
        <is>
          <t>20250617-44</t>
        </is>
      </c>
    </row>
    <row r="1595">
      <c r="A1595" t="n">
        <v>34</v>
      </c>
      <c r="B1595" t="inlineStr">
        <is>
          <t>K3-4C</t>
        </is>
      </c>
      <c r="F1595" t="n">
        <v>5033.665</v>
      </c>
      <c r="K1595" t="inlineStr">
        <is>
          <t>20250617-45</t>
        </is>
      </c>
    </row>
    <row r="1596">
      <c r="A1596" t="n">
        <v>35</v>
      </c>
      <c r="B1596" t="inlineStr">
        <is>
          <t>MeOH</t>
        </is>
      </c>
      <c r="K1596" t="inlineStr">
        <is>
          <t>20250617-46</t>
        </is>
      </c>
    </row>
    <row r="1597">
      <c r="A1597" t="n">
        <v>36</v>
      </c>
      <c r="B1597" t="inlineStr">
        <is>
          <t>K3-6A</t>
        </is>
      </c>
      <c r="F1597" t="n">
        <v>3966.205</v>
      </c>
      <c r="K1597" t="inlineStr">
        <is>
          <t>20250617-47</t>
        </is>
      </c>
    </row>
    <row r="1598">
      <c r="A1598" t="n">
        <v>37</v>
      </c>
      <c r="B1598" t="inlineStr">
        <is>
          <t>K3-6B</t>
        </is>
      </c>
      <c r="F1598" t="n">
        <v>3977.533</v>
      </c>
      <c r="K1598" t="inlineStr">
        <is>
          <t>20250617-48</t>
        </is>
      </c>
    </row>
    <row r="1599">
      <c r="A1599" t="n">
        <v>38</v>
      </c>
      <c r="B1599" t="inlineStr">
        <is>
          <t>K3-6C</t>
        </is>
      </c>
      <c r="F1599" t="n">
        <v>3666.082</v>
      </c>
      <c r="K1599" t="inlineStr">
        <is>
          <t>20250617-49</t>
        </is>
      </c>
    </row>
    <row r="1601">
      <c r="A1601" t="inlineStr">
        <is>
          <t>Compound 39:  6:8 PFPi 2</t>
        </is>
      </c>
    </row>
    <row r="1603">
      <c r="B1603" t="inlineStr">
        <is>
          <t>Sample Text</t>
        </is>
      </c>
      <c r="C1603" t="inlineStr">
        <is>
          <t>Std. Conc</t>
        </is>
      </c>
      <c r="D1603" t="inlineStr">
        <is>
          <t>RT</t>
        </is>
      </c>
      <c r="E1603" t="inlineStr">
        <is>
          <t>Area</t>
        </is>
      </c>
      <c r="F1603" t="inlineStr">
        <is>
          <t>IS Area</t>
        </is>
      </c>
      <c r="G1603" t="inlineStr">
        <is>
          <t>S/N</t>
        </is>
      </c>
      <c r="H1603" t="inlineStr">
        <is>
          <t>Primary Flags</t>
        </is>
      </c>
      <c r="I1603" t="inlineStr">
        <is>
          <t>Response</t>
        </is>
      </c>
      <c r="J1603" t="inlineStr">
        <is>
          <t>Conc.</t>
        </is>
      </c>
      <c r="K1603" t="inlineStr">
        <is>
          <t>Name</t>
        </is>
      </c>
    </row>
    <row r="1604">
      <c r="A1604" t="n">
        <v>1</v>
      </c>
      <c r="B1604" t="inlineStr">
        <is>
          <t>EPA1633 &amp; diPAPs Calibration 0 ppb</t>
        </is>
      </c>
      <c r="F1604" t="n">
        <v>19473.51</v>
      </c>
      <c r="K1604" t="inlineStr">
        <is>
          <t>20250617-12</t>
        </is>
      </c>
    </row>
    <row r="1605">
      <c r="A1605" t="n">
        <v>2</v>
      </c>
      <c r="B1605" t="inlineStr">
        <is>
          <t>EPA1633 &amp; diPAPs Calibration 0.02 ppb</t>
        </is>
      </c>
      <c r="F1605" t="n">
        <v>13285.255</v>
      </c>
      <c r="K1605" t="inlineStr">
        <is>
          <t>20250617-13</t>
        </is>
      </c>
    </row>
    <row r="1606">
      <c r="A1606" t="n">
        <v>3</v>
      </c>
      <c r="B1606" t="inlineStr">
        <is>
          <t>EPA1633 &amp; diPAPs Calibration 0.1 ppb</t>
        </is>
      </c>
      <c r="F1606" t="n">
        <v>16010.102</v>
      </c>
      <c r="K1606" t="inlineStr">
        <is>
          <t>20250617-14</t>
        </is>
      </c>
    </row>
    <row r="1607">
      <c r="A1607" t="n">
        <v>4</v>
      </c>
      <c r="B1607" t="inlineStr">
        <is>
          <t>EPA1633 &amp; diPAPs Calibration 0.4 ppb</t>
        </is>
      </c>
      <c r="F1607" t="n">
        <v>14214.025</v>
      </c>
      <c r="K1607" t="inlineStr">
        <is>
          <t>20250617-15</t>
        </is>
      </c>
    </row>
    <row r="1608">
      <c r="A1608" t="n">
        <v>5</v>
      </c>
      <c r="B1608" t="inlineStr">
        <is>
          <t>EPA1633 &amp; diPAPs Calibration 1 ppb</t>
        </is>
      </c>
      <c r="F1608" t="n">
        <v>21931.449</v>
      </c>
      <c r="K1608" t="inlineStr">
        <is>
          <t>20250617-16</t>
        </is>
      </c>
    </row>
    <row r="1609">
      <c r="A1609" t="n">
        <v>6</v>
      </c>
      <c r="B1609" t="inlineStr">
        <is>
          <t>EPA1633 &amp; diPAPs Calibration 5 ppb</t>
        </is>
      </c>
      <c r="F1609" t="n">
        <v>17537.508</v>
      </c>
      <c r="K1609" t="inlineStr">
        <is>
          <t>20250617-17</t>
        </is>
      </c>
    </row>
    <row r="1610">
      <c r="A1610" t="n">
        <v>7</v>
      </c>
      <c r="B1610" t="inlineStr">
        <is>
          <t>EPA1633 &amp; diPAPs Calibration 10 ppb</t>
        </is>
      </c>
      <c r="F1610" t="n">
        <v>29293.133</v>
      </c>
      <c r="K1610" t="inlineStr">
        <is>
          <t>20250617-18</t>
        </is>
      </c>
    </row>
    <row r="1611">
      <c r="A1611" t="n">
        <v>8</v>
      </c>
      <c r="B1611" t="inlineStr">
        <is>
          <t>EPA1633 &amp; diPAPs Calibration 20 ppb</t>
        </is>
      </c>
      <c r="F1611" t="n">
        <v>13919.142</v>
      </c>
      <c r="K1611" t="inlineStr">
        <is>
          <t>20250617-19</t>
        </is>
      </c>
    </row>
    <row r="1612">
      <c r="A1612" t="n">
        <v>9</v>
      </c>
      <c r="B1612" t="inlineStr">
        <is>
          <t>MeOH</t>
        </is>
      </c>
      <c r="K1612" t="inlineStr">
        <is>
          <t>20250617-20</t>
        </is>
      </c>
    </row>
    <row r="1613">
      <c r="A1613" t="n">
        <v>10</v>
      </c>
      <c r="B1613" t="inlineStr">
        <is>
          <t>MeOH</t>
        </is>
      </c>
      <c r="D1613" t="n">
        <v>13.39</v>
      </c>
      <c r="E1613" t="n">
        <v>0.142</v>
      </c>
      <c r="G1613" t="n">
        <v>1</v>
      </c>
      <c r="H1613" t="inlineStr">
        <is>
          <t>bb</t>
        </is>
      </c>
      <c r="K1613" t="inlineStr">
        <is>
          <t>20250617-21</t>
        </is>
      </c>
    </row>
    <row r="1614">
      <c r="A1614" t="n">
        <v>11</v>
      </c>
      <c r="B1614" t="inlineStr">
        <is>
          <t>SB1</t>
        </is>
      </c>
      <c r="F1614" t="n">
        <v>5289.194</v>
      </c>
      <c r="K1614" t="inlineStr">
        <is>
          <t>20250617-22</t>
        </is>
      </c>
    </row>
    <row r="1615">
      <c r="A1615" t="n">
        <v>12</v>
      </c>
      <c r="B1615" t="inlineStr">
        <is>
          <t>SB2</t>
        </is>
      </c>
      <c r="F1615" t="n">
        <v>6667.125</v>
      </c>
      <c r="K1615" t="inlineStr">
        <is>
          <t>20250617-23</t>
        </is>
      </c>
    </row>
    <row r="1616">
      <c r="A1616" t="n">
        <v>13</v>
      </c>
      <c r="B1616" t="inlineStr">
        <is>
          <t>SB3</t>
        </is>
      </c>
      <c r="F1616" t="n">
        <v>5460.875</v>
      </c>
      <c r="K1616" t="inlineStr">
        <is>
          <t>20250617-24</t>
        </is>
      </c>
    </row>
    <row r="1617">
      <c r="A1617" t="n">
        <v>14</v>
      </c>
      <c r="B1617" t="inlineStr">
        <is>
          <t>SS1</t>
        </is>
      </c>
      <c r="F1617" t="n">
        <v>6517.947</v>
      </c>
      <c r="K1617" t="inlineStr">
        <is>
          <t>20250617-25</t>
        </is>
      </c>
    </row>
    <row r="1618">
      <c r="A1618" t="n">
        <v>15</v>
      </c>
      <c r="B1618" t="inlineStr">
        <is>
          <t>SS2</t>
        </is>
      </c>
      <c r="F1618" t="n">
        <v>6712.642</v>
      </c>
      <c r="K1618" t="inlineStr">
        <is>
          <t>20250617-26</t>
        </is>
      </c>
    </row>
    <row r="1619">
      <c r="A1619" t="n">
        <v>16</v>
      </c>
      <c r="B1619" t="inlineStr">
        <is>
          <t>SS3</t>
        </is>
      </c>
      <c r="F1619" t="n">
        <v>6363.637</v>
      </c>
      <c r="K1619" t="inlineStr">
        <is>
          <t>20250617-27</t>
        </is>
      </c>
    </row>
    <row r="1620">
      <c r="A1620" t="n">
        <v>17</v>
      </c>
      <c r="B1620" t="inlineStr">
        <is>
          <t>MeOH</t>
        </is>
      </c>
      <c r="K1620" t="inlineStr">
        <is>
          <t>20250617-28</t>
        </is>
      </c>
    </row>
    <row r="1621">
      <c r="A1621" t="n">
        <v>18</v>
      </c>
      <c r="B1621" t="inlineStr">
        <is>
          <t>K4-5A</t>
        </is>
      </c>
      <c r="F1621" t="n">
        <v>3930.075</v>
      </c>
      <c r="K1621" t="inlineStr">
        <is>
          <t>20250617-29</t>
        </is>
      </c>
    </row>
    <row r="1622">
      <c r="A1622" t="n">
        <v>19</v>
      </c>
      <c r="B1622" t="inlineStr">
        <is>
          <t>K4-5B</t>
        </is>
      </c>
      <c r="F1622" t="n">
        <v>6277.964</v>
      </c>
      <c r="K1622" t="inlineStr">
        <is>
          <t>20250617-30</t>
        </is>
      </c>
    </row>
    <row r="1623">
      <c r="A1623" t="n">
        <v>20</v>
      </c>
      <c r="B1623" t="inlineStr">
        <is>
          <t>K4-5C</t>
        </is>
      </c>
      <c r="F1623" t="n">
        <v>2207.119</v>
      </c>
      <c r="K1623" t="inlineStr">
        <is>
          <t>20250617-31</t>
        </is>
      </c>
    </row>
    <row r="1624">
      <c r="A1624" t="n">
        <v>21</v>
      </c>
      <c r="B1624" t="inlineStr">
        <is>
          <t>MeOH</t>
        </is>
      </c>
      <c r="K1624" t="inlineStr">
        <is>
          <t>20250617-32</t>
        </is>
      </c>
    </row>
    <row r="1625">
      <c r="A1625" t="n">
        <v>22</v>
      </c>
      <c r="B1625" t="inlineStr">
        <is>
          <t>K3-1A</t>
        </is>
      </c>
      <c r="F1625" t="n">
        <v>4603.346</v>
      </c>
      <c r="K1625" t="inlineStr">
        <is>
          <t>20250617-33</t>
        </is>
      </c>
    </row>
    <row r="1626">
      <c r="A1626" t="n">
        <v>23</v>
      </c>
      <c r="B1626" t="inlineStr">
        <is>
          <t>K3-1B</t>
        </is>
      </c>
      <c r="F1626" t="n">
        <v>4832.73</v>
      </c>
      <c r="K1626" t="inlineStr">
        <is>
          <t>20250617-34</t>
        </is>
      </c>
    </row>
    <row r="1627">
      <c r="A1627" t="n">
        <v>24</v>
      </c>
      <c r="B1627" t="inlineStr">
        <is>
          <t>K3-1C</t>
        </is>
      </c>
      <c r="F1627" t="n">
        <v>5250.105</v>
      </c>
      <c r="K1627" t="inlineStr">
        <is>
          <t>20250617-35</t>
        </is>
      </c>
    </row>
    <row r="1628">
      <c r="A1628" t="n">
        <v>25</v>
      </c>
      <c r="B1628" t="inlineStr">
        <is>
          <t>K3-2A</t>
        </is>
      </c>
      <c r="F1628" t="n">
        <v>4574.33</v>
      </c>
      <c r="K1628" t="inlineStr">
        <is>
          <t>20250617-36</t>
        </is>
      </c>
    </row>
    <row r="1629">
      <c r="A1629" t="n">
        <v>26</v>
      </c>
      <c r="B1629" t="inlineStr">
        <is>
          <t>K3-2B</t>
        </is>
      </c>
      <c r="F1629" t="n">
        <v>5271.769</v>
      </c>
      <c r="K1629" t="inlineStr">
        <is>
          <t>20250617-37</t>
        </is>
      </c>
    </row>
    <row r="1630">
      <c r="A1630" t="n">
        <v>27</v>
      </c>
      <c r="B1630" t="inlineStr">
        <is>
          <t>K3-2C</t>
        </is>
      </c>
      <c r="F1630" t="n">
        <v>4675.447</v>
      </c>
      <c r="K1630" t="inlineStr">
        <is>
          <t>20250617-38</t>
        </is>
      </c>
    </row>
    <row r="1631">
      <c r="A1631" t="n">
        <v>28</v>
      </c>
      <c r="B1631" t="inlineStr">
        <is>
          <t>MeOH</t>
        </is>
      </c>
      <c r="K1631" t="inlineStr">
        <is>
          <t>20250617-39</t>
        </is>
      </c>
    </row>
    <row r="1632">
      <c r="A1632" t="n">
        <v>29</v>
      </c>
      <c r="B1632" t="inlineStr">
        <is>
          <t>K3-3A</t>
        </is>
      </c>
      <c r="F1632" t="n">
        <v>3868.886</v>
      </c>
      <c r="K1632" t="inlineStr">
        <is>
          <t>20250617-40</t>
        </is>
      </c>
    </row>
    <row r="1633">
      <c r="A1633" t="n">
        <v>30</v>
      </c>
      <c r="B1633" t="inlineStr">
        <is>
          <t>K3-3B</t>
        </is>
      </c>
      <c r="F1633" t="n">
        <v>5558.256</v>
      </c>
      <c r="K1633" t="inlineStr">
        <is>
          <t>20250617-41</t>
        </is>
      </c>
    </row>
    <row r="1634">
      <c r="A1634" t="n">
        <v>31</v>
      </c>
      <c r="B1634" t="inlineStr">
        <is>
          <t>K3-3C</t>
        </is>
      </c>
      <c r="F1634" t="n">
        <v>5019.609</v>
      </c>
      <c r="K1634" t="inlineStr">
        <is>
          <t>20250617-42</t>
        </is>
      </c>
    </row>
    <row r="1635">
      <c r="A1635" t="n">
        <v>32</v>
      </c>
      <c r="B1635" t="inlineStr">
        <is>
          <t>K3-4A</t>
        </is>
      </c>
      <c r="F1635" t="n">
        <v>4571.521</v>
      </c>
      <c r="K1635" t="inlineStr">
        <is>
          <t>20250617-43</t>
        </is>
      </c>
    </row>
    <row r="1636">
      <c r="A1636" t="n">
        <v>33</v>
      </c>
      <c r="B1636" t="inlineStr">
        <is>
          <t>K3-4B</t>
        </is>
      </c>
      <c r="F1636" t="n">
        <v>5043.437</v>
      </c>
      <c r="K1636" t="inlineStr">
        <is>
          <t>20250617-44</t>
        </is>
      </c>
    </row>
    <row r="1637">
      <c r="A1637" t="n">
        <v>34</v>
      </c>
      <c r="B1637" t="inlineStr">
        <is>
          <t>K3-4C</t>
        </is>
      </c>
      <c r="F1637" t="n">
        <v>5033.665</v>
      </c>
      <c r="K1637" t="inlineStr">
        <is>
          <t>20250617-45</t>
        </is>
      </c>
    </row>
    <row r="1638">
      <c r="A1638" t="n">
        <v>35</v>
      </c>
      <c r="B1638" t="inlineStr">
        <is>
          <t>MeOH</t>
        </is>
      </c>
      <c r="K1638" t="inlineStr">
        <is>
          <t>20250617-46</t>
        </is>
      </c>
    </row>
    <row r="1639">
      <c r="A1639" t="n">
        <v>36</v>
      </c>
      <c r="B1639" t="inlineStr">
        <is>
          <t>K3-6A</t>
        </is>
      </c>
      <c r="F1639" t="n">
        <v>3966.205</v>
      </c>
      <c r="K1639" t="inlineStr">
        <is>
          <t>20250617-47</t>
        </is>
      </c>
    </row>
    <row r="1640">
      <c r="A1640" t="n">
        <v>37</v>
      </c>
      <c r="B1640" t="inlineStr">
        <is>
          <t>K3-6B</t>
        </is>
      </c>
      <c r="F1640" t="n">
        <v>3977.533</v>
      </c>
      <c r="K1640" t="inlineStr">
        <is>
          <t>20250617-48</t>
        </is>
      </c>
    </row>
    <row r="1641">
      <c r="A1641" t="n">
        <v>38</v>
      </c>
      <c r="B1641" t="inlineStr">
        <is>
          <t>K3-6C</t>
        </is>
      </c>
      <c r="F1641" t="n">
        <v>3666.082</v>
      </c>
      <c r="K1641" t="inlineStr">
        <is>
          <t>20250617-49</t>
        </is>
      </c>
    </row>
    <row r="1643">
      <c r="A1643" t="inlineStr">
        <is>
          <t>Compound 40:  6-8 diPAP 1</t>
        </is>
      </c>
    </row>
    <row r="1644">
      <c r="I1644" t="inlineStr">
        <is>
          <t>LINEST</t>
        </is>
      </c>
      <c r="Q1644" t="inlineStr">
        <is>
          <t>Biosolids Masses</t>
        </is>
      </c>
      <c r="R1644" t="inlineStr">
        <is>
          <t>(g)</t>
        </is>
      </c>
    </row>
    <row r="1645">
      <c r="B1645" t="inlineStr">
        <is>
          <t>Sample Text</t>
        </is>
      </c>
      <c r="C1645" t="inlineStr">
        <is>
          <t>Std. Conc</t>
        </is>
      </c>
      <c r="D1645" t="inlineStr">
        <is>
          <t>RT</t>
        </is>
      </c>
      <c r="E1645" t="inlineStr">
        <is>
          <t>Area</t>
        </is>
      </c>
      <c r="F1645" t="inlineStr">
        <is>
          <t>IS Area</t>
        </is>
      </c>
      <c r="G1645" t="inlineStr">
        <is>
          <t>S/N</t>
        </is>
      </c>
      <c r="H1645" t="inlineStr">
        <is>
          <t>ratio</t>
        </is>
      </c>
      <c r="I1645">
        <f t="array" ref="I1645:J1649">LINEST(H1647:H1651,C1647:C1651,1,1)</f>
        <v/>
      </c>
      <c r="J1645" t="n">
        <v>-0.4049281673174443</v>
      </c>
      <c r="L1645" s="20" t="inlineStr">
        <is>
          <t>By S/N Ratio</t>
        </is>
      </c>
      <c r="Q1645" t="inlineStr">
        <is>
          <t>SS1</t>
        </is>
      </c>
      <c r="R1645" t="n">
        <v>1.0846</v>
      </c>
    </row>
    <row r="1646">
      <c r="A1646" t="n">
        <v>1</v>
      </c>
      <c r="B1646" t="inlineStr">
        <is>
          <t>EPA1633 &amp; diPAPs Calibration 0 ppb</t>
        </is>
      </c>
      <c r="C1646" s="44" t="n">
        <v>0</v>
      </c>
      <c r="D1646" t="n">
        <v>12.57</v>
      </c>
      <c r="E1646" t="n">
        <v>4578.807</v>
      </c>
      <c r="F1646" t="n">
        <v>19473.51</v>
      </c>
      <c r="G1646" t="n">
        <v>132.089</v>
      </c>
      <c r="H1646">
        <f>E1646/F1646</f>
        <v/>
      </c>
      <c r="I1646" t="n">
        <v>0.003496873742632209</v>
      </c>
      <c r="J1646" t="n">
        <v>0.3227072589305326</v>
      </c>
      <c r="K1646" t="inlineStr">
        <is>
          <t>LOD</t>
        </is>
      </c>
      <c r="L1646" s="21">
        <f>IF(G1649&gt;3,C1649,IF(G1650&gt;3,#REF!,IF(G1651&gt;3,C1651,IF(G1652&gt;3,#REF!,C1652))))</f>
        <v/>
      </c>
      <c r="Q1646" t="inlineStr">
        <is>
          <t>SS2</t>
        </is>
      </c>
      <c r="R1646" t="n">
        <v>1.0726</v>
      </c>
    </row>
    <row r="1647">
      <c r="A1647" t="n">
        <v>2</v>
      </c>
      <c r="B1647" t="inlineStr">
        <is>
          <t>EPA1633 &amp; diPAPs Calibration 0.02 ppb</t>
        </is>
      </c>
      <c r="C1647" s="44" t="n">
        <v>13.63628418240784</v>
      </c>
      <c r="D1647" t="n">
        <v>12.57</v>
      </c>
      <c r="E1647" t="n">
        <v>14755.083</v>
      </c>
      <c r="F1647" t="n">
        <v>13285.255</v>
      </c>
      <c r="G1647" t="n">
        <v>330.287</v>
      </c>
      <c r="H1647">
        <f>E1647/F1647</f>
        <v/>
      </c>
      <c r="I1647" t="n">
        <v>0.9943453585997846</v>
      </c>
      <c r="J1647" t="n">
        <v>0.4349483209077429</v>
      </c>
      <c r="K1647" t="inlineStr">
        <is>
          <t>LOQ</t>
        </is>
      </c>
      <c r="L1647" s="22">
        <f>IF(G1649&gt;10,C1649,IF(G1650&gt;10,#REF!,IF(G1651&gt;10,C1651,IF(G1652&gt;10,#REF!,C1652))))</f>
        <v/>
      </c>
      <c r="Q1647" t="inlineStr">
        <is>
          <t>SS3</t>
        </is>
      </c>
      <c r="R1647" t="n">
        <v>1.1534</v>
      </c>
    </row>
    <row r="1648">
      <c r="A1648" t="n">
        <v>3</v>
      </c>
      <c r="B1648" t="inlineStr">
        <is>
          <t>EPA1633 &amp; diPAPs Calibration 0.1 ppb</t>
        </is>
      </c>
      <c r="C1648" s="44" t="n">
        <v>27.27256836481568</v>
      </c>
      <c r="D1648" t="n">
        <v>12.58</v>
      </c>
      <c r="E1648" t="n">
        <v>29164.461</v>
      </c>
      <c r="F1648" t="n">
        <v>16010.102</v>
      </c>
      <c r="G1648" t="n">
        <v>2092.279</v>
      </c>
      <c r="H1648">
        <f>E1648/F1648</f>
        <v/>
      </c>
      <c r="I1648" t="n">
        <v>527.5376216935101</v>
      </c>
      <c r="J1648" t="n">
        <v>3</v>
      </c>
      <c r="Q1648" t="inlineStr">
        <is>
          <t>K4-5A</t>
        </is>
      </c>
      <c r="R1648" t="n">
        <v>1.1054</v>
      </c>
    </row>
    <row r="1649">
      <c r="A1649" t="n">
        <v>4</v>
      </c>
      <c r="B1649" t="inlineStr">
        <is>
          <t>EPA1633 &amp; diPAPs Calibration 0.4 ppb</t>
        </is>
      </c>
      <c r="C1649" s="44" t="n">
        <v>54.54513672963137</v>
      </c>
      <c r="D1649" t="n">
        <v>12.58</v>
      </c>
      <c r="E1649" t="n">
        <v>49265.68</v>
      </c>
      <c r="F1649" t="n">
        <v>14214.025</v>
      </c>
      <c r="G1649" t="n">
        <v>1624.383</v>
      </c>
      <c r="H1649">
        <f>E1649/F1649</f>
        <v/>
      </c>
      <c r="I1649" t="n">
        <v>99.79958935494832</v>
      </c>
      <c r="J1649" t="n">
        <v>0.5675401255813947</v>
      </c>
      <c r="Q1649" t="inlineStr">
        <is>
          <t>K4-5B</t>
        </is>
      </c>
      <c r="R1649" s="10" t="n">
        <v>1.0463</v>
      </c>
    </row>
    <row r="1650">
      <c r="A1650" t="n">
        <v>5</v>
      </c>
      <c r="B1650" t="inlineStr">
        <is>
          <t>EPA1633 &amp; diPAPs Calibration 1 ppb</t>
        </is>
      </c>
      <c r="C1650" s="44" t="n">
        <v>109.0902734592627</v>
      </c>
      <c r="D1650" t="n">
        <v>12.6</v>
      </c>
      <c r="E1650" t="n">
        <v>178315.75</v>
      </c>
      <c r="F1650" t="n">
        <v>21931.449</v>
      </c>
      <c r="G1650" t="n">
        <v>13386.274</v>
      </c>
      <c r="H1650">
        <f>E1650/F1650</f>
        <v/>
      </c>
      <c r="Q1650" t="inlineStr">
        <is>
          <t>K4-5C</t>
        </is>
      </c>
      <c r="R1650" t="n">
        <v>1.1155</v>
      </c>
    </row>
    <row r="1651">
      <c r="A1651" t="n">
        <v>6</v>
      </c>
      <c r="B1651" t="inlineStr">
        <is>
          <t>EPA1633 &amp; diPAPs Calibration 5 ppb</t>
        </is>
      </c>
      <c r="C1651" s="44" t="n">
        <v>163.6354101888941</v>
      </c>
      <c r="D1651" t="n">
        <v>12.6</v>
      </c>
      <c r="E1651" t="n">
        <v>228295.203</v>
      </c>
      <c r="F1651" t="n">
        <v>17537.508</v>
      </c>
      <c r="G1651" t="n">
        <v>5624.601</v>
      </c>
      <c r="H1651">
        <f>E1651/F1651</f>
        <v/>
      </c>
      <c r="Q1651" t="inlineStr">
        <is>
          <t>K3-1A</t>
        </is>
      </c>
      <c r="R1651" t="n">
        <v>1.0874</v>
      </c>
    </row>
    <row r="1652">
      <c r="A1652" t="n">
        <v>7</v>
      </c>
      <c r="B1652" t="inlineStr">
        <is>
          <t>EPA1633 &amp; diPAPs Calibration 10 ppb</t>
        </is>
      </c>
      <c r="C1652" s="44" t="n">
        <v>218.1805469185255</v>
      </c>
      <c r="D1652" t="n">
        <v>12.61</v>
      </c>
      <c r="E1652" t="n">
        <v>566769.313</v>
      </c>
      <c r="F1652" t="n">
        <v>29293.133</v>
      </c>
      <c r="G1652" t="n">
        <v>15246.668</v>
      </c>
      <c r="H1652">
        <f>E1652/F1652</f>
        <v/>
      </c>
      <c r="I1652" s="23" t="inlineStr">
        <is>
          <t>Background</t>
        </is>
      </c>
      <c r="J1652" s="23" t="inlineStr">
        <is>
          <t>Spike</t>
        </is>
      </c>
      <c r="K1652" s="9" t="inlineStr">
        <is>
          <t>Old Spike</t>
        </is>
      </c>
      <c r="O1652" s="24" t="inlineStr">
        <is>
          <t>±</t>
        </is>
      </c>
      <c r="Q1652" t="inlineStr">
        <is>
          <t>K3-1B</t>
        </is>
      </c>
      <c r="R1652" t="n">
        <v>1.0898</v>
      </c>
    </row>
    <row r="1653">
      <c r="A1653" t="n">
        <v>8</v>
      </c>
      <c r="B1653" t="inlineStr">
        <is>
          <t>EPA1633 &amp; diPAPs Calibration 20 ppb</t>
        </is>
      </c>
      <c r="C1653" s="44" t="n">
        <v>272.7256836481568</v>
      </c>
      <c r="D1653" t="n">
        <v>12.61</v>
      </c>
      <c r="E1653" t="n">
        <v>272502.031</v>
      </c>
      <c r="F1653" t="n">
        <v>13919.142</v>
      </c>
      <c r="G1653" t="n">
        <v>4724.025</v>
      </c>
      <c r="H1653">
        <f>E1653/F1653</f>
        <v/>
      </c>
      <c r="I1653">
        <f>AVERAGE(I1656:I1658)</f>
        <v/>
      </c>
      <c r="J1653" t="n">
        <v>240</v>
      </c>
      <c r="Q1653" t="inlineStr">
        <is>
          <t>K3-1C</t>
        </is>
      </c>
      <c r="R1653" t="n">
        <v>1.0536</v>
      </c>
    </row>
    <row r="1654">
      <c r="A1654" t="n">
        <v>9</v>
      </c>
      <c r="B1654" t="inlineStr">
        <is>
          <t>MeOH</t>
        </is>
      </c>
      <c r="I1654" s="23" t="inlineStr">
        <is>
          <t>Conc.In Vial (ppb)</t>
        </is>
      </c>
      <c r="J1654" s="9" t="inlineStr">
        <is>
          <t>Corr. Conc.(ppb)</t>
        </is>
      </c>
      <c r="K1654" s="9" t="inlineStr">
        <is>
          <t>Conc. In soil (ng/g)</t>
        </is>
      </c>
      <c r="Q1654" t="inlineStr">
        <is>
          <t>K3-2A</t>
        </is>
      </c>
      <c r="R1654" s="10" t="n">
        <v>1.1218</v>
      </c>
    </row>
    <row r="1655">
      <c r="A1655" t="n">
        <v>10</v>
      </c>
      <c r="B1655" t="inlineStr">
        <is>
          <t>MeOH</t>
        </is>
      </c>
      <c r="L1655" s="23" t="inlineStr">
        <is>
          <t>Average</t>
        </is>
      </c>
      <c r="M1655" s="23" t="inlineStr">
        <is>
          <t>Stdev</t>
        </is>
      </c>
      <c r="N1655" s="9" t="inlineStr">
        <is>
          <t>Combined</t>
        </is>
      </c>
      <c r="O1655" s="9" t="n"/>
      <c r="P1655" s="9" t="n"/>
      <c r="Q1655" t="inlineStr">
        <is>
          <t>K3-2B</t>
        </is>
      </c>
      <c r="R1655" t="n">
        <v>1.198</v>
      </c>
    </row>
    <row r="1656">
      <c r="A1656" t="n">
        <v>11</v>
      </c>
      <c r="B1656" t="inlineStr">
        <is>
          <t>SB1</t>
        </is>
      </c>
      <c r="D1656" t="n">
        <v>12.61</v>
      </c>
      <c r="E1656" t="n">
        <v>2646.177</v>
      </c>
      <c r="F1656" t="n">
        <v>5289.194</v>
      </c>
      <c r="G1656" t="n">
        <v>82.434</v>
      </c>
      <c r="H1656">
        <f>E1656/F1656</f>
        <v/>
      </c>
      <c r="I1656">
        <f>((H1656-$J$1645)/$I$1645)</f>
        <v/>
      </c>
      <c r="J1656">
        <f>(I1656-IF(I1653&gt;0,I1653,0))</f>
        <v/>
      </c>
      <c r="K1656">
        <f>J1656*1.1</f>
        <v/>
      </c>
      <c r="L1656">
        <f>AVERAGE(K1656:K1658)</f>
        <v/>
      </c>
      <c r="M1656">
        <f>STDEV(K1657:K1658)</f>
        <v/>
      </c>
      <c r="N1656">
        <f>_xlfn.CONCAT(ROUND(L1656,1)," ± ",ROUND(M1656,1))</f>
        <v/>
      </c>
      <c r="Q1656" t="inlineStr">
        <is>
          <t>K3-2C</t>
        </is>
      </c>
      <c r="R1656" t="n">
        <v>1.1538</v>
      </c>
    </row>
    <row r="1657">
      <c r="A1657" t="n">
        <v>12</v>
      </c>
      <c r="B1657" t="inlineStr">
        <is>
          <t>SB2</t>
        </is>
      </c>
      <c r="D1657" t="n">
        <v>12.61</v>
      </c>
      <c r="E1657" t="n">
        <v>1895.677</v>
      </c>
      <c r="F1657" t="n">
        <v>6667.125</v>
      </c>
      <c r="G1657" t="n">
        <v>90.191</v>
      </c>
      <c r="H1657">
        <f>E1657/F1657</f>
        <v/>
      </c>
      <c r="I1657">
        <f>((H1657-$J$1645)/$I$1645)</f>
        <v/>
      </c>
      <c r="J1657">
        <f>(I1657-IF(I1653&gt;0,I1653,0))</f>
        <v/>
      </c>
      <c r="K1657">
        <f>J1657*1.1</f>
        <v/>
      </c>
      <c r="Q1657" t="inlineStr">
        <is>
          <t>K3-3A</t>
        </is>
      </c>
      <c r="R1657" t="n">
        <v>1.1183</v>
      </c>
    </row>
    <row r="1658">
      <c r="A1658" t="n">
        <v>13</v>
      </c>
      <c r="B1658" t="inlineStr">
        <is>
          <t>SB3</t>
        </is>
      </c>
      <c r="D1658" t="n">
        <v>12.61</v>
      </c>
      <c r="E1658" t="n">
        <v>1199.192</v>
      </c>
      <c r="F1658" t="n">
        <v>5460.875</v>
      </c>
      <c r="G1658" t="n">
        <v>296.67</v>
      </c>
      <c r="H1658">
        <f>E1658/F1658</f>
        <v/>
      </c>
      <c r="I1658">
        <f>((H1658-$J$1645)/$I$1645)</f>
        <v/>
      </c>
      <c r="J1658">
        <f>(I1658-IF(I1653&gt;0,I1653,0))</f>
        <v/>
      </c>
      <c r="K1658" s="30">
        <f>J1658*1.1</f>
        <v/>
      </c>
      <c r="L1658" s="25" t="inlineStr">
        <is>
          <t>Average</t>
        </is>
      </c>
      <c r="M1658" s="25" t="inlineStr">
        <is>
          <t>Stdev</t>
        </is>
      </c>
      <c r="N1658" s="26" t="inlineStr">
        <is>
          <t>%Recovery</t>
        </is>
      </c>
      <c r="O1658" s="26" t="inlineStr">
        <is>
          <t>Uncertainty</t>
        </is>
      </c>
      <c r="P1658" s="26" t="inlineStr">
        <is>
          <t>Combined</t>
        </is>
      </c>
      <c r="Q1658" t="inlineStr">
        <is>
          <t>K3-3B</t>
        </is>
      </c>
      <c r="R1658" t="n">
        <v>1.1448</v>
      </c>
    </row>
    <row r="1659">
      <c r="A1659" t="n">
        <v>14</v>
      </c>
      <c r="B1659" t="inlineStr">
        <is>
          <t>SS1</t>
        </is>
      </c>
      <c r="D1659" t="n">
        <v>12.63</v>
      </c>
      <c r="E1659" t="n">
        <v>45221.563</v>
      </c>
      <c r="F1659" t="n">
        <v>6517.947</v>
      </c>
      <c r="G1659" t="n">
        <v>1734.169</v>
      </c>
      <c r="H1659">
        <f>E1659/F1659</f>
        <v/>
      </c>
      <c r="I1659">
        <f>((H1659-$J$1645)/$I$1645)</f>
        <v/>
      </c>
      <c r="J1659">
        <f>(I1659-IF($I$1653&gt;0,$I$1653))</f>
        <v/>
      </c>
      <c r="K1659">
        <f>J1659/R1645*1.1</f>
        <v/>
      </c>
      <c r="L1659" s="27">
        <f>AVERAGE(K1659:K1661)</f>
        <v/>
      </c>
      <c r="M1659" s="27">
        <f>STDEV(K1659:K1661)</f>
        <v/>
      </c>
      <c r="N1659" s="28">
        <f>L1659/J1653*100</f>
        <v/>
      </c>
      <c r="O1659" s="29">
        <f>M1659/J1653*100</f>
        <v/>
      </c>
      <c r="P1659" s="29">
        <f>_xlfn.CONCAT(ROUND(N1659,1)," ± ",ROUND(O1659,1))</f>
        <v/>
      </c>
      <c r="Q1659" t="inlineStr">
        <is>
          <t>K3-3C</t>
        </is>
      </c>
      <c r="R1659" t="n">
        <v>1.0493</v>
      </c>
    </row>
    <row r="1660">
      <c r="A1660" t="n">
        <v>15</v>
      </c>
      <c r="B1660" t="inlineStr">
        <is>
          <t>SS2</t>
        </is>
      </c>
      <c r="D1660" t="n">
        <v>12.63</v>
      </c>
      <c r="E1660" t="n">
        <v>49601.699</v>
      </c>
      <c r="F1660" t="n">
        <v>6712.642</v>
      </c>
      <c r="G1660" t="n">
        <v>3315.033</v>
      </c>
      <c r="H1660">
        <f>E1660/F1660</f>
        <v/>
      </c>
      <c r="I1660">
        <f>((H1660-$J$1645)/$I$1645)</f>
        <v/>
      </c>
      <c r="J1660">
        <f>(I1660-IF($I$1653&gt;0,$I$1653))</f>
        <v/>
      </c>
      <c r="K1660">
        <f>J1660/R1646*1.1</f>
        <v/>
      </c>
      <c r="Q1660" t="inlineStr">
        <is>
          <t>K3-4A</t>
        </is>
      </c>
      <c r="R1660" t="n">
        <v>1.0704</v>
      </c>
    </row>
    <row r="1661">
      <c r="A1661" t="n">
        <v>16</v>
      </c>
      <c r="B1661" t="inlineStr">
        <is>
          <t>SS3</t>
        </is>
      </c>
      <c r="D1661" t="n">
        <v>12.63</v>
      </c>
      <c r="E1661" t="n">
        <v>45334.371</v>
      </c>
      <c r="F1661" t="n">
        <v>6363.637</v>
      </c>
      <c r="G1661" t="n">
        <v>940.254</v>
      </c>
      <c r="H1661">
        <f>E1661/F1661</f>
        <v/>
      </c>
      <c r="I1661">
        <f>((H1661-$J$1645)/$I$1645)</f>
        <v/>
      </c>
      <c r="J1661">
        <f>(I1661-IF($I$1653&gt;0,$I$1653))</f>
        <v/>
      </c>
      <c r="K1661" s="30">
        <f>J1661/R1647*1.1</f>
        <v/>
      </c>
      <c r="Q1661" t="inlineStr">
        <is>
          <t>K3-4B</t>
        </is>
      </c>
      <c r="R1661" t="n">
        <v>1.1589</v>
      </c>
    </row>
    <row r="1662">
      <c r="A1662" t="n">
        <v>17</v>
      </c>
      <c r="B1662" t="inlineStr">
        <is>
          <t>MeOH</t>
        </is>
      </c>
      <c r="L1662" s="23" t="inlineStr">
        <is>
          <t>Average</t>
        </is>
      </c>
      <c r="M1662" s="23" t="inlineStr">
        <is>
          <t>Stdev</t>
        </is>
      </c>
      <c r="N1662" s="9" t="inlineStr">
        <is>
          <t>Combined</t>
        </is>
      </c>
      <c r="Q1662" t="inlineStr">
        <is>
          <t>K3-4C</t>
        </is>
      </c>
      <c r="R1662" t="n">
        <v>1.0206</v>
      </c>
    </row>
    <row r="1663">
      <c r="A1663" t="n">
        <v>18</v>
      </c>
      <c r="B1663" t="inlineStr">
        <is>
          <t>K4-5A</t>
        </is>
      </c>
      <c r="D1663" t="n">
        <v>12.63</v>
      </c>
      <c r="E1663" t="n">
        <v>2409.156</v>
      </c>
      <c r="F1663" t="n">
        <v>3930.075</v>
      </c>
      <c r="G1663" t="n">
        <v>1404.985</v>
      </c>
      <c r="H1663">
        <f>E1663/F1663</f>
        <v/>
      </c>
      <c r="I1663">
        <f>((H1663-$J$1645)/$I$1645)</f>
        <v/>
      </c>
      <c r="J1663">
        <f>(I1663-IF($I$1653&gt;0,$I$1653))</f>
        <v/>
      </c>
      <c r="K1663">
        <f>J1663/R1647*1.1</f>
        <v/>
      </c>
      <c r="L1663">
        <f>AVERAGE(K1663:K1665)</f>
        <v/>
      </c>
      <c r="M1663">
        <f>STDEV(K1663:K1665)</f>
        <v/>
      </c>
      <c r="N1663">
        <f>_xlfn.CONCAT(ROUND(L1663,1)," ± ",ROUND(M1663,1))</f>
        <v/>
      </c>
      <c r="Q1663" t="inlineStr">
        <is>
          <t>K3-6A</t>
        </is>
      </c>
      <c r="R1663" t="n">
        <v>1.1289</v>
      </c>
    </row>
    <row r="1664">
      <c r="A1664" t="n">
        <v>19</v>
      </c>
      <c r="B1664" t="inlineStr">
        <is>
          <t>K4-5B</t>
        </is>
      </c>
      <c r="D1664" t="n">
        <v>12.63</v>
      </c>
      <c r="E1664" t="n">
        <v>1654.088</v>
      </c>
      <c r="F1664" t="n">
        <v>6277.964</v>
      </c>
      <c r="G1664" t="n">
        <v>67.172</v>
      </c>
      <c r="H1664">
        <f>E1664/F1664</f>
        <v/>
      </c>
      <c r="I1664">
        <f>((H1664-$J$1645)/$I$1645)</f>
        <v/>
      </c>
      <c r="J1664">
        <f>(I1664-IF($I$1653&gt;0,$I$1653))</f>
        <v/>
      </c>
      <c r="K1664">
        <f>J1664/R1648*1.1</f>
        <v/>
      </c>
      <c r="Q1664" t="inlineStr">
        <is>
          <t>K3-6B</t>
        </is>
      </c>
      <c r="R1664" t="n">
        <v>1.195</v>
      </c>
    </row>
    <row r="1665">
      <c r="A1665" t="n">
        <v>20</v>
      </c>
      <c r="B1665" t="inlineStr">
        <is>
          <t>K4-5C</t>
        </is>
      </c>
      <c r="D1665" t="n">
        <v>12.64</v>
      </c>
      <c r="E1665" t="n">
        <v>485.049</v>
      </c>
      <c r="F1665" t="n">
        <v>2207.119</v>
      </c>
      <c r="G1665" t="n">
        <v>18.426</v>
      </c>
      <c r="H1665">
        <f>E1665/F1665</f>
        <v/>
      </c>
      <c r="I1665">
        <f>((H1665-$J$1645)/$I$1645)</f>
        <v/>
      </c>
      <c r="J1665">
        <f>(I1665-IF($I$1653&gt;0,$I$1653))</f>
        <v/>
      </c>
      <c r="K1665">
        <f>J1665/R1649*1.1</f>
        <v/>
      </c>
      <c r="L1665" s="23" t="n"/>
      <c r="M1665" s="23" t="n"/>
      <c r="N1665" s="9" t="n"/>
      <c r="Q1665" t="inlineStr">
        <is>
          <t>K3-6C</t>
        </is>
      </c>
      <c r="R1665" t="n">
        <v>1.1716</v>
      </c>
    </row>
    <row r="1666">
      <c r="A1666" t="n">
        <v>21</v>
      </c>
      <c r="B1666" t="inlineStr">
        <is>
          <t>MeOH</t>
        </is>
      </c>
      <c r="L1666" s="23" t="inlineStr">
        <is>
          <t>Average</t>
        </is>
      </c>
      <c r="M1666" s="23" t="inlineStr">
        <is>
          <t>Stdev</t>
        </is>
      </c>
      <c r="N1666" s="9" t="inlineStr">
        <is>
          <t>Combined</t>
        </is>
      </c>
    </row>
    <row r="1667">
      <c r="A1667" t="n">
        <v>22</v>
      </c>
      <c r="B1667" t="inlineStr">
        <is>
          <t>K3-1A</t>
        </is>
      </c>
      <c r="D1667" t="n">
        <v>12.64</v>
      </c>
      <c r="E1667" t="n">
        <v>494.168</v>
      </c>
      <c r="F1667" t="n">
        <v>4603.346</v>
      </c>
      <c r="G1667" t="n">
        <v>108.673</v>
      </c>
      <c r="H1667">
        <f>E1667/F1667</f>
        <v/>
      </c>
      <c r="I1667">
        <f>((H1667-$J$1645)/$I$1645)</f>
        <v/>
      </c>
      <c r="J1667">
        <f>(I1667-IF($I$1653&gt;0,$I$1653))</f>
        <v/>
      </c>
      <c r="K1667">
        <f>J1667/R1650*1.1</f>
        <v/>
      </c>
      <c r="L1667">
        <f>AVERAGE(K1667:K1669)</f>
        <v/>
      </c>
      <c r="M1667">
        <f>STDEV(K1668:K1669)</f>
        <v/>
      </c>
      <c r="N1667">
        <f>_xlfn.CONCAT(ROUND(L1667,1)," ± ",ROUND(M1667,1))</f>
        <v/>
      </c>
    </row>
    <row r="1668">
      <c r="A1668" t="n">
        <v>23</v>
      </c>
      <c r="B1668" t="inlineStr">
        <is>
          <t>K3-1B</t>
        </is>
      </c>
      <c r="D1668" t="n">
        <v>12.66</v>
      </c>
      <c r="E1668" t="n">
        <v>369.682</v>
      </c>
      <c r="F1668" t="n">
        <v>4832.73</v>
      </c>
      <c r="G1668" t="n">
        <v>73.702</v>
      </c>
      <c r="H1668">
        <f>E1668/F1668</f>
        <v/>
      </c>
      <c r="I1668">
        <f>((H1668-$J$1645)/$I$1645)</f>
        <v/>
      </c>
      <c r="J1668">
        <f>(I1668-IF($I$1653&gt;0,$I$1653))</f>
        <v/>
      </c>
      <c r="K1668">
        <f>J1668/R1651*1.1</f>
        <v/>
      </c>
    </row>
    <row r="1669">
      <c r="A1669" t="n">
        <v>24</v>
      </c>
      <c r="B1669" t="inlineStr">
        <is>
          <t>K3-1C</t>
        </is>
      </c>
      <c r="D1669" t="n">
        <v>12.64</v>
      </c>
      <c r="E1669" t="n">
        <v>353.619</v>
      </c>
      <c r="F1669" t="n">
        <v>5250.105</v>
      </c>
      <c r="G1669" t="n">
        <v>15.971</v>
      </c>
      <c r="H1669">
        <f>E1669/F1669</f>
        <v/>
      </c>
      <c r="I1669">
        <f>((H1669-$J$1645)/$I$1645)</f>
        <v/>
      </c>
      <c r="J1669">
        <f>(I1669-IF($I$1653&gt;0,$I$1653))</f>
        <v/>
      </c>
      <c r="K1669">
        <f>J1669/R1652*1.1</f>
        <v/>
      </c>
      <c r="L1669" s="23" t="inlineStr">
        <is>
          <t>Average</t>
        </is>
      </c>
      <c r="M1669" s="23" t="inlineStr">
        <is>
          <t>Stdev</t>
        </is>
      </c>
      <c r="N1669" s="9" t="inlineStr">
        <is>
          <t>Combined</t>
        </is>
      </c>
    </row>
    <row r="1670">
      <c r="A1670" t="n">
        <v>25</v>
      </c>
      <c r="B1670" t="inlineStr">
        <is>
          <t>K3-2A</t>
        </is>
      </c>
      <c r="D1670" t="n">
        <v>12.64</v>
      </c>
      <c r="E1670" t="n">
        <v>358.674</v>
      </c>
      <c r="F1670" t="n">
        <v>4574.33</v>
      </c>
      <c r="G1670" t="n">
        <v>16.508</v>
      </c>
      <c r="H1670">
        <f>E1670/F1670</f>
        <v/>
      </c>
      <c r="I1670">
        <f>((H1670-$J$1645)/$I$1645)</f>
        <v/>
      </c>
      <c r="J1670">
        <f>(I1670-IF($I$1653&gt;0,$I$1653))</f>
        <v/>
      </c>
      <c r="K1670">
        <f>J1670/R1653*1.1</f>
        <v/>
      </c>
      <c r="L1670">
        <f>AVERAGE(K1670:K1672)</f>
        <v/>
      </c>
      <c r="M1670">
        <f>STDEV(K1670:K1672)</f>
        <v/>
      </c>
      <c r="N1670">
        <f>_xlfn.CONCAT(ROUND(L1670,1)," ± ",ROUND(M1670,1))</f>
        <v/>
      </c>
    </row>
    <row r="1671">
      <c r="A1671" t="n">
        <v>26</v>
      </c>
      <c r="B1671" t="inlineStr">
        <is>
          <t>K3-2B</t>
        </is>
      </c>
      <c r="D1671" t="n">
        <v>12.66</v>
      </c>
      <c r="E1671" t="n">
        <v>352.955</v>
      </c>
      <c r="F1671" t="n">
        <v>5271.769</v>
      </c>
      <c r="G1671" t="n">
        <v>31.445</v>
      </c>
      <c r="H1671">
        <f>E1671/F1671</f>
        <v/>
      </c>
      <c r="I1671">
        <f>((H1671-$J$1645)/$I$1645)</f>
        <v/>
      </c>
      <c r="J1671">
        <f>(I1671-IF($I$1653&gt;0,$I$1653))</f>
        <v/>
      </c>
      <c r="K1671">
        <f>J1671/R1654*1.1</f>
        <v/>
      </c>
    </row>
    <row r="1672">
      <c r="A1672" t="n">
        <v>27</v>
      </c>
      <c r="B1672" t="inlineStr">
        <is>
          <t>K3-2C</t>
        </is>
      </c>
      <c r="D1672" t="n">
        <v>12.65</v>
      </c>
      <c r="E1672" t="n">
        <v>311.914</v>
      </c>
      <c r="F1672" t="n">
        <v>4675.447</v>
      </c>
      <c r="G1672" t="n">
        <v>11.7</v>
      </c>
      <c r="H1672">
        <f>E1672/F1672</f>
        <v/>
      </c>
      <c r="I1672">
        <f>((H1672-$J$1645)/$I$1645)</f>
        <v/>
      </c>
      <c r="J1672">
        <f>(I1672-IF($I$1653&gt;0,$I$1653))</f>
        <v/>
      </c>
      <c r="K1672">
        <f>J1672/R1655*1.1</f>
        <v/>
      </c>
      <c r="L1672" s="23" t="n"/>
      <c r="M1672" s="23" t="n"/>
      <c r="N1672" s="9" t="n"/>
    </row>
    <row r="1673">
      <c r="A1673" t="n">
        <v>28</v>
      </c>
      <c r="B1673" t="inlineStr">
        <is>
          <t>MeOH</t>
        </is>
      </c>
      <c r="L1673" s="23" t="inlineStr">
        <is>
          <t>Average</t>
        </is>
      </c>
      <c r="M1673" s="23" t="inlineStr">
        <is>
          <t>Stdev</t>
        </is>
      </c>
      <c r="N1673" s="9" t="inlineStr">
        <is>
          <t>Combined</t>
        </is>
      </c>
    </row>
    <row r="1674">
      <c r="A1674" t="n">
        <v>29</v>
      </c>
      <c r="B1674" t="inlineStr">
        <is>
          <t>K3-3A</t>
        </is>
      </c>
      <c r="D1674" t="n">
        <v>12.66</v>
      </c>
      <c r="E1674" t="n">
        <v>136.099</v>
      </c>
      <c r="F1674" t="n">
        <v>3868.886</v>
      </c>
      <c r="G1674" t="n">
        <v>12.635</v>
      </c>
      <c r="H1674">
        <f>E1674/F1674</f>
        <v/>
      </c>
      <c r="I1674">
        <f>((H1674-$J$1645)/$I$1645)</f>
        <v/>
      </c>
      <c r="J1674">
        <f>(I1674-IF($I$1653&gt;0,$I$1653))</f>
        <v/>
      </c>
      <c r="K1674">
        <f>J1674/R1656*1.1</f>
        <v/>
      </c>
      <c r="L1674">
        <f>AVERAGE(K1674:K1676)</f>
        <v/>
      </c>
      <c r="M1674">
        <f>STDEV(K1675:K1676)</f>
        <v/>
      </c>
      <c r="N1674">
        <f>_xlfn.CONCAT(ROUND(L1674,1)," ± ",ROUND(M1674,1))</f>
        <v/>
      </c>
    </row>
    <row r="1675">
      <c r="A1675" t="n">
        <v>30</v>
      </c>
      <c r="B1675" t="inlineStr">
        <is>
          <t>K3-3B</t>
        </is>
      </c>
      <c r="D1675" t="n">
        <v>12.67</v>
      </c>
      <c r="E1675" t="n">
        <v>144.146</v>
      </c>
      <c r="F1675" t="n">
        <v>5558.256</v>
      </c>
      <c r="G1675" t="n">
        <v>1143</v>
      </c>
      <c r="H1675">
        <f>E1675/F1675</f>
        <v/>
      </c>
      <c r="I1675">
        <f>((H1675-$J$1645)/$I$1645)</f>
        <v/>
      </c>
      <c r="J1675">
        <f>(I1675-IF($I$1653&gt;0,$I$1653))</f>
        <v/>
      </c>
      <c r="K1675">
        <f>J1675/R1657*1.1</f>
        <v/>
      </c>
    </row>
    <row r="1676">
      <c r="A1676" t="n">
        <v>31</v>
      </c>
      <c r="B1676" t="inlineStr">
        <is>
          <t>K3-3C</t>
        </is>
      </c>
      <c r="D1676" t="n">
        <v>12.67</v>
      </c>
      <c r="E1676" t="n">
        <v>162.303</v>
      </c>
      <c r="F1676" t="n">
        <v>5019.609</v>
      </c>
      <c r="G1676" t="n">
        <v>1224</v>
      </c>
      <c r="H1676">
        <f>E1676/F1676</f>
        <v/>
      </c>
      <c r="I1676">
        <f>((H1676-$J$1645)/$I$1645)</f>
        <v/>
      </c>
      <c r="J1676">
        <f>(I1676-IF($I$1653&gt;0,$I$1653))</f>
        <v/>
      </c>
      <c r="K1676">
        <f>J1676/R1658*1.1</f>
        <v/>
      </c>
      <c r="L1676" s="23" t="inlineStr">
        <is>
          <t>Average</t>
        </is>
      </c>
      <c r="M1676" s="23" t="inlineStr">
        <is>
          <t>Stdev</t>
        </is>
      </c>
      <c r="N1676" s="9" t="inlineStr">
        <is>
          <t>Combined</t>
        </is>
      </c>
    </row>
    <row r="1677">
      <c r="A1677" t="n">
        <v>32</v>
      </c>
      <c r="B1677" t="inlineStr">
        <is>
          <t>K3-4A</t>
        </is>
      </c>
      <c r="D1677" t="n">
        <v>12.66</v>
      </c>
      <c r="E1677" t="n">
        <v>258.743</v>
      </c>
      <c r="F1677" t="n">
        <v>4571.521</v>
      </c>
      <c r="G1677" t="n">
        <v>41.286</v>
      </c>
      <c r="H1677">
        <f>E1677/F1677</f>
        <v/>
      </c>
      <c r="I1677">
        <f>((H1677-$J$1645)/$I$1645)</f>
        <v/>
      </c>
      <c r="J1677">
        <f>(I1677-IF($I$1653&gt;0,$I$1653))</f>
        <v/>
      </c>
      <c r="K1677">
        <f>J1677/R1659*1.1</f>
        <v/>
      </c>
      <c r="L1677">
        <f>AVERAGE(K1677:K1679)</f>
        <v/>
      </c>
      <c r="M1677">
        <f>STDEV(K1677:K1679)</f>
        <v/>
      </c>
      <c r="N1677">
        <f>_xlfn.CONCAT(ROUND(L1677,1)," ± ",ROUND(M1677,1))</f>
        <v/>
      </c>
    </row>
    <row r="1678">
      <c r="A1678" t="n">
        <v>33</v>
      </c>
      <c r="B1678" t="inlineStr">
        <is>
          <t>K3-4B</t>
        </is>
      </c>
      <c r="D1678" t="n">
        <v>12.65</v>
      </c>
      <c r="E1678" t="n">
        <v>79.081</v>
      </c>
      <c r="F1678" t="n">
        <v>5043.437</v>
      </c>
      <c r="G1678" t="n">
        <v>10.217</v>
      </c>
      <c r="H1678">
        <f>E1678/F1678</f>
        <v/>
      </c>
      <c r="I1678">
        <f>((H1678-$J$1645)/$I$1645)</f>
        <v/>
      </c>
      <c r="J1678">
        <f>(I1678-IF($I$1653&gt;0,$I$1653))</f>
        <v/>
      </c>
      <c r="K1678">
        <f>J1678/R1660*1.1</f>
        <v/>
      </c>
    </row>
    <row r="1679">
      <c r="A1679" t="n">
        <v>34</v>
      </c>
      <c r="B1679" t="inlineStr">
        <is>
          <t>K3-4C</t>
        </is>
      </c>
      <c r="D1679" t="n">
        <v>12.68</v>
      </c>
      <c r="E1679" t="n">
        <v>62.064</v>
      </c>
      <c r="F1679" t="n">
        <v>5033.665</v>
      </c>
      <c r="G1679" t="n">
        <v>4.833</v>
      </c>
      <c r="H1679">
        <f>E1679/F1679</f>
        <v/>
      </c>
      <c r="I1679">
        <f>((H1679-$J$1645)/$I$1645)</f>
        <v/>
      </c>
      <c r="J1679">
        <f>(I1679-IF($I$1653&gt;0,$I$1653))</f>
        <v/>
      </c>
      <c r="K1679">
        <f>J1679/R1661*1.1</f>
        <v/>
      </c>
      <c r="L1679" s="23" t="n"/>
      <c r="M1679" s="23" t="n"/>
      <c r="N1679" s="9" t="n"/>
    </row>
    <row r="1680">
      <c r="A1680" t="n">
        <v>35</v>
      </c>
      <c r="B1680" t="inlineStr">
        <is>
          <t>MeOH</t>
        </is>
      </c>
      <c r="L1680" s="23" t="inlineStr">
        <is>
          <t>Average</t>
        </is>
      </c>
      <c r="M1680" s="23" t="inlineStr">
        <is>
          <t>Stdev</t>
        </is>
      </c>
      <c r="N1680" s="9" t="inlineStr">
        <is>
          <t>Combined</t>
        </is>
      </c>
    </row>
    <row r="1681">
      <c r="A1681" t="n">
        <v>36</v>
      </c>
      <c r="B1681" t="inlineStr">
        <is>
          <t>K3-6A</t>
        </is>
      </c>
      <c r="D1681" t="n">
        <v>12.67</v>
      </c>
      <c r="E1681" t="n">
        <v>113.721</v>
      </c>
      <c r="F1681" t="n">
        <v>3966.205</v>
      </c>
      <c r="G1681" t="n">
        <v>10.288</v>
      </c>
      <c r="H1681">
        <f>E1681/F1681</f>
        <v/>
      </c>
      <c r="I1681">
        <f>((H1681-$J$1645)/$I$1645)</f>
        <v/>
      </c>
      <c r="J1681">
        <f>(I1681-IF($I$1653&gt;0,$I$1653))</f>
        <v/>
      </c>
      <c r="K1681">
        <f>J1681/R1662*1.1</f>
        <v/>
      </c>
      <c r="L1681">
        <f>AVERAGE(K1681:K1683)</f>
        <v/>
      </c>
      <c r="M1681">
        <f>STDEV(K1682:K1683)</f>
        <v/>
      </c>
      <c r="N1681">
        <f>_xlfn.CONCAT(ROUND(L1681,1)," ± ",ROUND(M1681,1))</f>
        <v/>
      </c>
    </row>
    <row r="1682">
      <c r="A1682" t="n">
        <v>37</v>
      </c>
      <c r="B1682" t="inlineStr">
        <is>
          <t>K3-6B</t>
        </is>
      </c>
      <c r="D1682" t="n">
        <v>12.66</v>
      </c>
      <c r="E1682" t="n">
        <v>145.901</v>
      </c>
      <c r="F1682" t="n">
        <v>3977.533</v>
      </c>
      <c r="G1682" t="n">
        <v>4.972</v>
      </c>
      <c r="H1682">
        <f>E1682/F1682</f>
        <v/>
      </c>
      <c r="I1682">
        <f>((H1682-$J$1645)/$I$1645)</f>
        <v/>
      </c>
      <c r="J1682">
        <f>(I1682-IF($I$1653&gt;0,$I$1653))</f>
        <v/>
      </c>
      <c r="K1682">
        <f>J1682/R1663*1.1</f>
        <v/>
      </c>
    </row>
    <row r="1683">
      <c r="A1683" t="n">
        <v>38</v>
      </c>
      <c r="B1683" t="inlineStr">
        <is>
          <t>K3-6C</t>
        </is>
      </c>
      <c r="D1683" t="n">
        <v>12.66</v>
      </c>
      <c r="E1683" t="n">
        <v>67.82899999999999</v>
      </c>
      <c r="F1683" t="n">
        <v>3666.082</v>
      </c>
      <c r="G1683" t="n">
        <v>583</v>
      </c>
      <c r="H1683">
        <f>E1683/F1683</f>
        <v/>
      </c>
      <c r="I1683">
        <f>((H1683-$J$1645)/$I$1645)</f>
        <v/>
      </c>
      <c r="J1683">
        <f>(I1683-IF($I$1653&gt;0,$I$1653))</f>
        <v/>
      </c>
      <c r="K1683">
        <f>J1683/R1664*1.1</f>
        <v/>
      </c>
      <c r="L1683" s="23" t="n"/>
      <c r="M1683" s="23" t="n"/>
      <c r="N1683" s="9" t="n"/>
    </row>
    <row r="1685">
      <c r="A1685" t="inlineStr">
        <is>
          <t>Compound 41:  6-8 diPAP 2</t>
        </is>
      </c>
    </row>
    <row r="1687">
      <c r="B1687" t="inlineStr">
        <is>
          <t>Sample Text</t>
        </is>
      </c>
      <c r="C1687" t="inlineStr">
        <is>
          <t>Std. Conc</t>
        </is>
      </c>
      <c r="D1687" t="inlineStr">
        <is>
          <t>RT</t>
        </is>
      </c>
      <c r="E1687" t="inlineStr">
        <is>
          <t>Area</t>
        </is>
      </c>
      <c r="F1687" t="inlineStr">
        <is>
          <t>IS Area</t>
        </is>
      </c>
      <c r="G1687" t="inlineStr">
        <is>
          <t>S/N</t>
        </is>
      </c>
      <c r="H1687" t="inlineStr">
        <is>
          <t>Primary Flags</t>
        </is>
      </c>
      <c r="I1687" t="inlineStr">
        <is>
          <t>Response</t>
        </is>
      </c>
      <c r="J1687" t="inlineStr">
        <is>
          <t>Conc.</t>
        </is>
      </c>
      <c r="K1687" t="inlineStr">
        <is>
          <t>Name</t>
        </is>
      </c>
    </row>
    <row r="1688">
      <c r="A1688" t="n">
        <v>1</v>
      </c>
      <c r="B1688" t="inlineStr">
        <is>
          <t>EPA1633 &amp; diPAPs Calibration 0 ppb</t>
        </is>
      </c>
      <c r="F1688" t="n">
        <v>19473.51</v>
      </c>
      <c r="K1688" t="inlineStr">
        <is>
          <t>20250617-12</t>
        </is>
      </c>
    </row>
    <row r="1689">
      <c r="A1689" t="n">
        <v>2</v>
      </c>
      <c r="B1689" t="inlineStr">
        <is>
          <t>EPA1633 &amp; diPAPs Calibration 0.02 ppb</t>
        </is>
      </c>
      <c r="D1689" t="n">
        <v>12.57</v>
      </c>
      <c r="E1689" t="n">
        <v>67.215</v>
      </c>
      <c r="F1689" t="n">
        <v>13285.255</v>
      </c>
      <c r="G1689" t="n">
        <v>564</v>
      </c>
      <c r="H1689" t="inlineStr">
        <is>
          <t>bb</t>
        </is>
      </c>
      <c r="K1689" t="inlineStr">
        <is>
          <t>20250617-13</t>
        </is>
      </c>
    </row>
    <row r="1690">
      <c r="A1690" t="n">
        <v>3</v>
      </c>
      <c r="B1690" t="inlineStr">
        <is>
          <t>EPA1633 &amp; diPAPs Calibration 0.1 ppb</t>
        </is>
      </c>
      <c r="D1690" t="n">
        <v>12.58</v>
      </c>
      <c r="E1690" t="n">
        <v>86.65000000000001</v>
      </c>
      <c r="F1690" t="n">
        <v>16010.102</v>
      </c>
      <c r="G1690" t="n">
        <v>691</v>
      </c>
      <c r="H1690" t="inlineStr">
        <is>
          <t>bb</t>
        </is>
      </c>
      <c r="K1690" t="inlineStr">
        <is>
          <t>20250617-14</t>
        </is>
      </c>
    </row>
    <row r="1691">
      <c r="A1691" t="n">
        <v>4</v>
      </c>
      <c r="B1691" t="inlineStr">
        <is>
          <t>EPA1633 &amp; diPAPs Calibration 0.4 ppb</t>
        </is>
      </c>
      <c r="D1691" t="n">
        <v>12.6</v>
      </c>
      <c r="E1691" t="n">
        <v>232.744</v>
      </c>
      <c r="F1691" t="n">
        <v>14214.025</v>
      </c>
      <c r="G1691" t="n">
        <v>15.058</v>
      </c>
      <c r="H1691" t="inlineStr">
        <is>
          <t>bb</t>
        </is>
      </c>
      <c r="K1691" t="inlineStr">
        <is>
          <t>20250617-15</t>
        </is>
      </c>
    </row>
    <row r="1692">
      <c r="A1692" t="n">
        <v>5</v>
      </c>
      <c r="B1692" t="inlineStr">
        <is>
          <t>EPA1633 &amp; diPAPs Calibration 1 ppb</t>
        </is>
      </c>
      <c r="D1692" t="n">
        <v>12.61</v>
      </c>
      <c r="E1692" t="n">
        <v>1015.325</v>
      </c>
      <c r="F1692" t="n">
        <v>21931.449</v>
      </c>
      <c r="G1692" t="n">
        <v>7015</v>
      </c>
      <c r="H1692" t="inlineStr">
        <is>
          <t>bb</t>
        </is>
      </c>
      <c r="K1692" t="inlineStr">
        <is>
          <t>20250617-16</t>
        </is>
      </c>
    </row>
    <row r="1693">
      <c r="A1693" t="n">
        <v>6</v>
      </c>
      <c r="B1693" t="inlineStr">
        <is>
          <t>EPA1633 &amp; diPAPs Calibration 5 ppb</t>
        </is>
      </c>
      <c r="D1693" t="n">
        <v>12.6</v>
      </c>
      <c r="E1693" t="n">
        <v>1088.8</v>
      </c>
      <c r="F1693" t="n">
        <v>17537.508</v>
      </c>
      <c r="G1693" t="n">
        <v>8122</v>
      </c>
      <c r="H1693" t="inlineStr">
        <is>
          <t>bb</t>
        </is>
      </c>
      <c r="K1693" t="inlineStr">
        <is>
          <t>20250617-17</t>
        </is>
      </c>
    </row>
    <row r="1694">
      <c r="A1694" t="n">
        <v>7</v>
      </c>
      <c r="B1694" t="inlineStr">
        <is>
          <t>EPA1633 &amp; diPAPs Calibration 10 ppb</t>
        </is>
      </c>
      <c r="D1694" t="n">
        <v>12.61</v>
      </c>
      <c r="E1694" t="n">
        <v>3113.699</v>
      </c>
      <c r="F1694" t="n">
        <v>29293.133</v>
      </c>
      <c r="G1694" t="n">
        <v>23157</v>
      </c>
      <c r="H1694" t="inlineStr">
        <is>
          <t>bb</t>
        </is>
      </c>
      <c r="K1694" t="inlineStr">
        <is>
          <t>20250617-18</t>
        </is>
      </c>
    </row>
    <row r="1695">
      <c r="A1695" t="n">
        <v>8</v>
      </c>
      <c r="B1695" t="inlineStr">
        <is>
          <t>EPA1633 &amp; diPAPs Calibration 20 ppb</t>
        </is>
      </c>
      <c r="D1695" t="n">
        <v>12.61</v>
      </c>
      <c r="E1695" t="n">
        <v>1343.236</v>
      </c>
      <c r="F1695" t="n">
        <v>13919.142</v>
      </c>
      <c r="G1695" t="n">
        <v>10275</v>
      </c>
      <c r="H1695" t="inlineStr">
        <is>
          <t>bb</t>
        </is>
      </c>
      <c r="K1695" t="inlineStr">
        <is>
          <t>20250617-19</t>
        </is>
      </c>
    </row>
    <row r="1696">
      <c r="A1696" t="n">
        <v>9</v>
      </c>
      <c r="B1696" t="inlineStr">
        <is>
          <t>MeOH</t>
        </is>
      </c>
      <c r="H1696" t="inlineStr">
        <is>
          <t>MM-</t>
        </is>
      </c>
      <c r="K1696" t="inlineStr">
        <is>
          <t>20250617-20</t>
        </is>
      </c>
    </row>
    <row r="1697">
      <c r="A1697" t="n">
        <v>10</v>
      </c>
      <c r="B1697" t="inlineStr">
        <is>
          <t>MeOH</t>
        </is>
      </c>
      <c r="H1697" t="inlineStr">
        <is>
          <t>MM-</t>
        </is>
      </c>
      <c r="K1697" t="inlineStr">
        <is>
          <t>20250617-21</t>
        </is>
      </c>
    </row>
    <row r="1698">
      <c r="A1698" t="n">
        <v>11</v>
      </c>
      <c r="B1698" t="inlineStr">
        <is>
          <t>SB1</t>
        </is>
      </c>
      <c r="D1698" t="n">
        <v>12.61</v>
      </c>
      <c r="E1698" t="n">
        <v>0.287</v>
      </c>
      <c r="F1698" t="n">
        <v>5289.194</v>
      </c>
      <c r="G1698" t="n">
        <v>3</v>
      </c>
      <c r="H1698" t="inlineStr">
        <is>
          <t>bb</t>
        </is>
      </c>
      <c r="K1698" t="inlineStr">
        <is>
          <t>20250617-22</t>
        </is>
      </c>
    </row>
    <row r="1699">
      <c r="A1699" t="n">
        <v>12</v>
      </c>
      <c r="B1699" t="inlineStr">
        <is>
          <t>SB2</t>
        </is>
      </c>
      <c r="F1699" t="n">
        <v>6667.125</v>
      </c>
      <c r="K1699" t="inlineStr">
        <is>
          <t>20250617-23</t>
        </is>
      </c>
    </row>
    <row r="1700">
      <c r="A1700" t="n">
        <v>13</v>
      </c>
      <c r="B1700" t="inlineStr">
        <is>
          <t>SB3</t>
        </is>
      </c>
      <c r="D1700" t="n">
        <v>11.41</v>
      </c>
      <c r="E1700" t="n">
        <v>0.402</v>
      </c>
      <c r="F1700" t="n">
        <v>5460.875</v>
      </c>
      <c r="G1700" t="n">
        <v>3</v>
      </c>
      <c r="H1700" t="inlineStr">
        <is>
          <t>MM</t>
        </is>
      </c>
      <c r="K1700" t="inlineStr">
        <is>
          <t>20250617-24</t>
        </is>
      </c>
    </row>
    <row r="1701">
      <c r="A1701" t="n">
        <v>14</v>
      </c>
      <c r="B1701" t="inlineStr">
        <is>
          <t>SS1</t>
        </is>
      </c>
      <c r="D1701" t="n">
        <v>12.63</v>
      </c>
      <c r="E1701" t="n">
        <v>192.894</v>
      </c>
      <c r="F1701" t="n">
        <v>6517.947</v>
      </c>
      <c r="G1701" t="n">
        <v>17.569</v>
      </c>
      <c r="H1701" t="inlineStr">
        <is>
          <t>bb</t>
        </is>
      </c>
      <c r="K1701" t="inlineStr">
        <is>
          <t>20250617-25</t>
        </is>
      </c>
    </row>
    <row r="1702">
      <c r="A1702" t="n">
        <v>15</v>
      </c>
      <c r="B1702" t="inlineStr">
        <is>
          <t>SS2</t>
        </is>
      </c>
      <c r="D1702" t="n">
        <v>12.64</v>
      </c>
      <c r="E1702" t="n">
        <v>259.385</v>
      </c>
      <c r="F1702" t="n">
        <v>6712.642</v>
      </c>
      <c r="G1702" t="n">
        <v>1840</v>
      </c>
      <c r="H1702" t="inlineStr">
        <is>
          <t>bb</t>
        </is>
      </c>
      <c r="K1702" t="inlineStr">
        <is>
          <t>20250617-26</t>
        </is>
      </c>
    </row>
    <row r="1703">
      <c r="A1703" t="n">
        <v>16</v>
      </c>
      <c r="B1703" t="inlineStr">
        <is>
          <t>SS3</t>
        </is>
      </c>
      <c r="D1703" t="n">
        <v>12.64</v>
      </c>
      <c r="E1703" t="n">
        <v>163.402</v>
      </c>
      <c r="F1703" t="n">
        <v>6363.637</v>
      </c>
      <c r="G1703" t="n">
        <v>1215</v>
      </c>
      <c r="H1703" t="inlineStr">
        <is>
          <t>bb</t>
        </is>
      </c>
      <c r="K1703" t="inlineStr">
        <is>
          <t>20250617-27</t>
        </is>
      </c>
    </row>
    <row r="1704">
      <c r="A1704" t="n">
        <v>17</v>
      </c>
      <c r="B1704" t="inlineStr">
        <is>
          <t>MeOH</t>
        </is>
      </c>
      <c r="H1704" t="inlineStr">
        <is>
          <t>MM-</t>
        </is>
      </c>
      <c r="K1704" t="inlineStr">
        <is>
          <t>20250617-28</t>
        </is>
      </c>
    </row>
    <row r="1705">
      <c r="A1705" t="n">
        <v>18</v>
      </c>
      <c r="B1705" t="inlineStr">
        <is>
          <t>K4-5A</t>
        </is>
      </c>
      <c r="D1705" t="n">
        <v>12.64</v>
      </c>
      <c r="E1705" t="n">
        <v>13.805</v>
      </c>
      <c r="F1705" t="n">
        <v>3930.075</v>
      </c>
      <c r="G1705" t="n">
        <v>118</v>
      </c>
      <c r="H1705" t="inlineStr">
        <is>
          <t>bb</t>
        </is>
      </c>
      <c r="K1705" t="inlineStr">
        <is>
          <t>20250617-29</t>
        </is>
      </c>
    </row>
    <row r="1706">
      <c r="A1706" t="n">
        <v>19</v>
      </c>
      <c r="B1706" t="inlineStr">
        <is>
          <t>K4-5B</t>
        </is>
      </c>
      <c r="D1706" t="n">
        <v>12.64</v>
      </c>
      <c r="E1706" t="n">
        <v>1.57</v>
      </c>
      <c r="F1706" t="n">
        <v>6277.964</v>
      </c>
      <c r="G1706" t="n">
        <v>14</v>
      </c>
      <c r="H1706" t="inlineStr">
        <is>
          <t>bb</t>
        </is>
      </c>
      <c r="K1706" t="inlineStr">
        <is>
          <t>20250617-30</t>
        </is>
      </c>
    </row>
    <row r="1707">
      <c r="A1707" t="n">
        <v>20</v>
      </c>
      <c r="B1707" t="inlineStr">
        <is>
          <t>K4-5C</t>
        </is>
      </c>
      <c r="F1707" t="n">
        <v>2207.119</v>
      </c>
      <c r="K1707" t="inlineStr">
        <is>
          <t>20250617-31</t>
        </is>
      </c>
    </row>
    <row r="1708">
      <c r="A1708" t="n">
        <v>21</v>
      </c>
      <c r="B1708" t="inlineStr">
        <is>
          <t>MeOH</t>
        </is>
      </c>
      <c r="H1708" t="inlineStr">
        <is>
          <t>MM-</t>
        </is>
      </c>
      <c r="K1708" t="inlineStr">
        <is>
          <t>20250617-32</t>
        </is>
      </c>
    </row>
    <row r="1709">
      <c r="A1709" t="n">
        <v>22</v>
      </c>
      <c r="B1709" t="inlineStr">
        <is>
          <t>K3-1A</t>
        </is>
      </c>
      <c r="F1709" t="n">
        <v>4603.346</v>
      </c>
      <c r="K1709" t="inlineStr">
        <is>
          <t>20250617-33</t>
        </is>
      </c>
    </row>
    <row r="1710">
      <c r="A1710" t="n">
        <v>23</v>
      </c>
      <c r="B1710" t="inlineStr">
        <is>
          <t>K3-1B</t>
        </is>
      </c>
      <c r="F1710" t="n">
        <v>4832.73</v>
      </c>
      <c r="K1710" t="inlineStr">
        <is>
          <t>20250617-34</t>
        </is>
      </c>
    </row>
    <row r="1711">
      <c r="A1711" t="n">
        <v>24</v>
      </c>
      <c r="B1711" t="inlineStr">
        <is>
          <t>K3-1C</t>
        </is>
      </c>
      <c r="F1711" t="n">
        <v>5250.105</v>
      </c>
      <c r="K1711" t="inlineStr">
        <is>
          <t>20250617-35</t>
        </is>
      </c>
    </row>
    <row r="1712">
      <c r="A1712" t="n">
        <v>25</v>
      </c>
      <c r="B1712" t="inlineStr">
        <is>
          <t>K3-2A</t>
        </is>
      </c>
      <c r="F1712" t="n">
        <v>4574.33</v>
      </c>
      <c r="K1712" t="inlineStr">
        <is>
          <t>20250617-36</t>
        </is>
      </c>
    </row>
    <row r="1713">
      <c r="A1713" t="n">
        <v>26</v>
      </c>
      <c r="B1713" t="inlineStr">
        <is>
          <t>K3-2B</t>
        </is>
      </c>
      <c r="F1713" t="n">
        <v>5271.769</v>
      </c>
      <c r="K1713" t="inlineStr">
        <is>
          <t>20250617-37</t>
        </is>
      </c>
    </row>
    <row r="1714">
      <c r="A1714" t="n">
        <v>27</v>
      </c>
      <c r="B1714" t="inlineStr">
        <is>
          <t>K3-2C</t>
        </is>
      </c>
      <c r="F1714" t="n">
        <v>4675.447</v>
      </c>
      <c r="K1714" t="inlineStr">
        <is>
          <t>20250617-38</t>
        </is>
      </c>
    </row>
    <row r="1715">
      <c r="A1715" t="n">
        <v>28</v>
      </c>
      <c r="B1715" t="inlineStr">
        <is>
          <t>MeOH</t>
        </is>
      </c>
      <c r="D1715" t="n">
        <v>12.66</v>
      </c>
      <c r="E1715" t="n">
        <v>0.438</v>
      </c>
      <c r="G1715" t="n">
        <v>4</v>
      </c>
      <c r="H1715" t="inlineStr">
        <is>
          <t>bb</t>
        </is>
      </c>
      <c r="K1715" t="inlineStr">
        <is>
          <t>20250617-39</t>
        </is>
      </c>
    </row>
    <row r="1716">
      <c r="A1716" t="n">
        <v>29</v>
      </c>
      <c r="B1716" t="inlineStr">
        <is>
          <t>K3-3A</t>
        </is>
      </c>
      <c r="F1716" t="n">
        <v>3868.886</v>
      </c>
      <c r="K1716" t="inlineStr">
        <is>
          <t>20250617-40</t>
        </is>
      </c>
    </row>
    <row r="1717">
      <c r="A1717" t="n">
        <v>30</v>
      </c>
      <c r="B1717" t="inlineStr">
        <is>
          <t>K3-3B</t>
        </is>
      </c>
      <c r="D1717" t="n">
        <v>12.03</v>
      </c>
      <c r="E1717" t="n">
        <v>0.497</v>
      </c>
      <c r="F1717" t="n">
        <v>5558.256</v>
      </c>
      <c r="G1717" t="n">
        <v>4</v>
      </c>
      <c r="H1717" t="inlineStr">
        <is>
          <t>bb</t>
        </is>
      </c>
      <c r="K1717" t="inlineStr">
        <is>
          <t>20250617-41</t>
        </is>
      </c>
    </row>
    <row r="1718">
      <c r="A1718" t="n">
        <v>31</v>
      </c>
      <c r="B1718" t="inlineStr">
        <is>
          <t>K3-3C</t>
        </is>
      </c>
      <c r="F1718" t="n">
        <v>5019.609</v>
      </c>
      <c r="K1718" t="inlineStr">
        <is>
          <t>20250617-42</t>
        </is>
      </c>
    </row>
    <row r="1719">
      <c r="A1719" t="n">
        <v>32</v>
      </c>
      <c r="B1719" t="inlineStr">
        <is>
          <t>K3-4A</t>
        </is>
      </c>
      <c r="F1719" t="n">
        <v>4571.521</v>
      </c>
      <c r="K1719" t="inlineStr">
        <is>
          <t>20250617-43</t>
        </is>
      </c>
    </row>
    <row r="1720">
      <c r="A1720" t="n">
        <v>33</v>
      </c>
      <c r="B1720" t="inlineStr">
        <is>
          <t>K3-4B</t>
        </is>
      </c>
      <c r="F1720" t="n">
        <v>5043.437</v>
      </c>
      <c r="K1720" t="inlineStr">
        <is>
          <t>20250617-44</t>
        </is>
      </c>
    </row>
    <row r="1721">
      <c r="A1721" t="n">
        <v>34</v>
      </c>
      <c r="B1721" t="inlineStr">
        <is>
          <t>K3-4C</t>
        </is>
      </c>
      <c r="F1721" t="n">
        <v>5033.665</v>
      </c>
      <c r="K1721" t="inlineStr">
        <is>
          <t>20250617-45</t>
        </is>
      </c>
    </row>
    <row r="1722">
      <c r="A1722" t="n">
        <v>35</v>
      </c>
      <c r="B1722" t="inlineStr">
        <is>
          <t>MeOH</t>
        </is>
      </c>
      <c r="K1722" t="inlineStr">
        <is>
          <t>20250617-46</t>
        </is>
      </c>
    </row>
    <row r="1723">
      <c r="A1723" t="n">
        <v>36</v>
      </c>
      <c r="B1723" t="inlineStr">
        <is>
          <t>K3-6A</t>
        </is>
      </c>
      <c r="F1723" t="n">
        <v>3966.205</v>
      </c>
      <c r="K1723" t="inlineStr">
        <is>
          <t>20250617-47</t>
        </is>
      </c>
    </row>
    <row r="1724">
      <c r="A1724" t="n">
        <v>37</v>
      </c>
      <c r="B1724" t="inlineStr">
        <is>
          <t>K3-6B</t>
        </is>
      </c>
      <c r="F1724" t="n">
        <v>3977.533</v>
      </c>
      <c r="K1724" t="inlineStr">
        <is>
          <t>20250617-48</t>
        </is>
      </c>
    </row>
    <row r="1725">
      <c r="A1725" t="n">
        <v>38</v>
      </c>
      <c r="B1725" t="inlineStr">
        <is>
          <t>K3-6C</t>
        </is>
      </c>
      <c r="F1725" t="n">
        <v>3666.082</v>
      </c>
      <c r="K1725" t="inlineStr">
        <is>
          <t>20250617-49</t>
        </is>
      </c>
    </row>
    <row r="1727">
      <c r="A1727" t="inlineStr">
        <is>
          <t>Compound 42:  6-8-8 triPAP 1 *</t>
        </is>
      </c>
    </row>
    <row r="1728">
      <c r="I1728" t="inlineStr">
        <is>
          <t>LINEST</t>
        </is>
      </c>
      <c r="Q1728" t="inlineStr">
        <is>
          <t>Biosolids Masses</t>
        </is>
      </c>
      <c r="R1728" t="inlineStr">
        <is>
          <t>(g)</t>
        </is>
      </c>
    </row>
    <row r="1729">
      <c r="B1729" t="inlineStr">
        <is>
          <t>Sample Text</t>
        </is>
      </c>
      <c r="C1729" t="inlineStr">
        <is>
          <t>Std. Conc</t>
        </is>
      </c>
      <c r="D1729" t="inlineStr">
        <is>
          <t>RT</t>
        </is>
      </c>
      <c r="E1729" t="inlineStr">
        <is>
          <t>Area</t>
        </is>
      </c>
      <c r="F1729" t="inlineStr">
        <is>
          <t>IS Area</t>
        </is>
      </c>
      <c r="G1729" t="inlineStr">
        <is>
          <t>S/N</t>
        </is>
      </c>
      <c r="H1729" t="inlineStr">
        <is>
          <t>ratio</t>
        </is>
      </c>
      <c r="I1729">
        <f t="array" ref="I1729:J1733">LINEST(H1732:H1736,C1732:C1736,1,1)</f>
        <v/>
      </c>
      <c r="J1729" t="n">
        <v>0.3351497564919392</v>
      </c>
      <c r="L1729" s="20" t="inlineStr">
        <is>
          <t>By S/N Ratio</t>
        </is>
      </c>
      <c r="Q1729" t="inlineStr">
        <is>
          <t>SS1</t>
        </is>
      </c>
      <c r="R1729" t="n">
        <v>1.0846</v>
      </c>
    </row>
    <row r="1730">
      <c r="A1730" t="n">
        <v>1</v>
      </c>
      <c r="B1730" t="inlineStr">
        <is>
          <t>EPA1633 &amp; diPAPs Calibration 0 ppb</t>
        </is>
      </c>
      <c r="C1730" t="n">
        <v>0</v>
      </c>
      <c r="D1730" t="n">
        <v>16.34</v>
      </c>
      <c r="E1730" t="n">
        <v>428.483</v>
      </c>
      <c r="F1730" t="n">
        <v>1343.627</v>
      </c>
      <c r="G1730" t="n">
        <v>10.352</v>
      </c>
      <c r="H1730">
        <f>E1730/F1730</f>
        <v/>
      </c>
      <c r="I1730" t="n">
        <v>0.006574339333866506</v>
      </c>
      <c r="J1730" t="n">
        <v>0.3683977257058304</v>
      </c>
      <c r="K1730" t="inlineStr">
        <is>
          <t>LOD</t>
        </is>
      </c>
      <c r="L1730" s="21">
        <f>IF(G1733&gt;3,C1733,IF(G1734&gt;3,#REF!,IF(G1735&gt;3,C1735,IF(G1736&gt;3,#REF!,#REF!))))</f>
        <v/>
      </c>
      <c r="Q1730" t="inlineStr">
        <is>
          <t>SS2</t>
        </is>
      </c>
      <c r="R1730" t="n">
        <v>1.0726</v>
      </c>
    </row>
    <row r="1731">
      <c r="A1731" t="n">
        <v>2</v>
      </c>
      <c r="B1731" t="inlineStr">
        <is>
          <t>EPA1633 &amp; diPAPs Calibration 0.02 ppb</t>
        </is>
      </c>
      <c r="C1731" t="n">
        <v>5</v>
      </c>
      <c r="D1731" t="n">
        <v>16.51</v>
      </c>
      <c r="E1731" t="n">
        <v>647.785</v>
      </c>
      <c r="F1731" t="n">
        <v>633.474</v>
      </c>
      <c r="G1731" t="n">
        <v>9.468</v>
      </c>
      <c r="H1731">
        <f>E1731/F1731</f>
        <v/>
      </c>
      <c r="I1731" t="n">
        <v>0.9398575495546126</v>
      </c>
      <c r="J1731" t="n">
        <v>0.4704214290456382</v>
      </c>
      <c r="K1731" t="inlineStr">
        <is>
          <t>LOQ</t>
        </is>
      </c>
      <c r="L1731" s="22">
        <f>IF(G1733&gt;10,C1733,IF(G1734&gt;10,#REF!,IF(G1735&gt;10,C1735,IF(G1736&gt;10,#REF!,#REF!))))</f>
        <v/>
      </c>
      <c r="Q1731" t="inlineStr">
        <is>
          <t>SS3</t>
        </is>
      </c>
      <c r="R1731" t="n">
        <v>1.1534</v>
      </c>
    </row>
    <row r="1732">
      <c r="A1732" t="n">
        <v>3</v>
      </c>
      <c r="B1732" t="inlineStr">
        <is>
          <t>EPA1633 &amp; diPAPs Calibration 0.1 ppb</t>
        </is>
      </c>
      <c r="C1732" t="n">
        <v>10</v>
      </c>
      <c r="D1732" t="n">
        <v>16.53</v>
      </c>
      <c r="E1732" t="n">
        <v>317.671</v>
      </c>
      <c r="F1732" t="n">
        <v>645.6369999999999</v>
      </c>
      <c r="G1732" t="n">
        <v>3.895</v>
      </c>
      <c r="H1732">
        <f>E1732/F1732</f>
        <v/>
      </c>
      <c r="I1732" t="n">
        <v>46.88157246310011</v>
      </c>
      <c r="J1732" t="n">
        <v>3</v>
      </c>
      <c r="Q1732" t="inlineStr">
        <is>
          <t>K4-5A</t>
        </is>
      </c>
      <c r="R1732" t="n">
        <v>1.1054</v>
      </c>
    </row>
    <row r="1733">
      <c r="A1733" t="n">
        <v>4</v>
      </c>
      <c r="B1733" t="inlineStr">
        <is>
          <t>EPA1633 &amp; diPAPs Calibration 0.4 ppb</t>
        </is>
      </c>
      <c r="C1733" t="n">
        <v>20</v>
      </c>
      <c r="D1733" t="n">
        <v>16.52</v>
      </c>
      <c r="E1733" t="n">
        <v>1080.066</v>
      </c>
      <c r="F1733" t="n">
        <v>750.9640000000001</v>
      </c>
      <c r="G1733" t="n">
        <v>15.434</v>
      </c>
      <c r="H1733">
        <f>E1733/F1733</f>
        <v/>
      </c>
      <c r="I1733" t="n">
        <v>10.37471950434117</v>
      </c>
      <c r="J1733" t="n">
        <v>0.6638889627160212</v>
      </c>
      <c r="Q1733" t="inlineStr">
        <is>
          <t>K4-5B</t>
        </is>
      </c>
      <c r="R1733" s="10" t="n">
        <v>1.0463</v>
      </c>
    </row>
    <row r="1734">
      <c r="A1734" t="n">
        <v>5</v>
      </c>
      <c r="B1734" t="inlineStr">
        <is>
          <t>EPA1633 &amp; diPAPs Calibration 1 ppb</t>
        </is>
      </c>
      <c r="C1734" t="n">
        <v>40</v>
      </c>
      <c r="D1734" t="n">
        <v>16.32</v>
      </c>
      <c r="E1734" t="n">
        <v>1561.659</v>
      </c>
      <c r="F1734" t="n">
        <v>827.3049999999999</v>
      </c>
      <c r="G1734" t="n">
        <v>21.969</v>
      </c>
      <c r="H1734">
        <f>E1734/F1734</f>
        <v/>
      </c>
      <c r="Q1734" t="inlineStr">
        <is>
          <t>K4-5C</t>
        </is>
      </c>
      <c r="R1734" t="n">
        <v>1.1155</v>
      </c>
    </row>
    <row r="1735">
      <c r="A1735" t="n">
        <v>6</v>
      </c>
      <c r="B1735" t="inlineStr">
        <is>
          <t>EPA1633 &amp; diPAPs Calibration 5 ppb</t>
        </is>
      </c>
      <c r="C1735" t="n">
        <v>60</v>
      </c>
      <c r="D1735" t="n">
        <v>16.32</v>
      </c>
      <c r="E1735" t="n">
        <v>2938.002</v>
      </c>
      <c r="F1735" t="n">
        <v>802.204</v>
      </c>
      <c r="G1735" t="n">
        <v>39.515</v>
      </c>
      <c r="H1735">
        <f>E1735/F1735</f>
        <v/>
      </c>
      <c r="Q1735" t="inlineStr">
        <is>
          <t>K3-1A</t>
        </is>
      </c>
      <c r="R1735" t="n">
        <v>1.0874</v>
      </c>
    </row>
    <row r="1736">
      <c r="A1736" t="n">
        <v>7</v>
      </c>
      <c r="B1736" t="inlineStr">
        <is>
          <t>EPA1633 &amp; diPAPs Calibration 10 ppb</t>
        </is>
      </c>
      <c r="C1736" t="n">
        <v>100</v>
      </c>
      <c r="D1736" t="n">
        <v>16.32</v>
      </c>
      <c r="E1736" t="n">
        <v>3630.531</v>
      </c>
      <c r="F1736" t="n">
        <v>1562.616</v>
      </c>
      <c r="G1736" t="n">
        <v>72.21599999999999</v>
      </c>
      <c r="H1736">
        <f>E1737/F1737</f>
        <v/>
      </c>
      <c r="I1736" s="23" t="inlineStr">
        <is>
          <t>Background</t>
        </is>
      </c>
      <c r="J1736" s="23" t="inlineStr">
        <is>
          <t>Spike</t>
        </is>
      </c>
      <c r="K1736" s="9" t="inlineStr">
        <is>
          <t>Old Spike</t>
        </is>
      </c>
      <c r="O1736" s="24" t="inlineStr">
        <is>
          <t>±</t>
        </is>
      </c>
      <c r="Q1736" t="inlineStr">
        <is>
          <t>K3-1B</t>
        </is>
      </c>
      <c r="R1736" t="n">
        <v>1.0898</v>
      </c>
    </row>
    <row r="1737">
      <c r="A1737" t="n">
        <v>8</v>
      </c>
      <c r="B1737" t="inlineStr">
        <is>
          <t>EPA1633 &amp; diPAPs Calibration 20 ppb</t>
        </is>
      </c>
      <c r="D1737" t="n">
        <v>16.32</v>
      </c>
      <c r="E1737" t="n">
        <v>2780.822</v>
      </c>
      <c r="F1737" t="n">
        <v>611.3339999999999</v>
      </c>
      <c r="G1737" t="n">
        <v>35.979</v>
      </c>
      <c r="I1737">
        <f>AVERAGE(I1740:I1742)</f>
        <v/>
      </c>
      <c r="J1737" t="n">
        <v>88</v>
      </c>
      <c r="Q1737" t="inlineStr">
        <is>
          <t>K3-1C</t>
        </is>
      </c>
      <c r="R1737" t="n">
        <v>1.0536</v>
      </c>
    </row>
    <row r="1738">
      <c r="A1738" t="n">
        <v>9</v>
      </c>
      <c r="B1738" t="inlineStr">
        <is>
          <t>MeOH</t>
        </is>
      </c>
      <c r="I1738" s="23" t="inlineStr">
        <is>
          <t>Conc.In Vial (ppb)</t>
        </is>
      </c>
      <c r="J1738" s="9" t="inlineStr">
        <is>
          <t>Corr. Conc.(ppb)</t>
        </is>
      </c>
      <c r="K1738" s="9" t="inlineStr">
        <is>
          <t>Conc. In soil (ng/g)</t>
        </is>
      </c>
      <c r="Q1738" t="inlineStr">
        <is>
          <t>K3-2A</t>
        </is>
      </c>
      <c r="R1738" s="10" t="n">
        <v>1.1218</v>
      </c>
    </row>
    <row r="1739">
      <c r="A1739" t="n">
        <v>10</v>
      </c>
      <c r="B1739" t="inlineStr">
        <is>
          <t>MeOH</t>
        </is>
      </c>
      <c r="L1739" s="23" t="inlineStr">
        <is>
          <t>Average</t>
        </is>
      </c>
      <c r="M1739" s="23" t="inlineStr">
        <is>
          <t>Stdev</t>
        </is>
      </c>
      <c r="N1739" s="9" t="inlineStr">
        <is>
          <t>Combined</t>
        </is>
      </c>
      <c r="O1739" s="9" t="n"/>
      <c r="P1739" s="9" t="n"/>
      <c r="Q1739" t="inlineStr">
        <is>
          <t>K3-2B</t>
        </is>
      </c>
      <c r="R1739" t="n">
        <v>1.198</v>
      </c>
    </row>
    <row r="1740">
      <c r="A1740" t="n">
        <v>11</v>
      </c>
      <c r="B1740" t="inlineStr">
        <is>
          <t>SB1</t>
        </is>
      </c>
      <c r="D1740" t="n">
        <v>16.31</v>
      </c>
      <c r="E1740" t="n">
        <v>508.882</v>
      </c>
      <c r="F1740" t="n">
        <v>235.495</v>
      </c>
      <c r="G1740" t="n">
        <v>3.547</v>
      </c>
      <c r="H1740">
        <f>E1740/F1740</f>
        <v/>
      </c>
      <c r="I1740">
        <f>((H1740-$J$1729)/$I$1729)</f>
        <v/>
      </c>
      <c r="J1740">
        <f>(I1740-IF(I1737&gt;0,I1737,0))</f>
        <v/>
      </c>
      <c r="K1740">
        <f>J1740*1.1</f>
        <v/>
      </c>
      <c r="L1740">
        <f>AVERAGE(K1740:K1742)</f>
        <v/>
      </c>
      <c r="M1740">
        <f>STDEV(K1741:K1742)</f>
        <v/>
      </c>
      <c r="N1740">
        <f>_xlfn.CONCAT(ROUND(L1740,1)," ± ",ROUND(M1740,1))</f>
        <v/>
      </c>
      <c r="Q1740" t="inlineStr">
        <is>
          <t>K3-2C</t>
        </is>
      </c>
      <c r="R1740" t="n">
        <v>1.1538</v>
      </c>
    </row>
    <row r="1741">
      <c r="A1741" t="n">
        <v>12</v>
      </c>
      <c r="B1741" t="inlineStr">
        <is>
          <t>SB2</t>
        </is>
      </c>
      <c r="D1741" t="n">
        <v>16.6</v>
      </c>
      <c r="E1741" t="n">
        <v>209.623</v>
      </c>
      <c r="F1741" t="n">
        <v>273.33</v>
      </c>
      <c r="G1741" t="n">
        <v>2.115</v>
      </c>
      <c r="H1741">
        <f>E1741/F1741</f>
        <v/>
      </c>
      <c r="I1741">
        <f>((H1741-$J$1729)/$I$1729)</f>
        <v/>
      </c>
      <c r="J1741">
        <f>(I1741-IF(I1737&gt;0,I1737,0))</f>
        <v/>
      </c>
      <c r="K1741">
        <f>J1741*1.1</f>
        <v/>
      </c>
      <c r="Q1741" t="inlineStr">
        <is>
          <t>K3-3A</t>
        </is>
      </c>
      <c r="R1741" t="n">
        <v>1.1183</v>
      </c>
    </row>
    <row r="1742">
      <c r="A1742" t="n">
        <v>13</v>
      </c>
      <c r="B1742" t="inlineStr">
        <is>
          <t>SB3</t>
        </is>
      </c>
      <c r="D1742" t="n">
        <v>16.52</v>
      </c>
      <c r="E1742" t="n">
        <v>491.091</v>
      </c>
      <c r="F1742" t="n">
        <v>129.33</v>
      </c>
      <c r="G1742" t="n">
        <v>3.582</v>
      </c>
      <c r="H1742">
        <f>E1742/F1742</f>
        <v/>
      </c>
      <c r="I1742">
        <f>((H1742-$J$1729)/$I$1729)</f>
        <v/>
      </c>
      <c r="J1742">
        <f>(I1742-IF(I1737&gt;0,I1737,0))</f>
        <v/>
      </c>
      <c r="K1742" s="30">
        <f>J1742*1.1</f>
        <v/>
      </c>
      <c r="L1742" s="25" t="inlineStr">
        <is>
          <t>Average</t>
        </is>
      </c>
      <c r="M1742" s="25" t="inlineStr">
        <is>
          <t>Stdev</t>
        </is>
      </c>
      <c r="N1742" s="26" t="inlineStr">
        <is>
          <t>%Recovery</t>
        </is>
      </c>
      <c r="O1742" s="26" t="inlineStr">
        <is>
          <t>Uncertainty</t>
        </is>
      </c>
      <c r="P1742" s="26" t="inlineStr">
        <is>
          <t>Combined</t>
        </is>
      </c>
      <c r="Q1742" t="inlineStr">
        <is>
          <t>K3-3B</t>
        </is>
      </c>
      <c r="R1742" t="n">
        <v>1.1448</v>
      </c>
    </row>
    <row r="1743">
      <c r="A1743" t="n">
        <v>14</v>
      </c>
      <c r="B1743" t="inlineStr">
        <is>
          <t>SS1</t>
        </is>
      </c>
      <c r="D1743" t="n">
        <v>16.72</v>
      </c>
      <c r="E1743" t="n">
        <v>550.035</v>
      </c>
      <c r="F1743" t="n">
        <v>253.728</v>
      </c>
      <c r="G1743" t="n">
        <v>3.717</v>
      </c>
      <c r="H1743">
        <f>E1743/F1743</f>
        <v/>
      </c>
      <c r="I1743">
        <f>((H1743-$J$1729)/$I$1729)</f>
        <v/>
      </c>
      <c r="J1743">
        <f>(I1743-IF($I$1737&gt;0,$I$1737))</f>
        <v/>
      </c>
      <c r="K1743">
        <f>J1743/R1729*1.1</f>
        <v/>
      </c>
      <c r="L1743" s="27">
        <f>AVERAGE(K1743:K1745)</f>
        <v/>
      </c>
      <c r="M1743" s="27">
        <f>STDEV(K1743:K1745)</f>
        <v/>
      </c>
      <c r="N1743" s="28">
        <f>L1743/J1737*100</f>
        <v/>
      </c>
      <c r="O1743" s="29">
        <f>M1743/J1737*100</f>
        <v/>
      </c>
      <c r="P1743" s="29">
        <f>_xlfn.CONCAT(ROUND(N1743,1)," ± ",ROUND(O1743,1))</f>
        <v/>
      </c>
      <c r="Q1743" t="inlineStr">
        <is>
          <t>K3-3C</t>
        </is>
      </c>
      <c r="R1743" t="n">
        <v>1.0493</v>
      </c>
    </row>
    <row r="1744">
      <c r="A1744" t="n">
        <v>15</v>
      </c>
      <c r="B1744" t="inlineStr">
        <is>
          <t>SS2</t>
        </is>
      </c>
      <c r="D1744" t="n">
        <v>16.52</v>
      </c>
      <c r="E1744" t="n">
        <v>442.362</v>
      </c>
      <c r="F1744" t="n">
        <v>141.602</v>
      </c>
      <c r="G1744" t="n">
        <v>4.941</v>
      </c>
      <c r="H1744">
        <f>E1744/F1744</f>
        <v/>
      </c>
      <c r="I1744">
        <f>((H1744-$J$1729)/$I$1729)</f>
        <v/>
      </c>
      <c r="J1744">
        <f>(I1744-IF($I$1737&gt;0,$I$1737))</f>
        <v/>
      </c>
      <c r="K1744">
        <f>J1744/R1730*1.1</f>
        <v/>
      </c>
      <c r="Q1744" t="inlineStr">
        <is>
          <t>K3-4A</t>
        </is>
      </c>
      <c r="R1744" t="n">
        <v>1.0704</v>
      </c>
    </row>
    <row r="1745">
      <c r="A1745" t="n">
        <v>16</v>
      </c>
      <c r="B1745" t="inlineStr">
        <is>
          <t>SS3</t>
        </is>
      </c>
      <c r="D1745" t="n">
        <v>17.2</v>
      </c>
      <c r="E1745" t="n">
        <v>639.735</v>
      </c>
      <c r="F1745" t="n">
        <v>190.637</v>
      </c>
      <c r="G1745" t="n">
        <v>5.714</v>
      </c>
      <c r="H1745">
        <f>E1745/F1745</f>
        <v/>
      </c>
      <c r="I1745">
        <f>((H1745-$J$1729)/$I$1729)</f>
        <v/>
      </c>
      <c r="J1745">
        <f>(I1745-IF($I$1737&gt;0,$I$1737))</f>
        <v/>
      </c>
      <c r="K1745" s="30">
        <f>J1745/R1731*1.1</f>
        <v/>
      </c>
      <c r="Q1745" t="inlineStr">
        <is>
          <t>K3-4B</t>
        </is>
      </c>
      <c r="R1745" t="n">
        <v>1.1589</v>
      </c>
    </row>
    <row r="1746">
      <c r="A1746" t="n">
        <v>17</v>
      </c>
      <c r="B1746" t="inlineStr">
        <is>
          <t>MeOH</t>
        </is>
      </c>
      <c r="L1746" s="23" t="inlineStr">
        <is>
          <t>Average</t>
        </is>
      </c>
      <c r="M1746" s="23" t="inlineStr">
        <is>
          <t>Stdev</t>
        </is>
      </c>
      <c r="N1746" s="9" t="inlineStr">
        <is>
          <t>Combined</t>
        </is>
      </c>
      <c r="Q1746" t="inlineStr">
        <is>
          <t>K3-4C</t>
        </is>
      </c>
      <c r="R1746" t="n">
        <v>1.0206</v>
      </c>
    </row>
    <row r="1747">
      <c r="A1747" t="n">
        <v>18</v>
      </c>
      <c r="B1747" t="inlineStr">
        <is>
          <t>K4-5A</t>
        </is>
      </c>
      <c r="D1747" t="n">
        <v>16.32</v>
      </c>
      <c r="E1747" t="n">
        <v>415.913</v>
      </c>
      <c r="F1747" t="n">
        <v>73.511</v>
      </c>
      <c r="G1747" t="n">
        <v>5.344</v>
      </c>
      <c r="H1747">
        <f>E1747/F1747</f>
        <v/>
      </c>
      <c r="I1747">
        <f>((H1747-$J$1729)/$I$1729)</f>
        <v/>
      </c>
      <c r="J1747">
        <f>(I1747-IF($I$1737&gt;0,$I$1737))</f>
        <v/>
      </c>
      <c r="K1747">
        <f>J1747/R1731*1.1</f>
        <v/>
      </c>
      <c r="L1747">
        <f>AVERAGE(K1747:K1749)</f>
        <v/>
      </c>
      <c r="M1747">
        <f>STDEV(K1747:K1749)</f>
        <v/>
      </c>
      <c r="N1747">
        <f>_xlfn.CONCAT(ROUND(L1747,1)," ± ",ROUND(M1747,1))</f>
        <v/>
      </c>
      <c r="Q1747" t="inlineStr">
        <is>
          <t>K3-6A</t>
        </is>
      </c>
      <c r="R1747" t="n">
        <v>1.1289</v>
      </c>
    </row>
    <row r="1748">
      <c r="A1748" t="n">
        <v>19</v>
      </c>
      <c r="B1748" t="inlineStr">
        <is>
          <t>K4-5B</t>
        </is>
      </c>
      <c r="D1748" t="n">
        <v>16.53</v>
      </c>
      <c r="E1748" t="n">
        <v>282.194</v>
      </c>
      <c r="F1748" t="n">
        <v>168.771</v>
      </c>
      <c r="G1748" t="n">
        <v>3.317</v>
      </c>
      <c r="H1748">
        <f>E1748/F1748</f>
        <v/>
      </c>
      <c r="I1748">
        <f>((H1748-$J$1729)/$I$1729)</f>
        <v/>
      </c>
      <c r="J1748">
        <f>(I1748-IF($I$1737&gt;0,$I$1737))</f>
        <v/>
      </c>
      <c r="K1748">
        <f>J1748/R1732*1.1</f>
        <v/>
      </c>
      <c r="Q1748" t="inlineStr">
        <is>
          <t>K3-6B</t>
        </is>
      </c>
      <c r="R1748" t="n">
        <v>1.195</v>
      </c>
    </row>
    <row r="1749">
      <c r="A1749" t="n">
        <v>20</v>
      </c>
      <c r="B1749" t="inlineStr">
        <is>
          <t>K4-5C</t>
        </is>
      </c>
      <c r="D1749" t="n">
        <v>17.15</v>
      </c>
      <c r="E1749" t="n">
        <v>111.448</v>
      </c>
      <c r="G1749" t="n">
        <v>1.868</v>
      </c>
      <c r="H1749">
        <f>E1749/F1749</f>
        <v/>
      </c>
      <c r="I1749">
        <f>((H1749-$J$1729)/$I$1729)</f>
        <v/>
      </c>
      <c r="J1749">
        <f>(I1749-IF($I$1737&gt;0,$I$1737))</f>
        <v/>
      </c>
      <c r="K1749">
        <f>J1749/R1733*1.1</f>
        <v/>
      </c>
      <c r="L1749" s="23" t="n"/>
      <c r="M1749" s="23" t="n"/>
      <c r="N1749" s="9" t="n"/>
      <c r="Q1749" t="inlineStr">
        <is>
          <t>K3-6C</t>
        </is>
      </c>
      <c r="R1749" t="n">
        <v>1.1716</v>
      </c>
    </row>
    <row r="1750">
      <c r="A1750" t="n">
        <v>21</v>
      </c>
      <c r="B1750" t="inlineStr">
        <is>
          <t>MeOH</t>
        </is>
      </c>
      <c r="L1750" s="23" t="inlineStr">
        <is>
          <t>Average</t>
        </is>
      </c>
      <c r="M1750" s="23" t="inlineStr">
        <is>
          <t>Stdev</t>
        </is>
      </c>
      <c r="N1750" s="9" t="inlineStr">
        <is>
          <t>Combined</t>
        </is>
      </c>
    </row>
    <row r="1751">
      <c r="A1751" t="n">
        <v>22</v>
      </c>
      <c r="B1751" t="inlineStr">
        <is>
          <t>K3-1A</t>
        </is>
      </c>
      <c r="D1751" t="n">
        <v>17.07</v>
      </c>
      <c r="E1751" t="n">
        <v>264.774</v>
      </c>
      <c r="F1751" t="n">
        <v>163.196</v>
      </c>
      <c r="G1751" t="n">
        <v>3.635</v>
      </c>
      <c r="H1751">
        <f>E1751/F1751</f>
        <v/>
      </c>
      <c r="I1751">
        <f>((H1751-$J$1729)/$I$1729)</f>
        <v/>
      </c>
      <c r="J1751">
        <f>(I1751-IF($I$1737&gt;0,$I$1737))</f>
        <v/>
      </c>
      <c r="K1751">
        <f>J1751/R1734*1.1</f>
        <v/>
      </c>
      <c r="L1751">
        <f>AVERAGE(K1751:K1753)</f>
        <v/>
      </c>
      <c r="M1751">
        <f>STDEV(K1752:K1753)</f>
        <v/>
      </c>
      <c r="N1751">
        <f>_xlfn.CONCAT(ROUND(L1751,1)," ± ",ROUND(M1751,1))</f>
        <v/>
      </c>
    </row>
    <row r="1752">
      <c r="A1752" t="n">
        <v>23</v>
      </c>
      <c r="B1752" t="inlineStr">
        <is>
          <t>K3-1B</t>
        </is>
      </c>
      <c r="D1752" t="n">
        <v>17.01</v>
      </c>
      <c r="E1752" t="n">
        <v>189.617</v>
      </c>
      <c r="F1752" t="n">
        <v>57.781</v>
      </c>
      <c r="G1752" t="n">
        <v>1.319</v>
      </c>
      <c r="H1752">
        <f>E1752/F1752</f>
        <v/>
      </c>
      <c r="I1752">
        <f>((H1752-$J$1729)/$I$1729)</f>
        <v/>
      </c>
      <c r="J1752">
        <f>(I1752-IF($I$1737&gt;0,$I$1737))</f>
        <v/>
      </c>
      <c r="K1752">
        <f>J1752/R1735*1.1</f>
        <v/>
      </c>
    </row>
    <row r="1753">
      <c r="A1753" t="n">
        <v>24</v>
      </c>
      <c r="B1753" t="inlineStr">
        <is>
          <t>K3-1C</t>
        </is>
      </c>
      <c r="D1753" t="n">
        <v>16.52</v>
      </c>
      <c r="E1753" t="n">
        <v>169.415</v>
      </c>
      <c r="F1753" t="n">
        <v>191.361</v>
      </c>
      <c r="G1753" t="n">
        <v>1.478</v>
      </c>
      <c r="H1753">
        <f>E1753/F1753</f>
        <v/>
      </c>
      <c r="I1753">
        <f>((H1753-$J$1729)/$I$1729)</f>
        <v/>
      </c>
      <c r="J1753">
        <f>(I1753-IF($I$1737&gt;0,$I$1737))</f>
        <v/>
      </c>
      <c r="K1753">
        <f>J1753/R1736*1.1</f>
        <v/>
      </c>
      <c r="L1753" s="23" t="inlineStr">
        <is>
          <t>Average</t>
        </is>
      </c>
      <c r="M1753" s="23" t="inlineStr">
        <is>
          <t>Stdev</t>
        </is>
      </c>
      <c r="N1753" s="9" t="inlineStr">
        <is>
          <t>Combined</t>
        </is>
      </c>
    </row>
    <row r="1754">
      <c r="A1754" t="n">
        <v>25</v>
      </c>
      <c r="B1754" t="inlineStr">
        <is>
          <t>K3-2A</t>
        </is>
      </c>
      <c r="D1754" t="n">
        <v>16.72</v>
      </c>
      <c r="E1754" t="n">
        <v>252.928</v>
      </c>
      <c r="F1754" t="n">
        <v>113.81</v>
      </c>
      <c r="G1754" t="n">
        <v>3.08</v>
      </c>
      <c r="H1754">
        <f>E1754/F1754</f>
        <v/>
      </c>
      <c r="I1754">
        <f>((H1754-$J$1729)/$I$1729)</f>
        <v/>
      </c>
      <c r="J1754">
        <f>(I1754-IF($I$1737&gt;0,$I$1737))</f>
        <v/>
      </c>
      <c r="K1754">
        <f>J1754/R1737*1.1</f>
        <v/>
      </c>
      <c r="L1754">
        <f>AVERAGE(K1754:K1756)</f>
        <v/>
      </c>
      <c r="M1754">
        <f>STDEV(K1754:K1756)</f>
        <v/>
      </c>
      <c r="N1754">
        <f>_xlfn.CONCAT(ROUND(L1754,1)," ± ",ROUND(M1754,1))</f>
        <v/>
      </c>
    </row>
    <row r="1755">
      <c r="A1755" t="n">
        <v>26</v>
      </c>
      <c r="B1755" t="inlineStr">
        <is>
          <t>K3-2B</t>
        </is>
      </c>
      <c r="D1755" t="n">
        <v>16.06</v>
      </c>
      <c r="E1755" t="n">
        <v>300.942</v>
      </c>
      <c r="F1755" t="n">
        <v>85.271</v>
      </c>
      <c r="G1755" t="n">
        <v>3.4</v>
      </c>
      <c r="H1755">
        <f>E1755/F1755</f>
        <v/>
      </c>
      <c r="I1755">
        <f>((H1755-$J$1729)/$I$1729)</f>
        <v/>
      </c>
      <c r="J1755">
        <f>(I1755-IF($I$1737&gt;0,$I$1737))</f>
        <v/>
      </c>
      <c r="K1755">
        <f>J1755/R1738*1.1</f>
        <v/>
      </c>
    </row>
    <row r="1756">
      <c r="A1756" t="n">
        <v>27</v>
      </c>
      <c r="B1756" t="inlineStr">
        <is>
          <t>K3-2C</t>
        </is>
      </c>
      <c r="D1756" t="n">
        <v>17.11</v>
      </c>
      <c r="E1756" t="n">
        <v>375.734</v>
      </c>
      <c r="F1756" t="n">
        <v>86.066</v>
      </c>
      <c r="G1756" t="n">
        <v>2.638</v>
      </c>
      <c r="H1756">
        <f>E1756/F1756</f>
        <v/>
      </c>
      <c r="I1756">
        <f>((H1756-$J$1729)/$I$1729)</f>
        <v/>
      </c>
      <c r="J1756">
        <f>(I1756-IF($I$1737&gt;0,$I$1737))</f>
        <v/>
      </c>
      <c r="K1756">
        <f>J1756/R1739*1.1</f>
        <v/>
      </c>
      <c r="L1756" s="23" t="n"/>
      <c r="M1756" s="23" t="n"/>
      <c r="N1756" s="9" t="n"/>
    </row>
    <row r="1757">
      <c r="A1757" t="n">
        <v>28</v>
      </c>
      <c r="B1757" t="inlineStr">
        <is>
          <t>MeOH</t>
        </is>
      </c>
      <c r="L1757" s="23" t="inlineStr">
        <is>
          <t>Average</t>
        </is>
      </c>
      <c r="M1757" s="23" t="inlineStr">
        <is>
          <t>Stdev</t>
        </is>
      </c>
      <c r="N1757" s="9" t="inlineStr">
        <is>
          <t>Combined</t>
        </is>
      </c>
    </row>
    <row r="1758">
      <c r="A1758" t="n">
        <v>29</v>
      </c>
      <c r="B1758" t="inlineStr">
        <is>
          <t>K3-3A</t>
        </is>
      </c>
      <c r="D1758" t="n">
        <v>16.52</v>
      </c>
      <c r="E1758" t="n">
        <v>188.484</v>
      </c>
      <c r="F1758" t="n">
        <v>43.273</v>
      </c>
      <c r="G1758" t="n">
        <v>1.37</v>
      </c>
      <c r="H1758">
        <f>E1758/F1758</f>
        <v/>
      </c>
      <c r="I1758">
        <f>((H1758-$J$1729)/$I$1729)</f>
        <v/>
      </c>
      <c r="J1758">
        <f>(I1758-IF($I$1737&gt;0,$I$1737))</f>
        <v/>
      </c>
      <c r="K1758">
        <f>J1758/R1740*1.1</f>
        <v/>
      </c>
      <c r="L1758">
        <f>AVERAGE(K1758:K1760)</f>
        <v/>
      </c>
      <c r="M1758">
        <f>STDEV(K1759:K1760)</f>
        <v/>
      </c>
      <c r="N1758">
        <f>_xlfn.CONCAT(ROUND(L1758,1)," ± ",ROUND(M1758,1))</f>
        <v/>
      </c>
    </row>
    <row r="1759">
      <c r="A1759" t="n">
        <v>30</v>
      </c>
      <c r="B1759" t="inlineStr">
        <is>
          <t>K3-3B</t>
        </is>
      </c>
      <c r="D1759" t="n">
        <v>16.32</v>
      </c>
      <c r="E1759" t="n">
        <v>332.804</v>
      </c>
      <c r="F1759" t="n">
        <v>147.53</v>
      </c>
      <c r="G1759" t="n">
        <v>2.153</v>
      </c>
      <c r="H1759">
        <f>E1759/F1759</f>
        <v/>
      </c>
      <c r="I1759">
        <f>((H1759-$J$1729)/$I$1729)</f>
        <v/>
      </c>
      <c r="J1759">
        <f>(I1759-IF($I$1737&gt;0,$I$1737))</f>
        <v/>
      </c>
      <c r="K1759">
        <f>J1759/R1741*1.1</f>
        <v/>
      </c>
    </row>
    <row r="1760">
      <c r="A1760" t="n">
        <v>31</v>
      </c>
      <c r="B1760" t="inlineStr">
        <is>
          <t>K3-3C</t>
        </is>
      </c>
      <c r="D1760" t="n">
        <v>16.31</v>
      </c>
      <c r="E1760" t="n">
        <v>137.012</v>
      </c>
      <c r="F1760" t="n">
        <v>100.998</v>
      </c>
      <c r="G1760" t="n">
        <v>1.504</v>
      </c>
      <c r="H1760">
        <f>E1760/F1760</f>
        <v/>
      </c>
      <c r="I1760">
        <f>((H1760-$J$1729)/$I$1729)</f>
        <v/>
      </c>
      <c r="J1760">
        <f>(I1760-IF($I$1737&gt;0,$I$1737))</f>
        <v/>
      </c>
      <c r="K1760">
        <f>J1760/R1742*1.1</f>
        <v/>
      </c>
      <c r="L1760" s="23" t="inlineStr">
        <is>
          <t>Average</t>
        </is>
      </c>
      <c r="M1760" s="23" t="inlineStr">
        <is>
          <t>Stdev</t>
        </is>
      </c>
      <c r="N1760" s="9" t="inlineStr">
        <is>
          <t>Combined</t>
        </is>
      </c>
    </row>
    <row r="1761">
      <c r="A1761" t="n">
        <v>32</v>
      </c>
      <c r="B1761" t="inlineStr">
        <is>
          <t>K3-4A</t>
        </is>
      </c>
      <c r="D1761" t="n">
        <v>16.39</v>
      </c>
      <c r="E1761" t="n">
        <v>196.066</v>
      </c>
      <c r="F1761" t="n">
        <v>62.627</v>
      </c>
      <c r="G1761" t="n">
        <v>2.939</v>
      </c>
      <c r="H1761">
        <f>E1761/F1761</f>
        <v/>
      </c>
      <c r="I1761">
        <f>((H1761-$J$1729)/$I$1729)</f>
        <v/>
      </c>
      <c r="J1761">
        <f>(I1761-IF($I$1737&gt;0,$I$1737))</f>
        <v/>
      </c>
      <c r="K1761">
        <f>J1761/R1743*1.1</f>
        <v/>
      </c>
      <c r="L1761">
        <f>AVERAGE(K1761:K1763)</f>
        <v/>
      </c>
      <c r="M1761">
        <f>STDEV(K1761:K1763)</f>
        <v/>
      </c>
      <c r="N1761">
        <f>_xlfn.CONCAT(ROUND(L1761,1)," ± ",ROUND(M1761,1))</f>
        <v/>
      </c>
    </row>
    <row r="1762">
      <c r="A1762" t="n">
        <v>33</v>
      </c>
      <c r="B1762" t="inlineStr">
        <is>
          <t>K3-4B</t>
        </is>
      </c>
      <c r="D1762" t="n">
        <v>16.41</v>
      </c>
      <c r="E1762" t="n">
        <v>205.525</v>
      </c>
      <c r="F1762" t="n">
        <v>116.61</v>
      </c>
      <c r="G1762" t="n">
        <v>3.405</v>
      </c>
      <c r="H1762">
        <f>E1762/F1762</f>
        <v/>
      </c>
      <c r="I1762">
        <f>((H1762-$J$1729)/$I$1729)</f>
        <v/>
      </c>
      <c r="J1762">
        <f>(I1762-IF($I$1737&gt;0,$I$1737))</f>
        <v/>
      </c>
      <c r="K1762">
        <f>J1762/R1744*1.1</f>
        <v/>
      </c>
    </row>
    <row r="1763">
      <c r="A1763" t="n">
        <v>34</v>
      </c>
      <c r="B1763" t="inlineStr">
        <is>
          <t>K3-4C</t>
        </is>
      </c>
      <c r="D1763" t="n">
        <v>16.48</v>
      </c>
      <c r="E1763" t="n">
        <v>149.209</v>
      </c>
      <c r="F1763" t="n">
        <v>125.41</v>
      </c>
      <c r="G1763" t="n">
        <v>2.144</v>
      </c>
      <c r="H1763">
        <f>E1763/F1763</f>
        <v/>
      </c>
      <c r="I1763">
        <f>((H1763-$J$1729)/$I$1729)</f>
        <v/>
      </c>
      <c r="J1763">
        <f>(I1763-IF($I$1737&gt;0,$I$1737))</f>
        <v/>
      </c>
      <c r="K1763">
        <f>J1763/R1745*1.1</f>
        <v/>
      </c>
      <c r="L1763" s="23" t="n"/>
      <c r="M1763" s="23" t="n"/>
      <c r="N1763" s="9" t="n"/>
    </row>
    <row r="1764">
      <c r="A1764" t="n">
        <v>35</v>
      </c>
      <c r="B1764" t="inlineStr">
        <is>
          <t>MeOH</t>
        </is>
      </c>
      <c r="L1764" s="23" t="inlineStr">
        <is>
          <t>Average</t>
        </is>
      </c>
      <c r="M1764" s="23" t="inlineStr">
        <is>
          <t>Stdev</t>
        </is>
      </c>
      <c r="N1764" s="9" t="inlineStr">
        <is>
          <t>Combined</t>
        </is>
      </c>
    </row>
    <row r="1765">
      <c r="A1765" t="n">
        <v>36</v>
      </c>
      <c r="B1765" t="inlineStr">
        <is>
          <t>K3-6A</t>
        </is>
      </c>
      <c r="D1765" t="n">
        <v>16.53</v>
      </c>
      <c r="E1765" t="n">
        <v>188.87</v>
      </c>
      <c r="F1765" t="n">
        <v>54.508</v>
      </c>
      <c r="G1765" t="n">
        <v>2.595</v>
      </c>
      <c r="H1765">
        <f>E1765/F1765</f>
        <v/>
      </c>
      <c r="I1765">
        <f>((H1765-$J$1729)/$I$1729)</f>
        <v/>
      </c>
      <c r="J1765">
        <f>(I1765-IF($I$1737&gt;0,$I$1737))</f>
        <v/>
      </c>
      <c r="K1765">
        <f>J1765/R1746*1.1</f>
        <v/>
      </c>
      <c r="L1765">
        <f>AVERAGE(K1765:K1767)</f>
        <v/>
      </c>
      <c r="M1765">
        <f>STDEV(K1765:K1767)</f>
        <v/>
      </c>
      <c r="N1765">
        <f>_xlfn.CONCAT(ROUND(L1765,1)," ± ",ROUND(M1765,1))</f>
        <v/>
      </c>
    </row>
    <row r="1766">
      <c r="A1766" t="n">
        <v>37</v>
      </c>
      <c r="B1766" t="inlineStr">
        <is>
          <t>K3-6B</t>
        </is>
      </c>
      <c r="D1766" t="n">
        <v>17.09</v>
      </c>
      <c r="E1766" t="n">
        <v>194.825</v>
      </c>
      <c r="F1766" t="n">
        <v>34.035</v>
      </c>
      <c r="G1766" t="n">
        <v>2.214</v>
      </c>
      <c r="H1766">
        <f>E1766/F1766</f>
        <v/>
      </c>
      <c r="I1766">
        <f>((H1766-$J$1729)/$I$1729)</f>
        <v/>
      </c>
      <c r="J1766">
        <f>(I1766-IF($I$1737&gt;0,$I$1737))</f>
        <v/>
      </c>
      <c r="K1766">
        <f>J1766/R1747*1.1</f>
        <v/>
      </c>
    </row>
    <row r="1767">
      <c r="A1767" t="n">
        <v>38</v>
      </c>
      <c r="B1767" t="inlineStr">
        <is>
          <t>K3-6C</t>
        </is>
      </c>
      <c r="D1767" t="n">
        <v>17.11</v>
      </c>
      <c r="E1767" t="n">
        <v>147.058</v>
      </c>
      <c r="F1767" t="n">
        <v>29.42</v>
      </c>
      <c r="G1767" t="n">
        <v>1.711</v>
      </c>
      <c r="H1767">
        <f>E1767/F1767</f>
        <v/>
      </c>
      <c r="I1767">
        <f>((H1767-$J$1729)/$I$1729)</f>
        <v/>
      </c>
      <c r="J1767">
        <f>(I1767-IF($I$1737&gt;0,$I$1737))</f>
        <v/>
      </c>
      <c r="K1767">
        <f>J1767/R1748*1.1</f>
        <v/>
      </c>
      <c r="L1767" s="23" t="n"/>
      <c r="M1767" s="23" t="n"/>
      <c r="N1767" s="9" t="n"/>
    </row>
    <row r="1769">
      <c r="A1769" t="inlineStr">
        <is>
          <t>Compound 43:  6-8-8 triPAP 2 *</t>
        </is>
      </c>
    </row>
    <row r="1771">
      <c r="B1771" t="inlineStr">
        <is>
          <t>Sample Text</t>
        </is>
      </c>
      <c r="C1771" t="inlineStr">
        <is>
          <t>Std. Conc</t>
        </is>
      </c>
      <c r="D1771" t="inlineStr">
        <is>
          <t>RT</t>
        </is>
      </c>
      <c r="E1771" t="inlineStr">
        <is>
          <t>Area</t>
        </is>
      </c>
      <c r="F1771" t="inlineStr">
        <is>
          <t>IS Area</t>
        </is>
      </c>
      <c r="G1771" t="inlineStr">
        <is>
          <t>S/N</t>
        </is>
      </c>
      <c r="H1771" t="inlineStr">
        <is>
          <t>Primary Flags</t>
        </is>
      </c>
      <c r="I1771" t="inlineStr">
        <is>
          <t>Response</t>
        </is>
      </c>
      <c r="J1771" t="inlineStr">
        <is>
          <t>Conc.</t>
        </is>
      </c>
      <c r="K1771" t="inlineStr">
        <is>
          <t>Name</t>
        </is>
      </c>
    </row>
    <row r="1772">
      <c r="A1772" t="n">
        <v>1</v>
      </c>
      <c r="B1772" t="inlineStr">
        <is>
          <t>EPA1633 &amp; diPAPs Calibration 0 ppb</t>
        </is>
      </c>
      <c r="F1772" t="n">
        <v>3123.66</v>
      </c>
      <c r="K1772" t="inlineStr">
        <is>
          <t>20250617-12</t>
        </is>
      </c>
    </row>
    <row r="1773">
      <c r="A1773" t="n">
        <v>2</v>
      </c>
      <c r="B1773" t="inlineStr">
        <is>
          <t>EPA1633 &amp; diPAPs Calibration 0.02 ppb</t>
        </is>
      </c>
      <c r="F1773" t="n">
        <v>1988.362</v>
      </c>
      <c r="K1773" t="inlineStr">
        <is>
          <t>20250617-13</t>
        </is>
      </c>
    </row>
    <row r="1774">
      <c r="A1774" t="n">
        <v>3</v>
      </c>
      <c r="B1774" t="inlineStr">
        <is>
          <t>EPA1633 &amp; diPAPs Calibration 0.1 ppb</t>
        </is>
      </c>
      <c r="F1774" t="n">
        <v>2172.051</v>
      </c>
      <c r="K1774" t="inlineStr">
        <is>
          <t>20250617-14</t>
        </is>
      </c>
    </row>
    <row r="1775">
      <c r="A1775" t="n">
        <v>4</v>
      </c>
      <c r="B1775" t="inlineStr">
        <is>
          <t>EPA1633 &amp; diPAPs Calibration 0.4 ppb</t>
        </is>
      </c>
      <c r="F1775" t="n">
        <v>2307.023</v>
      </c>
      <c r="K1775" t="inlineStr">
        <is>
          <t>20250617-15</t>
        </is>
      </c>
    </row>
    <row r="1776">
      <c r="A1776" t="n">
        <v>5</v>
      </c>
      <c r="B1776" t="inlineStr">
        <is>
          <t>EPA1633 &amp; diPAPs Calibration 1 ppb</t>
        </is>
      </c>
      <c r="F1776" t="n">
        <v>1818.826</v>
      </c>
      <c r="K1776" t="inlineStr">
        <is>
          <t>20250617-16</t>
        </is>
      </c>
    </row>
    <row r="1777">
      <c r="A1777" t="n">
        <v>6</v>
      </c>
      <c r="B1777" t="inlineStr">
        <is>
          <t>EPA1633 &amp; diPAPs Calibration 5 ppb</t>
        </is>
      </c>
      <c r="F1777" t="n">
        <v>1651.747</v>
      </c>
      <c r="K1777" t="inlineStr">
        <is>
          <t>20250617-17</t>
        </is>
      </c>
    </row>
    <row r="1778">
      <c r="A1778" t="n">
        <v>7</v>
      </c>
      <c r="B1778" t="inlineStr">
        <is>
          <t>EPA1633 &amp; diPAPs Calibration 10 ppb</t>
        </is>
      </c>
      <c r="F1778" t="n">
        <v>5035.45</v>
      </c>
      <c r="K1778" t="inlineStr">
        <is>
          <t>20250617-18</t>
        </is>
      </c>
    </row>
    <row r="1779">
      <c r="A1779" t="n">
        <v>8</v>
      </c>
      <c r="B1779" t="inlineStr">
        <is>
          <t>EPA1633 &amp; diPAPs Calibration 20 ppb</t>
        </is>
      </c>
      <c r="F1779" t="n">
        <v>2142.017</v>
      </c>
      <c r="K1779" t="inlineStr">
        <is>
          <t>20250617-19</t>
        </is>
      </c>
    </row>
    <row r="1780">
      <c r="A1780" t="n">
        <v>9</v>
      </c>
      <c r="B1780" t="inlineStr">
        <is>
          <t>MeOH</t>
        </is>
      </c>
      <c r="K1780" t="inlineStr">
        <is>
          <t>20250617-20</t>
        </is>
      </c>
    </row>
    <row r="1781">
      <c r="A1781" t="n">
        <v>10</v>
      </c>
      <c r="B1781" t="inlineStr">
        <is>
          <t>MeOH</t>
        </is>
      </c>
      <c r="K1781" t="inlineStr">
        <is>
          <t>20250617-21</t>
        </is>
      </c>
    </row>
    <row r="1782">
      <c r="A1782" t="n">
        <v>11</v>
      </c>
      <c r="B1782" t="inlineStr">
        <is>
          <t>SB1</t>
        </is>
      </c>
      <c r="F1782" t="n">
        <v>588.622</v>
      </c>
      <c r="K1782" t="inlineStr">
        <is>
          <t>20250617-22</t>
        </is>
      </c>
    </row>
    <row r="1783">
      <c r="A1783" t="n">
        <v>12</v>
      </c>
      <c r="B1783" t="inlineStr">
        <is>
          <t>SB2</t>
        </is>
      </c>
      <c r="F1783" t="n">
        <v>886.918</v>
      </c>
      <c r="K1783" t="inlineStr">
        <is>
          <t>20250617-23</t>
        </is>
      </c>
    </row>
    <row r="1784">
      <c r="A1784" t="n">
        <v>13</v>
      </c>
      <c r="B1784" t="inlineStr">
        <is>
          <t>SB3</t>
        </is>
      </c>
      <c r="F1784" t="n">
        <v>608.25</v>
      </c>
      <c r="K1784" t="inlineStr">
        <is>
          <t>20250617-24</t>
        </is>
      </c>
    </row>
    <row r="1785">
      <c r="A1785" t="n">
        <v>14</v>
      </c>
      <c r="B1785" t="inlineStr">
        <is>
          <t>SS1</t>
        </is>
      </c>
      <c r="F1785" t="n">
        <v>780.986</v>
      </c>
      <c r="K1785" t="inlineStr">
        <is>
          <t>20250617-25</t>
        </is>
      </c>
    </row>
    <row r="1786">
      <c r="A1786" t="n">
        <v>15</v>
      </c>
      <c r="B1786" t="inlineStr">
        <is>
          <t>SS2</t>
        </is>
      </c>
      <c r="F1786" t="n">
        <v>821.647</v>
      </c>
      <c r="K1786" t="inlineStr">
        <is>
          <t>20250617-26</t>
        </is>
      </c>
    </row>
    <row r="1787">
      <c r="A1787" t="n">
        <v>16</v>
      </c>
      <c r="B1787" t="inlineStr">
        <is>
          <t>SS3</t>
        </is>
      </c>
      <c r="F1787" t="n">
        <v>561.066</v>
      </c>
      <c r="K1787" t="inlineStr">
        <is>
          <t>20250617-27</t>
        </is>
      </c>
    </row>
    <row r="1788">
      <c r="A1788" t="n">
        <v>17</v>
      </c>
      <c r="B1788" t="inlineStr">
        <is>
          <t>MeOH</t>
        </is>
      </c>
      <c r="K1788" t="inlineStr">
        <is>
          <t>20250617-28</t>
        </is>
      </c>
    </row>
    <row r="1789">
      <c r="A1789" t="n">
        <v>18</v>
      </c>
      <c r="B1789" t="inlineStr">
        <is>
          <t>K4-5A</t>
        </is>
      </c>
      <c r="F1789" t="n">
        <v>608.375</v>
      </c>
      <c r="K1789" t="inlineStr">
        <is>
          <t>20250617-29</t>
        </is>
      </c>
    </row>
    <row r="1790">
      <c r="A1790" t="n">
        <v>19</v>
      </c>
      <c r="B1790" t="inlineStr">
        <is>
          <t>K4-5B</t>
        </is>
      </c>
      <c r="F1790" t="n">
        <v>605.4109999999999</v>
      </c>
      <c r="K1790" t="inlineStr">
        <is>
          <t>20250617-30</t>
        </is>
      </c>
    </row>
    <row r="1791">
      <c r="A1791" t="n">
        <v>20</v>
      </c>
      <c r="B1791" t="inlineStr">
        <is>
          <t>K4-5C</t>
        </is>
      </c>
      <c r="K1791" t="inlineStr">
        <is>
          <t>20250617-31</t>
        </is>
      </c>
    </row>
    <row r="1792">
      <c r="A1792" t="n">
        <v>21</v>
      </c>
      <c r="B1792" t="inlineStr">
        <is>
          <t>MeOH</t>
        </is>
      </c>
      <c r="K1792" t="inlineStr">
        <is>
          <t>20250617-32</t>
        </is>
      </c>
    </row>
    <row r="1793">
      <c r="A1793" t="n">
        <v>22</v>
      </c>
      <c r="B1793" t="inlineStr">
        <is>
          <t>K3-1A</t>
        </is>
      </c>
      <c r="F1793" t="n">
        <v>586.254</v>
      </c>
      <c r="K1793" t="inlineStr">
        <is>
          <t>20250617-33</t>
        </is>
      </c>
    </row>
    <row r="1794">
      <c r="A1794" t="n">
        <v>23</v>
      </c>
      <c r="B1794" t="inlineStr">
        <is>
          <t>K3-1B</t>
        </is>
      </c>
      <c r="F1794" t="n">
        <v>599.562</v>
      </c>
      <c r="K1794" t="inlineStr">
        <is>
          <t>20250617-34</t>
        </is>
      </c>
    </row>
    <row r="1795">
      <c r="A1795" t="n">
        <v>24</v>
      </c>
      <c r="B1795" t="inlineStr">
        <is>
          <t>K3-1C</t>
        </is>
      </c>
      <c r="F1795" t="n">
        <v>676.624</v>
      </c>
      <c r="K1795" t="inlineStr">
        <is>
          <t>20250617-35</t>
        </is>
      </c>
    </row>
    <row r="1796">
      <c r="A1796" t="n">
        <v>25</v>
      </c>
      <c r="B1796" t="inlineStr">
        <is>
          <t>K3-2A</t>
        </is>
      </c>
      <c r="F1796" t="n">
        <v>577.7329999999999</v>
      </c>
      <c r="K1796" t="inlineStr">
        <is>
          <t>20250617-36</t>
        </is>
      </c>
    </row>
    <row r="1797">
      <c r="A1797" t="n">
        <v>26</v>
      </c>
      <c r="B1797" t="inlineStr">
        <is>
          <t>K3-2B</t>
        </is>
      </c>
      <c r="F1797" t="n">
        <v>839.127</v>
      </c>
      <c r="K1797" t="inlineStr">
        <is>
          <t>20250617-37</t>
        </is>
      </c>
    </row>
    <row r="1798">
      <c r="A1798" t="n">
        <v>27</v>
      </c>
      <c r="B1798" t="inlineStr">
        <is>
          <t>K3-2C</t>
        </is>
      </c>
      <c r="F1798" t="n">
        <v>585.352</v>
      </c>
      <c r="K1798" t="inlineStr">
        <is>
          <t>20250617-38</t>
        </is>
      </c>
    </row>
    <row r="1799">
      <c r="A1799" t="n">
        <v>28</v>
      </c>
      <c r="B1799" t="inlineStr">
        <is>
          <t>MeOH</t>
        </is>
      </c>
      <c r="K1799" t="inlineStr">
        <is>
          <t>20250617-39</t>
        </is>
      </c>
    </row>
    <row r="1800">
      <c r="A1800" t="n">
        <v>29</v>
      </c>
      <c r="B1800" t="inlineStr">
        <is>
          <t>K3-3A</t>
        </is>
      </c>
      <c r="F1800" t="n">
        <v>346.277</v>
      </c>
      <c r="K1800" t="inlineStr">
        <is>
          <t>20250617-40</t>
        </is>
      </c>
    </row>
    <row r="1801">
      <c r="A1801" t="n">
        <v>30</v>
      </c>
      <c r="B1801" t="inlineStr">
        <is>
          <t>K3-3B</t>
        </is>
      </c>
      <c r="F1801" t="n">
        <v>693.228</v>
      </c>
      <c r="K1801" t="inlineStr">
        <is>
          <t>20250617-41</t>
        </is>
      </c>
    </row>
    <row r="1802">
      <c r="A1802" t="n">
        <v>31</v>
      </c>
      <c r="B1802" t="inlineStr">
        <is>
          <t>K3-3C</t>
        </is>
      </c>
      <c r="F1802" t="n">
        <v>529.389</v>
      </c>
      <c r="K1802" t="inlineStr">
        <is>
          <t>20250617-42</t>
        </is>
      </c>
    </row>
    <row r="1803">
      <c r="A1803" t="n">
        <v>32</v>
      </c>
      <c r="B1803" t="inlineStr">
        <is>
          <t>K3-4A</t>
        </is>
      </c>
      <c r="F1803" t="n">
        <v>496.854</v>
      </c>
      <c r="K1803" t="inlineStr">
        <is>
          <t>20250617-43</t>
        </is>
      </c>
    </row>
    <row r="1804">
      <c r="A1804" t="n">
        <v>33</v>
      </c>
      <c r="B1804" t="inlineStr">
        <is>
          <t>K3-4B</t>
        </is>
      </c>
      <c r="F1804" t="n">
        <v>533.124</v>
      </c>
      <c r="K1804" t="inlineStr">
        <is>
          <t>20250617-44</t>
        </is>
      </c>
    </row>
    <row r="1805">
      <c r="A1805" t="n">
        <v>34</v>
      </c>
      <c r="B1805" t="inlineStr">
        <is>
          <t>K3-4C</t>
        </is>
      </c>
      <c r="F1805" t="n">
        <v>606.571</v>
      </c>
      <c r="K1805" t="inlineStr">
        <is>
          <t>20250617-45</t>
        </is>
      </c>
    </row>
    <row r="1806">
      <c r="A1806" t="n">
        <v>35</v>
      </c>
      <c r="B1806" t="inlineStr">
        <is>
          <t>MeOH</t>
        </is>
      </c>
      <c r="K1806" t="inlineStr">
        <is>
          <t>20250617-46</t>
        </is>
      </c>
    </row>
    <row r="1807">
      <c r="A1807" t="n">
        <v>36</v>
      </c>
      <c r="B1807" t="inlineStr">
        <is>
          <t>K3-6A</t>
        </is>
      </c>
      <c r="F1807" t="n">
        <v>354.208</v>
      </c>
      <c r="K1807" t="inlineStr">
        <is>
          <t>20250617-47</t>
        </is>
      </c>
    </row>
    <row r="1808">
      <c r="A1808" t="n">
        <v>37</v>
      </c>
      <c r="B1808" t="inlineStr">
        <is>
          <t>K3-6B</t>
        </is>
      </c>
      <c r="F1808" t="n">
        <v>348.087</v>
      </c>
      <c r="K1808" t="inlineStr">
        <is>
          <t>20250617-48</t>
        </is>
      </c>
    </row>
    <row r="1809">
      <c r="A1809" t="n">
        <v>38</v>
      </c>
      <c r="B1809" t="inlineStr">
        <is>
          <t>K3-6C</t>
        </is>
      </c>
      <c r="F1809" t="n">
        <v>270.181</v>
      </c>
      <c r="K1809" t="inlineStr">
        <is>
          <t>20250617-49</t>
        </is>
      </c>
    </row>
    <row r="1811">
      <c r="A1811" t="inlineStr">
        <is>
          <t>Compound 44:  6-8-10 triPAP 1 *</t>
        </is>
      </c>
    </row>
    <row r="1812">
      <c r="I1812" t="inlineStr">
        <is>
          <t>LINEST</t>
        </is>
      </c>
      <c r="Q1812" t="inlineStr">
        <is>
          <t>Biosolids Masses</t>
        </is>
      </c>
      <c r="R1812" t="inlineStr">
        <is>
          <t>(g)</t>
        </is>
      </c>
    </row>
    <row r="1813">
      <c r="B1813" t="inlineStr">
        <is>
          <t>Sample Text</t>
        </is>
      </c>
      <c r="C1813" t="inlineStr">
        <is>
          <t>Std. Conc</t>
        </is>
      </c>
      <c r="D1813" t="inlineStr">
        <is>
          <t>RT</t>
        </is>
      </c>
      <c r="E1813" t="inlineStr">
        <is>
          <t>Area</t>
        </is>
      </c>
      <c r="F1813" t="inlineStr">
        <is>
          <t>IS Area</t>
        </is>
      </c>
      <c r="G1813" t="inlineStr">
        <is>
          <t>S/N</t>
        </is>
      </c>
      <c r="H1813" t="inlineStr">
        <is>
          <t>ratio</t>
        </is>
      </c>
      <c r="I1813">
        <f t="array" ref="I1813:J1817">LINEST(H1815:H1820,C1815:C1820,1,1)</f>
        <v/>
      </c>
      <c r="J1813" t="n">
        <v>0.6168681049874565</v>
      </c>
      <c r="L1813" s="20" t="inlineStr">
        <is>
          <t>By S/N Ratio</t>
        </is>
      </c>
      <c r="Q1813" t="inlineStr">
        <is>
          <t>SS1</t>
        </is>
      </c>
      <c r="R1813" t="n">
        <v>1.0846</v>
      </c>
    </row>
    <row r="1814">
      <c r="A1814" t="n">
        <v>1</v>
      </c>
      <c r="B1814" t="inlineStr">
        <is>
          <t>EPA1633 &amp; diPAPs Calibration 0 ppb</t>
        </is>
      </c>
      <c r="C1814" t="n">
        <v>0</v>
      </c>
      <c r="D1814" t="n">
        <v>16.31</v>
      </c>
      <c r="E1814" t="n">
        <v>318.553</v>
      </c>
      <c r="F1814" t="n">
        <v>1343.627</v>
      </c>
      <c r="G1814" t="n">
        <v>2.909</v>
      </c>
      <c r="H1814">
        <f>E1814/F1814</f>
        <v/>
      </c>
      <c r="I1814" t="n">
        <v>0.00148864554264286</v>
      </c>
      <c r="J1814" t="n">
        <v>0.07620983182349124</v>
      </c>
      <c r="K1814" t="inlineStr">
        <is>
          <t>LOD</t>
        </is>
      </c>
      <c r="L1814" s="21">
        <f>IF(G1817&gt;3,C1817,IF(G1818&gt;3,#REF!,IF(G1819&gt;3,C1819,IF(G1820&gt;3,#REF!,#REF!))))</f>
        <v/>
      </c>
      <c r="Q1814" t="inlineStr">
        <is>
          <t>SS2</t>
        </is>
      </c>
      <c r="R1814" t="n">
        <v>1.0726</v>
      </c>
    </row>
    <row r="1815">
      <c r="A1815" t="n">
        <v>2</v>
      </c>
      <c r="B1815" t="inlineStr">
        <is>
          <t>EPA1633 &amp; diPAPs Calibration 0.02 ppb</t>
        </is>
      </c>
      <c r="C1815" t="n">
        <v>5</v>
      </c>
      <c r="D1815" t="n">
        <v>16.33</v>
      </c>
      <c r="E1815" t="n">
        <v>428.642</v>
      </c>
      <c r="F1815" t="n">
        <v>633.474</v>
      </c>
      <c r="G1815" t="n">
        <v>5.698</v>
      </c>
      <c r="H1815">
        <f>E1815/F1815</f>
        <v/>
      </c>
      <c r="I1815" t="n">
        <v>0.9954725869985482</v>
      </c>
      <c r="J1815" t="n">
        <v>0.1202106239810924</v>
      </c>
      <c r="K1815" t="inlineStr">
        <is>
          <t>LOQ</t>
        </is>
      </c>
      <c r="L1815" s="22">
        <f>IF(G1817&gt;10,C1817,IF(G1818&gt;10,#REF!,IF(G1819&gt;10,C1819,IF(G1820&gt;10,#REF!,#REF!))))</f>
        <v/>
      </c>
      <c r="Q1815" t="inlineStr">
        <is>
          <t>SS3</t>
        </is>
      </c>
      <c r="R1815" t="n">
        <v>1.1534</v>
      </c>
    </row>
    <row r="1816">
      <c r="A1816" t="n">
        <v>3</v>
      </c>
      <c r="B1816" t="inlineStr">
        <is>
          <t>EPA1633 &amp; diPAPs Calibration 0.1 ppb</t>
        </is>
      </c>
      <c r="C1816" t="n">
        <v>10</v>
      </c>
      <c r="D1816" t="n">
        <v>16.32</v>
      </c>
      <c r="E1816" t="n">
        <v>773.018</v>
      </c>
      <c r="F1816" t="n">
        <v>645.6369999999999</v>
      </c>
      <c r="G1816" t="n">
        <v>22.162</v>
      </c>
      <c r="H1816">
        <f>E1816/F1816</f>
        <v/>
      </c>
      <c r="I1816" t="n">
        <v>879.5067617461335</v>
      </c>
      <c r="J1816" t="n">
        <v>4</v>
      </c>
      <c r="Q1816" t="inlineStr">
        <is>
          <t>K4-5A</t>
        </is>
      </c>
      <c r="R1816" t="n">
        <v>1.1054</v>
      </c>
    </row>
    <row r="1817">
      <c r="A1817" t="n">
        <v>4</v>
      </c>
      <c r="B1817" t="inlineStr">
        <is>
          <t>EPA1633 &amp; diPAPs Calibration 0.4 ppb</t>
        </is>
      </c>
      <c r="C1817" t="n">
        <v>20</v>
      </c>
      <c r="D1817" t="n">
        <v>16.32</v>
      </c>
      <c r="E1817" t="n">
        <v>1093.406</v>
      </c>
      <c r="F1817" t="n">
        <v>750.9640000000001</v>
      </c>
      <c r="G1817" t="n">
        <v>6.274</v>
      </c>
      <c r="H1817">
        <f>E1817/F1817</f>
        <v/>
      </c>
      <c r="I1817" t="n">
        <v>12.7093952379627</v>
      </c>
      <c r="J1817" t="n">
        <v>0.05780237647169435</v>
      </c>
      <c r="Q1817" t="inlineStr">
        <is>
          <t>K4-5B</t>
        </is>
      </c>
      <c r="R1817" s="10" t="n">
        <v>1.0463</v>
      </c>
    </row>
    <row r="1818">
      <c r="A1818" t="n">
        <v>5</v>
      </c>
      <c r="B1818" t="inlineStr">
        <is>
          <t>EPA1633 &amp; diPAPs Calibration 1 ppb</t>
        </is>
      </c>
      <c r="C1818" t="n">
        <v>40</v>
      </c>
      <c r="D1818" t="n">
        <v>16.32</v>
      </c>
      <c r="E1818" t="n">
        <v>2044.602</v>
      </c>
      <c r="F1818" t="n">
        <v>827.3049999999999</v>
      </c>
      <c r="G1818" t="n">
        <v>33.729</v>
      </c>
      <c r="H1818">
        <f>E1818/F1818</f>
        <v/>
      </c>
      <c r="Q1818" t="inlineStr">
        <is>
          <t>K4-5C</t>
        </is>
      </c>
      <c r="R1818" t="n">
        <v>1.1155</v>
      </c>
    </row>
    <row r="1819">
      <c r="A1819" t="n">
        <v>6</v>
      </c>
      <c r="B1819" t="inlineStr">
        <is>
          <t>EPA1633 &amp; diPAPs Calibration 5 ppb</t>
        </is>
      </c>
      <c r="C1819" t="n">
        <v>60</v>
      </c>
      <c r="D1819" t="n">
        <v>16.33</v>
      </c>
      <c r="E1819" t="n">
        <v>2639.343</v>
      </c>
      <c r="F1819" t="n">
        <v>802.204</v>
      </c>
      <c r="G1819" t="n">
        <v>31.454</v>
      </c>
      <c r="H1819">
        <f>E1819/F1819</f>
        <v/>
      </c>
      <c r="Q1819" t="inlineStr">
        <is>
          <t>K3-1A</t>
        </is>
      </c>
      <c r="R1819" t="n">
        <v>1.0874</v>
      </c>
    </row>
    <row r="1820">
      <c r="A1820" t="n">
        <v>7</v>
      </c>
      <c r="B1820" t="inlineStr">
        <is>
          <t>EPA1633 &amp; diPAPs Calibration 10 ppb</t>
        </is>
      </c>
      <c r="C1820" t="n">
        <v>100</v>
      </c>
      <c r="D1820" t="n">
        <v>16.32</v>
      </c>
      <c r="E1820" t="n">
        <v>3253.923</v>
      </c>
      <c r="F1820" t="n">
        <v>1562.616</v>
      </c>
      <c r="G1820" t="n">
        <v>40.6</v>
      </c>
      <c r="H1820">
        <f>E1821/F1821</f>
        <v/>
      </c>
      <c r="I1820" s="23" t="inlineStr">
        <is>
          <t>Background</t>
        </is>
      </c>
      <c r="J1820" s="23" t="inlineStr">
        <is>
          <t>Spike</t>
        </is>
      </c>
      <c r="K1820" s="9" t="inlineStr">
        <is>
          <t>Old Spike</t>
        </is>
      </c>
      <c r="O1820" s="24" t="inlineStr">
        <is>
          <t>±</t>
        </is>
      </c>
      <c r="Q1820" t="inlineStr">
        <is>
          <t>K3-1B</t>
        </is>
      </c>
      <c r="R1820" t="n">
        <v>1.0898</v>
      </c>
    </row>
    <row r="1821">
      <c r="A1821" t="n">
        <v>8</v>
      </c>
      <c r="B1821" t="inlineStr">
        <is>
          <t>EPA1633 &amp; diPAPs Calibration 20 ppb</t>
        </is>
      </c>
      <c r="D1821" t="n">
        <v>16.32</v>
      </c>
      <c r="E1821" t="n">
        <v>3047.206</v>
      </c>
      <c r="F1821" t="n">
        <v>611.3339999999999</v>
      </c>
      <c r="G1821" t="n">
        <v>46.7</v>
      </c>
      <c r="I1821">
        <f>AVERAGE(I1824:I1826)</f>
        <v/>
      </c>
      <c r="J1821" t="n">
        <v>88</v>
      </c>
      <c r="Q1821" t="inlineStr">
        <is>
          <t>K3-1C</t>
        </is>
      </c>
      <c r="R1821" t="n">
        <v>1.0536</v>
      </c>
    </row>
    <row r="1822">
      <c r="A1822" t="n">
        <v>9</v>
      </c>
      <c r="B1822" t="inlineStr">
        <is>
          <t>MeOH</t>
        </is>
      </c>
      <c r="I1822" s="23" t="inlineStr">
        <is>
          <t>Conc.In Vial (ppb)</t>
        </is>
      </c>
      <c r="J1822" s="9" t="inlineStr">
        <is>
          <t>Corr. Conc.(ppb)</t>
        </is>
      </c>
      <c r="K1822" s="9" t="inlineStr">
        <is>
          <t>Conc. In soil (ng/g)</t>
        </is>
      </c>
      <c r="Q1822" t="inlineStr">
        <is>
          <t>K3-2A</t>
        </is>
      </c>
      <c r="R1822" s="10" t="n">
        <v>1.1218</v>
      </c>
    </row>
    <row r="1823">
      <c r="A1823" t="n">
        <v>10</v>
      </c>
      <c r="B1823" t="inlineStr">
        <is>
          <t>MeOH</t>
        </is>
      </c>
      <c r="L1823" s="23" t="inlineStr">
        <is>
          <t>Average</t>
        </is>
      </c>
      <c r="M1823" s="23" t="inlineStr">
        <is>
          <t>Stdev</t>
        </is>
      </c>
      <c r="N1823" s="9" t="inlineStr">
        <is>
          <t>Combined</t>
        </is>
      </c>
      <c r="O1823" s="9" t="n"/>
      <c r="P1823" s="9" t="n"/>
      <c r="Q1823" t="inlineStr">
        <is>
          <t>K3-2B</t>
        </is>
      </c>
      <c r="R1823" t="n">
        <v>1.198</v>
      </c>
    </row>
    <row r="1824">
      <c r="A1824" t="n">
        <v>11</v>
      </c>
      <c r="B1824" t="inlineStr">
        <is>
          <t>SB1</t>
        </is>
      </c>
      <c r="D1824" t="n">
        <v>16.34</v>
      </c>
      <c r="E1824" t="n">
        <v>626.197</v>
      </c>
      <c r="F1824" t="n">
        <v>235.495</v>
      </c>
      <c r="G1824" t="n">
        <v>11.568</v>
      </c>
      <c r="H1824">
        <f>E1824/F1824</f>
        <v/>
      </c>
      <c r="I1824">
        <f>((H1824-$J$1813)/$I$1813)</f>
        <v/>
      </c>
      <c r="J1824">
        <f>(I1824-IF(I1821&gt;0,I1821,0))</f>
        <v/>
      </c>
      <c r="K1824">
        <f>J1824*1.1</f>
        <v/>
      </c>
      <c r="L1824">
        <f>AVERAGE(K1824:K1826)</f>
        <v/>
      </c>
      <c r="M1824">
        <f>STDEV(K1825:K1826)</f>
        <v/>
      </c>
      <c r="N1824">
        <f>_xlfn.CONCAT(ROUND(L1824,1)," ± ",ROUND(M1824,1))</f>
        <v/>
      </c>
      <c r="Q1824" t="inlineStr">
        <is>
          <t>K3-2C</t>
        </is>
      </c>
      <c r="R1824" t="n">
        <v>1.1538</v>
      </c>
    </row>
    <row r="1825">
      <c r="A1825" t="n">
        <v>12</v>
      </c>
      <c r="B1825" t="inlineStr">
        <is>
          <t>SB2</t>
        </is>
      </c>
      <c r="D1825" t="n">
        <v>16.85</v>
      </c>
      <c r="E1825" t="n">
        <v>193.592</v>
      </c>
      <c r="F1825" t="n">
        <v>273.33</v>
      </c>
      <c r="G1825" t="n">
        <v>2.601</v>
      </c>
      <c r="H1825">
        <f>E1825/F1825</f>
        <v/>
      </c>
      <c r="I1825">
        <f>((H1825-$J$1813)/$I$1813)</f>
        <v/>
      </c>
      <c r="J1825">
        <f>(I1825-IF(I1821&gt;0,I1821,0))</f>
        <v/>
      </c>
      <c r="K1825">
        <f>J1825*1.1</f>
        <v/>
      </c>
      <c r="Q1825" t="inlineStr">
        <is>
          <t>K3-3A</t>
        </is>
      </c>
      <c r="R1825" t="n">
        <v>1.1183</v>
      </c>
    </row>
    <row r="1826">
      <c r="A1826" t="n">
        <v>13</v>
      </c>
      <c r="B1826" t="inlineStr">
        <is>
          <t>SB3</t>
        </is>
      </c>
      <c r="D1826" t="n">
        <v>16.33</v>
      </c>
      <c r="E1826" t="n">
        <v>288.956</v>
      </c>
      <c r="F1826" t="n">
        <v>129.33</v>
      </c>
      <c r="G1826" t="n">
        <v>2.172</v>
      </c>
      <c r="H1826">
        <f>E1826/F1826</f>
        <v/>
      </c>
      <c r="I1826">
        <f>((H1826-$J$1813)/$I$1813)</f>
        <v/>
      </c>
      <c r="J1826">
        <f>(I1826-IF(I1821&gt;0,I1821,0))</f>
        <v/>
      </c>
      <c r="K1826" s="30">
        <f>J1826*1.1</f>
        <v/>
      </c>
      <c r="L1826" s="25" t="inlineStr">
        <is>
          <t>Average</t>
        </is>
      </c>
      <c r="M1826" s="25" t="inlineStr">
        <is>
          <t>Stdev</t>
        </is>
      </c>
      <c r="N1826" s="26" t="inlineStr">
        <is>
          <t>%Recovery</t>
        </is>
      </c>
      <c r="O1826" s="26" t="inlineStr">
        <is>
          <t>Uncertainty</t>
        </is>
      </c>
      <c r="P1826" s="26" t="inlineStr">
        <is>
          <t>Combined</t>
        </is>
      </c>
      <c r="Q1826" t="inlineStr">
        <is>
          <t>K3-3B</t>
        </is>
      </c>
      <c r="R1826" t="n">
        <v>1.1448</v>
      </c>
    </row>
    <row r="1827">
      <c r="A1827" t="n">
        <v>14</v>
      </c>
      <c r="B1827" t="inlineStr">
        <is>
          <t>SS1</t>
        </is>
      </c>
      <c r="D1827" t="n">
        <v>16.53</v>
      </c>
      <c r="E1827" t="n">
        <v>375.7</v>
      </c>
      <c r="F1827" t="n">
        <v>253.728</v>
      </c>
      <c r="G1827" t="n">
        <v>3.861</v>
      </c>
      <c r="H1827">
        <f>E1827/F1827</f>
        <v/>
      </c>
      <c r="I1827">
        <f>((H1827-$J$1813)/$I$1813)</f>
        <v/>
      </c>
      <c r="J1827">
        <f>(I1827-IF($I$1821&gt;0,$I$1821))</f>
        <v/>
      </c>
      <c r="K1827">
        <f>J1827/R1813*1.1</f>
        <v/>
      </c>
      <c r="L1827" s="27">
        <f>AVERAGE(K1827:K1829)</f>
        <v/>
      </c>
      <c r="M1827" s="27">
        <f>STDEV(K1827:K1829)</f>
        <v/>
      </c>
      <c r="N1827" s="28">
        <f>L1827/J1821*100</f>
        <v/>
      </c>
      <c r="O1827" s="29">
        <f>M1827/J1821*100</f>
        <v/>
      </c>
      <c r="P1827" s="29">
        <f>_xlfn.CONCAT(ROUND(N1827,1)," ± ",ROUND(O1827,1))</f>
        <v/>
      </c>
      <c r="Q1827" t="inlineStr">
        <is>
          <t>K3-3C</t>
        </is>
      </c>
      <c r="R1827" t="n">
        <v>1.0493</v>
      </c>
    </row>
    <row r="1828">
      <c r="A1828" t="n">
        <v>15</v>
      </c>
      <c r="B1828" t="inlineStr">
        <is>
          <t>SS2</t>
        </is>
      </c>
      <c r="D1828" t="n">
        <v>16.32</v>
      </c>
      <c r="E1828" t="n">
        <v>246.092</v>
      </c>
      <c r="F1828" t="n">
        <v>141.602</v>
      </c>
      <c r="G1828" t="n">
        <v>3.354</v>
      </c>
      <c r="H1828">
        <f>E1828/F1828</f>
        <v/>
      </c>
      <c r="I1828">
        <f>((H1828-$J$1813)/$I$1813)</f>
        <v/>
      </c>
      <c r="J1828">
        <f>(I1828-IF($I$1821&gt;0,$I$1821))</f>
        <v/>
      </c>
      <c r="K1828">
        <f>J1828/R1814*1.1</f>
        <v/>
      </c>
      <c r="Q1828" t="inlineStr">
        <is>
          <t>K3-4A</t>
        </is>
      </c>
      <c r="R1828" t="n">
        <v>1.0704</v>
      </c>
    </row>
    <row r="1829">
      <c r="A1829" t="n">
        <v>16</v>
      </c>
      <c r="B1829" t="inlineStr">
        <is>
          <t>SS3</t>
        </is>
      </c>
      <c r="D1829" t="n">
        <v>16.34</v>
      </c>
      <c r="E1829" t="n">
        <v>269.173</v>
      </c>
      <c r="F1829" t="n">
        <v>190.637</v>
      </c>
      <c r="G1829" t="n">
        <v>3.531</v>
      </c>
      <c r="H1829">
        <f>E1829/F1829</f>
        <v/>
      </c>
      <c r="I1829">
        <f>((H1829-$J$1813)/$I$1813)</f>
        <v/>
      </c>
      <c r="J1829">
        <f>(I1829-IF($I$1821&gt;0,$I$1821))</f>
        <v/>
      </c>
      <c r="K1829" s="30">
        <f>J1829/R1815*1.1</f>
        <v/>
      </c>
      <c r="Q1829" t="inlineStr">
        <is>
          <t>K3-4B</t>
        </is>
      </c>
      <c r="R1829" t="n">
        <v>1.1589</v>
      </c>
    </row>
    <row r="1830">
      <c r="A1830" t="n">
        <v>17</v>
      </c>
      <c r="B1830" t="inlineStr">
        <is>
          <t>MeOH</t>
        </is>
      </c>
      <c r="L1830" s="23" t="inlineStr">
        <is>
          <t>Average</t>
        </is>
      </c>
      <c r="M1830" s="23" t="inlineStr">
        <is>
          <t>Stdev</t>
        </is>
      </c>
      <c r="N1830" s="9" t="inlineStr">
        <is>
          <t>Combined</t>
        </is>
      </c>
      <c r="Q1830" t="inlineStr">
        <is>
          <t>K3-4C</t>
        </is>
      </c>
      <c r="R1830" t="n">
        <v>1.0206</v>
      </c>
    </row>
    <row r="1831">
      <c r="A1831" t="n">
        <v>18</v>
      </c>
      <c r="B1831" t="inlineStr">
        <is>
          <t>K4-5A</t>
        </is>
      </c>
      <c r="D1831" t="n">
        <v>16.19</v>
      </c>
      <c r="E1831" t="n">
        <v>120.334</v>
      </c>
      <c r="F1831" t="n">
        <v>73.511</v>
      </c>
      <c r="G1831" t="n">
        <v>2.524</v>
      </c>
      <c r="H1831">
        <f>E1831/F1831</f>
        <v/>
      </c>
      <c r="I1831">
        <f>((H1831-$J$1813)/$I$1813)</f>
        <v/>
      </c>
      <c r="J1831">
        <f>(I1831-IF($I$1821&gt;0,$I$1821))</f>
        <v/>
      </c>
      <c r="K1831">
        <f>J1831/R1815*1.1</f>
        <v/>
      </c>
      <c r="L1831">
        <f>AVERAGE(K1831:K1833)</f>
        <v/>
      </c>
      <c r="M1831">
        <f>STDEV(K1831:K1833)</f>
        <v/>
      </c>
      <c r="N1831">
        <f>_xlfn.CONCAT(ROUND(L1831,1)," ± ",ROUND(M1831,1))</f>
        <v/>
      </c>
      <c r="Q1831" t="inlineStr">
        <is>
          <t>K3-6A</t>
        </is>
      </c>
      <c r="R1831" t="n">
        <v>1.1289</v>
      </c>
    </row>
    <row r="1832">
      <c r="A1832" t="n">
        <v>19</v>
      </c>
      <c r="B1832" t="inlineStr">
        <is>
          <t>K4-5B</t>
        </is>
      </c>
      <c r="D1832" t="n">
        <v>16.52</v>
      </c>
      <c r="E1832" t="n">
        <v>99.691</v>
      </c>
      <c r="F1832" t="n">
        <v>168.771</v>
      </c>
      <c r="G1832" t="n">
        <v>0.744</v>
      </c>
      <c r="H1832">
        <f>E1832/F1832</f>
        <v/>
      </c>
      <c r="I1832">
        <f>((H1832-$J$1813)/$I$1813)</f>
        <v/>
      </c>
      <c r="J1832">
        <f>(I1832-IF($I$1821&gt;0,$I$1821))</f>
        <v/>
      </c>
      <c r="K1832">
        <f>J1832/R1816*1.1</f>
        <v/>
      </c>
      <c r="Q1832" t="inlineStr">
        <is>
          <t>K3-6B</t>
        </is>
      </c>
      <c r="R1832" t="n">
        <v>1.195</v>
      </c>
    </row>
    <row r="1833">
      <c r="A1833" t="n">
        <v>20</v>
      </c>
      <c r="B1833" t="inlineStr">
        <is>
          <t>K4-5C</t>
        </is>
      </c>
      <c r="D1833" t="n">
        <v>16.6</v>
      </c>
      <c r="E1833" t="n">
        <v>163.922</v>
      </c>
      <c r="G1833" t="n">
        <v>1.725</v>
      </c>
      <c r="H1833">
        <f>E1833/F1833</f>
        <v/>
      </c>
      <c r="I1833">
        <f>((H1833-$J$1813)/$I$1813)</f>
        <v/>
      </c>
      <c r="J1833">
        <f>(I1833-IF($I$1821&gt;0,$I$1821))</f>
        <v/>
      </c>
      <c r="K1833">
        <f>J1833/R1817*1.1</f>
        <v/>
      </c>
      <c r="L1833" s="23" t="n"/>
      <c r="M1833" s="23" t="n"/>
      <c r="N1833" s="9" t="n"/>
      <c r="Q1833" t="inlineStr">
        <is>
          <t>K3-6C</t>
        </is>
      </c>
      <c r="R1833" t="n">
        <v>1.1716</v>
      </c>
    </row>
    <row r="1834">
      <c r="A1834" t="n">
        <v>21</v>
      </c>
      <c r="B1834" t="inlineStr">
        <is>
          <t>MeOH</t>
        </is>
      </c>
      <c r="L1834" s="23" t="inlineStr">
        <is>
          <t>Average</t>
        </is>
      </c>
      <c r="M1834" s="23" t="inlineStr">
        <is>
          <t>Stdev</t>
        </is>
      </c>
      <c r="N1834" s="9" t="inlineStr">
        <is>
          <t>Combined</t>
        </is>
      </c>
    </row>
    <row r="1835">
      <c r="A1835" t="n">
        <v>22</v>
      </c>
      <c r="B1835" t="inlineStr">
        <is>
          <t>K3-1A</t>
        </is>
      </c>
      <c r="D1835" t="n">
        <v>16.34</v>
      </c>
      <c r="E1835" t="n">
        <v>163.837</v>
      </c>
      <c r="F1835" t="n">
        <v>163.196</v>
      </c>
      <c r="G1835" t="n">
        <v>3.157</v>
      </c>
      <c r="H1835">
        <f>E1835/F1835</f>
        <v/>
      </c>
      <c r="I1835">
        <f>((H1835-$J$1813)/$I$1813)</f>
        <v/>
      </c>
      <c r="J1835">
        <f>(I1835-IF($I$1821&gt;0,$I$1821))</f>
        <v/>
      </c>
      <c r="K1835">
        <f>J1835/R1818*1.1</f>
        <v/>
      </c>
      <c r="L1835">
        <f>AVERAGE(K1835:K1837)</f>
        <v/>
      </c>
      <c r="M1835">
        <f>STDEV(K1836:K1837)</f>
        <v/>
      </c>
      <c r="N1835">
        <f>_xlfn.CONCAT(ROUND(L1835,1)," ± ",ROUND(M1835,1))</f>
        <v/>
      </c>
    </row>
    <row r="1836">
      <c r="A1836" t="n">
        <v>23</v>
      </c>
      <c r="B1836" t="inlineStr">
        <is>
          <t>K3-1B</t>
        </is>
      </c>
      <c r="D1836" t="n">
        <v>16.29</v>
      </c>
      <c r="E1836" t="n">
        <v>67.91</v>
      </c>
      <c r="F1836" t="n">
        <v>57.781</v>
      </c>
      <c r="G1836" t="n">
        <v>1.105</v>
      </c>
      <c r="H1836">
        <f>E1836/F1836</f>
        <v/>
      </c>
      <c r="I1836">
        <f>((H1836-$J$1813)/$I$1813)</f>
        <v/>
      </c>
      <c r="J1836">
        <f>(I1836-IF($I$1821&gt;0,$I$1821))</f>
        <v/>
      </c>
      <c r="K1836">
        <f>J1836/R1819*1.1</f>
        <v/>
      </c>
    </row>
    <row r="1837">
      <c r="A1837" t="n">
        <v>24</v>
      </c>
      <c r="B1837" t="inlineStr">
        <is>
          <t>K3-1C</t>
        </is>
      </c>
      <c r="D1837" t="n">
        <v>16.63</v>
      </c>
      <c r="E1837" t="n">
        <v>196.441</v>
      </c>
      <c r="F1837" t="n">
        <v>191.361</v>
      </c>
      <c r="G1837" t="n">
        <v>2.977</v>
      </c>
      <c r="H1837">
        <f>E1837/F1837</f>
        <v/>
      </c>
      <c r="I1837">
        <f>((H1837-$J$1813)/$I$1813)</f>
        <v/>
      </c>
      <c r="J1837">
        <f>(I1837-IF($I$1821&gt;0,$I$1821))</f>
        <v/>
      </c>
      <c r="K1837">
        <f>J1837/R1820*1.1</f>
        <v/>
      </c>
      <c r="L1837" s="23" t="inlineStr">
        <is>
          <t>Average</t>
        </is>
      </c>
      <c r="M1837" s="23" t="inlineStr">
        <is>
          <t>Stdev</t>
        </is>
      </c>
      <c r="N1837" s="9" t="inlineStr">
        <is>
          <t>Combined</t>
        </is>
      </c>
    </row>
    <row r="1838">
      <c r="A1838" t="n">
        <v>25</v>
      </c>
      <c r="B1838" t="inlineStr">
        <is>
          <t>K3-2A</t>
        </is>
      </c>
      <c r="D1838" t="n">
        <v>16.69</v>
      </c>
      <c r="E1838" t="n">
        <v>145.019</v>
      </c>
      <c r="F1838" t="n">
        <v>113.81</v>
      </c>
      <c r="G1838" t="n">
        <v>3.736</v>
      </c>
      <c r="H1838">
        <f>E1838/F1838</f>
        <v/>
      </c>
      <c r="I1838">
        <f>((H1838-$J$1813)/$I$1813)</f>
        <v/>
      </c>
      <c r="J1838">
        <f>(I1838-IF($I$1821&gt;0,$I$1821))</f>
        <v/>
      </c>
      <c r="K1838">
        <f>J1838/R1821*1.1</f>
        <v/>
      </c>
      <c r="L1838">
        <f>AVERAGE(K1838:K1840)</f>
        <v/>
      </c>
      <c r="M1838">
        <f>STDEV(K1838:K1840)</f>
        <v/>
      </c>
      <c r="N1838">
        <f>_xlfn.CONCAT(ROUND(L1838,1)," ± ",ROUND(M1838,1))</f>
        <v/>
      </c>
    </row>
    <row r="1839">
      <c r="A1839" t="n">
        <v>26</v>
      </c>
      <c r="B1839" t="inlineStr">
        <is>
          <t>K3-2B</t>
        </is>
      </c>
      <c r="D1839" t="n">
        <v>16.5</v>
      </c>
      <c r="E1839" t="n">
        <v>66.298</v>
      </c>
      <c r="F1839" t="n">
        <v>85.271</v>
      </c>
      <c r="G1839" t="n">
        <v>2.199</v>
      </c>
      <c r="H1839">
        <f>E1839/F1839</f>
        <v/>
      </c>
      <c r="I1839">
        <f>((H1839-$J$1813)/$I$1813)</f>
        <v/>
      </c>
      <c r="J1839">
        <f>(I1839-IF($I$1821&gt;0,$I$1821))</f>
        <v/>
      </c>
      <c r="K1839">
        <f>J1839/R1822*1.1</f>
        <v/>
      </c>
    </row>
    <row r="1840">
      <c r="A1840" t="n">
        <v>27</v>
      </c>
      <c r="B1840" t="inlineStr">
        <is>
          <t>K3-2C</t>
        </is>
      </c>
      <c r="D1840" t="n">
        <v>16.54</v>
      </c>
      <c r="E1840" t="n">
        <v>221.856</v>
      </c>
      <c r="F1840" t="n">
        <v>86.066</v>
      </c>
      <c r="G1840" t="n">
        <v>3.085</v>
      </c>
      <c r="H1840">
        <f>E1840/F1840</f>
        <v/>
      </c>
      <c r="I1840">
        <f>((H1840-$J$1813)/$I$1813)</f>
        <v/>
      </c>
      <c r="J1840">
        <f>(I1840-IF($I$1821&gt;0,$I$1821))</f>
        <v/>
      </c>
      <c r="K1840">
        <f>J1840/R1823*1.1</f>
        <v/>
      </c>
      <c r="L1840" s="23" t="n"/>
      <c r="M1840" s="23" t="n"/>
      <c r="N1840" s="9" t="n"/>
    </row>
    <row r="1841">
      <c r="A1841" t="n">
        <v>28</v>
      </c>
      <c r="B1841" t="inlineStr">
        <is>
          <t>MeOH</t>
        </is>
      </c>
      <c r="L1841" s="23" t="inlineStr">
        <is>
          <t>Average</t>
        </is>
      </c>
      <c r="M1841" s="23" t="inlineStr">
        <is>
          <t>Stdev</t>
        </is>
      </c>
      <c r="N1841" s="9" t="inlineStr">
        <is>
          <t>Combined</t>
        </is>
      </c>
    </row>
    <row r="1842">
      <c r="A1842" t="n">
        <v>29</v>
      </c>
      <c r="B1842" t="inlineStr">
        <is>
          <t>K3-3A</t>
        </is>
      </c>
      <c r="D1842" t="n">
        <v>17.06</v>
      </c>
      <c r="E1842" t="n">
        <v>231.641</v>
      </c>
      <c r="F1842" t="n">
        <v>43.273</v>
      </c>
      <c r="G1842" t="n">
        <v>2.584</v>
      </c>
      <c r="H1842">
        <f>E1842/F1842</f>
        <v/>
      </c>
      <c r="I1842">
        <f>((H1842-$J$1813)/$I$1813)</f>
        <v/>
      </c>
      <c r="J1842">
        <f>(I1842-IF($I$1821&gt;0,$I$1821))</f>
        <v/>
      </c>
      <c r="K1842">
        <f>J1842/R1824*1.1</f>
        <v/>
      </c>
      <c r="L1842">
        <f>AVERAGE(K1842:K1844)</f>
        <v/>
      </c>
      <c r="M1842">
        <f>STDEV(K1843:K1844)</f>
        <v/>
      </c>
      <c r="N1842">
        <f>_xlfn.CONCAT(ROUND(L1842,1)," ± ",ROUND(M1842,1))</f>
        <v/>
      </c>
    </row>
    <row r="1843">
      <c r="A1843" t="n">
        <v>30</v>
      </c>
      <c r="B1843" t="inlineStr">
        <is>
          <t>K3-3B</t>
        </is>
      </c>
      <c r="D1843" t="n">
        <v>16.58</v>
      </c>
      <c r="E1843" t="n">
        <v>100.789</v>
      </c>
      <c r="F1843" t="n">
        <v>147.53</v>
      </c>
      <c r="G1843" t="n">
        <v>2.755</v>
      </c>
      <c r="H1843">
        <f>E1843/F1843</f>
        <v/>
      </c>
      <c r="I1843">
        <f>((H1843-$J$1813)/$I$1813)</f>
        <v/>
      </c>
      <c r="J1843">
        <f>(I1843-IF($I$1821&gt;0,$I$1821))</f>
        <v/>
      </c>
      <c r="K1843">
        <f>J1843/R1825*1.1</f>
        <v/>
      </c>
    </row>
    <row r="1844">
      <c r="A1844" t="n">
        <v>31</v>
      </c>
      <c r="B1844" t="inlineStr">
        <is>
          <t>K3-3C</t>
        </is>
      </c>
      <c r="D1844" t="n">
        <v>17.05</v>
      </c>
      <c r="E1844" t="n">
        <v>226.52</v>
      </c>
      <c r="F1844" t="n">
        <v>100.998</v>
      </c>
      <c r="G1844" t="n">
        <v>2.085</v>
      </c>
      <c r="H1844">
        <f>E1844/F1844</f>
        <v/>
      </c>
      <c r="I1844">
        <f>((H1844-$J$1813)/$I$1813)</f>
        <v/>
      </c>
      <c r="J1844">
        <f>(I1844-IF($I$1821&gt;0,$I$1821))</f>
        <v/>
      </c>
      <c r="K1844">
        <f>J1844/R1826*1.1</f>
        <v/>
      </c>
      <c r="L1844" s="23" t="inlineStr">
        <is>
          <t>Average</t>
        </is>
      </c>
      <c r="M1844" s="23" t="inlineStr">
        <is>
          <t>Stdev</t>
        </is>
      </c>
      <c r="N1844" s="9" t="inlineStr">
        <is>
          <t>Combined</t>
        </is>
      </c>
    </row>
    <row r="1845">
      <c r="A1845" t="n">
        <v>32</v>
      </c>
      <c r="B1845" t="inlineStr">
        <is>
          <t>K3-4A</t>
        </is>
      </c>
      <c r="D1845" t="n">
        <v>16.34</v>
      </c>
      <c r="E1845" t="n">
        <v>162.253</v>
      </c>
      <c r="F1845" t="n">
        <v>62.627</v>
      </c>
      <c r="G1845" t="n">
        <v>2.801</v>
      </c>
      <c r="H1845">
        <f>E1845/F1845</f>
        <v/>
      </c>
      <c r="I1845">
        <f>((H1845-$J$1813)/$I$1813)</f>
        <v/>
      </c>
      <c r="J1845">
        <f>(I1845-IF($I$1821&gt;0,$I$1821))</f>
        <v/>
      </c>
      <c r="K1845">
        <f>J1845/R1827*1.1</f>
        <v/>
      </c>
      <c r="L1845">
        <f>AVERAGE(K1845:K1847)</f>
        <v/>
      </c>
      <c r="M1845">
        <f>STDEV(K1845:K1847)</f>
        <v/>
      </c>
      <c r="N1845">
        <f>_xlfn.CONCAT(ROUND(L1845,1)," ± ",ROUND(M1845,1))</f>
        <v/>
      </c>
    </row>
    <row r="1846">
      <c r="A1846" t="n">
        <v>33</v>
      </c>
      <c r="B1846" t="inlineStr">
        <is>
          <t>K3-4B</t>
        </is>
      </c>
      <c r="D1846" t="n">
        <v>16.91</v>
      </c>
      <c r="E1846" t="n">
        <v>71.35899999999999</v>
      </c>
      <c r="F1846" t="n">
        <v>116.61</v>
      </c>
      <c r="G1846" t="n">
        <v>1.545</v>
      </c>
      <c r="H1846">
        <f>E1846/F1846</f>
        <v/>
      </c>
      <c r="I1846">
        <f>((H1846-$J$1813)/$I$1813)</f>
        <v/>
      </c>
      <c r="J1846">
        <f>(I1846-IF($I$1821&gt;0,$I$1821))</f>
        <v/>
      </c>
      <c r="K1846">
        <f>J1846/R1828*1.1</f>
        <v/>
      </c>
    </row>
    <row r="1847">
      <c r="A1847" t="n">
        <v>34</v>
      </c>
      <c r="B1847" t="inlineStr">
        <is>
          <t>K3-4C</t>
        </is>
      </c>
      <c r="D1847" t="n">
        <v>16.6</v>
      </c>
      <c r="E1847" t="n">
        <v>178.802</v>
      </c>
      <c r="F1847" t="n">
        <v>125.41</v>
      </c>
      <c r="G1847" t="n">
        <v>2.63</v>
      </c>
      <c r="H1847">
        <f>E1847/F1847</f>
        <v/>
      </c>
      <c r="I1847">
        <f>((H1847-$J$1813)/$I$1813)</f>
        <v/>
      </c>
      <c r="J1847">
        <f>(I1847-IF($I$1821&gt;0,$I$1821))</f>
        <v/>
      </c>
      <c r="K1847">
        <f>J1847/R1829*1.1</f>
        <v/>
      </c>
      <c r="L1847" s="23" t="n"/>
      <c r="M1847" s="23" t="n"/>
      <c r="N1847" s="9" t="n"/>
    </row>
    <row r="1848">
      <c r="A1848" t="n">
        <v>35</v>
      </c>
      <c r="B1848" t="inlineStr">
        <is>
          <t>MeOH</t>
        </is>
      </c>
      <c r="L1848" s="23" t="inlineStr">
        <is>
          <t>Average</t>
        </is>
      </c>
      <c r="M1848" s="23" t="inlineStr">
        <is>
          <t>Stdev</t>
        </is>
      </c>
      <c r="N1848" s="9" t="inlineStr">
        <is>
          <t>Combined</t>
        </is>
      </c>
    </row>
    <row r="1849">
      <c r="A1849" t="n">
        <v>36</v>
      </c>
      <c r="B1849" t="inlineStr">
        <is>
          <t>K3-6A</t>
        </is>
      </c>
      <c r="D1849" t="n">
        <v>17</v>
      </c>
      <c r="E1849" t="n">
        <v>208.16</v>
      </c>
      <c r="F1849" t="n">
        <v>54.508</v>
      </c>
      <c r="G1849" t="n">
        <v>1.905</v>
      </c>
      <c r="H1849">
        <f>E1849/F1849</f>
        <v/>
      </c>
      <c r="I1849">
        <f>((H1849-$J$1813)/$I$1813)</f>
        <v/>
      </c>
      <c r="J1849">
        <f>(I1849-IF($I$1821&gt;0,$I$1821))</f>
        <v/>
      </c>
      <c r="K1849">
        <f>J1849/R1830*1.1</f>
        <v/>
      </c>
      <c r="L1849">
        <f>AVERAGE(K1849,K1851)</f>
        <v/>
      </c>
      <c r="M1849">
        <f>STDEV(K1849,K1851)</f>
        <v/>
      </c>
      <c r="N1849">
        <f>_xlfn.CONCAT(ROUND(L1849,1)," ± ",ROUND(M1849,1))</f>
        <v/>
      </c>
    </row>
    <row r="1850">
      <c r="A1850" t="n">
        <v>37</v>
      </c>
      <c r="B1850" t="inlineStr">
        <is>
          <t>K3-6B</t>
        </is>
      </c>
      <c r="D1850" t="n">
        <v>16.34</v>
      </c>
      <c r="E1850" t="n">
        <v>365.397</v>
      </c>
      <c r="F1850" t="n">
        <v>34.035</v>
      </c>
      <c r="G1850" t="n">
        <v>3.546</v>
      </c>
      <c r="H1850">
        <f>E1850/F1850</f>
        <v/>
      </c>
      <c r="I1850">
        <f>((H1850-$J$1813)/$I$1813)</f>
        <v/>
      </c>
      <c r="J1850">
        <f>(I1850-IF($I$1821&gt;0,$I$1821))</f>
        <v/>
      </c>
      <c r="K1850">
        <f>J1850/R1831*1.1</f>
        <v/>
      </c>
    </row>
    <row r="1851">
      <c r="A1851" t="n">
        <v>38</v>
      </c>
      <c r="B1851" t="inlineStr">
        <is>
          <t>K3-6C</t>
        </is>
      </c>
      <c r="D1851" t="n">
        <v>17.03</v>
      </c>
      <c r="E1851" t="n">
        <v>114.465</v>
      </c>
      <c r="F1851" t="n">
        <v>29.42</v>
      </c>
      <c r="G1851" t="n">
        <v>1.871</v>
      </c>
      <c r="H1851">
        <f>E1851/F1851</f>
        <v/>
      </c>
      <c r="I1851">
        <f>((H1851-$J$1813)/$I$1813)</f>
        <v/>
      </c>
      <c r="J1851">
        <f>(I1851-IF($I$1821&gt;0,$I$1821))</f>
        <v/>
      </c>
      <c r="K1851">
        <f>J1851/R1832*1.1</f>
        <v/>
      </c>
      <c r="L1851" s="23" t="n"/>
      <c r="M1851" s="23" t="n"/>
      <c r="N1851" s="9" t="n"/>
    </row>
    <row r="1853">
      <c r="A1853" t="inlineStr">
        <is>
          <t>Compound 45:  6-8-10 triPAP 2 *</t>
        </is>
      </c>
    </row>
    <row r="1855">
      <c r="B1855" t="inlineStr">
        <is>
          <t>Sample Text</t>
        </is>
      </c>
      <c r="C1855" t="inlineStr">
        <is>
          <t>Std. Conc</t>
        </is>
      </c>
      <c r="D1855" t="inlineStr">
        <is>
          <t>RT</t>
        </is>
      </c>
      <c r="E1855" t="inlineStr">
        <is>
          <t>Area</t>
        </is>
      </c>
      <c r="F1855" t="inlineStr">
        <is>
          <t>IS Area</t>
        </is>
      </c>
      <c r="G1855" t="inlineStr">
        <is>
          <t>S/N</t>
        </is>
      </c>
      <c r="H1855" t="inlineStr">
        <is>
          <t>Primary Flags</t>
        </is>
      </c>
      <c r="I1855" t="inlineStr">
        <is>
          <t>Response</t>
        </is>
      </c>
      <c r="J1855" t="inlineStr">
        <is>
          <t>Conc.</t>
        </is>
      </c>
      <c r="K1855" t="inlineStr">
        <is>
          <t>Name</t>
        </is>
      </c>
    </row>
    <row r="1856">
      <c r="A1856" t="n">
        <v>1</v>
      </c>
      <c r="B1856" t="inlineStr">
        <is>
          <t>EPA1633 &amp; diPAPs Calibration 0 ppb</t>
        </is>
      </c>
      <c r="F1856" t="n">
        <v>3123.66</v>
      </c>
      <c r="K1856" t="inlineStr">
        <is>
          <t>20250617-12</t>
        </is>
      </c>
    </row>
    <row r="1857">
      <c r="A1857" t="n">
        <v>2</v>
      </c>
      <c r="B1857" t="inlineStr">
        <is>
          <t>EPA1633 &amp; diPAPs Calibration 0.02 ppb</t>
        </is>
      </c>
      <c r="F1857" t="n">
        <v>1988.362</v>
      </c>
      <c r="K1857" t="inlineStr">
        <is>
          <t>20250617-13</t>
        </is>
      </c>
    </row>
    <row r="1858">
      <c r="A1858" t="n">
        <v>3</v>
      </c>
      <c r="B1858" t="inlineStr">
        <is>
          <t>EPA1633 &amp; diPAPs Calibration 0.1 ppb</t>
        </is>
      </c>
      <c r="F1858" t="n">
        <v>2172.051</v>
      </c>
      <c r="K1858" t="inlineStr">
        <is>
          <t>20250617-14</t>
        </is>
      </c>
    </row>
    <row r="1859">
      <c r="A1859" t="n">
        <v>4</v>
      </c>
      <c r="B1859" t="inlineStr">
        <is>
          <t>EPA1633 &amp; diPAPs Calibration 0.4 ppb</t>
        </is>
      </c>
      <c r="F1859" t="n">
        <v>2307.023</v>
      </c>
      <c r="K1859" t="inlineStr">
        <is>
          <t>20250617-15</t>
        </is>
      </c>
    </row>
    <row r="1860">
      <c r="A1860" t="n">
        <v>5</v>
      </c>
      <c r="B1860" t="inlineStr">
        <is>
          <t>EPA1633 &amp; diPAPs Calibration 1 ppb</t>
        </is>
      </c>
      <c r="F1860" t="n">
        <v>1818.826</v>
      </c>
      <c r="K1860" t="inlineStr">
        <is>
          <t>20250617-16</t>
        </is>
      </c>
    </row>
    <row r="1861">
      <c r="A1861" t="n">
        <v>6</v>
      </c>
      <c r="B1861" t="inlineStr">
        <is>
          <t>EPA1633 &amp; diPAPs Calibration 5 ppb</t>
        </is>
      </c>
      <c r="F1861" t="n">
        <v>1651.747</v>
      </c>
      <c r="K1861" t="inlineStr">
        <is>
          <t>20250617-17</t>
        </is>
      </c>
    </row>
    <row r="1862">
      <c r="A1862" t="n">
        <v>7</v>
      </c>
      <c r="B1862" t="inlineStr">
        <is>
          <t>EPA1633 &amp; diPAPs Calibration 10 ppb</t>
        </is>
      </c>
      <c r="F1862" t="n">
        <v>5035.45</v>
      </c>
      <c r="K1862" t="inlineStr">
        <is>
          <t>20250617-18</t>
        </is>
      </c>
    </row>
    <row r="1863">
      <c r="A1863" t="n">
        <v>8</v>
      </c>
      <c r="B1863" t="inlineStr">
        <is>
          <t>EPA1633 &amp; diPAPs Calibration 20 ppb</t>
        </is>
      </c>
      <c r="F1863" t="n">
        <v>2142.017</v>
      </c>
      <c r="K1863" t="inlineStr">
        <is>
          <t>20250617-19</t>
        </is>
      </c>
    </row>
    <row r="1864">
      <c r="A1864" t="n">
        <v>9</v>
      </c>
      <c r="B1864" t="inlineStr">
        <is>
          <t>MeOH</t>
        </is>
      </c>
      <c r="K1864" t="inlineStr">
        <is>
          <t>20250617-20</t>
        </is>
      </c>
    </row>
    <row r="1865">
      <c r="A1865" t="n">
        <v>10</v>
      </c>
      <c r="B1865" t="inlineStr">
        <is>
          <t>MeOH</t>
        </is>
      </c>
      <c r="K1865" t="inlineStr">
        <is>
          <t>20250617-21</t>
        </is>
      </c>
    </row>
    <row r="1866">
      <c r="A1866" t="n">
        <v>11</v>
      </c>
      <c r="B1866" t="inlineStr">
        <is>
          <t>SB1</t>
        </is>
      </c>
      <c r="F1866" t="n">
        <v>588.622</v>
      </c>
      <c r="K1866" t="inlineStr">
        <is>
          <t>20250617-22</t>
        </is>
      </c>
    </row>
    <row r="1867">
      <c r="A1867" t="n">
        <v>12</v>
      </c>
      <c r="B1867" t="inlineStr">
        <is>
          <t>SB2</t>
        </is>
      </c>
      <c r="F1867" t="n">
        <v>886.918</v>
      </c>
      <c r="K1867" t="inlineStr">
        <is>
          <t>20250617-23</t>
        </is>
      </c>
    </row>
    <row r="1868">
      <c r="A1868" t="n">
        <v>13</v>
      </c>
      <c r="B1868" t="inlineStr">
        <is>
          <t>SB3</t>
        </is>
      </c>
      <c r="F1868" t="n">
        <v>608.25</v>
      </c>
      <c r="K1868" t="inlineStr">
        <is>
          <t>20250617-24</t>
        </is>
      </c>
    </row>
    <row r="1869">
      <c r="A1869" t="n">
        <v>14</v>
      </c>
      <c r="B1869" t="inlineStr">
        <is>
          <t>SS1</t>
        </is>
      </c>
      <c r="F1869" t="n">
        <v>780.986</v>
      </c>
      <c r="K1869" t="inlineStr">
        <is>
          <t>20250617-25</t>
        </is>
      </c>
    </row>
    <row r="1870">
      <c r="A1870" t="n">
        <v>15</v>
      </c>
      <c r="B1870" t="inlineStr">
        <is>
          <t>SS2</t>
        </is>
      </c>
      <c r="F1870" t="n">
        <v>821.647</v>
      </c>
      <c r="K1870" t="inlineStr">
        <is>
          <t>20250617-26</t>
        </is>
      </c>
    </row>
    <row r="1871">
      <c r="A1871" t="n">
        <v>16</v>
      </c>
      <c r="B1871" t="inlineStr">
        <is>
          <t>SS3</t>
        </is>
      </c>
      <c r="F1871" t="n">
        <v>561.066</v>
      </c>
      <c r="K1871" t="inlineStr">
        <is>
          <t>20250617-27</t>
        </is>
      </c>
    </row>
    <row r="1872">
      <c r="A1872" t="n">
        <v>17</v>
      </c>
      <c r="B1872" t="inlineStr">
        <is>
          <t>MeOH</t>
        </is>
      </c>
      <c r="K1872" t="inlineStr">
        <is>
          <t>20250617-28</t>
        </is>
      </c>
    </row>
    <row r="1873">
      <c r="A1873" t="n">
        <v>18</v>
      </c>
      <c r="B1873" t="inlineStr">
        <is>
          <t>K4-5A</t>
        </is>
      </c>
      <c r="F1873" t="n">
        <v>608.375</v>
      </c>
      <c r="K1873" t="inlineStr">
        <is>
          <t>20250617-29</t>
        </is>
      </c>
    </row>
    <row r="1874">
      <c r="A1874" t="n">
        <v>19</v>
      </c>
      <c r="B1874" t="inlineStr">
        <is>
          <t>K4-5B</t>
        </is>
      </c>
      <c r="F1874" t="n">
        <v>605.4109999999999</v>
      </c>
      <c r="K1874" t="inlineStr">
        <is>
          <t>20250617-30</t>
        </is>
      </c>
    </row>
    <row r="1875">
      <c r="A1875" t="n">
        <v>20</v>
      </c>
      <c r="B1875" t="inlineStr">
        <is>
          <t>K4-5C</t>
        </is>
      </c>
      <c r="K1875" t="inlineStr">
        <is>
          <t>20250617-31</t>
        </is>
      </c>
    </row>
    <row r="1876">
      <c r="A1876" t="n">
        <v>21</v>
      </c>
      <c r="B1876" t="inlineStr">
        <is>
          <t>MeOH</t>
        </is>
      </c>
      <c r="K1876" t="inlineStr">
        <is>
          <t>20250617-32</t>
        </is>
      </c>
    </row>
    <row r="1877">
      <c r="A1877" t="n">
        <v>22</v>
      </c>
      <c r="B1877" t="inlineStr">
        <is>
          <t>K3-1A</t>
        </is>
      </c>
      <c r="F1877" t="n">
        <v>586.254</v>
      </c>
      <c r="K1877" t="inlineStr">
        <is>
          <t>20250617-33</t>
        </is>
      </c>
    </row>
    <row r="1878">
      <c r="A1878" t="n">
        <v>23</v>
      </c>
      <c r="B1878" t="inlineStr">
        <is>
          <t>K3-1B</t>
        </is>
      </c>
      <c r="F1878" t="n">
        <v>599.562</v>
      </c>
      <c r="K1878" t="inlineStr">
        <is>
          <t>20250617-34</t>
        </is>
      </c>
    </row>
    <row r="1879">
      <c r="A1879" t="n">
        <v>24</v>
      </c>
      <c r="B1879" t="inlineStr">
        <is>
          <t>K3-1C</t>
        </is>
      </c>
      <c r="F1879" t="n">
        <v>676.624</v>
      </c>
      <c r="K1879" t="inlineStr">
        <is>
          <t>20250617-35</t>
        </is>
      </c>
    </row>
    <row r="1880">
      <c r="A1880" t="n">
        <v>25</v>
      </c>
      <c r="B1880" t="inlineStr">
        <is>
          <t>K3-2A</t>
        </is>
      </c>
      <c r="F1880" t="n">
        <v>577.7329999999999</v>
      </c>
      <c r="K1880" t="inlineStr">
        <is>
          <t>20250617-36</t>
        </is>
      </c>
    </row>
    <row r="1881">
      <c r="A1881" t="n">
        <v>26</v>
      </c>
      <c r="B1881" t="inlineStr">
        <is>
          <t>K3-2B</t>
        </is>
      </c>
      <c r="F1881" t="n">
        <v>839.127</v>
      </c>
      <c r="K1881" t="inlineStr">
        <is>
          <t>20250617-37</t>
        </is>
      </c>
    </row>
    <row r="1882">
      <c r="A1882" t="n">
        <v>27</v>
      </c>
      <c r="B1882" t="inlineStr">
        <is>
          <t>K3-2C</t>
        </is>
      </c>
      <c r="F1882" t="n">
        <v>585.352</v>
      </c>
      <c r="K1882" t="inlineStr">
        <is>
          <t>20250617-38</t>
        </is>
      </c>
    </row>
    <row r="1883">
      <c r="A1883" t="n">
        <v>28</v>
      </c>
      <c r="B1883" t="inlineStr">
        <is>
          <t>MeOH</t>
        </is>
      </c>
      <c r="K1883" t="inlineStr">
        <is>
          <t>20250617-39</t>
        </is>
      </c>
    </row>
    <row r="1884">
      <c r="A1884" t="n">
        <v>29</v>
      </c>
      <c r="B1884" t="inlineStr">
        <is>
          <t>K3-3A</t>
        </is>
      </c>
      <c r="F1884" t="n">
        <v>346.277</v>
      </c>
      <c r="K1884" t="inlineStr">
        <is>
          <t>20250617-40</t>
        </is>
      </c>
    </row>
    <row r="1885">
      <c r="A1885" t="n">
        <v>30</v>
      </c>
      <c r="B1885" t="inlineStr">
        <is>
          <t>K3-3B</t>
        </is>
      </c>
      <c r="F1885" t="n">
        <v>693.228</v>
      </c>
      <c r="K1885" t="inlineStr">
        <is>
          <t>20250617-41</t>
        </is>
      </c>
    </row>
    <row r="1886">
      <c r="A1886" t="n">
        <v>31</v>
      </c>
      <c r="B1886" t="inlineStr">
        <is>
          <t>K3-3C</t>
        </is>
      </c>
      <c r="F1886" t="n">
        <v>529.389</v>
      </c>
      <c r="K1886" t="inlineStr">
        <is>
          <t>20250617-42</t>
        </is>
      </c>
    </row>
    <row r="1887">
      <c r="A1887" t="n">
        <v>32</v>
      </c>
      <c r="B1887" t="inlineStr">
        <is>
          <t>K3-4A</t>
        </is>
      </c>
      <c r="F1887" t="n">
        <v>496.854</v>
      </c>
      <c r="K1887" t="inlineStr">
        <is>
          <t>20250617-43</t>
        </is>
      </c>
    </row>
    <row r="1888">
      <c r="A1888" t="n">
        <v>33</v>
      </c>
      <c r="B1888" t="inlineStr">
        <is>
          <t>K3-4B</t>
        </is>
      </c>
      <c r="F1888" t="n">
        <v>533.124</v>
      </c>
      <c r="K1888" t="inlineStr">
        <is>
          <t>20250617-44</t>
        </is>
      </c>
    </row>
    <row r="1889">
      <c r="A1889" t="n">
        <v>34</v>
      </c>
      <c r="B1889" t="inlineStr">
        <is>
          <t>K3-4C</t>
        </is>
      </c>
      <c r="F1889" t="n">
        <v>606.571</v>
      </c>
      <c r="K1889" t="inlineStr">
        <is>
          <t>20250617-45</t>
        </is>
      </c>
    </row>
    <row r="1890">
      <c r="A1890" t="n">
        <v>35</v>
      </c>
      <c r="B1890" t="inlineStr">
        <is>
          <t>MeOH</t>
        </is>
      </c>
      <c r="K1890" t="inlineStr">
        <is>
          <t>20250617-46</t>
        </is>
      </c>
    </row>
    <row r="1891">
      <c r="A1891" t="n">
        <v>36</v>
      </c>
      <c r="B1891" t="inlineStr">
        <is>
          <t>K3-6A</t>
        </is>
      </c>
      <c r="F1891" t="n">
        <v>354.208</v>
      </c>
      <c r="K1891" t="inlineStr">
        <is>
          <t>20250617-47</t>
        </is>
      </c>
    </row>
    <row r="1892">
      <c r="A1892" t="n">
        <v>37</v>
      </c>
      <c r="B1892" t="inlineStr">
        <is>
          <t>K3-6B</t>
        </is>
      </c>
      <c r="F1892" t="n">
        <v>348.087</v>
      </c>
      <c r="K1892" t="inlineStr">
        <is>
          <t>20250617-48</t>
        </is>
      </c>
    </row>
    <row r="1893">
      <c r="A1893" t="n">
        <v>38</v>
      </c>
      <c r="B1893" t="inlineStr">
        <is>
          <t>K3-6C</t>
        </is>
      </c>
      <c r="F1893" t="n">
        <v>270.181</v>
      </c>
      <c r="K1893" t="inlineStr">
        <is>
          <t>20250617-49</t>
        </is>
      </c>
    </row>
    <row r="1895">
      <c r="A1895" t="inlineStr">
        <is>
          <t>Compound 46:  8:8 PFPi 1</t>
        </is>
      </c>
    </row>
    <row r="1896">
      <c r="I1896" t="inlineStr">
        <is>
          <t>LINEST</t>
        </is>
      </c>
      <c r="Q1896" t="inlineStr">
        <is>
          <t>Biosolids Masses</t>
        </is>
      </c>
      <c r="R1896" t="inlineStr">
        <is>
          <t>(g)</t>
        </is>
      </c>
    </row>
    <row r="1897">
      <c r="B1897" t="inlineStr">
        <is>
          <t>Sample Text</t>
        </is>
      </c>
      <c r="C1897" t="inlineStr">
        <is>
          <t>Std. Conc</t>
        </is>
      </c>
      <c r="D1897" t="inlineStr">
        <is>
          <t>RT</t>
        </is>
      </c>
      <c r="E1897" t="inlineStr">
        <is>
          <t>Area</t>
        </is>
      </c>
      <c r="F1897" t="inlineStr">
        <is>
          <t>IS Area</t>
        </is>
      </c>
      <c r="G1897" t="inlineStr">
        <is>
          <t>S/N</t>
        </is>
      </c>
      <c r="H1897" t="inlineStr">
        <is>
          <t>ratio</t>
        </is>
      </c>
      <c r="I1897">
        <f t="array" ref="I1897:J1901">LINEST(H1898:H1904,C1898:C1904,1,1)</f>
        <v/>
      </c>
      <c r="J1897" t="n">
        <v>-0.04539962224220839</v>
      </c>
      <c r="L1897" s="20" t="inlineStr">
        <is>
          <t>By S/N Ratio</t>
        </is>
      </c>
      <c r="Q1897" t="inlineStr">
        <is>
          <t>SS1</t>
        </is>
      </c>
      <c r="R1897" t="n">
        <v>1.0846</v>
      </c>
    </row>
    <row r="1898">
      <c r="A1898" t="n">
        <v>1</v>
      </c>
      <c r="B1898" t="inlineStr">
        <is>
          <t>EPA1633 &amp; diPAPs Calibration 0 ppb</t>
        </is>
      </c>
      <c r="C1898" t="n">
        <v>0</v>
      </c>
      <c r="D1898" t="n">
        <v>12.72</v>
      </c>
      <c r="E1898" t="n">
        <v>2.81</v>
      </c>
      <c r="F1898" t="n">
        <v>1343.627</v>
      </c>
      <c r="G1898" t="n">
        <v>25</v>
      </c>
      <c r="H1898">
        <f>E1898/F1898</f>
        <v/>
      </c>
      <c r="I1898" t="n">
        <v>0.01065162394018746</v>
      </c>
      <c r="J1898" t="n">
        <v>0.08866203076300451</v>
      </c>
      <c r="K1898" t="inlineStr">
        <is>
          <t>LOD</t>
        </is>
      </c>
      <c r="L1898" s="21">
        <f>IF(G1901&gt;3,C1901,IF(G1902&gt;3,#REF!,IF(G1903&gt;3,C1903,IF(G1904&gt;3,#REF!,#REF!))))</f>
        <v/>
      </c>
      <c r="Q1898" t="inlineStr">
        <is>
          <t>SS2</t>
        </is>
      </c>
      <c r="R1898" t="n">
        <v>1.0726</v>
      </c>
    </row>
    <row r="1899">
      <c r="A1899" t="n">
        <v>2</v>
      </c>
      <c r="B1899" t="inlineStr">
        <is>
          <t>EPA1633 &amp; diPAPs Calibration 0.02 ppb</t>
        </is>
      </c>
      <c r="C1899" t="n">
        <v>1</v>
      </c>
      <c r="D1899" t="n">
        <v>12.68</v>
      </c>
      <c r="E1899" t="n">
        <v>148.631</v>
      </c>
      <c r="F1899" t="n">
        <v>633.474</v>
      </c>
      <c r="G1899" t="n">
        <v>1063</v>
      </c>
      <c r="H1899">
        <f>E1899/F1899</f>
        <v/>
      </c>
      <c r="I1899" t="n">
        <v>0.9899735530915778</v>
      </c>
      <c r="J1899" t="n">
        <v>0.1582965865089363</v>
      </c>
      <c r="K1899" t="inlineStr">
        <is>
          <t>LOQ</t>
        </is>
      </c>
      <c r="L1899" s="22">
        <f>IF(G1901&gt;10,C1901,IF(G1902&gt;10,#REF!,IF(G1903&gt;10,C1903,IF(G1904&gt;10,#REF!,#REF!))))</f>
        <v/>
      </c>
      <c r="Q1899" t="inlineStr">
        <is>
          <t>SS3</t>
        </is>
      </c>
      <c r="R1899" t="n">
        <v>1.1534</v>
      </c>
    </row>
    <row r="1900">
      <c r="A1900" t="n">
        <v>3</v>
      </c>
      <c r="B1900" t="inlineStr">
        <is>
          <t>EPA1633 &amp; diPAPs Calibration 0.1 ppb</t>
        </is>
      </c>
      <c r="C1900" t="n">
        <v>2</v>
      </c>
      <c r="D1900" t="n">
        <v>12.7</v>
      </c>
      <c r="E1900" t="n">
        <v>229.795</v>
      </c>
      <c r="F1900" t="n">
        <v>645.6369999999999</v>
      </c>
      <c r="G1900" t="n">
        <v>1686</v>
      </c>
      <c r="H1900">
        <f>E1900/F1900</f>
        <v/>
      </c>
      <c r="I1900" t="n">
        <v>493.6811425491072</v>
      </c>
      <c r="J1900" t="n">
        <v>5</v>
      </c>
      <c r="Q1900" t="inlineStr">
        <is>
          <t>K4-5A</t>
        </is>
      </c>
      <c r="R1900" t="n">
        <v>1.1054</v>
      </c>
    </row>
    <row r="1901">
      <c r="A1901" t="n">
        <v>4</v>
      </c>
      <c r="B1901" t="inlineStr">
        <is>
          <t>EPA1633 &amp; diPAPs Calibration 0.4 ppb</t>
        </is>
      </c>
      <c r="C1901" t="n">
        <v>4</v>
      </c>
      <c r="D1901" t="n">
        <v>12.7</v>
      </c>
      <c r="E1901" t="n">
        <v>533.125</v>
      </c>
      <c r="F1901" t="n">
        <v>750.9640000000001</v>
      </c>
      <c r="G1901" t="n">
        <v>3889</v>
      </c>
      <c r="H1901">
        <f>E1901/F1901</f>
        <v/>
      </c>
      <c r="I1901" t="n">
        <v>12.37056792518981</v>
      </c>
      <c r="J1901" t="n">
        <v>0.1252890465019057</v>
      </c>
      <c r="Q1901" t="inlineStr">
        <is>
          <t>K4-5B</t>
        </is>
      </c>
      <c r="R1901" s="10" t="n">
        <v>1.0463</v>
      </c>
    </row>
    <row r="1902">
      <c r="A1902" t="n">
        <v>5</v>
      </c>
      <c r="B1902" t="inlineStr">
        <is>
          <t>EPA1633 &amp; diPAPs Calibration 1 ppb</t>
        </is>
      </c>
      <c r="C1902" t="n">
        <v>8</v>
      </c>
      <c r="D1902" t="n">
        <v>12.7</v>
      </c>
      <c r="E1902" t="n">
        <v>1648.45</v>
      </c>
      <c r="F1902" t="n">
        <v>827.3049999999999</v>
      </c>
      <c r="G1902" t="n">
        <v>71.97499999999999</v>
      </c>
      <c r="H1902">
        <f>E1902/F1902</f>
        <v/>
      </c>
      <c r="Q1902" t="inlineStr">
        <is>
          <t>K4-5C</t>
        </is>
      </c>
      <c r="R1902" t="n">
        <v>1.1155</v>
      </c>
    </row>
    <row r="1903">
      <c r="A1903" t="n">
        <v>6</v>
      </c>
      <c r="B1903" t="inlineStr">
        <is>
          <t>EPA1633 &amp; diPAPs Calibration 5 ppb</t>
        </is>
      </c>
      <c r="C1903" t="n">
        <v>12</v>
      </c>
      <c r="D1903" t="n">
        <v>12.72</v>
      </c>
      <c r="E1903" t="n">
        <v>2389.712</v>
      </c>
      <c r="F1903" t="n">
        <v>802.204</v>
      </c>
      <c r="G1903" t="n">
        <v>520.663</v>
      </c>
      <c r="H1903">
        <f>E1903/F1903</f>
        <v/>
      </c>
      <c r="Q1903" t="inlineStr">
        <is>
          <t>K3-1A</t>
        </is>
      </c>
      <c r="R1903" t="n">
        <v>1.0874</v>
      </c>
    </row>
    <row r="1904">
      <c r="A1904" t="n">
        <v>7</v>
      </c>
      <c r="B1904" t="inlineStr">
        <is>
          <t>EPA1633 &amp; diPAPs Calibration 10 ppb</t>
        </is>
      </c>
      <c r="C1904" t="n">
        <v>16</v>
      </c>
      <c r="D1904" t="n">
        <v>12.72</v>
      </c>
      <c r="E1904" t="n">
        <v>5601.773</v>
      </c>
      <c r="F1904" t="n">
        <v>1562.616</v>
      </c>
      <c r="G1904" t="n">
        <v>281.819</v>
      </c>
      <c r="H1904">
        <f>E1904/F1904</f>
        <v/>
      </c>
      <c r="I1904" s="23" t="inlineStr">
        <is>
          <t>Background</t>
        </is>
      </c>
      <c r="J1904" s="23" t="inlineStr">
        <is>
          <t>Spike</t>
        </is>
      </c>
      <c r="K1904" s="9" t="inlineStr">
        <is>
          <t>Old Spike</t>
        </is>
      </c>
      <c r="O1904" s="24" t="inlineStr">
        <is>
          <t>±</t>
        </is>
      </c>
      <c r="Q1904" t="inlineStr">
        <is>
          <t>K3-1B</t>
        </is>
      </c>
      <c r="R1904" t="n">
        <v>1.0898</v>
      </c>
    </row>
    <row r="1905">
      <c r="A1905" t="n">
        <v>8</v>
      </c>
      <c r="B1905" t="inlineStr">
        <is>
          <t>EPA1633 &amp; diPAPs Calibration 20 ppb</t>
        </is>
      </c>
      <c r="C1905" t="n">
        <v>20</v>
      </c>
      <c r="D1905" t="n">
        <v>12.72</v>
      </c>
      <c r="E1905" t="n">
        <v>1942.116</v>
      </c>
      <c r="F1905" t="n">
        <v>611.3339999999999</v>
      </c>
      <c r="G1905" t="n">
        <v>79.383</v>
      </c>
      <c r="H1905">
        <f>E1905/F1905</f>
        <v/>
      </c>
      <c r="I1905">
        <f>AVERAGE(I1908:I1910)</f>
        <v/>
      </c>
      <c r="J1905" t="n">
        <v>17.6</v>
      </c>
      <c r="Q1905" t="inlineStr">
        <is>
          <t>K3-1C</t>
        </is>
      </c>
      <c r="R1905" t="n">
        <v>1.0536</v>
      </c>
    </row>
    <row r="1906">
      <c r="A1906" t="n">
        <v>9</v>
      </c>
      <c r="B1906" t="inlineStr">
        <is>
          <t>MeOH</t>
        </is>
      </c>
      <c r="I1906" s="23" t="inlineStr">
        <is>
          <t>Conc.In Vial (ppb)</t>
        </is>
      </c>
      <c r="J1906" s="9" t="inlineStr">
        <is>
          <t>Corr. Conc.(ppb)</t>
        </is>
      </c>
      <c r="K1906" s="9" t="inlineStr">
        <is>
          <t>Conc. In soil (ng/g)</t>
        </is>
      </c>
      <c r="Q1906" t="inlineStr">
        <is>
          <t>K3-2A</t>
        </is>
      </c>
      <c r="R1906" s="10" t="n">
        <v>1.1218</v>
      </c>
    </row>
    <row r="1907">
      <c r="A1907" t="n">
        <v>10</v>
      </c>
      <c r="B1907" t="inlineStr">
        <is>
          <t>MeOH</t>
        </is>
      </c>
      <c r="L1907" s="23" t="inlineStr">
        <is>
          <t>Average</t>
        </is>
      </c>
      <c r="M1907" s="23" t="inlineStr">
        <is>
          <t>Stdev</t>
        </is>
      </c>
      <c r="N1907" s="9" t="inlineStr">
        <is>
          <t>Combined</t>
        </is>
      </c>
      <c r="O1907" s="9" t="n"/>
      <c r="P1907" s="9" t="n"/>
      <c r="Q1907" t="inlineStr">
        <is>
          <t>K3-2B</t>
        </is>
      </c>
      <c r="R1907" t="n">
        <v>1.198</v>
      </c>
    </row>
    <row r="1908">
      <c r="A1908" t="n">
        <v>11</v>
      </c>
      <c r="B1908" t="inlineStr">
        <is>
          <t>SB1</t>
        </is>
      </c>
      <c r="F1908" t="n">
        <v>235.495</v>
      </c>
      <c r="H1908">
        <f>E1908/F1908</f>
        <v/>
      </c>
      <c r="I1908">
        <f>((H1908-$J$1897)/$I$1897)</f>
        <v/>
      </c>
      <c r="J1908">
        <f>(I1908-IF(I1905&gt;0,I1905,0))</f>
        <v/>
      </c>
      <c r="K1908">
        <f>J1908*1.1</f>
        <v/>
      </c>
      <c r="L1908">
        <f>AVERAGE(K1908:K1910)</f>
        <v/>
      </c>
      <c r="M1908">
        <f>STDEV(K1909:K1910)</f>
        <v/>
      </c>
      <c r="N1908">
        <f>_xlfn.CONCAT(ROUND(L1908,1)," ± ",ROUND(M1908,1))</f>
        <v/>
      </c>
      <c r="Q1908" t="inlineStr">
        <is>
          <t>K3-2C</t>
        </is>
      </c>
      <c r="R1908" t="n">
        <v>1.1538</v>
      </c>
    </row>
    <row r="1909">
      <c r="A1909" t="n">
        <v>12</v>
      </c>
      <c r="B1909" t="inlineStr">
        <is>
          <t>SB2</t>
        </is>
      </c>
      <c r="F1909" t="n">
        <v>273.33</v>
      </c>
      <c r="H1909">
        <f>E1909/F1909</f>
        <v/>
      </c>
      <c r="I1909">
        <f>((H1909-$J$1897)/$I$1897)</f>
        <v/>
      </c>
      <c r="J1909">
        <f>(I1909-IF(I1905&gt;0,I1905,0))</f>
        <v/>
      </c>
      <c r="K1909">
        <f>J1909*1.1</f>
        <v/>
      </c>
      <c r="Q1909" t="inlineStr">
        <is>
          <t>K3-3A</t>
        </is>
      </c>
      <c r="R1909" t="n">
        <v>1.1183</v>
      </c>
    </row>
    <row r="1910">
      <c r="A1910" t="n">
        <v>13</v>
      </c>
      <c r="B1910" t="inlineStr">
        <is>
          <t>SB3</t>
        </is>
      </c>
      <c r="F1910" t="n">
        <v>129.33</v>
      </c>
      <c r="H1910">
        <f>E1910/F1910</f>
        <v/>
      </c>
      <c r="I1910">
        <f>((H1910-$J$1897)/$I$1897)</f>
        <v/>
      </c>
      <c r="J1910">
        <f>(I1910-IF(I1905&gt;0,I1905,0))</f>
        <v/>
      </c>
      <c r="K1910" s="30">
        <f>J1910*1.1</f>
        <v/>
      </c>
      <c r="L1910" s="25" t="inlineStr">
        <is>
          <t>Average</t>
        </is>
      </c>
      <c r="M1910" s="25" t="inlineStr">
        <is>
          <t>Stdev</t>
        </is>
      </c>
      <c r="N1910" s="26" t="inlineStr">
        <is>
          <t>%Recovery</t>
        </is>
      </c>
      <c r="O1910" s="26" t="inlineStr">
        <is>
          <t>Uncertainty</t>
        </is>
      </c>
      <c r="P1910" s="26" t="inlineStr">
        <is>
          <t>Combined</t>
        </is>
      </c>
      <c r="Q1910" t="inlineStr">
        <is>
          <t>K3-3B</t>
        </is>
      </c>
      <c r="R1910" t="n">
        <v>1.1448</v>
      </c>
    </row>
    <row r="1911">
      <c r="A1911" t="n">
        <v>14</v>
      </c>
      <c r="B1911" t="inlineStr">
        <is>
          <t>SS1</t>
        </is>
      </c>
      <c r="D1911" t="n">
        <v>12.73</v>
      </c>
      <c r="E1911" t="n">
        <v>432.872</v>
      </c>
      <c r="F1911" t="n">
        <v>253.728</v>
      </c>
      <c r="G1911" t="n">
        <v>45.783</v>
      </c>
      <c r="H1911">
        <f>E1911/F1911</f>
        <v/>
      </c>
      <c r="I1911">
        <f>((H1911-$J$1897)/$I$1897)</f>
        <v/>
      </c>
      <c r="J1911">
        <f>(I1911-IF($I$1905&gt;0,$I$1905))</f>
        <v/>
      </c>
      <c r="K1911">
        <f>J1911/R1897*1.1</f>
        <v/>
      </c>
      <c r="L1911" s="27">
        <f>AVERAGE(K1911:K1913)</f>
        <v/>
      </c>
      <c r="M1911" s="27">
        <f>STDEV(K1911:K1913)</f>
        <v/>
      </c>
      <c r="N1911" s="28">
        <f>L1911/J1905*100</f>
        <v/>
      </c>
      <c r="O1911" s="29">
        <f>M1911/J1905*100</f>
        <v/>
      </c>
      <c r="P1911" s="29">
        <f>_xlfn.CONCAT(ROUND(N1911,1)," ± ",ROUND(O1911,1))</f>
        <v/>
      </c>
      <c r="Q1911" t="inlineStr">
        <is>
          <t>K3-3C</t>
        </is>
      </c>
      <c r="R1911" t="n">
        <v>1.0493</v>
      </c>
    </row>
    <row r="1912">
      <c r="A1912" t="n">
        <v>15</v>
      </c>
      <c r="B1912" t="inlineStr">
        <is>
          <t>SS2</t>
        </is>
      </c>
      <c r="D1912" t="n">
        <v>12.76</v>
      </c>
      <c r="E1912" t="n">
        <v>178.298</v>
      </c>
      <c r="F1912" t="n">
        <v>141.602</v>
      </c>
      <c r="G1912" t="n">
        <v>6.352</v>
      </c>
      <c r="H1912">
        <f>E1912/F1912</f>
        <v/>
      </c>
      <c r="I1912">
        <f>((H1912-$J$1897)/$I$1897)</f>
        <v/>
      </c>
      <c r="J1912">
        <f>(I1912-IF($I$1905&gt;0,$I$1905))</f>
        <v/>
      </c>
      <c r="K1912">
        <f>J1912/R1898*1.1</f>
        <v/>
      </c>
      <c r="Q1912" t="inlineStr">
        <is>
          <t>K3-4A</t>
        </is>
      </c>
      <c r="R1912" t="n">
        <v>1.0704</v>
      </c>
    </row>
    <row r="1913">
      <c r="A1913" t="n">
        <v>16</v>
      </c>
      <c r="B1913" t="inlineStr">
        <is>
          <t>SS3</t>
        </is>
      </c>
      <c r="D1913" t="n">
        <v>12.73</v>
      </c>
      <c r="E1913" t="n">
        <v>294.028</v>
      </c>
      <c r="F1913" t="n">
        <v>190.637</v>
      </c>
      <c r="G1913" t="n">
        <v>2123</v>
      </c>
      <c r="H1913">
        <f>E1913/F1913</f>
        <v/>
      </c>
      <c r="I1913">
        <f>((H1913-$J$1897)/$I$1897)</f>
        <v/>
      </c>
      <c r="J1913">
        <f>(I1913-IF($I$1905&gt;0,$I$1905))</f>
        <v/>
      </c>
      <c r="K1913" s="30">
        <f>J1913/R1899*1.1</f>
        <v/>
      </c>
      <c r="Q1913" t="inlineStr">
        <is>
          <t>K3-4B</t>
        </is>
      </c>
      <c r="R1913" t="n">
        <v>1.1589</v>
      </c>
    </row>
    <row r="1914">
      <c r="A1914" t="n">
        <v>17</v>
      </c>
      <c r="B1914" t="inlineStr">
        <is>
          <t>MeOH</t>
        </is>
      </c>
      <c r="L1914" s="23" t="inlineStr">
        <is>
          <t>Average</t>
        </is>
      </c>
      <c r="M1914" s="23" t="inlineStr">
        <is>
          <t>Stdev</t>
        </is>
      </c>
      <c r="N1914" s="9" t="inlineStr">
        <is>
          <t>Combined</t>
        </is>
      </c>
      <c r="Q1914" t="inlineStr">
        <is>
          <t>K3-4C</t>
        </is>
      </c>
      <c r="R1914" t="n">
        <v>1.0206</v>
      </c>
    </row>
    <row r="1915">
      <c r="A1915" t="n">
        <v>18</v>
      </c>
      <c r="B1915" t="inlineStr">
        <is>
          <t>K4-5A</t>
        </is>
      </c>
      <c r="F1915" t="n">
        <v>73.511</v>
      </c>
      <c r="H1915">
        <f>E1915/F1915</f>
        <v/>
      </c>
      <c r="I1915">
        <f>((H1915-$J$1897)/$I$1897)</f>
        <v/>
      </c>
      <c r="J1915">
        <f>(I1915-IF($I$1905&gt;0,$I$1905))</f>
        <v/>
      </c>
      <c r="K1915">
        <f>J1915/R1899*1.1</f>
        <v/>
      </c>
      <c r="L1915">
        <f>AVERAGE(K1915:K1917)</f>
        <v/>
      </c>
      <c r="M1915">
        <f>STDEV(K1915:K1917)</f>
        <v/>
      </c>
      <c r="N1915">
        <f>_xlfn.CONCAT(ROUND(L1915,1)," ± ",ROUND(M1915,1))</f>
        <v/>
      </c>
      <c r="Q1915" t="inlineStr">
        <is>
          <t>K3-6A</t>
        </is>
      </c>
      <c r="R1915" t="n">
        <v>1.1289</v>
      </c>
    </row>
    <row r="1916">
      <c r="A1916" t="n">
        <v>19</v>
      </c>
      <c r="B1916" t="inlineStr">
        <is>
          <t>K4-5B</t>
        </is>
      </c>
      <c r="F1916" t="n">
        <v>168.771</v>
      </c>
      <c r="H1916">
        <f>E1916/F1916</f>
        <v/>
      </c>
      <c r="I1916">
        <f>((H1916-$J$1897)/$I$1897)</f>
        <v/>
      </c>
      <c r="J1916">
        <f>(I1916-IF($I$1905&gt;0,$I$1905))</f>
        <v/>
      </c>
      <c r="K1916">
        <f>J1916/R1900*1.1</f>
        <v/>
      </c>
      <c r="Q1916" t="inlineStr">
        <is>
          <t>K3-6B</t>
        </is>
      </c>
      <c r="R1916" t="n">
        <v>1.195</v>
      </c>
    </row>
    <row r="1917">
      <c r="A1917" t="n">
        <v>20</v>
      </c>
      <c r="B1917" t="inlineStr">
        <is>
          <t>K4-5C</t>
        </is>
      </c>
      <c r="H1917">
        <f>E1917/F1917</f>
        <v/>
      </c>
      <c r="I1917">
        <f>((H1917-$J$1897)/$I$1897)</f>
        <v/>
      </c>
      <c r="J1917">
        <f>(I1917-IF($I$1905&gt;0,$I$1905))</f>
        <v/>
      </c>
      <c r="K1917">
        <f>J1917/R1901*1.1</f>
        <v/>
      </c>
      <c r="L1917" s="23" t="n"/>
      <c r="M1917" s="23" t="n"/>
      <c r="N1917" s="9" t="n"/>
      <c r="Q1917" t="inlineStr">
        <is>
          <t>K3-6C</t>
        </is>
      </c>
      <c r="R1917" t="n">
        <v>1.1716</v>
      </c>
    </row>
    <row r="1918">
      <c r="A1918" t="n">
        <v>21</v>
      </c>
      <c r="B1918" t="inlineStr">
        <is>
          <t>MeOH</t>
        </is>
      </c>
      <c r="L1918" s="23" t="inlineStr">
        <is>
          <t>Average</t>
        </is>
      </c>
      <c r="M1918" s="23" t="inlineStr">
        <is>
          <t>Stdev</t>
        </is>
      </c>
      <c r="N1918" s="9" t="inlineStr">
        <is>
          <t>Combined</t>
        </is>
      </c>
    </row>
    <row r="1919">
      <c r="A1919" t="n">
        <v>22</v>
      </c>
      <c r="B1919" t="inlineStr">
        <is>
          <t>K3-1A</t>
        </is>
      </c>
      <c r="F1919" t="n">
        <v>163.196</v>
      </c>
      <c r="H1919">
        <f>E1919/F1919</f>
        <v/>
      </c>
      <c r="I1919">
        <f>((H1919-$J$1897)/$I$1897)</f>
        <v/>
      </c>
      <c r="J1919">
        <f>(I1919-IF($I$1905&gt;0,$I$1905))</f>
        <v/>
      </c>
      <c r="K1919">
        <f>J1919/R1902*1.1</f>
        <v/>
      </c>
      <c r="L1919">
        <f>AVERAGE(K1919:K1921)</f>
        <v/>
      </c>
      <c r="M1919">
        <f>STDEV(K1920:K1921)</f>
        <v/>
      </c>
      <c r="N1919">
        <f>_xlfn.CONCAT(ROUND(L1919,1)," ± ",ROUND(M1919,1))</f>
        <v/>
      </c>
    </row>
    <row r="1920">
      <c r="A1920" t="n">
        <v>23</v>
      </c>
      <c r="B1920" t="inlineStr">
        <is>
          <t>K3-1B</t>
        </is>
      </c>
      <c r="D1920" t="n">
        <v>12.75</v>
      </c>
      <c r="E1920" t="n">
        <v>0.302</v>
      </c>
      <c r="F1920" t="n">
        <v>57.781</v>
      </c>
      <c r="G1920" t="n">
        <v>3</v>
      </c>
      <c r="H1920">
        <f>E1920/F1920</f>
        <v/>
      </c>
      <c r="I1920">
        <f>((H1920-$J$1897)/$I$1897)</f>
        <v/>
      </c>
      <c r="J1920">
        <f>(I1920-IF($I$1905&gt;0,$I$1905))</f>
        <v/>
      </c>
      <c r="K1920">
        <f>J1920/R1903*1.1</f>
        <v/>
      </c>
    </row>
    <row r="1921">
      <c r="A1921" t="n">
        <v>24</v>
      </c>
      <c r="B1921" t="inlineStr">
        <is>
          <t>K3-1C</t>
        </is>
      </c>
      <c r="F1921" t="n">
        <v>191.361</v>
      </c>
      <c r="H1921">
        <f>E1921/F1921</f>
        <v/>
      </c>
      <c r="I1921">
        <f>((H1921-$J$1897)/$I$1897)</f>
        <v/>
      </c>
      <c r="J1921">
        <f>(I1921-IF($I$1905&gt;0,$I$1905))</f>
        <v/>
      </c>
      <c r="K1921">
        <f>J1921/R1904*1.1</f>
        <v/>
      </c>
      <c r="L1921" s="23" t="inlineStr">
        <is>
          <t>Average</t>
        </is>
      </c>
      <c r="M1921" s="23" t="inlineStr">
        <is>
          <t>Stdev</t>
        </is>
      </c>
      <c r="N1921" s="9" t="inlineStr">
        <is>
          <t>Combined</t>
        </is>
      </c>
    </row>
    <row r="1922">
      <c r="A1922" t="n">
        <v>25</v>
      </c>
      <c r="B1922" t="inlineStr">
        <is>
          <t>K3-2A</t>
        </is>
      </c>
      <c r="F1922" t="n">
        <v>113.81</v>
      </c>
      <c r="H1922">
        <f>E1922/F1922</f>
        <v/>
      </c>
      <c r="I1922">
        <f>((H1922-$J$1897)/$I$1897)</f>
        <v/>
      </c>
      <c r="J1922">
        <f>(I1922-IF($I$1905&gt;0,$I$1905))</f>
        <v/>
      </c>
      <c r="K1922">
        <f>J1922/R1905*1.1</f>
        <v/>
      </c>
      <c r="L1922">
        <f>AVERAGE(K1922:K1924)</f>
        <v/>
      </c>
      <c r="M1922">
        <f>STDEV(K1922:K1924)</f>
        <v/>
      </c>
      <c r="N1922">
        <f>_xlfn.CONCAT(ROUND(L1922,1)," ± ",ROUND(M1922,1))</f>
        <v/>
      </c>
    </row>
    <row r="1923">
      <c r="A1923" t="n">
        <v>26</v>
      </c>
      <c r="B1923" t="inlineStr">
        <is>
          <t>K3-2B</t>
        </is>
      </c>
      <c r="F1923" t="n">
        <v>85.271</v>
      </c>
      <c r="H1923">
        <f>E1923/F1923</f>
        <v/>
      </c>
      <c r="I1923">
        <f>((H1923-$J$1897)/$I$1897)</f>
        <v/>
      </c>
      <c r="J1923">
        <f>(I1923-IF($I$1905&gt;0,$I$1905))</f>
        <v/>
      </c>
      <c r="K1923">
        <f>J1923/R1906*1.1</f>
        <v/>
      </c>
    </row>
    <row r="1924">
      <c r="A1924" t="n">
        <v>27</v>
      </c>
      <c r="B1924" t="inlineStr">
        <is>
          <t>K3-2C</t>
        </is>
      </c>
      <c r="F1924" t="n">
        <v>86.066</v>
      </c>
      <c r="H1924">
        <f>E1924/F1924</f>
        <v/>
      </c>
      <c r="I1924">
        <f>((H1924-$J$1897)/$I$1897)</f>
        <v/>
      </c>
      <c r="J1924">
        <f>(I1924-IF($I$1905&gt;0,$I$1905))</f>
        <v/>
      </c>
      <c r="K1924">
        <f>J1924/R1907*1.1</f>
        <v/>
      </c>
      <c r="L1924" s="23" t="n"/>
      <c r="M1924" s="23" t="n"/>
      <c r="N1924" s="9" t="n"/>
    </row>
    <row r="1925">
      <c r="A1925" t="n">
        <v>28</v>
      </c>
      <c r="B1925" t="inlineStr">
        <is>
          <t>MeOH</t>
        </is>
      </c>
      <c r="L1925" s="23" t="inlineStr">
        <is>
          <t>Average</t>
        </is>
      </c>
      <c r="M1925" s="23" t="inlineStr">
        <is>
          <t>Stdev</t>
        </is>
      </c>
      <c r="N1925" s="9" t="inlineStr">
        <is>
          <t>Combined</t>
        </is>
      </c>
    </row>
    <row r="1926">
      <c r="A1926" t="n">
        <v>29</v>
      </c>
      <c r="B1926" t="inlineStr">
        <is>
          <t>K3-3A</t>
        </is>
      </c>
      <c r="D1926" t="n">
        <v>12.49</v>
      </c>
      <c r="E1926" t="n">
        <v>0.175</v>
      </c>
      <c r="F1926" t="n">
        <v>43.273</v>
      </c>
      <c r="G1926" t="n">
        <v>1</v>
      </c>
      <c r="H1926">
        <f>E1926/F1926</f>
        <v/>
      </c>
      <c r="I1926">
        <f>((H1926-$J$1897)/$I$1897)</f>
        <v/>
      </c>
      <c r="J1926">
        <f>(I1926-IF($I$1905&gt;0,$I$1905))</f>
        <v/>
      </c>
      <c r="K1926">
        <f>J1926/R1908*1.1</f>
        <v/>
      </c>
      <c r="L1926">
        <f>AVERAGE(K1926:K1928)</f>
        <v/>
      </c>
      <c r="M1926">
        <f>STDEV(K1927:K1928)</f>
        <v/>
      </c>
      <c r="N1926">
        <f>_xlfn.CONCAT(ROUND(L1926,1)," ± ",ROUND(M1926,1))</f>
        <v/>
      </c>
    </row>
    <row r="1927">
      <c r="A1927" t="n">
        <v>30</v>
      </c>
      <c r="B1927" t="inlineStr">
        <is>
          <t>K3-3B</t>
        </is>
      </c>
      <c r="F1927" t="n">
        <v>147.53</v>
      </c>
      <c r="H1927">
        <f>E1927/F1927</f>
        <v/>
      </c>
      <c r="I1927">
        <f>((H1927-$J$1897)/$I$1897)</f>
        <v/>
      </c>
      <c r="J1927">
        <f>(I1927-IF($I$1905&gt;0,$I$1905))</f>
        <v/>
      </c>
      <c r="K1927">
        <f>J1927/R1909*1.1</f>
        <v/>
      </c>
    </row>
    <row r="1928">
      <c r="A1928" t="n">
        <v>31</v>
      </c>
      <c r="B1928" t="inlineStr">
        <is>
          <t>K3-3C</t>
        </is>
      </c>
      <c r="F1928" t="n">
        <v>100.998</v>
      </c>
      <c r="H1928">
        <f>E1928/F1928</f>
        <v/>
      </c>
      <c r="I1928">
        <f>((H1928-$J$1897)/$I$1897)</f>
        <v/>
      </c>
      <c r="J1928">
        <f>(I1928-IF($I$1905&gt;0,$I$1905))</f>
        <v/>
      </c>
      <c r="K1928">
        <f>J1928/R1910*1.1</f>
        <v/>
      </c>
      <c r="L1928" s="23" t="inlineStr">
        <is>
          <t>Average</t>
        </is>
      </c>
      <c r="M1928" s="23" t="inlineStr">
        <is>
          <t>Stdev</t>
        </is>
      </c>
      <c r="N1928" s="9" t="inlineStr">
        <is>
          <t>Combined</t>
        </is>
      </c>
    </row>
    <row r="1929">
      <c r="A1929" t="n">
        <v>32</v>
      </c>
      <c r="B1929" t="inlineStr">
        <is>
          <t>K3-4A</t>
        </is>
      </c>
      <c r="F1929" t="n">
        <v>62.627</v>
      </c>
      <c r="H1929">
        <f>E1929/F1929</f>
        <v/>
      </c>
      <c r="I1929">
        <f>((H1929-$J$1897)/$I$1897)</f>
        <v/>
      </c>
      <c r="J1929">
        <f>(I1929-IF($I$1905&gt;0,$I$1905))</f>
        <v/>
      </c>
      <c r="K1929">
        <f>J1929/R1911*1.1</f>
        <v/>
      </c>
      <c r="L1929">
        <f>AVERAGE(K1929:K1931)</f>
        <v/>
      </c>
      <c r="M1929">
        <f>STDEV(K1929:K1931)</f>
        <v/>
      </c>
      <c r="N1929">
        <f>_xlfn.CONCAT(ROUND(L1929,1)," ± ",ROUND(M1929,1))</f>
        <v/>
      </c>
    </row>
    <row r="1930">
      <c r="A1930" t="n">
        <v>33</v>
      </c>
      <c r="B1930" t="inlineStr">
        <is>
          <t>K3-4B</t>
        </is>
      </c>
      <c r="F1930" t="n">
        <v>116.61</v>
      </c>
      <c r="H1930">
        <f>E1930/F1930</f>
        <v/>
      </c>
      <c r="I1930">
        <f>((H1930-$J$1897)/$I$1897)</f>
        <v/>
      </c>
      <c r="J1930">
        <f>(I1930-IF($I$1905&gt;0,$I$1905))</f>
        <v/>
      </c>
      <c r="K1930">
        <f>J1930/R1912*1.1</f>
        <v/>
      </c>
    </row>
    <row r="1931">
      <c r="A1931" t="n">
        <v>34</v>
      </c>
      <c r="B1931" t="inlineStr">
        <is>
          <t>K3-4C</t>
        </is>
      </c>
      <c r="F1931" t="n">
        <v>125.41</v>
      </c>
      <c r="H1931">
        <f>E1931/F1931</f>
        <v/>
      </c>
      <c r="I1931">
        <f>((H1931-$J$1897)/$I$1897)</f>
        <v/>
      </c>
      <c r="J1931">
        <f>(I1931-IF($I$1905&gt;0,$I$1905))</f>
        <v/>
      </c>
      <c r="K1931">
        <f>J1931/R1913*1.1</f>
        <v/>
      </c>
      <c r="L1931" s="23" t="n"/>
      <c r="M1931" s="23" t="n"/>
      <c r="N1931" s="9" t="n"/>
    </row>
    <row r="1932">
      <c r="A1932" t="n">
        <v>35</v>
      </c>
      <c r="B1932" t="inlineStr">
        <is>
          <t>MeOH</t>
        </is>
      </c>
      <c r="L1932" s="23" t="inlineStr">
        <is>
          <t>Average</t>
        </is>
      </c>
      <c r="M1932" s="23" t="inlineStr">
        <is>
          <t>Stdev</t>
        </is>
      </c>
      <c r="N1932" s="9" t="inlineStr">
        <is>
          <t>Combined</t>
        </is>
      </c>
    </row>
    <row r="1933">
      <c r="A1933" t="n">
        <v>36</v>
      </c>
      <c r="B1933" t="inlineStr">
        <is>
          <t>K3-6A</t>
        </is>
      </c>
      <c r="F1933" t="n">
        <v>54.508</v>
      </c>
      <c r="H1933">
        <f>E1933/F1933</f>
        <v/>
      </c>
      <c r="I1933">
        <f>((H1933-$J$1897)/$I$1897)</f>
        <v/>
      </c>
      <c r="J1933">
        <f>(I1933-IF($I$1905&gt;0,$I$1905))</f>
        <v/>
      </c>
      <c r="K1933">
        <f>J1933/R1914*1.1</f>
        <v/>
      </c>
      <c r="L1933">
        <f>AVERAGE(K1933:K1935)</f>
        <v/>
      </c>
      <c r="M1933">
        <f>STDEV(K1934:K1935)</f>
        <v/>
      </c>
      <c r="N1933">
        <f>_xlfn.CONCAT(ROUND(L1933,1)," ± ",ROUND(M1933,1))</f>
        <v/>
      </c>
    </row>
    <row r="1934">
      <c r="A1934" t="n">
        <v>37</v>
      </c>
      <c r="B1934" t="inlineStr">
        <is>
          <t>K3-6B</t>
        </is>
      </c>
      <c r="F1934" t="n">
        <v>34.035</v>
      </c>
      <c r="H1934">
        <f>E1934/F1934</f>
        <v/>
      </c>
      <c r="I1934">
        <f>((H1934-$J$1897)/$I$1897)</f>
        <v/>
      </c>
      <c r="J1934">
        <f>(I1934-IF($I$1905&gt;0,$I$1905))</f>
        <v/>
      </c>
      <c r="K1934">
        <f>J1934/R1915*1.1</f>
        <v/>
      </c>
    </row>
    <row r="1935">
      <c r="A1935" t="n">
        <v>38</v>
      </c>
      <c r="B1935" t="inlineStr">
        <is>
          <t>K3-6C</t>
        </is>
      </c>
      <c r="F1935" t="n">
        <v>29.42</v>
      </c>
      <c r="H1935">
        <f>E1935/F1935</f>
        <v/>
      </c>
      <c r="I1935">
        <f>((H1935-$J$1897)/$I$1897)</f>
        <v/>
      </c>
      <c r="J1935">
        <f>(I1935-IF($I$1905&gt;0,$I$1905))</f>
        <v/>
      </c>
      <c r="K1935">
        <f>J1935/R1916*1.1</f>
        <v/>
      </c>
      <c r="L1935" s="23" t="n"/>
      <c r="M1935" s="23" t="n"/>
      <c r="N1935" s="9" t="n"/>
    </row>
    <row r="1937">
      <c r="A1937" t="inlineStr">
        <is>
          <t>Compound 47:  8:8 PFPi 2</t>
        </is>
      </c>
    </row>
    <row r="1939">
      <c r="B1939" t="inlineStr">
        <is>
          <t>Sample Text</t>
        </is>
      </c>
      <c r="C1939" t="inlineStr">
        <is>
          <t>Std. Conc</t>
        </is>
      </c>
      <c r="D1939" t="inlineStr">
        <is>
          <t>RT</t>
        </is>
      </c>
      <c r="E1939" t="inlineStr">
        <is>
          <t>Area</t>
        </is>
      </c>
      <c r="F1939" t="inlineStr">
        <is>
          <t>IS Area</t>
        </is>
      </c>
      <c r="G1939" t="inlineStr">
        <is>
          <t>S/N</t>
        </is>
      </c>
      <c r="H1939" t="inlineStr">
        <is>
          <t>Primary Flags</t>
        </is>
      </c>
      <c r="I1939" t="inlineStr">
        <is>
          <t>Response</t>
        </is>
      </c>
      <c r="J1939" t="inlineStr">
        <is>
          <t>Conc.</t>
        </is>
      </c>
      <c r="K1939" t="inlineStr">
        <is>
          <t>Name</t>
        </is>
      </c>
    </row>
    <row r="1940">
      <c r="A1940" t="n">
        <v>1</v>
      </c>
      <c r="B1940" t="inlineStr">
        <is>
          <t>EPA1633 &amp; diPAPs Calibration 0 ppb</t>
        </is>
      </c>
      <c r="F1940" t="n">
        <v>3123.66</v>
      </c>
      <c r="K1940" t="inlineStr">
        <is>
          <t>20250617-12</t>
        </is>
      </c>
    </row>
    <row r="1941">
      <c r="A1941" t="n">
        <v>2</v>
      </c>
      <c r="B1941" t="inlineStr">
        <is>
          <t>EPA1633 &amp; diPAPs Calibration 0.02 ppb</t>
        </is>
      </c>
      <c r="F1941" t="n">
        <v>1988.362</v>
      </c>
      <c r="K1941" t="inlineStr">
        <is>
          <t>20250617-13</t>
        </is>
      </c>
    </row>
    <row r="1942">
      <c r="A1942" t="n">
        <v>3</v>
      </c>
      <c r="B1942" t="inlineStr">
        <is>
          <t>EPA1633 &amp; diPAPs Calibration 0.1 ppb</t>
        </is>
      </c>
      <c r="D1942" t="n">
        <v>12.7</v>
      </c>
      <c r="E1942" t="n">
        <v>0.166</v>
      </c>
      <c r="F1942" t="n">
        <v>2172.051</v>
      </c>
      <c r="G1942" t="n">
        <v>1</v>
      </c>
      <c r="H1942" t="inlineStr">
        <is>
          <t>MM</t>
        </is>
      </c>
      <c r="K1942" t="inlineStr">
        <is>
          <t>20250617-14</t>
        </is>
      </c>
    </row>
    <row r="1943">
      <c r="A1943" t="n">
        <v>4</v>
      </c>
      <c r="B1943" t="inlineStr">
        <is>
          <t>EPA1633 &amp; diPAPs Calibration 0.4 ppb</t>
        </is>
      </c>
      <c r="F1943" t="n">
        <v>2307.023</v>
      </c>
      <c r="K1943" t="inlineStr">
        <is>
          <t>20250617-15</t>
        </is>
      </c>
    </row>
    <row r="1944">
      <c r="A1944" t="n">
        <v>5</v>
      </c>
      <c r="B1944" t="inlineStr">
        <is>
          <t>EPA1633 &amp; diPAPs Calibration 1 ppb</t>
        </is>
      </c>
      <c r="D1944" t="n">
        <v>12.69</v>
      </c>
      <c r="E1944" t="n">
        <v>19.028</v>
      </c>
      <c r="F1944" t="n">
        <v>1818.826</v>
      </c>
      <c r="G1944" t="n">
        <v>6.88</v>
      </c>
      <c r="H1944" t="inlineStr">
        <is>
          <t>MM</t>
        </is>
      </c>
      <c r="K1944" t="inlineStr">
        <is>
          <t>20250617-16</t>
        </is>
      </c>
    </row>
    <row r="1945">
      <c r="A1945" t="n">
        <v>6</v>
      </c>
      <c r="B1945" t="inlineStr">
        <is>
          <t>EPA1633 &amp; diPAPs Calibration 5 ppb</t>
        </is>
      </c>
      <c r="D1945" t="n">
        <v>12.72</v>
      </c>
      <c r="E1945" t="n">
        <v>86.315</v>
      </c>
      <c r="F1945" t="n">
        <v>1651.747</v>
      </c>
      <c r="G1945" t="n">
        <v>8.529</v>
      </c>
      <c r="H1945" t="inlineStr">
        <is>
          <t>MM</t>
        </is>
      </c>
      <c r="K1945" t="inlineStr">
        <is>
          <t>20250617-17</t>
        </is>
      </c>
    </row>
    <row r="1946">
      <c r="A1946" t="n">
        <v>7</v>
      </c>
      <c r="B1946" t="inlineStr">
        <is>
          <t>EPA1633 &amp; diPAPs Calibration 10 ppb</t>
        </is>
      </c>
      <c r="D1946" t="n">
        <v>12.72</v>
      </c>
      <c r="E1946" t="n">
        <v>189.584</v>
      </c>
      <c r="F1946" t="n">
        <v>5035.45</v>
      </c>
      <c r="G1946" t="n">
        <v>50.849</v>
      </c>
      <c r="H1946" t="inlineStr">
        <is>
          <t>MM</t>
        </is>
      </c>
      <c r="K1946" t="inlineStr">
        <is>
          <t>20250617-18</t>
        </is>
      </c>
    </row>
    <row r="1947">
      <c r="A1947" t="n">
        <v>8</v>
      </c>
      <c r="B1947" t="inlineStr">
        <is>
          <t>EPA1633 &amp; diPAPs Calibration 20 ppb</t>
        </is>
      </c>
      <c r="D1947" t="n">
        <v>12.7</v>
      </c>
      <c r="E1947" t="n">
        <v>86.53100000000001</v>
      </c>
      <c r="F1947" t="n">
        <v>2142.017</v>
      </c>
      <c r="G1947" t="n">
        <v>514.653</v>
      </c>
      <c r="H1947" t="inlineStr">
        <is>
          <t>MM</t>
        </is>
      </c>
      <c r="K1947" t="inlineStr">
        <is>
          <t>20250617-19</t>
        </is>
      </c>
    </row>
    <row r="1948">
      <c r="A1948" t="n">
        <v>9</v>
      </c>
      <c r="B1948" t="inlineStr">
        <is>
          <t>MeOH</t>
        </is>
      </c>
      <c r="K1948" t="inlineStr">
        <is>
          <t>20250617-20</t>
        </is>
      </c>
    </row>
    <row r="1949">
      <c r="A1949" t="n">
        <v>10</v>
      </c>
      <c r="B1949" t="inlineStr">
        <is>
          <t>MeOH</t>
        </is>
      </c>
      <c r="K1949" t="inlineStr">
        <is>
          <t>20250617-21</t>
        </is>
      </c>
    </row>
    <row r="1950">
      <c r="A1950" t="n">
        <v>11</v>
      </c>
      <c r="B1950" t="inlineStr">
        <is>
          <t>SB1</t>
        </is>
      </c>
      <c r="F1950" t="n">
        <v>588.622</v>
      </c>
      <c r="K1950" t="inlineStr">
        <is>
          <t>20250617-22</t>
        </is>
      </c>
    </row>
    <row r="1951">
      <c r="A1951" t="n">
        <v>12</v>
      </c>
      <c r="B1951" t="inlineStr">
        <is>
          <t>SB2</t>
        </is>
      </c>
      <c r="F1951" t="n">
        <v>886.918</v>
      </c>
      <c r="K1951" t="inlineStr">
        <is>
          <t>20250617-23</t>
        </is>
      </c>
    </row>
    <row r="1952">
      <c r="A1952" t="n">
        <v>13</v>
      </c>
      <c r="B1952" t="inlineStr">
        <is>
          <t>SB3</t>
        </is>
      </c>
      <c r="F1952" t="n">
        <v>608.25</v>
      </c>
      <c r="K1952" t="inlineStr">
        <is>
          <t>20250617-24</t>
        </is>
      </c>
    </row>
    <row r="1953">
      <c r="A1953" t="n">
        <v>14</v>
      </c>
      <c r="B1953" t="inlineStr">
        <is>
          <t>SS1</t>
        </is>
      </c>
      <c r="D1953" t="n">
        <v>12.73</v>
      </c>
      <c r="E1953" t="n">
        <v>1.057</v>
      </c>
      <c r="F1953" t="n">
        <v>780.986</v>
      </c>
      <c r="G1953" t="n">
        <v>10</v>
      </c>
      <c r="H1953" t="inlineStr">
        <is>
          <t>MM</t>
        </is>
      </c>
      <c r="K1953" t="inlineStr">
        <is>
          <t>20250617-25</t>
        </is>
      </c>
    </row>
    <row r="1954">
      <c r="A1954" t="n">
        <v>15</v>
      </c>
      <c r="B1954" t="inlineStr">
        <is>
          <t>SS2</t>
        </is>
      </c>
      <c r="D1954" t="n">
        <v>13.66</v>
      </c>
      <c r="E1954" t="n">
        <v>0.538</v>
      </c>
      <c r="F1954" t="n">
        <v>821.647</v>
      </c>
      <c r="G1954" t="n">
        <v>5</v>
      </c>
      <c r="H1954" t="inlineStr">
        <is>
          <t>bb</t>
        </is>
      </c>
      <c r="K1954" t="inlineStr">
        <is>
          <t>20250617-26</t>
        </is>
      </c>
    </row>
    <row r="1955">
      <c r="A1955" t="n">
        <v>16</v>
      </c>
      <c r="B1955" t="inlineStr">
        <is>
          <t>SS3</t>
        </is>
      </c>
      <c r="D1955" t="n">
        <v>12.78</v>
      </c>
      <c r="E1955" t="n">
        <v>7.188</v>
      </c>
      <c r="F1955" t="n">
        <v>561.066</v>
      </c>
      <c r="G1955" t="n">
        <v>4.371</v>
      </c>
      <c r="H1955" t="inlineStr">
        <is>
          <t>MM</t>
        </is>
      </c>
      <c r="K1955" t="inlineStr">
        <is>
          <t>20250617-27</t>
        </is>
      </c>
    </row>
    <row r="1956">
      <c r="A1956" t="n">
        <v>17</v>
      </c>
      <c r="B1956" t="inlineStr">
        <is>
          <t>MeOH</t>
        </is>
      </c>
      <c r="K1956" t="inlineStr">
        <is>
          <t>20250617-28</t>
        </is>
      </c>
    </row>
    <row r="1957">
      <c r="A1957" t="n">
        <v>18</v>
      </c>
      <c r="B1957" t="inlineStr">
        <is>
          <t>K4-5A</t>
        </is>
      </c>
      <c r="F1957" t="n">
        <v>608.375</v>
      </c>
      <c r="K1957" t="inlineStr">
        <is>
          <t>20250617-29</t>
        </is>
      </c>
    </row>
    <row r="1958">
      <c r="A1958" t="n">
        <v>19</v>
      </c>
      <c r="B1958" t="inlineStr">
        <is>
          <t>K4-5B</t>
        </is>
      </c>
      <c r="F1958" t="n">
        <v>605.4109999999999</v>
      </c>
      <c r="K1958" t="inlineStr">
        <is>
          <t>20250617-30</t>
        </is>
      </c>
    </row>
    <row r="1959">
      <c r="A1959" t="n">
        <v>20</v>
      </c>
      <c r="B1959" t="inlineStr">
        <is>
          <t>K4-5C</t>
        </is>
      </c>
      <c r="K1959" t="inlineStr">
        <is>
          <t>20250617-31</t>
        </is>
      </c>
    </row>
    <row r="1960">
      <c r="A1960" t="n">
        <v>21</v>
      </c>
      <c r="B1960" t="inlineStr">
        <is>
          <t>MeOH</t>
        </is>
      </c>
      <c r="K1960" t="inlineStr">
        <is>
          <t>20250617-32</t>
        </is>
      </c>
    </row>
    <row r="1961">
      <c r="A1961" t="n">
        <v>22</v>
      </c>
      <c r="B1961" t="inlineStr">
        <is>
          <t>K3-1A</t>
        </is>
      </c>
      <c r="F1961" t="n">
        <v>586.254</v>
      </c>
      <c r="K1961" t="inlineStr">
        <is>
          <t>20250617-33</t>
        </is>
      </c>
    </row>
    <row r="1962">
      <c r="A1962" t="n">
        <v>23</v>
      </c>
      <c r="B1962" t="inlineStr">
        <is>
          <t>K3-1B</t>
        </is>
      </c>
      <c r="F1962" t="n">
        <v>599.562</v>
      </c>
      <c r="K1962" t="inlineStr">
        <is>
          <t>20250617-34</t>
        </is>
      </c>
    </row>
    <row r="1963">
      <c r="A1963" t="n">
        <v>24</v>
      </c>
      <c r="B1963" t="inlineStr">
        <is>
          <t>K3-1C</t>
        </is>
      </c>
      <c r="F1963" t="n">
        <v>676.624</v>
      </c>
      <c r="K1963" t="inlineStr">
        <is>
          <t>20250617-35</t>
        </is>
      </c>
    </row>
    <row r="1964">
      <c r="A1964" t="n">
        <v>25</v>
      </c>
      <c r="B1964" t="inlineStr">
        <is>
          <t>K3-2A</t>
        </is>
      </c>
      <c r="F1964" t="n">
        <v>577.7329999999999</v>
      </c>
      <c r="K1964" t="inlineStr">
        <is>
          <t>20250617-36</t>
        </is>
      </c>
    </row>
    <row r="1965">
      <c r="A1965" t="n">
        <v>26</v>
      </c>
      <c r="B1965" t="inlineStr">
        <is>
          <t>K3-2B</t>
        </is>
      </c>
      <c r="D1965" t="n">
        <v>14.17</v>
      </c>
      <c r="E1965" t="n">
        <v>0.337</v>
      </c>
      <c r="F1965" t="n">
        <v>839.127</v>
      </c>
      <c r="G1965" t="n">
        <v>4</v>
      </c>
      <c r="H1965" t="inlineStr">
        <is>
          <t>bb</t>
        </is>
      </c>
      <c r="K1965" t="inlineStr">
        <is>
          <t>20250617-37</t>
        </is>
      </c>
    </row>
    <row r="1966">
      <c r="A1966" t="n">
        <v>27</v>
      </c>
      <c r="B1966" t="inlineStr">
        <is>
          <t>K3-2C</t>
        </is>
      </c>
      <c r="F1966" t="n">
        <v>585.352</v>
      </c>
      <c r="K1966" t="inlineStr">
        <is>
          <t>20250617-38</t>
        </is>
      </c>
    </row>
    <row r="1967">
      <c r="A1967" t="n">
        <v>28</v>
      </c>
      <c r="B1967" t="inlineStr">
        <is>
          <t>MeOH</t>
        </is>
      </c>
      <c r="K1967" t="inlineStr">
        <is>
          <t>20250617-39</t>
        </is>
      </c>
    </row>
    <row r="1968">
      <c r="A1968" t="n">
        <v>29</v>
      </c>
      <c r="B1968" t="inlineStr">
        <is>
          <t>K3-3A</t>
        </is>
      </c>
      <c r="F1968" t="n">
        <v>346.277</v>
      </c>
      <c r="K1968" t="inlineStr">
        <is>
          <t>20250617-40</t>
        </is>
      </c>
    </row>
    <row r="1969">
      <c r="A1969" t="n">
        <v>30</v>
      </c>
      <c r="B1969" t="inlineStr">
        <is>
          <t>K3-3B</t>
        </is>
      </c>
      <c r="F1969" t="n">
        <v>693.228</v>
      </c>
      <c r="K1969" t="inlineStr">
        <is>
          <t>20250617-41</t>
        </is>
      </c>
    </row>
    <row r="1970">
      <c r="A1970" t="n">
        <v>31</v>
      </c>
      <c r="B1970" t="inlineStr">
        <is>
          <t>K3-3C</t>
        </is>
      </c>
      <c r="F1970" t="n">
        <v>529.389</v>
      </c>
      <c r="K1970" t="inlineStr">
        <is>
          <t>20250617-42</t>
        </is>
      </c>
    </row>
    <row r="1971">
      <c r="A1971" t="n">
        <v>32</v>
      </c>
      <c r="B1971" t="inlineStr">
        <is>
          <t>K3-4A</t>
        </is>
      </c>
      <c r="F1971" t="n">
        <v>496.854</v>
      </c>
      <c r="K1971" t="inlineStr">
        <is>
          <t>20250617-43</t>
        </is>
      </c>
    </row>
    <row r="1972">
      <c r="A1972" t="n">
        <v>33</v>
      </c>
      <c r="B1972" t="inlineStr">
        <is>
          <t>K3-4B</t>
        </is>
      </c>
      <c r="F1972" t="n">
        <v>533.124</v>
      </c>
      <c r="K1972" t="inlineStr">
        <is>
          <t>20250617-44</t>
        </is>
      </c>
    </row>
    <row r="1973">
      <c r="A1973" t="n">
        <v>34</v>
      </c>
      <c r="B1973" t="inlineStr">
        <is>
          <t>K3-4C</t>
        </is>
      </c>
      <c r="F1973" t="n">
        <v>606.571</v>
      </c>
      <c r="K1973" t="inlineStr">
        <is>
          <t>20250617-45</t>
        </is>
      </c>
    </row>
    <row r="1974">
      <c r="A1974" t="n">
        <v>35</v>
      </c>
      <c r="B1974" t="inlineStr">
        <is>
          <t>MeOH</t>
        </is>
      </c>
      <c r="D1974" t="n">
        <v>13.53</v>
      </c>
      <c r="E1974" t="n">
        <v>0.312</v>
      </c>
      <c r="G1974" t="n">
        <v>3</v>
      </c>
      <c r="H1974" t="inlineStr">
        <is>
          <t>bb</t>
        </is>
      </c>
      <c r="K1974" t="inlineStr">
        <is>
          <t>20250617-46</t>
        </is>
      </c>
    </row>
    <row r="1975">
      <c r="A1975" t="n">
        <v>36</v>
      </c>
      <c r="B1975" t="inlineStr">
        <is>
          <t>K3-6A</t>
        </is>
      </c>
      <c r="F1975" t="n">
        <v>354.208</v>
      </c>
      <c r="K1975" t="inlineStr">
        <is>
          <t>20250617-47</t>
        </is>
      </c>
    </row>
    <row r="1976">
      <c r="A1976" t="n">
        <v>37</v>
      </c>
      <c r="B1976" t="inlineStr">
        <is>
          <t>K3-6B</t>
        </is>
      </c>
      <c r="F1976" t="n">
        <v>348.087</v>
      </c>
      <c r="K1976" t="inlineStr">
        <is>
          <t>20250617-48</t>
        </is>
      </c>
    </row>
    <row r="1977">
      <c r="A1977" t="n">
        <v>38</v>
      </c>
      <c r="B1977" t="inlineStr">
        <is>
          <t>K3-6C</t>
        </is>
      </c>
      <c r="F1977" t="n">
        <v>270.181</v>
      </c>
      <c r="K1977" t="inlineStr">
        <is>
          <t>20250617-49</t>
        </is>
      </c>
    </row>
    <row r="1979">
      <c r="A1979" t="inlineStr">
        <is>
          <t>Compound 48:  6-10 diPAP 1 +</t>
        </is>
      </c>
    </row>
    <row r="1980">
      <c r="I1980" t="inlineStr">
        <is>
          <t>LINEST</t>
        </is>
      </c>
      <c r="Q1980" t="inlineStr">
        <is>
          <t>Biosolids Masses</t>
        </is>
      </c>
      <c r="R1980" t="inlineStr">
        <is>
          <t>(g)</t>
        </is>
      </c>
    </row>
    <row r="1981">
      <c r="B1981" t="inlineStr">
        <is>
          <t>Sample Text</t>
        </is>
      </c>
      <c r="C1981" t="inlineStr">
        <is>
          <t>Std. Conc</t>
        </is>
      </c>
      <c r="D1981" t="inlineStr">
        <is>
          <t>RT</t>
        </is>
      </c>
      <c r="E1981" t="inlineStr">
        <is>
          <t>Area</t>
        </is>
      </c>
      <c r="F1981" t="inlineStr">
        <is>
          <t>IS Area</t>
        </is>
      </c>
      <c r="G1981" t="inlineStr">
        <is>
          <t>S/N</t>
        </is>
      </c>
      <c r="H1981" t="inlineStr">
        <is>
          <t>ratio</t>
        </is>
      </c>
      <c r="I1981">
        <f t="array" ref="I1981:J1985">LINEST(H1985:H1988,C1985:C1988,1,1)</f>
        <v/>
      </c>
      <c r="J1981" t="n">
        <v>-0.0152779035021649</v>
      </c>
      <c r="L1981" s="20" t="inlineStr">
        <is>
          <t>By S/N Ratio</t>
        </is>
      </c>
      <c r="Q1981" t="inlineStr">
        <is>
          <t>SS1</t>
        </is>
      </c>
      <c r="R1981" t="n">
        <v>1.0846</v>
      </c>
    </row>
    <row r="1982">
      <c r="A1982" t="n">
        <v>1</v>
      </c>
      <c r="B1982" t="inlineStr">
        <is>
          <t>EPA1633 &amp; diPAPs Calibration 0 ppb</t>
        </is>
      </c>
      <c r="C1982" t="n">
        <v>0</v>
      </c>
      <c r="F1982" t="n">
        <v>19473.51</v>
      </c>
      <c r="H1982">
        <f>E1982/F1982</f>
        <v/>
      </c>
      <c r="I1982" t="n">
        <v>0.0001496855677209444</v>
      </c>
      <c r="J1982" t="n">
        <v>0.008198616197372841</v>
      </c>
      <c r="K1982" t="inlineStr">
        <is>
          <t>LOD</t>
        </is>
      </c>
      <c r="L1982" s="21">
        <f>IF(G1985&gt;3,C1985,IF(G1986&gt;3,#REF!,IF(G1987&gt;3,C1987,IF(G1988&gt;3,#REF!,#REF!))))</f>
        <v/>
      </c>
      <c r="Q1982" t="inlineStr">
        <is>
          <t>SS2</t>
        </is>
      </c>
      <c r="R1982" t="n">
        <v>1.0726</v>
      </c>
    </row>
    <row r="1983">
      <c r="A1983" t="n">
        <v>2</v>
      </c>
      <c r="B1983" t="inlineStr">
        <is>
          <t>EPA1633 &amp; diPAPs Calibration 0.02 ppb</t>
        </is>
      </c>
      <c r="C1983" t="n">
        <v>5</v>
      </c>
      <c r="D1983" t="n">
        <v>13.12</v>
      </c>
      <c r="E1983" t="n">
        <v>76.399</v>
      </c>
      <c r="F1983" t="n">
        <v>13285.255</v>
      </c>
      <c r="G1983" t="n">
        <v>5.473</v>
      </c>
      <c r="H1983">
        <f>E1983/F1983</f>
        <v/>
      </c>
      <c r="I1983" t="n">
        <v>0.8869588739095232</v>
      </c>
      <c r="J1983" t="n">
        <v>0.006694142093493598</v>
      </c>
      <c r="K1983" t="inlineStr">
        <is>
          <t>LOQ</t>
        </is>
      </c>
      <c r="L1983" s="22">
        <f>IF(G1985&gt;10,C1985,IF(G1986&gt;10,#REF!,IF(G1987&gt;10,C1987,IF(G1988&gt;10,#REF!,#REF!))))</f>
        <v/>
      </c>
      <c r="Q1983" t="inlineStr">
        <is>
          <t>SS3</t>
        </is>
      </c>
      <c r="R1983" t="n">
        <v>1.1534</v>
      </c>
    </row>
    <row r="1984">
      <c r="A1984" t="n">
        <v>3</v>
      </c>
      <c r="B1984" t="inlineStr">
        <is>
          <t>EPA1633 &amp; diPAPs Calibration 0.1 ppb</t>
        </is>
      </c>
      <c r="C1984" t="n">
        <v>10</v>
      </c>
      <c r="F1984" t="n">
        <v>16010.102</v>
      </c>
      <c r="H1984">
        <f>E1984/F1984</f>
        <v/>
      </c>
      <c r="I1984" t="n">
        <v>15.6926758355116</v>
      </c>
      <c r="J1984" t="n">
        <v>2</v>
      </c>
      <c r="Q1984" t="inlineStr">
        <is>
          <t>K4-5A</t>
        </is>
      </c>
      <c r="R1984" t="n">
        <v>1.1054</v>
      </c>
    </row>
    <row r="1985">
      <c r="A1985" t="n">
        <v>4</v>
      </c>
      <c r="B1985" t="inlineStr">
        <is>
          <t>EPA1633 &amp; diPAPs Calibration 0.4 ppb</t>
        </is>
      </c>
      <c r="C1985" t="n">
        <v>20</v>
      </c>
      <c r="D1985" t="n">
        <v>13.02</v>
      </c>
      <c r="E1985" t="n">
        <v>0.257</v>
      </c>
      <c r="F1985" t="n">
        <v>14214.025</v>
      </c>
      <c r="G1985" t="n">
        <v>2</v>
      </c>
      <c r="H1985">
        <f>E1985/F1985</f>
        <v/>
      </c>
      <c r="I1985" t="n">
        <v>0.0007032129452977763</v>
      </c>
      <c r="J1985" t="n">
        <v>8.962307673576572e-05</v>
      </c>
      <c r="Q1985" t="inlineStr">
        <is>
          <t>K4-5B</t>
        </is>
      </c>
      <c r="R1985" s="10" t="n">
        <v>1.0463</v>
      </c>
    </row>
    <row r="1986">
      <c r="A1986" t="n">
        <v>5</v>
      </c>
      <c r="B1986" t="inlineStr">
        <is>
          <t>EPA1633 &amp; diPAPs Calibration 1 ppb</t>
        </is>
      </c>
      <c r="C1986" t="n">
        <v>40</v>
      </c>
      <c r="D1986" t="n">
        <v>13.13</v>
      </c>
      <c r="E1986" t="n">
        <v>148.091</v>
      </c>
      <c r="F1986" t="n">
        <v>21931.449</v>
      </c>
      <c r="G1986" t="n">
        <v>910</v>
      </c>
      <c r="H1986">
        <f>E1986/F1986</f>
        <v/>
      </c>
      <c r="Q1986" t="inlineStr">
        <is>
          <t>K4-5C</t>
        </is>
      </c>
      <c r="R1986" t="n">
        <v>1.1155</v>
      </c>
    </row>
    <row r="1987">
      <c r="A1987" t="n">
        <v>6</v>
      </c>
      <c r="B1987" t="inlineStr">
        <is>
          <t>EPA1633 &amp; diPAPs Calibration 5 ppb</t>
        </is>
      </c>
      <c r="C1987" t="n">
        <v>60</v>
      </c>
      <c r="D1987" t="n">
        <v>13.13</v>
      </c>
      <c r="E1987" t="n">
        <v>234.411</v>
      </c>
      <c r="F1987" t="n">
        <v>17537.508</v>
      </c>
      <c r="G1987" t="n">
        <v>59.45</v>
      </c>
      <c r="H1987">
        <f>E1987/F1987</f>
        <v/>
      </c>
      <c r="Q1987" t="inlineStr">
        <is>
          <t>K3-1A</t>
        </is>
      </c>
      <c r="R1987" t="n">
        <v>1.0874</v>
      </c>
    </row>
    <row r="1988">
      <c r="A1988" t="n">
        <v>7</v>
      </c>
      <c r="B1988" t="inlineStr">
        <is>
          <t>EPA1633 &amp; diPAPs Calibration 10 ppb</t>
        </is>
      </c>
      <c r="C1988" t="n">
        <v>80</v>
      </c>
      <c r="D1988" t="n">
        <v>13.14</v>
      </c>
      <c r="E1988" t="n">
        <v>1093.935</v>
      </c>
      <c r="F1988" t="n">
        <v>29293.133</v>
      </c>
      <c r="G1988" t="n">
        <v>7636</v>
      </c>
      <c r="H1988">
        <f>E1988/F1988</f>
        <v/>
      </c>
      <c r="I1988" s="23" t="inlineStr">
        <is>
          <t>Background</t>
        </is>
      </c>
      <c r="J1988" s="23" t="inlineStr">
        <is>
          <t>Spike</t>
        </is>
      </c>
      <c r="K1988" s="9" t="inlineStr">
        <is>
          <t>Old Spike</t>
        </is>
      </c>
      <c r="O1988" s="24" t="inlineStr">
        <is>
          <t>±</t>
        </is>
      </c>
      <c r="Q1988" t="inlineStr">
        <is>
          <t>K3-1B</t>
        </is>
      </c>
      <c r="R1988" t="n">
        <v>1.0898</v>
      </c>
    </row>
    <row r="1989">
      <c r="A1989" t="n">
        <v>8</v>
      </c>
      <c r="B1989" t="inlineStr">
        <is>
          <t>EPA1633 &amp; diPAPs Calibration 20 ppb</t>
        </is>
      </c>
      <c r="C1989" t="n">
        <v>100</v>
      </c>
      <c r="D1989" t="n">
        <v>13.13</v>
      </c>
      <c r="E1989" t="n">
        <v>355.094</v>
      </c>
      <c r="F1989" t="n">
        <v>13919.142</v>
      </c>
      <c r="G1989" t="n">
        <v>2627</v>
      </c>
      <c r="H1989">
        <f>E1989/F1989</f>
        <v/>
      </c>
      <c r="I1989">
        <f>AVERAGE(I1992:I1994)</f>
        <v/>
      </c>
      <c r="J1989" t="n">
        <v>17.6</v>
      </c>
      <c r="Q1989" t="inlineStr">
        <is>
          <t>K3-1C</t>
        </is>
      </c>
      <c r="R1989" t="n">
        <v>1.0536</v>
      </c>
    </row>
    <row r="1990">
      <c r="A1990" t="n">
        <v>9</v>
      </c>
      <c r="B1990" t="inlineStr">
        <is>
          <t>MeOH</t>
        </is>
      </c>
      <c r="I1990" s="23" t="inlineStr">
        <is>
          <t>Conc.In Vial (ppb)</t>
        </is>
      </c>
      <c r="J1990" s="9" t="inlineStr">
        <is>
          <t>Corr. Conc.(ppb)</t>
        </is>
      </c>
      <c r="K1990" s="9" t="inlineStr">
        <is>
          <t>Conc. In soil (ng/g)</t>
        </is>
      </c>
      <c r="Q1990" t="inlineStr">
        <is>
          <t>K3-2A</t>
        </is>
      </c>
      <c r="R1990" s="10" t="n">
        <v>1.1218</v>
      </c>
    </row>
    <row r="1991">
      <c r="A1991" t="n">
        <v>10</v>
      </c>
      <c r="B1991" t="inlineStr">
        <is>
          <t>MeOH</t>
        </is>
      </c>
      <c r="L1991" s="23" t="inlineStr">
        <is>
          <t>Average</t>
        </is>
      </c>
      <c r="M1991" s="23" t="inlineStr">
        <is>
          <t>Stdev</t>
        </is>
      </c>
      <c r="N1991" s="9" t="inlineStr">
        <is>
          <t>Combined</t>
        </is>
      </c>
      <c r="O1991" s="9" t="n"/>
      <c r="P1991" s="9" t="n"/>
      <c r="Q1991" t="inlineStr">
        <is>
          <t>K3-2B</t>
        </is>
      </c>
      <c r="R1991" t="n">
        <v>1.198</v>
      </c>
    </row>
    <row r="1992">
      <c r="A1992" t="n">
        <v>11</v>
      </c>
      <c r="B1992" t="inlineStr">
        <is>
          <t>SB1</t>
        </is>
      </c>
      <c r="F1992" t="n">
        <v>5289.194</v>
      </c>
      <c r="H1992">
        <f>E1992/F1992</f>
        <v/>
      </c>
      <c r="I1992">
        <f>((H1992-$J$1981)/$I$1981)</f>
        <v/>
      </c>
      <c r="J1992">
        <f>(I1992-IF(I1989&gt;0,I1989,0))</f>
        <v/>
      </c>
      <c r="K1992">
        <f>J1992*1.1</f>
        <v/>
      </c>
      <c r="L1992">
        <f>AVERAGE(K1992:K1994)</f>
        <v/>
      </c>
      <c r="M1992">
        <f>STDEV(K1993:K1994)</f>
        <v/>
      </c>
      <c r="N1992">
        <f>_xlfn.CONCAT(ROUND(L1992,1)," ± ",ROUND(M1992,1))</f>
        <v/>
      </c>
      <c r="Q1992" t="inlineStr">
        <is>
          <t>K3-2C</t>
        </is>
      </c>
      <c r="R1992" t="n">
        <v>1.1538</v>
      </c>
    </row>
    <row r="1993">
      <c r="A1993" t="n">
        <v>12</v>
      </c>
      <c r="B1993" t="inlineStr">
        <is>
          <t>SB2</t>
        </is>
      </c>
      <c r="F1993" t="n">
        <v>6667.125</v>
      </c>
      <c r="H1993">
        <f>E1993/F1993</f>
        <v/>
      </c>
      <c r="I1993">
        <f>((H1993-$J$1981)/$I$1981)</f>
        <v/>
      </c>
      <c r="J1993">
        <f>(I1993-IF(I1989&gt;0,I1989,0))</f>
        <v/>
      </c>
      <c r="K1993">
        <f>J1993*1.1</f>
        <v/>
      </c>
      <c r="Q1993" t="inlineStr">
        <is>
          <t>K3-3A</t>
        </is>
      </c>
      <c r="R1993" t="n">
        <v>1.1183</v>
      </c>
    </row>
    <row r="1994">
      <c r="A1994" t="n">
        <v>13</v>
      </c>
      <c r="B1994" t="inlineStr">
        <is>
          <t>SB3</t>
        </is>
      </c>
      <c r="F1994" t="n">
        <v>5460.875</v>
      </c>
      <c r="H1994">
        <f>E1994/F1994</f>
        <v/>
      </c>
      <c r="I1994">
        <f>((H1994-$J$1981)/$I$1981)</f>
        <v/>
      </c>
      <c r="J1994">
        <f>(I1994-IF(I1989&gt;0,I1989,0))</f>
        <v/>
      </c>
      <c r="K1994" s="30">
        <f>J1994*1.1</f>
        <v/>
      </c>
      <c r="L1994" s="25" t="inlineStr">
        <is>
          <t>Average</t>
        </is>
      </c>
      <c r="M1994" s="25" t="inlineStr">
        <is>
          <t>Stdev</t>
        </is>
      </c>
      <c r="N1994" s="26" t="inlineStr">
        <is>
          <t>%Recovery</t>
        </is>
      </c>
      <c r="O1994" s="26" t="inlineStr">
        <is>
          <t>Uncertainty</t>
        </is>
      </c>
      <c r="P1994" s="26" t="inlineStr">
        <is>
          <t>Combined</t>
        </is>
      </c>
      <c r="Q1994" t="inlineStr">
        <is>
          <t>K3-3B</t>
        </is>
      </c>
      <c r="R1994" t="n">
        <v>1.1448</v>
      </c>
    </row>
    <row r="1995">
      <c r="A1995" t="n">
        <v>14</v>
      </c>
      <c r="B1995" t="inlineStr">
        <is>
          <t>SS1</t>
        </is>
      </c>
      <c r="D1995" t="n">
        <v>13.2</v>
      </c>
      <c r="E1995" t="n">
        <v>41.601</v>
      </c>
      <c r="F1995" t="n">
        <v>6517.947</v>
      </c>
      <c r="G1995" t="n">
        <v>326</v>
      </c>
      <c r="H1995">
        <f>E1995/F1995</f>
        <v/>
      </c>
      <c r="I1995">
        <f>((H1995-$J$1981)/$I$1981)</f>
        <v/>
      </c>
      <c r="J1995">
        <f>(I1995-IF($I$1989&gt;0,$I$1989))</f>
        <v/>
      </c>
      <c r="K1995">
        <f>J1995/R1981*1.1</f>
        <v/>
      </c>
      <c r="L1995" s="27">
        <f>AVERAGE(K1995:K1997)</f>
        <v/>
      </c>
      <c r="M1995" s="27">
        <f>STDEV(K1995:K1997)</f>
        <v/>
      </c>
      <c r="N1995" s="28">
        <f>L1995/J1989*100</f>
        <v/>
      </c>
      <c r="O1995" s="29">
        <f>M1995/J1989*100</f>
        <v/>
      </c>
      <c r="P1995" s="29">
        <f>_xlfn.CONCAT(ROUND(N1995,1)," ± ",ROUND(O1995,1))</f>
        <v/>
      </c>
      <c r="Q1995" t="inlineStr">
        <is>
          <t>K3-3C</t>
        </is>
      </c>
      <c r="R1995" t="n">
        <v>1.0493</v>
      </c>
    </row>
    <row r="1996">
      <c r="A1996" t="n">
        <v>15</v>
      </c>
      <c r="B1996" t="inlineStr">
        <is>
          <t>SS2</t>
        </is>
      </c>
      <c r="D1996" t="n">
        <v>13.16</v>
      </c>
      <c r="E1996" t="n">
        <v>4.697</v>
      </c>
      <c r="F1996" t="n">
        <v>6712.642</v>
      </c>
      <c r="G1996" t="n">
        <v>41</v>
      </c>
      <c r="H1996">
        <f>E1996/F1996</f>
        <v/>
      </c>
      <c r="I1996">
        <f>((H1996-$J$1981)/$I$1981)</f>
        <v/>
      </c>
      <c r="J1996">
        <f>(I1996-IF($I$1989&gt;0,$I$1989))</f>
        <v/>
      </c>
      <c r="K1996">
        <f>J1996/R1982*1.1</f>
        <v/>
      </c>
      <c r="Q1996" t="inlineStr">
        <is>
          <t>K3-4A</t>
        </is>
      </c>
      <c r="R1996" t="n">
        <v>1.0704</v>
      </c>
    </row>
    <row r="1997">
      <c r="A1997" t="n">
        <v>16</v>
      </c>
      <c r="B1997" t="inlineStr">
        <is>
          <t>SS3</t>
        </is>
      </c>
      <c r="D1997" t="n">
        <v>13.16</v>
      </c>
      <c r="E1997" t="n">
        <v>63.627</v>
      </c>
      <c r="F1997" t="n">
        <v>6363.637</v>
      </c>
      <c r="G1997" t="n">
        <v>4.425</v>
      </c>
      <c r="H1997">
        <f>E1997/F1997</f>
        <v/>
      </c>
      <c r="I1997">
        <f>((H1997-$J$1981)/$I$1981)</f>
        <v/>
      </c>
      <c r="J1997">
        <f>(I1997-IF($I$1989&gt;0,$I$1989))</f>
        <v/>
      </c>
      <c r="K1997" s="30">
        <f>J1997/R1983*1.1</f>
        <v/>
      </c>
      <c r="Q1997" t="inlineStr">
        <is>
          <t>K3-4B</t>
        </is>
      </c>
      <c r="R1997" t="n">
        <v>1.1589</v>
      </c>
    </row>
    <row r="1998">
      <c r="A1998" t="n">
        <v>17</v>
      </c>
      <c r="B1998" t="inlineStr">
        <is>
          <t>MeOH</t>
        </is>
      </c>
      <c r="L1998" s="23" t="inlineStr">
        <is>
          <t>Average</t>
        </is>
      </c>
      <c r="M1998" s="23" t="inlineStr">
        <is>
          <t>Stdev</t>
        </is>
      </c>
      <c r="N1998" s="9" t="inlineStr">
        <is>
          <t>Combined</t>
        </is>
      </c>
      <c r="Q1998" t="inlineStr">
        <is>
          <t>K3-4C</t>
        </is>
      </c>
      <c r="R1998" t="n">
        <v>1.0206</v>
      </c>
    </row>
    <row r="1999">
      <c r="A1999" t="n">
        <v>18</v>
      </c>
      <c r="B1999" t="inlineStr">
        <is>
          <t>K4-5A</t>
        </is>
      </c>
      <c r="D1999" t="n">
        <v>13.19</v>
      </c>
      <c r="E1999" t="n">
        <v>2.159</v>
      </c>
      <c r="F1999" t="n">
        <v>3930.075</v>
      </c>
      <c r="G1999" t="n">
        <v>19</v>
      </c>
      <c r="H1999">
        <f>E1999/F1999</f>
        <v/>
      </c>
      <c r="I1999">
        <f>((H1999-$J$1981)/$I$1981)</f>
        <v/>
      </c>
      <c r="J1999">
        <f>(I1999-IF($I$1989&gt;0,$I$1989))</f>
        <v/>
      </c>
      <c r="K1999">
        <f>J1999/R1983*1.1</f>
        <v/>
      </c>
      <c r="L1999">
        <f>AVERAGE(K1999:K2001)</f>
        <v/>
      </c>
      <c r="M1999">
        <f>STDEV(K1999:K2001)</f>
        <v/>
      </c>
      <c r="N1999">
        <f>_xlfn.CONCAT(ROUND(L1999,1)," ± ",ROUND(M1999,1))</f>
        <v/>
      </c>
      <c r="Q1999" t="inlineStr">
        <is>
          <t>K3-6A</t>
        </is>
      </c>
      <c r="R1999" t="n">
        <v>1.1289</v>
      </c>
    </row>
    <row r="2000">
      <c r="A2000" t="n">
        <v>19</v>
      </c>
      <c r="B2000" t="inlineStr">
        <is>
          <t>K4-5B</t>
        </is>
      </c>
      <c r="F2000" t="n">
        <v>6277.964</v>
      </c>
      <c r="H2000">
        <f>E2000/F2000</f>
        <v/>
      </c>
      <c r="I2000">
        <f>((H2000-$J$1981)/$I$1981)</f>
        <v/>
      </c>
      <c r="J2000">
        <f>(I2000-IF($I$1989&gt;0,$I$1989))</f>
        <v/>
      </c>
      <c r="K2000">
        <f>J2000/R1984*1.1</f>
        <v/>
      </c>
      <c r="Q2000" t="inlineStr">
        <is>
          <t>K3-6B</t>
        </is>
      </c>
      <c r="R2000" t="n">
        <v>1.195</v>
      </c>
    </row>
    <row r="2001">
      <c r="A2001" t="n">
        <v>20</v>
      </c>
      <c r="B2001" t="inlineStr">
        <is>
          <t>K4-5C</t>
        </is>
      </c>
      <c r="F2001" t="n">
        <v>2207.119</v>
      </c>
      <c r="H2001">
        <f>E2001/F2001</f>
        <v/>
      </c>
      <c r="I2001">
        <f>((H2001-$J$1981)/$I$1981)</f>
        <v/>
      </c>
      <c r="J2001">
        <f>(I2001-IF($I$1989&gt;0,$I$1989))</f>
        <v/>
      </c>
      <c r="K2001">
        <f>J2001/R1985*1.1</f>
        <v/>
      </c>
      <c r="L2001" s="23" t="n"/>
      <c r="M2001" s="23" t="n"/>
      <c r="N2001" s="9" t="n"/>
      <c r="Q2001" t="inlineStr">
        <is>
          <t>K3-6C</t>
        </is>
      </c>
      <c r="R2001" t="n">
        <v>1.1716</v>
      </c>
    </row>
    <row r="2002">
      <c r="A2002" t="n">
        <v>21</v>
      </c>
      <c r="B2002" t="inlineStr">
        <is>
          <t>MeOH</t>
        </is>
      </c>
      <c r="L2002" s="23" t="inlineStr">
        <is>
          <t>Average</t>
        </is>
      </c>
      <c r="M2002" s="23" t="inlineStr">
        <is>
          <t>Stdev</t>
        </is>
      </c>
      <c r="N2002" s="9" t="inlineStr">
        <is>
          <t>Combined</t>
        </is>
      </c>
    </row>
    <row r="2003">
      <c r="A2003" t="n">
        <v>22</v>
      </c>
      <c r="B2003" t="inlineStr">
        <is>
          <t>K3-1A</t>
        </is>
      </c>
      <c r="F2003" t="n">
        <v>4603.346</v>
      </c>
      <c r="H2003">
        <f>E2003/F2003</f>
        <v/>
      </c>
      <c r="I2003">
        <f>((H2003-$J$1981)/$I$1981)</f>
        <v/>
      </c>
      <c r="J2003">
        <f>(I2003-IF($I$1989&gt;0,$I$1989))</f>
        <v/>
      </c>
      <c r="K2003">
        <f>J2003/R1986*1.1</f>
        <v/>
      </c>
      <c r="L2003">
        <f>AVERAGE(K2003:K2005)</f>
        <v/>
      </c>
      <c r="M2003">
        <f>STDEV(K2004:K2005)</f>
        <v/>
      </c>
      <c r="N2003">
        <f>_xlfn.CONCAT(ROUND(L2003,1)," ± ",ROUND(M2003,1))</f>
        <v/>
      </c>
    </row>
    <row r="2004">
      <c r="A2004" t="n">
        <v>23</v>
      </c>
      <c r="B2004" t="inlineStr">
        <is>
          <t>K3-1B</t>
        </is>
      </c>
      <c r="F2004" t="n">
        <v>4832.73</v>
      </c>
      <c r="H2004">
        <f>E2004/F2004</f>
        <v/>
      </c>
      <c r="I2004">
        <f>((H2004-$J$1981)/$I$1981)</f>
        <v/>
      </c>
      <c r="J2004">
        <f>(I2004-IF($I$1989&gt;0,$I$1989))</f>
        <v/>
      </c>
      <c r="K2004">
        <f>J2004/R1987*1.1</f>
        <v/>
      </c>
    </row>
    <row r="2005">
      <c r="A2005" t="n">
        <v>24</v>
      </c>
      <c r="B2005" t="inlineStr">
        <is>
          <t>K3-1C</t>
        </is>
      </c>
      <c r="F2005" t="n">
        <v>5250.105</v>
      </c>
      <c r="H2005">
        <f>E2005/F2005</f>
        <v/>
      </c>
      <c r="I2005">
        <f>((H2005-$J$1981)/$I$1981)</f>
        <v/>
      </c>
      <c r="J2005">
        <f>(I2005-IF($I$1989&gt;0,$I$1989))</f>
        <v/>
      </c>
      <c r="K2005">
        <f>J2005/R1988*1.1</f>
        <v/>
      </c>
      <c r="L2005" s="23" t="inlineStr">
        <is>
          <t>Average</t>
        </is>
      </c>
      <c r="M2005" s="23" t="inlineStr">
        <is>
          <t>Stdev</t>
        </is>
      </c>
      <c r="N2005" s="9" t="inlineStr">
        <is>
          <t>Combined</t>
        </is>
      </c>
    </row>
    <row r="2006">
      <c r="A2006" t="n">
        <v>25</v>
      </c>
      <c r="B2006" t="inlineStr">
        <is>
          <t>K3-2A</t>
        </is>
      </c>
      <c r="F2006" t="n">
        <v>4574.33</v>
      </c>
      <c r="H2006">
        <f>E2006/F2006</f>
        <v/>
      </c>
      <c r="I2006">
        <f>((H2006-$J$1981)/$I$1981)</f>
        <v/>
      </c>
      <c r="J2006">
        <f>(I2006-IF($I$1989&gt;0,$I$1989))</f>
        <v/>
      </c>
      <c r="K2006">
        <f>J2006/R1989*1.1</f>
        <v/>
      </c>
      <c r="L2006">
        <f>AVERAGE(K2006:K2008)</f>
        <v/>
      </c>
      <c r="M2006">
        <f>STDEV(K2006:K2008)</f>
        <v/>
      </c>
      <c r="N2006">
        <f>_xlfn.CONCAT(ROUND(L2006,1)," ± ",ROUND(M2006,1))</f>
        <v/>
      </c>
    </row>
    <row r="2007">
      <c r="A2007" t="n">
        <v>26</v>
      </c>
      <c r="B2007" t="inlineStr">
        <is>
          <t>K3-2B</t>
        </is>
      </c>
      <c r="F2007" t="n">
        <v>5271.769</v>
      </c>
      <c r="H2007">
        <f>E2007/F2007</f>
        <v/>
      </c>
      <c r="I2007">
        <f>((H2007-$J$1981)/$I$1981)</f>
        <v/>
      </c>
      <c r="J2007">
        <f>(I2007-IF($I$1989&gt;0,$I$1989))</f>
        <v/>
      </c>
      <c r="K2007">
        <f>J2007/R1990*1.1</f>
        <v/>
      </c>
    </row>
    <row r="2008">
      <c r="A2008" t="n">
        <v>27</v>
      </c>
      <c r="B2008" t="inlineStr">
        <is>
          <t>K3-2C</t>
        </is>
      </c>
      <c r="D2008" t="n">
        <v>13.52</v>
      </c>
      <c r="E2008" t="n">
        <v>0.298</v>
      </c>
      <c r="F2008" t="n">
        <v>4675.447</v>
      </c>
      <c r="G2008" t="n">
        <v>3</v>
      </c>
      <c r="H2008">
        <f>E2008/F2008</f>
        <v/>
      </c>
      <c r="I2008">
        <f>((H2008-$J$1981)/$I$1981)</f>
        <v/>
      </c>
      <c r="J2008">
        <f>(I2008-IF($I$1989&gt;0,$I$1989))</f>
        <v/>
      </c>
      <c r="K2008">
        <f>J2008/R1991*1.1</f>
        <v/>
      </c>
      <c r="L2008" s="23" t="n"/>
      <c r="M2008" s="23" t="n"/>
      <c r="N2008" s="9" t="n"/>
    </row>
    <row r="2009">
      <c r="A2009" t="n">
        <v>28</v>
      </c>
      <c r="B2009" t="inlineStr">
        <is>
          <t>MeOH</t>
        </is>
      </c>
      <c r="L2009" s="23" t="inlineStr">
        <is>
          <t>Average</t>
        </is>
      </c>
      <c r="M2009" s="23" t="inlineStr">
        <is>
          <t>Stdev</t>
        </is>
      </c>
      <c r="N2009" s="9" t="inlineStr">
        <is>
          <t>Combined</t>
        </is>
      </c>
    </row>
    <row r="2010">
      <c r="A2010" t="n">
        <v>29</v>
      </c>
      <c r="B2010" t="inlineStr">
        <is>
          <t>K3-3A</t>
        </is>
      </c>
      <c r="F2010" t="n">
        <v>3868.886</v>
      </c>
      <c r="H2010">
        <f>E2010/F2010</f>
        <v/>
      </c>
      <c r="I2010">
        <f>((H2010-$J$1981)/$I$1981)</f>
        <v/>
      </c>
      <c r="J2010">
        <f>(I2010-IF($I$1989&gt;0,$I$1989))</f>
        <v/>
      </c>
      <c r="K2010">
        <f>J2010/R1992*1.1</f>
        <v/>
      </c>
      <c r="L2010">
        <f>AVERAGE(K2010:K2012)</f>
        <v/>
      </c>
      <c r="M2010">
        <f>STDEV(K2011:K2012)</f>
        <v/>
      </c>
      <c r="N2010">
        <f>_xlfn.CONCAT(ROUND(L2010,1)," ± ",ROUND(M2010,1))</f>
        <v/>
      </c>
    </row>
    <row r="2011">
      <c r="A2011" t="n">
        <v>30</v>
      </c>
      <c r="B2011" t="inlineStr">
        <is>
          <t>K3-3B</t>
        </is>
      </c>
      <c r="F2011" t="n">
        <v>5558.256</v>
      </c>
      <c r="H2011">
        <f>E2011/F2011</f>
        <v/>
      </c>
      <c r="I2011">
        <f>((H2011-$J$1981)/$I$1981)</f>
        <v/>
      </c>
      <c r="J2011">
        <f>(I2011-IF($I$1989&gt;0,$I$1989))</f>
        <v/>
      </c>
      <c r="K2011">
        <f>J2011/R1993*1.1</f>
        <v/>
      </c>
    </row>
    <row r="2012">
      <c r="A2012" t="n">
        <v>31</v>
      </c>
      <c r="B2012" t="inlineStr">
        <is>
          <t>K3-3C</t>
        </is>
      </c>
      <c r="D2012" t="n">
        <v>12.9</v>
      </c>
      <c r="E2012" t="n">
        <v>0.604</v>
      </c>
      <c r="F2012" t="n">
        <v>5019.609</v>
      </c>
      <c r="G2012" t="n">
        <v>5</v>
      </c>
      <c r="H2012">
        <f>E2012/F2012</f>
        <v/>
      </c>
      <c r="I2012">
        <f>((H2012-$J$1981)/$I$1981)</f>
        <v/>
      </c>
      <c r="J2012">
        <f>(I2012-IF($I$1989&gt;0,$I$1989))</f>
        <v/>
      </c>
      <c r="K2012">
        <f>J2012/R1994*1.1</f>
        <v/>
      </c>
      <c r="L2012" s="23" t="inlineStr">
        <is>
          <t>Average</t>
        </is>
      </c>
      <c r="M2012" s="23" t="inlineStr">
        <is>
          <t>Stdev</t>
        </is>
      </c>
      <c r="N2012" s="9" t="inlineStr">
        <is>
          <t>Combined</t>
        </is>
      </c>
    </row>
    <row r="2013">
      <c r="A2013" t="n">
        <v>32</v>
      </c>
      <c r="B2013" t="inlineStr">
        <is>
          <t>K3-4A</t>
        </is>
      </c>
      <c r="F2013" t="n">
        <v>4571.521</v>
      </c>
      <c r="H2013">
        <f>E2013/F2013</f>
        <v/>
      </c>
      <c r="I2013">
        <f>((H2013-$J$1981)/$I$1981)</f>
        <v/>
      </c>
      <c r="J2013">
        <f>(I2013-IF($I$1989&gt;0,$I$1989))</f>
        <v/>
      </c>
      <c r="K2013">
        <f>J2013/R1995*1.1</f>
        <v/>
      </c>
      <c r="L2013">
        <f>AVERAGE(K2013:K2015)</f>
        <v/>
      </c>
      <c r="M2013">
        <f>STDEV(K2013:K2015)</f>
        <v/>
      </c>
      <c r="N2013">
        <f>_xlfn.CONCAT(ROUND(L2013,1)," ± ",ROUND(M2013,1))</f>
        <v/>
      </c>
    </row>
    <row r="2014">
      <c r="A2014" t="n">
        <v>33</v>
      </c>
      <c r="B2014" t="inlineStr">
        <is>
          <t>K3-4B</t>
        </is>
      </c>
      <c r="F2014" t="n">
        <v>5043.437</v>
      </c>
      <c r="H2014">
        <f>E2014/F2014</f>
        <v/>
      </c>
      <c r="I2014">
        <f>((H2014-$J$1981)/$I$1981)</f>
        <v/>
      </c>
      <c r="J2014">
        <f>(I2014-IF($I$1989&gt;0,$I$1989))</f>
        <v/>
      </c>
      <c r="K2014">
        <f>J2014/R1996*1.1</f>
        <v/>
      </c>
    </row>
    <row r="2015">
      <c r="A2015" t="n">
        <v>34</v>
      </c>
      <c r="B2015" t="inlineStr">
        <is>
          <t>K3-4C</t>
        </is>
      </c>
      <c r="F2015" t="n">
        <v>5033.665</v>
      </c>
      <c r="H2015">
        <f>E2015/F2015</f>
        <v/>
      </c>
      <c r="I2015">
        <f>((H2015-$J$1981)/$I$1981)</f>
        <v/>
      </c>
      <c r="J2015">
        <f>(I2015-IF($I$1989&gt;0,$I$1989))</f>
        <v/>
      </c>
      <c r="K2015">
        <f>J2015/R1997*1.1</f>
        <v/>
      </c>
      <c r="L2015" s="23" t="n"/>
      <c r="M2015" s="23" t="n"/>
      <c r="N2015" s="9" t="n"/>
    </row>
    <row r="2016">
      <c r="A2016" t="n">
        <v>35</v>
      </c>
      <c r="B2016" t="inlineStr">
        <is>
          <t>MeOH</t>
        </is>
      </c>
      <c r="L2016" s="23" t="inlineStr">
        <is>
          <t>Average</t>
        </is>
      </c>
      <c r="M2016" s="23" t="inlineStr">
        <is>
          <t>Stdev</t>
        </is>
      </c>
      <c r="N2016" s="9" t="inlineStr">
        <is>
          <t>Combined</t>
        </is>
      </c>
    </row>
    <row r="2017">
      <c r="A2017" t="n">
        <v>36</v>
      </c>
      <c r="B2017" t="inlineStr">
        <is>
          <t>K3-6A</t>
        </is>
      </c>
      <c r="F2017" t="n">
        <v>3966.205</v>
      </c>
      <c r="H2017">
        <f>E2017/F2017</f>
        <v/>
      </c>
      <c r="I2017">
        <f>((H2017-$J$1981)/$I$1981)</f>
        <v/>
      </c>
      <c r="J2017">
        <f>(I2017-IF($I$1989&gt;0,$I$1989))</f>
        <v/>
      </c>
      <c r="K2017">
        <f>J2017/R1998*1.1</f>
        <v/>
      </c>
      <c r="L2017">
        <f>AVERAGE(K2017:K2019)</f>
        <v/>
      </c>
      <c r="M2017">
        <f>STDEV(K2018:K2019)</f>
        <v/>
      </c>
      <c r="N2017">
        <f>_xlfn.CONCAT(ROUND(L2017,1)," ± ",ROUND(M2017,1))</f>
        <v/>
      </c>
    </row>
    <row r="2018">
      <c r="A2018" t="n">
        <v>37</v>
      </c>
      <c r="B2018" t="inlineStr">
        <is>
          <t>K3-6B</t>
        </is>
      </c>
      <c r="F2018" t="n">
        <v>3977.533</v>
      </c>
      <c r="H2018">
        <f>E2018/F2018</f>
        <v/>
      </c>
      <c r="I2018">
        <f>((H2018-$J$1981)/$I$1981)</f>
        <v/>
      </c>
      <c r="J2018">
        <f>(I2018-IF($I$1989&gt;0,$I$1989))</f>
        <v/>
      </c>
      <c r="K2018">
        <f>J2018/R1999*1.1</f>
        <v/>
      </c>
    </row>
    <row r="2019">
      <c r="A2019" t="n">
        <v>38</v>
      </c>
      <c r="B2019" t="inlineStr">
        <is>
          <t>K3-6C</t>
        </is>
      </c>
      <c r="F2019" t="n">
        <v>3666.082</v>
      </c>
      <c r="H2019">
        <f>E2019/F2019</f>
        <v/>
      </c>
      <c r="I2019">
        <f>((H2019-$J$1981)/$I$1981)</f>
        <v/>
      </c>
      <c r="J2019">
        <f>(I2019-IF($I$1989&gt;0,$I$1989))</f>
        <v/>
      </c>
      <c r="K2019">
        <f>J2019/R2000*1.1</f>
        <v/>
      </c>
      <c r="L2019" s="23" t="n"/>
      <c r="M2019" s="23" t="n"/>
      <c r="N2019" s="9" t="n"/>
    </row>
    <row r="2021">
      <c r="A2021" t="inlineStr">
        <is>
          <t>Compound 49:  8-8 diPAP 1 +</t>
        </is>
      </c>
    </row>
    <row r="2023">
      <c r="B2023" t="inlineStr">
        <is>
          <t>Sample Text</t>
        </is>
      </c>
      <c r="C2023" t="inlineStr">
        <is>
          <t>Std. Conc</t>
        </is>
      </c>
      <c r="D2023" t="inlineStr">
        <is>
          <t>RT</t>
        </is>
      </c>
      <c r="E2023" t="inlineStr">
        <is>
          <t>Area</t>
        </is>
      </c>
      <c r="F2023" t="inlineStr">
        <is>
          <t>IS Area</t>
        </is>
      </c>
      <c r="G2023" t="inlineStr">
        <is>
          <t>S/N</t>
        </is>
      </c>
      <c r="H2023" t="inlineStr">
        <is>
          <t>Primary Flags</t>
        </is>
      </c>
      <c r="I2023" t="inlineStr">
        <is>
          <t>Response</t>
        </is>
      </c>
      <c r="J2023" t="inlineStr">
        <is>
          <t>Conc.</t>
        </is>
      </c>
      <c r="K2023" t="inlineStr">
        <is>
          <t>Name</t>
        </is>
      </c>
    </row>
    <row r="2024">
      <c r="A2024" t="n">
        <v>1</v>
      </c>
      <c r="B2024" t="inlineStr">
        <is>
          <t>EPA1633 &amp; diPAPs Calibration 0 ppb</t>
        </is>
      </c>
      <c r="F2024" t="n">
        <v>1343.627</v>
      </c>
      <c r="K2024" t="inlineStr">
        <is>
          <t>20250617-12</t>
        </is>
      </c>
    </row>
    <row r="2025">
      <c r="A2025" t="n">
        <v>2</v>
      </c>
      <c r="B2025" t="inlineStr">
        <is>
          <t>EPA1633 &amp; diPAPs Calibration 0.02 ppb</t>
        </is>
      </c>
      <c r="D2025" t="n">
        <v>13.42</v>
      </c>
      <c r="E2025" t="n">
        <v>0.496</v>
      </c>
      <c r="F2025" t="n">
        <v>633.474</v>
      </c>
      <c r="G2025" t="n">
        <v>5</v>
      </c>
      <c r="H2025" t="inlineStr">
        <is>
          <t>bb</t>
        </is>
      </c>
      <c r="K2025" t="inlineStr">
        <is>
          <t>20250617-13</t>
        </is>
      </c>
    </row>
    <row r="2026">
      <c r="A2026" t="n">
        <v>3</v>
      </c>
      <c r="B2026" t="inlineStr">
        <is>
          <t>EPA1633 &amp; diPAPs Calibration 0.1 ppb</t>
        </is>
      </c>
      <c r="F2026" t="n">
        <v>645.6369999999999</v>
      </c>
      <c r="K2026" t="inlineStr">
        <is>
          <t>20250617-14</t>
        </is>
      </c>
    </row>
    <row r="2027">
      <c r="A2027" t="n">
        <v>4</v>
      </c>
      <c r="B2027" t="inlineStr">
        <is>
          <t>EPA1633 &amp; diPAPs Calibration 0.4 ppb</t>
        </is>
      </c>
      <c r="F2027" t="n">
        <v>750.9640000000001</v>
      </c>
      <c r="K2027" t="inlineStr">
        <is>
          <t>20250617-15</t>
        </is>
      </c>
    </row>
    <row r="2028">
      <c r="A2028" t="n">
        <v>5</v>
      </c>
      <c r="B2028" t="inlineStr">
        <is>
          <t>EPA1633 &amp; diPAPs Calibration 1 ppb</t>
        </is>
      </c>
      <c r="D2028" t="n">
        <v>13.05</v>
      </c>
      <c r="E2028" t="n">
        <v>16.129</v>
      </c>
      <c r="F2028" t="n">
        <v>827.3049999999999</v>
      </c>
      <c r="G2028" t="n">
        <v>115</v>
      </c>
      <c r="H2028" t="inlineStr">
        <is>
          <t>bb</t>
        </is>
      </c>
      <c r="K2028" t="inlineStr">
        <is>
          <t>20250617-16</t>
        </is>
      </c>
    </row>
    <row r="2029">
      <c r="A2029" t="n">
        <v>6</v>
      </c>
      <c r="B2029" t="inlineStr">
        <is>
          <t>EPA1633 &amp; diPAPs Calibration 5 ppb</t>
        </is>
      </c>
      <c r="D2029" t="n">
        <v>13.07</v>
      </c>
      <c r="E2029" t="n">
        <v>14.556</v>
      </c>
      <c r="F2029" t="n">
        <v>802.204</v>
      </c>
      <c r="G2029" t="n">
        <v>131</v>
      </c>
      <c r="H2029" t="inlineStr">
        <is>
          <t>bb</t>
        </is>
      </c>
      <c r="K2029" t="inlineStr">
        <is>
          <t>20250617-17</t>
        </is>
      </c>
    </row>
    <row r="2030">
      <c r="A2030" t="n">
        <v>7</v>
      </c>
      <c r="B2030" t="inlineStr">
        <is>
          <t>EPA1633 &amp; diPAPs Calibration 10 ppb</t>
        </is>
      </c>
      <c r="D2030" t="n">
        <v>13.08</v>
      </c>
      <c r="E2030" t="n">
        <v>42.055</v>
      </c>
      <c r="F2030" t="n">
        <v>1562.616</v>
      </c>
      <c r="G2030" t="n">
        <v>340</v>
      </c>
      <c r="H2030" t="inlineStr">
        <is>
          <t>bb</t>
        </is>
      </c>
      <c r="K2030" t="inlineStr">
        <is>
          <t>20250617-18</t>
        </is>
      </c>
    </row>
    <row r="2031">
      <c r="A2031" t="n">
        <v>8</v>
      </c>
      <c r="B2031" t="inlineStr">
        <is>
          <t>EPA1633 &amp; diPAPs Calibration 20 ppb</t>
        </is>
      </c>
      <c r="D2031" t="n">
        <v>13.1</v>
      </c>
      <c r="E2031" t="n">
        <v>77.42400000000001</v>
      </c>
      <c r="F2031" t="n">
        <v>611.3339999999999</v>
      </c>
      <c r="G2031" t="n">
        <v>597</v>
      </c>
      <c r="H2031" t="inlineStr">
        <is>
          <t>bb</t>
        </is>
      </c>
      <c r="K2031" t="inlineStr">
        <is>
          <t>20250617-19</t>
        </is>
      </c>
    </row>
    <row r="2032">
      <c r="A2032" t="n">
        <v>9</v>
      </c>
      <c r="B2032" t="inlineStr">
        <is>
          <t>MeOH</t>
        </is>
      </c>
      <c r="K2032" t="inlineStr">
        <is>
          <t>20250617-20</t>
        </is>
      </c>
    </row>
    <row r="2033">
      <c r="A2033" t="n">
        <v>10</v>
      </c>
      <c r="B2033" t="inlineStr">
        <is>
          <t>MeOH</t>
        </is>
      </c>
      <c r="K2033" t="inlineStr">
        <is>
          <t>20250617-21</t>
        </is>
      </c>
    </row>
    <row r="2034">
      <c r="A2034" t="n">
        <v>11</v>
      </c>
      <c r="B2034" t="inlineStr">
        <is>
          <t>SB1</t>
        </is>
      </c>
      <c r="F2034" t="n">
        <v>235.495</v>
      </c>
      <c r="K2034" t="inlineStr">
        <is>
          <t>20250617-22</t>
        </is>
      </c>
    </row>
    <row r="2035">
      <c r="A2035" t="n">
        <v>12</v>
      </c>
      <c r="B2035" t="inlineStr">
        <is>
          <t>SB2</t>
        </is>
      </c>
      <c r="F2035" t="n">
        <v>273.33</v>
      </c>
      <c r="K2035" t="inlineStr">
        <is>
          <t>20250617-23</t>
        </is>
      </c>
    </row>
    <row r="2036">
      <c r="A2036" t="n">
        <v>13</v>
      </c>
      <c r="B2036" t="inlineStr">
        <is>
          <t>SB3</t>
        </is>
      </c>
      <c r="F2036" t="n">
        <v>129.33</v>
      </c>
      <c r="K2036" t="inlineStr">
        <is>
          <t>20250617-24</t>
        </is>
      </c>
    </row>
    <row r="2037">
      <c r="A2037" t="n">
        <v>14</v>
      </c>
      <c r="B2037" t="inlineStr">
        <is>
          <t>SS1</t>
        </is>
      </c>
      <c r="F2037" t="n">
        <v>253.728</v>
      </c>
      <c r="K2037" t="inlineStr">
        <is>
          <t>20250617-25</t>
        </is>
      </c>
    </row>
    <row r="2038">
      <c r="A2038" t="n">
        <v>15</v>
      </c>
      <c r="B2038" t="inlineStr">
        <is>
          <t>SS2</t>
        </is>
      </c>
      <c r="D2038" t="n">
        <v>13.13</v>
      </c>
      <c r="E2038" t="n">
        <v>5.844</v>
      </c>
      <c r="F2038" t="n">
        <v>141.602</v>
      </c>
      <c r="G2038" t="n">
        <v>53</v>
      </c>
      <c r="H2038" t="inlineStr">
        <is>
          <t>bb</t>
        </is>
      </c>
      <c r="K2038" t="inlineStr">
        <is>
          <t>20250617-26</t>
        </is>
      </c>
    </row>
    <row r="2039">
      <c r="A2039" t="n">
        <v>16</v>
      </c>
      <c r="B2039" t="inlineStr">
        <is>
          <t>SS3</t>
        </is>
      </c>
      <c r="F2039" t="n">
        <v>190.637</v>
      </c>
      <c r="K2039" t="inlineStr">
        <is>
          <t>20250617-27</t>
        </is>
      </c>
    </row>
    <row r="2040">
      <c r="A2040" t="n">
        <v>17</v>
      </c>
      <c r="B2040" t="inlineStr">
        <is>
          <t>MeOH</t>
        </is>
      </c>
      <c r="K2040" t="inlineStr">
        <is>
          <t>20250617-28</t>
        </is>
      </c>
    </row>
    <row r="2041">
      <c r="A2041" t="n">
        <v>18</v>
      </c>
      <c r="B2041" t="inlineStr">
        <is>
          <t>K4-5A</t>
        </is>
      </c>
      <c r="F2041" t="n">
        <v>73.511</v>
      </c>
      <c r="K2041" t="inlineStr">
        <is>
          <t>20250617-29</t>
        </is>
      </c>
    </row>
    <row r="2042">
      <c r="A2042" t="n">
        <v>19</v>
      </c>
      <c r="B2042" t="inlineStr">
        <is>
          <t>K4-5B</t>
        </is>
      </c>
      <c r="F2042" t="n">
        <v>168.771</v>
      </c>
      <c r="K2042" t="inlineStr">
        <is>
          <t>20250617-30</t>
        </is>
      </c>
    </row>
    <row r="2043">
      <c r="A2043" t="n">
        <v>20</v>
      </c>
      <c r="B2043" t="inlineStr">
        <is>
          <t>K4-5C</t>
        </is>
      </c>
      <c r="K2043" t="inlineStr">
        <is>
          <t>20250617-31</t>
        </is>
      </c>
    </row>
    <row r="2044">
      <c r="A2044" t="n">
        <v>21</v>
      </c>
      <c r="B2044" t="inlineStr">
        <is>
          <t>MeOH</t>
        </is>
      </c>
      <c r="K2044" t="inlineStr">
        <is>
          <t>20250617-32</t>
        </is>
      </c>
    </row>
    <row r="2045">
      <c r="A2045" t="n">
        <v>22</v>
      </c>
      <c r="B2045" t="inlineStr">
        <is>
          <t>K3-1A</t>
        </is>
      </c>
      <c r="F2045" t="n">
        <v>163.196</v>
      </c>
      <c r="K2045" t="inlineStr">
        <is>
          <t>20250617-33</t>
        </is>
      </c>
    </row>
    <row r="2046">
      <c r="A2046" t="n">
        <v>23</v>
      </c>
      <c r="B2046" t="inlineStr">
        <is>
          <t>K3-1B</t>
        </is>
      </c>
      <c r="F2046" t="n">
        <v>57.781</v>
      </c>
      <c r="K2046" t="inlineStr">
        <is>
          <t>20250617-34</t>
        </is>
      </c>
    </row>
    <row r="2047">
      <c r="A2047" t="n">
        <v>24</v>
      </c>
      <c r="B2047" t="inlineStr">
        <is>
          <t>K3-1C</t>
        </is>
      </c>
      <c r="F2047" t="n">
        <v>191.361</v>
      </c>
      <c r="K2047" t="inlineStr">
        <is>
          <t>20250617-35</t>
        </is>
      </c>
    </row>
    <row r="2048">
      <c r="A2048" t="n">
        <v>25</v>
      </c>
      <c r="B2048" t="inlineStr">
        <is>
          <t>K3-2A</t>
        </is>
      </c>
      <c r="F2048" t="n">
        <v>113.81</v>
      </c>
      <c r="K2048" t="inlineStr">
        <is>
          <t>20250617-36</t>
        </is>
      </c>
    </row>
    <row r="2049">
      <c r="A2049" t="n">
        <v>26</v>
      </c>
      <c r="B2049" t="inlineStr">
        <is>
          <t>K3-2B</t>
        </is>
      </c>
      <c r="F2049" t="n">
        <v>85.271</v>
      </c>
      <c r="K2049" t="inlineStr">
        <is>
          <t>20250617-37</t>
        </is>
      </c>
    </row>
    <row r="2050">
      <c r="A2050" t="n">
        <v>27</v>
      </c>
      <c r="B2050" t="inlineStr">
        <is>
          <t>K3-2C</t>
        </is>
      </c>
      <c r="F2050" t="n">
        <v>86.066</v>
      </c>
      <c r="K2050" t="inlineStr">
        <is>
          <t>20250617-38</t>
        </is>
      </c>
    </row>
    <row r="2051">
      <c r="A2051" t="n">
        <v>28</v>
      </c>
      <c r="B2051" t="inlineStr">
        <is>
          <t>MeOH</t>
        </is>
      </c>
      <c r="K2051" t="inlineStr">
        <is>
          <t>20250617-39</t>
        </is>
      </c>
    </row>
    <row r="2052">
      <c r="A2052" t="n">
        <v>29</v>
      </c>
      <c r="B2052" t="inlineStr">
        <is>
          <t>K3-3A</t>
        </is>
      </c>
      <c r="F2052" t="n">
        <v>43.273</v>
      </c>
      <c r="K2052" t="inlineStr">
        <is>
          <t>20250617-40</t>
        </is>
      </c>
    </row>
    <row r="2053">
      <c r="A2053" t="n">
        <v>30</v>
      </c>
      <c r="B2053" t="inlineStr">
        <is>
          <t>K3-3B</t>
        </is>
      </c>
      <c r="F2053" t="n">
        <v>147.53</v>
      </c>
      <c r="K2053" t="inlineStr">
        <is>
          <t>20250617-41</t>
        </is>
      </c>
    </row>
    <row r="2054">
      <c r="A2054" t="n">
        <v>31</v>
      </c>
      <c r="B2054" t="inlineStr">
        <is>
          <t>K3-3C</t>
        </is>
      </c>
      <c r="F2054" t="n">
        <v>100.998</v>
      </c>
      <c r="K2054" t="inlineStr">
        <is>
          <t>20250617-42</t>
        </is>
      </c>
    </row>
    <row r="2055">
      <c r="A2055" t="n">
        <v>32</v>
      </c>
      <c r="B2055" t="inlineStr">
        <is>
          <t>K3-4A</t>
        </is>
      </c>
      <c r="F2055" t="n">
        <v>62.627</v>
      </c>
      <c r="K2055" t="inlineStr">
        <is>
          <t>20250617-43</t>
        </is>
      </c>
    </row>
    <row r="2056">
      <c r="A2056" t="n">
        <v>33</v>
      </c>
      <c r="B2056" t="inlineStr">
        <is>
          <t>K3-4B</t>
        </is>
      </c>
      <c r="F2056" t="n">
        <v>116.61</v>
      </c>
      <c r="K2056" t="inlineStr">
        <is>
          <t>20250617-44</t>
        </is>
      </c>
    </row>
    <row r="2057">
      <c r="A2057" t="n">
        <v>34</v>
      </c>
      <c r="B2057" t="inlineStr">
        <is>
          <t>K3-4C</t>
        </is>
      </c>
      <c r="F2057" t="n">
        <v>125.41</v>
      </c>
      <c r="K2057" t="inlineStr">
        <is>
          <t>20250617-45</t>
        </is>
      </c>
    </row>
    <row r="2058">
      <c r="A2058" t="n">
        <v>35</v>
      </c>
      <c r="B2058" t="inlineStr">
        <is>
          <t>MeOH</t>
        </is>
      </c>
      <c r="K2058" t="inlineStr">
        <is>
          <t>20250617-46</t>
        </is>
      </c>
    </row>
    <row r="2059">
      <c r="A2059" t="n">
        <v>36</v>
      </c>
      <c r="B2059" t="inlineStr">
        <is>
          <t>K3-6A</t>
        </is>
      </c>
      <c r="F2059" t="n">
        <v>54.508</v>
      </c>
      <c r="K2059" t="inlineStr">
        <is>
          <t>20250617-47</t>
        </is>
      </c>
    </row>
    <row r="2060">
      <c r="A2060" t="n">
        <v>37</v>
      </c>
      <c r="B2060" t="inlineStr">
        <is>
          <t>K3-6B</t>
        </is>
      </c>
      <c r="F2060" t="n">
        <v>34.035</v>
      </c>
      <c r="K2060" t="inlineStr">
        <is>
          <t>20250617-48</t>
        </is>
      </c>
    </row>
    <row r="2061">
      <c r="A2061" t="n">
        <v>38</v>
      </c>
      <c r="B2061" t="inlineStr">
        <is>
          <t>K3-6C</t>
        </is>
      </c>
      <c r="F2061" t="n">
        <v>29.42</v>
      </c>
      <c r="K2061" t="inlineStr">
        <is>
          <t>20250617-49</t>
        </is>
      </c>
    </row>
    <row r="2063">
      <c r="A2063" t="inlineStr">
        <is>
          <t>Compound 50:  8-8 diPAP 2</t>
        </is>
      </c>
    </row>
    <row r="2064">
      <c r="I2064" t="inlineStr">
        <is>
          <t>LINEST</t>
        </is>
      </c>
      <c r="Q2064" t="inlineStr">
        <is>
          <t>Biosolids Masses</t>
        </is>
      </c>
      <c r="R2064" t="inlineStr">
        <is>
          <t>(g)</t>
        </is>
      </c>
    </row>
    <row r="2065">
      <c r="B2065" t="inlineStr">
        <is>
          <t>Sample Text</t>
        </is>
      </c>
      <c r="C2065" t="inlineStr">
        <is>
          <t>Std. Conc</t>
        </is>
      </c>
      <c r="D2065" t="inlineStr">
        <is>
          <t>RT</t>
        </is>
      </c>
      <c r="E2065" t="inlineStr">
        <is>
          <t>Area</t>
        </is>
      </c>
      <c r="F2065" t="inlineStr">
        <is>
          <t>IS Area</t>
        </is>
      </c>
      <c r="G2065" t="inlineStr">
        <is>
          <t>S/N</t>
        </is>
      </c>
      <c r="H2065" t="inlineStr">
        <is>
          <t>ratio</t>
        </is>
      </c>
      <c r="I2065">
        <f t="array" ref="I2065:J2069">LINEST(H2066:H2072,C2066:C2072,1,1)</f>
        <v/>
      </c>
      <c r="J2065" t="n">
        <v>-0.1813031933931253</v>
      </c>
      <c r="L2065" s="20" t="inlineStr">
        <is>
          <t>By S/N Ratio</t>
        </is>
      </c>
      <c r="Q2065" t="inlineStr">
        <is>
          <t>SS1</t>
        </is>
      </c>
      <c r="R2065" t="n">
        <v>1.0846</v>
      </c>
    </row>
    <row r="2066">
      <c r="A2066" t="n">
        <v>1</v>
      </c>
      <c r="B2066" t="inlineStr">
        <is>
          <t>EPA1633 &amp; diPAPs Calibration 0 ppb</t>
        </is>
      </c>
      <c r="C2066" t="n">
        <v>0</v>
      </c>
      <c r="D2066" t="n">
        <v>13.1</v>
      </c>
      <c r="E2066" t="n">
        <v>1935.735</v>
      </c>
      <c r="F2066" t="n">
        <v>3123.66</v>
      </c>
      <c r="G2066" t="n">
        <v>49.606</v>
      </c>
      <c r="H2066">
        <f>E2066/F2066</f>
        <v/>
      </c>
      <c r="I2066" t="n">
        <v>0.03485541138879388</v>
      </c>
      <c r="J2066" t="n">
        <v>1.450648076839649</v>
      </c>
      <c r="K2066" t="inlineStr">
        <is>
          <t>LOD</t>
        </is>
      </c>
      <c r="L2066" s="21">
        <f>IF(G2069&gt;3,C2069,IF(G2070&gt;3,#REF!,IF(G2071&gt;3,C2071,IF(G2072&gt;3,#REF!,#REF!))))</f>
        <v/>
      </c>
      <c r="Q2066" t="inlineStr">
        <is>
          <t>SS2</t>
        </is>
      </c>
      <c r="R2066" t="n">
        <v>1.0726</v>
      </c>
    </row>
    <row r="2067">
      <c r="A2067" t="n">
        <v>2</v>
      </c>
      <c r="B2067" t="inlineStr">
        <is>
          <t>EPA1633 &amp; diPAPs Calibration 0.02 ppb</t>
        </is>
      </c>
      <c r="C2067" t="n">
        <v>5</v>
      </c>
      <c r="D2067" t="n">
        <v>13.1</v>
      </c>
      <c r="E2067" t="n">
        <v>5572.333</v>
      </c>
      <c r="F2067" t="n">
        <v>1988.362</v>
      </c>
      <c r="G2067" t="n">
        <v>256.66</v>
      </c>
      <c r="H2067">
        <f>E2067/F2067</f>
        <v/>
      </c>
      <c r="I2067" t="n">
        <v>0.9754764409152025</v>
      </c>
      <c r="J2067" t="n">
        <v>2.589977206852869</v>
      </c>
      <c r="K2067" t="inlineStr">
        <is>
          <t>LOQ</t>
        </is>
      </c>
      <c r="L2067" s="22">
        <f>IF(G2069&gt;10,C2069,IF(G2070&gt;10,#REF!,IF(G2071&gt;10,C2071,IF(G2072&gt;10,#REF!,#REF!))))</f>
        <v/>
      </c>
      <c r="Q2067" t="inlineStr">
        <is>
          <t>SS3</t>
        </is>
      </c>
      <c r="R2067" t="n">
        <v>1.1534</v>
      </c>
    </row>
    <row r="2068">
      <c r="A2068" t="n">
        <v>3</v>
      </c>
      <c r="B2068" t="inlineStr">
        <is>
          <t>EPA1633 &amp; diPAPs Calibration 0.1 ppb</t>
        </is>
      </c>
      <c r="C2068" t="n">
        <v>10</v>
      </c>
      <c r="D2068" t="n">
        <v>13.09</v>
      </c>
      <c r="E2068" t="n">
        <v>7782.426</v>
      </c>
      <c r="F2068" t="n">
        <v>2172.051</v>
      </c>
      <c r="G2068" t="n">
        <v>406.22</v>
      </c>
      <c r="H2068">
        <f>E2068/F2068</f>
        <v/>
      </c>
      <c r="I2068" t="n">
        <v>198.8855772406859</v>
      </c>
      <c r="J2068" t="n">
        <v>5</v>
      </c>
      <c r="Q2068" t="inlineStr">
        <is>
          <t>K4-5A</t>
        </is>
      </c>
      <c r="R2068" t="n">
        <v>1.1054</v>
      </c>
    </row>
    <row r="2069">
      <c r="A2069" t="n">
        <v>4</v>
      </c>
      <c r="B2069" t="inlineStr">
        <is>
          <t>EPA1633 &amp; diPAPs Calibration 0.4 ppb</t>
        </is>
      </c>
      <c r="C2069" t="n">
        <v>20</v>
      </c>
      <c r="D2069" t="n">
        <v>13.11</v>
      </c>
      <c r="E2069" t="n">
        <v>15377.777</v>
      </c>
      <c r="F2069" t="n">
        <v>2307.023</v>
      </c>
      <c r="G2069" t="n">
        <v>467.054</v>
      </c>
      <c r="H2069">
        <f>E2069/F2069</f>
        <v/>
      </c>
      <c r="I2069" t="n">
        <v>1334.120858669369</v>
      </c>
      <c r="J2069" t="n">
        <v>33.53990966008693</v>
      </c>
      <c r="Q2069" t="inlineStr">
        <is>
          <t>K4-5B</t>
        </is>
      </c>
      <c r="R2069" s="10" t="n">
        <v>1.0463</v>
      </c>
    </row>
    <row r="2070">
      <c r="A2070" t="n">
        <v>5</v>
      </c>
      <c r="B2070" t="inlineStr">
        <is>
          <t>EPA1633 &amp; diPAPs Calibration 1 ppb</t>
        </is>
      </c>
      <c r="C2070" t="n">
        <v>40</v>
      </c>
      <c r="D2070" t="n">
        <v>13.11</v>
      </c>
      <c r="E2070" t="n">
        <v>39676.188</v>
      </c>
      <c r="F2070" t="n">
        <v>1818.826</v>
      </c>
      <c r="G2070" t="n">
        <v>771.103</v>
      </c>
      <c r="H2070">
        <f>E2070/F2070</f>
        <v/>
      </c>
      <c r="Q2070" t="inlineStr">
        <is>
          <t>K4-5C</t>
        </is>
      </c>
      <c r="R2070" t="n">
        <v>1.1155</v>
      </c>
    </row>
    <row r="2071">
      <c r="A2071" t="n">
        <v>6</v>
      </c>
      <c r="B2071" t="inlineStr">
        <is>
          <t>EPA1633 &amp; diPAPs Calibration 5 ppb</t>
        </is>
      </c>
      <c r="C2071" t="n">
        <v>60</v>
      </c>
      <c r="D2071" t="n">
        <v>13.11</v>
      </c>
      <c r="E2071" t="n">
        <v>53600.41</v>
      </c>
      <c r="F2071" t="n">
        <v>1651.747</v>
      </c>
      <c r="G2071" t="n">
        <v>3458.46</v>
      </c>
      <c r="H2071">
        <f>E2071/F2071</f>
        <v/>
      </c>
      <c r="Q2071" t="inlineStr">
        <is>
          <t>K3-1A</t>
        </is>
      </c>
      <c r="R2071" t="n">
        <v>1.0874</v>
      </c>
    </row>
    <row r="2072">
      <c r="A2072" t="n">
        <v>7</v>
      </c>
      <c r="B2072" t="inlineStr">
        <is>
          <t>EPA1633 &amp; diPAPs Calibration 10 ppb</t>
        </is>
      </c>
      <c r="C2072" t="n">
        <v>80</v>
      </c>
      <c r="D2072" t="n">
        <v>13.12</v>
      </c>
      <c r="E2072" t="n">
        <v>183690.344</v>
      </c>
      <c r="F2072" t="n">
        <v>5035.45</v>
      </c>
      <c r="G2072" t="n">
        <v>13811.228</v>
      </c>
      <c r="H2072">
        <f>E2072/F2072</f>
        <v/>
      </c>
      <c r="I2072" s="23" t="inlineStr">
        <is>
          <t>Background</t>
        </is>
      </c>
      <c r="J2072" s="23" t="inlineStr">
        <is>
          <t>Spike</t>
        </is>
      </c>
      <c r="K2072" s="9" t="inlineStr">
        <is>
          <t>Old Spike</t>
        </is>
      </c>
      <c r="O2072" s="24" t="inlineStr">
        <is>
          <t>±</t>
        </is>
      </c>
      <c r="Q2072" t="inlineStr">
        <is>
          <t>K3-1B</t>
        </is>
      </c>
      <c r="R2072" t="n">
        <v>1.0898</v>
      </c>
    </row>
    <row r="2073">
      <c r="A2073" t="n">
        <v>8</v>
      </c>
      <c r="B2073" t="inlineStr">
        <is>
          <t>EPA1633 &amp; diPAPs Calibration 20 ppb</t>
        </is>
      </c>
      <c r="C2073" t="n">
        <v>100</v>
      </c>
      <c r="D2073" t="n">
        <v>13.13</v>
      </c>
      <c r="E2073" t="n">
        <v>80554.125</v>
      </c>
      <c r="F2073" t="n">
        <v>2142.017</v>
      </c>
      <c r="G2073" t="n">
        <v>2488.137</v>
      </c>
      <c r="H2073">
        <f>E2073/F2073</f>
        <v/>
      </c>
      <c r="I2073">
        <f>AVERAGE(I2076:I2078)</f>
        <v/>
      </c>
      <c r="J2073" t="n">
        <v>88</v>
      </c>
      <c r="Q2073" t="inlineStr">
        <is>
          <t>K3-1C</t>
        </is>
      </c>
      <c r="R2073" t="n">
        <v>1.0536</v>
      </c>
    </row>
    <row r="2074">
      <c r="A2074" t="n">
        <v>9</v>
      </c>
      <c r="B2074" t="inlineStr">
        <is>
          <t>MeOH</t>
        </is>
      </c>
      <c r="I2074" s="23" t="inlineStr">
        <is>
          <t>Conc.In Vial (ppb)</t>
        </is>
      </c>
      <c r="J2074" s="9" t="inlineStr">
        <is>
          <t>Corr. Conc.(ppb)</t>
        </is>
      </c>
      <c r="K2074" s="9" t="inlineStr">
        <is>
          <t>Conc. In soil (ng/g)</t>
        </is>
      </c>
      <c r="Q2074" t="inlineStr">
        <is>
          <t>K3-2A</t>
        </is>
      </c>
      <c r="R2074" s="10" t="n">
        <v>1.1218</v>
      </c>
    </row>
    <row r="2075">
      <c r="A2075" t="n">
        <v>10</v>
      </c>
      <c r="B2075" t="inlineStr">
        <is>
          <t>MeOH</t>
        </is>
      </c>
      <c r="L2075" s="23" t="inlineStr">
        <is>
          <t>Average</t>
        </is>
      </c>
      <c r="M2075" s="23" t="inlineStr">
        <is>
          <t>Stdev</t>
        </is>
      </c>
      <c r="N2075" s="9" t="inlineStr">
        <is>
          <t>Combined</t>
        </is>
      </c>
      <c r="O2075" s="9" t="n"/>
      <c r="P2075" s="9" t="n"/>
      <c r="Q2075" t="inlineStr">
        <is>
          <t>K3-2B</t>
        </is>
      </c>
      <c r="R2075" t="n">
        <v>1.198</v>
      </c>
    </row>
    <row r="2076">
      <c r="A2076" t="n">
        <v>11</v>
      </c>
      <c r="B2076" t="inlineStr">
        <is>
          <t>SB1</t>
        </is>
      </c>
      <c r="D2076" t="n">
        <v>13.14</v>
      </c>
      <c r="E2076" t="n">
        <v>1495.797</v>
      </c>
      <c r="F2076" t="n">
        <v>588.622</v>
      </c>
      <c r="G2076" t="n">
        <v>26.137</v>
      </c>
      <c r="H2076">
        <f>E2076/F2076</f>
        <v/>
      </c>
      <c r="I2076">
        <f>((H2076-$J$2065)/$I$2065)</f>
        <v/>
      </c>
      <c r="J2076">
        <f>(I2076-IF(I2073&gt;0,I2073,0))</f>
        <v/>
      </c>
      <c r="K2076">
        <f>J2076*1.1</f>
        <v/>
      </c>
      <c r="L2076">
        <f>AVERAGE(K2076:K2078)</f>
        <v/>
      </c>
      <c r="M2076">
        <f>STDEV(K2077:K2078)</f>
        <v/>
      </c>
      <c r="N2076">
        <f>_xlfn.CONCAT(ROUND(L2076,1)," ± ",ROUND(M2076,1))</f>
        <v/>
      </c>
      <c r="Q2076" t="inlineStr">
        <is>
          <t>K3-2C</t>
        </is>
      </c>
      <c r="R2076" t="n">
        <v>1.1538</v>
      </c>
    </row>
    <row r="2077">
      <c r="A2077" t="n">
        <v>12</v>
      </c>
      <c r="B2077" t="inlineStr">
        <is>
          <t>SB2</t>
        </is>
      </c>
      <c r="D2077" t="n">
        <v>13.14</v>
      </c>
      <c r="E2077" t="n">
        <v>653.62</v>
      </c>
      <c r="F2077" t="n">
        <v>886.918</v>
      </c>
      <c r="G2077" t="n">
        <v>4066</v>
      </c>
      <c r="H2077">
        <f>E2077/F2077</f>
        <v/>
      </c>
      <c r="I2077">
        <f>((H2077-$J$2065)/$I$2065)</f>
        <v/>
      </c>
      <c r="J2077">
        <f>(I2077-IF(I2073&gt;0,I2073,0))</f>
        <v/>
      </c>
      <c r="K2077">
        <f>J2077*1.1</f>
        <v/>
      </c>
      <c r="Q2077" t="inlineStr">
        <is>
          <t>K3-3A</t>
        </is>
      </c>
      <c r="R2077" t="n">
        <v>1.1183</v>
      </c>
    </row>
    <row r="2078">
      <c r="A2078" t="n">
        <v>13</v>
      </c>
      <c r="B2078" t="inlineStr">
        <is>
          <t>SB3</t>
        </is>
      </c>
      <c r="D2078" t="n">
        <v>13.16</v>
      </c>
      <c r="E2078" t="n">
        <v>520.106</v>
      </c>
      <c r="F2078" t="n">
        <v>608.25</v>
      </c>
      <c r="G2078" t="n">
        <v>136.484</v>
      </c>
      <c r="H2078">
        <f>E2078/F2078</f>
        <v/>
      </c>
      <c r="I2078">
        <f>((H2078-$J$2065)/$I$2065)</f>
        <v/>
      </c>
      <c r="J2078">
        <f>(I2078-IF(I2073&gt;0,I2073,0))</f>
        <v/>
      </c>
      <c r="K2078" s="30">
        <f>J2078*1.1</f>
        <v/>
      </c>
      <c r="L2078" s="25" t="inlineStr">
        <is>
          <t>Average</t>
        </is>
      </c>
      <c r="M2078" s="25" t="inlineStr">
        <is>
          <t>Stdev</t>
        </is>
      </c>
      <c r="N2078" s="26" t="inlineStr">
        <is>
          <t>%Recovery</t>
        </is>
      </c>
      <c r="O2078" s="26" t="inlineStr">
        <is>
          <t>Uncertainty</t>
        </is>
      </c>
      <c r="P2078" s="26" t="inlineStr">
        <is>
          <t>Combined</t>
        </is>
      </c>
      <c r="Q2078" t="inlineStr">
        <is>
          <t>K3-3B</t>
        </is>
      </c>
      <c r="R2078" t="n">
        <v>1.1448</v>
      </c>
    </row>
    <row r="2079">
      <c r="A2079" t="n">
        <v>14</v>
      </c>
      <c r="B2079" t="inlineStr">
        <is>
          <t>SS1</t>
        </is>
      </c>
      <c r="D2079" t="n">
        <v>13.16</v>
      </c>
      <c r="E2079" t="n">
        <v>15618.417</v>
      </c>
      <c r="F2079" t="n">
        <v>780.986</v>
      </c>
      <c r="G2079" t="n">
        <v>472.274</v>
      </c>
      <c r="H2079">
        <f>E2079/F2079</f>
        <v/>
      </c>
      <c r="I2079">
        <f>((H2079-$J$2065)/$I$2065)</f>
        <v/>
      </c>
      <c r="J2079">
        <f>(I2079-IF($I$2073&gt;0,$I$2073))</f>
        <v/>
      </c>
      <c r="K2079">
        <f>J2079/R2065*1.1</f>
        <v/>
      </c>
      <c r="L2079" s="27">
        <f>AVERAGE(K2079:K2081)</f>
        <v/>
      </c>
      <c r="M2079" s="27">
        <f>STDEV(K2079:K2081)</f>
        <v/>
      </c>
      <c r="N2079" s="28">
        <f>L2079/J2073*100</f>
        <v/>
      </c>
      <c r="O2079" s="29">
        <f>M2079/J2073*100</f>
        <v/>
      </c>
      <c r="P2079" s="29">
        <f>_xlfn.CONCAT(ROUND(N2079,1)," ± ",ROUND(O2079,1))</f>
        <v/>
      </c>
      <c r="Q2079" t="inlineStr">
        <is>
          <t>K3-3C</t>
        </is>
      </c>
      <c r="R2079" t="n">
        <v>1.0493</v>
      </c>
    </row>
    <row r="2080">
      <c r="A2080" t="n">
        <v>15</v>
      </c>
      <c r="B2080" t="inlineStr">
        <is>
          <t>SS2</t>
        </is>
      </c>
      <c r="D2080" t="n">
        <v>13.16</v>
      </c>
      <c r="E2080" t="n">
        <v>16513.42</v>
      </c>
      <c r="F2080" t="n">
        <v>821.647</v>
      </c>
      <c r="G2080" t="n">
        <v>463.395</v>
      </c>
      <c r="H2080">
        <f>E2080/F2080</f>
        <v/>
      </c>
      <c r="I2080">
        <f>((H2080-$J$2065)/$I$2065)</f>
        <v/>
      </c>
      <c r="J2080">
        <f>(I2080-IF($I$2073&gt;0,$I$2073))</f>
        <v/>
      </c>
      <c r="K2080">
        <f>J2080/R2066*1.1</f>
        <v/>
      </c>
      <c r="Q2080" t="inlineStr">
        <is>
          <t>K3-4A</t>
        </is>
      </c>
      <c r="R2080" t="n">
        <v>1.0704</v>
      </c>
    </row>
    <row r="2081">
      <c r="A2081" t="n">
        <v>16</v>
      </c>
      <c r="B2081" t="inlineStr">
        <is>
          <t>SS3</t>
        </is>
      </c>
      <c r="D2081" t="n">
        <v>13.16</v>
      </c>
      <c r="E2081" t="n">
        <v>15487.962</v>
      </c>
      <c r="F2081" t="n">
        <v>561.066</v>
      </c>
      <c r="G2081" t="n">
        <v>816.848</v>
      </c>
      <c r="H2081">
        <f>E2081/F2081</f>
        <v/>
      </c>
      <c r="I2081">
        <f>((H2081-$J$2065)/$I$2065)</f>
        <v/>
      </c>
      <c r="J2081">
        <f>(I2081-IF($I$2073&gt;0,$I$2073))</f>
        <v/>
      </c>
      <c r="K2081" s="30">
        <f>J2081/R2067*1.1</f>
        <v/>
      </c>
      <c r="Q2081" t="inlineStr">
        <is>
          <t>K3-4B</t>
        </is>
      </c>
      <c r="R2081" t="n">
        <v>1.1589</v>
      </c>
    </row>
    <row r="2082">
      <c r="A2082" t="n">
        <v>17</v>
      </c>
      <c r="B2082" t="inlineStr">
        <is>
          <t>MeOH</t>
        </is>
      </c>
      <c r="L2082" s="23" t="inlineStr">
        <is>
          <t>Average</t>
        </is>
      </c>
      <c r="M2082" s="23" t="inlineStr">
        <is>
          <t>Stdev</t>
        </is>
      </c>
      <c r="N2082" s="9" t="inlineStr">
        <is>
          <t>Combined</t>
        </is>
      </c>
      <c r="Q2082" t="inlineStr">
        <is>
          <t>K3-4C</t>
        </is>
      </c>
      <c r="R2082" t="n">
        <v>1.0206</v>
      </c>
    </row>
    <row r="2083">
      <c r="A2083" t="n">
        <v>18</v>
      </c>
      <c r="B2083" t="inlineStr">
        <is>
          <t>K4-5A</t>
        </is>
      </c>
      <c r="D2083" t="n">
        <v>13.16</v>
      </c>
      <c r="E2083" t="n">
        <v>817.956</v>
      </c>
      <c r="F2083" t="n">
        <v>608.375</v>
      </c>
      <c r="G2083" t="n">
        <v>77.105</v>
      </c>
      <c r="H2083">
        <f>E2083/F2083</f>
        <v/>
      </c>
      <c r="I2083">
        <f>((H2083-$J$2065)/$I$2065)</f>
        <v/>
      </c>
      <c r="J2083">
        <f>(I2083-IF($I$2073&gt;0,$I$2073))</f>
        <v/>
      </c>
      <c r="K2083">
        <f>J2083/R2067*1.1</f>
        <v/>
      </c>
      <c r="L2083">
        <f>AVERAGE(K2083:K2085)</f>
        <v/>
      </c>
      <c r="M2083">
        <f>STDEV(K2083:K2085)</f>
        <v/>
      </c>
      <c r="N2083">
        <f>_xlfn.CONCAT(ROUND(L2083,1)," ± ",ROUND(M2083,1))</f>
        <v/>
      </c>
      <c r="Q2083" t="inlineStr">
        <is>
          <t>K3-6A</t>
        </is>
      </c>
      <c r="R2083" t="n">
        <v>1.1289</v>
      </c>
    </row>
    <row r="2084">
      <c r="A2084" t="n">
        <v>19</v>
      </c>
      <c r="B2084" t="inlineStr">
        <is>
          <t>K4-5B</t>
        </is>
      </c>
      <c r="D2084" t="n">
        <v>13.16</v>
      </c>
      <c r="E2084" t="n">
        <v>457.916</v>
      </c>
      <c r="F2084" t="n">
        <v>605.4109999999999</v>
      </c>
      <c r="G2084" t="n">
        <v>23.025</v>
      </c>
      <c r="H2084">
        <f>E2084/F2084</f>
        <v/>
      </c>
      <c r="I2084">
        <f>((H2084-$J$2065)/$I$2065)</f>
        <v/>
      </c>
      <c r="J2084">
        <f>(I2084-IF($I$2073&gt;0,$I$2073))</f>
        <v/>
      </c>
      <c r="K2084">
        <f>J2084/R2068*1.1</f>
        <v/>
      </c>
      <c r="Q2084" t="inlineStr">
        <is>
          <t>K3-6B</t>
        </is>
      </c>
      <c r="R2084" t="n">
        <v>1.195</v>
      </c>
    </row>
    <row r="2085">
      <c r="A2085" t="n">
        <v>20</v>
      </c>
      <c r="B2085" t="inlineStr">
        <is>
          <t>K4-5C</t>
        </is>
      </c>
      <c r="D2085" t="n">
        <v>13.17</v>
      </c>
      <c r="E2085" t="n">
        <v>30.444</v>
      </c>
      <c r="G2085" t="n">
        <v>20.262</v>
      </c>
      <c r="H2085">
        <f>E2085/F2085</f>
        <v/>
      </c>
      <c r="I2085">
        <f>((H2085-$J$2065)/$I$2065)</f>
        <v/>
      </c>
      <c r="J2085">
        <f>(I2085-IF($I$2073&gt;0,$I$2073))</f>
        <v/>
      </c>
      <c r="K2085">
        <f>J2085/R2069*1.1</f>
        <v/>
      </c>
      <c r="L2085" s="23" t="n"/>
      <c r="M2085" s="23" t="n"/>
      <c r="N2085" s="9" t="n"/>
      <c r="Q2085" t="inlineStr">
        <is>
          <t>K3-6C</t>
        </is>
      </c>
      <c r="R2085" t="n">
        <v>1.1716</v>
      </c>
    </row>
    <row r="2086">
      <c r="A2086" t="n">
        <v>21</v>
      </c>
      <c r="B2086" t="inlineStr">
        <is>
          <t>MeOH</t>
        </is>
      </c>
      <c r="L2086" s="23" t="inlineStr">
        <is>
          <t>Average</t>
        </is>
      </c>
      <c r="M2086" s="23" t="inlineStr">
        <is>
          <t>Stdev</t>
        </is>
      </c>
      <c r="N2086" s="9" t="inlineStr">
        <is>
          <t>Combined</t>
        </is>
      </c>
    </row>
    <row r="2087">
      <c r="A2087" t="n">
        <v>22</v>
      </c>
      <c r="B2087" t="inlineStr">
        <is>
          <t>K3-1A</t>
        </is>
      </c>
      <c r="D2087" t="n">
        <v>13.19</v>
      </c>
      <c r="E2087" t="n">
        <v>352.639</v>
      </c>
      <c r="F2087" t="n">
        <v>586.254</v>
      </c>
      <c r="G2087" t="n">
        <v>2178</v>
      </c>
      <c r="H2087">
        <f>E2087/F2087</f>
        <v/>
      </c>
      <c r="I2087">
        <f>((H2087-$J$2065)/$I$2065)</f>
        <v/>
      </c>
      <c r="J2087">
        <f>(I2087-IF($I$2073&gt;0,$I$2073))</f>
        <v/>
      </c>
      <c r="K2087">
        <f>J2087/R2070*1.1</f>
        <v/>
      </c>
      <c r="L2087">
        <f>AVERAGE(K2087:K2089)</f>
        <v/>
      </c>
      <c r="M2087">
        <f>STDEV(K2088:K2089)</f>
        <v/>
      </c>
      <c r="N2087">
        <f>_xlfn.CONCAT(ROUND(L2087,1)," ± ",ROUND(M2087,1))</f>
        <v/>
      </c>
    </row>
    <row r="2088">
      <c r="A2088" t="n">
        <v>23</v>
      </c>
      <c r="B2088" t="inlineStr">
        <is>
          <t>K3-1B</t>
        </is>
      </c>
      <c r="D2088" t="n">
        <v>13.17</v>
      </c>
      <c r="E2088" t="n">
        <v>287.839</v>
      </c>
      <c r="F2088" t="n">
        <v>599.562</v>
      </c>
      <c r="G2088" t="n">
        <v>6.464</v>
      </c>
      <c r="H2088">
        <f>E2088/F2088</f>
        <v/>
      </c>
      <c r="I2088">
        <f>((H2088-$J$2065)/$I$2065)</f>
        <v/>
      </c>
      <c r="J2088">
        <f>(I2088-IF($I$2073&gt;0,$I$2073))</f>
        <v/>
      </c>
      <c r="K2088">
        <f>J2088/R2071*1.1</f>
        <v/>
      </c>
    </row>
    <row r="2089">
      <c r="A2089" t="n">
        <v>24</v>
      </c>
      <c r="B2089" t="inlineStr">
        <is>
          <t>K3-1C</t>
        </is>
      </c>
      <c r="D2089" t="n">
        <v>13.23</v>
      </c>
      <c r="E2089" t="n">
        <v>160.141</v>
      </c>
      <c r="F2089" t="n">
        <v>676.624</v>
      </c>
      <c r="G2089" t="n">
        <v>2.688</v>
      </c>
      <c r="H2089">
        <f>E2089/F2089</f>
        <v/>
      </c>
      <c r="I2089">
        <f>((H2089-$J$2065)/$I$2065)</f>
        <v/>
      </c>
      <c r="J2089">
        <f>(I2089-IF($I$2073&gt;0,$I$2073))</f>
        <v/>
      </c>
      <c r="K2089">
        <f>J2089/R2072*1.1</f>
        <v/>
      </c>
      <c r="L2089" s="23" t="inlineStr">
        <is>
          <t>Average</t>
        </is>
      </c>
      <c r="M2089" s="23" t="inlineStr">
        <is>
          <t>Stdev</t>
        </is>
      </c>
      <c r="N2089" s="9" t="inlineStr">
        <is>
          <t>Combined</t>
        </is>
      </c>
    </row>
    <row r="2090">
      <c r="A2090" t="n">
        <v>25</v>
      </c>
      <c r="B2090" t="inlineStr">
        <is>
          <t>K3-2A</t>
        </is>
      </c>
      <c r="D2090" t="n">
        <v>13.14</v>
      </c>
      <c r="E2090" t="n">
        <v>89.422</v>
      </c>
      <c r="F2090" t="n">
        <v>577.7329999999999</v>
      </c>
      <c r="G2090" t="n">
        <v>216.796</v>
      </c>
      <c r="H2090">
        <f>E2090/F2090</f>
        <v/>
      </c>
      <c r="I2090">
        <f>((H2090-$J$2065)/$I$2065)</f>
        <v/>
      </c>
      <c r="J2090">
        <f>(I2090-IF($I$2073&gt;0,$I$2073))</f>
        <v/>
      </c>
      <c r="K2090">
        <f>J2090/R2073*1.1</f>
        <v/>
      </c>
      <c r="L2090">
        <f>AVERAGE(K2090:K2092)</f>
        <v/>
      </c>
      <c r="M2090">
        <f>STDEV(K2090:K2092)</f>
        <v/>
      </c>
      <c r="N2090">
        <f>_xlfn.CONCAT(ROUND(L2090,1)," ± ",ROUND(M2090,1))</f>
        <v/>
      </c>
    </row>
    <row r="2091">
      <c r="A2091" t="n">
        <v>26</v>
      </c>
      <c r="B2091" t="inlineStr">
        <is>
          <t>K3-2B</t>
        </is>
      </c>
      <c r="D2091" t="n">
        <v>13.19</v>
      </c>
      <c r="E2091" t="n">
        <v>135.838</v>
      </c>
      <c r="F2091" t="n">
        <v>839.127</v>
      </c>
      <c r="G2091" t="n">
        <v>382.445</v>
      </c>
      <c r="H2091">
        <f>E2091/F2091</f>
        <v/>
      </c>
      <c r="I2091">
        <f>((H2091-$J$2065)/$I$2065)</f>
        <v/>
      </c>
      <c r="J2091">
        <f>(I2091-IF($I$2073&gt;0,$I$2073))</f>
        <v/>
      </c>
      <c r="K2091">
        <f>J2091/R2074*1.1</f>
        <v/>
      </c>
    </row>
    <row r="2092">
      <c r="A2092" t="n">
        <v>27</v>
      </c>
      <c r="B2092" t="inlineStr">
        <is>
          <t>K3-2C</t>
        </is>
      </c>
      <c r="D2092" t="n">
        <v>13.21</v>
      </c>
      <c r="E2092" t="n">
        <v>73.63200000000001</v>
      </c>
      <c r="F2092" t="n">
        <v>585.352</v>
      </c>
      <c r="G2092" t="n">
        <v>14.955</v>
      </c>
      <c r="H2092">
        <f>E2092/F2092</f>
        <v/>
      </c>
      <c r="I2092">
        <f>((H2092-$J$2065)/$I$2065)</f>
        <v/>
      </c>
      <c r="J2092">
        <f>(I2092-IF($I$2073&gt;0,$I$2073))</f>
        <v/>
      </c>
      <c r="K2092">
        <f>J2092/R2075*1.1</f>
        <v/>
      </c>
      <c r="L2092" s="23" t="n"/>
      <c r="M2092" s="23" t="n"/>
      <c r="N2092" s="9" t="n"/>
    </row>
    <row r="2093">
      <c r="A2093" t="n">
        <v>28</v>
      </c>
      <c r="B2093" t="inlineStr">
        <is>
          <t>MeOH</t>
        </is>
      </c>
      <c r="L2093" s="23" t="inlineStr">
        <is>
          <t>Average</t>
        </is>
      </c>
      <c r="M2093" s="23" t="inlineStr">
        <is>
          <t>Stdev</t>
        </is>
      </c>
      <c r="N2093" s="9" t="inlineStr">
        <is>
          <t>Combined</t>
        </is>
      </c>
    </row>
    <row r="2094">
      <c r="A2094" t="n">
        <v>29</v>
      </c>
      <c r="B2094" t="inlineStr">
        <is>
          <t>K3-3A</t>
        </is>
      </c>
      <c r="D2094" t="n">
        <v>13.19</v>
      </c>
      <c r="E2094" t="n">
        <v>96.015</v>
      </c>
      <c r="F2094" t="n">
        <v>346.277</v>
      </c>
      <c r="G2094" t="n">
        <v>3.333</v>
      </c>
      <c r="H2094">
        <f>E2094/F2094</f>
        <v/>
      </c>
      <c r="I2094">
        <f>((H2094-$J$2065)/$I$2065)</f>
        <v/>
      </c>
      <c r="J2094">
        <f>(I2094-IF($I$2073&gt;0,$I$2073))</f>
        <v/>
      </c>
      <c r="K2094">
        <f>J2094/R2076*1.1</f>
        <v/>
      </c>
      <c r="L2094">
        <f>AVERAGE(K2094:K2096)</f>
        <v/>
      </c>
      <c r="M2094">
        <f>STDEV(K2095:K2096)</f>
        <v/>
      </c>
      <c r="N2094">
        <f>_xlfn.CONCAT(ROUND(L2094,1)," ± ",ROUND(M2094,1))</f>
        <v/>
      </c>
    </row>
    <row r="2095">
      <c r="A2095" t="n">
        <v>30</v>
      </c>
      <c r="B2095" t="inlineStr">
        <is>
          <t>K3-3B</t>
        </is>
      </c>
      <c r="D2095" t="n">
        <v>13.19</v>
      </c>
      <c r="E2095" t="n">
        <v>180.056</v>
      </c>
      <c r="F2095" t="n">
        <v>693.228</v>
      </c>
      <c r="G2095" t="n">
        <v>7.68</v>
      </c>
      <c r="H2095">
        <f>E2095/F2095</f>
        <v/>
      </c>
      <c r="I2095">
        <f>((H2095-$J$2065)/$I$2065)</f>
        <v/>
      </c>
      <c r="J2095">
        <f>(I2095-IF($I$2073&gt;0,$I$2073))</f>
        <v/>
      </c>
      <c r="K2095">
        <f>J2095/R2077*1.1</f>
        <v/>
      </c>
    </row>
    <row r="2096">
      <c r="A2096" t="n">
        <v>31</v>
      </c>
      <c r="B2096" t="inlineStr">
        <is>
          <t>K3-3C</t>
        </is>
      </c>
      <c r="D2096" t="n">
        <v>13.19</v>
      </c>
      <c r="E2096" t="n">
        <v>62.932</v>
      </c>
      <c r="F2096" t="n">
        <v>529.389</v>
      </c>
      <c r="G2096" t="n">
        <v>18.928</v>
      </c>
      <c r="H2096">
        <f>E2096/F2096</f>
        <v/>
      </c>
      <c r="I2096">
        <f>((H2096-$J$2065)/$I$2065)</f>
        <v/>
      </c>
      <c r="J2096">
        <f>(I2096-IF($I$2073&gt;0,$I$2073))</f>
        <v/>
      </c>
      <c r="K2096">
        <f>J2096/R2078*1.1</f>
        <v/>
      </c>
      <c r="L2096" s="23" t="inlineStr">
        <is>
          <t>Average</t>
        </is>
      </c>
      <c r="M2096" s="23" t="inlineStr">
        <is>
          <t>Stdev</t>
        </is>
      </c>
      <c r="N2096" s="9" t="inlineStr">
        <is>
          <t>Combined</t>
        </is>
      </c>
    </row>
    <row r="2097">
      <c r="A2097" t="n">
        <v>32</v>
      </c>
      <c r="B2097" t="inlineStr">
        <is>
          <t>K3-4A</t>
        </is>
      </c>
      <c r="D2097" t="n">
        <v>13.19</v>
      </c>
      <c r="E2097" t="n">
        <v>59.491</v>
      </c>
      <c r="F2097" t="n">
        <v>496.854</v>
      </c>
      <c r="G2097" t="n">
        <v>453</v>
      </c>
      <c r="H2097">
        <f>E2097/F2097</f>
        <v/>
      </c>
      <c r="I2097">
        <f>((H2097-$J$2065)/$I$2065)</f>
        <v/>
      </c>
      <c r="J2097">
        <f>(I2097-IF($I$2073&gt;0,$I$2073))</f>
        <v/>
      </c>
      <c r="K2097">
        <f>J2097/R2079*1.1</f>
        <v/>
      </c>
      <c r="L2097">
        <f>AVERAGE(K2097:K2099)</f>
        <v/>
      </c>
      <c r="M2097">
        <f>STDEV(K2097:K2099)</f>
        <v/>
      </c>
      <c r="N2097">
        <f>_xlfn.CONCAT(ROUND(L2097,1)," ± ",ROUND(M2097,1))</f>
        <v/>
      </c>
    </row>
    <row r="2098">
      <c r="A2098" t="n">
        <v>33</v>
      </c>
      <c r="B2098" t="inlineStr">
        <is>
          <t>K3-4B</t>
        </is>
      </c>
      <c r="D2098" t="n">
        <v>13.19</v>
      </c>
      <c r="E2098" t="n">
        <v>47.971</v>
      </c>
      <c r="F2098" t="n">
        <v>533.124</v>
      </c>
      <c r="G2098" t="n">
        <v>2.759</v>
      </c>
      <c r="H2098">
        <f>E2098/F2098</f>
        <v/>
      </c>
      <c r="I2098">
        <f>((H2098-$J$2065)/$I$2065)</f>
        <v/>
      </c>
      <c r="J2098">
        <f>(I2098-IF($I$2073&gt;0,$I$2073))</f>
        <v/>
      </c>
      <c r="K2098">
        <f>J2098/R2080*1.1</f>
        <v/>
      </c>
    </row>
    <row r="2099">
      <c r="A2099" t="n">
        <v>34</v>
      </c>
      <c r="B2099" t="inlineStr">
        <is>
          <t>K3-4C</t>
        </is>
      </c>
      <c r="D2099" t="n">
        <v>13.23</v>
      </c>
      <c r="E2099" t="n">
        <v>119.598</v>
      </c>
      <c r="F2099" t="n">
        <v>606.571</v>
      </c>
      <c r="G2099" t="n">
        <v>39.345</v>
      </c>
      <c r="H2099">
        <f>E2099/F2099</f>
        <v/>
      </c>
      <c r="I2099">
        <f>((H2099-$J$2065)/$I$2065)</f>
        <v/>
      </c>
      <c r="J2099">
        <f>(I2099-IF($I$2073&gt;0,$I$2073))</f>
        <v/>
      </c>
      <c r="K2099">
        <f>J2099/R2081*1.1</f>
        <v/>
      </c>
      <c r="L2099" s="23" t="n"/>
      <c r="M2099" s="23" t="n"/>
      <c r="N2099" s="9" t="n"/>
    </row>
    <row r="2100">
      <c r="A2100" t="n">
        <v>35</v>
      </c>
      <c r="B2100" t="inlineStr">
        <is>
          <t>MeOH</t>
        </is>
      </c>
      <c r="L2100" s="23" t="inlineStr">
        <is>
          <t>Average</t>
        </is>
      </c>
      <c r="M2100" s="23" t="inlineStr">
        <is>
          <t>Stdev</t>
        </is>
      </c>
      <c r="N2100" s="9" t="inlineStr">
        <is>
          <t>Combined</t>
        </is>
      </c>
    </row>
    <row r="2101">
      <c r="A2101" t="n">
        <v>36</v>
      </c>
      <c r="B2101" t="inlineStr">
        <is>
          <t>K3-6A</t>
        </is>
      </c>
      <c r="D2101" t="n">
        <v>13.13</v>
      </c>
      <c r="E2101" t="n">
        <v>9.917999999999999</v>
      </c>
      <c r="F2101" t="n">
        <v>354.208</v>
      </c>
      <c r="G2101" t="n">
        <v>75</v>
      </c>
      <c r="H2101">
        <f>E2101/F2101</f>
        <v/>
      </c>
      <c r="I2101">
        <f>((H2101-$J$2065)/$I$2065)</f>
        <v/>
      </c>
      <c r="J2101">
        <f>(I2101-IF($I$2073&gt;0,$I$2073))</f>
        <v/>
      </c>
      <c r="K2101">
        <f>J2101/R2082*1.1</f>
        <v/>
      </c>
      <c r="L2101">
        <f>AVERAGE(K2101:K2103)</f>
        <v/>
      </c>
      <c r="M2101">
        <f>STDEV(K2102:K2103)</f>
        <v/>
      </c>
      <c r="N2101">
        <f>_xlfn.CONCAT(ROUND(L2101,1)," ± ",ROUND(M2101,1))</f>
        <v/>
      </c>
    </row>
    <row r="2102">
      <c r="A2102" t="n">
        <v>37</v>
      </c>
      <c r="B2102" t="inlineStr">
        <is>
          <t>K3-6B</t>
        </is>
      </c>
      <c r="F2102" t="n">
        <v>348.087</v>
      </c>
      <c r="H2102">
        <f>E2102/F2102</f>
        <v/>
      </c>
      <c r="I2102">
        <f>((H2102-$J$2065)/$I$2065)</f>
        <v/>
      </c>
      <c r="J2102">
        <f>(I2102-IF($I$2073&gt;0,$I$2073))</f>
        <v/>
      </c>
      <c r="K2102">
        <f>J2102/R2083*1.1</f>
        <v/>
      </c>
    </row>
    <row r="2103">
      <c r="A2103" t="n">
        <v>38</v>
      </c>
      <c r="B2103" t="inlineStr">
        <is>
          <t>K3-6C</t>
        </is>
      </c>
      <c r="D2103" t="n">
        <v>13.23</v>
      </c>
      <c r="E2103" t="n">
        <v>65.68000000000001</v>
      </c>
      <c r="F2103" t="n">
        <v>270.181</v>
      </c>
      <c r="G2103" t="n">
        <v>4.087</v>
      </c>
      <c r="H2103">
        <f>E2103/F2103</f>
        <v/>
      </c>
      <c r="I2103">
        <f>((H2103-$J$2065)/$I$2065)</f>
        <v/>
      </c>
      <c r="J2103">
        <f>(I2103-IF($I$2073&gt;0,$I$2073))</f>
        <v/>
      </c>
      <c r="K2103">
        <f>J2103/R2084*1.1</f>
        <v/>
      </c>
      <c r="L2103" s="23" t="n"/>
      <c r="M2103" s="23" t="n"/>
      <c r="N2103" s="9" t="n"/>
    </row>
    <row r="2105">
      <c r="A2105" t="inlineStr">
        <is>
          <t>Compound 51:  8-8-8 triPAP 1 *</t>
        </is>
      </c>
    </row>
    <row r="2107">
      <c r="B2107" t="inlineStr">
        <is>
          <t>Sample Text</t>
        </is>
      </c>
      <c r="C2107" t="inlineStr">
        <is>
          <t>Std. Conc</t>
        </is>
      </c>
      <c r="D2107" t="inlineStr">
        <is>
          <t>RT</t>
        </is>
      </c>
      <c r="E2107" t="inlineStr">
        <is>
          <t>Area</t>
        </is>
      </c>
      <c r="F2107" t="inlineStr">
        <is>
          <t>IS Area</t>
        </is>
      </c>
      <c r="G2107" t="inlineStr">
        <is>
          <t>S/N</t>
        </is>
      </c>
      <c r="H2107" t="inlineStr">
        <is>
          <t>Primary Flags</t>
        </is>
      </c>
      <c r="I2107" t="inlineStr">
        <is>
          <t>Response</t>
        </is>
      </c>
      <c r="J2107" t="inlineStr">
        <is>
          <t>Conc.</t>
        </is>
      </c>
      <c r="K2107" t="inlineStr">
        <is>
          <t>Name</t>
        </is>
      </c>
    </row>
    <row r="2108">
      <c r="A2108" t="n">
        <v>1</v>
      </c>
      <c r="B2108" t="inlineStr">
        <is>
          <t>EPA1633 &amp; diPAPs Calibration 0 ppb</t>
        </is>
      </c>
      <c r="F2108" t="n">
        <v>1343.627</v>
      </c>
      <c r="K2108" t="inlineStr">
        <is>
          <t>20250617-12</t>
        </is>
      </c>
    </row>
    <row r="2109">
      <c r="A2109" t="n">
        <v>2</v>
      </c>
      <c r="B2109" t="inlineStr">
        <is>
          <t>EPA1633 &amp; diPAPs Calibration 0.02 ppb</t>
        </is>
      </c>
      <c r="D2109" t="n">
        <v>13.12</v>
      </c>
      <c r="E2109" t="n">
        <v>76.399</v>
      </c>
      <c r="F2109" t="n">
        <v>633.474</v>
      </c>
      <c r="G2109" t="n">
        <v>5.473</v>
      </c>
      <c r="H2109" t="inlineStr">
        <is>
          <t>MM</t>
        </is>
      </c>
      <c r="K2109" t="inlineStr">
        <is>
          <t>20250617-13</t>
        </is>
      </c>
    </row>
    <row r="2110">
      <c r="A2110" t="n">
        <v>3</v>
      </c>
      <c r="B2110" t="inlineStr">
        <is>
          <t>EPA1633 &amp; diPAPs Calibration 0.1 ppb</t>
        </is>
      </c>
      <c r="F2110" t="n">
        <v>645.6369999999999</v>
      </c>
      <c r="K2110" t="inlineStr">
        <is>
          <t>20250617-14</t>
        </is>
      </c>
    </row>
    <row r="2111">
      <c r="A2111" t="n">
        <v>4</v>
      </c>
      <c r="B2111" t="inlineStr">
        <is>
          <t>EPA1633 &amp; diPAPs Calibration 0.4 ppb</t>
        </is>
      </c>
      <c r="D2111" t="n">
        <v>13.02</v>
      </c>
      <c r="E2111" t="n">
        <v>0.257</v>
      </c>
      <c r="F2111" t="n">
        <v>750.9640000000001</v>
      </c>
      <c r="G2111" t="n">
        <v>2</v>
      </c>
      <c r="H2111" t="inlineStr">
        <is>
          <t>MM</t>
        </is>
      </c>
      <c r="K2111" t="inlineStr">
        <is>
          <t>20250617-15</t>
        </is>
      </c>
    </row>
    <row r="2112">
      <c r="A2112" t="n">
        <v>5</v>
      </c>
      <c r="B2112" t="inlineStr">
        <is>
          <t>EPA1633 &amp; diPAPs Calibration 1 ppb</t>
        </is>
      </c>
      <c r="D2112" t="n">
        <v>13.13</v>
      </c>
      <c r="E2112" t="n">
        <v>149.381</v>
      </c>
      <c r="F2112" t="n">
        <v>827.3049999999999</v>
      </c>
      <c r="G2112" t="n">
        <v>913</v>
      </c>
      <c r="H2112" t="inlineStr">
        <is>
          <t>MM</t>
        </is>
      </c>
      <c r="K2112" t="inlineStr">
        <is>
          <t>20250617-16</t>
        </is>
      </c>
    </row>
    <row r="2113">
      <c r="A2113" t="n">
        <v>6</v>
      </c>
      <c r="B2113" t="inlineStr">
        <is>
          <t>EPA1633 &amp; diPAPs Calibration 5 ppb</t>
        </is>
      </c>
      <c r="D2113" t="n">
        <v>13.13</v>
      </c>
      <c r="E2113" t="n">
        <v>234.474</v>
      </c>
      <c r="F2113" t="n">
        <v>802.204</v>
      </c>
      <c r="G2113" t="n">
        <v>59.45</v>
      </c>
      <c r="H2113" t="inlineStr">
        <is>
          <t>MM</t>
        </is>
      </c>
      <c r="K2113" t="inlineStr">
        <is>
          <t>20250617-17</t>
        </is>
      </c>
    </row>
    <row r="2114">
      <c r="A2114" t="n">
        <v>7</v>
      </c>
      <c r="B2114" t="inlineStr">
        <is>
          <t>EPA1633 &amp; diPAPs Calibration 10 ppb</t>
        </is>
      </c>
      <c r="D2114" t="n">
        <v>13.14</v>
      </c>
      <c r="E2114" t="n">
        <v>1095.072</v>
      </c>
      <c r="F2114" t="n">
        <v>1562.616</v>
      </c>
      <c r="G2114" t="n">
        <v>7638</v>
      </c>
      <c r="H2114" t="inlineStr">
        <is>
          <t>MM</t>
        </is>
      </c>
      <c r="K2114" t="inlineStr">
        <is>
          <t>20250617-18</t>
        </is>
      </c>
    </row>
    <row r="2115">
      <c r="A2115" t="n">
        <v>8</v>
      </c>
      <c r="B2115" t="inlineStr">
        <is>
          <t>EPA1633 &amp; diPAPs Calibration 20 ppb</t>
        </is>
      </c>
      <c r="D2115" t="n">
        <v>13.13</v>
      </c>
      <c r="E2115" t="n">
        <v>355.094</v>
      </c>
      <c r="F2115" t="n">
        <v>611.3339999999999</v>
      </c>
      <c r="G2115" t="n">
        <v>2627</v>
      </c>
      <c r="H2115" t="inlineStr">
        <is>
          <t>MM</t>
        </is>
      </c>
      <c r="K2115" t="inlineStr">
        <is>
          <t>20250617-19</t>
        </is>
      </c>
    </row>
    <row r="2116">
      <c r="A2116" t="n">
        <v>9</v>
      </c>
      <c r="B2116" t="inlineStr">
        <is>
          <t>MeOH</t>
        </is>
      </c>
      <c r="K2116" t="inlineStr">
        <is>
          <t>20250617-20</t>
        </is>
      </c>
    </row>
    <row r="2117">
      <c r="A2117" t="n">
        <v>10</v>
      </c>
      <c r="B2117" t="inlineStr">
        <is>
          <t>MeOH</t>
        </is>
      </c>
      <c r="K2117" t="inlineStr">
        <is>
          <t>20250617-21</t>
        </is>
      </c>
    </row>
    <row r="2118">
      <c r="A2118" t="n">
        <v>11</v>
      </c>
      <c r="B2118" t="inlineStr">
        <is>
          <t>SB1</t>
        </is>
      </c>
      <c r="F2118" t="n">
        <v>235.495</v>
      </c>
      <c r="K2118" t="inlineStr">
        <is>
          <t>20250617-22</t>
        </is>
      </c>
    </row>
    <row r="2119">
      <c r="A2119" t="n">
        <v>12</v>
      </c>
      <c r="B2119" t="inlineStr">
        <is>
          <t>SB2</t>
        </is>
      </c>
      <c r="F2119" t="n">
        <v>273.33</v>
      </c>
      <c r="K2119" t="inlineStr">
        <is>
          <t>20250617-23</t>
        </is>
      </c>
    </row>
    <row r="2120">
      <c r="A2120" t="n">
        <v>13</v>
      </c>
      <c r="B2120" t="inlineStr">
        <is>
          <t>SB3</t>
        </is>
      </c>
      <c r="F2120" t="n">
        <v>129.33</v>
      </c>
      <c r="K2120" t="inlineStr">
        <is>
          <t>20250617-24</t>
        </is>
      </c>
    </row>
    <row r="2121">
      <c r="A2121" t="n">
        <v>14</v>
      </c>
      <c r="B2121" t="inlineStr">
        <is>
          <t>SS1</t>
        </is>
      </c>
      <c r="F2121" t="n">
        <v>253.728</v>
      </c>
      <c r="K2121" t="inlineStr">
        <is>
          <t>20250617-25</t>
        </is>
      </c>
    </row>
    <row r="2122">
      <c r="A2122" t="n">
        <v>15</v>
      </c>
      <c r="B2122" t="inlineStr">
        <is>
          <t>SS2</t>
        </is>
      </c>
      <c r="F2122" t="n">
        <v>141.602</v>
      </c>
      <c r="K2122" t="inlineStr">
        <is>
          <t>20250617-26</t>
        </is>
      </c>
    </row>
    <row r="2123">
      <c r="A2123" t="n">
        <v>16</v>
      </c>
      <c r="B2123" t="inlineStr">
        <is>
          <t>SS3</t>
        </is>
      </c>
      <c r="F2123" t="n">
        <v>190.637</v>
      </c>
      <c r="K2123" t="inlineStr">
        <is>
          <t>20250617-27</t>
        </is>
      </c>
    </row>
    <row r="2124">
      <c r="A2124" t="n">
        <v>17</v>
      </c>
      <c r="B2124" t="inlineStr">
        <is>
          <t>MeOH</t>
        </is>
      </c>
      <c r="K2124" t="inlineStr">
        <is>
          <t>20250617-28</t>
        </is>
      </c>
    </row>
    <row r="2125">
      <c r="A2125" t="n">
        <v>18</v>
      </c>
      <c r="B2125" t="inlineStr">
        <is>
          <t>K4-5A</t>
        </is>
      </c>
      <c r="F2125" t="n">
        <v>73.511</v>
      </c>
      <c r="K2125" t="inlineStr">
        <is>
          <t>20250617-29</t>
        </is>
      </c>
    </row>
    <row r="2126">
      <c r="A2126" t="n">
        <v>19</v>
      </c>
      <c r="B2126" t="inlineStr">
        <is>
          <t>K4-5B</t>
        </is>
      </c>
      <c r="F2126" t="n">
        <v>168.771</v>
      </c>
      <c r="K2126" t="inlineStr">
        <is>
          <t>20250617-30</t>
        </is>
      </c>
    </row>
    <row r="2127">
      <c r="A2127" t="n">
        <v>20</v>
      </c>
      <c r="B2127" t="inlineStr">
        <is>
          <t>K4-5C</t>
        </is>
      </c>
      <c r="K2127" t="inlineStr">
        <is>
          <t>20250617-31</t>
        </is>
      </c>
    </row>
    <row r="2128">
      <c r="A2128" t="n">
        <v>21</v>
      </c>
      <c r="B2128" t="inlineStr">
        <is>
          <t>MeOH</t>
        </is>
      </c>
      <c r="K2128" t="inlineStr">
        <is>
          <t>20250617-32</t>
        </is>
      </c>
    </row>
    <row r="2129">
      <c r="A2129" t="n">
        <v>22</v>
      </c>
      <c r="B2129" t="inlineStr">
        <is>
          <t>K3-1A</t>
        </is>
      </c>
      <c r="F2129" t="n">
        <v>163.196</v>
      </c>
      <c r="K2129" t="inlineStr">
        <is>
          <t>20250617-33</t>
        </is>
      </c>
    </row>
    <row r="2130">
      <c r="A2130" t="n">
        <v>23</v>
      </c>
      <c r="B2130" t="inlineStr">
        <is>
          <t>K3-1B</t>
        </is>
      </c>
      <c r="F2130" t="n">
        <v>57.781</v>
      </c>
      <c r="K2130" t="inlineStr">
        <is>
          <t>20250617-34</t>
        </is>
      </c>
    </row>
    <row r="2131">
      <c r="A2131" t="n">
        <v>24</v>
      </c>
      <c r="B2131" t="inlineStr">
        <is>
          <t>K3-1C</t>
        </is>
      </c>
      <c r="F2131" t="n">
        <v>191.361</v>
      </c>
      <c r="K2131" t="inlineStr">
        <is>
          <t>20250617-35</t>
        </is>
      </c>
    </row>
    <row r="2132">
      <c r="A2132" t="n">
        <v>25</v>
      </c>
      <c r="B2132" t="inlineStr">
        <is>
          <t>K3-2A</t>
        </is>
      </c>
      <c r="F2132" t="n">
        <v>113.81</v>
      </c>
      <c r="K2132" t="inlineStr">
        <is>
          <t>20250617-36</t>
        </is>
      </c>
    </row>
    <row r="2133">
      <c r="A2133" t="n">
        <v>26</v>
      </c>
      <c r="B2133" t="inlineStr">
        <is>
          <t>K3-2B</t>
        </is>
      </c>
      <c r="F2133" t="n">
        <v>85.271</v>
      </c>
      <c r="K2133" t="inlineStr">
        <is>
          <t>20250617-37</t>
        </is>
      </c>
    </row>
    <row r="2134">
      <c r="A2134" t="n">
        <v>27</v>
      </c>
      <c r="B2134" t="inlineStr">
        <is>
          <t>K3-2C</t>
        </is>
      </c>
      <c r="F2134" t="n">
        <v>86.066</v>
      </c>
      <c r="K2134" t="inlineStr">
        <is>
          <t>20250617-38</t>
        </is>
      </c>
    </row>
    <row r="2135">
      <c r="A2135" t="n">
        <v>28</v>
      </c>
      <c r="B2135" t="inlineStr">
        <is>
          <t>MeOH</t>
        </is>
      </c>
      <c r="K2135" t="inlineStr">
        <is>
          <t>20250617-39</t>
        </is>
      </c>
    </row>
    <row r="2136">
      <c r="A2136" t="n">
        <v>29</v>
      </c>
      <c r="B2136" t="inlineStr">
        <is>
          <t>K3-3A</t>
        </is>
      </c>
      <c r="F2136" t="n">
        <v>43.273</v>
      </c>
      <c r="K2136" t="inlineStr">
        <is>
          <t>20250617-40</t>
        </is>
      </c>
    </row>
    <row r="2137">
      <c r="A2137" t="n">
        <v>30</v>
      </c>
      <c r="B2137" t="inlineStr">
        <is>
          <t>K3-3B</t>
        </is>
      </c>
      <c r="F2137" t="n">
        <v>147.53</v>
      </c>
      <c r="K2137" t="inlineStr">
        <is>
          <t>20250617-41</t>
        </is>
      </c>
    </row>
    <row r="2138">
      <c r="A2138" t="n">
        <v>31</v>
      </c>
      <c r="B2138" t="inlineStr">
        <is>
          <t>K3-3C</t>
        </is>
      </c>
      <c r="F2138" t="n">
        <v>100.998</v>
      </c>
      <c r="K2138" t="inlineStr">
        <is>
          <t>20250617-42</t>
        </is>
      </c>
    </row>
    <row r="2139">
      <c r="A2139" t="n">
        <v>32</v>
      </c>
      <c r="B2139" t="inlineStr">
        <is>
          <t>K3-4A</t>
        </is>
      </c>
      <c r="F2139" t="n">
        <v>62.627</v>
      </c>
      <c r="K2139" t="inlineStr">
        <is>
          <t>20250617-43</t>
        </is>
      </c>
    </row>
    <row r="2140">
      <c r="A2140" t="n">
        <v>33</v>
      </c>
      <c r="B2140" t="inlineStr">
        <is>
          <t>K3-4B</t>
        </is>
      </c>
      <c r="F2140" t="n">
        <v>116.61</v>
      </c>
      <c r="K2140" t="inlineStr">
        <is>
          <t>20250617-44</t>
        </is>
      </c>
    </row>
    <row r="2141">
      <c r="A2141" t="n">
        <v>34</v>
      </c>
      <c r="B2141" t="inlineStr">
        <is>
          <t>K3-4C</t>
        </is>
      </c>
      <c r="F2141" t="n">
        <v>125.41</v>
      </c>
      <c r="K2141" t="inlineStr">
        <is>
          <t>20250617-45</t>
        </is>
      </c>
    </row>
    <row r="2142">
      <c r="A2142" t="n">
        <v>35</v>
      </c>
      <c r="B2142" t="inlineStr">
        <is>
          <t>MeOH</t>
        </is>
      </c>
      <c r="K2142" t="inlineStr">
        <is>
          <t>20250617-46</t>
        </is>
      </c>
    </row>
    <row r="2143">
      <c r="A2143" t="n">
        <v>36</v>
      </c>
      <c r="B2143" t="inlineStr">
        <is>
          <t>K3-6A</t>
        </is>
      </c>
      <c r="F2143" t="n">
        <v>54.508</v>
      </c>
      <c r="K2143" t="inlineStr">
        <is>
          <t>20250617-47</t>
        </is>
      </c>
    </row>
    <row r="2144">
      <c r="A2144" t="n">
        <v>37</v>
      </c>
      <c r="B2144" t="inlineStr">
        <is>
          <t>K3-6B</t>
        </is>
      </c>
      <c r="F2144" t="n">
        <v>34.035</v>
      </c>
      <c r="K2144" t="inlineStr">
        <is>
          <t>20250617-48</t>
        </is>
      </c>
    </row>
    <row r="2145">
      <c r="A2145" t="n">
        <v>38</v>
      </c>
      <c r="B2145" t="inlineStr">
        <is>
          <t>K3-6C</t>
        </is>
      </c>
      <c r="F2145" t="n">
        <v>29.42</v>
      </c>
      <c r="K2145" t="inlineStr">
        <is>
          <t>20250617-49</t>
        </is>
      </c>
    </row>
    <row r="2147">
      <c r="A2147" t="inlineStr">
        <is>
          <t>Compound 52:  8-8-8 triPAP 2 *</t>
        </is>
      </c>
    </row>
    <row r="2148">
      <c r="I2148" t="inlineStr">
        <is>
          <t>LINEST</t>
        </is>
      </c>
      <c r="Q2148" t="inlineStr">
        <is>
          <t>Biosolids Masses</t>
        </is>
      </c>
      <c r="R2148" t="inlineStr">
        <is>
          <t>(g)</t>
        </is>
      </c>
    </row>
    <row r="2149">
      <c r="B2149" t="inlineStr">
        <is>
          <t>Sample Text</t>
        </is>
      </c>
      <c r="C2149" t="inlineStr">
        <is>
          <t>Std. Conc</t>
        </is>
      </c>
      <c r="D2149" t="inlineStr">
        <is>
          <t>RT</t>
        </is>
      </c>
      <c r="E2149" t="inlineStr">
        <is>
          <t>Area</t>
        </is>
      </c>
      <c r="F2149" t="inlineStr">
        <is>
          <t>IS Area</t>
        </is>
      </c>
      <c r="G2149" t="inlineStr">
        <is>
          <t>S/N</t>
        </is>
      </c>
      <c r="H2149" t="inlineStr">
        <is>
          <t>ratio</t>
        </is>
      </c>
      <c r="I2149">
        <f t="array" ref="I2149:J2153">LINEST(H2150:H2155,C2150:C2155,1,1)</f>
        <v/>
      </c>
      <c r="J2149" t="n">
        <v>0.04951322650734891</v>
      </c>
      <c r="L2149" s="20" t="inlineStr">
        <is>
          <t>By S/N Ratio</t>
        </is>
      </c>
      <c r="Q2149" t="inlineStr">
        <is>
          <t>SS1</t>
        </is>
      </c>
      <c r="R2149" t="n">
        <v>1.0846</v>
      </c>
    </row>
    <row r="2150">
      <c r="A2150" t="n">
        <v>1</v>
      </c>
      <c r="B2150" t="inlineStr">
        <is>
          <t>EPA1633 &amp; diPAPs Calibration 0 ppb</t>
        </is>
      </c>
      <c r="C2150" t="n">
        <v>0</v>
      </c>
      <c r="D2150" t="n">
        <v>16.52</v>
      </c>
      <c r="E2150" t="n">
        <v>316.167</v>
      </c>
      <c r="F2150" t="n">
        <v>3123.66</v>
      </c>
      <c r="G2150" t="n">
        <v>4.325</v>
      </c>
      <c r="H2150">
        <f>E2150/F2150</f>
        <v/>
      </c>
      <c r="I2150" t="n">
        <v>0.001732372584083545</v>
      </c>
      <c r="J2150" t="n">
        <v>0.05351227594165131</v>
      </c>
      <c r="K2150" t="inlineStr">
        <is>
          <t>LOD</t>
        </is>
      </c>
      <c r="L2150" s="21">
        <f>IF(G2153&gt;3,C2153,IF(G2154&gt;3,#REF!,IF(G2155&gt;3,C2155,IF(G2156&gt;3,#REF!,#REF!))))</f>
        <v/>
      </c>
      <c r="Q2150" t="inlineStr">
        <is>
          <t>SS2</t>
        </is>
      </c>
      <c r="R2150" t="n">
        <v>1.0726</v>
      </c>
    </row>
    <row r="2151">
      <c r="A2151" t="n">
        <v>2</v>
      </c>
      <c r="B2151" t="inlineStr">
        <is>
          <t>EPA1633 &amp; diPAPs Calibration 0.02 ppb</t>
        </is>
      </c>
      <c r="C2151" t="n">
        <v>5</v>
      </c>
      <c r="D2151" t="n">
        <v>16.33</v>
      </c>
      <c r="E2151" t="n">
        <v>495.71</v>
      </c>
      <c r="F2151" t="n">
        <v>1988.362</v>
      </c>
      <c r="G2151" t="n">
        <v>5.645</v>
      </c>
      <c r="H2151">
        <f>E2151/F2151</f>
        <v/>
      </c>
      <c r="I2151" t="n">
        <v>0.9800950587949412</v>
      </c>
      <c r="J2151" t="n">
        <v>0.08980810622990304</v>
      </c>
      <c r="K2151" t="inlineStr">
        <is>
          <t>LOQ</t>
        </is>
      </c>
      <c r="L2151" s="22">
        <f>IF(G2153&gt;10,C2153,IF(G2154&gt;10,#REF!,IF(G2155&gt;10,C2155,IF(G2156&gt;10,#REF!,#REF!))))</f>
        <v/>
      </c>
      <c r="Q2151" t="inlineStr">
        <is>
          <t>SS3</t>
        </is>
      </c>
      <c r="R2151" t="n">
        <v>1.1534</v>
      </c>
    </row>
    <row r="2152">
      <c r="A2152" t="n">
        <v>3</v>
      </c>
      <c r="B2152" t="inlineStr">
        <is>
          <t>EPA1633 &amp; diPAPs Calibration 0.1 ppb</t>
        </is>
      </c>
      <c r="C2152" t="n">
        <v>10</v>
      </c>
      <c r="D2152" t="n">
        <v>16.34</v>
      </c>
      <c r="E2152" t="n">
        <v>568.462</v>
      </c>
      <c r="F2152" t="n">
        <v>2172.051</v>
      </c>
      <c r="G2152" t="n">
        <v>4.874</v>
      </c>
      <c r="H2152">
        <f>E2152/F2152</f>
        <v/>
      </c>
      <c r="I2152" t="n">
        <v>196.9551276134092</v>
      </c>
      <c r="J2152" t="n">
        <v>4</v>
      </c>
      <c r="Q2152" t="inlineStr">
        <is>
          <t>K4-5A</t>
        </is>
      </c>
      <c r="R2152" t="n">
        <v>1.1054</v>
      </c>
    </row>
    <row r="2153">
      <c r="A2153" t="n">
        <v>4</v>
      </c>
      <c r="B2153" t="inlineStr">
        <is>
          <t>EPA1633 &amp; diPAPs Calibration 0.4 ppb</t>
        </is>
      </c>
      <c r="C2153" t="n">
        <v>20</v>
      </c>
      <c r="D2153" t="n">
        <v>16.33</v>
      </c>
      <c r="E2153" t="n">
        <v>916.414</v>
      </c>
      <c r="F2153" t="n">
        <v>2307.023</v>
      </c>
      <c r="G2153" t="n">
        <v>11.887</v>
      </c>
      <c r="H2153">
        <f>E2153/F2153</f>
        <v/>
      </c>
      <c r="I2153" t="n">
        <v>1.588540783034432</v>
      </c>
      <c r="J2153" t="n">
        <v>0.03226198377840619</v>
      </c>
      <c r="Q2153" t="inlineStr">
        <is>
          <t>K4-5B</t>
        </is>
      </c>
      <c r="R2153" s="10" t="n">
        <v>1.0463</v>
      </c>
    </row>
    <row r="2154">
      <c r="A2154" t="n">
        <v>5</v>
      </c>
      <c r="B2154" t="inlineStr">
        <is>
          <t>EPA1633 &amp; diPAPs Calibration 1 ppb</t>
        </is>
      </c>
      <c r="C2154" t="n">
        <v>40</v>
      </c>
      <c r="D2154" t="n">
        <v>16.33</v>
      </c>
      <c r="E2154" t="n">
        <v>1829.945</v>
      </c>
      <c r="F2154" t="n">
        <v>1818.826</v>
      </c>
      <c r="G2154" t="n">
        <v>17.077</v>
      </c>
      <c r="H2154">
        <f>E2154/F2154</f>
        <v/>
      </c>
      <c r="Q2154" t="inlineStr">
        <is>
          <t>K4-5C</t>
        </is>
      </c>
      <c r="R2154" t="n">
        <v>1.1155</v>
      </c>
    </row>
    <row r="2155">
      <c r="A2155" t="n">
        <v>6</v>
      </c>
      <c r="B2155" t="inlineStr">
        <is>
          <t>EPA1633 &amp; diPAPs Calibration 5 ppb</t>
        </is>
      </c>
      <c r="C2155" t="n">
        <v>60</v>
      </c>
      <c r="D2155" t="n">
        <v>16.33</v>
      </c>
      <c r="E2155" t="n">
        <v>2582.756</v>
      </c>
      <c r="F2155" t="n">
        <v>1651.747</v>
      </c>
      <c r="G2155" t="n">
        <v>42.277</v>
      </c>
      <c r="H2155">
        <f>E2155/F2155</f>
        <v/>
      </c>
      <c r="Q2155" t="inlineStr">
        <is>
          <t>K3-1A</t>
        </is>
      </c>
      <c r="R2155" t="n">
        <v>1.0874</v>
      </c>
    </row>
    <row r="2156">
      <c r="A2156" t="n">
        <v>7</v>
      </c>
      <c r="B2156" t="inlineStr">
        <is>
          <t>EPA1633 &amp; diPAPs Calibration 10 ppb</t>
        </is>
      </c>
      <c r="C2156" t="n">
        <v>80</v>
      </c>
      <c r="D2156" t="n">
        <v>16.33</v>
      </c>
      <c r="E2156" t="n">
        <v>4037.335</v>
      </c>
      <c r="F2156" t="n">
        <v>5035.45</v>
      </c>
      <c r="G2156" t="n">
        <v>68.83</v>
      </c>
      <c r="H2156">
        <f>E2156/F2156</f>
        <v/>
      </c>
      <c r="I2156" s="23" t="inlineStr">
        <is>
          <t>Background</t>
        </is>
      </c>
      <c r="J2156" s="23" t="inlineStr">
        <is>
          <t>Spike</t>
        </is>
      </c>
      <c r="K2156" s="9" t="inlineStr">
        <is>
          <t>Old Spike</t>
        </is>
      </c>
      <c r="O2156" s="24" t="inlineStr">
        <is>
          <t>±</t>
        </is>
      </c>
      <c r="Q2156" t="inlineStr">
        <is>
          <t>K3-1B</t>
        </is>
      </c>
      <c r="R2156" t="n">
        <v>1.0898</v>
      </c>
    </row>
    <row r="2157">
      <c r="A2157" t="n">
        <v>8</v>
      </c>
      <c r="B2157" t="inlineStr">
        <is>
          <t>EPA1633 &amp; diPAPs Calibration 20 ppb</t>
        </is>
      </c>
      <c r="C2157" t="n">
        <v>100</v>
      </c>
      <c r="D2157" t="n">
        <v>16.33</v>
      </c>
      <c r="E2157" t="n">
        <v>2842.198</v>
      </c>
      <c r="F2157" t="n">
        <v>2142.017</v>
      </c>
      <c r="G2157" t="n">
        <v>51.754</v>
      </c>
      <c r="H2157">
        <f>E2157/F2157</f>
        <v/>
      </c>
      <c r="I2157">
        <f>AVERAGE(I2160:I2162)</f>
        <v/>
      </c>
      <c r="J2157" t="n">
        <v>88</v>
      </c>
      <c r="Q2157" t="inlineStr">
        <is>
          <t>K3-1C</t>
        </is>
      </c>
      <c r="R2157" t="n">
        <v>1.0536</v>
      </c>
    </row>
    <row r="2158">
      <c r="A2158" t="n">
        <v>9</v>
      </c>
      <c r="B2158" t="inlineStr">
        <is>
          <t>MeOH</t>
        </is>
      </c>
      <c r="I2158" s="23" t="inlineStr">
        <is>
          <t>Conc.In Vial (ppb)</t>
        </is>
      </c>
      <c r="J2158" s="9" t="inlineStr">
        <is>
          <t>Corr. Conc.(ppb)</t>
        </is>
      </c>
      <c r="K2158" s="9" t="inlineStr">
        <is>
          <t>Conc. In soil (ng/g)</t>
        </is>
      </c>
      <c r="Q2158" t="inlineStr">
        <is>
          <t>K3-2A</t>
        </is>
      </c>
      <c r="R2158" s="10" t="n">
        <v>1.1218</v>
      </c>
    </row>
    <row r="2159">
      <c r="A2159" t="n">
        <v>10</v>
      </c>
      <c r="B2159" t="inlineStr">
        <is>
          <t>MeOH</t>
        </is>
      </c>
      <c r="L2159" s="23" t="inlineStr">
        <is>
          <t>Average</t>
        </is>
      </c>
      <c r="M2159" s="23" t="inlineStr">
        <is>
          <t>Stdev</t>
        </is>
      </c>
      <c r="N2159" s="9" t="inlineStr">
        <is>
          <t>Combined</t>
        </is>
      </c>
      <c r="O2159" s="9" t="n"/>
      <c r="P2159" s="9" t="n"/>
      <c r="Q2159" t="inlineStr">
        <is>
          <t>K3-2B</t>
        </is>
      </c>
      <c r="R2159" t="n">
        <v>1.198</v>
      </c>
    </row>
    <row r="2160">
      <c r="A2160" t="n">
        <v>11</v>
      </c>
      <c r="B2160" t="inlineStr">
        <is>
          <t>SB1</t>
        </is>
      </c>
      <c r="D2160" t="n">
        <v>16.51</v>
      </c>
      <c r="E2160" t="n">
        <v>439.679</v>
      </c>
      <c r="F2160" t="n">
        <v>588.622</v>
      </c>
      <c r="G2160" t="n">
        <v>5.119</v>
      </c>
      <c r="H2160">
        <f>E2160/F2160</f>
        <v/>
      </c>
      <c r="I2160">
        <f>((H2160-$J$2149)/$I$2149)</f>
        <v/>
      </c>
      <c r="J2160">
        <f>(I2160-IF(I2157&gt;0,I2157,0))</f>
        <v/>
      </c>
      <c r="K2160">
        <f>J2160*1.1</f>
        <v/>
      </c>
      <c r="L2160">
        <f>AVERAGE(K2160:K2162)</f>
        <v/>
      </c>
      <c r="M2160">
        <f>STDEV(K2161:K2162)</f>
        <v/>
      </c>
      <c r="N2160">
        <f>_xlfn.CONCAT(ROUND(L2160,1)," ± ",ROUND(M2160,1))</f>
        <v/>
      </c>
      <c r="Q2160" t="inlineStr">
        <is>
          <t>K3-2C</t>
        </is>
      </c>
      <c r="R2160" t="n">
        <v>1.1538</v>
      </c>
    </row>
    <row r="2161">
      <c r="A2161" t="n">
        <v>12</v>
      </c>
      <c r="B2161" t="inlineStr">
        <is>
          <t>SB2</t>
        </is>
      </c>
      <c r="D2161" t="n">
        <v>16.38</v>
      </c>
      <c r="E2161" t="n">
        <v>218.71</v>
      </c>
      <c r="F2161" t="n">
        <v>886.918</v>
      </c>
      <c r="G2161" t="n">
        <v>3.985</v>
      </c>
      <c r="H2161">
        <f>E2161/F2161</f>
        <v/>
      </c>
      <c r="I2161">
        <f>((H2161-$J$2149)/$I$2149)</f>
        <v/>
      </c>
      <c r="J2161">
        <f>(I2161-IF(I2157&gt;0,I2157,0))</f>
        <v/>
      </c>
      <c r="K2161">
        <f>J2161*1.1</f>
        <v/>
      </c>
      <c r="Q2161" t="inlineStr">
        <is>
          <t>K3-3A</t>
        </is>
      </c>
      <c r="R2161" t="n">
        <v>1.1183</v>
      </c>
    </row>
    <row r="2162">
      <c r="A2162" t="n">
        <v>13</v>
      </c>
      <c r="B2162" t="inlineStr">
        <is>
          <t>SB3</t>
        </is>
      </c>
      <c r="D2162" t="n">
        <v>16.33</v>
      </c>
      <c r="E2162" t="n">
        <v>381.04</v>
      </c>
      <c r="F2162" t="n">
        <v>608.25</v>
      </c>
      <c r="G2162" t="n">
        <v>5.481</v>
      </c>
      <c r="H2162">
        <f>E2162/F2162</f>
        <v/>
      </c>
      <c r="I2162">
        <f>((H2162-$J$2149)/$I$2149)</f>
        <v/>
      </c>
      <c r="J2162">
        <f>(I2162-IF(I2157&gt;0,I2157,0))</f>
        <v/>
      </c>
      <c r="K2162" s="30">
        <f>J2162*1.1</f>
        <v/>
      </c>
      <c r="L2162" s="25" t="inlineStr">
        <is>
          <t>Average</t>
        </is>
      </c>
      <c r="M2162" s="25" t="inlineStr">
        <is>
          <t>Stdev</t>
        </is>
      </c>
      <c r="N2162" s="26" t="inlineStr">
        <is>
          <t>%Recovery</t>
        </is>
      </c>
      <c r="O2162" s="26" t="inlineStr">
        <is>
          <t>Uncertainty</t>
        </is>
      </c>
      <c r="P2162" s="26" t="inlineStr">
        <is>
          <t>Combined</t>
        </is>
      </c>
      <c r="Q2162" t="inlineStr">
        <is>
          <t>K3-3B</t>
        </is>
      </c>
      <c r="R2162" t="n">
        <v>1.1448</v>
      </c>
    </row>
    <row r="2163">
      <c r="A2163" t="n">
        <v>14</v>
      </c>
      <c r="B2163" t="inlineStr">
        <is>
          <t>SS1</t>
        </is>
      </c>
      <c r="D2163" t="n">
        <v>16.49</v>
      </c>
      <c r="E2163" t="n">
        <v>454.07</v>
      </c>
      <c r="F2163" t="n">
        <v>780.986</v>
      </c>
      <c r="G2163" t="n">
        <v>3.447</v>
      </c>
      <c r="H2163">
        <f>E2163/F2163</f>
        <v/>
      </c>
      <c r="I2163">
        <f>((H2163-$J$2149)/$I$2149)</f>
        <v/>
      </c>
      <c r="J2163">
        <f>(I2163-IF($I$2157&gt;0,$I$2157))</f>
        <v/>
      </c>
      <c r="K2163">
        <f>J2163/R2149*1.1</f>
        <v/>
      </c>
      <c r="L2163" s="27">
        <f>AVERAGE(K2163:K2165)</f>
        <v/>
      </c>
      <c r="M2163" s="27">
        <f>STDEV(K2163:K2165)</f>
        <v/>
      </c>
      <c r="N2163" s="28">
        <f>L2163/J2157*100</f>
        <v/>
      </c>
      <c r="O2163" s="29">
        <f>M2163/J2157*100</f>
        <v/>
      </c>
      <c r="P2163" s="29">
        <f>_xlfn.CONCAT(ROUND(N2163,1)," ± ",ROUND(O2163,1))</f>
        <v/>
      </c>
      <c r="Q2163" t="inlineStr">
        <is>
          <t>K3-3C</t>
        </is>
      </c>
      <c r="R2163" t="n">
        <v>1.0493</v>
      </c>
    </row>
    <row r="2164">
      <c r="A2164" t="n">
        <v>15</v>
      </c>
      <c r="B2164" t="inlineStr">
        <is>
          <t>SS2</t>
        </is>
      </c>
      <c r="D2164" t="n">
        <v>16.34</v>
      </c>
      <c r="E2164" t="n">
        <v>359.689</v>
      </c>
      <c r="F2164" t="n">
        <v>821.647</v>
      </c>
      <c r="G2164" t="n">
        <v>4.815</v>
      </c>
      <c r="H2164">
        <f>E2164/F2164</f>
        <v/>
      </c>
      <c r="I2164">
        <f>((H2164-$J$2149)/$I$2149)</f>
        <v/>
      </c>
      <c r="J2164">
        <f>(I2164-IF($I$2157&gt;0,$I$2157))</f>
        <v/>
      </c>
      <c r="K2164">
        <f>J2164/R2150*1.1</f>
        <v/>
      </c>
      <c r="Q2164" t="inlineStr">
        <is>
          <t>K3-4A</t>
        </is>
      </c>
      <c r="R2164" t="n">
        <v>1.0704</v>
      </c>
    </row>
    <row r="2165">
      <c r="A2165" t="n">
        <v>16</v>
      </c>
      <c r="B2165" t="inlineStr">
        <is>
          <t>SS3</t>
        </is>
      </c>
      <c r="D2165" t="n">
        <v>16.51</v>
      </c>
      <c r="E2165" t="n">
        <v>369.21</v>
      </c>
      <c r="F2165" t="n">
        <v>561.066</v>
      </c>
      <c r="G2165" t="n">
        <v>2.911</v>
      </c>
      <c r="H2165">
        <f>E2165/F2165</f>
        <v/>
      </c>
      <c r="I2165">
        <f>((H2165-$J$2149)/$I$2149)</f>
        <v/>
      </c>
      <c r="J2165">
        <f>(I2165-IF($I$2157&gt;0,$I$2157))</f>
        <v/>
      </c>
      <c r="K2165" s="30">
        <f>J2165/R2151*1.1</f>
        <v/>
      </c>
      <c r="Q2165" t="inlineStr">
        <is>
          <t>K3-4B</t>
        </is>
      </c>
      <c r="R2165" t="n">
        <v>1.1589</v>
      </c>
    </row>
    <row r="2166">
      <c r="A2166" t="n">
        <v>17</v>
      </c>
      <c r="B2166" t="inlineStr">
        <is>
          <t>MeOH</t>
        </is>
      </c>
      <c r="L2166" s="23" t="inlineStr">
        <is>
          <t>Average</t>
        </is>
      </c>
      <c r="M2166" s="23" t="inlineStr">
        <is>
          <t>Stdev</t>
        </is>
      </c>
      <c r="N2166" s="9" t="inlineStr">
        <is>
          <t>Combined</t>
        </is>
      </c>
      <c r="Q2166" t="inlineStr">
        <is>
          <t>K3-4C</t>
        </is>
      </c>
      <c r="R2166" t="n">
        <v>1.0206</v>
      </c>
    </row>
    <row r="2167">
      <c r="A2167" t="n">
        <v>18</v>
      </c>
      <c r="B2167" t="inlineStr">
        <is>
          <t>K4-5A</t>
        </is>
      </c>
      <c r="D2167" t="n">
        <v>16.38</v>
      </c>
      <c r="E2167" t="n">
        <v>171.032</v>
      </c>
      <c r="F2167" t="n">
        <v>608.375</v>
      </c>
      <c r="G2167" t="n">
        <v>4.244</v>
      </c>
      <c r="H2167">
        <f>E2167/F2167</f>
        <v/>
      </c>
      <c r="I2167">
        <f>((H2167-$J$2149)/$I$2149)</f>
        <v/>
      </c>
      <c r="J2167">
        <f>(I2167-IF($I$2157&gt;0,$I$2157))</f>
        <v/>
      </c>
      <c r="K2167">
        <f>J2167/R2151*1.1</f>
        <v/>
      </c>
      <c r="L2167">
        <f>AVERAGE(K2167:K2169)</f>
        <v/>
      </c>
      <c r="M2167">
        <f>STDEV(K2167:K2169)</f>
        <v/>
      </c>
      <c r="N2167">
        <f>_xlfn.CONCAT(ROUND(L2167,1)," ± ",ROUND(M2167,1))</f>
        <v/>
      </c>
      <c r="Q2167" t="inlineStr">
        <is>
          <t>K3-6A</t>
        </is>
      </c>
      <c r="R2167" t="n">
        <v>1.1289</v>
      </c>
    </row>
    <row r="2168">
      <c r="A2168" t="n">
        <v>19</v>
      </c>
      <c r="B2168" t="inlineStr">
        <is>
          <t>K4-5B</t>
        </is>
      </c>
      <c r="D2168" t="n">
        <v>16.97</v>
      </c>
      <c r="E2168" t="n">
        <v>113.372</v>
      </c>
      <c r="F2168" t="n">
        <v>605.4109999999999</v>
      </c>
      <c r="G2168" t="n">
        <v>1.19</v>
      </c>
      <c r="H2168">
        <f>E2168/F2168</f>
        <v/>
      </c>
      <c r="I2168">
        <f>((H2168-$J$2149)/$I$2149)</f>
        <v/>
      </c>
      <c r="J2168">
        <f>(I2168-IF($I$2157&gt;0,$I$2157))</f>
        <v/>
      </c>
      <c r="K2168">
        <f>J2168/R2152*1.1</f>
        <v/>
      </c>
      <c r="Q2168" t="inlineStr">
        <is>
          <t>K3-6B</t>
        </is>
      </c>
      <c r="R2168" t="n">
        <v>1.195</v>
      </c>
    </row>
    <row r="2169">
      <c r="A2169" t="n">
        <v>20</v>
      </c>
      <c r="B2169" t="inlineStr">
        <is>
          <t>K4-5C</t>
        </is>
      </c>
      <c r="D2169" t="n">
        <v>16.85</v>
      </c>
      <c r="E2169" t="n">
        <v>160.289</v>
      </c>
      <c r="G2169" t="n">
        <v>3.521</v>
      </c>
      <c r="H2169">
        <f>E2169/F2169</f>
        <v/>
      </c>
      <c r="I2169">
        <f>((H2169-$J$2149)/$I$2149)</f>
        <v/>
      </c>
      <c r="J2169">
        <f>(I2169-IF($I$2157&gt;0,$I$2157))</f>
        <v/>
      </c>
      <c r="K2169">
        <f>J2169/R2153*1.1</f>
        <v/>
      </c>
      <c r="L2169" s="23" t="n"/>
      <c r="M2169" s="23" t="n"/>
      <c r="N2169" s="9" t="n"/>
      <c r="Q2169" t="inlineStr">
        <is>
          <t>K3-6C</t>
        </is>
      </c>
      <c r="R2169" t="n">
        <v>1.1716</v>
      </c>
    </row>
    <row r="2170">
      <c r="A2170" t="n">
        <v>21</v>
      </c>
      <c r="B2170" t="inlineStr">
        <is>
          <t>MeOH</t>
        </is>
      </c>
      <c r="L2170" s="23" t="inlineStr">
        <is>
          <t>Average</t>
        </is>
      </c>
      <c r="M2170" s="23" t="inlineStr">
        <is>
          <t>Stdev</t>
        </is>
      </c>
      <c r="N2170" s="9" t="inlineStr">
        <is>
          <t>Combined</t>
        </is>
      </c>
    </row>
    <row r="2171">
      <c r="A2171" t="n">
        <v>22</v>
      </c>
      <c r="B2171" t="inlineStr">
        <is>
          <t>K3-1A</t>
        </is>
      </c>
      <c r="D2171" t="n">
        <v>16.85</v>
      </c>
      <c r="E2171" t="n">
        <v>222.923</v>
      </c>
      <c r="F2171" t="n">
        <v>586.254</v>
      </c>
      <c r="G2171" t="n">
        <v>2.171</v>
      </c>
      <c r="H2171">
        <f>E2171/F2171</f>
        <v/>
      </c>
      <c r="I2171">
        <f>((H2171-$J$2149)/$I$2149)</f>
        <v/>
      </c>
      <c r="J2171">
        <f>(I2171-IF($I$2157&gt;0,$I$2157))</f>
        <v/>
      </c>
      <c r="K2171">
        <f>J2171/R2154*1.1</f>
        <v/>
      </c>
      <c r="L2171">
        <f>AVERAGE(K2171:K2173)</f>
        <v/>
      </c>
      <c r="M2171">
        <f>STDEV(K2171:K2173)</f>
        <v/>
      </c>
      <c r="N2171">
        <f>_xlfn.CONCAT(ROUND(L2171,1)," ± ",ROUND(M2171,1))</f>
        <v/>
      </c>
    </row>
    <row r="2172">
      <c r="A2172" t="n">
        <v>23</v>
      </c>
      <c r="B2172" t="inlineStr">
        <is>
          <t>K3-1B</t>
        </is>
      </c>
      <c r="D2172" t="n">
        <v>17.08</v>
      </c>
      <c r="E2172" t="n">
        <v>121.73</v>
      </c>
      <c r="F2172" t="n">
        <v>599.562</v>
      </c>
      <c r="G2172" t="n">
        <v>0.984</v>
      </c>
      <c r="H2172">
        <f>E2172/F2172</f>
        <v/>
      </c>
      <c r="I2172">
        <f>((H2172-$J$2149)/$I$2149)</f>
        <v/>
      </c>
      <c r="J2172">
        <f>(I2172-IF($I$2157&gt;0,$I$2157))</f>
        <v/>
      </c>
      <c r="K2172">
        <f>J2172/R2155*1.1</f>
        <v/>
      </c>
    </row>
    <row r="2173">
      <c r="A2173" t="n">
        <v>24</v>
      </c>
      <c r="B2173" t="inlineStr">
        <is>
          <t>K3-1C</t>
        </is>
      </c>
      <c r="D2173" t="n">
        <v>16.54</v>
      </c>
      <c r="E2173" t="n">
        <v>141.246</v>
      </c>
      <c r="F2173" t="n">
        <v>676.624</v>
      </c>
      <c r="G2173" t="n">
        <v>3.507</v>
      </c>
      <c r="H2173">
        <f>E2173/F2173</f>
        <v/>
      </c>
      <c r="I2173">
        <f>((H2173-$J$2149)/$I$2149)</f>
        <v/>
      </c>
      <c r="J2173">
        <f>(I2173-IF($I$2157&gt;0,$I$2157))</f>
        <v/>
      </c>
      <c r="K2173">
        <f>J2173/R2156*1.1</f>
        <v/>
      </c>
      <c r="L2173" s="23" t="inlineStr">
        <is>
          <t>Average</t>
        </is>
      </c>
      <c r="M2173" s="23" t="inlineStr">
        <is>
          <t>Stdev</t>
        </is>
      </c>
      <c r="N2173" s="9" t="inlineStr">
        <is>
          <t>Combined</t>
        </is>
      </c>
    </row>
    <row r="2174">
      <c r="A2174" t="n">
        <v>25</v>
      </c>
      <c r="B2174" t="inlineStr">
        <is>
          <t>K3-2A</t>
        </is>
      </c>
      <c r="D2174" t="n">
        <v>16.39</v>
      </c>
      <c r="E2174" t="n">
        <v>79.256</v>
      </c>
      <c r="F2174" t="n">
        <v>577.7329999999999</v>
      </c>
      <c r="G2174" t="n">
        <v>1.517</v>
      </c>
      <c r="H2174">
        <f>E2174/F2174</f>
        <v/>
      </c>
      <c r="I2174">
        <f>((H2174-$J$2149)/$I$2149)</f>
        <v/>
      </c>
      <c r="J2174">
        <f>(I2174-IF($I$2157&gt;0,$I$2157))</f>
        <v/>
      </c>
      <c r="K2174">
        <f>J2174/R2157*1.1</f>
        <v/>
      </c>
      <c r="L2174">
        <f>AVERAGE(K2174:K2176)</f>
        <v/>
      </c>
      <c r="M2174">
        <f>STDEV(K2174:K2176)</f>
        <v/>
      </c>
      <c r="N2174">
        <f>_xlfn.CONCAT(ROUND(L2174,1)," ± ",ROUND(M2174,1))</f>
        <v/>
      </c>
    </row>
    <row r="2175">
      <c r="A2175" t="n">
        <v>26</v>
      </c>
      <c r="B2175" t="inlineStr">
        <is>
          <t>K3-2B</t>
        </is>
      </c>
      <c r="D2175" t="n">
        <v>16.52</v>
      </c>
      <c r="E2175" t="n">
        <v>155.873</v>
      </c>
      <c r="F2175" t="n">
        <v>839.127</v>
      </c>
      <c r="G2175" t="n">
        <v>2.092</v>
      </c>
      <c r="H2175">
        <f>E2175/F2175</f>
        <v/>
      </c>
      <c r="I2175">
        <f>((H2175-$J$2149)/$I$2149)</f>
        <v/>
      </c>
      <c r="J2175">
        <f>(I2175-IF($I$2157&gt;0,$I$2157))</f>
        <v/>
      </c>
      <c r="K2175">
        <f>J2175/R2158*1.1</f>
        <v/>
      </c>
    </row>
    <row r="2176">
      <c r="A2176" t="n">
        <v>27</v>
      </c>
      <c r="B2176" t="inlineStr">
        <is>
          <t>K3-2C</t>
        </is>
      </c>
      <c r="D2176" t="n">
        <v>16.52</v>
      </c>
      <c r="E2176" t="n">
        <v>45.721</v>
      </c>
      <c r="F2176" t="n">
        <v>585.352</v>
      </c>
      <c r="G2176" t="n">
        <v>1.725</v>
      </c>
      <c r="H2176">
        <f>E2176/F2176</f>
        <v/>
      </c>
      <c r="I2176">
        <f>((H2176-$J$2149)/$I$2149)</f>
        <v/>
      </c>
      <c r="J2176">
        <f>(I2176-IF($I$2157&gt;0,$I$2157))</f>
        <v/>
      </c>
      <c r="K2176">
        <f>J2176/R2159*1.1</f>
        <v/>
      </c>
      <c r="L2176" s="23" t="n"/>
      <c r="M2176" s="23" t="n"/>
      <c r="N2176" s="9" t="n"/>
    </row>
    <row r="2177">
      <c r="A2177" t="n">
        <v>28</v>
      </c>
      <c r="B2177" t="inlineStr">
        <is>
          <t>MeOH</t>
        </is>
      </c>
      <c r="L2177" s="23" t="inlineStr">
        <is>
          <t>Average</t>
        </is>
      </c>
      <c r="M2177" s="23" t="inlineStr">
        <is>
          <t>Stdev</t>
        </is>
      </c>
      <c r="N2177" s="9" t="inlineStr">
        <is>
          <t>Combined</t>
        </is>
      </c>
    </row>
    <row r="2178">
      <c r="A2178" t="n">
        <v>29</v>
      </c>
      <c r="B2178" t="inlineStr">
        <is>
          <t>K3-3A</t>
        </is>
      </c>
      <c r="D2178" t="n">
        <v>16.46</v>
      </c>
      <c r="E2178" t="n">
        <v>234.636</v>
      </c>
      <c r="F2178" t="n">
        <v>346.277</v>
      </c>
      <c r="G2178" t="n">
        <v>2.844</v>
      </c>
      <c r="H2178">
        <f>E2178/F2178</f>
        <v/>
      </c>
      <c r="I2178">
        <f>((H2178-$J$2149)/$I$2149)</f>
        <v/>
      </c>
      <c r="J2178">
        <f>(I2178-IF($I$2157&gt;0,$I$2157))</f>
        <v/>
      </c>
      <c r="K2178">
        <f>J2178/R2160*1.1</f>
        <v/>
      </c>
      <c r="L2178">
        <f>AVERAGE(K2178,K2180)</f>
        <v/>
      </c>
      <c r="M2178">
        <f>STDEV(K2178,K2180)</f>
        <v/>
      </c>
      <c r="N2178">
        <f>_xlfn.CONCAT(ROUND(L2178,1)," ± ",ROUND(M2178,1))</f>
        <v/>
      </c>
    </row>
    <row r="2179">
      <c r="A2179" t="n">
        <v>30</v>
      </c>
      <c r="B2179" t="inlineStr">
        <is>
          <t>K3-3B</t>
        </is>
      </c>
      <c r="D2179" t="n">
        <v>16.54</v>
      </c>
      <c r="E2179" t="n">
        <v>162.334</v>
      </c>
      <c r="F2179" t="n">
        <v>693.228</v>
      </c>
      <c r="G2179" t="n">
        <v>2.474</v>
      </c>
      <c r="H2179">
        <f>E2179/F2179</f>
        <v/>
      </c>
      <c r="I2179">
        <f>((H2179-$J$2149)/$I$2149)</f>
        <v/>
      </c>
      <c r="J2179">
        <f>(I2179-IF($I$2157&gt;0,$I$2157))</f>
        <v/>
      </c>
      <c r="K2179">
        <f>J2179/R2161*1.1</f>
        <v/>
      </c>
    </row>
    <row r="2180">
      <c r="A2180" t="n">
        <v>31</v>
      </c>
      <c r="B2180" t="inlineStr">
        <is>
          <t>K3-3C</t>
        </is>
      </c>
      <c r="D2180" t="n">
        <v>16.71</v>
      </c>
      <c r="E2180" t="n">
        <v>384.742</v>
      </c>
      <c r="F2180" t="n">
        <v>529.389</v>
      </c>
      <c r="G2180" t="n">
        <v>19.705</v>
      </c>
      <c r="H2180">
        <f>E2180/F2180</f>
        <v/>
      </c>
      <c r="I2180">
        <f>((H2180-$J$2149)/$I$2149)</f>
        <v/>
      </c>
      <c r="J2180">
        <f>(I2180-IF($I$2157&gt;0,$I$2157))</f>
        <v/>
      </c>
      <c r="K2180">
        <f>J2180/R2162*1.1</f>
        <v/>
      </c>
      <c r="L2180" s="23" t="inlineStr">
        <is>
          <t>Average</t>
        </is>
      </c>
      <c r="M2180" s="23" t="inlineStr">
        <is>
          <t>Stdev</t>
        </is>
      </c>
      <c r="N2180" s="9" t="inlineStr">
        <is>
          <t>Combined</t>
        </is>
      </c>
    </row>
    <row r="2181">
      <c r="A2181" t="n">
        <v>32</v>
      </c>
      <c r="B2181" t="inlineStr">
        <is>
          <t>K3-4A</t>
        </is>
      </c>
      <c r="D2181" t="n">
        <v>16.46</v>
      </c>
      <c r="E2181" t="n">
        <v>106.363</v>
      </c>
      <c r="F2181" t="n">
        <v>496.854</v>
      </c>
      <c r="G2181" t="n">
        <v>0.6899999999999999</v>
      </c>
      <c r="H2181">
        <f>E2181/F2181</f>
        <v/>
      </c>
      <c r="I2181">
        <f>((H2181-$J$2149)/$I$2149)</f>
        <v/>
      </c>
      <c r="J2181">
        <f>(I2181-IF($I$2157&gt;0,$I$2157))</f>
        <v/>
      </c>
      <c r="K2181">
        <f>J2181/R2163*1.1</f>
        <v/>
      </c>
      <c r="L2181">
        <f>AVERAGE(K2181:K2183)</f>
        <v/>
      </c>
      <c r="M2181">
        <f>STDEV(K2181:K2183)</f>
        <v/>
      </c>
      <c r="N2181">
        <f>_xlfn.CONCAT(ROUND(L2181,1)," ± ",ROUND(M2181,1))</f>
        <v/>
      </c>
    </row>
    <row r="2182">
      <c r="A2182" t="n">
        <v>33</v>
      </c>
      <c r="B2182" t="inlineStr">
        <is>
          <t>K3-4B</t>
        </is>
      </c>
      <c r="D2182" t="n">
        <v>16.38</v>
      </c>
      <c r="E2182" t="n">
        <v>248.446</v>
      </c>
      <c r="F2182" t="n">
        <v>533.124</v>
      </c>
      <c r="G2182" t="n">
        <v>4.83</v>
      </c>
      <c r="H2182">
        <f>E2182/F2182</f>
        <v/>
      </c>
      <c r="I2182">
        <f>((H2182-$J$2149)/$I$2149)</f>
        <v/>
      </c>
      <c r="J2182">
        <f>(I2182-IF($I$2157&gt;0,$I$2157))</f>
        <v/>
      </c>
      <c r="K2182">
        <f>J2182/R2164*1.1</f>
        <v/>
      </c>
    </row>
    <row r="2183">
      <c r="A2183" t="n">
        <v>34</v>
      </c>
      <c r="B2183" t="inlineStr">
        <is>
          <t>K3-4C</t>
        </is>
      </c>
      <c r="D2183" t="n">
        <v>16.78</v>
      </c>
      <c r="E2183" t="n">
        <v>181.496</v>
      </c>
      <c r="F2183" t="n">
        <v>606.571</v>
      </c>
      <c r="G2183" t="n">
        <v>2.487</v>
      </c>
      <c r="H2183">
        <f>E2183/F2183</f>
        <v/>
      </c>
      <c r="I2183">
        <f>((H2183-$J$2149)/$I$2149)</f>
        <v/>
      </c>
      <c r="J2183">
        <f>(I2183-IF($I$2157&gt;0,$I$2157))</f>
        <v/>
      </c>
      <c r="K2183">
        <f>J2183/R2165*1.1</f>
        <v/>
      </c>
      <c r="L2183" s="23" t="n"/>
      <c r="M2183" s="23" t="n"/>
      <c r="N2183" s="9" t="n"/>
    </row>
    <row r="2184">
      <c r="A2184" t="n">
        <v>35</v>
      </c>
      <c r="B2184" t="inlineStr">
        <is>
          <t>MeOH</t>
        </is>
      </c>
      <c r="L2184" s="23" t="inlineStr">
        <is>
          <t>Average</t>
        </is>
      </c>
      <c r="M2184" s="23" t="inlineStr">
        <is>
          <t>Stdev</t>
        </is>
      </c>
      <c r="N2184" s="9" t="inlineStr">
        <is>
          <t>Combined</t>
        </is>
      </c>
    </row>
    <row r="2185">
      <c r="A2185" t="n">
        <v>36</v>
      </c>
      <c r="B2185" t="inlineStr">
        <is>
          <t>K3-6A</t>
        </is>
      </c>
      <c r="D2185" t="n">
        <v>16.74</v>
      </c>
      <c r="E2185" t="n">
        <v>204.014</v>
      </c>
      <c r="F2185" t="n">
        <v>354.208</v>
      </c>
      <c r="G2185" t="n">
        <v>3.132</v>
      </c>
      <c r="H2185">
        <f>E2185/F2185</f>
        <v/>
      </c>
      <c r="I2185">
        <f>((H2185-$J$2149)/$I$2149)</f>
        <v/>
      </c>
      <c r="J2185">
        <f>(I2185-IF($I$2157&gt;0,$I$2157))</f>
        <v/>
      </c>
      <c r="K2185">
        <f>J2185/R2166*1.1</f>
        <v/>
      </c>
      <c r="L2185">
        <f>AVERAGE(K2185:K2187)</f>
        <v/>
      </c>
      <c r="M2185">
        <f>STDEV(K2185:K2187)</f>
        <v/>
      </c>
      <c r="N2185">
        <f>_xlfn.CONCAT(ROUND(L2185,1)," ± ",ROUND(M2185,1))</f>
        <v/>
      </c>
    </row>
    <row r="2186">
      <c r="A2186" t="n">
        <v>37</v>
      </c>
      <c r="B2186" t="inlineStr">
        <is>
          <t>K3-6B</t>
        </is>
      </c>
      <c r="D2186" t="n">
        <v>16.92</v>
      </c>
      <c r="E2186" t="n">
        <v>166.664</v>
      </c>
      <c r="F2186" t="n">
        <v>348.087</v>
      </c>
      <c r="G2186" t="n">
        <v>2.617</v>
      </c>
      <c r="H2186">
        <f>E2186/F2186</f>
        <v/>
      </c>
      <c r="I2186">
        <f>((H2186-$J$2149)/$I$2149)</f>
        <v/>
      </c>
      <c r="J2186">
        <f>(I2186-IF($I$2157&gt;0,$I$2157))</f>
        <v/>
      </c>
      <c r="K2186">
        <f>J2186/R2167*1.1</f>
        <v/>
      </c>
    </row>
    <row r="2187">
      <c r="A2187" t="n">
        <v>38</v>
      </c>
      <c r="B2187" t="inlineStr">
        <is>
          <t>K3-6C</t>
        </is>
      </c>
      <c r="D2187" t="n">
        <v>16.15</v>
      </c>
      <c r="E2187" t="n">
        <v>32.577</v>
      </c>
      <c r="F2187" t="n">
        <v>270.181</v>
      </c>
      <c r="G2187" t="n">
        <v>0.386</v>
      </c>
      <c r="H2187">
        <f>E2187/F2187</f>
        <v/>
      </c>
      <c r="I2187">
        <f>((H2187-$J$2149)/$I$2149)</f>
        <v/>
      </c>
      <c r="J2187">
        <f>(I2187-IF($I$2157&gt;0,$I$2157))</f>
        <v/>
      </c>
      <c r="K2187">
        <f>J2187/R2168*1.1</f>
        <v/>
      </c>
      <c r="L2187" s="23" t="n"/>
      <c r="M2187" s="23" t="n"/>
      <c r="N2187" s="9" t="n"/>
    </row>
    <row r="2189">
      <c r="A2189" t="inlineStr">
        <is>
          <t>Compound 53:  m4 8-8 diPAP 1</t>
        </is>
      </c>
    </row>
    <row r="2191">
      <c r="B2191" t="inlineStr">
        <is>
          <t>Sample Text</t>
        </is>
      </c>
      <c r="C2191" t="inlineStr">
        <is>
          <t>Std. Conc</t>
        </is>
      </c>
      <c r="D2191" t="inlineStr">
        <is>
          <t>RT</t>
        </is>
      </c>
      <c r="E2191" t="inlineStr">
        <is>
          <t>Area</t>
        </is>
      </c>
      <c r="F2191" t="inlineStr">
        <is>
          <t>IS Area</t>
        </is>
      </c>
      <c r="G2191" t="inlineStr">
        <is>
          <t>S/N</t>
        </is>
      </c>
      <c r="H2191" t="inlineStr">
        <is>
          <t>Primary Flags</t>
        </is>
      </c>
      <c r="I2191" t="inlineStr">
        <is>
          <t>Response</t>
        </is>
      </c>
      <c r="J2191" t="inlineStr">
        <is>
          <t>Conc.</t>
        </is>
      </c>
      <c r="K2191" t="inlineStr">
        <is>
          <t>Name</t>
        </is>
      </c>
    </row>
    <row r="2192">
      <c r="A2192" t="n">
        <v>1</v>
      </c>
      <c r="B2192" t="inlineStr">
        <is>
          <t>EPA1633 &amp; diPAPs Calibration 0 ppb</t>
        </is>
      </c>
      <c r="D2192" t="n">
        <v>13.07</v>
      </c>
      <c r="E2192" t="n">
        <v>1343.627</v>
      </c>
      <c r="G2192" t="n">
        <v>9128</v>
      </c>
      <c r="H2192" t="inlineStr">
        <is>
          <t>bb</t>
        </is>
      </c>
      <c r="I2192" t="n">
        <v>1343.627</v>
      </c>
      <c r="K2192" t="inlineStr">
        <is>
          <t>20250617-12</t>
        </is>
      </c>
    </row>
    <row r="2193">
      <c r="A2193" t="n">
        <v>2</v>
      </c>
      <c r="B2193" t="inlineStr">
        <is>
          <t>EPA1633 &amp; diPAPs Calibration 0.02 ppb</t>
        </is>
      </c>
      <c r="D2193" t="n">
        <v>13.07</v>
      </c>
      <c r="E2193" t="n">
        <v>633.474</v>
      </c>
      <c r="G2193" t="n">
        <v>3604</v>
      </c>
      <c r="H2193" t="inlineStr">
        <is>
          <t>bb</t>
        </is>
      </c>
      <c r="I2193" t="n">
        <v>633.474</v>
      </c>
      <c r="K2193" t="inlineStr">
        <is>
          <t>20250617-13</t>
        </is>
      </c>
    </row>
    <row r="2194">
      <c r="A2194" t="n">
        <v>3</v>
      </c>
      <c r="B2194" t="inlineStr">
        <is>
          <t>EPA1633 &amp; diPAPs Calibration 0.1 ppb</t>
        </is>
      </c>
      <c r="D2194" t="n">
        <v>13.07</v>
      </c>
      <c r="E2194" t="n">
        <v>645.6369999999999</v>
      </c>
      <c r="G2194" t="n">
        <v>3877</v>
      </c>
      <c r="H2194" t="inlineStr">
        <is>
          <t>bb</t>
        </is>
      </c>
      <c r="I2194" t="n">
        <v>645.6369999999999</v>
      </c>
      <c r="K2194" t="inlineStr">
        <is>
          <t>20250617-14</t>
        </is>
      </c>
    </row>
    <row r="2195">
      <c r="A2195" t="n">
        <v>4</v>
      </c>
      <c r="B2195" t="inlineStr">
        <is>
          <t>EPA1633 &amp; diPAPs Calibration 0.4 ppb</t>
        </is>
      </c>
      <c r="D2195" t="n">
        <v>13.08</v>
      </c>
      <c r="E2195" t="n">
        <v>750.9640000000001</v>
      </c>
      <c r="G2195" t="n">
        <v>4888</v>
      </c>
      <c r="H2195" t="inlineStr">
        <is>
          <t>bb</t>
        </is>
      </c>
      <c r="I2195" t="n">
        <v>750.9640000000001</v>
      </c>
      <c r="K2195" t="inlineStr">
        <is>
          <t>20250617-15</t>
        </is>
      </c>
    </row>
    <row r="2196">
      <c r="A2196" t="n">
        <v>5</v>
      </c>
      <c r="B2196" t="inlineStr">
        <is>
          <t>EPA1633 &amp; diPAPs Calibration 1 ppb</t>
        </is>
      </c>
      <c r="D2196" t="n">
        <v>13.08</v>
      </c>
      <c r="E2196" t="n">
        <v>827.3049999999999</v>
      </c>
      <c r="G2196" t="n">
        <v>2082.437</v>
      </c>
      <c r="H2196" t="inlineStr">
        <is>
          <t>bb</t>
        </is>
      </c>
      <c r="I2196" t="n">
        <v>827.3049999999999</v>
      </c>
      <c r="K2196" t="inlineStr">
        <is>
          <t>20250617-16</t>
        </is>
      </c>
    </row>
    <row r="2197">
      <c r="A2197" t="n">
        <v>6</v>
      </c>
      <c r="B2197" t="inlineStr">
        <is>
          <t>EPA1633 &amp; diPAPs Calibration 5 ppb</t>
        </is>
      </c>
      <c r="D2197" t="n">
        <v>13.09</v>
      </c>
      <c r="E2197" t="n">
        <v>802.204</v>
      </c>
      <c r="G2197" t="n">
        <v>66.667</v>
      </c>
      <c r="H2197" t="inlineStr">
        <is>
          <t>bb</t>
        </is>
      </c>
      <c r="I2197" t="n">
        <v>802.204</v>
      </c>
      <c r="K2197" t="inlineStr">
        <is>
          <t>20250617-17</t>
        </is>
      </c>
    </row>
    <row r="2198">
      <c r="A2198" t="n">
        <v>7</v>
      </c>
      <c r="B2198" t="inlineStr">
        <is>
          <t>EPA1633 &amp; diPAPs Calibration 10 ppb</t>
        </is>
      </c>
      <c r="D2198" t="n">
        <v>13.1</v>
      </c>
      <c r="E2198" t="n">
        <v>1562.616</v>
      </c>
      <c r="G2198" t="n">
        <v>34.234</v>
      </c>
      <c r="H2198" t="inlineStr">
        <is>
          <t>bb</t>
        </is>
      </c>
      <c r="I2198" t="n">
        <v>1562.616</v>
      </c>
      <c r="K2198" t="inlineStr">
        <is>
          <t>20250617-18</t>
        </is>
      </c>
    </row>
    <row r="2199">
      <c r="A2199" t="n">
        <v>8</v>
      </c>
      <c r="B2199" t="inlineStr">
        <is>
          <t>EPA1633 &amp; diPAPs Calibration 20 ppb</t>
        </is>
      </c>
      <c r="D2199" t="n">
        <v>13.11</v>
      </c>
      <c r="E2199" t="n">
        <v>611.3339999999999</v>
      </c>
      <c r="G2199" t="n">
        <v>57.478</v>
      </c>
      <c r="H2199" t="inlineStr">
        <is>
          <t>MM</t>
        </is>
      </c>
      <c r="I2199" t="n">
        <v>611.3339999999999</v>
      </c>
      <c r="K2199" t="inlineStr">
        <is>
          <t>20250617-19</t>
        </is>
      </c>
    </row>
    <row r="2200">
      <c r="A2200" t="n">
        <v>9</v>
      </c>
      <c r="B2200" t="inlineStr">
        <is>
          <t>MeOH</t>
        </is>
      </c>
      <c r="H2200" t="inlineStr">
        <is>
          <t>MM-</t>
        </is>
      </c>
      <c r="K2200" t="inlineStr">
        <is>
          <t>20250617-20</t>
        </is>
      </c>
    </row>
    <row r="2201">
      <c r="A2201" t="n">
        <v>10</v>
      </c>
      <c r="B2201" t="inlineStr">
        <is>
          <t>MeOH</t>
        </is>
      </c>
      <c r="K2201" t="inlineStr">
        <is>
          <t>20250617-21</t>
        </is>
      </c>
    </row>
    <row r="2202">
      <c r="A2202" t="n">
        <v>11</v>
      </c>
      <c r="B2202" t="inlineStr">
        <is>
          <t>SB1</t>
        </is>
      </c>
      <c r="D2202" t="n">
        <v>13.11</v>
      </c>
      <c r="E2202" t="n">
        <v>235.495</v>
      </c>
      <c r="G2202" t="n">
        <v>1805</v>
      </c>
      <c r="H2202" t="inlineStr">
        <is>
          <t>bb</t>
        </is>
      </c>
      <c r="I2202" t="n">
        <v>235.495</v>
      </c>
      <c r="K2202" t="inlineStr">
        <is>
          <t>20250617-22</t>
        </is>
      </c>
    </row>
    <row r="2203">
      <c r="A2203" t="n">
        <v>12</v>
      </c>
      <c r="B2203" t="inlineStr">
        <is>
          <t>SB2</t>
        </is>
      </c>
      <c r="D2203" t="n">
        <v>13.11</v>
      </c>
      <c r="E2203" t="n">
        <v>273.33</v>
      </c>
      <c r="G2203" t="n">
        <v>694.053</v>
      </c>
      <c r="H2203" t="inlineStr">
        <is>
          <t>bb</t>
        </is>
      </c>
      <c r="I2203" t="n">
        <v>273.33</v>
      </c>
      <c r="K2203" t="inlineStr">
        <is>
          <t>20250617-23</t>
        </is>
      </c>
    </row>
    <row r="2204">
      <c r="A2204" t="n">
        <v>13</v>
      </c>
      <c r="B2204" t="inlineStr">
        <is>
          <t>SB3</t>
        </is>
      </c>
      <c r="D2204" t="n">
        <v>13.12</v>
      </c>
      <c r="E2204" t="n">
        <v>129.33</v>
      </c>
      <c r="G2204" t="n">
        <v>5.722</v>
      </c>
      <c r="H2204" t="inlineStr">
        <is>
          <t>bb</t>
        </is>
      </c>
      <c r="I2204" t="n">
        <v>129.33</v>
      </c>
      <c r="K2204" t="inlineStr">
        <is>
          <t>20250617-24</t>
        </is>
      </c>
    </row>
    <row r="2205">
      <c r="A2205" t="n">
        <v>14</v>
      </c>
      <c r="B2205" t="inlineStr">
        <is>
          <t>SS1</t>
        </is>
      </c>
      <c r="D2205" t="n">
        <v>13.14</v>
      </c>
      <c r="E2205" t="n">
        <v>253.728</v>
      </c>
      <c r="G2205" t="n">
        <v>17.552</v>
      </c>
      <c r="H2205" t="inlineStr">
        <is>
          <t>bb</t>
        </is>
      </c>
      <c r="I2205" t="n">
        <v>253.728</v>
      </c>
      <c r="K2205" t="inlineStr">
        <is>
          <t>20250617-25</t>
        </is>
      </c>
    </row>
    <row r="2206">
      <c r="A2206" t="n">
        <v>15</v>
      </c>
      <c r="B2206" t="inlineStr">
        <is>
          <t>SS2</t>
        </is>
      </c>
      <c r="D2206" t="n">
        <v>13.13</v>
      </c>
      <c r="E2206" t="n">
        <v>141.602</v>
      </c>
      <c r="G2206" t="n">
        <v>6.796</v>
      </c>
      <c r="H2206" t="inlineStr">
        <is>
          <t>MM</t>
        </is>
      </c>
      <c r="I2206" t="n">
        <v>141.602</v>
      </c>
      <c r="K2206" t="inlineStr">
        <is>
          <t>20250617-26</t>
        </is>
      </c>
    </row>
    <row r="2207">
      <c r="A2207" t="n">
        <v>16</v>
      </c>
      <c r="B2207" t="inlineStr">
        <is>
          <t>SS3</t>
        </is>
      </c>
      <c r="D2207" t="n">
        <v>13.14</v>
      </c>
      <c r="E2207" t="n">
        <v>190.637</v>
      </c>
      <c r="G2207" t="n">
        <v>1350</v>
      </c>
      <c r="H2207" t="inlineStr">
        <is>
          <t>bb</t>
        </is>
      </c>
      <c r="I2207" t="n">
        <v>190.637</v>
      </c>
      <c r="K2207" t="inlineStr">
        <is>
          <t>20250617-27</t>
        </is>
      </c>
    </row>
    <row r="2208">
      <c r="A2208" t="n">
        <v>17</v>
      </c>
      <c r="B2208" t="inlineStr">
        <is>
          <t>MeOH</t>
        </is>
      </c>
      <c r="H2208" t="inlineStr">
        <is>
          <t>MM-</t>
        </is>
      </c>
      <c r="K2208" t="inlineStr">
        <is>
          <t>20250617-28</t>
        </is>
      </c>
    </row>
    <row r="2209">
      <c r="A2209" t="n">
        <v>18</v>
      </c>
      <c r="B2209" t="inlineStr">
        <is>
          <t>K4-5A</t>
        </is>
      </c>
      <c r="D2209" t="n">
        <v>13.16</v>
      </c>
      <c r="E2209" t="n">
        <v>73.511</v>
      </c>
      <c r="G2209" t="n">
        <v>3.249</v>
      </c>
      <c r="H2209" t="inlineStr">
        <is>
          <t>bb</t>
        </is>
      </c>
      <c r="I2209" t="n">
        <v>73.511</v>
      </c>
      <c r="K2209" t="inlineStr">
        <is>
          <t>20250617-29</t>
        </is>
      </c>
    </row>
    <row r="2210">
      <c r="A2210" t="n">
        <v>19</v>
      </c>
      <c r="B2210" t="inlineStr">
        <is>
          <t>K4-5B</t>
        </is>
      </c>
      <c r="D2210" t="n">
        <v>13.14</v>
      </c>
      <c r="E2210" t="n">
        <v>168.771</v>
      </c>
      <c r="G2210" t="n">
        <v>1139</v>
      </c>
      <c r="H2210" t="inlineStr">
        <is>
          <t>bb</t>
        </is>
      </c>
      <c r="I2210" t="n">
        <v>168.771</v>
      </c>
      <c r="K2210" t="inlineStr">
        <is>
          <t>20250617-30</t>
        </is>
      </c>
    </row>
    <row r="2211">
      <c r="A2211" t="n">
        <v>20</v>
      </c>
      <c r="B2211" t="inlineStr">
        <is>
          <t>K4-5C</t>
        </is>
      </c>
      <c r="K2211" t="inlineStr">
        <is>
          <t>20250617-31</t>
        </is>
      </c>
    </row>
    <row r="2212">
      <c r="A2212" t="n">
        <v>21</v>
      </c>
      <c r="B2212" t="inlineStr">
        <is>
          <t>MeOH</t>
        </is>
      </c>
      <c r="K2212" t="inlineStr">
        <is>
          <t>20250617-32</t>
        </is>
      </c>
    </row>
    <row r="2213">
      <c r="A2213" t="n">
        <v>22</v>
      </c>
      <c r="B2213" t="inlineStr">
        <is>
          <t>K3-1A</t>
        </is>
      </c>
      <c r="D2213" t="n">
        <v>13.13</v>
      </c>
      <c r="E2213" t="n">
        <v>163.196</v>
      </c>
      <c r="G2213" t="n">
        <v>1185</v>
      </c>
      <c r="H2213" t="inlineStr">
        <is>
          <t>bb</t>
        </is>
      </c>
      <c r="I2213" t="n">
        <v>163.196</v>
      </c>
      <c r="K2213" t="inlineStr">
        <is>
          <t>20250617-33</t>
        </is>
      </c>
    </row>
    <row r="2214">
      <c r="A2214" t="n">
        <v>23</v>
      </c>
      <c r="B2214" t="inlineStr">
        <is>
          <t>K3-1B</t>
        </is>
      </c>
      <c r="D2214" t="n">
        <v>13.14</v>
      </c>
      <c r="E2214" t="n">
        <v>57.781</v>
      </c>
      <c r="G2214" t="n">
        <v>443</v>
      </c>
      <c r="H2214" t="inlineStr">
        <is>
          <t>bb</t>
        </is>
      </c>
      <c r="I2214" t="n">
        <v>57.781</v>
      </c>
      <c r="K2214" t="inlineStr">
        <is>
          <t>20250617-34</t>
        </is>
      </c>
    </row>
    <row r="2215">
      <c r="A2215" t="n">
        <v>24</v>
      </c>
      <c r="B2215" t="inlineStr">
        <is>
          <t>K3-1C</t>
        </is>
      </c>
      <c r="D2215" t="n">
        <v>13.15</v>
      </c>
      <c r="E2215" t="n">
        <v>191.361</v>
      </c>
      <c r="G2215" t="n">
        <v>302.888</v>
      </c>
      <c r="H2215" t="inlineStr">
        <is>
          <t>bb</t>
        </is>
      </c>
      <c r="I2215" t="n">
        <v>191.361</v>
      </c>
      <c r="K2215" t="inlineStr">
        <is>
          <t>20250617-35</t>
        </is>
      </c>
    </row>
    <row r="2216">
      <c r="A2216" t="n">
        <v>25</v>
      </c>
      <c r="B2216" t="inlineStr">
        <is>
          <t>K3-2A</t>
        </is>
      </c>
      <c r="D2216" t="n">
        <v>13.14</v>
      </c>
      <c r="E2216" t="n">
        <v>113.81</v>
      </c>
      <c r="G2216" t="n">
        <v>18.278</v>
      </c>
      <c r="H2216" t="inlineStr">
        <is>
          <t>bb</t>
        </is>
      </c>
      <c r="I2216" t="n">
        <v>113.81</v>
      </c>
      <c r="K2216" t="inlineStr">
        <is>
          <t>20250617-36</t>
        </is>
      </c>
    </row>
    <row r="2217">
      <c r="A2217" t="n">
        <v>26</v>
      </c>
      <c r="B2217" t="inlineStr">
        <is>
          <t>K3-2B</t>
        </is>
      </c>
      <c r="D2217" t="n">
        <v>13.17</v>
      </c>
      <c r="E2217" t="n">
        <v>85.271</v>
      </c>
      <c r="G2217" t="n">
        <v>10.481</v>
      </c>
      <c r="H2217" t="inlineStr">
        <is>
          <t>bb</t>
        </is>
      </c>
      <c r="I2217" t="n">
        <v>85.271</v>
      </c>
      <c r="K2217" t="inlineStr">
        <is>
          <t>20250617-37</t>
        </is>
      </c>
    </row>
    <row r="2218">
      <c r="A2218" t="n">
        <v>27</v>
      </c>
      <c r="B2218" t="inlineStr">
        <is>
          <t>K3-2C</t>
        </is>
      </c>
      <c r="D2218" t="n">
        <v>13.15</v>
      </c>
      <c r="E2218" t="n">
        <v>86.066</v>
      </c>
      <c r="G2218" t="n">
        <v>663</v>
      </c>
      <c r="H2218" t="inlineStr">
        <is>
          <t>bb</t>
        </is>
      </c>
      <c r="I2218" t="n">
        <v>86.066</v>
      </c>
      <c r="K2218" t="inlineStr">
        <is>
          <t>20250617-38</t>
        </is>
      </c>
    </row>
    <row r="2219">
      <c r="A2219" t="n">
        <v>28</v>
      </c>
      <c r="B2219" t="inlineStr">
        <is>
          <t>MeOH</t>
        </is>
      </c>
      <c r="K2219" t="inlineStr">
        <is>
          <t>20250617-39</t>
        </is>
      </c>
    </row>
    <row r="2220">
      <c r="A2220" t="n">
        <v>29</v>
      </c>
      <c r="B2220" t="inlineStr">
        <is>
          <t>K3-3A</t>
        </is>
      </c>
      <c r="D2220" t="n">
        <v>13.19</v>
      </c>
      <c r="E2220" t="n">
        <v>43.273</v>
      </c>
      <c r="G2220" t="n">
        <v>329</v>
      </c>
      <c r="H2220" t="inlineStr">
        <is>
          <t>bb</t>
        </is>
      </c>
      <c r="I2220" t="n">
        <v>43.273</v>
      </c>
      <c r="K2220" t="inlineStr">
        <is>
          <t>20250617-40</t>
        </is>
      </c>
    </row>
    <row r="2221">
      <c r="A2221" t="n">
        <v>30</v>
      </c>
      <c r="B2221" t="inlineStr">
        <is>
          <t>K3-3B</t>
        </is>
      </c>
      <c r="D2221" t="n">
        <v>13.16</v>
      </c>
      <c r="E2221" t="n">
        <v>147.53</v>
      </c>
      <c r="G2221" t="n">
        <v>1124</v>
      </c>
      <c r="H2221" t="inlineStr">
        <is>
          <t>bb</t>
        </is>
      </c>
      <c r="I2221" t="n">
        <v>147.53</v>
      </c>
      <c r="K2221" t="inlineStr">
        <is>
          <t>20250617-41</t>
        </is>
      </c>
    </row>
    <row r="2222">
      <c r="A2222" t="n">
        <v>31</v>
      </c>
      <c r="B2222" t="inlineStr">
        <is>
          <t>K3-3C</t>
        </is>
      </c>
      <c r="D2222" t="n">
        <v>13.17</v>
      </c>
      <c r="E2222" t="n">
        <v>100.998</v>
      </c>
      <c r="G2222" t="n">
        <v>6.969</v>
      </c>
      <c r="H2222" t="inlineStr">
        <is>
          <t>bb</t>
        </is>
      </c>
      <c r="I2222" t="n">
        <v>100.998</v>
      </c>
      <c r="K2222" t="inlineStr">
        <is>
          <t>20250617-42</t>
        </is>
      </c>
    </row>
    <row r="2223">
      <c r="A2223" t="n">
        <v>32</v>
      </c>
      <c r="B2223" t="inlineStr">
        <is>
          <t>K3-4A</t>
        </is>
      </c>
      <c r="D2223" t="n">
        <v>13.15</v>
      </c>
      <c r="E2223" t="n">
        <v>62.627</v>
      </c>
      <c r="G2223" t="n">
        <v>6.058</v>
      </c>
      <c r="H2223" t="inlineStr">
        <is>
          <t>bb</t>
        </is>
      </c>
      <c r="I2223" t="n">
        <v>62.627</v>
      </c>
      <c r="K2223" t="inlineStr">
        <is>
          <t>20250617-43</t>
        </is>
      </c>
    </row>
    <row r="2224">
      <c r="A2224" t="n">
        <v>33</v>
      </c>
      <c r="B2224" t="inlineStr">
        <is>
          <t>K3-4B</t>
        </is>
      </c>
      <c r="D2224" t="n">
        <v>13.19</v>
      </c>
      <c r="E2224" t="n">
        <v>116.61</v>
      </c>
      <c r="G2224" t="n">
        <v>739</v>
      </c>
      <c r="H2224" t="inlineStr">
        <is>
          <t>bb</t>
        </is>
      </c>
      <c r="I2224" t="n">
        <v>116.61</v>
      </c>
      <c r="K2224" t="inlineStr">
        <is>
          <t>20250617-44</t>
        </is>
      </c>
    </row>
    <row r="2225">
      <c r="A2225" t="n">
        <v>34</v>
      </c>
      <c r="B2225" t="inlineStr">
        <is>
          <t>K3-4C</t>
        </is>
      </c>
      <c r="D2225" t="n">
        <v>13.18</v>
      </c>
      <c r="E2225" t="n">
        <v>125.41</v>
      </c>
      <c r="G2225" t="n">
        <v>19.471</v>
      </c>
      <c r="H2225" t="inlineStr">
        <is>
          <t>bb</t>
        </is>
      </c>
      <c r="I2225" t="n">
        <v>125.41</v>
      </c>
      <c r="K2225" t="inlineStr">
        <is>
          <t>20250617-45</t>
        </is>
      </c>
    </row>
    <row r="2226">
      <c r="A2226" t="n">
        <v>35</v>
      </c>
      <c r="B2226" t="inlineStr">
        <is>
          <t>MeOH</t>
        </is>
      </c>
      <c r="H2226" t="inlineStr">
        <is>
          <t>MM-</t>
        </is>
      </c>
      <c r="K2226" t="inlineStr">
        <is>
          <t>20250617-46</t>
        </is>
      </c>
    </row>
    <row r="2227">
      <c r="A2227" t="n">
        <v>36</v>
      </c>
      <c r="B2227" t="inlineStr">
        <is>
          <t>K3-6A</t>
        </is>
      </c>
      <c r="D2227" t="n">
        <v>13.14</v>
      </c>
      <c r="E2227" t="n">
        <v>54.508</v>
      </c>
      <c r="G2227" t="n">
        <v>461</v>
      </c>
      <c r="H2227" t="inlineStr">
        <is>
          <t>bb</t>
        </is>
      </c>
      <c r="I2227" t="n">
        <v>54.508</v>
      </c>
      <c r="K2227" t="inlineStr">
        <is>
          <t>20250617-47</t>
        </is>
      </c>
    </row>
    <row r="2228">
      <c r="A2228" t="n">
        <v>37</v>
      </c>
      <c r="B2228" t="inlineStr">
        <is>
          <t>K3-6B</t>
        </is>
      </c>
      <c r="D2228" t="n">
        <v>13.16</v>
      </c>
      <c r="E2228" t="n">
        <v>34.035</v>
      </c>
      <c r="G2228" t="n">
        <v>240</v>
      </c>
      <c r="H2228" t="inlineStr">
        <is>
          <t>bb</t>
        </is>
      </c>
      <c r="I2228" t="n">
        <v>34.035</v>
      </c>
      <c r="K2228" t="inlineStr">
        <is>
          <t>20250617-48</t>
        </is>
      </c>
    </row>
    <row r="2229">
      <c r="A2229" t="n">
        <v>38</v>
      </c>
      <c r="B2229" t="inlineStr">
        <is>
          <t>K3-6C</t>
        </is>
      </c>
      <c r="D2229" t="n">
        <v>13.2</v>
      </c>
      <c r="E2229" t="n">
        <v>29.42</v>
      </c>
      <c r="G2229" t="n">
        <v>209</v>
      </c>
      <c r="H2229" t="inlineStr">
        <is>
          <t>bb</t>
        </is>
      </c>
      <c r="I2229" t="n">
        <v>29.42</v>
      </c>
      <c r="K2229" t="inlineStr">
        <is>
          <t>20250617-49</t>
        </is>
      </c>
    </row>
    <row r="2231">
      <c r="A2231" t="inlineStr">
        <is>
          <t>Compound 54:  m4 8-8 diPAP 2</t>
        </is>
      </c>
    </row>
    <row r="2233">
      <c r="B2233" t="inlineStr">
        <is>
          <t>Sample Text</t>
        </is>
      </c>
      <c r="C2233" t="inlineStr">
        <is>
          <t>Std. Conc</t>
        </is>
      </c>
      <c r="D2233" t="inlineStr">
        <is>
          <t>RT</t>
        </is>
      </c>
      <c r="E2233" t="inlineStr">
        <is>
          <t>Area</t>
        </is>
      </c>
      <c r="F2233" t="inlineStr">
        <is>
          <t>IS Area</t>
        </is>
      </c>
      <c r="G2233" t="inlineStr">
        <is>
          <t>S/N</t>
        </is>
      </c>
      <c r="H2233" t="inlineStr">
        <is>
          <t>Primary Flags</t>
        </is>
      </c>
      <c r="I2233" t="inlineStr">
        <is>
          <t>Response</t>
        </is>
      </c>
      <c r="J2233" t="inlineStr">
        <is>
          <t>Conc.</t>
        </is>
      </c>
      <c r="K2233" t="inlineStr">
        <is>
          <t>Name</t>
        </is>
      </c>
    </row>
    <row r="2234">
      <c r="A2234" t="n">
        <v>1</v>
      </c>
      <c r="B2234" t="inlineStr">
        <is>
          <t>EPA1633 &amp; diPAPs Calibration 0 ppb</t>
        </is>
      </c>
      <c r="D2234" t="n">
        <v>13.07</v>
      </c>
      <c r="E2234" t="n">
        <v>3123.66</v>
      </c>
      <c r="G2234" t="n">
        <v>196.262</v>
      </c>
      <c r="H2234" t="inlineStr">
        <is>
          <t>bb</t>
        </is>
      </c>
      <c r="I2234" t="n">
        <v>3123.66</v>
      </c>
      <c r="K2234" t="inlineStr">
        <is>
          <t>20250617-12</t>
        </is>
      </c>
    </row>
    <row r="2235">
      <c r="A2235" t="n">
        <v>2</v>
      </c>
      <c r="B2235" t="inlineStr">
        <is>
          <t>EPA1633 &amp; diPAPs Calibration 0.02 ppb</t>
        </is>
      </c>
      <c r="D2235" t="n">
        <v>13.07</v>
      </c>
      <c r="E2235" t="n">
        <v>1988.362</v>
      </c>
      <c r="G2235" t="n">
        <v>84.003</v>
      </c>
      <c r="H2235" t="inlineStr">
        <is>
          <t>bb</t>
        </is>
      </c>
      <c r="I2235" t="n">
        <v>1988.362</v>
      </c>
      <c r="K2235" t="inlineStr">
        <is>
          <t>20250617-13</t>
        </is>
      </c>
    </row>
    <row r="2236">
      <c r="A2236" t="n">
        <v>3</v>
      </c>
      <c r="B2236" t="inlineStr">
        <is>
          <t>EPA1633 &amp; diPAPs Calibration 0.1 ppb</t>
        </is>
      </c>
      <c r="D2236" t="n">
        <v>13.08</v>
      </c>
      <c r="E2236" t="n">
        <v>2172.051</v>
      </c>
      <c r="G2236" t="n">
        <v>146.922</v>
      </c>
      <c r="H2236" t="inlineStr">
        <is>
          <t>bb</t>
        </is>
      </c>
      <c r="I2236" t="n">
        <v>2172.051</v>
      </c>
      <c r="K2236" t="inlineStr">
        <is>
          <t>20250617-14</t>
        </is>
      </c>
    </row>
    <row r="2237">
      <c r="A2237" t="n">
        <v>4</v>
      </c>
      <c r="B2237" t="inlineStr">
        <is>
          <t>EPA1633 &amp; diPAPs Calibration 0.4 ppb</t>
        </is>
      </c>
      <c r="D2237" t="n">
        <v>13.08</v>
      </c>
      <c r="E2237" t="n">
        <v>2307.023</v>
      </c>
      <c r="G2237" t="n">
        <v>13410</v>
      </c>
      <c r="H2237" t="inlineStr">
        <is>
          <t>bb</t>
        </is>
      </c>
      <c r="I2237" t="n">
        <v>2307.023</v>
      </c>
      <c r="K2237" t="inlineStr">
        <is>
          <t>20250617-15</t>
        </is>
      </c>
    </row>
    <row r="2238">
      <c r="A2238" t="n">
        <v>5</v>
      </c>
      <c r="B2238" t="inlineStr">
        <is>
          <t>EPA1633 &amp; diPAPs Calibration 1 ppb</t>
        </is>
      </c>
      <c r="D2238" t="n">
        <v>13.08</v>
      </c>
      <c r="E2238" t="n">
        <v>1818.826</v>
      </c>
      <c r="G2238" t="n">
        <v>65.605</v>
      </c>
      <c r="H2238" t="inlineStr">
        <is>
          <t>bb</t>
        </is>
      </c>
      <c r="I2238" t="n">
        <v>1818.826</v>
      </c>
      <c r="K2238" t="inlineStr">
        <is>
          <t>20250617-16</t>
        </is>
      </c>
    </row>
    <row r="2239">
      <c r="A2239" t="n">
        <v>6</v>
      </c>
      <c r="B2239" t="inlineStr">
        <is>
          <t>EPA1633 &amp; diPAPs Calibration 5 ppb</t>
        </is>
      </c>
      <c r="D2239" t="n">
        <v>13.09</v>
      </c>
      <c r="E2239" t="n">
        <v>1651.747</v>
      </c>
      <c r="G2239" t="n">
        <v>45.229</v>
      </c>
      <c r="H2239" t="inlineStr">
        <is>
          <t>bb</t>
        </is>
      </c>
      <c r="I2239" t="n">
        <v>1651.747</v>
      </c>
      <c r="K2239" t="inlineStr">
        <is>
          <t>20250617-17</t>
        </is>
      </c>
    </row>
    <row r="2240">
      <c r="A2240" t="n">
        <v>7</v>
      </c>
      <c r="B2240" t="inlineStr">
        <is>
          <t>EPA1633 &amp; diPAPs Calibration 10 ppb</t>
        </is>
      </c>
      <c r="D2240" t="n">
        <v>13.1</v>
      </c>
      <c r="E2240" t="n">
        <v>5035.45</v>
      </c>
      <c r="G2240" t="n">
        <v>228.064</v>
      </c>
      <c r="H2240" t="inlineStr">
        <is>
          <t>bb</t>
        </is>
      </c>
      <c r="I2240" t="n">
        <v>5035.45</v>
      </c>
      <c r="K2240" t="inlineStr">
        <is>
          <t>20250617-18</t>
        </is>
      </c>
    </row>
    <row r="2241">
      <c r="A2241" t="n">
        <v>8</v>
      </c>
      <c r="B2241" t="inlineStr">
        <is>
          <t>EPA1633 &amp; diPAPs Calibration 20 ppb</t>
        </is>
      </c>
      <c r="D2241" t="n">
        <v>13.1</v>
      </c>
      <c r="E2241" t="n">
        <v>2142.017</v>
      </c>
      <c r="G2241" t="n">
        <v>186.53</v>
      </c>
      <c r="H2241" t="inlineStr">
        <is>
          <t>bb</t>
        </is>
      </c>
      <c r="I2241" t="n">
        <v>2142.017</v>
      </c>
      <c r="K2241" t="inlineStr">
        <is>
          <t>20250617-19</t>
        </is>
      </c>
    </row>
    <row r="2242">
      <c r="A2242" t="n">
        <v>9</v>
      </c>
      <c r="B2242" t="inlineStr">
        <is>
          <t>MeOH</t>
        </is>
      </c>
      <c r="H2242" t="inlineStr">
        <is>
          <t>MM-</t>
        </is>
      </c>
      <c r="K2242" t="inlineStr">
        <is>
          <t>20250617-20</t>
        </is>
      </c>
    </row>
    <row r="2243">
      <c r="A2243" t="n">
        <v>10</v>
      </c>
      <c r="B2243" t="inlineStr">
        <is>
          <t>MeOH</t>
        </is>
      </c>
      <c r="H2243" t="inlineStr">
        <is>
          <t>MM-</t>
        </is>
      </c>
      <c r="K2243" t="inlineStr">
        <is>
          <t>20250617-21</t>
        </is>
      </c>
    </row>
    <row r="2244">
      <c r="A2244" t="n">
        <v>11</v>
      </c>
      <c r="B2244" t="inlineStr">
        <is>
          <t>SB1</t>
        </is>
      </c>
      <c r="D2244" t="n">
        <v>13.11</v>
      </c>
      <c r="E2244" t="n">
        <v>588.622</v>
      </c>
      <c r="G2244" t="n">
        <v>4143</v>
      </c>
      <c r="H2244" t="inlineStr">
        <is>
          <t>bb</t>
        </is>
      </c>
      <c r="I2244" t="n">
        <v>588.622</v>
      </c>
      <c r="K2244" t="inlineStr">
        <is>
          <t>20250617-22</t>
        </is>
      </c>
    </row>
    <row r="2245">
      <c r="A2245" t="n">
        <v>12</v>
      </c>
      <c r="B2245" t="inlineStr">
        <is>
          <t>SB2</t>
        </is>
      </c>
      <c r="D2245" t="n">
        <v>13.1</v>
      </c>
      <c r="E2245" t="n">
        <v>886.918</v>
      </c>
      <c r="G2245" t="n">
        <v>21.793</v>
      </c>
      <c r="H2245" t="inlineStr">
        <is>
          <t>bb</t>
        </is>
      </c>
      <c r="I2245" t="n">
        <v>886.918</v>
      </c>
      <c r="K2245" t="inlineStr">
        <is>
          <t>20250617-23</t>
        </is>
      </c>
    </row>
    <row r="2246">
      <c r="A2246" t="n">
        <v>13</v>
      </c>
      <c r="B2246" t="inlineStr">
        <is>
          <t>SB3</t>
        </is>
      </c>
      <c r="D2246" t="n">
        <v>13.12</v>
      </c>
      <c r="E2246" t="n">
        <v>608.25</v>
      </c>
      <c r="G2246" t="n">
        <v>31.42</v>
      </c>
      <c r="H2246" t="inlineStr">
        <is>
          <t>bb</t>
        </is>
      </c>
      <c r="I2246" t="n">
        <v>608.25</v>
      </c>
      <c r="K2246" t="inlineStr">
        <is>
          <t>20250617-24</t>
        </is>
      </c>
    </row>
    <row r="2247">
      <c r="A2247" t="n">
        <v>14</v>
      </c>
      <c r="B2247" t="inlineStr">
        <is>
          <t>SS1</t>
        </is>
      </c>
      <c r="D2247" t="n">
        <v>13.13</v>
      </c>
      <c r="E2247" t="n">
        <v>780.986</v>
      </c>
      <c r="G2247" t="n">
        <v>322.29</v>
      </c>
      <c r="H2247" t="inlineStr">
        <is>
          <t>bb</t>
        </is>
      </c>
      <c r="I2247" t="n">
        <v>780.986</v>
      </c>
      <c r="K2247" t="inlineStr">
        <is>
          <t>20250617-25</t>
        </is>
      </c>
    </row>
    <row r="2248">
      <c r="A2248" t="n">
        <v>15</v>
      </c>
      <c r="B2248" t="inlineStr">
        <is>
          <t>SS2</t>
        </is>
      </c>
      <c r="D2248" t="n">
        <v>13.13</v>
      </c>
      <c r="E2248" t="n">
        <v>821.647</v>
      </c>
      <c r="G2248" t="n">
        <v>144.002</v>
      </c>
      <c r="H2248" t="inlineStr">
        <is>
          <t>bb</t>
        </is>
      </c>
      <c r="I2248" t="n">
        <v>821.647</v>
      </c>
      <c r="K2248" t="inlineStr">
        <is>
          <t>20250617-26</t>
        </is>
      </c>
    </row>
    <row r="2249">
      <c r="A2249" t="n">
        <v>16</v>
      </c>
      <c r="B2249" t="inlineStr">
        <is>
          <t>SS3</t>
        </is>
      </c>
      <c r="D2249" t="n">
        <v>13.14</v>
      </c>
      <c r="E2249" t="n">
        <v>561.066</v>
      </c>
      <c r="G2249" t="n">
        <v>4063</v>
      </c>
      <c r="H2249" t="inlineStr">
        <is>
          <t>bb</t>
        </is>
      </c>
      <c r="I2249" t="n">
        <v>561.066</v>
      </c>
      <c r="K2249" t="inlineStr">
        <is>
          <t>20250617-27</t>
        </is>
      </c>
    </row>
    <row r="2250">
      <c r="A2250" t="n">
        <v>17</v>
      </c>
      <c r="B2250" t="inlineStr">
        <is>
          <t>MeOH</t>
        </is>
      </c>
      <c r="H2250" t="inlineStr">
        <is>
          <t>MM-</t>
        </is>
      </c>
      <c r="K2250" t="inlineStr">
        <is>
          <t>20250617-28</t>
        </is>
      </c>
    </row>
    <row r="2251">
      <c r="A2251" t="n">
        <v>18</v>
      </c>
      <c r="B2251" t="inlineStr">
        <is>
          <t>K4-5A</t>
        </is>
      </c>
      <c r="D2251" t="n">
        <v>13.13</v>
      </c>
      <c r="E2251" t="n">
        <v>608.375</v>
      </c>
      <c r="G2251" t="n">
        <v>4758</v>
      </c>
      <c r="H2251" t="inlineStr">
        <is>
          <t>bb</t>
        </is>
      </c>
      <c r="I2251" t="n">
        <v>608.375</v>
      </c>
      <c r="K2251" t="inlineStr">
        <is>
          <t>20250617-29</t>
        </is>
      </c>
    </row>
    <row r="2252">
      <c r="A2252" t="n">
        <v>19</v>
      </c>
      <c r="B2252" t="inlineStr">
        <is>
          <t>K4-5B</t>
        </is>
      </c>
      <c r="D2252" t="n">
        <v>13.13</v>
      </c>
      <c r="E2252" t="n">
        <v>605.4109999999999</v>
      </c>
      <c r="G2252" t="n">
        <v>200.535</v>
      </c>
      <c r="H2252" t="inlineStr">
        <is>
          <t>bb</t>
        </is>
      </c>
      <c r="I2252" t="n">
        <v>605.4109999999999</v>
      </c>
      <c r="K2252" t="inlineStr">
        <is>
          <t>20250617-30</t>
        </is>
      </c>
    </row>
    <row r="2253">
      <c r="A2253" t="n">
        <v>20</v>
      </c>
      <c r="B2253" t="inlineStr">
        <is>
          <t>K4-5C</t>
        </is>
      </c>
      <c r="K2253" t="inlineStr">
        <is>
          <t>20250617-31</t>
        </is>
      </c>
    </row>
    <row r="2254">
      <c r="A2254" t="n">
        <v>21</v>
      </c>
      <c r="B2254" t="inlineStr">
        <is>
          <t>MeOH</t>
        </is>
      </c>
      <c r="H2254" t="inlineStr">
        <is>
          <t>MM-</t>
        </is>
      </c>
      <c r="K2254" t="inlineStr">
        <is>
          <t>20250617-32</t>
        </is>
      </c>
    </row>
    <row r="2255">
      <c r="A2255" t="n">
        <v>22</v>
      </c>
      <c r="B2255" t="inlineStr">
        <is>
          <t>K3-1A</t>
        </is>
      </c>
      <c r="D2255" t="n">
        <v>13.14</v>
      </c>
      <c r="E2255" t="n">
        <v>586.254</v>
      </c>
      <c r="G2255" t="n">
        <v>3980</v>
      </c>
      <c r="H2255" t="inlineStr">
        <is>
          <t>bb</t>
        </is>
      </c>
      <c r="I2255" t="n">
        <v>586.254</v>
      </c>
      <c r="K2255" t="inlineStr">
        <is>
          <t>20250617-33</t>
        </is>
      </c>
    </row>
    <row r="2256">
      <c r="A2256" t="n">
        <v>23</v>
      </c>
      <c r="B2256" t="inlineStr">
        <is>
          <t>K3-1B</t>
        </is>
      </c>
      <c r="D2256" t="n">
        <v>13.14</v>
      </c>
      <c r="E2256" t="n">
        <v>599.562</v>
      </c>
      <c r="G2256" t="n">
        <v>4212</v>
      </c>
      <c r="H2256" t="inlineStr">
        <is>
          <t>bb</t>
        </is>
      </c>
      <c r="I2256" t="n">
        <v>599.562</v>
      </c>
      <c r="K2256" t="inlineStr">
        <is>
          <t>20250617-34</t>
        </is>
      </c>
    </row>
    <row r="2257">
      <c r="A2257" t="n">
        <v>24</v>
      </c>
      <c r="B2257" t="inlineStr">
        <is>
          <t>K3-1C</t>
        </is>
      </c>
      <c r="D2257" t="n">
        <v>13.13</v>
      </c>
      <c r="E2257" t="n">
        <v>676.624</v>
      </c>
      <c r="G2257" t="n">
        <v>245.739</v>
      </c>
      <c r="H2257" t="inlineStr">
        <is>
          <t>bb</t>
        </is>
      </c>
      <c r="I2257" t="n">
        <v>676.624</v>
      </c>
      <c r="K2257" t="inlineStr">
        <is>
          <t>20250617-35</t>
        </is>
      </c>
    </row>
    <row r="2258">
      <c r="A2258" t="n">
        <v>25</v>
      </c>
      <c r="B2258" t="inlineStr">
        <is>
          <t>K3-2A</t>
        </is>
      </c>
      <c r="D2258" t="n">
        <v>13.14</v>
      </c>
      <c r="E2258" t="n">
        <v>577.7329999999999</v>
      </c>
      <c r="G2258" t="n">
        <v>4064</v>
      </c>
      <c r="H2258" t="inlineStr">
        <is>
          <t>bb</t>
        </is>
      </c>
      <c r="I2258" t="n">
        <v>577.7329999999999</v>
      </c>
      <c r="K2258" t="inlineStr">
        <is>
          <t>20250617-36</t>
        </is>
      </c>
    </row>
    <row r="2259">
      <c r="A2259" t="n">
        <v>26</v>
      </c>
      <c r="B2259" t="inlineStr">
        <is>
          <t>K3-2B</t>
        </is>
      </c>
      <c r="D2259" t="n">
        <v>13.16</v>
      </c>
      <c r="E2259" t="n">
        <v>839.127</v>
      </c>
      <c r="G2259" t="n">
        <v>6076</v>
      </c>
      <c r="H2259" t="inlineStr">
        <is>
          <t>bb</t>
        </is>
      </c>
      <c r="I2259" t="n">
        <v>839.127</v>
      </c>
      <c r="K2259" t="inlineStr">
        <is>
          <t>20250617-37</t>
        </is>
      </c>
    </row>
    <row r="2260">
      <c r="A2260" t="n">
        <v>27</v>
      </c>
      <c r="B2260" t="inlineStr">
        <is>
          <t>K3-2C</t>
        </is>
      </c>
      <c r="D2260" t="n">
        <v>13.15</v>
      </c>
      <c r="E2260" t="n">
        <v>585.352</v>
      </c>
      <c r="G2260" t="n">
        <v>27.671</v>
      </c>
      <c r="H2260" t="inlineStr">
        <is>
          <t>bb</t>
        </is>
      </c>
      <c r="I2260" t="n">
        <v>585.352</v>
      </c>
      <c r="K2260" t="inlineStr">
        <is>
          <t>20250617-38</t>
        </is>
      </c>
    </row>
    <row r="2261">
      <c r="A2261" t="n">
        <v>28</v>
      </c>
      <c r="B2261" t="inlineStr">
        <is>
          <t>MeOH</t>
        </is>
      </c>
      <c r="H2261" t="inlineStr">
        <is>
          <t>MM-</t>
        </is>
      </c>
      <c r="K2261" t="inlineStr">
        <is>
          <t>20250617-39</t>
        </is>
      </c>
    </row>
    <row r="2262">
      <c r="A2262" t="n">
        <v>29</v>
      </c>
      <c r="B2262" t="inlineStr">
        <is>
          <t>K3-3A</t>
        </is>
      </c>
      <c r="D2262" t="n">
        <v>13.16</v>
      </c>
      <c r="E2262" t="n">
        <v>346.277</v>
      </c>
      <c r="G2262" t="n">
        <v>2554</v>
      </c>
      <c r="H2262" t="inlineStr">
        <is>
          <t>bb</t>
        </is>
      </c>
      <c r="I2262" t="n">
        <v>346.277</v>
      </c>
      <c r="K2262" t="inlineStr">
        <is>
          <t>20250617-40</t>
        </is>
      </c>
    </row>
    <row r="2263">
      <c r="A2263" t="n">
        <v>30</v>
      </c>
      <c r="B2263" t="inlineStr">
        <is>
          <t>K3-3B</t>
        </is>
      </c>
      <c r="D2263" t="n">
        <v>13.16</v>
      </c>
      <c r="E2263" t="n">
        <v>693.228</v>
      </c>
      <c r="G2263" t="n">
        <v>59.616</v>
      </c>
      <c r="H2263" t="inlineStr">
        <is>
          <t>bb</t>
        </is>
      </c>
      <c r="I2263" t="n">
        <v>693.228</v>
      </c>
      <c r="K2263" t="inlineStr">
        <is>
          <t>20250617-41</t>
        </is>
      </c>
    </row>
    <row r="2264">
      <c r="A2264" t="n">
        <v>31</v>
      </c>
      <c r="B2264" t="inlineStr">
        <is>
          <t>K3-3C</t>
        </is>
      </c>
      <c r="D2264" t="n">
        <v>13.17</v>
      </c>
      <c r="E2264" t="n">
        <v>529.389</v>
      </c>
      <c r="G2264" t="n">
        <v>525.649</v>
      </c>
      <c r="H2264" t="inlineStr">
        <is>
          <t>bb</t>
        </is>
      </c>
      <c r="I2264" t="n">
        <v>529.389</v>
      </c>
      <c r="K2264" t="inlineStr">
        <is>
          <t>20250617-42</t>
        </is>
      </c>
    </row>
    <row r="2265">
      <c r="A2265" t="n">
        <v>32</v>
      </c>
      <c r="B2265" t="inlineStr">
        <is>
          <t>K3-4A</t>
        </is>
      </c>
      <c r="D2265" t="n">
        <v>13.16</v>
      </c>
      <c r="E2265" t="n">
        <v>496.854</v>
      </c>
      <c r="G2265" t="n">
        <v>3659</v>
      </c>
      <c r="H2265" t="inlineStr">
        <is>
          <t>bb</t>
        </is>
      </c>
      <c r="I2265" t="n">
        <v>496.854</v>
      </c>
      <c r="K2265" t="inlineStr">
        <is>
          <t>20250617-43</t>
        </is>
      </c>
    </row>
    <row r="2266">
      <c r="A2266" t="n">
        <v>33</v>
      </c>
      <c r="B2266" t="inlineStr">
        <is>
          <t>K3-4B</t>
        </is>
      </c>
      <c r="D2266" t="n">
        <v>13.16</v>
      </c>
      <c r="E2266" t="n">
        <v>533.124</v>
      </c>
      <c r="G2266" t="n">
        <v>33.418</v>
      </c>
      <c r="H2266" t="inlineStr">
        <is>
          <t>bb</t>
        </is>
      </c>
      <c r="I2266" t="n">
        <v>533.124</v>
      </c>
      <c r="K2266" t="inlineStr">
        <is>
          <t>20250617-44</t>
        </is>
      </c>
    </row>
    <row r="2267">
      <c r="A2267" t="n">
        <v>34</v>
      </c>
      <c r="B2267" t="inlineStr">
        <is>
          <t>K3-4C</t>
        </is>
      </c>
      <c r="D2267" t="n">
        <v>13.17</v>
      </c>
      <c r="E2267" t="n">
        <v>606.571</v>
      </c>
      <c r="G2267" t="n">
        <v>4282</v>
      </c>
      <c r="H2267" t="inlineStr">
        <is>
          <t>bb</t>
        </is>
      </c>
      <c r="I2267" t="n">
        <v>606.571</v>
      </c>
      <c r="K2267" t="inlineStr">
        <is>
          <t>20250617-45</t>
        </is>
      </c>
    </row>
    <row r="2268">
      <c r="A2268" t="n">
        <v>35</v>
      </c>
      <c r="B2268" t="inlineStr">
        <is>
          <t>MeOH</t>
        </is>
      </c>
      <c r="H2268" t="inlineStr">
        <is>
          <t>MM-</t>
        </is>
      </c>
      <c r="K2268" t="inlineStr">
        <is>
          <t>20250617-46</t>
        </is>
      </c>
    </row>
    <row r="2269">
      <c r="A2269" t="n">
        <v>36</v>
      </c>
      <c r="B2269" t="inlineStr">
        <is>
          <t>K3-6A</t>
        </is>
      </c>
      <c r="D2269" t="n">
        <v>13.17</v>
      </c>
      <c r="E2269" t="n">
        <v>354.208</v>
      </c>
      <c r="G2269" t="n">
        <v>13.477</v>
      </c>
      <c r="H2269" t="inlineStr">
        <is>
          <t>bb</t>
        </is>
      </c>
      <c r="I2269" t="n">
        <v>354.208</v>
      </c>
      <c r="K2269" t="inlineStr">
        <is>
          <t>20250617-47</t>
        </is>
      </c>
    </row>
    <row r="2270">
      <c r="A2270" t="n">
        <v>37</v>
      </c>
      <c r="B2270" t="inlineStr">
        <is>
          <t>K3-6B</t>
        </is>
      </c>
      <c r="D2270" t="n">
        <v>13.18</v>
      </c>
      <c r="E2270" t="n">
        <v>348.087</v>
      </c>
      <c r="G2270" t="n">
        <v>2350</v>
      </c>
      <c r="H2270" t="inlineStr">
        <is>
          <t>bb</t>
        </is>
      </c>
      <c r="I2270" t="n">
        <v>348.087</v>
      </c>
      <c r="K2270" t="inlineStr">
        <is>
          <t>20250617-48</t>
        </is>
      </c>
    </row>
    <row r="2271">
      <c r="A2271" t="n">
        <v>38</v>
      </c>
      <c r="B2271" t="inlineStr">
        <is>
          <t>K3-6C</t>
        </is>
      </c>
      <c r="D2271" t="n">
        <v>13.17</v>
      </c>
      <c r="E2271" t="n">
        <v>270.181</v>
      </c>
      <c r="G2271" t="n">
        <v>11.07</v>
      </c>
      <c r="H2271" t="inlineStr">
        <is>
          <t>bb</t>
        </is>
      </c>
      <c r="I2271" t="n">
        <v>270.181</v>
      </c>
      <c r="K2271" t="inlineStr">
        <is>
          <t>20250617-49</t>
        </is>
      </c>
    </row>
    <row r="2273">
      <c r="A2273" t="inlineStr">
        <is>
          <t>Compound 55:  8-10 diPAP 1 +</t>
        </is>
      </c>
    </row>
    <row r="2275">
      <c r="B2275" t="inlineStr">
        <is>
          <t>Sample Text</t>
        </is>
      </c>
      <c r="C2275" t="inlineStr">
        <is>
          <t>Std. Conc</t>
        </is>
      </c>
      <c r="D2275" t="inlineStr">
        <is>
          <t>RT</t>
        </is>
      </c>
      <c r="E2275" t="inlineStr">
        <is>
          <t>Area</t>
        </is>
      </c>
      <c r="F2275" t="inlineStr">
        <is>
          <t>IS Area</t>
        </is>
      </c>
      <c r="G2275" t="inlineStr">
        <is>
          <t>S/N</t>
        </is>
      </c>
      <c r="H2275" t="inlineStr">
        <is>
          <t>Primary Flags</t>
        </is>
      </c>
      <c r="I2275" t="inlineStr">
        <is>
          <t>Response</t>
        </is>
      </c>
      <c r="J2275" t="inlineStr">
        <is>
          <t>Conc.</t>
        </is>
      </c>
      <c r="K2275" t="inlineStr">
        <is>
          <t>Name</t>
        </is>
      </c>
    </row>
    <row r="2276">
      <c r="A2276" t="n">
        <v>1</v>
      </c>
      <c r="F2276" t="n">
        <v>1343.627</v>
      </c>
      <c r="K2276" t="inlineStr">
        <is>
          <t>20250617-12</t>
        </is>
      </c>
    </row>
    <row r="2277">
      <c r="A2277" t="n">
        <v>2</v>
      </c>
      <c r="F2277" t="n">
        <v>633.474</v>
      </c>
      <c r="K2277" t="inlineStr">
        <is>
          <t>20250617-13</t>
        </is>
      </c>
    </row>
    <row r="2278">
      <c r="A2278" t="n">
        <v>3</v>
      </c>
      <c r="F2278" t="n">
        <v>645.6369999999999</v>
      </c>
      <c r="K2278" t="inlineStr">
        <is>
          <t>20250617-14</t>
        </is>
      </c>
    </row>
    <row r="2279">
      <c r="A2279" t="n">
        <v>4</v>
      </c>
      <c r="F2279" t="n">
        <v>750.9640000000001</v>
      </c>
      <c r="K2279" t="inlineStr">
        <is>
          <t>20250617-15</t>
        </is>
      </c>
    </row>
    <row r="2280">
      <c r="A2280" t="n">
        <v>5</v>
      </c>
      <c r="F2280" t="n">
        <v>827.3049999999999</v>
      </c>
      <c r="K2280" t="inlineStr">
        <is>
          <t>20250617-16</t>
        </is>
      </c>
    </row>
    <row r="2281">
      <c r="A2281" t="n">
        <v>6</v>
      </c>
      <c r="F2281" t="n">
        <v>802.204</v>
      </c>
      <c r="K2281" t="inlineStr">
        <is>
          <t>20250617-17</t>
        </is>
      </c>
    </row>
    <row r="2282">
      <c r="A2282" t="n">
        <v>7</v>
      </c>
      <c r="F2282" t="n">
        <v>1562.616</v>
      </c>
      <c r="K2282" t="inlineStr">
        <is>
          <t>20250617-18</t>
        </is>
      </c>
    </row>
    <row r="2283">
      <c r="A2283" t="n">
        <v>8</v>
      </c>
      <c r="F2283" t="n">
        <v>611.3339999999999</v>
      </c>
      <c r="K2283" t="inlineStr">
        <is>
          <t>20250617-19</t>
        </is>
      </c>
    </row>
    <row r="2284">
      <c r="A2284" t="n">
        <v>9</v>
      </c>
      <c r="K2284" t="inlineStr">
        <is>
          <t>20250617-20</t>
        </is>
      </c>
    </row>
    <row r="2285">
      <c r="A2285" t="n">
        <v>10</v>
      </c>
      <c r="K2285" t="inlineStr">
        <is>
          <t>20250617-21</t>
        </is>
      </c>
    </row>
    <row r="2286">
      <c r="A2286" t="n">
        <v>11</v>
      </c>
      <c r="F2286" t="n">
        <v>235.495</v>
      </c>
      <c r="K2286" t="inlineStr">
        <is>
          <t>20250617-22</t>
        </is>
      </c>
    </row>
    <row r="2287">
      <c r="A2287" t="n">
        <v>12</v>
      </c>
      <c r="F2287" t="n">
        <v>273.33</v>
      </c>
      <c r="K2287" t="inlineStr">
        <is>
          <t>20250617-23</t>
        </is>
      </c>
    </row>
    <row r="2288">
      <c r="A2288" t="n">
        <v>13</v>
      </c>
      <c r="F2288" t="n">
        <v>129.33</v>
      </c>
      <c r="K2288" t="inlineStr">
        <is>
          <t>20250617-24</t>
        </is>
      </c>
    </row>
    <row r="2289">
      <c r="A2289" t="n">
        <v>14</v>
      </c>
      <c r="F2289" t="n">
        <v>253.728</v>
      </c>
      <c r="K2289" t="inlineStr">
        <is>
          <t>20250617-25</t>
        </is>
      </c>
    </row>
    <row r="2290">
      <c r="A2290" t="n">
        <v>15</v>
      </c>
      <c r="F2290" t="n">
        <v>141.602</v>
      </c>
      <c r="K2290" t="inlineStr">
        <is>
          <t>20250617-26</t>
        </is>
      </c>
    </row>
    <row r="2291">
      <c r="A2291" t="n">
        <v>16</v>
      </c>
      <c r="F2291" t="n">
        <v>190.637</v>
      </c>
      <c r="K2291" t="inlineStr">
        <is>
          <t>20250617-27</t>
        </is>
      </c>
    </row>
    <row r="2292">
      <c r="A2292" t="n">
        <v>17</v>
      </c>
      <c r="K2292" t="inlineStr">
        <is>
          <t>20250617-28</t>
        </is>
      </c>
    </row>
    <row r="2293">
      <c r="A2293" t="n">
        <v>18</v>
      </c>
      <c r="F2293" t="n">
        <v>73.511</v>
      </c>
      <c r="K2293" t="inlineStr">
        <is>
          <t>20250617-29</t>
        </is>
      </c>
    </row>
    <row r="2294">
      <c r="A2294" t="n">
        <v>19</v>
      </c>
      <c r="F2294" t="n">
        <v>168.771</v>
      </c>
      <c r="K2294" t="inlineStr">
        <is>
          <t>20250617-30</t>
        </is>
      </c>
    </row>
    <row r="2295">
      <c r="A2295" t="n">
        <v>20</v>
      </c>
      <c r="K2295" t="inlineStr">
        <is>
          <t>20250617-31</t>
        </is>
      </c>
    </row>
    <row r="2296">
      <c r="A2296" t="n">
        <v>21</v>
      </c>
      <c r="K2296" t="inlineStr">
        <is>
          <t>20250617-32</t>
        </is>
      </c>
    </row>
    <row r="2297">
      <c r="A2297" t="n">
        <v>22</v>
      </c>
      <c r="F2297" t="n">
        <v>163.196</v>
      </c>
      <c r="K2297" t="inlineStr">
        <is>
          <t>20250617-33</t>
        </is>
      </c>
    </row>
    <row r="2298">
      <c r="A2298" t="n">
        <v>23</v>
      </c>
      <c r="F2298" t="n">
        <v>57.781</v>
      </c>
      <c r="K2298" t="inlineStr">
        <is>
          <t>20250617-34</t>
        </is>
      </c>
    </row>
    <row r="2299">
      <c r="A2299" t="n">
        <v>24</v>
      </c>
      <c r="F2299" t="n">
        <v>191.361</v>
      </c>
      <c r="K2299" t="inlineStr">
        <is>
          <t>20250617-35</t>
        </is>
      </c>
    </row>
    <row r="2300">
      <c r="A2300" t="n">
        <v>25</v>
      </c>
      <c r="F2300" t="n">
        <v>113.81</v>
      </c>
      <c r="K2300" t="inlineStr">
        <is>
          <t>20250617-36</t>
        </is>
      </c>
    </row>
    <row r="2301">
      <c r="A2301" t="n">
        <v>26</v>
      </c>
      <c r="F2301" t="n">
        <v>85.271</v>
      </c>
      <c r="K2301" t="inlineStr">
        <is>
          <t>20250617-37</t>
        </is>
      </c>
    </row>
    <row r="2302">
      <c r="A2302" t="n">
        <v>27</v>
      </c>
      <c r="F2302" t="n">
        <v>86.066</v>
      </c>
      <c r="K2302" t="inlineStr">
        <is>
          <t>20250617-38</t>
        </is>
      </c>
    </row>
    <row r="2303">
      <c r="A2303" t="n">
        <v>28</v>
      </c>
      <c r="K2303" t="inlineStr">
        <is>
          <t>20250617-39</t>
        </is>
      </c>
    </row>
    <row r="2304">
      <c r="A2304" t="n">
        <v>29</v>
      </c>
      <c r="F2304" t="n">
        <v>43.273</v>
      </c>
      <c r="K2304" t="inlineStr">
        <is>
          <t>20250617-40</t>
        </is>
      </c>
    </row>
    <row r="2305">
      <c r="A2305" t="n">
        <v>30</v>
      </c>
      <c r="F2305" t="n">
        <v>147.53</v>
      </c>
      <c r="K2305" t="inlineStr">
        <is>
          <t>20250617-41</t>
        </is>
      </c>
    </row>
    <row r="2306">
      <c r="A2306" t="n">
        <v>31</v>
      </c>
      <c r="F2306" t="n">
        <v>100.998</v>
      </c>
      <c r="K2306" t="inlineStr">
        <is>
          <t>20250617-42</t>
        </is>
      </c>
    </row>
    <row r="2307">
      <c r="A2307" t="n">
        <v>32</v>
      </c>
      <c r="F2307" t="n">
        <v>62.627</v>
      </c>
      <c r="K2307" t="inlineStr">
        <is>
          <t>20250617-43</t>
        </is>
      </c>
    </row>
    <row r="2308">
      <c r="A2308" t="n">
        <v>33</v>
      </c>
      <c r="F2308" t="n">
        <v>116.61</v>
      </c>
      <c r="K2308" t="inlineStr">
        <is>
          <t>20250617-44</t>
        </is>
      </c>
    </row>
    <row r="2309">
      <c r="A2309" t="n">
        <v>34</v>
      </c>
      <c r="F2309" t="n">
        <v>125.41</v>
      </c>
      <c r="K2309" t="inlineStr">
        <is>
          <t>20250617-45</t>
        </is>
      </c>
    </row>
    <row r="2310">
      <c r="A2310" t="n">
        <v>35</v>
      </c>
      <c r="K2310" t="inlineStr">
        <is>
          <t>20250617-46</t>
        </is>
      </c>
    </row>
    <row r="2311">
      <c r="A2311" t="n">
        <v>36</v>
      </c>
      <c r="F2311" t="n">
        <v>54.508</v>
      </c>
      <c r="K2311" t="inlineStr">
        <is>
          <t>20250617-47</t>
        </is>
      </c>
    </row>
    <row r="2312">
      <c r="A2312" t="n">
        <v>37</v>
      </c>
      <c r="F2312" t="n">
        <v>34.035</v>
      </c>
      <c r="K2312" t="inlineStr">
        <is>
          <t>20250617-48</t>
        </is>
      </c>
    </row>
    <row r="2313">
      <c r="A2313" t="n">
        <v>38</v>
      </c>
      <c r="F2313" t="n">
        <v>29.42</v>
      </c>
      <c r="K2313" t="inlineStr">
        <is>
          <t>20250617-49</t>
        </is>
      </c>
    </row>
    <row r="2315">
      <c r="A2315" t="inlineStr">
        <is>
          <t>Compound 56:  6-12 diPAP 1 +</t>
        </is>
      </c>
    </row>
    <row r="2317">
      <c r="B2317" t="inlineStr">
        <is>
          <t>Sample Text</t>
        </is>
      </c>
      <c r="C2317" t="inlineStr">
        <is>
          <t>Std. Conc</t>
        </is>
      </c>
      <c r="D2317" t="inlineStr">
        <is>
          <t>RT</t>
        </is>
      </c>
      <c r="E2317" t="inlineStr">
        <is>
          <t>Area</t>
        </is>
      </c>
      <c r="F2317" t="inlineStr">
        <is>
          <t>IS Area</t>
        </is>
      </c>
      <c r="G2317" t="inlineStr">
        <is>
          <t>S/N</t>
        </is>
      </c>
      <c r="H2317" t="inlineStr">
        <is>
          <t>Primary Flags</t>
        </is>
      </c>
      <c r="I2317" t="inlineStr">
        <is>
          <t>Response</t>
        </is>
      </c>
      <c r="J2317" t="inlineStr">
        <is>
          <t>Conc.</t>
        </is>
      </c>
      <c r="K2317" t="inlineStr">
        <is>
          <t>Name</t>
        </is>
      </c>
    </row>
    <row r="2318">
      <c r="A2318" t="n">
        <v>1</v>
      </c>
      <c r="F2318" t="n">
        <v>19473.51</v>
      </c>
      <c r="K2318" t="inlineStr">
        <is>
          <t>20250617-12</t>
        </is>
      </c>
    </row>
    <row r="2319">
      <c r="A2319" t="n">
        <v>2</v>
      </c>
      <c r="F2319" t="n">
        <v>13285.255</v>
      </c>
      <c r="K2319" t="inlineStr">
        <is>
          <t>20250617-13</t>
        </is>
      </c>
    </row>
    <row r="2320">
      <c r="A2320" t="n">
        <v>3</v>
      </c>
      <c r="F2320" t="n">
        <v>16010.102</v>
      </c>
      <c r="K2320" t="inlineStr">
        <is>
          <t>20250617-14</t>
        </is>
      </c>
    </row>
    <row r="2321">
      <c r="A2321" t="n">
        <v>4</v>
      </c>
      <c r="F2321" t="n">
        <v>14214.025</v>
      </c>
      <c r="K2321" t="inlineStr">
        <is>
          <t>20250617-15</t>
        </is>
      </c>
    </row>
    <row r="2322">
      <c r="A2322" t="n">
        <v>5</v>
      </c>
      <c r="F2322" t="n">
        <v>21931.449</v>
      </c>
      <c r="K2322" t="inlineStr">
        <is>
          <t>20250617-16</t>
        </is>
      </c>
    </row>
    <row r="2323">
      <c r="A2323" t="n">
        <v>6</v>
      </c>
      <c r="F2323" t="n">
        <v>17537.508</v>
      </c>
      <c r="K2323" t="inlineStr">
        <is>
          <t>20250617-17</t>
        </is>
      </c>
    </row>
    <row r="2324">
      <c r="A2324" t="n">
        <v>7</v>
      </c>
      <c r="F2324" t="n">
        <v>29293.133</v>
      </c>
      <c r="K2324" t="inlineStr">
        <is>
          <t>20250617-18</t>
        </is>
      </c>
    </row>
    <row r="2325">
      <c r="A2325" t="n">
        <v>8</v>
      </c>
      <c r="F2325" t="n">
        <v>13919.142</v>
      </c>
      <c r="K2325" t="inlineStr">
        <is>
          <t>20250617-19</t>
        </is>
      </c>
    </row>
    <row r="2326">
      <c r="A2326" t="n">
        <v>9</v>
      </c>
      <c r="K2326" t="inlineStr">
        <is>
          <t>20250617-20</t>
        </is>
      </c>
    </row>
    <row r="2327">
      <c r="A2327" t="n">
        <v>10</v>
      </c>
      <c r="K2327" t="inlineStr">
        <is>
          <t>20250617-21</t>
        </is>
      </c>
    </row>
    <row r="2328">
      <c r="A2328" t="n">
        <v>11</v>
      </c>
      <c r="F2328" t="n">
        <v>5289.194</v>
      </c>
      <c r="K2328" t="inlineStr">
        <is>
          <t>20250617-22</t>
        </is>
      </c>
    </row>
    <row r="2329">
      <c r="A2329" t="n">
        <v>12</v>
      </c>
      <c r="F2329" t="n">
        <v>6667.125</v>
      </c>
      <c r="K2329" t="inlineStr">
        <is>
          <t>20250617-23</t>
        </is>
      </c>
    </row>
    <row r="2330">
      <c r="A2330" t="n">
        <v>13</v>
      </c>
      <c r="F2330" t="n">
        <v>5460.875</v>
      </c>
      <c r="K2330" t="inlineStr">
        <is>
          <t>20250617-24</t>
        </is>
      </c>
    </row>
    <row r="2331">
      <c r="A2331" t="n">
        <v>14</v>
      </c>
      <c r="F2331" t="n">
        <v>6517.947</v>
      </c>
      <c r="K2331" t="inlineStr">
        <is>
          <t>20250617-25</t>
        </is>
      </c>
    </row>
    <row r="2332">
      <c r="A2332" t="n">
        <v>15</v>
      </c>
      <c r="F2332" t="n">
        <v>6712.642</v>
      </c>
      <c r="K2332" t="inlineStr">
        <is>
          <t>20250617-26</t>
        </is>
      </c>
    </row>
    <row r="2333">
      <c r="A2333" t="n">
        <v>16</v>
      </c>
      <c r="F2333" t="n">
        <v>6363.637</v>
      </c>
      <c r="K2333" t="inlineStr">
        <is>
          <t>20250617-27</t>
        </is>
      </c>
    </row>
    <row r="2334">
      <c r="A2334" t="n">
        <v>17</v>
      </c>
      <c r="K2334" t="inlineStr">
        <is>
          <t>20250617-28</t>
        </is>
      </c>
    </row>
    <row r="2335">
      <c r="A2335" t="n">
        <v>18</v>
      </c>
      <c r="F2335" t="n">
        <v>3930.075</v>
      </c>
      <c r="K2335" t="inlineStr">
        <is>
          <t>20250617-29</t>
        </is>
      </c>
    </row>
    <row r="2336">
      <c r="A2336" t="n">
        <v>19</v>
      </c>
      <c r="F2336" t="n">
        <v>6277.964</v>
      </c>
      <c r="K2336" t="inlineStr">
        <is>
          <t>20250617-30</t>
        </is>
      </c>
    </row>
    <row r="2337">
      <c r="A2337" t="n">
        <v>20</v>
      </c>
      <c r="F2337" t="n">
        <v>2207.119</v>
      </c>
      <c r="K2337" t="inlineStr">
        <is>
          <t>20250617-31</t>
        </is>
      </c>
    </row>
    <row r="2338">
      <c r="A2338" t="n">
        <v>21</v>
      </c>
      <c r="K2338" t="inlineStr">
        <is>
          <t>20250617-32</t>
        </is>
      </c>
    </row>
    <row r="2339">
      <c r="A2339" t="n">
        <v>22</v>
      </c>
      <c r="F2339" t="n">
        <v>4603.346</v>
      </c>
      <c r="K2339" t="inlineStr">
        <is>
          <t>20250617-33</t>
        </is>
      </c>
    </row>
    <row r="2340">
      <c r="A2340" t="n">
        <v>23</v>
      </c>
      <c r="F2340" t="n">
        <v>4832.73</v>
      </c>
      <c r="K2340" t="inlineStr">
        <is>
          <t>20250617-34</t>
        </is>
      </c>
    </row>
    <row r="2341">
      <c r="A2341" t="n">
        <v>24</v>
      </c>
      <c r="F2341" t="n">
        <v>5250.105</v>
      </c>
      <c r="K2341" t="inlineStr">
        <is>
          <t>20250617-35</t>
        </is>
      </c>
    </row>
    <row r="2342">
      <c r="A2342" t="n">
        <v>25</v>
      </c>
      <c r="F2342" t="n">
        <v>4574.33</v>
      </c>
      <c r="K2342" t="inlineStr">
        <is>
          <t>20250617-36</t>
        </is>
      </c>
    </row>
    <row r="2343">
      <c r="A2343" t="n">
        <v>26</v>
      </c>
      <c r="F2343" t="n">
        <v>5271.769</v>
      </c>
      <c r="K2343" t="inlineStr">
        <is>
          <t>20250617-37</t>
        </is>
      </c>
    </row>
    <row r="2344">
      <c r="A2344" t="n">
        <v>27</v>
      </c>
      <c r="F2344" t="n">
        <v>4675.447</v>
      </c>
      <c r="K2344" t="inlineStr">
        <is>
          <t>20250617-38</t>
        </is>
      </c>
    </row>
    <row r="2345">
      <c r="A2345" t="n">
        <v>28</v>
      </c>
      <c r="K2345" t="inlineStr">
        <is>
          <t>20250617-39</t>
        </is>
      </c>
    </row>
    <row r="2346">
      <c r="A2346" t="n">
        <v>29</v>
      </c>
      <c r="F2346" t="n">
        <v>3868.886</v>
      </c>
      <c r="K2346" t="inlineStr">
        <is>
          <t>20250617-40</t>
        </is>
      </c>
    </row>
    <row r="2347">
      <c r="A2347" t="n">
        <v>30</v>
      </c>
      <c r="F2347" t="n">
        <v>5558.256</v>
      </c>
      <c r="K2347" t="inlineStr">
        <is>
          <t>20250617-41</t>
        </is>
      </c>
    </row>
    <row r="2348">
      <c r="A2348" t="n">
        <v>31</v>
      </c>
      <c r="F2348" t="n">
        <v>5019.609</v>
      </c>
      <c r="K2348" t="inlineStr">
        <is>
          <t>20250617-42</t>
        </is>
      </c>
    </row>
    <row r="2349">
      <c r="A2349" t="n">
        <v>32</v>
      </c>
      <c r="F2349" t="n">
        <v>4571.521</v>
      </c>
      <c r="K2349" t="inlineStr">
        <is>
          <t>20250617-43</t>
        </is>
      </c>
    </row>
    <row r="2350">
      <c r="A2350" t="n">
        <v>33</v>
      </c>
      <c r="F2350" t="n">
        <v>5043.437</v>
      </c>
      <c r="K2350" t="inlineStr">
        <is>
          <t>20250617-44</t>
        </is>
      </c>
    </row>
    <row r="2351">
      <c r="A2351" t="n">
        <v>34</v>
      </c>
      <c r="F2351" t="n">
        <v>5033.665</v>
      </c>
      <c r="K2351" t="inlineStr">
        <is>
          <t>20250617-45</t>
        </is>
      </c>
    </row>
    <row r="2352">
      <c r="A2352" t="n">
        <v>35</v>
      </c>
      <c r="K2352" t="inlineStr">
        <is>
          <t>20250617-46</t>
        </is>
      </c>
    </row>
    <row r="2353">
      <c r="A2353" t="n">
        <v>36</v>
      </c>
      <c r="F2353" t="n">
        <v>3966.205</v>
      </c>
      <c r="K2353" t="inlineStr">
        <is>
          <t>20250617-47</t>
        </is>
      </c>
    </row>
    <row r="2354">
      <c r="A2354" t="n">
        <v>37</v>
      </c>
      <c r="F2354" t="n">
        <v>3977.533</v>
      </c>
      <c r="K2354" t="inlineStr">
        <is>
          <t>20250617-48</t>
        </is>
      </c>
    </row>
    <row r="2355">
      <c r="A2355" t="n">
        <v>38</v>
      </c>
      <c r="F2355" t="n">
        <v>3666.082</v>
      </c>
      <c r="K2355" t="inlineStr">
        <is>
          <t>20250617-49</t>
        </is>
      </c>
    </row>
    <row r="2357">
      <c r="A2357" t="inlineStr">
        <is>
          <t>Compound 57:  10-10 diPAP 1 +</t>
        </is>
      </c>
    </row>
    <row r="2359">
      <c r="B2359" t="inlineStr">
        <is>
          <t>Sample Text</t>
        </is>
      </c>
      <c r="C2359" t="inlineStr">
        <is>
          <t>Std. Conc</t>
        </is>
      </c>
      <c r="D2359" t="inlineStr">
        <is>
          <t>RT</t>
        </is>
      </c>
      <c r="E2359" t="inlineStr">
        <is>
          <t>Area</t>
        </is>
      </c>
      <c r="F2359" t="inlineStr">
        <is>
          <t>IS Area</t>
        </is>
      </c>
      <c r="G2359" t="inlineStr">
        <is>
          <t>S/N</t>
        </is>
      </c>
      <c r="H2359" t="inlineStr">
        <is>
          <t>Primary Flags</t>
        </is>
      </c>
      <c r="I2359" t="inlineStr">
        <is>
          <t>Response</t>
        </is>
      </c>
      <c r="J2359" t="inlineStr">
        <is>
          <t>Conc.</t>
        </is>
      </c>
      <c r="K2359" t="inlineStr">
        <is>
          <t>Name</t>
        </is>
      </c>
    </row>
    <row r="2360">
      <c r="A2360" t="n">
        <v>1</v>
      </c>
      <c r="B2360" t="inlineStr">
        <is>
          <t>EPA1633 &amp; diPAPs Calibration 0 ppb</t>
        </is>
      </c>
      <c r="F2360" t="n">
        <v>1343.627</v>
      </c>
      <c r="K2360" t="inlineStr">
        <is>
          <t>20250617-12</t>
        </is>
      </c>
    </row>
    <row r="2361">
      <c r="A2361" t="n">
        <v>2</v>
      </c>
      <c r="B2361" t="inlineStr">
        <is>
          <t>EPA1633 &amp; diPAPs Calibration 0.02 ppb</t>
        </is>
      </c>
      <c r="F2361" t="n">
        <v>633.474</v>
      </c>
      <c r="K2361" t="inlineStr">
        <is>
          <t>20250617-13</t>
        </is>
      </c>
    </row>
    <row r="2362">
      <c r="A2362" t="n">
        <v>3</v>
      </c>
      <c r="B2362" t="inlineStr">
        <is>
          <t>EPA1633 &amp; diPAPs Calibration 0.1 ppb</t>
        </is>
      </c>
      <c r="F2362" t="n">
        <v>645.6369999999999</v>
      </c>
      <c r="K2362" t="inlineStr">
        <is>
          <t>20250617-14</t>
        </is>
      </c>
    </row>
    <row r="2363">
      <c r="A2363" t="n">
        <v>4</v>
      </c>
      <c r="B2363" t="inlineStr">
        <is>
          <t>EPA1633 &amp; diPAPs Calibration 0.4 ppb</t>
        </is>
      </c>
      <c r="F2363" t="n">
        <v>750.9640000000001</v>
      </c>
      <c r="K2363" t="inlineStr">
        <is>
          <t>20250617-15</t>
        </is>
      </c>
    </row>
    <row r="2364">
      <c r="A2364" t="n">
        <v>5</v>
      </c>
      <c r="B2364" t="inlineStr">
        <is>
          <t>EPA1633 &amp; diPAPs Calibration 1 ppb</t>
        </is>
      </c>
      <c r="F2364" t="n">
        <v>827.3049999999999</v>
      </c>
      <c r="K2364" t="inlineStr">
        <is>
          <t>20250617-16</t>
        </is>
      </c>
    </row>
    <row r="2365">
      <c r="A2365" t="n">
        <v>6</v>
      </c>
      <c r="B2365" t="inlineStr">
        <is>
          <t>EPA1633 &amp; diPAPs Calibration 5 ppb</t>
        </is>
      </c>
      <c r="F2365" t="n">
        <v>802.204</v>
      </c>
      <c r="K2365" t="inlineStr">
        <is>
          <t>20250617-17</t>
        </is>
      </c>
    </row>
    <row r="2366">
      <c r="A2366" t="n">
        <v>7</v>
      </c>
      <c r="B2366" t="inlineStr">
        <is>
          <t>EPA1633 &amp; diPAPs Calibration 10 ppb</t>
        </is>
      </c>
      <c r="F2366" t="n">
        <v>1562.616</v>
      </c>
      <c r="K2366" t="inlineStr">
        <is>
          <t>20250617-18</t>
        </is>
      </c>
    </row>
    <row r="2367">
      <c r="A2367" t="n">
        <v>8</v>
      </c>
      <c r="B2367" t="inlineStr">
        <is>
          <t>EPA1633 &amp; diPAPs Calibration 20 ppb</t>
        </is>
      </c>
      <c r="F2367" t="n">
        <v>611.3339999999999</v>
      </c>
      <c r="K2367" t="inlineStr">
        <is>
          <t>20250617-19</t>
        </is>
      </c>
    </row>
    <row r="2368">
      <c r="A2368" t="n">
        <v>9</v>
      </c>
      <c r="B2368" t="inlineStr">
        <is>
          <t>MeOH</t>
        </is>
      </c>
      <c r="D2368" t="n">
        <v>14.28</v>
      </c>
      <c r="E2368" t="n">
        <v>0.131</v>
      </c>
      <c r="G2368" t="n">
        <v>1</v>
      </c>
      <c r="H2368" t="inlineStr">
        <is>
          <t>bb</t>
        </is>
      </c>
      <c r="K2368" t="inlineStr">
        <is>
          <t>20250617-20</t>
        </is>
      </c>
    </row>
    <row r="2369">
      <c r="A2369" t="n">
        <v>10</v>
      </c>
      <c r="B2369" t="inlineStr">
        <is>
          <t>MeOH</t>
        </is>
      </c>
      <c r="K2369" t="inlineStr">
        <is>
          <t>20250617-21</t>
        </is>
      </c>
    </row>
    <row r="2370">
      <c r="A2370" t="n">
        <v>11</v>
      </c>
      <c r="B2370" t="inlineStr">
        <is>
          <t>SB1</t>
        </is>
      </c>
      <c r="F2370" t="n">
        <v>235.495</v>
      </c>
      <c r="K2370" t="inlineStr">
        <is>
          <t>20250617-22</t>
        </is>
      </c>
    </row>
    <row r="2371">
      <c r="A2371" t="n">
        <v>12</v>
      </c>
      <c r="B2371" t="inlineStr">
        <is>
          <t>SB2</t>
        </is>
      </c>
      <c r="F2371" t="n">
        <v>273.33</v>
      </c>
      <c r="K2371" t="inlineStr">
        <is>
          <t>20250617-23</t>
        </is>
      </c>
    </row>
    <row r="2372">
      <c r="A2372" t="n">
        <v>13</v>
      </c>
      <c r="B2372" t="inlineStr">
        <is>
          <t>SB3</t>
        </is>
      </c>
      <c r="F2372" t="n">
        <v>129.33</v>
      </c>
      <c r="K2372" t="inlineStr">
        <is>
          <t>20250617-24</t>
        </is>
      </c>
    </row>
    <row r="2373">
      <c r="A2373" t="n">
        <v>14</v>
      </c>
      <c r="B2373" t="inlineStr">
        <is>
          <t>SS1</t>
        </is>
      </c>
      <c r="F2373" t="n">
        <v>253.728</v>
      </c>
      <c r="K2373" t="inlineStr">
        <is>
          <t>20250617-25</t>
        </is>
      </c>
    </row>
    <row r="2374">
      <c r="A2374" t="n">
        <v>15</v>
      </c>
      <c r="B2374" t="inlineStr">
        <is>
          <t>SS2</t>
        </is>
      </c>
      <c r="D2374" t="n">
        <v>14.5</v>
      </c>
      <c r="E2374" t="n">
        <v>0.365</v>
      </c>
      <c r="F2374" t="n">
        <v>141.602</v>
      </c>
      <c r="G2374" t="n">
        <v>3</v>
      </c>
      <c r="H2374" t="inlineStr">
        <is>
          <t>bb</t>
        </is>
      </c>
      <c r="K2374" t="inlineStr">
        <is>
          <t>20250617-26</t>
        </is>
      </c>
    </row>
    <row r="2375">
      <c r="A2375" t="n">
        <v>16</v>
      </c>
      <c r="B2375" t="inlineStr">
        <is>
          <t>SS3</t>
        </is>
      </c>
      <c r="F2375" t="n">
        <v>190.637</v>
      </c>
      <c r="K2375" t="inlineStr">
        <is>
          <t>20250617-27</t>
        </is>
      </c>
    </row>
    <row r="2376">
      <c r="A2376" t="n">
        <v>17</v>
      </c>
      <c r="B2376" t="inlineStr">
        <is>
          <t>MeOH</t>
        </is>
      </c>
      <c r="K2376" t="inlineStr">
        <is>
          <t>20250617-28</t>
        </is>
      </c>
    </row>
    <row r="2377">
      <c r="A2377" t="n">
        <v>18</v>
      </c>
      <c r="B2377" t="inlineStr">
        <is>
          <t>K4-5A</t>
        </is>
      </c>
      <c r="F2377" t="n">
        <v>73.511</v>
      </c>
      <c r="K2377" t="inlineStr">
        <is>
          <t>20250617-29</t>
        </is>
      </c>
    </row>
    <row r="2378">
      <c r="A2378" t="n">
        <v>19</v>
      </c>
      <c r="B2378" t="inlineStr">
        <is>
          <t>K4-5B</t>
        </is>
      </c>
      <c r="F2378" t="n">
        <v>168.771</v>
      </c>
      <c r="K2378" t="inlineStr">
        <is>
          <t>20250617-30</t>
        </is>
      </c>
    </row>
    <row r="2379">
      <c r="A2379" t="n">
        <v>20</v>
      </c>
      <c r="B2379" t="inlineStr">
        <is>
          <t>K4-5C</t>
        </is>
      </c>
      <c r="K2379" t="inlineStr">
        <is>
          <t>20250617-31</t>
        </is>
      </c>
    </row>
    <row r="2380">
      <c r="A2380" t="n">
        <v>21</v>
      </c>
      <c r="B2380" t="inlineStr">
        <is>
          <t>MeOH</t>
        </is>
      </c>
      <c r="K2380" t="inlineStr">
        <is>
          <t>20250617-32</t>
        </is>
      </c>
    </row>
    <row r="2381">
      <c r="A2381" t="n">
        <v>22</v>
      </c>
      <c r="B2381" t="inlineStr">
        <is>
          <t>K3-1A</t>
        </is>
      </c>
      <c r="F2381" t="n">
        <v>163.196</v>
      </c>
      <c r="K2381" t="inlineStr">
        <is>
          <t>20250617-33</t>
        </is>
      </c>
    </row>
    <row r="2382">
      <c r="A2382" t="n">
        <v>23</v>
      </c>
      <c r="B2382" t="inlineStr">
        <is>
          <t>K3-1B</t>
        </is>
      </c>
      <c r="F2382" t="n">
        <v>57.781</v>
      </c>
      <c r="K2382" t="inlineStr">
        <is>
          <t>20250617-34</t>
        </is>
      </c>
    </row>
    <row r="2383">
      <c r="A2383" t="n">
        <v>24</v>
      </c>
      <c r="B2383" t="inlineStr">
        <is>
          <t>K3-1C</t>
        </is>
      </c>
      <c r="F2383" t="n">
        <v>191.361</v>
      </c>
      <c r="K2383" t="inlineStr">
        <is>
          <t>20250617-35</t>
        </is>
      </c>
    </row>
    <row r="2384">
      <c r="A2384" t="n">
        <v>25</v>
      </c>
      <c r="B2384" t="inlineStr">
        <is>
          <t>K3-2A</t>
        </is>
      </c>
      <c r="F2384" t="n">
        <v>113.81</v>
      </c>
      <c r="K2384" t="inlineStr">
        <is>
          <t>20250617-36</t>
        </is>
      </c>
    </row>
    <row r="2385">
      <c r="A2385" t="n">
        <v>26</v>
      </c>
      <c r="B2385" t="inlineStr">
        <is>
          <t>K3-2B</t>
        </is>
      </c>
      <c r="F2385" t="n">
        <v>85.271</v>
      </c>
      <c r="K2385" t="inlineStr">
        <is>
          <t>20250617-37</t>
        </is>
      </c>
    </row>
    <row r="2386">
      <c r="A2386" t="n">
        <v>27</v>
      </c>
      <c r="B2386" t="inlineStr">
        <is>
          <t>K3-2C</t>
        </is>
      </c>
      <c r="F2386" t="n">
        <v>86.066</v>
      </c>
      <c r="K2386" t="inlineStr">
        <is>
          <t>20250617-38</t>
        </is>
      </c>
    </row>
    <row r="2387">
      <c r="A2387" t="n">
        <v>28</v>
      </c>
      <c r="B2387" t="inlineStr">
        <is>
          <t>MeOH</t>
        </is>
      </c>
      <c r="K2387" t="inlineStr">
        <is>
          <t>20250617-39</t>
        </is>
      </c>
    </row>
    <row r="2388">
      <c r="A2388" t="n">
        <v>29</v>
      </c>
      <c r="B2388" t="inlineStr">
        <is>
          <t>K3-3A</t>
        </is>
      </c>
      <c r="F2388" t="n">
        <v>43.273</v>
      </c>
      <c r="K2388" t="inlineStr">
        <is>
          <t>20250617-40</t>
        </is>
      </c>
    </row>
    <row r="2389">
      <c r="A2389" t="n">
        <v>30</v>
      </c>
      <c r="B2389" t="inlineStr">
        <is>
          <t>K3-3B</t>
        </is>
      </c>
      <c r="F2389" t="n">
        <v>147.53</v>
      </c>
      <c r="K2389" t="inlineStr">
        <is>
          <t>20250617-41</t>
        </is>
      </c>
    </row>
    <row r="2390">
      <c r="A2390" t="n">
        <v>31</v>
      </c>
      <c r="B2390" t="inlineStr">
        <is>
          <t>K3-3C</t>
        </is>
      </c>
      <c r="F2390" t="n">
        <v>100.998</v>
      </c>
      <c r="K2390" t="inlineStr">
        <is>
          <t>20250617-42</t>
        </is>
      </c>
    </row>
    <row r="2391">
      <c r="A2391" t="n">
        <v>32</v>
      </c>
      <c r="B2391" t="inlineStr">
        <is>
          <t>K3-4A</t>
        </is>
      </c>
      <c r="F2391" t="n">
        <v>62.627</v>
      </c>
      <c r="K2391" t="inlineStr">
        <is>
          <t>20250617-43</t>
        </is>
      </c>
    </row>
    <row r="2392">
      <c r="A2392" t="n">
        <v>33</v>
      </c>
      <c r="B2392" t="inlineStr">
        <is>
          <t>K3-4B</t>
        </is>
      </c>
      <c r="F2392" t="n">
        <v>116.61</v>
      </c>
      <c r="K2392" t="inlineStr">
        <is>
          <t>20250617-44</t>
        </is>
      </c>
    </row>
    <row r="2393">
      <c r="A2393" t="n">
        <v>34</v>
      </c>
      <c r="B2393" t="inlineStr">
        <is>
          <t>K3-4C</t>
        </is>
      </c>
      <c r="F2393" t="n">
        <v>125.41</v>
      </c>
      <c r="K2393" t="inlineStr">
        <is>
          <t>20250617-45</t>
        </is>
      </c>
    </row>
    <row r="2394">
      <c r="A2394" t="n">
        <v>35</v>
      </c>
      <c r="B2394" t="inlineStr">
        <is>
          <t>MeOH</t>
        </is>
      </c>
      <c r="K2394" t="inlineStr">
        <is>
          <t>20250617-46</t>
        </is>
      </c>
    </row>
    <row r="2395">
      <c r="A2395" t="n">
        <v>36</v>
      </c>
      <c r="B2395" t="inlineStr">
        <is>
          <t>K3-6A</t>
        </is>
      </c>
      <c r="F2395" t="n">
        <v>54.508</v>
      </c>
      <c r="K2395" t="inlineStr">
        <is>
          <t>20250617-47</t>
        </is>
      </c>
    </row>
    <row r="2396">
      <c r="A2396" t="n">
        <v>37</v>
      </c>
      <c r="B2396" t="inlineStr">
        <is>
          <t>K3-6B</t>
        </is>
      </c>
      <c r="F2396" t="n">
        <v>34.035</v>
      </c>
      <c r="K2396" t="inlineStr">
        <is>
          <t>20250617-48</t>
        </is>
      </c>
    </row>
    <row r="2397">
      <c r="A2397" t="n">
        <v>38</v>
      </c>
      <c r="B2397" t="inlineStr">
        <is>
          <t>K3-6C</t>
        </is>
      </c>
      <c r="F2397" t="n">
        <v>29.42</v>
      </c>
      <c r="K2397" t="inlineStr">
        <is>
          <t>20250617-49</t>
        </is>
      </c>
    </row>
    <row r="2399">
      <c r="A2399" t="inlineStr">
        <is>
          <t>Compound 58:  8-12 diPAP 1 +</t>
        </is>
      </c>
    </row>
    <row r="2401">
      <c r="B2401" t="inlineStr">
        <is>
          <t>Sample Text</t>
        </is>
      </c>
      <c r="C2401" t="inlineStr">
        <is>
          <t>Std. Conc</t>
        </is>
      </c>
      <c r="D2401" t="inlineStr">
        <is>
          <t>RT</t>
        </is>
      </c>
      <c r="E2401" t="inlineStr">
        <is>
          <t>Area</t>
        </is>
      </c>
      <c r="F2401" t="inlineStr">
        <is>
          <t>IS Area</t>
        </is>
      </c>
      <c r="G2401" t="inlineStr">
        <is>
          <t>S/N</t>
        </is>
      </c>
      <c r="H2401" t="inlineStr">
        <is>
          <t>Primary Flags</t>
        </is>
      </c>
      <c r="I2401" t="inlineStr">
        <is>
          <t>Response</t>
        </is>
      </c>
      <c r="J2401" t="inlineStr">
        <is>
          <t>Conc.</t>
        </is>
      </c>
      <c r="K2401" t="inlineStr">
        <is>
          <t>Name</t>
        </is>
      </c>
    </row>
    <row r="2402">
      <c r="A2402" t="n">
        <v>1</v>
      </c>
      <c r="F2402" t="n">
        <v>1343.627</v>
      </c>
      <c r="K2402" t="inlineStr">
        <is>
          <t>20250617-12</t>
        </is>
      </c>
    </row>
    <row r="2403">
      <c r="A2403" t="n">
        <v>2</v>
      </c>
      <c r="F2403" t="n">
        <v>633.474</v>
      </c>
      <c r="K2403" t="inlineStr">
        <is>
          <t>20250617-13</t>
        </is>
      </c>
    </row>
    <row r="2404">
      <c r="A2404" t="n">
        <v>3</v>
      </c>
      <c r="F2404" t="n">
        <v>645.6369999999999</v>
      </c>
      <c r="K2404" t="inlineStr">
        <is>
          <t>20250617-14</t>
        </is>
      </c>
    </row>
    <row r="2405">
      <c r="A2405" t="n">
        <v>4</v>
      </c>
      <c r="F2405" t="n">
        <v>750.9640000000001</v>
      </c>
      <c r="K2405" t="inlineStr">
        <is>
          <t>20250617-15</t>
        </is>
      </c>
    </row>
    <row r="2406">
      <c r="A2406" t="n">
        <v>5</v>
      </c>
      <c r="F2406" t="n">
        <v>827.3049999999999</v>
      </c>
      <c r="K2406" t="inlineStr">
        <is>
          <t>20250617-16</t>
        </is>
      </c>
    </row>
    <row r="2407">
      <c r="A2407" t="n">
        <v>6</v>
      </c>
      <c r="F2407" t="n">
        <v>802.204</v>
      </c>
      <c r="K2407" t="inlineStr">
        <is>
          <t>20250617-17</t>
        </is>
      </c>
    </row>
    <row r="2408">
      <c r="A2408" t="n">
        <v>7</v>
      </c>
      <c r="F2408" t="n">
        <v>1562.616</v>
      </c>
      <c r="K2408" t="inlineStr">
        <is>
          <t>20250617-18</t>
        </is>
      </c>
    </row>
    <row r="2409">
      <c r="A2409" t="n">
        <v>8</v>
      </c>
      <c r="F2409" t="n">
        <v>611.3339999999999</v>
      </c>
      <c r="K2409" t="inlineStr">
        <is>
          <t>20250617-19</t>
        </is>
      </c>
    </row>
    <row r="2410">
      <c r="A2410" t="n">
        <v>9</v>
      </c>
      <c r="K2410" t="inlineStr">
        <is>
          <t>20250617-20</t>
        </is>
      </c>
    </row>
    <row r="2411">
      <c r="A2411" t="n">
        <v>10</v>
      </c>
      <c r="K2411" t="inlineStr">
        <is>
          <t>20250617-21</t>
        </is>
      </c>
    </row>
    <row r="2412">
      <c r="A2412" t="n">
        <v>11</v>
      </c>
      <c r="F2412" t="n">
        <v>235.495</v>
      </c>
      <c r="K2412" t="inlineStr">
        <is>
          <t>20250617-22</t>
        </is>
      </c>
    </row>
    <row r="2413">
      <c r="A2413" t="n">
        <v>12</v>
      </c>
      <c r="F2413" t="n">
        <v>273.33</v>
      </c>
      <c r="K2413" t="inlineStr">
        <is>
          <t>20250617-23</t>
        </is>
      </c>
    </row>
    <row r="2414">
      <c r="A2414" t="n">
        <v>13</v>
      </c>
      <c r="F2414" t="n">
        <v>129.33</v>
      </c>
      <c r="K2414" t="inlineStr">
        <is>
          <t>20250617-24</t>
        </is>
      </c>
    </row>
    <row r="2415">
      <c r="A2415" t="n">
        <v>14</v>
      </c>
      <c r="F2415" t="n">
        <v>253.728</v>
      </c>
      <c r="K2415" t="inlineStr">
        <is>
          <t>20250617-25</t>
        </is>
      </c>
    </row>
    <row r="2416">
      <c r="A2416" t="n">
        <v>15</v>
      </c>
      <c r="F2416" t="n">
        <v>141.602</v>
      </c>
      <c r="K2416" t="inlineStr">
        <is>
          <t>20250617-26</t>
        </is>
      </c>
    </row>
    <row r="2417">
      <c r="A2417" t="n">
        <v>16</v>
      </c>
      <c r="F2417" t="n">
        <v>190.637</v>
      </c>
      <c r="K2417" t="inlineStr">
        <is>
          <t>20250617-27</t>
        </is>
      </c>
    </row>
    <row r="2418">
      <c r="A2418" t="n">
        <v>17</v>
      </c>
      <c r="K2418" t="inlineStr">
        <is>
          <t>20250617-28</t>
        </is>
      </c>
    </row>
    <row r="2419">
      <c r="A2419" t="n">
        <v>18</v>
      </c>
      <c r="F2419" t="n">
        <v>73.511</v>
      </c>
      <c r="K2419" t="inlineStr">
        <is>
          <t>20250617-29</t>
        </is>
      </c>
    </row>
    <row r="2420">
      <c r="A2420" t="n">
        <v>19</v>
      </c>
      <c r="F2420" t="n">
        <v>168.771</v>
      </c>
      <c r="K2420" t="inlineStr">
        <is>
          <t>20250617-30</t>
        </is>
      </c>
    </row>
    <row r="2421">
      <c r="A2421" t="n">
        <v>20</v>
      </c>
      <c r="K2421" t="inlineStr">
        <is>
          <t>20250617-31</t>
        </is>
      </c>
    </row>
    <row r="2422">
      <c r="A2422" t="n">
        <v>21</v>
      </c>
      <c r="K2422" t="inlineStr">
        <is>
          <t>20250617-32</t>
        </is>
      </c>
    </row>
    <row r="2423">
      <c r="A2423" t="n">
        <v>22</v>
      </c>
      <c r="F2423" t="n">
        <v>163.196</v>
      </c>
      <c r="K2423" t="inlineStr">
        <is>
          <t>20250617-33</t>
        </is>
      </c>
    </row>
    <row r="2424">
      <c r="A2424" t="n">
        <v>23</v>
      </c>
      <c r="F2424" t="n">
        <v>57.781</v>
      </c>
      <c r="K2424" t="inlineStr">
        <is>
          <t>20250617-34</t>
        </is>
      </c>
    </row>
    <row r="2425">
      <c r="A2425" t="n">
        <v>24</v>
      </c>
      <c r="F2425" t="n">
        <v>191.361</v>
      </c>
      <c r="K2425" t="inlineStr">
        <is>
          <t>20250617-35</t>
        </is>
      </c>
    </row>
    <row r="2426">
      <c r="A2426" t="n">
        <v>25</v>
      </c>
      <c r="F2426" t="n">
        <v>113.81</v>
      </c>
      <c r="K2426" t="inlineStr">
        <is>
          <t>20250617-36</t>
        </is>
      </c>
    </row>
    <row r="2427">
      <c r="A2427" t="n">
        <v>26</v>
      </c>
      <c r="F2427" t="n">
        <v>85.271</v>
      </c>
      <c r="K2427" t="inlineStr">
        <is>
          <t>20250617-37</t>
        </is>
      </c>
    </row>
    <row r="2428">
      <c r="A2428" t="n">
        <v>27</v>
      </c>
      <c r="F2428" t="n">
        <v>86.066</v>
      </c>
      <c r="K2428" t="inlineStr">
        <is>
          <t>20250617-38</t>
        </is>
      </c>
    </row>
    <row r="2429">
      <c r="A2429" t="n">
        <v>28</v>
      </c>
      <c r="K2429" t="inlineStr">
        <is>
          <t>20250617-39</t>
        </is>
      </c>
    </row>
    <row r="2430">
      <c r="A2430" t="n">
        <v>29</v>
      </c>
      <c r="F2430" t="n">
        <v>43.273</v>
      </c>
      <c r="K2430" t="inlineStr">
        <is>
          <t>20250617-40</t>
        </is>
      </c>
    </row>
    <row r="2431">
      <c r="A2431" t="n">
        <v>30</v>
      </c>
      <c r="F2431" t="n">
        <v>147.53</v>
      </c>
      <c r="K2431" t="inlineStr">
        <is>
          <t>20250617-41</t>
        </is>
      </c>
    </row>
    <row r="2432">
      <c r="A2432" t="n">
        <v>31</v>
      </c>
      <c r="F2432" t="n">
        <v>100.998</v>
      </c>
      <c r="K2432" t="inlineStr">
        <is>
          <t>20250617-42</t>
        </is>
      </c>
    </row>
    <row r="2433">
      <c r="A2433" t="n">
        <v>32</v>
      </c>
      <c r="F2433" t="n">
        <v>62.627</v>
      </c>
      <c r="K2433" t="inlineStr">
        <is>
          <t>20250617-43</t>
        </is>
      </c>
    </row>
    <row r="2434">
      <c r="A2434" t="n">
        <v>33</v>
      </c>
      <c r="F2434" t="n">
        <v>116.61</v>
      </c>
      <c r="K2434" t="inlineStr">
        <is>
          <t>20250617-44</t>
        </is>
      </c>
    </row>
    <row r="2435">
      <c r="A2435" t="n">
        <v>34</v>
      </c>
      <c r="F2435" t="n">
        <v>125.41</v>
      </c>
      <c r="K2435" t="inlineStr">
        <is>
          <t>20250617-45</t>
        </is>
      </c>
    </row>
    <row r="2436">
      <c r="A2436" t="n">
        <v>35</v>
      </c>
      <c r="K2436" t="inlineStr">
        <is>
          <t>20250617-46</t>
        </is>
      </c>
    </row>
    <row r="2437">
      <c r="A2437" t="n">
        <v>36</v>
      </c>
      <c r="F2437" t="n">
        <v>54.508</v>
      </c>
      <c r="K2437" t="inlineStr">
        <is>
          <t>20250617-47</t>
        </is>
      </c>
    </row>
    <row r="2438">
      <c r="A2438" t="n">
        <v>37</v>
      </c>
      <c r="F2438" t="n">
        <v>34.035</v>
      </c>
      <c r="K2438" t="inlineStr">
        <is>
          <t>20250617-48</t>
        </is>
      </c>
    </row>
    <row r="2439">
      <c r="A2439" t="n">
        <v>38</v>
      </c>
      <c r="F2439" t="n">
        <v>29.42</v>
      </c>
      <c r="K2439" t="inlineStr">
        <is>
          <t>20250617-49</t>
        </is>
      </c>
    </row>
    <row r="2441">
      <c r="A2441" t="inlineStr">
        <is>
          <t>Compound 59:  6-14 diPAP 1 +</t>
        </is>
      </c>
    </row>
    <row r="2443">
      <c r="B2443" t="inlineStr">
        <is>
          <t>Sample Text</t>
        </is>
      </c>
      <c r="C2443" t="inlineStr">
        <is>
          <t>Std. Conc</t>
        </is>
      </c>
      <c r="D2443" t="inlineStr">
        <is>
          <t>RT</t>
        </is>
      </c>
      <c r="E2443" t="inlineStr">
        <is>
          <t>Area</t>
        </is>
      </c>
      <c r="F2443" t="inlineStr">
        <is>
          <t>IS Area</t>
        </is>
      </c>
      <c r="G2443" t="inlineStr">
        <is>
          <t>S/N</t>
        </is>
      </c>
      <c r="H2443" t="inlineStr">
        <is>
          <t>Primary Flags</t>
        </is>
      </c>
      <c r="I2443" t="inlineStr">
        <is>
          <t>Response</t>
        </is>
      </c>
      <c r="J2443" t="inlineStr">
        <is>
          <t>Conc.</t>
        </is>
      </c>
      <c r="K2443" t="inlineStr">
        <is>
          <t>Name</t>
        </is>
      </c>
    </row>
    <row r="2444">
      <c r="A2444" t="n">
        <v>1</v>
      </c>
      <c r="F2444" t="n">
        <v>19473.51</v>
      </c>
      <c r="K2444" t="inlineStr">
        <is>
          <t>20250617-12</t>
        </is>
      </c>
    </row>
    <row r="2445">
      <c r="A2445" t="n">
        <v>2</v>
      </c>
      <c r="F2445" t="n">
        <v>13285.255</v>
      </c>
      <c r="K2445" t="inlineStr">
        <is>
          <t>20250617-13</t>
        </is>
      </c>
    </row>
    <row r="2446">
      <c r="A2446" t="n">
        <v>3</v>
      </c>
      <c r="F2446" t="n">
        <v>16010.102</v>
      </c>
      <c r="K2446" t="inlineStr">
        <is>
          <t>20250617-14</t>
        </is>
      </c>
    </row>
    <row r="2447">
      <c r="A2447" t="n">
        <v>4</v>
      </c>
      <c r="F2447" t="n">
        <v>14214.025</v>
      </c>
      <c r="K2447" t="inlineStr">
        <is>
          <t>20250617-15</t>
        </is>
      </c>
    </row>
    <row r="2448">
      <c r="A2448" t="n">
        <v>5</v>
      </c>
      <c r="F2448" t="n">
        <v>21931.449</v>
      </c>
      <c r="K2448" t="inlineStr">
        <is>
          <t>20250617-16</t>
        </is>
      </c>
    </row>
    <row r="2449">
      <c r="A2449" t="n">
        <v>6</v>
      </c>
      <c r="F2449" t="n">
        <v>17537.508</v>
      </c>
      <c r="K2449" t="inlineStr">
        <is>
          <t>20250617-17</t>
        </is>
      </c>
    </row>
    <row r="2450">
      <c r="A2450" t="n">
        <v>7</v>
      </c>
      <c r="F2450" t="n">
        <v>29293.133</v>
      </c>
      <c r="K2450" t="inlineStr">
        <is>
          <t>20250617-18</t>
        </is>
      </c>
    </row>
    <row r="2451">
      <c r="A2451" t="n">
        <v>8</v>
      </c>
      <c r="F2451" t="n">
        <v>13919.142</v>
      </c>
      <c r="K2451" t="inlineStr">
        <is>
          <t>20250617-19</t>
        </is>
      </c>
    </row>
    <row r="2452">
      <c r="A2452" t="n">
        <v>9</v>
      </c>
      <c r="K2452" t="inlineStr">
        <is>
          <t>20250617-20</t>
        </is>
      </c>
    </row>
    <row r="2453">
      <c r="A2453" t="n">
        <v>10</v>
      </c>
      <c r="K2453" t="inlineStr">
        <is>
          <t>20250617-21</t>
        </is>
      </c>
    </row>
    <row r="2454">
      <c r="A2454" t="n">
        <v>11</v>
      </c>
      <c r="F2454" t="n">
        <v>5289.194</v>
      </c>
      <c r="K2454" t="inlineStr">
        <is>
          <t>20250617-22</t>
        </is>
      </c>
    </row>
    <row r="2455">
      <c r="A2455" t="n">
        <v>12</v>
      </c>
      <c r="F2455" t="n">
        <v>6667.125</v>
      </c>
      <c r="K2455" t="inlineStr">
        <is>
          <t>20250617-23</t>
        </is>
      </c>
    </row>
    <row r="2456">
      <c r="A2456" t="n">
        <v>13</v>
      </c>
      <c r="F2456" t="n">
        <v>5460.875</v>
      </c>
      <c r="K2456" t="inlineStr">
        <is>
          <t>20250617-24</t>
        </is>
      </c>
    </row>
    <row r="2457">
      <c r="A2457" t="n">
        <v>14</v>
      </c>
      <c r="F2457" t="n">
        <v>6517.947</v>
      </c>
      <c r="K2457" t="inlineStr">
        <is>
          <t>20250617-25</t>
        </is>
      </c>
    </row>
    <row r="2458">
      <c r="A2458" t="n">
        <v>15</v>
      </c>
      <c r="F2458" t="n">
        <v>6712.642</v>
      </c>
      <c r="K2458" t="inlineStr">
        <is>
          <t>20250617-26</t>
        </is>
      </c>
    </row>
    <row r="2459">
      <c r="A2459" t="n">
        <v>16</v>
      </c>
      <c r="F2459" t="n">
        <v>6363.637</v>
      </c>
      <c r="K2459" t="inlineStr">
        <is>
          <t>20250617-27</t>
        </is>
      </c>
    </row>
    <row r="2460">
      <c r="A2460" t="n">
        <v>17</v>
      </c>
      <c r="K2460" t="inlineStr">
        <is>
          <t>20250617-28</t>
        </is>
      </c>
    </row>
    <row r="2461">
      <c r="A2461" t="n">
        <v>18</v>
      </c>
      <c r="F2461" t="n">
        <v>3930.075</v>
      </c>
      <c r="K2461" t="inlineStr">
        <is>
          <t>20250617-29</t>
        </is>
      </c>
    </row>
    <row r="2462">
      <c r="A2462" t="n">
        <v>19</v>
      </c>
      <c r="F2462" t="n">
        <v>6277.964</v>
      </c>
      <c r="K2462" t="inlineStr">
        <is>
          <t>20250617-30</t>
        </is>
      </c>
    </row>
    <row r="2463">
      <c r="A2463" t="n">
        <v>20</v>
      </c>
      <c r="F2463" t="n">
        <v>2207.119</v>
      </c>
      <c r="K2463" t="inlineStr">
        <is>
          <t>20250617-31</t>
        </is>
      </c>
    </row>
    <row r="2464">
      <c r="A2464" t="n">
        <v>21</v>
      </c>
      <c r="K2464" t="inlineStr">
        <is>
          <t>20250617-32</t>
        </is>
      </c>
    </row>
    <row r="2465">
      <c r="A2465" t="n">
        <v>22</v>
      </c>
      <c r="F2465" t="n">
        <v>4603.346</v>
      </c>
      <c r="K2465" t="inlineStr">
        <is>
          <t>20250617-33</t>
        </is>
      </c>
    </row>
    <row r="2466">
      <c r="A2466" t="n">
        <v>23</v>
      </c>
      <c r="F2466" t="n">
        <v>4832.73</v>
      </c>
      <c r="K2466" t="inlineStr">
        <is>
          <t>20250617-34</t>
        </is>
      </c>
    </row>
    <row r="2467">
      <c r="A2467" t="n">
        <v>24</v>
      </c>
      <c r="F2467" t="n">
        <v>5250.105</v>
      </c>
      <c r="K2467" t="inlineStr">
        <is>
          <t>20250617-35</t>
        </is>
      </c>
    </row>
    <row r="2468">
      <c r="A2468" t="n">
        <v>25</v>
      </c>
      <c r="F2468" t="n">
        <v>4574.33</v>
      </c>
      <c r="K2468" t="inlineStr">
        <is>
          <t>20250617-36</t>
        </is>
      </c>
    </row>
    <row r="2469">
      <c r="A2469" t="n">
        <v>26</v>
      </c>
      <c r="F2469" t="n">
        <v>5271.769</v>
      </c>
      <c r="K2469" t="inlineStr">
        <is>
          <t>20250617-37</t>
        </is>
      </c>
    </row>
    <row r="2470">
      <c r="A2470" t="n">
        <v>27</v>
      </c>
      <c r="F2470" t="n">
        <v>4675.447</v>
      </c>
      <c r="K2470" t="inlineStr">
        <is>
          <t>20250617-38</t>
        </is>
      </c>
    </row>
    <row r="2471">
      <c r="A2471" t="n">
        <v>28</v>
      </c>
      <c r="K2471" t="inlineStr">
        <is>
          <t>20250617-39</t>
        </is>
      </c>
    </row>
    <row r="2472">
      <c r="A2472" t="n">
        <v>29</v>
      </c>
      <c r="F2472" t="n">
        <v>3868.886</v>
      </c>
      <c r="K2472" t="inlineStr">
        <is>
          <t>20250617-40</t>
        </is>
      </c>
    </row>
    <row r="2473">
      <c r="A2473" t="n">
        <v>30</v>
      </c>
      <c r="F2473" t="n">
        <v>5558.256</v>
      </c>
      <c r="K2473" t="inlineStr">
        <is>
          <t>20250617-41</t>
        </is>
      </c>
    </row>
    <row r="2474">
      <c r="A2474" t="n">
        <v>31</v>
      </c>
      <c r="F2474" t="n">
        <v>5019.609</v>
      </c>
      <c r="K2474" t="inlineStr">
        <is>
          <t>20250617-42</t>
        </is>
      </c>
    </row>
    <row r="2475">
      <c r="A2475" t="n">
        <v>32</v>
      </c>
      <c r="F2475" t="n">
        <v>4571.521</v>
      </c>
      <c r="K2475" t="inlineStr">
        <is>
          <t>20250617-43</t>
        </is>
      </c>
    </row>
    <row r="2476">
      <c r="A2476" t="n">
        <v>33</v>
      </c>
      <c r="F2476" t="n">
        <v>5043.437</v>
      </c>
      <c r="K2476" t="inlineStr">
        <is>
          <t>20250617-44</t>
        </is>
      </c>
    </row>
    <row r="2477">
      <c r="A2477" t="n">
        <v>34</v>
      </c>
      <c r="F2477" t="n">
        <v>5033.665</v>
      </c>
      <c r="K2477" t="inlineStr">
        <is>
          <t>20250617-45</t>
        </is>
      </c>
    </row>
    <row r="2478">
      <c r="A2478" t="n">
        <v>35</v>
      </c>
      <c r="K2478" t="inlineStr">
        <is>
          <t>20250617-46</t>
        </is>
      </c>
    </row>
    <row r="2479">
      <c r="A2479" t="n">
        <v>36</v>
      </c>
      <c r="F2479" t="n">
        <v>3966.205</v>
      </c>
      <c r="K2479" t="inlineStr">
        <is>
          <t>20250617-47</t>
        </is>
      </c>
    </row>
    <row r="2480">
      <c r="A2480" t="n">
        <v>37</v>
      </c>
      <c r="F2480" t="n">
        <v>3977.533</v>
      </c>
      <c r="K2480" t="inlineStr">
        <is>
          <t>20250617-48</t>
        </is>
      </c>
    </row>
    <row r="2481">
      <c r="A2481" t="n">
        <v>38</v>
      </c>
      <c r="F2481" t="n">
        <v>3666.082</v>
      </c>
      <c r="K2481" t="inlineStr">
        <is>
          <t>20250617-49</t>
        </is>
      </c>
    </row>
    <row r="2483">
      <c r="A2483" t="inlineStr">
        <is>
          <t>Compound 60:  diSAmPAP 1</t>
        </is>
      </c>
    </row>
    <row r="2485">
      <c r="B2485" t="inlineStr">
        <is>
          <t>Sample Text</t>
        </is>
      </c>
      <c r="C2485" t="inlineStr">
        <is>
          <t>Std. Conc</t>
        </is>
      </c>
      <c r="D2485" t="inlineStr">
        <is>
          <t>RT</t>
        </is>
      </c>
      <c r="E2485" t="inlineStr">
        <is>
          <t>Area</t>
        </is>
      </c>
      <c r="F2485" t="inlineStr">
        <is>
          <t>IS Area</t>
        </is>
      </c>
      <c r="G2485" t="inlineStr">
        <is>
          <t>S/N</t>
        </is>
      </c>
      <c r="H2485" t="inlineStr">
        <is>
          <t>Primary Flags</t>
        </is>
      </c>
      <c r="I2485" t="inlineStr">
        <is>
          <t>Response</t>
        </is>
      </c>
      <c r="J2485" t="inlineStr">
        <is>
          <t>Conc.</t>
        </is>
      </c>
      <c r="K2485" t="inlineStr">
        <is>
          <t>Name</t>
        </is>
      </c>
    </row>
    <row r="2486">
      <c r="A2486" t="n">
        <v>1</v>
      </c>
      <c r="B2486" t="inlineStr">
        <is>
          <t>EPA1633 &amp; diPAPs Calibration 0 ppb</t>
        </is>
      </c>
      <c r="F2486" t="n">
        <v>1343.627</v>
      </c>
      <c r="K2486" t="inlineStr">
        <is>
          <t>20250617-12</t>
        </is>
      </c>
    </row>
    <row r="2487">
      <c r="A2487" t="n">
        <v>2</v>
      </c>
      <c r="B2487" t="inlineStr">
        <is>
          <t>EPA1633 &amp; diPAPs Calibration 0.02 ppb</t>
        </is>
      </c>
      <c r="F2487" t="n">
        <v>633.474</v>
      </c>
      <c r="K2487" t="inlineStr">
        <is>
          <t>20250617-13</t>
        </is>
      </c>
    </row>
    <row r="2488">
      <c r="A2488" t="n">
        <v>3</v>
      </c>
      <c r="B2488" t="inlineStr">
        <is>
          <t>EPA1633 &amp; diPAPs Calibration 0.1 ppb</t>
        </is>
      </c>
      <c r="F2488" t="n">
        <v>645.6369999999999</v>
      </c>
      <c r="K2488" t="inlineStr">
        <is>
          <t>20250617-14</t>
        </is>
      </c>
    </row>
    <row r="2489">
      <c r="A2489" t="n">
        <v>4</v>
      </c>
      <c r="B2489" t="inlineStr">
        <is>
          <t>EPA1633 &amp; diPAPs Calibration 0.4 ppb</t>
        </is>
      </c>
      <c r="F2489" t="n">
        <v>750.9640000000001</v>
      </c>
      <c r="K2489" t="inlineStr">
        <is>
          <t>20250617-15</t>
        </is>
      </c>
    </row>
    <row r="2490">
      <c r="A2490" t="n">
        <v>5</v>
      </c>
      <c r="B2490" t="inlineStr">
        <is>
          <t>EPA1633 &amp; diPAPs Calibration 1 ppb</t>
        </is>
      </c>
      <c r="F2490" t="n">
        <v>827.3049999999999</v>
      </c>
      <c r="K2490" t="inlineStr">
        <is>
          <t>20250617-16</t>
        </is>
      </c>
    </row>
    <row r="2491">
      <c r="A2491" t="n">
        <v>6</v>
      </c>
      <c r="B2491" t="inlineStr">
        <is>
          <t>EPA1633 &amp; diPAPs Calibration 5 ppb</t>
        </is>
      </c>
      <c r="D2491" t="n">
        <v>13.58</v>
      </c>
      <c r="E2491" t="n">
        <v>11.734</v>
      </c>
      <c r="F2491" t="n">
        <v>802.204</v>
      </c>
      <c r="G2491" t="n">
        <v>4.723</v>
      </c>
      <c r="H2491" t="inlineStr">
        <is>
          <t>bb</t>
        </is>
      </c>
      <c r="K2491" t="inlineStr">
        <is>
          <t>20250617-17</t>
        </is>
      </c>
    </row>
    <row r="2492">
      <c r="A2492" t="n">
        <v>7</v>
      </c>
      <c r="B2492" t="inlineStr">
        <is>
          <t>EPA1633 &amp; diPAPs Calibration 10 ppb</t>
        </is>
      </c>
      <c r="D2492" t="n">
        <v>13.58</v>
      </c>
      <c r="E2492" t="n">
        <v>39.006</v>
      </c>
      <c r="F2492" t="n">
        <v>1562.616</v>
      </c>
      <c r="G2492" t="n">
        <v>5.225</v>
      </c>
      <c r="H2492" t="inlineStr">
        <is>
          <t>bb</t>
        </is>
      </c>
      <c r="K2492" t="inlineStr">
        <is>
          <t>20250617-18</t>
        </is>
      </c>
    </row>
    <row r="2493">
      <c r="A2493" t="n">
        <v>8</v>
      </c>
      <c r="B2493" t="inlineStr">
        <is>
          <t>EPA1633 &amp; diPAPs Calibration 20 ppb</t>
        </is>
      </c>
      <c r="D2493" t="n">
        <v>13.59</v>
      </c>
      <c r="E2493" t="n">
        <v>14.844</v>
      </c>
      <c r="F2493" t="n">
        <v>611.3339999999999</v>
      </c>
      <c r="G2493" t="n">
        <v>136</v>
      </c>
      <c r="H2493" t="inlineStr">
        <is>
          <t>bb</t>
        </is>
      </c>
      <c r="K2493" t="inlineStr">
        <is>
          <t>20250617-19</t>
        </is>
      </c>
    </row>
    <row r="2494">
      <c r="A2494" t="n">
        <v>9</v>
      </c>
      <c r="B2494" t="inlineStr">
        <is>
          <t>MeOH</t>
        </is>
      </c>
      <c r="K2494" t="inlineStr">
        <is>
          <t>20250617-20</t>
        </is>
      </c>
    </row>
    <row r="2495">
      <c r="A2495" t="n">
        <v>10</v>
      </c>
      <c r="B2495" t="inlineStr">
        <is>
          <t>MeOH</t>
        </is>
      </c>
      <c r="K2495" t="inlineStr">
        <is>
          <t>20250617-21</t>
        </is>
      </c>
    </row>
    <row r="2496">
      <c r="A2496" t="n">
        <v>11</v>
      </c>
      <c r="B2496" t="inlineStr">
        <is>
          <t>SB1</t>
        </is>
      </c>
      <c r="F2496" t="n">
        <v>235.495</v>
      </c>
      <c r="K2496" t="inlineStr">
        <is>
          <t>20250617-22</t>
        </is>
      </c>
    </row>
    <row r="2497">
      <c r="A2497" t="n">
        <v>12</v>
      </c>
      <c r="B2497" t="inlineStr">
        <is>
          <t>SB2</t>
        </is>
      </c>
      <c r="F2497" t="n">
        <v>273.33</v>
      </c>
      <c r="K2497" t="inlineStr">
        <is>
          <t>20250617-23</t>
        </is>
      </c>
    </row>
    <row r="2498">
      <c r="A2498" t="n">
        <v>13</v>
      </c>
      <c r="B2498" t="inlineStr">
        <is>
          <t>SB3</t>
        </is>
      </c>
      <c r="F2498" t="n">
        <v>129.33</v>
      </c>
      <c r="K2498" t="inlineStr">
        <is>
          <t>20250617-24</t>
        </is>
      </c>
    </row>
    <row r="2499">
      <c r="A2499" t="n">
        <v>14</v>
      </c>
      <c r="B2499" t="inlineStr">
        <is>
          <t>SS1</t>
        </is>
      </c>
      <c r="F2499" t="n">
        <v>253.728</v>
      </c>
      <c r="K2499" t="inlineStr">
        <is>
          <t>20250617-25</t>
        </is>
      </c>
    </row>
    <row r="2500">
      <c r="A2500" t="n">
        <v>15</v>
      </c>
      <c r="B2500" t="inlineStr">
        <is>
          <t>SS2</t>
        </is>
      </c>
      <c r="F2500" t="n">
        <v>141.602</v>
      </c>
      <c r="K2500" t="inlineStr">
        <is>
          <t>20250617-26</t>
        </is>
      </c>
    </row>
    <row r="2501">
      <c r="A2501" t="n">
        <v>16</v>
      </c>
      <c r="B2501" t="inlineStr">
        <is>
          <t>SS3</t>
        </is>
      </c>
      <c r="F2501" t="n">
        <v>190.637</v>
      </c>
      <c r="K2501" t="inlineStr">
        <is>
          <t>20250617-27</t>
        </is>
      </c>
    </row>
    <row r="2502">
      <c r="A2502" t="n">
        <v>17</v>
      </c>
      <c r="B2502" t="inlineStr">
        <is>
          <t>MeOH</t>
        </is>
      </c>
      <c r="K2502" t="inlineStr">
        <is>
          <t>20250617-28</t>
        </is>
      </c>
    </row>
    <row r="2503">
      <c r="A2503" t="n">
        <v>18</v>
      </c>
      <c r="B2503" t="inlineStr">
        <is>
          <t>K4-5A</t>
        </is>
      </c>
      <c r="F2503" t="n">
        <v>73.511</v>
      </c>
      <c r="K2503" t="inlineStr">
        <is>
          <t>20250617-29</t>
        </is>
      </c>
    </row>
    <row r="2504">
      <c r="A2504" t="n">
        <v>19</v>
      </c>
      <c r="B2504" t="inlineStr">
        <is>
          <t>K4-5B</t>
        </is>
      </c>
      <c r="F2504" t="n">
        <v>168.771</v>
      </c>
      <c r="K2504" t="inlineStr">
        <is>
          <t>20250617-30</t>
        </is>
      </c>
    </row>
    <row r="2505">
      <c r="A2505" t="n">
        <v>20</v>
      </c>
      <c r="B2505" t="inlineStr">
        <is>
          <t>K4-5C</t>
        </is>
      </c>
      <c r="D2505" t="n">
        <v>12.72</v>
      </c>
      <c r="E2505" t="n">
        <v>0.136</v>
      </c>
      <c r="G2505" t="n">
        <v>1</v>
      </c>
      <c r="H2505" t="inlineStr">
        <is>
          <t>bb</t>
        </is>
      </c>
      <c r="K2505" t="inlineStr">
        <is>
          <t>20250617-31</t>
        </is>
      </c>
    </row>
    <row r="2506">
      <c r="A2506" t="n">
        <v>21</v>
      </c>
      <c r="B2506" t="inlineStr">
        <is>
          <t>MeOH</t>
        </is>
      </c>
      <c r="D2506" t="n">
        <v>13.8</v>
      </c>
      <c r="E2506" t="n">
        <v>0.298</v>
      </c>
      <c r="G2506" t="n">
        <v>3</v>
      </c>
      <c r="H2506" t="inlineStr">
        <is>
          <t>bb</t>
        </is>
      </c>
      <c r="K2506" t="inlineStr">
        <is>
          <t>20250617-32</t>
        </is>
      </c>
    </row>
    <row r="2507">
      <c r="A2507" t="n">
        <v>22</v>
      </c>
      <c r="B2507" t="inlineStr">
        <is>
          <t>K3-1A</t>
        </is>
      </c>
      <c r="F2507" t="n">
        <v>163.196</v>
      </c>
      <c r="K2507" t="inlineStr">
        <is>
          <t>20250617-33</t>
        </is>
      </c>
    </row>
    <row r="2508">
      <c r="A2508" t="n">
        <v>23</v>
      </c>
      <c r="B2508" t="inlineStr">
        <is>
          <t>K3-1B</t>
        </is>
      </c>
      <c r="F2508" t="n">
        <v>57.781</v>
      </c>
      <c r="K2508" t="inlineStr">
        <is>
          <t>20250617-34</t>
        </is>
      </c>
    </row>
    <row r="2509">
      <c r="A2509" t="n">
        <v>24</v>
      </c>
      <c r="B2509" t="inlineStr">
        <is>
          <t>K3-1C</t>
        </is>
      </c>
      <c r="F2509" t="n">
        <v>191.361</v>
      </c>
      <c r="K2509" t="inlineStr">
        <is>
          <t>20250617-35</t>
        </is>
      </c>
    </row>
    <row r="2510">
      <c r="A2510" t="n">
        <v>25</v>
      </c>
      <c r="B2510" t="inlineStr">
        <is>
          <t>K3-2A</t>
        </is>
      </c>
      <c r="F2510" t="n">
        <v>113.81</v>
      </c>
      <c r="K2510" t="inlineStr">
        <is>
          <t>20250617-36</t>
        </is>
      </c>
    </row>
    <row r="2511">
      <c r="A2511" t="n">
        <v>26</v>
      </c>
      <c r="B2511" t="inlineStr">
        <is>
          <t>K3-2B</t>
        </is>
      </c>
      <c r="F2511" t="n">
        <v>85.271</v>
      </c>
      <c r="K2511" t="inlineStr">
        <is>
          <t>20250617-37</t>
        </is>
      </c>
    </row>
    <row r="2512">
      <c r="A2512" t="n">
        <v>27</v>
      </c>
      <c r="B2512" t="inlineStr">
        <is>
          <t>K3-2C</t>
        </is>
      </c>
      <c r="F2512" t="n">
        <v>86.066</v>
      </c>
      <c r="K2512" t="inlineStr">
        <is>
          <t>20250617-38</t>
        </is>
      </c>
    </row>
    <row r="2513">
      <c r="A2513" t="n">
        <v>28</v>
      </c>
      <c r="B2513" t="inlineStr">
        <is>
          <t>MeOH</t>
        </is>
      </c>
      <c r="K2513" t="inlineStr">
        <is>
          <t>20250617-39</t>
        </is>
      </c>
    </row>
    <row r="2514">
      <c r="A2514" t="n">
        <v>29</v>
      </c>
      <c r="B2514" t="inlineStr">
        <is>
          <t>K3-3A</t>
        </is>
      </c>
      <c r="F2514" t="n">
        <v>43.273</v>
      </c>
      <c r="K2514" t="inlineStr">
        <is>
          <t>20250617-40</t>
        </is>
      </c>
    </row>
    <row r="2515">
      <c r="A2515" t="n">
        <v>30</v>
      </c>
      <c r="B2515" t="inlineStr">
        <is>
          <t>K3-3B</t>
        </is>
      </c>
      <c r="F2515" t="n">
        <v>147.53</v>
      </c>
      <c r="K2515" t="inlineStr">
        <is>
          <t>20250617-41</t>
        </is>
      </c>
    </row>
    <row r="2516">
      <c r="A2516" t="n">
        <v>31</v>
      </c>
      <c r="B2516" t="inlineStr">
        <is>
          <t>K3-3C</t>
        </is>
      </c>
      <c r="F2516" t="n">
        <v>100.998</v>
      </c>
      <c r="K2516" t="inlineStr">
        <is>
          <t>20250617-42</t>
        </is>
      </c>
    </row>
    <row r="2517">
      <c r="A2517" t="n">
        <v>32</v>
      </c>
      <c r="B2517" t="inlineStr">
        <is>
          <t>K3-4A</t>
        </is>
      </c>
      <c r="F2517" t="n">
        <v>62.627</v>
      </c>
      <c r="K2517" t="inlineStr">
        <is>
          <t>20250617-43</t>
        </is>
      </c>
    </row>
    <row r="2518">
      <c r="A2518" t="n">
        <v>33</v>
      </c>
      <c r="B2518" t="inlineStr">
        <is>
          <t>K3-4B</t>
        </is>
      </c>
      <c r="F2518" t="n">
        <v>116.61</v>
      </c>
      <c r="K2518" t="inlineStr">
        <is>
          <t>20250617-44</t>
        </is>
      </c>
    </row>
    <row r="2519">
      <c r="A2519" t="n">
        <v>34</v>
      </c>
      <c r="B2519" t="inlineStr">
        <is>
          <t>K3-4C</t>
        </is>
      </c>
      <c r="F2519" t="n">
        <v>125.41</v>
      </c>
      <c r="K2519" t="inlineStr">
        <is>
          <t>20250617-45</t>
        </is>
      </c>
    </row>
    <row r="2520">
      <c r="A2520" t="n">
        <v>35</v>
      </c>
      <c r="B2520" t="inlineStr">
        <is>
          <t>MeOH</t>
        </is>
      </c>
      <c r="K2520" t="inlineStr">
        <is>
          <t>20250617-46</t>
        </is>
      </c>
    </row>
    <row r="2521">
      <c r="A2521" t="n">
        <v>36</v>
      </c>
      <c r="B2521" t="inlineStr">
        <is>
          <t>K3-6A</t>
        </is>
      </c>
      <c r="F2521" t="n">
        <v>54.508</v>
      </c>
      <c r="K2521" t="inlineStr">
        <is>
          <t>20250617-47</t>
        </is>
      </c>
    </row>
    <row r="2522">
      <c r="A2522" t="n">
        <v>37</v>
      </c>
      <c r="B2522" t="inlineStr">
        <is>
          <t>K3-6B</t>
        </is>
      </c>
      <c r="F2522" t="n">
        <v>34.035</v>
      </c>
      <c r="K2522" t="inlineStr">
        <is>
          <t>20250617-48</t>
        </is>
      </c>
    </row>
    <row r="2523">
      <c r="A2523" t="n">
        <v>38</v>
      </c>
      <c r="B2523" t="inlineStr">
        <is>
          <t>K3-6C</t>
        </is>
      </c>
      <c r="F2523" t="n">
        <v>29.42</v>
      </c>
      <c r="K2523" t="inlineStr">
        <is>
          <t>20250617-49</t>
        </is>
      </c>
    </row>
    <row r="2525">
      <c r="A2525" t="inlineStr">
        <is>
          <t>Compound 61:  diSAmPAP 2</t>
        </is>
      </c>
    </row>
    <row r="2527">
      <c r="B2527" t="inlineStr">
        <is>
          <t>Sample Text</t>
        </is>
      </c>
      <c r="C2527" t="inlineStr">
        <is>
          <t>Std. Conc</t>
        </is>
      </c>
      <c r="D2527" t="inlineStr">
        <is>
          <t>RT</t>
        </is>
      </c>
      <c r="E2527" t="inlineStr">
        <is>
          <t>Area</t>
        </is>
      </c>
      <c r="F2527" t="inlineStr">
        <is>
          <t>IS Area</t>
        </is>
      </c>
      <c r="G2527" t="inlineStr">
        <is>
          <t>S/N</t>
        </is>
      </c>
      <c r="H2527" t="inlineStr">
        <is>
          <t>Primary Flags</t>
        </is>
      </c>
      <c r="I2527" t="inlineStr">
        <is>
          <t>Response</t>
        </is>
      </c>
      <c r="J2527" t="inlineStr">
        <is>
          <t>Conc.</t>
        </is>
      </c>
      <c r="K2527" t="inlineStr">
        <is>
          <t>Name</t>
        </is>
      </c>
    </row>
    <row r="2528">
      <c r="A2528" t="n">
        <v>1</v>
      </c>
      <c r="B2528" t="inlineStr">
        <is>
          <t>EPA1633 &amp; diPAPs Calibration 0 ppb</t>
        </is>
      </c>
      <c r="F2528" t="n">
        <v>3123.66</v>
      </c>
      <c r="K2528" t="inlineStr">
        <is>
          <t>20250617-12</t>
        </is>
      </c>
    </row>
    <row r="2529">
      <c r="A2529" t="n">
        <v>2</v>
      </c>
      <c r="B2529" t="inlineStr">
        <is>
          <t>EPA1633 &amp; diPAPs Calibration 0.02 ppb</t>
        </is>
      </c>
      <c r="F2529" t="n">
        <v>1988.362</v>
      </c>
      <c r="K2529" t="inlineStr">
        <is>
          <t>20250617-13</t>
        </is>
      </c>
    </row>
    <row r="2530">
      <c r="A2530" t="n">
        <v>3</v>
      </c>
      <c r="B2530" t="inlineStr">
        <is>
          <t>EPA1633 &amp; diPAPs Calibration 0.1 ppb</t>
        </is>
      </c>
      <c r="F2530" t="n">
        <v>2172.051</v>
      </c>
      <c r="K2530" t="inlineStr">
        <is>
          <t>20250617-14</t>
        </is>
      </c>
    </row>
    <row r="2531">
      <c r="A2531" t="n">
        <v>4</v>
      </c>
      <c r="B2531" t="inlineStr">
        <is>
          <t>EPA1633 &amp; diPAPs Calibration 0.4 ppb</t>
        </is>
      </c>
      <c r="F2531" t="n">
        <v>2307.023</v>
      </c>
      <c r="K2531" t="inlineStr">
        <is>
          <t>20250617-15</t>
        </is>
      </c>
    </row>
    <row r="2532">
      <c r="A2532" t="n">
        <v>5</v>
      </c>
      <c r="B2532" t="inlineStr">
        <is>
          <t>EPA1633 &amp; diPAPs Calibration 1 ppb</t>
        </is>
      </c>
      <c r="F2532" t="n">
        <v>1818.826</v>
      </c>
      <c r="K2532" t="inlineStr">
        <is>
          <t>20250617-16</t>
        </is>
      </c>
    </row>
    <row r="2533">
      <c r="A2533" t="n">
        <v>6</v>
      </c>
      <c r="B2533" t="inlineStr">
        <is>
          <t>EPA1633 &amp; diPAPs Calibration 5 ppb</t>
        </is>
      </c>
      <c r="F2533" t="n">
        <v>1651.747</v>
      </c>
      <c r="K2533" t="inlineStr">
        <is>
          <t>20250617-17</t>
        </is>
      </c>
    </row>
    <row r="2534">
      <c r="A2534" t="n">
        <v>7</v>
      </c>
      <c r="B2534" t="inlineStr">
        <is>
          <t>EPA1633 &amp; diPAPs Calibration 10 ppb</t>
        </is>
      </c>
      <c r="F2534" t="n">
        <v>5035.45</v>
      </c>
      <c r="K2534" t="inlineStr">
        <is>
          <t>20250617-18</t>
        </is>
      </c>
    </row>
    <row r="2535">
      <c r="A2535" t="n">
        <v>8</v>
      </c>
      <c r="B2535" t="inlineStr">
        <is>
          <t>EPA1633 &amp; diPAPs Calibration 20 ppb</t>
        </is>
      </c>
      <c r="F2535" t="n">
        <v>2142.017</v>
      </c>
      <c r="K2535" t="inlineStr">
        <is>
          <t>20250617-19</t>
        </is>
      </c>
    </row>
    <row r="2536">
      <c r="A2536" t="n">
        <v>9</v>
      </c>
      <c r="B2536" t="inlineStr">
        <is>
          <t>MeOH</t>
        </is>
      </c>
      <c r="K2536" t="inlineStr">
        <is>
          <t>20250617-20</t>
        </is>
      </c>
    </row>
    <row r="2537">
      <c r="A2537" t="n">
        <v>10</v>
      </c>
      <c r="B2537" t="inlineStr">
        <is>
          <t>MeOH</t>
        </is>
      </c>
      <c r="K2537" t="inlineStr">
        <is>
          <t>20250617-21</t>
        </is>
      </c>
    </row>
    <row r="2538">
      <c r="A2538" t="n">
        <v>11</v>
      </c>
      <c r="B2538" t="inlineStr">
        <is>
          <t>SB1</t>
        </is>
      </c>
      <c r="D2538" t="n">
        <v>13.81</v>
      </c>
      <c r="E2538" t="n">
        <v>0.538</v>
      </c>
      <c r="F2538" t="n">
        <v>588.622</v>
      </c>
      <c r="G2538" t="n">
        <v>5</v>
      </c>
      <c r="H2538" t="inlineStr">
        <is>
          <t>MM</t>
        </is>
      </c>
      <c r="K2538" t="inlineStr">
        <is>
          <t>20250617-22</t>
        </is>
      </c>
    </row>
    <row r="2539">
      <c r="A2539" t="n">
        <v>12</v>
      </c>
      <c r="B2539" t="inlineStr">
        <is>
          <t>SB2</t>
        </is>
      </c>
      <c r="F2539" t="n">
        <v>886.918</v>
      </c>
      <c r="K2539" t="inlineStr">
        <is>
          <t>20250617-23</t>
        </is>
      </c>
    </row>
    <row r="2540">
      <c r="A2540" t="n">
        <v>13</v>
      </c>
      <c r="B2540" t="inlineStr">
        <is>
          <t>SB3</t>
        </is>
      </c>
      <c r="D2540" t="n">
        <v>13.4</v>
      </c>
      <c r="E2540" t="n">
        <v>0.255</v>
      </c>
      <c r="F2540" t="n">
        <v>608.25</v>
      </c>
      <c r="G2540" t="n">
        <v>2</v>
      </c>
      <c r="H2540" t="inlineStr">
        <is>
          <t>MM</t>
        </is>
      </c>
      <c r="K2540" t="inlineStr">
        <is>
          <t>20250617-24</t>
        </is>
      </c>
    </row>
    <row r="2541">
      <c r="A2541" t="n">
        <v>14</v>
      </c>
      <c r="B2541" t="inlineStr">
        <is>
          <t>SS1</t>
        </is>
      </c>
      <c r="F2541" t="n">
        <v>780.986</v>
      </c>
      <c r="K2541" t="inlineStr">
        <is>
          <t>20250617-25</t>
        </is>
      </c>
    </row>
    <row r="2542">
      <c r="A2542" t="n">
        <v>15</v>
      </c>
      <c r="B2542" t="inlineStr">
        <is>
          <t>SS2</t>
        </is>
      </c>
      <c r="F2542" t="n">
        <v>821.647</v>
      </c>
      <c r="K2542" t="inlineStr">
        <is>
          <t>20250617-26</t>
        </is>
      </c>
    </row>
    <row r="2543">
      <c r="A2543" t="n">
        <v>16</v>
      </c>
      <c r="B2543" t="inlineStr">
        <is>
          <t>SS3</t>
        </is>
      </c>
      <c r="F2543" t="n">
        <v>561.066</v>
      </c>
      <c r="K2543" t="inlineStr">
        <is>
          <t>20250617-27</t>
        </is>
      </c>
    </row>
    <row r="2544">
      <c r="A2544" t="n">
        <v>17</v>
      </c>
      <c r="B2544" t="inlineStr">
        <is>
          <t>MeOH</t>
        </is>
      </c>
      <c r="K2544" t="inlineStr">
        <is>
          <t>20250617-28</t>
        </is>
      </c>
    </row>
    <row r="2545">
      <c r="A2545" t="n">
        <v>18</v>
      </c>
      <c r="B2545" t="inlineStr">
        <is>
          <t>K4-5A</t>
        </is>
      </c>
      <c r="D2545" t="n">
        <v>14.04</v>
      </c>
      <c r="E2545" t="n">
        <v>0.113</v>
      </c>
      <c r="F2545" t="n">
        <v>608.375</v>
      </c>
      <c r="G2545" t="n">
        <v>1</v>
      </c>
      <c r="H2545" t="inlineStr">
        <is>
          <t>MM</t>
        </is>
      </c>
      <c r="K2545" t="inlineStr">
        <is>
          <t>20250617-29</t>
        </is>
      </c>
    </row>
    <row r="2546">
      <c r="A2546" t="n">
        <v>19</v>
      </c>
      <c r="B2546" t="inlineStr">
        <is>
          <t>K4-5B</t>
        </is>
      </c>
      <c r="D2546" t="n">
        <v>14.07</v>
      </c>
      <c r="E2546" t="n">
        <v>0.234</v>
      </c>
      <c r="F2546" t="n">
        <v>605.4109999999999</v>
      </c>
      <c r="G2546" t="n">
        <v>3</v>
      </c>
      <c r="H2546" t="inlineStr">
        <is>
          <t>MM</t>
        </is>
      </c>
      <c r="K2546" t="inlineStr">
        <is>
          <t>20250617-30</t>
        </is>
      </c>
    </row>
    <row r="2547">
      <c r="A2547" t="n">
        <v>20</v>
      </c>
      <c r="B2547" t="inlineStr">
        <is>
          <t>K4-5C</t>
        </is>
      </c>
      <c r="D2547" t="n">
        <v>14.24</v>
      </c>
      <c r="E2547" t="n">
        <v>0.117</v>
      </c>
      <c r="G2547" t="n">
        <v>1</v>
      </c>
      <c r="H2547" t="inlineStr">
        <is>
          <t>MM</t>
        </is>
      </c>
      <c r="K2547" t="inlineStr">
        <is>
          <t>20250617-31</t>
        </is>
      </c>
    </row>
    <row r="2548">
      <c r="A2548" t="n">
        <v>21</v>
      </c>
      <c r="B2548" t="inlineStr">
        <is>
          <t>MeOH</t>
        </is>
      </c>
      <c r="K2548" t="inlineStr">
        <is>
          <t>20250617-32</t>
        </is>
      </c>
    </row>
    <row r="2549">
      <c r="A2549" t="n">
        <v>22</v>
      </c>
      <c r="B2549" t="inlineStr">
        <is>
          <t>K3-1A</t>
        </is>
      </c>
      <c r="F2549" t="n">
        <v>586.254</v>
      </c>
      <c r="K2549" t="inlineStr">
        <is>
          <t>20250617-33</t>
        </is>
      </c>
    </row>
    <row r="2550">
      <c r="A2550" t="n">
        <v>23</v>
      </c>
      <c r="B2550" t="inlineStr">
        <is>
          <t>K3-1B</t>
        </is>
      </c>
      <c r="F2550" t="n">
        <v>599.562</v>
      </c>
      <c r="K2550" t="inlineStr">
        <is>
          <t>20250617-34</t>
        </is>
      </c>
    </row>
    <row r="2551">
      <c r="A2551" t="n">
        <v>24</v>
      </c>
      <c r="B2551" t="inlineStr">
        <is>
          <t>K3-1C</t>
        </is>
      </c>
      <c r="F2551" t="n">
        <v>676.624</v>
      </c>
      <c r="K2551" t="inlineStr">
        <is>
          <t>20250617-35</t>
        </is>
      </c>
    </row>
    <row r="2552">
      <c r="A2552" t="n">
        <v>25</v>
      </c>
      <c r="B2552" t="inlineStr">
        <is>
          <t>K3-2A</t>
        </is>
      </c>
      <c r="F2552" t="n">
        <v>577.7329999999999</v>
      </c>
      <c r="K2552" t="inlineStr">
        <is>
          <t>20250617-36</t>
        </is>
      </c>
    </row>
    <row r="2553">
      <c r="A2553" t="n">
        <v>26</v>
      </c>
      <c r="B2553" t="inlineStr">
        <is>
          <t>K3-2B</t>
        </is>
      </c>
      <c r="F2553" t="n">
        <v>839.127</v>
      </c>
      <c r="K2553" t="inlineStr">
        <is>
          <t>20250617-37</t>
        </is>
      </c>
    </row>
    <row r="2554">
      <c r="A2554" t="n">
        <v>27</v>
      </c>
      <c r="B2554" t="inlineStr">
        <is>
          <t>K3-2C</t>
        </is>
      </c>
      <c r="F2554" t="n">
        <v>585.352</v>
      </c>
      <c r="K2554" t="inlineStr">
        <is>
          <t>20250617-38</t>
        </is>
      </c>
    </row>
    <row r="2555">
      <c r="A2555" t="n">
        <v>28</v>
      </c>
      <c r="B2555" t="inlineStr">
        <is>
          <t>MeOH</t>
        </is>
      </c>
      <c r="K2555" t="inlineStr">
        <is>
          <t>20250617-39</t>
        </is>
      </c>
    </row>
    <row r="2556">
      <c r="A2556" t="n">
        <v>29</v>
      </c>
      <c r="B2556" t="inlineStr">
        <is>
          <t>K3-3A</t>
        </is>
      </c>
      <c r="F2556" t="n">
        <v>346.277</v>
      </c>
      <c r="K2556" t="inlineStr">
        <is>
          <t>20250617-40</t>
        </is>
      </c>
    </row>
    <row r="2557">
      <c r="A2557" t="n">
        <v>30</v>
      </c>
      <c r="B2557" t="inlineStr">
        <is>
          <t>K3-3B</t>
        </is>
      </c>
      <c r="F2557" t="n">
        <v>693.228</v>
      </c>
      <c r="K2557" t="inlineStr">
        <is>
          <t>20250617-41</t>
        </is>
      </c>
    </row>
    <row r="2558">
      <c r="A2558" t="n">
        <v>31</v>
      </c>
      <c r="B2558" t="inlineStr">
        <is>
          <t>K3-3C</t>
        </is>
      </c>
      <c r="F2558" t="n">
        <v>529.389</v>
      </c>
      <c r="K2558" t="inlineStr">
        <is>
          <t>20250617-42</t>
        </is>
      </c>
    </row>
    <row r="2559">
      <c r="A2559" t="n">
        <v>32</v>
      </c>
      <c r="B2559" t="inlineStr">
        <is>
          <t>K3-4A</t>
        </is>
      </c>
      <c r="F2559" t="n">
        <v>496.854</v>
      </c>
      <c r="K2559" t="inlineStr">
        <is>
          <t>20250617-43</t>
        </is>
      </c>
    </row>
    <row r="2560">
      <c r="A2560" t="n">
        <v>33</v>
      </c>
      <c r="B2560" t="inlineStr">
        <is>
          <t>K3-4B</t>
        </is>
      </c>
      <c r="F2560" t="n">
        <v>533.124</v>
      </c>
      <c r="K2560" t="inlineStr">
        <is>
          <t>20250617-44</t>
        </is>
      </c>
    </row>
    <row r="2561">
      <c r="A2561" t="n">
        <v>34</v>
      </c>
      <c r="B2561" t="inlineStr">
        <is>
          <t>K3-4C</t>
        </is>
      </c>
      <c r="F2561" t="n">
        <v>606.571</v>
      </c>
      <c r="K2561" t="inlineStr">
        <is>
          <t>20250617-45</t>
        </is>
      </c>
    </row>
    <row r="2562">
      <c r="A2562" t="n">
        <v>35</v>
      </c>
      <c r="B2562" t="inlineStr">
        <is>
          <t>MeOH</t>
        </is>
      </c>
      <c r="K2562" t="inlineStr">
        <is>
          <t>20250617-46</t>
        </is>
      </c>
    </row>
    <row r="2563">
      <c r="A2563" t="n">
        <v>36</v>
      </c>
      <c r="B2563" t="inlineStr">
        <is>
          <t>K3-6A</t>
        </is>
      </c>
      <c r="F2563" t="n">
        <v>354.208</v>
      </c>
      <c r="K2563" t="inlineStr">
        <is>
          <t>20250617-47</t>
        </is>
      </c>
    </row>
    <row r="2564">
      <c r="A2564" t="n">
        <v>37</v>
      </c>
      <c r="B2564" t="inlineStr">
        <is>
          <t>K3-6B</t>
        </is>
      </c>
      <c r="F2564" t="n">
        <v>348.087</v>
      </c>
      <c r="K2564" t="inlineStr">
        <is>
          <t>20250617-48</t>
        </is>
      </c>
    </row>
    <row r="2565">
      <c r="A2565" t="n">
        <v>38</v>
      </c>
      <c r="B2565" t="inlineStr">
        <is>
          <t>K3-6C</t>
        </is>
      </c>
      <c r="F2565" t="n">
        <v>270.181</v>
      </c>
      <c r="K2565" t="inlineStr">
        <is>
          <t>20250617-49</t>
        </is>
      </c>
    </row>
    <row r="2567">
      <c r="A2567" t="inlineStr">
        <is>
          <t>Compound 62:  10-12 diPAP 1 +</t>
        </is>
      </c>
    </row>
    <row r="2569">
      <c r="B2569" t="inlineStr">
        <is>
          <t>Sample Text</t>
        </is>
      </c>
      <c r="C2569" t="inlineStr">
        <is>
          <t>Std. Conc</t>
        </is>
      </c>
      <c r="D2569" t="inlineStr">
        <is>
          <t>RT</t>
        </is>
      </c>
      <c r="E2569" t="inlineStr">
        <is>
          <t>Area</t>
        </is>
      </c>
      <c r="F2569" t="inlineStr">
        <is>
          <t>IS Area</t>
        </is>
      </c>
      <c r="G2569" t="inlineStr">
        <is>
          <t>S/N</t>
        </is>
      </c>
      <c r="H2569" t="inlineStr">
        <is>
          <t>Primary Flags</t>
        </is>
      </c>
      <c r="I2569" t="inlineStr">
        <is>
          <t>Response</t>
        </is>
      </c>
      <c r="J2569" t="inlineStr">
        <is>
          <t>Conc.</t>
        </is>
      </c>
      <c r="K2569" t="inlineStr">
        <is>
          <t>Name</t>
        </is>
      </c>
    </row>
    <row r="2570">
      <c r="A2570" t="n">
        <v>1</v>
      </c>
      <c r="B2570" t="inlineStr">
        <is>
          <t>EPA1633 &amp; diPAPs Calibration 0 ppb</t>
        </is>
      </c>
      <c r="F2570" t="n">
        <v>1343.627</v>
      </c>
      <c r="K2570" t="inlineStr">
        <is>
          <t>20250617-12</t>
        </is>
      </c>
    </row>
    <row r="2571">
      <c r="A2571" t="n">
        <v>2</v>
      </c>
      <c r="B2571" t="inlineStr">
        <is>
          <t>EPA1633 &amp; diPAPs Calibration 0.02 ppb</t>
        </is>
      </c>
      <c r="F2571" t="n">
        <v>633.474</v>
      </c>
      <c r="K2571" t="inlineStr">
        <is>
          <t>20250617-13</t>
        </is>
      </c>
    </row>
    <row r="2572">
      <c r="A2572" t="n">
        <v>3</v>
      </c>
      <c r="B2572" t="inlineStr">
        <is>
          <t>EPA1633 &amp; diPAPs Calibration 0.1 ppb</t>
        </is>
      </c>
      <c r="F2572" t="n">
        <v>645.6369999999999</v>
      </c>
      <c r="K2572" t="inlineStr">
        <is>
          <t>20250617-14</t>
        </is>
      </c>
    </row>
    <row r="2573">
      <c r="A2573" t="n">
        <v>4</v>
      </c>
      <c r="B2573" t="inlineStr">
        <is>
          <t>EPA1633 &amp; diPAPs Calibration 0.4 ppb</t>
        </is>
      </c>
      <c r="F2573" t="n">
        <v>750.9640000000001</v>
      </c>
      <c r="K2573" t="inlineStr">
        <is>
          <t>20250617-15</t>
        </is>
      </c>
    </row>
    <row r="2574">
      <c r="A2574" t="n">
        <v>5</v>
      </c>
      <c r="B2574" t="inlineStr">
        <is>
          <t>EPA1633 &amp; diPAPs Calibration 1 ppb</t>
        </is>
      </c>
      <c r="F2574" t="n">
        <v>827.3049999999999</v>
      </c>
      <c r="K2574" t="inlineStr">
        <is>
          <t>20250617-16</t>
        </is>
      </c>
    </row>
    <row r="2575">
      <c r="A2575" t="n">
        <v>6</v>
      </c>
      <c r="B2575" t="inlineStr">
        <is>
          <t>EPA1633 &amp; diPAPs Calibration 5 ppb</t>
        </is>
      </c>
      <c r="F2575" t="n">
        <v>802.204</v>
      </c>
      <c r="K2575" t="inlineStr">
        <is>
          <t>20250617-17</t>
        </is>
      </c>
    </row>
    <row r="2576">
      <c r="A2576" t="n">
        <v>7</v>
      </c>
      <c r="B2576" t="inlineStr">
        <is>
          <t>EPA1633 &amp; diPAPs Calibration 10 ppb</t>
        </is>
      </c>
      <c r="F2576" t="n">
        <v>1562.616</v>
      </c>
      <c r="K2576" t="inlineStr">
        <is>
          <t>20250617-18</t>
        </is>
      </c>
    </row>
    <row r="2577">
      <c r="A2577" t="n">
        <v>8</v>
      </c>
      <c r="B2577" t="inlineStr">
        <is>
          <t>EPA1633 &amp; diPAPs Calibration 20 ppb</t>
        </is>
      </c>
      <c r="F2577" t="n">
        <v>611.3339999999999</v>
      </c>
      <c r="K2577" t="inlineStr">
        <is>
          <t>20250617-19</t>
        </is>
      </c>
    </row>
    <row r="2578">
      <c r="A2578" t="n">
        <v>9</v>
      </c>
      <c r="B2578" t="inlineStr">
        <is>
          <t>MeOH</t>
        </is>
      </c>
      <c r="K2578" t="inlineStr">
        <is>
          <t>20250617-20</t>
        </is>
      </c>
    </row>
    <row r="2579">
      <c r="A2579" t="n">
        <v>10</v>
      </c>
      <c r="B2579" t="inlineStr">
        <is>
          <t>MeOH</t>
        </is>
      </c>
      <c r="K2579" t="inlineStr">
        <is>
          <t>20250617-21</t>
        </is>
      </c>
    </row>
    <row r="2580">
      <c r="A2580" t="n">
        <v>11</v>
      </c>
      <c r="B2580" t="inlineStr">
        <is>
          <t>SB1</t>
        </is>
      </c>
      <c r="F2580" t="n">
        <v>235.495</v>
      </c>
      <c r="K2580" t="inlineStr">
        <is>
          <t>20250617-22</t>
        </is>
      </c>
    </row>
    <row r="2581">
      <c r="A2581" t="n">
        <v>12</v>
      </c>
      <c r="B2581" t="inlineStr">
        <is>
          <t>SB2</t>
        </is>
      </c>
      <c r="F2581" t="n">
        <v>273.33</v>
      </c>
      <c r="K2581" t="inlineStr">
        <is>
          <t>20250617-23</t>
        </is>
      </c>
    </row>
    <row r="2582">
      <c r="A2582" t="n">
        <v>13</v>
      </c>
      <c r="B2582" t="inlineStr">
        <is>
          <t>SB3</t>
        </is>
      </c>
      <c r="F2582" t="n">
        <v>129.33</v>
      </c>
      <c r="K2582" t="inlineStr">
        <is>
          <t>20250617-24</t>
        </is>
      </c>
    </row>
    <row r="2583">
      <c r="A2583" t="n">
        <v>14</v>
      </c>
      <c r="B2583" t="inlineStr">
        <is>
          <t>SS1</t>
        </is>
      </c>
      <c r="F2583" t="n">
        <v>253.728</v>
      </c>
      <c r="K2583" t="inlineStr">
        <is>
          <t>20250617-25</t>
        </is>
      </c>
    </row>
    <row r="2584">
      <c r="A2584" t="n">
        <v>15</v>
      </c>
      <c r="B2584" t="inlineStr">
        <is>
          <t>SS2</t>
        </is>
      </c>
      <c r="F2584" t="n">
        <v>141.602</v>
      </c>
      <c r="K2584" t="inlineStr">
        <is>
          <t>20250617-26</t>
        </is>
      </c>
    </row>
    <row r="2585">
      <c r="A2585" t="n">
        <v>16</v>
      </c>
      <c r="B2585" t="inlineStr">
        <is>
          <t>SS3</t>
        </is>
      </c>
      <c r="F2585" t="n">
        <v>190.637</v>
      </c>
      <c r="K2585" t="inlineStr">
        <is>
          <t>20250617-27</t>
        </is>
      </c>
    </row>
    <row r="2586">
      <c r="A2586" t="n">
        <v>17</v>
      </c>
      <c r="B2586" t="inlineStr">
        <is>
          <t>MeOH</t>
        </is>
      </c>
      <c r="K2586" t="inlineStr">
        <is>
          <t>20250617-28</t>
        </is>
      </c>
    </row>
    <row r="2587">
      <c r="A2587" t="n">
        <v>18</v>
      </c>
      <c r="B2587" t="inlineStr">
        <is>
          <t>K4-5A</t>
        </is>
      </c>
      <c r="F2587" t="n">
        <v>73.511</v>
      </c>
      <c r="K2587" t="inlineStr">
        <is>
          <t>20250617-29</t>
        </is>
      </c>
    </row>
    <row r="2588">
      <c r="A2588" t="n">
        <v>19</v>
      </c>
      <c r="B2588" t="inlineStr">
        <is>
          <t>K4-5B</t>
        </is>
      </c>
      <c r="D2588" t="n">
        <v>15.21</v>
      </c>
      <c r="E2588" t="n">
        <v>0.392</v>
      </c>
      <c r="F2588" t="n">
        <v>168.771</v>
      </c>
      <c r="G2588" t="n">
        <v>3</v>
      </c>
      <c r="H2588" t="inlineStr">
        <is>
          <t>bb</t>
        </is>
      </c>
      <c r="K2588" t="inlineStr">
        <is>
          <t>20250617-30</t>
        </is>
      </c>
    </row>
    <row r="2589">
      <c r="A2589" t="n">
        <v>20</v>
      </c>
      <c r="B2589" t="inlineStr">
        <is>
          <t>K4-5C</t>
        </is>
      </c>
      <c r="K2589" t="inlineStr">
        <is>
          <t>20250617-31</t>
        </is>
      </c>
    </row>
    <row r="2590">
      <c r="A2590" t="n">
        <v>21</v>
      </c>
      <c r="B2590" t="inlineStr">
        <is>
          <t>MeOH</t>
        </is>
      </c>
      <c r="K2590" t="inlineStr">
        <is>
          <t>20250617-32</t>
        </is>
      </c>
    </row>
    <row r="2591">
      <c r="A2591" t="n">
        <v>22</v>
      </c>
      <c r="B2591" t="inlineStr">
        <is>
          <t>K3-1A</t>
        </is>
      </c>
      <c r="F2591" t="n">
        <v>163.196</v>
      </c>
      <c r="K2591" t="inlineStr">
        <is>
          <t>20250617-33</t>
        </is>
      </c>
    </row>
    <row r="2592">
      <c r="A2592" t="n">
        <v>23</v>
      </c>
      <c r="B2592" t="inlineStr">
        <is>
          <t>K3-1B</t>
        </is>
      </c>
      <c r="F2592" t="n">
        <v>57.781</v>
      </c>
      <c r="K2592" t="inlineStr">
        <is>
          <t>20250617-34</t>
        </is>
      </c>
    </row>
    <row r="2593">
      <c r="A2593" t="n">
        <v>24</v>
      </c>
      <c r="B2593" t="inlineStr">
        <is>
          <t>K3-1C</t>
        </is>
      </c>
      <c r="F2593" t="n">
        <v>191.361</v>
      </c>
      <c r="K2593" t="inlineStr">
        <is>
          <t>20250617-35</t>
        </is>
      </c>
    </row>
    <row r="2594">
      <c r="A2594" t="n">
        <v>25</v>
      </c>
      <c r="B2594" t="inlineStr">
        <is>
          <t>K3-2A</t>
        </is>
      </c>
      <c r="F2594" t="n">
        <v>113.81</v>
      </c>
      <c r="K2594" t="inlineStr">
        <is>
          <t>20250617-36</t>
        </is>
      </c>
    </row>
    <row r="2595">
      <c r="A2595" t="n">
        <v>26</v>
      </c>
      <c r="B2595" t="inlineStr">
        <is>
          <t>K3-2B</t>
        </is>
      </c>
      <c r="F2595" t="n">
        <v>85.271</v>
      </c>
      <c r="K2595" t="inlineStr">
        <is>
          <t>20250617-37</t>
        </is>
      </c>
    </row>
    <row r="2596">
      <c r="A2596" t="n">
        <v>27</v>
      </c>
      <c r="B2596" t="inlineStr">
        <is>
          <t>K3-2C</t>
        </is>
      </c>
      <c r="F2596" t="n">
        <v>86.066</v>
      </c>
      <c r="K2596" t="inlineStr">
        <is>
          <t>20250617-38</t>
        </is>
      </c>
    </row>
    <row r="2597">
      <c r="A2597" t="n">
        <v>28</v>
      </c>
      <c r="B2597" t="inlineStr">
        <is>
          <t>MeOH</t>
        </is>
      </c>
      <c r="K2597" t="inlineStr">
        <is>
          <t>20250617-39</t>
        </is>
      </c>
    </row>
    <row r="2598">
      <c r="A2598" t="n">
        <v>29</v>
      </c>
      <c r="B2598" t="inlineStr">
        <is>
          <t>K3-3A</t>
        </is>
      </c>
      <c r="F2598" t="n">
        <v>43.273</v>
      </c>
      <c r="K2598" t="inlineStr">
        <is>
          <t>20250617-40</t>
        </is>
      </c>
    </row>
    <row r="2599">
      <c r="A2599" t="n">
        <v>30</v>
      </c>
      <c r="B2599" t="inlineStr">
        <is>
          <t>K3-3B</t>
        </is>
      </c>
      <c r="F2599" t="n">
        <v>147.53</v>
      </c>
      <c r="K2599" t="inlineStr">
        <is>
          <t>20250617-41</t>
        </is>
      </c>
    </row>
    <row r="2600">
      <c r="A2600" t="n">
        <v>31</v>
      </c>
      <c r="B2600" t="inlineStr">
        <is>
          <t>K3-3C</t>
        </is>
      </c>
      <c r="F2600" t="n">
        <v>100.998</v>
      </c>
      <c r="K2600" t="inlineStr">
        <is>
          <t>20250617-42</t>
        </is>
      </c>
    </row>
    <row r="2601">
      <c r="A2601" t="n">
        <v>32</v>
      </c>
      <c r="B2601" t="inlineStr">
        <is>
          <t>K3-4A</t>
        </is>
      </c>
      <c r="F2601" t="n">
        <v>62.627</v>
      </c>
      <c r="K2601" t="inlineStr">
        <is>
          <t>20250617-43</t>
        </is>
      </c>
    </row>
    <row r="2602">
      <c r="A2602" t="n">
        <v>33</v>
      </c>
      <c r="B2602" t="inlineStr">
        <is>
          <t>K3-4B</t>
        </is>
      </c>
      <c r="F2602" t="n">
        <v>116.61</v>
      </c>
      <c r="K2602" t="inlineStr">
        <is>
          <t>20250617-44</t>
        </is>
      </c>
    </row>
    <row r="2603">
      <c r="A2603" t="n">
        <v>34</v>
      </c>
      <c r="B2603" t="inlineStr">
        <is>
          <t>K3-4C</t>
        </is>
      </c>
      <c r="F2603" t="n">
        <v>125.41</v>
      </c>
      <c r="K2603" t="inlineStr">
        <is>
          <t>20250617-45</t>
        </is>
      </c>
    </row>
    <row r="2604">
      <c r="A2604" t="n">
        <v>35</v>
      </c>
      <c r="B2604" t="inlineStr">
        <is>
          <t>MeOH</t>
        </is>
      </c>
      <c r="K2604" t="inlineStr">
        <is>
          <t>20250617-46</t>
        </is>
      </c>
    </row>
    <row r="2605">
      <c r="A2605" t="n">
        <v>36</v>
      </c>
      <c r="B2605" t="inlineStr">
        <is>
          <t>K3-6A</t>
        </is>
      </c>
      <c r="F2605" t="n">
        <v>54.508</v>
      </c>
      <c r="K2605" t="inlineStr">
        <is>
          <t>20250617-47</t>
        </is>
      </c>
    </row>
    <row r="2606">
      <c r="A2606" t="n">
        <v>37</v>
      </c>
      <c r="B2606" t="inlineStr">
        <is>
          <t>K3-6B</t>
        </is>
      </c>
      <c r="F2606" t="n">
        <v>34.035</v>
      </c>
      <c r="K2606" t="inlineStr">
        <is>
          <t>20250617-48</t>
        </is>
      </c>
    </row>
    <row r="2607">
      <c r="A2607" t="n">
        <v>38</v>
      </c>
      <c r="B2607" t="inlineStr">
        <is>
          <t>K3-6C</t>
        </is>
      </c>
      <c r="F2607" t="n">
        <v>29.42</v>
      </c>
      <c r="K2607" t="inlineStr">
        <is>
          <t>20250617-49</t>
        </is>
      </c>
    </row>
    <row r="2609">
      <c r="A2609" t="inlineStr">
        <is>
          <t>Compound 63:  8-14 diPAP 1 +</t>
        </is>
      </c>
    </row>
    <row r="2611">
      <c r="B2611" t="inlineStr">
        <is>
          <t>Sample Text</t>
        </is>
      </c>
      <c r="C2611" t="inlineStr">
        <is>
          <t>Std. Conc</t>
        </is>
      </c>
      <c r="D2611" t="inlineStr">
        <is>
          <t>RT</t>
        </is>
      </c>
      <c r="E2611" t="inlineStr">
        <is>
          <t>Area</t>
        </is>
      </c>
      <c r="F2611" t="inlineStr">
        <is>
          <t>IS Area</t>
        </is>
      </c>
      <c r="G2611" t="inlineStr">
        <is>
          <t>S/N</t>
        </is>
      </c>
      <c r="H2611" t="inlineStr">
        <is>
          <t>Primary Flags</t>
        </is>
      </c>
      <c r="I2611" t="inlineStr">
        <is>
          <t>Response</t>
        </is>
      </c>
      <c r="J2611" t="inlineStr">
        <is>
          <t>Conc.</t>
        </is>
      </c>
      <c r="K2611" t="inlineStr">
        <is>
          <t>Name</t>
        </is>
      </c>
    </row>
    <row r="2612">
      <c r="A2612" t="n">
        <v>1</v>
      </c>
      <c r="B2612" t="inlineStr">
        <is>
          <t>EPA1633 &amp; diPAPs Calibration 0 ppb</t>
        </is>
      </c>
      <c r="F2612" t="n">
        <v>1343.627</v>
      </c>
      <c r="K2612" t="inlineStr">
        <is>
          <t>20250617-12</t>
        </is>
      </c>
    </row>
    <row r="2613">
      <c r="A2613" t="n">
        <v>2</v>
      </c>
      <c r="B2613" t="inlineStr">
        <is>
          <t>EPA1633 &amp; diPAPs Calibration 0.02 ppb</t>
        </is>
      </c>
      <c r="F2613" t="n">
        <v>633.474</v>
      </c>
      <c r="K2613" t="inlineStr">
        <is>
          <t>20250617-13</t>
        </is>
      </c>
    </row>
    <row r="2614">
      <c r="A2614" t="n">
        <v>3</v>
      </c>
      <c r="B2614" t="inlineStr">
        <is>
          <t>EPA1633 &amp; diPAPs Calibration 0.1 ppb</t>
        </is>
      </c>
      <c r="F2614" t="n">
        <v>645.6369999999999</v>
      </c>
      <c r="K2614" t="inlineStr">
        <is>
          <t>20250617-14</t>
        </is>
      </c>
    </row>
    <row r="2615">
      <c r="A2615" t="n">
        <v>4</v>
      </c>
      <c r="B2615" t="inlineStr">
        <is>
          <t>EPA1633 &amp; diPAPs Calibration 0.4 ppb</t>
        </is>
      </c>
      <c r="F2615" t="n">
        <v>750.9640000000001</v>
      </c>
      <c r="K2615" t="inlineStr">
        <is>
          <t>20250617-15</t>
        </is>
      </c>
    </row>
    <row r="2616">
      <c r="A2616" t="n">
        <v>5</v>
      </c>
      <c r="B2616" t="inlineStr">
        <is>
          <t>EPA1633 &amp; diPAPs Calibration 1 ppb</t>
        </is>
      </c>
      <c r="F2616" t="n">
        <v>827.3049999999999</v>
      </c>
      <c r="K2616" t="inlineStr">
        <is>
          <t>20250617-16</t>
        </is>
      </c>
    </row>
    <row r="2617">
      <c r="A2617" t="n">
        <v>6</v>
      </c>
      <c r="B2617" t="inlineStr">
        <is>
          <t>EPA1633 &amp; diPAPs Calibration 5 ppb</t>
        </is>
      </c>
      <c r="F2617" t="n">
        <v>802.204</v>
      </c>
      <c r="K2617" t="inlineStr">
        <is>
          <t>20250617-17</t>
        </is>
      </c>
    </row>
    <row r="2618">
      <c r="A2618" t="n">
        <v>7</v>
      </c>
      <c r="B2618" t="inlineStr">
        <is>
          <t>EPA1633 &amp; diPAPs Calibration 10 ppb</t>
        </is>
      </c>
      <c r="F2618" t="n">
        <v>1562.616</v>
      </c>
      <c r="K2618" t="inlineStr">
        <is>
          <t>20250617-18</t>
        </is>
      </c>
    </row>
    <row r="2619">
      <c r="A2619" t="n">
        <v>8</v>
      </c>
      <c r="B2619" t="inlineStr">
        <is>
          <t>EPA1633 &amp; diPAPs Calibration 20 ppb</t>
        </is>
      </c>
      <c r="F2619" t="n">
        <v>611.3339999999999</v>
      </c>
      <c r="K2619" t="inlineStr">
        <is>
          <t>20250617-19</t>
        </is>
      </c>
    </row>
    <row r="2620">
      <c r="A2620" t="n">
        <v>9</v>
      </c>
      <c r="B2620" t="inlineStr">
        <is>
          <t>MeOH</t>
        </is>
      </c>
      <c r="K2620" t="inlineStr">
        <is>
          <t>20250617-20</t>
        </is>
      </c>
    </row>
    <row r="2621">
      <c r="A2621" t="n">
        <v>10</v>
      </c>
      <c r="B2621" t="inlineStr">
        <is>
          <t>MeOH</t>
        </is>
      </c>
      <c r="K2621" t="inlineStr">
        <is>
          <t>20250617-21</t>
        </is>
      </c>
    </row>
    <row r="2622">
      <c r="A2622" t="n">
        <v>11</v>
      </c>
      <c r="B2622" t="inlineStr">
        <is>
          <t>SB1</t>
        </is>
      </c>
      <c r="F2622" t="n">
        <v>235.495</v>
      </c>
      <c r="K2622" t="inlineStr">
        <is>
          <t>20250617-22</t>
        </is>
      </c>
    </row>
    <row r="2623">
      <c r="A2623" t="n">
        <v>12</v>
      </c>
      <c r="B2623" t="inlineStr">
        <is>
          <t>SB2</t>
        </is>
      </c>
      <c r="F2623" t="n">
        <v>273.33</v>
      </c>
      <c r="K2623" t="inlineStr">
        <is>
          <t>20250617-23</t>
        </is>
      </c>
    </row>
    <row r="2624">
      <c r="A2624" t="n">
        <v>13</v>
      </c>
      <c r="B2624" t="inlineStr">
        <is>
          <t>SB3</t>
        </is>
      </c>
      <c r="F2624" t="n">
        <v>129.33</v>
      </c>
      <c r="K2624" t="inlineStr">
        <is>
          <t>20250617-24</t>
        </is>
      </c>
    </row>
    <row r="2625">
      <c r="A2625" t="n">
        <v>14</v>
      </c>
      <c r="B2625" t="inlineStr">
        <is>
          <t>SS1</t>
        </is>
      </c>
      <c r="F2625" t="n">
        <v>253.728</v>
      </c>
      <c r="K2625" t="inlineStr">
        <is>
          <t>20250617-25</t>
        </is>
      </c>
    </row>
    <row r="2626">
      <c r="A2626" t="n">
        <v>15</v>
      </c>
      <c r="B2626" t="inlineStr">
        <is>
          <t>SS2</t>
        </is>
      </c>
      <c r="F2626" t="n">
        <v>141.602</v>
      </c>
      <c r="K2626" t="inlineStr">
        <is>
          <t>20250617-26</t>
        </is>
      </c>
    </row>
    <row r="2627">
      <c r="A2627" t="n">
        <v>16</v>
      </c>
      <c r="B2627" t="inlineStr">
        <is>
          <t>SS3</t>
        </is>
      </c>
      <c r="F2627" t="n">
        <v>190.637</v>
      </c>
      <c r="K2627" t="inlineStr">
        <is>
          <t>20250617-27</t>
        </is>
      </c>
    </row>
    <row r="2628">
      <c r="A2628" t="n">
        <v>17</v>
      </c>
      <c r="B2628" t="inlineStr">
        <is>
          <t>MeOH</t>
        </is>
      </c>
      <c r="K2628" t="inlineStr">
        <is>
          <t>20250617-28</t>
        </is>
      </c>
    </row>
    <row r="2629">
      <c r="A2629" t="n">
        <v>18</v>
      </c>
      <c r="B2629" t="inlineStr">
        <is>
          <t>K4-5A</t>
        </is>
      </c>
      <c r="F2629" t="n">
        <v>73.511</v>
      </c>
      <c r="K2629" t="inlineStr">
        <is>
          <t>20250617-29</t>
        </is>
      </c>
    </row>
    <row r="2630">
      <c r="A2630" t="n">
        <v>19</v>
      </c>
      <c r="B2630" t="inlineStr">
        <is>
          <t>K4-5B</t>
        </is>
      </c>
      <c r="F2630" t="n">
        <v>168.771</v>
      </c>
      <c r="K2630" t="inlineStr">
        <is>
          <t>20250617-30</t>
        </is>
      </c>
    </row>
    <row r="2631">
      <c r="A2631" t="n">
        <v>20</v>
      </c>
      <c r="B2631" t="inlineStr">
        <is>
          <t>K4-5C</t>
        </is>
      </c>
      <c r="K2631" t="inlineStr">
        <is>
          <t>20250617-31</t>
        </is>
      </c>
    </row>
    <row r="2632">
      <c r="A2632" t="n">
        <v>21</v>
      </c>
      <c r="B2632" t="inlineStr">
        <is>
          <t>MeOH</t>
        </is>
      </c>
      <c r="K2632" t="inlineStr">
        <is>
          <t>20250617-32</t>
        </is>
      </c>
    </row>
    <row r="2633">
      <c r="A2633" t="n">
        <v>22</v>
      </c>
      <c r="B2633" t="inlineStr">
        <is>
          <t>K3-1A</t>
        </is>
      </c>
      <c r="F2633" t="n">
        <v>163.196</v>
      </c>
      <c r="K2633" t="inlineStr">
        <is>
          <t>20250617-33</t>
        </is>
      </c>
    </row>
    <row r="2634">
      <c r="A2634" t="n">
        <v>23</v>
      </c>
      <c r="B2634" t="inlineStr">
        <is>
          <t>K3-1B</t>
        </is>
      </c>
      <c r="F2634" t="n">
        <v>57.781</v>
      </c>
      <c r="K2634" t="inlineStr">
        <is>
          <t>20250617-34</t>
        </is>
      </c>
    </row>
    <row r="2635">
      <c r="A2635" t="n">
        <v>24</v>
      </c>
      <c r="B2635" t="inlineStr">
        <is>
          <t>K3-1C</t>
        </is>
      </c>
      <c r="F2635" t="n">
        <v>191.361</v>
      </c>
      <c r="K2635" t="inlineStr">
        <is>
          <t>20250617-35</t>
        </is>
      </c>
    </row>
    <row r="2636">
      <c r="A2636" t="n">
        <v>25</v>
      </c>
      <c r="B2636" t="inlineStr">
        <is>
          <t>K3-2A</t>
        </is>
      </c>
      <c r="F2636" t="n">
        <v>113.81</v>
      </c>
      <c r="K2636" t="inlineStr">
        <is>
          <t>20250617-36</t>
        </is>
      </c>
    </row>
    <row r="2637">
      <c r="A2637" t="n">
        <v>26</v>
      </c>
      <c r="B2637" t="inlineStr">
        <is>
          <t>K3-2B</t>
        </is>
      </c>
      <c r="F2637" t="n">
        <v>85.271</v>
      </c>
      <c r="K2637" t="inlineStr">
        <is>
          <t>20250617-37</t>
        </is>
      </c>
    </row>
    <row r="2638">
      <c r="A2638" t="n">
        <v>27</v>
      </c>
      <c r="B2638" t="inlineStr">
        <is>
          <t>K3-2C</t>
        </is>
      </c>
      <c r="F2638" t="n">
        <v>86.066</v>
      </c>
      <c r="K2638" t="inlineStr">
        <is>
          <t>20250617-38</t>
        </is>
      </c>
    </row>
    <row r="2639">
      <c r="A2639" t="n">
        <v>28</v>
      </c>
      <c r="B2639" t="inlineStr">
        <is>
          <t>MeOH</t>
        </is>
      </c>
      <c r="D2639" t="n">
        <v>14.83</v>
      </c>
      <c r="E2639" t="n">
        <v>0.213</v>
      </c>
      <c r="G2639" t="n">
        <v>2</v>
      </c>
      <c r="H2639" t="inlineStr">
        <is>
          <t>bb</t>
        </is>
      </c>
      <c r="K2639" t="inlineStr">
        <is>
          <t>20250617-39</t>
        </is>
      </c>
    </row>
    <row r="2640">
      <c r="A2640" t="n">
        <v>29</v>
      </c>
      <c r="B2640" t="inlineStr">
        <is>
          <t>K3-3A</t>
        </is>
      </c>
      <c r="F2640" t="n">
        <v>43.273</v>
      </c>
      <c r="K2640" t="inlineStr">
        <is>
          <t>20250617-40</t>
        </is>
      </c>
    </row>
    <row r="2641">
      <c r="A2641" t="n">
        <v>30</v>
      </c>
      <c r="B2641" t="inlineStr">
        <is>
          <t>K3-3B</t>
        </is>
      </c>
      <c r="F2641" t="n">
        <v>147.53</v>
      </c>
      <c r="K2641" t="inlineStr">
        <is>
          <t>20250617-41</t>
        </is>
      </c>
    </row>
    <row r="2642">
      <c r="A2642" t="n">
        <v>31</v>
      </c>
      <c r="B2642" t="inlineStr">
        <is>
          <t>K3-3C</t>
        </is>
      </c>
      <c r="F2642" t="n">
        <v>100.998</v>
      </c>
      <c r="K2642" t="inlineStr">
        <is>
          <t>20250617-42</t>
        </is>
      </c>
    </row>
    <row r="2643">
      <c r="A2643" t="n">
        <v>32</v>
      </c>
      <c r="B2643" t="inlineStr">
        <is>
          <t>K3-4A</t>
        </is>
      </c>
      <c r="F2643" t="n">
        <v>62.627</v>
      </c>
      <c r="K2643" t="inlineStr">
        <is>
          <t>20250617-43</t>
        </is>
      </c>
    </row>
    <row r="2644">
      <c r="A2644" t="n">
        <v>33</v>
      </c>
      <c r="B2644" t="inlineStr">
        <is>
          <t>K3-4B</t>
        </is>
      </c>
      <c r="F2644" t="n">
        <v>116.61</v>
      </c>
      <c r="K2644" t="inlineStr">
        <is>
          <t>20250617-44</t>
        </is>
      </c>
    </row>
    <row r="2645">
      <c r="A2645" t="n">
        <v>34</v>
      </c>
      <c r="B2645" t="inlineStr">
        <is>
          <t>K3-4C</t>
        </is>
      </c>
      <c r="F2645" t="n">
        <v>125.41</v>
      </c>
      <c r="K2645" t="inlineStr">
        <is>
          <t>20250617-45</t>
        </is>
      </c>
    </row>
    <row r="2646">
      <c r="A2646" t="n">
        <v>35</v>
      </c>
      <c r="B2646" t="inlineStr">
        <is>
          <t>MeOH</t>
        </is>
      </c>
      <c r="K2646" t="inlineStr">
        <is>
          <t>20250617-46</t>
        </is>
      </c>
    </row>
    <row r="2647">
      <c r="A2647" t="n">
        <v>36</v>
      </c>
      <c r="B2647" t="inlineStr">
        <is>
          <t>K3-6A</t>
        </is>
      </c>
      <c r="F2647" t="n">
        <v>54.508</v>
      </c>
      <c r="K2647" t="inlineStr">
        <is>
          <t>20250617-47</t>
        </is>
      </c>
    </row>
    <row r="2648">
      <c r="A2648" t="n">
        <v>37</v>
      </c>
      <c r="B2648" t="inlineStr">
        <is>
          <t>K3-6B</t>
        </is>
      </c>
      <c r="F2648" t="n">
        <v>34.035</v>
      </c>
      <c r="K2648" t="inlineStr">
        <is>
          <t>20250617-48</t>
        </is>
      </c>
    </row>
    <row r="2649">
      <c r="A2649" t="n">
        <v>38</v>
      </c>
      <c r="B2649" t="inlineStr">
        <is>
          <t>K3-6C</t>
        </is>
      </c>
      <c r="F2649" t="n">
        <v>29.42</v>
      </c>
      <c r="K2649" t="inlineStr">
        <is>
          <t>20250617-49</t>
        </is>
      </c>
    </row>
    <row r="2651">
      <c r="A2651" t="inlineStr">
        <is>
          <t>Compound 64:  6-16 diPAP 1 +</t>
        </is>
      </c>
    </row>
    <row r="2653">
      <c r="B2653" t="inlineStr">
        <is>
          <t>Sample Text</t>
        </is>
      </c>
      <c r="C2653" t="inlineStr">
        <is>
          <t>Std. Conc</t>
        </is>
      </c>
      <c r="D2653" t="inlineStr">
        <is>
          <t>RT</t>
        </is>
      </c>
      <c r="E2653" t="inlineStr">
        <is>
          <t>Area</t>
        </is>
      </c>
      <c r="F2653" t="inlineStr">
        <is>
          <t>IS Area</t>
        </is>
      </c>
      <c r="G2653" t="inlineStr">
        <is>
          <t>S/N</t>
        </is>
      </c>
      <c r="H2653" t="inlineStr">
        <is>
          <t>Primary Flags</t>
        </is>
      </c>
      <c r="I2653" t="inlineStr">
        <is>
          <t>Response</t>
        </is>
      </c>
      <c r="J2653" t="inlineStr">
        <is>
          <t>Conc.</t>
        </is>
      </c>
      <c r="K2653" t="inlineStr">
        <is>
          <t>Name</t>
        </is>
      </c>
    </row>
    <row r="2654">
      <c r="A2654" t="n">
        <v>1</v>
      </c>
      <c r="B2654" t="inlineStr">
        <is>
          <t>EPA1633 &amp; diPAPs Calibration 0 ppb</t>
        </is>
      </c>
      <c r="F2654" t="n">
        <v>19473.51</v>
      </c>
      <c r="K2654" t="inlineStr">
        <is>
          <t>20250617-12</t>
        </is>
      </c>
    </row>
    <row r="2655">
      <c r="A2655" t="n">
        <v>2</v>
      </c>
      <c r="B2655" t="inlineStr">
        <is>
          <t>EPA1633 &amp; diPAPs Calibration 0.02 ppb</t>
        </is>
      </c>
      <c r="F2655" t="n">
        <v>13285.255</v>
      </c>
      <c r="K2655" t="inlineStr">
        <is>
          <t>20250617-13</t>
        </is>
      </c>
    </row>
    <row r="2656">
      <c r="A2656" t="n">
        <v>3</v>
      </c>
      <c r="B2656" t="inlineStr">
        <is>
          <t>EPA1633 &amp; diPAPs Calibration 0.1 ppb</t>
        </is>
      </c>
      <c r="F2656" t="n">
        <v>16010.102</v>
      </c>
      <c r="K2656" t="inlineStr">
        <is>
          <t>20250617-14</t>
        </is>
      </c>
    </row>
    <row r="2657">
      <c r="A2657" t="n">
        <v>4</v>
      </c>
      <c r="B2657" t="inlineStr">
        <is>
          <t>EPA1633 &amp; diPAPs Calibration 0.4 ppb</t>
        </is>
      </c>
      <c r="F2657" t="n">
        <v>14214.025</v>
      </c>
      <c r="K2657" t="inlineStr">
        <is>
          <t>20250617-15</t>
        </is>
      </c>
    </row>
    <row r="2658">
      <c r="A2658" t="n">
        <v>5</v>
      </c>
      <c r="B2658" t="inlineStr">
        <is>
          <t>EPA1633 &amp; diPAPs Calibration 1 ppb</t>
        </is>
      </c>
      <c r="F2658" t="n">
        <v>21931.449</v>
      </c>
      <c r="K2658" t="inlineStr">
        <is>
          <t>20250617-16</t>
        </is>
      </c>
    </row>
    <row r="2659">
      <c r="A2659" t="n">
        <v>6</v>
      </c>
      <c r="B2659" t="inlineStr">
        <is>
          <t>EPA1633 &amp; diPAPs Calibration 5 ppb</t>
        </is>
      </c>
      <c r="F2659" t="n">
        <v>17537.508</v>
      </c>
      <c r="K2659" t="inlineStr">
        <is>
          <t>20250617-17</t>
        </is>
      </c>
    </row>
    <row r="2660">
      <c r="A2660" t="n">
        <v>7</v>
      </c>
      <c r="B2660" t="inlineStr">
        <is>
          <t>EPA1633 &amp; diPAPs Calibration 10 ppb</t>
        </is>
      </c>
      <c r="F2660" t="n">
        <v>29293.133</v>
      </c>
      <c r="K2660" t="inlineStr">
        <is>
          <t>20250617-18</t>
        </is>
      </c>
    </row>
    <row r="2661">
      <c r="A2661" t="n">
        <v>8</v>
      </c>
      <c r="B2661" t="inlineStr">
        <is>
          <t>EPA1633 &amp; diPAPs Calibration 20 ppb</t>
        </is>
      </c>
      <c r="F2661" t="n">
        <v>13919.142</v>
      </c>
      <c r="K2661" t="inlineStr">
        <is>
          <t>20250617-19</t>
        </is>
      </c>
    </row>
    <row r="2662">
      <c r="A2662" t="n">
        <v>9</v>
      </c>
      <c r="B2662" t="inlineStr">
        <is>
          <t>MeOH</t>
        </is>
      </c>
      <c r="K2662" t="inlineStr">
        <is>
          <t>20250617-20</t>
        </is>
      </c>
    </row>
    <row r="2663">
      <c r="A2663" t="n">
        <v>10</v>
      </c>
      <c r="B2663" t="inlineStr">
        <is>
          <t>MeOH</t>
        </is>
      </c>
      <c r="K2663" t="inlineStr">
        <is>
          <t>20250617-21</t>
        </is>
      </c>
    </row>
    <row r="2664">
      <c r="A2664" t="n">
        <v>11</v>
      </c>
      <c r="B2664" t="inlineStr">
        <is>
          <t>SB1</t>
        </is>
      </c>
      <c r="F2664" t="n">
        <v>5289.194</v>
      </c>
      <c r="K2664" t="inlineStr">
        <is>
          <t>20250617-22</t>
        </is>
      </c>
    </row>
    <row r="2665">
      <c r="A2665" t="n">
        <v>12</v>
      </c>
      <c r="B2665" t="inlineStr">
        <is>
          <t>SB2</t>
        </is>
      </c>
      <c r="F2665" t="n">
        <v>6667.125</v>
      </c>
      <c r="K2665" t="inlineStr">
        <is>
          <t>20250617-23</t>
        </is>
      </c>
    </row>
    <row r="2666">
      <c r="A2666" t="n">
        <v>13</v>
      </c>
      <c r="B2666" t="inlineStr">
        <is>
          <t>SB3</t>
        </is>
      </c>
      <c r="F2666" t="n">
        <v>5460.875</v>
      </c>
      <c r="K2666" t="inlineStr">
        <is>
          <t>20250617-24</t>
        </is>
      </c>
    </row>
    <row r="2667">
      <c r="A2667" t="n">
        <v>14</v>
      </c>
      <c r="B2667" t="inlineStr">
        <is>
          <t>SS1</t>
        </is>
      </c>
      <c r="F2667" t="n">
        <v>6517.947</v>
      </c>
      <c r="K2667" t="inlineStr">
        <is>
          <t>20250617-25</t>
        </is>
      </c>
    </row>
    <row r="2668">
      <c r="A2668" t="n">
        <v>15</v>
      </c>
      <c r="B2668" t="inlineStr">
        <is>
          <t>SS2</t>
        </is>
      </c>
      <c r="F2668" t="n">
        <v>6712.642</v>
      </c>
      <c r="K2668" t="inlineStr">
        <is>
          <t>20250617-26</t>
        </is>
      </c>
    </row>
    <row r="2669">
      <c r="A2669" t="n">
        <v>16</v>
      </c>
      <c r="B2669" t="inlineStr">
        <is>
          <t>SS3</t>
        </is>
      </c>
      <c r="F2669" t="n">
        <v>6363.637</v>
      </c>
      <c r="K2669" t="inlineStr">
        <is>
          <t>20250617-27</t>
        </is>
      </c>
    </row>
    <row r="2670">
      <c r="A2670" t="n">
        <v>17</v>
      </c>
      <c r="B2670" t="inlineStr">
        <is>
          <t>MeOH</t>
        </is>
      </c>
      <c r="K2670" t="inlineStr">
        <is>
          <t>20250617-28</t>
        </is>
      </c>
    </row>
    <row r="2671">
      <c r="A2671" t="n">
        <v>18</v>
      </c>
      <c r="B2671" t="inlineStr">
        <is>
          <t>K4-5A</t>
        </is>
      </c>
      <c r="F2671" t="n">
        <v>3930.075</v>
      </c>
      <c r="K2671" t="inlineStr">
        <is>
          <t>20250617-29</t>
        </is>
      </c>
    </row>
    <row r="2672">
      <c r="A2672" t="n">
        <v>19</v>
      </c>
      <c r="B2672" t="inlineStr">
        <is>
          <t>K4-5B</t>
        </is>
      </c>
      <c r="F2672" t="n">
        <v>6277.964</v>
      </c>
      <c r="K2672" t="inlineStr">
        <is>
          <t>20250617-30</t>
        </is>
      </c>
    </row>
    <row r="2673">
      <c r="A2673" t="n">
        <v>20</v>
      </c>
      <c r="B2673" t="inlineStr">
        <is>
          <t>K4-5C</t>
        </is>
      </c>
      <c r="F2673" t="n">
        <v>2207.119</v>
      </c>
      <c r="K2673" t="inlineStr">
        <is>
          <t>20250617-31</t>
        </is>
      </c>
    </row>
    <row r="2674">
      <c r="A2674" t="n">
        <v>21</v>
      </c>
      <c r="B2674" t="inlineStr">
        <is>
          <t>MeOH</t>
        </is>
      </c>
      <c r="K2674" t="inlineStr">
        <is>
          <t>20250617-32</t>
        </is>
      </c>
    </row>
    <row r="2675">
      <c r="A2675" t="n">
        <v>22</v>
      </c>
      <c r="B2675" t="inlineStr">
        <is>
          <t>K3-1A</t>
        </is>
      </c>
      <c r="D2675" t="n">
        <v>15.09</v>
      </c>
      <c r="E2675" t="n">
        <v>0.549</v>
      </c>
      <c r="F2675" t="n">
        <v>4603.346</v>
      </c>
      <c r="G2675" t="n">
        <v>4</v>
      </c>
      <c r="H2675" t="inlineStr">
        <is>
          <t>bb</t>
        </is>
      </c>
      <c r="K2675" t="inlineStr">
        <is>
          <t>20250617-33</t>
        </is>
      </c>
    </row>
    <row r="2676">
      <c r="A2676" t="n">
        <v>23</v>
      </c>
      <c r="B2676" t="inlineStr">
        <is>
          <t>K3-1B</t>
        </is>
      </c>
      <c r="F2676" t="n">
        <v>4832.73</v>
      </c>
      <c r="K2676" t="inlineStr">
        <is>
          <t>20250617-34</t>
        </is>
      </c>
    </row>
    <row r="2677">
      <c r="A2677" t="n">
        <v>24</v>
      </c>
      <c r="B2677" t="inlineStr">
        <is>
          <t>K3-1C</t>
        </is>
      </c>
      <c r="F2677" t="n">
        <v>5250.105</v>
      </c>
      <c r="K2677" t="inlineStr">
        <is>
          <t>20250617-35</t>
        </is>
      </c>
    </row>
    <row r="2678">
      <c r="A2678" t="n">
        <v>25</v>
      </c>
      <c r="B2678" t="inlineStr">
        <is>
          <t>K3-2A</t>
        </is>
      </c>
      <c r="F2678" t="n">
        <v>4574.33</v>
      </c>
      <c r="K2678" t="inlineStr">
        <is>
          <t>20250617-36</t>
        </is>
      </c>
    </row>
    <row r="2679">
      <c r="A2679" t="n">
        <v>26</v>
      </c>
      <c r="B2679" t="inlineStr">
        <is>
          <t>K3-2B</t>
        </is>
      </c>
      <c r="F2679" t="n">
        <v>5271.769</v>
      </c>
      <c r="K2679" t="inlineStr">
        <is>
          <t>20250617-37</t>
        </is>
      </c>
    </row>
    <row r="2680">
      <c r="A2680" t="n">
        <v>27</v>
      </c>
      <c r="B2680" t="inlineStr">
        <is>
          <t>K3-2C</t>
        </is>
      </c>
      <c r="F2680" t="n">
        <v>4675.447</v>
      </c>
      <c r="K2680" t="inlineStr">
        <is>
          <t>20250617-38</t>
        </is>
      </c>
    </row>
    <row r="2681">
      <c r="A2681" t="n">
        <v>28</v>
      </c>
      <c r="B2681" t="inlineStr">
        <is>
          <t>MeOH</t>
        </is>
      </c>
      <c r="K2681" t="inlineStr">
        <is>
          <t>20250617-39</t>
        </is>
      </c>
    </row>
    <row r="2682">
      <c r="A2682" t="n">
        <v>29</v>
      </c>
      <c r="B2682" t="inlineStr">
        <is>
          <t>K3-3A</t>
        </is>
      </c>
      <c r="F2682" t="n">
        <v>3868.886</v>
      </c>
      <c r="K2682" t="inlineStr">
        <is>
          <t>20250617-40</t>
        </is>
      </c>
    </row>
    <row r="2683">
      <c r="A2683" t="n">
        <v>30</v>
      </c>
      <c r="B2683" t="inlineStr">
        <is>
          <t>K3-3B</t>
        </is>
      </c>
      <c r="F2683" t="n">
        <v>5558.256</v>
      </c>
      <c r="K2683" t="inlineStr">
        <is>
          <t>20250617-41</t>
        </is>
      </c>
    </row>
    <row r="2684">
      <c r="A2684" t="n">
        <v>31</v>
      </c>
      <c r="B2684" t="inlineStr">
        <is>
          <t>K3-3C</t>
        </is>
      </c>
      <c r="D2684" t="n">
        <v>14.66</v>
      </c>
      <c r="E2684" t="n">
        <v>0.309</v>
      </c>
      <c r="F2684" t="n">
        <v>5019.609</v>
      </c>
      <c r="G2684" t="n">
        <v>2</v>
      </c>
      <c r="H2684" t="inlineStr">
        <is>
          <t>bb</t>
        </is>
      </c>
      <c r="K2684" t="inlineStr">
        <is>
          <t>20250617-42</t>
        </is>
      </c>
    </row>
    <row r="2685">
      <c r="A2685" t="n">
        <v>32</v>
      </c>
      <c r="B2685" t="inlineStr">
        <is>
          <t>K3-4A</t>
        </is>
      </c>
      <c r="F2685" t="n">
        <v>4571.521</v>
      </c>
      <c r="K2685" t="inlineStr">
        <is>
          <t>20250617-43</t>
        </is>
      </c>
    </row>
    <row r="2686">
      <c r="A2686" t="n">
        <v>33</v>
      </c>
      <c r="B2686" t="inlineStr">
        <is>
          <t>K3-4B</t>
        </is>
      </c>
      <c r="F2686" t="n">
        <v>5043.437</v>
      </c>
      <c r="K2686" t="inlineStr">
        <is>
          <t>20250617-44</t>
        </is>
      </c>
    </row>
    <row r="2687">
      <c r="A2687" t="n">
        <v>34</v>
      </c>
      <c r="B2687" t="inlineStr">
        <is>
          <t>K3-4C</t>
        </is>
      </c>
      <c r="F2687" t="n">
        <v>5033.665</v>
      </c>
      <c r="K2687" t="inlineStr">
        <is>
          <t>20250617-45</t>
        </is>
      </c>
    </row>
    <row r="2688">
      <c r="A2688" t="n">
        <v>35</v>
      </c>
      <c r="B2688" t="inlineStr">
        <is>
          <t>MeOH</t>
        </is>
      </c>
      <c r="K2688" t="inlineStr">
        <is>
          <t>20250617-46</t>
        </is>
      </c>
    </row>
    <row r="2689">
      <c r="A2689" t="n">
        <v>36</v>
      </c>
      <c r="B2689" t="inlineStr">
        <is>
          <t>K3-6A</t>
        </is>
      </c>
      <c r="F2689" t="n">
        <v>3966.205</v>
      </c>
      <c r="K2689" t="inlineStr">
        <is>
          <t>20250617-47</t>
        </is>
      </c>
    </row>
    <row r="2690">
      <c r="A2690" t="n">
        <v>37</v>
      </c>
      <c r="B2690" t="inlineStr">
        <is>
          <t>K3-6B</t>
        </is>
      </c>
      <c r="F2690" t="n">
        <v>3977.533</v>
      </c>
      <c r="K2690" t="inlineStr">
        <is>
          <t>20250617-48</t>
        </is>
      </c>
    </row>
    <row r="2691">
      <c r="A2691" t="n">
        <v>38</v>
      </c>
      <c r="B2691" t="inlineStr">
        <is>
          <t>K3-6C</t>
        </is>
      </c>
      <c r="F2691" t="n">
        <v>3666.082</v>
      </c>
      <c r="K2691" t="inlineStr">
        <is>
          <t>20250617-49</t>
        </is>
      </c>
    </row>
    <row r="2693">
      <c r="A2693" t="inlineStr">
        <is>
          <t>Compound 65:  12-12 diPAP 1 +</t>
        </is>
      </c>
    </row>
    <row r="2695">
      <c r="B2695" t="inlineStr">
        <is>
          <t>Sample Text</t>
        </is>
      </c>
      <c r="C2695" t="inlineStr">
        <is>
          <t>Std. Conc</t>
        </is>
      </c>
      <c r="D2695" t="inlineStr">
        <is>
          <t>RT</t>
        </is>
      </c>
      <c r="E2695" t="inlineStr">
        <is>
          <t>Area</t>
        </is>
      </c>
      <c r="F2695" t="inlineStr">
        <is>
          <t>IS Area</t>
        </is>
      </c>
      <c r="G2695" t="inlineStr">
        <is>
          <t>S/N</t>
        </is>
      </c>
      <c r="H2695" t="inlineStr">
        <is>
          <t>Primary Flags</t>
        </is>
      </c>
      <c r="I2695" t="inlineStr">
        <is>
          <t>Response</t>
        </is>
      </c>
      <c r="J2695" t="inlineStr">
        <is>
          <t>Conc.</t>
        </is>
      </c>
      <c r="K2695" t="inlineStr">
        <is>
          <t>Name</t>
        </is>
      </c>
    </row>
    <row r="2696">
      <c r="A2696" t="n">
        <v>1</v>
      </c>
      <c r="B2696" t="inlineStr">
        <is>
          <t>EPA1633 &amp; diPAPs Calibration 0 ppb</t>
        </is>
      </c>
      <c r="F2696" t="n">
        <v>1343.627</v>
      </c>
      <c r="K2696" t="inlineStr">
        <is>
          <t>20250617-12</t>
        </is>
      </c>
    </row>
    <row r="2697">
      <c r="A2697" t="n">
        <v>2</v>
      </c>
      <c r="B2697" t="inlineStr">
        <is>
          <t>EPA1633 &amp; diPAPs Calibration 0.02 ppb</t>
        </is>
      </c>
      <c r="F2697" t="n">
        <v>633.474</v>
      </c>
      <c r="K2697" t="inlineStr">
        <is>
          <t>20250617-13</t>
        </is>
      </c>
    </row>
    <row r="2698">
      <c r="A2698" t="n">
        <v>3</v>
      </c>
      <c r="B2698" t="inlineStr">
        <is>
          <t>EPA1633 &amp; diPAPs Calibration 0.1 ppb</t>
        </is>
      </c>
      <c r="F2698" t="n">
        <v>645.6369999999999</v>
      </c>
      <c r="K2698" t="inlineStr">
        <is>
          <t>20250617-14</t>
        </is>
      </c>
    </row>
    <row r="2699">
      <c r="A2699" t="n">
        <v>4</v>
      </c>
      <c r="B2699" t="inlineStr">
        <is>
          <t>EPA1633 &amp; diPAPs Calibration 0.4 ppb</t>
        </is>
      </c>
      <c r="F2699" t="n">
        <v>750.9640000000001</v>
      </c>
      <c r="K2699" t="inlineStr">
        <is>
          <t>20250617-15</t>
        </is>
      </c>
    </row>
    <row r="2700">
      <c r="A2700" t="n">
        <v>5</v>
      </c>
      <c r="B2700" t="inlineStr">
        <is>
          <t>EPA1633 &amp; diPAPs Calibration 1 ppb</t>
        </is>
      </c>
      <c r="F2700" t="n">
        <v>827.3049999999999</v>
      </c>
      <c r="K2700" t="inlineStr">
        <is>
          <t>20250617-16</t>
        </is>
      </c>
    </row>
    <row r="2701">
      <c r="A2701" t="n">
        <v>6</v>
      </c>
      <c r="B2701" t="inlineStr">
        <is>
          <t>EPA1633 &amp; diPAPs Calibration 5 ppb</t>
        </is>
      </c>
      <c r="F2701" t="n">
        <v>802.204</v>
      </c>
      <c r="K2701" t="inlineStr">
        <is>
          <t>20250617-17</t>
        </is>
      </c>
    </row>
    <row r="2702">
      <c r="A2702" t="n">
        <v>7</v>
      </c>
      <c r="B2702" t="inlineStr">
        <is>
          <t>EPA1633 &amp; diPAPs Calibration 10 ppb</t>
        </is>
      </c>
      <c r="F2702" t="n">
        <v>1562.616</v>
      </c>
      <c r="K2702" t="inlineStr">
        <is>
          <t>20250617-18</t>
        </is>
      </c>
    </row>
    <row r="2703">
      <c r="A2703" t="n">
        <v>8</v>
      </c>
      <c r="B2703" t="inlineStr">
        <is>
          <t>EPA1633 &amp; diPAPs Calibration 20 ppb</t>
        </is>
      </c>
      <c r="F2703" t="n">
        <v>611.3339999999999</v>
      </c>
      <c r="K2703" t="inlineStr">
        <is>
          <t>20250617-19</t>
        </is>
      </c>
    </row>
    <row r="2704">
      <c r="A2704" t="n">
        <v>9</v>
      </c>
      <c r="B2704" t="inlineStr">
        <is>
          <t>MeOH</t>
        </is>
      </c>
      <c r="D2704" t="n">
        <v>15.79</v>
      </c>
      <c r="E2704" t="n">
        <v>0.351</v>
      </c>
      <c r="G2704" t="n">
        <v>3</v>
      </c>
      <c r="H2704" t="inlineStr">
        <is>
          <t>bb</t>
        </is>
      </c>
      <c r="K2704" t="inlineStr">
        <is>
          <t>20250617-20</t>
        </is>
      </c>
    </row>
    <row r="2705">
      <c r="A2705" t="n">
        <v>10</v>
      </c>
      <c r="B2705" t="inlineStr">
        <is>
          <t>MeOH</t>
        </is>
      </c>
      <c r="K2705" t="inlineStr">
        <is>
          <t>20250617-21</t>
        </is>
      </c>
    </row>
    <row r="2706">
      <c r="A2706" t="n">
        <v>11</v>
      </c>
      <c r="B2706" t="inlineStr">
        <is>
          <t>SB1</t>
        </is>
      </c>
      <c r="F2706" t="n">
        <v>235.495</v>
      </c>
      <c r="K2706" t="inlineStr">
        <is>
          <t>20250617-22</t>
        </is>
      </c>
    </row>
    <row r="2707">
      <c r="A2707" t="n">
        <v>12</v>
      </c>
      <c r="B2707" t="inlineStr">
        <is>
          <t>SB2</t>
        </is>
      </c>
      <c r="F2707" t="n">
        <v>273.33</v>
      </c>
      <c r="K2707" t="inlineStr">
        <is>
          <t>20250617-23</t>
        </is>
      </c>
    </row>
    <row r="2708">
      <c r="A2708" t="n">
        <v>13</v>
      </c>
      <c r="B2708" t="inlineStr">
        <is>
          <t>SB3</t>
        </is>
      </c>
      <c r="F2708" t="n">
        <v>129.33</v>
      </c>
      <c r="K2708" t="inlineStr">
        <is>
          <t>20250617-24</t>
        </is>
      </c>
    </row>
    <row r="2709">
      <c r="A2709" t="n">
        <v>14</v>
      </c>
      <c r="B2709" t="inlineStr">
        <is>
          <t>SS1</t>
        </is>
      </c>
      <c r="F2709" t="n">
        <v>253.728</v>
      </c>
      <c r="K2709" t="inlineStr">
        <is>
          <t>20250617-25</t>
        </is>
      </c>
    </row>
    <row r="2710">
      <c r="A2710" t="n">
        <v>15</v>
      </c>
      <c r="B2710" t="inlineStr">
        <is>
          <t>SS2</t>
        </is>
      </c>
      <c r="F2710" t="n">
        <v>141.602</v>
      </c>
      <c r="K2710" t="inlineStr">
        <is>
          <t>20250617-26</t>
        </is>
      </c>
    </row>
    <row r="2711">
      <c r="A2711" t="n">
        <v>16</v>
      </c>
      <c r="B2711" t="inlineStr">
        <is>
          <t>SS3</t>
        </is>
      </c>
      <c r="F2711" t="n">
        <v>190.637</v>
      </c>
      <c r="K2711" t="inlineStr">
        <is>
          <t>20250617-27</t>
        </is>
      </c>
    </row>
    <row r="2712">
      <c r="A2712" t="n">
        <v>17</v>
      </c>
      <c r="B2712" t="inlineStr">
        <is>
          <t>MeOH</t>
        </is>
      </c>
      <c r="K2712" t="inlineStr">
        <is>
          <t>20250617-28</t>
        </is>
      </c>
    </row>
    <row r="2713">
      <c r="A2713" t="n">
        <v>18</v>
      </c>
      <c r="B2713" t="inlineStr">
        <is>
          <t>K4-5A</t>
        </is>
      </c>
      <c r="F2713" t="n">
        <v>73.511</v>
      </c>
      <c r="K2713" t="inlineStr">
        <is>
          <t>20250617-29</t>
        </is>
      </c>
    </row>
    <row r="2714">
      <c r="A2714" t="n">
        <v>19</v>
      </c>
      <c r="B2714" t="inlineStr">
        <is>
          <t>K4-5B</t>
        </is>
      </c>
      <c r="F2714" t="n">
        <v>168.771</v>
      </c>
      <c r="K2714" t="inlineStr">
        <is>
          <t>20250617-30</t>
        </is>
      </c>
    </row>
    <row r="2715">
      <c r="A2715" t="n">
        <v>20</v>
      </c>
      <c r="B2715" t="inlineStr">
        <is>
          <t>K4-5C</t>
        </is>
      </c>
      <c r="K2715" t="inlineStr">
        <is>
          <t>20250617-31</t>
        </is>
      </c>
    </row>
    <row r="2716">
      <c r="A2716" t="n">
        <v>21</v>
      </c>
      <c r="B2716" t="inlineStr">
        <is>
          <t>MeOH</t>
        </is>
      </c>
      <c r="K2716" t="inlineStr">
        <is>
          <t>20250617-32</t>
        </is>
      </c>
    </row>
    <row r="2717">
      <c r="A2717" t="n">
        <v>22</v>
      </c>
      <c r="B2717" t="inlineStr">
        <is>
          <t>K3-1A</t>
        </is>
      </c>
      <c r="F2717" t="n">
        <v>163.196</v>
      </c>
      <c r="K2717" t="inlineStr">
        <is>
          <t>20250617-33</t>
        </is>
      </c>
    </row>
    <row r="2718">
      <c r="A2718" t="n">
        <v>23</v>
      </c>
      <c r="B2718" t="inlineStr">
        <is>
          <t>K3-1B</t>
        </is>
      </c>
      <c r="F2718" t="n">
        <v>57.781</v>
      </c>
      <c r="K2718" t="inlineStr">
        <is>
          <t>20250617-34</t>
        </is>
      </c>
    </row>
    <row r="2719">
      <c r="A2719" t="n">
        <v>24</v>
      </c>
      <c r="B2719" t="inlineStr">
        <is>
          <t>K3-1C</t>
        </is>
      </c>
      <c r="F2719" t="n">
        <v>191.361</v>
      </c>
      <c r="K2719" t="inlineStr">
        <is>
          <t>20250617-35</t>
        </is>
      </c>
    </row>
    <row r="2720">
      <c r="A2720" t="n">
        <v>25</v>
      </c>
      <c r="B2720" t="inlineStr">
        <is>
          <t>K3-2A</t>
        </is>
      </c>
      <c r="F2720" t="n">
        <v>113.81</v>
      </c>
      <c r="K2720" t="inlineStr">
        <is>
          <t>20250617-36</t>
        </is>
      </c>
    </row>
    <row r="2721">
      <c r="A2721" t="n">
        <v>26</v>
      </c>
      <c r="B2721" t="inlineStr">
        <is>
          <t>K3-2B</t>
        </is>
      </c>
      <c r="F2721" t="n">
        <v>85.271</v>
      </c>
      <c r="K2721" t="inlineStr">
        <is>
          <t>20250617-37</t>
        </is>
      </c>
    </row>
    <row r="2722">
      <c r="A2722" t="n">
        <v>27</v>
      </c>
      <c r="B2722" t="inlineStr">
        <is>
          <t>K3-2C</t>
        </is>
      </c>
      <c r="F2722" t="n">
        <v>86.066</v>
      </c>
      <c r="K2722" t="inlineStr">
        <is>
          <t>20250617-38</t>
        </is>
      </c>
    </row>
    <row r="2723">
      <c r="A2723" t="n">
        <v>28</v>
      </c>
      <c r="B2723" t="inlineStr">
        <is>
          <t>MeOH</t>
        </is>
      </c>
      <c r="K2723" t="inlineStr">
        <is>
          <t>20250617-39</t>
        </is>
      </c>
    </row>
    <row r="2724">
      <c r="A2724" t="n">
        <v>29</v>
      </c>
      <c r="B2724" t="inlineStr">
        <is>
          <t>K3-3A</t>
        </is>
      </c>
      <c r="F2724" t="n">
        <v>43.273</v>
      </c>
      <c r="K2724" t="inlineStr">
        <is>
          <t>20250617-40</t>
        </is>
      </c>
    </row>
    <row r="2725">
      <c r="A2725" t="n">
        <v>30</v>
      </c>
      <c r="B2725" t="inlineStr">
        <is>
          <t>K3-3B</t>
        </is>
      </c>
      <c r="F2725" t="n">
        <v>147.53</v>
      </c>
      <c r="K2725" t="inlineStr">
        <is>
          <t>20250617-41</t>
        </is>
      </c>
    </row>
    <row r="2726">
      <c r="A2726" t="n">
        <v>31</v>
      </c>
      <c r="B2726" t="inlineStr">
        <is>
          <t>K3-3C</t>
        </is>
      </c>
      <c r="F2726" t="n">
        <v>100.998</v>
      </c>
      <c r="K2726" t="inlineStr">
        <is>
          <t>20250617-42</t>
        </is>
      </c>
    </row>
    <row r="2727">
      <c r="A2727" t="n">
        <v>32</v>
      </c>
      <c r="B2727" t="inlineStr">
        <is>
          <t>K3-4A</t>
        </is>
      </c>
      <c r="F2727" t="n">
        <v>62.627</v>
      </c>
      <c r="K2727" t="inlineStr">
        <is>
          <t>20250617-43</t>
        </is>
      </c>
    </row>
    <row r="2728">
      <c r="A2728" t="n">
        <v>33</v>
      </c>
      <c r="B2728" t="inlineStr">
        <is>
          <t>K3-4B</t>
        </is>
      </c>
      <c r="F2728" t="n">
        <v>116.61</v>
      </c>
      <c r="K2728" t="inlineStr">
        <is>
          <t>20250617-44</t>
        </is>
      </c>
    </row>
    <row r="2729">
      <c r="A2729" t="n">
        <v>34</v>
      </c>
      <c r="B2729" t="inlineStr">
        <is>
          <t>K3-4C</t>
        </is>
      </c>
      <c r="F2729" t="n">
        <v>125.41</v>
      </c>
      <c r="K2729" t="inlineStr">
        <is>
          <t>20250617-45</t>
        </is>
      </c>
    </row>
    <row r="2730">
      <c r="A2730" t="n">
        <v>35</v>
      </c>
      <c r="B2730" t="inlineStr">
        <is>
          <t>MeOH</t>
        </is>
      </c>
      <c r="K2730" t="inlineStr">
        <is>
          <t>20250617-46</t>
        </is>
      </c>
    </row>
    <row r="2731">
      <c r="A2731" t="n">
        <v>36</v>
      </c>
      <c r="B2731" t="inlineStr">
        <is>
          <t>K3-6A</t>
        </is>
      </c>
      <c r="F2731" t="n">
        <v>54.508</v>
      </c>
      <c r="K2731" t="inlineStr">
        <is>
          <t>20250617-47</t>
        </is>
      </c>
    </row>
    <row r="2732">
      <c r="A2732" t="n">
        <v>37</v>
      </c>
      <c r="B2732" t="inlineStr">
        <is>
          <t>K3-6B</t>
        </is>
      </c>
      <c r="F2732" t="n">
        <v>34.035</v>
      </c>
      <c r="K2732" t="inlineStr">
        <is>
          <t>20250617-48</t>
        </is>
      </c>
    </row>
    <row r="2733">
      <c r="A2733" t="n">
        <v>38</v>
      </c>
      <c r="B2733" t="inlineStr">
        <is>
          <t>K3-6C</t>
        </is>
      </c>
      <c r="F2733" t="n">
        <v>29.42</v>
      </c>
      <c r="K2733" t="inlineStr">
        <is>
          <t>20250617-49</t>
        </is>
      </c>
    </row>
    <row r="2735">
      <c r="A2735" t="inlineStr">
        <is>
          <t>Compound 66:  10-14 diPAP 1 +</t>
        </is>
      </c>
    </row>
    <row r="2737">
      <c r="B2737" t="inlineStr">
        <is>
          <t>Sample Text</t>
        </is>
      </c>
      <c r="C2737" t="inlineStr">
        <is>
          <t>Std. Conc</t>
        </is>
      </c>
      <c r="D2737" t="inlineStr">
        <is>
          <t>RT</t>
        </is>
      </c>
      <c r="E2737" t="inlineStr">
        <is>
          <t>Area</t>
        </is>
      </c>
      <c r="F2737" t="inlineStr">
        <is>
          <t>IS Area</t>
        </is>
      </c>
      <c r="G2737" t="inlineStr">
        <is>
          <t>S/N</t>
        </is>
      </c>
      <c r="H2737" t="inlineStr">
        <is>
          <t>Primary Flags</t>
        </is>
      </c>
      <c r="I2737" t="inlineStr">
        <is>
          <t>Response</t>
        </is>
      </c>
      <c r="J2737" t="inlineStr">
        <is>
          <t>Conc.</t>
        </is>
      </c>
      <c r="K2737" t="inlineStr">
        <is>
          <t>Name</t>
        </is>
      </c>
    </row>
    <row r="2738">
      <c r="A2738" t="n">
        <v>1</v>
      </c>
      <c r="B2738" t="inlineStr">
        <is>
          <t>EPA1633 &amp; diPAPs Calibration 0 ppb</t>
        </is>
      </c>
      <c r="F2738" t="n">
        <v>1343.627</v>
      </c>
      <c r="K2738" t="inlineStr">
        <is>
          <t>20250617-12</t>
        </is>
      </c>
    </row>
    <row r="2739">
      <c r="A2739" t="n">
        <v>2</v>
      </c>
      <c r="B2739" t="inlineStr">
        <is>
          <t>EPA1633 &amp; diPAPs Calibration 0.02 ppb</t>
        </is>
      </c>
      <c r="F2739" t="n">
        <v>633.474</v>
      </c>
      <c r="K2739" t="inlineStr">
        <is>
          <t>20250617-13</t>
        </is>
      </c>
    </row>
    <row r="2740">
      <c r="A2740" t="n">
        <v>3</v>
      </c>
      <c r="B2740" t="inlineStr">
        <is>
          <t>EPA1633 &amp; diPAPs Calibration 0.1 ppb</t>
        </is>
      </c>
      <c r="D2740" t="n">
        <v>14.9</v>
      </c>
      <c r="E2740" t="n">
        <v>0.161</v>
      </c>
      <c r="F2740" t="n">
        <v>645.6369999999999</v>
      </c>
      <c r="G2740" t="n">
        <v>1</v>
      </c>
      <c r="H2740" t="inlineStr">
        <is>
          <t>bb</t>
        </is>
      </c>
      <c r="K2740" t="inlineStr">
        <is>
          <t>20250617-14</t>
        </is>
      </c>
    </row>
    <row r="2741">
      <c r="A2741" t="n">
        <v>4</v>
      </c>
      <c r="B2741" t="inlineStr">
        <is>
          <t>EPA1633 &amp; diPAPs Calibration 0.4 ppb</t>
        </is>
      </c>
      <c r="F2741" t="n">
        <v>750.9640000000001</v>
      </c>
      <c r="K2741" t="inlineStr">
        <is>
          <t>20250617-15</t>
        </is>
      </c>
    </row>
    <row r="2742">
      <c r="A2742" t="n">
        <v>5</v>
      </c>
      <c r="B2742" t="inlineStr">
        <is>
          <t>EPA1633 &amp; diPAPs Calibration 1 ppb</t>
        </is>
      </c>
      <c r="F2742" t="n">
        <v>827.3049999999999</v>
      </c>
      <c r="K2742" t="inlineStr">
        <is>
          <t>20250617-16</t>
        </is>
      </c>
    </row>
    <row r="2743">
      <c r="A2743" t="n">
        <v>6</v>
      </c>
      <c r="B2743" t="inlineStr">
        <is>
          <t>EPA1633 &amp; diPAPs Calibration 5 ppb</t>
        </is>
      </c>
      <c r="F2743" t="n">
        <v>802.204</v>
      </c>
      <c r="K2743" t="inlineStr">
        <is>
          <t>20250617-17</t>
        </is>
      </c>
    </row>
    <row r="2744">
      <c r="A2744" t="n">
        <v>7</v>
      </c>
      <c r="B2744" t="inlineStr">
        <is>
          <t>EPA1633 &amp; diPAPs Calibration 10 ppb</t>
        </is>
      </c>
      <c r="F2744" t="n">
        <v>1562.616</v>
      </c>
      <c r="K2744" t="inlineStr">
        <is>
          <t>20250617-18</t>
        </is>
      </c>
    </row>
    <row r="2745">
      <c r="A2745" t="n">
        <v>8</v>
      </c>
      <c r="B2745" t="inlineStr">
        <is>
          <t>EPA1633 &amp; diPAPs Calibration 20 ppb</t>
        </is>
      </c>
      <c r="F2745" t="n">
        <v>611.3339999999999</v>
      </c>
      <c r="K2745" t="inlineStr">
        <is>
          <t>20250617-19</t>
        </is>
      </c>
    </row>
    <row r="2746">
      <c r="A2746" t="n">
        <v>9</v>
      </c>
      <c r="B2746" t="inlineStr">
        <is>
          <t>MeOH</t>
        </is>
      </c>
      <c r="K2746" t="inlineStr">
        <is>
          <t>20250617-20</t>
        </is>
      </c>
    </row>
    <row r="2747">
      <c r="A2747" t="n">
        <v>10</v>
      </c>
      <c r="B2747" t="inlineStr">
        <is>
          <t>MeOH</t>
        </is>
      </c>
      <c r="K2747" t="inlineStr">
        <is>
          <t>20250617-21</t>
        </is>
      </c>
    </row>
    <row r="2748">
      <c r="A2748" t="n">
        <v>11</v>
      </c>
      <c r="B2748" t="inlineStr">
        <is>
          <t>SB1</t>
        </is>
      </c>
      <c r="F2748" t="n">
        <v>235.495</v>
      </c>
      <c r="K2748" t="inlineStr">
        <is>
          <t>20250617-22</t>
        </is>
      </c>
    </row>
    <row r="2749">
      <c r="A2749" t="n">
        <v>12</v>
      </c>
      <c r="B2749" t="inlineStr">
        <is>
          <t>SB2</t>
        </is>
      </c>
      <c r="F2749" t="n">
        <v>273.33</v>
      </c>
      <c r="K2749" t="inlineStr">
        <is>
          <t>20250617-23</t>
        </is>
      </c>
    </row>
    <row r="2750">
      <c r="A2750" t="n">
        <v>13</v>
      </c>
      <c r="B2750" t="inlineStr">
        <is>
          <t>SB3</t>
        </is>
      </c>
      <c r="F2750" t="n">
        <v>129.33</v>
      </c>
      <c r="K2750" t="inlineStr">
        <is>
          <t>20250617-24</t>
        </is>
      </c>
    </row>
    <row r="2751">
      <c r="A2751" t="n">
        <v>14</v>
      </c>
      <c r="B2751" t="inlineStr">
        <is>
          <t>SS1</t>
        </is>
      </c>
      <c r="F2751" t="n">
        <v>253.728</v>
      </c>
      <c r="K2751" t="inlineStr">
        <is>
          <t>20250617-25</t>
        </is>
      </c>
    </row>
    <row r="2752">
      <c r="A2752" t="n">
        <v>15</v>
      </c>
      <c r="B2752" t="inlineStr">
        <is>
          <t>SS2</t>
        </is>
      </c>
      <c r="F2752" t="n">
        <v>141.602</v>
      </c>
      <c r="K2752" t="inlineStr">
        <is>
          <t>20250617-26</t>
        </is>
      </c>
    </row>
    <row r="2753">
      <c r="A2753" t="n">
        <v>16</v>
      </c>
      <c r="B2753" t="inlineStr">
        <is>
          <t>SS3</t>
        </is>
      </c>
      <c r="F2753" t="n">
        <v>190.637</v>
      </c>
      <c r="K2753" t="inlineStr">
        <is>
          <t>20250617-27</t>
        </is>
      </c>
    </row>
    <row r="2754">
      <c r="A2754" t="n">
        <v>17</v>
      </c>
      <c r="B2754" t="inlineStr">
        <is>
          <t>MeOH</t>
        </is>
      </c>
      <c r="K2754" t="inlineStr">
        <is>
          <t>20250617-28</t>
        </is>
      </c>
    </row>
    <row r="2755">
      <c r="A2755" t="n">
        <v>18</v>
      </c>
      <c r="B2755" t="inlineStr">
        <is>
          <t>K4-5A</t>
        </is>
      </c>
      <c r="F2755" t="n">
        <v>73.511</v>
      </c>
      <c r="K2755" t="inlineStr">
        <is>
          <t>20250617-29</t>
        </is>
      </c>
    </row>
    <row r="2756">
      <c r="A2756" t="n">
        <v>19</v>
      </c>
      <c r="B2756" t="inlineStr">
        <is>
          <t>K4-5B</t>
        </is>
      </c>
      <c r="F2756" t="n">
        <v>168.771</v>
      </c>
      <c r="K2756" t="inlineStr">
        <is>
          <t>20250617-30</t>
        </is>
      </c>
    </row>
    <row r="2757">
      <c r="A2757" t="n">
        <v>20</v>
      </c>
      <c r="B2757" t="inlineStr">
        <is>
          <t>K4-5C</t>
        </is>
      </c>
      <c r="K2757" t="inlineStr">
        <is>
          <t>20250617-31</t>
        </is>
      </c>
    </row>
    <row r="2758">
      <c r="A2758" t="n">
        <v>21</v>
      </c>
      <c r="B2758" t="inlineStr">
        <is>
          <t>MeOH</t>
        </is>
      </c>
      <c r="K2758" t="inlineStr">
        <is>
          <t>20250617-32</t>
        </is>
      </c>
    </row>
    <row r="2759">
      <c r="A2759" t="n">
        <v>22</v>
      </c>
      <c r="B2759" t="inlineStr">
        <is>
          <t>K3-1A</t>
        </is>
      </c>
      <c r="F2759" t="n">
        <v>163.196</v>
      </c>
      <c r="K2759" t="inlineStr">
        <is>
          <t>20250617-33</t>
        </is>
      </c>
    </row>
    <row r="2760">
      <c r="A2760" t="n">
        <v>23</v>
      </c>
      <c r="B2760" t="inlineStr">
        <is>
          <t>K3-1B</t>
        </is>
      </c>
      <c r="F2760" t="n">
        <v>57.781</v>
      </c>
      <c r="K2760" t="inlineStr">
        <is>
          <t>20250617-34</t>
        </is>
      </c>
    </row>
    <row r="2761">
      <c r="A2761" t="n">
        <v>24</v>
      </c>
      <c r="B2761" t="inlineStr">
        <is>
          <t>K3-1C</t>
        </is>
      </c>
      <c r="F2761" t="n">
        <v>191.361</v>
      </c>
      <c r="K2761" t="inlineStr">
        <is>
          <t>20250617-35</t>
        </is>
      </c>
    </row>
    <row r="2762">
      <c r="A2762" t="n">
        <v>25</v>
      </c>
      <c r="B2762" t="inlineStr">
        <is>
          <t>K3-2A</t>
        </is>
      </c>
      <c r="F2762" t="n">
        <v>113.81</v>
      </c>
      <c r="K2762" t="inlineStr">
        <is>
          <t>20250617-36</t>
        </is>
      </c>
    </row>
    <row r="2763">
      <c r="A2763" t="n">
        <v>26</v>
      </c>
      <c r="B2763" t="inlineStr">
        <is>
          <t>K3-2B</t>
        </is>
      </c>
      <c r="F2763" t="n">
        <v>85.271</v>
      </c>
      <c r="K2763" t="inlineStr">
        <is>
          <t>20250617-37</t>
        </is>
      </c>
    </row>
    <row r="2764">
      <c r="A2764" t="n">
        <v>27</v>
      </c>
      <c r="B2764" t="inlineStr">
        <is>
          <t>K3-2C</t>
        </is>
      </c>
      <c r="F2764" t="n">
        <v>86.066</v>
      </c>
      <c r="K2764" t="inlineStr">
        <is>
          <t>20250617-38</t>
        </is>
      </c>
    </row>
    <row r="2765">
      <c r="A2765" t="n">
        <v>28</v>
      </c>
      <c r="B2765" t="inlineStr">
        <is>
          <t>MeOH</t>
        </is>
      </c>
      <c r="K2765" t="inlineStr">
        <is>
          <t>20250617-39</t>
        </is>
      </c>
    </row>
    <row r="2766">
      <c r="A2766" t="n">
        <v>29</v>
      </c>
      <c r="B2766" t="inlineStr">
        <is>
          <t>K3-3A</t>
        </is>
      </c>
      <c r="F2766" t="n">
        <v>43.273</v>
      </c>
      <c r="K2766" t="inlineStr">
        <is>
          <t>20250617-40</t>
        </is>
      </c>
    </row>
    <row r="2767">
      <c r="A2767" t="n">
        <v>30</v>
      </c>
      <c r="B2767" t="inlineStr">
        <is>
          <t>K3-3B</t>
        </is>
      </c>
      <c r="F2767" t="n">
        <v>147.53</v>
      </c>
      <c r="K2767" t="inlineStr">
        <is>
          <t>20250617-41</t>
        </is>
      </c>
    </row>
    <row r="2768">
      <c r="A2768" t="n">
        <v>31</v>
      </c>
      <c r="B2768" t="inlineStr">
        <is>
          <t>K3-3C</t>
        </is>
      </c>
      <c r="F2768" t="n">
        <v>100.998</v>
      </c>
      <c r="K2768" t="inlineStr">
        <is>
          <t>20250617-42</t>
        </is>
      </c>
    </row>
    <row r="2769">
      <c r="A2769" t="n">
        <v>32</v>
      </c>
      <c r="B2769" t="inlineStr">
        <is>
          <t>K3-4A</t>
        </is>
      </c>
      <c r="F2769" t="n">
        <v>62.627</v>
      </c>
      <c r="K2769" t="inlineStr">
        <is>
          <t>20250617-43</t>
        </is>
      </c>
    </row>
    <row r="2770">
      <c r="A2770" t="n">
        <v>33</v>
      </c>
      <c r="B2770" t="inlineStr">
        <is>
          <t>K3-4B</t>
        </is>
      </c>
      <c r="F2770" t="n">
        <v>116.61</v>
      </c>
      <c r="K2770" t="inlineStr">
        <is>
          <t>20250617-44</t>
        </is>
      </c>
    </row>
    <row r="2771">
      <c r="A2771" t="n">
        <v>34</v>
      </c>
      <c r="B2771" t="inlineStr">
        <is>
          <t>K3-4C</t>
        </is>
      </c>
      <c r="F2771" t="n">
        <v>125.41</v>
      </c>
      <c r="K2771" t="inlineStr">
        <is>
          <t>20250617-45</t>
        </is>
      </c>
    </row>
    <row r="2772">
      <c r="A2772" t="n">
        <v>35</v>
      </c>
      <c r="B2772" t="inlineStr">
        <is>
          <t>MeOH</t>
        </is>
      </c>
      <c r="K2772" t="inlineStr">
        <is>
          <t>20250617-46</t>
        </is>
      </c>
    </row>
    <row r="2773">
      <c r="A2773" t="n">
        <v>36</v>
      </c>
      <c r="B2773" t="inlineStr">
        <is>
          <t>K3-6A</t>
        </is>
      </c>
      <c r="F2773" t="n">
        <v>54.508</v>
      </c>
      <c r="K2773" t="inlineStr">
        <is>
          <t>20250617-47</t>
        </is>
      </c>
    </row>
    <row r="2774">
      <c r="A2774" t="n">
        <v>37</v>
      </c>
      <c r="B2774" t="inlineStr">
        <is>
          <t>K3-6B</t>
        </is>
      </c>
      <c r="F2774" t="n">
        <v>34.035</v>
      </c>
      <c r="K2774" t="inlineStr">
        <is>
          <t>20250617-48</t>
        </is>
      </c>
    </row>
    <row r="2775">
      <c r="A2775" t="n">
        <v>38</v>
      </c>
      <c r="B2775" t="inlineStr">
        <is>
          <t>K3-6C</t>
        </is>
      </c>
      <c r="F2775" t="n">
        <v>29.42</v>
      </c>
      <c r="K2775" t="inlineStr">
        <is>
          <t>20250617-49</t>
        </is>
      </c>
    </row>
    <row r="2777">
      <c r="A2777" t="inlineStr">
        <is>
          <t>Compound 67:  8-16 diPAP 1 +</t>
        </is>
      </c>
    </row>
    <row r="2779">
      <c r="B2779" t="inlineStr">
        <is>
          <t>Sample Text</t>
        </is>
      </c>
      <c r="C2779" t="inlineStr">
        <is>
          <t>Std. Conc</t>
        </is>
      </c>
      <c r="D2779" t="inlineStr">
        <is>
          <t>RT</t>
        </is>
      </c>
      <c r="E2779" t="inlineStr">
        <is>
          <t>Area</t>
        </is>
      </c>
      <c r="F2779" t="inlineStr">
        <is>
          <t>IS Area</t>
        </is>
      </c>
      <c r="G2779" t="inlineStr">
        <is>
          <t>S/N</t>
        </is>
      </c>
      <c r="H2779" t="inlineStr">
        <is>
          <t>Primary Flags</t>
        </is>
      </c>
      <c r="I2779" t="inlineStr">
        <is>
          <t>Response</t>
        </is>
      </c>
      <c r="J2779" t="inlineStr">
        <is>
          <t>Conc.</t>
        </is>
      </c>
      <c r="K2779" t="inlineStr">
        <is>
          <t>Name</t>
        </is>
      </c>
    </row>
    <row r="2780">
      <c r="A2780" t="n">
        <v>1</v>
      </c>
      <c r="F2780" t="n">
        <v>19473.51</v>
      </c>
      <c r="K2780" t="inlineStr">
        <is>
          <t>20250617-12</t>
        </is>
      </c>
    </row>
    <row r="2781">
      <c r="A2781" t="n">
        <v>2</v>
      </c>
      <c r="F2781" t="n">
        <v>13285.255</v>
      </c>
      <c r="K2781" t="inlineStr">
        <is>
          <t>20250617-13</t>
        </is>
      </c>
    </row>
    <row r="2782">
      <c r="A2782" t="n">
        <v>3</v>
      </c>
      <c r="F2782" t="n">
        <v>16010.102</v>
      </c>
      <c r="K2782" t="inlineStr">
        <is>
          <t>20250617-14</t>
        </is>
      </c>
    </row>
    <row r="2783">
      <c r="A2783" t="n">
        <v>4</v>
      </c>
      <c r="F2783" t="n">
        <v>14214.025</v>
      </c>
      <c r="K2783" t="inlineStr">
        <is>
          <t>20250617-15</t>
        </is>
      </c>
    </row>
    <row r="2784">
      <c r="A2784" t="n">
        <v>5</v>
      </c>
      <c r="F2784" t="n">
        <v>21931.449</v>
      </c>
      <c r="K2784" t="inlineStr">
        <is>
          <t>20250617-16</t>
        </is>
      </c>
    </row>
    <row r="2785">
      <c r="A2785" t="n">
        <v>6</v>
      </c>
      <c r="F2785" t="n">
        <v>17537.508</v>
      </c>
      <c r="K2785" t="inlineStr">
        <is>
          <t>20250617-17</t>
        </is>
      </c>
    </row>
    <row r="2786">
      <c r="A2786" t="n">
        <v>7</v>
      </c>
      <c r="F2786" t="n">
        <v>29293.133</v>
      </c>
      <c r="K2786" t="inlineStr">
        <is>
          <t>20250617-18</t>
        </is>
      </c>
    </row>
    <row r="2787">
      <c r="A2787" t="n">
        <v>8</v>
      </c>
      <c r="F2787" t="n">
        <v>13919.142</v>
      </c>
      <c r="K2787" t="inlineStr">
        <is>
          <t>20250617-19</t>
        </is>
      </c>
    </row>
    <row r="2788">
      <c r="A2788" t="n">
        <v>9</v>
      </c>
      <c r="K2788" t="inlineStr">
        <is>
          <t>20250617-20</t>
        </is>
      </c>
    </row>
    <row r="2789">
      <c r="A2789" t="n">
        <v>10</v>
      </c>
      <c r="K2789" t="inlineStr">
        <is>
          <t>20250617-21</t>
        </is>
      </c>
    </row>
    <row r="2790">
      <c r="A2790" t="n">
        <v>11</v>
      </c>
      <c r="F2790" t="n">
        <v>5289.194</v>
      </c>
      <c r="K2790" t="inlineStr">
        <is>
          <t>20250617-22</t>
        </is>
      </c>
    </row>
    <row r="2791">
      <c r="A2791" t="n">
        <v>12</v>
      </c>
      <c r="F2791" t="n">
        <v>6667.125</v>
      </c>
      <c r="K2791" t="inlineStr">
        <is>
          <t>20250617-23</t>
        </is>
      </c>
    </row>
    <row r="2792">
      <c r="A2792" t="n">
        <v>13</v>
      </c>
      <c r="F2792" t="n">
        <v>5460.875</v>
      </c>
      <c r="K2792" t="inlineStr">
        <is>
          <t>20250617-24</t>
        </is>
      </c>
    </row>
    <row r="2793">
      <c r="A2793" t="n">
        <v>14</v>
      </c>
      <c r="F2793" t="n">
        <v>6517.947</v>
      </c>
      <c r="K2793" t="inlineStr">
        <is>
          <t>20250617-25</t>
        </is>
      </c>
    </row>
    <row r="2794">
      <c r="A2794" t="n">
        <v>15</v>
      </c>
      <c r="F2794" t="n">
        <v>6712.642</v>
      </c>
      <c r="K2794" t="inlineStr">
        <is>
          <t>20250617-26</t>
        </is>
      </c>
    </row>
    <row r="2795">
      <c r="A2795" t="n">
        <v>16</v>
      </c>
      <c r="F2795" t="n">
        <v>6363.637</v>
      </c>
      <c r="K2795" t="inlineStr">
        <is>
          <t>20250617-27</t>
        </is>
      </c>
    </row>
    <row r="2796">
      <c r="A2796" t="n">
        <v>17</v>
      </c>
      <c r="K2796" t="inlineStr">
        <is>
          <t>20250617-28</t>
        </is>
      </c>
    </row>
    <row r="2797">
      <c r="A2797" t="n">
        <v>18</v>
      </c>
      <c r="F2797" t="n">
        <v>3930.075</v>
      </c>
      <c r="K2797" t="inlineStr">
        <is>
          <t>20250617-29</t>
        </is>
      </c>
    </row>
    <row r="2798">
      <c r="A2798" t="n">
        <v>19</v>
      </c>
      <c r="F2798" t="n">
        <v>6277.964</v>
      </c>
      <c r="K2798" t="inlineStr">
        <is>
          <t>20250617-30</t>
        </is>
      </c>
    </row>
    <row r="2799">
      <c r="A2799" t="n">
        <v>20</v>
      </c>
      <c r="F2799" t="n">
        <v>2207.119</v>
      </c>
      <c r="K2799" t="inlineStr">
        <is>
          <t>20250617-31</t>
        </is>
      </c>
    </row>
    <row r="2800">
      <c r="A2800" t="n">
        <v>21</v>
      </c>
      <c r="K2800" t="inlineStr">
        <is>
          <t>20250617-32</t>
        </is>
      </c>
    </row>
    <row r="2801">
      <c r="A2801" t="n">
        <v>22</v>
      </c>
      <c r="F2801" t="n">
        <v>4603.346</v>
      </c>
      <c r="K2801" t="inlineStr">
        <is>
          <t>20250617-33</t>
        </is>
      </c>
    </row>
    <row r="2802">
      <c r="A2802" t="n">
        <v>23</v>
      </c>
      <c r="F2802" t="n">
        <v>4832.73</v>
      </c>
      <c r="K2802" t="inlineStr">
        <is>
          <t>20250617-34</t>
        </is>
      </c>
    </row>
    <row r="2803">
      <c r="A2803" t="n">
        <v>24</v>
      </c>
      <c r="F2803" t="n">
        <v>5250.105</v>
      </c>
      <c r="K2803" t="inlineStr">
        <is>
          <t>20250617-35</t>
        </is>
      </c>
    </row>
    <row r="2804">
      <c r="A2804" t="n">
        <v>25</v>
      </c>
      <c r="F2804" t="n">
        <v>4574.33</v>
      </c>
      <c r="K2804" t="inlineStr">
        <is>
          <t>20250617-36</t>
        </is>
      </c>
    </row>
    <row r="2805">
      <c r="A2805" t="n">
        <v>26</v>
      </c>
      <c r="F2805" t="n">
        <v>5271.769</v>
      </c>
      <c r="K2805" t="inlineStr">
        <is>
          <t>20250617-37</t>
        </is>
      </c>
    </row>
    <row r="2806">
      <c r="A2806" t="n">
        <v>27</v>
      </c>
      <c r="F2806" t="n">
        <v>4675.447</v>
      </c>
      <c r="K2806" t="inlineStr">
        <is>
          <t>20250617-38</t>
        </is>
      </c>
    </row>
    <row r="2807">
      <c r="A2807" t="n">
        <v>28</v>
      </c>
      <c r="K2807" t="inlineStr">
        <is>
          <t>20250617-39</t>
        </is>
      </c>
    </row>
    <row r="2808">
      <c r="A2808" t="n">
        <v>29</v>
      </c>
      <c r="F2808" t="n">
        <v>3868.886</v>
      </c>
      <c r="K2808" t="inlineStr">
        <is>
          <t>20250617-40</t>
        </is>
      </c>
    </row>
    <row r="2809">
      <c r="A2809" t="n">
        <v>30</v>
      </c>
      <c r="F2809" t="n">
        <v>5558.256</v>
      </c>
      <c r="K2809" t="inlineStr">
        <is>
          <t>20250617-41</t>
        </is>
      </c>
    </row>
    <row r="2810">
      <c r="A2810" t="n">
        <v>31</v>
      </c>
      <c r="F2810" t="n">
        <v>5019.609</v>
      </c>
      <c r="K2810" t="inlineStr">
        <is>
          <t>20250617-42</t>
        </is>
      </c>
    </row>
    <row r="2811">
      <c r="A2811" t="n">
        <v>32</v>
      </c>
      <c r="F2811" t="n">
        <v>4571.521</v>
      </c>
      <c r="K2811" t="inlineStr">
        <is>
          <t>20250617-43</t>
        </is>
      </c>
    </row>
    <row r="2812">
      <c r="A2812" t="n">
        <v>33</v>
      </c>
      <c r="F2812" t="n">
        <v>5043.437</v>
      </c>
      <c r="K2812" t="inlineStr">
        <is>
          <t>20250617-44</t>
        </is>
      </c>
    </row>
    <row r="2813">
      <c r="A2813" t="n">
        <v>34</v>
      </c>
      <c r="F2813" t="n">
        <v>5033.665</v>
      </c>
      <c r="K2813" t="inlineStr">
        <is>
          <t>20250617-45</t>
        </is>
      </c>
    </row>
    <row r="2814">
      <c r="A2814" t="n">
        <v>35</v>
      </c>
      <c r="K2814" t="inlineStr">
        <is>
          <t>20250617-46</t>
        </is>
      </c>
    </row>
    <row r="2815">
      <c r="A2815" t="n">
        <v>36</v>
      </c>
      <c r="F2815" t="n">
        <v>3966.205</v>
      </c>
      <c r="K2815" t="inlineStr">
        <is>
          <t>20250617-47</t>
        </is>
      </c>
    </row>
    <row r="2816">
      <c r="A2816" t="n">
        <v>37</v>
      </c>
      <c r="F2816" t="n">
        <v>3977.533</v>
      </c>
      <c r="K2816" t="inlineStr">
        <is>
          <t>20250617-48</t>
        </is>
      </c>
    </row>
    <row r="2817">
      <c r="A2817" t="n">
        <v>38</v>
      </c>
      <c r="F2817" t="n">
        <v>3666.082</v>
      </c>
      <c r="K2817" t="inlineStr">
        <is>
          <t>20250617-49</t>
        </is>
      </c>
    </row>
    <row r="2819">
      <c r="A2819" t="inlineStr">
        <is>
          <t>Compound 68:  6-18 diPAP 1 +</t>
        </is>
      </c>
    </row>
    <row r="2821">
      <c r="B2821" t="inlineStr">
        <is>
          <t>Sample Text</t>
        </is>
      </c>
      <c r="C2821" t="inlineStr">
        <is>
          <t>Std. Conc</t>
        </is>
      </c>
      <c r="D2821" t="inlineStr">
        <is>
          <t>RT</t>
        </is>
      </c>
      <c r="E2821" t="inlineStr">
        <is>
          <t>Area</t>
        </is>
      </c>
      <c r="F2821" t="inlineStr">
        <is>
          <t>IS Area</t>
        </is>
      </c>
      <c r="G2821" t="inlineStr">
        <is>
          <t>S/N</t>
        </is>
      </c>
      <c r="H2821" t="inlineStr">
        <is>
          <t>Primary Flags</t>
        </is>
      </c>
      <c r="I2821" t="inlineStr">
        <is>
          <t>Response</t>
        </is>
      </c>
      <c r="J2821" t="inlineStr">
        <is>
          <t>Conc.</t>
        </is>
      </c>
      <c r="K2821" t="inlineStr">
        <is>
          <t>Name</t>
        </is>
      </c>
    </row>
    <row r="2822">
      <c r="A2822" t="n">
        <v>1</v>
      </c>
      <c r="F2822" t="n">
        <v>19473.51</v>
      </c>
      <c r="K2822" t="inlineStr">
        <is>
          <t>20250617-12</t>
        </is>
      </c>
    </row>
    <row r="2823">
      <c r="A2823" t="n">
        <v>2</v>
      </c>
      <c r="F2823" t="n">
        <v>13285.255</v>
      </c>
      <c r="K2823" t="inlineStr">
        <is>
          <t>20250617-13</t>
        </is>
      </c>
    </row>
    <row r="2824">
      <c r="A2824" t="n">
        <v>3</v>
      </c>
      <c r="F2824" t="n">
        <v>16010.102</v>
      </c>
      <c r="K2824" t="inlineStr">
        <is>
          <t>20250617-14</t>
        </is>
      </c>
    </row>
    <row r="2825">
      <c r="A2825" t="n">
        <v>4</v>
      </c>
      <c r="F2825" t="n">
        <v>14214.025</v>
      </c>
      <c r="K2825" t="inlineStr">
        <is>
          <t>20250617-15</t>
        </is>
      </c>
    </row>
    <row r="2826">
      <c r="A2826" t="n">
        <v>5</v>
      </c>
      <c r="F2826" t="n">
        <v>21931.449</v>
      </c>
      <c r="K2826" t="inlineStr">
        <is>
          <t>20250617-16</t>
        </is>
      </c>
    </row>
    <row r="2827">
      <c r="A2827" t="n">
        <v>6</v>
      </c>
      <c r="F2827" t="n">
        <v>17537.508</v>
      </c>
      <c r="K2827" t="inlineStr">
        <is>
          <t>20250617-17</t>
        </is>
      </c>
    </row>
    <row r="2828">
      <c r="A2828" t="n">
        <v>7</v>
      </c>
      <c r="F2828" t="n">
        <v>29293.133</v>
      </c>
      <c r="K2828" t="inlineStr">
        <is>
          <t>20250617-18</t>
        </is>
      </c>
    </row>
    <row r="2829">
      <c r="A2829" t="n">
        <v>8</v>
      </c>
      <c r="F2829" t="n">
        <v>13919.142</v>
      </c>
      <c r="K2829" t="inlineStr">
        <is>
          <t>20250617-19</t>
        </is>
      </c>
    </row>
    <row r="2830">
      <c r="A2830" t="n">
        <v>9</v>
      </c>
      <c r="K2830" t="inlineStr">
        <is>
          <t>20250617-20</t>
        </is>
      </c>
    </row>
    <row r="2831">
      <c r="A2831" t="n">
        <v>10</v>
      </c>
      <c r="K2831" t="inlineStr">
        <is>
          <t>20250617-21</t>
        </is>
      </c>
    </row>
    <row r="2832">
      <c r="A2832" t="n">
        <v>11</v>
      </c>
      <c r="F2832" t="n">
        <v>5289.194</v>
      </c>
      <c r="K2832" t="inlineStr">
        <is>
          <t>20250617-22</t>
        </is>
      </c>
    </row>
    <row r="2833">
      <c r="A2833" t="n">
        <v>12</v>
      </c>
      <c r="F2833" t="n">
        <v>6667.125</v>
      </c>
      <c r="K2833" t="inlineStr">
        <is>
          <t>20250617-23</t>
        </is>
      </c>
    </row>
    <row r="2834">
      <c r="A2834" t="n">
        <v>13</v>
      </c>
      <c r="F2834" t="n">
        <v>5460.875</v>
      </c>
      <c r="K2834" t="inlineStr">
        <is>
          <t>20250617-24</t>
        </is>
      </c>
    </row>
    <row r="2835">
      <c r="A2835" t="n">
        <v>14</v>
      </c>
      <c r="F2835" t="n">
        <v>6517.947</v>
      </c>
      <c r="K2835" t="inlineStr">
        <is>
          <t>20250617-25</t>
        </is>
      </c>
    </row>
    <row r="2836">
      <c r="A2836" t="n">
        <v>15</v>
      </c>
      <c r="F2836" t="n">
        <v>6712.642</v>
      </c>
      <c r="K2836" t="inlineStr">
        <is>
          <t>20250617-26</t>
        </is>
      </c>
    </row>
    <row r="2837">
      <c r="A2837" t="n">
        <v>16</v>
      </c>
      <c r="F2837" t="n">
        <v>6363.637</v>
      </c>
      <c r="K2837" t="inlineStr">
        <is>
          <t>20250617-27</t>
        </is>
      </c>
    </row>
    <row r="2838">
      <c r="A2838" t="n">
        <v>17</v>
      </c>
      <c r="K2838" t="inlineStr">
        <is>
          <t>20250617-28</t>
        </is>
      </c>
    </row>
    <row r="2839">
      <c r="A2839" t="n">
        <v>18</v>
      </c>
      <c r="F2839" t="n">
        <v>3930.075</v>
      </c>
      <c r="K2839" t="inlineStr">
        <is>
          <t>20250617-29</t>
        </is>
      </c>
    </row>
    <row r="2840">
      <c r="A2840" t="n">
        <v>19</v>
      </c>
      <c r="F2840" t="n">
        <v>6277.964</v>
      </c>
      <c r="K2840" t="inlineStr">
        <is>
          <t>20250617-30</t>
        </is>
      </c>
    </row>
    <row r="2841">
      <c r="A2841" t="n">
        <v>20</v>
      </c>
      <c r="F2841" t="n">
        <v>2207.119</v>
      </c>
      <c r="K2841" t="inlineStr">
        <is>
          <t>20250617-31</t>
        </is>
      </c>
    </row>
    <row r="2842">
      <c r="A2842" t="n">
        <v>21</v>
      </c>
      <c r="K2842" t="inlineStr">
        <is>
          <t>20250617-32</t>
        </is>
      </c>
    </row>
    <row r="2843">
      <c r="A2843" t="n">
        <v>22</v>
      </c>
      <c r="F2843" t="n">
        <v>4603.346</v>
      </c>
      <c r="K2843" t="inlineStr">
        <is>
          <t>20250617-33</t>
        </is>
      </c>
    </row>
    <row r="2844">
      <c r="A2844" t="n">
        <v>23</v>
      </c>
      <c r="F2844" t="n">
        <v>4832.73</v>
      </c>
      <c r="K2844" t="inlineStr">
        <is>
          <t>20250617-34</t>
        </is>
      </c>
    </row>
    <row r="2845">
      <c r="A2845" t="n">
        <v>24</v>
      </c>
      <c r="F2845" t="n">
        <v>5250.105</v>
      </c>
      <c r="K2845" t="inlineStr">
        <is>
          <t>20250617-35</t>
        </is>
      </c>
    </row>
    <row r="2846">
      <c r="A2846" t="n">
        <v>25</v>
      </c>
      <c r="F2846" t="n">
        <v>4574.33</v>
      </c>
      <c r="K2846" t="inlineStr">
        <is>
          <t>20250617-36</t>
        </is>
      </c>
    </row>
    <row r="2847">
      <c r="A2847" t="n">
        <v>26</v>
      </c>
      <c r="F2847" t="n">
        <v>5271.769</v>
      </c>
      <c r="K2847" t="inlineStr">
        <is>
          <t>20250617-37</t>
        </is>
      </c>
    </row>
    <row r="2848">
      <c r="A2848" t="n">
        <v>27</v>
      </c>
      <c r="F2848" t="n">
        <v>4675.447</v>
      </c>
      <c r="K2848" t="inlineStr">
        <is>
          <t>20250617-38</t>
        </is>
      </c>
    </row>
    <row r="2849">
      <c r="A2849" t="n">
        <v>28</v>
      </c>
      <c r="K2849" t="inlineStr">
        <is>
          <t>20250617-39</t>
        </is>
      </c>
    </row>
    <row r="2850">
      <c r="A2850" t="n">
        <v>29</v>
      </c>
      <c r="F2850" t="n">
        <v>3868.886</v>
      </c>
      <c r="K2850" t="inlineStr">
        <is>
          <t>20250617-40</t>
        </is>
      </c>
    </row>
    <row r="2851">
      <c r="A2851" t="n">
        <v>30</v>
      </c>
      <c r="F2851" t="n">
        <v>5558.256</v>
      </c>
      <c r="K2851" t="inlineStr">
        <is>
          <t>20250617-41</t>
        </is>
      </c>
    </row>
    <row r="2852">
      <c r="A2852" t="n">
        <v>31</v>
      </c>
      <c r="F2852" t="n">
        <v>5019.609</v>
      </c>
      <c r="K2852" t="inlineStr">
        <is>
          <t>20250617-42</t>
        </is>
      </c>
    </row>
    <row r="2853">
      <c r="A2853" t="n">
        <v>32</v>
      </c>
      <c r="F2853" t="n">
        <v>4571.521</v>
      </c>
      <c r="K2853" t="inlineStr">
        <is>
          <t>20250617-43</t>
        </is>
      </c>
    </row>
    <row r="2854">
      <c r="A2854" t="n">
        <v>33</v>
      </c>
      <c r="F2854" t="n">
        <v>5043.437</v>
      </c>
      <c r="K2854" t="inlineStr">
        <is>
          <t>20250617-44</t>
        </is>
      </c>
    </row>
    <row r="2855">
      <c r="A2855" t="n">
        <v>34</v>
      </c>
      <c r="F2855" t="n">
        <v>5033.665</v>
      </c>
      <c r="K2855" t="inlineStr">
        <is>
          <t>20250617-45</t>
        </is>
      </c>
    </row>
    <row r="2856">
      <c r="A2856" t="n">
        <v>35</v>
      </c>
      <c r="K2856" t="inlineStr">
        <is>
          <t>20250617-46</t>
        </is>
      </c>
    </row>
    <row r="2857">
      <c r="A2857" t="n">
        <v>36</v>
      </c>
      <c r="F2857" t="n">
        <v>3966.205</v>
      </c>
      <c r="K2857" t="inlineStr">
        <is>
          <t>20250617-47</t>
        </is>
      </c>
    </row>
    <row r="2858">
      <c r="A2858" t="n">
        <v>37</v>
      </c>
      <c r="F2858" t="n">
        <v>3977.533</v>
      </c>
      <c r="K2858" t="inlineStr">
        <is>
          <t>20250617-48</t>
        </is>
      </c>
    </row>
    <row r="2859">
      <c r="A2859" t="n">
        <v>38</v>
      </c>
      <c r="F2859" t="n">
        <v>3666.082</v>
      </c>
      <c r="K2859" t="inlineStr">
        <is>
          <t>20250617-49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R2392"/>
  <sheetViews>
    <sheetView topLeftCell="A875" zoomScale="192" zoomScaleNormal="192" workbookViewId="0">
      <selection activeCell="A522" sqref="A522"/>
    </sheetView>
  </sheetViews>
  <sheetFormatPr baseColWidth="8" defaultColWidth="8.83203125" defaultRowHeight="16"/>
  <cols>
    <col width="4.33203125" customWidth="1" min="1" max="1"/>
    <col width="34.33203125" customWidth="1" min="2" max="2"/>
    <col width="21.5" customWidth="1" min="10" max="10"/>
    <col width="21.33203125" customWidth="1" min="11" max="11"/>
  </cols>
  <sheetData>
    <row r="2">
      <c r="A2" t="inlineStr">
        <is>
          <t>Compound 1:  TFA 1</t>
        </is>
      </c>
    </row>
    <row r="3">
      <c r="I3" t="inlineStr">
        <is>
          <t>LINEST</t>
        </is>
      </c>
      <c r="Q3" t="inlineStr">
        <is>
          <t>Biosolids Masses</t>
        </is>
      </c>
      <c r="R3" t="inlineStr">
        <is>
          <t>(g)</t>
        </is>
      </c>
    </row>
    <row r="4">
      <c r="B4" t="inlineStr">
        <is>
          <t>Sample Text</t>
        </is>
      </c>
      <c r="C4" t="inlineStr">
        <is>
          <t>Std. Conc</t>
        </is>
      </c>
      <c r="D4" t="inlineStr">
        <is>
          <t>RT</t>
        </is>
      </c>
      <c r="E4" t="inlineStr">
        <is>
          <t>Area</t>
        </is>
      </c>
      <c r="F4" t="inlineStr">
        <is>
          <t>IS Area</t>
        </is>
      </c>
      <c r="G4" t="inlineStr">
        <is>
          <t>S/N</t>
        </is>
      </c>
      <c r="H4" t="inlineStr">
        <is>
          <t>ratio</t>
        </is>
      </c>
      <c r="I4">
        <f t="array" ref="I4:J8">LINEST(H8:H12,C8:C12,1,1)</f>
        <v/>
      </c>
      <c r="J4" t="n">
        <v>-0.0002106573316922686</v>
      </c>
      <c r="L4" s="20" t="inlineStr">
        <is>
          <t>By S/N Ratio</t>
        </is>
      </c>
      <c r="Q4" t="inlineStr">
        <is>
          <t>SS1</t>
        </is>
      </c>
      <c r="R4" t="n">
        <v>1.0846</v>
      </c>
    </row>
    <row r="5">
      <c r="A5" t="n">
        <v>1</v>
      </c>
      <c r="B5" t="inlineStr">
        <is>
          <t>EPA1633 &amp; diPAPs Calibration 0 ppb</t>
        </is>
      </c>
      <c r="C5" t="n">
        <v>0</v>
      </c>
      <c r="D5" t="n">
        <v>0.7</v>
      </c>
      <c r="E5" t="n">
        <v>0.159</v>
      </c>
      <c r="F5" t="n">
        <v>7551.013</v>
      </c>
      <c r="G5" t="n">
        <v>2</v>
      </c>
      <c r="H5">
        <f>E5/F5</f>
        <v/>
      </c>
      <c r="I5" t="n">
        <v>4.738197205233787e-06</v>
      </c>
      <c r="J5" t="n">
        <v>0.0001944227294657195</v>
      </c>
      <c r="K5" t="inlineStr">
        <is>
          <t>LOD</t>
        </is>
      </c>
      <c r="L5" s="21">
        <f>IF(G8&gt;3,C8,IF(G9&gt;3,C9,IF(G10&gt;3,C10,IF(G11&gt;3,C11,C12))))</f>
        <v/>
      </c>
      <c r="Q5" t="inlineStr">
        <is>
          <t>SS2</t>
        </is>
      </c>
      <c r="R5" t="n">
        <v>1.0726</v>
      </c>
    </row>
    <row r="6">
      <c r="A6" t="n">
        <v>2</v>
      </c>
      <c r="B6" t="inlineStr">
        <is>
          <t>EPA1633 &amp; diPAPs Calibration 0.02 ppb</t>
        </is>
      </c>
      <c r="C6" t="n">
        <v>0.08</v>
      </c>
      <c r="D6" t="n">
        <v>1.1</v>
      </c>
      <c r="E6" t="n">
        <v>0.307</v>
      </c>
      <c r="F6" t="n">
        <v>6696.725</v>
      </c>
      <c r="G6" t="n">
        <v>2.202</v>
      </c>
      <c r="H6">
        <f>E6/F6</f>
        <v/>
      </c>
      <c r="I6" t="n">
        <v>0.9102051462818316</v>
      </c>
      <c r="J6" t="n">
        <v>0.0003062902026608572</v>
      </c>
      <c r="K6" t="inlineStr">
        <is>
          <t>LOQ</t>
        </is>
      </c>
      <c r="L6" s="22">
        <f>IF(G8&gt;10,C8,IF(G9&gt;10,C9,IF(G10&gt;10,C10,IF(G11&gt;10,C11,C12))))</f>
        <v/>
      </c>
      <c r="Q6" t="inlineStr">
        <is>
          <t>SS3</t>
        </is>
      </c>
      <c r="R6" t="n">
        <v>1.1534</v>
      </c>
    </row>
    <row r="7">
      <c r="A7" t="n">
        <v>3</v>
      </c>
      <c r="B7" t="inlineStr">
        <is>
          <t>EPA1633 &amp; diPAPs Calibration 0.1 ppb</t>
        </is>
      </c>
      <c r="C7" t="n">
        <v>0.4</v>
      </c>
      <c r="D7" t="n">
        <v>1.27</v>
      </c>
      <c r="E7" t="n">
        <v>0.08599999999999999</v>
      </c>
      <c r="F7" t="n">
        <v>7209.583</v>
      </c>
      <c r="G7" t="n">
        <v>1</v>
      </c>
      <c r="H7">
        <f>E7/F7</f>
        <v/>
      </c>
      <c r="I7" t="n">
        <v>30.40948702267338</v>
      </c>
      <c r="J7" t="n">
        <v>3</v>
      </c>
      <c r="Q7" t="inlineStr">
        <is>
          <t>K4-1A</t>
        </is>
      </c>
      <c r="R7" t="n">
        <v>1.0267</v>
      </c>
    </row>
    <row r="8">
      <c r="A8" t="n">
        <v>4</v>
      </c>
      <c r="B8" t="inlineStr">
        <is>
          <t>EPA1633 &amp; diPAPs Calibration 0.4 ppb</t>
        </is>
      </c>
      <c r="C8" t="n">
        <v>1.6</v>
      </c>
      <c r="D8" t="n">
        <v>1.49</v>
      </c>
      <c r="E8" t="n">
        <v>0.097</v>
      </c>
      <c r="F8" t="n">
        <v>7013.762</v>
      </c>
      <c r="G8" t="n">
        <v>0.703</v>
      </c>
      <c r="H8">
        <f>E8/F8</f>
        <v/>
      </c>
      <c r="I8" t="n">
        <v>2.852826135266744e-06</v>
      </c>
      <c r="J8" t="n">
        <v>2.814410647380869e-07</v>
      </c>
      <c r="Q8" t="inlineStr">
        <is>
          <t>K4-1B</t>
        </is>
      </c>
      <c r="R8" t="n">
        <v>1.1481</v>
      </c>
    </row>
    <row r="9">
      <c r="A9" t="n">
        <v>5</v>
      </c>
      <c r="B9" t="inlineStr">
        <is>
          <t>EPA1633 &amp; diPAPs Calibration 1 ppb</t>
        </is>
      </c>
      <c r="C9" t="n">
        <v>4</v>
      </c>
      <c r="D9" t="n">
        <v>1.72</v>
      </c>
      <c r="E9" t="n">
        <v>0.491</v>
      </c>
      <c r="F9" t="n">
        <v>8048.652</v>
      </c>
      <c r="G9" t="n">
        <v>1.727</v>
      </c>
      <c r="H9">
        <f>E9/F9</f>
        <v/>
      </c>
      <c r="Q9" t="inlineStr">
        <is>
          <t>K4-1C</t>
        </is>
      </c>
      <c r="R9" t="n">
        <v>1.0402</v>
      </c>
    </row>
    <row r="10">
      <c r="A10" t="n">
        <v>6</v>
      </c>
      <c r="B10" t="inlineStr">
        <is>
          <t>EPA1633 &amp; diPAPs Calibration 5 ppb</t>
        </is>
      </c>
      <c r="C10" t="n">
        <v>20</v>
      </c>
      <c r="D10" t="n">
        <v>1.02</v>
      </c>
      <c r="E10" t="n">
        <v>0.712</v>
      </c>
      <c r="F10" t="n">
        <v>7211.955</v>
      </c>
      <c r="G10" t="n">
        <v>8</v>
      </c>
      <c r="H10">
        <f>E10/F10</f>
        <v/>
      </c>
      <c r="Q10" t="inlineStr">
        <is>
          <t>K4-2A</t>
        </is>
      </c>
      <c r="R10" t="n">
        <v>1.127</v>
      </c>
    </row>
    <row r="11">
      <c r="A11" t="n">
        <v>7</v>
      </c>
      <c r="B11" t="inlineStr">
        <is>
          <t>EPA1633 &amp; diPAPs Calibration 10 ppb</t>
        </is>
      </c>
      <c r="C11" t="n">
        <v>40</v>
      </c>
      <c r="D11" t="n">
        <v>1.02</v>
      </c>
      <c r="E11" t="n">
        <v>2.722</v>
      </c>
      <c r="F11" t="n">
        <v>5686.902</v>
      </c>
      <c r="G11" t="n">
        <v>17.093</v>
      </c>
      <c r="H11">
        <f>E11/F11</f>
        <v/>
      </c>
      <c r="I11" s="23" t="inlineStr">
        <is>
          <t>Background</t>
        </is>
      </c>
      <c r="J11" s="23" t="inlineStr">
        <is>
          <t>Spike</t>
        </is>
      </c>
      <c r="K11" s="9" t="inlineStr">
        <is>
          <t>Old Spike</t>
        </is>
      </c>
      <c r="O11" s="24" t="inlineStr">
        <is>
          <t>±</t>
        </is>
      </c>
      <c r="Q11" t="inlineStr">
        <is>
          <t>K4-2B</t>
        </is>
      </c>
      <c r="R11" t="n">
        <v>1.1154</v>
      </c>
    </row>
    <row r="12">
      <c r="A12" t="n">
        <v>8</v>
      </c>
      <c r="B12" t="inlineStr">
        <is>
          <t>EPA1633 &amp; diPAPs Calibration 20 ppb</t>
        </is>
      </c>
      <c r="C12" t="n">
        <v>80</v>
      </c>
      <c r="D12" t="n">
        <v>0.97</v>
      </c>
      <c r="E12" t="n">
        <v>12.969</v>
      </c>
      <c r="F12" t="n">
        <v>6179.103</v>
      </c>
      <c r="G12" t="n">
        <v>106.223</v>
      </c>
      <c r="H12">
        <f>E12/F12</f>
        <v/>
      </c>
      <c r="I12">
        <f>AVERAGE(I15:I17)</f>
        <v/>
      </c>
      <c r="J12" t="n">
        <v>44</v>
      </c>
      <c r="Q12" t="inlineStr">
        <is>
          <t>K4-2C</t>
        </is>
      </c>
      <c r="R12" t="n">
        <v>1.1711</v>
      </c>
    </row>
    <row r="13">
      <c r="A13" t="n">
        <v>9</v>
      </c>
      <c r="B13" t="inlineStr">
        <is>
          <t>MeOH</t>
        </is>
      </c>
      <c r="D13" t="n">
        <v>0.45</v>
      </c>
      <c r="E13" t="n">
        <v>0.08799999999999999</v>
      </c>
      <c r="G13" t="n">
        <v>3</v>
      </c>
      <c r="I13" s="23" t="inlineStr">
        <is>
          <t>Conc.In Vial (ppb)</t>
        </is>
      </c>
      <c r="J13" s="9" t="inlineStr">
        <is>
          <t>Corr. Conc.(ppb)</t>
        </is>
      </c>
      <c r="K13" s="9" t="inlineStr">
        <is>
          <t>Conc. In soil (ng/g)</t>
        </is>
      </c>
      <c r="Q13" t="inlineStr">
        <is>
          <t>K4-4A</t>
        </is>
      </c>
      <c r="R13" t="n">
        <v>1.0932</v>
      </c>
    </row>
    <row r="14">
      <c r="A14" t="n">
        <v>10</v>
      </c>
      <c r="B14" t="inlineStr">
        <is>
          <t>MeOH</t>
        </is>
      </c>
      <c r="D14" t="n">
        <v>1.47</v>
      </c>
      <c r="E14" t="n">
        <v>0.129</v>
      </c>
      <c r="G14" t="n">
        <v>1</v>
      </c>
      <c r="L14" s="23" t="inlineStr">
        <is>
          <t>Average</t>
        </is>
      </c>
      <c r="M14" s="23" t="inlineStr">
        <is>
          <t>Stdev</t>
        </is>
      </c>
      <c r="N14" s="9" t="inlineStr">
        <is>
          <t>Combined</t>
        </is>
      </c>
      <c r="O14" s="9" t="n"/>
      <c r="P14" s="9" t="n"/>
      <c r="Q14" t="inlineStr">
        <is>
          <t>K4-4B</t>
        </is>
      </c>
      <c r="R14" t="n">
        <v>1.15</v>
      </c>
    </row>
    <row r="15">
      <c r="A15" t="n">
        <v>11</v>
      </c>
      <c r="B15" t="inlineStr">
        <is>
          <t>SB1</t>
        </is>
      </c>
      <c r="D15" t="n">
        <v>1.63</v>
      </c>
      <c r="E15" t="n">
        <v>2.019</v>
      </c>
      <c r="F15" t="n">
        <v>3649.542</v>
      </c>
      <c r="G15" t="n">
        <v>25</v>
      </c>
      <c r="H15">
        <f>E15/F15</f>
        <v/>
      </c>
      <c r="I15">
        <f>((H15-$J$4)/$I$4)</f>
        <v/>
      </c>
      <c r="J15">
        <f>(I15-IF(I12&gt;0,I12,0))</f>
        <v/>
      </c>
      <c r="K15">
        <f>J15*1.1</f>
        <v/>
      </c>
      <c r="L15">
        <f>AVERAGE(K15:K17)</f>
        <v/>
      </c>
      <c r="M15">
        <f>STDEV(K16:K17)</f>
        <v/>
      </c>
      <c r="N15">
        <f>_xlfn.CONCAT(ROUND(L15,1)," ± ",ROUND(M15,1))</f>
        <v/>
      </c>
      <c r="Q15" t="inlineStr">
        <is>
          <t>K4-4C</t>
        </is>
      </c>
      <c r="R15" t="n">
        <v>1.0482</v>
      </c>
    </row>
    <row r="16">
      <c r="A16" t="n">
        <v>12</v>
      </c>
      <c r="B16" t="inlineStr">
        <is>
          <t>SB2</t>
        </is>
      </c>
      <c r="D16" t="n">
        <v>0.47</v>
      </c>
      <c r="E16" t="n">
        <v>0.219</v>
      </c>
      <c r="F16" t="n">
        <v>3370.738</v>
      </c>
      <c r="G16" t="n">
        <v>7</v>
      </c>
      <c r="H16">
        <f>E16/F16</f>
        <v/>
      </c>
      <c r="I16">
        <f>((H16-$J$4)/$I$4)</f>
        <v/>
      </c>
      <c r="J16">
        <f>(I16-IF(I12&gt;0,I12,0))</f>
        <v/>
      </c>
      <c r="K16">
        <f>J16*1.1</f>
        <v/>
      </c>
      <c r="Q16" t="inlineStr">
        <is>
          <t>K4-5A</t>
        </is>
      </c>
      <c r="R16" t="n">
        <v>1.1054</v>
      </c>
    </row>
    <row r="17">
      <c r="A17" t="n">
        <v>13</v>
      </c>
      <c r="B17" t="inlineStr">
        <is>
          <t>SB3</t>
        </is>
      </c>
      <c r="D17" t="n">
        <v>1.95</v>
      </c>
      <c r="E17" t="n">
        <v>0.129</v>
      </c>
      <c r="F17" t="n">
        <v>3095.617</v>
      </c>
      <c r="G17" t="n">
        <v>1</v>
      </c>
      <c r="H17">
        <f>E17/F17</f>
        <v/>
      </c>
      <c r="I17">
        <f>((H17-$J$4)/$I$4)</f>
        <v/>
      </c>
      <c r="J17">
        <f>(I17-IF(I12&gt;0,I12,0))</f>
        <v/>
      </c>
      <c r="K17" s="30">
        <f>J17*1.1</f>
        <v/>
      </c>
      <c r="L17" s="25" t="inlineStr">
        <is>
          <t>Average</t>
        </is>
      </c>
      <c r="M17" s="25" t="inlineStr">
        <is>
          <t>Stdev</t>
        </is>
      </c>
      <c r="N17" s="26" t="inlineStr">
        <is>
          <t>%Recovery</t>
        </is>
      </c>
      <c r="O17" s="26" t="inlineStr">
        <is>
          <t>Uncertainty</t>
        </is>
      </c>
      <c r="P17" s="26" t="inlineStr">
        <is>
          <t>Combined</t>
        </is>
      </c>
      <c r="Q17" t="inlineStr">
        <is>
          <t>K4-5B</t>
        </is>
      </c>
      <c r="R17" s="10" t="n">
        <v>1.0463</v>
      </c>
    </row>
    <row r="18">
      <c r="A18" t="n">
        <v>14</v>
      </c>
      <c r="B18" t="inlineStr">
        <is>
          <t>SS1</t>
        </is>
      </c>
      <c r="D18" t="n">
        <v>1.2</v>
      </c>
      <c r="E18" t="n">
        <v>3.581</v>
      </c>
      <c r="F18" t="n">
        <v>3493.816</v>
      </c>
      <c r="G18" t="n">
        <v>29.547</v>
      </c>
      <c r="H18">
        <f>E18/F18</f>
        <v/>
      </c>
      <c r="I18">
        <f>((H18-$J$4)/$I$4)</f>
        <v/>
      </c>
      <c r="J18">
        <f>(I18-IF($I$12&gt;0,$I$12,0))</f>
        <v/>
      </c>
      <c r="K18">
        <f>J18/R4*1.1</f>
        <v/>
      </c>
      <c r="L18" s="27">
        <f>AVERAGE(K18:K20)</f>
        <v/>
      </c>
      <c r="M18" s="27">
        <f>STDEV(K18:K20)</f>
        <v/>
      </c>
      <c r="N18" s="28">
        <f>L18/J12*100</f>
        <v/>
      </c>
      <c r="O18" s="29">
        <f>M18/J12*100</f>
        <v/>
      </c>
      <c r="P18" s="29">
        <f>_xlfn.CONCAT(ROUND(N18,1)," ± ",ROUND(O18,1))</f>
        <v/>
      </c>
      <c r="Q18" t="inlineStr">
        <is>
          <t>K4-5C</t>
        </is>
      </c>
      <c r="R18" t="n">
        <v>1.1155</v>
      </c>
    </row>
    <row r="19">
      <c r="A19" t="n">
        <v>15</v>
      </c>
      <c r="B19" t="inlineStr">
        <is>
          <t>SS2</t>
        </is>
      </c>
      <c r="D19" t="n">
        <v>1.66</v>
      </c>
      <c r="E19" t="n">
        <v>9.140000000000001</v>
      </c>
      <c r="F19" t="n">
        <v>3699.493</v>
      </c>
      <c r="G19" t="n">
        <v>95.83499999999999</v>
      </c>
      <c r="H19">
        <f>E19/F19</f>
        <v/>
      </c>
      <c r="I19">
        <f>((H19-$J$4)/$I$4)</f>
        <v/>
      </c>
      <c r="J19">
        <f>(I19-IF($I$12&gt;0,$I$12,0))</f>
        <v/>
      </c>
      <c r="K19">
        <f>J19/R5*1.1</f>
        <v/>
      </c>
      <c r="Q19" t="inlineStr">
        <is>
          <t>K3-1A</t>
        </is>
      </c>
      <c r="R19" t="n">
        <v>1.0874</v>
      </c>
    </row>
    <row r="20">
      <c r="A20" t="n">
        <v>16</v>
      </c>
      <c r="B20" t="inlineStr">
        <is>
          <t>SS3</t>
        </is>
      </c>
      <c r="D20" t="n">
        <v>1.61</v>
      </c>
      <c r="E20" t="n">
        <v>4.563</v>
      </c>
      <c r="F20" t="n">
        <v>3352.055</v>
      </c>
      <c r="G20" t="n">
        <v>49</v>
      </c>
      <c r="H20">
        <f>E20/F20</f>
        <v/>
      </c>
      <c r="I20">
        <f>((H20-$J$4)/$I$4)</f>
        <v/>
      </c>
      <c r="J20">
        <f>(I20-IF($I$12&gt;0,$I$12,0))</f>
        <v/>
      </c>
      <c r="K20" s="30">
        <f>J20/R6*1.1</f>
        <v/>
      </c>
      <c r="Q20" t="inlineStr">
        <is>
          <t>K3-1B</t>
        </is>
      </c>
      <c r="R20" t="n">
        <v>1.0898</v>
      </c>
    </row>
    <row r="21">
      <c r="A21" t="n">
        <v>17</v>
      </c>
      <c r="B21" t="inlineStr">
        <is>
          <t>MeOH</t>
        </is>
      </c>
      <c r="L21" s="23" t="inlineStr">
        <is>
          <t>Average</t>
        </is>
      </c>
      <c r="M21" s="23" t="inlineStr">
        <is>
          <t>Stdev</t>
        </is>
      </c>
      <c r="N21" s="9" t="inlineStr">
        <is>
          <t>Combined</t>
        </is>
      </c>
      <c r="Q21" t="inlineStr">
        <is>
          <t>K3-1C</t>
        </is>
      </c>
      <c r="R21" t="n">
        <v>1.0536</v>
      </c>
    </row>
    <row r="22">
      <c r="A22" t="n">
        <v>18</v>
      </c>
      <c r="B22" t="inlineStr">
        <is>
          <t>K4-1A</t>
        </is>
      </c>
      <c r="D22" t="n">
        <v>1.2</v>
      </c>
      <c r="E22" t="n">
        <v>12.745</v>
      </c>
      <c r="F22" t="n">
        <v>3889.819</v>
      </c>
      <c r="G22" t="n">
        <v>4.346</v>
      </c>
      <c r="H22">
        <f>E22/F22</f>
        <v/>
      </c>
      <c r="I22">
        <f>((H22-$J$4)/$I$4)</f>
        <v/>
      </c>
      <c r="J22">
        <f>(I22-IF($I$12&gt;0,$I$12,0))</f>
        <v/>
      </c>
      <c r="K22">
        <f>J22/R7*1.1</f>
        <v/>
      </c>
      <c r="L22">
        <f>AVERAGE(K22:K24)</f>
        <v/>
      </c>
      <c r="M22">
        <f>STDEV(K23:K24)</f>
        <v/>
      </c>
      <c r="N22">
        <f>_xlfn.CONCAT(ROUND(L22,1)," ± ",ROUND(M22,1))</f>
        <v/>
      </c>
      <c r="Q22" t="inlineStr">
        <is>
          <t>K3-2A</t>
        </is>
      </c>
      <c r="R22" s="10" t="n">
        <v>1.1218</v>
      </c>
    </row>
    <row r="23">
      <c r="A23" t="n">
        <v>19</v>
      </c>
      <c r="B23" t="inlineStr">
        <is>
          <t>K4-1B</t>
        </is>
      </c>
      <c r="D23" t="n">
        <v>1.18</v>
      </c>
      <c r="E23" t="n">
        <v>0.486</v>
      </c>
      <c r="F23" t="n">
        <v>3657.858</v>
      </c>
      <c r="G23" t="n">
        <v>7</v>
      </c>
      <c r="H23">
        <f>E23/F23</f>
        <v/>
      </c>
      <c r="I23">
        <f>((H23-$J$4)/$I$4)</f>
        <v/>
      </c>
      <c r="J23">
        <f>(I23-IF($I$12&gt;0,$I$12,0))</f>
        <v/>
      </c>
      <c r="K23">
        <f>J23/R8*1.1</f>
        <v/>
      </c>
      <c r="Q23" t="inlineStr">
        <is>
          <t>K3-2B</t>
        </is>
      </c>
      <c r="R23" t="n">
        <v>1.198</v>
      </c>
    </row>
    <row r="24">
      <c r="A24" t="n">
        <v>20</v>
      </c>
      <c r="B24" t="inlineStr">
        <is>
          <t>K4-1C</t>
        </is>
      </c>
      <c r="D24" t="n">
        <v>1.2</v>
      </c>
      <c r="E24" t="n">
        <v>2.919</v>
      </c>
      <c r="F24" t="n">
        <v>3596.392</v>
      </c>
      <c r="G24" t="n">
        <v>37</v>
      </c>
      <c r="H24">
        <f>E24/F24</f>
        <v/>
      </c>
      <c r="I24">
        <f>((H24-$J$4)/$I$4)</f>
        <v/>
      </c>
      <c r="J24">
        <f>(I24-IF($I$12&gt;0,$I$12,0))</f>
        <v/>
      </c>
      <c r="K24">
        <f>J24/R9*1.1</f>
        <v/>
      </c>
      <c r="L24" s="23" t="inlineStr">
        <is>
          <t>Average</t>
        </is>
      </c>
      <c r="M24" s="23" t="inlineStr">
        <is>
          <t>Stdev</t>
        </is>
      </c>
      <c r="N24" s="9" t="inlineStr">
        <is>
          <t>Combined</t>
        </is>
      </c>
      <c r="Q24" t="inlineStr">
        <is>
          <t>K3-2C</t>
        </is>
      </c>
      <c r="R24" t="n">
        <v>1.1538</v>
      </c>
    </row>
    <row r="25">
      <c r="A25" t="n">
        <v>21</v>
      </c>
      <c r="B25" t="inlineStr">
        <is>
          <t>K4-2A</t>
        </is>
      </c>
      <c r="D25" t="n">
        <v>1.18</v>
      </c>
      <c r="E25" t="n">
        <v>1.086</v>
      </c>
      <c r="F25" t="n">
        <v>3827.847</v>
      </c>
      <c r="G25" t="n">
        <v>12</v>
      </c>
      <c r="H25">
        <f>E25/F25</f>
        <v/>
      </c>
      <c r="I25">
        <f>((H25-$J$4)/$I$4)</f>
        <v/>
      </c>
      <c r="J25">
        <f>(I25-IF($I$12&gt;0,$I$12,0))</f>
        <v/>
      </c>
      <c r="K25">
        <f>J25/R10*1.1</f>
        <v/>
      </c>
      <c r="L25">
        <f>AVERAGE(K25:K27)</f>
        <v/>
      </c>
      <c r="M25">
        <f>STDEV(K25:K27)</f>
        <v/>
      </c>
      <c r="N25">
        <f>_xlfn.CONCAT(ROUND(L25,1)," ± ",ROUND(M25,1))</f>
        <v/>
      </c>
      <c r="Q25" t="inlineStr">
        <is>
          <t>K3-3A</t>
        </is>
      </c>
      <c r="R25" t="n">
        <v>1.1183</v>
      </c>
    </row>
    <row r="26">
      <c r="A26" t="n">
        <v>22</v>
      </c>
      <c r="B26" t="inlineStr">
        <is>
          <t>K4-2B</t>
        </is>
      </c>
      <c r="D26" t="n">
        <v>1.18</v>
      </c>
      <c r="E26" t="n">
        <v>0.899</v>
      </c>
      <c r="F26" t="n">
        <v>3623.222</v>
      </c>
      <c r="G26" t="n">
        <v>6</v>
      </c>
      <c r="H26">
        <f>E26/F26</f>
        <v/>
      </c>
      <c r="I26">
        <f>((H26-$J$4)/$I$4)</f>
        <v/>
      </c>
      <c r="J26">
        <f>(I26-IF($I$12&gt;0,$I$12,0))</f>
        <v/>
      </c>
      <c r="K26">
        <f>J26/R11*1.1</f>
        <v/>
      </c>
      <c r="Q26" t="inlineStr">
        <is>
          <t>K3-3B</t>
        </is>
      </c>
      <c r="R26" t="n">
        <v>1.1448</v>
      </c>
    </row>
    <row r="27">
      <c r="A27" t="n">
        <v>23</v>
      </c>
      <c r="B27" t="inlineStr">
        <is>
          <t>K4-2C</t>
        </is>
      </c>
      <c r="D27" t="n">
        <v>1.45</v>
      </c>
      <c r="E27" t="n">
        <v>4.738</v>
      </c>
      <c r="F27" t="n">
        <v>3093.041</v>
      </c>
      <c r="G27" t="n">
        <v>57</v>
      </c>
      <c r="H27">
        <f>E27/F27</f>
        <v/>
      </c>
      <c r="I27">
        <f>((H27-$J$4)/$I$4)</f>
        <v/>
      </c>
      <c r="J27">
        <f>(I27-IF($I$12&gt;0,$I$12,0))</f>
        <v/>
      </c>
      <c r="K27">
        <f>J27/R12*1.1</f>
        <v/>
      </c>
      <c r="L27" s="23" t="n"/>
      <c r="M27" s="23" t="n"/>
      <c r="N27" s="9" t="n"/>
      <c r="Q27" t="inlineStr">
        <is>
          <t>K3-3C</t>
        </is>
      </c>
      <c r="R27" t="n">
        <v>1.0493</v>
      </c>
    </row>
    <row r="28">
      <c r="A28" t="n">
        <v>24</v>
      </c>
      <c r="B28" t="inlineStr">
        <is>
          <t>MeOH</t>
        </is>
      </c>
      <c r="L28" s="23" t="inlineStr">
        <is>
          <t>Average</t>
        </is>
      </c>
      <c r="M28" s="23" t="inlineStr">
        <is>
          <t>Stdev</t>
        </is>
      </c>
      <c r="N28" s="9" t="inlineStr">
        <is>
          <t>Combined</t>
        </is>
      </c>
      <c r="Q28" t="inlineStr">
        <is>
          <t>K3-4A</t>
        </is>
      </c>
      <c r="R28" t="n">
        <v>1.0704</v>
      </c>
    </row>
    <row r="29">
      <c r="A29" t="n">
        <v>25</v>
      </c>
      <c r="B29" t="inlineStr">
        <is>
          <t>K4-4A</t>
        </is>
      </c>
      <c r="D29" t="n">
        <v>1.13</v>
      </c>
      <c r="E29" t="n">
        <v>0.885</v>
      </c>
      <c r="F29" t="n">
        <v>3907.045</v>
      </c>
      <c r="G29" t="n">
        <v>9</v>
      </c>
      <c r="H29">
        <f>E29/F29</f>
        <v/>
      </c>
      <c r="I29">
        <f>((H29-$J$4)/$I$4)</f>
        <v/>
      </c>
      <c r="J29">
        <f>(I29-IF($I$12&gt;0,$I$12,0))</f>
        <v/>
      </c>
      <c r="K29">
        <f>J29/R13*1.1</f>
        <v/>
      </c>
      <c r="L29">
        <f>AVERAGE(K29:K31)</f>
        <v/>
      </c>
      <c r="M29">
        <f>STDEV(K30:K31)</f>
        <v/>
      </c>
      <c r="N29">
        <f>_xlfn.CONCAT(ROUND(L29,1)," ± ",ROUND(M29,1))</f>
        <v/>
      </c>
      <c r="Q29" t="inlineStr">
        <is>
          <t>K3-4B</t>
        </is>
      </c>
      <c r="R29" t="n">
        <v>1.1589</v>
      </c>
    </row>
    <row r="30">
      <c r="A30" t="n">
        <v>26</v>
      </c>
      <c r="B30" t="inlineStr">
        <is>
          <t>K4-4B</t>
        </is>
      </c>
      <c r="D30" t="n">
        <v>1.53</v>
      </c>
      <c r="E30" t="n">
        <v>4.547</v>
      </c>
      <c r="F30" t="n">
        <v>3594.542</v>
      </c>
      <c r="G30" t="n">
        <v>27.271</v>
      </c>
      <c r="H30">
        <f>E30/F30</f>
        <v/>
      </c>
      <c r="I30">
        <f>((H30-$J$4)/$I$4)</f>
        <v/>
      </c>
      <c r="J30">
        <f>(I30-IF($I$12&gt;0,$I$12,0))</f>
        <v/>
      </c>
      <c r="K30">
        <f>J30/R14*1.1</f>
        <v/>
      </c>
      <c r="Q30" t="inlineStr">
        <is>
          <t>K3-4C</t>
        </is>
      </c>
      <c r="R30" t="n">
        <v>1.0206</v>
      </c>
    </row>
    <row r="31">
      <c r="A31" t="n">
        <v>27</v>
      </c>
      <c r="B31" t="inlineStr">
        <is>
          <t>K4-4C</t>
        </is>
      </c>
      <c r="D31" t="n">
        <v>1.12</v>
      </c>
      <c r="E31" t="n">
        <v>1.598</v>
      </c>
      <c r="F31" t="n">
        <v>3586.092</v>
      </c>
      <c r="G31" t="n">
        <v>12</v>
      </c>
      <c r="H31">
        <f>E31/F31</f>
        <v/>
      </c>
      <c r="I31">
        <f>((H31-$J$4)/$I$4)</f>
        <v/>
      </c>
      <c r="J31">
        <f>(I31-IF($I$12&gt;0,$I$12,0))</f>
        <v/>
      </c>
      <c r="K31">
        <f>J31/R15*1.1</f>
        <v/>
      </c>
      <c r="L31" s="23" t="inlineStr">
        <is>
          <t>Average</t>
        </is>
      </c>
      <c r="M31" s="23" t="inlineStr">
        <is>
          <t>Stdev</t>
        </is>
      </c>
      <c r="N31" s="9" t="inlineStr">
        <is>
          <t>Combined</t>
        </is>
      </c>
      <c r="Q31" t="inlineStr">
        <is>
          <t>K3-6A</t>
        </is>
      </c>
      <c r="R31" t="n">
        <v>1.1289</v>
      </c>
    </row>
    <row r="32">
      <c r="A32" t="n">
        <v>28</v>
      </c>
      <c r="B32" t="inlineStr">
        <is>
          <t>K4-5A</t>
        </is>
      </c>
      <c r="D32" t="n">
        <v>1.2</v>
      </c>
      <c r="E32" t="n">
        <v>1.855</v>
      </c>
      <c r="F32" t="n">
        <v>3387.509</v>
      </c>
      <c r="G32" t="n">
        <v>26</v>
      </c>
      <c r="H32">
        <f>E32/F32</f>
        <v/>
      </c>
      <c r="I32">
        <f>((H32-$J$4)/$I$4)</f>
        <v/>
      </c>
      <c r="J32">
        <f>(I32-IF($I$12&gt;0,$I$12,0))</f>
        <v/>
      </c>
      <c r="K32">
        <f>J32/R16*1.1</f>
        <v/>
      </c>
      <c r="L32">
        <f>AVERAGE(K32:K34)</f>
        <v/>
      </c>
      <c r="M32">
        <f>STDEV(K32:K34)</f>
        <v/>
      </c>
      <c r="N32">
        <f>_xlfn.CONCAT(ROUND(L32,1)," ± ",ROUND(M32,1))</f>
        <v/>
      </c>
      <c r="Q32" t="inlineStr">
        <is>
          <t>K3-6B</t>
        </is>
      </c>
      <c r="R32" t="n">
        <v>1.195</v>
      </c>
    </row>
    <row r="33">
      <c r="A33" t="n">
        <v>29</v>
      </c>
      <c r="B33" t="inlineStr">
        <is>
          <t>K4-5B</t>
        </is>
      </c>
      <c r="D33" t="n">
        <v>1.15</v>
      </c>
      <c r="E33" t="n">
        <v>0.923</v>
      </c>
      <c r="F33" t="n">
        <v>3401.243</v>
      </c>
      <c r="G33" t="n">
        <v>1.495</v>
      </c>
      <c r="H33">
        <f>E33/F33</f>
        <v/>
      </c>
      <c r="I33">
        <f>((H33-$J$4)/$I$4)</f>
        <v/>
      </c>
      <c r="J33">
        <f>(I33-IF($I$12&gt;0,$I$12,0))</f>
        <v/>
      </c>
      <c r="K33">
        <f>J33/R17*1.1</f>
        <v/>
      </c>
      <c r="Q33" t="inlineStr">
        <is>
          <t>K3-6C</t>
        </is>
      </c>
      <c r="R33" t="n">
        <v>1.1716</v>
      </c>
    </row>
    <row r="34">
      <c r="A34" t="n">
        <v>30</v>
      </c>
      <c r="B34" t="inlineStr">
        <is>
          <t>K4-5C</t>
        </is>
      </c>
      <c r="D34" t="n">
        <v>1.12</v>
      </c>
      <c r="E34" t="n">
        <v>1.23</v>
      </c>
      <c r="F34" t="n">
        <v>3767.266</v>
      </c>
      <c r="G34" t="n">
        <v>13</v>
      </c>
      <c r="H34">
        <f>E34/F34</f>
        <v/>
      </c>
      <c r="I34">
        <f>((H34-$J$4)/$I$4)</f>
        <v/>
      </c>
      <c r="J34">
        <f>(I34-IF($I$12&gt;0,$I$12,0))</f>
        <v/>
      </c>
      <c r="K34">
        <f>J34/R18*1.1</f>
        <v/>
      </c>
      <c r="L34" s="23" t="n"/>
      <c r="M34" s="23" t="n"/>
      <c r="N34" s="9" t="n"/>
    </row>
    <row r="35">
      <c r="A35" t="n">
        <v>31</v>
      </c>
      <c r="B35" t="inlineStr">
        <is>
          <t>MeOH</t>
        </is>
      </c>
      <c r="L35" s="23" t="inlineStr">
        <is>
          <t>Average</t>
        </is>
      </c>
      <c r="M35" s="23" t="inlineStr">
        <is>
          <t>Stdev</t>
        </is>
      </c>
      <c r="N35" s="9" t="inlineStr">
        <is>
          <t>Combined</t>
        </is>
      </c>
    </row>
    <row r="36">
      <c r="A36" t="n">
        <v>32</v>
      </c>
      <c r="B36" t="inlineStr">
        <is>
          <t>K3-1A</t>
        </is>
      </c>
      <c r="D36" t="n">
        <v>1.2</v>
      </c>
      <c r="E36" t="n">
        <v>2.504</v>
      </c>
      <c r="F36" t="n">
        <v>3791.804</v>
      </c>
      <c r="G36" t="n">
        <v>26</v>
      </c>
      <c r="H36">
        <f>E36/F36</f>
        <v/>
      </c>
      <c r="I36">
        <f>((H36-$J$4)/$I$4)</f>
        <v/>
      </c>
      <c r="J36">
        <f>(I36-IF($I$12&gt;0,$I$12,0))</f>
        <v/>
      </c>
      <c r="K36">
        <f>J36/R19*1.1</f>
        <v/>
      </c>
      <c r="L36">
        <f>AVERAGE(K36:K38)</f>
        <v/>
      </c>
      <c r="M36">
        <f>STDEV(K37:K38)</f>
        <v/>
      </c>
      <c r="N36">
        <f>_xlfn.CONCAT(ROUND(L36,1)," ± ",ROUND(M36,1))</f>
        <v/>
      </c>
    </row>
    <row r="37">
      <c r="A37" t="n">
        <v>33</v>
      </c>
      <c r="B37" t="inlineStr">
        <is>
          <t>K3-1B</t>
        </is>
      </c>
      <c r="D37" t="n">
        <v>1.18</v>
      </c>
      <c r="E37" t="n">
        <v>4.49</v>
      </c>
      <c r="F37" t="n">
        <v>3719.279</v>
      </c>
      <c r="G37" t="n">
        <v>64</v>
      </c>
      <c r="H37">
        <f>E37/F37</f>
        <v/>
      </c>
      <c r="I37">
        <f>((H37-$J$4)/$I$4)</f>
        <v/>
      </c>
      <c r="J37">
        <f>(I37-IF($I$12&gt;0,$I$12,0))</f>
        <v/>
      </c>
      <c r="K37">
        <f>J37/R20*1.1</f>
        <v/>
      </c>
    </row>
    <row r="38">
      <c r="A38" t="n">
        <v>34</v>
      </c>
      <c r="B38" t="inlineStr">
        <is>
          <t>K3-1C</t>
        </is>
      </c>
      <c r="D38" t="n">
        <v>1.23</v>
      </c>
      <c r="E38" t="n">
        <v>4.461</v>
      </c>
      <c r="F38" t="n">
        <v>4814.875</v>
      </c>
      <c r="G38" t="n">
        <v>39</v>
      </c>
      <c r="H38">
        <f>E38/F38</f>
        <v/>
      </c>
      <c r="I38">
        <f>((H38-$J$4)/$I$4)</f>
        <v/>
      </c>
      <c r="J38">
        <f>(I38-IF($I$12&gt;0,$I$12,0))</f>
        <v/>
      </c>
      <c r="K38">
        <f>J38/R21*1.1</f>
        <v/>
      </c>
      <c r="L38" s="23" t="inlineStr">
        <is>
          <t>Average</t>
        </is>
      </c>
      <c r="M38" s="23" t="inlineStr">
        <is>
          <t>Stdev</t>
        </is>
      </c>
      <c r="N38" s="9" t="inlineStr">
        <is>
          <t>Combined</t>
        </is>
      </c>
    </row>
    <row r="39">
      <c r="A39" t="n">
        <v>35</v>
      </c>
      <c r="B39" t="inlineStr">
        <is>
          <t>K3-2A</t>
        </is>
      </c>
      <c r="D39" t="n">
        <v>1.22</v>
      </c>
      <c r="E39" t="n">
        <v>4.253</v>
      </c>
      <c r="F39" t="n">
        <v>4565.734</v>
      </c>
      <c r="G39" t="n">
        <v>4.334</v>
      </c>
      <c r="H39">
        <f>E39/F39</f>
        <v/>
      </c>
      <c r="I39">
        <f>((H39-$J$4)/$I$4)</f>
        <v/>
      </c>
      <c r="J39">
        <f>(I39-IF($I$12&gt;0,$I$12,0))</f>
        <v/>
      </c>
      <c r="K39">
        <f>J39/R22*1.1</f>
        <v/>
      </c>
      <c r="L39">
        <f>AVERAGE(K39:K41)</f>
        <v/>
      </c>
      <c r="M39">
        <f>STDEV(K39:K41)</f>
        <v/>
      </c>
      <c r="N39">
        <f>_xlfn.CONCAT(ROUND(L39,1)," ± ",ROUND(M39,1))</f>
        <v/>
      </c>
    </row>
    <row r="40">
      <c r="A40" t="n">
        <v>36</v>
      </c>
      <c r="B40" t="inlineStr">
        <is>
          <t>K3-2B</t>
        </is>
      </c>
      <c r="D40" t="n">
        <v>1.21</v>
      </c>
      <c r="E40" t="n">
        <v>5.315</v>
      </c>
      <c r="F40" t="n">
        <v>4775.06</v>
      </c>
      <c r="G40" t="n">
        <v>7.381</v>
      </c>
      <c r="H40">
        <f>E40/F40</f>
        <v/>
      </c>
      <c r="I40">
        <f>((H40-$J$4)/$I$4)</f>
        <v/>
      </c>
      <c r="J40">
        <f>(I40-IF($I$12&gt;0,$I$12,0))</f>
        <v/>
      </c>
      <c r="K40">
        <f>J40/R23*1.1</f>
        <v/>
      </c>
    </row>
    <row r="41">
      <c r="A41" t="n">
        <v>37</v>
      </c>
      <c r="B41" t="inlineStr">
        <is>
          <t>K3-2C</t>
        </is>
      </c>
      <c r="D41" t="n">
        <v>1.18</v>
      </c>
      <c r="E41" t="n">
        <v>4.604</v>
      </c>
      <c r="F41" t="n">
        <v>4192.287</v>
      </c>
      <c r="G41" t="n">
        <v>2.896</v>
      </c>
      <c r="H41">
        <f>E41/F41</f>
        <v/>
      </c>
      <c r="I41">
        <f>((H41-$J$4)/$I$4)</f>
        <v/>
      </c>
      <c r="J41">
        <f>(I41-IF($I$12&gt;0,$I$12,0))</f>
        <v/>
      </c>
      <c r="K41">
        <f>J41/R24*1.1</f>
        <v/>
      </c>
      <c r="L41" s="23" t="n"/>
      <c r="M41" s="23" t="n"/>
      <c r="N41" s="9" t="n"/>
    </row>
    <row r="42">
      <c r="A42" t="n">
        <v>38</v>
      </c>
      <c r="B42" t="inlineStr">
        <is>
          <t>MeOH</t>
        </is>
      </c>
      <c r="L42" s="23" t="inlineStr">
        <is>
          <t>Average</t>
        </is>
      </c>
      <c r="M42" s="23" t="inlineStr">
        <is>
          <t>Stdev</t>
        </is>
      </c>
      <c r="N42" s="9" t="inlineStr">
        <is>
          <t>Combined</t>
        </is>
      </c>
    </row>
    <row r="43">
      <c r="A43" t="n">
        <v>39</v>
      </c>
      <c r="B43" t="inlineStr">
        <is>
          <t>K3-3A</t>
        </is>
      </c>
      <c r="D43" t="n">
        <v>1.18</v>
      </c>
      <c r="E43" t="n">
        <v>5.301</v>
      </c>
      <c r="F43" t="n">
        <v>3883.396</v>
      </c>
      <c r="G43" t="n">
        <v>9.342000000000001</v>
      </c>
      <c r="H43">
        <f>E43/F43</f>
        <v/>
      </c>
      <c r="I43">
        <f>((H43-$J$4)/$I$4)</f>
        <v/>
      </c>
      <c r="J43">
        <f>(I43-IF($I$12&gt;0,$I$12,0))</f>
        <v/>
      </c>
      <c r="K43">
        <f>J43/R25*1.1</f>
        <v/>
      </c>
      <c r="L43">
        <f>AVERAGE(K43:K45)</f>
        <v/>
      </c>
      <c r="M43">
        <f>STDEV(K44:K45)</f>
        <v/>
      </c>
      <c r="N43">
        <f>_xlfn.CONCAT(ROUND(L43,1)," ± ",ROUND(M43,1))</f>
        <v/>
      </c>
    </row>
    <row r="44">
      <c r="A44" t="n">
        <v>40</v>
      </c>
      <c r="B44" t="inlineStr">
        <is>
          <t>K3-3B</t>
        </is>
      </c>
      <c r="D44" t="n">
        <v>1.17</v>
      </c>
      <c r="E44" t="n">
        <v>17.779</v>
      </c>
      <c r="F44" t="n">
        <v>4786.087</v>
      </c>
      <c r="G44" t="n">
        <v>180</v>
      </c>
      <c r="H44">
        <f>E44/F44</f>
        <v/>
      </c>
      <c r="I44">
        <f>((H44-$J$4)/$I$4)</f>
        <v/>
      </c>
      <c r="J44">
        <f>(I44-IF($I$12&gt;0,$I$12,0))</f>
        <v/>
      </c>
      <c r="K44">
        <f>J44/R26*1.1</f>
        <v/>
      </c>
    </row>
    <row r="45">
      <c r="A45" t="n">
        <v>41</v>
      </c>
      <c r="B45" t="inlineStr">
        <is>
          <t>K3-3C</t>
        </is>
      </c>
      <c r="D45" t="n">
        <v>1.17</v>
      </c>
      <c r="E45" t="n">
        <v>2.947</v>
      </c>
      <c r="F45" t="n">
        <v>5066.448</v>
      </c>
      <c r="G45" t="n">
        <v>0.895</v>
      </c>
      <c r="H45">
        <f>E45/F45</f>
        <v/>
      </c>
      <c r="I45">
        <f>((H45-$J$4)/$I$4)</f>
        <v/>
      </c>
      <c r="J45">
        <f>(I45-IF($I$12&gt;0,$I$12,0))</f>
        <v/>
      </c>
      <c r="K45">
        <f>J45/R27*1.1</f>
        <v/>
      </c>
      <c r="L45" s="23" t="inlineStr">
        <is>
          <t>Average</t>
        </is>
      </c>
      <c r="M45" s="23" t="inlineStr">
        <is>
          <t>Stdev</t>
        </is>
      </c>
      <c r="N45" s="9" t="inlineStr">
        <is>
          <t>Combined</t>
        </is>
      </c>
    </row>
    <row r="46">
      <c r="A46" t="n">
        <v>42</v>
      </c>
      <c r="B46" t="inlineStr">
        <is>
          <t>K3-4A</t>
        </is>
      </c>
      <c r="D46" t="n">
        <v>1.18</v>
      </c>
      <c r="E46" t="n">
        <v>3.301</v>
      </c>
      <c r="F46" t="n">
        <v>5114.056</v>
      </c>
      <c r="G46" t="n">
        <v>2.278</v>
      </c>
      <c r="H46">
        <f>E46/F46</f>
        <v/>
      </c>
      <c r="I46">
        <f>((H46-$J$4)/$I$4)</f>
        <v/>
      </c>
      <c r="J46">
        <f>(I46-IF($I$12&gt;0,$I$12,0))</f>
        <v/>
      </c>
      <c r="K46">
        <f>J46/R28*1.1</f>
        <v/>
      </c>
      <c r="L46">
        <f>AVERAGE(K46:K48)</f>
        <v/>
      </c>
      <c r="M46">
        <f>STDEV(K46:K48)</f>
        <v/>
      </c>
      <c r="N46">
        <f>_xlfn.CONCAT(ROUND(L46,1)," ± ",ROUND(M46,1))</f>
        <v/>
      </c>
    </row>
    <row r="47">
      <c r="A47" t="n">
        <v>43</v>
      </c>
      <c r="B47" t="inlineStr">
        <is>
          <t>K3-4B</t>
        </is>
      </c>
      <c r="D47" t="n">
        <v>1.17</v>
      </c>
      <c r="E47" t="n">
        <v>4.102</v>
      </c>
      <c r="F47" t="n">
        <v>4902.364</v>
      </c>
      <c r="G47" t="n">
        <v>6.438</v>
      </c>
      <c r="H47">
        <f>E47/F47</f>
        <v/>
      </c>
      <c r="I47">
        <f>((H47-$J$4)/$I$4)</f>
        <v/>
      </c>
      <c r="J47">
        <f>(I47-IF($I$12&gt;0,$I$12,0))</f>
        <v/>
      </c>
      <c r="K47">
        <f>J47/R29*1.1</f>
        <v/>
      </c>
    </row>
    <row r="48">
      <c r="A48" t="n">
        <v>44</v>
      </c>
      <c r="B48" t="inlineStr">
        <is>
          <t>K3-4C</t>
        </is>
      </c>
      <c r="D48" t="n">
        <v>1.18</v>
      </c>
      <c r="E48" t="n">
        <v>10.151</v>
      </c>
      <c r="F48" t="n">
        <v>5366.199</v>
      </c>
      <c r="G48" t="n">
        <v>4.224</v>
      </c>
      <c r="H48">
        <f>E48/F48</f>
        <v/>
      </c>
      <c r="I48">
        <f>((H48-$J$4)/$I$4)</f>
        <v/>
      </c>
      <c r="J48">
        <f>(I48-IF($I$12&gt;0,$I$12,0))</f>
        <v/>
      </c>
      <c r="K48">
        <f>J48/R30*1.1</f>
        <v/>
      </c>
      <c r="L48" s="23" t="n"/>
      <c r="M48" s="23" t="n"/>
      <c r="N48" s="9" t="n"/>
    </row>
    <row r="49">
      <c r="A49" t="n">
        <v>45</v>
      </c>
      <c r="B49" t="inlineStr">
        <is>
          <t>MeOH</t>
        </is>
      </c>
      <c r="L49" s="23" t="inlineStr">
        <is>
          <t>Average</t>
        </is>
      </c>
      <c r="M49" s="23" t="inlineStr">
        <is>
          <t>Stdev</t>
        </is>
      </c>
      <c r="N49" s="9" t="inlineStr">
        <is>
          <t>Combined</t>
        </is>
      </c>
    </row>
    <row r="50">
      <c r="A50" t="n">
        <v>46</v>
      </c>
      <c r="B50" t="inlineStr">
        <is>
          <t>K3-6A</t>
        </is>
      </c>
      <c r="D50" t="n">
        <v>1.21</v>
      </c>
      <c r="E50" t="n">
        <v>10.844</v>
      </c>
      <c r="F50" t="n">
        <v>5434.724</v>
      </c>
      <c r="G50" t="n">
        <v>26.383</v>
      </c>
      <c r="H50">
        <f>E50/F50</f>
        <v/>
      </c>
      <c r="I50">
        <f>((H50-$J$4)/$I$4)</f>
        <v/>
      </c>
      <c r="J50">
        <f>(I50-IF($I$12&gt;0,$I$12,0))</f>
        <v/>
      </c>
      <c r="K50">
        <f>J50/R31*1.1</f>
        <v/>
      </c>
      <c r="L50">
        <f>AVERAGE(K50:K52)</f>
        <v/>
      </c>
      <c r="M50">
        <f>STDEV(K51:K52)</f>
        <v/>
      </c>
      <c r="N50">
        <f>_xlfn.CONCAT(ROUND(L50,1)," ± ",ROUND(M50,1))</f>
        <v/>
      </c>
    </row>
    <row r="51">
      <c r="A51" t="n">
        <v>47</v>
      </c>
      <c r="B51" t="inlineStr">
        <is>
          <t>K3-6B</t>
        </is>
      </c>
      <c r="D51" t="n">
        <v>1.21</v>
      </c>
      <c r="E51" t="n">
        <v>13.632</v>
      </c>
      <c r="F51" t="n">
        <v>4320.222</v>
      </c>
      <c r="G51" t="n">
        <v>50.056</v>
      </c>
      <c r="H51">
        <f>E51/F51</f>
        <v/>
      </c>
      <c r="I51">
        <f>((H51-$J$4)/$I$4)</f>
        <v/>
      </c>
      <c r="J51">
        <f>(I51-IF($I$12&gt;0,$I$12,0))</f>
        <v/>
      </c>
      <c r="K51">
        <f>J51/R32*1.1</f>
        <v/>
      </c>
    </row>
    <row r="52">
      <c r="A52" t="n">
        <v>48</v>
      </c>
      <c r="B52" t="inlineStr">
        <is>
          <t>K3-6C</t>
        </is>
      </c>
      <c r="D52" t="n">
        <v>1.23</v>
      </c>
      <c r="E52" t="n">
        <v>6.799</v>
      </c>
      <c r="F52" t="n">
        <v>4778.471</v>
      </c>
      <c r="G52" t="n">
        <v>4.79</v>
      </c>
      <c r="H52">
        <f>E52/F52</f>
        <v/>
      </c>
      <c r="I52">
        <f>((H52-$J$4)/$I$4)</f>
        <v/>
      </c>
      <c r="J52">
        <f>(I52-IF($I$12&gt;0,$I$12,0))</f>
        <v/>
      </c>
      <c r="K52">
        <f>J52/R33*1.1</f>
        <v/>
      </c>
      <c r="L52" s="23" t="n"/>
      <c r="M52" s="23" t="n"/>
      <c r="N52" s="9" t="n"/>
    </row>
    <row r="54">
      <c r="A54" s="15" t="inlineStr">
        <is>
          <t>Compound 2:  PFMeS 1</t>
        </is>
      </c>
      <c r="B54" s="15" t="n"/>
    </row>
    <row r="55">
      <c r="I55" t="inlineStr">
        <is>
          <t>LINEST</t>
        </is>
      </c>
      <c r="Q55" t="inlineStr">
        <is>
          <t>Biosolids Masses</t>
        </is>
      </c>
      <c r="R55" t="inlineStr">
        <is>
          <t>(g)</t>
        </is>
      </c>
    </row>
    <row r="56">
      <c r="B56" t="inlineStr">
        <is>
          <t>Sample Text</t>
        </is>
      </c>
      <c r="C56" t="inlineStr">
        <is>
          <t>Std. Conc</t>
        </is>
      </c>
      <c r="D56" t="inlineStr">
        <is>
          <t>RT</t>
        </is>
      </c>
      <c r="E56" t="inlineStr">
        <is>
          <t>Area</t>
        </is>
      </c>
      <c r="F56" t="inlineStr">
        <is>
          <t>IS Area</t>
        </is>
      </c>
      <c r="G56" t="inlineStr">
        <is>
          <t>S/N</t>
        </is>
      </c>
      <c r="H56" t="inlineStr">
        <is>
          <t>ratio</t>
        </is>
      </c>
      <c r="I56">
        <f t="array" ref="I56:J60">LINEST(H59:H64,C59:C64,1,1)</f>
        <v/>
      </c>
      <c r="J56" t="n">
        <v>-0.001038601644281554</v>
      </c>
      <c r="L56" s="20" t="inlineStr">
        <is>
          <t>By S/N Ratio</t>
        </is>
      </c>
      <c r="Q56" t="inlineStr">
        <is>
          <t>SS1</t>
        </is>
      </c>
      <c r="R56" t="n">
        <v>1.0846</v>
      </c>
    </row>
    <row r="57">
      <c r="A57" t="n">
        <v>1</v>
      </c>
      <c r="B57" t="inlineStr">
        <is>
          <t>EPA1633 &amp; diPAPs Calibration 0 ppb</t>
        </is>
      </c>
      <c r="C57" t="n">
        <v>0</v>
      </c>
      <c r="F57" t="n">
        <v>7551.013</v>
      </c>
      <c r="H57">
        <f>E57/F57</f>
        <v/>
      </c>
      <c r="I57" t="n">
        <v>2.664543608097219e-05</v>
      </c>
      <c r="J57" t="n">
        <v>0.000998091230713282</v>
      </c>
      <c r="K57" t="inlineStr">
        <is>
          <t>LOD</t>
        </is>
      </c>
      <c r="L57" s="21">
        <f>IF(G60&gt;3,C60,IF(G61&gt;3,C61,IF(G62&gt;3,C62,IF(G63&gt;3,C63,C64))))</f>
        <v/>
      </c>
      <c r="Q57" t="inlineStr">
        <is>
          <t>SS2</t>
        </is>
      </c>
      <c r="R57" t="n">
        <v>1.0726</v>
      </c>
    </row>
    <row r="58">
      <c r="A58" t="n">
        <v>2</v>
      </c>
      <c r="B58" t="inlineStr">
        <is>
          <t>EPA1633 &amp; diPAPs Calibration 0.02 ppb</t>
        </is>
      </c>
      <c r="C58" t="n">
        <v>0.08</v>
      </c>
      <c r="D58" t="n">
        <v>1.04</v>
      </c>
      <c r="E58" t="n">
        <v>2.102</v>
      </c>
      <c r="F58" t="n">
        <v>6696.725</v>
      </c>
      <c r="G58" t="n">
        <v>23</v>
      </c>
      <c r="H58">
        <f>E58/F58</f>
        <v/>
      </c>
      <c r="I58" t="n">
        <v>0.9876607677729908</v>
      </c>
      <c r="J58" t="n">
        <v>0.001858708412828103</v>
      </c>
      <c r="K58" t="inlineStr">
        <is>
          <t>LOQ</t>
        </is>
      </c>
      <c r="L58" s="22">
        <f>IF(G60&gt;10,C60,IF(G61&gt;10,C61,IF(G62&gt;10,C62,IF(G63&gt;10,C63,C64))))</f>
        <v/>
      </c>
      <c r="Q58" t="inlineStr">
        <is>
          <t>SS3</t>
        </is>
      </c>
      <c r="R58" t="n">
        <v>1.1534</v>
      </c>
    </row>
    <row r="59">
      <c r="A59" t="n">
        <v>3</v>
      </c>
      <c r="B59" t="inlineStr">
        <is>
          <t>EPA1633 &amp; diPAPs Calibration 0.1 ppb</t>
        </is>
      </c>
      <c r="C59" t="n">
        <v>0.4</v>
      </c>
      <c r="D59" t="n">
        <v>1.71</v>
      </c>
      <c r="E59" t="n">
        <v>0.043</v>
      </c>
      <c r="F59" t="n">
        <v>7209.583</v>
      </c>
      <c r="G59" t="n">
        <v>1</v>
      </c>
      <c r="H59">
        <f>E59/F59</f>
        <v/>
      </c>
      <c r="I59" t="n">
        <v>320.1692778294942</v>
      </c>
      <c r="J59" t="n">
        <v>4</v>
      </c>
      <c r="Q59" t="inlineStr">
        <is>
          <t>K4-1A</t>
        </is>
      </c>
      <c r="R59" t="n">
        <v>1.0267</v>
      </c>
    </row>
    <row r="60">
      <c r="A60" t="n">
        <v>4</v>
      </c>
      <c r="B60" t="inlineStr">
        <is>
          <t>EPA1633 &amp; diPAPs Calibration 0.4 ppb</t>
        </is>
      </c>
      <c r="C60" t="n">
        <v>1.6</v>
      </c>
      <c r="D60" t="n">
        <v>1.06</v>
      </c>
      <c r="E60" t="n">
        <v>3.303</v>
      </c>
      <c r="F60" t="n">
        <v>7013.762</v>
      </c>
      <c r="G60" t="n">
        <v>41</v>
      </c>
      <c r="H60">
        <f>E60/F60</f>
        <v/>
      </c>
      <c r="I60" t="n">
        <v>0.001106119848985144</v>
      </c>
      <c r="J60" t="n">
        <v>1.381918785567186e-05</v>
      </c>
      <c r="Q60" t="inlineStr">
        <is>
          <t>K4-1B</t>
        </is>
      </c>
      <c r="R60" t="n">
        <v>1.1481</v>
      </c>
    </row>
    <row r="61">
      <c r="A61" t="n">
        <v>5</v>
      </c>
      <c r="B61" t="inlineStr">
        <is>
          <t>EPA1633 &amp; diPAPs Calibration 1 ppb</t>
        </is>
      </c>
      <c r="C61" t="n">
        <v>4</v>
      </c>
      <c r="D61" t="n">
        <v>1.08</v>
      </c>
      <c r="E61" t="n">
        <v>2.437</v>
      </c>
      <c r="F61" t="n">
        <v>8048.652</v>
      </c>
      <c r="G61" t="n">
        <v>36</v>
      </c>
      <c r="H61">
        <f>E61/F61</f>
        <v/>
      </c>
      <c r="Q61" t="inlineStr">
        <is>
          <t>K4-1C</t>
        </is>
      </c>
      <c r="R61" t="n">
        <v>1.0402</v>
      </c>
    </row>
    <row r="62">
      <c r="A62" t="n">
        <v>6</v>
      </c>
      <c r="B62" t="inlineStr">
        <is>
          <t>EPA1633 &amp; diPAPs Calibration 5 ppb</t>
        </is>
      </c>
      <c r="C62" t="n">
        <v>20</v>
      </c>
      <c r="D62" t="n">
        <v>1.05</v>
      </c>
      <c r="E62" t="n">
        <v>41.209</v>
      </c>
      <c r="F62" t="n">
        <v>7211.955</v>
      </c>
      <c r="G62" t="n">
        <v>28.439</v>
      </c>
      <c r="H62">
        <f>E62/F62</f>
        <v/>
      </c>
      <c r="Q62" t="inlineStr">
        <is>
          <t>K4-2A</t>
        </is>
      </c>
      <c r="R62" t="n">
        <v>1.127</v>
      </c>
    </row>
    <row r="63">
      <c r="A63" t="n">
        <v>7</v>
      </c>
      <c r="B63" t="inlineStr">
        <is>
          <t>EPA1633 &amp; diPAPs Calibration 10 ppb</t>
        </is>
      </c>
      <c r="C63" t="n">
        <v>40</v>
      </c>
      <c r="D63" t="n">
        <v>1.05</v>
      </c>
      <c r="E63" t="n">
        <v>114.414</v>
      </c>
      <c r="F63" t="n">
        <v>5686.902</v>
      </c>
      <c r="G63" t="n">
        <v>311.398</v>
      </c>
      <c r="H63">
        <f>E63/F63</f>
        <v/>
      </c>
      <c r="I63" s="23" t="inlineStr">
        <is>
          <t>Background</t>
        </is>
      </c>
      <c r="J63" s="23" t="inlineStr">
        <is>
          <t>Spike</t>
        </is>
      </c>
      <c r="K63" s="9" t="inlineStr">
        <is>
          <t>Old Spike</t>
        </is>
      </c>
      <c r="O63" s="24" t="inlineStr">
        <is>
          <t>±</t>
        </is>
      </c>
      <c r="Q63" t="inlineStr">
        <is>
          <t>K4-2B</t>
        </is>
      </c>
      <c r="R63" t="n">
        <v>1.1154</v>
      </c>
    </row>
    <row r="64">
      <c r="A64" t="n">
        <v>8</v>
      </c>
      <c r="B64" t="inlineStr">
        <is>
          <t>EPA1633 &amp; diPAPs Calibration 20 ppb</t>
        </is>
      </c>
      <c r="C64" t="n">
        <v>80</v>
      </c>
      <c r="D64" t="n">
        <v>1.06</v>
      </c>
      <c r="E64" t="n">
        <v>227.174</v>
      </c>
      <c r="F64" t="n">
        <v>6179.103</v>
      </c>
      <c r="G64" t="n">
        <v>2071.354</v>
      </c>
      <c r="H64">
        <f>E64/F64</f>
        <v/>
      </c>
      <c r="I64">
        <f>AVERAGE(I67:I69)</f>
        <v/>
      </c>
      <c r="J64" t="n">
        <v>44</v>
      </c>
      <c r="Q64" t="inlineStr">
        <is>
          <t>K4-2C</t>
        </is>
      </c>
      <c r="R64" t="n">
        <v>1.1711</v>
      </c>
    </row>
    <row r="65">
      <c r="A65" t="n">
        <v>9</v>
      </c>
      <c r="B65" t="inlineStr">
        <is>
          <t>MeOH</t>
        </is>
      </c>
      <c r="D65" t="n">
        <v>1.78</v>
      </c>
      <c r="E65" t="n">
        <v>0.043</v>
      </c>
      <c r="G65" t="n">
        <v>1</v>
      </c>
      <c r="I65" s="23" t="inlineStr">
        <is>
          <t>Conc.In Vial (ppb)</t>
        </is>
      </c>
      <c r="J65" s="9" t="inlineStr">
        <is>
          <t>Corr. Conc.(ppb)</t>
        </is>
      </c>
      <c r="K65" s="9" t="inlineStr">
        <is>
          <t>Conc. In soil (ng/g)</t>
        </is>
      </c>
      <c r="Q65" t="inlineStr">
        <is>
          <t>K4-4A</t>
        </is>
      </c>
      <c r="R65" t="n">
        <v>1.0932</v>
      </c>
    </row>
    <row r="66">
      <c r="A66" t="n">
        <v>10</v>
      </c>
      <c r="B66" t="inlineStr">
        <is>
          <t>MeOH</t>
        </is>
      </c>
      <c r="D66" t="n">
        <v>1.44</v>
      </c>
      <c r="E66" t="n">
        <v>0.204</v>
      </c>
      <c r="G66" t="n">
        <v>2</v>
      </c>
      <c r="L66" s="23" t="inlineStr">
        <is>
          <t>Average</t>
        </is>
      </c>
      <c r="M66" s="23" t="inlineStr">
        <is>
          <t>Stdev</t>
        </is>
      </c>
      <c r="N66" s="9" t="inlineStr">
        <is>
          <t>Combined</t>
        </is>
      </c>
      <c r="O66" s="9" t="n"/>
      <c r="P66" s="9" t="n"/>
      <c r="Q66" t="inlineStr">
        <is>
          <t>K4-4B</t>
        </is>
      </c>
      <c r="R66" t="n">
        <v>1.15</v>
      </c>
    </row>
    <row r="67">
      <c r="A67" t="n">
        <v>11</v>
      </c>
      <c r="B67" t="inlineStr">
        <is>
          <t>SB1</t>
        </is>
      </c>
      <c r="D67" t="n">
        <v>1.69</v>
      </c>
      <c r="E67" t="n">
        <v>0.236</v>
      </c>
      <c r="F67" t="n">
        <v>3649.542</v>
      </c>
      <c r="G67" t="n">
        <v>2.806</v>
      </c>
      <c r="H67">
        <f>E67/F67</f>
        <v/>
      </c>
      <c r="I67">
        <f>((H67-$J$56)/$I$56)</f>
        <v/>
      </c>
      <c r="J67">
        <f>(I67-IF(I64&gt;0,I64,0))</f>
        <v/>
      </c>
      <c r="K67">
        <f>J67*1.1</f>
        <v/>
      </c>
      <c r="L67">
        <f>AVERAGE(K67:K69)</f>
        <v/>
      </c>
      <c r="M67">
        <f>STDEV(K68:K69)</f>
        <v/>
      </c>
      <c r="N67">
        <f>_xlfn.CONCAT(ROUND(L67,1)," ± ",ROUND(M67,1))</f>
        <v/>
      </c>
      <c r="Q67" t="inlineStr">
        <is>
          <t>K4-4C</t>
        </is>
      </c>
      <c r="R67" t="n">
        <v>1.0482</v>
      </c>
    </row>
    <row r="68">
      <c r="A68" t="n">
        <v>12</v>
      </c>
      <c r="B68" t="inlineStr">
        <is>
          <t>SB2</t>
        </is>
      </c>
      <c r="D68" t="n">
        <v>1.46</v>
      </c>
      <c r="E68" t="n">
        <v>0.161</v>
      </c>
      <c r="F68" t="n">
        <v>3370.738</v>
      </c>
      <c r="G68" t="n">
        <v>2</v>
      </c>
      <c r="H68">
        <f>E68/F68</f>
        <v/>
      </c>
      <c r="I68">
        <f>((H68-$J$56)/$I$56)</f>
        <v/>
      </c>
      <c r="J68">
        <f>(I68-IF(I64&gt;0,I64,0))</f>
        <v/>
      </c>
      <c r="K68">
        <f>J68*1.1</f>
        <v/>
      </c>
      <c r="Q68" t="inlineStr">
        <is>
          <t>K4-5A</t>
        </is>
      </c>
      <c r="R68" t="n">
        <v>1.1054</v>
      </c>
    </row>
    <row r="69">
      <c r="A69" t="n">
        <v>13</v>
      </c>
      <c r="B69" t="inlineStr">
        <is>
          <t>SB3</t>
        </is>
      </c>
      <c r="D69" t="n">
        <v>1.29</v>
      </c>
      <c r="E69" t="n">
        <v>0.032</v>
      </c>
      <c r="F69" t="n">
        <v>3095.617</v>
      </c>
      <c r="G69" t="n">
        <v>0</v>
      </c>
      <c r="H69">
        <f>E69/F69</f>
        <v/>
      </c>
      <c r="I69">
        <f>((H69-$J$56)/$I$56)</f>
        <v/>
      </c>
      <c r="J69">
        <f>(I69-IF(I64&gt;0,I64,0))</f>
        <v/>
      </c>
      <c r="K69" s="30">
        <f>J69*1.1</f>
        <v/>
      </c>
      <c r="L69" s="25" t="inlineStr">
        <is>
          <t>Average</t>
        </is>
      </c>
      <c r="M69" s="25" t="inlineStr">
        <is>
          <t>Stdev</t>
        </is>
      </c>
      <c r="N69" s="26" t="inlineStr">
        <is>
          <t>%Recovery</t>
        </is>
      </c>
      <c r="O69" s="26" t="inlineStr">
        <is>
          <t>Uncertainty</t>
        </is>
      </c>
      <c r="P69" s="26" t="inlineStr">
        <is>
          <t>Combined</t>
        </is>
      </c>
      <c r="Q69" t="inlineStr">
        <is>
          <t>K4-5B</t>
        </is>
      </c>
      <c r="R69" s="10" t="n">
        <v>1.0463</v>
      </c>
    </row>
    <row r="70">
      <c r="A70" t="n">
        <v>14</v>
      </c>
      <c r="B70" t="inlineStr">
        <is>
          <t>SS1</t>
        </is>
      </c>
      <c r="D70" t="n">
        <v>1.71</v>
      </c>
      <c r="E70" t="n">
        <v>48.665</v>
      </c>
      <c r="F70" t="n">
        <v>3493.816</v>
      </c>
      <c r="G70" t="n">
        <v>473</v>
      </c>
      <c r="H70">
        <f>E70/F70</f>
        <v/>
      </c>
      <c r="I70">
        <f>((H70-$J$56)/$I$56)</f>
        <v/>
      </c>
      <c r="J70">
        <f>(I70-IF(I64&gt;0,I64,0))</f>
        <v/>
      </c>
      <c r="K70">
        <f>J70/R56*1.1</f>
        <v/>
      </c>
      <c r="L70" s="27">
        <f>AVERAGE(K70:K72)</f>
        <v/>
      </c>
      <c r="M70" s="27">
        <f>STDEV(K70:K72)</f>
        <v/>
      </c>
      <c r="N70" s="28">
        <f>L70/J64*100</f>
        <v/>
      </c>
      <c r="O70" s="29">
        <f>M70/J67*100</f>
        <v/>
      </c>
      <c r="P70" s="29">
        <f>_xlfn.CONCAT(ROUND(N70,1)," ± ",ROUND(O70,1))</f>
        <v/>
      </c>
      <c r="Q70" t="inlineStr">
        <is>
          <t>K4-5C</t>
        </is>
      </c>
      <c r="R70" t="n">
        <v>1.1155</v>
      </c>
    </row>
    <row r="71">
      <c r="A71" t="n">
        <v>15</v>
      </c>
      <c r="B71" t="inlineStr">
        <is>
          <t>SS2</t>
        </is>
      </c>
      <c r="D71" t="n">
        <v>1.75</v>
      </c>
      <c r="E71" t="n">
        <v>51.366</v>
      </c>
      <c r="F71" t="n">
        <v>3699.493</v>
      </c>
      <c r="G71" t="n">
        <v>141.092</v>
      </c>
      <c r="H71">
        <f>E71/F71</f>
        <v/>
      </c>
      <c r="I71">
        <f>((H71-$J$56)/$I$56)</f>
        <v/>
      </c>
      <c r="J71">
        <f>(I71-IF(I64&gt;0,I64,0))</f>
        <v/>
      </c>
      <c r="K71">
        <f>J71/R57*1.1</f>
        <v/>
      </c>
      <c r="Q71" t="inlineStr">
        <is>
          <t>K3-1A</t>
        </is>
      </c>
      <c r="R71" t="n">
        <v>1.0874</v>
      </c>
    </row>
    <row r="72">
      <c r="A72" t="n">
        <v>16</v>
      </c>
      <c r="B72" t="inlineStr">
        <is>
          <t>SS3</t>
        </is>
      </c>
      <c r="D72" t="n">
        <v>1.71</v>
      </c>
      <c r="E72" t="n">
        <v>37.488</v>
      </c>
      <c r="F72" t="n">
        <v>3352.055</v>
      </c>
      <c r="G72" t="n">
        <v>307.419</v>
      </c>
      <c r="H72">
        <f>E72/F72</f>
        <v/>
      </c>
      <c r="I72">
        <f>((H72-$J$56)/$I$56)</f>
        <v/>
      </c>
      <c r="J72">
        <f>(I72-IF(I64&gt;0,I64,0))</f>
        <v/>
      </c>
      <c r="K72" s="30">
        <f>J72/R58*1.1</f>
        <v/>
      </c>
      <c r="Q72" t="inlineStr">
        <is>
          <t>K3-1B</t>
        </is>
      </c>
      <c r="R72" t="n">
        <v>1.0898</v>
      </c>
    </row>
    <row r="73">
      <c r="A73" t="n">
        <v>17</v>
      </c>
      <c r="B73" t="inlineStr">
        <is>
          <t>MeOH</t>
        </is>
      </c>
      <c r="L73" s="23" t="inlineStr">
        <is>
          <t>Average</t>
        </is>
      </c>
      <c r="M73" s="23" t="inlineStr">
        <is>
          <t>Stdev</t>
        </is>
      </c>
      <c r="N73" s="9" t="inlineStr">
        <is>
          <t>Combined</t>
        </is>
      </c>
      <c r="Q73" t="inlineStr">
        <is>
          <t>K3-1C</t>
        </is>
      </c>
      <c r="R73" t="n">
        <v>1.0536</v>
      </c>
    </row>
    <row r="74">
      <c r="A74" t="n">
        <v>18</v>
      </c>
      <c r="B74" t="inlineStr">
        <is>
          <t>K4-1A</t>
        </is>
      </c>
      <c r="D74" t="n">
        <v>1.66</v>
      </c>
      <c r="E74" t="n">
        <v>14.027</v>
      </c>
      <c r="F74" t="n">
        <v>3889.819</v>
      </c>
      <c r="G74" t="n">
        <v>140</v>
      </c>
      <c r="H74">
        <f>E74/F74</f>
        <v/>
      </c>
      <c r="I74">
        <f>((H74-$J$56)/$I$56)</f>
        <v/>
      </c>
      <c r="J74">
        <f>(I74-IF(I64&gt;0,I64,0))</f>
        <v/>
      </c>
      <c r="K74">
        <f>J74/R59*1.1</f>
        <v/>
      </c>
      <c r="L74">
        <f>AVERAGE(K74:K76)</f>
        <v/>
      </c>
      <c r="M74">
        <f>STDEV(K75:K76)</f>
        <v/>
      </c>
      <c r="N74">
        <f>_xlfn.CONCAT(ROUND(L74,1)," ± ",ROUND(M74,1))</f>
        <v/>
      </c>
      <c r="Q74" t="inlineStr">
        <is>
          <t>K3-2A</t>
        </is>
      </c>
      <c r="R74" s="10" t="n">
        <v>1.1218</v>
      </c>
    </row>
    <row r="75">
      <c r="A75" t="n">
        <v>19</v>
      </c>
      <c r="B75" t="inlineStr">
        <is>
          <t>K4-1B</t>
        </is>
      </c>
      <c r="D75" t="n">
        <v>1.6</v>
      </c>
      <c r="E75" t="n">
        <v>32.681</v>
      </c>
      <c r="F75" t="n">
        <v>3657.858</v>
      </c>
      <c r="G75" t="n">
        <v>340</v>
      </c>
      <c r="H75">
        <f>E75/F75</f>
        <v/>
      </c>
      <c r="I75">
        <f>((H75-$J$56)/$I$56)</f>
        <v/>
      </c>
      <c r="J75">
        <f>(I75-IF(I64&gt;0,I64,0))</f>
        <v/>
      </c>
      <c r="K75">
        <f>J75/R60*1.1</f>
        <v/>
      </c>
      <c r="Q75" t="inlineStr">
        <is>
          <t>K3-2B</t>
        </is>
      </c>
      <c r="R75" t="n">
        <v>1.198</v>
      </c>
    </row>
    <row r="76">
      <c r="A76" t="n">
        <v>20</v>
      </c>
      <c r="B76" t="inlineStr">
        <is>
          <t>K4-1C</t>
        </is>
      </c>
      <c r="D76" t="n">
        <v>1.63</v>
      </c>
      <c r="E76" t="n">
        <v>19.919</v>
      </c>
      <c r="F76" t="n">
        <v>3596.392</v>
      </c>
      <c r="G76" t="n">
        <v>22.848</v>
      </c>
      <c r="H76">
        <f>E76/F76</f>
        <v/>
      </c>
      <c r="I76">
        <f>((H76-$J$56)/$I$56)</f>
        <v/>
      </c>
      <c r="J76">
        <f>(I76-IF(I64&gt;0,I64,0))</f>
        <v/>
      </c>
      <c r="K76">
        <f>J76/R61*1.1</f>
        <v/>
      </c>
      <c r="L76" s="23" t="inlineStr">
        <is>
          <t>Average</t>
        </is>
      </c>
      <c r="M76" s="23" t="inlineStr">
        <is>
          <t>Stdev</t>
        </is>
      </c>
      <c r="N76" s="9" t="inlineStr">
        <is>
          <t>Combined</t>
        </is>
      </c>
      <c r="Q76" t="inlineStr">
        <is>
          <t>K3-2C</t>
        </is>
      </c>
      <c r="R76" t="n">
        <v>1.1538</v>
      </c>
    </row>
    <row r="77">
      <c r="A77" t="n">
        <v>21</v>
      </c>
      <c r="B77" t="inlineStr">
        <is>
          <t>K4-2A</t>
        </is>
      </c>
      <c r="D77" t="n">
        <v>1.64</v>
      </c>
      <c r="E77" t="n">
        <v>39040.527</v>
      </c>
      <c r="F77" t="n">
        <v>3827.847</v>
      </c>
      <c r="G77" t="n">
        <v>49219.708</v>
      </c>
      <c r="H77">
        <f>E77/F77</f>
        <v/>
      </c>
      <c r="I77">
        <f>((H77-$J$56)/$I$56)</f>
        <v/>
      </c>
      <c r="J77">
        <f>(I77-IF(I64&gt;0,I64,0))</f>
        <v/>
      </c>
      <c r="K77">
        <f>J77/R62*1.1</f>
        <v/>
      </c>
      <c r="L77">
        <f>AVERAGE(K77:K79)</f>
        <v/>
      </c>
      <c r="M77">
        <f>STDEV(K77:K79)</f>
        <v/>
      </c>
      <c r="N77">
        <f>_xlfn.CONCAT(ROUND(L77,1)," ± ",ROUND(M77,1))</f>
        <v/>
      </c>
      <c r="Q77" t="inlineStr">
        <is>
          <t>K3-3A</t>
        </is>
      </c>
      <c r="R77" t="n">
        <v>1.1183</v>
      </c>
    </row>
    <row r="78">
      <c r="A78" t="n">
        <v>22</v>
      </c>
      <c r="B78" t="inlineStr">
        <is>
          <t>K4-2B</t>
        </is>
      </c>
      <c r="D78" t="n">
        <v>1.63</v>
      </c>
      <c r="E78" t="n">
        <v>128.793</v>
      </c>
      <c r="F78" t="n">
        <v>3623.222</v>
      </c>
      <c r="G78" t="n">
        <v>1370</v>
      </c>
      <c r="H78">
        <f>E78/F78</f>
        <v/>
      </c>
      <c r="I78">
        <f>((H78-$J$56)/$I$56)</f>
        <v/>
      </c>
      <c r="J78">
        <f>(I78-IF(I64&gt;0,I64,0))</f>
        <v/>
      </c>
      <c r="K78">
        <f>J78/R63*1.1</f>
        <v/>
      </c>
      <c r="Q78" t="inlineStr">
        <is>
          <t>K3-3B</t>
        </is>
      </c>
      <c r="R78" t="n">
        <v>1.1448</v>
      </c>
    </row>
    <row r="79">
      <c r="A79" t="n">
        <v>23</v>
      </c>
      <c r="B79" t="inlineStr">
        <is>
          <t>K4-2C</t>
        </is>
      </c>
      <c r="D79" t="n">
        <v>1.58</v>
      </c>
      <c r="E79" t="n">
        <v>50.15</v>
      </c>
      <c r="F79" t="n">
        <v>3093.041</v>
      </c>
      <c r="G79" t="n">
        <v>19.531</v>
      </c>
      <c r="H79">
        <f>E79/F79</f>
        <v/>
      </c>
      <c r="I79">
        <f>((H79-$J$56)/$I$56)</f>
        <v/>
      </c>
      <c r="J79">
        <f>(I79-IF(I64&gt;0,I64,0))</f>
        <v/>
      </c>
      <c r="K79">
        <f>J79/R64*1.1</f>
        <v/>
      </c>
      <c r="L79" s="23" t="n"/>
      <c r="M79" s="23" t="n"/>
      <c r="N79" s="9" t="n"/>
      <c r="Q79" t="inlineStr">
        <is>
          <t>K3-3C</t>
        </is>
      </c>
      <c r="R79" t="n">
        <v>1.0493</v>
      </c>
    </row>
    <row r="80">
      <c r="A80" t="n">
        <v>24</v>
      </c>
      <c r="B80" t="inlineStr">
        <is>
          <t>MeOH</t>
        </is>
      </c>
      <c r="L80" s="23" t="inlineStr">
        <is>
          <t>Average</t>
        </is>
      </c>
      <c r="M80" s="23" t="inlineStr">
        <is>
          <t>Stdev</t>
        </is>
      </c>
      <c r="N80" s="9" t="inlineStr">
        <is>
          <t>Combined</t>
        </is>
      </c>
      <c r="Q80" t="inlineStr">
        <is>
          <t>K3-4A</t>
        </is>
      </c>
      <c r="R80" t="n">
        <v>1.0704</v>
      </c>
    </row>
    <row r="81">
      <c r="A81" t="n">
        <v>25</v>
      </c>
      <c r="B81" t="inlineStr">
        <is>
          <t>K4-4A</t>
        </is>
      </c>
      <c r="D81" t="n">
        <v>1.68</v>
      </c>
      <c r="E81" t="n">
        <v>4.318</v>
      </c>
      <c r="F81" t="n">
        <v>3907.045</v>
      </c>
      <c r="G81" t="n">
        <v>49</v>
      </c>
      <c r="H81">
        <f>E81/F81</f>
        <v/>
      </c>
      <c r="I81">
        <f>((H81-$J$56)/$I$56)</f>
        <v/>
      </c>
      <c r="J81">
        <f>(I81-IF(I64&gt;0,I64,0))</f>
        <v/>
      </c>
      <c r="K81">
        <f>J81/R65*1.1</f>
        <v/>
      </c>
      <c r="L81">
        <f>AVERAGE(K81:K83)</f>
        <v/>
      </c>
      <c r="M81">
        <f>STDEV(K82:K83)</f>
        <v/>
      </c>
      <c r="N81">
        <f>_xlfn.CONCAT(ROUND(L81,1)," ± ",ROUND(M81,1))</f>
        <v/>
      </c>
      <c r="Q81" t="inlineStr">
        <is>
          <t>K3-4B</t>
        </is>
      </c>
      <c r="R81" t="n">
        <v>1.1589</v>
      </c>
    </row>
    <row r="82">
      <c r="A82" t="n">
        <v>26</v>
      </c>
      <c r="B82" t="inlineStr">
        <is>
          <t>K4-4B</t>
        </is>
      </c>
      <c r="D82" t="n">
        <v>1.64</v>
      </c>
      <c r="E82" t="n">
        <v>317.093</v>
      </c>
      <c r="F82" t="n">
        <v>3594.542</v>
      </c>
      <c r="G82" t="n">
        <v>229.059</v>
      </c>
      <c r="H82">
        <f>E82/F82</f>
        <v/>
      </c>
      <c r="I82">
        <f>((H82-$J$56)/$I$56)</f>
        <v/>
      </c>
      <c r="J82">
        <f>(I82-IF(I64&gt;0,I64,0))</f>
        <v/>
      </c>
      <c r="K82">
        <f>J82/R66*1.1</f>
        <v/>
      </c>
      <c r="Q82" t="inlineStr">
        <is>
          <t>K3-4C</t>
        </is>
      </c>
      <c r="R82" t="n">
        <v>1.0206</v>
      </c>
    </row>
    <row r="83">
      <c r="A83" t="n">
        <v>27</v>
      </c>
      <c r="B83" t="inlineStr">
        <is>
          <t>K4-4C</t>
        </is>
      </c>
      <c r="D83" t="n">
        <v>1.66</v>
      </c>
      <c r="E83" t="n">
        <v>20.924</v>
      </c>
      <c r="F83" t="n">
        <v>3586.092</v>
      </c>
      <c r="G83" t="n">
        <v>219</v>
      </c>
      <c r="H83">
        <f>E83/F83</f>
        <v/>
      </c>
      <c r="I83">
        <f>((H83-$J$56)/$I$56)</f>
        <v/>
      </c>
      <c r="J83">
        <f>(I83-IF(I64&gt;0,I64,0))</f>
        <v/>
      </c>
      <c r="K83">
        <f>J83/R67*1.1</f>
        <v/>
      </c>
      <c r="L83" s="23" t="inlineStr">
        <is>
          <t>Average</t>
        </is>
      </c>
      <c r="M83" s="23" t="inlineStr">
        <is>
          <t>Stdev</t>
        </is>
      </c>
      <c r="N83" s="9" t="inlineStr">
        <is>
          <t>Combined</t>
        </is>
      </c>
      <c r="Q83" t="inlineStr">
        <is>
          <t>K3-6A</t>
        </is>
      </c>
      <c r="R83" t="n">
        <v>1.1289</v>
      </c>
    </row>
    <row r="84">
      <c r="A84" t="n">
        <v>28</v>
      </c>
      <c r="B84" t="inlineStr">
        <is>
          <t>K4-5A</t>
        </is>
      </c>
      <c r="D84" t="n">
        <v>1.65</v>
      </c>
      <c r="E84" t="n">
        <v>14.718</v>
      </c>
      <c r="F84" t="n">
        <v>3387.509</v>
      </c>
      <c r="G84" t="n">
        <v>34.216</v>
      </c>
      <c r="H84">
        <f>E84/F84</f>
        <v/>
      </c>
      <c r="I84">
        <f>((H84-$J$56)/$I$56)</f>
        <v/>
      </c>
      <c r="J84">
        <f>(I84-IF(I64&gt;0,I64,0))</f>
        <v/>
      </c>
      <c r="K84">
        <f>J84/R68*1.1</f>
        <v/>
      </c>
      <c r="L84">
        <f>AVERAGE(K84:K86)</f>
        <v/>
      </c>
      <c r="M84">
        <f>STDEV(K84:K86)</f>
        <v/>
      </c>
      <c r="N84">
        <f>_xlfn.CONCAT(ROUND(L84,1)," ± ",ROUND(M84,1))</f>
        <v/>
      </c>
      <c r="Q84" t="inlineStr">
        <is>
          <t>K3-6B</t>
        </is>
      </c>
      <c r="R84" t="n">
        <v>1.195</v>
      </c>
    </row>
    <row r="85">
      <c r="A85" t="n">
        <v>29</v>
      </c>
      <c r="B85" t="inlineStr">
        <is>
          <t>K4-5B</t>
        </is>
      </c>
      <c r="D85" t="n">
        <v>1.61</v>
      </c>
      <c r="E85" t="n">
        <v>24.141</v>
      </c>
      <c r="F85" t="n">
        <v>3401.243</v>
      </c>
      <c r="G85" t="n">
        <v>42.391</v>
      </c>
      <c r="H85">
        <f>E85/F85</f>
        <v/>
      </c>
      <c r="I85">
        <f>((H85-$J$56)/$I$56)</f>
        <v/>
      </c>
      <c r="J85">
        <f>(I85-IF(I64&gt;0,I64,0))</f>
        <v/>
      </c>
      <c r="K85">
        <f>J85/R69*1.1</f>
        <v/>
      </c>
      <c r="Q85" t="inlineStr">
        <is>
          <t>K3-6C</t>
        </is>
      </c>
      <c r="R85" t="n">
        <v>1.1716</v>
      </c>
    </row>
    <row r="86">
      <c r="A86" t="n">
        <v>30</v>
      </c>
      <c r="B86" t="inlineStr">
        <is>
          <t>K4-5C</t>
        </is>
      </c>
      <c r="D86" t="n">
        <v>1.66</v>
      </c>
      <c r="E86" t="n">
        <v>15.093</v>
      </c>
      <c r="F86" t="n">
        <v>3767.266</v>
      </c>
      <c r="G86" t="n">
        <v>25.83</v>
      </c>
      <c r="H86">
        <f>E86/F86</f>
        <v/>
      </c>
      <c r="I86">
        <f>((H86-$J$56)/$I$56)</f>
        <v/>
      </c>
      <c r="J86">
        <f>(I86-IF(I64&gt;0,I64,0))</f>
        <v/>
      </c>
      <c r="K86">
        <f>J86/R70*1.1</f>
        <v/>
      </c>
      <c r="L86" s="23" t="n"/>
      <c r="M86" s="23" t="n"/>
      <c r="N86" s="9" t="n"/>
    </row>
    <row r="87">
      <c r="A87" t="n">
        <v>31</v>
      </c>
      <c r="B87" t="inlineStr">
        <is>
          <t>MeOH</t>
        </is>
      </c>
      <c r="L87" s="23" t="inlineStr">
        <is>
          <t>Average</t>
        </is>
      </c>
      <c r="M87" s="23" t="inlineStr">
        <is>
          <t>Stdev</t>
        </is>
      </c>
      <c r="N87" s="9" t="inlineStr">
        <is>
          <t>Combined</t>
        </is>
      </c>
    </row>
    <row r="88">
      <c r="A88" t="n">
        <v>32</v>
      </c>
      <c r="B88" t="inlineStr">
        <is>
          <t>K3-1A</t>
        </is>
      </c>
      <c r="D88" t="n">
        <v>1.62</v>
      </c>
      <c r="E88" t="n">
        <v>8.638999999999999</v>
      </c>
      <c r="F88" t="n">
        <v>3791.804</v>
      </c>
      <c r="G88" t="n">
        <v>5.164</v>
      </c>
      <c r="H88">
        <f>E88/F88</f>
        <v/>
      </c>
      <c r="I88">
        <f>((H88-$J$56)/$I$56)</f>
        <v/>
      </c>
      <c r="J88">
        <f>(I88-IF(I64&gt;0,I64,0))</f>
        <v/>
      </c>
      <c r="K88">
        <f>J88/R71*1.1</f>
        <v/>
      </c>
      <c r="L88">
        <f>AVERAGE(K88:K90)</f>
        <v/>
      </c>
      <c r="M88">
        <f>STDEV(K89:K90)</f>
        <v/>
      </c>
      <c r="N88">
        <f>_xlfn.CONCAT(ROUND(L88,1)," ± ",ROUND(M88,1))</f>
        <v/>
      </c>
    </row>
    <row r="89">
      <c r="A89" t="n">
        <v>33</v>
      </c>
      <c r="B89" t="inlineStr">
        <is>
          <t>K3-1B</t>
        </is>
      </c>
      <c r="D89" t="n">
        <v>1.66</v>
      </c>
      <c r="E89" t="n">
        <v>6.971</v>
      </c>
      <c r="F89" t="n">
        <v>3719.279</v>
      </c>
      <c r="G89" t="n">
        <v>45.65</v>
      </c>
      <c r="H89">
        <f>E89/F89</f>
        <v/>
      </c>
      <c r="I89">
        <f>((H89-$J$56)/$I$56)</f>
        <v/>
      </c>
      <c r="J89">
        <f>(I89-IF(I64&gt;0,I64,0))</f>
        <v/>
      </c>
      <c r="K89">
        <f>J89/R72*1.1</f>
        <v/>
      </c>
    </row>
    <row r="90">
      <c r="A90" t="n">
        <v>34</v>
      </c>
      <c r="B90" t="inlineStr">
        <is>
          <t>K3-1C</t>
        </is>
      </c>
      <c r="D90" t="n">
        <v>1.71</v>
      </c>
      <c r="E90" t="n">
        <v>14.275</v>
      </c>
      <c r="F90" t="n">
        <v>4814.875</v>
      </c>
      <c r="G90" t="n">
        <v>103.559</v>
      </c>
      <c r="H90">
        <f>E90/F90</f>
        <v/>
      </c>
      <c r="I90">
        <f>((H90-$J$56)/$I$56)</f>
        <v/>
      </c>
      <c r="J90">
        <f>(I90-IF(I64&gt;0,I64,0))</f>
        <v/>
      </c>
      <c r="K90">
        <f>J90/R73*1.1</f>
        <v/>
      </c>
      <c r="L90" s="23" t="inlineStr">
        <is>
          <t>Average</t>
        </is>
      </c>
      <c r="M90" s="23" t="inlineStr">
        <is>
          <t>Stdev</t>
        </is>
      </c>
      <c r="N90" s="9" t="inlineStr">
        <is>
          <t>Combined</t>
        </is>
      </c>
    </row>
    <row r="91">
      <c r="A91" t="n">
        <v>35</v>
      </c>
      <c r="B91" t="inlineStr">
        <is>
          <t>K3-2A</t>
        </is>
      </c>
      <c r="D91" t="n">
        <v>1.69</v>
      </c>
      <c r="E91" t="n">
        <v>13.983</v>
      </c>
      <c r="F91" t="n">
        <v>4565.734</v>
      </c>
      <c r="G91" t="n">
        <v>74.434</v>
      </c>
      <c r="H91">
        <f>E91/F91</f>
        <v/>
      </c>
      <c r="I91">
        <f>((H91-$J$56)/$I$56)</f>
        <v/>
      </c>
      <c r="J91">
        <f>(I91-IF(I64&gt;0,I64,0))</f>
        <v/>
      </c>
      <c r="K91">
        <f>J91/R74*1.1</f>
        <v/>
      </c>
      <c r="L91">
        <f>AVERAGE(K91:K93)</f>
        <v/>
      </c>
      <c r="M91">
        <f>STDEV(K91:K93)</f>
        <v/>
      </c>
      <c r="N91">
        <f>_xlfn.CONCAT(ROUND(L91,1)," ± ",ROUND(M91,1))</f>
        <v/>
      </c>
    </row>
    <row r="92">
      <c r="A92" t="n">
        <v>36</v>
      </c>
      <c r="B92" t="inlineStr">
        <is>
          <t>K3-2B</t>
        </is>
      </c>
      <c r="D92" t="n">
        <v>1.68</v>
      </c>
      <c r="E92" t="n">
        <v>12.382</v>
      </c>
      <c r="F92" t="n">
        <v>4775.06</v>
      </c>
      <c r="G92" t="n">
        <v>36.02</v>
      </c>
      <c r="H92">
        <f>E92/F92</f>
        <v/>
      </c>
      <c r="I92">
        <f>((H92-$J$56)/$I$56)</f>
        <v/>
      </c>
      <c r="J92">
        <f>(I92-IF(I64&gt;0,I64,0))</f>
        <v/>
      </c>
      <c r="K92">
        <f>J92/R75*1.1</f>
        <v/>
      </c>
    </row>
    <row r="93">
      <c r="A93" t="n">
        <v>37</v>
      </c>
      <c r="B93" t="inlineStr">
        <is>
          <t>K3-2C</t>
        </is>
      </c>
      <c r="D93" t="n">
        <v>1.67</v>
      </c>
      <c r="E93" t="n">
        <v>8.936</v>
      </c>
      <c r="F93" t="n">
        <v>4192.287</v>
      </c>
      <c r="G93" t="n">
        <v>101</v>
      </c>
      <c r="H93">
        <f>E93/F93</f>
        <v/>
      </c>
      <c r="I93">
        <f>((H93-$J$56)/$I$56)</f>
        <v/>
      </c>
      <c r="J93">
        <f>(I93-IF(I64&gt;0,I64,0))</f>
        <v/>
      </c>
      <c r="K93">
        <f>J93/R76*1.1</f>
        <v/>
      </c>
      <c r="L93" s="23" t="n"/>
      <c r="M93" s="23" t="n"/>
      <c r="N93" s="9" t="n"/>
    </row>
    <row r="94">
      <c r="A94" t="n">
        <v>38</v>
      </c>
      <c r="B94" t="inlineStr">
        <is>
          <t>MeOH</t>
        </is>
      </c>
      <c r="L94" s="23" t="inlineStr">
        <is>
          <t>Average</t>
        </is>
      </c>
      <c r="M94" s="23" t="inlineStr">
        <is>
          <t>Stdev</t>
        </is>
      </c>
      <c r="N94" s="9" t="inlineStr">
        <is>
          <t>Combined</t>
        </is>
      </c>
    </row>
    <row r="95">
      <c r="A95" t="n">
        <v>39</v>
      </c>
      <c r="B95" t="inlineStr">
        <is>
          <t>K3-3A</t>
        </is>
      </c>
      <c r="D95" t="n">
        <v>1.66</v>
      </c>
      <c r="E95" t="n">
        <v>42.082</v>
      </c>
      <c r="F95" t="n">
        <v>3883.396</v>
      </c>
      <c r="G95" t="n">
        <v>296.988</v>
      </c>
      <c r="H95">
        <f>E95/F95</f>
        <v/>
      </c>
      <c r="I95">
        <f>((H95-$J$56)/$I$56)</f>
        <v/>
      </c>
      <c r="J95">
        <f>(I95-IF(I64&gt;0,I64,0))</f>
        <v/>
      </c>
      <c r="K95">
        <f>J95/R77*1.1</f>
        <v/>
      </c>
      <c r="L95">
        <f>AVERAGE(K95:K97)</f>
        <v/>
      </c>
      <c r="M95">
        <f>STDEV(K96:K97)</f>
        <v/>
      </c>
      <c r="N95">
        <f>_xlfn.CONCAT(ROUND(L95,1)," ± ",ROUND(M95,1))</f>
        <v/>
      </c>
    </row>
    <row r="96">
      <c r="A96" t="n">
        <v>40</v>
      </c>
      <c r="B96" t="inlineStr">
        <is>
          <t>K3-3B</t>
        </is>
      </c>
      <c r="D96" t="n">
        <v>1.66</v>
      </c>
      <c r="E96" t="n">
        <v>19.116</v>
      </c>
      <c r="F96" t="n">
        <v>4786.087</v>
      </c>
      <c r="G96" t="n">
        <v>197</v>
      </c>
      <c r="H96">
        <f>E96/F96</f>
        <v/>
      </c>
      <c r="I96">
        <f>((H96-$J$56)/$I$56)</f>
        <v/>
      </c>
      <c r="J96">
        <f>(I96-IF(I64&gt;0,I64,0))</f>
        <v/>
      </c>
      <c r="K96">
        <f>J96/R78*1.1</f>
        <v/>
      </c>
    </row>
    <row r="97">
      <c r="A97" t="n">
        <v>41</v>
      </c>
      <c r="B97" t="inlineStr">
        <is>
          <t>K3-3C</t>
        </is>
      </c>
      <c r="D97" t="n">
        <v>1.69</v>
      </c>
      <c r="E97" t="n">
        <v>7.238</v>
      </c>
      <c r="F97" t="n">
        <v>5066.448</v>
      </c>
      <c r="G97" t="n">
        <v>9.193</v>
      </c>
      <c r="H97">
        <f>E97/F97</f>
        <v/>
      </c>
      <c r="I97">
        <f>((H97-$J$56)/$I$56)</f>
        <v/>
      </c>
      <c r="J97">
        <f>(I97-IF(I64&gt;0,I64,0))</f>
        <v/>
      </c>
      <c r="K97">
        <f>J97/R79*1.1</f>
        <v/>
      </c>
      <c r="L97" s="23" t="inlineStr">
        <is>
          <t>Average</t>
        </is>
      </c>
      <c r="M97" s="23" t="inlineStr">
        <is>
          <t>Stdev</t>
        </is>
      </c>
      <c r="N97" s="9" t="inlineStr">
        <is>
          <t>Combined</t>
        </is>
      </c>
    </row>
    <row r="98">
      <c r="A98" t="n">
        <v>42</v>
      </c>
      <c r="B98" t="inlineStr">
        <is>
          <t>K3-4A</t>
        </is>
      </c>
      <c r="D98" t="n">
        <v>1.68</v>
      </c>
      <c r="E98" t="n">
        <v>22.153</v>
      </c>
      <c r="F98" t="n">
        <v>5114.056</v>
      </c>
      <c r="G98" t="n">
        <v>231</v>
      </c>
      <c r="H98">
        <f>E98/F98</f>
        <v/>
      </c>
      <c r="I98">
        <f>((H98-$J$56)/$I$56)</f>
        <v/>
      </c>
      <c r="J98">
        <f>(I98-IF(I64&gt;0,I64,0))</f>
        <v/>
      </c>
      <c r="K98">
        <f>J98/R80*1.1</f>
        <v/>
      </c>
      <c r="L98">
        <f>AVERAGE(K98:K100)</f>
        <v/>
      </c>
      <c r="M98">
        <f>STDEV(K98:K100)</f>
        <v/>
      </c>
      <c r="N98">
        <f>_xlfn.CONCAT(ROUND(L98,1)," ± ",ROUND(M98,1))</f>
        <v/>
      </c>
    </row>
    <row r="99">
      <c r="A99" t="n">
        <v>43</v>
      </c>
      <c r="B99" t="inlineStr">
        <is>
          <t>K3-4B</t>
        </is>
      </c>
      <c r="D99" t="n">
        <v>1.63</v>
      </c>
      <c r="E99" t="n">
        <v>15.112</v>
      </c>
      <c r="F99" t="n">
        <v>4902.364</v>
      </c>
      <c r="G99" t="n">
        <v>164</v>
      </c>
      <c r="H99">
        <f>E99/F99</f>
        <v/>
      </c>
      <c r="I99">
        <f>((H99-$J$56)/$I$56)</f>
        <v/>
      </c>
      <c r="J99">
        <f>(I99-IF(I64&gt;0,I64,0))</f>
        <v/>
      </c>
      <c r="K99">
        <f>J99/R81*1.1</f>
        <v/>
      </c>
    </row>
    <row r="100">
      <c r="A100" t="n">
        <v>44</v>
      </c>
      <c r="B100" t="inlineStr">
        <is>
          <t>K3-4C</t>
        </is>
      </c>
      <c r="D100" t="n">
        <v>1.73</v>
      </c>
      <c r="E100" t="n">
        <v>14.79</v>
      </c>
      <c r="F100" t="n">
        <v>5366.199</v>
      </c>
      <c r="G100" t="n">
        <v>165</v>
      </c>
      <c r="H100">
        <f>E100/F100</f>
        <v/>
      </c>
      <c r="I100">
        <f>((H100-$J$56)/$I$56)</f>
        <v/>
      </c>
      <c r="J100">
        <f>(I100-IF(I64&gt;0,I64,0))</f>
        <v/>
      </c>
      <c r="K100">
        <f>J100/R82*1.1</f>
        <v/>
      </c>
      <c r="L100" s="23" t="n"/>
      <c r="M100" s="23" t="n"/>
      <c r="N100" s="9" t="n"/>
    </row>
    <row r="101">
      <c r="A101" t="n">
        <v>45</v>
      </c>
      <c r="B101" t="inlineStr">
        <is>
          <t>MeOH</t>
        </is>
      </c>
      <c r="L101" s="23" t="inlineStr">
        <is>
          <t>Average</t>
        </is>
      </c>
      <c r="M101" s="23" t="inlineStr">
        <is>
          <t>Stdev</t>
        </is>
      </c>
      <c r="N101" s="9" t="inlineStr">
        <is>
          <t>Combined</t>
        </is>
      </c>
    </row>
    <row r="102">
      <c r="A102" t="n">
        <v>46</v>
      </c>
      <c r="B102" t="inlineStr">
        <is>
          <t>K3-6A</t>
        </is>
      </c>
      <c r="D102" t="n">
        <v>1.68</v>
      </c>
      <c r="E102" t="n">
        <v>8.853</v>
      </c>
      <c r="F102" t="n">
        <v>5434.724</v>
      </c>
      <c r="G102" t="n">
        <v>99</v>
      </c>
      <c r="H102">
        <f>E102/F102</f>
        <v/>
      </c>
      <c r="I102">
        <f>((H102-$J$56)/$I$56)</f>
        <v/>
      </c>
      <c r="J102">
        <f>(I102-IF(I64&gt;0,I64,0))</f>
        <v/>
      </c>
      <c r="K102">
        <f>J102/R83*1.1</f>
        <v/>
      </c>
      <c r="L102">
        <f>AVERAGE(K102:K104)</f>
        <v/>
      </c>
      <c r="M102">
        <f>STDEV(K103:K104)</f>
        <v/>
      </c>
      <c r="N102">
        <f>_xlfn.CONCAT(ROUND(L102,1)," ± ",ROUND(M102,1))</f>
        <v/>
      </c>
    </row>
    <row r="103">
      <c r="A103" t="n">
        <v>47</v>
      </c>
      <c r="B103" t="inlineStr">
        <is>
          <t>K3-6B</t>
        </is>
      </c>
      <c r="D103" t="n">
        <v>1.62</v>
      </c>
      <c r="E103" t="n">
        <v>3.392</v>
      </c>
      <c r="F103" t="n">
        <v>4320.222</v>
      </c>
      <c r="G103" t="n">
        <v>3.202</v>
      </c>
      <c r="H103">
        <f>E103/F103</f>
        <v/>
      </c>
      <c r="I103">
        <f>((H103-$J$56)/$I$56)</f>
        <v/>
      </c>
      <c r="J103">
        <f>(I103-IF(I64&gt;0,I64,0))</f>
        <v/>
      </c>
      <c r="K103">
        <f>J103/R84*1.1</f>
        <v/>
      </c>
    </row>
    <row r="104">
      <c r="A104" t="n">
        <v>48</v>
      </c>
      <c r="B104" t="inlineStr">
        <is>
          <t>K3-6C</t>
        </is>
      </c>
      <c r="D104" t="n">
        <v>1.62</v>
      </c>
      <c r="E104" t="n">
        <v>103.159</v>
      </c>
      <c r="F104" t="n">
        <v>4778.471</v>
      </c>
      <c r="G104" t="n">
        <v>60.035</v>
      </c>
      <c r="H104">
        <f>E104/F104</f>
        <v/>
      </c>
      <c r="I104">
        <f>((H104-$J$56)/$I$56)</f>
        <v/>
      </c>
      <c r="J104">
        <f>(I104-IF(I64&gt;0,I64,0))</f>
        <v/>
      </c>
      <c r="K104">
        <f>J104/R85*1.1</f>
        <v/>
      </c>
      <c r="L104" s="23" t="n"/>
      <c r="M104" s="23" t="n"/>
      <c r="N104" s="9" t="n"/>
    </row>
    <row r="106">
      <c r="A106" s="17" t="inlineStr">
        <is>
          <t>Compound 3:  PFPrA 1</t>
        </is>
      </c>
      <c r="B106" s="17" t="n"/>
    </row>
    <row r="107">
      <c r="I107" t="inlineStr">
        <is>
          <t>LINEST</t>
        </is>
      </c>
      <c r="Q107" t="inlineStr">
        <is>
          <t>Biosolids Masses</t>
        </is>
      </c>
      <c r="R107" t="inlineStr">
        <is>
          <t>(g)</t>
        </is>
      </c>
    </row>
    <row r="108">
      <c r="B108" t="inlineStr">
        <is>
          <t>Sample Text</t>
        </is>
      </c>
      <c r="C108" t="inlineStr">
        <is>
          <t>Std. Conc</t>
        </is>
      </c>
      <c r="D108" t="inlineStr">
        <is>
          <t>RT</t>
        </is>
      </c>
      <c r="E108" t="inlineStr">
        <is>
          <t>Area</t>
        </is>
      </c>
      <c r="F108" t="inlineStr">
        <is>
          <t>IS Area</t>
        </is>
      </c>
      <c r="G108" t="inlineStr">
        <is>
          <t>S/N</t>
        </is>
      </c>
      <c r="H108" t="inlineStr">
        <is>
          <t>ratio</t>
        </is>
      </c>
      <c r="I108">
        <f t="array" ref="I108:J112">LINEST(H110:H116,C110:C116,1,1)</f>
        <v/>
      </c>
      <c r="J108" t="n">
        <v>0.01205205433982055</v>
      </c>
      <c r="L108" s="20" t="inlineStr">
        <is>
          <t>By S/N Ratio</t>
        </is>
      </c>
      <c r="Q108" t="inlineStr">
        <is>
          <t>SS1</t>
        </is>
      </c>
      <c r="R108" t="n">
        <v>1.0846</v>
      </c>
    </row>
    <row r="109">
      <c r="A109" t="n">
        <v>1</v>
      </c>
      <c r="B109" t="inlineStr">
        <is>
          <t>EPA1633 &amp; diPAPs Calibration 0 ppb</t>
        </is>
      </c>
      <c r="C109" t="n">
        <v>0</v>
      </c>
      <c r="D109" t="n">
        <v>1.37</v>
      </c>
      <c r="E109" t="n">
        <v>64.15000000000001</v>
      </c>
      <c r="F109" t="n">
        <v>7551.013</v>
      </c>
      <c r="G109" t="n">
        <v>10.822</v>
      </c>
      <c r="H109">
        <f>E109/F109</f>
        <v/>
      </c>
      <c r="I109" t="n">
        <v>3.136092111861495e-05</v>
      </c>
      <c r="J109" t="n">
        <v>0.001087584445923592</v>
      </c>
      <c r="K109" t="inlineStr">
        <is>
          <t>LOD</t>
        </is>
      </c>
      <c r="L109" s="21">
        <f>IF(G112&gt;3,C112,IF(G113&gt;3,C113,IF(G114&gt;3,C114,IF(G115&gt;3,C115,C116))))</f>
        <v/>
      </c>
      <c r="Q109" t="inlineStr">
        <is>
          <t>SS2</t>
        </is>
      </c>
      <c r="R109" t="n">
        <v>1.0726</v>
      </c>
    </row>
    <row r="110">
      <c r="A110" t="n">
        <v>2</v>
      </c>
      <c r="B110" t="inlineStr">
        <is>
          <t>EPA1633 &amp; diPAPs Calibration 0.02 ppb</t>
        </is>
      </c>
      <c r="C110" t="n">
        <v>0.08</v>
      </c>
      <c r="D110" t="n">
        <v>1.35</v>
      </c>
      <c r="E110" t="n">
        <v>76.06699999999999</v>
      </c>
      <c r="F110" t="n">
        <v>6696.725</v>
      </c>
      <c r="G110" t="n">
        <v>11.286</v>
      </c>
      <c r="H110">
        <f>E110/F110</f>
        <v/>
      </c>
      <c r="I110" t="n">
        <v>0.9977398946597125</v>
      </c>
      <c r="J110" t="n">
        <v>0.002298189729376356</v>
      </c>
      <c r="K110" t="inlineStr">
        <is>
          <t>LOQ</t>
        </is>
      </c>
      <c r="L110" s="22">
        <f>IF(G112&gt;10,C112,IF(G113&gt;10,C113,IF(G114&gt;10,C114,IF(G115&gt;10,C115,C116))))</f>
        <v/>
      </c>
      <c r="Q110" t="inlineStr">
        <is>
          <t>SS3</t>
        </is>
      </c>
      <c r="R110" t="n">
        <v>1.1534</v>
      </c>
    </row>
    <row r="111">
      <c r="A111" t="n">
        <v>3</v>
      </c>
      <c r="B111" t="inlineStr">
        <is>
          <t>EPA1633 &amp; diPAPs Calibration 0.1 ppb</t>
        </is>
      </c>
      <c r="C111" t="n">
        <v>0.4</v>
      </c>
      <c r="D111" t="n">
        <v>1.33</v>
      </c>
      <c r="E111" t="n">
        <v>96.785</v>
      </c>
      <c r="F111" t="n">
        <v>7209.583</v>
      </c>
      <c r="G111" t="n">
        <v>23.421</v>
      </c>
      <c r="H111">
        <f>E111/F111</f>
        <v/>
      </c>
      <c r="I111" t="n">
        <v>2207.28626421625</v>
      </c>
      <c r="J111" t="n">
        <v>5</v>
      </c>
      <c r="Q111" t="inlineStr">
        <is>
          <t>K4-1A</t>
        </is>
      </c>
      <c r="R111" t="n">
        <v>1.0267</v>
      </c>
    </row>
    <row r="112">
      <c r="A112" t="n">
        <v>4</v>
      </c>
      <c r="B112" t="inlineStr">
        <is>
          <t>EPA1633 &amp; diPAPs Calibration 0.4 ppb</t>
        </is>
      </c>
      <c r="C112" t="n">
        <v>1.6</v>
      </c>
      <c r="D112" t="n">
        <v>1.36</v>
      </c>
      <c r="E112" t="n">
        <v>99.337</v>
      </c>
      <c r="F112" t="n">
        <v>7013.762</v>
      </c>
      <c r="G112" t="n">
        <v>17.913</v>
      </c>
      <c r="H112">
        <f>E112/F112</f>
        <v/>
      </c>
      <c r="I112" t="n">
        <v>0.01165817095793945</v>
      </c>
      <c r="J112" t="n">
        <v>2.640838016105483e-05</v>
      </c>
      <c r="Q112" t="inlineStr">
        <is>
          <t>K4-1B</t>
        </is>
      </c>
      <c r="R112" t="n">
        <v>1.1481</v>
      </c>
    </row>
    <row r="113">
      <c r="A113" t="n">
        <v>5</v>
      </c>
      <c r="B113" t="inlineStr">
        <is>
          <t>EPA1633 &amp; diPAPs Calibration 1 ppb</t>
        </is>
      </c>
      <c r="C113" t="n">
        <v>4</v>
      </c>
      <c r="D113" t="n">
        <v>1.43</v>
      </c>
      <c r="E113" t="n">
        <v>133.014</v>
      </c>
      <c r="F113" t="n">
        <v>8048.652</v>
      </c>
      <c r="G113" t="n">
        <v>18.811</v>
      </c>
      <c r="H113">
        <f>E113/F113</f>
        <v/>
      </c>
      <c r="Q113" t="inlineStr">
        <is>
          <t>K4-1C</t>
        </is>
      </c>
      <c r="R113" t="n">
        <v>1.0402</v>
      </c>
    </row>
    <row r="114">
      <c r="A114" t="n">
        <v>6</v>
      </c>
      <c r="B114" t="inlineStr">
        <is>
          <t>EPA1633 &amp; diPAPs Calibration 5 ppb</t>
        </is>
      </c>
      <c r="C114" t="n">
        <v>20</v>
      </c>
      <c r="D114" t="n">
        <v>1.36</v>
      </c>
      <c r="E114" t="n">
        <v>294.148</v>
      </c>
      <c r="F114" t="n">
        <v>7211.955</v>
      </c>
      <c r="G114" t="n">
        <v>114.941</v>
      </c>
      <c r="H114">
        <f>E114/F114</f>
        <v/>
      </c>
      <c r="Q114" t="inlineStr">
        <is>
          <t>K4-2A</t>
        </is>
      </c>
      <c r="R114" t="n">
        <v>1.127</v>
      </c>
    </row>
    <row r="115">
      <c r="A115" t="n">
        <v>7</v>
      </c>
      <c r="B115" t="inlineStr">
        <is>
          <t>EPA1633 &amp; diPAPs Calibration 10 ppb</t>
        </is>
      </c>
      <c r="C115" t="n">
        <v>40</v>
      </c>
      <c r="D115" t="n">
        <v>1.39</v>
      </c>
      <c r="E115" t="n">
        <v>428.395</v>
      </c>
      <c r="F115" t="n">
        <v>5686.902</v>
      </c>
      <c r="G115" t="n">
        <v>78.163</v>
      </c>
      <c r="H115">
        <f>E115/F115</f>
        <v/>
      </c>
      <c r="I115" s="23" t="inlineStr">
        <is>
          <t>Background</t>
        </is>
      </c>
      <c r="J115" s="23" t="inlineStr">
        <is>
          <t>Spike</t>
        </is>
      </c>
      <c r="K115" s="9" t="inlineStr">
        <is>
          <t>Old Spike</t>
        </is>
      </c>
      <c r="O115" s="24" t="inlineStr">
        <is>
          <t>±</t>
        </is>
      </c>
      <c r="Q115" t="inlineStr">
        <is>
          <t>K4-2B</t>
        </is>
      </c>
      <c r="R115" t="n">
        <v>1.1154</v>
      </c>
    </row>
    <row r="116">
      <c r="A116" t="n">
        <v>8</v>
      </c>
      <c r="B116" t="inlineStr">
        <is>
          <t>EPA1633 &amp; diPAPs Calibration 20 ppb</t>
        </is>
      </c>
      <c r="C116" t="n">
        <v>80</v>
      </c>
      <c r="D116" t="n">
        <v>1.41</v>
      </c>
      <c r="E116" t="n">
        <v>790.977</v>
      </c>
      <c r="F116" t="n">
        <v>6179.103</v>
      </c>
      <c r="G116" t="n">
        <v>49.266</v>
      </c>
      <c r="H116">
        <f>E116/F116</f>
        <v/>
      </c>
      <c r="I116">
        <f>AVERAGE(I119:I121)</f>
        <v/>
      </c>
      <c r="J116" t="n">
        <v>44</v>
      </c>
      <c r="Q116" t="inlineStr">
        <is>
          <t>K4-2C</t>
        </is>
      </c>
      <c r="R116" t="n">
        <v>1.1711</v>
      </c>
    </row>
    <row r="117">
      <c r="A117" t="n">
        <v>9</v>
      </c>
      <c r="B117" t="inlineStr">
        <is>
          <t>MeOH</t>
        </is>
      </c>
      <c r="D117" t="n">
        <v>1.41</v>
      </c>
      <c r="E117" t="n">
        <v>666.111</v>
      </c>
      <c r="G117" t="n">
        <v>89.753</v>
      </c>
      <c r="I117" s="23" t="inlineStr">
        <is>
          <t>Conc.In Vial (ppb)</t>
        </is>
      </c>
      <c r="J117" s="9" t="inlineStr">
        <is>
          <t>Corr. Conc.(ppb)</t>
        </is>
      </c>
      <c r="K117" s="9" t="inlineStr">
        <is>
          <t>Conc. In soil (ng/g)</t>
        </is>
      </c>
      <c r="Q117" t="inlineStr">
        <is>
          <t>K4-4A</t>
        </is>
      </c>
      <c r="R117" t="n">
        <v>1.0932</v>
      </c>
    </row>
    <row r="118">
      <c r="A118" t="n">
        <v>10</v>
      </c>
      <c r="B118" t="inlineStr">
        <is>
          <t>MeOH</t>
        </is>
      </c>
      <c r="D118" t="n">
        <v>1.37</v>
      </c>
      <c r="E118" t="n">
        <v>637.5</v>
      </c>
      <c r="G118" t="n">
        <v>138.978</v>
      </c>
      <c r="L118" s="23" t="inlineStr">
        <is>
          <t>Average</t>
        </is>
      </c>
      <c r="M118" s="23" t="inlineStr">
        <is>
          <t>Stdev</t>
        </is>
      </c>
      <c r="N118" s="9" t="inlineStr">
        <is>
          <t>Combined</t>
        </is>
      </c>
      <c r="O118" s="9" t="n"/>
      <c r="P118" s="9" t="n"/>
      <c r="Q118" t="inlineStr">
        <is>
          <t>K4-4B</t>
        </is>
      </c>
      <c r="R118" t="n">
        <v>1.15</v>
      </c>
    </row>
    <row r="119">
      <c r="A119" t="n">
        <v>11</v>
      </c>
      <c r="B119" s="29" t="inlineStr">
        <is>
          <t>SB1</t>
        </is>
      </c>
      <c r="C119" s="29" t="n"/>
      <c r="D119" s="29" t="n">
        <v>1.98</v>
      </c>
      <c r="E119" s="29" t="n">
        <v>1719.552</v>
      </c>
      <c r="F119" s="29" t="n">
        <v>3649.542</v>
      </c>
      <c r="G119" s="29" t="n">
        <v>467.072</v>
      </c>
      <c r="H119" s="29">
        <f>E119/F119</f>
        <v/>
      </c>
      <c r="I119" s="29">
        <f>((H119-$J$108)/$I$108)</f>
        <v/>
      </c>
      <c r="J119" s="29">
        <f>(I119-IF(I116&gt;0,I116,0))</f>
        <v/>
      </c>
      <c r="K119" s="29">
        <f>J119*1.1</f>
        <v/>
      </c>
      <c r="L119">
        <f>AVERAGE(K119:K121)</f>
        <v/>
      </c>
      <c r="M119">
        <f>STDEV(K120:K121)</f>
        <v/>
      </c>
      <c r="N119">
        <f>_xlfn.CONCAT(ROUND(L119,1)," ± ",ROUND(M119,1))</f>
        <v/>
      </c>
      <c r="Q119" t="inlineStr">
        <is>
          <t>K4-4C</t>
        </is>
      </c>
      <c r="R119" t="n">
        <v>1.0482</v>
      </c>
    </row>
    <row r="120">
      <c r="A120" t="n">
        <v>12</v>
      </c>
      <c r="B120" s="29" t="inlineStr">
        <is>
          <t>SB2</t>
        </is>
      </c>
      <c r="C120" s="29" t="n"/>
      <c r="D120" s="29" t="n">
        <v>1.98</v>
      </c>
      <c r="E120" s="29" t="n">
        <v>1343.528</v>
      </c>
      <c r="F120" s="29" t="n">
        <v>3370.738</v>
      </c>
      <c r="G120" s="29" t="n">
        <v>435.873</v>
      </c>
      <c r="H120" s="29">
        <f>E120/F120</f>
        <v/>
      </c>
      <c r="I120" s="29">
        <f>((H120-$J$108)/$I$108)</f>
        <v/>
      </c>
      <c r="J120" s="29">
        <f>(I120-IF(I116&gt;0,I116,0))</f>
        <v/>
      </c>
      <c r="K120" s="29">
        <f>J120*1.1</f>
        <v/>
      </c>
      <c r="Q120" t="inlineStr">
        <is>
          <t>K4-5A</t>
        </is>
      </c>
      <c r="R120" t="n">
        <v>1.1054</v>
      </c>
    </row>
    <row r="121">
      <c r="A121" t="n">
        <v>13</v>
      </c>
      <c r="B121" s="29" t="inlineStr">
        <is>
          <t>SB3</t>
        </is>
      </c>
      <c r="C121" s="29" t="n"/>
      <c r="D121" s="29" t="n">
        <v>1.97</v>
      </c>
      <c r="E121" s="29" t="n">
        <v>1068.587</v>
      </c>
      <c r="F121" s="29" t="n">
        <v>3095.617</v>
      </c>
      <c r="G121" s="29" t="n">
        <v>797.182</v>
      </c>
      <c r="H121" s="29">
        <f>E121/F121</f>
        <v/>
      </c>
      <c r="I121" s="29">
        <f>((H121-$J$108)/$I$108)</f>
        <v/>
      </c>
      <c r="J121" s="29">
        <f>(I121-IF(I116&gt;0,I116,0))</f>
        <v/>
      </c>
      <c r="K121" s="27">
        <f>J121*1.1</f>
        <v/>
      </c>
      <c r="L121" s="25" t="inlineStr">
        <is>
          <t>Average</t>
        </is>
      </c>
      <c r="M121" s="25" t="inlineStr">
        <is>
          <t>Stdev</t>
        </is>
      </c>
      <c r="N121" s="26" t="inlineStr">
        <is>
          <t>%Recovery</t>
        </is>
      </c>
      <c r="O121" s="26" t="inlineStr">
        <is>
          <t>Uncertainty</t>
        </is>
      </c>
      <c r="P121" s="26" t="inlineStr">
        <is>
          <t>Combined</t>
        </is>
      </c>
      <c r="Q121" t="inlineStr">
        <is>
          <t>K4-5B</t>
        </is>
      </c>
      <c r="R121" s="10" t="n">
        <v>1.0463</v>
      </c>
    </row>
    <row r="122">
      <c r="A122" t="n">
        <v>14</v>
      </c>
      <c r="B122" t="inlineStr">
        <is>
          <t>SS1</t>
        </is>
      </c>
      <c r="D122" t="n">
        <v>1.98</v>
      </c>
      <c r="E122" t="n">
        <v>905.929</v>
      </c>
      <c r="F122" t="n">
        <v>3493.816</v>
      </c>
      <c r="G122" t="n">
        <v>244.241</v>
      </c>
      <c r="H122">
        <f>E122/F122</f>
        <v/>
      </c>
      <c r="I122">
        <f>((H122-$J$108)/$I$108)</f>
        <v/>
      </c>
      <c r="J122">
        <f>(I122-IF(I116&gt;0,I116,0))</f>
        <v/>
      </c>
      <c r="K122">
        <f>J122/R108*1.1</f>
        <v/>
      </c>
      <c r="L122" s="27">
        <f>AVERAGE(K122:K124)</f>
        <v/>
      </c>
      <c r="M122" s="27">
        <f>STDEV(K122:K124)</f>
        <v/>
      </c>
      <c r="N122" s="28">
        <f>L122/J116*100</f>
        <v/>
      </c>
      <c r="O122" s="29">
        <f>M122/J119*100</f>
        <v/>
      </c>
      <c r="P122" s="29">
        <f>_xlfn.CONCAT(ROUND(N122,1)," ± ",ROUND(O122,1))</f>
        <v/>
      </c>
      <c r="Q122" t="inlineStr">
        <is>
          <t>K4-5C</t>
        </is>
      </c>
      <c r="R122" t="n">
        <v>1.1155</v>
      </c>
    </row>
    <row r="123">
      <c r="A123" t="n">
        <v>15</v>
      </c>
      <c r="B123" t="inlineStr">
        <is>
          <t>SS2</t>
        </is>
      </c>
      <c r="D123" t="n">
        <v>2.02</v>
      </c>
      <c r="E123" t="n">
        <v>913.579</v>
      </c>
      <c r="F123" t="n">
        <v>3699.493</v>
      </c>
      <c r="G123" t="n">
        <v>395.914</v>
      </c>
      <c r="H123">
        <f>E123/F123</f>
        <v/>
      </c>
      <c r="I123">
        <f>((H123-$J$108)/$I$108)</f>
        <v/>
      </c>
      <c r="J123">
        <f>(I123-IF(I116&gt;0,I116,0))</f>
        <v/>
      </c>
      <c r="K123">
        <f>J123/R109*1.1</f>
        <v/>
      </c>
      <c r="Q123" t="inlineStr">
        <is>
          <t>K3-1A</t>
        </is>
      </c>
      <c r="R123" t="n">
        <v>1.0874</v>
      </c>
    </row>
    <row r="124">
      <c r="A124" t="n">
        <v>16</v>
      </c>
      <c r="B124" t="inlineStr">
        <is>
          <t>SS3</t>
        </is>
      </c>
      <c r="D124" t="n">
        <v>1.99</v>
      </c>
      <c r="E124" t="n">
        <v>837.338</v>
      </c>
      <c r="F124" t="n">
        <v>3352.055</v>
      </c>
      <c r="G124" t="n">
        <v>247.941</v>
      </c>
      <c r="H124">
        <f>E124/F124</f>
        <v/>
      </c>
      <c r="I124">
        <f>((H124-$J$108)/$I$108)</f>
        <v/>
      </c>
      <c r="J124">
        <f>(I124-IF(I116&gt;0,I116,0))</f>
        <v/>
      </c>
      <c r="K124" s="30">
        <f>J124/R110*1.1</f>
        <v/>
      </c>
      <c r="Q124" t="inlineStr">
        <is>
          <t>K3-1B</t>
        </is>
      </c>
      <c r="R124" t="n">
        <v>1.0898</v>
      </c>
    </row>
    <row r="125">
      <c r="A125" t="n">
        <v>17</v>
      </c>
      <c r="B125" t="inlineStr">
        <is>
          <t>MeOH</t>
        </is>
      </c>
      <c r="L125" s="23" t="inlineStr">
        <is>
          <t>Average</t>
        </is>
      </c>
      <c r="M125" s="23" t="inlineStr">
        <is>
          <t>Stdev</t>
        </is>
      </c>
      <c r="N125" s="9" t="inlineStr">
        <is>
          <t>Combined</t>
        </is>
      </c>
      <c r="Q125" t="inlineStr">
        <is>
          <t>K3-1C</t>
        </is>
      </c>
      <c r="R125" t="n">
        <v>1.0536</v>
      </c>
    </row>
    <row r="126">
      <c r="A126" t="n">
        <v>18</v>
      </c>
      <c r="B126" t="inlineStr">
        <is>
          <t>K4-1A</t>
        </is>
      </c>
      <c r="D126" t="n">
        <v>1.94</v>
      </c>
      <c r="E126" t="n">
        <v>3759.632</v>
      </c>
      <c r="F126" t="n">
        <v>3889.819</v>
      </c>
      <c r="G126" t="n">
        <v>962.431</v>
      </c>
      <c r="H126">
        <f>E126/F126</f>
        <v/>
      </c>
      <c r="I126">
        <f>((H126-$J$108)/$I$108)</f>
        <v/>
      </c>
      <c r="J126">
        <f>(I126-IF(I116&gt;0,I116,0))</f>
        <v/>
      </c>
      <c r="K126">
        <f>J126/R111*1.1</f>
        <v/>
      </c>
      <c r="L126">
        <f>AVERAGE(K126:K128)</f>
        <v/>
      </c>
      <c r="M126">
        <f>STDEV(K127:K128)</f>
        <v/>
      </c>
      <c r="N126">
        <f>_xlfn.CONCAT(ROUND(L126,1)," ± ",ROUND(M126,1))</f>
        <v/>
      </c>
      <c r="Q126" t="inlineStr">
        <is>
          <t>K3-2A</t>
        </is>
      </c>
      <c r="R126" s="10" t="n">
        <v>1.1218</v>
      </c>
    </row>
    <row r="127">
      <c r="A127" t="n">
        <v>19</v>
      </c>
      <c r="B127" t="inlineStr">
        <is>
          <t>K4-1B</t>
        </is>
      </c>
      <c r="D127" t="n">
        <v>1.88</v>
      </c>
      <c r="E127" t="n">
        <v>3657.669</v>
      </c>
      <c r="F127" t="n">
        <v>3657.858</v>
      </c>
      <c r="G127" t="n">
        <v>608.746</v>
      </c>
      <c r="H127">
        <f>E127/F127</f>
        <v/>
      </c>
      <c r="I127">
        <f>((H127-$J$108)/$I$108)</f>
        <v/>
      </c>
      <c r="J127">
        <f>(I127-IF(I116&gt;0,I116,0))</f>
        <v/>
      </c>
      <c r="K127">
        <f>J127/R112*1.1</f>
        <v/>
      </c>
      <c r="Q127" t="inlineStr">
        <is>
          <t>K3-2B</t>
        </is>
      </c>
      <c r="R127" t="n">
        <v>1.198</v>
      </c>
    </row>
    <row r="128">
      <c r="A128" t="n">
        <v>20</v>
      </c>
      <c r="B128" t="inlineStr">
        <is>
          <t>K4-1C</t>
        </is>
      </c>
      <c r="D128" t="n">
        <v>1.91</v>
      </c>
      <c r="E128" t="n">
        <v>3773.115</v>
      </c>
      <c r="F128" t="n">
        <v>3596.392</v>
      </c>
      <c r="G128" t="n">
        <v>417.464</v>
      </c>
      <c r="H128">
        <f>E128/F128</f>
        <v/>
      </c>
      <c r="I128">
        <f>((H128-$J$108)/$I$108)</f>
        <v/>
      </c>
      <c r="J128">
        <f>(I128-IF(I116&gt;0,I116,0))</f>
        <v/>
      </c>
      <c r="K128">
        <f>J128/R113*1.1</f>
        <v/>
      </c>
      <c r="L128" s="23" t="inlineStr">
        <is>
          <t>Average</t>
        </is>
      </c>
      <c r="M128" s="23" t="inlineStr">
        <is>
          <t>Stdev</t>
        </is>
      </c>
      <c r="N128" s="9" t="inlineStr">
        <is>
          <t>Combined</t>
        </is>
      </c>
      <c r="Q128" t="inlineStr">
        <is>
          <t>K3-2C</t>
        </is>
      </c>
      <c r="R128" t="n">
        <v>1.1538</v>
      </c>
    </row>
    <row r="129">
      <c r="A129" t="n">
        <v>21</v>
      </c>
      <c r="B129" t="inlineStr">
        <is>
          <t>K4-2A</t>
        </is>
      </c>
      <c r="D129" t="n">
        <v>1.92</v>
      </c>
      <c r="E129" t="n">
        <v>3644.483</v>
      </c>
      <c r="F129" t="n">
        <v>3827.847</v>
      </c>
      <c r="G129" t="n">
        <v>951.1180000000001</v>
      </c>
      <c r="H129">
        <f>E129/F129</f>
        <v/>
      </c>
      <c r="I129">
        <f>((H129-$J$108)/$I$108)</f>
        <v/>
      </c>
      <c r="J129">
        <f>(I129-IF(I116&gt;0,I116,0))</f>
        <v/>
      </c>
      <c r="K129">
        <f>J129/R114*1.1</f>
        <v/>
      </c>
      <c r="L129">
        <f>AVERAGE(K129:K131)</f>
        <v/>
      </c>
      <c r="M129">
        <f>STDEV(K129:K131)</f>
        <v/>
      </c>
      <c r="N129">
        <f>_xlfn.CONCAT(ROUND(L129,1)," ± ",ROUND(M129,1))</f>
        <v/>
      </c>
      <c r="Q129" t="inlineStr">
        <is>
          <t>K3-3A</t>
        </is>
      </c>
      <c r="R129" t="n">
        <v>1.1183</v>
      </c>
    </row>
    <row r="130">
      <c r="A130" t="n">
        <v>22</v>
      </c>
      <c r="B130" t="inlineStr">
        <is>
          <t>K4-2B</t>
        </is>
      </c>
      <c r="D130" t="n">
        <v>1.92</v>
      </c>
      <c r="E130" t="n">
        <v>2323.58</v>
      </c>
      <c r="F130" t="n">
        <v>3623.222</v>
      </c>
      <c r="G130" t="n">
        <v>429.107</v>
      </c>
      <c r="H130">
        <f>E130/F130</f>
        <v/>
      </c>
      <c r="I130">
        <f>((H130-$J$108)/$I$108)</f>
        <v/>
      </c>
      <c r="J130">
        <f>(I130-IF(I116&gt;0,I116,0))</f>
        <v/>
      </c>
      <c r="K130">
        <f>J130/R115*1.1</f>
        <v/>
      </c>
      <c r="Q130" t="inlineStr">
        <is>
          <t>K3-3B</t>
        </is>
      </c>
      <c r="R130" t="n">
        <v>1.1448</v>
      </c>
    </row>
    <row r="131">
      <c r="A131" t="n">
        <v>23</v>
      </c>
      <c r="B131" t="inlineStr">
        <is>
          <t>K4-2C</t>
        </is>
      </c>
      <c r="D131" t="n">
        <v>1.87</v>
      </c>
      <c r="E131" t="n">
        <v>3272.847</v>
      </c>
      <c r="F131" t="n">
        <v>3093.041</v>
      </c>
      <c r="G131" t="n">
        <v>458.64</v>
      </c>
      <c r="H131">
        <f>E131/F131</f>
        <v/>
      </c>
      <c r="I131">
        <f>((H131-$J$108)/$I$108)</f>
        <v/>
      </c>
      <c r="J131">
        <f>(I131-IF(I116&gt;0,I116,0))</f>
        <v/>
      </c>
      <c r="K131">
        <f>J131/R116*1.1</f>
        <v/>
      </c>
      <c r="L131" s="23" t="n"/>
      <c r="M131" s="23" t="n"/>
      <c r="N131" s="9" t="n"/>
      <c r="Q131" t="inlineStr">
        <is>
          <t>K3-3C</t>
        </is>
      </c>
      <c r="R131" t="n">
        <v>1.0493</v>
      </c>
    </row>
    <row r="132">
      <c r="A132" t="n">
        <v>24</v>
      </c>
      <c r="B132" t="inlineStr">
        <is>
          <t>MeOH</t>
        </is>
      </c>
      <c r="L132" s="23" t="inlineStr">
        <is>
          <t>Average</t>
        </is>
      </c>
      <c r="M132" s="23" t="inlineStr">
        <is>
          <t>Stdev</t>
        </is>
      </c>
      <c r="N132" s="9" t="inlineStr">
        <is>
          <t>Combined</t>
        </is>
      </c>
      <c r="Q132" t="inlineStr">
        <is>
          <t>K3-4A</t>
        </is>
      </c>
      <c r="R132" t="n">
        <v>1.0704</v>
      </c>
    </row>
    <row r="133">
      <c r="A133" t="n">
        <v>25</v>
      </c>
      <c r="B133" t="inlineStr">
        <is>
          <t>K4-4A</t>
        </is>
      </c>
      <c r="D133" t="n">
        <v>1.97</v>
      </c>
      <c r="E133" t="n">
        <v>2994.091</v>
      </c>
      <c r="F133" t="n">
        <v>3907.045</v>
      </c>
      <c r="G133" t="n">
        <v>856.6079999999999</v>
      </c>
      <c r="H133">
        <f>E133/F133</f>
        <v/>
      </c>
      <c r="I133">
        <f>((H133-$J$108)/$I$108)</f>
        <v/>
      </c>
      <c r="J133">
        <f>(I133-IF(I116&gt;0,I116,0))</f>
        <v/>
      </c>
      <c r="K133">
        <f>J133/R117*1.1</f>
        <v/>
      </c>
      <c r="L133">
        <f>AVERAGE(K133:K135)</f>
        <v/>
      </c>
      <c r="M133">
        <f>STDEV(K134:K135)</f>
        <v/>
      </c>
      <c r="N133">
        <f>_xlfn.CONCAT(ROUND(L133,1)," ± ",ROUND(M133,1))</f>
        <v/>
      </c>
      <c r="Q133" t="inlineStr">
        <is>
          <t>K3-4B</t>
        </is>
      </c>
      <c r="R133" t="n">
        <v>1.1589</v>
      </c>
    </row>
    <row r="134">
      <c r="A134" t="n">
        <v>26</v>
      </c>
      <c r="B134" t="inlineStr">
        <is>
          <t>K4-4B</t>
        </is>
      </c>
      <c r="D134" t="n">
        <v>1.92</v>
      </c>
      <c r="E134" t="n">
        <v>3067.412</v>
      </c>
      <c r="F134" t="n">
        <v>3594.542</v>
      </c>
      <c r="G134" t="n">
        <v>706.857</v>
      </c>
      <c r="H134">
        <f>E134/F134</f>
        <v/>
      </c>
      <c r="I134">
        <f>((H134-$J$108)/$I$108)</f>
        <v/>
      </c>
      <c r="J134">
        <f>(I134-IF(I116&gt;0,I116,0))</f>
        <v/>
      </c>
      <c r="K134">
        <f>J134/R118*1.1</f>
        <v/>
      </c>
      <c r="Q134" t="inlineStr">
        <is>
          <t>K3-4C</t>
        </is>
      </c>
      <c r="R134" t="n">
        <v>1.0206</v>
      </c>
    </row>
    <row r="135">
      <c r="A135" t="n">
        <v>27</v>
      </c>
      <c r="B135" t="inlineStr">
        <is>
          <t>K4-4C</t>
        </is>
      </c>
      <c r="D135" t="n">
        <v>1.94</v>
      </c>
      <c r="E135" t="n">
        <v>3164.328</v>
      </c>
      <c r="F135" t="n">
        <v>3586.092</v>
      </c>
      <c r="G135" t="n">
        <v>870.831</v>
      </c>
      <c r="H135">
        <f>E135/F135</f>
        <v/>
      </c>
      <c r="I135">
        <f>((H135-$J$108)/$I$108)</f>
        <v/>
      </c>
      <c r="J135">
        <f>(I135-IF(I116&gt;0,I116,0))</f>
        <v/>
      </c>
      <c r="K135">
        <f>J135/R119*1.1</f>
        <v/>
      </c>
      <c r="L135" s="23" t="inlineStr">
        <is>
          <t>Average</t>
        </is>
      </c>
      <c r="M135" s="23" t="inlineStr">
        <is>
          <t>Stdev</t>
        </is>
      </c>
      <c r="N135" s="9" t="inlineStr">
        <is>
          <t>Combined</t>
        </is>
      </c>
      <c r="Q135" t="inlineStr">
        <is>
          <t>K3-6A</t>
        </is>
      </c>
      <c r="R135" t="n">
        <v>1.1289</v>
      </c>
    </row>
    <row r="136">
      <c r="A136" t="n">
        <v>28</v>
      </c>
      <c r="B136" t="inlineStr">
        <is>
          <t>K4-5A</t>
        </is>
      </c>
      <c r="D136" t="n">
        <v>1.93</v>
      </c>
      <c r="E136" t="n">
        <v>4097.881</v>
      </c>
      <c r="F136" t="n">
        <v>3387.509</v>
      </c>
      <c r="G136" t="n">
        <v>852.587</v>
      </c>
      <c r="H136">
        <f>E136/F136</f>
        <v/>
      </c>
      <c r="I136">
        <f>((H136-$J$108)/$I$108)</f>
        <v/>
      </c>
      <c r="J136">
        <f>(I136-IF(I116&gt;0,I116,0))</f>
        <v/>
      </c>
      <c r="K136">
        <f>J136/R120*1.1</f>
        <v/>
      </c>
      <c r="L136">
        <f>AVERAGE(K136:K138)</f>
        <v/>
      </c>
      <c r="M136">
        <f>STDEV(K136:K138)</f>
        <v/>
      </c>
      <c r="N136">
        <f>_xlfn.CONCAT(ROUND(L136,1)," ± ",ROUND(M136,1))</f>
        <v/>
      </c>
      <c r="Q136" t="inlineStr">
        <is>
          <t>K3-6B</t>
        </is>
      </c>
      <c r="R136" t="n">
        <v>1.195</v>
      </c>
    </row>
    <row r="137">
      <c r="A137" t="n">
        <v>29</v>
      </c>
      <c r="B137" t="inlineStr">
        <is>
          <t>K4-5B</t>
        </is>
      </c>
      <c r="D137" t="n">
        <v>1.89</v>
      </c>
      <c r="E137" t="n">
        <v>4755.82</v>
      </c>
      <c r="F137" t="n">
        <v>3401.243</v>
      </c>
      <c r="G137" t="n">
        <v>1189.659</v>
      </c>
      <c r="H137">
        <f>E137/F137</f>
        <v/>
      </c>
      <c r="I137">
        <f>((H137-$J$108)/$I$108)</f>
        <v/>
      </c>
      <c r="J137">
        <f>(I137-IF(I116&gt;0,I116,0))</f>
        <v/>
      </c>
      <c r="K137">
        <f>J137/R121*1.1</f>
        <v/>
      </c>
      <c r="Q137" t="inlineStr">
        <is>
          <t>K3-6C</t>
        </is>
      </c>
      <c r="R137" t="n">
        <v>1.1716</v>
      </c>
    </row>
    <row r="138">
      <c r="A138" t="n">
        <v>30</v>
      </c>
      <c r="B138" t="inlineStr">
        <is>
          <t>K4-5C</t>
        </is>
      </c>
      <c r="D138" t="n">
        <v>1.93</v>
      </c>
      <c r="E138" t="n">
        <v>2975.819</v>
      </c>
      <c r="F138" t="n">
        <v>3767.266</v>
      </c>
      <c r="G138" t="n">
        <v>440.602</v>
      </c>
      <c r="H138">
        <f>E138/F138</f>
        <v/>
      </c>
      <c r="I138">
        <f>((H138-$J$108)/$I$108)</f>
        <v/>
      </c>
      <c r="J138">
        <f>(I138-IF(I116&gt;0,I116,0))</f>
        <v/>
      </c>
      <c r="K138">
        <f>J138/R122*1.1</f>
        <v/>
      </c>
      <c r="L138" s="23" t="n"/>
      <c r="M138" s="23" t="n"/>
      <c r="N138" s="9" t="n"/>
    </row>
    <row r="139">
      <c r="A139" t="n">
        <v>31</v>
      </c>
      <c r="B139" t="inlineStr">
        <is>
          <t>MeOH</t>
        </is>
      </c>
      <c r="L139" s="23" t="inlineStr">
        <is>
          <t>Average</t>
        </is>
      </c>
      <c r="M139" s="23" t="inlineStr">
        <is>
          <t>Stdev</t>
        </is>
      </c>
      <c r="N139" s="9" t="inlineStr">
        <is>
          <t>Combined</t>
        </is>
      </c>
    </row>
    <row r="140">
      <c r="A140" t="n">
        <v>32</v>
      </c>
      <c r="B140" t="inlineStr">
        <is>
          <t>K3-1A</t>
        </is>
      </c>
      <c r="D140" t="n">
        <v>1.89</v>
      </c>
      <c r="E140" t="n">
        <v>3237.622</v>
      </c>
      <c r="F140" t="n">
        <v>3791.804</v>
      </c>
      <c r="G140" t="n">
        <v>860.718</v>
      </c>
      <c r="H140">
        <f>E140/F140</f>
        <v/>
      </c>
      <c r="I140">
        <f>((H140-$J$108)/$I$108)</f>
        <v/>
      </c>
      <c r="J140">
        <f>(I140-IF(I116&gt;0,I116,0))</f>
        <v/>
      </c>
      <c r="K140">
        <f>J140/R123*1.1</f>
        <v/>
      </c>
      <c r="L140">
        <f>AVERAGE(K140:K142)</f>
        <v/>
      </c>
      <c r="M140">
        <f>STDEV(K141:K142)</f>
        <v/>
      </c>
      <c r="N140">
        <f>_xlfn.CONCAT(ROUND(L140,1)," ± ",ROUND(M140,1))</f>
        <v/>
      </c>
    </row>
    <row r="141">
      <c r="A141" t="n">
        <v>33</v>
      </c>
      <c r="B141" t="inlineStr">
        <is>
          <t>K3-1B</t>
        </is>
      </c>
      <c r="D141" t="n">
        <v>1.91</v>
      </c>
      <c r="E141" t="n">
        <v>2194.711</v>
      </c>
      <c r="F141" t="n">
        <v>3719.279</v>
      </c>
      <c r="G141" t="n">
        <v>311.131</v>
      </c>
      <c r="H141">
        <f>E141/F141</f>
        <v/>
      </c>
      <c r="I141">
        <f>((H141-$J$108)/$I$108)</f>
        <v/>
      </c>
      <c r="J141">
        <f>(I141-IF(I116&gt;0,I116,0))</f>
        <v/>
      </c>
      <c r="K141">
        <f>J141/R124*1.1</f>
        <v/>
      </c>
    </row>
    <row r="142">
      <c r="A142" t="n">
        <v>34</v>
      </c>
      <c r="B142" t="inlineStr">
        <is>
          <t>K3-1C</t>
        </is>
      </c>
      <c r="D142" t="n">
        <v>1.98</v>
      </c>
      <c r="E142" t="n">
        <v>3846.579</v>
      </c>
      <c r="F142" t="n">
        <v>4814.875</v>
      </c>
      <c r="G142" t="n">
        <v>1400.656</v>
      </c>
      <c r="H142">
        <f>E142/F142</f>
        <v/>
      </c>
      <c r="I142">
        <f>((H142-$J$108)/$I$108)</f>
        <v/>
      </c>
      <c r="J142">
        <f>(I142-IF(I116&gt;0,I116,0))</f>
        <v/>
      </c>
      <c r="K142">
        <f>J142/R125*1.1</f>
        <v/>
      </c>
      <c r="L142" s="23" t="inlineStr">
        <is>
          <t>Average</t>
        </is>
      </c>
      <c r="M142" s="23" t="inlineStr">
        <is>
          <t>Stdev</t>
        </is>
      </c>
      <c r="N142" s="9" t="inlineStr">
        <is>
          <t>Combined</t>
        </is>
      </c>
    </row>
    <row r="143">
      <c r="A143" t="n">
        <v>35</v>
      </c>
      <c r="B143" t="inlineStr">
        <is>
          <t>K3-2A</t>
        </is>
      </c>
      <c r="D143" t="n">
        <v>1.98</v>
      </c>
      <c r="E143" t="n">
        <v>4072.01</v>
      </c>
      <c r="F143" t="n">
        <v>4565.734</v>
      </c>
      <c r="G143" t="n">
        <v>873.177</v>
      </c>
      <c r="H143">
        <f>E143/F143</f>
        <v/>
      </c>
      <c r="I143">
        <f>((H143-$J$108)/$I$108)</f>
        <v/>
      </c>
      <c r="J143">
        <f>(I143-IF(I116&gt;0,I116,0))</f>
        <v/>
      </c>
      <c r="K143">
        <f>J143/R126*1.1</f>
        <v/>
      </c>
      <c r="L143">
        <f>AVERAGE(K143:K145)</f>
        <v/>
      </c>
      <c r="M143">
        <f>STDEV(K143:K145)</f>
        <v/>
      </c>
      <c r="N143">
        <f>_xlfn.CONCAT(ROUND(L143,1)," ± ",ROUND(M143,1))</f>
        <v/>
      </c>
    </row>
    <row r="144">
      <c r="A144" t="n">
        <v>36</v>
      </c>
      <c r="B144" t="inlineStr">
        <is>
          <t>K3-2B</t>
        </is>
      </c>
      <c r="D144" t="n">
        <v>1.97</v>
      </c>
      <c r="E144" t="n">
        <v>2337.249</v>
      </c>
      <c r="F144" t="n">
        <v>4775.06</v>
      </c>
      <c r="G144" t="n">
        <v>253.668</v>
      </c>
      <c r="H144">
        <f>E144/F144</f>
        <v/>
      </c>
      <c r="I144">
        <f>((H144-$J$108)/$I$108)</f>
        <v/>
      </c>
      <c r="J144">
        <f>(I144-IF(I116&gt;0,I116,0))</f>
        <v/>
      </c>
      <c r="K144">
        <f>J144/R127*1.1</f>
        <v/>
      </c>
    </row>
    <row r="145">
      <c r="A145" t="n">
        <v>37</v>
      </c>
      <c r="B145" t="inlineStr">
        <is>
          <t>K3-2C</t>
        </is>
      </c>
      <c r="D145" t="n">
        <v>1.94</v>
      </c>
      <c r="E145" t="n">
        <v>2272.543</v>
      </c>
      <c r="F145" t="n">
        <v>4192.287</v>
      </c>
      <c r="G145" t="n">
        <v>438.644</v>
      </c>
      <c r="H145">
        <f>E145/F145</f>
        <v/>
      </c>
      <c r="I145">
        <f>((H145-$J$108)/$I$108)</f>
        <v/>
      </c>
      <c r="J145">
        <f>(I145-IF(I116&gt;0,I116,0))</f>
        <v/>
      </c>
      <c r="K145">
        <f>J145/R128*1.1</f>
        <v/>
      </c>
      <c r="L145" s="23" t="n"/>
      <c r="M145" s="23" t="n"/>
      <c r="N145" s="9" t="n"/>
    </row>
    <row r="146">
      <c r="A146" t="n">
        <v>38</v>
      </c>
      <c r="B146" t="inlineStr">
        <is>
          <t>MeOH</t>
        </is>
      </c>
      <c r="L146" s="23" t="inlineStr">
        <is>
          <t>Average</t>
        </is>
      </c>
      <c r="M146" s="23" t="inlineStr">
        <is>
          <t>Stdev</t>
        </is>
      </c>
      <c r="N146" s="9" t="inlineStr">
        <is>
          <t>Combined</t>
        </is>
      </c>
    </row>
    <row r="147">
      <c r="A147" t="n">
        <v>39</v>
      </c>
      <c r="B147" t="inlineStr">
        <is>
          <t>K3-3A</t>
        </is>
      </c>
      <c r="D147" t="n">
        <v>1.94</v>
      </c>
      <c r="E147" t="n">
        <v>4056.138</v>
      </c>
      <c r="F147" t="n">
        <v>3883.396</v>
      </c>
      <c r="G147" t="n">
        <v>1034.389</v>
      </c>
      <c r="H147">
        <f>E147/F147</f>
        <v/>
      </c>
      <c r="I147">
        <f>((H147-$J$108)/$I$108)</f>
        <v/>
      </c>
      <c r="J147">
        <f>(I147-IF(I116&gt;0,I116,0))</f>
        <v/>
      </c>
      <c r="K147">
        <f>J147/R129*1.1</f>
        <v/>
      </c>
      <c r="L147">
        <f>AVERAGE(K147:K149)</f>
        <v/>
      </c>
      <c r="M147">
        <f>STDEV(K148:K149)</f>
        <v/>
      </c>
      <c r="N147">
        <f>_xlfn.CONCAT(ROUND(L147,1)," ± ",ROUND(M147,1))</f>
        <v/>
      </c>
    </row>
    <row r="148">
      <c r="A148" t="n">
        <v>40</v>
      </c>
      <c r="B148" t="inlineStr">
        <is>
          <t>K3-3B</t>
        </is>
      </c>
      <c r="D148" t="n">
        <v>1.94</v>
      </c>
      <c r="E148" t="n">
        <v>2971.076</v>
      </c>
      <c r="F148" t="n">
        <v>4786.087</v>
      </c>
      <c r="G148" t="n">
        <v>459.169</v>
      </c>
      <c r="H148">
        <f>E148/F148</f>
        <v/>
      </c>
      <c r="I148">
        <f>((H148-$J$108)/$I$108)</f>
        <v/>
      </c>
      <c r="J148">
        <f>(I148-IF(I116&gt;0,I116,0))</f>
        <v/>
      </c>
      <c r="K148">
        <f>J148/R130*1.1</f>
        <v/>
      </c>
    </row>
    <row r="149">
      <c r="A149" t="n">
        <v>41</v>
      </c>
      <c r="B149" t="inlineStr">
        <is>
          <t>K3-3C</t>
        </is>
      </c>
      <c r="D149" t="n">
        <v>1.98</v>
      </c>
      <c r="E149" t="n">
        <v>3241.352</v>
      </c>
      <c r="F149" t="n">
        <v>5066.448</v>
      </c>
      <c r="G149" t="n">
        <v>647.297</v>
      </c>
      <c r="H149">
        <f>E149/F149</f>
        <v/>
      </c>
      <c r="I149">
        <f>((H149-$J$108)/$I$108)</f>
        <v/>
      </c>
      <c r="J149">
        <f>(I149-IF(I116&gt;0,I116,0))</f>
        <v/>
      </c>
      <c r="K149">
        <f>J149/R131*1.1</f>
        <v/>
      </c>
      <c r="L149" s="23" t="inlineStr">
        <is>
          <t>Average</t>
        </is>
      </c>
      <c r="M149" s="23" t="inlineStr">
        <is>
          <t>Stdev</t>
        </is>
      </c>
      <c r="N149" s="9" t="inlineStr">
        <is>
          <t>Combined</t>
        </is>
      </c>
    </row>
    <row r="150">
      <c r="A150" t="n">
        <v>42</v>
      </c>
      <c r="B150" t="inlineStr">
        <is>
          <t>K3-4A</t>
        </is>
      </c>
      <c r="D150" t="n">
        <v>1.97</v>
      </c>
      <c r="E150" t="n">
        <v>3779.837</v>
      </c>
      <c r="F150" t="n">
        <v>5114.056</v>
      </c>
      <c r="G150" t="n">
        <v>965.121</v>
      </c>
      <c r="H150">
        <f>E150/F150</f>
        <v/>
      </c>
      <c r="I150">
        <f>((H150-$J$108)/$I$108)</f>
        <v/>
      </c>
      <c r="J150">
        <f>(I150-IF(I116&gt;0,I116,0))</f>
        <v/>
      </c>
      <c r="K150">
        <f>J150/R132*1.1</f>
        <v/>
      </c>
      <c r="L150">
        <f>AVERAGE(K150:K152)</f>
        <v/>
      </c>
      <c r="M150">
        <f>STDEV(K150:K152)</f>
        <v/>
      </c>
      <c r="N150">
        <f>_xlfn.CONCAT(ROUND(L150,1)," ± ",ROUND(M150,1))</f>
        <v/>
      </c>
    </row>
    <row r="151">
      <c r="A151" t="n">
        <v>43</v>
      </c>
      <c r="B151" t="inlineStr">
        <is>
          <t>K3-4B</t>
        </is>
      </c>
      <c r="D151" t="n">
        <v>1.92</v>
      </c>
      <c r="E151" t="n">
        <v>3861.823</v>
      </c>
      <c r="F151" t="n">
        <v>4902.364</v>
      </c>
      <c r="G151" t="n">
        <v>731.163</v>
      </c>
      <c r="H151">
        <f>E151/F151</f>
        <v/>
      </c>
      <c r="I151">
        <f>((H151-$J$108)/$I$108)</f>
        <v/>
      </c>
      <c r="J151">
        <f>(I151-IF(I116&gt;0,I116,0))</f>
        <v/>
      </c>
      <c r="K151">
        <f>J151/R133*1.1</f>
        <v/>
      </c>
    </row>
    <row r="152">
      <c r="A152" t="n">
        <v>44</v>
      </c>
      <c r="B152" t="inlineStr">
        <is>
          <t>K3-4C</t>
        </is>
      </c>
      <c r="D152" t="n">
        <v>1.99</v>
      </c>
      <c r="E152" t="n">
        <v>4528.584</v>
      </c>
      <c r="F152" t="n">
        <v>5366.199</v>
      </c>
      <c r="G152" t="n">
        <v>549.407</v>
      </c>
      <c r="H152">
        <f>E152/F152</f>
        <v/>
      </c>
      <c r="I152">
        <f>((H152-$J$108)/$I$108)</f>
        <v/>
      </c>
      <c r="J152">
        <f>(I152-IF(I116&gt;0,I116,0))</f>
        <v/>
      </c>
      <c r="K152">
        <f>J152/R134*1.1</f>
        <v/>
      </c>
      <c r="L152" s="23" t="n"/>
      <c r="M152" s="23" t="n"/>
      <c r="N152" s="9" t="n"/>
    </row>
    <row r="153">
      <c r="A153" t="n">
        <v>45</v>
      </c>
      <c r="B153" t="inlineStr">
        <is>
          <t>MeOH</t>
        </is>
      </c>
      <c r="L153" s="23" t="inlineStr">
        <is>
          <t>Average</t>
        </is>
      </c>
      <c r="M153" s="23" t="inlineStr">
        <is>
          <t>Stdev</t>
        </is>
      </c>
      <c r="N153" s="9" t="inlineStr">
        <is>
          <t>Combined</t>
        </is>
      </c>
    </row>
    <row r="154">
      <c r="A154" t="n">
        <v>46</v>
      </c>
      <c r="B154" t="inlineStr">
        <is>
          <t>K3-6A</t>
        </is>
      </c>
      <c r="D154" t="n">
        <v>1.98</v>
      </c>
      <c r="E154" t="n">
        <v>3610.17</v>
      </c>
      <c r="F154" t="n">
        <v>5434.724</v>
      </c>
      <c r="G154" t="n">
        <v>942.446</v>
      </c>
      <c r="H154">
        <f>E154/F154</f>
        <v/>
      </c>
      <c r="I154">
        <f>((H154-$J$108)/$I$108)</f>
        <v/>
      </c>
      <c r="J154">
        <f>(I154-IF(I116&gt;0,I116,0))</f>
        <v/>
      </c>
      <c r="K154">
        <f>J154/R135*1.1</f>
        <v/>
      </c>
      <c r="L154">
        <f>AVERAGE(K154:K156)</f>
        <v/>
      </c>
      <c r="M154">
        <f>STDEV(K155:K156)</f>
        <v/>
      </c>
      <c r="N154">
        <f>_xlfn.CONCAT(ROUND(L154,1)," ± ",ROUND(M154,1))</f>
        <v/>
      </c>
    </row>
    <row r="155">
      <c r="A155" t="n">
        <v>47</v>
      </c>
      <c r="B155" t="inlineStr">
        <is>
          <t>K3-6B</t>
        </is>
      </c>
      <c r="D155" t="n">
        <v>1.92</v>
      </c>
      <c r="E155" t="n">
        <v>3400.503</v>
      </c>
      <c r="F155" t="n">
        <v>4320.222</v>
      </c>
      <c r="G155" t="n">
        <v>271.852</v>
      </c>
      <c r="H155">
        <f>E155/F155</f>
        <v/>
      </c>
      <c r="I155">
        <f>((H155-$J$108)/$I$108)</f>
        <v/>
      </c>
      <c r="J155">
        <f>(I155-IF(I116&gt;0,I116,0))</f>
        <v/>
      </c>
      <c r="K155">
        <f>J155/R136*1.1</f>
        <v/>
      </c>
    </row>
    <row r="156">
      <c r="A156" t="n">
        <v>48</v>
      </c>
      <c r="B156" t="inlineStr">
        <is>
          <t>K3-6C</t>
        </is>
      </c>
      <c r="D156" t="n">
        <v>1.91</v>
      </c>
      <c r="E156" t="n">
        <v>3980.31</v>
      </c>
      <c r="F156" t="n">
        <v>4778.471</v>
      </c>
      <c r="G156" t="n">
        <v>982.046</v>
      </c>
      <c r="H156">
        <f>E156/F156</f>
        <v/>
      </c>
      <c r="I156">
        <f>((H156-$J$108)/$I$108)</f>
        <v/>
      </c>
      <c r="J156">
        <f>(I156-IF(I116&gt;0,I116,0))</f>
        <v/>
      </c>
      <c r="K156">
        <f>J156/R137*1.1</f>
        <v/>
      </c>
      <c r="L156" s="23" t="n"/>
      <c r="M156" s="23" t="n"/>
      <c r="N156" s="9" t="n"/>
    </row>
    <row r="158">
      <c r="A158" s="15" t="inlineStr">
        <is>
          <t>Compound 4:  PFEtS 1</t>
        </is>
      </c>
      <c r="B158" s="15" t="n"/>
    </row>
    <row r="159">
      <c r="I159" t="inlineStr">
        <is>
          <t>LINEST</t>
        </is>
      </c>
      <c r="Q159" t="inlineStr">
        <is>
          <t>Biosolids Masses</t>
        </is>
      </c>
      <c r="R159" t="inlineStr">
        <is>
          <t>(g)</t>
        </is>
      </c>
    </row>
    <row r="160">
      <c r="B160" t="inlineStr">
        <is>
          <t>Sample Text</t>
        </is>
      </c>
      <c r="C160" t="inlineStr">
        <is>
          <t>Std. Conc</t>
        </is>
      </c>
      <c r="D160" t="inlineStr">
        <is>
          <t>RT</t>
        </is>
      </c>
      <c r="E160" t="inlineStr">
        <is>
          <t>Area</t>
        </is>
      </c>
      <c r="F160" t="inlineStr">
        <is>
          <t>IS Area</t>
        </is>
      </c>
      <c r="G160" t="inlineStr">
        <is>
          <t>S/N</t>
        </is>
      </c>
      <c r="H160" t="inlineStr">
        <is>
          <t>ratio</t>
        </is>
      </c>
      <c r="I160">
        <f t="array" ref="I160:J164">LINEST(H162:H168,C162:C168,1,1)</f>
        <v/>
      </c>
      <c r="J160" t="n">
        <v>-0.008144122196531156</v>
      </c>
      <c r="L160" s="20" t="inlineStr">
        <is>
          <t>By S/N Ratio</t>
        </is>
      </c>
      <c r="Q160" t="inlineStr">
        <is>
          <t>SS1</t>
        </is>
      </c>
      <c r="R160" t="n">
        <v>1.0846</v>
      </c>
    </row>
    <row r="161">
      <c r="A161" t="n">
        <v>1</v>
      </c>
      <c r="B161" t="inlineStr">
        <is>
          <t>EPA1633 &amp; diPAPs Calibration 0 ppb</t>
        </is>
      </c>
      <c r="C161" t="n">
        <v>0</v>
      </c>
      <c r="D161" t="n">
        <v>1.75</v>
      </c>
      <c r="E161" t="n">
        <v>11.451</v>
      </c>
      <c r="F161" t="n">
        <v>7551.013</v>
      </c>
      <c r="G161" t="n">
        <v>17.308</v>
      </c>
      <c r="H161">
        <f>E161/F161</f>
        <v/>
      </c>
      <c r="I161" t="n">
        <v>0.0005185872361859067</v>
      </c>
      <c r="J161" t="n">
        <v>0.0179844019822338</v>
      </c>
      <c r="K161" t="inlineStr">
        <is>
          <t>LOD</t>
        </is>
      </c>
      <c r="L161" s="21">
        <f>IF(G164&gt;3,C164,IF(G165&gt;3,C165,IF(G166&gt;3,C166,IF(G167&gt;3,C167,C168))))</f>
        <v/>
      </c>
      <c r="Q161" t="inlineStr">
        <is>
          <t>SS2</t>
        </is>
      </c>
      <c r="R161" t="n">
        <v>1.0726</v>
      </c>
    </row>
    <row r="162">
      <c r="A162" t="n">
        <v>2</v>
      </c>
      <c r="B162" t="inlineStr">
        <is>
          <t>EPA1633 &amp; diPAPs Calibration 0.02 ppb</t>
        </is>
      </c>
      <c r="C162" t="n">
        <v>0.08</v>
      </c>
      <c r="D162" t="n">
        <v>1.69</v>
      </c>
      <c r="E162" t="n">
        <v>68.432</v>
      </c>
      <c r="F162" t="n">
        <v>6696.725</v>
      </c>
      <c r="G162" t="n">
        <v>169.458</v>
      </c>
      <c r="H162">
        <f>E162/F162</f>
        <v/>
      </c>
      <c r="I162" t="n">
        <v>0.9962431615820421</v>
      </c>
      <c r="J162" t="n">
        <v>0.03800308847691007</v>
      </c>
      <c r="K162" t="inlineStr">
        <is>
          <t>LOQ</t>
        </is>
      </c>
      <c r="L162" s="22">
        <f>IF(G164&gt;10,C164,IF(G165&gt;10,C165,IF(G166&gt;10,C166,IF(G167&gt;10,C167,C168))))</f>
        <v/>
      </c>
      <c r="Q162" t="inlineStr">
        <is>
          <t>SS3</t>
        </is>
      </c>
      <c r="R162" t="n">
        <v>1.1534</v>
      </c>
    </row>
    <row r="163">
      <c r="A163" t="n">
        <v>3</v>
      </c>
      <c r="B163" t="inlineStr">
        <is>
          <t>EPA1633 &amp; diPAPs Calibration 0.1 ppb</t>
        </is>
      </c>
      <c r="C163" t="n">
        <v>0.4</v>
      </c>
      <c r="D163" t="n">
        <v>1.63</v>
      </c>
      <c r="E163" t="n">
        <v>75.68300000000001</v>
      </c>
      <c r="F163" t="n">
        <v>7209.583</v>
      </c>
      <c r="G163" t="n">
        <v>40.199</v>
      </c>
      <c r="H163">
        <f>E163/F163</f>
        <v/>
      </c>
      <c r="I163" t="n">
        <v>1325.906321682494</v>
      </c>
      <c r="J163" t="n">
        <v>5</v>
      </c>
      <c r="Q163" t="inlineStr">
        <is>
          <t>K4-1A</t>
        </is>
      </c>
      <c r="R163" t="n">
        <v>1.0267</v>
      </c>
    </row>
    <row r="164">
      <c r="A164" t="n">
        <v>4</v>
      </c>
      <c r="B164" t="inlineStr">
        <is>
          <t>EPA1633 &amp; diPAPs Calibration 0.4 ppb</t>
        </is>
      </c>
      <c r="C164" t="n">
        <v>1.6</v>
      </c>
      <c r="D164" t="n">
        <v>1.69</v>
      </c>
      <c r="E164" t="n">
        <v>248.756</v>
      </c>
      <c r="F164" t="n">
        <v>7013.762</v>
      </c>
      <c r="G164" t="n">
        <v>67.477</v>
      </c>
      <c r="H164">
        <f>E164/F164</f>
        <v/>
      </c>
      <c r="I164" t="n">
        <v>1.914919963517447</v>
      </c>
      <c r="J164" t="n">
        <v>0.007221173668919274</v>
      </c>
      <c r="Q164" t="inlineStr">
        <is>
          <t>K4-1B</t>
        </is>
      </c>
      <c r="R164" t="n">
        <v>1.1481</v>
      </c>
    </row>
    <row r="165">
      <c r="A165" t="n">
        <v>5</v>
      </c>
      <c r="B165" t="inlineStr">
        <is>
          <t>EPA1633 &amp; diPAPs Calibration 1 ppb</t>
        </is>
      </c>
      <c r="C165" t="n">
        <v>4</v>
      </c>
      <c r="D165" t="n">
        <v>1.67</v>
      </c>
      <c r="E165" t="n">
        <v>455.474</v>
      </c>
      <c r="F165" t="n">
        <v>8048.652</v>
      </c>
      <c r="G165" t="n">
        <v>30.235</v>
      </c>
      <c r="H165">
        <f>E165/F165</f>
        <v/>
      </c>
      <c r="Q165" t="inlineStr">
        <is>
          <t>K4-1C</t>
        </is>
      </c>
      <c r="R165" t="n">
        <v>1.0402</v>
      </c>
    </row>
    <row r="166">
      <c r="A166" t="n">
        <v>6</v>
      </c>
      <c r="B166" t="inlineStr">
        <is>
          <t>EPA1633 &amp; diPAPs Calibration 5 ppb</t>
        </is>
      </c>
      <c r="C166" t="n">
        <v>20</v>
      </c>
      <c r="D166" t="n">
        <v>1.62</v>
      </c>
      <c r="E166" t="n">
        <v>2167.931</v>
      </c>
      <c r="F166" t="n">
        <v>7211.955</v>
      </c>
      <c r="G166" t="n">
        <v>943.947</v>
      </c>
      <c r="H166">
        <f>E166/F166</f>
        <v/>
      </c>
      <c r="Q166" t="inlineStr">
        <is>
          <t>K4-2A</t>
        </is>
      </c>
      <c r="R166" t="n">
        <v>1.127</v>
      </c>
    </row>
    <row r="167">
      <c r="A167" t="n">
        <v>7</v>
      </c>
      <c r="B167" t="inlineStr">
        <is>
          <t>EPA1633 &amp; diPAPs Calibration 10 ppb</t>
        </is>
      </c>
      <c r="C167" t="n">
        <v>40</v>
      </c>
      <c r="D167" t="n">
        <v>1.65</v>
      </c>
      <c r="E167" t="n">
        <v>4487.48</v>
      </c>
      <c r="F167" t="n">
        <v>5686.902</v>
      </c>
      <c r="G167" t="n">
        <v>12825.314</v>
      </c>
      <c r="H167">
        <f>E167/F167</f>
        <v/>
      </c>
      <c r="I167" s="23" t="inlineStr">
        <is>
          <t>Background</t>
        </is>
      </c>
      <c r="J167" s="23" t="inlineStr">
        <is>
          <t>Spike</t>
        </is>
      </c>
      <c r="K167" s="9" t="inlineStr">
        <is>
          <t>Old Spike</t>
        </is>
      </c>
      <c r="O167" s="24" t="inlineStr">
        <is>
          <t>±</t>
        </is>
      </c>
      <c r="Q167" t="inlineStr">
        <is>
          <t>K4-2B</t>
        </is>
      </c>
      <c r="R167" t="n">
        <v>1.1154</v>
      </c>
    </row>
    <row r="168">
      <c r="A168" t="n">
        <v>8</v>
      </c>
      <c r="B168" t="inlineStr">
        <is>
          <t>EPA1633 &amp; diPAPs Calibration 20 ppb</t>
        </is>
      </c>
      <c r="C168" t="n">
        <v>80</v>
      </c>
      <c r="D168" t="n">
        <v>1.66</v>
      </c>
      <c r="E168" t="n">
        <v>9262.474</v>
      </c>
      <c r="F168" t="n">
        <v>6179.103</v>
      </c>
      <c r="G168" t="n">
        <v>9590.044</v>
      </c>
      <c r="H168">
        <f>E168/F168</f>
        <v/>
      </c>
      <c r="I168">
        <f>AVERAGE(I171:I173)</f>
        <v/>
      </c>
      <c r="J168" t="n">
        <v>44</v>
      </c>
      <c r="Q168" t="inlineStr">
        <is>
          <t>K4-2C</t>
        </is>
      </c>
      <c r="R168" t="n">
        <v>1.1711</v>
      </c>
    </row>
    <row r="169">
      <c r="A169" t="n">
        <v>9</v>
      </c>
      <c r="B169" t="inlineStr">
        <is>
          <t>MeOH</t>
        </is>
      </c>
      <c r="D169" t="n">
        <v>1.62</v>
      </c>
      <c r="E169" t="n">
        <v>6.81</v>
      </c>
      <c r="G169" t="n">
        <v>37</v>
      </c>
      <c r="I169" s="23" t="inlineStr">
        <is>
          <t>Conc.In Vial (ppb)</t>
        </is>
      </c>
      <c r="J169" s="9" t="inlineStr">
        <is>
          <t>Corr. Conc.(ppb)</t>
        </is>
      </c>
      <c r="K169" s="9" t="inlineStr">
        <is>
          <t>Conc. In soil (ng/g)</t>
        </is>
      </c>
      <c r="Q169" t="inlineStr">
        <is>
          <t>K4-4A</t>
        </is>
      </c>
      <c r="R169" t="n">
        <v>1.0932</v>
      </c>
    </row>
    <row r="170">
      <c r="A170" t="n">
        <v>10</v>
      </c>
      <c r="B170" t="inlineStr">
        <is>
          <t>MeOH</t>
        </is>
      </c>
      <c r="D170" t="n">
        <v>1.61</v>
      </c>
      <c r="E170" t="n">
        <v>5.359</v>
      </c>
      <c r="G170" t="n">
        <v>6.537</v>
      </c>
      <c r="L170" s="23" t="inlineStr">
        <is>
          <t>Average</t>
        </is>
      </c>
      <c r="M170" s="23" t="inlineStr">
        <is>
          <t>Stdev</t>
        </is>
      </c>
      <c r="N170" s="9" t="inlineStr">
        <is>
          <t>Combined</t>
        </is>
      </c>
      <c r="O170" s="9" t="n"/>
      <c r="P170" s="9" t="n"/>
      <c r="Q170" t="inlineStr">
        <is>
          <t>K4-4B</t>
        </is>
      </c>
      <c r="R170" t="n">
        <v>1.15</v>
      </c>
    </row>
    <row r="171">
      <c r="A171" t="n">
        <v>11</v>
      </c>
      <c r="B171" t="inlineStr">
        <is>
          <t>SB1</t>
        </is>
      </c>
      <c r="D171" t="n">
        <v>2.11</v>
      </c>
      <c r="E171" t="n">
        <v>14.951</v>
      </c>
      <c r="F171" t="n">
        <v>3649.542</v>
      </c>
      <c r="G171" t="n">
        <v>166</v>
      </c>
      <c r="H171">
        <f>E171/F171</f>
        <v/>
      </c>
      <c r="I171">
        <f>((H171-$J$160)/$I$160)</f>
        <v/>
      </c>
      <c r="J171">
        <f>(I171-IF(I168&gt;0,I168,0))</f>
        <v/>
      </c>
      <c r="K171">
        <f>J171*1.1</f>
        <v/>
      </c>
      <c r="L171">
        <f>AVERAGE(K171:K173)</f>
        <v/>
      </c>
      <c r="M171">
        <f>STDEV(K172:K173)</f>
        <v/>
      </c>
      <c r="N171">
        <f>_xlfn.CONCAT(ROUND(L171,1)," ± ",ROUND(M171,1))</f>
        <v/>
      </c>
      <c r="Q171" t="inlineStr">
        <is>
          <t>K4-4C</t>
        </is>
      </c>
      <c r="R171" t="n">
        <v>1.0482</v>
      </c>
    </row>
    <row r="172">
      <c r="A172" t="n">
        <v>12</v>
      </c>
      <c r="B172" t="inlineStr">
        <is>
          <t>SB2</t>
        </is>
      </c>
      <c r="D172" t="n">
        <v>2.1</v>
      </c>
      <c r="E172" t="n">
        <v>0.498</v>
      </c>
      <c r="F172" t="n">
        <v>3370.738</v>
      </c>
      <c r="G172" t="n">
        <v>5</v>
      </c>
      <c r="H172">
        <f>E172/F172</f>
        <v/>
      </c>
      <c r="I172">
        <f>((H172-$J$160)/$I$160)</f>
        <v/>
      </c>
      <c r="J172">
        <f>(I172-IF(I168&gt;0,I168,0))</f>
        <v/>
      </c>
      <c r="K172">
        <f>J172*1.1</f>
        <v/>
      </c>
      <c r="Q172" t="inlineStr">
        <is>
          <t>K4-5A</t>
        </is>
      </c>
      <c r="R172" t="n">
        <v>1.1054</v>
      </c>
    </row>
    <row r="173">
      <c r="A173" t="n">
        <v>13</v>
      </c>
      <c r="B173" t="inlineStr">
        <is>
          <t>SB3</t>
        </is>
      </c>
      <c r="D173" t="n">
        <v>2.09</v>
      </c>
      <c r="E173" t="n">
        <v>1.418</v>
      </c>
      <c r="F173" t="n">
        <v>3095.617</v>
      </c>
      <c r="G173" t="n">
        <v>18</v>
      </c>
      <c r="H173">
        <f>E173/F173</f>
        <v/>
      </c>
      <c r="I173">
        <f>((H173-$J$160)/$I$160)</f>
        <v/>
      </c>
      <c r="J173">
        <f>(I173-IF(I168&gt;0,I168,0))</f>
        <v/>
      </c>
      <c r="K173" s="30">
        <f>J173*1.1</f>
        <v/>
      </c>
      <c r="L173" s="25" t="inlineStr">
        <is>
          <t>Average</t>
        </is>
      </c>
      <c r="M173" s="25" t="inlineStr">
        <is>
          <t>Stdev</t>
        </is>
      </c>
      <c r="N173" s="26" t="inlineStr">
        <is>
          <t>%Recovery</t>
        </is>
      </c>
      <c r="O173" s="26" t="inlineStr">
        <is>
          <t>Uncertainty</t>
        </is>
      </c>
      <c r="P173" s="26" t="inlineStr">
        <is>
          <t>Combined</t>
        </is>
      </c>
      <c r="Q173" t="inlineStr">
        <is>
          <t>K4-5B</t>
        </is>
      </c>
      <c r="R173" s="10" t="n">
        <v>1.0463</v>
      </c>
    </row>
    <row r="174">
      <c r="A174" t="n">
        <v>14</v>
      </c>
      <c r="B174" t="inlineStr">
        <is>
          <t>SS1</t>
        </is>
      </c>
      <c r="D174" t="n">
        <v>2.1</v>
      </c>
      <c r="E174" t="n">
        <v>2409.753</v>
      </c>
      <c r="F174" t="n">
        <v>3493.816</v>
      </c>
      <c r="G174" t="n">
        <v>4842.57</v>
      </c>
      <c r="H174">
        <f>E174/F174</f>
        <v/>
      </c>
      <c r="I174">
        <f>((H174-$J$160)/$I$160)</f>
        <v/>
      </c>
      <c r="J174">
        <f>(I174-IF(I168&gt;0,I168,0))</f>
        <v/>
      </c>
      <c r="K174">
        <f>J174/R160*1.1</f>
        <v/>
      </c>
      <c r="L174" s="27">
        <f>AVERAGE(K174:K176)</f>
        <v/>
      </c>
      <c r="M174" s="27">
        <f>STDEV(K174:K176)</f>
        <v/>
      </c>
      <c r="N174" s="28">
        <f>L174/J168*100</f>
        <v/>
      </c>
      <c r="O174" s="29">
        <f>M174/J171*100</f>
        <v/>
      </c>
      <c r="P174" s="29">
        <f>_xlfn.CONCAT(ROUND(N174,1)," ± ",ROUND(O174,1))</f>
        <v/>
      </c>
      <c r="Q174" t="inlineStr">
        <is>
          <t>K4-5C</t>
        </is>
      </c>
      <c r="R174" t="n">
        <v>1.1155</v>
      </c>
    </row>
    <row r="175">
      <c r="A175" t="n">
        <v>15</v>
      </c>
      <c r="B175" t="inlineStr">
        <is>
          <t>SS2</t>
        </is>
      </c>
      <c r="D175" t="n">
        <v>2.14</v>
      </c>
      <c r="E175" t="n">
        <v>2461.133</v>
      </c>
      <c r="F175" t="n">
        <v>3699.493</v>
      </c>
      <c r="G175" t="n">
        <v>1104.73</v>
      </c>
      <c r="H175">
        <f>E175/F175</f>
        <v/>
      </c>
      <c r="I175">
        <f>((H175-$J$160)/$I$160)</f>
        <v/>
      </c>
      <c r="J175">
        <f>(I175-IF(I168&gt;0,I168,0))</f>
        <v/>
      </c>
      <c r="K175">
        <f>J175/R161*1.1</f>
        <v/>
      </c>
      <c r="Q175" t="inlineStr">
        <is>
          <t>K3-1A</t>
        </is>
      </c>
      <c r="R175" t="n">
        <v>1.0874</v>
      </c>
    </row>
    <row r="176">
      <c r="A176" t="n">
        <v>16</v>
      </c>
      <c r="B176" t="inlineStr">
        <is>
          <t>SS3</t>
        </is>
      </c>
      <c r="D176" t="n">
        <v>2.11</v>
      </c>
      <c r="E176" t="n">
        <v>2407.323</v>
      </c>
      <c r="F176" t="n">
        <v>3352.055</v>
      </c>
      <c r="G176" t="n">
        <v>3253.204</v>
      </c>
      <c r="H176">
        <f>E176/F176</f>
        <v/>
      </c>
      <c r="I176">
        <f>((H176-$J$160)/$I$160)</f>
        <v/>
      </c>
      <c r="J176">
        <f>(I176-IF(I168&gt;0,I168,0))</f>
        <v/>
      </c>
      <c r="K176" s="30">
        <f>J176/R162*1.1</f>
        <v/>
      </c>
      <c r="Q176" t="inlineStr">
        <is>
          <t>K3-1B</t>
        </is>
      </c>
      <c r="R176" t="n">
        <v>1.0898</v>
      </c>
    </row>
    <row r="177">
      <c r="A177" t="n">
        <v>17</v>
      </c>
      <c r="B177" t="inlineStr">
        <is>
          <t>MeOH</t>
        </is>
      </c>
      <c r="L177" s="23" t="inlineStr">
        <is>
          <t>Average</t>
        </is>
      </c>
      <c r="M177" s="23" t="inlineStr">
        <is>
          <t>Stdev</t>
        </is>
      </c>
      <c r="N177" s="9" t="inlineStr">
        <is>
          <t>Combined</t>
        </is>
      </c>
      <c r="Q177" t="inlineStr">
        <is>
          <t>K3-1C</t>
        </is>
      </c>
      <c r="R177" t="n">
        <v>1.0536</v>
      </c>
    </row>
    <row r="178">
      <c r="A178" t="n">
        <v>18</v>
      </c>
      <c r="B178" t="inlineStr">
        <is>
          <t>K4-1A</t>
        </is>
      </c>
      <c r="D178" t="n">
        <v>1.78</v>
      </c>
      <c r="E178" t="n">
        <v>5.586</v>
      </c>
      <c r="F178" t="n">
        <v>3889.819</v>
      </c>
      <c r="G178" t="n">
        <v>25.762</v>
      </c>
      <c r="H178">
        <f>E178/F178</f>
        <v/>
      </c>
      <c r="I178">
        <f>((H178-$J$160)/$I$160)</f>
        <v/>
      </c>
      <c r="J178">
        <f>(I178-IF(I168&gt;0,I168,0))</f>
        <v/>
      </c>
      <c r="K178">
        <f>J178/R163*1.1</f>
        <v/>
      </c>
      <c r="L178">
        <f>AVERAGE(K178:K180)</f>
        <v/>
      </c>
      <c r="M178">
        <f>STDEV(K179:K180)</f>
        <v/>
      </c>
      <c r="N178">
        <f>_xlfn.CONCAT(ROUND(L178,1)," ± ",ROUND(M178,1))</f>
        <v/>
      </c>
      <c r="Q178" t="inlineStr">
        <is>
          <t>K3-2A</t>
        </is>
      </c>
      <c r="R178" s="10" t="n">
        <v>1.1218</v>
      </c>
    </row>
    <row r="179">
      <c r="A179" t="n">
        <v>19</v>
      </c>
      <c r="B179" t="inlineStr">
        <is>
          <t>K4-1B</t>
        </is>
      </c>
      <c r="D179" t="n">
        <v>1.65</v>
      </c>
      <c r="E179" t="n">
        <v>10.421</v>
      </c>
      <c r="F179" t="n">
        <v>3657.858</v>
      </c>
      <c r="G179" t="n">
        <v>47.479</v>
      </c>
      <c r="H179">
        <f>E179/F179</f>
        <v/>
      </c>
      <c r="I179">
        <f>((H179-$J$160)/$I$160)</f>
        <v/>
      </c>
      <c r="J179">
        <f>(I179-IF(I168&gt;0,I168,0))</f>
        <v/>
      </c>
      <c r="K179">
        <f>J179/R164*1.1</f>
        <v/>
      </c>
      <c r="Q179" t="inlineStr">
        <is>
          <t>K3-2B</t>
        </is>
      </c>
      <c r="R179" t="n">
        <v>1.198</v>
      </c>
    </row>
    <row r="180">
      <c r="A180" t="n">
        <v>20</v>
      </c>
      <c r="B180" t="inlineStr">
        <is>
          <t>K4-1C</t>
        </is>
      </c>
      <c r="D180" t="n">
        <v>1.75</v>
      </c>
      <c r="E180" t="n">
        <v>6.111</v>
      </c>
      <c r="F180" t="n">
        <v>3596.392</v>
      </c>
      <c r="G180" t="n">
        <v>3.435</v>
      </c>
      <c r="H180">
        <f>E180/F180</f>
        <v/>
      </c>
      <c r="I180">
        <f>((H180-$J$160)/$I$160)</f>
        <v/>
      </c>
      <c r="J180">
        <f>(I180-IF(I168&gt;0,I168,0))</f>
        <v/>
      </c>
      <c r="K180">
        <f>J180/R165*1.1</f>
        <v/>
      </c>
      <c r="L180" s="23" t="inlineStr">
        <is>
          <t>Average</t>
        </is>
      </c>
      <c r="M180" s="23" t="inlineStr">
        <is>
          <t>Stdev</t>
        </is>
      </c>
      <c r="N180" s="9" t="inlineStr">
        <is>
          <t>Combined</t>
        </is>
      </c>
      <c r="Q180" t="inlineStr">
        <is>
          <t>K3-2C</t>
        </is>
      </c>
      <c r="R180" t="n">
        <v>1.1538</v>
      </c>
    </row>
    <row r="181">
      <c r="A181" t="n">
        <v>21</v>
      </c>
      <c r="B181" t="inlineStr">
        <is>
          <t>K4-2A</t>
        </is>
      </c>
      <c r="D181" t="n">
        <v>1.75</v>
      </c>
      <c r="E181" t="n">
        <v>2.76</v>
      </c>
      <c r="F181" t="n">
        <v>3827.847</v>
      </c>
      <c r="G181" t="n">
        <v>1.926</v>
      </c>
      <c r="H181">
        <f>E181/F181</f>
        <v/>
      </c>
      <c r="I181">
        <f>((H181-$J$160)/$I$160)</f>
        <v/>
      </c>
      <c r="J181">
        <f>(I181-IF(I168&gt;0,I168,0))</f>
        <v/>
      </c>
      <c r="K181">
        <f>J181/R166*1.1</f>
        <v/>
      </c>
      <c r="L181">
        <f>AVERAGE(K181:K183)</f>
        <v/>
      </c>
      <c r="M181">
        <f>STDEV(K181:K183)</f>
        <v/>
      </c>
      <c r="N181">
        <f>_xlfn.CONCAT(ROUND(L181,1)," ± ",ROUND(M181,1))</f>
        <v/>
      </c>
      <c r="Q181" t="inlineStr">
        <is>
          <t>K3-3A</t>
        </is>
      </c>
      <c r="R181" t="n">
        <v>1.1183</v>
      </c>
    </row>
    <row r="182">
      <c r="A182" t="n">
        <v>22</v>
      </c>
      <c r="B182" t="inlineStr">
        <is>
          <t>K4-2B</t>
        </is>
      </c>
      <c r="D182" t="n">
        <v>1.75</v>
      </c>
      <c r="E182" t="n">
        <v>1.21</v>
      </c>
      <c r="F182" t="n">
        <v>3623.222</v>
      </c>
      <c r="G182" t="n">
        <v>2.097</v>
      </c>
      <c r="H182">
        <f>E182/F182</f>
        <v/>
      </c>
      <c r="I182">
        <f>((H182-$J$160)/$I$160)</f>
        <v/>
      </c>
      <c r="J182">
        <f>(I182-IF(I168&gt;0,I168,0))</f>
        <v/>
      </c>
      <c r="K182">
        <f>J182/R167*1.1</f>
        <v/>
      </c>
      <c r="Q182" t="inlineStr">
        <is>
          <t>K3-3B</t>
        </is>
      </c>
      <c r="R182" t="n">
        <v>1.1448</v>
      </c>
    </row>
    <row r="183">
      <c r="A183" t="n">
        <v>23</v>
      </c>
      <c r="B183" t="inlineStr">
        <is>
          <t>K4-2C</t>
        </is>
      </c>
      <c r="D183" t="n">
        <v>1.72</v>
      </c>
      <c r="E183" t="n">
        <v>4.49</v>
      </c>
      <c r="F183" t="n">
        <v>3093.041</v>
      </c>
      <c r="G183" t="n">
        <v>28</v>
      </c>
      <c r="H183">
        <f>E183/F183</f>
        <v/>
      </c>
      <c r="I183">
        <f>((H183-$J$160)/$I$160)</f>
        <v/>
      </c>
      <c r="J183">
        <f>(I183-IF(I168&gt;0,I168,0))</f>
        <v/>
      </c>
      <c r="K183">
        <f>J183/R168*1.1</f>
        <v/>
      </c>
      <c r="L183" s="23" t="n"/>
      <c r="M183" s="23" t="n"/>
      <c r="N183" s="9" t="n"/>
      <c r="Q183" t="inlineStr">
        <is>
          <t>K3-3C</t>
        </is>
      </c>
      <c r="R183" t="n">
        <v>1.0493</v>
      </c>
    </row>
    <row r="184">
      <c r="A184" t="n">
        <v>24</v>
      </c>
      <c r="B184" t="inlineStr">
        <is>
          <t>MeOH</t>
        </is>
      </c>
      <c r="L184" s="23" t="inlineStr">
        <is>
          <t>Average</t>
        </is>
      </c>
      <c r="M184" s="23" t="inlineStr">
        <is>
          <t>Stdev</t>
        </is>
      </c>
      <c r="N184" s="9" t="inlineStr">
        <is>
          <t>Combined</t>
        </is>
      </c>
      <c r="Q184" t="inlineStr">
        <is>
          <t>K3-4A</t>
        </is>
      </c>
      <c r="R184" t="n">
        <v>1.0704</v>
      </c>
    </row>
    <row r="185">
      <c r="A185" t="n">
        <v>25</v>
      </c>
      <c r="B185" t="inlineStr">
        <is>
          <t>K4-4A</t>
        </is>
      </c>
      <c r="D185" t="n">
        <v>1.73</v>
      </c>
      <c r="E185" t="n">
        <v>3.211</v>
      </c>
      <c r="F185" t="n">
        <v>3907.045</v>
      </c>
      <c r="G185" t="n">
        <v>26</v>
      </c>
      <c r="H185">
        <f>E185/F185</f>
        <v/>
      </c>
      <c r="I185">
        <f>((H185-$J$160)/$I$160)</f>
        <v/>
      </c>
      <c r="J185">
        <f>(I185-IF(I168&gt;0,I168,0))</f>
        <v/>
      </c>
      <c r="K185">
        <f>J185/R169*1.1</f>
        <v/>
      </c>
      <c r="L185">
        <f>AVERAGE(K185:K187)</f>
        <v/>
      </c>
      <c r="M185">
        <f>STDEV(K186:K187)</f>
        <v/>
      </c>
      <c r="N185">
        <f>_xlfn.CONCAT(ROUND(L185,1)," ± ",ROUND(M185,1))</f>
        <v/>
      </c>
      <c r="Q185" t="inlineStr">
        <is>
          <t>K3-4B</t>
        </is>
      </c>
      <c r="R185" t="n">
        <v>1.1589</v>
      </c>
    </row>
    <row r="186">
      <c r="A186" t="n">
        <v>26</v>
      </c>
      <c r="B186" t="inlineStr">
        <is>
          <t>K4-4B</t>
        </is>
      </c>
      <c r="D186" t="n">
        <v>1.77</v>
      </c>
      <c r="E186" t="n">
        <v>9.965999999999999</v>
      </c>
      <c r="F186" t="n">
        <v>3594.542</v>
      </c>
      <c r="G186" t="n">
        <v>61.408</v>
      </c>
      <c r="H186">
        <f>E186/F186</f>
        <v/>
      </c>
      <c r="I186">
        <f>((H186-$J$160)/$I$160)</f>
        <v/>
      </c>
      <c r="J186">
        <f>(I186-IF(I168&gt;0,I168,0))</f>
        <v/>
      </c>
      <c r="K186">
        <f>J186/R170*1.1</f>
        <v/>
      </c>
      <c r="Q186" t="inlineStr">
        <is>
          <t>K3-4C</t>
        </is>
      </c>
      <c r="R186" t="n">
        <v>1.0206</v>
      </c>
    </row>
    <row r="187">
      <c r="A187" t="n">
        <v>27</v>
      </c>
      <c r="B187" t="inlineStr">
        <is>
          <t>K4-4C</t>
        </is>
      </c>
      <c r="D187" t="n">
        <v>1.76</v>
      </c>
      <c r="E187" t="n">
        <v>13.692</v>
      </c>
      <c r="F187" t="n">
        <v>3586.092</v>
      </c>
      <c r="G187" t="n">
        <v>2.708</v>
      </c>
      <c r="H187">
        <f>E187/F187</f>
        <v/>
      </c>
      <c r="I187">
        <f>((H187-$J$160)/$I$160)</f>
        <v/>
      </c>
      <c r="J187">
        <f>(I187-IF(I168&gt;0,I168,0))</f>
        <v/>
      </c>
      <c r="K187">
        <f>J187/R171*1.1</f>
        <v/>
      </c>
      <c r="L187" s="23" t="inlineStr">
        <is>
          <t>Average</t>
        </is>
      </c>
      <c r="M187" s="23" t="inlineStr">
        <is>
          <t>Stdev</t>
        </is>
      </c>
      <c r="N187" s="9" t="inlineStr">
        <is>
          <t>Combined</t>
        </is>
      </c>
      <c r="Q187" t="inlineStr">
        <is>
          <t>K3-6A</t>
        </is>
      </c>
      <c r="R187" t="n">
        <v>1.1289</v>
      </c>
    </row>
    <row r="188">
      <c r="A188" t="n">
        <v>28</v>
      </c>
      <c r="B188" t="inlineStr">
        <is>
          <t>K4-5A</t>
        </is>
      </c>
      <c r="D188" t="n">
        <v>1.71</v>
      </c>
      <c r="E188" t="n">
        <v>1.797</v>
      </c>
      <c r="F188" t="n">
        <v>3387.509</v>
      </c>
      <c r="G188" t="n">
        <v>20</v>
      </c>
      <c r="H188">
        <f>E188/F188</f>
        <v/>
      </c>
      <c r="I188">
        <f>((H188-$J$160)/$I$160)</f>
        <v/>
      </c>
      <c r="J188">
        <f>(I188-IF(I168&gt;0,I168,0))</f>
        <v/>
      </c>
      <c r="K188">
        <f>J188/R172*1.1</f>
        <v/>
      </c>
      <c r="L188">
        <f>AVERAGE(K188:K190)</f>
        <v/>
      </c>
      <c r="M188">
        <f>STDEV(K188:K190)</f>
        <v/>
      </c>
      <c r="N188">
        <f>_xlfn.CONCAT(ROUND(L188,1)," ± ",ROUND(M188,1))</f>
        <v/>
      </c>
      <c r="Q188" t="inlineStr">
        <is>
          <t>K3-6B</t>
        </is>
      </c>
      <c r="R188" t="n">
        <v>1.195</v>
      </c>
    </row>
    <row r="189">
      <c r="A189" t="n">
        <v>29</v>
      </c>
      <c r="B189" t="inlineStr">
        <is>
          <t>K4-5B</t>
        </is>
      </c>
      <c r="D189" t="n">
        <v>1.73</v>
      </c>
      <c r="E189" t="n">
        <v>1.983</v>
      </c>
      <c r="F189" t="n">
        <v>3401.243</v>
      </c>
      <c r="G189" t="n">
        <v>23</v>
      </c>
      <c r="H189">
        <f>E189/F189</f>
        <v/>
      </c>
      <c r="I189">
        <f>((H189-$J$160)/$I$160)</f>
        <v/>
      </c>
      <c r="J189">
        <f>(I189-IF(I168&gt;0,I168,0))</f>
        <v/>
      </c>
      <c r="K189">
        <f>J189/R173*1.1</f>
        <v/>
      </c>
      <c r="Q189" t="inlineStr">
        <is>
          <t>K3-6C</t>
        </is>
      </c>
      <c r="R189" t="n">
        <v>1.1716</v>
      </c>
    </row>
    <row r="190">
      <c r="A190" t="n">
        <v>30</v>
      </c>
      <c r="B190" t="inlineStr">
        <is>
          <t>K4-5C</t>
        </is>
      </c>
      <c r="D190" t="n">
        <v>1.34</v>
      </c>
      <c r="E190" t="n">
        <v>1.731</v>
      </c>
      <c r="F190" t="n">
        <v>3767.266</v>
      </c>
      <c r="G190" t="n">
        <v>3.333</v>
      </c>
      <c r="H190">
        <f>E190/F190</f>
        <v/>
      </c>
      <c r="I190">
        <f>((H190-$J$160)/$I$160)</f>
        <v/>
      </c>
      <c r="J190">
        <f>(I190-IF(I168&gt;0,I168,0))</f>
        <v/>
      </c>
      <c r="K190">
        <f>J190/R174*1.1</f>
        <v/>
      </c>
      <c r="L190" s="23" t="n"/>
      <c r="M190" s="23" t="n"/>
      <c r="N190" s="9" t="n"/>
    </row>
    <row r="191">
      <c r="A191" t="n">
        <v>31</v>
      </c>
      <c r="B191" t="inlineStr">
        <is>
          <t>MeOH</t>
        </is>
      </c>
      <c r="L191" s="23" t="inlineStr">
        <is>
          <t>Average</t>
        </is>
      </c>
      <c r="M191" s="23" t="inlineStr">
        <is>
          <t>Stdev</t>
        </is>
      </c>
      <c r="N191" s="9" t="inlineStr">
        <is>
          <t>Combined</t>
        </is>
      </c>
    </row>
    <row r="192">
      <c r="A192" t="n">
        <v>32</v>
      </c>
      <c r="B192" t="inlineStr">
        <is>
          <t>K3-1A</t>
        </is>
      </c>
      <c r="D192" t="n">
        <v>1.69</v>
      </c>
      <c r="E192" t="n">
        <v>2.535</v>
      </c>
      <c r="F192" t="n">
        <v>3791.804</v>
      </c>
      <c r="G192" t="n">
        <v>3.98</v>
      </c>
      <c r="H192">
        <f>E192/F192</f>
        <v/>
      </c>
      <c r="I192">
        <f>((H192-$J$160)/$I$160)</f>
        <v/>
      </c>
      <c r="J192">
        <f>(I192-IF(I168&gt;0,I168,0))</f>
        <v/>
      </c>
      <c r="K192">
        <f>J192/R175*1.1</f>
        <v/>
      </c>
      <c r="L192">
        <f>AVERAGE(K192:K194)</f>
        <v/>
      </c>
      <c r="M192">
        <f>STDEV(K193:K194)</f>
        <v/>
      </c>
      <c r="N192">
        <f>_xlfn.CONCAT(ROUND(L192,1)," ± ",ROUND(M192,1))</f>
        <v/>
      </c>
    </row>
    <row r="193">
      <c r="A193" t="n">
        <v>33</v>
      </c>
      <c r="B193" t="inlineStr">
        <is>
          <t>K3-1B</t>
        </is>
      </c>
      <c r="D193" t="n">
        <v>2.23</v>
      </c>
      <c r="E193" t="n">
        <v>1.672</v>
      </c>
      <c r="F193" t="n">
        <v>3719.279</v>
      </c>
      <c r="G193" t="n">
        <v>6.995</v>
      </c>
      <c r="H193">
        <f>E193/F193</f>
        <v/>
      </c>
      <c r="I193">
        <f>((H193-$J$160)/$I$160)</f>
        <v/>
      </c>
      <c r="J193">
        <f>(I193-IF(I168&gt;0,I168,0))</f>
        <v/>
      </c>
      <c r="K193">
        <f>J193/R176*1.1</f>
        <v/>
      </c>
    </row>
    <row r="194">
      <c r="A194" t="n">
        <v>34</v>
      </c>
      <c r="B194" t="inlineStr">
        <is>
          <t>K3-1C</t>
        </is>
      </c>
      <c r="D194" t="n">
        <v>1.82</v>
      </c>
      <c r="E194" t="n">
        <v>1.37</v>
      </c>
      <c r="F194" t="n">
        <v>4814.875</v>
      </c>
      <c r="G194" t="n">
        <v>2.669</v>
      </c>
      <c r="H194">
        <f>E194/F194</f>
        <v/>
      </c>
      <c r="I194">
        <f>((H194-$J$160)/$I$160)</f>
        <v/>
      </c>
      <c r="J194">
        <f>(I194-IF(I168&gt;0,I168,0))</f>
        <v/>
      </c>
      <c r="K194">
        <f>J194/R177*1.1</f>
        <v/>
      </c>
      <c r="L194" s="23" t="inlineStr">
        <is>
          <t>Average</t>
        </is>
      </c>
      <c r="M194" s="23" t="inlineStr">
        <is>
          <t>Stdev</t>
        </is>
      </c>
      <c r="N194" s="9" t="inlineStr">
        <is>
          <t>Combined</t>
        </is>
      </c>
    </row>
    <row r="195">
      <c r="A195" t="n">
        <v>35</v>
      </c>
      <c r="B195" t="inlineStr">
        <is>
          <t>K3-2A</t>
        </is>
      </c>
      <c r="D195" t="n">
        <v>1.85</v>
      </c>
      <c r="E195" t="n">
        <v>3.484</v>
      </c>
      <c r="F195" t="n">
        <v>4565.734</v>
      </c>
      <c r="G195" t="n">
        <v>3.909</v>
      </c>
      <c r="H195">
        <f>E195/F195</f>
        <v/>
      </c>
      <c r="I195">
        <f>((H195-$J$160)/$I$160)</f>
        <v/>
      </c>
      <c r="J195">
        <f>(I195-IF(I168&gt;0,I168,0))</f>
        <v/>
      </c>
      <c r="K195">
        <f>J195/R178*1.1</f>
        <v/>
      </c>
      <c r="L195">
        <f>AVERAGE(K195:K197)</f>
        <v/>
      </c>
      <c r="M195">
        <f>STDEV(K195:K197)</f>
        <v/>
      </c>
      <c r="N195">
        <f>_xlfn.CONCAT(ROUND(L195,1)," ± ",ROUND(M195,1))</f>
        <v/>
      </c>
    </row>
    <row r="196">
      <c r="A196" t="n">
        <v>36</v>
      </c>
      <c r="B196" t="inlineStr">
        <is>
          <t>K3-2B</t>
        </is>
      </c>
      <c r="D196" t="n">
        <v>1.78</v>
      </c>
      <c r="E196" t="n">
        <v>1.493</v>
      </c>
      <c r="F196" t="n">
        <v>4775.06</v>
      </c>
      <c r="G196" t="n">
        <v>4.848</v>
      </c>
      <c r="H196">
        <f>E196/F196</f>
        <v/>
      </c>
      <c r="I196">
        <f>((H196-$J$160)/$I$160)</f>
        <v/>
      </c>
      <c r="J196">
        <f>(I196-IF(I168&gt;0,I168,0))</f>
        <v/>
      </c>
      <c r="K196">
        <f>J196/R179*1.1</f>
        <v/>
      </c>
    </row>
    <row r="197">
      <c r="A197" t="n">
        <v>37</v>
      </c>
      <c r="B197" t="inlineStr">
        <is>
          <t>K3-2C</t>
        </is>
      </c>
      <c r="D197" t="n">
        <v>1.8</v>
      </c>
      <c r="E197" t="n">
        <v>6.631</v>
      </c>
      <c r="F197" t="n">
        <v>4192.287</v>
      </c>
      <c r="G197" t="n">
        <v>5.162</v>
      </c>
      <c r="H197">
        <f>E197/F197</f>
        <v/>
      </c>
      <c r="I197">
        <f>((H197-$J$160)/$I$160)</f>
        <v/>
      </c>
      <c r="J197">
        <f>(I197-IF(I168&gt;0,I168,0))</f>
        <v/>
      </c>
      <c r="K197">
        <f>J197/R180*1.1</f>
        <v/>
      </c>
      <c r="L197" s="23" t="n"/>
      <c r="M197" s="23" t="n"/>
      <c r="N197" s="9" t="n"/>
    </row>
    <row r="198">
      <c r="A198" t="n">
        <v>38</v>
      </c>
      <c r="B198" t="inlineStr">
        <is>
          <t>MeOH</t>
        </is>
      </c>
      <c r="L198" s="23" t="inlineStr">
        <is>
          <t>Average</t>
        </is>
      </c>
      <c r="M198" s="23" t="inlineStr">
        <is>
          <t>Stdev</t>
        </is>
      </c>
      <c r="N198" s="9" t="inlineStr">
        <is>
          <t>Combined</t>
        </is>
      </c>
    </row>
    <row r="199">
      <c r="A199" t="n">
        <v>39</v>
      </c>
      <c r="B199" t="inlineStr">
        <is>
          <t>K3-3A</t>
        </is>
      </c>
      <c r="D199" t="n">
        <v>1.7</v>
      </c>
      <c r="E199" t="n">
        <v>9.609999999999999</v>
      </c>
      <c r="F199" t="n">
        <v>3883.396</v>
      </c>
      <c r="G199" t="n">
        <v>10.364</v>
      </c>
      <c r="H199">
        <f>E199/F199</f>
        <v/>
      </c>
      <c r="I199">
        <f>((H199-$J$160)/$I$160)</f>
        <v/>
      </c>
      <c r="J199">
        <f>(I199-IF(I168&gt;0,I168,0))</f>
        <v/>
      </c>
      <c r="K199">
        <f>J199/R181*1.1</f>
        <v/>
      </c>
      <c r="L199">
        <f>AVERAGE(K199:K201)</f>
        <v/>
      </c>
      <c r="M199">
        <f>STDEV(K200:K201)</f>
        <v/>
      </c>
      <c r="N199">
        <f>_xlfn.CONCAT(ROUND(L199,1)," ± ",ROUND(M199,1))</f>
        <v/>
      </c>
    </row>
    <row r="200">
      <c r="A200" t="n">
        <v>40</v>
      </c>
      <c r="B200" t="inlineStr">
        <is>
          <t>K3-3B</t>
        </is>
      </c>
      <c r="D200" t="n">
        <v>1.74</v>
      </c>
      <c r="E200" t="n">
        <v>5.064</v>
      </c>
      <c r="F200" t="n">
        <v>4786.087</v>
      </c>
      <c r="G200" t="n">
        <v>44</v>
      </c>
      <c r="H200">
        <f>E200/F200</f>
        <v/>
      </c>
      <c r="I200">
        <f>((H200-$J$160)/$I$160)</f>
        <v/>
      </c>
      <c r="J200">
        <f>(I200-IF(I168&gt;0,I168,0))</f>
        <v/>
      </c>
      <c r="K200">
        <f>J200/R182*1.1</f>
        <v/>
      </c>
    </row>
    <row r="201">
      <c r="A201" t="n">
        <v>41</v>
      </c>
      <c r="B201" t="inlineStr">
        <is>
          <t>K3-3C</t>
        </is>
      </c>
      <c r="D201" t="n">
        <v>1.81</v>
      </c>
      <c r="E201" t="n">
        <v>2.603</v>
      </c>
      <c r="F201" t="n">
        <v>5066.448</v>
      </c>
      <c r="G201" t="n">
        <v>25</v>
      </c>
      <c r="H201">
        <f>E201/F201</f>
        <v/>
      </c>
      <c r="I201">
        <f>((H201-$J$160)/$I$160)</f>
        <v/>
      </c>
      <c r="J201">
        <f>(I201-IF(I168&gt;0,I168,0))</f>
        <v/>
      </c>
      <c r="K201">
        <f>J201/R183*1.1</f>
        <v/>
      </c>
      <c r="L201" s="23" t="inlineStr">
        <is>
          <t>Average</t>
        </is>
      </c>
      <c r="M201" s="23" t="inlineStr">
        <is>
          <t>Stdev</t>
        </is>
      </c>
      <c r="N201" s="9" t="inlineStr">
        <is>
          <t>Combined</t>
        </is>
      </c>
    </row>
    <row r="202">
      <c r="A202" t="n">
        <v>42</v>
      </c>
      <c r="B202" t="inlineStr">
        <is>
          <t>K3-4A</t>
        </is>
      </c>
      <c r="D202" t="n">
        <v>1.8</v>
      </c>
      <c r="E202" t="n">
        <v>5.879</v>
      </c>
      <c r="F202" t="n">
        <v>5114.056</v>
      </c>
      <c r="G202" t="n">
        <v>3.752</v>
      </c>
      <c r="H202">
        <f>E202/F202</f>
        <v/>
      </c>
      <c r="I202">
        <f>((H202-$J$160)/$I$160)</f>
        <v/>
      </c>
      <c r="J202">
        <f>(I202-IF(I168&gt;0,I168,0))</f>
        <v/>
      </c>
      <c r="K202">
        <f>J202/R184*1.1</f>
        <v/>
      </c>
      <c r="L202">
        <f>AVERAGE(K202:K204)</f>
        <v/>
      </c>
      <c r="M202">
        <f>STDEV(K202:K204)</f>
        <v/>
      </c>
      <c r="N202">
        <f>_xlfn.CONCAT(ROUND(L202,1)," ± ",ROUND(M202,1))</f>
        <v/>
      </c>
    </row>
    <row r="203">
      <c r="A203" t="n">
        <v>43</v>
      </c>
      <c r="B203" t="inlineStr">
        <is>
          <t>K3-4B</t>
        </is>
      </c>
      <c r="D203" t="n">
        <v>1.74</v>
      </c>
      <c r="E203" t="n">
        <v>3.24</v>
      </c>
      <c r="F203" t="n">
        <v>4902.364</v>
      </c>
      <c r="G203" t="n">
        <v>1.329</v>
      </c>
      <c r="H203">
        <f>E203/F203</f>
        <v/>
      </c>
      <c r="I203">
        <f>((H203-$J$160)/$I$160)</f>
        <v/>
      </c>
      <c r="J203">
        <f>(I203-IF(I168&gt;0,I168,0))</f>
        <v/>
      </c>
      <c r="K203">
        <f>J203/R185*1.1</f>
        <v/>
      </c>
    </row>
    <row r="204">
      <c r="A204" t="n">
        <v>44</v>
      </c>
      <c r="B204" t="inlineStr">
        <is>
          <t>K3-4C</t>
        </is>
      </c>
      <c r="D204" t="n">
        <v>1.47</v>
      </c>
      <c r="E204" t="n">
        <v>2.571</v>
      </c>
      <c r="F204" t="n">
        <v>5366.199</v>
      </c>
      <c r="G204" t="n">
        <v>7.936</v>
      </c>
      <c r="H204">
        <f>E204/F204</f>
        <v/>
      </c>
      <c r="I204">
        <f>((H204-$J$160)/$I$160)</f>
        <v/>
      </c>
      <c r="J204">
        <f>(I204-IF(I168&gt;0,I168,0))</f>
        <v/>
      </c>
      <c r="K204">
        <f>J204/R186*1.1</f>
        <v/>
      </c>
      <c r="L204" s="23" t="n"/>
      <c r="M204" s="23" t="n"/>
      <c r="N204" s="9" t="n"/>
    </row>
    <row r="205">
      <c r="A205" t="n">
        <v>45</v>
      </c>
      <c r="B205" t="inlineStr">
        <is>
          <t>MeOH</t>
        </is>
      </c>
      <c r="D205" t="n">
        <v>1.71</v>
      </c>
      <c r="E205" t="n">
        <v>9.140000000000001</v>
      </c>
      <c r="G205" t="n">
        <v>4.366</v>
      </c>
      <c r="L205" s="23" t="inlineStr">
        <is>
          <t>Average</t>
        </is>
      </c>
      <c r="M205" s="23" t="inlineStr">
        <is>
          <t>Stdev</t>
        </is>
      </c>
      <c r="N205" s="9" t="inlineStr">
        <is>
          <t>Combined</t>
        </is>
      </c>
    </row>
    <row r="206">
      <c r="A206" t="n">
        <v>46</v>
      </c>
      <c r="B206" t="inlineStr">
        <is>
          <t>K3-6A</t>
        </is>
      </c>
      <c r="D206" t="n">
        <v>1.51</v>
      </c>
      <c r="E206" t="n">
        <v>2.838</v>
      </c>
      <c r="F206" t="n">
        <v>5434.724</v>
      </c>
      <c r="G206" t="n">
        <v>25</v>
      </c>
      <c r="H206">
        <f>E206/F206</f>
        <v/>
      </c>
      <c r="I206">
        <f>((H206-$J$160)/$I$160)</f>
        <v/>
      </c>
      <c r="J206">
        <f>(I206-IF(I168&gt;0,I168,0))</f>
        <v/>
      </c>
      <c r="K206">
        <f>J206/R187*1.1</f>
        <v/>
      </c>
      <c r="L206">
        <f>AVERAGE(K206:K208)</f>
        <v/>
      </c>
      <c r="M206">
        <f>STDEV(K207:K208)</f>
        <v/>
      </c>
      <c r="N206">
        <f>_xlfn.CONCAT(ROUND(L206,1)," ± ",ROUND(M206,1))</f>
        <v/>
      </c>
    </row>
    <row r="207">
      <c r="A207" t="n">
        <v>47</v>
      </c>
      <c r="B207" t="inlineStr">
        <is>
          <t>K3-6B</t>
        </is>
      </c>
      <c r="D207" t="n">
        <v>1.68</v>
      </c>
      <c r="E207" t="n">
        <v>6.616</v>
      </c>
      <c r="F207" t="n">
        <v>4320.222</v>
      </c>
      <c r="G207" t="n">
        <v>8.715</v>
      </c>
      <c r="H207">
        <f>E207/F207</f>
        <v/>
      </c>
      <c r="I207">
        <f>((H207-$J$160)/$I$160)</f>
        <v/>
      </c>
      <c r="J207">
        <f>(I207-IF(I168&gt;0,I168,0))</f>
        <v/>
      </c>
      <c r="K207">
        <f>J207/R188*1.1</f>
        <v/>
      </c>
    </row>
    <row r="208">
      <c r="A208" t="n">
        <v>48</v>
      </c>
      <c r="B208" t="inlineStr">
        <is>
          <t>K3-6C</t>
        </is>
      </c>
      <c r="D208" t="n">
        <v>1.95</v>
      </c>
      <c r="E208" t="n">
        <v>3.942</v>
      </c>
      <c r="F208" t="n">
        <v>4778.471</v>
      </c>
      <c r="G208" t="n">
        <v>7.788</v>
      </c>
      <c r="H208">
        <f>E208/F208</f>
        <v/>
      </c>
      <c r="I208">
        <f>((H208-$J$160)/$I$160)</f>
        <v/>
      </c>
      <c r="J208">
        <f>(I208-IF(I168&gt;0,I168,0))</f>
        <v/>
      </c>
      <c r="K208">
        <f>J208/R189*1.1</f>
        <v/>
      </c>
      <c r="L208" s="23" t="n"/>
      <c r="M208" s="23" t="n"/>
      <c r="N208" s="9" t="n"/>
    </row>
    <row r="210">
      <c r="A210" s="15" t="inlineStr">
        <is>
          <t>Compound 5:  PFBA 1</t>
        </is>
      </c>
      <c r="B210" s="15" t="n"/>
    </row>
    <row r="211">
      <c r="I211" t="inlineStr">
        <is>
          <t>LINEST</t>
        </is>
      </c>
      <c r="Q211" t="inlineStr">
        <is>
          <t>Biosolids Masses</t>
        </is>
      </c>
      <c r="R211" t="inlineStr">
        <is>
          <t>(g)</t>
        </is>
      </c>
    </row>
    <row r="212">
      <c r="B212" t="inlineStr">
        <is>
          <t>Sample Text</t>
        </is>
      </c>
      <c r="C212" t="inlineStr">
        <is>
          <t>Std. Conc</t>
        </is>
      </c>
      <c r="D212" t="inlineStr">
        <is>
          <t>RT</t>
        </is>
      </c>
      <c r="E212" t="inlineStr">
        <is>
          <t>Area</t>
        </is>
      </c>
      <c r="F212" t="inlineStr">
        <is>
          <t>IS Area</t>
        </is>
      </c>
      <c r="G212" t="inlineStr">
        <is>
          <t>S/N</t>
        </is>
      </c>
      <c r="H212" t="inlineStr">
        <is>
          <t>ratio</t>
        </is>
      </c>
      <c r="I212">
        <f t="array" ref="I212:J216">LINEST(H214:H220,C214:C220,1,1)</f>
        <v/>
      </c>
      <c r="J212" t="n">
        <v>0.02656049305609098</v>
      </c>
      <c r="L212" s="20" t="inlineStr">
        <is>
          <t>By S/N Ratio</t>
        </is>
      </c>
      <c r="Q212" t="inlineStr">
        <is>
          <t>SS1</t>
        </is>
      </c>
      <c r="R212" t="n">
        <v>1.0846</v>
      </c>
    </row>
    <row r="213">
      <c r="A213" t="n">
        <v>1</v>
      </c>
      <c r="B213" t="inlineStr">
        <is>
          <t>EPA1633 &amp; diPAPs Calibration 0 ppb</t>
        </is>
      </c>
      <c r="C213" t="n">
        <v>0</v>
      </c>
      <c r="D213" t="n">
        <v>2.66</v>
      </c>
      <c r="E213" t="n">
        <v>59.515</v>
      </c>
      <c r="F213" t="n">
        <v>7551.013</v>
      </c>
      <c r="G213" t="n">
        <v>2.528</v>
      </c>
      <c r="H213">
        <f>E213/F213</f>
        <v/>
      </c>
      <c r="I213" t="n">
        <v>0.000885006141035202</v>
      </c>
      <c r="J213" t="n">
        <v>0.03069166590790674</v>
      </c>
      <c r="K213" t="inlineStr">
        <is>
          <t>LOD</t>
        </is>
      </c>
      <c r="L213" s="21">
        <f>IF(G216&gt;3,C216,IF(G217&gt;3,C217,IF(G218&gt;3,C218,IF(G219&gt;3,C219,C220))))</f>
        <v/>
      </c>
      <c r="Q213" t="inlineStr">
        <is>
          <t>SS2</t>
        </is>
      </c>
      <c r="R213" t="n">
        <v>1.0726</v>
      </c>
    </row>
    <row r="214">
      <c r="A214" t="n">
        <v>2</v>
      </c>
      <c r="B214" t="inlineStr">
        <is>
          <t>EPA1633 &amp; diPAPs Calibration 0.02 ppb</t>
        </is>
      </c>
      <c r="C214" t="n">
        <v>0.08</v>
      </c>
      <c r="D214" t="n">
        <v>2.71</v>
      </c>
      <c r="E214" t="n">
        <v>240.411</v>
      </c>
      <c r="F214" t="n">
        <v>6696.725</v>
      </c>
      <c r="G214" t="n">
        <v>5.837</v>
      </c>
      <c r="H214">
        <f>E214/F214</f>
        <v/>
      </c>
      <c r="I214" t="n">
        <v>0.9979038849757623</v>
      </c>
      <c r="J214" t="n">
        <v>0.06485498356599073</v>
      </c>
      <c r="K214" t="inlineStr">
        <is>
          <t>LOQ</t>
        </is>
      </c>
      <c r="L214" s="22">
        <f>IF(G216&gt;10,C216,IF(G217&gt;10,C217,IF(G218&gt;10,C218,IF(G219&gt;10,C219,C220))))</f>
        <v/>
      </c>
      <c r="Q214" t="inlineStr">
        <is>
          <t>SS3</t>
        </is>
      </c>
      <c r="R214" t="n">
        <v>1.1534</v>
      </c>
    </row>
    <row r="215">
      <c r="A215" t="n">
        <v>3</v>
      </c>
      <c r="B215" t="inlineStr">
        <is>
          <t>EPA1633 &amp; diPAPs Calibration 0.1 ppb</t>
        </is>
      </c>
      <c r="C215" t="n">
        <v>0.4</v>
      </c>
      <c r="D215" t="n">
        <v>2.75</v>
      </c>
      <c r="E215" t="n">
        <v>215.509</v>
      </c>
      <c r="F215" t="n">
        <v>7209.583</v>
      </c>
      <c r="G215" t="n">
        <v>9.124000000000001</v>
      </c>
      <c r="H215">
        <f>E215/F215</f>
        <v/>
      </c>
      <c r="I215" t="n">
        <v>2380.365279187478</v>
      </c>
      <c r="J215" t="n">
        <v>5</v>
      </c>
      <c r="Q215" t="inlineStr">
        <is>
          <t>K4-1A</t>
        </is>
      </c>
      <c r="R215" t="n">
        <v>1.0267</v>
      </c>
    </row>
    <row r="216">
      <c r="A216" t="n">
        <v>4</v>
      </c>
      <c r="B216" t="inlineStr">
        <is>
          <t>EPA1633 &amp; diPAPs Calibration 0.4 ppb</t>
        </is>
      </c>
      <c r="C216" t="n">
        <v>1.6</v>
      </c>
      <c r="D216" t="n">
        <v>2.75</v>
      </c>
      <c r="E216" t="n">
        <v>836.779</v>
      </c>
      <c r="F216" t="n">
        <v>7013.762</v>
      </c>
      <c r="G216" t="n">
        <v>49.684</v>
      </c>
      <c r="H216">
        <f>E216/F216</f>
        <v/>
      </c>
      <c r="I216" t="n">
        <v>10.01221839211668</v>
      </c>
      <c r="J216" t="n">
        <v>0.02103084446672463</v>
      </c>
      <c r="Q216" t="inlineStr">
        <is>
          <t>K4-1B</t>
        </is>
      </c>
      <c r="R216" t="n">
        <v>1.1481</v>
      </c>
    </row>
    <row r="217">
      <c r="A217" t="n">
        <v>5</v>
      </c>
      <c r="B217" t="inlineStr">
        <is>
          <t>EPA1633 &amp; diPAPs Calibration 1 ppb</t>
        </is>
      </c>
      <c r="C217" t="n">
        <v>4</v>
      </c>
      <c r="D217" t="n">
        <v>2.77</v>
      </c>
      <c r="E217" t="n">
        <v>1249.757</v>
      </c>
      <c r="F217" t="n">
        <v>8048.652</v>
      </c>
      <c r="G217" t="n">
        <v>62.749</v>
      </c>
      <c r="H217">
        <f>E217/F217</f>
        <v/>
      </c>
      <c r="Q217" t="inlineStr">
        <is>
          <t>K4-1C</t>
        </is>
      </c>
      <c r="R217" t="n">
        <v>1.0402</v>
      </c>
    </row>
    <row r="218">
      <c r="A218" t="n">
        <v>6</v>
      </c>
      <c r="B218" t="inlineStr">
        <is>
          <t>EPA1633 &amp; diPAPs Calibration 5 ppb</t>
        </is>
      </c>
      <c r="C218" t="n">
        <v>20</v>
      </c>
      <c r="D218" t="n">
        <v>2.61</v>
      </c>
      <c r="E218" t="n">
        <v>6102.734</v>
      </c>
      <c r="F218" t="n">
        <v>7211.955</v>
      </c>
      <c r="G218" t="n">
        <v>261.334</v>
      </c>
      <c r="H218">
        <f>E218/F218</f>
        <v/>
      </c>
      <c r="Q218" t="inlineStr">
        <is>
          <t>K4-2A</t>
        </is>
      </c>
      <c r="R218" t="n">
        <v>1.127</v>
      </c>
    </row>
    <row r="219">
      <c r="A219" t="n">
        <v>7</v>
      </c>
      <c r="B219" t="inlineStr">
        <is>
          <t>EPA1633 &amp; diPAPs Calibration 10 ppb</t>
        </is>
      </c>
      <c r="C219" t="n">
        <v>40</v>
      </c>
      <c r="D219" t="n">
        <v>2.66</v>
      </c>
      <c r="E219" t="n">
        <v>10650.508</v>
      </c>
      <c r="F219" t="n">
        <v>5686.902</v>
      </c>
      <c r="G219" t="n">
        <v>343.349</v>
      </c>
      <c r="H219">
        <f>E219/F219</f>
        <v/>
      </c>
      <c r="I219" s="23" t="inlineStr">
        <is>
          <t>Background</t>
        </is>
      </c>
      <c r="J219" s="23" t="inlineStr">
        <is>
          <t>Spike</t>
        </is>
      </c>
      <c r="K219" s="9" t="inlineStr">
        <is>
          <t>Old Spike</t>
        </is>
      </c>
      <c r="O219" s="24" t="inlineStr">
        <is>
          <t>±</t>
        </is>
      </c>
      <c r="Q219" t="inlineStr">
        <is>
          <t>K4-2B</t>
        </is>
      </c>
      <c r="R219" t="n">
        <v>1.1154</v>
      </c>
    </row>
    <row r="220">
      <c r="A220" t="n">
        <v>8</v>
      </c>
      <c r="B220" t="inlineStr">
        <is>
          <t>EPA1633 &amp; diPAPs Calibration 20 ppb</t>
        </is>
      </c>
      <c r="C220" t="n">
        <v>80</v>
      </c>
      <c r="D220" t="n">
        <v>2.7</v>
      </c>
      <c r="E220" t="n">
        <v>21219.432</v>
      </c>
      <c r="F220" t="n">
        <v>6179.103</v>
      </c>
      <c r="G220" t="n">
        <v>922.684</v>
      </c>
      <c r="H220">
        <f>E220/F220</f>
        <v/>
      </c>
      <c r="I220">
        <f>AVERAGE(I223:I225)</f>
        <v/>
      </c>
      <c r="J220" t="n">
        <v>44</v>
      </c>
      <c r="Q220" t="inlineStr">
        <is>
          <t>K4-2C</t>
        </is>
      </c>
      <c r="R220" t="n">
        <v>1.1711</v>
      </c>
    </row>
    <row r="221">
      <c r="A221" t="n">
        <v>9</v>
      </c>
      <c r="B221" t="inlineStr">
        <is>
          <t>MeOH</t>
        </is>
      </c>
      <c r="D221" t="n">
        <v>2.71</v>
      </c>
      <c r="E221" t="n">
        <v>794</v>
      </c>
      <c r="G221" t="n">
        <v>31.55</v>
      </c>
      <c r="I221" s="23" t="inlineStr">
        <is>
          <t>Conc.In Vial (ppb)</t>
        </is>
      </c>
      <c r="J221" s="9" t="inlineStr">
        <is>
          <t>Corr. Conc.(ppb)</t>
        </is>
      </c>
      <c r="K221" s="9" t="inlineStr">
        <is>
          <t>Conc. In soil (ng/g)</t>
        </is>
      </c>
      <c r="Q221" t="inlineStr">
        <is>
          <t>K4-4A</t>
        </is>
      </c>
      <c r="R221" t="n">
        <v>1.0932</v>
      </c>
    </row>
    <row r="222">
      <c r="A222" t="n">
        <v>10</v>
      </c>
      <c r="B222" t="inlineStr">
        <is>
          <t>MeOH</t>
        </is>
      </c>
      <c r="D222" t="n">
        <v>2.73</v>
      </c>
      <c r="E222" t="n">
        <v>740.602</v>
      </c>
      <c r="G222" t="n">
        <v>44.405</v>
      </c>
      <c r="L222" s="23" t="inlineStr">
        <is>
          <t>Average</t>
        </is>
      </c>
      <c r="M222" s="23" t="inlineStr">
        <is>
          <t>Stdev</t>
        </is>
      </c>
      <c r="N222" s="9" t="inlineStr">
        <is>
          <t>Combined</t>
        </is>
      </c>
      <c r="O222" s="9" t="n"/>
      <c r="P222" s="9" t="n"/>
      <c r="Q222" t="inlineStr">
        <is>
          <t>K4-4B</t>
        </is>
      </c>
      <c r="R222" t="n">
        <v>1.15</v>
      </c>
    </row>
    <row r="223">
      <c r="A223" t="n">
        <v>11</v>
      </c>
      <c r="B223" t="inlineStr">
        <is>
          <t>SB1</t>
        </is>
      </c>
      <c r="D223" t="n">
        <v>2.96</v>
      </c>
      <c r="E223" t="n">
        <v>702.516</v>
      </c>
      <c r="F223" t="n">
        <v>3649.542</v>
      </c>
      <c r="G223" t="n">
        <v>37.956</v>
      </c>
      <c r="H223">
        <f>E223/F223</f>
        <v/>
      </c>
      <c r="I223">
        <f>((H223-$J$212)/$I$212)</f>
        <v/>
      </c>
      <c r="J223">
        <f>(I223-IF(I220&gt;0,I220,0))</f>
        <v/>
      </c>
      <c r="K223">
        <f>J223*1.1</f>
        <v/>
      </c>
      <c r="L223">
        <f>AVERAGE(K223:K225)</f>
        <v/>
      </c>
      <c r="M223">
        <f>STDEV(K224:K225)</f>
        <v/>
      </c>
      <c r="N223">
        <f>_xlfn.CONCAT(ROUND(L223,1)," ± ",ROUND(M223,1))</f>
        <v/>
      </c>
      <c r="Q223" t="inlineStr">
        <is>
          <t>K4-4C</t>
        </is>
      </c>
      <c r="R223" t="n">
        <v>1.0482</v>
      </c>
    </row>
    <row r="224">
      <c r="A224" t="n">
        <v>12</v>
      </c>
      <c r="B224" t="inlineStr">
        <is>
          <t>SB2</t>
        </is>
      </c>
      <c r="D224" t="n">
        <v>2.94</v>
      </c>
      <c r="E224" t="n">
        <v>557.47</v>
      </c>
      <c r="F224" t="n">
        <v>3370.738</v>
      </c>
      <c r="G224" t="n">
        <v>33.711</v>
      </c>
      <c r="H224">
        <f>E224/F224</f>
        <v/>
      </c>
      <c r="I224">
        <f>((H224-$J$212)/$I$212)</f>
        <v/>
      </c>
      <c r="J224">
        <f>(I224-IF(I220&gt;0,I220,0))</f>
        <v/>
      </c>
      <c r="K224">
        <f>J224*1.1</f>
        <v/>
      </c>
      <c r="Q224" t="inlineStr">
        <is>
          <t>K4-5A</t>
        </is>
      </c>
      <c r="R224" t="n">
        <v>1.1054</v>
      </c>
    </row>
    <row r="225">
      <c r="A225" t="n">
        <v>13</v>
      </c>
      <c r="B225" t="inlineStr">
        <is>
          <t>SB3</t>
        </is>
      </c>
      <c r="D225" t="n">
        <v>2.95</v>
      </c>
      <c r="E225" t="n">
        <v>567.325</v>
      </c>
      <c r="F225" t="n">
        <v>3095.617</v>
      </c>
      <c r="G225" t="n">
        <v>28.39</v>
      </c>
      <c r="H225">
        <f>E225/F225</f>
        <v/>
      </c>
      <c r="I225">
        <f>((H225-$J$212)/$I$212)</f>
        <v/>
      </c>
      <c r="J225">
        <f>(I225-IF(I220&gt;0,I220,0))</f>
        <v/>
      </c>
      <c r="K225" s="30">
        <f>J225*1.1</f>
        <v/>
      </c>
      <c r="L225" s="25" t="inlineStr">
        <is>
          <t>Average</t>
        </is>
      </c>
      <c r="M225" s="25" t="inlineStr">
        <is>
          <t>Stdev</t>
        </is>
      </c>
      <c r="N225" s="26" t="inlineStr">
        <is>
          <t>%Recovery</t>
        </is>
      </c>
      <c r="O225" s="26" t="inlineStr">
        <is>
          <t>Uncertainty</t>
        </is>
      </c>
      <c r="P225" s="26" t="inlineStr">
        <is>
          <t>Combined</t>
        </is>
      </c>
      <c r="Q225" t="inlineStr">
        <is>
          <t>K4-5B</t>
        </is>
      </c>
      <c r="R225" s="10" t="n">
        <v>1.0463</v>
      </c>
    </row>
    <row r="226">
      <c r="A226" t="n">
        <v>14</v>
      </c>
      <c r="B226" t="inlineStr">
        <is>
          <t>SS1</t>
        </is>
      </c>
      <c r="D226" t="n">
        <v>2.99</v>
      </c>
      <c r="E226" t="n">
        <v>5369.209</v>
      </c>
      <c r="F226" t="n">
        <v>3493.816</v>
      </c>
      <c r="G226" t="n">
        <v>306.756</v>
      </c>
      <c r="H226">
        <f>E226/F226</f>
        <v/>
      </c>
      <c r="I226">
        <f>((H226-$J$212)/$I$212)</f>
        <v/>
      </c>
      <c r="J226">
        <f>(I226-IF(I220&gt;0,I220,0))</f>
        <v/>
      </c>
      <c r="K226">
        <f>J226/R212*1.1</f>
        <v/>
      </c>
      <c r="L226" s="27">
        <f>AVERAGE(K226:K228)</f>
        <v/>
      </c>
      <c r="M226" s="27">
        <f>STDEV(K226:K228)</f>
        <v/>
      </c>
      <c r="N226" s="28">
        <f>L226/J220*100</f>
        <v/>
      </c>
      <c r="O226" s="29">
        <f>M226/J223*100</f>
        <v/>
      </c>
      <c r="P226" s="29">
        <f>_xlfn.CONCAT(ROUND(N226,1)," ± ",ROUND(O226,1))</f>
        <v/>
      </c>
      <c r="Q226" t="inlineStr">
        <is>
          <t>K4-5C</t>
        </is>
      </c>
      <c r="R226" t="n">
        <v>1.1155</v>
      </c>
    </row>
    <row r="227">
      <c r="A227" t="n">
        <v>15</v>
      </c>
      <c r="B227" t="inlineStr">
        <is>
          <t>SS2</t>
        </is>
      </c>
      <c r="D227" t="n">
        <v>3.01</v>
      </c>
      <c r="E227" t="n">
        <v>5105.104</v>
      </c>
      <c r="F227" t="n">
        <v>3699.493</v>
      </c>
      <c r="G227" t="n">
        <v>234.23</v>
      </c>
      <c r="H227">
        <f>E227/F227</f>
        <v/>
      </c>
      <c r="I227">
        <f>((H227-$J$212)/$I$212)</f>
        <v/>
      </c>
      <c r="J227">
        <f>(I227-IF(I220&gt;0,I220,0))</f>
        <v/>
      </c>
      <c r="K227">
        <f>J227/R213*1.1</f>
        <v/>
      </c>
      <c r="Q227" t="inlineStr">
        <is>
          <t>K3-1A</t>
        </is>
      </c>
      <c r="R227" t="n">
        <v>1.0874</v>
      </c>
    </row>
    <row r="228">
      <c r="A228" t="n">
        <v>16</v>
      </c>
      <c r="B228" t="inlineStr">
        <is>
          <t>SS3</t>
        </is>
      </c>
      <c r="D228" t="n">
        <v>3.01</v>
      </c>
      <c r="E228" t="n">
        <v>5486.927</v>
      </c>
      <c r="F228" t="n">
        <v>3352.055</v>
      </c>
      <c r="G228" t="n">
        <v>201.44</v>
      </c>
      <c r="H228">
        <f>E228/F228</f>
        <v/>
      </c>
      <c r="I228">
        <f>((H228-$J$212)/$I$212)</f>
        <v/>
      </c>
      <c r="J228">
        <f>(I228-IF(I220&gt;0,I220,0))</f>
        <v/>
      </c>
      <c r="K228" s="30">
        <f>J228/R214*1.1</f>
        <v/>
      </c>
      <c r="Q228" t="inlineStr">
        <is>
          <t>K3-1B</t>
        </is>
      </c>
      <c r="R228" t="n">
        <v>1.0898</v>
      </c>
    </row>
    <row r="229">
      <c r="A229" t="n">
        <v>17</v>
      </c>
      <c r="B229" t="inlineStr">
        <is>
          <t>MeOH</t>
        </is>
      </c>
      <c r="L229" s="23" t="inlineStr">
        <is>
          <t>Average</t>
        </is>
      </c>
      <c r="M229" s="23" t="inlineStr">
        <is>
          <t>Stdev</t>
        </is>
      </c>
      <c r="N229" s="9" t="inlineStr">
        <is>
          <t>Combined</t>
        </is>
      </c>
      <c r="Q229" t="inlineStr">
        <is>
          <t>K3-1C</t>
        </is>
      </c>
      <c r="R229" t="n">
        <v>1.0536</v>
      </c>
    </row>
    <row r="230">
      <c r="A230" t="n">
        <v>18</v>
      </c>
      <c r="B230" t="inlineStr">
        <is>
          <t>K4-1A</t>
        </is>
      </c>
      <c r="D230" t="n">
        <v>3</v>
      </c>
      <c r="E230" t="n">
        <v>519.145</v>
      </c>
      <c r="F230" t="n">
        <v>3889.819</v>
      </c>
      <c r="G230" t="n">
        <v>25.168</v>
      </c>
      <c r="H230">
        <f>E230/F230</f>
        <v/>
      </c>
      <c r="I230">
        <f>((H230-$J$212)/$I$212)</f>
        <v/>
      </c>
      <c r="J230">
        <f>(I230-IF(I220&gt;0,I220,0))</f>
        <v/>
      </c>
      <c r="K230">
        <f>J230/R215*1.1</f>
        <v/>
      </c>
      <c r="L230">
        <f>AVERAGE(K230:K232)</f>
        <v/>
      </c>
      <c r="M230">
        <f>STDEV(K231:K232)</f>
        <v/>
      </c>
      <c r="N230">
        <f>_xlfn.CONCAT(ROUND(L230,1)," ± ",ROUND(M230,1))</f>
        <v/>
      </c>
      <c r="Q230" t="inlineStr">
        <is>
          <t>K3-2A</t>
        </is>
      </c>
      <c r="R230" s="10" t="n">
        <v>1.1218</v>
      </c>
    </row>
    <row r="231">
      <c r="A231" t="n">
        <v>19</v>
      </c>
      <c r="B231" t="inlineStr">
        <is>
          <t>K4-1B</t>
        </is>
      </c>
      <c r="D231" t="n">
        <v>2.96</v>
      </c>
      <c r="E231" t="n">
        <v>363.112</v>
      </c>
      <c r="F231" t="n">
        <v>3657.858</v>
      </c>
      <c r="G231" t="n">
        <v>22.371</v>
      </c>
      <c r="H231">
        <f>E231/F231</f>
        <v/>
      </c>
      <c r="I231">
        <f>((H231-$J$212)/$I$212)</f>
        <v/>
      </c>
      <c r="J231">
        <f>(I231-IF(I220&gt;0,I220,0))</f>
        <v/>
      </c>
      <c r="K231">
        <f>J231/R216*1.1</f>
        <v/>
      </c>
      <c r="Q231" t="inlineStr">
        <is>
          <t>K3-2B</t>
        </is>
      </c>
      <c r="R231" t="n">
        <v>1.198</v>
      </c>
    </row>
    <row r="232">
      <c r="A232" t="n">
        <v>20</v>
      </c>
      <c r="B232" t="inlineStr">
        <is>
          <t>K4-1C</t>
        </is>
      </c>
      <c r="D232" t="n">
        <v>2.99</v>
      </c>
      <c r="E232" t="n">
        <v>458.949</v>
      </c>
      <c r="F232" t="n">
        <v>3596.392</v>
      </c>
      <c r="G232" t="n">
        <v>29.98</v>
      </c>
      <c r="H232">
        <f>E232/F232</f>
        <v/>
      </c>
      <c r="I232">
        <f>((H232-$J$212)/$I$212)</f>
        <v/>
      </c>
      <c r="J232">
        <f>(I232-IF(I220&gt;0,I220,0))</f>
        <v/>
      </c>
      <c r="K232">
        <f>J232/R217*1.1</f>
        <v/>
      </c>
      <c r="L232" s="23" t="inlineStr">
        <is>
          <t>Average</t>
        </is>
      </c>
      <c r="M232" s="23" t="inlineStr">
        <is>
          <t>Stdev</t>
        </is>
      </c>
      <c r="N232" s="9" t="inlineStr">
        <is>
          <t>Combined</t>
        </is>
      </c>
      <c r="Q232" t="inlineStr">
        <is>
          <t>K3-2C</t>
        </is>
      </c>
      <c r="R232" t="n">
        <v>1.1538</v>
      </c>
    </row>
    <row r="233">
      <c r="A233" t="n">
        <v>21</v>
      </c>
      <c r="B233" t="inlineStr">
        <is>
          <t>K4-2A</t>
        </is>
      </c>
      <c r="D233" t="n">
        <v>3.01</v>
      </c>
      <c r="E233" t="n">
        <v>570.948</v>
      </c>
      <c r="F233" t="n">
        <v>3827.847</v>
      </c>
      <c r="G233" t="n">
        <v>31.656</v>
      </c>
      <c r="H233">
        <f>E233/F233</f>
        <v/>
      </c>
      <c r="I233">
        <f>((H233-$J$212)/$I$212)</f>
        <v/>
      </c>
      <c r="J233">
        <f>(I233-IF(I220&gt;0,I220,0))</f>
        <v/>
      </c>
      <c r="K233">
        <f>J233/R218*1.1</f>
        <v/>
      </c>
      <c r="L233">
        <f>AVERAGE(K233:K235)</f>
        <v/>
      </c>
      <c r="M233">
        <f>STDEV(K233:K235)</f>
        <v/>
      </c>
      <c r="N233">
        <f>_xlfn.CONCAT(ROUND(L233,1)," ± ",ROUND(M233,1))</f>
        <v/>
      </c>
      <c r="Q233" t="inlineStr">
        <is>
          <t>K3-3A</t>
        </is>
      </c>
      <c r="R233" t="n">
        <v>1.1183</v>
      </c>
    </row>
    <row r="234">
      <c r="A234" t="n">
        <v>22</v>
      </c>
      <c r="B234" t="inlineStr">
        <is>
          <t>K4-2B</t>
        </is>
      </c>
      <c r="D234" t="n">
        <v>3.01</v>
      </c>
      <c r="E234" t="n">
        <v>416.827</v>
      </c>
      <c r="F234" t="n">
        <v>3623.222</v>
      </c>
      <c r="G234" t="n">
        <v>33.291</v>
      </c>
      <c r="H234">
        <f>E234/F234</f>
        <v/>
      </c>
      <c r="I234">
        <f>((H234-$J$212)/$I$212)</f>
        <v/>
      </c>
      <c r="J234">
        <f>(I234-IF(I220&gt;0,I220,0))</f>
        <v/>
      </c>
      <c r="K234">
        <f>J234/R219*1.1</f>
        <v/>
      </c>
      <c r="Q234" t="inlineStr">
        <is>
          <t>K3-3B</t>
        </is>
      </c>
      <c r="R234" t="n">
        <v>1.1448</v>
      </c>
    </row>
    <row r="235">
      <c r="A235" t="n">
        <v>23</v>
      </c>
      <c r="B235" t="inlineStr">
        <is>
          <t>K4-2C</t>
        </is>
      </c>
      <c r="D235" t="n">
        <v>2.99</v>
      </c>
      <c r="E235" t="n">
        <v>354.702</v>
      </c>
      <c r="F235" t="n">
        <v>3093.041</v>
      </c>
      <c r="G235" t="n">
        <v>21.019</v>
      </c>
      <c r="H235">
        <f>E235/F235</f>
        <v/>
      </c>
      <c r="I235">
        <f>((H235-$J$212)/$I$212)</f>
        <v/>
      </c>
      <c r="J235">
        <f>(I235-IF(I220&gt;0,I220,0))</f>
        <v/>
      </c>
      <c r="K235">
        <f>J235/R220*1.1</f>
        <v/>
      </c>
      <c r="L235" s="23" t="n"/>
      <c r="M235" s="23" t="n"/>
      <c r="N235" s="9" t="n"/>
      <c r="Q235" t="inlineStr">
        <is>
          <t>K3-3C</t>
        </is>
      </c>
      <c r="R235" t="n">
        <v>1.0493</v>
      </c>
    </row>
    <row r="236">
      <c r="A236" t="n">
        <v>24</v>
      </c>
      <c r="B236" t="inlineStr">
        <is>
          <t>MeOH</t>
        </is>
      </c>
      <c r="L236" s="23" t="inlineStr">
        <is>
          <t>Average</t>
        </is>
      </c>
      <c r="M236" s="23" t="inlineStr">
        <is>
          <t>Stdev</t>
        </is>
      </c>
      <c r="N236" s="9" t="inlineStr">
        <is>
          <t>Combined</t>
        </is>
      </c>
      <c r="Q236" t="inlineStr">
        <is>
          <t>K3-4A</t>
        </is>
      </c>
      <c r="R236" t="n">
        <v>1.0704</v>
      </c>
    </row>
    <row r="237">
      <c r="A237" t="n">
        <v>25</v>
      </c>
      <c r="B237" t="inlineStr">
        <is>
          <t>K4-4A</t>
        </is>
      </c>
      <c r="D237" t="n">
        <v>3.02</v>
      </c>
      <c r="E237" t="n">
        <v>488.221</v>
      </c>
      <c r="F237" t="n">
        <v>3907.045</v>
      </c>
      <c r="G237" t="n">
        <v>22.159</v>
      </c>
      <c r="H237">
        <f>E237/F237</f>
        <v/>
      </c>
      <c r="I237">
        <f>((H237-$J$212)/$I$212)</f>
        <v/>
      </c>
      <c r="J237">
        <f>(I237-IF(I220&gt;0,I220,0))</f>
        <v/>
      </c>
      <c r="K237">
        <f>J237/R221*1.1</f>
        <v/>
      </c>
      <c r="L237">
        <f>AVERAGE(K237:K239)</f>
        <v/>
      </c>
      <c r="M237">
        <f>STDEV(K238:K239)</f>
        <v/>
      </c>
      <c r="N237">
        <f>_xlfn.CONCAT(ROUND(L237,1)," ± ",ROUND(M237,1))</f>
        <v/>
      </c>
      <c r="Q237" t="inlineStr">
        <is>
          <t>K3-4B</t>
        </is>
      </c>
      <c r="R237" t="n">
        <v>1.1589</v>
      </c>
    </row>
    <row r="238">
      <c r="A238" t="n">
        <v>26</v>
      </c>
      <c r="B238" t="inlineStr">
        <is>
          <t>K4-4B</t>
        </is>
      </c>
      <c r="D238" t="n">
        <v>3.01</v>
      </c>
      <c r="E238" t="n">
        <v>370.478</v>
      </c>
      <c r="F238" t="n">
        <v>3594.542</v>
      </c>
      <c r="G238" t="n">
        <v>19.372</v>
      </c>
      <c r="H238">
        <f>E238/F238</f>
        <v/>
      </c>
      <c r="I238">
        <f>((H238-$J$212)/$I$212)</f>
        <v/>
      </c>
      <c r="J238">
        <f>(I238-IF(I220&gt;0,I220,0))</f>
        <v/>
      </c>
      <c r="K238">
        <f>J238/R222*1.1</f>
        <v/>
      </c>
      <c r="Q238" t="inlineStr">
        <is>
          <t>K3-4C</t>
        </is>
      </c>
      <c r="R238" t="n">
        <v>1.0206</v>
      </c>
    </row>
    <row r="239">
      <c r="A239" t="n">
        <v>27</v>
      </c>
      <c r="B239" t="inlineStr">
        <is>
          <t>K4-4C</t>
        </is>
      </c>
      <c r="D239" t="n">
        <v>3.01</v>
      </c>
      <c r="E239" t="n">
        <v>478.702</v>
      </c>
      <c r="F239" t="n">
        <v>3586.092</v>
      </c>
      <c r="G239" t="n">
        <v>28.54</v>
      </c>
      <c r="H239">
        <f>E239/F239</f>
        <v/>
      </c>
      <c r="I239">
        <f>((H239-$J$212)/$I$212)</f>
        <v/>
      </c>
      <c r="J239">
        <f>(I239-IF(I220&gt;0,I220,0))</f>
        <v/>
      </c>
      <c r="K239">
        <f>J239/R223*1.1</f>
        <v/>
      </c>
      <c r="L239" s="23" t="inlineStr">
        <is>
          <t>Average</t>
        </is>
      </c>
      <c r="M239" s="23" t="inlineStr">
        <is>
          <t>Stdev</t>
        </is>
      </c>
      <c r="N239" s="9" t="inlineStr">
        <is>
          <t>Combined</t>
        </is>
      </c>
      <c r="Q239" t="inlineStr">
        <is>
          <t>K3-6A</t>
        </is>
      </c>
      <c r="R239" t="n">
        <v>1.1289</v>
      </c>
    </row>
    <row r="240">
      <c r="A240" t="n">
        <v>28</v>
      </c>
      <c r="B240" t="inlineStr">
        <is>
          <t>K4-5A</t>
        </is>
      </c>
      <c r="D240" t="n">
        <v>2.99</v>
      </c>
      <c r="E240" t="n">
        <v>559.438</v>
      </c>
      <c r="F240" t="n">
        <v>3387.509</v>
      </c>
      <c r="G240" t="n">
        <v>47.508</v>
      </c>
      <c r="H240">
        <f>E240/F240</f>
        <v/>
      </c>
      <c r="I240">
        <f>((H240-$J$212)/$I$212)</f>
        <v/>
      </c>
      <c r="J240">
        <f>(I240-IF(I220&gt;0,I220,0))</f>
        <v/>
      </c>
      <c r="K240">
        <f>J240/R224*1.1</f>
        <v/>
      </c>
      <c r="L240">
        <f>AVERAGE(K240:K242)</f>
        <v/>
      </c>
      <c r="M240">
        <f>STDEV(K240:K242)</f>
        <v/>
      </c>
      <c r="N240">
        <f>_xlfn.CONCAT(ROUND(L240,1)," ± ",ROUND(M240,1))</f>
        <v/>
      </c>
      <c r="Q240" t="inlineStr">
        <is>
          <t>K3-6B</t>
        </is>
      </c>
      <c r="R240" t="n">
        <v>1.195</v>
      </c>
    </row>
    <row r="241">
      <c r="A241" t="n">
        <v>29</v>
      </c>
      <c r="B241" t="inlineStr">
        <is>
          <t>K4-5B</t>
        </is>
      </c>
      <c r="D241" t="n">
        <v>2.94</v>
      </c>
      <c r="E241" t="n">
        <v>529.191</v>
      </c>
      <c r="F241" t="n">
        <v>3401.243</v>
      </c>
      <c r="G241" t="n">
        <v>19.822</v>
      </c>
      <c r="H241">
        <f>E241/F241</f>
        <v/>
      </c>
      <c r="I241">
        <f>((H241-$J$212)/$I$212)</f>
        <v/>
      </c>
      <c r="J241">
        <f>(I241-IF(I220&gt;0,I220,0))</f>
        <v/>
      </c>
      <c r="K241">
        <f>J241/R225*1.1</f>
        <v/>
      </c>
      <c r="Q241" t="inlineStr">
        <is>
          <t>K3-6C</t>
        </is>
      </c>
      <c r="R241" t="n">
        <v>1.1716</v>
      </c>
    </row>
    <row r="242">
      <c r="A242" t="n">
        <v>30</v>
      </c>
      <c r="B242" t="inlineStr">
        <is>
          <t>K4-5C</t>
        </is>
      </c>
      <c r="D242" t="n">
        <v>2.91</v>
      </c>
      <c r="E242" t="n">
        <v>481.145</v>
      </c>
      <c r="F242" t="n">
        <v>3767.266</v>
      </c>
      <c r="G242" t="n">
        <v>28.258</v>
      </c>
      <c r="H242">
        <f>E242/F242</f>
        <v/>
      </c>
      <c r="I242">
        <f>((H242-$J$212)/$I$212)</f>
        <v/>
      </c>
      <c r="J242">
        <f>(I242-IF(I220&gt;0,I220,0))</f>
        <v/>
      </c>
      <c r="K242">
        <f>J242/R226*1.1</f>
        <v/>
      </c>
      <c r="L242" s="23" t="n"/>
      <c r="M242" s="23" t="n"/>
      <c r="N242" s="9" t="n"/>
    </row>
    <row r="243">
      <c r="A243" t="n">
        <v>31</v>
      </c>
      <c r="B243" t="inlineStr">
        <is>
          <t>MeOH</t>
        </is>
      </c>
      <c r="L243" s="23" t="inlineStr">
        <is>
          <t>Average</t>
        </is>
      </c>
      <c r="M243" s="23" t="inlineStr">
        <is>
          <t>Stdev</t>
        </is>
      </c>
      <c r="N243" s="9" t="inlineStr">
        <is>
          <t>Combined</t>
        </is>
      </c>
    </row>
    <row r="244">
      <c r="A244" t="n">
        <v>32</v>
      </c>
      <c r="B244" t="inlineStr">
        <is>
          <t>K3-1A</t>
        </is>
      </c>
      <c r="D244" t="n">
        <v>2.79</v>
      </c>
      <c r="E244" t="n">
        <v>512.687</v>
      </c>
      <c r="F244" t="n">
        <v>3791.804</v>
      </c>
      <c r="G244" t="n">
        <v>25.548</v>
      </c>
      <c r="H244">
        <f>E244/F244</f>
        <v/>
      </c>
      <c r="I244">
        <f>((H244-$J$212)/$I$212)</f>
        <v/>
      </c>
      <c r="J244">
        <f>(I244-IF(I220&gt;0,I220,0))</f>
        <v/>
      </c>
      <c r="K244">
        <f>J244/R227*1.1</f>
        <v/>
      </c>
      <c r="L244">
        <f>AVERAGE(K244:K246)</f>
        <v/>
      </c>
      <c r="M244">
        <f>STDEV(K245:K246)</f>
        <v/>
      </c>
      <c r="N244">
        <f>_xlfn.CONCAT(ROUND(L244,1)," ± ",ROUND(M244,1))</f>
        <v/>
      </c>
    </row>
    <row r="245">
      <c r="A245" t="n">
        <v>33</v>
      </c>
      <c r="B245" t="inlineStr">
        <is>
          <t>K3-1B</t>
        </is>
      </c>
      <c r="D245" t="n">
        <v>2.85</v>
      </c>
      <c r="E245" t="n">
        <v>308.46</v>
      </c>
      <c r="F245" t="n">
        <v>3719.279</v>
      </c>
      <c r="G245" t="n">
        <v>13.311</v>
      </c>
      <c r="H245">
        <f>E245/F245</f>
        <v/>
      </c>
      <c r="I245">
        <f>((H245-$J$212)/$I$212)</f>
        <v/>
      </c>
      <c r="J245">
        <f>(I245-IF(I220&gt;0,I220,0))</f>
        <v/>
      </c>
      <c r="K245">
        <f>J245/R228*1.1</f>
        <v/>
      </c>
    </row>
    <row r="246">
      <c r="A246" t="n">
        <v>34</v>
      </c>
      <c r="B246" t="inlineStr">
        <is>
          <t>K3-1C</t>
        </is>
      </c>
      <c r="D246" t="n">
        <v>2.88</v>
      </c>
      <c r="E246" t="n">
        <v>483.143</v>
      </c>
      <c r="F246" t="n">
        <v>4814.875</v>
      </c>
      <c r="G246" t="n">
        <v>21.931</v>
      </c>
      <c r="H246">
        <f>E246/F246</f>
        <v/>
      </c>
      <c r="I246">
        <f>((H246-$J$212)/$I$212)</f>
        <v/>
      </c>
      <c r="J246">
        <f>(I246-IF(I220&gt;0,I220,0))</f>
        <v/>
      </c>
      <c r="K246">
        <f>J246/R229*1.1</f>
        <v/>
      </c>
      <c r="L246" s="23" t="inlineStr">
        <is>
          <t>Average</t>
        </is>
      </c>
      <c r="M246" s="23" t="inlineStr">
        <is>
          <t>Stdev</t>
        </is>
      </c>
      <c r="N246" s="9" t="inlineStr">
        <is>
          <t>Combined</t>
        </is>
      </c>
    </row>
    <row r="247">
      <c r="A247" t="n">
        <v>35</v>
      </c>
      <c r="B247" t="inlineStr">
        <is>
          <t>K3-2A</t>
        </is>
      </c>
      <c r="D247" t="n">
        <v>2.91</v>
      </c>
      <c r="E247" t="n">
        <v>720.6900000000001</v>
      </c>
      <c r="F247" t="n">
        <v>4565.734</v>
      </c>
      <c r="G247" t="n">
        <v>41.524</v>
      </c>
      <c r="H247">
        <f>E247/F247</f>
        <v/>
      </c>
      <c r="I247">
        <f>((H247-$J$212)/$I$212)</f>
        <v/>
      </c>
      <c r="J247">
        <f>(I247-IF(I220&gt;0,I220,0))</f>
        <v/>
      </c>
      <c r="K247">
        <f>J247/R230*1.1</f>
        <v/>
      </c>
      <c r="L247">
        <f>AVERAGE(K247:K249)</f>
        <v/>
      </c>
      <c r="M247">
        <f>STDEV(K247:K249)</f>
        <v/>
      </c>
      <c r="N247">
        <f>_xlfn.CONCAT(ROUND(L247,1)," ± ",ROUND(M247,1))</f>
        <v/>
      </c>
    </row>
    <row r="248">
      <c r="A248" t="n">
        <v>36</v>
      </c>
      <c r="B248" t="inlineStr">
        <is>
          <t>K3-2B</t>
        </is>
      </c>
      <c r="D248" t="n">
        <v>2.91</v>
      </c>
      <c r="E248" t="n">
        <v>399.606</v>
      </c>
      <c r="F248" t="n">
        <v>4775.06</v>
      </c>
      <c r="G248" t="n">
        <v>20.386</v>
      </c>
      <c r="H248">
        <f>E248/F248</f>
        <v/>
      </c>
      <c r="I248">
        <f>((H248-$J$212)/$I$212)</f>
        <v/>
      </c>
      <c r="J248">
        <f>(I248-IF(I220&gt;0,I220,0))</f>
        <v/>
      </c>
      <c r="K248">
        <f>J248/R231*1.1</f>
        <v/>
      </c>
    </row>
    <row r="249">
      <c r="A249" t="n">
        <v>37</v>
      </c>
      <c r="B249" t="inlineStr">
        <is>
          <t>K3-2C</t>
        </is>
      </c>
      <c r="D249" t="n">
        <v>2.93</v>
      </c>
      <c r="E249" t="n">
        <v>282.17</v>
      </c>
      <c r="F249" t="n">
        <v>4192.287</v>
      </c>
      <c r="G249" t="n">
        <v>10.632</v>
      </c>
      <c r="H249">
        <f>E249/F249</f>
        <v/>
      </c>
      <c r="I249">
        <f>((H249-$J$212)/$I$212)</f>
        <v/>
      </c>
      <c r="J249">
        <f>(I249-IF(I220&gt;0,I220,0))</f>
        <v/>
      </c>
      <c r="K249">
        <f>J249/R232*1.1</f>
        <v/>
      </c>
      <c r="L249" s="23" t="n"/>
      <c r="M249" s="23" t="n"/>
      <c r="N249" s="9" t="n"/>
    </row>
    <row r="250">
      <c r="A250" t="n">
        <v>38</v>
      </c>
      <c r="B250" t="inlineStr">
        <is>
          <t>MeOH</t>
        </is>
      </c>
      <c r="L250" s="23" t="inlineStr">
        <is>
          <t>Average</t>
        </is>
      </c>
      <c r="M250" s="23" t="inlineStr">
        <is>
          <t>Stdev</t>
        </is>
      </c>
      <c r="N250" s="9" t="inlineStr">
        <is>
          <t>Combined</t>
        </is>
      </c>
    </row>
    <row r="251">
      <c r="A251" t="n">
        <v>39</v>
      </c>
      <c r="B251" t="inlineStr">
        <is>
          <t>K3-3A</t>
        </is>
      </c>
      <c r="D251" t="n">
        <v>2.93</v>
      </c>
      <c r="E251" t="n">
        <v>633.702</v>
      </c>
      <c r="F251" t="n">
        <v>3883.396</v>
      </c>
      <c r="G251" t="n">
        <v>27.09</v>
      </c>
      <c r="H251">
        <f>E251/F251</f>
        <v/>
      </c>
      <c r="I251">
        <f>((H251-$J$212)/$I$212)</f>
        <v/>
      </c>
      <c r="J251">
        <f>(I251-IF(I220&gt;0,I220,0))</f>
        <v/>
      </c>
      <c r="K251">
        <f>J251/R233*1.1</f>
        <v/>
      </c>
      <c r="L251">
        <f>AVERAGE(K251:K253)</f>
        <v/>
      </c>
      <c r="M251">
        <f>STDEV(K252:K253)</f>
        <v/>
      </c>
      <c r="N251">
        <f>_xlfn.CONCAT(ROUND(L251,1)," ± ",ROUND(M251,1))</f>
        <v/>
      </c>
    </row>
    <row r="252">
      <c r="A252" t="n">
        <v>40</v>
      </c>
      <c r="B252" t="inlineStr">
        <is>
          <t>K3-3B</t>
        </is>
      </c>
      <c r="D252" t="n">
        <v>2.93</v>
      </c>
      <c r="E252" t="n">
        <v>427.724</v>
      </c>
      <c r="F252" t="n">
        <v>4786.087</v>
      </c>
      <c r="G252" t="n">
        <v>20.313</v>
      </c>
      <c r="H252">
        <f>E252/F252</f>
        <v/>
      </c>
      <c r="I252">
        <f>((H252-$J$212)/$I$212)</f>
        <v/>
      </c>
      <c r="J252">
        <f>(I252-IF(I220&gt;0,I220,0))</f>
        <v/>
      </c>
      <c r="K252">
        <f>J252/R234*1.1</f>
        <v/>
      </c>
    </row>
    <row r="253">
      <c r="A253" t="n">
        <v>41</v>
      </c>
      <c r="B253" t="inlineStr">
        <is>
          <t>K3-3C</t>
        </is>
      </c>
      <c r="D253" t="n">
        <v>2.96</v>
      </c>
      <c r="E253" t="n">
        <v>410.09</v>
      </c>
      <c r="F253" t="n">
        <v>5066.448</v>
      </c>
      <c r="G253" t="n">
        <v>16.683</v>
      </c>
      <c r="H253">
        <f>E253/F253</f>
        <v/>
      </c>
      <c r="I253">
        <f>((H253-$J$212)/$I$212)</f>
        <v/>
      </c>
      <c r="J253">
        <f>(I253-IF(I220&gt;0,I220,0))</f>
        <v/>
      </c>
      <c r="K253">
        <f>J253/R235*1.1</f>
        <v/>
      </c>
      <c r="L253" s="23" t="inlineStr">
        <is>
          <t>Average</t>
        </is>
      </c>
      <c r="M253" s="23" t="inlineStr">
        <is>
          <t>Stdev</t>
        </is>
      </c>
      <c r="N253" s="9" t="inlineStr">
        <is>
          <t>Combined</t>
        </is>
      </c>
    </row>
    <row r="254">
      <c r="A254" t="n">
        <v>42</v>
      </c>
      <c r="B254" t="inlineStr">
        <is>
          <t>K3-4A</t>
        </is>
      </c>
      <c r="D254" t="n">
        <v>2.95</v>
      </c>
      <c r="E254" t="n">
        <v>531.804</v>
      </c>
      <c r="F254" t="n">
        <v>5114.056</v>
      </c>
      <c r="G254" t="n">
        <v>29.802</v>
      </c>
      <c r="H254">
        <f>E254/F254</f>
        <v/>
      </c>
      <c r="I254">
        <f>((H254-$J$212)/$I$212)</f>
        <v/>
      </c>
      <c r="J254">
        <f>(I254-IF(I220&gt;0,I220,0))</f>
        <v/>
      </c>
      <c r="K254">
        <f>J254/R236*1.1</f>
        <v/>
      </c>
      <c r="L254">
        <f>AVERAGE(K254:K256)</f>
        <v/>
      </c>
      <c r="M254">
        <f>STDEV(K254:K256)</f>
        <v/>
      </c>
      <c r="N254">
        <f>_xlfn.CONCAT(ROUND(L254,1)," ± ",ROUND(M254,1))</f>
        <v/>
      </c>
    </row>
    <row r="255">
      <c r="A255" t="n">
        <v>43</v>
      </c>
      <c r="B255" t="inlineStr">
        <is>
          <t>K3-4B</t>
        </is>
      </c>
      <c r="D255" t="n">
        <v>2.94</v>
      </c>
      <c r="E255" t="n">
        <v>490.418</v>
      </c>
      <c r="F255" t="n">
        <v>4902.364</v>
      </c>
      <c r="G255" t="n">
        <v>19.29</v>
      </c>
      <c r="H255">
        <f>E255/F255</f>
        <v/>
      </c>
      <c r="I255">
        <f>((H255-$J$212)/$I$212)</f>
        <v/>
      </c>
      <c r="J255">
        <f>(I255-IF(I220&gt;0,I220,0))</f>
        <v/>
      </c>
      <c r="K255">
        <f>J255/R237*1.1</f>
        <v/>
      </c>
    </row>
    <row r="256">
      <c r="A256" t="n">
        <v>44</v>
      </c>
      <c r="B256" t="inlineStr">
        <is>
          <t>K3-4C</t>
        </is>
      </c>
      <c r="D256" t="n">
        <v>2.99</v>
      </c>
      <c r="E256" t="n">
        <v>595.354</v>
      </c>
      <c r="F256" t="n">
        <v>5366.199</v>
      </c>
      <c r="G256" t="n">
        <v>27.511</v>
      </c>
      <c r="H256">
        <f>E256/F256</f>
        <v/>
      </c>
      <c r="I256">
        <f>((H256-$J$212)/$I$212)</f>
        <v/>
      </c>
      <c r="J256">
        <f>(I256-IF(I220&gt;0,I220,0))</f>
        <v/>
      </c>
      <c r="K256">
        <f>J256/R238*1.1</f>
        <v/>
      </c>
      <c r="L256" s="23" t="n"/>
      <c r="M256" s="23" t="n"/>
      <c r="N256" s="9" t="n"/>
    </row>
    <row r="257">
      <c r="A257" t="n">
        <v>45</v>
      </c>
      <c r="B257" t="inlineStr">
        <is>
          <t>MeOH</t>
        </is>
      </c>
      <c r="L257" s="23" t="inlineStr">
        <is>
          <t>Average</t>
        </is>
      </c>
      <c r="M257" s="23" t="inlineStr">
        <is>
          <t>Stdev</t>
        </is>
      </c>
      <c r="N257" s="9" t="inlineStr">
        <is>
          <t>Combined</t>
        </is>
      </c>
    </row>
    <row r="258">
      <c r="A258" t="n">
        <v>46</v>
      </c>
      <c r="B258" t="inlineStr">
        <is>
          <t>K3-6A</t>
        </is>
      </c>
      <c r="D258" t="n">
        <v>3.03</v>
      </c>
      <c r="E258" t="n">
        <v>451.328</v>
      </c>
      <c r="F258" t="n">
        <v>5434.724</v>
      </c>
      <c r="G258" t="n">
        <v>17.69</v>
      </c>
      <c r="H258">
        <f>E258/F258</f>
        <v/>
      </c>
      <c r="I258">
        <f>((H258-$J$212)/$I$212)</f>
        <v/>
      </c>
      <c r="J258">
        <f>(I258-IF(I220&gt;0,I220,0))</f>
        <v/>
      </c>
      <c r="K258">
        <f>J258/R239*1.1</f>
        <v/>
      </c>
      <c r="L258">
        <f>AVERAGE(K258:K260)</f>
        <v/>
      </c>
      <c r="M258">
        <f>STDEV(K259:K260)</f>
        <v/>
      </c>
      <c r="N258">
        <f>_xlfn.CONCAT(ROUND(L258,1)," ± ",ROUND(M258,1))</f>
        <v/>
      </c>
    </row>
    <row r="259">
      <c r="A259" t="n">
        <v>47</v>
      </c>
      <c r="B259" t="inlineStr">
        <is>
          <t>K3-6B</t>
        </is>
      </c>
      <c r="D259" t="n">
        <v>3</v>
      </c>
      <c r="E259" t="n">
        <v>347.351</v>
      </c>
      <c r="F259" t="n">
        <v>4320.222</v>
      </c>
      <c r="G259" t="n">
        <v>17.248</v>
      </c>
      <c r="H259">
        <f>E259/F259</f>
        <v/>
      </c>
      <c r="I259">
        <f>((H259-$J$212)/$I$212)</f>
        <v/>
      </c>
      <c r="J259">
        <f>(I259-IF(I220&gt;0,I220,0))</f>
        <v/>
      </c>
      <c r="K259">
        <f>J259/R240*1.1</f>
        <v/>
      </c>
    </row>
    <row r="260">
      <c r="A260" t="n">
        <v>48</v>
      </c>
      <c r="B260" t="inlineStr">
        <is>
          <t>K3-6C</t>
        </is>
      </c>
      <c r="D260" t="n">
        <v>2.97</v>
      </c>
      <c r="E260" t="n">
        <v>354.678</v>
      </c>
      <c r="F260" t="n">
        <v>4778.471</v>
      </c>
      <c r="G260" t="n">
        <v>13.382</v>
      </c>
      <c r="H260">
        <f>E260/F260</f>
        <v/>
      </c>
      <c r="I260">
        <f>((H260-$J$212)/$I$212)</f>
        <v/>
      </c>
      <c r="J260">
        <f>(I260-IF(I220&gt;0,I220,0))</f>
        <v/>
      </c>
      <c r="K260">
        <f>J260/R241*1.1</f>
        <v/>
      </c>
      <c r="L260" s="23" t="n"/>
      <c r="M260" s="23" t="n"/>
      <c r="N260" s="9" t="n"/>
    </row>
    <row r="262">
      <c r="A262" s="15" t="inlineStr">
        <is>
          <t>Compound 7:  PFO4PeA 1</t>
        </is>
      </c>
      <c r="B262" s="15" t="n"/>
    </row>
    <row r="263">
      <c r="I263" t="inlineStr">
        <is>
          <t>LINEST</t>
        </is>
      </c>
      <c r="Q263" t="inlineStr">
        <is>
          <t>Biosolids Masses</t>
        </is>
      </c>
      <c r="R263" t="inlineStr">
        <is>
          <t>(g)</t>
        </is>
      </c>
    </row>
    <row r="264">
      <c r="B264" t="inlineStr">
        <is>
          <t>Sample Text</t>
        </is>
      </c>
      <c r="C264" t="inlineStr">
        <is>
          <t>Std. Conc</t>
        </is>
      </c>
      <c r="D264" t="inlineStr">
        <is>
          <t>RT</t>
        </is>
      </c>
      <c r="E264" t="inlineStr">
        <is>
          <t>Area</t>
        </is>
      </c>
      <c r="F264" t="inlineStr">
        <is>
          <t>IS Area</t>
        </is>
      </c>
      <c r="G264" t="inlineStr">
        <is>
          <t>S/N</t>
        </is>
      </c>
      <c r="H264" t="inlineStr">
        <is>
          <t>ratio</t>
        </is>
      </c>
      <c r="I264">
        <f t="array" ref="I264:J268">LINEST(H267:H271,C267:C271,1,1)</f>
        <v/>
      </c>
      <c r="J264" t="n">
        <v>-0.01249758161930264</v>
      </c>
      <c r="L264" s="20" t="inlineStr">
        <is>
          <t>By S/N Ratio</t>
        </is>
      </c>
      <c r="Q264" t="inlineStr">
        <is>
          <t>SS1</t>
        </is>
      </c>
      <c r="R264" t="n">
        <v>1.0846</v>
      </c>
    </row>
    <row r="265">
      <c r="A265" t="n">
        <v>1</v>
      </c>
      <c r="B265" t="inlineStr">
        <is>
          <t>EPA1633 &amp; diPAPs Calibration 0 ppb</t>
        </is>
      </c>
      <c r="C265" t="n">
        <v>0</v>
      </c>
      <c r="D265" t="n">
        <v>4.36</v>
      </c>
      <c r="E265" t="n">
        <v>3.865</v>
      </c>
      <c r="F265" t="n">
        <v>2771.78</v>
      </c>
      <c r="G265" t="n">
        <v>10.58</v>
      </c>
      <c r="H265">
        <f>E265/F265</f>
        <v/>
      </c>
      <c r="I265" t="n">
        <v>0.001070789840809545</v>
      </c>
      <c r="J265" t="n">
        <v>0.01075789465391581</v>
      </c>
      <c r="K265" t="inlineStr">
        <is>
          <t>LOD</t>
        </is>
      </c>
      <c r="L265" s="21">
        <f>IF(G268&gt;3,C268,IF(G269&gt;3,C269,IF(G270&gt;3,C270,IF(G271&gt;3,C271,C272))))</f>
        <v/>
      </c>
      <c r="Q265" t="inlineStr">
        <is>
          <t>SS2</t>
        </is>
      </c>
      <c r="R265" t="n">
        <v>1.0726</v>
      </c>
    </row>
    <row r="266">
      <c r="A266" t="n">
        <v>2</v>
      </c>
      <c r="B266" t="inlineStr">
        <is>
          <t>EPA1633 &amp; diPAPs Calibration 0.02 ppb</t>
        </is>
      </c>
      <c r="C266" t="n">
        <v>0.04</v>
      </c>
      <c r="D266" t="n">
        <v>3.95</v>
      </c>
      <c r="E266" t="n">
        <v>33.153</v>
      </c>
      <c r="F266" t="n">
        <v>2613.678</v>
      </c>
      <c r="G266" t="n">
        <v>21.584</v>
      </c>
      <c r="H266">
        <f>E266/F266</f>
        <v/>
      </c>
      <c r="I266" t="n">
        <v>0.9985466116694063</v>
      </c>
      <c r="J266" t="n">
        <v>0.01813653750215143</v>
      </c>
      <c r="K266" t="inlineStr">
        <is>
          <t>LOQ</t>
        </is>
      </c>
      <c r="L266" s="22">
        <f>IF(G268&gt;10,C268,IF(G269&gt;10,C269,IF(G270&gt;10,C270,IF(G271&gt;10,C271,C272))))</f>
        <v/>
      </c>
      <c r="Q266" t="inlineStr">
        <is>
          <t>SS3</t>
        </is>
      </c>
      <c r="R266" t="n">
        <v>1.1534</v>
      </c>
    </row>
    <row r="267">
      <c r="A267" t="n">
        <v>3</v>
      </c>
      <c r="B267" t="inlineStr">
        <is>
          <t>EPA1633 &amp; diPAPs Calibration 0.1 ppb</t>
        </is>
      </c>
      <c r="C267" t="n">
        <v>0.2</v>
      </c>
      <c r="D267" t="n">
        <v>3.96</v>
      </c>
      <c r="E267" t="n">
        <v>27.823</v>
      </c>
      <c r="F267" t="n">
        <v>2704.411</v>
      </c>
      <c r="G267" t="n">
        <v>25.219</v>
      </c>
      <c r="H267">
        <f>E267/F267</f>
        <v/>
      </c>
      <c r="I267" t="n">
        <v>2061.142071908992</v>
      </c>
      <c r="J267" t="n">
        <v>3</v>
      </c>
      <c r="Q267" t="inlineStr">
        <is>
          <t>K4-1A</t>
        </is>
      </c>
      <c r="R267" t="n">
        <v>1.0267</v>
      </c>
    </row>
    <row r="268">
      <c r="A268" t="n">
        <v>4</v>
      </c>
      <c r="B268" t="inlineStr">
        <is>
          <t>EPA1633 &amp; diPAPs Calibration 0.4 ppb</t>
        </is>
      </c>
      <c r="C268" t="n">
        <v>0.8</v>
      </c>
      <c r="D268" t="n">
        <v>4.01</v>
      </c>
      <c r="E268" t="n">
        <v>102.274</v>
      </c>
      <c r="F268" t="n">
        <v>2633.712</v>
      </c>
      <c r="G268" t="n">
        <v>15.011</v>
      </c>
      <c r="H268">
        <f>E268/F268</f>
        <v/>
      </c>
      <c r="I268" t="n">
        <v>0.6779796909607301</v>
      </c>
      <c r="J268" t="n">
        <v>0.0009868019777008353</v>
      </c>
      <c r="Q268" t="inlineStr">
        <is>
          <t>K4-1B</t>
        </is>
      </c>
      <c r="R268" t="n">
        <v>1.1481</v>
      </c>
    </row>
    <row r="269">
      <c r="A269" t="n">
        <v>5</v>
      </c>
      <c r="B269" t="inlineStr">
        <is>
          <t>EPA1633 &amp; diPAPs Calibration 1 ppb</t>
        </is>
      </c>
      <c r="C269" t="n">
        <v>2</v>
      </c>
      <c r="D269" t="n">
        <v>4.01</v>
      </c>
      <c r="E269" t="n">
        <v>181.639</v>
      </c>
      <c r="F269" t="n">
        <v>2798.003</v>
      </c>
      <c r="G269" t="n">
        <v>51.583</v>
      </c>
      <c r="H269">
        <f>E269/F269</f>
        <v/>
      </c>
      <c r="Q269" t="inlineStr">
        <is>
          <t>K4-1C</t>
        </is>
      </c>
      <c r="R269" t="n">
        <v>1.0402</v>
      </c>
    </row>
    <row r="270">
      <c r="A270" t="n">
        <v>6</v>
      </c>
      <c r="B270" t="inlineStr">
        <is>
          <t>EPA1633 &amp; diPAPs Calibration 5 ppb</t>
        </is>
      </c>
      <c r="C270" t="n">
        <v>10</v>
      </c>
      <c r="D270" t="n">
        <v>3.76</v>
      </c>
      <c r="E270" t="n">
        <v>1061.191</v>
      </c>
      <c r="F270" t="n">
        <v>2309.18</v>
      </c>
      <c r="G270" t="n">
        <v>199.208</v>
      </c>
      <c r="H270">
        <f>E270/F270</f>
        <v/>
      </c>
      <c r="Q270" t="inlineStr">
        <is>
          <t>K4-2A</t>
        </is>
      </c>
      <c r="R270" t="n">
        <v>1.127</v>
      </c>
    </row>
    <row r="271">
      <c r="A271" t="n">
        <v>7</v>
      </c>
      <c r="B271" t="inlineStr">
        <is>
          <t>EPA1633 &amp; diPAPs Calibration 10 ppb</t>
        </is>
      </c>
      <c r="C271" t="n">
        <v>20</v>
      </c>
      <c r="D271" t="n">
        <v>3.84</v>
      </c>
      <c r="E271" t="n">
        <v>2006.837</v>
      </c>
      <c r="F271" t="n">
        <v>2072.812</v>
      </c>
      <c r="G271" t="n">
        <v>1276.376</v>
      </c>
      <c r="H271">
        <f>E271/F271</f>
        <v/>
      </c>
      <c r="I271" s="23" t="inlineStr">
        <is>
          <t>Background</t>
        </is>
      </c>
      <c r="J271" s="23" t="inlineStr">
        <is>
          <t>Spike</t>
        </is>
      </c>
      <c r="K271" s="9" t="inlineStr">
        <is>
          <t>Old Spike</t>
        </is>
      </c>
      <c r="O271" s="24" t="inlineStr">
        <is>
          <t>±</t>
        </is>
      </c>
      <c r="Q271" t="inlineStr">
        <is>
          <t>K4-2B</t>
        </is>
      </c>
      <c r="R271" t="n">
        <v>1.1154</v>
      </c>
    </row>
    <row r="272">
      <c r="A272" t="n">
        <v>8</v>
      </c>
      <c r="B272" t="inlineStr">
        <is>
          <t>EPA1633 &amp; diPAPs Calibration 20 ppb</t>
        </is>
      </c>
      <c r="C272" t="n">
        <v>40</v>
      </c>
      <c r="D272" t="n">
        <v>3.92</v>
      </c>
      <c r="E272" t="n">
        <v>4301.419</v>
      </c>
      <c r="F272" t="n">
        <v>1703.301</v>
      </c>
      <c r="G272" t="n">
        <v>188.247</v>
      </c>
      <c r="H272">
        <f>E272/F272</f>
        <v/>
      </c>
      <c r="I272">
        <f>AVERAGE(I275:I277)</f>
        <v/>
      </c>
      <c r="J272" t="n">
        <v>22</v>
      </c>
      <c r="Q272" t="inlineStr">
        <is>
          <t>K4-2C</t>
        </is>
      </c>
      <c r="R272" t="n">
        <v>1.1711</v>
      </c>
    </row>
    <row r="273">
      <c r="A273" t="n">
        <v>9</v>
      </c>
      <c r="B273" t="inlineStr">
        <is>
          <t>MeOH</t>
        </is>
      </c>
      <c r="D273" t="n">
        <v>3.73</v>
      </c>
      <c r="E273" t="n">
        <v>4.982</v>
      </c>
      <c r="G273" t="n">
        <v>2.584</v>
      </c>
      <c r="I273" s="23" t="inlineStr">
        <is>
          <t>Conc.In Vial (ppb)</t>
        </is>
      </c>
      <c r="J273" s="9" t="inlineStr">
        <is>
          <t>Corr. Conc.(ppb)</t>
        </is>
      </c>
      <c r="K273" s="9" t="inlineStr">
        <is>
          <t>Conc. In soil (ng/g)</t>
        </is>
      </c>
      <c r="Q273" t="inlineStr">
        <is>
          <t>K4-4A</t>
        </is>
      </c>
      <c r="R273" t="n">
        <v>1.0932</v>
      </c>
    </row>
    <row r="274">
      <c r="A274" t="n">
        <v>10</v>
      </c>
      <c r="B274" t="inlineStr">
        <is>
          <t>MeOH</t>
        </is>
      </c>
      <c r="D274" t="n">
        <v>4.01</v>
      </c>
      <c r="E274" t="n">
        <v>11.974</v>
      </c>
      <c r="G274" t="n">
        <v>4.98</v>
      </c>
      <c r="L274" s="23" t="inlineStr">
        <is>
          <t>Average</t>
        </is>
      </c>
      <c r="M274" s="23" t="inlineStr">
        <is>
          <t>Stdev</t>
        </is>
      </c>
      <c r="N274" s="9" t="inlineStr">
        <is>
          <t>Combined</t>
        </is>
      </c>
      <c r="O274" s="9" t="n"/>
      <c r="P274" s="9" t="n"/>
      <c r="Q274" t="inlineStr">
        <is>
          <t>K4-4B</t>
        </is>
      </c>
      <c r="R274" t="n">
        <v>1.15</v>
      </c>
    </row>
    <row r="275">
      <c r="A275" t="n">
        <v>11</v>
      </c>
      <c r="B275" t="inlineStr">
        <is>
          <t>SB1</t>
        </is>
      </c>
      <c r="D275" t="n">
        <v>4.13</v>
      </c>
      <c r="E275" t="n">
        <v>13.966</v>
      </c>
      <c r="F275" t="n">
        <v>802.6180000000001</v>
      </c>
      <c r="G275" t="n">
        <v>5.298</v>
      </c>
      <c r="H275">
        <f>E275/F275</f>
        <v/>
      </c>
      <c r="I275">
        <f>((H275-$J$264)/$I$264)</f>
        <v/>
      </c>
      <c r="J275">
        <f>(I275-IF(I272&gt;0,I272,0))</f>
        <v/>
      </c>
      <c r="K275">
        <f>J275*1.1</f>
        <v/>
      </c>
      <c r="L275">
        <f>AVERAGE(K275:K277)</f>
        <v/>
      </c>
      <c r="M275">
        <f>STDEV(K276:K277)</f>
        <v/>
      </c>
      <c r="N275">
        <f>_xlfn.CONCAT(ROUND(L275,1)," ± ",ROUND(M275,1))</f>
        <v/>
      </c>
      <c r="Q275" t="inlineStr">
        <is>
          <t>K4-4C</t>
        </is>
      </c>
      <c r="R275" t="n">
        <v>1.0482</v>
      </c>
    </row>
    <row r="276">
      <c r="A276" t="n">
        <v>12</v>
      </c>
      <c r="B276" t="inlineStr">
        <is>
          <t>SB2</t>
        </is>
      </c>
      <c r="D276" t="n">
        <v>4.09</v>
      </c>
      <c r="E276" t="n">
        <v>16.259</v>
      </c>
      <c r="F276" t="n">
        <v>1039.268</v>
      </c>
      <c r="G276" t="n">
        <v>5.317</v>
      </c>
      <c r="H276">
        <f>E276/F276</f>
        <v/>
      </c>
      <c r="I276">
        <f>((H276-$J$264)/$I$264)</f>
        <v/>
      </c>
      <c r="J276">
        <f>(I276-IF(I272&gt;0,I272,0))</f>
        <v/>
      </c>
      <c r="K276">
        <f>J276*1.1</f>
        <v/>
      </c>
      <c r="Q276" t="inlineStr">
        <is>
          <t>K4-5A</t>
        </is>
      </c>
      <c r="R276" t="n">
        <v>1.1054</v>
      </c>
    </row>
    <row r="277">
      <c r="A277" t="n">
        <v>13</v>
      </c>
      <c r="B277" t="inlineStr">
        <is>
          <t>SB3</t>
        </is>
      </c>
      <c r="D277" t="n">
        <v>4.16</v>
      </c>
      <c r="E277" t="n">
        <v>11.507</v>
      </c>
      <c r="F277" t="n">
        <v>1005.736</v>
      </c>
      <c r="G277" t="n">
        <v>4.611</v>
      </c>
      <c r="H277">
        <f>E277/F277</f>
        <v/>
      </c>
      <c r="I277">
        <f>((H277-$J$264)/$I$264)</f>
        <v/>
      </c>
      <c r="J277">
        <f>(I277-IF(I272&gt;0,I272,0))</f>
        <v/>
      </c>
      <c r="K277" s="30">
        <f>J277*1.1</f>
        <v/>
      </c>
      <c r="L277" s="25" t="inlineStr">
        <is>
          <t>Average</t>
        </is>
      </c>
      <c r="M277" s="25" t="inlineStr">
        <is>
          <t>Stdev</t>
        </is>
      </c>
      <c r="N277" s="26" t="inlineStr">
        <is>
          <t>%Recovery</t>
        </is>
      </c>
      <c r="O277" s="26" t="inlineStr">
        <is>
          <t>Uncertainty</t>
        </is>
      </c>
      <c r="P277" s="26" t="inlineStr">
        <is>
          <t>Combined</t>
        </is>
      </c>
      <c r="Q277" t="inlineStr">
        <is>
          <t>K4-5B</t>
        </is>
      </c>
      <c r="R277" s="10" t="n">
        <v>1.0463</v>
      </c>
    </row>
    <row r="278">
      <c r="A278" t="n">
        <v>14</v>
      </c>
      <c r="B278" t="inlineStr">
        <is>
          <t>SS1</t>
        </is>
      </c>
      <c r="D278" t="n">
        <v>4.2</v>
      </c>
      <c r="E278" t="n">
        <v>735.501</v>
      </c>
      <c r="F278" t="n">
        <v>860.02</v>
      </c>
      <c r="G278" t="n">
        <v>148.767</v>
      </c>
      <c r="H278">
        <f>E278/F278</f>
        <v/>
      </c>
      <c r="I278">
        <f>((H278-$J$264)/$I$264)</f>
        <v/>
      </c>
      <c r="J278">
        <f>(I278-IF(I272&gt;0,I272,0))</f>
        <v/>
      </c>
      <c r="K278">
        <f>J278/R264*1.1</f>
        <v/>
      </c>
      <c r="L278" s="27">
        <f>AVERAGE(K278:K280)</f>
        <v/>
      </c>
      <c r="M278" s="27">
        <f>STDEV(K278:K280)</f>
        <v/>
      </c>
      <c r="N278" s="28">
        <f>L278/J272*100</f>
        <v/>
      </c>
      <c r="O278" s="29">
        <f>M278/J275*100</f>
        <v/>
      </c>
      <c r="P278" s="29">
        <f>_xlfn.CONCAT(ROUND(N278,1)," ± ",ROUND(O278,1))</f>
        <v/>
      </c>
      <c r="Q278" t="inlineStr">
        <is>
          <t>K4-5C</t>
        </is>
      </c>
      <c r="R278" t="n">
        <v>1.1155</v>
      </c>
    </row>
    <row r="279">
      <c r="A279" t="n">
        <v>15</v>
      </c>
      <c r="B279" t="inlineStr">
        <is>
          <t>SS2</t>
        </is>
      </c>
      <c r="D279" t="n">
        <v>4.23</v>
      </c>
      <c r="E279" t="n">
        <v>849.178</v>
      </c>
      <c r="F279" t="n">
        <v>1205.224</v>
      </c>
      <c r="G279" t="n">
        <v>308.315</v>
      </c>
      <c r="H279">
        <f>E279/F279</f>
        <v/>
      </c>
      <c r="I279">
        <f>((H279-$J$264)/$I$264)</f>
        <v/>
      </c>
      <c r="J279">
        <f>(I279-IF(I272&gt;0,I272,0))</f>
        <v/>
      </c>
      <c r="K279">
        <f>J279/R265*1.1</f>
        <v/>
      </c>
      <c r="Q279" t="inlineStr">
        <is>
          <t>K3-1A</t>
        </is>
      </c>
      <c r="R279" t="n">
        <v>1.0874</v>
      </c>
    </row>
    <row r="280">
      <c r="A280" t="n">
        <v>16</v>
      </c>
      <c r="B280" t="inlineStr">
        <is>
          <t>SS3</t>
        </is>
      </c>
      <c r="D280" t="n">
        <v>4.23</v>
      </c>
      <c r="E280" t="n">
        <v>818.896</v>
      </c>
      <c r="F280" t="n">
        <v>953.783</v>
      </c>
      <c r="G280" t="n">
        <v>120.537</v>
      </c>
      <c r="H280">
        <f>E280/F280</f>
        <v/>
      </c>
      <c r="I280">
        <f>((H280-$J$264)/$I$264)</f>
        <v/>
      </c>
      <c r="J280">
        <f>(I280-IF(I272&gt;0,I272,0))</f>
        <v/>
      </c>
      <c r="K280" s="30">
        <f>J280/R266*1.1</f>
        <v/>
      </c>
      <c r="Q280" t="inlineStr">
        <is>
          <t>K3-1B</t>
        </is>
      </c>
      <c r="R280" t="n">
        <v>1.0898</v>
      </c>
    </row>
    <row r="281">
      <c r="A281" t="n">
        <v>17</v>
      </c>
      <c r="B281" t="inlineStr">
        <is>
          <t>MeOH</t>
        </is>
      </c>
      <c r="L281" s="23" t="inlineStr">
        <is>
          <t>Average</t>
        </is>
      </c>
      <c r="M281" s="23" t="inlineStr">
        <is>
          <t>Stdev</t>
        </is>
      </c>
      <c r="N281" s="9" t="inlineStr">
        <is>
          <t>Combined</t>
        </is>
      </c>
      <c r="Q281" t="inlineStr">
        <is>
          <t>K3-1C</t>
        </is>
      </c>
      <c r="R281" t="n">
        <v>1.0536</v>
      </c>
    </row>
    <row r="282">
      <c r="A282" t="n">
        <v>18</v>
      </c>
      <c r="B282" t="inlineStr">
        <is>
          <t>K4-1A</t>
        </is>
      </c>
      <c r="D282" t="n">
        <v>4.23</v>
      </c>
      <c r="E282" t="n">
        <v>14.123</v>
      </c>
      <c r="F282" t="n">
        <v>1575.246</v>
      </c>
      <c r="G282" t="n">
        <v>2.913</v>
      </c>
      <c r="H282">
        <f>E282/F282</f>
        <v/>
      </c>
      <c r="I282">
        <f>((H282-$J$264)/$I$264)</f>
        <v/>
      </c>
      <c r="J282">
        <f>(I282-IF(I272&gt;0,I272,0))</f>
        <v/>
      </c>
      <c r="K282">
        <f>J282/R267*1.1</f>
        <v/>
      </c>
      <c r="L282">
        <f>AVERAGE(K282:K284)</f>
        <v/>
      </c>
      <c r="M282">
        <f>STDEV(K283:K284)</f>
        <v/>
      </c>
      <c r="N282">
        <f>_xlfn.CONCAT(ROUND(L282,1)," ± ",ROUND(M282,1))</f>
        <v/>
      </c>
      <c r="Q282" t="inlineStr">
        <is>
          <t>K3-2A</t>
        </is>
      </c>
      <c r="R282" s="10" t="n">
        <v>1.1218</v>
      </c>
    </row>
    <row r="283">
      <c r="A283" t="n">
        <v>19</v>
      </c>
      <c r="B283" t="inlineStr">
        <is>
          <t>K4-1B</t>
        </is>
      </c>
      <c r="D283" t="n">
        <v>4.22</v>
      </c>
      <c r="E283" t="n">
        <v>11.391</v>
      </c>
      <c r="F283" t="n">
        <v>1550.869</v>
      </c>
      <c r="G283" t="n">
        <v>2.766</v>
      </c>
      <c r="H283">
        <f>E283/F283</f>
        <v/>
      </c>
      <c r="I283">
        <f>((H283-$J$264)/$I$264)</f>
        <v/>
      </c>
      <c r="J283">
        <f>(I283-IF(I272&gt;0,I272,0))</f>
        <v/>
      </c>
      <c r="K283">
        <f>J283/R268*1.1</f>
        <v/>
      </c>
      <c r="Q283" t="inlineStr">
        <is>
          <t>K3-2B</t>
        </is>
      </c>
      <c r="R283" t="n">
        <v>1.198</v>
      </c>
    </row>
    <row r="284">
      <c r="A284" t="n">
        <v>20</v>
      </c>
      <c r="B284" t="inlineStr">
        <is>
          <t>K4-1C</t>
        </is>
      </c>
      <c r="D284" t="n">
        <v>4.25</v>
      </c>
      <c r="E284" t="n">
        <v>15</v>
      </c>
      <c r="F284" t="n">
        <v>1163.846</v>
      </c>
      <c r="G284" t="n">
        <v>3.906</v>
      </c>
      <c r="H284">
        <f>E284/F284</f>
        <v/>
      </c>
      <c r="I284">
        <f>((H284-$J$264)/$I$264)</f>
        <v/>
      </c>
      <c r="J284">
        <f>(I284-IF(I272&gt;0,I272,0))</f>
        <v/>
      </c>
      <c r="K284">
        <f>J284/R269*1.1</f>
        <v/>
      </c>
      <c r="L284" s="23" t="inlineStr">
        <is>
          <t>Average</t>
        </is>
      </c>
      <c r="M284" s="23" t="inlineStr">
        <is>
          <t>Stdev</t>
        </is>
      </c>
      <c r="N284" s="9" t="inlineStr">
        <is>
          <t>Combined</t>
        </is>
      </c>
      <c r="Q284" t="inlineStr">
        <is>
          <t>K3-2C</t>
        </is>
      </c>
      <c r="R284" t="n">
        <v>1.1538</v>
      </c>
    </row>
    <row r="285">
      <c r="A285" t="n">
        <v>21</v>
      </c>
      <c r="B285" t="inlineStr">
        <is>
          <t>K4-2A</t>
        </is>
      </c>
      <c r="D285" t="n">
        <v>4.28</v>
      </c>
      <c r="E285" t="n">
        <v>27.969</v>
      </c>
      <c r="F285" t="n">
        <v>1084.067</v>
      </c>
      <c r="G285" t="n">
        <v>5.6</v>
      </c>
      <c r="H285">
        <f>E285/F285</f>
        <v/>
      </c>
      <c r="I285">
        <f>((H285-$J$264)/$I$264)</f>
        <v/>
      </c>
      <c r="J285">
        <f>(I285-IF(I272&gt;0,I272,0))</f>
        <v/>
      </c>
      <c r="K285">
        <f>J285/R270*1.1</f>
        <v/>
      </c>
      <c r="L285">
        <f>AVERAGE(K285:K287)</f>
        <v/>
      </c>
      <c r="M285">
        <f>STDEV(K285:K287)</f>
        <v/>
      </c>
      <c r="N285">
        <f>_xlfn.CONCAT(ROUND(L285,1)," ± ",ROUND(M285,1))</f>
        <v/>
      </c>
      <c r="Q285" t="inlineStr">
        <is>
          <t>K3-3A</t>
        </is>
      </c>
      <c r="R285" t="n">
        <v>1.1183</v>
      </c>
    </row>
    <row r="286">
      <c r="A286" t="n">
        <v>22</v>
      </c>
      <c r="B286" t="inlineStr">
        <is>
          <t>K4-2B</t>
        </is>
      </c>
      <c r="D286" t="n">
        <v>4.39</v>
      </c>
      <c r="E286" t="n">
        <v>4.3</v>
      </c>
      <c r="F286" t="n">
        <v>1044.51</v>
      </c>
      <c r="G286" t="n">
        <v>1.632</v>
      </c>
      <c r="H286">
        <f>E286/F286</f>
        <v/>
      </c>
      <c r="I286">
        <f>((H286-$J$264)/$I$264)</f>
        <v/>
      </c>
      <c r="J286">
        <f>(I286-IF(I272&gt;0,I272,0))</f>
        <v/>
      </c>
      <c r="K286">
        <f>J286/R271*1.1</f>
        <v/>
      </c>
      <c r="Q286" t="inlineStr">
        <is>
          <t>K3-3B</t>
        </is>
      </c>
      <c r="R286" t="n">
        <v>1.1448</v>
      </c>
    </row>
    <row r="287">
      <c r="A287" t="n">
        <v>23</v>
      </c>
      <c r="B287" t="inlineStr">
        <is>
          <t>K4-2C</t>
        </is>
      </c>
      <c r="D287" t="n">
        <v>4.24</v>
      </c>
      <c r="E287" t="n">
        <v>7.604</v>
      </c>
      <c r="F287" t="n">
        <v>1020.096</v>
      </c>
      <c r="G287" t="n">
        <v>2.383</v>
      </c>
      <c r="H287">
        <f>E287/F287</f>
        <v/>
      </c>
      <c r="I287">
        <f>((H287-$J$264)/$I$264)</f>
        <v/>
      </c>
      <c r="J287">
        <f>(I287-IF(I272&gt;0,I272,0))</f>
        <v/>
      </c>
      <c r="K287">
        <f>J287/R272*1.1</f>
        <v/>
      </c>
      <c r="L287" s="23" t="n"/>
      <c r="M287" s="23" t="n"/>
      <c r="N287" s="9" t="n"/>
      <c r="Q287" t="inlineStr">
        <is>
          <t>K3-3C</t>
        </is>
      </c>
      <c r="R287" t="n">
        <v>1.0493</v>
      </c>
    </row>
    <row r="288">
      <c r="A288" t="n">
        <v>24</v>
      </c>
      <c r="B288" t="inlineStr">
        <is>
          <t>MeOH</t>
        </is>
      </c>
      <c r="L288" s="23" t="inlineStr">
        <is>
          <t>Average</t>
        </is>
      </c>
      <c r="M288" s="23" t="inlineStr">
        <is>
          <t>Stdev</t>
        </is>
      </c>
      <c r="N288" s="9" t="inlineStr">
        <is>
          <t>Combined</t>
        </is>
      </c>
      <c r="Q288" t="inlineStr">
        <is>
          <t>K3-4A</t>
        </is>
      </c>
      <c r="R288" t="n">
        <v>1.0704</v>
      </c>
    </row>
    <row r="289">
      <c r="A289" t="n">
        <v>25</v>
      </c>
      <c r="B289" t="inlineStr">
        <is>
          <t>K4-4A</t>
        </is>
      </c>
      <c r="D289" t="n">
        <v>4.23</v>
      </c>
      <c r="E289" t="n">
        <v>16.224</v>
      </c>
      <c r="F289" t="n">
        <v>1051.351</v>
      </c>
      <c r="G289" t="n">
        <v>2.793</v>
      </c>
      <c r="H289">
        <f>E289/F289</f>
        <v/>
      </c>
      <c r="I289">
        <f>((H289-$J$264)/$I$264)</f>
        <v/>
      </c>
      <c r="J289">
        <f>(I289-IF(I272&gt;0,I272,0))</f>
        <v/>
      </c>
      <c r="K289">
        <f>J289/R273*1.1</f>
        <v/>
      </c>
      <c r="L289">
        <f>AVERAGE(K289:K291)</f>
        <v/>
      </c>
      <c r="M289">
        <f>STDEV(K290:K291)</f>
        <v/>
      </c>
      <c r="N289">
        <f>_xlfn.CONCAT(ROUND(L289,1)," ± ",ROUND(M289,1))</f>
        <v/>
      </c>
      <c r="Q289" t="inlineStr">
        <is>
          <t>K3-4B</t>
        </is>
      </c>
      <c r="R289" t="n">
        <v>1.1589</v>
      </c>
    </row>
    <row r="290">
      <c r="A290" t="n">
        <v>26</v>
      </c>
      <c r="B290" t="inlineStr">
        <is>
          <t>K4-4B</t>
        </is>
      </c>
      <c r="D290" t="n">
        <v>4.25</v>
      </c>
      <c r="E290" t="n">
        <v>21.336</v>
      </c>
      <c r="F290" t="n">
        <v>1035.151</v>
      </c>
      <c r="G290" t="n">
        <v>15.61</v>
      </c>
      <c r="H290">
        <f>E290/F290</f>
        <v/>
      </c>
      <c r="I290">
        <f>((H290-$J$264)/$I$264)</f>
        <v/>
      </c>
      <c r="J290">
        <f>(I290-IF(I272&gt;0,I272,0))</f>
        <v/>
      </c>
      <c r="K290">
        <f>J290/R274*1.1</f>
        <v/>
      </c>
      <c r="Q290" t="inlineStr">
        <is>
          <t>K3-4C</t>
        </is>
      </c>
      <c r="R290" t="n">
        <v>1.0206</v>
      </c>
    </row>
    <row r="291">
      <c r="A291" t="n">
        <v>27</v>
      </c>
      <c r="B291" t="inlineStr">
        <is>
          <t>K4-4C</t>
        </is>
      </c>
      <c r="D291" t="n">
        <v>4.25</v>
      </c>
      <c r="E291" t="n">
        <v>22.314</v>
      </c>
      <c r="F291" t="n">
        <v>822.99</v>
      </c>
      <c r="G291" t="n">
        <v>5.204</v>
      </c>
      <c r="H291">
        <f>E291/F291</f>
        <v/>
      </c>
      <c r="I291">
        <f>((H291-$J$264)/$I$264)</f>
        <v/>
      </c>
      <c r="J291">
        <f>(I291-IF(I272&gt;0,I272,0))</f>
        <v/>
      </c>
      <c r="K291">
        <f>J291/R275*1.1</f>
        <v/>
      </c>
      <c r="L291" s="23" t="inlineStr">
        <is>
          <t>Average</t>
        </is>
      </c>
      <c r="M291" s="23" t="inlineStr">
        <is>
          <t>Stdev</t>
        </is>
      </c>
      <c r="N291" s="9" t="inlineStr">
        <is>
          <t>Combined</t>
        </is>
      </c>
      <c r="Q291" t="inlineStr">
        <is>
          <t>K3-6A</t>
        </is>
      </c>
      <c r="R291" t="n">
        <v>1.1289</v>
      </c>
    </row>
    <row r="292">
      <c r="A292" t="n">
        <v>28</v>
      </c>
      <c r="B292" t="inlineStr">
        <is>
          <t>K4-5A</t>
        </is>
      </c>
      <c r="D292" t="n">
        <v>4.23</v>
      </c>
      <c r="E292" t="n">
        <v>33.036</v>
      </c>
      <c r="F292" t="n">
        <v>985.0170000000001</v>
      </c>
      <c r="G292" t="n">
        <v>18.12</v>
      </c>
      <c r="H292">
        <f>E292/F292</f>
        <v/>
      </c>
      <c r="I292">
        <f>((H292-$J$264)/$I$264)</f>
        <v/>
      </c>
      <c r="J292">
        <f>(I292-IF(I272&gt;0,I272,0))</f>
        <v/>
      </c>
      <c r="K292">
        <f>J292/R276*1.1</f>
        <v/>
      </c>
      <c r="L292">
        <f>AVERAGE(K292:K294)</f>
        <v/>
      </c>
      <c r="M292">
        <f>STDEV(K292:K294)</f>
        <v/>
      </c>
      <c r="N292">
        <f>_xlfn.CONCAT(ROUND(L292,1)," ± ",ROUND(M292,1))</f>
        <v/>
      </c>
      <c r="Q292" t="inlineStr">
        <is>
          <t>K3-6B</t>
        </is>
      </c>
      <c r="R292" t="n">
        <v>1.195</v>
      </c>
    </row>
    <row r="293">
      <c r="A293" t="n">
        <v>29</v>
      </c>
      <c r="B293" t="inlineStr">
        <is>
          <t>K4-5B</t>
        </is>
      </c>
      <c r="D293" t="n">
        <v>4.2</v>
      </c>
      <c r="E293" t="n">
        <v>17.593</v>
      </c>
      <c r="F293" t="n">
        <v>1024.411</v>
      </c>
      <c r="G293" t="n">
        <v>1.651</v>
      </c>
      <c r="H293">
        <f>E293/F293</f>
        <v/>
      </c>
      <c r="I293">
        <f>((H293-$J$264)/$I$264)</f>
        <v/>
      </c>
      <c r="J293">
        <f>(I293-IF(I272&gt;0,I272,0))</f>
        <v/>
      </c>
      <c r="K293">
        <f>J293/R277*1.1</f>
        <v/>
      </c>
      <c r="Q293" t="inlineStr">
        <is>
          <t>K3-6C</t>
        </is>
      </c>
      <c r="R293" t="n">
        <v>1.1716</v>
      </c>
    </row>
    <row r="294">
      <c r="A294" t="n">
        <v>30</v>
      </c>
      <c r="B294" t="inlineStr">
        <is>
          <t>K4-5C</t>
        </is>
      </c>
      <c r="D294" t="n">
        <v>4.17</v>
      </c>
      <c r="E294" t="n">
        <v>12.384</v>
      </c>
      <c r="F294" t="n">
        <v>1313.31</v>
      </c>
      <c r="G294" t="n">
        <v>1.766</v>
      </c>
      <c r="H294">
        <f>E294/F294</f>
        <v/>
      </c>
      <c r="I294">
        <f>((H294-$J$264)/$I$264)</f>
        <v/>
      </c>
      <c r="J294">
        <f>(I294-IF(I272&gt;0,I272,0))</f>
        <v/>
      </c>
      <c r="K294">
        <f>J294/R278*1.1</f>
        <v/>
      </c>
      <c r="L294" s="23" t="n"/>
      <c r="M294" s="23" t="n"/>
      <c r="N294" s="9" t="n"/>
    </row>
    <row r="295">
      <c r="A295" t="n">
        <v>31</v>
      </c>
      <c r="B295" t="inlineStr">
        <is>
          <t>MeOH</t>
        </is>
      </c>
      <c r="L295" s="23" t="inlineStr">
        <is>
          <t>Average</t>
        </is>
      </c>
      <c r="M295" s="23" t="inlineStr">
        <is>
          <t>Stdev</t>
        </is>
      </c>
      <c r="N295" s="9" t="inlineStr">
        <is>
          <t>Combined</t>
        </is>
      </c>
    </row>
    <row r="296">
      <c r="A296" t="n">
        <v>32</v>
      </c>
      <c r="B296" t="inlineStr">
        <is>
          <t>K3-1A</t>
        </is>
      </c>
      <c r="D296" t="n">
        <v>4.2</v>
      </c>
      <c r="E296" t="n">
        <v>7.371</v>
      </c>
      <c r="F296" t="n">
        <v>1115.547</v>
      </c>
      <c r="G296" t="n">
        <v>2.428</v>
      </c>
      <c r="H296">
        <f>E296/F296</f>
        <v/>
      </c>
      <c r="I296">
        <f>((H296-$J$264)/$I$264)</f>
        <v/>
      </c>
      <c r="J296">
        <f>(I296-IF(I272&gt;0,I272,0))</f>
        <v/>
      </c>
      <c r="K296">
        <f>J296/R279*1.1</f>
        <v/>
      </c>
      <c r="L296">
        <f>AVERAGE(K296:K298)</f>
        <v/>
      </c>
      <c r="M296">
        <f>STDEV(K297:K298)</f>
        <v/>
      </c>
      <c r="N296">
        <f>_xlfn.CONCAT(ROUND(L296,1)," ± ",ROUND(M296,1))</f>
        <v/>
      </c>
    </row>
    <row r="297">
      <c r="A297" t="n">
        <v>33</v>
      </c>
      <c r="B297" t="inlineStr">
        <is>
          <t>K3-1B</t>
        </is>
      </c>
      <c r="D297" t="n">
        <v>3.97</v>
      </c>
      <c r="E297" t="n">
        <v>17.072</v>
      </c>
      <c r="F297" t="n">
        <v>868.492</v>
      </c>
      <c r="G297" t="n">
        <v>8.59</v>
      </c>
      <c r="H297">
        <f>E297/F297</f>
        <v/>
      </c>
      <c r="I297">
        <f>((H297-$J$264)/$I$264)</f>
        <v/>
      </c>
      <c r="J297">
        <f>(I297-IF(I272&gt;0,I272,0))</f>
        <v/>
      </c>
      <c r="K297">
        <f>J297/R280*1.1</f>
        <v/>
      </c>
    </row>
    <row r="298">
      <c r="A298" t="n">
        <v>34</v>
      </c>
      <c r="B298" t="inlineStr">
        <is>
          <t>K3-1C</t>
        </is>
      </c>
      <c r="D298" t="n">
        <v>4.25</v>
      </c>
      <c r="E298" t="n">
        <v>5.644</v>
      </c>
      <c r="F298" t="n">
        <v>1891.713</v>
      </c>
      <c r="G298" t="n">
        <v>2.268</v>
      </c>
      <c r="H298">
        <f>E298/F298</f>
        <v/>
      </c>
      <c r="I298">
        <f>((H298-$J$264)/$I$264)</f>
        <v/>
      </c>
      <c r="J298">
        <f>(I298-IF(I272&gt;0,I272,0))</f>
        <v/>
      </c>
      <c r="K298">
        <f>J298/R281*1.1</f>
        <v/>
      </c>
      <c r="L298" s="23" t="inlineStr">
        <is>
          <t>Average</t>
        </is>
      </c>
      <c r="M298" s="23" t="inlineStr">
        <is>
          <t>Stdev</t>
        </is>
      </c>
      <c r="N298" s="9" t="inlineStr">
        <is>
          <t>Combined</t>
        </is>
      </c>
    </row>
    <row r="299">
      <c r="A299" t="n">
        <v>35</v>
      </c>
      <c r="B299" t="inlineStr">
        <is>
          <t>K3-2A</t>
        </is>
      </c>
      <c r="D299" t="n">
        <v>4.02</v>
      </c>
      <c r="E299" t="n">
        <v>20.882</v>
      </c>
      <c r="F299" t="n">
        <v>1176.041</v>
      </c>
      <c r="G299" t="n">
        <v>5.481</v>
      </c>
      <c r="H299">
        <f>E299/F299</f>
        <v/>
      </c>
      <c r="I299">
        <f>((H299-$J$264)/$I$264)</f>
        <v/>
      </c>
      <c r="J299">
        <f>(I299-IF(I272&gt;0,I272,0))</f>
        <v/>
      </c>
      <c r="K299">
        <f>J299/R282*1.1</f>
        <v/>
      </c>
      <c r="L299">
        <f>AVERAGE(K299:K301)</f>
        <v/>
      </c>
      <c r="M299">
        <f>STDEV(K299:K301)</f>
        <v/>
      </c>
      <c r="N299">
        <f>_xlfn.CONCAT(ROUND(L299,1)," ± ",ROUND(M299,1))</f>
        <v/>
      </c>
    </row>
    <row r="300">
      <c r="A300" t="n">
        <v>36</v>
      </c>
      <c r="B300" t="inlineStr">
        <is>
          <t>K3-2B</t>
        </is>
      </c>
      <c r="D300" t="n">
        <v>4.43</v>
      </c>
      <c r="E300" t="n">
        <v>1.825</v>
      </c>
      <c r="F300" t="n">
        <v>1321.349</v>
      </c>
      <c r="G300" t="n">
        <v>1.675</v>
      </c>
      <c r="H300">
        <f>E300/F300</f>
        <v/>
      </c>
      <c r="I300">
        <f>((H300-$J$264)/$I$264)</f>
        <v/>
      </c>
      <c r="J300">
        <f>(I300-IF(I272&gt;0,I272,0))</f>
        <v/>
      </c>
      <c r="K300">
        <f>J300/R283*1.1</f>
        <v/>
      </c>
    </row>
    <row r="301">
      <c r="A301" t="n">
        <v>37</v>
      </c>
      <c r="B301" t="inlineStr">
        <is>
          <t>K3-2C</t>
        </is>
      </c>
      <c r="D301" t="n">
        <v>4.1</v>
      </c>
      <c r="E301" t="n">
        <v>11.889</v>
      </c>
      <c r="F301" t="n">
        <v>1479.533</v>
      </c>
      <c r="G301" t="n">
        <v>5.824</v>
      </c>
      <c r="H301">
        <f>E301/F301</f>
        <v/>
      </c>
      <c r="I301">
        <f>((H301-$J$264)/$I$264)</f>
        <v/>
      </c>
      <c r="J301">
        <f>(I301-IF(I272&gt;0,I272,0))</f>
        <v/>
      </c>
      <c r="K301">
        <f>J301/R284*1.1</f>
        <v/>
      </c>
      <c r="L301" s="23" t="n"/>
      <c r="M301" s="23" t="n"/>
      <c r="N301" s="9" t="n"/>
    </row>
    <row r="302">
      <c r="A302" t="n">
        <v>38</v>
      </c>
      <c r="B302" t="inlineStr">
        <is>
          <t>MeOH</t>
        </is>
      </c>
      <c r="L302" s="23" t="inlineStr">
        <is>
          <t>Average</t>
        </is>
      </c>
      <c r="M302" s="23" t="inlineStr">
        <is>
          <t>Stdev</t>
        </is>
      </c>
      <c r="N302" s="9" t="inlineStr">
        <is>
          <t>Combined</t>
        </is>
      </c>
    </row>
    <row r="303">
      <c r="A303" t="n">
        <v>39</v>
      </c>
      <c r="B303" t="inlineStr">
        <is>
          <t>K3-3A</t>
        </is>
      </c>
      <c r="D303" t="n">
        <v>4.1</v>
      </c>
      <c r="E303" t="n">
        <v>15.278</v>
      </c>
      <c r="F303" t="n">
        <v>1517.701</v>
      </c>
      <c r="G303" t="n">
        <v>4.105</v>
      </c>
      <c r="H303">
        <f>E303/F303</f>
        <v/>
      </c>
      <c r="I303">
        <f>((H303-$J$264)/$I$264)</f>
        <v/>
      </c>
      <c r="J303">
        <f>(I303-IF(I272&gt;0,I272,0))</f>
        <v/>
      </c>
      <c r="K303">
        <f>J303/R285*1.1</f>
        <v/>
      </c>
      <c r="L303">
        <f>AVERAGE(K303:K305)</f>
        <v/>
      </c>
      <c r="M303">
        <f>STDEV(K304:K305)</f>
        <v/>
      </c>
      <c r="N303">
        <f>_xlfn.CONCAT(ROUND(L303,1)," ± ",ROUND(M303,1))</f>
        <v/>
      </c>
    </row>
    <row r="304">
      <c r="A304" t="n">
        <v>40</v>
      </c>
      <c r="B304" t="inlineStr">
        <is>
          <t>K3-3B</t>
        </is>
      </c>
      <c r="D304" t="n">
        <v>4.11</v>
      </c>
      <c r="E304" t="n">
        <v>7.775</v>
      </c>
      <c r="F304" t="n">
        <v>1453.885</v>
      </c>
      <c r="G304" t="n">
        <v>1.982</v>
      </c>
      <c r="H304">
        <f>E304/F304</f>
        <v/>
      </c>
      <c r="I304">
        <f>((H304-$J$264)/$I$264)</f>
        <v/>
      </c>
      <c r="J304">
        <f>(I304-IF(I272&gt;0,I272,0))</f>
        <v/>
      </c>
      <c r="K304">
        <f>J304/R286*1.1</f>
        <v/>
      </c>
    </row>
    <row r="305">
      <c r="A305" t="n">
        <v>41</v>
      </c>
      <c r="B305" t="inlineStr">
        <is>
          <t>K3-3C</t>
        </is>
      </c>
      <c r="D305" t="n">
        <v>4.15</v>
      </c>
      <c r="E305" t="n">
        <v>11.061</v>
      </c>
      <c r="F305" t="n">
        <v>1930.228</v>
      </c>
      <c r="G305" t="n">
        <v>3.459</v>
      </c>
      <c r="H305">
        <f>E305/F305</f>
        <v/>
      </c>
      <c r="I305">
        <f>((H305-$J$264)/$I$264)</f>
        <v/>
      </c>
      <c r="J305">
        <f>(I305-IF(I272&gt;0,I272,0))</f>
        <v/>
      </c>
      <c r="K305">
        <f>J305/R287*1.1</f>
        <v/>
      </c>
      <c r="L305" s="23" t="inlineStr">
        <is>
          <t>Average</t>
        </is>
      </c>
      <c r="M305" s="23" t="inlineStr">
        <is>
          <t>Stdev</t>
        </is>
      </c>
      <c r="N305" s="9" t="inlineStr">
        <is>
          <t>Combined</t>
        </is>
      </c>
    </row>
    <row r="306">
      <c r="A306" t="n">
        <v>42</v>
      </c>
      <c r="B306" t="inlineStr">
        <is>
          <t>K3-4A</t>
        </is>
      </c>
      <c r="D306" t="n">
        <v>4.17</v>
      </c>
      <c r="E306" t="n">
        <v>20.517</v>
      </c>
      <c r="F306" t="n">
        <v>2454.78</v>
      </c>
      <c r="G306" t="n">
        <v>16.517</v>
      </c>
      <c r="H306">
        <f>E306/F306</f>
        <v/>
      </c>
      <c r="I306">
        <f>((H306-$J$264)/$I$264)</f>
        <v/>
      </c>
      <c r="J306">
        <f>(I306-IF(I272&gt;0,I272,0))</f>
        <v/>
      </c>
      <c r="K306">
        <f>J306/R288*1.1</f>
        <v/>
      </c>
      <c r="L306">
        <f>AVERAGE(K306:K308)</f>
        <v/>
      </c>
      <c r="M306">
        <f>STDEV(K306:K308)</f>
        <v/>
      </c>
      <c r="N306">
        <f>_xlfn.CONCAT(ROUND(L306,1)," ± ",ROUND(M306,1))</f>
        <v/>
      </c>
    </row>
    <row r="307">
      <c r="A307" t="n">
        <v>43</v>
      </c>
      <c r="B307" t="inlineStr">
        <is>
          <t>K3-4B</t>
        </is>
      </c>
      <c r="D307" t="n">
        <v>4.18</v>
      </c>
      <c r="E307" t="n">
        <v>14.491</v>
      </c>
      <c r="F307" t="n">
        <v>2046.805</v>
      </c>
      <c r="G307" t="n">
        <v>8.365</v>
      </c>
      <c r="H307">
        <f>E307/F307</f>
        <v/>
      </c>
      <c r="I307">
        <f>((H307-$J$264)/$I$264)</f>
        <v/>
      </c>
      <c r="J307">
        <f>(I307-IF(I272&gt;0,I272,0))</f>
        <v/>
      </c>
      <c r="K307">
        <f>J307/R289*1.1</f>
        <v/>
      </c>
    </row>
    <row r="308">
      <c r="A308" t="n">
        <v>44</v>
      </c>
      <c r="B308" t="inlineStr">
        <is>
          <t>K3-4C</t>
        </is>
      </c>
      <c r="D308" t="n">
        <v>4.21</v>
      </c>
      <c r="E308" t="n">
        <v>23.93</v>
      </c>
      <c r="F308" t="n">
        <v>1963.707</v>
      </c>
      <c r="G308" t="n">
        <v>4.559</v>
      </c>
      <c r="H308">
        <f>E308/F308</f>
        <v/>
      </c>
      <c r="I308">
        <f>((H308-$J$264)/$I$264)</f>
        <v/>
      </c>
      <c r="J308">
        <f>(I308-IF(I272&gt;0,I272,0))</f>
        <v/>
      </c>
      <c r="K308">
        <f>J308/R290*1.1</f>
        <v/>
      </c>
      <c r="L308" s="23" t="n"/>
      <c r="M308" s="23" t="n"/>
      <c r="N308" s="9" t="n"/>
    </row>
    <row r="309">
      <c r="A309" t="n">
        <v>45</v>
      </c>
      <c r="B309" t="inlineStr">
        <is>
          <t>MeOH</t>
        </is>
      </c>
      <c r="L309" s="23" t="inlineStr">
        <is>
          <t>Average</t>
        </is>
      </c>
      <c r="M309" s="23" t="inlineStr">
        <is>
          <t>Stdev</t>
        </is>
      </c>
      <c r="N309" s="9" t="inlineStr">
        <is>
          <t>Combined</t>
        </is>
      </c>
    </row>
    <row r="310">
      <c r="A310" t="n">
        <v>46</v>
      </c>
      <c r="B310" t="inlineStr">
        <is>
          <t>K3-6A</t>
        </is>
      </c>
      <c r="D310" t="n">
        <v>4.28</v>
      </c>
      <c r="E310" t="n">
        <v>10.809</v>
      </c>
      <c r="F310" t="n">
        <v>2063.159</v>
      </c>
      <c r="G310" t="n">
        <v>3.302</v>
      </c>
      <c r="H310">
        <f>E310/F310</f>
        <v/>
      </c>
      <c r="I310">
        <f>((H310-$J$264)/$I$264)</f>
        <v/>
      </c>
      <c r="J310">
        <f>(I310-IF(I272&gt;0,I272,0))</f>
        <v/>
      </c>
      <c r="K310">
        <f>J310/R291*1.1</f>
        <v/>
      </c>
      <c r="L310">
        <f>AVERAGE(K310:K312)</f>
        <v/>
      </c>
      <c r="M310">
        <f>STDEV(K311:K312)</f>
        <v/>
      </c>
      <c r="N310">
        <f>_xlfn.CONCAT(ROUND(L310,1)," ± ",ROUND(M310,1))</f>
        <v/>
      </c>
    </row>
    <row r="311">
      <c r="A311" t="n">
        <v>47</v>
      </c>
      <c r="B311" t="inlineStr">
        <is>
          <t>K3-6B</t>
        </is>
      </c>
      <c r="D311" t="n">
        <v>4.26</v>
      </c>
      <c r="E311" t="n">
        <v>5.635</v>
      </c>
      <c r="F311" t="n">
        <v>1701.403</v>
      </c>
      <c r="G311" t="n">
        <v>2.96</v>
      </c>
      <c r="H311">
        <f>E311/F311</f>
        <v/>
      </c>
      <c r="I311">
        <f>((H311-$J$264)/$I$264)</f>
        <v/>
      </c>
      <c r="J311">
        <f>(I311-IF(I272&gt;0,I272,0))</f>
        <v/>
      </c>
      <c r="K311">
        <f>J311/R292*1.1</f>
        <v/>
      </c>
    </row>
    <row r="312">
      <c r="A312" t="n">
        <v>48</v>
      </c>
      <c r="B312" t="inlineStr">
        <is>
          <t>K3-6C</t>
        </is>
      </c>
      <c r="D312" t="n">
        <v>4.24</v>
      </c>
      <c r="E312" t="n">
        <v>14.915</v>
      </c>
      <c r="F312" t="n">
        <v>1921.069</v>
      </c>
      <c r="G312" t="n">
        <v>3.12</v>
      </c>
      <c r="H312">
        <f>E312/F312</f>
        <v/>
      </c>
      <c r="I312">
        <f>((H312-$J$264)/$I$264)</f>
        <v/>
      </c>
      <c r="J312">
        <f>(I312-IF(I272&gt;0,I272,0))</f>
        <v/>
      </c>
      <c r="K312">
        <f>J312/R293*1.1</f>
        <v/>
      </c>
      <c r="L312" s="23" t="n"/>
      <c r="M312" s="23" t="n"/>
      <c r="N312" s="9" t="n"/>
    </row>
    <row r="314">
      <c r="A314" s="15" t="inlineStr">
        <is>
          <t>Compound 8:  3:3 FTCA</t>
        </is>
      </c>
      <c r="B314" s="15" t="n"/>
    </row>
    <row r="315">
      <c r="I315" t="inlineStr">
        <is>
          <t>LINEST</t>
        </is>
      </c>
      <c r="Q315" t="inlineStr">
        <is>
          <t>Biosolids Masses</t>
        </is>
      </c>
      <c r="R315" t="inlineStr">
        <is>
          <t>(g)</t>
        </is>
      </c>
    </row>
    <row r="316">
      <c r="B316" t="inlineStr">
        <is>
          <t>Sample Text</t>
        </is>
      </c>
      <c r="C316" t="inlineStr">
        <is>
          <t>Std. Conc</t>
        </is>
      </c>
      <c r="D316" t="inlineStr">
        <is>
          <t>RT</t>
        </is>
      </c>
      <c r="E316" t="inlineStr">
        <is>
          <t>Area</t>
        </is>
      </c>
      <c r="F316" t="inlineStr">
        <is>
          <t>IS Area</t>
        </is>
      </c>
      <c r="G316" t="inlineStr">
        <is>
          <t>S/N</t>
        </is>
      </c>
      <c r="H316" t="inlineStr">
        <is>
          <t>ratio</t>
        </is>
      </c>
      <c r="I316">
        <f t="array" ref="I316:J320">LINEST(H319:H324,C319:C324,1,1)</f>
        <v/>
      </c>
      <c r="J316" t="n">
        <v>-0.006962668462539151</v>
      </c>
      <c r="L316" s="20" t="inlineStr">
        <is>
          <t>By S/N Ratio</t>
        </is>
      </c>
      <c r="Q316" t="inlineStr">
        <is>
          <t>SS1</t>
        </is>
      </c>
      <c r="R316" t="n">
        <v>1.0846</v>
      </c>
    </row>
    <row r="317">
      <c r="A317" t="n">
        <v>1</v>
      </c>
      <c r="B317" t="inlineStr">
        <is>
          <t>EPA1633 &amp; diPAPs Calibration 0 ppb</t>
        </is>
      </c>
      <c r="C317" t="n">
        <v>0</v>
      </c>
      <c r="D317" t="n">
        <v>6.04</v>
      </c>
      <c r="E317" t="n">
        <v>0.124</v>
      </c>
      <c r="F317" t="n">
        <v>2771.78</v>
      </c>
      <c r="G317" t="n">
        <v>2</v>
      </c>
      <c r="H317">
        <f>E317/F317</f>
        <v/>
      </c>
      <c r="I317" t="n">
        <v>9.472420359508899e-05</v>
      </c>
      <c r="J317" t="n">
        <v>0.00443525284486113</v>
      </c>
      <c r="K317" t="inlineStr">
        <is>
          <t>LOD</t>
        </is>
      </c>
      <c r="L317" s="21">
        <f>IF(G320&gt;3,C320,IF(G321&gt;3,C321,IF(G322&gt;3,C322,IF(G323&gt;3,C323,C324))))</f>
        <v/>
      </c>
      <c r="Q317" t="inlineStr">
        <is>
          <t>SS2</t>
        </is>
      </c>
      <c r="R317" t="n">
        <v>1.0726</v>
      </c>
    </row>
    <row r="318">
      <c r="A318" t="n">
        <v>2</v>
      </c>
      <c r="B318" t="inlineStr">
        <is>
          <t>EPA1633 &amp; diPAPs Calibration 0.02 ppb</t>
        </is>
      </c>
      <c r="C318" t="n">
        <v>0.1</v>
      </c>
      <c r="F318" t="n">
        <v>2613.678</v>
      </c>
      <c r="H318">
        <f>E318/F318</f>
        <v/>
      </c>
      <c r="I318" t="n">
        <v>0.9933083560937829</v>
      </c>
      <c r="J318" t="n">
        <v>0.008259607460804686</v>
      </c>
      <c r="K318" t="inlineStr">
        <is>
          <t>LOQ</t>
        </is>
      </c>
      <c r="L318" s="22">
        <f>IF(G320&gt;10,C320,IF(G321&gt;10,C321,IF(G322&gt;10,C322,IF(G323&gt;10,C323,C324))))</f>
        <v/>
      </c>
      <c r="Q318" t="inlineStr">
        <is>
          <t>SS3</t>
        </is>
      </c>
      <c r="R318" t="n">
        <v>1.1534</v>
      </c>
    </row>
    <row r="319">
      <c r="A319" t="n">
        <v>3</v>
      </c>
      <c r="B319" t="inlineStr">
        <is>
          <t>EPA1633 &amp; diPAPs Calibration 0.1 ppb</t>
        </is>
      </c>
      <c r="C319" t="n">
        <v>0.5</v>
      </c>
      <c r="D319" t="n">
        <v>6.31</v>
      </c>
      <c r="E319" t="n">
        <v>0.076</v>
      </c>
      <c r="F319" t="n">
        <v>2704.411</v>
      </c>
      <c r="G319" t="n">
        <v>1</v>
      </c>
      <c r="H319">
        <f>E319/F319</f>
        <v/>
      </c>
      <c r="I319" t="n">
        <v>593.760439147641</v>
      </c>
      <c r="J319" t="n">
        <v>4</v>
      </c>
      <c r="Q319" t="inlineStr">
        <is>
          <t>K4-1A</t>
        </is>
      </c>
      <c r="R319" t="n">
        <v>1.0267</v>
      </c>
    </row>
    <row r="320">
      <c r="A320" t="n">
        <v>4</v>
      </c>
      <c r="B320" t="inlineStr">
        <is>
          <t>EPA1633 &amp; diPAPs Calibration 0.4 ppb</t>
        </is>
      </c>
      <c r="C320" t="n">
        <v>2</v>
      </c>
      <c r="D320" t="n">
        <v>6</v>
      </c>
      <c r="E320" t="n">
        <v>0.716</v>
      </c>
      <c r="F320" t="n">
        <v>2633.712</v>
      </c>
      <c r="G320" t="n">
        <v>15</v>
      </c>
      <c r="H320">
        <f>E320/F320</f>
        <v/>
      </c>
      <c r="I320" t="n">
        <v>0.04050699944295311</v>
      </c>
      <c r="J320" t="n">
        <v>0.0002728844616263218</v>
      </c>
      <c r="Q320" t="inlineStr">
        <is>
          <t>K4-1B</t>
        </is>
      </c>
      <c r="R320" t="n">
        <v>1.1481</v>
      </c>
    </row>
    <row r="321">
      <c r="A321" t="n">
        <v>5</v>
      </c>
      <c r="B321" t="inlineStr">
        <is>
          <t>EPA1633 &amp; diPAPs Calibration 1 ppb</t>
        </is>
      </c>
      <c r="C321" t="n">
        <v>5</v>
      </c>
      <c r="D321" t="n">
        <v>6.06</v>
      </c>
      <c r="E321" t="n">
        <v>22.29</v>
      </c>
      <c r="F321" t="n">
        <v>2798.003</v>
      </c>
      <c r="G321" t="n">
        <v>291</v>
      </c>
      <c r="H321">
        <f>E321/F321</f>
        <v/>
      </c>
      <c r="Q321" t="inlineStr">
        <is>
          <t>K4-1C</t>
        </is>
      </c>
      <c r="R321" t="n">
        <v>1.0402</v>
      </c>
    </row>
    <row r="322">
      <c r="A322" t="n">
        <v>6</v>
      </c>
      <c r="B322" t="inlineStr">
        <is>
          <t>EPA1633 &amp; diPAPs Calibration 5 ppb</t>
        </is>
      </c>
      <c r="C322" t="n">
        <v>25</v>
      </c>
      <c r="D322" t="n">
        <v>5.76</v>
      </c>
      <c r="E322" t="n">
        <v>84.727</v>
      </c>
      <c r="F322" t="n">
        <v>2309.18</v>
      </c>
      <c r="G322" t="n">
        <v>373.717</v>
      </c>
      <c r="H322">
        <f>E322/F322</f>
        <v/>
      </c>
      <c r="Q322" t="inlineStr">
        <is>
          <t>K4-2A</t>
        </is>
      </c>
      <c r="R322" t="n">
        <v>1.127</v>
      </c>
    </row>
    <row r="323">
      <c r="A323" t="n">
        <v>7</v>
      </c>
      <c r="B323" t="inlineStr">
        <is>
          <t>EPA1633 &amp; diPAPs Calibration 10 ppb</t>
        </is>
      </c>
      <c r="C323" t="n">
        <v>50</v>
      </c>
      <c r="D323" t="n">
        <v>5.89</v>
      </c>
      <c r="E323" t="n">
        <v>220.415</v>
      </c>
      <c r="F323" t="n">
        <v>2072.812</v>
      </c>
      <c r="G323" t="n">
        <v>21.214</v>
      </c>
      <c r="H323">
        <f>E323/F323</f>
        <v/>
      </c>
      <c r="I323" s="23" t="inlineStr">
        <is>
          <t>Background</t>
        </is>
      </c>
      <c r="J323" s="23" t="inlineStr">
        <is>
          <t>Spike</t>
        </is>
      </c>
      <c r="K323" s="9" t="inlineStr">
        <is>
          <t>Old Spike</t>
        </is>
      </c>
      <c r="O323" s="24" t="inlineStr">
        <is>
          <t>±</t>
        </is>
      </c>
      <c r="Q323" t="inlineStr">
        <is>
          <t>K4-2B</t>
        </is>
      </c>
      <c r="R323" t="n">
        <v>1.1154</v>
      </c>
    </row>
    <row r="324">
      <c r="A324" t="n">
        <v>8</v>
      </c>
      <c r="B324" t="inlineStr">
        <is>
          <t>EPA1633 &amp; diPAPs Calibration 20 ppb</t>
        </is>
      </c>
      <c r="C324" t="n">
        <v>100</v>
      </c>
      <c r="D324" t="n">
        <v>5.94</v>
      </c>
      <c r="E324" t="n">
        <v>388.642</v>
      </c>
      <c r="F324" t="n">
        <v>1703.301</v>
      </c>
      <c r="G324" t="n">
        <v>71.27800000000001</v>
      </c>
      <c r="H324">
        <f>E324/F324</f>
        <v/>
      </c>
      <c r="I324">
        <f>AVERAGE(I327:I329)</f>
        <v/>
      </c>
      <c r="J324" t="n">
        <v>55</v>
      </c>
      <c r="Q324" t="inlineStr">
        <is>
          <t>K4-2C</t>
        </is>
      </c>
      <c r="R324" t="n">
        <v>1.1711</v>
      </c>
    </row>
    <row r="325">
      <c r="A325" t="n">
        <v>9</v>
      </c>
      <c r="B325" t="inlineStr">
        <is>
          <t>MeOH</t>
        </is>
      </c>
      <c r="D325" t="n">
        <v>5.94</v>
      </c>
      <c r="E325" t="n">
        <v>0.503</v>
      </c>
      <c r="G325" t="n">
        <v>11</v>
      </c>
      <c r="I325" s="23" t="inlineStr">
        <is>
          <t>Conc.In Vial (ppb)</t>
        </is>
      </c>
      <c r="J325" s="9" t="inlineStr">
        <is>
          <t>Corr. Conc.(ppb)</t>
        </is>
      </c>
      <c r="K325" s="9" t="inlineStr">
        <is>
          <t>Conc. In soil (ng/g)</t>
        </is>
      </c>
      <c r="Q325" t="inlineStr">
        <is>
          <t>K4-4A</t>
        </is>
      </c>
      <c r="R325" t="n">
        <v>1.0932</v>
      </c>
    </row>
    <row r="326">
      <c r="A326" t="n">
        <v>10</v>
      </c>
      <c r="B326" t="inlineStr">
        <is>
          <t>MeOH</t>
        </is>
      </c>
      <c r="L326" s="23" t="inlineStr">
        <is>
          <t>Average</t>
        </is>
      </c>
      <c r="M326" s="23" t="inlineStr">
        <is>
          <t>Stdev</t>
        </is>
      </c>
      <c r="N326" s="9" t="inlineStr">
        <is>
          <t>Combined</t>
        </is>
      </c>
      <c r="O326" s="9" t="n"/>
      <c r="P326" s="9" t="n"/>
      <c r="Q326" t="inlineStr">
        <is>
          <t>K4-4B</t>
        </is>
      </c>
      <c r="R326" t="n">
        <v>1.15</v>
      </c>
    </row>
    <row r="327">
      <c r="A327" t="n">
        <v>11</v>
      </c>
      <c r="B327" t="inlineStr">
        <is>
          <t>SB1</t>
        </is>
      </c>
      <c r="D327" t="n">
        <v>5.56</v>
      </c>
      <c r="E327" t="n">
        <v>0.667</v>
      </c>
      <c r="F327" t="n">
        <v>802.6180000000001</v>
      </c>
      <c r="G327" t="n">
        <v>5.282</v>
      </c>
      <c r="H327">
        <f>E327/F327</f>
        <v/>
      </c>
      <c r="I327">
        <f>((H327-$J$316)/$I$316)</f>
        <v/>
      </c>
      <c r="J327">
        <f>(I327-IF(I324&gt;0,I324,0))</f>
        <v/>
      </c>
      <c r="K327">
        <f>J327*1.1</f>
        <v/>
      </c>
      <c r="L327">
        <f>AVERAGE(K327:K329)</f>
        <v/>
      </c>
      <c r="M327">
        <f>STDEV(K328:K329)</f>
        <v/>
      </c>
      <c r="N327">
        <f>_xlfn.CONCAT(ROUND(L327,1)," ± ",ROUND(M327,1))</f>
        <v/>
      </c>
      <c r="Q327" t="inlineStr">
        <is>
          <t>K4-4C</t>
        </is>
      </c>
      <c r="R327" t="n">
        <v>1.0482</v>
      </c>
    </row>
    <row r="328">
      <c r="A328" t="n">
        <v>12</v>
      </c>
      <c r="B328" t="inlineStr">
        <is>
          <t>SB2</t>
        </is>
      </c>
      <c r="D328" t="n">
        <v>6.58</v>
      </c>
      <c r="E328" t="n">
        <v>0.079</v>
      </c>
      <c r="F328" t="n">
        <v>1039.268</v>
      </c>
      <c r="G328" t="n">
        <v>2</v>
      </c>
      <c r="H328">
        <f>E328/F328</f>
        <v/>
      </c>
      <c r="I328">
        <f>((H328-$J$316)/$I$316)</f>
        <v/>
      </c>
      <c r="J328">
        <f>(I328-IF(I324&gt;0,I324,0))</f>
        <v/>
      </c>
      <c r="K328">
        <f>J328*1.1</f>
        <v/>
      </c>
      <c r="Q328" t="inlineStr">
        <is>
          <t>K4-5A</t>
        </is>
      </c>
      <c r="R328" t="n">
        <v>1.1054</v>
      </c>
    </row>
    <row r="329">
      <c r="A329" t="n">
        <v>13</v>
      </c>
      <c r="B329" t="inlineStr">
        <is>
          <t>SB3</t>
        </is>
      </c>
      <c r="F329" t="n">
        <v>1005.736</v>
      </c>
      <c r="H329">
        <f>E329/F329</f>
        <v/>
      </c>
      <c r="I329">
        <f>((H329-$J$316)/$I$316)</f>
        <v/>
      </c>
      <c r="J329">
        <f>(I329-IF(I324&gt;0,I324,0))</f>
        <v/>
      </c>
      <c r="K329" s="30">
        <f>J329*1.1</f>
        <v/>
      </c>
      <c r="L329" s="25" t="inlineStr">
        <is>
          <t>Average</t>
        </is>
      </c>
      <c r="M329" s="25" t="inlineStr">
        <is>
          <t>Stdev</t>
        </is>
      </c>
      <c r="N329" s="26" t="inlineStr">
        <is>
          <t>%Recovery</t>
        </is>
      </c>
      <c r="O329" s="26" t="inlineStr">
        <is>
          <t>Uncertainty</t>
        </is>
      </c>
      <c r="P329" s="26" t="inlineStr">
        <is>
          <t>Combined</t>
        </is>
      </c>
      <c r="Q329" t="inlineStr">
        <is>
          <t>K4-5B</t>
        </is>
      </c>
      <c r="R329" s="10" t="n">
        <v>1.0463</v>
      </c>
    </row>
    <row r="330">
      <c r="A330" t="n">
        <v>14</v>
      </c>
      <c r="B330" t="inlineStr">
        <is>
          <t>SS1</t>
        </is>
      </c>
      <c r="D330" t="n">
        <v>6.14</v>
      </c>
      <c r="E330" t="n">
        <v>47.783</v>
      </c>
      <c r="F330" t="n">
        <v>860.02</v>
      </c>
      <c r="G330" t="n">
        <v>115.462</v>
      </c>
      <c r="H330">
        <f>E330/F330</f>
        <v/>
      </c>
      <c r="I330">
        <f>((H330-$J$316)/$I$316)</f>
        <v/>
      </c>
      <c r="J330">
        <f>(I330-IF(I324&gt;0,I324,0))</f>
        <v/>
      </c>
      <c r="K330">
        <f>J330/R316*1.1</f>
        <v/>
      </c>
      <c r="L330" s="27">
        <f>AVERAGE(K330:K332)</f>
        <v/>
      </c>
      <c r="M330" s="27">
        <f>STDEV(K330:K332)</f>
        <v/>
      </c>
      <c r="N330" s="28">
        <f>L330/J324*100</f>
        <v/>
      </c>
      <c r="O330" s="29">
        <f>M330/J327*100</f>
        <v/>
      </c>
      <c r="P330" s="29">
        <f>_xlfn.CONCAT(ROUND(N330,1)," ± ",ROUND(O330,1))</f>
        <v/>
      </c>
      <c r="Q330" t="inlineStr">
        <is>
          <t>K4-5C</t>
        </is>
      </c>
      <c r="R330" t="n">
        <v>1.1155</v>
      </c>
    </row>
    <row r="331">
      <c r="A331" t="n">
        <v>15</v>
      </c>
      <c r="B331" t="inlineStr">
        <is>
          <t>SS2</t>
        </is>
      </c>
      <c r="D331" t="n">
        <v>6.18</v>
      </c>
      <c r="E331" t="n">
        <v>56.657</v>
      </c>
      <c r="F331" t="n">
        <v>1205.224</v>
      </c>
      <c r="G331" t="n">
        <v>770</v>
      </c>
      <c r="H331">
        <f>E331/F331</f>
        <v/>
      </c>
      <c r="I331">
        <f>((H331-$J$316)/$I$316)</f>
        <v/>
      </c>
      <c r="J331">
        <f>(I331-IF(I324&gt;0,I324,0))</f>
        <v/>
      </c>
      <c r="K331">
        <f>J331/R317*1.1</f>
        <v/>
      </c>
      <c r="Q331" t="inlineStr">
        <is>
          <t>K3-1A</t>
        </is>
      </c>
      <c r="R331" t="n">
        <v>1.0874</v>
      </c>
    </row>
    <row r="332">
      <c r="A332" t="n">
        <v>16</v>
      </c>
      <c r="B332" t="inlineStr">
        <is>
          <t>SS3</t>
        </is>
      </c>
      <c r="D332" t="n">
        <v>6.18</v>
      </c>
      <c r="E332" t="n">
        <v>75.238</v>
      </c>
      <c r="F332" t="n">
        <v>953.783</v>
      </c>
      <c r="G332" t="n">
        <v>57.892</v>
      </c>
      <c r="H332">
        <f>E332/F332</f>
        <v/>
      </c>
      <c r="I332">
        <f>((H332-$J$316)/$I$316)</f>
        <v/>
      </c>
      <c r="J332">
        <f>(I332-IF(I324&gt;0,I324,0))</f>
        <v/>
      </c>
      <c r="K332" s="30">
        <f>J332/R318*1.1</f>
        <v/>
      </c>
      <c r="Q332" t="inlineStr">
        <is>
          <t>K3-1B</t>
        </is>
      </c>
      <c r="R332" t="n">
        <v>1.0898</v>
      </c>
    </row>
    <row r="333">
      <c r="A333" t="n">
        <v>17</v>
      </c>
      <c r="B333" t="inlineStr">
        <is>
          <t>MeOH</t>
        </is>
      </c>
      <c r="L333" s="23" t="inlineStr">
        <is>
          <t>Average</t>
        </is>
      </c>
      <c r="M333" s="23" t="inlineStr">
        <is>
          <t>Stdev</t>
        </is>
      </c>
      <c r="N333" s="9" t="inlineStr">
        <is>
          <t>Combined</t>
        </is>
      </c>
      <c r="Q333" t="inlineStr">
        <is>
          <t>K3-1C</t>
        </is>
      </c>
      <c r="R333" t="n">
        <v>1.0536</v>
      </c>
    </row>
    <row r="334">
      <c r="A334" t="n">
        <v>18</v>
      </c>
      <c r="B334" t="inlineStr">
        <is>
          <t>K4-1A</t>
        </is>
      </c>
      <c r="D334" t="n">
        <v>5.99</v>
      </c>
      <c r="E334" t="n">
        <v>1.919</v>
      </c>
      <c r="F334" t="n">
        <v>1575.246</v>
      </c>
      <c r="G334" t="n">
        <v>2.794</v>
      </c>
      <c r="H334">
        <f>E334/F334</f>
        <v/>
      </c>
      <c r="I334">
        <f>((H334-$J$316)/$I$316)</f>
        <v/>
      </c>
      <c r="J334">
        <f>(I334-IF(I324&gt;0,I324,0))</f>
        <v/>
      </c>
      <c r="K334">
        <f>J334/R319*1.1</f>
        <v/>
      </c>
      <c r="L334">
        <f>AVERAGE(K334:K336)</f>
        <v/>
      </c>
      <c r="M334">
        <f>STDEV(K335:K336)</f>
        <v/>
      </c>
      <c r="N334">
        <f>_xlfn.CONCAT(ROUND(L334,1)," ± ",ROUND(M334,1))</f>
        <v/>
      </c>
      <c r="Q334" t="inlineStr">
        <is>
          <t>K3-2A</t>
        </is>
      </c>
      <c r="R334" s="10" t="n">
        <v>1.1218</v>
      </c>
    </row>
    <row r="335">
      <c r="A335" t="n">
        <v>19</v>
      </c>
      <c r="B335" t="inlineStr">
        <is>
          <t>K4-1B</t>
        </is>
      </c>
      <c r="D335" t="n">
        <v>6.64</v>
      </c>
      <c r="E335" t="n">
        <v>0.099</v>
      </c>
      <c r="F335" t="n">
        <v>1550.869</v>
      </c>
      <c r="G335" t="n">
        <v>2</v>
      </c>
      <c r="H335">
        <f>E335/F335</f>
        <v/>
      </c>
      <c r="I335">
        <f>((H335-$J$316)/$I$316)</f>
        <v/>
      </c>
      <c r="J335">
        <f>(I335-IF(I324&gt;0,I324,0))</f>
        <v/>
      </c>
      <c r="K335">
        <f>J335/R320*1.1</f>
        <v/>
      </c>
      <c r="Q335" t="inlineStr">
        <is>
          <t>K3-2B</t>
        </is>
      </c>
      <c r="R335" t="n">
        <v>1.198</v>
      </c>
    </row>
    <row r="336">
      <c r="A336" t="n">
        <v>20</v>
      </c>
      <c r="B336" t="inlineStr">
        <is>
          <t>K4-1C</t>
        </is>
      </c>
      <c r="D336" t="n">
        <v>6.24</v>
      </c>
      <c r="E336" t="n">
        <v>0.33</v>
      </c>
      <c r="F336" t="n">
        <v>1163.846</v>
      </c>
      <c r="G336" t="n">
        <v>7</v>
      </c>
      <c r="H336">
        <f>E336/F336</f>
        <v/>
      </c>
      <c r="I336">
        <f>((H336-$J$316)/$I$316)</f>
        <v/>
      </c>
      <c r="J336">
        <f>(I336-IF(I324&gt;0,I324,0))</f>
        <v/>
      </c>
      <c r="K336">
        <f>J336/R321*1.1</f>
        <v/>
      </c>
      <c r="L336" s="23" t="inlineStr">
        <is>
          <t>Average</t>
        </is>
      </c>
      <c r="M336" s="23" t="inlineStr">
        <is>
          <t>Stdev</t>
        </is>
      </c>
      <c r="N336" s="9" t="inlineStr">
        <is>
          <t>Combined</t>
        </is>
      </c>
      <c r="Q336" t="inlineStr">
        <is>
          <t>K3-2C</t>
        </is>
      </c>
      <c r="R336" t="n">
        <v>1.1538</v>
      </c>
    </row>
    <row r="337">
      <c r="A337" t="n">
        <v>21</v>
      </c>
      <c r="B337" t="inlineStr">
        <is>
          <t>K4-2A</t>
        </is>
      </c>
      <c r="D337" t="n">
        <v>6.61</v>
      </c>
      <c r="E337" t="n">
        <v>4.602</v>
      </c>
      <c r="F337" t="n">
        <v>1084.067</v>
      </c>
      <c r="G337" t="n">
        <v>95</v>
      </c>
      <c r="H337">
        <f>E337/F337</f>
        <v/>
      </c>
      <c r="I337">
        <f>((H337-$J$316)/$I$316)</f>
        <v/>
      </c>
      <c r="J337">
        <f>(I337-IF(I324&gt;0,I324,0))</f>
        <v/>
      </c>
      <c r="K337">
        <f>J337/R322*1.1</f>
        <v/>
      </c>
      <c r="L337">
        <f>AVERAGE(K337:K339)</f>
        <v/>
      </c>
      <c r="M337">
        <f>STDEV(K337:K339)</f>
        <v/>
      </c>
      <c r="N337">
        <f>_xlfn.CONCAT(ROUND(L337,1)," ± ",ROUND(M337,1))</f>
        <v/>
      </c>
      <c r="Q337" t="inlineStr">
        <is>
          <t>K3-3A</t>
        </is>
      </c>
      <c r="R337" t="n">
        <v>1.1183</v>
      </c>
    </row>
    <row r="338">
      <c r="A338" t="n">
        <v>22</v>
      </c>
      <c r="B338" t="inlineStr">
        <is>
          <t>K4-2B</t>
        </is>
      </c>
      <c r="D338" t="n">
        <v>6.38</v>
      </c>
      <c r="E338" t="n">
        <v>6.417</v>
      </c>
      <c r="F338" t="n">
        <v>1044.51</v>
      </c>
      <c r="G338" t="n">
        <v>4.151</v>
      </c>
      <c r="H338">
        <f>E338/F338</f>
        <v/>
      </c>
      <c r="I338">
        <f>((H338-$J$316)/$I$316)</f>
        <v/>
      </c>
      <c r="J338">
        <f>(I338-IF(I324&gt;0,I324,0))</f>
        <v/>
      </c>
      <c r="K338">
        <f>J338/R323*1.1</f>
        <v/>
      </c>
      <c r="Q338" t="inlineStr">
        <is>
          <t>K3-3B</t>
        </is>
      </c>
      <c r="R338" t="n">
        <v>1.1448</v>
      </c>
    </row>
    <row r="339">
      <c r="A339" t="n">
        <v>23</v>
      </c>
      <c r="B339" t="inlineStr">
        <is>
          <t>K4-2C</t>
        </is>
      </c>
      <c r="D339" t="n">
        <v>6.18</v>
      </c>
      <c r="E339" t="n">
        <v>0.303</v>
      </c>
      <c r="F339" t="n">
        <v>1020.096</v>
      </c>
      <c r="G339" t="n">
        <v>0.433</v>
      </c>
      <c r="H339">
        <f>E339/F339</f>
        <v/>
      </c>
      <c r="I339">
        <f>((H339-$J$316)/$I$316)</f>
        <v/>
      </c>
      <c r="J339">
        <f>(I339-IF(I324&gt;0,I324,0))</f>
        <v/>
      </c>
      <c r="K339">
        <f>J339/R324*1.1</f>
        <v/>
      </c>
      <c r="L339" s="23" t="n"/>
      <c r="M339" s="23" t="n"/>
      <c r="N339" s="9" t="n"/>
      <c r="Q339" t="inlineStr">
        <is>
          <t>K3-3C</t>
        </is>
      </c>
      <c r="R339" t="n">
        <v>1.0493</v>
      </c>
    </row>
    <row r="340">
      <c r="A340" t="n">
        <v>24</v>
      </c>
      <c r="B340" t="inlineStr">
        <is>
          <t>MeOH</t>
        </is>
      </c>
      <c r="L340" s="23" t="inlineStr">
        <is>
          <t>Average</t>
        </is>
      </c>
      <c r="M340" s="23" t="inlineStr">
        <is>
          <t>Stdev</t>
        </is>
      </c>
      <c r="N340" s="9" t="inlineStr">
        <is>
          <t>Combined</t>
        </is>
      </c>
      <c r="Q340" t="inlineStr">
        <is>
          <t>K3-4A</t>
        </is>
      </c>
      <c r="R340" t="n">
        <v>1.0704</v>
      </c>
    </row>
    <row r="341">
      <c r="A341" t="n">
        <v>25</v>
      </c>
      <c r="B341" t="inlineStr">
        <is>
          <t>K4-4A</t>
        </is>
      </c>
      <c r="D341" t="n">
        <v>5.91</v>
      </c>
      <c r="E341" t="n">
        <v>0.978</v>
      </c>
      <c r="F341" t="n">
        <v>1051.351</v>
      </c>
      <c r="G341" t="n">
        <v>21</v>
      </c>
      <c r="H341">
        <f>E341/F341</f>
        <v/>
      </c>
      <c r="I341">
        <f>((H341-$J$316)/$I$316)</f>
        <v/>
      </c>
      <c r="J341">
        <f>(I341-IF(I324&gt;0,I324,0))</f>
        <v/>
      </c>
      <c r="K341">
        <f>J341/R325*1.1</f>
        <v/>
      </c>
      <c r="L341">
        <f>AVERAGE(K341:K343)</f>
        <v/>
      </c>
      <c r="M341">
        <f>STDEV(K342:K343)</f>
        <v/>
      </c>
      <c r="N341">
        <f>_xlfn.CONCAT(ROUND(L341,1)," ± ",ROUND(M341,1))</f>
        <v/>
      </c>
      <c r="Q341" t="inlineStr">
        <is>
          <t>K3-4B</t>
        </is>
      </c>
      <c r="R341" t="n">
        <v>1.1589</v>
      </c>
    </row>
    <row r="342">
      <c r="A342" t="n">
        <v>26</v>
      </c>
      <c r="B342" t="inlineStr">
        <is>
          <t>K4-4B</t>
        </is>
      </c>
      <c r="D342" t="n">
        <v>6.58</v>
      </c>
      <c r="E342" t="n">
        <v>0.448</v>
      </c>
      <c r="F342" t="n">
        <v>1035.151</v>
      </c>
      <c r="G342" t="n">
        <v>0.649</v>
      </c>
      <c r="H342">
        <f>E342/F342</f>
        <v/>
      </c>
      <c r="I342">
        <f>((H342-$J$316)/$I$316)</f>
        <v/>
      </c>
      <c r="J342">
        <f>(I342-IF(I324&gt;0,I324,0))</f>
        <v/>
      </c>
      <c r="K342">
        <f>J342/R326*1.1</f>
        <v/>
      </c>
      <c r="Q342" t="inlineStr">
        <is>
          <t>K3-4C</t>
        </is>
      </c>
      <c r="R342" t="n">
        <v>1.0206</v>
      </c>
    </row>
    <row r="343">
      <c r="A343" t="n">
        <v>27</v>
      </c>
      <c r="B343" t="inlineStr">
        <is>
          <t>K4-4C</t>
        </is>
      </c>
      <c r="D343" t="n">
        <v>5.69</v>
      </c>
      <c r="E343" t="n">
        <v>0.451</v>
      </c>
      <c r="F343" t="n">
        <v>822.99</v>
      </c>
      <c r="G343" t="n">
        <v>10</v>
      </c>
      <c r="H343">
        <f>E343/F343</f>
        <v/>
      </c>
      <c r="I343">
        <f>((H343-$J$316)/$I$316)</f>
        <v/>
      </c>
      <c r="J343">
        <f>(I343-IF(I324&gt;0,I324,0))</f>
        <v/>
      </c>
      <c r="K343">
        <f>J343/R327*1.1</f>
        <v/>
      </c>
      <c r="L343" s="23" t="inlineStr">
        <is>
          <t>Average</t>
        </is>
      </c>
      <c r="M343" s="23" t="inlineStr">
        <is>
          <t>Stdev</t>
        </is>
      </c>
      <c r="N343" s="9" t="inlineStr">
        <is>
          <t>Combined</t>
        </is>
      </c>
      <c r="Q343" t="inlineStr">
        <is>
          <t>K3-6A</t>
        </is>
      </c>
      <c r="R343" t="n">
        <v>1.1289</v>
      </c>
    </row>
    <row r="344">
      <c r="A344" t="n">
        <v>28</v>
      </c>
      <c r="B344" t="inlineStr">
        <is>
          <t>K4-5A</t>
        </is>
      </c>
      <c r="F344" t="n">
        <v>985.0170000000001</v>
      </c>
      <c r="H344">
        <f>E344/F344</f>
        <v/>
      </c>
      <c r="I344">
        <f>((H344-$J$316)/$I$316)</f>
        <v/>
      </c>
      <c r="J344">
        <f>(I344-IF(I324&gt;0,I324,0))</f>
        <v/>
      </c>
      <c r="K344">
        <f>J344/R328*1.1</f>
        <v/>
      </c>
      <c r="L344">
        <f>AVERAGE(K344:K346)</f>
        <v/>
      </c>
      <c r="M344">
        <f>STDEV(K344:K346)</f>
        <v/>
      </c>
      <c r="N344">
        <f>_xlfn.CONCAT(ROUND(L344,1)," ± ",ROUND(M344,1))</f>
        <v/>
      </c>
      <c r="Q344" t="inlineStr">
        <is>
          <t>K3-6B</t>
        </is>
      </c>
      <c r="R344" t="n">
        <v>1.195</v>
      </c>
    </row>
    <row r="345">
      <c r="A345" t="n">
        <v>29</v>
      </c>
      <c r="B345" t="inlineStr">
        <is>
          <t>K4-5B</t>
        </is>
      </c>
      <c r="D345" t="n">
        <v>5.38</v>
      </c>
      <c r="E345" t="n">
        <v>0.356</v>
      </c>
      <c r="F345" t="n">
        <v>1024.411</v>
      </c>
      <c r="G345" t="n">
        <v>8</v>
      </c>
      <c r="H345">
        <f>E345/F345</f>
        <v/>
      </c>
      <c r="I345">
        <f>((H345-$J$316)/$I$316)</f>
        <v/>
      </c>
      <c r="J345">
        <f>(I345-IF(I324&gt;0,I324,0))</f>
        <v/>
      </c>
      <c r="K345">
        <f>J345/R329*1.1</f>
        <v/>
      </c>
      <c r="Q345" t="inlineStr">
        <is>
          <t>K3-6C</t>
        </is>
      </c>
      <c r="R345" t="n">
        <v>1.1716</v>
      </c>
    </row>
    <row r="346">
      <c r="A346" t="n">
        <v>30</v>
      </c>
      <c r="B346" t="inlineStr">
        <is>
          <t>K4-5C</t>
        </is>
      </c>
      <c r="D346" t="n">
        <v>5.95</v>
      </c>
      <c r="E346" t="n">
        <v>4.401</v>
      </c>
      <c r="F346" t="n">
        <v>1313.31</v>
      </c>
      <c r="G346" t="n">
        <v>94</v>
      </c>
      <c r="H346">
        <f>E346/F346</f>
        <v/>
      </c>
      <c r="I346">
        <f>((H346-$J$316)/$I$316)</f>
        <v/>
      </c>
      <c r="J346">
        <f>(I346-IF(I324&gt;0,I324,0))</f>
        <v/>
      </c>
      <c r="K346">
        <f>J346/R330*1.1</f>
        <v/>
      </c>
      <c r="L346" s="23" t="n"/>
      <c r="M346" s="23" t="n"/>
      <c r="N346" s="9" t="n"/>
    </row>
    <row r="347">
      <c r="A347" t="n">
        <v>31</v>
      </c>
      <c r="B347" t="inlineStr">
        <is>
          <t>MeOH</t>
        </is>
      </c>
      <c r="L347" s="23" t="inlineStr">
        <is>
          <t>Average</t>
        </is>
      </c>
      <c r="M347" s="23" t="inlineStr">
        <is>
          <t>Stdev</t>
        </is>
      </c>
      <c r="N347" s="9" t="inlineStr">
        <is>
          <t>Combined</t>
        </is>
      </c>
    </row>
    <row r="348">
      <c r="A348" t="n">
        <v>32</v>
      </c>
      <c r="B348" t="inlineStr">
        <is>
          <t>K3-1A</t>
        </is>
      </c>
      <c r="D348" t="n">
        <v>5.59</v>
      </c>
      <c r="E348" t="n">
        <v>8.977</v>
      </c>
      <c r="F348" t="n">
        <v>1115.547</v>
      </c>
      <c r="G348" t="n">
        <v>8.618</v>
      </c>
      <c r="H348">
        <f>E348/F348</f>
        <v/>
      </c>
      <c r="I348">
        <f>((H348-$J$316)/$I$316)</f>
        <v/>
      </c>
      <c r="J348">
        <f>(I348-IF(I324&gt;0,I324,0))</f>
        <v/>
      </c>
      <c r="K348">
        <f>J348/R331*1.1</f>
        <v/>
      </c>
      <c r="L348">
        <f>AVERAGE(K348:K350)</f>
        <v/>
      </c>
      <c r="M348">
        <f>STDEV(K349:K350)</f>
        <v/>
      </c>
      <c r="N348">
        <f>_xlfn.CONCAT(ROUND(L348,1)," ± ",ROUND(M348,1))</f>
        <v/>
      </c>
    </row>
    <row r="349">
      <c r="A349" t="n">
        <v>33</v>
      </c>
      <c r="B349" t="inlineStr">
        <is>
          <t>K3-1B</t>
        </is>
      </c>
      <c r="F349" t="n">
        <v>868.492</v>
      </c>
      <c r="H349">
        <f>E349/F349</f>
        <v/>
      </c>
      <c r="I349">
        <f>((H349-$J$316)/$I$316)</f>
        <v/>
      </c>
      <c r="J349">
        <f>(I349-IF(I324&gt;0,I324,0))</f>
        <v/>
      </c>
      <c r="K349">
        <f>J349/R332*1.1</f>
        <v/>
      </c>
    </row>
    <row r="350">
      <c r="A350" t="n">
        <v>34</v>
      </c>
      <c r="B350" t="inlineStr">
        <is>
          <t>K3-1C</t>
        </is>
      </c>
      <c r="D350" t="n">
        <v>6.31</v>
      </c>
      <c r="E350" t="n">
        <v>0.571</v>
      </c>
      <c r="F350" t="n">
        <v>1891.713</v>
      </c>
      <c r="G350" t="n">
        <v>11</v>
      </c>
      <c r="H350">
        <f>E350/F350</f>
        <v/>
      </c>
      <c r="I350">
        <f>((H350-$J$316)/$I$316)</f>
        <v/>
      </c>
      <c r="J350">
        <f>(I350-IF(I324&gt;0,I324,0))</f>
        <v/>
      </c>
      <c r="K350">
        <f>J350/R333*1.1</f>
        <v/>
      </c>
      <c r="L350" s="23" t="inlineStr">
        <is>
          <t>Average</t>
        </is>
      </c>
      <c r="M350" s="23" t="inlineStr">
        <is>
          <t>Stdev</t>
        </is>
      </c>
      <c r="N350" s="9" t="inlineStr">
        <is>
          <t>Combined</t>
        </is>
      </c>
    </row>
    <row r="351">
      <c r="A351" t="n">
        <v>35</v>
      </c>
      <c r="B351" t="inlineStr">
        <is>
          <t>K3-2A</t>
        </is>
      </c>
      <c r="D351" t="n">
        <v>6.87</v>
      </c>
      <c r="E351" t="n">
        <v>0.22</v>
      </c>
      <c r="F351" t="n">
        <v>1176.041</v>
      </c>
      <c r="G351" t="n">
        <v>4</v>
      </c>
      <c r="H351">
        <f>E351/F351</f>
        <v/>
      </c>
      <c r="I351">
        <f>((H351-$J$316)/$I$316)</f>
        <v/>
      </c>
      <c r="J351">
        <f>(I351-IF(I324&gt;0,I324,0))</f>
        <v/>
      </c>
      <c r="K351">
        <f>J351/R334*1.1</f>
        <v/>
      </c>
      <c r="L351">
        <f>AVERAGE(K351:K353)</f>
        <v/>
      </c>
      <c r="M351">
        <f>STDEV(K351:K353)</f>
        <v/>
      </c>
      <c r="N351">
        <f>_xlfn.CONCAT(ROUND(L351,1)," ± ",ROUND(M351,1))</f>
        <v/>
      </c>
    </row>
    <row r="352">
      <c r="A352" t="n">
        <v>36</v>
      </c>
      <c r="B352" t="inlineStr">
        <is>
          <t>K3-2B</t>
        </is>
      </c>
      <c r="F352" t="n">
        <v>1321.349</v>
      </c>
      <c r="H352">
        <f>E352/F352</f>
        <v/>
      </c>
      <c r="I352">
        <f>((H352-$J$316)/$I$316)</f>
        <v/>
      </c>
      <c r="J352">
        <f>(I352-IF(I324&gt;0,I324,0))</f>
        <v/>
      </c>
      <c r="K352">
        <f>J352/R335*1.1</f>
        <v/>
      </c>
    </row>
    <row r="353">
      <c r="A353" t="n">
        <v>37</v>
      </c>
      <c r="B353" t="inlineStr">
        <is>
          <t>K3-2C</t>
        </is>
      </c>
      <c r="D353" t="n">
        <v>6.84</v>
      </c>
      <c r="E353" t="n">
        <v>3.26</v>
      </c>
      <c r="F353" t="n">
        <v>1479.533</v>
      </c>
      <c r="G353" t="n">
        <v>63</v>
      </c>
      <c r="H353">
        <f>E353/F353</f>
        <v/>
      </c>
      <c r="I353">
        <f>((H353-$J$316)/$I$316)</f>
        <v/>
      </c>
      <c r="J353">
        <f>(I353-IF(I324&gt;0,I324,0))</f>
        <v/>
      </c>
      <c r="K353">
        <f>J353/R336*1.1</f>
        <v/>
      </c>
      <c r="L353" s="23" t="n"/>
      <c r="M353" s="23" t="n"/>
      <c r="N353" s="9" t="n"/>
    </row>
    <row r="354">
      <c r="A354" t="n">
        <v>38</v>
      </c>
      <c r="B354" t="inlineStr">
        <is>
          <t>MeOH</t>
        </is>
      </c>
      <c r="L354" s="23" t="inlineStr">
        <is>
          <t>Average</t>
        </is>
      </c>
      <c r="M354" s="23" t="inlineStr">
        <is>
          <t>Stdev</t>
        </is>
      </c>
      <c r="N354" s="9" t="inlineStr">
        <is>
          <t>Combined</t>
        </is>
      </c>
    </row>
    <row r="355">
      <c r="A355" t="n">
        <v>39</v>
      </c>
      <c r="B355" t="inlineStr">
        <is>
          <t>K3-3A</t>
        </is>
      </c>
      <c r="D355" t="n">
        <v>6.46</v>
      </c>
      <c r="E355" t="n">
        <v>1.923</v>
      </c>
      <c r="F355" t="n">
        <v>1517.701</v>
      </c>
      <c r="G355" t="n">
        <v>37</v>
      </c>
      <c r="H355">
        <f>E355/F355</f>
        <v/>
      </c>
      <c r="I355">
        <f>((H355-$J$316)/$I$316)</f>
        <v/>
      </c>
      <c r="J355">
        <f>(I355-IF(I324&gt;0,I324,0))</f>
        <v/>
      </c>
      <c r="K355">
        <f>J355/R337*1.1</f>
        <v/>
      </c>
      <c r="L355">
        <f>AVERAGE(K355:K357)</f>
        <v/>
      </c>
      <c r="M355">
        <f>STDEV(K356:K357)</f>
        <v/>
      </c>
      <c r="N355">
        <f>_xlfn.CONCAT(ROUND(L355,1)," ± ",ROUND(M355,1))</f>
        <v/>
      </c>
    </row>
    <row r="356">
      <c r="A356" t="n">
        <v>40</v>
      </c>
      <c r="B356" t="inlineStr">
        <is>
          <t>K3-3B</t>
        </is>
      </c>
      <c r="D356" t="n">
        <v>6.82</v>
      </c>
      <c r="E356" t="n">
        <v>0.078</v>
      </c>
      <c r="F356" t="n">
        <v>1453.885</v>
      </c>
      <c r="G356" t="n">
        <v>1</v>
      </c>
      <c r="H356">
        <f>E356/F356</f>
        <v/>
      </c>
      <c r="I356">
        <f>((H356-$J$316)/$I$316)</f>
        <v/>
      </c>
      <c r="J356">
        <f>(I356-IF(I324&gt;0,I324,0))</f>
        <v/>
      </c>
      <c r="K356">
        <f>J356/R338*1.1</f>
        <v/>
      </c>
    </row>
    <row r="357">
      <c r="A357" t="n">
        <v>41</v>
      </c>
      <c r="B357" t="inlineStr">
        <is>
          <t>K3-3C</t>
        </is>
      </c>
      <c r="D357" t="n">
        <v>5.54</v>
      </c>
      <c r="E357" t="n">
        <v>3.055</v>
      </c>
      <c r="F357" t="n">
        <v>1930.228</v>
      </c>
      <c r="G357" t="n">
        <v>48</v>
      </c>
      <c r="H357">
        <f>E357/F357</f>
        <v/>
      </c>
      <c r="I357">
        <f>((H357-$J$316)/$I$316)</f>
        <v/>
      </c>
      <c r="J357">
        <f>(I357-IF(I324&gt;0,I324,0))</f>
        <v/>
      </c>
      <c r="K357">
        <f>J357/R339*1.1</f>
        <v/>
      </c>
      <c r="L357" s="23" t="inlineStr">
        <is>
          <t>Average</t>
        </is>
      </c>
      <c r="M357" s="23" t="inlineStr">
        <is>
          <t>Stdev</t>
        </is>
      </c>
      <c r="N357" s="9" t="inlineStr">
        <is>
          <t>Combined</t>
        </is>
      </c>
    </row>
    <row r="358">
      <c r="A358" t="n">
        <v>42</v>
      </c>
      <c r="B358" t="inlineStr">
        <is>
          <t>K3-4A</t>
        </is>
      </c>
      <c r="D358" t="n">
        <v>6.04</v>
      </c>
      <c r="E358" t="n">
        <v>0.165</v>
      </c>
      <c r="F358" t="n">
        <v>2454.78</v>
      </c>
      <c r="G358" t="n">
        <v>3</v>
      </c>
      <c r="H358">
        <f>E358/F358</f>
        <v/>
      </c>
      <c r="I358">
        <f>((H358-$J$316)/$I$316)</f>
        <v/>
      </c>
      <c r="J358">
        <f>(I358-IF(I324&gt;0,I324,0))</f>
        <v/>
      </c>
      <c r="K358">
        <f>J358/R340*1.1</f>
        <v/>
      </c>
      <c r="L358">
        <f>AVERAGE(K358:K360)</f>
        <v/>
      </c>
      <c r="M358">
        <f>STDEV(K358:K360)</f>
        <v/>
      </c>
      <c r="N358">
        <f>_xlfn.CONCAT(ROUND(L358,1)," ± ",ROUND(M358,1))</f>
        <v/>
      </c>
    </row>
    <row r="359">
      <c r="A359" t="n">
        <v>43</v>
      </c>
      <c r="B359" t="inlineStr">
        <is>
          <t>K3-4B</t>
        </is>
      </c>
      <c r="D359" t="n">
        <v>6.03</v>
      </c>
      <c r="E359" t="n">
        <v>0.185</v>
      </c>
      <c r="F359" t="n">
        <v>2046.805</v>
      </c>
      <c r="G359" t="n">
        <v>4</v>
      </c>
      <c r="H359">
        <f>E359/F359</f>
        <v/>
      </c>
      <c r="I359">
        <f>((H359-$J$316)/$I$316)</f>
        <v/>
      </c>
      <c r="J359">
        <f>(I359-IF(I324&gt;0,I324,0))</f>
        <v/>
      </c>
      <c r="K359">
        <f>J359/R341*1.1</f>
        <v/>
      </c>
    </row>
    <row r="360">
      <c r="A360" t="n">
        <v>44</v>
      </c>
      <c r="B360" t="inlineStr">
        <is>
          <t>K3-4C</t>
        </is>
      </c>
      <c r="D360" t="n">
        <v>6.22</v>
      </c>
      <c r="E360" t="n">
        <v>4.798</v>
      </c>
      <c r="F360" t="n">
        <v>1963.707</v>
      </c>
      <c r="G360" t="n">
        <v>93</v>
      </c>
      <c r="H360">
        <f>E360/F360</f>
        <v/>
      </c>
      <c r="I360">
        <f>((H360-$J$316)/$I$316)</f>
        <v/>
      </c>
      <c r="J360">
        <f>(I360-IF(I324&gt;0,I324,0))</f>
        <v/>
      </c>
      <c r="K360">
        <f>J360/R342*1.1</f>
        <v/>
      </c>
      <c r="L360" s="23" t="n"/>
      <c r="M360" s="23" t="n"/>
      <c r="N360" s="9" t="n"/>
    </row>
    <row r="361">
      <c r="A361" t="n">
        <v>45</v>
      </c>
      <c r="B361" t="inlineStr">
        <is>
          <t>MeOH</t>
        </is>
      </c>
      <c r="L361" s="23" t="inlineStr">
        <is>
          <t>Average</t>
        </is>
      </c>
      <c r="M361" s="23" t="inlineStr">
        <is>
          <t>Stdev</t>
        </is>
      </c>
      <c r="N361" s="9" t="inlineStr">
        <is>
          <t>Combined</t>
        </is>
      </c>
    </row>
    <row r="362">
      <c r="A362" t="n">
        <v>46</v>
      </c>
      <c r="B362" t="inlineStr">
        <is>
          <t>K3-6A</t>
        </is>
      </c>
      <c r="D362" t="n">
        <v>7.05</v>
      </c>
      <c r="E362" t="n">
        <v>2.183</v>
      </c>
      <c r="F362" t="n">
        <v>2063.159</v>
      </c>
      <c r="G362" t="n">
        <v>42</v>
      </c>
      <c r="H362">
        <f>E362/F362</f>
        <v/>
      </c>
      <c r="I362">
        <f>((H362-$J$316)/$I$316)</f>
        <v/>
      </c>
      <c r="J362">
        <f>(I362-IF(I324&gt;0,I324,0))</f>
        <v/>
      </c>
      <c r="K362">
        <f>J362/R343*1.1</f>
        <v/>
      </c>
      <c r="L362">
        <f>AVERAGE(K362:K364)</f>
        <v/>
      </c>
      <c r="M362">
        <f>STDEV(K363:K364)</f>
        <v/>
      </c>
      <c r="N362">
        <f>_xlfn.CONCAT(ROUND(L362,1)," ± ",ROUND(M362,1))</f>
        <v/>
      </c>
    </row>
    <row r="363">
      <c r="A363" t="n">
        <v>47</v>
      </c>
      <c r="B363" t="inlineStr">
        <is>
          <t>K3-6B</t>
        </is>
      </c>
      <c r="D363" t="n">
        <v>6.68</v>
      </c>
      <c r="E363" t="n">
        <v>0.14</v>
      </c>
      <c r="F363" t="n">
        <v>1701.403</v>
      </c>
      <c r="G363" t="n">
        <v>3</v>
      </c>
      <c r="H363">
        <f>E363/F363</f>
        <v/>
      </c>
      <c r="I363">
        <f>((H363-$J$316)/$I$316)</f>
        <v/>
      </c>
      <c r="J363">
        <f>(I363-IF(I324&gt;0,I324,0))</f>
        <v/>
      </c>
      <c r="K363">
        <f>J363/R344*1.1</f>
        <v/>
      </c>
    </row>
    <row r="364">
      <c r="A364" t="n">
        <v>48</v>
      </c>
      <c r="B364" t="inlineStr">
        <is>
          <t>K3-6C</t>
        </is>
      </c>
      <c r="F364" t="n">
        <v>1921.069</v>
      </c>
      <c r="H364">
        <f>E364/F364</f>
        <v/>
      </c>
      <c r="I364">
        <f>((H364-$J$316)/$I$316)</f>
        <v/>
      </c>
      <c r="J364">
        <f>(I364-IF(I324&gt;0,I324,0))</f>
        <v/>
      </c>
      <c r="K364">
        <f>J364/R345*1.1</f>
        <v/>
      </c>
      <c r="L364" s="23" t="n"/>
      <c r="M364" s="23" t="n"/>
      <c r="N364" s="9" t="n"/>
    </row>
    <row r="366">
      <c r="A366" s="15" t="inlineStr">
        <is>
          <t>Compound 9:  PFPeA 1</t>
        </is>
      </c>
      <c r="B366" s="15" t="n"/>
    </row>
    <row r="367">
      <c r="I367" t="inlineStr">
        <is>
          <t>LINEST</t>
        </is>
      </c>
      <c r="Q367" t="inlineStr">
        <is>
          <t>Biosolids Masses</t>
        </is>
      </c>
      <c r="R367" t="inlineStr">
        <is>
          <t>(g)</t>
        </is>
      </c>
    </row>
    <row r="368">
      <c r="B368" t="inlineStr">
        <is>
          <t>Sample Text</t>
        </is>
      </c>
      <c r="C368" t="inlineStr">
        <is>
          <t>Std. Conc</t>
        </is>
      </c>
      <c r="D368" t="inlineStr">
        <is>
          <t>RT</t>
        </is>
      </c>
      <c r="E368" t="inlineStr">
        <is>
          <t>Area</t>
        </is>
      </c>
      <c r="F368" t="inlineStr">
        <is>
          <t>IS Area</t>
        </is>
      </c>
      <c r="G368" t="inlineStr">
        <is>
          <t>S/N</t>
        </is>
      </c>
      <c r="H368" t="inlineStr">
        <is>
          <t>ratio</t>
        </is>
      </c>
      <c r="I368">
        <f t="array" ref="I368:J372">LINEST(H371:H376,C371:C376,1,1)</f>
        <v/>
      </c>
      <c r="J368" t="n">
        <v>-0.005688660875572293</v>
      </c>
      <c r="L368" s="20" t="inlineStr">
        <is>
          <t>By S/N Ratio</t>
        </is>
      </c>
      <c r="Q368" t="inlineStr">
        <is>
          <t>SS1</t>
        </is>
      </c>
      <c r="R368" t="n">
        <v>1.0846</v>
      </c>
    </row>
    <row r="369">
      <c r="A369" t="n">
        <v>1</v>
      </c>
      <c r="B369" t="inlineStr">
        <is>
          <t>EPA1633 &amp; diPAPs Calibration 0 ppb</t>
        </is>
      </c>
      <c r="C369" t="n">
        <v>0</v>
      </c>
      <c r="D369" t="n">
        <v>5.95</v>
      </c>
      <c r="E369" t="n">
        <v>6.667</v>
      </c>
      <c r="F369" t="n">
        <v>1566.984</v>
      </c>
      <c r="G369" t="n">
        <v>1.51</v>
      </c>
      <c r="H369">
        <f>E369/F369</f>
        <v/>
      </c>
      <c r="I369" t="n">
        <v>0.0007782735676863105</v>
      </c>
      <c r="J369" t="n">
        <v>0.01457638037229122</v>
      </c>
      <c r="K369" t="inlineStr">
        <is>
          <t>LOD</t>
        </is>
      </c>
      <c r="L369" s="21">
        <f>IF(G372&gt;3,C372,IF(G373&gt;3,C373,IF(G374&gt;3,C374,IF(G375&gt;3,C375,C376))))</f>
        <v/>
      </c>
      <c r="Q369" t="inlineStr">
        <is>
          <t>SS2</t>
        </is>
      </c>
      <c r="R369" t="n">
        <v>1.0726</v>
      </c>
    </row>
    <row r="370">
      <c r="A370" t="n">
        <v>2</v>
      </c>
      <c r="B370" t="inlineStr">
        <is>
          <t>EPA1633 &amp; diPAPs Calibration 0.02 ppb</t>
        </is>
      </c>
      <c r="C370" t="n">
        <v>0.04</v>
      </c>
      <c r="D370" t="n">
        <v>6.33</v>
      </c>
      <c r="E370" t="n">
        <v>24.435</v>
      </c>
      <c r="F370" t="n">
        <v>1104.988</v>
      </c>
      <c r="G370" t="n">
        <v>1.144</v>
      </c>
      <c r="H370">
        <f>E370/F370</f>
        <v/>
      </c>
      <c r="I370" t="n">
        <v>0.9994814522362272</v>
      </c>
      <c r="J370" t="n">
        <v>0.02714505447282413</v>
      </c>
      <c r="K370" t="inlineStr">
        <is>
          <t>LOQ</t>
        </is>
      </c>
      <c r="L370" s="22">
        <f>IF(G372&gt;10,C372,IF(G373&gt;10,C373,IF(G374&gt;10,C374,IF(G375&gt;10,C375,C376))))</f>
        <v/>
      </c>
      <c r="Q370" t="inlineStr">
        <is>
          <t>SS3</t>
        </is>
      </c>
      <c r="R370" t="n">
        <v>1.1534</v>
      </c>
    </row>
    <row r="371">
      <c r="A371" t="n">
        <v>3</v>
      </c>
      <c r="B371" t="inlineStr">
        <is>
          <t>EPA1633 &amp; diPAPs Calibration 0.1 ppb</t>
        </is>
      </c>
      <c r="C371" t="n">
        <v>0.2</v>
      </c>
      <c r="D371" t="n">
        <v>6.33</v>
      </c>
      <c r="E371" t="n">
        <v>36.144</v>
      </c>
      <c r="F371" t="n">
        <v>1061.587</v>
      </c>
      <c r="G371" t="n">
        <v>2.202</v>
      </c>
      <c r="H371">
        <f>E371/F371</f>
        <v/>
      </c>
      <c r="I371" t="n">
        <v>7709.850641063523</v>
      </c>
      <c r="J371" t="n">
        <v>4</v>
      </c>
      <c r="Q371" t="inlineStr">
        <is>
          <t>K4-1A</t>
        </is>
      </c>
      <c r="R371" t="n">
        <v>1.0267</v>
      </c>
    </row>
    <row r="372">
      <c r="A372" t="n">
        <v>4</v>
      </c>
      <c r="B372" t="inlineStr">
        <is>
          <t>EPA1633 &amp; diPAPs Calibration 0.4 ppb</t>
        </is>
      </c>
      <c r="C372" t="n">
        <v>0.8</v>
      </c>
      <c r="D372" t="n">
        <v>6.37</v>
      </c>
      <c r="E372" t="n">
        <v>56.886</v>
      </c>
      <c r="F372" t="n">
        <v>1027.635</v>
      </c>
      <c r="G372" t="n">
        <v>5.843</v>
      </c>
      <c r="H372">
        <f>E372/F372</f>
        <v/>
      </c>
      <c r="I372" t="n">
        <v>5.681034148057122</v>
      </c>
      <c r="J372" t="n">
        <v>0.002947415929330357</v>
      </c>
      <c r="Q372" t="inlineStr">
        <is>
          <t>K4-1B</t>
        </is>
      </c>
      <c r="R372" t="n">
        <v>1.1481</v>
      </c>
    </row>
    <row r="373">
      <c r="A373" t="n">
        <v>5</v>
      </c>
      <c r="B373" t="inlineStr">
        <is>
          <t>EPA1633 &amp; diPAPs Calibration 1 ppb</t>
        </is>
      </c>
      <c r="C373" t="n">
        <v>2</v>
      </c>
      <c r="D373" t="n">
        <v>6.4</v>
      </c>
      <c r="E373" t="n">
        <v>148.482</v>
      </c>
      <c r="F373" t="n">
        <v>1290.294</v>
      </c>
      <c r="G373" t="n">
        <v>8.295</v>
      </c>
      <c r="H373">
        <f>E373/F373</f>
        <v/>
      </c>
      <c r="Q373" t="inlineStr">
        <is>
          <t>K4-1C</t>
        </is>
      </c>
      <c r="R373" t="n">
        <v>1.0402</v>
      </c>
    </row>
    <row r="374">
      <c r="A374" t="n">
        <v>6</v>
      </c>
      <c r="B374" t="inlineStr">
        <is>
          <t>EPA1633 &amp; diPAPs Calibration 5 ppb</t>
        </is>
      </c>
      <c r="C374" t="n">
        <v>10</v>
      </c>
      <c r="D374" t="n">
        <v>6.16</v>
      </c>
      <c r="E374" t="n">
        <v>693.9</v>
      </c>
      <c r="F374" t="n">
        <v>1018.312</v>
      </c>
      <c r="G374" t="n">
        <v>41.605</v>
      </c>
      <c r="H374">
        <f>E374/F374</f>
        <v/>
      </c>
      <c r="Q374" t="inlineStr">
        <is>
          <t>K4-2A</t>
        </is>
      </c>
      <c r="R374" t="n">
        <v>1.127</v>
      </c>
    </row>
    <row r="375">
      <c r="A375" t="n">
        <v>7</v>
      </c>
      <c r="B375" t="inlineStr">
        <is>
          <t>EPA1633 &amp; diPAPs Calibration 10 ppb</t>
        </is>
      </c>
      <c r="C375" t="n">
        <v>20</v>
      </c>
      <c r="D375" t="n">
        <v>6.22</v>
      </c>
      <c r="E375" t="n">
        <v>1254.871</v>
      </c>
      <c r="F375" t="n">
        <v>949.73</v>
      </c>
      <c r="G375" t="n">
        <v>85.598</v>
      </c>
      <c r="H375">
        <f>E375/F375</f>
        <v/>
      </c>
      <c r="I375" s="23" t="inlineStr">
        <is>
          <t>Background</t>
        </is>
      </c>
      <c r="J375" s="23" t="inlineStr">
        <is>
          <t>Spike</t>
        </is>
      </c>
      <c r="K375" s="9" t="inlineStr">
        <is>
          <t>Old Spike</t>
        </is>
      </c>
      <c r="O375" s="24" t="inlineStr">
        <is>
          <t>±</t>
        </is>
      </c>
      <c r="Q375" t="inlineStr">
        <is>
          <t>K4-2B</t>
        </is>
      </c>
      <c r="R375" t="n">
        <v>1.1154</v>
      </c>
    </row>
    <row r="376">
      <c r="A376" t="n">
        <v>8</v>
      </c>
      <c r="B376" t="inlineStr">
        <is>
          <t>EPA1633 &amp; diPAPs Calibration 20 ppb</t>
        </is>
      </c>
      <c r="C376" t="n">
        <v>40</v>
      </c>
      <c r="D376" t="n">
        <v>6.3</v>
      </c>
      <c r="E376" t="n">
        <v>2555.679</v>
      </c>
      <c r="F376" t="n">
        <v>930.2619999999999</v>
      </c>
      <c r="G376" t="n">
        <v>153.788</v>
      </c>
      <c r="H376">
        <f>E376/F376</f>
        <v/>
      </c>
      <c r="I376">
        <f>AVERAGE(I379:I381)</f>
        <v/>
      </c>
      <c r="J376" t="n">
        <v>22</v>
      </c>
      <c r="Q376" t="inlineStr">
        <is>
          <t>K4-2C</t>
        </is>
      </c>
      <c r="R376" t="n">
        <v>1.1711</v>
      </c>
    </row>
    <row r="377">
      <c r="A377" t="n">
        <v>9</v>
      </c>
      <c r="B377" t="inlineStr">
        <is>
          <t>MeOH</t>
        </is>
      </c>
      <c r="D377" t="n">
        <v>6.38</v>
      </c>
      <c r="I377" s="23" t="inlineStr">
        <is>
          <t>Conc.In Vial (ppb)</t>
        </is>
      </c>
      <c r="J377" s="9" t="inlineStr">
        <is>
          <t>Corr. Conc.(ppb)</t>
        </is>
      </c>
      <c r="K377" s="9" t="inlineStr">
        <is>
          <t>Conc. In soil (ng/g)</t>
        </is>
      </c>
      <c r="Q377" t="inlineStr">
        <is>
          <t>K4-4A</t>
        </is>
      </c>
      <c r="R377" t="n">
        <v>1.0932</v>
      </c>
    </row>
    <row r="378">
      <c r="A378" t="n">
        <v>10</v>
      </c>
      <c r="B378" t="inlineStr">
        <is>
          <t>MeOH</t>
        </is>
      </c>
      <c r="D378" t="n">
        <v>5.98</v>
      </c>
      <c r="L378" s="23" t="inlineStr">
        <is>
          <t>Average</t>
        </is>
      </c>
      <c r="M378" s="23" t="inlineStr">
        <is>
          <t>Stdev</t>
        </is>
      </c>
      <c r="N378" s="9" t="inlineStr">
        <is>
          <t>Combined</t>
        </is>
      </c>
      <c r="O378" s="9" t="n"/>
      <c r="P378" s="9" t="n"/>
      <c r="Q378" t="inlineStr">
        <is>
          <t>K4-4B</t>
        </is>
      </c>
      <c r="R378" t="n">
        <v>1.15</v>
      </c>
    </row>
    <row r="379">
      <c r="A379" t="n">
        <v>11</v>
      </c>
      <c r="B379" t="inlineStr">
        <is>
          <t>SB1</t>
        </is>
      </c>
      <c r="D379" t="n">
        <v>6.18</v>
      </c>
      <c r="E379" t="n">
        <v>7.696</v>
      </c>
      <c r="F379" t="n">
        <v>445.96</v>
      </c>
      <c r="G379" t="n">
        <v>119</v>
      </c>
      <c r="H379">
        <f>E379/F379</f>
        <v/>
      </c>
      <c r="I379">
        <f>((H379-$J$368)/$I$368)</f>
        <v/>
      </c>
      <c r="J379">
        <f>(I379-IF(I376&gt;0,I376,0))</f>
        <v/>
      </c>
      <c r="K379">
        <f>J379*1.1</f>
        <v/>
      </c>
      <c r="L379">
        <f>AVERAGE(K379:K381)</f>
        <v/>
      </c>
      <c r="M379">
        <f>STDEV(K380:K381)</f>
        <v/>
      </c>
      <c r="N379">
        <f>_xlfn.CONCAT(ROUND(L379,1)," ± ",ROUND(M379,1))</f>
        <v/>
      </c>
      <c r="Q379" t="inlineStr">
        <is>
          <t>K4-4C</t>
        </is>
      </c>
      <c r="R379" t="n">
        <v>1.0482</v>
      </c>
    </row>
    <row r="380">
      <c r="A380" t="n">
        <v>12</v>
      </c>
      <c r="B380" t="inlineStr">
        <is>
          <t>SB2</t>
        </is>
      </c>
      <c r="D380" t="n">
        <v>5.96</v>
      </c>
      <c r="E380" t="n">
        <v>10.095</v>
      </c>
      <c r="F380" t="n">
        <v>600.391</v>
      </c>
      <c r="G380" t="n">
        <v>4.763</v>
      </c>
      <c r="H380">
        <f>E380/F380</f>
        <v/>
      </c>
      <c r="I380">
        <f>((H380-$J$368)/$I$368)</f>
        <v/>
      </c>
      <c r="J380">
        <f>(I380-IF(I376&gt;0,I376,0))</f>
        <v/>
      </c>
      <c r="K380">
        <f>J380*1.1</f>
        <v/>
      </c>
      <c r="Q380" t="inlineStr">
        <is>
          <t>K4-5A</t>
        </is>
      </c>
      <c r="R380" t="n">
        <v>1.1054</v>
      </c>
    </row>
    <row r="381">
      <c r="A381" t="n">
        <v>13</v>
      </c>
      <c r="B381" t="inlineStr">
        <is>
          <t>SB3</t>
        </is>
      </c>
      <c r="D381" t="n">
        <v>6.18</v>
      </c>
      <c r="E381" t="n">
        <v>5.867</v>
      </c>
      <c r="F381" t="n">
        <v>377.781</v>
      </c>
      <c r="G381" t="n">
        <v>0.749</v>
      </c>
      <c r="H381">
        <f>E381/F381</f>
        <v/>
      </c>
      <c r="I381">
        <f>((H381-$J$368)/$I$368)</f>
        <v/>
      </c>
      <c r="J381">
        <f>(I381-IF(I376&gt;0,I376,0))</f>
        <v/>
      </c>
      <c r="K381" s="30">
        <f>J381*1.1</f>
        <v/>
      </c>
      <c r="L381" s="25" t="inlineStr">
        <is>
          <t>Average</t>
        </is>
      </c>
      <c r="M381" s="25" t="inlineStr">
        <is>
          <t>Stdev</t>
        </is>
      </c>
      <c r="N381" s="26" t="inlineStr">
        <is>
          <t>%Recovery</t>
        </is>
      </c>
      <c r="O381" s="26" t="inlineStr">
        <is>
          <t>Uncertainty</t>
        </is>
      </c>
      <c r="P381" s="26" t="inlineStr">
        <is>
          <t>Combined</t>
        </is>
      </c>
      <c r="Q381" t="inlineStr">
        <is>
          <t>K4-5B</t>
        </is>
      </c>
      <c r="R381" s="10" t="n">
        <v>1.0463</v>
      </c>
    </row>
    <row r="382">
      <c r="A382" t="n">
        <v>14</v>
      </c>
      <c r="B382" t="inlineStr">
        <is>
          <t>SS1</t>
        </is>
      </c>
      <c r="D382" t="n">
        <v>6.46</v>
      </c>
      <c r="E382" t="n">
        <v>398.813</v>
      </c>
      <c r="F382" t="n">
        <v>467.984</v>
      </c>
      <c r="G382" t="n">
        <v>86.262</v>
      </c>
      <c r="H382">
        <f>E382/F382</f>
        <v/>
      </c>
      <c r="I382">
        <f>((H382-$J$368)/$I$368)</f>
        <v/>
      </c>
      <c r="J382">
        <f>(I382-IF(I376&gt;0,I376,0))</f>
        <v/>
      </c>
      <c r="K382">
        <f>J382/R368*1.1</f>
        <v/>
      </c>
      <c r="L382" s="27">
        <f>AVERAGE(K382:K384)</f>
        <v/>
      </c>
      <c r="M382" s="27">
        <f>STDEV(K382:K384)</f>
        <v/>
      </c>
      <c r="N382" s="28">
        <f>L382/J376*100</f>
        <v/>
      </c>
      <c r="O382" s="29">
        <f>M382/J379*100</f>
        <v/>
      </c>
      <c r="P382" s="29">
        <f>_xlfn.CONCAT(ROUND(N382,1)," ± ",ROUND(O382,1))</f>
        <v/>
      </c>
      <c r="Q382" t="inlineStr">
        <is>
          <t>K4-5C</t>
        </is>
      </c>
      <c r="R382" t="n">
        <v>1.1155</v>
      </c>
    </row>
    <row r="383">
      <c r="A383" t="n">
        <v>15</v>
      </c>
      <c r="B383" t="inlineStr">
        <is>
          <t>SS2</t>
        </is>
      </c>
      <c r="D383" t="n">
        <v>6.49</v>
      </c>
      <c r="E383" t="n">
        <v>506.692</v>
      </c>
      <c r="F383" t="n">
        <v>435.7</v>
      </c>
      <c r="G383" t="n">
        <v>39.811</v>
      </c>
      <c r="H383">
        <f>E383/F383</f>
        <v/>
      </c>
      <c r="I383">
        <f>((H383-$J$368)/$I$368)</f>
        <v/>
      </c>
      <c r="J383">
        <f>(I383-IF(I376&gt;0,I376,0))</f>
        <v/>
      </c>
      <c r="K383">
        <f>J383/R369*1.1</f>
        <v/>
      </c>
      <c r="Q383" t="inlineStr">
        <is>
          <t>K3-1A</t>
        </is>
      </c>
      <c r="R383" t="n">
        <v>1.0874</v>
      </c>
    </row>
    <row r="384">
      <c r="A384" t="n">
        <v>16</v>
      </c>
      <c r="B384" t="inlineStr">
        <is>
          <t>SS3</t>
        </is>
      </c>
      <c r="D384" t="n">
        <v>6.49</v>
      </c>
      <c r="E384" t="n">
        <v>403.093</v>
      </c>
      <c r="F384" t="n">
        <v>448.247</v>
      </c>
      <c r="G384" t="n">
        <v>34.806</v>
      </c>
      <c r="H384">
        <f>E384/F384</f>
        <v/>
      </c>
      <c r="I384">
        <f>((H384-$J$368)/$I$368)</f>
        <v/>
      </c>
      <c r="J384">
        <f>(I384-IF(I376&gt;0,I376,0))</f>
        <v/>
      </c>
      <c r="K384" s="30">
        <f>J384/R370*1.1</f>
        <v/>
      </c>
      <c r="Q384" t="inlineStr">
        <is>
          <t>K3-1B</t>
        </is>
      </c>
      <c r="R384" t="n">
        <v>1.0898</v>
      </c>
    </row>
    <row r="385">
      <c r="A385" t="n">
        <v>17</v>
      </c>
      <c r="B385" t="inlineStr">
        <is>
          <t>MeOH</t>
        </is>
      </c>
      <c r="L385" s="23" t="inlineStr">
        <is>
          <t>Average</t>
        </is>
      </c>
      <c r="M385" s="23" t="inlineStr">
        <is>
          <t>Stdev</t>
        </is>
      </c>
      <c r="N385" s="9" t="inlineStr">
        <is>
          <t>Combined</t>
        </is>
      </c>
      <c r="Q385" t="inlineStr">
        <is>
          <t>K3-1C</t>
        </is>
      </c>
      <c r="R385" t="n">
        <v>1.0536</v>
      </c>
    </row>
    <row r="386">
      <c r="A386" t="n">
        <v>18</v>
      </c>
      <c r="B386" t="inlineStr">
        <is>
          <t>K4-1A</t>
        </is>
      </c>
      <c r="D386" t="n">
        <v>6.53</v>
      </c>
      <c r="E386" t="n">
        <v>14.785</v>
      </c>
      <c r="F386" t="n">
        <v>563.42</v>
      </c>
      <c r="G386" t="n">
        <v>1.736</v>
      </c>
      <c r="H386">
        <f>E386/F386</f>
        <v/>
      </c>
      <c r="I386">
        <f>((H386-$J$368)/$I$368)</f>
        <v/>
      </c>
      <c r="J386">
        <f>(I386-IF(I376&gt;0,I376,0))</f>
        <v/>
      </c>
      <c r="K386">
        <f>J386/R371*1.1</f>
        <v/>
      </c>
      <c r="L386">
        <f>AVERAGE(K386:K388)</f>
        <v/>
      </c>
      <c r="M386">
        <f>STDEV(K387:K388)</f>
        <v/>
      </c>
      <c r="N386">
        <f>_xlfn.CONCAT(ROUND(L386,1)," ± ",ROUND(M386,1))</f>
        <v/>
      </c>
      <c r="Q386" t="inlineStr">
        <is>
          <t>K3-2A</t>
        </is>
      </c>
      <c r="R386" s="10" t="n">
        <v>1.1218</v>
      </c>
    </row>
    <row r="387">
      <c r="A387" t="n">
        <v>19</v>
      </c>
      <c r="B387" t="inlineStr">
        <is>
          <t>K4-1B</t>
        </is>
      </c>
      <c r="D387" t="n">
        <v>6.51</v>
      </c>
      <c r="E387" t="n">
        <v>5.556</v>
      </c>
      <c r="F387" t="n">
        <v>700.124</v>
      </c>
      <c r="G387" t="n">
        <v>0.772</v>
      </c>
      <c r="H387">
        <f>E387/F387</f>
        <v/>
      </c>
      <c r="I387">
        <f>((H387-$J$368)/$I$368)</f>
        <v/>
      </c>
      <c r="J387">
        <f>(I387-IF(I376&gt;0,I376,0))</f>
        <v/>
      </c>
      <c r="K387">
        <f>J387/R372*1.1</f>
        <v/>
      </c>
      <c r="Q387" t="inlineStr">
        <is>
          <t>K3-2B</t>
        </is>
      </c>
      <c r="R387" t="n">
        <v>1.198</v>
      </c>
    </row>
    <row r="388">
      <c r="A388" t="n">
        <v>20</v>
      </c>
      <c r="B388" t="inlineStr">
        <is>
          <t>K4-1C</t>
        </is>
      </c>
      <c r="D388" t="n">
        <v>6.51</v>
      </c>
      <c r="E388" t="n">
        <v>24.276</v>
      </c>
      <c r="F388" t="n">
        <v>801.362</v>
      </c>
      <c r="G388" t="n">
        <v>2.481</v>
      </c>
      <c r="H388">
        <f>E388/F388</f>
        <v/>
      </c>
      <c r="I388">
        <f>((H388-$J$368)/$I$368)</f>
        <v/>
      </c>
      <c r="J388">
        <f>(I388-IF(I376&gt;0,I376,0))</f>
        <v/>
      </c>
      <c r="K388">
        <f>J388/R373*1.1</f>
        <v/>
      </c>
      <c r="L388" s="23" t="inlineStr">
        <is>
          <t>Average</t>
        </is>
      </c>
      <c r="M388" s="23" t="inlineStr">
        <is>
          <t>Stdev</t>
        </is>
      </c>
      <c r="N388" s="9" t="inlineStr">
        <is>
          <t>Combined</t>
        </is>
      </c>
      <c r="Q388" t="inlineStr">
        <is>
          <t>K3-2C</t>
        </is>
      </c>
      <c r="R388" t="n">
        <v>1.1538</v>
      </c>
    </row>
    <row r="389">
      <c r="A389" t="n">
        <v>21</v>
      </c>
      <c r="B389" t="inlineStr">
        <is>
          <t>K4-2A</t>
        </is>
      </c>
      <c r="D389" t="n">
        <v>6.63</v>
      </c>
      <c r="E389" t="n">
        <v>7.782</v>
      </c>
      <c r="F389" t="n">
        <v>625.455</v>
      </c>
      <c r="G389" t="n">
        <v>1.721</v>
      </c>
      <c r="H389">
        <f>E389/F389</f>
        <v/>
      </c>
      <c r="I389">
        <f>((H389-$J$368)/$I$368)</f>
        <v/>
      </c>
      <c r="J389">
        <f>(I389-IF(I376&gt;0,I376,0))</f>
        <v/>
      </c>
      <c r="K389">
        <f>J389/R374*1.1</f>
        <v/>
      </c>
      <c r="L389">
        <f>AVERAGE(K389:K391)</f>
        <v/>
      </c>
      <c r="M389">
        <f>STDEV(K389:K391)</f>
        <v/>
      </c>
      <c r="N389">
        <f>_xlfn.CONCAT(ROUND(L389,1)," ± ",ROUND(M389,1))</f>
        <v/>
      </c>
      <c r="Q389" t="inlineStr">
        <is>
          <t>K3-3A</t>
        </is>
      </c>
      <c r="R389" t="n">
        <v>1.1183</v>
      </c>
    </row>
    <row r="390">
      <c r="A390" t="n">
        <v>22</v>
      </c>
      <c r="B390" t="inlineStr">
        <is>
          <t>K4-2B</t>
        </is>
      </c>
      <c r="D390" t="n">
        <v>6.53</v>
      </c>
      <c r="E390" t="n">
        <v>31.505</v>
      </c>
      <c r="F390" t="n">
        <v>753.798</v>
      </c>
      <c r="G390" t="n">
        <v>3.196</v>
      </c>
      <c r="H390">
        <f>E390/F390</f>
        <v/>
      </c>
      <c r="I390">
        <f>((H390-$J$368)/$I$368)</f>
        <v/>
      </c>
      <c r="J390">
        <f>(I390-IF(I376&gt;0,I376,0))</f>
        <v/>
      </c>
      <c r="K390">
        <f>J390/R375*1.1</f>
        <v/>
      </c>
      <c r="Q390" t="inlineStr">
        <is>
          <t>K3-3B</t>
        </is>
      </c>
      <c r="R390" t="n">
        <v>1.1448</v>
      </c>
    </row>
    <row r="391">
      <c r="A391" t="n">
        <v>23</v>
      </c>
      <c r="B391" t="inlineStr">
        <is>
          <t>K4-2C</t>
        </is>
      </c>
      <c r="D391" t="n">
        <v>6.57</v>
      </c>
      <c r="E391" t="n">
        <v>21.925</v>
      </c>
      <c r="F391" t="n">
        <v>571.371</v>
      </c>
      <c r="G391" t="n">
        <v>2.236</v>
      </c>
      <c r="H391">
        <f>E391/F391</f>
        <v/>
      </c>
      <c r="I391">
        <f>((H391-$J$368)/$I$368)</f>
        <v/>
      </c>
      <c r="J391">
        <f>(I391-IF(I376&gt;0,I376,0))</f>
        <v/>
      </c>
      <c r="K391">
        <f>J391/R376*1.1</f>
        <v/>
      </c>
      <c r="L391" s="23" t="n"/>
      <c r="M391" s="23" t="n"/>
      <c r="N391" s="9" t="n"/>
      <c r="Q391" t="inlineStr">
        <is>
          <t>K3-3C</t>
        </is>
      </c>
      <c r="R391" t="n">
        <v>1.0493</v>
      </c>
    </row>
    <row r="392">
      <c r="A392" t="n">
        <v>24</v>
      </c>
      <c r="B392" t="inlineStr">
        <is>
          <t>MeOH</t>
        </is>
      </c>
      <c r="L392" s="23" t="inlineStr">
        <is>
          <t>Average</t>
        </is>
      </c>
      <c r="M392" s="23" t="inlineStr">
        <is>
          <t>Stdev</t>
        </is>
      </c>
      <c r="N392" s="9" t="inlineStr">
        <is>
          <t>Combined</t>
        </is>
      </c>
      <c r="Q392" t="inlineStr">
        <is>
          <t>K3-4A</t>
        </is>
      </c>
      <c r="R392" t="n">
        <v>1.0704</v>
      </c>
    </row>
    <row r="393">
      <c r="A393" t="n">
        <v>25</v>
      </c>
      <c r="B393" t="inlineStr">
        <is>
          <t>K4-4A</t>
        </is>
      </c>
      <c r="D393" t="n">
        <v>6.54</v>
      </c>
      <c r="E393" t="n">
        <v>7.12</v>
      </c>
      <c r="F393" t="n">
        <v>708.6559999999999</v>
      </c>
      <c r="G393" t="n">
        <v>0.8</v>
      </c>
      <c r="H393">
        <f>E393/F393</f>
        <v/>
      </c>
      <c r="I393">
        <f>((H393-$J$368)/$I$368)</f>
        <v/>
      </c>
      <c r="J393">
        <f>(I393-IF(I376&gt;0,I376,0))</f>
        <v/>
      </c>
      <c r="K393">
        <f>J393/R377*1.1</f>
        <v/>
      </c>
      <c r="L393">
        <f>AVERAGE(K393:K395)</f>
        <v/>
      </c>
      <c r="M393">
        <f>STDEV(K394:K395)</f>
        <v/>
      </c>
      <c r="N393">
        <f>_xlfn.CONCAT(ROUND(L393,1)," ± ",ROUND(M393,1))</f>
        <v/>
      </c>
      <c r="Q393" t="inlineStr">
        <is>
          <t>K3-4B</t>
        </is>
      </c>
      <c r="R393" t="n">
        <v>1.1589</v>
      </c>
    </row>
    <row r="394">
      <c r="A394" t="n">
        <v>26</v>
      </c>
      <c r="B394" t="inlineStr">
        <is>
          <t>K4-4B</t>
        </is>
      </c>
      <c r="D394" t="n">
        <v>6.35</v>
      </c>
      <c r="E394" t="n">
        <v>29.915</v>
      </c>
      <c r="F394" t="n">
        <v>653.003</v>
      </c>
      <c r="G394" t="n">
        <v>8.628</v>
      </c>
      <c r="H394">
        <f>E394/F394</f>
        <v/>
      </c>
      <c r="I394">
        <f>((H394-$J$368)/$I$368)</f>
        <v/>
      </c>
      <c r="J394">
        <f>(I394-IF(I376&gt;0,I376,0))</f>
        <v/>
      </c>
      <c r="K394">
        <f>J394/R378*1.1</f>
        <v/>
      </c>
      <c r="Q394" t="inlineStr">
        <is>
          <t>K3-4C</t>
        </is>
      </c>
      <c r="R394" t="n">
        <v>1.0206</v>
      </c>
    </row>
    <row r="395">
      <c r="A395" t="n">
        <v>27</v>
      </c>
      <c r="B395" t="inlineStr">
        <is>
          <t>K4-4C</t>
        </is>
      </c>
      <c r="D395" t="n">
        <v>6.66</v>
      </c>
      <c r="E395" t="n">
        <v>9.811999999999999</v>
      </c>
      <c r="F395" t="n">
        <v>688.335</v>
      </c>
      <c r="G395" t="n">
        <v>2.835</v>
      </c>
      <c r="H395">
        <f>E395/F395</f>
        <v/>
      </c>
      <c r="I395">
        <f>((H395-$J$368)/$I$368)</f>
        <v/>
      </c>
      <c r="J395">
        <f>(I395-IF(I376&gt;0,I376,0))</f>
        <v/>
      </c>
      <c r="K395">
        <f>J395/R379*1.1</f>
        <v/>
      </c>
      <c r="L395" s="23" t="inlineStr">
        <is>
          <t>Average</t>
        </is>
      </c>
      <c r="M395" s="23" t="inlineStr">
        <is>
          <t>Stdev</t>
        </is>
      </c>
      <c r="N395" s="9" t="inlineStr">
        <is>
          <t>Combined</t>
        </is>
      </c>
      <c r="Q395" t="inlineStr">
        <is>
          <t>K3-6A</t>
        </is>
      </c>
      <c r="R395" t="n">
        <v>1.1289</v>
      </c>
    </row>
    <row r="396">
      <c r="A396" t="n">
        <v>28</v>
      </c>
      <c r="B396" t="inlineStr">
        <is>
          <t>K4-5A</t>
        </is>
      </c>
      <c r="D396" t="n">
        <v>6.53</v>
      </c>
      <c r="E396" t="n">
        <v>12.364</v>
      </c>
      <c r="F396" t="n">
        <v>633.821</v>
      </c>
      <c r="G396" t="n">
        <v>3.181</v>
      </c>
      <c r="H396">
        <f>E396/F396</f>
        <v/>
      </c>
      <c r="I396">
        <f>((H396-$J$368)/$I$368)</f>
        <v/>
      </c>
      <c r="J396">
        <f>(I396-IF(I376&gt;0,I376,0))</f>
        <v/>
      </c>
      <c r="K396">
        <f>J396/R380*1.1</f>
        <v/>
      </c>
      <c r="L396">
        <f>AVERAGE(K396:K398)</f>
        <v/>
      </c>
      <c r="M396">
        <f>STDEV(K396:K398)</f>
        <v/>
      </c>
      <c r="N396">
        <f>_xlfn.CONCAT(ROUND(L396,1)," ± ",ROUND(M396,1))</f>
        <v/>
      </c>
      <c r="Q396" t="inlineStr">
        <is>
          <t>K3-6B</t>
        </is>
      </c>
      <c r="R396" t="n">
        <v>1.195</v>
      </c>
    </row>
    <row r="397">
      <c r="A397" t="n">
        <v>29</v>
      </c>
      <c r="B397" t="inlineStr">
        <is>
          <t>K4-5B</t>
        </is>
      </c>
      <c r="D397" t="n">
        <v>6.49</v>
      </c>
      <c r="E397" t="n">
        <v>14.446</v>
      </c>
      <c r="F397" t="n">
        <v>702.6079999999999</v>
      </c>
      <c r="G397" t="n">
        <v>2.902</v>
      </c>
      <c r="H397">
        <f>E397/F397</f>
        <v/>
      </c>
      <c r="I397">
        <f>((H397-$J$368)/$I$368)</f>
        <v/>
      </c>
      <c r="J397">
        <f>(I397-IF(I376&gt;0,I376,0))</f>
        <v/>
      </c>
      <c r="K397">
        <f>J397/R381*1.1</f>
        <v/>
      </c>
      <c r="Q397" t="inlineStr">
        <is>
          <t>K3-6C</t>
        </is>
      </c>
      <c r="R397" t="n">
        <v>1.1716</v>
      </c>
    </row>
    <row r="398">
      <c r="A398" t="n">
        <v>30</v>
      </c>
      <c r="B398" t="inlineStr">
        <is>
          <t>K4-5C</t>
        </is>
      </c>
      <c r="D398" t="n">
        <v>6.35</v>
      </c>
      <c r="E398" t="n">
        <v>23.316</v>
      </c>
      <c r="F398" t="n">
        <v>986.377</v>
      </c>
      <c r="G398" t="n">
        <v>2.208</v>
      </c>
      <c r="H398">
        <f>E398/F398</f>
        <v/>
      </c>
      <c r="I398">
        <f>((H398-$J$368)/$I$368)</f>
        <v/>
      </c>
      <c r="J398">
        <f>(I398-IF(I376&gt;0,I376,0))</f>
        <v/>
      </c>
      <c r="K398">
        <f>J398/R382*1.1</f>
        <v/>
      </c>
      <c r="L398" s="23" t="n"/>
      <c r="M398" s="23" t="n"/>
      <c r="N398" s="9" t="n"/>
    </row>
    <row r="399">
      <c r="A399" t="n">
        <v>31</v>
      </c>
      <c r="B399" t="inlineStr">
        <is>
          <t>MeOH</t>
        </is>
      </c>
      <c r="L399" s="23" t="inlineStr">
        <is>
          <t>Average</t>
        </is>
      </c>
      <c r="M399" s="23" t="inlineStr">
        <is>
          <t>Stdev</t>
        </is>
      </c>
      <c r="N399" s="9" t="inlineStr">
        <is>
          <t>Combined</t>
        </is>
      </c>
    </row>
    <row r="400">
      <c r="A400" t="n">
        <v>32</v>
      </c>
      <c r="B400" t="inlineStr">
        <is>
          <t>K3-1A</t>
        </is>
      </c>
      <c r="D400" t="n">
        <v>6.16</v>
      </c>
      <c r="E400" t="n">
        <v>14.792</v>
      </c>
      <c r="F400" t="n">
        <v>900.0069999999999</v>
      </c>
      <c r="G400" t="n">
        <v>1.396</v>
      </c>
      <c r="H400">
        <f>E400/F400</f>
        <v/>
      </c>
      <c r="I400">
        <f>((H400-$J$368)/$I$368)</f>
        <v/>
      </c>
      <c r="J400">
        <f>(I400-IF(I376&gt;0,I376,0))</f>
        <v/>
      </c>
      <c r="K400">
        <f>J400/R383*1.1</f>
        <v/>
      </c>
      <c r="L400">
        <f>AVERAGE(K400:K402)</f>
        <v/>
      </c>
      <c r="M400">
        <f>STDEV(K401:K402)</f>
        <v/>
      </c>
      <c r="N400">
        <f>_xlfn.CONCAT(ROUND(L400,1)," ± ",ROUND(M400,1))</f>
        <v/>
      </c>
    </row>
    <row r="401">
      <c r="A401" t="n">
        <v>33</v>
      </c>
      <c r="B401" t="inlineStr">
        <is>
          <t>K3-1B</t>
        </is>
      </c>
      <c r="D401" t="n">
        <v>6.24</v>
      </c>
      <c r="E401" t="n">
        <v>3.346</v>
      </c>
      <c r="F401" t="n">
        <v>676.23</v>
      </c>
      <c r="G401" t="n">
        <v>0.619</v>
      </c>
      <c r="H401">
        <f>E401/F401</f>
        <v/>
      </c>
      <c r="I401">
        <f>((H401-$J$368)/$I$368)</f>
        <v/>
      </c>
      <c r="J401">
        <f>(I401-IF(I376&gt;0,I376,0))</f>
        <v/>
      </c>
      <c r="K401">
        <f>J401/R384*1.1</f>
        <v/>
      </c>
    </row>
    <row r="402">
      <c r="A402" t="n">
        <v>34</v>
      </c>
      <c r="B402" t="inlineStr">
        <is>
          <t>K3-1C</t>
        </is>
      </c>
      <c r="D402" t="n">
        <v>6.3</v>
      </c>
      <c r="E402" t="n">
        <v>26.006</v>
      </c>
      <c r="F402" t="n">
        <v>821.191</v>
      </c>
      <c r="G402" t="n">
        <v>4.323</v>
      </c>
      <c r="H402">
        <f>E402/F402</f>
        <v/>
      </c>
      <c r="I402">
        <f>((H402-$J$368)/$I$368)</f>
        <v/>
      </c>
      <c r="J402">
        <f>(I402-IF(I376&gt;0,I376,0))</f>
        <v/>
      </c>
      <c r="K402">
        <f>J402/R385*1.1</f>
        <v/>
      </c>
      <c r="L402" s="23" t="inlineStr">
        <is>
          <t>Average</t>
        </is>
      </c>
      <c r="M402" s="23" t="inlineStr">
        <is>
          <t>Stdev</t>
        </is>
      </c>
      <c r="N402" s="9" t="inlineStr">
        <is>
          <t>Combined</t>
        </is>
      </c>
    </row>
    <row r="403">
      <c r="A403" t="n">
        <v>35</v>
      </c>
      <c r="B403" t="inlineStr">
        <is>
          <t>K3-2A</t>
        </is>
      </c>
      <c r="D403" t="n">
        <v>6.33</v>
      </c>
      <c r="E403" t="n">
        <v>4.054</v>
      </c>
      <c r="F403" t="n">
        <v>747.972</v>
      </c>
      <c r="G403" t="n">
        <v>0.724</v>
      </c>
      <c r="H403">
        <f>E403/F403</f>
        <v/>
      </c>
      <c r="I403">
        <f>((H403-$J$368)/$I$368)</f>
        <v/>
      </c>
      <c r="J403">
        <f>(I403-IF(I376&gt;0,I376,0))</f>
        <v/>
      </c>
      <c r="K403">
        <f>J403/R386*1.1</f>
        <v/>
      </c>
      <c r="L403">
        <f>AVERAGE(K403:K405)</f>
        <v/>
      </c>
      <c r="M403">
        <f>STDEV(K403:K405)</f>
        <v/>
      </c>
      <c r="N403">
        <f>_xlfn.CONCAT(ROUND(L403,1)," ± ",ROUND(M403,1))</f>
        <v/>
      </c>
    </row>
    <row r="404">
      <c r="A404" t="n">
        <v>36</v>
      </c>
      <c r="B404" t="inlineStr">
        <is>
          <t>K3-2B</t>
        </is>
      </c>
      <c r="D404" t="n">
        <v>6.36</v>
      </c>
      <c r="E404" t="n">
        <v>10.502</v>
      </c>
      <c r="F404" t="n">
        <v>963.821</v>
      </c>
      <c r="G404" t="n">
        <v>0.951</v>
      </c>
      <c r="H404">
        <f>E404/F404</f>
        <v/>
      </c>
      <c r="I404">
        <f>((H404-$J$368)/$I$368)</f>
        <v/>
      </c>
      <c r="J404">
        <f>(I404-IF(I376&gt;0,I376,0))</f>
        <v/>
      </c>
      <c r="K404">
        <f>J404/R387*1.1</f>
        <v/>
      </c>
    </row>
    <row r="405">
      <c r="A405" t="n">
        <v>37</v>
      </c>
      <c r="B405" t="inlineStr">
        <is>
          <t>K3-2C</t>
        </is>
      </c>
      <c r="D405" t="n">
        <v>6.42</v>
      </c>
      <c r="E405" t="n">
        <v>20.508</v>
      </c>
      <c r="F405" t="n">
        <v>766.044</v>
      </c>
      <c r="G405" t="n">
        <v>2.446</v>
      </c>
      <c r="H405">
        <f>E405/F405</f>
        <v/>
      </c>
      <c r="I405">
        <f>((H405-$J$368)/$I$368)</f>
        <v/>
      </c>
      <c r="J405">
        <f>(I405-IF(I376&gt;0,I376,0))</f>
        <v/>
      </c>
      <c r="K405">
        <f>J405/R388*1.1</f>
        <v/>
      </c>
      <c r="L405" s="23" t="n"/>
      <c r="M405" s="23" t="n"/>
      <c r="N405" s="9" t="n"/>
    </row>
    <row r="406">
      <c r="A406" t="n">
        <v>38</v>
      </c>
      <c r="B406" t="inlineStr">
        <is>
          <t>MeOH</t>
        </is>
      </c>
      <c r="L406" s="23" t="inlineStr">
        <is>
          <t>Average</t>
        </is>
      </c>
      <c r="M406" s="23" t="inlineStr">
        <is>
          <t>Stdev</t>
        </is>
      </c>
      <c r="N406" s="9" t="inlineStr">
        <is>
          <t>Combined</t>
        </is>
      </c>
    </row>
    <row r="407">
      <c r="A407" t="n">
        <v>39</v>
      </c>
      <c r="B407" t="inlineStr">
        <is>
          <t>K3-3A</t>
        </is>
      </c>
      <c r="D407" t="n">
        <v>6.41</v>
      </c>
      <c r="E407" t="n">
        <v>67.877</v>
      </c>
      <c r="F407" t="n">
        <v>820.27</v>
      </c>
      <c r="G407" t="n">
        <v>8.901999999999999</v>
      </c>
      <c r="H407">
        <f>E407/F407</f>
        <v/>
      </c>
      <c r="I407">
        <f>((H407-$J$368)/$I$368)</f>
        <v/>
      </c>
      <c r="J407">
        <f>(I407-IF(I376&gt;0,I376,0))</f>
        <v/>
      </c>
      <c r="K407">
        <f>J407/R389*1.1</f>
        <v/>
      </c>
      <c r="L407">
        <f>AVERAGE(K407:K409)</f>
        <v/>
      </c>
      <c r="M407">
        <f>STDEV(K408:K409)</f>
        <v/>
      </c>
      <c r="N407">
        <f>_xlfn.CONCAT(ROUND(L407,1)," ± ",ROUND(M407,1))</f>
        <v/>
      </c>
    </row>
    <row r="408">
      <c r="A408" t="n">
        <v>40</v>
      </c>
      <c r="B408" t="inlineStr">
        <is>
          <t>K3-3B</t>
        </is>
      </c>
      <c r="D408" t="n">
        <v>6.39</v>
      </c>
      <c r="E408" t="n">
        <v>43.46</v>
      </c>
      <c r="F408" t="n">
        <v>953.821</v>
      </c>
      <c r="G408" t="n">
        <v>1.94</v>
      </c>
      <c r="H408">
        <f>E408/F408</f>
        <v/>
      </c>
      <c r="I408">
        <f>((H408-$J$368)/$I$368)</f>
        <v/>
      </c>
      <c r="J408">
        <f>(I408-IF(I376&gt;0,I376,0))</f>
        <v/>
      </c>
      <c r="K408">
        <f>J408/R390*1.1</f>
        <v/>
      </c>
    </row>
    <row r="409">
      <c r="A409" t="n">
        <v>41</v>
      </c>
      <c r="B409" t="inlineStr">
        <is>
          <t>K3-3C</t>
        </is>
      </c>
      <c r="D409" t="n">
        <v>6.44</v>
      </c>
      <c r="E409" t="n">
        <v>27.619</v>
      </c>
      <c r="F409" t="n">
        <v>897.914</v>
      </c>
      <c r="G409" t="n">
        <v>3.242</v>
      </c>
      <c r="H409">
        <f>E409/F409</f>
        <v/>
      </c>
      <c r="I409">
        <f>((H409-$J$368)/$I$368)</f>
        <v/>
      </c>
      <c r="J409">
        <f>(I409-IF(I376&gt;0,I376,0))</f>
        <v/>
      </c>
      <c r="K409">
        <f>J409/R391*1.1</f>
        <v/>
      </c>
      <c r="L409" s="23" t="inlineStr">
        <is>
          <t>Average</t>
        </is>
      </c>
      <c r="M409" s="23" t="inlineStr">
        <is>
          <t>Stdev</t>
        </is>
      </c>
      <c r="N409" s="9" t="inlineStr">
        <is>
          <t>Combined</t>
        </is>
      </c>
    </row>
    <row r="410">
      <c r="A410" t="n">
        <v>42</v>
      </c>
      <c r="B410" t="inlineStr">
        <is>
          <t>K3-4A</t>
        </is>
      </c>
      <c r="D410" t="n">
        <v>6.54</v>
      </c>
      <c r="E410" t="n">
        <v>17.688</v>
      </c>
      <c r="F410" t="n">
        <v>908.869</v>
      </c>
      <c r="G410" t="n">
        <v>1.67</v>
      </c>
      <c r="H410">
        <f>E410/F410</f>
        <v/>
      </c>
      <c r="I410">
        <f>((H410-$J$368)/$I$368)</f>
        <v/>
      </c>
      <c r="J410">
        <f>(I410-IF(I376&gt;0,I376,0))</f>
        <v/>
      </c>
      <c r="K410">
        <f>J410/R392*1.1</f>
        <v/>
      </c>
      <c r="L410">
        <f>AVERAGE(K410:K412)</f>
        <v/>
      </c>
      <c r="M410">
        <f>STDEV(K410:K412)</f>
        <v/>
      </c>
      <c r="N410">
        <f>_xlfn.CONCAT(ROUND(L410,1)," ± ",ROUND(M410,1))</f>
        <v/>
      </c>
    </row>
    <row r="411">
      <c r="A411" t="n">
        <v>43</v>
      </c>
      <c r="B411" t="inlineStr">
        <is>
          <t>K3-4B</t>
        </is>
      </c>
      <c r="D411" t="n">
        <v>6.44</v>
      </c>
      <c r="E411" t="n">
        <v>55.561</v>
      </c>
      <c r="F411" t="n">
        <v>864.466</v>
      </c>
      <c r="G411" t="n">
        <v>6.241</v>
      </c>
      <c r="H411">
        <f>E411/F411</f>
        <v/>
      </c>
      <c r="I411">
        <f>((H411-$J$368)/$I$368)</f>
        <v/>
      </c>
      <c r="J411">
        <f>(I411-IF(I376&gt;0,I376,0))</f>
        <v/>
      </c>
      <c r="K411">
        <f>J411/R393*1.1</f>
        <v/>
      </c>
    </row>
    <row r="412">
      <c r="A412" t="n">
        <v>44</v>
      </c>
      <c r="B412" t="inlineStr">
        <is>
          <t>K3-4C</t>
        </is>
      </c>
      <c r="D412" t="n">
        <v>6.44</v>
      </c>
      <c r="E412" t="n">
        <v>67.018</v>
      </c>
      <c r="F412" t="n">
        <v>1021.648</v>
      </c>
      <c r="G412" t="n">
        <v>2.955</v>
      </c>
      <c r="H412">
        <f>E412/F412</f>
        <v/>
      </c>
      <c r="I412">
        <f>((H412-$J$368)/$I$368)</f>
        <v/>
      </c>
      <c r="J412">
        <f>(I412-IF(I376&gt;0,I376,0))</f>
        <v/>
      </c>
      <c r="K412">
        <f>J412/R394*1.1</f>
        <v/>
      </c>
      <c r="L412" s="23" t="n"/>
      <c r="M412" s="23" t="n"/>
      <c r="N412" s="9" t="n"/>
    </row>
    <row r="413">
      <c r="A413" t="n">
        <v>45</v>
      </c>
      <c r="B413" t="inlineStr">
        <is>
          <t>MeOH</t>
        </is>
      </c>
      <c r="L413" s="23" t="inlineStr">
        <is>
          <t>Average</t>
        </is>
      </c>
      <c r="M413" s="23" t="inlineStr">
        <is>
          <t>Stdev</t>
        </is>
      </c>
      <c r="N413" s="9" t="inlineStr">
        <is>
          <t>Combined</t>
        </is>
      </c>
    </row>
    <row r="414">
      <c r="A414" t="n">
        <v>46</v>
      </c>
      <c r="B414" t="inlineStr">
        <is>
          <t>K3-6A</t>
        </is>
      </c>
      <c r="D414" t="n">
        <v>6.58</v>
      </c>
      <c r="E414" t="n">
        <v>25.657</v>
      </c>
      <c r="F414" t="n">
        <v>688.995</v>
      </c>
      <c r="G414" t="n">
        <v>2.696</v>
      </c>
      <c r="H414">
        <f>E414/F414</f>
        <v/>
      </c>
      <c r="I414">
        <f>((H414-$J$368)/$I$368)</f>
        <v/>
      </c>
      <c r="J414">
        <f>(I414-IF(I376&gt;0,I376,0))</f>
        <v/>
      </c>
      <c r="K414">
        <f>J414/R395*1.1</f>
        <v/>
      </c>
      <c r="L414">
        <f>AVERAGE(K414:K416)</f>
        <v/>
      </c>
      <c r="M414">
        <f>STDEV(K415:K416)</f>
        <v/>
      </c>
      <c r="N414">
        <f>_xlfn.CONCAT(ROUND(L414,1)," ± ",ROUND(M414,1))</f>
        <v/>
      </c>
    </row>
    <row r="415">
      <c r="A415" t="n">
        <v>47</v>
      </c>
      <c r="B415" t="inlineStr">
        <is>
          <t>K3-6B</t>
        </is>
      </c>
      <c r="D415" t="n">
        <v>6.58</v>
      </c>
      <c r="E415" t="n">
        <v>13.843</v>
      </c>
      <c r="F415" t="n">
        <v>917.0549999999999</v>
      </c>
      <c r="G415" t="n">
        <v>1.645</v>
      </c>
      <c r="H415">
        <f>E415/F415</f>
        <v/>
      </c>
      <c r="I415">
        <f>((H415-$J$368)/$I$368)</f>
        <v/>
      </c>
      <c r="J415">
        <f>(I415-IF(I376&gt;0,I376,0))</f>
        <v/>
      </c>
      <c r="K415">
        <f>J415/R396*1.1</f>
        <v/>
      </c>
    </row>
    <row r="416">
      <c r="A416" t="n">
        <v>48</v>
      </c>
      <c r="B416" t="inlineStr">
        <is>
          <t>K3-6C</t>
        </is>
      </c>
      <c r="D416" t="n">
        <v>6.49</v>
      </c>
      <c r="E416" t="n">
        <v>37.946</v>
      </c>
      <c r="F416" t="n">
        <v>939.455</v>
      </c>
      <c r="G416" t="n">
        <v>6.806</v>
      </c>
      <c r="H416">
        <f>E416/F416</f>
        <v/>
      </c>
      <c r="I416">
        <f>((H416-$J$368)/$I$368)</f>
        <v/>
      </c>
      <c r="J416">
        <f>(I416-IF(I376&gt;0,I376,0))</f>
        <v/>
      </c>
      <c r="K416">
        <f>J416/R397*1.1</f>
        <v/>
      </c>
      <c r="L416" s="23" t="n"/>
      <c r="M416" s="23" t="n"/>
      <c r="N416" s="9" t="n"/>
    </row>
    <row r="418">
      <c r="A418" s="15" t="inlineStr">
        <is>
          <t>Compound 11:  PFO5HxA</t>
        </is>
      </c>
      <c r="B418" s="15" t="n"/>
    </row>
    <row r="419">
      <c r="I419" t="inlineStr">
        <is>
          <t>LINEST</t>
        </is>
      </c>
      <c r="Q419" t="inlineStr">
        <is>
          <t>Biosolids Masses</t>
        </is>
      </c>
      <c r="R419" t="inlineStr">
        <is>
          <t>(g)</t>
        </is>
      </c>
    </row>
    <row r="420">
      <c r="B420" t="inlineStr">
        <is>
          <t>Sample Text</t>
        </is>
      </c>
      <c r="C420" t="inlineStr">
        <is>
          <t>Std. Conc</t>
        </is>
      </c>
      <c r="D420" t="inlineStr">
        <is>
          <t>RT</t>
        </is>
      </c>
      <c r="E420" t="inlineStr">
        <is>
          <t>Area</t>
        </is>
      </c>
      <c r="F420" t="inlineStr">
        <is>
          <t>IS Area</t>
        </is>
      </c>
      <c r="G420" t="inlineStr">
        <is>
          <t>S/N</t>
        </is>
      </c>
      <c r="H420" t="inlineStr">
        <is>
          <t>ratio</t>
        </is>
      </c>
      <c r="I420">
        <f t="array" ref="I420:J424">LINEST(H425:H428,C425:C428,1,1)</f>
        <v/>
      </c>
      <c r="J420" t="n">
        <v>-0.1735762303180279</v>
      </c>
      <c r="L420" s="20" t="inlineStr">
        <is>
          <t>By S/N Ratio</t>
        </is>
      </c>
      <c r="Q420" t="inlineStr">
        <is>
          <t>SS1</t>
        </is>
      </c>
      <c r="R420" t="n">
        <v>1.0846</v>
      </c>
    </row>
    <row r="421">
      <c r="A421" t="n">
        <v>1</v>
      </c>
      <c r="B421" t="inlineStr">
        <is>
          <t>EPA1633 &amp; diPAPs Calibration 0 ppb</t>
        </is>
      </c>
      <c r="C421" t="n">
        <v>0</v>
      </c>
      <c r="D421" t="n">
        <v>7.31</v>
      </c>
      <c r="E421" t="n">
        <v>1.061</v>
      </c>
      <c r="F421" t="n">
        <v>2771.78</v>
      </c>
      <c r="G421" t="n">
        <v>18</v>
      </c>
      <c r="H421">
        <f>E421/F421</f>
        <v/>
      </c>
      <c r="I421" t="n">
        <v>0.004030748529796002</v>
      </c>
      <c r="J421" t="n">
        <v>0.09244396752464752</v>
      </c>
      <c r="K421" t="inlineStr">
        <is>
          <t>LOD</t>
        </is>
      </c>
      <c r="L421" s="21">
        <f>IF(G424&gt;3,C424,IF(G425&gt;3,C425,IF(G426&gt;3,C426,IF(G427&gt;3,C427,C428))))</f>
        <v/>
      </c>
      <c r="Q421" t="inlineStr">
        <is>
          <t>SS2</t>
        </is>
      </c>
      <c r="R421" t="n">
        <v>1.0726</v>
      </c>
    </row>
    <row r="422">
      <c r="A422" t="n">
        <v>2</v>
      </c>
      <c r="B422" t="inlineStr">
        <is>
          <t>EPA1633 &amp; diPAPs Calibration 0.02 ppb</t>
        </is>
      </c>
      <c r="C422" t="n">
        <v>0.04</v>
      </c>
      <c r="D422" t="n">
        <v>7.23</v>
      </c>
      <c r="E422" t="n">
        <v>9.319000000000001</v>
      </c>
      <c r="F422" t="n">
        <v>2613.678</v>
      </c>
      <c r="G422" t="n">
        <v>5.26</v>
      </c>
      <c r="H422">
        <f>E422/F422</f>
        <v/>
      </c>
      <c r="I422" t="n">
        <v>0.9918837698796028</v>
      </c>
      <c r="J422" t="n">
        <v>0.1145754006671839</v>
      </c>
      <c r="K422" t="inlineStr">
        <is>
          <t>LOQ</t>
        </is>
      </c>
      <c r="L422" s="22">
        <f>IF(G424&gt;10,C424,IF(G425&gt;10,C425,IF(G426&gt;10,C426,IF(G427&gt;10,C427,C428))))</f>
        <v/>
      </c>
      <c r="Q422" t="inlineStr">
        <is>
          <t>SS3</t>
        </is>
      </c>
      <c r="R422" t="n">
        <v>1.1534</v>
      </c>
    </row>
    <row r="423">
      <c r="A423" t="n">
        <v>3</v>
      </c>
      <c r="B423" t="inlineStr">
        <is>
          <t>EPA1633 &amp; diPAPs Calibration 0.1 ppb</t>
        </is>
      </c>
      <c r="C423" t="n">
        <v>0.2</v>
      </c>
      <c r="D423" t="n">
        <v>7.3</v>
      </c>
      <c r="E423" t="n">
        <v>22.337</v>
      </c>
      <c r="F423" t="n">
        <v>2704.411</v>
      </c>
      <c r="G423" t="n">
        <v>3.054</v>
      </c>
      <c r="H423">
        <f>E423/F423</f>
        <v/>
      </c>
      <c r="I423" t="n">
        <v>244.4198242696121</v>
      </c>
      <c r="J423" t="n">
        <v>2</v>
      </c>
      <c r="Q423" t="inlineStr">
        <is>
          <t>K4-1A</t>
        </is>
      </c>
      <c r="R423" t="n">
        <v>1.0267</v>
      </c>
    </row>
    <row r="424">
      <c r="A424" t="n">
        <v>4</v>
      </c>
      <c r="B424" t="inlineStr">
        <is>
          <t>EPA1633 &amp; diPAPs Calibration 0.4 ppb</t>
        </is>
      </c>
      <c r="C424" t="n">
        <v>0.8</v>
      </c>
      <c r="D424" t="n">
        <v>7.23</v>
      </c>
      <c r="E424" t="n">
        <v>102.901</v>
      </c>
      <c r="F424" t="n">
        <v>2633.712</v>
      </c>
      <c r="G424" t="n">
        <v>9.334</v>
      </c>
      <c r="H424">
        <f>E424/F424</f>
        <v/>
      </c>
      <c r="I424" t="n">
        <v>3.208626727402527</v>
      </c>
      <c r="J424" t="n">
        <v>0.02625504487609145</v>
      </c>
      <c r="Q424" t="inlineStr">
        <is>
          <t>K4-1B</t>
        </is>
      </c>
      <c r="R424" t="n">
        <v>1.1481</v>
      </c>
    </row>
    <row r="425">
      <c r="A425" t="n">
        <v>5</v>
      </c>
      <c r="B425" t="inlineStr">
        <is>
          <t>EPA1633 &amp; diPAPs Calibration 1 ppb</t>
        </is>
      </c>
      <c r="C425" t="n">
        <v>2</v>
      </c>
      <c r="D425" t="n">
        <v>7.29</v>
      </c>
      <c r="E425" t="n">
        <v>159.202</v>
      </c>
      <c r="F425" t="n">
        <v>2798.003</v>
      </c>
      <c r="G425" t="n">
        <v>3.237</v>
      </c>
      <c r="H425">
        <f>E425/F425</f>
        <v/>
      </c>
      <c r="Q425" t="inlineStr">
        <is>
          <t>K4-1C</t>
        </is>
      </c>
      <c r="R425" t="n">
        <v>1.0402</v>
      </c>
    </row>
    <row r="426">
      <c r="A426" t="n">
        <v>6</v>
      </c>
      <c r="B426" t="inlineStr">
        <is>
          <t>EPA1633 &amp; diPAPs Calibration 5 ppb</t>
        </is>
      </c>
      <c r="C426" t="n">
        <v>10</v>
      </c>
      <c r="D426" t="n">
        <v>7.07</v>
      </c>
      <c r="E426" t="n">
        <v>867.3819999999999</v>
      </c>
      <c r="F426" t="n">
        <v>2309.18</v>
      </c>
      <c r="G426" t="n">
        <v>150.652</v>
      </c>
      <c r="H426">
        <f>E426/F426</f>
        <v/>
      </c>
      <c r="Q426" t="inlineStr">
        <is>
          <t>K4-2A</t>
        </is>
      </c>
      <c r="R426" t="n">
        <v>1.127</v>
      </c>
    </row>
    <row r="427">
      <c r="A427" t="n">
        <v>7</v>
      </c>
      <c r="B427" t="inlineStr">
        <is>
          <t>EPA1633 &amp; diPAPs Calibration 10 ppb</t>
        </is>
      </c>
      <c r="C427" t="n">
        <v>20</v>
      </c>
      <c r="D427" t="n">
        <v>7.14</v>
      </c>
      <c r="E427" t="n">
        <v>2093.044</v>
      </c>
      <c r="F427" t="n">
        <v>2072.812</v>
      </c>
      <c r="G427" t="n">
        <v>102.039</v>
      </c>
      <c r="H427">
        <f>E427/F427</f>
        <v/>
      </c>
      <c r="I427" s="23" t="inlineStr">
        <is>
          <t>Background</t>
        </is>
      </c>
      <c r="J427" s="23" t="inlineStr">
        <is>
          <t>Spike</t>
        </is>
      </c>
      <c r="K427" s="9" t="inlineStr">
        <is>
          <t>Old Spike</t>
        </is>
      </c>
      <c r="O427" s="24" t="inlineStr">
        <is>
          <t>±</t>
        </is>
      </c>
      <c r="Q427" t="inlineStr">
        <is>
          <t>K4-2B</t>
        </is>
      </c>
      <c r="R427" t="n">
        <v>1.1154</v>
      </c>
    </row>
    <row r="428">
      <c r="A428" t="n">
        <v>8</v>
      </c>
      <c r="B428" t="inlineStr">
        <is>
          <t>EPA1633 &amp; diPAPs Calibration 20 ppb</t>
        </is>
      </c>
      <c r="C428" t="n">
        <v>40</v>
      </c>
      <c r="D428" t="n">
        <v>7.21</v>
      </c>
      <c r="E428" t="n">
        <v>4088.939</v>
      </c>
      <c r="F428" t="n">
        <v>1703.301</v>
      </c>
      <c r="G428" t="n">
        <v>136.201</v>
      </c>
      <c r="H428">
        <f>E428/F428</f>
        <v/>
      </c>
      <c r="I428">
        <f>AVERAGE(I431)</f>
        <v/>
      </c>
      <c r="J428" t="n">
        <v>22</v>
      </c>
      <c r="Q428" t="inlineStr">
        <is>
          <t>K4-2C</t>
        </is>
      </c>
      <c r="R428" t="n">
        <v>1.1711</v>
      </c>
    </row>
    <row r="429">
      <c r="A429" t="n">
        <v>9</v>
      </c>
      <c r="B429" t="inlineStr">
        <is>
          <t>MeOH</t>
        </is>
      </c>
      <c r="I429" s="23" t="inlineStr">
        <is>
          <t>Conc.In Vial (ppb)</t>
        </is>
      </c>
      <c r="J429" s="9" t="inlineStr">
        <is>
          <t>Corr. Conc.(ppb)</t>
        </is>
      </c>
      <c r="K429" s="9" t="inlineStr">
        <is>
          <t>Conc. In soil (ng/g)</t>
        </is>
      </c>
      <c r="Q429" t="inlineStr">
        <is>
          <t>K4-4A</t>
        </is>
      </c>
      <c r="R429" t="n">
        <v>1.0932</v>
      </c>
    </row>
    <row r="430">
      <c r="A430" t="n">
        <v>10</v>
      </c>
      <c r="B430" t="inlineStr">
        <is>
          <t>MeOH</t>
        </is>
      </c>
      <c r="L430" s="23" t="inlineStr">
        <is>
          <t>Average</t>
        </is>
      </c>
      <c r="M430" s="23" t="inlineStr">
        <is>
          <t>Stdev</t>
        </is>
      </c>
      <c r="N430" s="9" t="inlineStr">
        <is>
          <t>Combined</t>
        </is>
      </c>
      <c r="O430" s="9" t="n"/>
      <c r="P430" s="9" t="n"/>
      <c r="Q430" t="inlineStr">
        <is>
          <t>K4-4B</t>
        </is>
      </c>
      <c r="R430" t="n">
        <v>1.15</v>
      </c>
    </row>
    <row r="431">
      <c r="A431" t="n">
        <v>11</v>
      </c>
      <c r="B431" t="inlineStr">
        <is>
          <t>SB1</t>
        </is>
      </c>
      <c r="D431" t="n">
        <v>7.3</v>
      </c>
      <c r="E431" t="n">
        <v>0.219</v>
      </c>
      <c r="F431" t="n">
        <v>802.6180000000001</v>
      </c>
      <c r="G431" t="n">
        <v>4</v>
      </c>
      <c r="H431">
        <f>E431/F431</f>
        <v/>
      </c>
      <c r="I431">
        <f>((H431-$J$420)/$I$420)</f>
        <v/>
      </c>
      <c r="J431">
        <f>(I431-IF(I428&gt;0,I428,0))</f>
        <v/>
      </c>
      <c r="K431">
        <f>J431*1.1</f>
        <v/>
      </c>
      <c r="L431">
        <f>AVERAGE(K431:K433)</f>
        <v/>
      </c>
      <c r="M431">
        <f>STDEV(K432:K433)</f>
        <v/>
      </c>
      <c r="N431">
        <f>_xlfn.CONCAT(ROUND(L431,1)," ± ",ROUND(M431,1))</f>
        <v/>
      </c>
      <c r="Q431" t="inlineStr">
        <is>
          <t>K4-4C</t>
        </is>
      </c>
      <c r="R431" t="n">
        <v>1.0482</v>
      </c>
    </row>
    <row r="432">
      <c r="A432" t="n">
        <v>12</v>
      </c>
      <c r="B432" t="inlineStr">
        <is>
          <t>SB2</t>
        </is>
      </c>
      <c r="F432" t="n">
        <v>1039.268</v>
      </c>
      <c r="H432">
        <f>E432/F432</f>
        <v/>
      </c>
      <c r="I432">
        <f>((H432-$J$420)/$I$420)</f>
        <v/>
      </c>
      <c r="J432">
        <f>(I432-IF(I428&gt;0,I428,0))</f>
        <v/>
      </c>
      <c r="K432">
        <f>J432*1.1</f>
        <v/>
      </c>
      <c r="Q432" t="inlineStr">
        <is>
          <t>K4-5A</t>
        </is>
      </c>
      <c r="R432" t="n">
        <v>1.1054</v>
      </c>
    </row>
    <row r="433">
      <c r="A433" t="n">
        <v>13</v>
      </c>
      <c r="B433" t="inlineStr">
        <is>
          <t>SB3</t>
        </is>
      </c>
      <c r="F433" t="n">
        <v>1005.736</v>
      </c>
      <c r="H433">
        <f>E433/F433</f>
        <v/>
      </c>
      <c r="I433">
        <f>((H433-$J$420)/$I$420)</f>
        <v/>
      </c>
      <c r="J433">
        <f>(I433-IF(I428&gt;0,I428,0))</f>
        <v/>
      </c>
      <c r="K433" s="30">
        <f>J433*1.1</f>
        <v/>
      </c>
      <c r="L433" s="25" t="inlineStr">
        <is>
          <t>Average</t>
        </is>
      </c>
      <c r="M433" s="25" t="inlineStr">
        <is>
          <t>Stdev</t>
        </is>
      </c>
      <c r="N433" s="26" t="inlineStr">
        <is>
          <t>%Recovery</t>
        </is>
      </c>
      <c r="O433" s="26" t="inlineStr">
        <is>
          <t>Uncertainty</t>
        </is>
      </c>
      <c r="P433" s="26" t="inlineStr">
        <is>
          <t>Combined</t>
        </is>
      </c>
      <c r="Q433" t="inlineStr">
        <is>
          <t>K4-5B</t>
        </is>
      </c>
      <c r="R433" s="10" t="n">
        <v>1.0463</v>
      </c>
    </row>
    <row r="434">
      <c r="A434" t="n">
        <v>14</v>
      </c>
      <c r="B434" t="inlineStr">
        <is>
          <t>SS1</t>
        </is>
      </c>
      <c r="D434" t="n">
        <v>7.37</v>
      </c>
      <c r="E434" t="n">
        <v>709.646</v>
      </c>
      <c r="F434" t="n">
        <v>860.02</v>
      </c>
      <c r="G434" t="n">
        <v>117.377</v>
      </c>
      <c r="H434">
        <f>E434/F434</f>
        <v/>
      </c>
      <c r="I434">
        <f>((H434-$J$420)/$I$420)</f>
        <v/>
      </c>
      <c r="J434">
        <f>(I434-IF(I428&gt;0,I428,0))</f>
        <v/>
      </c>
      <c r="K434">
        <f>J434/R420*1.1</f>
        <v/>
      </c>
      <c r="L434" s="27">
        <f>AVERAGE(K434:K436)</f>
        <v/>
      </c>
      <c r="M434" s="27">
        <f>STDEV(K434:K436)</f>
        <v/>
      </c>
      <c r="N434" s="28">
        <f>L434/J428*100</f>
        <v/>
      </c>
      <c r="O434" s="29">
        <f>M434/J431*100</f>
        <v/>
      </c>
      <c r="P434" s="29">
        <f>_xlfn.CONCAT(ROUND(N434,1)," ± ",ROUND(O434,1))</f>
        <v/>
      </c>
      <c r="Q434" t="inlineStr">
        <is>
          <t>K4-5C</t>
        </is>
      </c>
      <c r="R434" t="n">
        <v>1.1155</v>
      </c>
    </row>
    <row r="435">
      <c r="A435" t="n">
        <v>15</v>
      </c>
      <c r="B435" t="inlineStr">
        <is>
          <t>SS2</t>
        </is>
      </c>
      <c r="D435" t="n">
        <v>7.38</v>
      </c>
      <c r="E435" t="n">
        <v>824.394</v>
      </c>
      <c r="F435" t="n">
        <v>1205.224</v>
      </c>
      <c r="G435" t="n">
        <v>46.465</v>
      </c>
      <c r="H435">
        <f>E435/F435</f>
        <v/>
      </c>
      <c r="I435">
        <f>((H435-$J$420)/$I$420)</f>
        <v/>
      </c>
      <c r="J435">
        <f>(I435-IF(I428&gt;0,I428,0))</f>
        <v/>
      </c>
      <c r="K435">
        <f>J435/R421*1.1</f>
        <v/>
      </c>
      <c r="Q435" t="inlineStr">
        <is>
          <t>K3-1A</t>
        </is>
      </c>
      <c r="R435" t="n">
        <v>1.0874</v>
      </c>
    </row>
    <row r="436">
      <c r="A436" t="n">
        <v>16</v>
      </c>
      <c r="B436" t="inlineStr">
        <is>
          <t>SS3</t>
        </is>
      </c>
      <c r="D436" t="n">
        <v>7.39</v>
      </c>
      <c r="E436" t="n">
        <v>753.9589999999999</v>
      </c>
      <c r="F436" t="n">
        <v>953.783</v>
      </c>
      <c r="G436" t="n">
        <v>71.462</v>
      </c>
      <c r="H436">
        <f>E436/F436</f>
        <v/>
      </c>
      <c r="I436">
        <f>((H436-$J$420)/$I$420)</f>
        <v/>
      </c>
      <c r="J436">
        <f>(I436-IF(I428&gt;0,I428,0))</f>
        <v/>
      </c>
      <c r="K436" s="30">
        <f>J436/R422*1.1</f>
        <v/>
      </c>
      <c r="Q436" t="inlineStr">
        <is>
          <t>K3-1B</t>
        </is>
      </c>
      <c r="R436" t="n">
        <v>1.0898</v>
      </c>
    </row>
    <row r="437">
      <c r="A437" t="n">
        <v>17</v>
      </c>
      <c r="B437" t="inlineStr">
        <is>
          <t>MeOH</t>
        </is>
      </c>
      <c r="L437" s="23" t="inlineStr">
        <is>
          <t>Average</t>
        </is>
      </c>
      <c r="M437" s="23" t="inlineStr">
        <is>
          <t>Stdev</t>
        </is>
      </c>
      <c r="N437" s="9" t="inlineStr">
        <is>
          <t>Combined</t>
        </is>
      </c>
      <c r="Q437" t="inlineStr">
        <is>
          <t>K3-1C</t>
        </is>
      </c>
      <c r="R437" t="n">
        <v>1.0536</v>
      </c>
    </row>
    <row r="438">
      <c r="A438" t="n">
        <v>18</v>
      </c>
      <c r="B438" t="inlineStr">
        <is>
          <t>K4-1A</t>
        </is>
      </c>
      <c r="F438" t="n">
        <v>1575.246</v>
      </c>
      <c r="H438">
        <f>E438/F438</f>
        <v/>
      </c>
      <c r="I438">
        <f>((H438-$J$420)/$I$420)</f>
        <v/>
      </c>
      <c r="J438">
        <f>(I438-IF(I428&gt;0,I428,0))</f>
        <v/>
      </c>
      <c r="K438">
        <f>J438/R423*1.1</f>
        <v/>
      </c>
      <c r="L438">
        <f>AVERAGE(K438:K440)</f>
        <v/>
      </c>
      <c r="M438">
        <f>STDEV(K439:K440)</f>
        <v/>
      </c>
      <c r="N438">
        <f>_xlfn.CONCAT(ROUND(L438,1)," ± ",ROUND(M438,1))</f>
        <v/>
      </c>
      <c r="Q438" t="inlineStr">
        <is>
          <t>K3-2A</t>
        </is>
      </c>
      <c r="R438" s="10" t="n">
        <v>1.1218</v>
      </c>
    </row>
    <row r="439">
      <c r="A439" t="n">
        <v>19</v>
      </c>
      <c r="B439" t="inlineStr">
        <is>
          <t>K4-1B</t>
        </is>
      </c>
      <c r="F439" t="n">
        <v>1550.869</v>
      </c>
      <c r="H439">
        <f>E439/F439</f>
        <v/>
      </c>
      <c r="I439">
        <f>((H439-$J$420)/$I$420)</f>
        <v/>
      </c>
      <c r="J439">
        <f>(I439-IF(I428&gt;0,I428,0))</f>
        <v/>
      </c>
      <c r="K439">
        <f>J439/R424*1.1</f>
        <v/>
      </c>
      <c r="Q439" t="inlineStr">
        <is>
          <t>K3-2B</t>
        </is>
      </c>
      <c r="R439" t="n">
        <v>1.198</v>
      </c>
    </row>
    <row r="440">
      <c r="A440" t="n">
        <v>20</v>
      </c>
      <c r="B440" t="inlineStr">
        <is>
          <t>K4-1C</t>
        </is>
      </c>
      <c r="F440" t="n">
        <v>1163.846</v>
      </c>
      <c r="H440">
        <f>E440/F440</f>
        <v/>
      </c>
      <c r="I440">
        <f>((H440-$J$420)/$I$420)</f>
        <v/>
      </c>
      <c r="J440">
        <f>(I440-IF(I428&gt;0,I428,0))</f>
        <v/>
      </c>
      <c r="K440">
        <f>J440/R425*1.1</f>
        <v/>
      </c>
      <c r="L440" s="23" t="inlineStr">
        <is>
          <t>Average</t>
        </is>
      </c>
      <c r="M440" s="23" t="inlineStr">
        <is>
          <t>Stdev</t>
        </is>
      </c>
      <c r="N440" s="9" t="inlineStr">
        <is>
          <t>Combined</t>
        </is>
      </c>
      <c r="Q440" t="inlineStr">
        <is>
          <t>K3-2C</t>
        </is>
      </c>
      <c r="R440" t="n">
        <v>1.1538</v>
      </c>
    </row>
    <row r="441">
      <c r="A441" t="n">
        <v>21</v>
      </c>
      <c r="B441" t="inlineStr">
        <is>
          <t>K4-2A</t>
        </is>
      </c>
      <c r="F441" t="n">
        <v>1084.067</v>
      </c>
      <c r="H441">
        <f>E441/F441</f>
        <v/>
      </c>
      <c r="I441">
        <f>((H441-$J$420)/$I$420)</f>
        <v/>
      </c>
      <c r="J441">
        <f>(I441-IF(I428&gt;0,I428,0))</f>
        <v/>
      </c>
      <c r="K441">
        <f>J441/R426*1.1</f>
        <v/>
      </c>
      <c r="L441">
        <f>AVERAGE(K441:K443)</f>
        <v/>
      </c>
      <c r="M441">
        <f>STDEV(K441:K443)</f>
        <v/>
      </c>
      <c r="N441">
        <f>_xlfn.CONCAT(ROUND(L441,1)," ± ",ROUND(M441,1))</f>
        <v/>
      </c>
      <c r="Q441" t="inlineStr">
        <is>
          <t>K3-3A</t>
        </is>
      </c>
      <c r="R441" t="n">
        <v>1.1183</v>
      </c>
    </row>
    <row r="442">
      <c r="A442" t="n">
        <v>22</v>
      </c>
      <c r="B442" t="inlineStr">
        <is>
          <t>K4-2B</t>
        </is>
      </c>
      <c r="F442" t="n">
        <v>1044.51</v>
      </c>
      <c r="H442">
        <f>E442/F442</f>
        <v/>
      </c>
      <c r="I442">
        <f>((H442-$J$420)/$I$420)</f>
        <v/>
      </c>
      <c r="J442">
        <f>(I442-IF(I428&gt;0,I428,0))</f>
        <v/>
      </c>
      <c r="K442">
        <f>J442/R427*1.1</f>
        <v/>
      </c>
      <c r="Q442" t="inlineStr">
        <is>
          <t>K3-3B</t>
        </is>
      </c>
      <c r="R442" t="n">
        <v>1.1448</v>
      </c>
    </row>
    <row r="443">
      <c r="A443" t="n">
        <v>23</v>
      </c>
      <c r="B443" t="inlineStr">
        <is>
          <t>K4-2C</t>
        </is>
      </c>
      <c r="F443" t="n">
        <v>1020.096</v>
      </c>
      <c r="H443">
        <f>E443/F443</f>
        <v/>
      </c>
      <c r="I443">
        <f>((H443-$J$420)/$I$420)</f>
        <v/>
      </c>
      <c r="J443">
        <f>(I443-IF(I428&gt;0,I428,0))</f>
        <v/>
      </c>
      <c r="K443">
        <f>J443/R428*1.1</f>
        <v/>
      </c>
      <c r="L443" s="23" t="n"/>
      <c r="M443" s="23" t="n"/>
      <c r="N443" s="9" t="n"/>
      <c r="Q443" t="inlineStr">
        <is>
          <t>K3-3C</t>
        </is>
      </c>
      <c r="R443" t="n">
        <v>1.0493</v>
      </c>
    </row>
    <row r="444">
      <c r="A444" t="n">
        <v>24</v>
      </c>
      <c r="B444" t="inlineStr">
        <is>
          <t>MeOH</t>
        </is>
      </c>
      <c r="L444" s="23" t="inlineStr">
        <is>
          <t>Average</t>
        </is>
      </c>
      <c r="M444" s="23" t="inlineStr">
        <is>
          <t>Stdev</t>
        </is>
      </c>
      <c r="N444" s="9" t="inlineStr">
        <is>
          <t>Combined</t>
        </is>
      </c>
      <c r="Q444" t="inlineStr">
        <is>
          <t>K3-4A</t>
        </is>
      </c>
      <c r="R444" t="n">
        <v>1.0704</v>
      </c>
    </row>
    <row r="445">
      <c r="A445" t="n">
        <v>25</v>
      </c>
      <c r="B445" t="inlineStr">
        <is>
          <t>K4-4A</t>
        </is>
      </c>
      <c r="D445" t="n">
        <v>7.17</v>
      </c>
      <c r="E445" t="n">
        <v>0.869</v>
      </c>
      <c r="F445" t="n">
        <v>1051.351</v>
      </c>
      <c r="G445" t="n">
        <v>16</v>
      </c>
      <c r="H445">
        <f>E445/F445</f>
        <v/>
      </c>
      <c r="I445">
        <f>((H445-$J$420)/$I$420)</f>
        <v/>
      </c>
      <c r="J445">
        <f>(I445-IF(I428&gt;0,I428,0))</f>
        <v/>
      </c>
      <c r="K445">
        <f>J445/R429*1.1</f>
        <v/>
      </c>
      <c r="L445">
        <f>AVERAGE(K445:K447)</f>
        <v/>
      </c>
      <c r="M445">
        <f>STDEV(K446:K447)</f>
        <v/>
      </c>
      <c r="N445">
        <f>_xlfn.CONCAT(ROUND(L445,1)," ± ",ROUND(M445,1))</f>
        <v/>
      </c>
      <c r="Q445" t="inlineStr">
        <is>
          <t>K3-4B</t>
        </is>
      </c>
      <c r="R445" t="n">
        <v>1.1589</v>
      </c>
    </row>
    <row r="446">
      <c r="A446" t="n">
        <v>26</v>
      </c>
      <c r="B446" t="inlineStr">
        <is>
          <t>K4-4B</t>
        </is>
      </c>
      <c r="D446" t="n">
        <v>7.44</v>
      </c>
      <c r="E446" t="n">
        <v>3.621</v>
      </c>
      <c r="F446" t="n">
        <v>1035.151</v>
      </c>
      <c r="G446" t="n">
        <v>61</v>
      </c>
      <c r="H446">
        <f>E446/F446</f>
        <v/>
      </c>
      <c r="I446">
        <f>((H446-$J$420)/$I$420)</f>
        <v/>
      </c>
      <c r="J446">
        <f>(I446-IF(I428&gt;0,I428,0))</f>
        <v/>
      </c>
      <c r="K446">
        <f>J446/R430*1.1</f>
        <v/>
      </c>
      <c r="Q446" t="inlineStr">
        <is>
          <t>K3-4C</t>
        </is>
      </c>
      <c r="R446" t="n">
        <v>1.0206</v>
      </c>
    </row>
    <row r="447">
      <c r="A447" t="n">
        <v>27</v>
      </c>
      <c r="B447" t="inlineStr">
        <is>
          <t>K4-4C</t>
        </is>
      </c>
      <c r="F447" t="n">
        <v>822.99</v>
      </c>
      <c r="H447">
        <f>E447/F447</f>
        <v/>
      </c>
      <c r="I447">
        <f>((H447-$J$420)/$I$420)</f>
        <v/>
      </c>
      <c r="J447">
        <f>(I447-IF(I428&gt;0,I428,0))</f>
        <v/>
      </c>
      <c r="K447">
        <f>J447/R431*1.1</f>
        <v/>
      </c>
      <c r="L447" s="23" t="inlineStr">
        <is>
          <t>Average</t>
        </is>
      </c>
      <c r="M447" s="23" t="inlineStr">
        <is>
          <t>Stdev</t>
        </is>
      </c>
      <c r="N447" s="9" t="inlineStr">
        <is>
          <t>Combined</t>
        </is>
      </c>
      <c r="Q447" t="inlineStr">
        <is>
          <t>K3-6A</t>
        </is>
      </c>
      <c r="R447" t="n">
        <v>1.1289</v>
      </c>
    </row>
    <row r="448">
      <c r="A448" t="n">
        <v>28</v>
      </c>
      <c r="B448" t="inlineStr">
        <is>
          <t>K4-5A</t>
        </is>
      </c>
      <c r="F448" t="n">
        <v>985.0170000000001</v>
      </c>
      <c r="H448">
        <f>E448/F448</f>
        <v/>
      </c>
      <c r="I448">
        <f>((H448-$J$420)/$I$420)</f>
        <v/>
      </c>
      <c r="J448">
        <f>(I448-IF(I428&gt;0,I428,0))</f>
        <v/>
      </c>
      <c r="K448">
        <f>J448/R432*1.1</f>
        <v/>
      </c>
      <c r="L448">
        <f>AVERAGE(K448:K450)</f>
        <v/>
      </c>
      <c r="M448">
        <f>STDEV(K448:K450)</f>
        <v/>
      </c>
      <c r="N448">
        <f>_xlfn.CONCAT(ROUND(L448,1)," ± ",ROUND(M448,1))</f>
        <v/>
      </c>
      <c r="Q448" t="inlineStr">
        <is>
          <t>K3-6B</t>
        </is>
      </c>
      <c r="R448" t="n">
        <v>1.195</v>
      </c>
    </row>
    <row r="449">
      <c r="A449" t="n">
        <v>29</v>
      </c>
      <c r="B449" t="inlineStr">
        <is>
          <t>K4-5B</t>
        </is>
      </c>
      <c r="F449" t="n">
        <v>1024.411</v>
      </c>
      <c r="H449">
        <f>E449/F449</f>
        <v/>
      </c>
      <c r="I449">
        <f>((H449-$J$420)/$I$420)</f>
        <v/>
      </c>
      <c r="J449">
        <f>(I449-IF(I428&gt;0,I428,0))</f>
        <v/>
      </c>
      <c r="K449">
        <f>J449/R433*1.1</f>
        <v/>
      </c>
      <c r="Q449" t="inlineStr">
        <is>
          <t>K3-6C</t>
        </is>
      </c>
      <c r="R449" t="n">
        <v>1.1716</v>
      </c>
    </row>
    <row r="450">
      <c r="A450" t="n">
        <v>30</v>
      </c>
      <c r="B450" t="inlineStr">
        <is>
          <t>K4-5C</t>
        </is>
      </c>
      <c r="F450" t="n">
        <v>1313.31</v>
      </c>
      <c r="H450">
        <f>E450/F450</f>
        <v/>
      </c>
      <c r="I450">
        <f>((H450-$J$420)/$I$420)</f>
        <v/>
      </c>
      <c r="J450">
        <f>(I450-IF(I428&gt;0,I428,0))</f>
        <v/>
      </c>
      <c r="K450">
        <f>J450/R434*1.1</f>
        <v/>
      </c>
      <c r="L450" s="23" t="n"/>
      <c r="M450" s="23" t="n"/>
      <c r="N450" s="9" t="n"/>
    </row>
    <row r="451">
      <c r="A451" t="n">
        <v>31</v>
      </c>
      <c r="B451" t="inlineStr">
        <is>
          <t>MeOH</t>
        </is>
      </c>
      <c r="L451" s="23" t="inlineStr">
        <is>
          <t>Average</t>
        </is>
      </c>
      <c r="M451" s="23" t="inlineStr">
        <is>
          <t>Stdev</t>
        </is>
      </c>
      <c r="N451" s="9" t="inlineStr">
        <is>
          <t>Combined</t>
        </is>
      </c>
    </row>
    <row r="452">
      <c r="A452" t="n">
        <v>32</v>
      </c>
      <c r="B452" t="inlineStr">
        <is>
          <t>K3-1A</t>
        </is>
      </c>
      <c r="F452" t="n">
        <v>1115.547</v>
      </c>
      <c r="H452">
        <f>E452/F452</f>
        <v/>
      </c>
      <c r="I452">
        <f>((H452-$J$420)/$I$420)</f>
        <v/>
      </c>
      <c r="J452">
        <f>(I452-IF(I428&gt;0,I428,0))</f>
        <v/>
      </c>
      <c r="K452">
        <f>J452/R435*1.1</f>
        <v/>
      </c>
      <c r="L452">
        <f>AVERAGE(K452:K454)</f>
        <v/>
      </c>
      <c r="M452">
        <f>STDEV(K453:K454)</f>
        <v/>
      </c>
      <c r="N452">
        <f>_xlfn.CONCAT(ROUND(L452,1)," ± ",ROUND(M452,1))</f>
        <v/>
      </c>
    </row>
    <row r="453">
      <c r="A453" t="n">
        <v>33</v>
      </c>
      <c r="B453" t="inlineStr">
        <is>
          <t>K3-1B</t>
        </is>
      </c>
      <c r="F453" t="n">
        <v>868.492</v>
      </c>
      <c r="H453">
        <f>E453/F453</f>
        <v/>
      </c>
      <c r="I453">
        <f>((H453-$J$420)/$I$420)</f>
        <v/>
      </c>
      <c r="J453">
        <f>(I453-IF(I428&gt;0,I428,0))</f>
        <v/>
      </c>
      <c r="K453">
        <f>J453/R436*1.1</f>
        <v/>
      </c>
    </row>
    <row r="454">
      <c r="A454" t="n">
        <v>34</v>
      </c>
      <c r="B454" t="inlineStr">
        <is>
          <t>K3-1C</t>
        </is>
      </c>
      <c r="D454" t="n">
        <v>7.27</v>
      </c>
      <c r="E454" t="n">
        <v>0.122</v>
      </c>
      <c r="F454" t="n">
        <v>1891.713</v>
      </c>
      <c r="G454" t="n">
        <v>2</v>
      </c>
      <c r="H454">
        <f>E454/F454</f>
        <v/>
      </c>
      <c r="I454">
        <f>((H454-$J$420)/$I$420)</f>
        <v/>
      </c>
      <c r="J454">
        <f>(I454-IF(I428&gt;0,I428,0))</f>
        <v/>
      </c>
      <c r="K454">
        <f>J454/R437*1.1</f>
        <v/>
      </c>
      <c r="L454" s="23" t="inlineStr">
        <is>
          <t>Average</t>
        </is>
      </c>
      <c r="M454" s="23" t="inlineStr">
        <is>
          <t>Stdev</t>
        </is>
      </c>
      <c r="N454" s="9" t="inlineStr">
        <is>
          <t>Combined</t>
        </is>
      </c>
    </row>
    <row r="455">
      <c r="A455" t="n">
        <v>35</v>
      </c>
      <c r="B455" t="inlineStr">
        <is>
          <t>K3-2A</t>
        </is>
      </c>
      <c r="F455" t="n">
        <v>1176.041</v>
      </c>
      <c r="H455">
        <f>E455/F455</f>
        <v/>
      </c>
      <c r="I455">
        <f>((H455-$J$420)/$I$420)</f>
        <v/>
      </c>
      <c r="J455">
        <f>(I455-IF(I428&gt;0,I428,0))</f>
        <v/>
      </c>
      <c r="K455">
        <f>J455/R438*1.1</f>
        <v/>
      </c>
      <c r="L455">
        <f>AVERAGE(K455:K457)</f>
        <v/>
      </c>
      <c r="M455">
        <f>STDEV(K455:K457)</f>
        <v/>
      </c>
      <c r="N455">
        <f>_xlfn.CONCAT(ROUND(L455,1)," ± ",ROUND(M455,1))</f>
        <v/>
      </c>
    </row>
    <row r="456">
      <c r="A456" t="n">
        <v>36</v>
      </c>
      <c r="B456" t="inlineStr">
        <is>
          <t>K3-2B</t>
        </is>
      </c>
      <c r="F456" t="n">
        <v>1321.349</v>
      </c>
      <c r="H456">
        <f>E456/F456</f>
        <v/>
      </c>
      <c r="I456">
        <f>((H456-$J$420)/$I$420)</f>
        <v/>
      </c>
      <c r="J456">
        <f>(I456-IF(I428&gt;0,I428,0))</f>
        <v/>
      </c>
      <c r="K456">
        <f>J456/R439*1.1</f>
        <v/>
      </c>
    </row>
    <row r="457">
      <c r="A457" t="n">
        <v>37</v>
      </c>
      <c r="B457" t="inlineStr">
        <is>
          <t>K3-2C</t>
        </is>
      </c>
      <c r="F457" t="n">
        <v>1479.533</v>
      </c>
      <c r="H457">
        <f>E457/F457</f>
        <v/>
      </c>
      <c r="I457">
        <f>((H457-$J$420)/$I$420)</f>
        <v/>
      </c>
      <c r="J457">
        <f>(I457-IF(I428&gt;0,I428,0))</f>
        <v/>
      </c>
      <c r="K457">
        <f>J457/R440*1.1</f>
        <v/>
      </c>
      <c r="L457" s="23" t="n"/>
      <c r="M457" s="23" t="n"/>
      <c r="N457" s="9" t="n"/>
    </row>
    <row r="458">
      <c r="A458" t="n">
        <v>38</v>
      </c>
      <c r="B458" t="inlineStr">
        <is>
          <t>MeOH</t>
        </is>
      </c>
      <c r="L458" s="23" t="inlineStr">
        <is>
          <t>Average</t>
        </is>
      </c>
      <c r="M458" s="23" t="inlineStr">
        <is>
          <t>Stdev</t>
        </is>
      </c>
      <c r="N458" s="9" t="inlineStr">
        <is>
          <t>Combined</t>
        </is>
      </c>
    </row>
    <row r="459">
      <c r="A459" t="n">
        <v>39</v>
      </c>
      <c r="B459" t="inlineStr">
        <is>
          <t>K3-3A</t>
        </is>
      </c>
      <c r="F459" t="n">
        <v>1517.701</v>
      </c>
      <c r="H459">
        <f>E459/F459</f>
        <v/>
      </c>
      <c r="I459">
        <f>((H459-$J$420)/$I$420)</f>
        <v/>
      </c>
      <c r="J459">
        <f>(I459-IF(I428&gt;0,I428,0))</f>
        <v/>
      </c>
      <c r="K459">
        <f>J459/R441*1.1</f>
        <v/>
      </c>
      <c r="L459">
        <f>AVERAGE(K459:K461)</f>
        <v/>
      </c>
      <c r="M459">
        <f>STDEV(K460:K461)</f>
        <v/>
      </c>
      <c r="N459">
        <f>_xlfn.CONCAT(ROUND(L459,1)," ± ",ROUND(M459,1))</f>
        <v/>
      </c>
    </row>
    <row r="460">
      <c r="A460" t="n">
        <v>40</v>
      </c>
      <c r="B460" t="inlineStr">
        <is>
          <t>K3-3B</t>
        </is>
      </c>
      <c r="F460" t="n">
        <v>1453.885</v>
      </c>
      <c r="H460">
        <f>E460/F460</f>
        <v/>
      </c>
      <c r="I460">
        <f>((H460-$J$420)/$I$420)</f>
        <v/>
      </c>
      <c r="J460">
        <f>(I460-IF(I428&gt;0,I428,0))</f>
        <v/>
      </c>
      <c r="K460">
        <f>J460/R442*1.1</f>
        <v/>
      </c>
    </row>
    <row r="461">
      <c r="A461" t="n">
        <v>41</v>
      </c>
      <c r="B461" t="inlineStr">
        <is>
          <t>K3-3C</t>
        </is>
      </c>
      <c r="F461" t="n">
        <v>1930.228</v>
      </c>
      <c r="H461">
        <f>E461/F461</f>
        <v/>
      </c>
      <c r="I461">
        <f>((H461-$J$420)/$I$420)</f>
        <v/>
      </c>
      <c r="J461">
        <f>(I461-IF(I428&gt;0,I428,0))</f>
        <v/>
      </c>
      <c r="K461">
        <f>J461/R443*1.1</f>
        <v/>
      </c>
      <c r="L461" s="23" t="inlineStr">
        <is>
          <t>Average</t>
        </is>
      </c>
      <c r="M461" s="23" t="inlineStr">
        <is>
          <t>Stdev</t>
        </is>
      </c>
      <c r="N461" s="9" t="inlineStr">
        <is>
          <t>Combined</t>
        </is>
      </c>
    </row>
    <row r="462">
      <c r="A462" t="n">
        <v>42</v>
      </c>
      <c r="B462" t="inlineStr">
        <is>
          <t>K3-4A</t>
        </is>
      </c>
      <c r="D462" t="n">
        <v>7.78</v>
      </c>
      <c r="E462" t="n">
        <v>2.852</v>
      </c>
      <c r="F462" t="n">
        <v>2454.78</v>
      </c>
      <c r="G462" t="n">
        <v>57</v>
      </c>
      <c r="H462">
        <f>E462/F462</f>
        <v/>
      </c>
      <c r="I462">
        <f>((H462-$J$420)/$I$420)</f>
        <v/>
      </c>
      <c r="J462">
        <f>(I462-IF(I428&gt;0,I428,0))</f>
        <v/>
      </c>
      <c r="K462">
        <f>J462/R444*1.1</f>
        <v/>
      </c>
      <c r="L462">
        <f>AVERAGE(K462:K464)</f>
        <v/>
      </c>
      <c r="M462">
        <f>STDEV(K462:K464)</f>
        <v/>
      </c>
      <c r="N462">
        <f>_xlfn.CONCAT(ROUND(L462,1)," ± ",ROUND(M462,1))</f>
        <v/>
      </c>
    </row>
    <row r="463">
      <c r="A463" t="n">
        <v>43</v>
      </c>
      <c r="B463" t="inlineStr">
        <is>
          <t>K3-4B</t>
        </is>
      </c>
      <c r="F463" t="n">
        <v>2046.805</v>
      </c>
      <c r="H463">
        <f>E463/F463</f>
        <v/>
      </c>
      <c r="I463">
        <f>((H463-$J$420)/$I$420)</f>
        <v/>
      </c>
      <c r="J463">
        <f>(I463-IF(I428&gt;0,I428,0))</f>
        <v/>
      </c>
      <c r="K463">
        <f>J463/R445*1.1</f>
        <v/>
      </c>
    </row>
    <row r="464">
      <c r="A464" t="n">
        <v>44</v>
      </c>
      <c r="B464" t="inlineStr">
        <is>
          <t>K3-4C</t>
        </is>
      </c>
      <c r="F464" t="n">
        <v>1963.707</v>
      </c>
      <c r="H464">
        <f>E464/F464</f>
        <v/>
      </c>
      <c r="I464">
        <f>((H464-$J$420)/$I$420)</f>
        <v/>
      </c>
      <c r="J464">
        <f>(I464-IF(I428&gt;0,I428,0))</f>
        <v/>
      </c>
      <c r="K464">
        <f>J464/R446*1.1</f>
        <v/>
      </c>
      <c r="L464" s="23" t="n"/>
      <c r="M464" s="23" t="n"/>
      <c r="N464" s="9" t="n"/>
    </row>
    <row r="465">
      <c r="A465" t="n">
        <v>45</v>
      </c>
      <c r="B465" t="inlineStr">
        <is>
          <t>MeOH</t>
        </is>
      </c>
      <c r="L465" s="23" t="inlineStr">
        <is>
          <t>Average</t>
        </is>
      </c>
      <c r="M465" s="23" t="inlineStr">
        <is>
          <t>Stdev</t>
        </is>
      </c>
      <c r="N465" s="9" t="inlineStr">
        <is>
          <t>Combined</t>
        </is>
      </c>
    </row>
    <row r="466">
      <c r="A466" t="n">
        <v>46</v>
      </c>
      <c r="B466" t="inlineStr">
        <is>
          <t>K3-6A</t>
        </is>
      </c>
      <c r="F466" t="n">
        <v>2063.159</v>
      </c>
      <c r="H466">
        <f>E466/F466</f>
        <v/>
      </c>
      <c r="I466">
        <f>((H466-$J$420)/$I$420)</f>
        <v/>
      </c>
      <c r="J466">
        <f>(I466-IF(I428&gt;0,I428,0))</f>
        <v/>
      </c>
      <c r="K466">
        <f>J466/R447*1.1</f>
        <v/>
      </c>
      <c r="L466">
        <f>AVERAGE(K466:K468)</f>
        <v/>
      </c>
      <c r="M466">
        <f>STDEV(K467:K468)</f>
        <v/>
      </c>
      <c r="N466">
        <f>_xlfn.CONCAT(ROUND(L466,1)," ± ",ROUND(M466,1))</f>
        <v/>
      </c>
    </row>
    <row r="467">
      <c r="A467" t="n">
        <v>47</v>
      </c>
      <c r="B467" t="inlineStr">
        <is>
          <t>K3-6B</t>
        </is>
      </c>
      <c r="F467" t="n">
        <v>1701.403</v>
      </c>
      <c r="H467">
        <f>E467/F467</f>
        <v/>
      </c>
      <c r="I467">
        <f>((H467-$J$420)/$I$420)</f>
        <v/>
      </c>
      <c r="J467">
        <f>(I467-IF(I428&gt;0,I428,0))</f>
        <v/>
      </c>
      <c r="K467">
        <f>J467/R448*1.1</f>
        <v/>
      </c>
    </row>
    <row r="468">
      <c r="A468" t="n">
        <v>48</v>
      </c>
      <c r="B468" t="inlineStr">
        <is>
          <t>K3-6C</t>
        </is>
      </c>
      <c r="F468" t="n">
        <v>1921.069</v>
      </c>
      <c r="H468">
        <f>E468/F468</f>
        <v/>
      </c>
      <c r="I468">
        <f>((H468-$J$420)/$I$420)</f>
        <v/>
      </c>
      <c r="J468">
        <f>(I468-IF(I428&gt;0,I428,0))</f>
        <v/>
      </c>
      <c r="K468">
        <f>J468/R449*1.1</f>
        <v/>
      </c>
      <c r="L468" s="23" t="n"/>
      <c r="M468" s="23" t="n"/>
      <c r="N468" s="9" t="n"/>
    </row>
    <row r="470">
      <c r="A470" s="18" t="inlineStr">
        <is>
          <t>Compound 12:  HFPO-DA</t>
        </is>
      </c>
      <c r="B470" s="18" t="n"/>
    </row>
    <row r="471">
      <c r="I471" t="inlineStr">
        <is>
          <t>LINEST</t>
        </is>
      </c>
      <c r="Q471" t="inlineStr">
        <is>
          <t>Biosolids Masses</t>
        </is>
      </c>
      <c r="R471" t="inlineStr">
        <is>
          <t>(g)</t>
        </is>
      </c>
    </row>
    <row r="472">
      <c r="B472" t="inlineStr">
        <is>
          <t>Sample Text</t>
        </is>
      </c>
      <c r="C472" t="inlineStr">
        <is>
          <t>Std. Conc</t>
        </is>
      </c>
      <c r="D472" t="inlineStr">
        <is>
          <t>RT</t>
        </is>
      </c>
      <c r="E472" t="inlineStr">
        <is>
          <t>Area</t>
        </is>
      </c>
      <c r="F472" t="inlineStr">
        <is>
          <t>IS Area</t>
        </is>
      </c>
      <c r="G472" t="inlineStr">
        <is>
          <t>S/N</t>
        </is>
      </c>
      <c r="H472" t="inlineStr">
        <is>
          <t>ratio</t>
        </is>
      </c>
      <c r="I472">
        <f t="array" ref="I472:J476">LINEST(H476:H480,C476:C480,1,1)</f>
        <v/>
      </c>
      <c r="J472" t="n">
        <v>-0.7804792500539957</v>
      </c>
      <c r="L472" s="20" t="inlineStr">
        <is>
          <t>By S/N Ratio</t>
        </is>
      </c>
      <c r="Q472" t="inlineStr">
        <is>
          <t>SS1</t>
        </is>
      </c>
      <c r="R472" t="n">
        <v>1.0846</v>
      </c>
    </row>
    <row r="473">
      <c r="A473" t="n">
        <v>1</v>
      </c>
      <c r="B473" t="inlineStr">
        <is>
          <t>EPA1633 &amp; diPAPs Calibration 0 ppb</t>
        </is>
      </c>
      <c r="C473" t="n">
        <v>0</v>
      </c>
      <c r="F473" t="n">
        <v>14.344</v>
      </c>
      <c r="H473">
        <f>E473/F473</f>
        <v/>
      </c>
      <c r="I473" t="n">
        <v>0.01799966998640967</v>
      </c>
      <c r="J473" t="n">
        <v>0.7385815356892234</v>
      </c>
      <c r="K473" t="inlineStr">
        <is>
          <t>LOD</t>
        </is>
      </c>
      <c r="L473" s="21">
        <f>IF(G476&gt;3,C476,IF(G477&gt;3,C477,IF(G478&gt;3,C478,IF(G479&gt;3,C479,C480))))</f>
        <v/>
      </c>
      <c r="Q473" t="inlineStr">
        <is>
          <t>SS2</t>
        </is>
      </c>
      <c r="R473" t="n">
        <v>1.0726</v>
      </c>
    </row>
    <row r="474">
      <c r="A474" t="n">
        <v>2</v>
      </c>
      <c r="B474" t="inlineStr">
        <is>
          <t>EPA1633 &amp; diPAPs Calibration 0.02 ppb</t>
        </is>
      </c>
      <c r="C474" t="n">
        <v>0.08</v>
      </c>
      <c r="F474" t="n">
        <v>39.073</v>
      </c>
      <c r="H474">
        <f>E474/F474</f>
        <v/>
      </c>
      <c r="I474" t="n">
        <v>0.8140379808578806</v>
      </c>
      <c r="J474" t="n">
        <v>1.16354856692672</v>
      </c>
      <c r="K474" t="inlineStr">
        <is>
          <t>LOQ</t>
        </is>
      </c>
      <c r="L474" s="22">
        <f>IF(G476&gt;10,C476,IF(G477&gt;10,C477,IF(G478&gt;10,C478,IF(G479&gt;10,C479,C480))))</f>
        <v/>
      </c>
      <c r="Q474" t="inlineStr">
        <is>
          <t>SS3</t>
        </is>
      </c>
      <c r="R474" t="n">
        <v>1.1534</v>
      </c>
    </row>
    <row r="475">
      <c r="A475" t="n">
        <v>3</v>
      </c>
      <c r="B475" t="inlineStr">
        <is>
          <t>EPA1633 &amp; diPAPs Calibration 0.1 ppb</t>
        </is>
      </c>
      <c r="C475" t="n">
        <v>0.4</v>
      </c>
      <c r="F475" t="n">
        <v>51.036</v>
      </c>
      <c r="H475">
        <f>E475/F475</f>
        <v/>
      </c>
      <c r="I475" t="n">
        <v>13.13232644945248</v>
      </c>
      <c r="J475" t="n">
        <v>3</v>
      </c>
      <c r="Q475" t="inlineStr">
        <is>
          <t>K4-1A</t>
        </is>
      </c>
      <c r="R475" t="n">
        <v>1.0267</v>
      </c>
    </row>
    <row r="476">
      <c r="A476" t="n">
        <v>4</v>
      </c>
      <c r="B476" t="inlineStr">
        <is>
          <t>EPA1633 &amp; diPAPs Calibration 0.4 ppb</t>
        </is>
      </c>
      <c r="C476" t="n">
        <v>1.6</v>
      </c>
      <c r="F476" t="n">
        <v>49.088</v>
      </c>
      <c r="H476">
        <f>E476/F476</f>
        <v/>
      </c>
      <c r="I476" t="n">
        <v>17.7791380161331</v>
      </c>
      <c r="J476" t="n">
        <v>4.061535802791674</v>
      </c>
      <c r="Q476" t="inlineStr">
        <is>
          <t>K4-1B</t>
        </is>
      </c>
      <c r="R476" t="n">
        <v>1.1481</v>
      </c>
    </row>
    <row r="477">
      <c r="A477" t="n">
        <v>5</v>
      </c>
      <c r="B477" t="inlineStr">
        <is>
          <t>EPA1633 &amp; diPAPs Calibration 1 ppb</t>
        </is>
      </c>
      <c r="C477" t="n">
        <v>4</v>
      </c>
      <c r="F477" t="n">
        <v>57.708</v>
      </c>
      <c r="H477">
        <f>E477/F477</f>
        <v/>
      </c>
      <c r="Q477" t="inlineStr">
        <is>
          <t>K4-1C</t>
        </is>
      </c>
      <c r="R477" t="n">
        <v>1.0402</v>
      </c>
    </row>
    <row r="478">
      <c r="A478" t="n">
        <v>6</v>
      </c>
      <c r="B478" t="inlineStr">
        <is>
          <t>EPA1633 &amp; diPAPs Calibration 5 ppb</t>
        </is>
      </c>
      <c r="C478" t="n">
        <v>20</v>
      </c>
      <c r="F478" t="n">
        <v>2.152</v>
      </c>
      <c r="H478">
        <f>E478/F478</f>
        <v/>
      </c>
      <c r="Q478" t="inlineStr">
        <is>
          <t>K4-2A</t>
        </is>
      </c>
      <c r="R478" t="n">
        <v>1.127</v>
      </c>
    </row>
    <row r="479">
      <c r="A479" t="n">
        <v>7</v>
      </c>
      <c r="B479" t="inlineStr">
        <is>
          <t>EPA1633 &amp; diPAPs Calibration 10 ppb</t>
        </is>
      </c>
      <c r="C479" t="n">
        <v>40</v>
      </c>
      <c r="D479" t="n">
        <v>9.369999999999999</v>
      </c>
      <c r="E479" t="n">
        <v>16.462</v>
      </c>
      <c r="F479" t="n">
        <v>54.435</v>
      </c>
      <c r="G479" t="n">
        <v>172</v>
      </c>
      <c r="H479">
        <f>E479/F479</f>
        <v/>
      </c>
      <c r="I479" s="23" t="inlineStr">
        <is>
          <t>Background</t>
        </is>
      </c>
      <c r="J479" s="23" t="inlineStr">
        <is>
          <t>Spike</t>
        </is>
      </c>
      <c r="K479" s="9" t="inlineStr">
        <is>
          <t>Old Spike</t>
        </is>
      </c>
      <c r="O479" s="24" t="inlineStr">
        <is>
          <t>±</t>
        </is>
      </c>
      <c r="Q479" t="inlineStr">
        <is>
          <t>K4-2B</t>
        </is>
      </c>
      <c r="R479" t="n">
        <v>1.1154</v>
      </c>
    </row>
    <row r="480">
      <c r="A480" t="n">
        <v>8</v>
      </c>
      <c r="B480" t="inlineStr">
        <is>
          <t>EPA1633 &amp; diPAPs Calibration 20 ppb</t>
        </is>
      </c>
      <c r="C480" t="n">
        <v>80</v>
      </c>
      <c r="D480" t="n">
        <v>9.43</v>
      </c>
      <c r="E480" t="n">
        <v>139.942</v>
      </c>
      <c r="F480" t="n">
        <v>26.442</v>
      </c>
      <c r="G480" t="n">
        <v>1178</v>
      </c>
      <c r="H480">
        <f>E480/F480</f>
        <v/>
      </c>
      <c r="I480">
        <f>AVERAGE(I483:I485)</f>
        <v/>
      </c>
      <c r="J480" t="n">
        <v>44</v>
      </c>
      <c r="Q480" t="inlineStr">
        <is>
          <t>K4-2C</t>
        </is>
      </c>
      <c r="R480" t="n">
        <v>1.1711</v>
      </c>
    </row>
    <row r="481">
      <c r="A481" t="n">
        <v>9</v>
      </c>
      <c r="B481" t="inlineStr">
        <is>
          <t>MeOH</t>
        </is>
      </c>
      <c r="I481" s="23" t="inlineStr">
        <is>
          <t>Conc.In Vial (ppb)</t>
        </is>
      </c>
      <c r="J481" s="9" t="inlineStr">
        <is>
          <t>Corr. Conc.(ppb)</t>
        </is>
      </c>
      <c r="K481" s="9" t="inlineStr">
        <is>
          <t>Conc. In soil (ng/g)</t>
        </is>
      </c>
      <c r="Q481" t="inlineStr">
        <is>
          <t>K4-4A</t>
        </is>
      </c>
      <c r="R481" t="n">
        <v>1.0932</v>
      </c>
    </row>
    <row r="482">
      <c r="A482" t="n">
        <v>10</v>
      </c>
      <c r="B482" t="inlineStr">
        <is>
          <t>MeOH</t>
        </is>
      </c>
      <c r="D482" t="n">
        <v>9.5</v>
      </c>
      <c r="E482" t="n">
        <v>10.497</v>
      </c>
      <c r="G482" t="n">
        <v>119</v>
      </c>
      <c r="L482" s="23" t="inlineStr">
        <is>
          <t>Average</t>
        </is>
      </c>
      <c r="M482" s="23" t="inlineStr">
        <is>
          <t>Stdev</t>
        </is>
      </c>
      <c r="N482" s="9" t="inlineStr">
        <is>
          <t>Combined</t>
        </is>
      </c>
      <c r="O482" s="9" t="n"/>
      <c r="P482" s="9" t="n"/>
      <c r="Q482" t="inlineStr">
        <is>
          <t>K4-4B</t>
        </is>
      </c>
      <c r="R482" t="n">
        <v>1.15</v>
      </c>
    </row>
    <row r="483">
      <c r="A483" t="n">
        <v>11</v>
      </c>
      <c r="B483" t="inlineStr">
        <is>
          <t>SB1</t>
        </is>
      </c>
      <c r="F483" t="n">
        <v>43.519</v>
      </c>
      <c r="H483">
        <f>E483/F483</f>
        <v/>
      </c>
      <c r="I483">
        <f>((H483-$J$420)/$I$420)</f>
        <v/>
      </c>
      <c r="J483">
        <f>(I483-IF(I480&gt;0,I480,0))</f>
        <v/>
      </c>
      <c r="K483">
        <f>J483*1.1</f>
        <v/>
      </c>
      <c r="L483">
        <f>AVERAGE(K483:K485)</f>
        <v/>
      </c>
      <c r="M483">
        <f>STDEV(K484:K485)</f>
        <v/>
      </c>
      <c r="N483">
        <f>_xlfn.CONCAT(ROUND(L483,1)," ± ",ROUND(M483,1))</f>
        <v/>
      </c>
      <c r="Q483" t="inlineStr">
        <is>
          <t>K4-4C</t>
        </is>
      </c>
      <c r="R483" t="n">
        <v>1.0482</v>
      </c>
    </row>
    <row r="484">
      <c r="A484" t="n">
        <v>12</v>
      </c>
      <c r="B484" t="inlineStr">
        <is>
          <t>SB2</t>
        </is>
      </c>
      <c r="H484">
        <f>E484/F484</f>
        <v/>
      </c>
      <c r="I484">
        <f>((H484-$J$420)/$I$420)</f>
        <v/>
      </c>
      <c r="J484">
        <f>(I484-IF(I480&gt;0,I480,0))</f>
        <v/>
      </c>
      <c r="K484">
        <f>J484*1.1</f>
        <v/>
      </c>
      <c r="Q484" t="inlineStr">
        <is>
          <t>K4-5A</t>
        </is>
      </c>
      <c r="R484" t="n">
        <v>1.1054</v>
      </c>
    </row>
    <row r="485">
      <c r="A485" t="n">
        <v>13</v>
      </c>
      <c r="B485" t="inlineStr">
        <is>
          <t>SB3</t>
        </is>
      </c>
      <c r="H485">
        <f>E485/F485</f>
        <v/>
      </c>
      <c r="I485">
        <f>((H485-$J$420)/$I$420)</f>
        <v/>
      </c>
      <c r="J485">
        <f>(I485-IF(I480&gt;0,I480,0))</f>
        <v/>
      </c>
      <c r="K485" s="30">
        <f>J485*1.1</f>
        <v/>
      </c>
      <c r="L485" s="25" t="inlineStr">
        <is>
          <t>Average</t>
        </is>
      </c>
      <c r="M485" s="25" t="inlineStr">
        <is>
          <t>Stdev</t>
        </is>
      </c>
      <c r="N485" s="26" t="inlineStr">
        <is>
          <t>%Recovery</t>
        </is>
      </c>
      <c r="O485" s="26" t="inlineStr">
        <is>
          <t>Uncertainty</t>
        </is>
      </c>
      <c r="P485" s="26" t="inlineStr">
        <is>
          <t>Combined</t>
        </is>
      </c>
      <c r="Q485" t="inlineStr">
        <is>
          <t>K4-5B</t>
        </is>
      </c>
      <c r="R485" s="10" t="n">
        <v>1.0463</v>
      </c>
    </row>
    <row r="486">
      <c r="A486" t="n">
        <v>14</v>
      </c>
      <c r="B486" t="inlineStr">
        <is>
          <t>SS1</t>
        </is>
      </c>
      <c r="D486" t="n">
        <v>9.48</v>
      </c>
      <c r="E486" t="n">
        <v>2.943</v>
      </c>
      <c r="G486" t="n">
        <v>35</v>
      </c>
      <c r="H486">
        <f>E486/F486</f>
        <v/>
      </c>
      <c r="I486">
        <f>((H486-$J$420)/$I$420)</f>
        <v/>
      </c>
      <c r="J486">
        <f>(I486-IF(I480&gt;0,I480,0))</f>
        <v/>
      </c>
      <c r="K486">
        <f>J486/R472*1.1</f>
        <v/>
      </c>
      <c r="L486" s="27">
        <f>AVERAGE(K486:K488)</f>
        <v/>
      </c>
      <c r="M486" s="27">
        <f>STDEV(K486:K488)</f>
        <v/>
      </c>
      <c r="N486" s="28">
        <f>L486/J480*100</f>
        <v/>
      </c>
      <c r="O486" s="29">
        <f>M486/J483*100</f>
        <v/>
      </c>
      <c r="P486" s="29">
        <f>_xlfn.CONCAT(ROUND(N486,1)," ± ",ROUND(O486,1))</f>
        <v/>
      </c>
      <c r="Q486" t="inlineStr">
        <is>
          <t>K4-5C</t>
        </is>
      </c>
      <c r="R486" t="n">
        <v>1.1155</v>
      </c>
    </row>
    <row r="487">
      <c r="A487" t="n">
        <v>15</v>
      </c>
      <c r="B487" t="inlineStr">
        <is>
          <t>SS2</t>
        </is>
      </c>
      <c r="F487" t="n">
        <v>4.194</v>
      </c>
      <c r="H487">
        <f>E487/F487</f>
        <v/>
      </c>
      <c r="I487">
        <f>((H487-$J$420)/$I$420)</f>
        <v/>
      </c>
      <c r="J487">
        <f>(I487-IF(I480&gt;0,I480,0))</f>
        <v/>
      </c>
      <c r="K487">
        <f>J487/R473*1.1</f>
        <v/>
      </c>
      <c r="Q487" t="inlineStr">
        <is>
          <t>K3-1A</t>
        </is>
      </c>
      <c r="R487" t="n">
        <v>1.0874</v>
      </c>
    </row>
    <row r="488">
      <c r="A488" t="n">
        <v>16</v>
      </c>
      <c r="B488" t="inlineStr">
        <is>
          <t>SS3</t>
        </is>
      </c>
      <c r="F488" t="n">
        <v>0.54</v>
      </c>
      <c r="H488">
        <f>E488/F488</f>
        <v/>
      </c>
      <c r="I488">
        <f>((H488-$J$420)/$I$420)</f>
        <v/>
      </c>
      <c r="J488">
        <f>(I488-IF(I480&gt;0,I480,0))</f>
        <v/>
      </c>
      <c r="K488" s="30">
        <f>J488/R474*1.1</f>
        <v/>
      </c>
      <c r="Q488" t="inlineStr">
        <is>
          <t>K3-1B</t>
        </is>
      </c>
      <c r="R488" t="n">
        <v>1.0898</v>
      </c>
    </row>
    <row r="489">
      <c r="A489" t="n">
        <v>17</v>
      </c>
      <c r="B489" t="inlineStr">
        <is>
          <t>MeOH</t>
        </is>
      </c>
      <c r="L489" s="23" t="inlineStr">
        <is>
          <t>Average</t>
        </is>
      </c>
      <c r="M489" s="23" t="inlineStr">
        <is>
          <t>Stdev</t>
        </is>
      </c>
      <c r="N489" s="9" t="inlineStr">
        <is>
          <t>Combined</t>
        </is>
      </c>
      <c r="Q489" t="inlineStr">
        <is>
          <t>K3-1C</t>
        </is>
      </c>
      <c r="R489" t="n">
        <v>1.0536</v>
      </c>
    </row>
    <row r="490">
      <c r="A490" t="n">
        <v>18</v>
      </c>
      <c r="B490" t="inlineStr">
        <is>
          <t>K4-1A</t>
        </is>
      </c>
      <c r="F490" t="n">
        <v>5.439</v>
      </c>
      <c r="H490">
        <f>E490/F490</f>
        <v/>
      </c>
      <c r="I490">
        <f>((H490-$J$420)/$I$420)</f>
        <v/>
      </c>
      <c r="J490">
        <f>(I490-IF(I480&gt;0,I480,0))</f>
        <v/>
      </c>
      <c r="K490">
        <f>J490/R475*1.1</f>
        <v/>
      </c>
      <c r="L490">
        <f>AVERAGE(K490:K492)</f>
        <v/>
      </c>
      <c r="M490">
        <f>STDEV(K491:K492)</f>
        <v/>
      </c>
      <c r="N490">
        <f>_xlfn.CONCAT(ROUND(L490,1)," ± ",ROUND(M490,1))</f>
        <v/>
      </c>
      <c r="Q490" t="inlineStr">
        <is>
          <t>K3-2A</t>
        </is>
      </c>
      <c r="R490" s="10" t="n">
        <v>1.1218</v>
      </c>
    </row>
    <row r="491">
      <c r="A491" t="n">
        <v>19</v>
      </c>
      <c r="B491" t="inlineStr">
        <is>
          <t>K4-1B</t>
        </is>
      </c>
      <c r="H491">
        <f>E491/F491</f>
        <v/>
      </c>
      <c r="I491">
        <f>((H491-$J$420)/$I$420)</f>
        <v/>
      </c>
      <c r="J491">
        <f>(I491-IF(I480&gt;0,I480,0))</f>
        <v/>
      </c>
      <c r="K491">
        <f>J491/R476*1.1</f>
        <v/>
      </c>
      <c r="Q491" t="inlineStr">
        <is>
          <t>K3-2B</t>
        </is>
      </c>
      <c r="R491" t="n">
        <v>1.198</v>
      </c>
    </row>
    <row r="492">
      <c r="A492" t="n">
        <v>20</v>
      </c>
      <c r="B492" t="inlineStr">
        <is>
          <t>K4-1C</t>
        </is>
      </c>
      <c r="H492">
        <f>E492/F492</f>
        <v/>
      </c>
      <c r="I492">
        <f>((H492-$J$420)/$I$420)</f>
        <v/>
      </c>
      <c r="J492">
        <f>(I492-IF(I480&gt;0,I480,0))</f>
        <v/>
      </c>
      <c r="K492">
        <f>J492/R477*1.1</f>
        <v/>
      </c>
      <c r="L492" s="23" t="inlineStr">
        <is>
          <t>Average</t>
        </is>
      </c>
      <c r="M492" s="23" t="inlineStr">
        <is>
          <t>Stdev</t>
        </is>
      </c>
      <c r="N492" s="9" t="inlineStr">
        <is>
          <t>Combined</t>
        </is>
      </c>
      <c r="Q492" t="inlineStr">
        <is>
          <t>K3-2C</t>
        </is>
      </c>
      <c r="R492" t="n">
        <v>1.1538</v>
      </c>
    </row>
    <row r="493">
      <c r="A493" t="n">
        <v>21</v>
      </c>
      <c r="B493" t="inlineStr">
        <is>
          <t>K4-2A</t>
        </is>
      </c>
      <c r="H493">
        <f>E493/F493</f>
        <v/>
      </c>
      <c r="I493">
        <f>((H493-$J$420)/$I$420)</f>
        <v/>
      </c>
      <c r="J493">
        <f>(I493-IF(I480&gt;0,I480,0))</f>
        <v/>
      </c>
      <c r="K493">
        <f>J493/R478*1.1</f>
        <v/>
      </c>
      <c r="L493">
        <f>AVERAGE(K493:K495)</f>
        <v/>
      </c>
      <c r="M493">
        <f>STDEV(K493:K495)</f>
        <v/>
      </c>
      <c r="N493">
        <f>_xlfn.CONCAT(ROUND(L493,1)," ± ",ROUND(M493,1))</f>
        <v/>
      </c>
      <c r="Q493" t="inlineStr">
        <is>
          <t>K3-3A</t>
        </is>
      </c>
      <c r="R493" t="n">
        <v>1.1183</v>
      </c>
    </row>
    <row r="494">
      <c r="A494" t="n">
        <v>22</v>
      </c>
      <c r="B494" t="inlineStr">
        <is>
          <t>K4-2B</t>
        </is>
      </c>
      <c r="H494">
        <f>E494/F494</f>
        <v/>
      </c>
      <c r="I494">
        <f>((H494-$J$420)/$I$420)</f>
        <v/>
      </c>
      <c r="J494">
        <f>(I494-IF(I480&gt;0,I480,0))</f>
        <v/>
      </c>
      <c r="K494">
        <f>J494/R479*1.1</f>
        <v/>
      </c>
      <c r="Q494" t="inlineStr">
        <is>
          <t>K3-3B</t>
        </is>
      </c>
      <c r="R494" t="n">
        <v>1.1448</v>
      </c>
    </row>
    <row r="495">
      <c r="A495" t="n">
        <v>23</v>
      </c>
      <c r="B495" t="inlineStr">
        <is>
          <t>K4-2C</t>
        </is>
      </c>
      <c r="F495" t="n">
        <v>1.714</v>
      </c>
      <c r="H495">
        <f>E495/F495</f>
        <v/>
      </c>
      <c r="I495">
        <f>((H495-$J$420)/$I$420)</f>
        <v/>
      </c>
      <c r="J495">
        <f>(I495-IF(I480&gt;0,I480,0))</f>
        <v/>
      </c>
      <c r="K495">
        <f>J495/R480*1.1</f>
        <v/>
      </c>
      <c r="L495" s="23" t="n"/>
      <c r="M495" s="23" t="n"/>
      <c r="N495" s="9" t="n"/>
      <c r="Q495" t="inlineStr">
        <is>
          <t>K3-3C</t>
        </is>
      </c>
      <c r="R495" t="n">
        <v>1.0493</v>
      </c>
    </row>
    <row r="496">
      <c r="A496" t="n">
        <v>24</v>
      </c>
      <c r="B496" t="inlineStr">
        <is>
          <t>MeOH</t>
        </is>
      </c>
      <c r="L496" s="23" t="inlineStr">
        <is>
          <t>Average</t>
        </is>
      </c>
      <c r="M496" s="23" t="inlineStr">
        <is>
          <t>Stdev</t>
        </is>
      </c>
      <c r="N496" s="9" t="inlineStr">
        <is>
          <t>Combined</t>
        </is>
      </c>
      <c r="Q496" t="inlineStr">
        <is>
          <t>K3-4A</t>
        </is>
      </c>
      <c r="R496" t="n">
        <v>1.0704</v>
      </c>
    </row>
    <row r="497">
      <c r="A497" t="n">
        <v>25</v>
      </c>
      <c r="B497" t="inlineStr">
        <is>
          <t>K4-4A</t>
        </is>
      </c>
      <c r="H497">
        <f>E497/F497</f>
        <v/>
      </c>
      <c r="I497">
        <f>((H497-$J$420)/$I$420)</f>
        <v/>
      </c>
      <c r="J497">
        <f>(I497-IF(I480&gt;0,I480,0))</f>
        <v/>
      </c>
      <c r="K497">
        <f>J497/R481*1.1</f>
        <v/>
      </c>
      <c r="L497">
        <f>AVERAGE(K497:K499)</f>
        <v/>
      </c>
      <c r="M497">
        <f>STDEV(K498:K499)</f>
        <v/>
      </c>
      <c r="N497">
        <f>_xlfn.CONCAT(ROUND(L497,1)," ± ",ROUND(M497,1))</f>
        <v/>
      </c>
      <c r="Q497" t="inlineStr">
        <is>
          <t>K3-4B</t>
        </is>
      </c>
      <c r="R497" t="n">
        <v>1.1589</v>
      </c>
    </row>
    <row r="498">
      <c r="A498" t="n">
        <v>26</v>
      </c>
      <c r="B498" t="inlineStr">
        <is>
          <t>K4-4B</t>
        </is>
      </c>
      <c r="H498">
        <f>E498/F498</f>
        <v/>
      </c>
      <c r="I498">
        <f>((H498-$J$420)/$I$420)</f>
        <v/>
      </c>
      <c r="J498">
        <f>(I498-IF(I480&gt;0,I480,0))</f>
        <v/>
      </c>
      <c r="K498">
        <f>J498/R482*1.1</f>
        <v/>
      </c>
      <c r="Q498" t="inlineStr">
        <is>
          <t>K3-4C</t>
        </is>
      </c>
      <c r="R498" t="n">
        <v>1.0206</v>
      </c>
    </row>
    <row r="499">
      <c r="A499" t="n">
        <v>27</v>
      </c>
      <c r="B499" t="inlineStr">
        <is>
          <t>K4-4C</t>
        </is>
      </c>
      <c r="F499" t="n">
        <v>0.65</v>
      </c>
      <c r="H499">
        <f>E499/F499</f>
        <v/>
      </c>
      <c r="I499">
        <f>((H499-$J$420)/$I$420)</f>
        <v/>
      </c>
      <c r="J499">
        <f>(I499-IF(I480&gt;0,I480,0))</f>
        <v/>
      </c>
      <c r="K499">
        <f>J499/R483*1.1</f>
        <v/>
      </c>
      <c r="L499" s="23" t="inlineStr">
        <is>
          <t>Average</t>
        </is>
      </c>
      <c r="M499" s="23" t="inlineStr">
        <is>
          <t>Stdev</t>
        </is>
      </c>
      <c r="N499" s="9" t="inlineStr">
        <is>
          <t>Combined</t>
        </is>
      </c>
      <c r="Q499" t="inlineStr">
        <is>
          <t>K3-6A</t>
        </is>
      </c>
      <c r="R499" t="n">
        <v>1.1289</v>
      </c>
    </row>
    <row r="500">
      <c r="A500" t="n">
        <v>28</v>
      </c>
      <c r="B500" t="inlineStr">
        <is>
          <t>K4-5A</t>
        </is>
      </c>
      <c r="H500">
        <f>E500/F500</f>
        <v/>
      </c>
      <c r="I500">
        <f>((H500-$J$420)/$I$420)</f>
        <v/>
      </c>
      <c r="J500">
        <f>(I500-IF(I480&gt;0,I480,0))</f>
        <v/>
      </c>
      <c r="K500">
        <f>J500/R484*1.1</f>
        <v/>
      </c>
      <c r="L500">
        <f>AVERAGE(K500:K502)</f>
        <v/>
      </c>
      <c r="M500">
        <f>STDEV(K500:K502)</f>
        <v/>
      </c>
      <c r="N500">
        <f>_xlfn.CONCAT(ROUND(L500,1)," ± ",ROUND(M500,1))</f>
        <v/>
      </c>
      <c r="Q500" t="inlineStr">
        <is>
          <t>K3-6B</t>
        </is>
      </c>
      <c r="R500" t="n">
        <v>1.195</v>
      </c>
    </row>
    <row r="501">
      <c r="A501" t="n">
        <v>29</v>
      </c>
      <c r="B501" t="inlineStr">
        <is>
          <t>K4-5B</t>
        </is>
      </c>
      <c r="H501">
        <f>E501/F501</f>
        <v/>
      </c>
      <c r="I501">
        <f>((H501-$J$420)/$I$420)</f>
        <v/>
      </c>
      <c r="J501">
        <f>(I501-IF(I480&gt;0,I480,0))</f>
        <v/>
      </c>
      <c r="K501">
        <f>J501/R485*1.1</f>
        <v/>
      </c>
      <c r="Q501" t="inlineStr">
        <is>
          <t>K3-6C</t>
        </is>
      </c>
      <c r="R501" t="n">
        <v>1.1716</v>
      </c>
    </row>
    <row r="502">
      <c r="A502" t="n">
        <v>30</v>
      </c>
      <c r="B502" t="inlineStr">
        <is>
          <t>K4-5C</t>
        </is>
      </c>
      <c r="F502" t="n">
        <v>41.611</v>
      </c>
      <c r="H502">
        <f>E502/F502</f>
        <v/>
      </c>
      <c r="I502">
        <f>((H502-$J$420)/$I$420)</f>
        <v/>
      </c>
      <c r="J502">
        <f>(I502-IF(I480&gt;0,I480,0))</f>
        <v/>
      </c>
      <c r="K502">
        <f>J502/R486*1.1</f>
        <v/>
      </c>
      <c r="L502" s="23" t="n"/>
      <c r="M502" s="23" t="n"/>
      <c r="N502" s="9" t="n"/>
    </row>
    <row r="503">
      <c r="A503" t="n">
        <v>31</v>
      </c>
      <c r="B503" t="inlineStr">
        <is>
          <t>MeOH</t>
        </is>
      </c>
      <c r="L503" s="23" t="inlineStr">
        <is>
          <t>Average</t>
        </is>
      </c>
      <c r="M503" s="23" t="inlineStr">
        <is>
          <t>Stdev</t>
        </is>
      </c>
      <c r="N503" s="9" t="inlineStr">
        <is>
          <t>Combined</t>
        </is>
      </c>
    </row>
    <row r="504">
      <c r="A504" t="n">
        <v>32</v>
      </c>
      <c r="B504" t="inlineStr">
        <is>
          <t>K3-1A</t>
        </is>
      </c>
      <c r="F504" t="n">
        <v>3.11</v>
      </c>
      <c r="H504">
        <f>E504/F504</f>
        <v/>
      </c>
      <c r="I504">
        <f>((H504-$J$420)/$I$420)</f>
        <v/>
      </c>
      <c r="J504">
        <f>(I504-IF(I480&gt;0,I480,0))</f>
        <v/>
      </c>
      <c r="K504">
        <f>J504/R487*1.1</f>
        <v/>
      </c>
      <c r="L504">
        <f>AVERAGE(K504:K506)</f>
        <v/>
      </c>
      <c r="M504">
        <f>STDEV(K505:K506)</f>
        <v/>
      </c>
      <c r="N504">
        <f>_xlfn.CONCAT(ROUND(L504,1)," ± ",ROUND(M504,1))</f>
        <v/>
      </c>
    </row>
    <row r="505">
      <c r="A505" t="n">
        <v>33</v>
      </c>
      <c r="B505" t="inlineStr">
        <is>
          <t>K3-1B</t>
        </is>
      </c>
      <c r="H505">
        <f>E505/F505</f>
        <v/>
      </c>
      <c r="I505">
        <f>((H505-$J$420)/$I$420)</f>
        <v/>
      </c>
      <c r="J505">
        <f>(I505-IF(I480&gt;0,I480,0))</f>
        <v/>
      </c>
      <c r="K505">
        <f>J505/R488*1.1</f>
        <v/>
      </c>
    </row>
    <row r="506">
      <c r="A506" t="n">
        <v>34</v>
      </c>
      <c r="B506" t="inlineStr">
        <is>
          <t>K3-1C</t>
        </is>
      </c>
      <c r="F506" t="n">
        <v>8.337999999999999</v>
      </c>
      <c r="H506">
        <f>E506/F506</f>
        <v/>
      </c>
      <c r="I506">
        <f>((H506-$J$420)/$I$420)</f>
        <v/>
      </c>
      <c r="J506">
        <f>(I506-IF(I480&gt;0,I480,0))</f>
        <v/>
      </c>
      <c r="K506">
        <f>J506/R489*1.1</f>
        <v/>
      </c>
      <c r="L506" s="23" t="inlineStr">
        <is>
          <t>Average</t>
        </is>
      </c>
      <c r="M506" s="23" t="inlineStr">
        <is>
          <t>Stdev</t>
        </is>
      </c>
      <c r="N506" s="9" t="inlineStr">
        <is>
          <t>Combined</t>
        </is>
      </c>
    </row>
    <row r="507">
      <c r="A507" t="n">
        <v>35</v>
      </c>
      <c r="B507" t="inlineStr">
        <is>
          <t>K3-2A</t>
        </is>
      </c>
      <c r="F507" t="n">
        <v>4.234</v>
      </c>
      <c r="H507">
        <f>E507/F507</f>
        <v/>
      </c>
      <c r="I507">
        <f>((H507-$J$420)/$I$420)</f>
        <v/>
      </c>
      <c r="J507">
        <f>(I507-IF(I480&gt;0,I480,0))</f>
        <v/>
      </c>
      <c r="K507">
        <f>J507/R490*1.1</f>
        <v/>
      </c>
      <c r="L507">
        <f>AVERAGE(K507:K509)</f>
        <v/>
      </c>
      <c r="M507">
        <f>STDEV(K507:K509)</f>
        <v/>
      </c>
      <c r="N507">
        <f>_xlfn.CONCAT(ROUND(L507,1)," ± ",ROUND(M507,1))</f>
        <v/>
      </c>
    </row>
    <row r="508">
      <c r="A508" t="n">
        <v>36</v>
      </c>
      <c r="B508" t="inlineStr">
        <is>
          <t>K3-2B</t>
        </is>
      </c>
      <c r="F508" t="n">
        <v>18.982</v>
      </c>
      <c r="H508">
        <f>E508/F508</f>
        <v/>
      </c>
      <c r="I508">
        <f>((H508-$J$420)/$I$420)</f>
        <v/>
      </c>
      <c r="J508">
        <f>(I508-IF(I480&gt;0,I480,0))</f>
        <v/>
      </c>
      <c r="K508">
        <f>J508/R491*1.1</f>
        <v/>
      </c>
    </row>
    <row r="509">
      <c r="A509" t="n">
        <v>37</v>
      </c>
      <c r="B509" t="inlineStr">
        <is>
          <t>K3-2C</t>
        </is>
      </c>
      <c r="H509">
        <f>E509/F509</f>
        <v/>
      </c>
      <c r="I509">
        <f>((H509-$J$420)/$I$420)</f>
        <v/>
      </c>
      <c r="J509">
        <f>(I509-IF(I480&gt;0,I480,0))</f>
        <v/>
      </c>
      <c r="K509">
        <f>J509/R492*1.1</f>
        <v/>
      </c>
      <c r="L509" s="23" t="n"/>
      <c r="M509" s="23" t="n"/>
      <c r="N509" s="9" t="n"/>
    </row>
    <row r="510">
      <c r="A510" t="n">
        <v>38</v>
      </c>
      <c r="B510" t="inlineStr">
        <is>
          <t>MeOH</t>
        </is>
      </c>
      <c r="L510" s="23" t="inlineStr">
        <is>
          <t>Average</t>
        </is>
      </c>
      <c r="M510" s="23" t="inlineStr">
        <is>
          <t>Stdev</t>
        </is>
      </c>
      <c r="N510" s="9" t="inlineStr">
        <is>
          <t>Combined</t>
        </is>
      </c>
    </row>
    <row r="511">
      <c r="A511" t="n">
        <v>39</v>
      </c>
      <c r="B511" t="inlineStr">
        <is>
          <t>K3-3A</t>
        </is>
      </c>
      <c r="F511" t="n">
        <v>3.454</v>
      </c>
      <c r="H511">
        <f>E511/F511</f>
        <v/>
      </c>
      <c r="I511">
        <f>((H511-$J$420)/$I$420)</f>
        <v/>
      </c>
      <c r="J511">
        <f>(I511-IF(I480&gt;0,I480,0))</f>
        <v/>
      </c>
      <c r="K511">
        <f>J511/R493*1.1</f>
        <v/>
      </c>
      <c r="L511">
        <f>AVERAGE(K511:K513)</f>
        <v/>
      </c>
      <c r="M511">
        <f>STDEV(K512:K513)</f>
        <v/>
      </c>
      <c r="N511">
        <f>_xlfn.CONCAT(ROUND(L511,1)," ± ",ROUND(M511,1))</f>
        <v/>
      </c>
    </row>
    <row r="512">
      <c r="A512" t="n">
        <v>40</v>
      </c>
      <c r="B512" t="inlineStr">
        <is>
          <t>K3-3B</t>
        </is>
      </c>
      <c r="F512" t="n">
        <v>54.989</v>
      </c>
      <c r="H512">
        <f>E512/F512</f>
        <v/>
      </c>
      <c r="I512">
        <f>((H512-$J$420)/$I$420)</f>
        <v/>
      </c>
      <c r="J512">
        <f>(I512-IF(I480&gt;0,I480,0))</f>
        <v/>
      </c>
      <c r="K512">
        <f>J512/R494*1.1</f>
        <v/>
      </c>
    </row>
    <row r="513">
      <c r="A513" t="n">
        <v>41</v>
      </c>
      <c r="B513" t="inlineStr">
        <is>
          <t>K3-3C</t>
        </is>
      </c>
      <c r="F513" t="n">
        <v>21.381</v>
      </c>
      <c r="H513">
        <f>E513/F513</f>
        <v/>
      </c>
      <c r="I513">
        <f>((H513-$J$420)/$I$420)</f>
        <v/>
      </c>
      <c r="J513">
        <f>(I513-IF(I480&gt;0,I480,0))</f>
        <v/>
      </c>
      <c r="K513">
        <f>J513/R495*1.1</f>
        <v/>
      </c>
      <c r="L513" s="23" t="inlineStr">
        <is>
          <t>Average</t>
        </is>
      </c>
      <c r="M513" s="23" t="inlineStr">
        <is>
          <t>Stdev</t>
        </is>
      </c>
      <c r="N513" s="9" t="inlineStr">
        <is>
          <t>Combined</t>
        </is>
      </c>
    </row>
    <row r="514">
      <c r="A514" t="n">
        <v>42</v>
      </c>
      <c r="B514" t="inlineStr">
        <is>
          <t>K3-4A</t>
        </is>
      </c>
      <c r="F514" t="n">
        <v>24.86</v>
      </c>
      <c r="H514">
        <f>E514/F514</f>
        <v/>
      </c>
      <c r="I514">
        <f>((H514-$J$420)/$I$420)</f>
        <v/>
      </c>
      <c r="J514">
        <f>(I514-IF(I480&gt;0,I480,0))</f>
        <v/>
      </c>
      <c r="K514">
        <f>J514/R496*1.1</f>
        <v/>
      </c>
      <c r="L514">
        <f>AVERAGE(K514:K516)</f>
        <v/>
      </c>
      <c r="M514">
        <f>STDEV(K514:K516)</f>
        <v/>
      </c>
      <c r="N514">
        <f>_xlfn.CONCAT(ROUND(L514,1)," ± ",ROUND(M514,1))</f>
        <v/>
      </c>
    </row>
    <row r="515">
      <c r="A515" t="n">
        <v>43</v>
      </c>
      <c r="B515" t="inlineStr">
        <is>
          <t>K3-4B</t>
        </is>
      </c>
      <c r="F515" t="n">
        <v>21.177</v>
      </c>
      <c r="H515">
        <f>E515/F515</f>
        <v/>
      </c>
      <c r="I515">
        <f>((H515-$J$420)/$I$420)</f>
        <v/>
      </c>
      <c r="J515">
        <f>(I515-IF(I480&gt;0,I480,0))</f>
        <v/>
      </c>
      <c r="K515">
        <f>J515/R497*1.1</f>
        <v/>
      </c>
    </row>
    <row r="516">
      <c r="A516" t="n">
        <v>44</v>
      </c>
      <c r="B516" t="inlineStr">
        <is>
          <t>K3-4C</t>
        </is>
      </c>
      <c r="F516" t="n">
        <v>22.158</v>
      </c>
      <c r="H516">
        <f>E516/F516</f>
        <v/>
      </c>
      <c r="I516">
        <f>((H516-$J$420)/$I$420)</f>
        <v/>
      </c>
      <c r="J516">
        <f>(I516-IF(I480&gt;0,I480,0))</f>
        <v/>
      </c>
      <c r="K516">
        <f>J516/R498*1.1</f>
        <v/>
      </c>
      <c r="L516" s="23" t="n"/>
      <c r="M516" s="23" t="n"/>
      <c r="N516" s="9" t="n"/>
    </row>
    <row r="517">
      <c r="A517" t="n">
        <v>45</v>
      </c>
      <c r="B517" t="inlineStr">
        <is>
          <t>MeOH</t>
        </is>
      </c>
      <c r="L517" s="23" t="inlineStr">
        <is>
          <t>Average</t>
        </is>
      </c>
      <c r="M517" s="23" t="inlineStr">
        <is>
          <t>Stdev</t>
        </is>
      </c>
      <c r="N517" s="9" t="inlineStr">
        <is>
          <t>Combined</t>
        </is>
      </c>
    </row>
    <row r="518">
      <c r="A518" t="n">
        <v>46</v>
      </c>
      <c r="B518" t="inlineStr">
        <is>
          <t>K3-6A</t>
        </is>
      </c>
      <c r="F518" t="n">
        <v>13.489</v>
      </c>
      <c r="H518">
        <f>E518/F518</f>
        <v/>
      </c>
      <c r="I518">
        <f>((H518-$J$420)/$I$420)</f>
        <v/>
      </c>
      <c r="J518">
        <f>(I518-IF(I480&gt;0,I480,0))</f>
        <v/>
      </c>
      <c r="K518">
        <f>J518/R499*1.1</f>
        <v/>
      </c>
      <c r="L518">
        <f>AVERAGE(K518:K520)</f>
        <v/>
      </c>
      <c r="M518">
        <f>STDEV(K519:K520)</f>
        <v/>
      </c>
      <c r="N518">
        <f>_xlfn.CONCAT(ROUND(L518,1)," ± ",ROUND(M518,1))</f>
        <v/>
      </c>
    </row>
    <row r="519">
      <c r="A519" t="n">
        <v>47</v>
      </c>
      <c r="B519" t="inlineStr">
        <is>
          <t>K3-6B</t>
        </is>
      </c>
      <c r="F519" t="n">
        <v>8.116</v>
      </c>
      <c r="H519">
        <f>E519/F519</f>
        <v/>
      </c>
      <c r="I519">
        <f>((H519-$J$420)/$I$420)</f>
        <v/>
      </c>
      <c r="J519">
        <f>(I519-IF(I480&gt;0,I480,0))</f>
        <v/>
      </c>
      <c r="K519">
        <f>J519/R500*1.1</f>
        <v/>
      </c>
    </row>
    <row r="520">
      <c r="A520" t="n">
        <v>48</v>
      </c>
      <c r="B520" t="inlineStr">
        <is>
          <t>K3-6C</t>
        </is>
      </c>
      <c r="F520" t="n">
        <v>1.634</v>
      </c>
      <c r="H520">
        <f>E520/F520</f>
        <v/>
      </c>
      <c r="I520">
        <f>((H520-$J$420)/$I$420)</f>
        <v/>
      </c>
      <c r="J520">
        <f>(I520-IF(I480&gt;0,I480,0))</f>
        <v/>
      </c>
      <c r="K520">
        <f>J520/R501*1.1</f>
        <v/>
      </c>
      <c r="L520" s="23" t="n"/>
      <c r="M520" s="23" t="n"/>
      <c r="N520" s="9" t="n"/>
    </row>
    <row r="522">
      <c r="A522" s="18" t="inlineStr">
        <is>
          <t>Compound 14:  3,6 OPFHpA 1</t>
        </is>
      </c>
      <c r="B522" s="18" t="n"/>
    </row>
    <row r="523">
      <c r="I523" t="inlineStr">
        <is>
          <t>LINEST</t>
        </is>
      </c>
      <c r="Q523" t="inlineStr">
        <is>
          <t>Biosolids Masses</t>
        </is>
      </c>
      <c r="R523" t="inlineStr">
        <is>
          <t>(g)</t>
        </is>
      </c>
    </row>
    <row r="524">
      <c r="B524" t="inlineStr">
        <is>
          <t>Sample Text</t>
        </is>
      </c>
      <c r="C524" t="inlineStr">
        <is>
          <t>Std. Conc</t>
        </is>
      </c>
      <c r="D524" t="inlineStr">
        <is>
          <t>RT</t>
        </is>
      </c>
      <c r="E524" t="inlineStr">
        <is>
          <t>Area</t>
        </is>
      </c>
      <c r="F524" t="inlineStr">
        <is>
          <t>IS Area</t>
        </is>
      </c>
      <c r="G524" t="inlineStr">
        <is>
          <t>S/N</t>
        </is>
      </c>
      <c r="H524" t="inlineStr">
        <is>
          <t>ratio</t>
        </is>
      </c>
      <c r="I524">
        <f t="array" ref="I524">LINEST(H528:H532,C528:C532,1,1)</f>
        <v/>
      </c>
      <c r="L524" s="20" t="inlineStr">
        <is>
          <t>By S/N Ratio</t>
        </is>
      </c>
      <c r="Q524" t="inlineStr">
        <is>
          <t>SS1</t>
        </is>
      </c>
      <c r="R524" t="n">
        <v>1.0846</v>
      </c>
    </row>
    <row r="525">
      <c r="A525" t="n">
        <v>1</v>
      </c>
      <c r="B525" t="inlineStr">
        <is>
          <t>EPA1633 &amp; diPAPs Calibration 0 ppb</t>
        </is>
      </c>
      <c r="C525" t="n">
        <v>0</v>
      </c>
      <c r="F525" t="n">
        <v>2771.78</v>
      </c>
      <c r="H525">
        <f>E525/F525</f>
        <v/>
      </c>
      <c r="K525" t="inlineStr">
        <is>
          <t>LOD</t>
        </is>
      </c>
      <c r="L525" s="21">
        <f>IF(G528&gt;3,C528,IF(G529&gt;3,C529,IF(G530&gt;3,C530,IF(G531&gt;3,C531,C532))))</f>
        <v/>
      </c>
      <c r="Q525" t="inlineStr">
        <is>
          <t>SS2</t>
        </is>
      </c>
      <c r="R525" t="n">
        <v>1.0726</v>
      </c>
    </row>
    <row r="526">
      <c r="A526" t="n">
        <v>2</v>
      </c>
      <c r="B526" t="inlineStr">
        <is>
          <t>EPA1633 &amp; diPAPs Calibration 0.02 ppb</t>
        </is>
      </c>
      <c r="C526" t="n">
        <v>0.04</v>
      </c>
      <c r="F526" t="n">
        <v>2613.678</v>
      </c>
      <c r="H526">
        <f>E526/F526</f>
        <v/>
      </c>
      <c r="K526" t="inlineStr">
        <is>
          <t>LOQ</t>
        </is>
      </c>
      <c r="L526" s="22">
        <f>IF(G528&gt;10,C528,IF(G529&gt;10,C529,IF(G530&gt;10,C530,IF(G531&gt;10,C531,C532))))</f>
        <v/>
      </c>
      <c r="Q526" t="inlineStr">
        <is>
          <t>SS3</t>
        </is>
      </c>
      <c r="R526" t="n">
        <v>1.1534</v>
      </c>
    </row>
    <row r="527">
      <c r="A527" t="n">
        <v>3</v>
      </c>
      <c r="B527" t="inlineStr">
        <is>
          <t>EPA1633 &amp; diPAPs Calibration 0.1 ppb</t>
        </is>
      </c>
      <c r="C527" t="n">
        <v>0.2</v>
      </c>
      <c r="F527" t="n">
        <v>2704.411</v>
      </c>
      <c r="H527">
        <f>E527/F527</f>
        <v/>
      </c>
      <c r="Q527" t="inlineStr">
        <is>
          <t>K4-1A</t>
        </is>
      </c>
      <c r="R527" t="n">
        <v>1.0267</v>
      </c>
    </row>
    <row r="528">
      <c r="A528" t="n">
        <v>4</v>
      </c>
      <c r="B528" t="inlineStr">
        <is>
          <t>EPA1633 &amp; diPAPs Calibration 0.4 ppb</t>
        </is>
      </c>
      <c r="C528" t="n">
        <v>0.8</v>
      </c>
      <c r="F528" t="n">
        <v>2633.712</v>
      </c>
      <c r="H528">
        <f>E528/F528</f>
        <v/>
      </c>
      <c r="Q528" t="inlineStr">
        <is>
          <t>K4-1B</t>
        </is>
      </c>
      <c r="R528" t="n">
        <v>1.1481</v>
      </c>
    </row>
    <row r="529">
      <c r="A529" t="n">
        <v>5</v>
      </c>
      <c r="B529" t="inlineStr">
        <is>
          <t>EPA1633 &amp; diPAPs Calibration 1 ppb</t>
        </is>
      </c>
      <c r="C529" t="n">
        <v>2</v>
      </c>
      <c r="F529" t="n">
        <v>2798.003</v>
      </c>
      <c r="H529">
        <f>E529/F529</f>
        <v/>
      </c>
      <c r="Q529" t="inlineStr">
        <is>
          <t>K4-1C</t>
        </is>
      </c>
      <c r="R529" t="n">
        <v>1.0402</v>
      </c>
    </row>
    <row r="530">
      <c r="A530" t="n">
        <v>6</v>
      </c>
      <c r="B530" t="inlineStr">
        <is>
          <t>EPA1633 &amp; diPAPs Calibration 5 ppb</t>
        </is>
      </c>
      <c r="C530" t="n">
        <v>20</v>
      </c>
      <c r="F530" t="n">
        <v>2309.18</v>
      </c>
      <c r="H530">
        <f>E530/F530</f>
        <v/>
      </c>
      <c r="Q530" t="inlineStr">
        <is>
          <t>K4-2A</t>
        </is>
      </c>
      <c r="R530" t="n">
        <v>1.127</v>
      </c>
    </row>
    <row r="531">
      <c r="A531" t="n">
        <v>7</v>
      </c>
      <c r="B531" t="inlineStr">
        <is>
          <t>EPA1633 &amp; diPAPs Calibration 10 ppb</t>
        </is>
      </c>
      <c r="C531" t="n">
        <v>40</v>
      </c>
      <c r="F531" t="n">
        <v>2072.812</v>
      </c>
      <c r="H531">
        <f>E531/F531</f>
        <v/>
      </c>
      <c r="I531" s="23" t="inlineStr">
        <is>
          <t>Background</t>
        </is>
      </c>
      <c r="J531" s="23" t="inlineStr">
        <is>
          <t>Spike</t>
        </is>
      </c>
      <c r="K531" s="9" t="inlineStr">
        <is>
          <t>Old Spike</t>
        </is>
      </c>
      <c r="O531" s="24" t="inlineStr">
        <is>
          <t>±</t>
        </is>
      </c>
      <c r="Q531" t="inlineStr">
        <is>
          <t>K4-2B</t>
        </is>
      </c>
      <c r="R531" t="n">
        <v>1.1154</v>
      </c>
    </row>
    <row r="532">
      <c r="A532" t="n">
        <v>8</v>
      </c>
      <c r="B532" t="inlineStr">
        <is>
          <t>EPA1633 &amp; diPAPs Calibration 20 ppb</t>
        </is>
      </c>
      <c r="F532" t="n">
        <v>1703.301</v>
      </c>
      <c r="H532">
        <f>E532/F532</f>
        <v/>
      </c>
      <c r="I532">
        <f>AVERAGE(I535:I537)</f>
        <v/>
      </c>
      <c r="J532" t="n">
        <v>44</v>
      </c>
      <c r="Q532" t="inlineStr">
        <is>
          <t>K4-2C</t>
        </is>
      </c>
      <c r="R532" t="n">
        <v>1.1711</v>
      </c>
    </row>
    <row r="533">
      <c r="A533" t="n">
        <v>9</v>
      </c>
      <c r="B533" t="inlineStr">
        <is>
          <t>MeOH</t>
        </is>
      </c>
      <c r="I533" s="23" t="inlineStr">
        <is>
          <t>Conc.In Vial (ppb)</t>
        </is>
      </c>
      <c r="J533" s="9" t="inlineStr">
        <is>
          <t>Corr. Conc.(ppb)</t>
        </is>
      </c>
      <c r="K533" s="9" t="inlineStr">
        <is>
          <t>Conc. In soil (ng/g)</t>
        </is>
      </c>
      <c r="Q533" t="inlineStr">
        <is>
          <t>K4-4A</t>
        </is>
      </c>
      <c r="R533" t="n">
        <v>1.0932</v>
      </c>
    </row>
    <row r="534">
      <c r="A534" t="n">
        <v>10</v>
      </c>
      <c r="B534" t="inlineStr">
        <is>
          <t>MeOH</t>
        </is>
      </c>
      <c r="L534" s="23" t="inlineStr">
        <is>
          <t>Average</t>
        </is>
      </c>
      <c r="M534" s="23" t="inlineStr">
        <is>
          <t>Stdev</t>
        </is>
      </c>
      <c r="N534" s="9" t="inlineStr">
        <is>
          <t>Combined</t>
        </is>
      </c>
      <c r="O534" s="9" t="n"/>
      <c r="P534" s="9" t="n"/>
      <c r="Q534" t="inlineStr">
        <is>
          <t>K4-4B</t>
        </is>
      </c>
      <c r="R534" t="n">
        <v>1.15</v>
      </c>
    </row>
    <row r="535">
      <c r="A535" t="n">
        <v>11</v>
      </c>
      <c r="B535" t="inlineStr">
        <is>
          <t>SB1</t>
        </is>
      </c>
      <c r="F535" t="n">
        <v>802.6180000000001</v>
      </c>
      <c r="H535">
        <f>E535/F535</f>
        <v/>
      </c>
      <c r="I535">
        <f>((H535-$J$420)/$I$420)</f>
        <v/>
      </c>
      <c r="J535">
        <f>(I535-IF(I532&gt;0,I532,0))</f>
        <v/>
      </c>
      <c r="K535">
        <f>J535*1.1</f>
        <v/>
      </c>
      <c r="L535">
        <f>AVERAGE(K535:K537)</f>
        <v/>
      </c>
      <c r="M535">
        <f>STDEV(K536:K537)</f>
        <v/>
      </c>
      <c r="N535">
        <f>_xlfn.CONCAT(ROUND(L535,1)," ± ",ROUND(M535,1))</f>
        <v/>
      </c>
      <c r="Q535" t="inlineStr">
        <is>
          <t>K4-4C</t>
        </is>
      </c>
      <c r="R535" t="n">
        <v>1.0482</v>
      </c>
    </row>
    <row r="536">
      <c r="A536" t="n">
        <v>12</v>
      </c>
      <c r="B536" t="inlineStr">
        <is>
          <t>SB2</t>
        </is>
      </c>
      <c r="F536" t="n">
        <v>1039.268</v>
      </c>
      <c r="H536">
        <f>E536/F536</f>
        <v/>
      </c>
      <c r="I536">
        <f>((H536-$J$420)/$I$420)</f>
        <v/>
      </c>
      <c r="J536">
        <f>(I536-IF(I532&gt;0,I532,0))</f>
        <v/>
      </c>
      <c r="K536">
        <f>J536*1.1</f>
        <v/>
      </c>
      <c r="Q536" t="inlineStr">
        <is>
          <t>K4-5A</t>
        </is>
      </c>
      <c r="R536" t="n">
        <v>1.1054</v>
      </c>
    </row>
    <row r="537">
      <c r="A537" t="n">
        <v>13</v>
      </c>
      <c r="B537" t="inlineStr">
        <is>
          <t>SB3</t>
        </is>
      </c>
      <c r="F537" t="n">
        <v>1005.736</v>
      </c>
      <c r="H537">
        <f>E537/F537</f>
        <v/>
      </c>
      <c r="I537">
        <f>((H537-$J$420)/$I$420)</f>
        <v/>
      </c>
      <c r="J537">
        <f>(I537-IF(I532&gt;0,I532,0))</f>
        <v/>
      </c>
      <c r="K537" s="30">
        <f>J537*1.1</f>
        <v/>
      </c>
      <c r="L537" s="25" t="inlineStr">
        <is>
          <t>Average</t>
        </is>
      </c>
      <c r="M537" s="25" t="inlineStr">
        <is>
          <t>Stdev</t>
        </is>
      </c>
      <c r="N537" s="26" t="inlineStr">
        <is>
          <t>%Recovery</t>
        </is>
      </c>
      <c r="O537" s="26" t="inlineStr">
        <is>
          <t>Uncertainty</t>
        </is>
      </c>
      <c r="P537" s="26" t="inlineStr">
        <is>
          <t>Combined</t>
        </is>
      </c>
      <c r="Q537" t="inlineStr">
        <is>
          <t>K4-5B</t>
        </is>
      </c>
      <c r="R537" s="10" t="n">
        <v>1.0463</v>
      </c>
    </row>
    <row r="538">
      <c r="A538" t="n">
        <v>14</v>
      </c>
      <c r="B538" t="inlineStr">
        <is>
          <t>SS1</t>
        </is>
      </c>
      <c r="F538" t="n">
        <v>860.02</v>
      </c>
      <c r="H538">
        <f>E538/F538</f>
        <v/>
      </c>
      <c r="I538">
        <f>((H538-$J$420)/$I$420)</f>
        <v/>
      </c>
      <c r="J538">
        <f>(I538-IF(I532&gt;0,I532,0))</f>
        <v/>
      </c>
      <c r="K538">
        <f>J538/R524*1.1</f>
        <v/>
      </c>
      <c r="L538" s="27">
        <f>AVERAGE(K538:K540)</f>
        <v/>
      </c>
      <c r="M538" s="27">
        <f>STDEV(K538:K540)</f>
        <v/>
      </c>
      <c r="N538" s="28">
        <f>L538/J532*100</f>
        <v/>
      </c>
      <c r="O538" s="29">
        <f>M538/J535*100</f>
        <v/>
      </c>
      <c r="P538" s="29">
        <f>_xlfn.CONCAT(ROUND(N538,1)," ± ",ROUND(O538,1))</f>
        <v/>
      </c>
      <c r="Q538" t="inlineStr">
        <is>
          <t>K4-5C</t>
        </is>
      </c>
      <c r="R538" t="n">
        <v>1.1155</v>
      </c>
    </row>
    <row r="539">
      <c r="A539" t="n">
        <v>15</v>
      </c>
      <c r="B539" t="inlineStr">
        <is>
          <t>SS2</t>
        </is>
      </c>
      <c r="F539" t="n">
        <v>1205.224</v>
      </c>
      <c r="H539">
        <f>E539/F539</f>
        <v/>
      </c>
      <c r="I539">
        <f>((H539-$J$420)/$I$420)</f>
        <v/>
      </c>
      <c r="J539">
        <f>(I539-IF(I532&gt;0,I532,0))</f>
        <v/>
      </c>
      <c r="K539">
        <f>J539/R525*1.1</f>
        <v/>
      </c>
      <c r="Q539" t="inlineStr">
        <is>
          <t>K3-1A</t>
        </is>
      </c>
      <c r="R539" t="n">
        <v>1.0874</v>
      </c>
    </row>
    <row r="540">
      <c r="A540" t="n">
        <v>16</v>
      </c>
      <c r="B540" t="inlineStr">
        <is>
          <t>SS3</t>
        </is>
      </c>
      <c r="F540" t="n">
        <v>953.783</v>
      </c>
      <c r="H540">
        <f>E540/F540</f>
        <v/>
      </c>
      <c r="I540">
        <f>((H540-$J$420)/$I$420)</f>
        <v/>
      </c>
      <c r="J540">
        <f>(I540-IF(I532&gt;0,I532,0))</f>
        <v/>
      </c>
      <c r="K540" s="30">
        <f>J540/R526*1.1</f>
        <v/>
      </c>
      <c r="Q540" t="inlineStr">
        <is>
          <t>K3-1B</t>
        </is>
      </c>
      <c r="R540" t="n">
        <v>1.0898</v>
      </c>
    </row>
    <row r="541">
      <c r="A541" t="n">
        <v>17</v>
      </c>
      <c r="B541" t="inlineStr">
        <is>
          <t>MeOH</t>
        </is>
      </c>
      <c r="L541" s="23" t="inlineStr">
        <is>
          <t>Average</t>
        </is>
      </c>
      <c r="M541" s="23" t="inlineStr">
        <is>
          <t>Stdev</t>
        </is>
      </c>
      <c r="N541" s="9" t="inlineStr">
        <is>
          <t>Combined</t>
        </is>
      </c>
      <c r="Q541" t="inlineStr">
        <is>
          <t>K3-1C</t>
        </is>
      </c>
      <c r="R541" t="n">
        <v>1.0536</v>
      </c>
    </row>
    <row r="542">
      <c r="A542" t="n">
        <v>18</v>
      </c>
      <c r="B542" t="inlineStr">
        <is>
          <t>K4-1A</t>
        </is>
      </c>
      <c r="F542" t="n">
        <v>1575.246</v>
      </c>
      <c r="H542">
        <f>E542/F542</f>
        <v/>
      </c>
      <c r="I542">
        <f>((H542-$J$420)/$I$420)</f>
        <v/>
      </c>
      <c r="J542">
        <f>(I542-IF(I532&gt;0,I532,0))</f>
        <v/>
      </c>
      <c r="K542">
        <f>J542/R527*1.1</f>
        <v/>
      </c>
      <c r="L542">
        <f>AVERAGE(K542:K544)</f>
        <v/>
      </c>
      <c r="M542">
        <f>STDEV(K543:K544)</f>
        <v/>
      </c>
      <c r="N542">
        <f>_xlfn.CONCAT(ROUND(L542,1)," ± ",ROUND(M542,1))</f>
        <v/>
      </c>
      <c r="Q542" t="inlineStr">
        <is>
          <t>K3-2A</t>
        </is>
      </c>
      <c r="R542" s="10" t="n">
        <v>1.1218</v>
      </c>
    </row>
    <row r="543">
      <c r="A543" t="n">
        <v>19</v>
      </c>
      <c r="B543" t="inlineStr">
        <is>
          <t>K4-1B</t>
        </is>
      </c>
      <c r="F543" t="n">
        <v>1550.869</v>
      </c>
      <c r="H543">
        <f>E543/F543</f>
        <v/>
      </c>
      <c r="I543">
        <f>((H543-$J$420)/$I$420)</f>
        <v/>
      </c>
      <c r="J543">
        <f>(I543-IF(I532&gt;0,I532,0))</f>
        <v/>
      </c>
      <c r="K543">
        <f>J543/R528*1.1</f>
        <v/>
      </c>
      <c r="Q543" t="inlineStr">
        <is>
          <t>K3-2B</t>
        </is>
      </c>
      <c r="R543" t="n">
        <v>1.198</v>
      </c>
    </row>
    <row r="544">
      <c r="A544" t="n">
        <v>20</v>
      </c>
      <c r="B544" t="inlineStr">
        <is>
          <t>K4-1C</t>
        </is>
      </c>
      <c r="F544" t="n">
        <v>1163.846</v>
      </c>
      <c r="H544">
        <f>E544/F544</f>
        <v/>
      </c>
      <c r="I544">
        <f>((H544-$J$420)/$I$420)</f>
        <v/>
      </c>
      <c r="J544">
        <f>(I544-IF(I532&gt;0,I532,0))</f>
        <v/>
      </c>
      <c r="K544">
        <f>J544/R529*1.1</f>
        <v/>
      </c>
      <c r="L544" s="23" t="inlineStr">
        <is>
          <t>Average</t>
        </is>
      </c>
      <c r="M544" s="23" t="inlineStr">
        <is>
          <t>Stdev</t>
        </is>
      </c>
      <c r="N544" s="9" t="inlineStr">
        <is>
          <t>Combined</t>
        </is>
      </c>
      <c r="Q544" t="inlineStr">
        <is>
          <t>K3-2C</t>
        </is>
      </c>
      <c r="R544" t="n">
        <v>1.1538</v>
      </c>
    </row>
    <row r="545">
      <c r="A545" t="n">
        <v>21</v>
      </c>
      <c r="B545" t="inlineStr">
        <is>
          <t>K4-2A</t>
        </is>
      </c>
      <c r="F545" t="n">
        <v>1084.067</v>
      </c>
      <c r="H545">
        <f>E545/F545</f>
        <v/>
      </c>
      <c r="I545">
        <f>((H545-$J$420)/$I$420)</f>
        <v/>
      </c>
      <c r="J545">
        <f>(I545-IF(I532&gt;0,I532,0))</f>
        <v/>
      </c>
      <c r="K545">
        <f>J545/R530*1.1</f>
        <v/>
      </c>
      <c r="L545">
        <f>AVERAGE(K545:K547)</f>
        <v/>
      </c>
      <c r="M545">
        <f>STDEV(K545:K547)</f>
        <v/>
      </c>
      <c r="N545">
        <f>_xlfn.CONCAT(ROUND(L545,1)," ± ",ROUND(M545,1))</f>
        <v/>
      </c>
      <c r="Q545" t="inlineStr">
        <is>
          <t>K3-3A</t>
        </is>
      </c>
      <c r="R545" t="n">
        <v>1.1183</v>
      </c>
    </row>
    <row r="546">
      <c r="A546" t="n">
        <v>22</v>
      </c>
      <c r="B546" t="inlineStr">
        <is>
          <t>K4-2B</t>
        </is>
      </c>
      <c r="F546" t="n">
        <v>1044.51</v>
      </c>
      <c r="H546">
        <f>E546/F546</f>
        <v/>
      </c>
      <c r="I546">
        <f>((H546-$J$420)/$I$420)</f>
        <v/>
      </c>
      <c r="J546">
        <f>(I546-IF(I532&gt;0,I532,0))</f>
        <v/>
      </c>
      <c r="K546">
        <f>J546/R531*1.1</f>
        <v/>
      </c>
      <c r="Q546" t="inlineStr">
        <is>
          <t>K3-3B</t>
        </is>
      </c>
      <c r="R546" t="n">
        <v>1.1448</v>
      </c>
    </row>
    <row r="547">
      <c r="A547" t="n">
        <v>23</v>
      </c>
      <c r="B547" t="inlineStr">
        <is>
          <t>K4-2C</t>
        </is>
      </c>
      <c r="F547" t="n">
        <v>1020.096</v>
      </c>
      <c r="H547">
        <f>E547/F547</f>
        <v/>
      </c>
      <c r="I547">
        <f>((H547-$J$420)/$I$420)</f>
        <v/>
      </c>
      <c r="J547">
        <f>(I547-IF(I532&gt;0,I532,0))</f>
        <v/>
      </c>
      <c r="K547">
        <f>J547/R532*1.1</f>
        <v/>
      </c>
      <c r="L547" s="23" t="n"/>
      <c r="M547" s="23" t="n"/>
      <c r="N547" s="9" t="n"/>
      <c r="Q547" t="inlineStr">
        <is>
          <t>K3-3C</t>
        </is>
      </c>
      <c r="R547" t="n">
        <v>1.0493</v>
      </c>
    </row>
    <row r="548">
      <c r="A548" t="n">
        <v>24</v>
      </c>
      <c r="B548" t="inlineStr">
        <is>
          <t>MeOH</t>
        </is>
      </c>
      <c r="L548" s="23" t="inlineStr">
        <is>
          <t>Average</t>
        </is>
      </c>
      <c r="M548" s="23" t="inlineStr">
        <is>
          <t>Stdev</t>
        </is>
      </c>
      <c r="N548" s="9" t="inlineStr">
        <is>
          <t>Combined</t>
        </is>
      </c>
      <c r="Q548" t="inlineStr">
        <is>
          <t>K3-4A</t>
        </is>
      </c>
      <c r="R548" t="n">
        <v>1.0704</v>
      </c>
    </row>
    <row r="549">
      <c r="A549" t="n">
        <v>25</v>
      </c>
      <c r="B549" t="inlineStr">
        <is>
          <t>K4-4A</t>
        </is>
      </c>
      <c r="F549" t="n">
        <v>1051.351</v>
      </c>
      <c r="H549">
        <f>E549/F549</f>
        <v/>
      </c>
      <c r="I549">
        <f>((H549-$J$420)/$I$420)</f>
        <v/>
      </c>
      <c r="J549">
        <f>(I549-IF(I532&gt;0,I532,0))</f>
        <v/>
      </c>
      <c r="K549">
        <f>J549/R533*1.1</f>
        <v/>
      </c>
      <c r="L549">
        <f>AVERAGE(K549:K551)</f>
        <v/>
      </c>
      <c r="M549">
        <f>STDEV(K550:K551)</f>
        <v/>
      </c>
      <c r="N549">
        <f>_xlfn.CONCAT(ROUND(L549,1)," ± ",ROUND(M549,1))</f>
        <v/>
      </c>
      <c r="Q549" t="inlineStr">
        <is>
          <t>K3-4B</t>
        </is>
      </c>
      <c r="R549" t="n">
        <v>1.1589</v>
      </c>
    </row>
    <row r="550">
      <c r="A550" t="n">
        <v>26</v>
      </c>
      <c r="B550" t="inlineStr">
        <is>
          <t>K4-4B</t>
        </is>
      </c>
      <c r="F550" t="n">
        <v>1035.151</v>
      </c>
      <c r="H550">
        <f>E550/F550</f>
        <v/>
      </c>
      <c r="I550">
        <f>((H550-$J$420)/$I$420)</f>
        <v/>
      </c>
      <c r="J550">
        <f>(I550-IF(I532&gt;0,I532,0))</f>
        <v/>
      </c>
      <c r="K550">
        <f>J550/R534*1.1</f>
        <v/>
      </c>
      <c r="Q550" t="inlineStr">
        <is>
          <t>K3-4C</t>
        </is>
      </c>
      <c r="R550" t="n">
        <v>1.0206</v>
      </c>
    </row>
    <row r="551">
      <c r="A551" t="n">
        <v>27</v>
      </c>
      <c r="B551" t="inlineStr">
        <is>
          <t>K4-4C</t>
        </is>
      </c>
      <c r="F551" t="n">
        <v>822.99</v>
      </c>
      <c r="H551">
        <f>E551/F551</f>
        <v/>
      </c>
      <c r="I551">
        <f>((H551-$J$420)/$I$420)</f>
        <v/>
      </c>
      <c r="J551">
        <f>(I551-IF(I532&gt;0,I532,0))</f>
        <v/>
      </c>
      <c r="K551">
        <f>J551/R535*1.1</f>
        <v/>
      </c>
      <c r="L551" s="23" t="inlineStr">
        <is>
          <t>Average</t>
        </is>
      </c>
      <c r="M551" s="23" t="inlineStr">
        <is>
          <t>Stdev</t>
        </is>
      </c>
      <c r="N551" s="9" t="inlineStr">
        <is>
          <t>Combined</t>
        </is>
      </c>
      <c r="Q551" t="inlineStr">
        <is>
          <t>K3-6A</t>
        </is>
      </c>
      <c r="R551" t="n">
        <v>1.1289</v>
      </c>
    </row>
    <row r="552">
      <c r="A552" t="n">
        <v>28</v>
      </c>
      <c r="B552" t="inlineStr">
        <is>
          <t>K4-5A</t>
        </is>
      </c>
      <c r="F552" t="n">
        <v>985.0170000000001</v>
      </c>
      <c r="H552">
        <f>E552/F552</f>
        <v/>
      </c>
      <c r="I552">
        <f>((H552-$J$420)/$I$420)</f>
        <v/>
      </c>
      <c r="J552">
        <f>(I552-IF(I532&gt;0,I532,0))</f>
        <v/>
      </c>
      <c r="K552">
        <f>J552/R536*1.1</f>
        <v/>
      </c>
      <c r="L552">
        <f>AVERAGE(K552:K554)</f>
        <v/>
      </c>
      <c r="M552">
        <f>STDEV(K552:K554)</f>
        <v/>
      </c>
      <c r="N552">
        <f>_xlfn.CONCAT(ROUND(L552,1)," ± ",ROUND(M552,1))</f>
        <v/>
      </c>
      <c r="Q552" t="inlineStr">
        <is>
          <t>K3-6B</t>
        </is>
      </c>
      <c r="R552" t="n">
        <v>1.195</v>
      </c>
    </row>
    <row r="553">
      <c r="A553" t="n">
        <v>29</v>
      </c>
      <c r="B553" t="inlineStr">
        <is>
          <t>K4-5B</t>
        </is>
      </c>
      <c r="D553" t="n">
        <v>12.19</v>
      </c>
      <c r="E553" t="n">
        <v>0.583</v>
      </c>
      <c r="F553" t="n">
        <v>1024.411</v>
      </c>
      <c r="G553" t="n">
        <v>5</v>
      </c>
      <c r="H553">
        <f>E553/F553</f>
        <v/>
      </c>
      <c r="I553">
        <f>((H553-$J$420)/$I$420)</f>
        <v/>
      </c>
      <c r="J553">
        <f>(I553-IF(I532&gt;0,I532,0))</f>
        <v/>
      </c>
      <c r="K553">
        <f>J553/R537*1.1</f>
        <v/>
      </c>
      <c r="Q553" t="inlineStr">
        <is>
          <t>K3-6C</t>
        </is>
      </c>
      <c r="R553" t="n">
        <v>1.1716</v>
      </c>
    </row>
    <row r="554">
      <c r="A554" t="n">
        <v>30</v>
      </c>
      <c r="B554" t="inlineStr">
        <is>
          <t>K4-5C</t>
        </is>
      </c>
      <c r="D554" t="n">
        <v>12.64</v>
      </c>
      <c r="E554" t="n">
        <v>0.5610000000000001</v>
      </c>
      <c r="F554" t="n">
        <v>1313.31</v>
      </c>
      <c r="G554" t="n">
        <v>5</v>
      </c>
      <c r="H554">
        <f>E554/F554</f>
        <v/>
      </c>
      <c r="I554">
        <f>((H554-$J$420)/$I$420)</f>
        <v/>
      </c>
      <c r="J554">
        <f>(I554-IF(I532&gt;0,I532,0))</f>
        <v/>
      </c>
      <c r="K554">
        <f>J554/R538*1.1</f>
        <v/>
      </c>
      <c r="L554" s="23" t="n"/>
      <c r="M554" s="23" t="n"/>
      <c r="N554" s="9" t="n"/>
    </row>
    <row r="555">
      <c r="A555" t="n">
        <v>31</v>
      </c>
      <c r="B555" t="inlineStr">
        <is>
          <t>MeOH</t>
        </is>
      </c>
      <c r="L555" s="23" t="inlineStr">
        <is>
          <t>Average</t>
        </is>
      </c>
      <c r="M555" s="23" t="inlineStr">
        <is>
          <t>Stdev</t>
        </is>
      </c>
      <c r="N555" s="9" t="inlineStr">
        <is>
          <t>Combined</t>
        </is>
      </c>
    </row>
    <row r="556">
      <c r="A556" t="n">
        <v>32</v>
      </c>
      <c r="B556" t="inlineStr">
        <is>
          <t>K3-1A</t>
        </is>
      </c>
      <c r="F556" t="n">
        <v>1115.547</v>
      </c>
      <c r="H556">
        <f>E556/F556</f>
        <v/>
      </c>
      <c r="I556">
        <f>((H556-$J$420)/$I$420)</f>
        <v/>
      </c>
      <c r="J556">
        <f>(I556-IF(I532&gt;0,I532,0))</f>
        <v/>
      </c>
      <c r="K556">
        <f>J556/R539*1.1</f>
        <v/>
      </c>
      <c r="L556">
        <f>AVERAGE(K556:K558)</f>
        <v/>
      </c>
      <c r="M556">
        <f>STDEV(K557:K558)</f>
        <v/>
      </c>
      <c r="N556">
        <f>_xlfn.CONCAT(ROUND(L556,1)," ± ",ROUND(M556,1))</f>
        <v/>
      </c>
    </row>
    <row r="557">
      <c r="A557" t="n">
        <v>33</v>
      </c>
      <c r="B557" t="inlineStr">
        <is>
          <t>K3-1B</t>
        </is>
      </c>
      <c r="F557" t="n">
        <v>868.492</v>
      </c>
      <c r="H557">
        <f>E557/F557</f>
        <v/>
      </c>
      <c r="I557">
        <f>((H557-$J$420)/$I$420)</f>
        <v/>
      </c>
      <c r="J557">
        <f>(I557-IF(I532&gt;0,I532,0))</f>
        <v/>
      </c>
      <c r="K557">
        <f>J557/R540*1.1</f>
        <v/>
      </c>
    </row>
    <row r="558">
      <c r="A558" t="n">
        <v>34</v>
      </c>
      <c r="B558" t="inlineStr">
        <is>
          <t>K3-1C</t>
        </is>
      </c>
      <c r="F558" t="n">
        <v>1891.713</v>
      </c>
      <c r="H558">
        <f>E558/F558</f>
        <v/>
      </c>
      <c r="I558">
        <f>((H558-$J$420)/$I$420)</f>
        <v/>
      </c>
      <c r="J558">
        <f>(I558-IF(I532&gt;0,I532,0))</f>
        <v/>
      </c>
      <c r="K558">
        <f>J558/R541*1.1</f>
        <v/>
      </c>
      <c r="L558" s="23" t="inlineStr">
        <is>
          <t>Average</t>
        </is>
      </c>
      <c r="M558" s="23" t="inlineStr">
        <is>
          <t>Stdev</t>
        </is>
      </c>
      <c r="N558" s="9" t="inlineStr">
        <is>
          <t>Combined</t>
        </is>
      </c>
    </row>
    <row r="559">
      <c r="A559" t="n">
        <v>35</v>
      </c>
      <c r="B559" t="inlineStr">
        <is>
          <t>K3-2A</t>
        </is>
      </c>
      <c r="F559" t="n">
        <v>1176.041</v>
      </c>
      <c r="H559">
        <f>E559/F559</f>
        <v/>
      </c>
      <c r="I559">
        <f>((H559-$J$420)/$I$420)</f>
        <v/>
      </c>
      <c r="J559">
        <f>(I559-IF(I532&gt;0,I532,0))</f>
        <v/>
      </c>
      <c r="K559">
        <f>J559/R542*1.1</f>
        <v/>
      </c>
      <c r="L559">
        <f>AVERAGE(K559:K561)</f>
        <v/>
      </c>
      <c r="M559">
        <f>STDEV(K559:K561)</f>
        <v/>
      </c>
      <c r="N559">
        <f>_xlfn.CONCAT(ROUND(L559,1)," ± ",ROUND(M559,1))</f>
        <v/>
      </c>
    </row>
    <row r="560">
      <c r="A560" t="n">
        <v>36</v>
      </c>
      <c r="B560" t="inlineStr">
        <is>
          <t>K3-2B</t>
        </is>
      </c>
      <c r="F560" t="n">
        <v>1321.349</v>
      </c>
      <c r="H560">
        <f>E560/F560</f>
        <v/>
      </c>
      <c r="I560">
        <f>((H560-$J$420)/$I$420)</f>
        <v/>
      </c>
      <c r="J560">
        <f>(I560-IF(I532&gt;0,I532,0))</f>
        <v/>
      </c>
      <c r="K560">
        <f>J560/R543*1.1</f>
        <v/>
      </c>
    </row>
    <row r="561">
      <c r="A561" t="n">
        <v>37</v>
      </c>
      <c r="B561" t="inlineStr">
        <is>
          <t>K3-2C</t>
        </is>
      </c>
      <c r="F561" t="n">
        <v>1479.533</v>
      </c>
      <c r="H561">
        <f>E561/F561</f>
        <v/>
      </c>
      <c r="I561">
        <f>((H561-$J$420)/$I$420)</f>
        <v/>
      </c>
      <c r="J561">
        <f>(I561-IF(I532&gt;0,I532,0))</f>
        <v/>
      </c>
      <c r="K561">
        <f>J561/R544*1.1</f>
        <v/>
      </c>
      <c r="L561" s="23" t="n"/>
      <c r="M561" s="23" t="n"/>
      <c r="N561" s="9" t="n"/>
    </row>
    <row r="562">
      <c r="A562" t="n">
        <v>38</v>
      </c>
      <c r="B562" t="inlineStr">
        <is>
          <t>MeOH</t>
        </is>
      </c>
      <c r="L562" s="23" t="inlineStr">
        <is>
          <t>Average</t>
        </is>
      </c>
      <c r="M562" s="23" t="inlineStr">
        <is>
          <t>Stdev</t>
        </is>
      </c>
      <c r="N562" s="9" t="inlineStr">
        <is>
          <t>Combined</t>
        </is>
      </c>
    </row>
    <row r="563">
      <c r="A563" t="n">
        <v>39</v>
      </c>
      <c r="B563" t="inlineStr">
        <is>
          <t>K3-3A</t>
        </is>
      </c>
      <c r="F563" t="n">
        <v>1517.701</v>
      </c>
      <c r="H563">
        <f>E563/F563</f>
        <v/>
      </c>
      <c r="I563">
        <f>((H563-$J$420)/$I$420)</f>
        <v/>
      </c>
      <c r="J563">
        <f>(I563-IF(I532&gt;0,I532,0))</f>
        <v/>
      </c>
      <c r="K563">
        <f>J563/R545*1.1</f>
        <v/>
      </c>
      <c r="L563">
        <f>AVERAGE(K563:K565)</f>
        <v/>
      </c>
      <c r="M563">
        <f>STDEV(K564:K565)</f>
        <v/>
      </c>
      <c r="N563">
        <f>_xlfn.CONCAT(ROUND(L563,1)," ± ",ROUND(M563,1))</f>
        <v/>
      </c>
    </row>
    <row r="564">
      <c r="A564" t="n">
        <v>40</v>
      </c>
      <c r="B564" t="inlineStr">
        <is>
          <t>K3-3B</t>
        </is>
      </c>
      <c r="F564" t="n">
        <v>1453.885</v>
      </c>
      <c r="H564">
        <f>E564/F564</f>
        <v/>
      </c>
      <c r="I564">
        <f>((H564-$J$420)/$I$420)</f>
        <v/>
      </c>
      <c r="J564">
        <f>(I564-IF(I532&gt;0,I532,0))</f>
        <v/>
      </c>
      <c r="K564">
        <f>J564/R546*1.1</f>
        <v/>
      </c>
    </row>
    <row r="565">
      <c r="A565" t="n">
        <v>41</v>
      </c>
      <c r="B565" t="inlineStr">
        <is>
          <t>K3-3C</t>
        </is>
      </c>
      <c r="F565" t="n">
        <v>1930.228</v>
      </c>
      <c r="H565">
        <f>E565/F565</f>
        <v/>
      </c>
      <c r="I565">
        <f>((H565-$J$420)/$I$420)</f>
        <v/>
      </c>
      <c r="J565">
        <f>(I565-IF(I532&gt;0,I532,0))</f>
        <v/>
      </c>
      <c r="K565">
        <f>J565/R547*1.1</f>
        <v/>
      </c>
      <c r="L565" s="23" t="inlineStr">
        <is>
          <t>Average</t>
        </is>
      </c>
      <c r="M565" s="23" t="inlineStr">
        <is>
          <t>Stdev</t>
        </is>
      </c>
      <c r="N565" s="9" t="inlineStr">
        <is>
          <t>Combined</t>
        </is>
      </c>
    </row>
    <row r="566">
      <c r="A566" t="n">
        <v>42</v>
      </c>
      <c r="B566" t="inlineStr">
        <is>
          <t>K3-4A</t>
        </is>
      </c>
      <c r="F566" t="n">
        <v>2454.78</v>
      </c>
      <c r="H566">
        <f>E566/F566</f>
        <v/>
      </c>
      <c r="I566">
        <f>((H566-$J$420)/$I$420)</f>
        <v/>
      </c>
      <c r="J566">
        <f>(I566-IF(I532&gt;0,I532,0))</f>
        <v/>
      </c>
      <c r="K566">
        <f>J566/R548*1.1</f>
        <v/>
      </c>
      <c r="L566">
        <f>AVERAGE(K566:K568)</f>
        <v/>
      </c>
      <c r="M566">
        <f>STDEV(K566:K568)</f>
        <v/>
      </c>
      <c r="N566">
        <f>_xlfn.CONCAT(ROUND(L566,1)," ± ",ROUND(M566,1))</f>
        <v/>
      </c>
    </row>
    <row r="567">
      <c r="A567" t="n">
        <v>43</v>
      </c>
      <c r="B567" t="inlineStr">
        <is>
          <t>K3-4B</t>
        </is>
      </c>
      <c r="D567" t="n">
        <v>14.03</v>
      </c>
      <c r="E567" t="n">
        <v>0.336</v>
      </c>
      <c r="F567" t="n">
        <v>2046.805</v>
      </c>
      <c r="G567" t="n">
        <v>3</v>
      </c>
      <c r="H567">
        <f>E567/F567</f>
        <v/>
      </c>
      <c r="I567">
        <f>((H567-$J$420)/$I$420)</f>
        <v/>
      </c>
      <c r="J567">
        <f>(I567-IF(I532&gt;0,I532,0))</f>
        <v/>
      </c>
      <c r="K567">
        <f>J567/R549*1.1</f>
        <v/>
      </c>
    </row>
    <row r="568">
      <c r="A568" t="n">
        <v>44</v>
      </c>
      <c r="B568" t="inlineStr">
        <is>
          <t>K3-4C</t>
        </is>
      </c>
      <c r="F568" t="n">
        <v>1963.707</v>
      </c>
      <c r="H568">
        <f>E568/F568</f>
        <v/>
      </c>
      <c r="I568">
        <f>((H568-$J$420)/$I$420)</f>
        <v/>
      </c>
      <c r="J568">
        <f>(I568-IF(I532&gt;0,I532,0))</f>
        <v/>
      </c>
      <c r="K568">
        <f>J568/R550*1.1</f>
        <v/>
      </c>
      <c r="L568" s="23" t="n"/>
      <c r="M568" s="23" t="n"/>
      <c r="N568" s="9" t="n"/>
    </row>
    <row r="569">
      <c r="A569" t="n">
        <v>45</v>
      </c>
      <c r="B569" t="inlineStr">
        <is>
          <t>MeOH</t>
        </is>
      </c>
      <c r="L569" s="23" t="inlineStr">
        <is>
          <t>Average</t>
        </is>
      </c>
      <c r="M569" s="23" t="inlineStr">
        <is>
          <t>Stdev</t>
        </is>
      </c>
      <c r="N569" s="9" t="inlineStr">
        <is>
          <t>Combined</t>
        </is>
      </c>
    </row>
    <row r="570">
      <c r="A570" t="n">
        <v>46</v>
      </c>
      <c r="B570" t="inlineStr">
        <is>
          <t>K3-6A</t>
        </is>
      </c>
      <c r="F570" t="n">
        <v>2063.159</v>
      </c>
      <c r="H570">
        <f>E570/F570</f>
        <v/>
      </c>
      <c r="I570">
        <f>((H570-$J$420)/$I$420)</f>
        <v/>
      </c>
      <c r="J570">
        <f>(I570-IF(I532&gt;0,I532,0))</f>
        <v/>
      </c>
      <c r="K570">
        <f>J570/R551*1.1</f>
        <v/>
      </c>
      <c r="L570">
        <f>AVERAGE(K570:K572)</f>
        <v/>
      </c>
      <c r="M570">
        <f>STDEV(K571:K572)</f>
        <v/>
      </c>
      <c r="N570">
        <f>_xlfn.CONCAT(ROUND(L570,1)," ± ",ROUND(M570,1))</f>
        <v/>
      </c>
    </row>
    <row r="571">
      <c r="A571" t="n">
        <v>47</v>
      </c>
      <c r="B571" t="inlineStr">
        <is>
          <t>K3-6B</t>
        </is>
      </c>
      <c r="D571" t="n">
        <v>12.53</v>
      </c>
      <c r="E571" t="n">
        <v>1.2</v>
      </c>
      <c r="F571" t="n">
        <v>1701.403</v>
      </c>
      <c r="G571" t="n">
        <v>12</v>
      </c>
      <c r="H571">
        <f>E571/F571</f>
        <v/>
      </c>
      <c r="I571">
        <f>((H571-$J$420)/$I$420)</f>
        <v/>
      </c>
      <c r="J571">
        <f>(I571-IF(I532&gt;0,I532,0))</f>
        <v/>
      </c>
      <c r="K571">
        <f>J571/R552*1.1</f>
        <v/>
      </c>
    </row>
    <row r="572">
      <c r="A572" t="n">
        <v>48</v>
      </c>
      <c r="B572" t="inlineStr">
        <is>
          <t>K3-6C</t>
        </is>
      </c>
      <c r="D572" t="n">
        <v>12.58</v>
      </c>
      <c r="E572" t="n">
        <v>10.922</v>
      </c>
      <c r="F572" t="n">
        <v>1921.069</v>
      </c>
      <c r="G572" t="n">
        <v>106</v>
      </c>
      <c r="H572">
        <f>E572/F572</f>
        <v/>
      </c>
      <c r="I572">
        <f>((H572-$J$420)/$I$420)</f>
        <v/>
      </c>
      <c r="J572">
        <f>(I572-IF(I532&gt;0,I532,0))</f>
        <v/>
      </c>
      <c r="K572">
        <f>J572/R553*1.1</f>
        <v/>
      </c>
      <c r="L572" s="23" t="n"/>
      <c r="M572" s="23" t="n"/>
      <c r="N572" s="9" t="n"/>
    </row>
    <row r="574">
      <c r="A574" s="15" t="inlineStr">
        <is>
          <t>Compound 16:  PFBS 1</t>
        </is>
      </c>
      <c r="B574" s="15" t="n"/>
    </row>
    <row r="575">
      <c r="I575" t="inlineStr">
        <is>
          <t>LINEST</t>
        </is>
      </c>
      <c r="Q575" t="inlineStr">
        <is>
          <t>Biosolids Masses</t>
        </is>
      </c>
      <c r="R575" t="inlineStr">
        <is>
          <t>(g)</t>
        </is>
      </c>
    </row>
    <row r="576">
      <c r="B576" t="inlineStr">
        <is>
          <t>Sample Text</t>
        </is>
      </c>
      <c r="C576" t="inlineStr">
        <is>
          <t>Std. Conc</t>
        </is>
      </c>
      <c r="D576" t="inlineStr">
        <is>
          <t>RT</t>
        </is>
      </c>
      <c r="E576" t="inlineStr">
        <is>
          <t>Area</t>
        </is>
      </c>
      <c r="F576" t="inlineStr">
        <is>
          <t>IS Area</t>
        </is>
      </c>
      <c r="G576" t="inlineStr">
        <is>
          <t>S/N</t>
        </is>
      </c>
      <c r="H576" t="inlineStr">
        <is>
          <t>ratio</t>
        </is>
      </c>
      <c r="I576">
        <f t="array" ref="I576:J580">LINEST(H578:H584,C578:C584,1,1)</f>
        <v/>
      </c>
      <c r="J576" t="n">
        <v>0.0138051066893673</v>
      </c>
      <c r="L576" s="20" t="inlineStr">
        <is>
          <t>By S/N Ratio</t>
        </is>
      </c>
      <c r="Q576" t="inlineStr">
        <is>
          <t>SS1</t>
        </is>
      </c>
      <c r="R576" t="n">
        <v>1.0846</v>
      </c>
    </row>
    <row r="577">
      <c r="A577" t="n">
        <v>1</v>
      </c>
      <c r="B577" t="inlineStr">
        <is>
          <t>EPA1633 &amp; diPAPs Calibration 0 ppb</t>
        </is>
      </c>
      <c r="C577" t="n">
        <v>0</v>
      </c>
      <c r="D577" t="n">
        <v>7.09</v>
      </c>
      <c r="E577" t="n">
        <v>19.686</v>
      </c>
      <c r="F577" t="n">
        <v>2938.249</v>
      </c>
      <c r="G577" t="n">
        <v>321</v>
      </c>
      <c r="H577">
        <f>E577/F577</f>
        <v/>
      </c>
      <c r="I577" t="n">
        <v>0.005833208481855645</v>
      </c>
      <c r="J577" t="n">
        <v>0.05057334565127052</v>
      </c>
      <c r="K577" t="inlineStr">
        <is>
          <t>LOD</t>
        </is>
      </c>
      <c r="L577" s="21">
        <f>IF(G580&gt;3,C580,IF(G581&gt;3,C581,IF(G582&gt;3,C582,IF(G583&gt;3,C583,C584))))</f>
        <v/>
      </c>
      <c r="Q577" t="inlineStr">
        <is>
          <t>SS2</t>
        </is>
      </c>
      <c r="R577" t="n">
        <v>1.0726</v>
      </c>
    </row>
    <row r="578">
      <c r="A578" t="n">
        <v>2</v>
      </c>
      <c r="B578" t="inlineStr">
        <is>
          <t>EPA1633 &amp; diPAPs Calibration 0.02 ppb</t>
        </is>
      </c>
      <c r="C578" t="n">
        <v>0.02</v>
      </c>
      <c r="D578" t="n">
        <v>7.14</v>
      </c>
      <c r="E578" t="n">
        <v>79.52500000000001</v>
      </c>
      <c r="F578" t="n">
        <v>2512.521</v>
      </c>
      <c r="G578" t="n">
        <v>14.713</v>
      </c>
      <c r="H578">
        <f>E578/F578</f>
        <v/>
      </c>
      <c r="I578" t="n">
        <v>0.994911889697607</v>
      </c>
      <c r="J578" t="n">
        <v>0.1068672359112754</v>
      </c>
      <c r="K578" t="inlineStr">
        <is>
          <t>LOQ</t>
        </is>
      </c>
      <c r="L578" s="22">
        <f>IF(G580&gt;10,C580,IF(G581&gt;10,C581,IF(G582&gt;10,C582,IF(G583&gt;10,C583,C584))))</f>
        <v/>
      </c>
      <c r="Q578" t="inlineStr">
        <is>
          <t>SS3</t>
        </is>
      </c>
      <c r="R578" t="n">
        <v>1.1534</v>
      </c>
    </row>
    <row r="579">
      <c r="A579" t="n">
        <v>3</v>
      </c>
      <c r="B579" t="inlineStr">
        <is>
          <t>EPA1633 &amp; diPAPs Calibration 0.1 ppb</t>
        </is>
      </c>
      <c r="C579" t="n">
        <v>0.1</v>
      </c>
      <c r="D579" t="n">
        <v>7.17</v>
      </c>
      <c r="E579" t="n">
        <v>65.32599999999999</v>
      </c>
      <c r="F579" t="n">
        <v>2908.581</v>
      </c>
      <c r="G579" t="n">
        <v>729</v>
      </c>
      <c r="H579">
        <f>E579/F579</f>
        <v/>
      </c>
      <c r="I579" t="n">
        <v>977.6830989981524</v>
      </c>
      <c r="J579" t="n">
        <v>5</v>
      </c>
      <c r="Q579" t="inlineStr">
        <is>
          <t>K4-1A</t>
        </is>
      </c>
      <c r="R579" t="n">
        <v>1.0267</v>
      </c>
    </row>
    <row r="580">
      <c r="A580" t="n">
        <v>4</v>
      </c>
      <c r="B580" t="inlineStr">
        <is>
          <t>EPA1633 &amp; diPAPs Calibration 0.4 ppb</t>
        </is>
      </c>
      <c r="C580" t="n">
        <v>0.4</v>
      </c>
      <c r="D580" t="n">
        <v>7.17</v>
      </c>
      <c r="E580" t="n">
        <v>205.975</v>
      </c>
      <c r="F580" t="n">
        <v>2996.688</v>
      </c>
      <c r="G580" t="n">
        <v>37.386</v>
      </c>
      <c r="H580">
        <f>E580/F580</f>
        <v/>
      </c>
      <c r="I580" t="n">
        <v>11.16573357534885</v>
      </c>
      <c r="J580" t="n">
        <v>0.05710303055658095</v>
      </c>
      <c r="Q580" t="inlineStr">
        <is>
          <t>K4-1B</t>
        </is>
      </c>
      <c r="R580" t="n">
        <v>1.1481</v>
      </c>
    </row>
    <row r="581">
      <c r="A581" t="n">
        <v>5</v>
      </c>
      <c r="B581" t="inlineStr">
        <is>
          <t>EPA1633 &amp; diPAPs Calibration 1 ppb</t>
        </is>
      </c>
      <c r="C581" t="n">
        <v>1</v>
      </c>
      <c r="D581" t="n">
        <v>7.21</v>
      </c>
      <c r="E581" t="n">
        <v>443.572</v>
      </c>
      <c r="F581" t="n">
        <v>3153.645</v>
      </c>
      <c r="G581" t="n">
        <v>116.638</v>
      </c>
      <c r="H581">
        <f>E581/F581</f>
        <v/>
      </c>
      <c r="Q581" t="inlineStr">
        <is>
          <t>K4-1C</t>
        </is>
      </c>
      <c r="R581" t="n">
        <v>1.0402</v>
      </c>
    </row>
    <row r="582">
      <c r="A582" t="n">
        <v>6</v>
      </c>
      <c r="B582" t="inlineStr">
        <is>
          <t>EPA1633 &amp; diPAPs Calibration 5 ppb</t>
        </is>
      </c>
      <c r="C582" t="n">
        <v>5</v>
      </c>
      <c r="D582" t="n">
        <v>6.98</v>
      </c>
      <c r="E582" t="n">
        <v>2335.177</v>
      </c>
      <c r="F582" t="n">
        <v>2668.511</v>
      </c>
      <c r="G582" t="n">
        <v>31.853</v>
      </c>
      <c r="H582">
        <f>E582/F582</f>
        <v/>
      </c>
      <c r="Q582" t="inlineStr">
        <is>
          <t>K4-2A</t>
        </is>
      </c>
      <c r="R582" t="n">
        <v>1.127</v>
      </c>
    </row>
    <row r="583">
      <c r="A583" t="n">
        <v>7</v>
      </c>
      <c r="B583" t="inlineStr">
        <is>
          <t>EPA1633 &amp; diPAPs Calibration 10 ppb</t>
        </is>
      </c>
      <c r="C583" t="n">
        <v>10</v>
      </c>
      <c r="D583" t="n">
        <v>7.06</v>
      </c>
      <c r="E583" t="n">
        <v>4321.67</v>
      </c>
      <c r="F583" t="n">
        <v>2112.954</v>
      </c>
      <c r="G583" t="n">
        <v>735.13</v>
      </c>
      <c r="H583">
        <f>E583/F583</f>
        <v/>
      </c>
      <c r="I583" s="23" t="inlineStr">
        <is>
          <t>Background</t>
        </is>
      </c>
      <c r="J583" s="23" t="inlineStr">
        <is>
          <t>Spike</t>
        </is>
      </c>
      <c r="K583" s="9" t="inlineStr">
        <is>
          <t>Old Spike</t>
        </is>
      </c>
      <c r="O583" s="24" t="inlineStr">
        <is>
          <t>±</t>
        </is>
      </c>
      <c r="Q583" t="inlineStr">
        <is>
          <t>K4-2B</t>
        </is>
      </c>
      <c r="R583" t="n">
        <v>1.1154</v>
      </c>
    </row>
    <row r="584">
      <c r="A584" t="n">
        <v>8</v>
      </c>
      <c r="B584" t="inlineStr">
        <is>
          <t>EPA1633 &amp; diPAPs Calibration 20 ppb</t>
        </is>
      </c>
      <c r="C584" t="n">
        <v>20</v>
      </c>
      <c r="D584" t="n">
        <v>7.12</v>
      </c>
      <c r="E584" t="n">
        <v>8897.554</v>
      </c>
      <c r="F584" t="n">
        <v>2489.734</v>
      </c>
      <c r="G584" t="n">
        <v>87972</v>
      </c>
      <c r="H584">
        <f>E584/F584</f>
        <v/>
      </c>
      <c r="I584">
        <f>AVERAGE(I587:I589)</f>
        <v/>
      </c>
      <c r="J584" t="n">
        <v>11</v>
      </c>
      <c r="Q584" t="inlineStr">
        <is>
          <t>K4-2C</t>
        </is>
      </c>
      <c r="R584" t="n">
        <v>1.1711</v>
      </c>
    </row>
    <row r="585">
      <c r="A585" t="n">
        <v>9</v>
      </c>
      <c r="B585" t="inlineStr">
        <is>
          <t>MeOH</t>
        </is>
      </c>
      <c r="D585" t="n">
        <v>7.14</v>
      </c>
      <c r="E585" t="n">
        <v>14.309</v>
      </c>
      <c r="F585" t="n">
        <v>0.383</v>
      </c>
      <c r="G585" t="n">
        <v>261</v>
      </c>
      <c r="I585" s="23" t="inlineStr">
        <is>
          <t>Conc.In Vial (ppb)</t>
        </is>
      </c>
      <c r="J585" s="9" t="inlineStr">
        <is>
          <t>Corr. Conc.(ppb)</t>
        </is>
      </c>
      <c r="K585" s="9" t="inlineStr">
        <is>
          <t>Conc. In soil (ng/g)</t>
        </is>
      </c>
      <c r="Q585" t="inlineStr">
        <is>
          <t>K4-4A</t>
        </is>
      </c>
      <c r="R585" t="n">
        <v>1.0932</v>
      </c>
    </row>
    <row r="586">
      <c r="A586" t="n">
        <v>10</v>
      </c>
      <c r="B586" t="inlineStr">
        <is>
          <t>MeOH</t>
        </is>
      </c>
      <c r="F586" t="n">
        <v>0.987</v>
      </c>
      <c r="L586" s="23" t="inlineStr">
        <is>
          <t>Average</t>
        </is>
      </c>
      <c r="M586" s="23" t="inlineStr">
        <is>
          <t>Stdev</t>
        </is>
      </c>
      <c r="N586" s="9" t="inlineStr">
        <is>
          <t>Combined</t>
        </is>
      </c>
      <c r="O586" s="9" t="n"/>
      <c r="P586" s="9" t="n"/>
      <c r="Q586" t="inlineStr">
        <is>
          <t>K4-4B</t>
        </is>
      </c>
      <c r="R586" t="n">
        <v>1.15</v>
      </c>
    </row>
    <row r="587">
      <c r="A587" t="n">
        <v>11</v>
      </c>
      <c r="B587" t="inlineStr">
        <is>
          <t>SB1</t>
        </is>
      </c>
      <c r="D587" t="n">
        <v>7.17</v>
      </c>
      <c r="E587" t="n">
        <v>0.386</v>
      </c>
      <c r="F587" t="n">
        <v>1321.243</v>
      </c>
      <c r="G587" t="n">
        <v>7</v>
      </c>
      <c r="H587">
        <f>E587/F587</f>
        <v/>
      </c>
      <c r="I587">
        <f>((H587-$J$576)/$I$576)</f>
        <v/>
      </c>
      <c r="J587">
        <f>(I587-IF(I584&gt;0,I584,0))</f>
        <v/>
      </c>
      <c r="K587">
        <f>J587*1.1</f>
        <v/>
      </c>
      <c r="L587">
        <f>AVERAGE(K587:K589)</f>
        <v/>
      </c>
      <c r="M587">
        <f>STDEV(K588:K589)</f>
        <v/>
      </c>
      <c r="N587">
        <f>_xlfn.CONCAT(ROUND(L587,1)," ± ",ROUND(M587,1))</f>
        <v/>
      </c>
      <c r="Q587" t="inlineStr">
        <is>
          <t>K4-4C</t>
        </is>
      </c>
      <c r="R587" t="n">
        <v>1.0482</v>
      </c>
    </row>
    <row r="588">
      <c r="A588" t="n">
        <v>12</v>
      </c>
      <c r="B588" t="inlineStr">
        <is>
          <t>SB2</t>
        </is>
      </c>
      <c r="F588" t="n">
        <v>1146.191</v>
      </c>
      <c r="Q588" t="inlineStr">
        <is>
          <t>K4-5A</t>
        </is>
      </c>
      <c r="R588" t="n">
        <v>1.1054</v>
      </c>
    </row>
    <row r="589">
      <c r="A589" t="n">
        <v>13</v>
      </c>
      <c r="B589" t="inlineStr">
        <is>
          <t>SB3</t>
        </is>
      </c>
      <c r="D589" t="n">
        <v>7.06</v>
      </c>
      <c r="E589" t="n">
        <v>0.106</v>
      </c>
      <c r="F589" t="n">
        <v>1275.571</v>
      </c>
      <c r="G589" t="n">
        <v>2</v>
      </c>
      <c r="H589">
        <f>E589/F589</f>
        <v/>
      </c>
      <c r="I589">
        <f>((H589-$J$576)/$I$576)</f>
        <v/>
      </c>
      <c r="J589">
        <f>(I589-IF(I584&gt;0,I584,0))</f>
        <v/>
      </c>
      <c r="K589" s="30">
        <f>J589*1.1</f>
        <v/>
      </c>
      <c r="L589" s="25" t="inlineStr">
        <is>
          <t>Average</t>
        </is>
      </c>
      <c r="M589" s="25" t="inlineStr">
        <is>
          <t>Stdev</t>
        </is>
      </c>
      <c r="N589" s="26" t="inlineStr">
        <is>
          <t>%Recovery</t>
        </is>
      </c>
      <c r="O589" s="26" t="inlineStr">
        <is>
          <t>Uncertainty</t>
        </is>
      </c>
      <c r="P589" s="26" t="inlineStr">
        <is>
          <t>Combined</t>
        </is>
      </c>
      <c r="Q589" t="inlineStr">
        <is>
          <t>K4-5B</t>
        </is>
      </c>
      <c r="R589" s="10" t="n">
        <v>1.0463</v>
      </c>
    </row>
    <row r="590">
      <c r="A590" t="n">
        <v>14</v>
      </c>
      <c r="B590" t="inlineStr">
        <is>
          <t>SS1</t>
        </is>
      </c>
      <c r="D590" t="n">
        <v>7.27</v>
      </c>
      <c r="E590" t="n">
        <v>2320.713</v>
      </c>
      <c r="F590" t="n">
        <v>1534.966</v>
      </c>
      <c r="G590" t="n">
        <v>7661.497</v>
      </c>
      <c r="H590">
        <f>E590/F590</f>
        <v/>
      </c>
      <c r="I590">
        <f>((H590-$J$576)/$I$576)</f>
        <v/>
      </c>
      <c r="J590">
        <f>(I590-IF(I584&gt;0,I584,0))</f>
        <v/>
      </c>
      <c r="K590">
        <f>J590/R576*1.1</f>
        <v/>
      </c>
      <c r="L590" s="27">
        <f>AVERAGE(K590:K592)</f>
        <v/>
      </c>
      <c r="M590" s="27">
        <f>STDEV(K590:K592)</f>
        <v/>
      </c>
      <c r="N590" s="28">
        <f>L590/J584*100</f>
        <v/>
      </c>
      <c r="O590" s="29">
        <f>M590/J587*100</f>
        <v/>
      </c>
      <c r="P590" s="29">
        <f>_xlfn.CONCAT(ROUND(N590,1)," ± ",ROUND(O590,1))</f>
        <v/>
      </c>
      <c r="Q590" t="inlineStr">
        <is>
          <t>K4-5C</t>
        </is>
      </c>
      <c r="R590" t="n">
        <v>1.1155</v>
      </c>
    </row>
    <row r="591">
      <c r="A591" t="n">
        <v>15</v>
      </c>
      <c r="B591" t="inlineStr">
        <is>
          <t>SS2</t>
        </is>
      </c>
      <c r="D591" t="n">
        <v>7.29</v>
      </c>
      <c r="E591" t="n">
        <v>2387.614</v>
      </c>
      <c r="F591" t="n">
        <v>1654.666</v>
      </c>
      <c r="G591" t="n">
        <v>22150</v>
      </c>
      <c r="H591">
        <f>E591/F591</f>
        <v/>
      </c>
      <c r="I591">
        <f>((H591-$J$576)/$I$576)</f>
        <v/>
      </c>
      <c r="J591">
        <f>(I591-IF(I584&gt;0,I584,0))</f>
        <v/>
      </c>
      <c r="K591">
        <f>J591/R577*1.1</f>
        <v/>
      </c>
      <c r="Q591" t="inlineStr">
        <is>
          <t>K3-1A</t>
        </is>
      </c>
      <c r="R591" t="n">
        <v>1.0874</v>
      </c>
    </row>
    <row r="592">
      <c r="A592" t="n">
        <v>16</v>
      </c>
      <c r="B592" t="inlineStr">
        <is>
          <t>SS3</t>
        </is>
      </c>
      <c r="D592" t="n">
        <v>7.29</v>
      </c>
      <c r="E592" t="n">
        <v>2270.057</v>
      </c>
      <c r="F592" t="n">
        <v>1409.177</v>
      </c>
      <c r="G592" t="n">
        <v>634.6</v>
      </c>
      <c r="H592">
        <f>E592/F592</f>
        <v/>
      </c>
      <c r="I592">
        <f>((H592-$J$576)/$I$576)</f>
        <v/>
      </c>
      <c r="J592">
        <f>(I592-IF(I584&gt;0,I584,0))</f>
        <v/>
      </c>
      <c r="K592" s="30">
        <f>J592/R578*1.1</f>
        <v/>
      </c>
      <c r="Q592" t="inlineStr">
        <is>
          <t>K3-1B</t>
        </is>
      </c>
      <c r="R592" t="n">
        <v>1.0898</v>
      </c>
    </row>
    <row r="593">
      <c r="A593" t="n">
        <v>17</v>
      </c>
      <c r="B593" t="inlineStr">
        <is>
          <t>MeOH</t>
        </is>
      </c>
      <c r="L593" s="23" t="inlineStr">
        <is>
          <t>Average</t>
        </is>
      </c>
      <c r="M593" s="23" t="inlineStr">
        <is>
          <t>Stdev</t>
        </is>
      </c>
      <c r="N593" s="9" t="inlineStr">
        <is>
          <t>Combined</t>
        </is>
      </c>
      <c r="Q593" t="inlineStr">
        <is>
          <t>K3-1C</t>
        </is>
      </c>
      <c r="R593" t="n">
        <v>1.0536</v>
      </c>
    </row>
    <row r="594">
      <c r="A594" t="n">
        <v>18</v>
      </c>
      <c r="B594" t="inlineStr">
        <is>
          <t>K4-1A</t>
        </is>
      </c>
      <c r="D594" t="n">
        <v>7.29</v>
      </c>
      <c r="E594" t="n">
        <v>1.701</v>
      </c>
      <c r="F594" t="n">
        <v>2136.637</v>
      </c>
      <c r="G594" t="n">
        <v>4.101</v>
      </c>
      <c r="H594">
        <f>E594/F594</f>
        <v/>
      </c>
      <c r="I594">
        <f>((H594-$J$576)/$I$576)</f>
        <v/>
      </c>
      <c r="J594">
        <f>(I594-IF(I584&gt;0,I584,0))</f>
        <v/>
      </c>
      <c r="K594">
        <f>J594/R579*1.1</f>
        <v/>
      </c>
      <c r="L594">
        <f>AVERAGE(K594:K596)</f>
        <v/>
      </c>
      <c r="M594">
        <f>STDEV(K595:K596)</f>
        <v/>
      </c>
      <c r="N594">
        <f>_xlfn.CONCAT(ROUND(L594,1)," ± ",ROUND(M594,1))</f>
        <v/>
      </c>
      <c r="Q594" t="inlineStr">
        <is>
          <t>K3-2A</t>
        </is>
      </c>
      <c r="R594" s="10" t="n">
        <v>1.1218</v>
      </c>
    </row>
    <row r="595">
      <c r="A595" t="n">
        <v>19</v>
      </c>
      <c r="B595" t="inlineStr">
        <is>
          <t>K4-1B</t>
        </is>
      </c>
      <c r="D595" t="n">
        <v>7.23</v>
      </c>
      <c r="E595" t="n">
        <v>12.034</v>
      </c>
      <c r="F595" t="n">
        <v>2067.104</v>
      </c>
      <c r="G595" t="n">
        <v>175</v>
      </c>
      <c r="H595">
        <f>E595/F595</f>
        <v/>
      </c>
      <c r="I595">
        <f>((H595-$J$576)/$I$576)</f>
        <v/>
      </c>
      <c r="J595">
        <f>(I595-IF(I584&gt;0,I584,0))</f>
        <v/>
      </c>
      <c r="K595">
        <f>J595/R580*1.1</f>
        <v/>
      </c>
      <c r="Q595" t="inlineStr">
        <is>
          <t>K3-2B</t>
        </is>
      </c>
      <c r="R595" t="n">
        <v>1.198</v>
      </c>
    </row>
    <row r="596">
      <c r="A596" t="n">
        <v>20</v>
      </c>
      <c r="B596" t="inlineStr">
        <is>
          <t>K4-1C</t>
        </is>
      </c>
      <c r="D596" t="n">
        <v>7.31</v>
      </c>
      <c r="E596" t="n">
        <v>119.609</v>
      </c>
      <c r="F596" t="n">
        <v>1624.895</v>
      </c>
      <c r="G596" t="n">
        <v>7.925</v>
      </c>
      <c r="H596">
        <f>E596/F596</f>
        <v/>
      </c>
      <c r="I596">
        <f>((H596-$J$576)/$I$576)</f>
        <v/>
      </c>
      <c r="J596">
        <f>(I596-IF(I584&gt;0,I584,0))</f>
        <v/>
      </c>
      <c r="K596">
        <f>J596/R581*1.1</f>
        <v/>
      </c>
      <c r="L596" s="23" t="inlineStr">
        <is>
          <t>Average</t>
        </is>
      </c>
      <c r="M596" s="23" t="inlineStr">
        <is>
          <t>Stdev</t>
        </is>
      </c>
      <c r="N596" s="9" t="inlineStr">
        <is>
          <t>Combined</t>
        </is>
      </c>
      <c r="Q596" t="inlineStr">
        <is>
          <t>K3-2C</t>
        </is>
      </c>
      <c r="R596" t="n">
        <v>1.1538</v>
      </c>
    </row>
    <row r="597">
      <c r="A597" t="n">
        <v>21</v>
      </c>
      <c r="B597" t="inlineStr">
        <is>
          <t>K4-2A</t>
        </is>
      </c>
      <c r="D597" t="n">
        <v>7.32</v>
      </c>
      <c r="E597" t="n">
        <v>6.405</v>
      </c>
      <c r="F597" t="n">
        <v>2164.142</v>
      </c>
      <c r="G597" t="n">
        <v>104</v>
      </c>
      <c r="H597">
        <f>E597/F597</f>
        <v/>
      </c>
      <c r="I597">
        <f>((H597-$J$576)/$I$576)</f>
        <v/>
      </c>
      <c r="J597">
        <f>(I597-IF(I584&gt;0,I584,0))</f>
        <v/>
      </c>
      <c r="K597">
        <f>J597/R582*1.1</f>
        <v/>
      </c>
      <c r="L597">
        <f>AVERAGE(K597:K599)</f>
        <v/>
      </c>
      <c r="M597">
        <f>STDEV(K597:K599)</f>
        <v/>
      </c>
      <c r="N597">
        <f>_xlfn.CONCAT(ROUND(L597,1)," ± ",ROUND(M597,1))</f>
        <v/>
      </c>
      <c r="Q597" t="inlineStr">
        <is>
          <t>K3-3A</t>
        </is>
      </c>
      <c r="R597" t="n">
        <v>1.1183</v>
      </c>
    </row>
    <row r="598">
      <c r="A598" t="n">
        <v>22</v>
      </c>
      <c r="B598" t="inlineStr">
        <is>
          <t>K4-2B</t>
        </is>
      </c>
      <c r="D598" t="n">
        <v>7.36</v>
      </c>
      <c r="E598" t="n">
        <v>1.904</v>
      </c>
      <c r="F598" t="n">
        <v>1849.896</v>
      </c>
      <c r="G598" t="n">
        <v>32</v>
      </c>
      <c r="H598">
        <f>E598/F598</f>
        <v/>
      </c>
      <c r="I598">
        <f>((H598-$J$576)/$I$576)</f>
        <v/>
      </c>
      <c r="J598">
        <f>(I598-IF(I584&gt;0,I584,0))</f>
        <v/>
      </c>
      <c r="K598">
        <f>J598/R583*1.1</f>
        <v/>
      </c>
      <c r="Q598" t="inlineStr">
        <is>
          <t>K3-3B</t>
        </is>
      </c>
      <c r="R598" t="n">
        <v>1.1448</v>
      </c>
    </row>
    <row r="599">
      <c r="A599" t="n">
        <v>23</v>
      </c>
      <c r="B599" t="inlineStr">
        <is>
          <t>K4-2C</t>
        </is>
      </c>
      <c r="D599" t="n">
        <v>7.33</v>
      </c>
      <c r="E599" t="n">
        <v>41.618</v>
      </c>
      <c r="F599" t="n">
        <v>1827.576</v>
      </c>
      <c r="G599" t="n">
        <v>5.376</v>
      </c>
      <c r="H599">
        <f>E599/F599</f>
        <v/>
      </c>
      <c r="I599">
        <f>((H599-$J$576)/$I$576)</f>
        <v/>
      </c>
      <c r="J599">
        <f>(I599-IF(I584&gt;0,I584,0))</f>
        <v/>
      </c>
      <c r="K599">
        <f>J599/R584*1.1</f>
        <v/>
      </c>
      <c r="L599" s="23" t="n"/>
      <c r="M599" s="23" t="n"/>
      <c r="N599" s="9" t="n"/>
      <c r="Q599" t="inlineStr">
        <is>
          <t>K3-3C</t>
        </is>
      </c>
      <c r="R599" t="n">
        <v>1.0493</v>
      </c>
    </row>
    <row r="600">
      <c r="A600" t="n">
        <v>24</v>
      </c>
      <c r="B600" t="inlineStr">
        <is>
          <t>MeOH</t>
        </is>
      </c>
      <c r="L600" s="23" t="inlineStr">
        <is>
          <t>Average</t>
        </is>
      </c>
      <c r="M600" s="23" t="inlineStr">
        <is>
          <t>Stdev</t>
        </is>
      </c>
      <c r="N600" s="9" t="inlineStr">
        <is>
          <t>Combined</t>
        </is>
      </c>
      <c r="Q600" t="inlineStr">
        <is>
          <t>K3-4A</t>
        </is>
      </c>
      <c r="R600" t="n">
        <v>1.0704</v>
      </c>
    </row>
    <row r="601">
      <c r="A601" t="n">
        <v>25</v>
      </c>
      <c r="B601" t="inlineStr">
        <is>
          <t>K4-4A</t>
        </is>
      </c>
      <c r="D601" t="n">
        <v>7.37</v>
      </c>
      <c r="E601" t="n">
        <v>2.236</v>
      </c>
      <c r="F601" t="n">
        <v>1810.147</v>
      </c>
      <c r="G601" t="n">
        <v>21</v>
      </c>
      <c r="H601">
        <f>E601/F601</f>
        <v/>
      </c>
      <c r="I601">
        <f>((H601-$J$576)/$I$576)</f>
        <v/>
      </c>
      <c r="J601">
        <f>(I601-IF(I584&gt;0,I584,0))</f>
        <v/>
      </c>
      <c r="K601">
        <f>J601/R585*1.1</f>
        <v/>
      </c>
      <c r="L601">
        <f>AVERAGE(K601:K603)</f>
        <v/>
      </c>
      <c r="M601">
        <f>STDEV(K602:K603)</f>
        <v/>
      </c>
      <c r="N601">
        <f>_xlfn.CONCAT(ROUND(L601,1)," ± ",ROUND(M601,1))</f>
        <v/>
      </c>
      <c r="Q601" t="inlineStr">
        <is>
          <t>K3-4B</t>
        </is>
      </c>
      <c r="R601" t="n">
        <v>1.1589</v>
      </c>
    </row>
    <row r="602">
      <c r="A602" t="n">
        <v>26</v>
      </c>
      <c r="B602" t="inlineStr">
        <is>
          <t>K4-4B</t>
        </is>
      </c>
      <c r="D602" t="n">
        <v>7.33</v>
      </c>
      <c r="E602" t="n">
        <v>27.223</v>
      </c>
      <c r="F602" t="n">
        <v>1728.778</v>
      </c>
      <c r="G602" t="n">
        <v>397</v>
      </c>
      <c r="H602">
        <f>E602/F602</f>
        <v/>
      </c>
      <c r="I602">
        <f>((H602-$J$576)/$I$576)</f>
        <v/>
      </c>
      <c r="J602">
        <f>(I602-IF(I584&gt;0,I584,0))</f>
        <v/>
      </c>
      <c r="K602">
        <f>J602/R586*1.1</f>
        <v/>
      </c>
      <c r="Q602" t="inlineStr">
        <is>
          <t>K3-4C</t>
        </is>
      </c>
      <c r="R602" t="n">
        <v>1.0206</v>
      </c>
    </row>
    <row r="603">
      <c r="A603" t="n">
        <v>27</v>
      </c>
      <c r="B603" t="inlineStr">
        <is>
          <t>K4-4C</t>
        </is>
      </c>
      <c r="D603" t="n">
        <v>7.36</v>
      </c>
      <c r="E603" t="n">
        <v>0.794</v>
      </c>
      <c r="F603" t="n">
        <v>1776.496</v>
      </c>
      <c r="G603" t="n">
        <v>13</v>
      </c>
      <c r="H603">
        <f>E603/F603</f>
        <v/>
      </c>
      <c r="I603">
        <f>((H603-$J$576)/$I$576)</f>
        <v/>
      </c>
      <c r="J603">
        <f>(I603-IF(I584&gt;0,I584,0))</f>
        <v/>
      </c>
      <c r="K603">
        <f>J603/R587*1.1</f>
        <v/>
      </c>
      <c r="L603" s="23" t="inlineStr">
        <is>
          <t>Average</t>
        </is>
      </c>
      <c r="M603" s="23" t="inlineStr">
        <is>
          <t>Stdev</t>
        </is>
      </c>
      <c r="N603" s="9" t="inlineStr">
        <is>
          <t>Combined</t>
        </is>
      </c>
      <c r="Q603" t="inlineStr">
        <is>
          <t>K3-6A</t>
        </is>
      </c>
      <c r="R603" t="n">
        <v>1.1289</v>
      </c>
    </row>
    <row r="604">
      <c r="A604" t="n">
        <v>28</v>
      </c>
      <c r="B604" t="inlineStr">
        <is>
          <t>K4-5A</t>
        </is>
      </c>
      <c r="D604" t="n">
        <v>7.34</v>
      </c>
      <c r="E604" t="n">
        <v>20.639</v>
      </c>
      <c r="F604" t="n">
        <v>1605.44</v>
      </c>
      <c r="G604" t="n">
        <v>241</v>
      </c>
      <c r="H604">
        <f>E604/F604</f>
        <v/>
      </c>
      <c r="I604">
        <f>((H604-$J$576)/$I$576)</f>
        <v/>
      </c>
      <c r="J604">
        <f>(I604-IF(I584&gt;0,I584,0))</f>
        <v/>
      </c>
      <c r="K604">
        <f>J604/R588*1.1</f>
        <v/>
      </c>
      <c r="L604">
        <f>AVERAGE(K604:K606)</f>
        <v/>
      </c>
      <c r="M604">
        <f>STDEV(K604:K606)</f>
        <v/>
      </c>
      <c r="N604">
        <f>_xlfn.CONCAT(ROUND(L604,1)," ± ",ROUND(M604,1))</f>
        <v/>
      </c>
      <c r="Q604" t="inlineStr">
        <is>
          <t>K3-6B</t>
        </is>
      </c>
      <c r="R604" t="n">
        <v>1.195</v>
      </c>
    </row>
    <row r="605">
      <c r="A605" t="n">
        <v>29</v>
      </c>
      <c r="B605" t="inlineStr">
        <is>
          <t>K4-5B</t>
        </is>
      </c>
      <c r="F605" t="n">
        <v>1316.682</v>
      </c>
      <c r="H605">
        <f>E605/F605</f>
        <v/>
      </c>
      <c r="I605">
        <f>((H605-$J$576)/$I$576)</f>
        <v/>
      </c>
      <c r="J605">
        <f>(I605-IF(I584&gt;0,I584,0))</f>
        <v/>
      </c>
      <c r="K605">
        <f>J605/R589*1.1</f>
        <v/>
      </c>
      <c r="Q605" t="inlineStr">
        <is>
          <t>K3-6C</t>
        </is>
      </c>
      <c r="R605" t="n">
        <v>1.1716</v>
      </c>
    </row>
    <row r="606">
      <c r="A606" t="n">
        <v>30</v>
      </c>
      <c r="B606" t="inlineStr">
        <is>
          <t>K4-5C</t>
        </is>
      </c>
      <c r="D606" t="n">
        <v>7.37</v>
      </c>
      <c r="E606" t="n">
        <v>0.511</v>
      </c>
      <c r="F606" t="n">
        <v>1805.932</v>
      </c>
      <c r="G606" t="n">
        <v>9</v>
      </c>
      <c r="H606">
        <f>E606/F606</f>
        <v/>
      </c>
      <c r="I606">
        <f>((H606-$J$576)/$I$576)</f>
        <v/>
      </c>
      <c r="J606">
        <f>(I606-IF(I584&gt;0,I584,0))</f>
        <v/>
      </c>
      <c r="K606">
        <f>J606/R590*1.1</f>
        <v/>
      </c>
      <c r="L606" s="23" t="n"/>
      <c r="M606" s="23" t="n"/>
      <c r="N606" s="9" t="n"/>
    </row>
    <row r="607">
      <c r="A607" t="n">
        <v>31</v>
      </c>
      <c r="B607" t="inlineStr">
        <is>
          <t>MeOH</t>
        </is>
      </c>
      <c r="L607" s="23" t="inlineStr">
        <is>
          <t>Average</t>
        </is>
      </c>
      <c r="M607" s="23" t="inlineStr">
        <is>
          <t>Stdev</t>
        </is>
      </c>
      <c r="N607" s="9" t="inlineStr">
        <is>
          <t>Combined</t>
        </is>
      </c>
    </row>
    <row r="608">
      <c r="A608" t="n">
        <v>32</v>
      </c>
      <c r="B608" t="inlineStr">
        <is>
          <t>K3-1A</t>
        </is>
      </c>
      <c r="D608" t="n">
        <v>7.45</v>
      </c>
      <c r="E608" t="n">
        <v>4.384</v>
      </c>
      <c r="F608" t="n">
        <v>1827.855</v>
      </c>
      <c r="G608" t="n">
        <v>74</v>
      </c>
      <c r="H608">
        <f>E608/F608</f>
        <v/>
      </c>
      <c r="I608">
        <f>((H608-$J$576)/$I$576)</f>
        <v/>
      </c>
      <c r="J608">
        <f>(I608-IF(I584&gt;0,I584,0))</f>
        <v/>
      </c>
      <c r="K608">
        <f>J608/R591*1.1</f>
        <v/>
      </c>
      <c r="L608">
        <f>AVERAGE(K608:K610)</f>
        <v/>
      </c>
      <c r="M608">
        <f>STDEV(K609:K610)</f>
        <v/>
      </c>
      <c r="N608">
        <f>_xlfn.CONCAT(ROUND(L608,1)," ± ",ROUND(M608,1))</f>
        <v/>
      </c>
    </row>
    <row r="609">
      <c r="A609" t="n">
        <v>33</v>
      </c>
      <c r="B609" t="inlineStr">
        <is>
          <t>K3-1B</t>
        </is>
      </c>
      <c r="D609" t="n">
        <v>7.07</v>
      </c>
      <c r="E609" t="n">
        <v>33.71</v>
      </c>
      <c r="F609" t="n">
        <v>1472.714</v>
      </c>
      <c r="G609" t="n">
        <v>57.896</v>
      </c>
      <c r="H609">
        <f>E609/F609</f>
        <v/>
      </c>
      <c r="I609">
        <f>((H609-$J$576)/$I$576)</f>
        <v/>
      </c>
      <c r="J609">
        <f>(I609-IF(I584&gt;0,I584,0))</f>
        <v/>
      </c>
      <c r="K609">
        <f>J609/R592*1.1</f>
        <v/>
      </c>
    </row>
    <row r="610">
      <c r="A610" t="n">
        <v>34</v>
      </c>
      <c r="B610" t="inlineStr">
        <is>
          <t>K3-1C</t>
        </is>
      </c>
      <c r="D610" t="n">
        <v>7.14</v>
      </c>
      <c r="E610" t="n">
        <v>56.618</v>
      </c>
      <c r="F610" t="n">
        <v>2054.888</v>
      </c>
      <c r="G610" t="n">
        <v>7.272</v>
      </c>
      <c r="H610">
        <f>E610/F610</f>
        <v/>
      </c>
      <c r="I610">
        <f>((H610-$J$576)/$I$576)</f>
        <v/>
      </c>
      <c r="J610">
        <f>(I610-IF(I584&gt;0,I584,0))</f>
        <v/>
      </c>
      <c r="K610">
        <f>J610/R593*1.1</f>
        <v/>
      </c>
      <c r="L610" s="23" t="inlineStr">
        <is>
          <t>Average</t>
        </is>
      </c>
      <c r="M610" s="23" t="inlineStr">
        <is>
          <t>Stdev</t>
        </is>
      </c>
      <c r="N610" s="9" t="inlineStr">
        <is>
          <t>Combined</t>
        </is>
      </c>
    </row>
    <row r="611">
      <c r="A611" t="n">
        <v>35</v>
      </c>
      <c r="B611" t="inlineStr">
        <is>
          <t>K3-2A</t>
        </is>
      </c>
      <c r="D611" t="n">
        <v>7.18</v>
      </c>
      <c r="E611" t="n">
        <v>75.35299999999999</v>
      </c>
      <c r="F611" t="n">
        <v>1852.851</v>
      </c>
      <c r="G611" t="n">
        <v>8.252000000000001</v>
      </c>
      <c r="H611">
        <f>E611/F611</f>
        <v/>
      </c>
      <c r="I611">
        <f>((H611-$J$576)/$I$576)</f>
        <v/>
      </c>
      <c r="J611">
        <f>(I611-IF(I584&gt;0,I584,0))</f>
        <v/>
      </c>
      <c r="K611">
        <f>J611/R594*1.1</f>
        <v/>
      </c>
      <c r="L611">
        <f>AVERAGE(K611:K613)</f>
        <v/>
      </c>
      <c r="M611">
        <f>STDEV(K611:K613)</f>
        <v/>
      </c>
      <c r="N611">
        <f>_xlfn.CONCAT(ROUND(L611,1)," ± ",ROUND(M611,1))</f>
        <v/>
      </c>
    </row>
    <row r="612">
      <c r="A612" t="n">
        <v>36</v>
      </c>
      <c r="B612" t="inlineStr">
        <is>
          <t>K3-2B</t>
        </is>
      </c>
      <c r="D612" t="n">
        <v>7.17</v>
      </c>
      <c r="E612" t="n">
        <v>31.588</v>
      </c>
      <c r="F612" t="n">
        <v>2266.61</v>
      </c>
      <c r="G612" t="n">
        <v>5.516</v>
      </c>
      <c r="H612">
        <f>E612/F612</f>
        <v/>
      </c>
      <c r="I612">
        <f>((H612-$J$576)/$I$576)</f>
        <v/>
      </c>
      <c r="J612">
        <f>(I612-IF(I584&gt;0,I584,0))</f>
        <v/>
      </c>
      <c r="K612">
        <f>J612/R595*1.1</f>
        <v/>
      </c>
    </row>
    <row r="613">
      <c r="A613" t="n">
        <v>37</v>
      </c>
      <c r="B613" t="inlineStr">
        <is>
          <t>K3-2C</t>
        </is>
      </c>
      <c r="D613" t="n">
        <v>7.19</v>
      </c>
      <c r="E613" t="n">
        <v>81.03</v>
      </c>
      <c r="F613" t="n">
        <v>2232.974</v>
      </c>
      <c r="G613" t="n">
        <v>3.179</v>
      </c>
      <c r="H613">
        <f>E613/F613</f>
        <v/>
      </c>
      <c r="I613">
        <f>((H613-$J$576)/$I$576)</f>
        <v/>
      </c>
      <c r="J613">
        <f>(I613-IF(I584&gt;0,I584,0))</f>
        <v/>
      </c>
      <c r="K613">
        <f>J613/R596*1.1</f>
        <v/>
      </c>
      <c r="L613" s="23" t="n"/>
      <c r="M613" s="23" t="n"/>
      <c r="N613" s="9" t="n"/>
    </row>
    <row r="614">
      <c r="A614" t="n">
        <v>38</v>
      </c>
      <c r="B614" t="inlineStr">
        <is>
          <t>MeOH</t>
        </is>
      </c>
      <c r="L614" s="23" t="inlineStr">
        <is>
          <t>Average</t>
        </is>
      </c>
      <c r="M614" s="23" t="inlineStr">
        <is>
          <t>Stdev</t>
        </is>
      </c>
      <c r="N614" s="9" t="inlineStr">
        <is>
          <t>Combined</t>
        </is>
      </c>
    </row>
    <row r="615">
      <c r="A615" t="n">
        <v>39</v>
      </c>
      <c r="B615" t="inlineStr">
        <is>
          <t>K3-3A</t>
        </is>
      </c>
      <c r="D615" t="n">
        <v>7.2</v>
      </c>
      <c r="E615" t="n">
        <v>64.833</v>
      </c>
      <c r="F615" t="n">
        <v>2247.504</v>
      </c>
      <c r="G615" t="n">
        <v>3.329</v>
      </c>
      <c r="H615">
        <f>E615/F615</f>
        <v/>
      </c>
      <c r="I615">
        <f>((H615-$J$576)/$I$576)</f>
        <v/>
      </c>
      <c r="J615">
        <f>(I615-IF(I584&gt;0,I584,0))</f>
        <v/>
      </c>
      <c r="K615">
        <f>J615/R597*1.1</f>
        <v/>
      </c>
      <c r="L615">
        <f>AVERAGE(K615:K617)</f>
        <v/>
      </c>
      <c r="M615">
        <f>STDEV(K616:K617)</f>
        <v/>
      </c>
      <c r="N615">
        <f>_xlfn.CONCAT(ROUND(L615,1)," ± ",ROUND(M615,1))</f>
        <v/>
      </c>
    </row>
    <row r="616">
      <c r="A616" t="n">
        <v>40</v>
      </c>
      <c r="B616" t="inlineStr">
        <is>
          <t>K3-3B</t>
        </is>
      </c>
      <c r="D616" t="n">
        <v>7.22</v>
      </c>
      <c r="E616" t="n">
        <v>181.909</v>
      </c>
      <c r="F616" t="n">
        <v>2836.518</v>
      </c>
      <c r="G616" t="n">
        <v>2212</v>
      </c>
      <c r="H616">
        <f>E616/F616</f>
        <v/>
      </c>
      <c r="I616">
        <f>((H616-$J$576)/$I$576)</f>
        <v/>
      </c>
      <c r="J616">
        <f>(I616-IF(I584&gt;0,I584,0))</f>
        <v/>
      </c>
      <c r="K616">
        <f>J616/R598*1.1</f>
        <v/>
      </c>
    </row>
    <row r="617">
      <c r="A617" t="n">
        <v>41</v>
      </c>
      <c r="B617" t="inlineStr">
        <is>
          <t>K3-3C</t>
        </is>
      </c>
      <c r="D617" t="n">
        <v>7.23</v>
      </c>
      <c r="E617" t="n">
        <v>83.471</v>
      </c>
      <c r="F617" t="n">
        <v>2784.536</v>
      </c>
      <c r="G617" t="n">
        <v>15.019</v>
      </c>
      <c r="H617">
        <f>E617/F617</f>
        <v/>
      </c>
      <c r="I617">
        <f>((H617-$J$576)/$I$576)</f>
        <v/>
      </c>
      <c r="J617">
        <f>(I617-IF(I584&gt;0,I584,0))</f>
        <v/>
      </c>
      <c r="K617">
        <f>J617/R599*1.1</f>
        <v/>
      </c>
      <c r="L617" s="23" t="inlineStr">
        <is>
          <t>Average</t>
        </is>
      </c>
      <c r="M617" s="23" t="inlineStr">
        <is>
          <t>Stdev</t>
        </is>
      </c>
      <c r="N617" s="9" t="inlineStr">
        <is>
          <t>Combined</t>
        </is>
      </c>
    </row>
    <row r="618">
      <c r="A618" t="n">
        <v>42</v>
      </c>
      <c r="B618" t="inlineStr">
        <is>
          <t>K3-4A</t>
        </is>
      </c>
      <c r="D618" t="n">
        <v>7.28</v>
      </c>
      <c r="E618" t="n">
        <v>127.556</v>
      </c>
      <c r="F618" t="n">
        <v>3315.61</v>
      </c>
      <c r="G618" t="n">
        <v>9.928000000000001</v>
      </c>
      <c r="H618">
        <f>E618/F618</f>
        <v/>
      </c>
      <c r="I618">
        <f>((H618-$J$576)/$I$576)</f>
        <v/>
      </c>
      <c r="J618">
        <f>(I618-IF(I584&gt;0,I584,0))</f>
        <v/>
      </c>
      <c r="K618">
        <f>J618/R600*1.1</f>
        <v/>
      </c>
      <c r="L618">
        <f>AVERAGE(K618:K620)</f>
        <v/>
      </c>
      <c r="M618">
        <f>STDEV(K618:K620)</f>
        <v/>
      </c>
      <c r="N618">
        <f>_xlfn.CONCAT(ROUND(L618,1)," ± ",ROUND(M618,1))</f>
        <v/>
      </c>
    </row>
    <row r="619">
      <c r="A619" t="n">
        <v>43</v>
      </c>
      <c r="B619" t="inlineStr">
        <is>
          <t>K3-4B</t>
        </is>
      </c>
      <c r="D619" t="n">
        <v>7.29</v>
      </c>
      <c r="E619" t="n">
        <v>66.36</v>
      </c>
      <c r="F619" t="n">
        <v>2719.03</v>
      </c>
      <c r="G619" t="n">
        <v>28.18</v>
      </c>
      <c r="H619">
        <f>E619/F619</f>
        <v/>
      </c>
      <c r="I619">
        <f>((H619-$J$576)/$I$576)</f>
        <v/>
      </c>
      <c r="J619">
        <f>(I619-IF(I584&gt;0,I584,0))</f>
        <v/>
      </c>
      <c r="K619">
        <f>J619/R601*1.1</f>
        <v/>
      </c>
    </row>
    <row r="620">
      <c r="A620" t="n">
        <v>44</v>
      </c>
      <c r="B620" t="inlineStr">
        <is>
          <t>K3-4C</t>
        </is>
      </c>
      <c r="D620" t="n">
        <v>7.3</v>
      </c>
      <c r="E620" t="n">
        <v>88.956</v>
      </c>
      <c r="F620" t="n">
        <v>3532.196</v>
      </c>
      <c r="G620" t="n">
        <v>1039</v>
      </c>
      <c r="H620">
        <f>E620/F620</f>
        <v/>
      </c>
      <c r="I620">
        <f>((H620-$J$576)/$I$576)</f>
        <v/>
      </c>
      <c r="J620">
        <f>(I620-IF(I584&gt;0,I584,0))</f>
        <v/>
      </c>
      <c r="K620">
        <f>J620/R602*1.1</f>
        <v/>
      </c>
      <c r="L620" s="23" t="n"/>
      <c r="M620" s="23" t="n"/>
      <c r="N620" s="9" t="n"/>
    </row>
    <row r="621">
      <c r="A621" t="n">
        <v>45</v>
      </c>
      <c r="B621" t="inlineStr">
        <is>
          <t>MeOH</t>
        </is>
      </c>
      <c r="L621" s="23" t="inlineStr">
        <is>
          <t>Average</t>
        </is>
      </c>
      <c r="M621" s="23" t="inlineStr">
        <is>
          <t>Stdev</t>
        </is>
      </c>
      <c r="N621" s="9" t="inlineStr">
        <is>
          <t>Combined</t>
        </is>
      </c>
    </row>
    <row r="622">
      <c r="A622" t="n">
        <v>46</v>
      </c>
      <c r="B622" t="inlineStr">
        <is>
          <t>K3-6A</t>
        </is>
      </c>
      <c r="D622" t="n">
        <v>7.39</v>
      </c>
      <c r="E622" t="n">
        <v>46.844</v>
      </c>
      <c r="F622" t="n">
        <v>3285.244</v>
      </c>
      <c r="G622" t="n">
        <v>24.411</v>
      </c>
      <c r="H622">
        <f>E622/F622</f>
        <v/>
      </c>
      <c r="I622">
        <f>((H622-$J$576)/$I$576)</f>
        <v/>
      </c>
      <c r="J622">
        <f>(I622-IF(I584&gt;0,I584,0))</f>
        <v/>
      </c>
      <c r="K622">
        <f>J622/R603*1.1</f>
        <v/>
      </c>
      <c r="L622">
        <f>AVERAGE(K622:K624)</f>
        <v/>
      </c>
      <c r="M622">
        <f>STDEV(K623:K624)</f>
        <v/>
      </c>
      <c r="N622">
        <f>_xlfn.CONCAT(ROUND(L622,1)," ± ",ROUND(M622,1))</f>
        <v/>
      </c>
    </row>
    <row r="623">
      <c r="A623" t="n">
        <v>47</v>
      </c>
      <c r="B623" t="inlineStr">
        <is>
          <t>K3-6B</t>
        </is>
      </c>
      <c r="D623" t="n">
        <v>7.32</v>
      </c>
      <c r="E623" t="n">
        <v>50.013</v>
      </c>
      <c r="F623" t="n">
        <v>2954.052</v>
      </c>
      <c r="G623" t="n">
        <v>638</v>
      </c>
      <c r="H623">
        <f>E623/F623</f>
        <v/>
      </c>
      <c r="I623">
        <f>((H623-$J$576)/$I$576)</f>
        <v/>
      </c>
      <c r="J623">
        <f>(I623-IF(I584&gt;0,I584,0))</f>
        <v/>
      </c>
      <c r="K623">
        <f>J623/R604*1.1</f>
        <v/>
      </c>
    </row>
    <row r="624">
      <c r="A624" t="n">
        <v>48</v>
      </c>
      <c r="B624" t="inlineStr">
        <is>
          <t>K3-6C</t>
        </is>
      </c>
      <c r="D624" t="n">
        <v>7.31</v>
      </c>
      <c r="E624" t="n">
        <v>158.738</v>
      </c>
      <c r="F624" t="n">
        <v>3194.859</v>
      </c>
      <c r="G624" t="n">
        <v>12.846</v>
      </c>
      <c r="H624">
        <f>E624/F624</f>
        <v/>
      </c>
      <c r="I624">
        <f>((H624-$J$576)/$I$576)</f>
        <v/>
      </c>
      <c r="J624">
        <f>(I624-IF(I584&gt;0,I584,0))</f>
        <v/>
      </c>
      <c r="K624">
        <f>J624/R605*1.1</f>
        <v/>
      </c>
      <c r="L624" s="23" t="n"/>
      <c r="M624" s="23" t="n"/>
      <c r="N624" s="9" t="n"/>
    </row>
    <row r="626">
      <c r="A626" s="15" t="inlineStr">
        <is>
          <t>Compound 20:  PFHxA 1</t>
        </is>
      </c>
      <c r="B626" s="15" t="n"/>
    </row>
    <row r="627">
      <c r="I627" t="inlineStr">
        <is>
          <t>LINEST</t>
        </is>
      </c>
      <c r="Q627" t="inlineStr">
        <is>
          <t>Biosolids Masses</t>
        </is>
      </c>
      <c r="R627" t="inlineStr">
        <is>
          <t>(g)</t>
        </is>
      </c>
    </row>
    <row r="628">
      <c r="B628" t="inlineStr">
        <is>
          <t>Sample Text</t>
        </is>
      </c>
      <c r="C628" t="inlineStr">
        <is>
          <t>Std. Conc</t>
        </is>
      </c>
      <c r="D628" t="inlineStr">
        <is>
          <t>RT</t>
        </is>
      </c>
      <c r="E628" t="inlineStr">
        <is>
          <t>Area</t>
        </is>
      </c>
      <c r="F628" t="inlineStr">
        <is>
          <t>IS Area</t>
        </is>
      </c>
      <c r="G628" t="inlineStr">
        <is>
          <t>S/N</t>
        </is>
      </c>
      <c r="H628" t="inlineStr">
        <is>
          <t>ratio</t>
        </is>
      </c>
      <c r="I628">
        <f t="array" ref="I628:J632">LINEST(H630:H635,C630:C635,1,1)</f>
        <v/>
      </c>
      <c r="J628" t="n">
        <v>0.06210592379896251</v>
      </c>
      <c r="L628" s="20" t="inlineStr">
        <is>
          <t>By S/N Ratio</t>
        </is>
      </c>
      <c r="Q628" t="inlineStr">
        <is>
          <t>SS1</t>
        </is>
      </c>
      <c r="R628" t="n">
        <v>1.0846</v>
      </c>
    </row>
    <row r="629">
      <c r="A629" t="n">
        <v>1</v>
      </c>
      <c r="B629" t="inlineStr">
        <is>
          <t>EPA1633 &amp; diPAPs Calibration 0 ppb</t>
        </is>
      </c>
      <c r="C629" t="n">
        <v>0</v>
      </c>
      <c r="D629" t="n">
        <v>8.699999999999999</v>
      </c>
      <c r="E629" t="n">
        <v>57.37</v>
      </c>
      <c r="F629" t="n">
        <v>2771.78</v>
      </c>
      <c r="G629" t="n">
        <v>2.227</v>
      </c>
      <c r="H629">
        <f>E629/F629</f>
        <v/>
      </c>
      <c r="I629" t="n">
        <v>0.002272871376763153</v>
      </c>
      <c r="J629" t="n">
        <v>0.01042264568233424</v>
      </c>
      <c r="K629" t="inlineStr">
        <is>
          <t>LOD</t>
        </is>
      </c>
      <c r="L629" s="21">
        <f>IF(G632&gt;3,C632,IF(G633&gt;3,C633,IF(G634&gt;3,C634,IF(G635&gt;3,C635,C636))))</f>
        <v/>
      </c>
      <c r="Q629" t="inlineStr">
        <is>
          <t>SS2</t>
        </is>
      </c>
      <c r="R629" t="n">
        <v>1.0726</v>
      </c>
    </row>
    <row r="630">
      <c r="A630" t="n">
        <v>2</v>
      </c>
      <c r="B630" t="inlineStr">
        <is>
          <t>EPA1633 &amp; diPAPs Calibration 0.02 ppb</t>
        </is>
      </c>
      <c r="C630" t="n">
        <v>0.02</v>
      </c>
      <c r="D630" t="n">
        <v>8.84</v>
      </c>
      <c r="E630" t="n">
        <v>184.751</v>
      </c>
      <c r="F630" t="n">
        <v>2613.678</v>
      </c>
      <c r="G630" t="n">
        <v>4.832</v>
      </c>
      <c r="H630">
        <f>E630/F630</f>
        <v/>
      </c>
      <c r="I630" t="n">
        <v>0.9992792575508178</v>
      </c>
      <c r="J630" t="n">
        <v>0.02041607056826697</v>
      </c>
      <c r="K630" t="inlineStr">
        <is>
          <t>LOQ</t>
        </is>
      </c>
      <c r="L630" s="22">
        <f>IF(G632&gt;10,C632,IF(G633&gt;10,C633,IF(G634&gt;10,C634,IF(G635&gt;10,C635,C636))))</f>
        <v/>
      </c>
      <c r="Q630" t="inlineStr">
        <is>
          <t>SS3</t>
        </is>
      </c>
      <c r="R630" t="n">
        <v>1.1534</v>
      </c>
    </row>
    <row r="631">
      <c r="A631" t="n">
        <v>3</v>
      </c>
      <c r="B631" t="inlineStr">
        <is>
          <t>EPA1633 &amp; diPAPs Calibration 0.1 ppb</t>
        </is>
      </c>
      <c r="C631" t="n">
        <v>0.1</v>
      </c>
      <c r="D631" t="n">
        <v>8.890000000000001</v>
      </c>
      <c r="E631" t="n">
        <v>209.153</v>
      </c>
      <c r="F631" t="n">
        <v>2704.411</v>
      </c>
      <c r="G631" t="n">
        <v>4.641</v>
      </c>
      <c r="H631">
        <f>E631/F631</f>
        <v/>
      </c>
      <c r="I631" t="n">
        <v>5545.832682310738</v>
      </c>
      <c r="J631" t="n">
        <v>4</v>
      </c>
      <c r="Q631" t="inlineStr">
        <is>
          <t>K4-1A</t>
        </is>
      </c>
      <c r="R631" t="n">
        <v>1.0267</v>
      </c>
    </row>
    <row r="632">
      <c r="A632" t="n">
        <v>4</v>
      </c>
      <c r="B632" t="inlineStr">
        <is>
          <t>EPA1633 &amp; diPAPs Calibration 0.4 ppb</t>
        </is>
      </c>
      <c r="C632" t="n">
        <v>0.4</v>
      </c>
      <c r="D632" t="n">
        <v>8.890000000000001</v>
      </c>
      <c r="E632" t="n">
        <v>313.414</v>
      </c>
      <c r="F632" t="n">
        <v>2633.712</v>
      </c>
      <c r="G632" t="n">
        <v>5.698</v>
      </c>
      <c r="H632">
        <f>E632/F632</f>
        <v/>
      </c>
      <c r="I632" t="n">
        <v>2.31159144840964</v>
      </c>
      <c r="J632" t="n">
        <v>0.001667263749793827</v>
      </c>
      <c r="Q632" t="inlineStr">
        <is>
          <t>K4-1B</t>
        </is>
      </c>
      <c r="R632" t="n">
        <v>1.1481</v>
      </c>
    </row>
    <row r="633">
      <c r="A633" t="n">
        <v>5</v>
      </c>
      <c r="B633" t="inlineStr">
        <is>
          <t>EPA1633 &amp; diPAPs Calibration 1 ppb</t>
        </is>
      </c>
      <c r="C633" t="n">
        <v>1</v>
      </c>
      <c r="D633" t="n">
        <v>8.92</v>
      </c>
      <c r="E633" t="n">
        <v>713.114</v>
      </c>
      <c r="F633" t="n">
        <v>2798.003</v>
      </c>
      <c r="G633" t="n">
        <v>25.57</v>
      </c>
      <c r="H633">
        <f>E633/F633</f>
        <v/>
      </c>
      <c r="Q633" t="inlineStr">
        <is>
          <t>K4-1C</t>
        </is>
      </c>
      <c r="R633" t="n">
        <v>1.0402</v>
      </c>
    </row>
    <row r="634">
      <c r="A634" t="n">
        <v>6</v>
      </c>
      <c r="B634" t="inlineStr">
        <is>
          <t>EPA1633 &amp; diPAPs Calibration 5 ppb</t>
        </is>
      </c>
      <c r="C634" t="n">
        <v>5</v>
      </c>
      <c r="D634" t="n">
        <v>8.75</v>
      </c>
      <c r="E634" t="n">
        <v>2031.749</v>
      </c>
      <c r="F634" t="n">
        <v>2309.18</v>
      </c>
      <c r="G634" t="n">
        <v>48.775</v>
      </c>
      <c r="H634">
        <f>E634/F634</f>
        <v/>
      </c>
      <c r="Q634" t="inlineStr">
        <is>
          <t>K4-2A</t>
        </is>
      </c>
      <c r="R634" t="n">
        <v>1.127</v>
      </c>
    </row>
    <row r="635">
      <c r="A635" t="n">
        <v>7</v>
      </c>
      <c r="B635" t="inlineStr">
        <is>
          <t>EPA1633 &amp; diPAPs Calibration 10 ppb</t>
        </is>
      </c>
      <c r="C635" t="n">
        <v>10</v>
      </c>
      <c r="D635" t="n">
        <v>8.81</v>
      </c>
      <c r="E635" t="n">
        <v>3662.842</v>
      </c>
      <c r="F635" t="n">
        <v>2072.812</v>
      </c>
      <c r="G635" t="n">
        <v>102.616</v>
      </c>
      <c r="H635">
        <f>E635/F635</f>
        <v/>
      </c>
      <c r="I635" s="23" t="inlineStr">
        <is>
          <t>Background</t>
        </is>
      </c>
      <c r="J635" s="23" t="inlineStr">
        <is>
          <t>Spike</t>
        </is>
      </c>
      <c r="K635" s="9" t="inlineStr">
        <is>
          <t>Old Spike</t>
        </is>
      </c>
      <c r="O635" s="24" t="inlineStr">
        <is>
          <t>±</t>
        </is>
      </c>
      <c r="Q635" t="inlineStr">
        <is>
          <t>K4-2B</t>
        </is>
      </c>
      <c r="R635" t="n">
        <v>1.1154</v>
      </c>
    </row>
    <row r="636">
      <c r="A636" t="n">
        <v>8</v>
      </c>
      <c r="B636" t="inlineStr">
        <is>
          <t>EPA1633 &amp; diPAPs Calibration 20 ppb</t>
        </is>
      </c>
      <c r="C636" t="n">
        <v>20</v>
      </c>
      <c r="D636" t="n">
        <v>8.859999999999999</v>
      </c>
      <c r="E636" t="n">
        <v>6997.361</v>
      </c>
      <c r="F636" t="n">
        <v>1703.301</v>
      </c>
      <c r="G636" t="n">
        <v>138.42</v>
      </c>
      <c r="H636">
        <f>E636/F636</f>
        <v/>
      </c>
      <c r="I636">
        <f>AVERAGE(I639:I641)</f>
        <v/>
      </c>
      <c r="J636" t="n">
        <v>11</v>
      </c>
      <c r="Q636" t="inlineStr">
        <is>
          <t>K4-2C</t>
        </is>
      </c>
      <c r="R636" t="n">
        <v>1.1711</v>
      </c>
    </row>
    <row r="637">
      <c r="A637" t="n">
        <v>9</v>
      </c>
      <c r="B637" t="inlineStr">
        <is>
          <t>MeOH</t>
        </is>
      </c>
      <c r="D637" t="n">
        <v>8.56</v>
      </c>
      <c r="E637" t="n">
        <v>45.933</v>
      </c>
      <c r="G637" t="n">
        <v>1.648</v>
      </c>
      <c r="I637" s="23" t="inlineStr">
        <is>
          <t>Conc.In Vial (ppb)</t>
        </is>
      </c>
      <c r="J637" s="9" t="inlineStr">
        <is>
          <t>Corr. Conc.(ppb)</t>
        </is>
      </c>
      <c r="K637" s="9" t="inlineStr">
        <is>
          <t>Conc. In soil (ng/g)</t>
        </is>
      </c>
      <c r="Q637" t="inlineStr">
        <is>
          <t>K4-4A</t>
        </is>
      </c>
      <c r="R637" t="n">
        <v>1.0932</v>
      </c>
    </row>
    <row r="638">
      <c r="A638" t="n">
        <v>10</v>
      </c>
      <c r="B638" t="inlineStr">
        <is>
          <t>MeOH</t>
        </is>
      </c>
      <c r="D638" t="n">
        <v>8.85</v>
      </c>
      <c r="E638" t="n">
        <v>79.866</v>
      </c>
      <c r="G638" t="n">
        <v>1.23</v>
      </c>
      <c r="L638" s="23" t="inlineStr">
        <is>
          <t>Average</t>
        </is>
      </c>
      <c r="M638" s="23" t="inlineStr">
        <is>
          <t>Stdev</t>
        </is>
      </c>
      <c r="N638" s="9" t="inlineStr">
        <is>
          <t>Combined</t>
        </is>
      </c>
      <c r="O638" s="9" t="n"/>
      <c r="P638" s="9" t="n"/>
      <c r="Q638" t="inlineStr">
        <is>
          <t>K4-4B</t>
        </is>
      </c>
      <c r="R638" t="n">
        <v>1.15</v>
      </c>
    </row>
    <row r="639">
      <c r="A639" t="n">
        <v>11</v>
      </c>
      <c r="B639" t="inlineStr">
        <is>
          <t>SB1</t>
        </is>
      </c>
      <c r="D639" t="n">
        <v>8.890000000000001</v>
      </c>
      <c r="E639" t="n">
        <v>206.395</v>
      </c>
      <c r="F639" t="n">
        <v>802.6180000000001</v>
      </c>
      <c r="G639" t="n">
        <v>4.565</v>
      </c>
      <c r="H639">
        <f>E639/F639</f>
        <v/>
      </c>
      <c r="I639">
        <f>((H639-$J$628)/$I$628)</f>
        <v/>
      </c>
      <c r="J639">
        <f>(I639-IF(I636&gt;0,I636,0))</f>
        <v/>
      </c>
      <c r="K639">
        <f>J639*1.1</f>
        <v/>
      </c>
      <c r="L639">
        <f>AVERAGE(K639:K641)</f>
        <v/>
      </c>
      <c r="M639">
        <f>STDEV(K640:K641)</f>
        <v/>
      </c>
      <c r="N639">
        <f>_xlfn.CONCAT(ROUND(L639,1)," ± ",ROUND(M639,1))</f>
        <v/>
      </c>
      <c r="Q639" t="inlineStr">
        <is>
          <t>K4-4C</t>
        </is>
      </c>
      <c r="R639" t="n">
        <v>1.0482</v>
      </c>
    </row>
    <row r="640">
      <c r="A640" t="n">
        <v>12</v>
      </c>
      <c r="B640" t="inlineStr">
        <is>
          <t>SB2</t>
        </is>
      </c>
      <c r="D640" t="n">
        <v>8.92</v>
      </c>
      <c r="E640" t="n">
        <v>121.725</v>
      </c>
      <c r="F640" t="n">
        <v>1039.268</v>
      </c>
      <c r="G640" t="n">
        <v>2.505</v>
      </c>
      <c r="H640">
        <f>E640/F640</f>
        <v/>
      </c>
      <c r="I640">
        <f>((H640-$J$628)/$I$628)</f>
        <v/>
      </c>
      <c r="J640">
        <f>(I640-IF(I636&gt;0,I636,0))</f>
        <v/>
      </c>
      <c r="K640">
        <f>J640*1.1</f>
        <v/>
      </c>
      <c r="Q640" t="inlineStr">
        <is>
          <t>K4-5A</t>
        </is>
      </c>
      <c r="R640" t="n">
        <v>1.1054</v>
      </c>
    </row>
    <row r="641">
      <c r="A641" t="n">
        <v>13</v>
      </c>
      <c r="B641" t="inlineStr">
        <is>
          <t>SB3</t>
        </is>
      </c>
      <c r="D641" t="n">
        <v>8.51</v>
      </c>
      <c r="E641" t="n">
        <v>111.954</v>
      </c>
      <c r="F641" t="n">
        <v>1005.736</v>
      </c>
      <c r="G641" t="n">
        <v>2.808</v>
      </c>
      <c r="H641">
        <f>E641/F641</f>
        <v/>
      </c>
      <c r="I641">
        <f>((H641-$J$628)/$I$628)</f>
        <v/>
      </c>
      <c r="J641">
        <f>(I641-IF(I636&gt;0,I636,0))</f>
        <v/>
      </c>
      <c r="K641" s="30">
        <f>J641*1.1</f>
        <v/>
      </c>
      <c r="L641" s="25" t="inlineStr">
        <is>
          <t>Average</t>
        </is>
      </c>
      <c r="M641" s="25" t="inlineStr">
        <is>
          <t>Stdev</t>
        </is>
      </c>
      <c r="N641" s="26" t="inlineStr">
        <is>
          <t>%Recovery</t>
        </is>
      </c>
      <c r="O641" s="26" t="inlineStr">
        <is>
          <t>Uncertainty</t>
        </is>
      </c>
      <c r="P641" s="26" t="inlineStr">
        <is>
          <t>Combined</t>
        </is>
      </c>
      <c r="Q641" t="inlineStr">
        <is>
          <t>K4-5B</t>
        </is>
      </c>
      <c r="R641" s="10" t="n">
        <v>1.0463</v>
      </c>
    </row>
    <row r="642">
      <c r="A642" t="n">
        <v>14</v>
      </c>
      <c r="B642" t="inlineStr">
        <is>
          <t>SS1</t>
        </is>
      </c>
      <c r="D642" t="n">
        <v>8.970000000000001</v>
      </c>
      <c r="E642" t="n">
        <v>1375.208</v>
      </c>
      <c r="F642" t="n">
        <v>860.02</v>
      </c>
      <c r="G642" t="n">
        <v>45.393</v>
      </c>
      <c r="H642">
        <f>E642/F642</f>
        <v/>
      </c>
      <c r="I642">
        <f>((H642-$J$628)/$I$628)</f>
        <v/>
      </c>
      <c r="J642">
        <f>(I642-IF(I636&gt;0,I636,0))</f>
        <v/>
      </c>
      <c r="K642">
        <f>J642/R628*1.1</f>
        <v/>
      </c>
      <c r="L642" s="27">
        <f>AVERAGE(K642:K644)</f>
        <v/>
      </c>
      <c r="M642" s="27">
        <f>STDEV(K642:K644)</f>
        <v/>
      </c>
      <c r="N642" s="28">
        <f>L642/J636*100</f>
        <v/>
      </c>
      <c r="O642" s="29">
        <f>M642/J639*100</f>
        <v/>
      </c>
      <c r="P642" s="29">
        <f>_xlfn.CONCAT(ROUND(N642,1)," ± ",ROUND(O642,1))</f>
        <v/>
      </c>
      <c r="Q642" t="inlineStr">
        <is>
          <t>K4-5C</t>
        </is>
      </c>
      <c r="R642" t="n">
        <v>1.1155</v>
      </c>
    </row>
    <row r="643">
      <c r="A643" t="n">
        <v>15</v>
      </c>
      <c r="B643" t="inlineStr">
        <is>
          <t>SS2</t>
        </is>
      </c>
      <c r="D643" t="n">
        <v>8.99</v>
      </c>
      <c r="E643" t="n">
        <v>1455.171</v>
      </c>
      <c r="F643" t="n">
        <v>1205.224</v>
      </c>
      <c r="G643" t="n">
        <v>45.096</v>
      </c>
      <c r="H643">
        <f>E643/F643</f>
        <v/>
      </c>
      <c r="I643">
        <f>((H643-$J$628)/$I$628)</f>
        <v/>
      </c>
      <c r="J643">
        <f>(I643-IF(I636&gt;0,I636,0))</f>
        <v/>
      </c>
      <c r="K643">
        <f>J643/R629*1.1</f>
        <v/>
      </c>
      <c r="Q643" t="inlineStr">
        <is>
          <t>K3-1A</t>
        </is>
      </c>
      <c r="R643" t="n">
        <v>1.0874</v>
      </c>
    </row>
    <row r="644">
      <c r="A644" t="n">
        <v>16</v>
      </c>
      <c r="B644" t="inlineStr">
        <is>
          <t>SS3</t>
        </is>
      </c>
      <c r="D644" t="n">
        <v>8.98</v>
      </c>
      <c r="E644" t="n">
        <v>1577.592</v>
      </c>
      <c r="F644" t="n">
        <v>953.783</v>
      </c>
      <c r="G644" t="n">
        <v>44.39</v>
      </c>
      <c r="H644">
        <f>E644/F644</f>
        <v/>
      </c>
      <c r="I644">
        <f>((H644-$J$628)/$I$628)</f>
        <v/>
      </c>
      <c r="J644">
        <f>(I644-IF(I636&gt;0,I636,0))</f>
        <v/>
      </c>
      <c r="K644" s="30">
        <f>J644/R630*1.1</f>
        <v/>
      </c>
      <c r="Q644" t="inlineStr">
        <is>
          <t>K3-1B</t>
        </is>
      </c>
      <c r="R644" t="n">
        <v>1.0898</v>
      </c>
    </row>
    <row r="645">
      <c r="A645" t="n">
        <v>17</v>
      </c>
      <c r="B645" t="inlineStr">
        <is>
          <t>MeOH</t>
        </is>
      </c>
      <c r="L645" s="23" t="inlineStr">
        <is>
          <t>Average</t>
        </is>
      </c>
      <c r="M645" s="23" t="inlineStr">
        <is>
          <t>Stdev</t>
        </is>
      </c>
      <c r="N645" s="9" t="inlineStr">
        <is>
          <t>Combined</t>
        </is>
      </c>
      <c r="Q645" t="inlineStr">
        <is>
          <t>K3-1C</t>
        </is>
      </c>
      <c r="R645" t="n">
        <v>1.0536</v>
      </c>
    </row>
    <row r="646">
      <c r="A646" t="n">
        <v>18</v>
      </c>
      <c r="B646" t="inlineStr">
        <is>
          <t>K4-1A</t>
        </is>
      </c>
      <c r="D646" t="n">
        <v>9.199999999999999</v>
      </c>
      <c r="E646" t="n">
        <v>86.755</v>
      </c>
      <c r="F646" t="n">
        <v>1575.246</v>
      </c>
      <c r="G646" t="n">
        <v>1.201</v>
      </c>
      <c r="H646">
        <f>E646/F646</f>
        <v/>
      </c>
      <c r="I646">
        <f>((H646-$J$628)/$I$628)</f>
        <v/>
      </c>
      <c r="J646">
        <f>(I646-IF(I636&gt;0,I636,0))</f>
        <v/>
      </c>
      <c r="K646">
        <f>J646/R631*1.1</f>
        <v/>
      </c>
      <c r="L646">
        <f>AVERAGE(K646:K648)</f>
        <v/>
      </c>
      <c r="M646">
        <f>STDEV(K647:K648)</f>
        <v/>
      </c>
      <c r="N646">
        <f>_xlfn.CONCAT(ROUND(L646,1)," ± ",ROUND(M646,1))</f>
        <v/>
      </c>
      <c r="Q646" t="inlineStr">
        <is>
          <t>K3-2A</t>
        </is>
      </c>
      <c r="R646" s="10" t="n">
        <v>1.1218</v>
      </c>
    </row>
    <row r="647">
      <c r="A647" t="n">
        <v>19</v>
      </c>
      <c r="B647" t="inlineStr">
        <is>
          <t>K4-1B</t>
        </is>
      </c>
      <c r="D647" t="n">
        <v>8.94</v>
      </c>
      <c r="E647" t="n">
        <v>106.088</v>
      </c>
      <c r="F647" t="n">
        <v>1550.869</v>
      </c>
      <c r="G647" t="n">
        <v>1.125</v>
      </c>
      <c r="H647">
        <f>E647/F647</f>
        <v/>
      </c>
      <c r="I647">
        <f>((H647-$J$628)/$I$628)</f>
        <v/>
      </c>
      <c r="J647">
        <f>(I647-IF(I636&gt;0,I636,0))</f>
        <v/>
      </c>
      <c r="K647">
        <f>J647/R632*1.1</f>
        <v/>
      </c>
      <c r="Q647" t="inlineStr">
        <is>
          <t>K3-2B</t>
        </is>
      </c>
      <c r="R647" t="n">
        <v>1.198</v>
      </c>
    </row>
    <row r="648">
      <c r="A648" t="n">
        <v>20</v>
      </c>
      <c r="B648" t="inlineStr">
        <is>
          <t>K4-1C</t>
        </is>
      </c>
      <c r="D648" t="n">
        <v>8.99</v>
      </c>
      <c r="E648" t="n">
        <v>164.052</v>
      </c>
      <c r="F648" t="n">
        <v>1163.846</v>
      </c>
      <c r="G648" t="n">
        <v>4.632</v>
      </c>
      <c r="H648">
        <f>E648/F648</f>
        <v/>
      </c>
      <c r="I648">
        <f>((H648-$J$628)/$I$628)</f>
        <v/>
      </c>
      <c r="J648">
        <f>(I648-IF(I636&gt;0,I636,0))</f>
        <v/>
      </c>
      <c r="K648">
        <f>J648/R633*1.1</f>
        <v/>
      </c>
      <c r="L648" s="23" t="inlineStr">
        <is>
          <t>Average</t>
        </is>
      </c>
      <c r="M648" s="23" t="inlineStr">
        <is>
          <t>Stdev</t>
        </is>
      </c>
      <c r="N648" s="9" t="inlineStr">
        <is>
          <t>Combined</t>
        </is>
      </c>
      <c r="Q648" t="inlineStr">
        <is>
          <t>K3-2C</t>
        </is>
      </c>
      <c r="R648" t="n">
        <v>1.1538</v>
      </c>
    </row>
    <row r="649">
      <c r="A649" t="n">
        <v>21</v>
      </c>
      <c r="B649" t="inlineStr">
        <is>
          <t>K4-2A</t>
        </is>
      </c>
      <c r="D649" t="n">
        <v>9</v>
      </c>
      <c r="E649" t="n">
        <v>201.887</v>
      </c>
      <c r="F649" t="n">
        <v>1084.067</v>
      </c>
      <c r="G649" t="n">
        <v>4.183</v>
      </c>
      <c r="H649">
        <f>E649/F649</f>
        <v/>
      </c>
      <c r="I649">
        <f>((H649-$J$628)/$I$628)</f>
        <v/>
      </c>
      <c r="J649">
        <f>(I649-IF(I636&gt;0,I636,0))</f>
        <v/>
      </c>
      <c r="K649">
        <f>J649/R634*1.1</f>
        <v/>
      </c>
      <c r="L649">
        <f>AVERAGE(K649:K651)</f>
        <v/>
      </c>
      <c r="M649">
        <f>STDEV(K649:K651)</f>
        <v/>
      </c>
      <c r="N649">
        <f>_xlfn.CONCAT(ROUND(L649,1)," ± ",ROUND(M649,1))</f>
        <v/>
      </c>
      <c r="Q649" t="inlineStr">
        <is>
          <t>K3-3A</t>
        </is>
      </c>
      <c r="R649" t="n">
        <v>1.1183</v>
      </c>
    </row>
    <row r="650">
      <c r="A650" t="n">
        <v>22</v>
      </c>
      <c r="B650" t="inlineStr">
        <is>
          <t>K4-2B</t>
        </is>
      </c>
      <c r="D650" t="n">
        <v>8.779999999999999</v>
      </c>
      <c r="E650" t="n">
        <v>88.65900000000001</v>
      </c>
      <c r="F650" t="n">
        <v>1044.51</v>
      </c>
      <c r="G650" t="n">
        <v>1.841</v>
      </c>
      <c r="H650">
        <f>E650/F650</f>
        <v/>
      </c>
      <c r="I650">
        <f>((H650-$J$628)/$I$628)</f>
        <v/>
      </c>
      <c r="J650">
        <f>(I650-IF(I636&gt;0,I636,0))</f>
        <v/>
      </c>
      <c r="K650">
        <f>J650/R635*1.1</f>
        <v/>
      </c>
      <c r="Q650" t="inlineStr">
        <is>
          <t>K3-3B</t>
        </is>
      </c>
      <c r="R650" t="n">
        <v>1.1448</v>
      </c>
    </row>
    <row r="651">
      <c r="A651" t="n">
        <v>23</v>
      </c>
      <c r="B651" t="inlineStr">
        <is>
          <t>K4-2C</t>
        </is>
      </c>
      <c r="D651" t="n">
        <v>8.99</v>
      </c>
      <c r="E651" t="n">
        <v>97.10899999999999</v>
      </c>
      <c r="F651" t="n">
        <v>1020.096</v>
      </c>
      <c r="G651" t="n">
        <v>3.421</v>
      </c>
      <c r="H651">
        <f>E651/F651</f>
        <v/>
      </c>
      <c r="I651">
        <f>((H651-$J$628)/$I$628)</f>
        <v/>
      </c>
      <c r="J651">
        <f>(I651-IF(I636&gt;0,I636,0))</f>
        <v/>
      </c>
      <c r="K651">
        <f>J651/R636*1.1</f>
        <v/>
      </c>
      <c r="L651" s="23" t="n"/>
      <c r="M651" s="23" t="n"/>
      <c r="N651" s="9" t="n"/>
      <c r="Q651" t="inlineStr">
        <is>
          <t>K3-3C</t>
        </is>
      </c>
      <c r="R651" t="n">
        <v>1.0493</v>
      </c>
    </row>
    <row r="652">
      <c r="A652" t="n">
        <v>24</v>
      </c>
      <c r="B652" t="inlineStr">
        <is>
          <t>MeOH</t>
        </is>
      </c>
      <c r="L652" s="23" t="inlineStr">
        <is>
          <t>Average</t>
        </is>
      </c>
      <c r="M652" s="23" t="inlineStr">
        <is>
          <t>Stdev</t>
        </is>
      </c>
      <c r="N652" s="9" t="inlineStr">
        <is>
          <t>Combined</t>
        </is>
      </c>
      <c r="Q652" t="inlineStr">
        <is>
          <t>K3-4A</t>
        </is>
      </c>
      <c r="R652" t="n">
        <v>1.0704</v>
      </c>
    </row>
    <row r="653">
      <c r="A653" t="n">
        <v>25</v>
      </c>
      <c r="B653" t="inlineStr">
        <is>
          <t>K4-4A</t>
        </is>
      </c>
      <c r="D653" t="n">
        <v>8.800000000000001</v>
      </c>
      <c r="E653" t="n">
        <v>85.327</v>
      </c>
      <c r="F653" t="n">
        <v>1051.351</v>
      </c>
      <c r="G653" t="n">
        <v>2.9</v>
      </c>
      <c r="H653">
        <f>E653/F653</f>
        <v/>
      </c>
      <c r="I653">
        <f>((H653-$J$628)/$I$628)</f>
        <v/>
      </c>
      <c r="J653">
        <f>(I653-IF(I636&gt;0,I636,0))</f>
        <v/>
      </c>
      <c r="K653">
        <f>J653/R637*1.1</f>
        <v/>
      </c>
      <c r="L653">
        <f>AVERAGE(K653:K655)</f>
        <v/>
      </c>
      <c r="M653">
        <f>STDEV(K654:K655)</f>
        <v/>
      </c>
      <c r="N653">
        <f>_xlfn.CONCAT(ROUND(L653,1)," ± ",ROUND(M653,1))</f>
        <v/>
      </c>
      <c r="Q653" t="inlineStr">
        <is>
          <t>K3-4B</t>
        </is>
      </c>
      <c r="R653" t="n">
        <v>1.1589</v>
      </c>
    </row>
    <row r="654">
      <c r="A654" t="n">
        <v>26</v>
      </c>
      <c r="B654" t="inlineStr">
        <is>
          <t>K4-4B</t>
        </is>
      </c>
      <c r="D654" t="n">
        <v>9.029999999999999</v>
      </c>
      <c r="E654" t="n">
        <v>71.27800000000001</v>
      </c>
      <c r="F654" t="n">
        <v>1035.151</v>
      </c>
      <c r="G654" t="n">
        <v>1.569</v>
      </c>
      <c r="H654">
        <f>E654/F654</f>
        <v/>
      </c>
      <c r="I654">
        <f>((H654-$J$628)/$I$628)</f>
        <v/>
      </c>
      <c r="J654">
        <f>(I654-IF(I636&gt;0,I636,0))</f>
        <v/>
      </c>
      <c r="K654">
        <f>J654/R638*1.1</f>
        <v/>
      </c>
      <c r="Q654" t="inlineStr">
        <is>
          <t>K3-4C</t>
        </is>
      </c>
      <c r="R654" t="n">
        <v>1.0206</v>
      </c>
    </row>
    <row r="655">
      <c r="A655" t="n">
        <v>27</v>
      </c>
      <c r="B655" t="inlineStr">
        <is>
          <t>K4-4C</t>
        </is>
      </c>
      <c r="D655" t="n">
        <v>9.07</v>
      </c>
      <c r="E655" t="n">
        <v>82.304</v>
      </c>
      <c r="F655" t="n">
        <v>822.99</v>
      </c>
      <c r="G655" t="n">
        <v>2.464</v>
      </c>
      <c r="H655">
        <f>E655/F655</f>
        <v/>
      </c>
      <c r="I655">
        <f>((H655-$J$628)/$I$628)</f>
        <v/>
      </c>
      <c r="J655">
        <f>(I655-IF(I636&gt;0,I636,0))</f>
        <v/>
      </c>
      <c r="K655">
        <f>J655/R639*1.1</f>
        <v/>
      </c>
      <c r="L655" s="23" t="inlineStr">
        <is>
          <t>Average</t>
        </is>
      </c>
      <c r="M655" s="23" t="inlineStr">
        <is>
          <t>Stdev</t>
        </is>
      </c>
      <c r="N655" s="9" t="inlineStr">
        <is>
          <t>Combined</t>
        </is>
      </c>
      <c r="Q655" t="inlineStr">
        <is>
          <t>K3-6A</t>
        </is>
      </c>
      <c r="R655" t="n">
        <v>1.1289</v>
      </c>
    </row>
    <row r="656">
      <c r="A656" t="n">
        <v>28</v>
      </c>
      <c r="B656" t="inlineStr">
        <is>
          <t>K4-5A</t>
        </is>
      </c>
      <c r="D656" t="n">
        <v>9.09</v>
      </c>
      <c r="E656" t="n">
        <v>67.68000000000001</v>
      </c>
      <c r="F656" t="n">
        <v>985.0170000000001</v>
      </c>
      <c r="G656" t="n">
        <v>1.497</v>
      </c>
      <c r="H656">
        <f>E656/F656</f>
        <v/>
      </c>
      <c r="I656">
        <f>((H656-$J$628)/$I$628)</f>
        <v/>
      </c>
      <c r="J656">
        <f>(I656-IF(I636&gt;0,I636,0))</f>
        <v/>
      </c>
      <c r="K656">
        <f>J656/R640*1.1</f>
        <v/>
      </c>
      <c r="L656">
        <f>AVERAGE(K656:K658)</f>
        <v/>
      </c>
      <c r="M656">
        <f>STDEV(K656:K658)</f>
        <v/>
      </c>
      <c r="N656">
        <f>_xlfn.CONCAT(ROUND(L656,1)," ± ",ROUND(M656,1))</f>
        <v/>
      </c>
      <c r="Q656" t="inlineStr">
        <is>
          <t>K3-6B</t>
        </is>
      </c>
      <c r="R656" t="n">
        <v>1.195</v>
      </c>
    </row>
    <row r="657">
      <c r="A657" t="n">
        <v>29</v>
      </c>
      <c r="B657" t="inlineStr">
        <is>
          <t>K4-5B</t>
        </is>
      </c>
      <c r="D657" t="n">
        <v>8.970000000000001</v>
      </c>
      <c r="E657" t="n">
        <v>66.60299999999999</v>
      </c>
      <c r="F657" t="n">
        <v>1024.411</v>
      </c>
      <c r="G657" t="n">
        <v>2.014</v>
      </c>
      <c r="H657">
        <f>E657/F657</f>
        <v/>
      </c>
      <c r="I657">
        <f>((H657-$J$628)/$I$628)</f>
        <v/>
      </c>
      <c r="J657">
        <f>(I657-IF(I636&gt;0,I636,0))</f>
        <v/>
      </c>
      <c r="K657">
        <f>J657/R641*1.1</f>
        <v/>
      </c>
      <c r="Q657" t="inlineStr">
        <is>
          <t>K3-6C</t>
        </is>
      </c>
      <c r="R657" t="n">
        <v>1.1716</v>
      </c>
    </row>
    <row r="658">
      <c r="A658" t="n">
        <v>30</v>
      </c>
      <c r="B658" t="inlineStr">
        <is>
          <t>K4-5C</t>
        </is>
      </c>
      <c r="D658" t="n">
        <v>8.859999999999999</v>
      </c>
      <c r="E658" t="n">
        <v>51.809</v>
      </c>
      <c r="F658" t="n">
        <v>1313.31</v>
      </c>
      <c r="G658" t="n">
        <v>1.74</v>
      </c>
      <c r="H658">
        <f>E658/F658</f>
        <v/>
      </c>
      <c r="I658">
        <f>((H658-$J$628)/$I$628)</f>
        <v/>
      </c>
      <c r="J658">
        <f>(I658-IF(I636&gt;0,I636,0))</f>
        <v/>
      </c>
      <c r="K658">
        <f>J658/R642*1.1</f>
        <v/>
      </c>
      <c r="L658" s="23" t="n"/>
      <c r="M658" s="23" t="n"/>
      <c r="N658" s="9" t="n"/>
    </row>
    <row r="659">
      <c r="A659" t="n">
        <v>31</v>
      </c>
      <c r="B659" t="inlineStr">
        <is>
          <t>MeOH</t>
        </is>
      </c>
      <c r="L659" s="23" t="inlineStr">
        <is>
          <t>Average</t>
        </is>
      </c>
      <c r="M659" s="23" t="inlineStr">
        <is>
          <t>Stdev</t>
        </is>
      </c>
      <c r="N659" s="9" t="inlineStr">
        <is>
          <t>Combined</t>
        </is>
      </c>
    </row>
    <row r="660">
      <c r="A660" t="n">
        <v>32</v>
      </c>
      <c r="B660" t="inlineStr">
        <is>
          <t>K3-1A</t>
        </is>
      </c>
      <c r="D660" t="n">
        <v>8.77</v>
      </c>
      <c r="E660" t="n">
        <v>75.202</v>
      </c>
      <c r="F660" t="n">
        <v>1115.547</v>
      </c>
      <c r="G660" t="n">
        <v>3.212</v>
      </c>
      <c r="H660">
        <f>E660/F660</f>
        <v/>
      </c>
      <c r="I660">
        <f>((H660-$J$628)/$I$628)</f>
        <v/>
      </c>
      <c r="J660">
        <f>(I660-IF(I636&gt;0,I636,0))</f>
        <v/>
      </c>
      <c r="K660">
        <f>J660/R643*1.1</f>
        <v/>
      </c>
      <c r="L660">
        <f>AVERAGE(K660:K662)</f>
        <v/>
      </c>
      <c r="M660">
        <f>STDEV(K661:K662)</f>
        <v/>
      </c>
      <c r="N660">
        <f>_xlfn.CONCAT(ROUND(L660,1)," ± ",ROUND(M660,1))</f>
        <v/>
      </c>
    </row>
    <row r="661">
      <c r="A661" t="n">
        <v>33</v>
      </c>
      <c r="B661" t="inlineStr">
        <is>
          <t>K3-1B</t>
        </is>
      </c>
      <c r="D661" t="n">
        <v>8.81</v>
      </c>
      <c r="E661" t="n">
        <v>218.343</v>
      </c>
      <c r="F661" t="n">
        <v>868.492</v>
      </c>
      <c r="G661" t="n">
        <v>8.435</v>
      </c>
      <c r="H661">
        <f>E661/F661</f>
        <v/>
      </c>
      <c r="I661">
        <f>((H661-$J$628)/$I$628)</f>
        <v/>
      </c>
      <c r="J661">
        <f>(I661-IF(I636&gt;0,I636,0))</f>
        <v/>
      </c>
      <c r="K661">
        <f>J661/R644*1.1</f>
        <v/>
      </c>
    </row>
    <row r="662">
      <c r="A662" t="n">
        <v>34</v>
      </c>
      <c r="B662" t="inlineStr">
        <is>
          <t>K3-1C</t>
        </is>
      </c>
      <c r="D662" t="n">
        <v>8.93</v>
      </c>
      <c r="E662" t="n">
        <v>40.185</v>
      </c>
      <c r="F662" t="n">
        <v>1891.713</v>
      </c>
      <c r="G662" t="n">
        <v>1.333</v>
      </c>
      <c r="H662">
        <f>E662/F662</f>
        <v/>
      </c>
      <c r="I662">
        <f>((H662-$J$628)/$I$628)</f>
        <v/>
      </c>
      <c r="J662">
        <f>(I662-IF(I636&gt;0,I636,0))</f>
        <v/>
      </c>
      <c r="K662">
        <f>J662/R645*1.1</f>
        <v/>
      </c>
      <c r="L662" s="23" t="inlineStr">
        <is>
          <t>Average</t>
        </is>
      </c>
      <c r="M662" s="23" t="inlineStr">
        <is>
          <t>Stdev</t>
        </is>
      </c>
      <c r="N662" s="9" t="inlineStr">
        <is>
          <t>Combined</t>
        </is>
      </c>
    </row>
    <row r="663">
      <c r="A663" t="n">
        <v>35</v>
      </c>
      <c r="B663" t="inlineStr">
        <is>
          <t>K3-2A</t>
        </is>
      </c>
      <c r="D663" t="n">
        <v>8.94</v>
      </c>
      <c r="E663" t="n">
        <v>119.696</v>
      </c>
      <c r="F663" t="n">
        <v>1176.041</v>
      </c>
      <c r="G663" t="n">
        <v>1.569</v>
      </c>
      <c r="H663">
        <f>E663/F663</f>
        <v/>
      </c>
      <c r="I663">
        <f>((H663-$J$628)/$I$628)</f>
        <v/>
      </c>
      <c r="J663">
        <f>(I663-IF(I636&gt;0,I636,0))</f>
        <v/>
      </c>
      <c r="K663">
        <f>J663/R646*1.1</f>
        <v/>
      </c>
      <c r="L663">
        <f>AVERAGE(K663:K665)</f>
        <v/>
      </c>
      <c r="M663">
        <f>STDEV(K663:K665)</f>
        <v/>
      </c>
      <c r="N663">
        <f>_xlfn.CONCAT(ROUND(L663,1)," ± ",ROUND(M663,1))</f>
        <v/>
      </c>
    </row>
    <row r="664">
      <c r="A664" t="n">
        <v>36</v>
      </c>
      <c r="B664" t="inlineStr">
        <is>
          <t>K3-2B</t>
        </is>
      </c>
      <c r="D664" t="n">
        <v>8.92</v>
      </c>
      <c r="E664" t="n">
        <v>206.715</v>
      </c>
      <c r="F664" t="n">
        <v>1321.349</v>
      </c>
      <c r="G664" t="n">
        <v>6.581</v>
      </c>
      <c r="H664">
        <f>E664/F664</f>
        <v/>
      </c>
      <c r="I664">
        <f>((H664-$J$628)/$I$628)</f>
        <v/>
      </c>
      <c r="J664">
        <f>(I664-IF(I636&gt;0,I636,0))</f>
        <v/>
      </c>
      <c r="K664">
        <f>J664/R647*1.1</f>
        <v/>
      </c>
    </row>
    <row r="665">
      <c r="A665" t="n">
        <v>37</v>
      </c>
      <c r="B665" t="inlineStr">
        <is>
          <t>K3-2C</t>
        </is>
      </c>
      <c r="D665" t="n">
        <v>8.92</v>
      </c>
      <c r="E665" t="n">
        <v>201.821</v>
      </c>
      <c r="F665" t="n">
        <v>1479.533</v>
      </c>
      <c r="G665" t="n">
        <v>4.617</v>
      </c>
      <c r="H665">
        <f>E665/F665</f>
        <v/>
      </c>
      <c r="I665">
        <f>((H665-$J$628)/$I$628)</f>
        <v/>
      </c>
      <c r="J665">
        <f>(I665-IF(I636&gt;0,I636,0))</f>
        <v/>
      </c>
      <c r="K665">
        <f>J665/R648*1.1</f>
        <v/>
      </c>
      <c r="L665" s="23" t="n"/>
      <c r="M665" s="23" t="n"/>
      <c r="N665" s="9" t="n"/>
    </row>
    <row r="666">
      <c r="A666" t="n">
        <v>38</v>
      </c>
      <c r="B666" t="inlineStr">
        <is>
          <t>MeOH</t>
        </is>
      </c>
      <c r="L666" s="23" t="inlineStr">
        <is>
          <t>Average</t>
        </is>
      </c>
      <c r="M666" s="23" t="inlineStr">
        <is>
          <t>Stdev</t>
        </is>
      </c>
      <c r="N666" s="9" t="inlineStr">
        <is>
          <t>Combined</t>
        </is>
      </c>
    </row>
    <row r="667">
      <c r="A667" t="n">
        <v>39</v>
      </c>
      <c r="B667" t="inlineStr">
        <is>
          <t>K3-3A</t>
        </is>
      </c>
      <c r="D667" t="n">
        <v>8.93</v>
      </c>
      <c r="E667" t="n">
        <v>195.613</v>
      </c>
      <c r="F667" t="n">
        <v>1517.701</v>
      </c>
      <c r="G667" t="n">
        <v>7.594</v>
      </c>
      <c r="H667">
        <f>E667/F667</f>
        <v/>
      </c>
      <c r="I667">
        <f>((H667-$J$628)/$I$628)</f>
        <v/>
      </c>
      <c r="J667">
        <f>(I667-IF(I636&gt;0,I636,0))</f>
        <v/>
      </c>
      <c r="K667">
        <f>J667/R649*1.1</f>
        <v/>
      </c>
      <c r="L667">
        <f>AVERAGE(K667:K669)</f>
        <v/>
      </c>
      <c r="M667">
        <f>STDEV(K668:K669)</f>
        <v/>
      </c>
      <c r="N667">
        <f>_xlfn.CONCAT(ROUND(L667,1)," ± ",ROUND(M667,1))</f>
        <v/>
      </c>
    </row>
    <row r="668">
      <c r="A668" t="n">
        <v>40</v>
      </c>
      <c r="B668" t="inlineStr">
        <is>
          <t>K3-3B</t>
        </is>
      </c>
      <c r="D668" t="n">
        <v>8.92</v>
      </c>
      <c r="E668" t="n">
        <v>274.019</v>
      </c>
      <c r="F668" t="n">
        <v>1453.885</v>
      </c>
      <c r="G668" t="n">
        <v>10.804</v>
      </c>
      <c r="H668">
        <f>E668/F668</f>
        <v/>
      </c>
      <c r="I668">
        <f>((H668-$J$628)/$I$628)</f>
        <v/>
      </c>
      <c r="J668">
        <f>(I668-IF(I636&gt;0,I636,0))</f>
        <v/>
      </c>
      <c r="K668">
        <f>J668/R650*1.1</f>
        <v/>
      </c>
    </row>
    <row r="669">
      <c r="A669" t="n">
        <v>41</v>
      </c>
      <c r="B669" t="inlineStr">
        <is>
          <t>K3-3C</t>
        </is>
      </c>
      <c r="D669" t="n">
        <v>8.949999999999999</v>
      </c>
      <c r="E669" t="n">
        <v>260.224</v>
      </c>
      <c r="F669" t="n">
        <v>1930.228</v>
      </c>
      <c r="G669" t="n">
        <v>7.655</v>
      </c>
      <c r="H669">
        <f>E669/F669</f>
        <v/>
      </c>
      <c r="I669">
        <f>((H669-$J$628)/$I$628)</f>
        <v/>
      </c>
      <c r="J669">
        <f>(I669-IF(I636&gt;0,I636,0))</f>
        <v/>
      </c>
      <c r="K669">
        <f>J669/R651*1.1</f>
        <v/>
      </c>
      <c r="L669" s="23" t="inlineStr">
        <is>
          <t>Average</t>
        </is>
      </c>
      <c r="M669" s="23" t="inlineStr">
        <is>
          <t>Stdev</t>
        </is>
      </c>
      <c r="N669" s="9" t="inlineStr">
        <is>
          <t>Combined</t>
        </is>
      </c>
    </row>
    <row r="670">
      <c r="A670" t="n">
        <v>42</v>
      </c>
      <c r="B670" t="inlineStr">
        <is>
          <t>K3-4A</t>
        </is>
      </c>
      <c r="D670" t="n">
        <v>8.99</v>
      </c>
      <c r="E670" t="n">
        <v>218.642</v>
      </c>
      <c r="F670" t="n">
        <v>2454.78</v>
      </c>
      <c r="G670" t="n">
        <v>6.426</v>
      </c>
      <c r="H670">
        <f>E670/F670</f>
        <v/>
      </c>
      <c r="I670">
        <f>((H670-$J$628)/$I$628)</f>
        <v/>
      </c>
      <c r="J670">
        <f>(I670-IF(I636&gt;0,I636,0))</f>
        <v/>
      </c>
      <c r="K670">
        <f>J670/R652*1.1</f>
        <v/>
      </c>
      <c r="L670">
        <f>AVERAGE(K670:K672)</f>
        <v/>
      </c>
      <c r="M670">
        <f>STDEV(K670:K672)</f>
        <v/>
      </c>
      <c r="N670">
        <f>_xlfn.CONCAT(ROUND(L670,1)," ± ",ROUND(M670,1))</f>
        <v/>
      </c>
    </row>
    <row r="671">
      <c r="A671" t="n">
        <v>43</v>
      </c>
      <c r="B671" t="inlineStr">
        <is>
          <t>K3-4B</t>
        </is>
      </c>
      <c r="D671" t="n">
        <v>8.98</v>
      </c>
      <c r="E671" t="n">
        <v>114.41</v>
      </c>
      <c r="F671" t="n">
        <v>2046.805</v>
      </c>
      <c r="G671" t="n">
        <v>2.376</v>
      </c>
      <c r="H671">
        <f>E671/F671</f>
        <v/>
      </c>
      <c r="I671">
        <f>((H671-$J$628)/$I$628)</f>
        <v/>
      </c>
      <c r="J671">
        <f>(I671-IF(I636&gt;0,I636,0))</f>
        <v/>
      </c>
      <c r="K671">
        <f>J671/R653*1.1</f>
        <v/>
      </c>
    </row>
    <row r="672">
      <c r="A672" t="n">
        <v>44</v>
      </c>
      <c r="B672" t="inlineStr">
        <is>
          <t>K3-4C</t>
        </is>
      </c>
      <c r="D672" t="n">
        <v>9.01</v>
      </c>
      <c r="E672" t="n">
        <v>116.136</v>
      </c>
      <c r="F672" t="n">
        <v>1963.707</v>
      </c>
      <c r="G672" t="n">
        <v>2.899</v>
      </c>
      <c r="H672">
        <f>E672/F672</f>
        <v/>
      </c>
      <c r="I672">
        <f>((H672-$J$628)/$I$628)</f>
        <v/>
      </c>
      <c r="J672">
        <f>(I672-IF(I636&gt;0,I636,0))</f>
        <v/>
      </c>
      <c r="K672">
        <f>J672/R654*1.1</f>
        <v/>
      </c>
      <c r="L672" s="23" t="n"/>
      <c r="M672" s="23" t="n"/>
      <c r="N672" s="9" t="n"/>
    </row>
    <row r="673">
      <c r="A673" t="n">
        <v>45</v>
      </c>
      <c r="B673" t="inlineStr">
        <is>
          <t>MeOH</t>
        </is>
      </c>
      <c r="L673" s="23" t="inlineStr">
        <is>
          <t>Average</t>
        </is>
      </c>
      <c r="M673" s="23" t="inlineStr">
        <is>
          <t>Stdev</t>
        </is>
      </c>
      <c r="N673" s="9" t="inlineStr">
        <is>
          <t>Combined</t>
        </is>
      </c>
    </row>
    <row r="674">
      <c r="A674" t="n">
        <v>46</v>
      </c>
      <c r="B674" t="inlineStr">
        <is>
          <t>K3-6A</t>
        </is>
      </c>
      <c r="D674" t="n">
        <v>9.039999999999999</v>
      </c>
      <c r="E674" t="n">
        <v>62.141</v>
      </c>
      <c r="F674" t="n">
        <v>2063.159</v>
      </c>
      <c r="G674" t="n">
        <v>1.813</v>
      </c>
      <c r="H674">
        <f>E674/F674</f>
        <v/>
      </c>
      <c r="I674">
        <f>((H674-$J$628)/$I$628)</f>
        <v/>
      </c>
      <c r="J674">
        <f>(I674-IF(I636&gt;0,I636,0))</f>
        <v/>
      </c>
      <c r="K674">
        <f>J674/R655*1.1</f>
        <v/>
      </c>
      <c r="L674">
        <f>AVERAGE(K674:K676)</f>
        <v/>
      </c>
      <c r="M674">
        <f>STDEV(K675:K676)</f>
        <v/>
      </c>
      <c r="N674">
        <f>_xlfn.CONCAT(ROUND(L674,1)," ± ",ROUND(M674,1))</f>
        <v/>
      </c>
    </row>
    <row r="675">
      <c r="A675" t="n">
        <v>47</v>
      </c>
      <c r="B675" t="inlineStr">
        <is>
          <t>K3-6B</t>
        </is>
      </c>
      <c r="D675" t="n">
        <v>9.08</v>
      </c>
      <c r="E675" t="n">
        <v>160.323</v>
      </c>
      <c r="F675" t="n">
        <v>1701.403</v>
      </c>
      <c r="G675" t="n">
        <v>3.204</v>
      </c>
      <c r="H675">
        <f>E675/F675</f>
        <v/>
      </c>
      <c r="I675">
        <f>((H675-$J$628)/$I$628)</f>
        <v/>
      </c>
      <c r="J675">
        <f>(I675-IF(I636&gt;0,I636,0))</f>
        <v/>
      </c>
      <c r="K675">
        <f>J675/R656*1.1</f>
        <v/>
      </c>
    </row>
    <row r="676">
      <c r="A676" t="n">
        <v>48</v>
      </c>
      <c r="B676" t="inlineStr">
        <is>
          <t>K3-6C</t>
        </is>
      </c>
      <c r="D676" t="n">
        <v>8.99</v>
      </c>
      <c r="E676" t="n">
        <v>212.529</v>
      </c>
      <c r="F676" t="n">
        <v>1921.069</v>
      </c>
      <c r="G676" t="n">
        <v>5.64</v>
      </c>
      <c r="H676">
        <f>E676/F676</f>
        <v/>
      </c>
      <c r="I676">
        <f>((H676-$J$628)/$I$628)</f>
        <v/>
      </c>
      <c r="J676">
        <f>(I676-IF(I636&gt;0,I636,0))</f>
        <v/>
      </c>
      <c r="K676">
        <f>J676/R657*1.1</f>
        <v/>
      </c>
      <c r="L676" s="23" t="n"/>
      <c r="M676" s="23" t="n"/>
      <c r="N676" s="9" t="n"/>
    </row>
    <row r="678">
      <c r="A678" s="15" t="inlineStr">
        <is>
          <t>Compound 22:  PFEESA 1</t>
        </is>
      </c>
      <c r="B678" s="15" t="n"/>
    </row>
    <row r="679">
      <c r="I679" t="inlineStr">
        <is>
          <t>LINEST</t>
        </is>
      </c>
      <c r="Q679" t="inlineStr">
        <is>
          <t>Biosolids Masses</t>
        </is>
      </c>
      <c r="R679" t="inlineStr">
        <is>
          <t>(g)</t>
        </is>
      </c>
    </row>
    <row r="680">
      <c r="B680" t="inlineStr">
        <is>
          <t>Sample Text</t>
        </is>
      </c>
      <c r="C680" t="inlineStr">
        <is>
          <t>Std. Conc</t>
        </is>
      </c>
      <c r="D680" t="inlineStr">
        <is>
          <t>RT</t>
        </is>
      </c>
      <c r="E680" t="inlineStr">
        <is>
          <t>Area</t>
        </is>
      </c>
      <c r="F680" t="inlineStr">
        <is>
          <t>IS Area</t>
        </is>
      </c>
      <c r="G680" t="inlineStr">
        <is>
          <t>S/N</t>
        </is>
      </c>
      <c r="H680" t="inlineStr">
        <is>
          <t>ratio</t>
        </is>
      </c>
      <c r="I680">
        <f t="array" ref="I680:J684">LINEST(H681:H687,C681:C687,1,1)</f>
        <v/>
      </c>
      <c r="J680" t="n">
        <v>0.005928393922886244</v>
      </c>
      <c r="L680" s="20" t="inlineStr">
        <is>
          <t>By S/N Ratio</t>
        </is>
      </c>
      <c r="Q680" t="inlineStr">
        <is>
          <t>SS1</t>
        </is>
      </c>
      <c r="R680" t="n">
        <v>1.0846</v>
      </c>
    </row>
    <row r="681">
      <c r="A681" t="n">
        <v>1</v>
      </c>
      <c r="B681" t="inlineStr">
        <is>
          <t>EPA1633 &amp; diPAPs Calibration 0 ppb</t>
        </is>
      </c>
      <c r="C681" t="n">
        <v>0</v>
      </c>
      <c r="D681" t="n">
        <v>8.08</v>
      </c>
      <c r="E681" t="n">
        <v>239.857</v>
      </c>
      <c r="F681" t="n">
        <v>2771.78</v>
      </c>
      <c r="G681" t="n">
        <v>160.371</v>
      </c>
      <c r="H681">
        <f>E681/F681</f>
        <v/>
      </c>
      <c r="I681" t="n">
        <v>0.04766153130602726</v>
      </c>
      <c r="J681" t="n">
        <v>0.4046948774329216</v>
      </c>
      <c r="K681" t="inlineStr">
        <is>
          <t>LOD</t>
        </is>
      </c>
      <c r="L681" s="21">
        <f>IF(G684&gt;3,C684,IF(G685&gt;3,C685,IF(G686&gt;3,C686,IF(G687&gt;3,C687,C688))))</f>
        <v/>
      </c>
      <c r="Q681" t="inlineStr">
        <is>
          <t>SS2</t>
        </is>
      </c>
      <c r="R681" t="n">
        <v>1.0726</v>
      </c>
    </row>
    <row r="682">
      <c r="A682" t="n">
        <v>2</v>
      </c>
      <c r="B682" t="inlineStr">
        <is>
          <t>EPA1633 &amp; diPAPs Calibration 0.02 ppb</t>
        </is>
      </c>
      <c r="C682" t="n">
        <v>0.04</v>
      </c>
      <c r="D682" t="n">
        <v>8.119999999999999</v>
      </c>
      <c r="E682" t="n">
        <v>1839.717</v>
      </c>
      <c r="F682" t="n">
        <v>2613.678</v>
      </c>
      <c r="G682" t="n">
        <v>2499.08</v>
      </c>
      <c r="H682">
        <f>E682/F682</f>
        <v/>
      </c>
      <c r="I682" t="n">
        <v>0.9982390391555567</v>
      </c>
      <c r="J682" t="n">
        <v>0.8900499701721294</v>
      </c>
      <c r="K682" t="inlineStr">
        <is>
          <t>LOQ</t>
        </is>
      </c>
      <c r="L682" s="22">
        <f>IF(G684&gt;10,C684,IF(G685&gt;10,C685,IF(G686&gt;10,C686,IF(G687&gt;10,C687,C688))))</f>
        <v/>
      </c>
      <c r="Q682" t="inlineStr">
        <is>
          <t>SS3</t>
        </is>
      </c>
      <c r="R682" t="n">
        <v>1.1534</v>
      </c>
    </row>
    <row r="683">
      <c r="A683" t="n">
        <v>3</v>
      </c>
      <c r="B683" t="inlineStr">
        <is>
          <t>EPA1633 &amp; diPAPs Calibration 0.1 ppb</t>
        </is>
      </c>
      <c r="C683" t="n">
        <v>0.2</v>
      </c>
      <c r="D683" t="n">
        <v>8.130000000000001</v>
      </c>
      <c r="E683" t="n">
        <v>1891.586</v>
      </c>
      <c r="F683" t="n">
        <v>2704.411</v>
      </c>
      <c r="G683" t="n">
        <v>179.954</v>
      </c>
      <c r="H683">
        <f>E683/F683</f>
        <v/>
      </c>
      <c r="I683" t="n">
        <v>2834.358987326366</v>
      </c>
      <c r="J683" t="n">
        <v>5</v>
      </c>
      <c r="Q683" t="inlineStr">
        <is>
          <t>K4-1A</t>
        </is>
      </c>
      <c r="R683" t="n">
        <v>1.0267</v>
      </c>
    </row>
    <row r="684">
      <c r="A684" t="n">
        <v>4</v>
      </c>
      <c r="B684" t="inlineStr">
        <is>
          <t>EPA1633 &amp; diPAPs Calibration 0.4 ppb</t>
        </is>
      </c>
      <c r="C684" t="n">
        <v>0.8</v>
      </c>
      <c r="D684" t="n">
        <v>8.140000000000001</v>
      </c>
      <c r="E684" t="n">
        <v>6963.074</v>
      </c>
      <c r="F684" t="n">
        <v>2633.712</v>
      </c>
      <c r="G684" t="n">
        <v>359.374</v>
      </c>
      <c r="H684">
        <f>E684/F684</f>
        <v/>
      </c>
      <c r="I684" t="n">
        <v>2245.347868402182</v>
      </c>
      <c r="J684" t="n">
        <v>3.960944747017042</v>
      </c>
      <c r="Q684" t="inlineStr">
        <is>
          <t>K4-1B</t>
        </is>
      </c>
      <c r="R684" t="n">
        <v>1.1481</v>
      </c>
    </row>
    <row r="685">
      <c r="A685" t="n">
        <v>5</v>
      </c>
      <c r="B685" t="inlineStr">
        <is>
          <t>EPA1633 &amp; diPAPs Calibration 1 ppb</t>
        </is>
      </c>
      <c r="C685" t="n">
        <v>2</v>
      </c>
      <c r="D685" t="n">
        <v>8.16</v>
      </c>
      <c r="E685" t="n">
        <v>11892.697</v>
      </c>
      <c r="F685" t="n">
        <v>2798.003</v>
      </c>
      <c r="G685" t="n">
        <v>469.113</v>
      </c>
      <c r="H685">
        <f>E685/F685</f>
        <v/>
      </c>
      <c r="Q685" t="inlineStr">
        <is>
          <t>K4-1C</t>
        </is>
      </c>
      <c r="R685" t="n">
        <v>1.0402</v>
      </c>
    </row>
    <row r="686">
      <c r="A686" t="n">
        <v>6</v>
      </c>
      <c r="B686" t="inlineStr">
        <is>
          <t>EPA1633 &amp; diPAPs Calibration 5 ppb</t>
        </is>
      </c>
      <c r="C686" t="n">
        <v>10</v>
      </c>
      <c r="D686" t="n">
        <v>7.97</v>
      </c>
      <c r="E686" t="n">
        <v>55391.828</v>
      </c>
      <c r="F686" t="n">
        <v>2309.18</v>
      </c>
      <c r="G686" t="n">
        <v>2664.742</v>
      </c>
      <c r="H686">
        <f>E686/F686</f>
        <v/>
      </c>
      <c r="Q686" t="inlineStr">
        <is>
          <t>K4-2A</t>
        </is>
      </c>
      <c r="R686" t="n">
        <v>1.127</v>
      </c>
    </row>
    <row r="687">
      <c r="A687" t="n">
        <v>7</v>
      </c>
      <c r="B687" t="inlineStr">
        <is>
          <t>EPA1633 &amp; diPAPs Calibration 10 ppb</t>
        </is>
      </c>
      <c r="C687" t="n">
        <v>20</v>
      </c>
      <c r="D687" t="n">
        <v>8.050000000000001</v>
      </c>
      <c r="E687" t="n">
        <v>106763.656</v>
      </c>
      <c r="F687" t="n">
        <v>2072.812</v>
      </c>
      <c r="G687" t="n">
        <v>2092.782</v>
      </c>
      <c r="H687">
        <f>E687/F687</f>
        <v/>
      </c>
      <c r="I687" s="23" t="inlineStr">
        <is>
          <t>Background</t>
        </is>
      </c>
      <c r="J687" s="23" t="inlineStr">
        <is>
          <t>Spike</t>
        </is>
      </c>
      <c r="K687" s="9" t="n"/>
      <c r="O687" s="24" t="inlineStr">
        <is>
          <t>±</t>
        </is>
      </c>
      <c r="Q687" t="inlineStr">
        <is>
          <t>K4-2B</t>
        </is>
      </c>
      <c r="R687" t="n">
        <v>1.1154</v>
      </c>
    </row>
    <row r="688">
      <c r="A688" t="n">
        <v>8</v>
      </c>
      <c r="B688" t="inlineStr">
        <is>
          <t>EPA1633 &amp; diPAPs Calibration 20 ppb</t>
        </is>
      </c>
      <c r="C688" t="n">
        <v>40</v>
      </c>
      <c r="D688" t="n">
        <v>8.109999999999999</v>
      </c>
      <c r="E688" t="n">
        <v>213814.641</v>
      </c>
      <c r="F688" t="n">
        <v>1703.301</v>
      </c>
      <c r="G688" t="n">
        <v>3625.398</v>
      </c>
      <c r="H688">
        <f>E688/F688</f>
        <v/>
      </c>
      <c r="I688">
        <f>AVERAGE(I691:I693)</f>
        <v/>
      </c>
      <c r="J688" t="n">
        <v>22</v>
      </c>
      <c r="Q688" t="inlineStr">
        <is>
          <t>K4-2C</t>
        </is>
      </c>
      <c r="R688" t="n">
        <v>1.1711</v>
      </c>
    </row>
    <row r="689">
      <c r="A689" t="n">
        <v>9</v>
      </c>
      <c r="B689" t="inlineStr">
        <is>
          <t>MeOH</t>
        </is>
      </c>
      <c r="D689" t="n">
        <v>8.15</v>
      </c>
      <c r="E689" t="n">
        <v>299.351</v>
      </c>
      <c r="G689" t="n">
        <v>36.877</v>
      </c>
      <c r="I689" s="23" t="inlineStr">
        <is>
          <t>Conc.In Vial (ppb)</t>
        </is>
      </c>
      <c r="J689" s="9" t="inlineStr">
        <is>
          <t>Corr. Conc.(ppb)</t>
        </is>
      </c>
      <c r="K689" s="9" t="inlineStr">
        <is>
          <t>Conc. In soil (ng/g)</t>
        </is>
      </c>
      <c r="Q689" t="inlineStr">
        <is>
          <t>K4-4A</t>
        </is>
      </c>
      <c r="R689" t="n">
        <v>1.0932</v>
      </c>
    </row>
    <row r="690">
      <c r="A690" t="n">
        <v>10</v>
      </c>
      <c r="B690" t="inlineStr">
        <is>
          <t>MeOH</t>
        </is>
      </c>
      <c r="D690" t="n">
        <v>8.15</v>
      </c>
      <c r="E690" t="n">
        <v>293.363</v>
      </c>
      <c r="G690" t="n">
        <v>11.947</v>
      </c>
      <c r="L690" s="23" t="inlineStr">
        <is>
          <t>Average</t>
        </is>
      </c>
      <c r="M690" s="23" t="inlineStr">
        <is>
          <t>Stdev</t>
        </is>
      </c>
      <c r="N690" s="9" t="inlineStr">
        <is>
          <t>Combined</t>
        </is>
      </c>
      <c r="O690" s="9" t="n"/>
      <c r="P690" s="9" t="n"/>
      <c r="Q690" t="inlineStr">
        <is>
          <t>K4-4B</t>
        </is>
      </c>
      <c r="R690" t="n">
        <v>1.15</v>
      </c>
    </row>
    <row r="691">
      <c r="A691" t="n">
        <v>11</v>
      </c>
      <c r="B691" t="inlineStr">
        <is>
          <t>SB1</t>
        </is>
      </c>
      <c r="D691" t="n">
        <v>8.19</v>
      </c>
      <c r="E691" t="n">
        <v>196.756</v>
      </c>
      <c r="F691" t="n">
        <v>802.6180000000001</v>
      </c>
      <c r="G691" t="n">
        <v>2206</v>
      </c>
      <c r="H691">
        <f>E691/F691</f>
        <v/>
      </c>
      <c r="I691">
        <f>((H691-$J$680)/$I$680)</f>
        <v/>
      </c>
      <c r="J691">
        <f>(I691-IF(I688&gt;0,I688,0))</f>
        <v/>
      </c>
      <c r="K691">
        <f>J691*1.1</f>
        <v/>
      </c>
      <c r="L691">
        <f>AVERAGE(K691:K693)</f>
        <v/>
      </c>
      <c r="M691">
        <f>STDEV(K692:K693)</f>
        <v/>
      </c>
      <c r="N691">
        <f>_xlfn.CONCAT(ROUND(L691,1)," ± ",ROUND(M691,1))</f>
        <v/>
      </c>
      <c r="Q691" t="inlineStr">
        <is>
          <t>K4-4C</t>
        </is>
      </c>
      <c r="R691" t="n">
        <v>1.0482</v>
      </c>
    </row>
    <row r="692">
      <c r="A692" t="n">
        <v>12</v>
      </c>
      <c r="B692" t="inlineStr">
        <is>
          <t>SB2</t>
        </is>
      </c>
      <c r="D692" t="n">
        <v>8.02</v>
      </c>
      <c r="E692" t="n">
        <v>9.933</v>
      </c>
      <c r="F692" t="n">
        <v>1039.268</v>
      </c>
      <c r="G692" t="n">
        <v>171</v>
      </c>
      <c r="H692">
        <f>E692/F692</f>
        <v/>
      </c>
      <c r="I692">
        <f>((H692-$J$680)/$I$680)</f>
        <v/>
      </c>
      <c r="J692">
        <f>(I692-IF(I688&gt;0,I688,0))</f>
        <v/>
      </c>
      <c r="K692">
        <f>J692*1.1</f>
        <v/>
      </c>
      <c r="Q692" t="inlineStr">
        <is>
          <t>K4-5A</t>
        </is>
      </c>
      <c r="R692" t="n">
        <v>1.1054</v>
      </c>
    </row>
    <row r="693">
      <c r="A693" t="n">
        <v>13</v>
      </c>
      <c r="B693" t="inlineStr">
        <is>
          <t>SB3</t>
        </is>
      </c>
      <c r="D693" t="n">
        <v>8.18</v>
      </c>
      <c r="E693" t="n">
        <v>57.143</v>
      </c>
      <c r="F693" t="n">
        <v>1005.736</v>
      </c>
      <c r="G693" t="n">
        <v>611</v>
      </c>
      <c r="H693">
        <f>E693/F693</f>
        <v/>
      </c>
      <c r="I693">
        <f>((H693-$J$680)/$I$680)</f>
        <v/>
      </c>
      <c r="J693">
        <f>(I693-IF(I688&gt;0,I688,0))</f>
        <v/>
      </c>
      <c r="K693" s="30">
        <f>J693*1.1</f>
        <v/>
      </c>
      <c r="L693" s="25" t="inlineStr">
        <is>
          <t>Average</t>
        </is>
      </c>
      <c r="M693" s="25" t="inlineStr">
        <is>
          <t>Stdev</t>
        </is>
      </c>
      <c r="N693" s="26" t="inlineStr">
        <is>
          <t>%Recovery</t>
        </is>
      </c>
      <c r="O693" s="26" t="inlineStr">
        <is>
          <t>Uncertainty</t>
        </is>
      </c>
      <c r="P693" s="26" t="inlineStr">
        <is>
          <t>Combined</t>
        </is>
      </c>
      <c r="Q693" t="inlineStr">
        <is>
          <t>K4-5B</t>
        </is>
      </c>
      <c r="R693" s="10" t="n">
        <v>1.0463</v>
      </c>
    </row>
    <row r="694">
      <c r="A694" t="n">
        <v>14</v>
      </c>
      <c r="B694" t="inlineStr">
        <is>
          <t>SS1</t>
        </is>
      </c>
      <c r="D694" t="n">
        <v>8.23</v>
      </c>
      <c r="E694" t="n">
        <v>47035.477</v>
      </c>
      <c r="F694" t="n">
        <v>860.02</v>
      </c>
      <c r="G694" t="n">
        <v>918.9589999999999</v>
      </c>
      <c r="H694">
        <f>E694/F694</f>
        <v/>
      </c>
      <c r="I694">
        <f>((H694-$J$680)/$I$680)</f>
        <v/>
      </c>
      <c r="J694">
        <f>(I694-IF(I688&gt;0,I688,0))</f>
        <v/>
      </c>
      <c r="K694">
        <f>J694/R680*1.1</f>
        <v/>
      </c>
      <c r="L694" s="27">
        <f>AVERAGE(K694:K696)</f>
        <v/>
      </c>
      <c r="M694" s="27">
        <f>STDEV(K694:K696)</f>
        <v/>
      </c>
      <c r="N694" s="28">
        <f>L694/J688*100</f>
        <v/>
      </c>
      <c r="O694" s="29">
        <f>M694/J691*100</f>
        <v/>
      </c>
      <c r="P694" s="29">
        <f>_xlfn.CONCAT(ROUND(N694,1)," ± ",ROUND(O694,1))</f>
        <v/>
      </c>
      <c r="Q694" t="inlineStr">
        <is>
          <t>K4-5C</t>
        </is>
      </c>
      <c r="R694" t="n">
        <v>1.1155</v>
      </c>
    </row>
    <row r="695">
      <c r="A695" t="n">
        <v>15</v>
      </c>
      <c r="B695" t="inlineStr">
        <is>
          <t>SS2</t>
        </is>
      </c>
      <c r="D695" t="n">
        <v>8.25</v>
      </c>
      <c r="E695" t="n">
        <v>49369.875</v>
      </c>
      <c r="F695" t="n">
        <v>1205.224</v>
      </c>
      <c r="G695" t="n">
        <v>1856.405</v>
      </c>
      <c r="H695">
        <f>E695/F695</f>
        <v/>
      </c>
      <c r="I695">
        <f>((H695-$J$680)/$I$680)</f>
        <v/>
      </c>
      <c r="J695">
        <f>(I695-IF(I688&gt;0,I688,0))</f>
        <v/>
      </c>
      <c r="K695">
        <f>J695/R681*1.1</f>
        <v/>
      </c>
      <c r="Q695" t="inlineStr">
        <is>
          <t>K3-1A</t>
        </is>
      </c>
      <c r="R695" t="n">
        <v>1.0874</v>
      </c>
    </row>
    <row r="696">
      <c r="A696" t="n">
        <v>16</v>
      </c>
      <c r="B696" t="inlineStr">
        <is>
          <t>SS3</t>
        </is>
      </c>
      <c r="D696" t="n">
        <v>8.25</v>
      </c>
      <c r="E696" t="n">
        <v>48088.828</v>
      </c>
      <c r="F696" t="n">
        <v>953.783</v>
      </c>
      <c r="G696" t="n">
        <v>3033.577</v>
      </c>
      <c r="H696">
        <f>E696/F696</f>
        <v/>
      </c>
      <c r="I696">
        <f>((H696-$J$680)/$I$680)</f>
        <v/>
      </c>
      <c r="J696">
        <f>(I696-IF(I688&gt;0,I688,0))</f>
        <v/>
      </c>
      <c r="K696" s="30">
        <f>J696/R682*1.1</f>
        <v/>
      </c>
      <c r="Q696" t="inlineStr">
        <is>
          <t>K3-1B</t>
        </is>
      </c>
      <c r="R696" t="n">
        <v>1.0898</v>
      </c>
    </row>
    <row r="697">
      <c r="A697" t="n">
        <v>17</v>
      </c>
      <c r="B697" t="inlineStr">
        <is>
          <t>MeOH</t>
        </is>
      </c>
      <c r="L697" s="23" t="inlineStr">
        <is>
          <t>Average</t>
        </is>
      </c>
      <c r="M697" s="23" t="inlineStr">
        <is>
          <t>Stdev</t>
        </is>
      </c>
      <c r="N697" s="9" t="inlineStr">
        <is>
          <t>Combined</t>
        </is>
      </c>
      <c r="Q697" t="inlineStr">
        <is>
          <t>K3-1C</t>
        </is>
      </c>
      <c r="R697" t="n">
        <v>1.0536</v>
      </c>
    </row>
    <row r="698">
      <c r="A698" t="n">
        <v>18</v>
      </c>
      <c r="B698" t="inlineStr">
        <is>
          <t>K4-1A</t>
        </is>
      </c>
      <c r="D698" t="n">
        <v>8.300000000000001</v>
      </c>
      <c r="E698" t="n">
        <v>52.895</v>
      </c>
      <c r="F698" t="n">
        <v>1575.246</v>
      </c>
      <c r="G698" t="n">
        <v>4.665</v>
      </c>
      <c r="H698">
        <f>E698/F698</f>
        <v/>
      </c>
      <c r="I698">
        <f>((H698-$J$680)/$I$680)</f>
        <v/>
      </c>
      <c r="J698">
        <f>(I698-IF(I688&gt;0,I688,0))</f>
        <v/>
      </c>
      <c r="K698">
        <f>J698/R683*1.1</f>
        <v/>
      </c>
      <c r="L698">
        <f>AVERAGE(K698:K700)</f>
        <v/>
      </c>
      <c r="M698">
        <f>STDEV(K699:K700)</f>
        <v/>
      </c>
      <c r="N698">
        <f>_xlfn.CONCAT(ROUND(L698,1)," ± ",ROUND(M698,1))</f>
        <v/>
      </c>
      <c r="Q698" t="inlineStr">
        <is>
          <t>K3-2A</t>
        </is>
      </c>
      <c r="R698" s="10" t="n">
        <v>1.1218</v>
      </c>
    </row>
    <row r="699">
      <c r="A699" t="n">
        <v>19</v>
      </c>
      <c r="B699" t="inlineStr">
        <is>
          <t>K4-1B</t>
        </is>
      </c>
      <c r="D699" t="n">
        <v>8.25</v>
      </c>
      <c r="E699" t="n">
        <v>77.521</v>
      </c>
      <c r="F699" t="n">
        <v>1550.869</v>
      </c>
      <c r="G699" t="n">
        <v>4.088</v>
      </c>
      <c r="H699">
        <f>E699/F699</f>
        <v/>
      </c>
      <c r="I699">
        <f>((H699-$J$680)/$I$680)</f>
        <v/>
      </c>
      <c r="J699">
        <f>(I699-IF(I688&gt;0,I688,0))</f>
        <v/>
      </c>
      <c r="K699">
        <f>J699/R684*1.1</f>
        <v/>
      </c>
      <c r="Q699" t="inlineStr">
        <is>
          <t>K3-2B</t>
        </is>
      </c>
      <c r="R699" t="n">
        <v>1.198</v>
      </c>
    </row>
    <row r="700">
      <c r="A700" t="n">
        <v>20</v>
      </c>
      <c r="B700" t="inlineStr">
        <is>
          <t>K4-1C</t>
        </is>
      </c>
      <c r="D700" t="n">
        <v>8.27</v>
      </c>
      <c r="E700" t="n">
        <v>31.313</v>
      </c>
      <c r="F700" t="n">
        <v>1163.846</v>
      </c>
      <c r="G700" t="n">
        <v>3.488</v>
      </c>
      <c r="H700">
        <f>E700/F700</f>
        <v/>
      </c>
      <c r="I700">
        <f>((H700-$J$680)/$I$680)</f>
        <v/>
      </c>
      <c r="J700">
        <f>(I700-IF(I688&gt;0,I688,0))</f>
        <v/>
      </c>
      <c r="K700">
        <f>J700/R685*1.1</f>
        <v/>
      </c>
      <c r="L700" s="23" t="inlineStr">
        <is>
          <t>Average</t>
        </is>
      </c>
      <c r="M700" s="23" t="inlineStr">
        <is>
          <t>Stdev</t>
        </is>
      </c>
      <c r="N700" s="9" t="inlineStr">
        <is>
          <t>Combined</t>
        </is>
      </c>
      <c r="Q700" t="inlineStr">
        <is>
          <t>K3-2C</t>
        </is>
      </c>
      <c r="R700" t="n">
        <v>1.1538</v>
      </c>
    </row>
    <row r="701">
      <c r="A701" t="n">
        <v>21</v>
      </c>
      <c r="B701" t="inlineStr">
        <is>
          <t>K4-2A</t>
        </is>
      </c>
      <c r="D701" t="n">
        <v>9.029999999999999</v>
      </c>
      <c r="E701" t="n">
        <v>10.386</v>
      </c>
      <c r="F701" t="n">
        <v>1084.067</v>
      </c>
      <c r="G701" t="n">
        <v>124</v>
      </c>
      <c r="H701">
        <f>E701/F701</f>
        <v/>
      </c>
      <c r="I701">
        <f>((H701-$J$680)/$I$680)</f>
        <v/>
      </c>
      <c r="J701">
        <f>(I701-IF(I688&gt;0,I688,0))</f>
        <v/>
      </c>
      <c r="K701">
        <f>J701/R686*1.1</f>
        <v/>
      </c>
      <c r="L701">
        <f>AVERAGE(K701:K703)</f>
        <v/>
      </c>
      <c r="M701">
        <f>STDEV(K701:K703)</f>
        <v/>
      </c>
      <c r="N701">
        <f>_xlfn.CONCAT(ROUND(L701,1)," ± ",ROUND(M701,1))</f>
        <v/>
      </c>
      <c r="Q701" t="inlineStr">
        <is>
          <t>K3-3A</t>
        </is>
      </c>
      <c r="R701" t="n">
        <v>1.1183</v>
      </c>
    </row>
    <row r="702">
      <c r="A702" t="n">
        <v>22</v>
      </c>
      <c r="B702" t="inlineStr">
        <is>
          <t>K4-2B</t>
        </is>
      </c>
      <c r="D702" t="n">
        <v>8.26</v>
      </c>
      <c r="E702" t="n">
        <v>6.714</v>
      </c>
      <c r="F702" t="n">
        <v>1044.51</v>
      </c>
      <c r="G702" t="n">
        <v>71</v>
      </c>
      <c r="H702">
        <f>E702/F702</f>
        <v/>
      </c>
      <c r="I702">
        <f>((H702-$J$680)/$I$680)</f>
        <v/>
      </c>
      <c r="J702">
        <f>(I702-IF(I688&gt;0,I688,0))</f>
        <v/>
      </c>
      <c r="K702">
        <f>J702/R687*1.1</f>
        <v/>
      </c>
      <c r="Q702" t="inlineStr">
        <is>
          <t>K3-3B</t>
        </is>
      </c>
      <c r="R702" t="n">
        <v>1.1448</v>
      </c>
    </row>
    <row r="703">
      <c r="A703" t="n">
        <v>23</v>
      </c>
      <c r="B703" t="inlineStr">
        <is>
          <t>K4-2C</t>
        </is>
      </c>
      <c r="D703" t="n">
        <v>8.27</v>
      </c>
      <c r="E703" t="n">
        <v>4.29</v>
      </c>
      <c r="F703" t="n">
        <v>1020.096</v>
      </c>
      <c r="G703" t="n">
        <v>71</v>
      </c>
      <c r="H703">
        <f>E703/F703</f>
        <v/>
      </c>
      <c r="I703">
        <f>((H703-$J$680)/$I$680)</f>
        <v/>
      </c>
      <c r="J703">
        <f>(I703-IF(I688&gt;0,I688,0))</f>
        <v/>
      </c>
      <c r="K703">
        <f>J703/R688*1.1</f>
        <v/>
      </c>
      <c r="L703" s="23" t="n"/>
      <c r="M703" s="23" t="n"/>
      <c r="N703" s="9" t="n"/>
      <c r="Q703" t="inlineStr">
        <is>
          <t>K3-3C</t>
        </is>
      </c>
      <c r="R703" t="n">
        <v>1.0493</v>
      </c>
    </row>
    <row r="704">
      <c r="A704" t="n">
        <v>24</v>
      </c>
      <c r="B704" t="inlineStr">
        <is>
          <t>MeOH</t>
        </is>
      </c>
      <c r="L704" s="23" t="inlineStr">
        <is>
          <t>Average</t>
        </is>
      </c>
      <c r="M704" s="23" t="inlineStr">
        <is>
          <t>Stdev</t>
        </is>
      </c>
      <c r="N704" s="9" t="inlineStr">
        <is>
          <t>Combined</t>
        </is>
      </c>
      <c r="Q704" t="inlineStr">
        <is>
          <t>K3-4A</t>
        </is>
      </c>
      <c r="R704" t="n">
        <v>1.0704</v>
      </c>
    </row>
    <row r="705">
      <c r="A705" t="n">
        <v>25</v>
      </c>
      <c r="B705" t="inlineStr">
        <is>
          <t>K4-4A</t>
        </is>
      </c>
      <c r="F705" t="n">
        <v>1051.351</v>
      </c>
      <c r="H705">
        <f>E705/F705</f>
        <v/>
      </c>
      <c r="I705">
        <f>((H705-$J$680)/$I$680)</f>
        <v/>
      </c>
      <c r="J705">
        <f>(I705-IF(I688&gt;0,I688,0))</f>
        <v/>
      </c>
      <c r="K705">
        <f>J705/R689*1.1</f>
        <v/>
      </c>
      <c r="L705">
        <f>AVERAGE(K705:K707)</f>
        <v/>
      </c>
      <c r="M705">
        <f>STDEV(K706:K707)</f>
        <v/>
      </c>
      <c r="N705">
        <f>_xlfn.CONCAT(ROUND(L705,1)," ± ",ROUND(M705,1))</f>
        <v/>
      </c>
      <c r="Q705" t="inlineStr">
        <is>
          <t>K3-4B</t>
        </is>
      </c>
      <c r="R705" t="n">
        <v>1.1589</v>
      </c>
    </row>
    <row r="706">
      <c r="A706" t="n">
        <v>26</v>
      </c>
      <c r="B706" t="inlineStr">
        <is>
          <t>K4-4B</t>
        </is>
      </c>
      <c r="D706" t="n">
        <v>7.57</v>
      </c>
      <c r="E706" t="n">
        <v>0.32</v>
      </c>
      <c r="F706" t="n">
        <v>1035.151</v>
      </c>
      <c r="G706" t="n">
        <v>6</v>
      </c>
      <c r="H706">
        <f>E706/F706</f>
        <v/>
      </c>
      <c r="I706">
        <f>((H706-$J$680)/$I$680)</f>
        <v/>
      </c>
      <c r="J706">
        <f>(I706-IF(I688&gt;0,I688,0))</f>
        <v/>
      </c>
      <c r="K706">
        <f>J706/R690*1.1</f>
        <v/>
      </c>
      <c r="Q706" t="inlineStr">
        <is>
          <t>K3-4C</t>
        </is>
      </c>
      <c r="R706" t="n">
        <v>1.0206</v>
      </c>
    </row>
    <row r="707">
      <c r="A707" t="n">
        <v>27</v>
      </c>
      <c r="B707" t="inlineStr">
        <is>
          <t>K4-4C</t>
        </is>
      </c>
      <c r="D707" t="n">
        <v>8.26</v>
      </c>
      <c r="E707" t="n">
        <v>7.245</v>
      </c>
      <c r="F707" t="n">
        <v>822.99</v>
      </c>
      <c r="G707" t="n">
        <v>90</v>
      </c>
      <c r="H707">
        <f>E707/F707</f>
        <v/>
      </c>
      <c r="I707">
        <f>((H707-$J$680)/$I$680)</f>
        <v/>
      </c>
      <c r="J707">
        <f>(I707-IF(I688&gt;0,I688,0))</f>
        <v/>
      </c>
      <c r="K707">
        <f>J707/R691*1.1</f>
        <v/>
      </c>
      <c r="L707" s="23" t="inlineStr">
        <is>
          <t>Average</t>
        </is>
      </c>
      <c r="M707" s="23" t="inlineStr">
        <is>
          <t>Stdev</t>
        </is>
      </c>
      <c r="N707" s="9" t="inlineStr">
        <is>
          <t>Combined</t>
        </is>
      </c>
      <c r="Q707" t="inlineStr">
        <is>
          <t>K3-6A</t>
        </is>
      </c>
      <c r="R707" t="n">
        <v>1.1289</v>
      </c>
    </row>
    <row r="708">
      <c r="A708" t="n">
        <v>28</v>
      </c>
      <c r="B708" t="inlineStr">
        <is>
          <t>K4-5A</t>
        </is>
      </c>
      <c r="F708" t="n">
        <v>985.0170000000001</v>
      </c>
      <c r="H708">
        <f>E708/F708</f>
        <v/>
      </c>
      <c r="I708">
        <f>((H708-$J$680)/$I$680)</f>
        <v/>
      </c>
      <c r="J708">
        <f>(I708-IF(I688&gt;0,I688,0))</f>
        <v/>
      </c>
      <c r="K708">
        <f>J708/R692*1.1</f>
        <v/>
      </c>
      <c r="L708">
        <f>AVERAGE(K708:K710)</f>
        <v/>
      </c>
      <c r="M708">
        <f>STDEV(K708:K710)</f>
        <v/>
      </c>
      <c r="N708">
        <f>_xlfn.CONCAT(ROUND(L708,1)," ± ",ROUND(M708,1))</f>
        <v/>
      </c>
      <c r="Q708" t="inlineStr">
        <is>
          <t>K3-6B</t>
        </is>
      </c>
      <c r="R708" t="n">
        <v>1.195</v>
      </c>
    </row>
    <row r="709">
      <c r="A709" t="n">
        <v>29</v>
      </c>
      <c r="B709" t="inlineStr">
        <is>
          <t>K4-5B</t>
        </is>
      </c>
      <c r="D709" t="n">
        <v>8.6</v>
      </c>
      <c r="E709" t="n">
        <v>14.591</v>
      </c>
      <c r="F709" t="n">
        <v>1024.411</v>
      </c>
      <c r="G709" t="n">
        <v>205</v>
      </c>
      <c r="H709">
        <f>E709/F709</f>
        <v/>
      </c>
      <c r="I709">
        <f>((H709-$J$680)/$I$680)</f>
        <v/>
      </c>
      <c r="J709">
        <f>(I709-IF(I688&gt;0,I688,0))</f>
        <v/>
      </c>
      <c r="K709">
        <f>J709/R693*1.1</f>
        <v/>
      </c>
      <c r="Q709" t="inlineStr">
        <is>
          <t>K3-6C</t>
        </is>
      </c>
      <c r="R709" t="n">
        <v>1.1716</v>
      </c>
    </row>
    <row r="710">
      <c r="A710" t="n">
        <v>30</v>
      </c>
      <c r="B710" t="inlineStr">
        <is>
          <t>K4-5C</t>
        </is>
      </c>
      <c r="D710" t="n">
        <v>8.18</v>
      </c>
      <c r="E710" t="n">
        <v>0.351</v>
      </c>
      <c r="F710" t="n">
        <v>1313.31</v>
      </c>
      <c r="G710" t="n">
        <v>6</v>
      </c>
      <c r="H710">
        <f>E710/F710</f>
        <v/>
      </c>
      <c r="I710">
        <f>((H710-$J$680)/$I$680)</f>
        <v/>
      </c>
      <c r="J710">
        <f>(I710-IF(I688&gt;0,I688,0))</f>
        <v/>
      </c>
      <c r="K710">
        <f>J710/R694*1.1</f>
        <v/>
      </c>
      <c r="L710" s="23" t="n"/>
      <c r="M710" s="23" t="n"/>
      <c r="N710" s="9" t="n"/>
    </row>
    <row r="711">
      <c r="A711" t="n">
        <v>31</v>
      </c>
      <c r="B711" t="inlineStr">
        <is>
          <t>MeOH</t>
        </is>
      </c>
      <c r="D711" t="n">
        <v>8.18</v>
      </c>
      <c r="E711" t="n">
        <v>218.737</v>
      </c>
      <c r="G711" t="n">
        <v>14.402</v>
      </c>
      <c r="L711" s="23" t="inlineStr">
        <is>
          <t>Average</t>
        </is>
      </c>
      <c r="M711" s="23" t="inlineStr">
        <is>
          <t>Stdev</t>
        </is>
      </c>
      <c r="N711" s="9" t="inlineStr">
        <is>
          <t>Combined</t>
        </is>
      </c>
    </row>
    <row r="712">
      <c r="A712" t="n">
        <v>32</v>
      </c>
      <c r="B712" t="inlineStr">
        <is>
          <t>K3-1A</t>
        </is>
      </c>
      <c r="D712" t="n">
        <v>8.210000000000001</v>
      </c>
      <c r="E712" t="n">
        <v>1.462</v>
      </c>
      <c r="F712" t="n">
        <v>1115.547</v>
      </c>
      <c r="G712" t="n">
        <v>24</v>
      </c>
      <c r="H712">
        <f>E712/F712</f>
        <v/>
      </c>
      <c r="I712">
        <f>((H712-$J$680)/$I$680)</f>
        <v/>
      </c>
      <c r="J712">
        <f>(I712-IF(I688&gt;0,I688,0))</f>
        <v/>
      </c>
      <c r="K712">
        <f>J712/R695*1.1</f>
        <v/>
      </c>
      <c r="L712">
        <f>AVERAGE(K712:K714)</f>
        <v/>
      </c>
      <c r="M712">
        <f>STDEV(K713:K714)</f>
        <v/>
      </c>
      <c r="N712">
        <f>_xlfn.CONCAT(ROUND(L712,1)," ± ",ROUND(M712,1))</f>
        <v/>
      </c>
    </row>
    <row r="713">
      <c r="A713" t="n">
        <v>33</v>
      </c>
      <c r="B713" t="inlineStr">
        <is>
          <t>K3-1B</t>
        </is>
      </c>
      <c r="D713" t="n">
        <v>8.039999999999999</v>
      </c>
      <c r="E713" t="n">
        <v>59.68</v>
      </c>
      <c r="F713" t="n">
        <v>868.492</v>
      </c>
      <c r="G713" t="n">
        <v>610</v>
      </c>
      <c r="H713">
        <f>E713/F713</f>
        <v/>
      </c>
      <c r="I713">
        <f>((H713-$J$680)/$I$680)</f>
        <v/>
      </c>
      <c r="J713">
        <f>(I713-IF(I688&gt;0,I688,0))</f>
        <v/>
      </c>
      <c r="K713">
        <f>J713/R696*1.1</f>
        <v/>
      </c>
    </row>
    <row r="714">
      <c r="A714" t="n">
        <v>34</v>
      </c>
      <c r="B714" t="inlineStr">
        <is>
          <t>K3-1C</t>
        </is>
      </c>
      <c r="D714" t="n">
        <v>8.08</v>
      </c>
      <c r="E714" t="n">
        <v>5.668</v>
      </c>
      <c r="F714" t="n">
        <v>1891.713</v>
      </c>
      <c r="G714" t="n">
        <v>10.979</v>
      </c>
      <c r="H714">
        <f>E714/F714</f>
        <v/>
      </c>
      <c r="I714">
        <f>((H714-$J$680)/$I$680)</f>
        <v/>
      </c>
      <c r="J714">
        <f>(I714-IF(I688&gt;0,I688,0))</f>
        <v/>
      </c>
      <c r="K714">
        <f>J714/R697*1.1</f>
        <v/>
      </c>
      <c r="L714" s="23" t="inlineStr">
        <is>
          <t>Average</t>
        </is>
      </c>
      <c r="M714" s="23" t="inlineStr">
        <is>
          <t>Stdev</t>
        </is>
      </c>
      <c r="N714" s="9" t="inlineStr">
        <is>
          <t>Combined</t>
        </is>
      </c>
    </row>
    <row r="715">
      <c r="A715" t="n">
        <v>35</v>
      </c>
      <c r="B715" t="inlineStr">
        <is>
          <t>K3-2A</t>
        </is>
      </c>
      <c r="D715" t="n">
        <v>8.539999999999999</v>
      </c>
      <c r="E715" t="n">
        <v>1.796</v>
      </c>
      <c r="F715" t="n">
        <v>1176.041</v>
      </c>
      <c r="G715" t="n">
        <v>26</v>
      </c>
      <c r="H715">
        <f>E715/F715</f>
        <v/>
      </c>
      <c r="I715">
        <f>((H715-$J$680)/$I$680)</f>
        <v/>
      </c>
      <c r="J715">
        <f>(I715-IF(I688&gt;0,I688,0))</f>
        <v/>
      </c>
      <c r="K715">
        <f>J715/R698*1.1</f>
        <v/>
      </c>
      <c r="L715">
        <f>AVERAGE(K715:K717)</f>
        <v/>
      </c>
      <c r="M715">
        <f>STDEV(K715:K717)</f>
        <v/>
      </c>
      <c r="N715">
        <f>_xlfn.CONCAT(ROUND(L715,1)," ± ",ROUND(M715,1))</f>
        <v/>
      </c>
    </row>
    <row r="716">
      <c r="A716" t="n">
        <v>36</v>
      </c>
      <c r="B716" t="inlineStr">
        <is>
          <t>K3-2B</t>
        </is>
      </c>
      <c r="F716" t="n">
        <v>1321.349</v>
      </c>
      <c r="H716">
        <f>E716/F716</f>
        <v/>
      </c>
      <c r="I716">
        <f>((H716-$J$680)/$I$680)</f>
        <v/>
      </c>
      <c r="J716">
        <f>(I716-IF(I688&gt;0,I688,0))</f>
        <v/>
      </c>
      <c r="K716">
        <f>J716/R699*1.1</f>
        <v/>
      </c>
    </row>
    <row r="717">
      <c r="A717" t="n">
        <v>37</v>
      </c>
      <c r="B717" t="inlineStr">
        <is>
          <t>K3-2C</t>
        </is>
      </c>
      <c r="D717" t="n">
        <v>7.94</v>
      </c>
      <c r="E717" t="n">
        <v>3.163</v>
      </c>
      <c r="F717" t="n">
        <v>1479.533</v>
      </c>
      <c r="G717" t="n">
        <v>63</v>
      </c>
      <c r="H717">
        <f>E717/F717</f>
        <v/>
      </c>
      <c r="I717">
        <f>((H717-$J$680)/$I$680)</f>
        <v/>
      </c>
      <c r="J717">
        <f>(I717-IF(I688&gt;0,I688,0))</f>
        <v/>
      </c>
      <c r="K717">
        <f>J717/R700*1.1</f>
        <v/>
      </c>
      <c r="L717" s="23" t="n"/>
      <c r="M717" s="23" t="n"/>
      <c r="N717" s="9" t="n"/>
    </row>
    <row r="718">
      <c r="A718" t="n">
        <v>38</v>
      </c>
      <c r="B718" t="inlineStr">
        <is>
          <t>MeOH</t>
        </is>
      </c>
      <c r="L718" s="23" t="inlineStr">
        <is>
          <t>Average</t>
        </is>
      </c>
      <c r="M718" s="23" t="inlineStr">
        <is>
          <t>Stdev</t>
        </is>
      </c>
      <c r="N718" s="9" t="inlineStr">
        <is>
          <t>Combined</t>
        </is>
      </c>
    </row>
    <row r="719">
      <c r="A719" t="n">
        <v>39</v>
      </c>
      <c r="B719" t="inlineStr">
        <is>
          <t>K3-3A</t>
        </is>
      </c>
      <c r="D719" t="n">
        <v>8.789999999999999</v>
      </c>
      <c r="E719" t="n">
        <v>16.29</v>
      </c>
      <c r="F719" t="n">
        <v>1517.701</v>
      </c>
      <c r="G719" t="n">
        <v>229</v>
      </c>
      <c r="H719">
        <f>E719/F719</f>
        <v/>
      </c>
      <c r="I719">
        <f>((H719-$J$680)/$I$680)</f>
        <v/>
      </c>
      <c r="J719">
        <f>(I719-IF(I688&gt;0,I688,0))</f>
        <v/>
      </c>
      <c r="K719">
        <f>J719/R701*1.1</f>
        <v/>
      </c>
      <c r="L719">
        <f>AVERAGE(K719:K721)</f>
        <v/>
      </c>
      <c r="M719">
        <f>STDEV(K720:K721)</f>
        <v/>
      </c>
      <c r="N719">
        <f>_xlfn.CONCAT(ROUND(L719,1)," ± ",ROUND(M719,1))</f>
        <v/>
      </c>
    </row>
    <row r="720">
      <c r="A720" t="n">
        <v>40</v>
      </c>
      <c r="B720" t="inlineStr">
        <is>
          <t>K3-3B</t>
        </is>
      </c>
      <c r="D720" t="n">
        <v>7.71</v>
      </c>
      <c r="E720" t="n">
        <v>1.077</v>
      </c>
      <c r="F720" t="n">
        <v>1453.885</v>
      </c>
      <c r="G720" t="n">
        <v>21</v>
      </c>
      <c r="H720">
        <f>E720/F720</f>
        <v/>
      </c>
      <c r="I720">
        <f>((H720-$J$680)/$I$680)</f>
        <v/>
      </c>
      <c r="J720">
        <f>(I720-IF(I688&gt;0,I688,0))</f>
        <v/>
      </c>
      <c r="K720">
        <f>J720/R702*1.1</f>
        <v/>
      </c>
    </row>
    <row r="721">
      <c r="A721" t="n">
        <v>41</v>
      </c>
      <c r="B721" t="inlineStr">
        <is>
          <t>K3-3C</t>
        </is>
      </c>
      <c r="F721" t="n">
        <v>1930.228</v>
      </c>
      <c r="H721">
        <f>E721/F721</f>
        <v/>
      </c>
      <c r="I721">
        <f>((H721-$J$680)/$I$680)</f>
        <v/>
      </c>
      <c r="J721">
        <f>(I721-IF(I688&gt;0,I688,0))</f>
        <v/>
      </c>
      <c r="K721">
        <f>J721/R703*1.1</f>
        <v/>
      </c>
      <c r="L721" s="23" t="inlineStr">
        <is>
          <t>Average</t>
        </is>
      </c>
      <c r="M721" s="23" t="inlineStr">
        <is>
          <t>Stdev</t>
        </is>
      </c>
      <c r="N721" s="9" t="inlineStr">
        <is>
          <t>Combined</t>
        </is>
      </c>
    </row>
    <row r="722">
      <c r="A722" t="n">
        <v>42</v>
      </c>
      <c r="B722" t="inlineStr">
        <is>
          <t>K3-4A</t>
        </is>
      </c>
      <c r="D722" t="n">
        <v>7.91</v>
      </c>
      <c r="E722" t="n">
        <v>0.211</v>
      </c>
      <c r="F722" t="n">
        <v>2454.78</v>
      </c>
      <c r="G722" t="n">
        <v>4</v>
      </c>
      <c r="H722">
        <f>E722/F722</f>
        <v/>
      </c>
      <c r="I722">
        <f>((H722-$J$680)/$I$680)</f>
        <v/>
      </c>
      <c r="J722">
        <f>(I722-IF(I688&gt;0,I688,0))</f>
        <v/>
      </c>
      <c r="K722">
        <f>J722/R704*1.1</f>
        <v/>
      </c>
      <c r="L722">
        <f>AVERAGE(K722:K724)</f>
        <v/>
      </c>
      <c r="M722">
        <f>STDEV(K722:K724)</f>
        <v/>
      </c>
      <c r="N722">
        <f>_xlfn.CONCAT(ROUND(L722,1)," ± ",ROUND(M722,1))</f>
        <v/>
      </c>
    </row>
    <row r="723">
      <c r="A723" t="n">
        <v>43</v>
      </c>
      <c r="B723" t="inlineStr">
        <is>
          <t>K3-4B</t>
        </is>
      </c>
      <c r="D723" t="n">
        <v>8.07</v>
      </c>
      <c r="E723" t="n">
        <v>7.899</v>
      </c>
      <c r="F723" t="n">
        <v>2046.805</v>
      </c>
      <c r="G723" t="n">
        <v>132</v>
      </c>
      <c r="H723">
        <f>E723/F723</f>
        <v/>
      </c>
      <c r="I723">
        <f>((H723-$J$680)/$I$680)</f>
        <v/>
      </c>
      <c r="J723">
        <f>(I723-IF(I688&gt;0,I688,0))</f>
        <v/>
      </c>
      <c r="K723">
        <f>J723/R705*1.1</f>
        <v/>
      </c>
    </row>
    <row r="724">
      <c r="A724" t="n">
        <v>44</v>
      </c>
      <c r="B724" t="inlineStr">
        <is>
          <t>K3-4C</t>
        </is>
      </c>
      <c r="D724" t="n">
        <v>8.300000000000001</v>
      </c>
      <c r="E724" t="n">
        <v>13.216</v>
      </c>
      <c r="F724" t="n">
        <v>1963.707</v>
      </c>
      <c r="G724" t="n">
        <v>216</v>
      </c>
      <c r="H724">
        <f>E724/F724</f>
        <v/>
      </c>
      <c r="I724">
        <f>((H724-$J$680)/$I$680)</f>
        <v/>
      </c>
      <c r="J724">
        <f>(I724-IF(I688&gt;0,I688,0))</f>
        <v/>
      </c>
      <c r="K724">
        <f>J724/R706*1.1</f>
        <v/>
      </c>
      <c r="L724" s="23" t="n"/>
      <c r="M724" s="23" t="n"/>
      <c r="N724" s="9" t="n"/>
    </row>
    <row r="725">
      <c r="A725" t="n">
        <v>45</v>
      </c>
      <c r="B725" t="inlineStr">
        <is>
          <t>MeOH</t>
        </is>
      </c>
      <c r="D725" t="n">
        <v>8.300000000000001</v>
      </c>
      <c r="E725" t="n">
        <v>319.027</v>
      </c>
      <c r="G725" t="n">
        <v>25.575</v>
      </c>
      <c r="L725" s="23" t="inlineStr">
        <is>
          <t>Average</t>
        </is>
      </c>
      <c r="M725" s="23" t="inlineStr">
        <is>
          <t>Stdev</t>
        </is>
      </c>
      <c r="N725" s="9" t="inlineStr">
        <is>
          <t>Combined</t>
        </is>
      </c>
    </row>
    <row r="726">
      <c r="A726" t="n">
        <v>46</v>
      </c>
      <c r="B726" t="inlineStr">
        <is>
          <t>K3-6A</t>
        </is>
      </c>
      <c r="D726" t="n">
        <v>7.93</v>
      </c>
      <c r="E726" t="n">
        <v>7.351</v>
      </c>
      <c r="F726" t="n">
        <v>2063.159</v>
      </c>
      <c r="G726" t="n">
        <v>144</v>
      </c>
      <c r="H726">
        <f>E726/F726</f>
        <v/>
      </c>
      <c r="I726">
        <f>((H726-$J$680)/$I$680)</f>
        <v/>
      </c>
      <c r="J726">
        <f>(I726-IF(I688&gt;0,I688,0))</f>
        <v/>
      </c>
      <c r="K726">
        <f>J726/R707*1.1</f>
        <v/>
      </c>
      <c r="L726">
        <f>AVERAGE(K726:K728)</f>
        <v/>
      </c>
      <c r="M726">
        <f>STDEV(K727:K728)</f>
        <v/>
      </c>
      <c r="N726">
        <f>_xlfn.CONCAT(ROUND(L726,1)," ± ",ROUND(M726,1))</f>
        <v/>
      </c>
    </row>
    <row r="727">
      <c r="A727" t="n">
        <v>47</v>
      </c>
      <c r="B727" t="inlineStr">
        <is>
          <t>K3-6B</t>
        </is>
      </c>
      <c r="D727" t="n">
        <v>8.17</v>
      </c>
      <c r="E727" t="n">
        <v>4.207</v>
      </c>
      <c r="F727" t="n">
        <v>1701.403</v>
      </c>
      <c r="G727" t="n">
        <v>70</v>
      </c>
      <c r="H727">
        <f>E727/F727</f>
        <v/>
      </c>
      <c r="I727">
        <f>((H727-$J$680)/$I$680)</f>
        <v/>
      </c>
      <c r="J727">
        <f>(I727-IF(I688&gt;0,I688,0))</f>
        <v/>
      </c>
      <c r="K727">
        <f>J727/R708*1.1</f>
        <v/>
      </c>
    </row>
    <row r="728">
      <c r="A728" t="n">
        <v>48</v>
      </c>
      <c r="B728" t="inlineStr">
        <is>
          <t>K3-6C</t>
        </is>
      </c>
      <c r="D728" t="n">
        <v>8.27</v>
      </c>
      <c r="E728" t="n">
        <v>9.449999999999999</v>
      </c>
      <c r="F728" t="n">
        <v>1921.069</v>
      </c>
      <c r="G728" t="n">
        <v>157</v>
      </c>
      <c r="H728">
        <f>E728/F728</f>
        <v/>
      </c>
      <c r="I728">
        <f>((H728-$J$680)/$I$680)</f>
        <v/>
      </c>
      <c r="J728">
        <f>(I728-IF(I688&gt;0,I688,0))</f>
        <v/>
      </c>
      <c r="K728">
        <f>J728/R709*1.1</f>
        <v/>
      </c>
      <c r="L728" s="23" t="n"/>
      <c r="M728" s="23" t="n"/>
      <c r="N728" s="9" t="n"/>
    </row>
    <row r="730">
      <c r="A730" s="18" t="inlineStr">
        <is>
          <t>Compound 26:  4:2 FTS 1</t>
        </is>
      </c>
      <c r="B730" s="18" t="n"/>
    </row>
    <row r="731">
      <c r="I731" t="inlineStr">
        <is>
          <t>LINEST</t>
        </is>
      </c>
      <c r="Q731" t="inlineStr">
        <is>
          <t>Biosolids Masses</t>
        </is>
      </c>
      <c r="R731" t="inlineStr">
        <is>
          <t>(g)</t>
        </is>
      </c>
    </row>
    <row r="732">
      <c r="B732" t="inlineStr">
        <is>
          <t>Sample Text</t>
        </is>
      </c>
      <c r="C732" t="inlineStr">
        <is>
          <t>Std. Conc</t>
        </is>
      </c>
      <c r="D732" t="inlineStr">
        <is>
          <t>RT</t>
        </is>
      </c>
      <c r="E732" t="inlineStr">
        <is>
          <t>Area</t>
        </is>
      </c>
      <c r="F732" t="inlineStr">
        <is>
          <t>IS Area</t>
        </is>
      </c>
      <c r="G732" t="inlineStr">
        <is>
          <t>S/N</t>
        </is>
      </c>
      <c r="H732" t="inlineStr">
        <is>
          <t>ratio</t>
        </is>
      </c>
      <c r="I732">
        <f t="array" ref="I732:J736">LINEST(H736:H740,C736:C740,1,1)</f>
        <v/>
      </c>
      <c r="J732" t="n">
        <v>-0.1341867671258395</v>
      </c>
      <c r="L732" s="20" t="inlineStr">
        <is>
          <t>By S/N Ratio</t>
        </is>
      </c>
      <c r="Q732" t="inlineStr">
        <is>
          <t>SS1</t>
        </is>
      </c>
      <c r="R732" t="n">
        <v>1.0846</v>
      </c>
    </row>
    <row r="733">
      <c r="A733" t="n">
        <v>1</v>
      </c>
      <c r="B733" t="inlineStr">
        <is>
          <t>EPA1633 &amp; diPAPs Calibration 0 ppb</t>
        </is>
      </c>
      <c r="C733" t="n">
        <v>0</v>
      </c>
      <c r="F733" t="n">
        <v>2771.78</v>
      </c>
      <c r="H733">
        <f>E733/F733</f>
        <v/>
      </c>
      <c r="I733" t="n">
        <v>0.002246945973677503</v>
      </c>
      <c r="J733" t="n">
        <v>0.09219906859972785</v>
      </c>
      <c r="K733" t="inlineStr">
        <is>
          <t>LOD</t>
        </is>
      </c>
      <c r="L733" s="21">
        <f>IF(G736&gt;3,C736,IF(G737&gt;3,C737,IF(G738&gt;3,C738,IF(G739&gt;3,C739,C740))))</f>
        <v/>
      </c>
      <c r="Q733" t="inlineStr">
        <is>
          <t>SS2</t>
        </is>
      </c>
      <c r="R733" t="n">
        <v>1.0726</v>
      </c>
    </row>
    <row r="734">
      <c r="A734" t="n">
        <v>2</v>
      </c>
      <c r="B734" t="inlineStr">
        <is>
          <t>EPA1633 &amp; diPAPs Calibration 0.02 ppb</t>
        </is>
      </c>
      <c r="C734" t="n">
        <v>0.08</v>
      </c>
      <c r="D734" t="n">
        <v>8.6</v>
      </c>
      <c r="E734" t="n">
        <v>4.659</v>
      </c>
      <c r="F734" t="n">
        <v>2613.678</v>
      </c>
      <c r="G734" t="n">
        <v>67</v>
      </c>
      <c r="H734">
        <f>E734/F734</f>
        <v/>
      </c>
      <c r="I734" t="n">
        <v>0.9837123220783596</v>
      </c>
      <c r="J734" t="n">
        <v>0.1452488167620964</v>
      </c>
      <c r="K734" t="inlineStr">
        <is>
          <t>LOQ</t>
        </is>
      </c>
      <c r="L734" s="22">
        <f>IF(G736&gt;10,C736,IF(G737&gt;10,C737,IF(G738&gt;10,C738,IF(G739&gt;10,C739,C740))))</f>
        <v/>
      </c>
      <c r="Q734" t="inlineStr">
        <is>
          <t>SS3</t>
        </is>
      </c>
      <c r="R734" t="n">
        <v>1.1534</v>
      </c>
    </row>
    <row r="735">
      <c r="A735" t="n">
        <v>3</v>
      </c>
      <c r="B735" t="inlineStr">
        <is>
          <t>EPA1633 &amp; diPAPs Calibration 0.1 ppb</t>
        </is>
      </c>
      <c r="C735" t="n">
        <v>0.4</v>
      </c>
      <c r="F735" t="n">
        <v>2704.411</v>
      </c>
      <c r="H735">
        <f>E735/F735</f>
        <v/>
      </c>
      <c r="I735" t="n">
        <v>181.1883179685229</v>
      </c>
      <c r="J735" t="n">
        <v>3</v>
      </c>
      <c r="Q735" t="inlineStr">
        <is>
          <t>K4-1A</t>
        </is>
      </c>
      <c r="R735" t="n">
        <v>1.0267</v>
      </c>
    </row>
    <row r="736">
      <c r="A736" t="n">
        <v>4</v>
      </c>
      <c r="B736" t="inlineStr">
        <is>
          <t>EPA1633 &amp; diPAPs Calibration 0.4 ppb</t>
        </is>
      </c>
      <c r="C736" t="n">
        <v>1.6</v>
      </c>
      <c r="D736" t="n">
        <v>8.68</v>
      </c>
      <c r="E736" t="n">
        <v>91.667</v>
      </c>
      <c r="F736" t="n">
        <v>2633.712</v>
      </c>
      <c r="G736" t="n">
        <v>4.528</v>
      </c>
      <c r="H736">
        <f>E736/F736</f>
        <v/>
      </c>
      <c r="I736" t="n">
        <v>3.822569582893216</v>
      </c>
      <c r="J736" t="n">
        <v>0.06329165631236712</v>
      </c>
      <c r="Q736" t="inlineStr">
        <is>
          <t>K4-1B</t>
        </is>
      </c>
      <c r="R736" t="n">
        <v>1.1481</v>
      </c>
    </row>
    <row r="737">
      <c r="A737" t="n">
        <v>5</v>
      </c>
      <c r="B737" t="inlineStr">
        <is>
          <t>EPA1633 &amp; diPAPs Calibration 1 ppb</t>
        </is>
      </c>
      <c r="C737" t="n">
        <v>4</v>
      </c>
      <c r="D737" t="n">
        <v>8.69</v>
      </c>
      <c r="E737" t="n">
        <v>106.28</v>
      </c>
      <c r="F737" t="n">
        <v>2798.003</v>
      </c>
      <c r="G737" t="n">
        <v>1179</v>
      </c>
      <c r="H737">
        <f>E737/F737</f>
        <v/>
      </c>
      <c r="Q737" t="inlineStr">
        <is>
          <t>K4-1C</t>
        </is>
      </c>
      <c r="R737" t="n">
        <v>1.0402</v>
      </c>
    </row>
    <row r="738">
      <c r="A738" t="n">
        <v>6</v>
      </c>
      <c r="B738" t="inlineStr">
        <is>
          <t>EPA1633 &amp; diPAPs Calibration 5 ppb</t>
        </is>
      </c>
      <c r="C738" t="n">
        <v>20</v>
      </c>
      <c r="D738" t="n">
        <v>8.49</v>
      </c>
      <c r="E738" t="n">
        <v>792.333</v>
      </c>
      <c r="F738" t="n">
        <v>2309.18</v>
      </c>
      <c r="G738" t="n">
        <v>8423</v>
      </c>
      <c r="H738">
        <f>E738/F738</f>
        <v/>
      </c>
      <c r="Q738" t="inlineStr">
        <is>
          <t>K4-2A</t>
        </is>
      </c>
      <c r="R738" t="n">
        <v>1.127</v>
      </c>
    </row>
    <row r="739">
      <c r="A739" t="n">
        <v>7</v>
      </c>
      <c r="B739" t="inlineStr">
        <is>
          <t>EPA1633 &amp; diPAPs Calibration 10 ppb</t>
        </is>
      </c>
      <c r="C739" t="n">
        <v>40</v>
      </c>
      <c r="D739" t="n">
        <v>8.56</v>
      </c>
      <c r="E739" t="n">
        <v>1934.727</v>
      </c>
      <c r="F739" t="n">
        <v>2072.812</v>
      </c>
      <c r="G739" t="n">
        <v>16975</v>
      </c>
      <c r="H739">
        <f>E739/F739</f>
        <v/>
      </c>
      <c r="I739" s="23" t="inlineStr">
        <is>
          <t>Background</t>
        </is>
      </c>
      <c r="J739" s="23" t="inlineStr">
        <is>
          <t>Spike</t>
        </is>
      </c>
      <c r="K739" s="9" t="inlineStr">
        <is>
          <t>Old Spike</t>
        </is>
      </c>
      <c r="O739" s="24" t="inlineStr">
        <is>
          <t>±</t>
        </is>
      </c>
      <c r="Q739" t="inlineStr">
        <is>
          <t>K4-2B</t>
        </is>
      </c>
      <c r="R739" t="n">
        <v>1.1154</v>
      </c>
    </row>
    <row r="740">
      <c r="A740" t="n">
        <v>8</v>
      </c>
      <c r="B740" t="inlineStr">
        <is>
          <t>EPA1633 &amp; diPAPs Calibration 20 ppb</t>
        </is>
      </c>
      <c r="C740" t="n">
        <v>80</v>
      </c>
      <c r="D740" t="n">
        <v>8.609999999999999</v>
      </c>
      <c r="E740" t="n">
        <v>4059.792</v>
      </c>
      <c r="F740" t="n">
        <v>1703.301</v>
      </c>
      <c r="G740" t="n">
        <v>578.33</v>
      </c>
      <c r="H740">
        <f>E740/F740</f>
        <v/>
      </c>
      <c r="I740">
        <f>AVERAGE(I743:I745)</f>
        <v/>
      </c>
      <c r="J740" t="n">
        <v>44</v>
      </c>
      <c r="Q740" t="inlineStr">
        <is>
          <t>K4-2C</t>
        </is>
      </c>
      <c r="R740" t="n">
        <v>1.1711</v>
      </c>
    </row>
    <row r="741">
      <c r="A741" t="n">
        <v>9</v>
      </c>
      <c r="B741" t="inlineStr">
        <is>
          <t>MeOH</t>
        </is>
      </c>
      <c r="I741" s="23" t="inlineStr">
        <is>
          <t>Conc.In Vial (ppb)</t>
        </is>
      </c>
      <c r="J741" s="9" t="inlineStr">
        <is>
          <t>Corr. Conc.(ppb)</t>
        </is>
      </c>
      <c r="K741" s="9" t="inlineStr">
        <is>
          <t>Conc. In soil (ng/g)</t>
        </is>
      </c>
      <c r="Q741" t="inlineStr">
        <is>
          <t>K4-4A</t>
        </is>
      </c>
      <c r="R741" t="n">
        <v>1.0932</v>
      </c>
    </row>
    <row r="742">
      <c r="A742" t="n">
        <v>10</v>
      </c>
      <c r="B742" t="inlineStr">
        <is>
          <t>MeOH</t>
        </is>
      </c>
      <c r="D742" t="n">
        <v>9.06</v>
      </c>
      <c r="E742" t="n">
        <v>0.545</v>
      </c>
      <c r="G742" t="n">
        <v>6</v>
      </c>
      <c r="L742" s="23" t="inlineStr">
        <is>
          <t>Average</t>
        </is>
      </c>
      <c r="M742" s="23" t="inlineStr">
        <is>
          <t>Stdev</t>
        </is>
      </c>
      <c r="N742" s="9" t="inlineStr">
        <is>
          <t>Combined</t>
        </is>
      </c>
      <c r="O742" s="9" t="n"/>
      <c r="P742" s="9" t="n"/>
      <c r="Q742" t="inlineStr">
        <is>
          <t>K4-4B</t>
        </is>
      </c>
      <c r="R742" t="n">
        <v>1.15</v>
      </c>
    </row>
    <row r="743">
      <c r="A743" t="n">
        <v>11</v>
      </c>
      <c r="B743" t="inlineStr">
        <is>
          <t>SB1</t>
        </is>
      </c>
      <c r="F743" t="n">
        <v>802.6180000000001</v>
      </c>
      <c r="H743">
        <f>E743/F743</f>
        <v/>
      </c>
      <c r="I743">
        <f>((H743-$J$732)/$I$732)</f>
        <v/>
      </c>
      <c r="J743">
        <f>(I743-IF(I740&gt;0,I740,0))</f>
        <v/>
      </c>
      <c r="K743">
        <f>J743*1.1</f>
        <v/>
      </c>
      <c r="L743">
        <f>AVERAGE(K743:K745)</f>
        <v/>
      </c>
      <c r="M743">
        <f>STDEV(K744:K745)</f>
        <v/>
      </c>
      <c r="N743">
        <f>_xlfn.CONCAT(ROUND(L743,1)," ± ",ROUND(M743,1))</f>
        <v/>
      </c>
      <c r="Q743" t="inlineStr">
        <is>
          <t>K4-4C</t>
        </is>
      </c>
      <c r="R743" t="n">
        <v>1.0482</v>
      </c>
    </row>
    <row r="744">
      <c r="A744" t="n">
        <v>12</v>
      </c>
      <c r="B744" t="inlineStr">
        <is>
          <t>SB2</t>
        </is>
      </c>
      <c r="F744" t="n">
        <v>1039.268</v>
      </c>
      <c r="H744">
        <f>E744/F744</f>
        <v/>
      </c>
      <c r="I744">
        <f>((H744-$J$732)/$I$732)</f>
        <v/>
      </c>
      <c r="J744">
        <f>(I744-IF(I740&gt;0,I740,0))</f>
        <v/>
      </c>
      <c r="K744">
        <f>J744*1.1</f>
        <v/>
      </c>
      <c r="Q744" t="inlineStr">
        <is>
          <t>K4-5A</t>
        </is>
      </c>
      <c r="R744" t="n">
        <v>1.1054</v>
      </c>
    </row>
    <row r="745">
      <c r="A745" t="n">
        <v>13</v>
      </c>
      <c r="B745" t="inlineStr">
        <is>
          <t>SB3</t>
        </is>
      </c>
      <c r="F745" t="n">
        <v>1005.736</v>
      </c>
      <c r="H745">
        <f>E745/F745</f>
        <v/>
      </c>
      <c r="I745">
        <f>((H745-$J$732)/$I$732)</f>
        <v/>
      </c>
      <c r="J745">
        <f>(I745-IF(I740&gt;0,I740,0))</f>
        <v/>
      </c>
      <c r="K745" s="30">
        <f>J745*1.1</f>
        <v/>
      </c>
      <c r="L745" s="25" t="inlineStr">
        <is>
          <t>Average</t>
        </is>
      </c>
      <c r="M745" s="25" t="inlineStr">
        <is>
          <t>Stdev</t>
        </is>
      </c>
      <c r="N745" s="26" t="inlineStr">
        <is>
          <t>%Recovery</t>
        </is>
      </c>
      <c r="O745" s="26" t="inlineStr">
        <is>
          <t>Uncertainty</t>
        </is>
      </c>
      <c r="P745" s="26" t="inlineStr">
        <is>
          <t>Combined</t>
        </is>
      </c>
      <c r="Q745" t="inlineStr">
        <is>
          <t>K4-5B</t>
        </is>
      </c>
      <c r="R745" s="10" t="n">
        <v>1.0463</v>
      </c>
    </row>
    <row r="746">
      <c r="A746" t="n">
        <v>14</v>
      </c>
      <c r="B746" t="inlineStr">
        <is>
          <t>SS1</t>
        </is>
      </c>
      <c r="D746" t="n">
        <v>8.75</v>
      </c>
      <c r="E746" t="n">
        <v>1006.127</v>
      </c>
      <c r="F746" t="n">
        <v>860.02</v>
      </c>
      <c r="G746" t="n">
        <v>46.347</v>
      </c>
      <c r="H746">
        <f>E746/F746</f>
        <v/>
      </c>
      <c r="I746">
        <f>((H746-$J$732)/$I$732)</f>
        <v/>
      </c>
      <c r="J746">
        <f>(I746-IF(I740&gt;0,I740,0))</f>
        <v/>
      </c>
      <c r="K746">
        <f>J746/R732*1.1</f>
        <v/>
      </c>
      <c r="L746" s="27">
        <f>AVERAGE(K746:K748)</f>
        <v/>
      </c>
      <c r="M746" s="27">
        <f>STDEV(K746:K748)</f>
        <v/>
      </c>
      <c r="N746" s="28">
        <f>L746/J740*100</f>
        <v/>
      </c>
      <c r="O746" s="29">
        <f>M746/J743*100</f>
        <v/>
      </c>
      <c r="P746" s="29">
        <f>_xlfn.CONCAT(ROUND(N746,1)," ± ",ROUND(O746,1))</f>
        <v/>
      </c>
      <c r="Q746" t="inlineStr">
        <is>
          <t>K4-5C</t>
        </is>
      </c>
      <c r="R746" t="n">
        <v>1.1155</v>
      </c>
    </row>
    <row r="747">
      <c r="A747" t="n">
        <v>15</v>
      </c>
      <c r="B747" t="inlineStr">
        <is>
          <t>SS2</t>
        </is>
      </c>
      <c r="D747" t="n">
        <v>8.76</v>
      </c>
      <c r="E747" t="n">
        <v>1083.593</v>
      </c>
      <c r="F747" t="n">
        <v>1205.224</v>
      </c>
      <c r="G747" t="n">
        <v>9316</v>
      </c>
      <c r="H747">
        <f>E747/F747</f>
        <v/>
      </c>
      <c r="I747">
        <f>((H747-$J$732)/$I$732)</f>
        <v/>
      </c>
      <c r="J747">
        <f>(I747-IF(I740&gt;0,I740,0))</f>
        <v/>
      </c>
      <c r="K747">
        <f>J747/R733*1.1</f>
        <v/>
      </c>
      <c r="Q747" t="inlineStr">
        <is>
          <t>K3-1A</t>
        </is>
      </c>
      <c r="R747" t="n">
        <v>1.0874</v>
      </c>
    </row>
    <row r="748">
      <c r="A748" t="n">
        <v>16</v>
      </c>
      <c r="B748" t="inlineStr">
        <is>
          <t>SS3</t>
        </is>
      </c>
      <c r="D748" t="n">
        <v>8.76</v>
      </c>
      <c r="E748" t="n">
        <v>1043.888</v>
      </c>
      <c r="F748" t="n">
        <v>953.783</v>
      </c>
      <c r="G748" t="n">
        <v>9070</v>
      </c>
      <c r="H748">
        <f>E748/F748</f>
        <v/>
      </c>
      <c r="I748">
        <f>((H748-$J$732)/$I$732)</f>
        <v/>
      </c>
      <c r="J748">
        <f>(I748-IF(I740&gt;0,I740,0))</f>
        <v/>
      </c>
      <c r="K748" s="30">
        <f>J748/R734*1.1</f>
        <v/>
      </c>
      <c r="Q748" t="inlineStr">
        <is>
          <t>K3-1B</t>
        </is>
      </c>
      <c r="R748" t="n">
        <v>1.0898</v>
      </c>
    </row>
    <row r="749">
      <c r="A749" t="n">
        <v>17</v>
      </c>
      <c r="B749" t="inlineStr">
        <is>
          <t>MeOH</t>
        </is>
      </c>
      <c r="L749" s="23" t="inlineStr">
        <is>
          <t>Average</t>
        </is>
      </c>
      <c r="M749" s="23" t="inlineStr">
        <is>
          <t>Stdev</t>
        </is>
      </c>
      <c r="N749" s="9" t="inlineStr">
        <is>
          <t>Combined</t>
        </is>
      </c>
      <c r="Q749" t="inlineStr">
        <is>
          <t>K3-1C</t>
        </is>
      </c>
      <c r="R749" t="n">
        <v>1.0536</v>
      </c>
    </row>
    <row r="750">
      <c r="A750" t="n">
        <v>18</v>
      </c>
      <c r="B750" t="inlineStr">
        <is>
          <t>K4-1A</t>
        </is>
      </c>
      <c r="F750" t="n">
        <v>1575.246</v>
      </c>
      <c r="H750">
        <f>E750/F750</f>
        <v/>
      </c>
      <c r="I750">
        <f>((H750-$J$732)/$I$732)</f>
        <v/>
      </c>
      <c r="J750">
        <f>(I750-IF(I740&gt;0,I740,0))</f>
        <v/>
      </c>
      <c r="K750">
        <f>J750/R735*1.1</f>
        <v/>
      </c>
      <c r="L750">
        <f>AVERAGE(K750:K752)</f>
        <v/>
      </c>
      <c r="M750">
        <f>STDEV(K751:K752)</f>
        <v/>
      </c>
      <c r="N750">
        <f>_xlfn.CONCAT(ROUND(L750,1)," ± ",ROUND(M750,1))</f>
        <v/>
      </c>
      <c r="Q750" t="inlineStr">
        <is>
          <t>K3-2A</t>
        </is>
      </c>
      <c r="R750" s="10" t="n">
        <v>1.1218</v>
      </c>
    </row>
    <row r="751">
      <c r="A751" t="n">
        <v>19</v>
      </c>
      <c r="B751" t="inlineStr">
        <is>
          <t>K4-1B</t>
        </is>
      </c>
      <c r="F751" t="n">
        <v>1550.869</v>
      </c>
      <c r="H751">
        <f>E751/F751</f>
        <v/>
      </c>
      <c r="I751">
        <f>((H751-$J$732)/$I$732)</f>
        <v/>
      </c>
      <c r="J751">
        <f>(I751-IF(I740&gt;0,I740,0))</f>
        <v/>
      </c>
      <c r="K751">
        <f>J751/R736*1.1</f>
        <v/>
      </c>
      <c r="Q751" t="inlineStr">
        <is>
          <t>K3-2B</t>
        </is>
      </c>
      <c r="R751" t="n">
        <v>1.198</v>
      </c>
    </row>
    <row r="752">
      <c r="A752" t="n">
        <v>20</v>
      </c>
      <c r="B752" t="inlineStr">
        <is>
          <t>K4-1C</t>
        </is>
      </c>
      <c r="F752" t="n">
        <v>1163.846</v>
      </c>
      <c r="H752">
        <f>E752/F752</f>
        <v/>
      </c>
      <c r="I752">
        <f>((H752-$J$732)/$I$732)</f>
        <v/>
      </c>
      <c r="J752">
        <f>(I752-IF(I740&gt;0,I740,0))</f>
        <v/>
      </c>
      <c r="K752">
        <f>J752/R737*1.1</f>
        <v/>
      </c>
      <c r="L752" s="23" t="inlineStr">
        <is>
          <t>Average</t>
        </is>
      </c>
      <c r="M752" s="23" t="inlineStr">
        <is>
          <t>Stdev</t>
        </is>
      </c>
      <c r="N752" s="9" t="inlineStr">
        <is>
          <t>Combined</t>
        </is>
      </c>
      <c r="Q752" t="inlineStr">
        <is>
          <t>K3-2C</t>
        </is>
      </c>
      <c r="R752" t="n">
        <v>1.1538</v>
      </c>
    </row>
    <row r="753">
      <c r="A753" t="n">
        <v>21</v>
      </c>
      <c r="B753" t="inlineStr">
        <is>
          <t>K4-2A</t>
        </is>
      </c>
      <c r="F753" t="n">
        <v>1084.067</v>
      </c>
      <c r="H753">
        <f>E753/F753</f>
        <v/>
      </c>
      <c r="I753">
        <f>((H753-$J$732)/$I$732)</f>
        <v/>
      </c>
      <c r="J753">
        <f>(I753-IF(I740&gt;0,I740,0))</f>
        <v/>
      </c>
      <c r="K753">
        <f>J753/R738*1.1</f>
        <v/>
      </c>
      <c r="L753">
        <f>AVERAGE(K753:K755)</f>
        <v/>
      </c>
      <c r="M753">
        <f>STDEV(K753:K755)</f>
        <v/>
      </c>
      <c r="N753">
        <f>_xlfn.CONCAT(ROUND(L753,1)," ± ",ROUND(M753,1))</f>
        <v/>
      </c>
      <c r="Q753" t="inlineStr">
        <is>
          <t>K3-3A</t>
        </is>
      </c>
      <c r="R753" t="n">
        <v>1.1183</v>
      </c>
    </row>
    <row r="754">
      <c r="A754" t="n">
        <v>22</v>
      </c>
      <c r="B754" t="inlineStr">
        <is>
          <t>K4-2B</t>
        </is>
      </c>
      <c r="F754" t="n">
        <v>1044.51</v>
      </c>
      <c r="H754">
        <f>E754/F754</f>
        <v/>
      </c>
      <c r="I754">
        <f>((H754-$J$732)/$I$732)</f>
        <v/>
      </c>
      <c r="J754">
        <f>(I754-IF(I740&gt;0,I740,0))</f>
        <v/>
      </c>
      <c r="K754">
        <f>J754/R739*1.1</f>
        <v/>
      </c>
      <c r="Q754" t="inlineStr">
        <is>
          <t>K3-3B</t>
        </is>
      </c>
      <c r="R754" t="n">
        <v>1.1448</v>
      </c>
    </row>
    <row r="755">
      <c r="A755" t="n">
        <v>23</v>
      </c>
      <c r="B755" t="inlineStr">
        <is>
          <t>K4-2C</t>
        </is>
      </c>
      <c r="F755" t="n">
        <v>1020.096</v>
      </c>
      <c r="H755">
        <f>E755/F755</f>
        <v/>
      </c>
      <c r="I755">
        <f>((H755-$J$732)/$I$732)</f>
        <v/>
      </c>
      <c r="J755">
        <f>(I755-IF(I740&gt;0,I740,0))</f>
        <v/>
      </c>
      <c r="K755">
        <f>J755/R740*1.1</f>
        <v/>
      </c>
      <c r="L755" s="23" t="n"/>
      <c r="M755" s="23" t="n"/>
      <c r="N755" s="9" t="n"/>
      <c r="Q755" t="inlineStr">
        <is>
          <t>K3-3C</t>
        </is>
      </c>
      <c r="R755" t="n">
        <v>1.0493</v>
      </c>
    </row>
    <row r="756">
      <c r="A756" t="n">
        <v>24</v>
      </c>
      <c r="B756" t="inlineStr">
        <is>
          <t>MeOH</t>
        </is>
      </c>
      <c r="L756" s="23" t="inlineStr">
        <is>
          <t>Average</t>
        </is>
      </c>
      <c r="M756" s="23" t="inlineStr">
        <is>
          <t>Stdev</t>
        </is>
      </c>
      <c r="N756" s="9" t="inlineStr">
        <is>
          <t>Combined</t>
        </is>
      </c>
      <c r="Q756" t="inlineStr">
        <is>
          <t>K3-4A</t>
        </is>
      </c>
      <c r="R756" t="n">
        <v>1.0704</v>
      </c>
    </row>
    <row r="757">
      <c r="A757" t="n">
        <v>25</v>
      </c>
      <c r="B757" t="inlineStr">
        <is>
          <t>K4-4A</t>
        </is>
      </c>
      <c r="F757" t="n">
        <v>1051.351</v>
      </c>
      <c r="H757">
        <f>E757/F757</f>
        <v/>
      </c>
      <c r="I757">
        <f>((H757-$J$732)/$I$732)</f>
        <v/>
      </c>
      <c r="J757">
        <f>(I757-IF(I740&gt;0,I740,0))</f>
        <v/>
      </c>
      <c r="K757">
        <f>J757/R741*1.1</f>
        <v/>
      </c>
      <c r="L757">
        <f>AVERAGE(K757:K759)</f>
        <v/>
      </c>
      <c r="M757">
        <f>STDEV(K758:K759)</f>
        <v/>
      </c>
      <c r="N757">
        <f>_xlfn.CONCAT(ROUND(L757,1)," ± ",ROUND(M757,1))</f>
        <v/>
      </c>
      <c r="Q757" t="inlineStr">
        <is>
          <t>K3-4B</t>
        </is>
      </c>
      <c r="R757" t="n">
        <v>1.1589</v>
      </c>
    </row>
    <row r="758">
      <c r="A758" t="n">
        <v>26</v>
      </c>
      <c r="B758" t="inlineStr">
        <is>
          <t>K4-4B</t>
        </is>
      </c>
      <c r="F758" t="n">
        <v>1035.151</v>
      </c>
      <c r="H758">
        <f>E758/F758</f>
        <v/>
      </c>
      <c r="I758">
        <f>((H758-$J$732)/$I$732)</f>
        <v/>
      </c>
      <c r="J758">
        <f>(I758-IF(I740&gt;0,I740,0))</f>
        <v/>
      </c>
      <c r="K758">
        <f>J758/R742*1.1</f>
        <v/>
      </c>
      <c r="Q758" t="inlineStr">
        <is>
          <t>K3-4C</t>
        </is>
      </c>
      <c r="R758" t="n">
        <v>1.0206</v>
      </c>
    </row>
    <row r="759">
      <c r="A759" t="n">
        <v>27</v>
      </c>
      <c r="B759" t="inlineStr">
        <is>
          <t>K4-4C</t>
        </is>
      </c>
      <c r="F759" t="n">
        <v>822.99</v>
      </c>
      <c r="H759">
        <f>E759/F759</f>
        <v/>
      </c>
      <c r="I759">
        <f>((H759-$J$732)/$I$732)</f>
        <v/>
      </c>
      <c r="J759">
        <f>(I759-IF(I740&gt;0,I740,0))</f>
        <v/>
      </c>
      <c r="K759">
        <f>J759/R743*1.1</f>
        <v/>
      </c>
      <c r="L759" s="23" t="inlineStr">
        <is>
          <t>Average</t>
        </is>
      </c>
      <c r="M759" s="23" t="inlineStr">
        <is>
          <t>Stdev</t>
        </is>
      </c>
      <c r="N759" s="9" t="inlineStr">
        <is>
          <t>Combined</t>
        </is>
      </c>
      <c r="Q759" t="inlineStr">
        <is>
          <t>K3-6A</t>
        </is>
      </c>
      <c r="R759" t="n">
        <v>1.1289</v>
      </c>
    </row>
    <row r="760">
      <c r="A760" t="n">
        <v>28</v>
      </c>
      <c r="B760" t="inlineStr">
        <is>
          <t>K4-5A</t>
        </is>
      </c>
      <c r="F760" t="n">
        <v>985.0170000000001</v>
      </c>
      <c r="H760">
        <f>E760/F760</f>
        <v/>
      </c>
      <c r="I760">
        <f>((H760-$J$732)/$I$732)</f>
        <v/>
      </c>
      <c r="J760">
        <f>(I760-IF(I740&gt;0,I740,0))</f>
        <v/>
      </c>
      <c r="K760">
        <f>J760/R744*1.1</f>
        <v/>
      </c>
      <c r="L760">
        <f>AVERAGE(K760:K762)</f>
        <v/>
      </c>
      <c r="M760">
        <f>STDEV(K760:K762)</f>
        <v/>
      </c>
      <c r="N760">
        <f>_xlfn.CONCAT(ROUND(L760,1)," ± ",ROUND(M760,1))</f>
        <v/>
      </c>
      <c r="Q760" t="inlineStr">
        <is>
          <t>K3-6B</t>
        </is>
      </c>
      <c r="R760" t="n">
        <v>1.195</v>
      </c>
    </row>
    <row r="761">
      <c r="A761" t="n">
        <v>29</v>
      </c>
      <c r="B761" t="inlineStr">
        <is>
          <t>K4-5B</t>
        </is>
      </c>
      <c r="F761" t="n">
        <v>1024.411</v>
      </c>
      <c r="H761">
        <f>E761/F761</f>
        <v/>
      </c>
      <c r="I761">
        <f>((H761-$J$732)/$I$732)</f>
        <v/>
      </c>
      <c r="J761">
        <f>(I761-IF(I740&gt;0,I740,0))</f>
        <v/>
      </c>
      <c r="K761">
        <f>J761/R745*1.1</f>
        <v/>
      </c>
      <c r="Q761" t="inlineStr">
        <is>
          <t>K3-6C</t>
        </is>
      </c>
      <c r="R761" t="n">
        <v>1.1716</v>
      </c>
    </row>
    <row r="762">
      <c r="A762" t="n">
        <v>30</v>
      </c>
      <c r="B762" t="inlineStr">
        <is>
          <t>K4-5C</t>
        </is>
      </c>
      <c r="F762" t="n">
        <v>1313.31</v>
      </c>
      <c r="H762">
        <f>E762/F762</f>
        <v/>
      </c>
      <c r="I762">
        <f>((H762-$J$732)/$I$732)</f>
        <v/>
      </c>
      <c r="J762">
        <f>(I762-IF(I740&gt;0,I740,0))</f>
        <v/>
      </c>
      <c r="K762">
        <f>J762/R746*1.1</f>
        <v/>
      </c>
      <c r="L762" s="23" t="n"/>
      <c r="M762" s="23" t="n"/>
      <c r="N762" s="9" t="n"/>
    </row>
    <row r="763">
      <c r="A763" t="n">
        <v>31</v>
      </c>
      <c r="B763" t="inlineStr">
        <is>
          <t>MeOH</t>
        </is>
      </c>
      <c r="L763" s="23" t="inlineStr">
        <is>
          <t>Average</t>
        </is>
      </c>
      <c r="M763" s="23" t="inlineStr">
        <is>
          <t>Stdev</t>
        </is>
      </c>
      <c r="N763" s="9" t="inlineStr">
        <is>
          <t>Combined</t>
        </is>
      </c>
    </row>
    <row r="764">
      <c r="A764" t="n">
        <v>32</v>
      </c>
      <c r="B764" t="inlineStr">
        <is>
          <t>K3-1A</t>
        </is>
      </c>
      <c r="F764" t="n">
        <v>1115.547</v>
      </c>
      <c r="H764">
        <f>E764/F764</f>
        <v/>
      </c>
      <c r="I764">
        <f>((H764-$J$732)/$I$732)</f>
        <v/>
      </c>
      <c r="J764">
        <f>(I764-IF(I740&gt;0,I740,0))</f>
        <v/>
      </c>
      <c r="K764">
        <f>J764/R747*1.1</f>
        <v/>
      </c>
      <c r="L764">
        <f>AVERAGE(K764:K766)</f>
        <v/>
      </c>
      <c r="M764">
        <f>STDEV(K765:K766)</f>
        <v/>
      </c>
      <c r="N764">
        <f>_xlfn.CONCAT(ROUND(L764,1)," ± ",ROUND(M764,1))</f>
        <v/>
      </c>
    </row>
    <row r="765">
      <c r="A765" t="n">
        <v>33</v>
      </c>
      <c r="B765" t="inlineStr">
        <is>
          <t>K3-1B</t>
        </is>
      </c>
      <c r="F765" t="n">
        <v>868.492</v>
      </c>
      <c r="H765">
        <f>E765/F765</f>
        <v/>
      </c>
      <c r="I765">
        <f>((H765-$J$732)/$I$732)</f>
        <v/>
      </c>
      <c r="J765">
        <f>(I765-IF(I740&gt;0,I740,0))</f>
        <v/>
      </c>
      <c r="K765">
        <f>J765/R748*1.1</f>
        <v/>
      </c>
    </row>
    <row r="766">
      <c r="A766" t="n">
        <v>34</v>
      </c>
      <c r="B766" t="inlineStr">
        <is>
          <t>K3-1C</t>
        </is>
      </c>
      <c r="F766" t="n">
        <v>1891.713</v>
      </c>
      <c r="H766">
        <f>E766/F766</f>
        <v/>
      </c>
      <c r="I766">
        <f>((H766-$J$732)/$I$732)</f>
        <v/>
      </c>
      <c r="J766">
        <f>(I766-IF(I740&gt;0,I740,0))</f>
        <v/>
      </c>
      <c r="K766">
        <f>J766/R749*1.1</f>
        <v/>
      </c>
      <c r="L766" s="23" t="inlineStr">
        <is>
          <t>Average</t>
        </is>
      </c>
      <c r="M766" s="23" t="inlineStr">
        <is>
          <t>Stdev</t>
        </is>
      </c>
      <c r="N766" s="9" t="inlineStr">
        <is>
          <t>Combined</t>
        </is>
      </c>
    </row>
    <row r="767">
      <c r="A767" t="n">
        <v>35</v>
      </c>
      <c r="B767" t="inlineStr">
        <is>
          <t>K3-2A</t>
        </is>
      </c>
      <c r="F767" t="n">
        <v>1176.041</v>
      </c>
      <c r="H767">
        <f>E767/F767</f>
        <v/>
      </c>
      <c r="I767">
        <f>((H767-$J$732)/$I$732)</f>
        <v/>
      </c>
      <c r="J767">
        <f>(I767-IF(I740&gt;0,I740,0))</f>
        <v/>
      </c>
      <c r="K767">
        <f>J767/R750*1.1</f>
        <v/>
      </c>
      <c r="L767">
        <f>AVERAGE(K767:K769)</f>
        <v/>
      </c>
      <c r="M767">
        <f>STDEV(K767:K769)</f>
        <v/>
      </c>
      <c r="N767">
        <f>_xlfn.CONCAT(ROUND(L767,1)," ± ",ROUND(M767,1))</f>
        <v/>
      </c>
    </row>
    <row r="768">
      <c r="A768" t="n">
        <v>36</v>
      </c>
      <c r="B768" t="inlineStr">
        <is>
          <t>K3-2B</t>
        </is>
      </c>
      <c r="F768" t="n">
        <v>1321.349</v>
      </c>
      <c r="H768">
        <f>E768/F768</f>
        <v/>
      </c>
      <c r="I768">
        <f>((H768-$J$732)/$I$732)</f>
        <v/>
      </c>
      <c r="J768">
        <f>(I768-IF(I740&gt;0,I740,0))</f>
        <v/>
      </c>
      <c r="K768">
        <f>J768/R751*1.1</f>
        <v/>
      </c>
    </row>
    <row r="769">
      <c r="A769" t="n">
        <v>37</v>
      </c>
      <c r="B769" t="inlineStr">
        <is>
          <t>K3-2C</t>
        </is>
      </c>
      <c r="F769" t="n">
        <v>1479.533</v>
      </c>
      <c r="H769">
        <f>E769/F769</f>
        <v/>
      </c>
      <c r="I769">
        <f>((H769-$J$732)/$I$732)</f>
        <v/>
      </c>
      <c r="J769">
        <f>(I769-IF(I740&gt;0,I740,0))</f>
        <v/>
      </c>
      <c r="K769">
        <f>J769/R752*1.1</f>
        <v/>
      </c>
      <c r="L769" s="23" t="n"/>
      <c r="M769" s="23" t="n"/>
      <c r="N769" s="9" t="n"/>
    </row>
    <row r="770">
      <c r="A770" t="n">
        <v>38</v>
      </c>
      <c r="B770" t="inlineStr">
        <is>
          <t>MeOH</t>
        </is>
      </c>
      <c r="L770" s="23" t="inlineStr">
        <is>
          <t>Average</t>
        </is>
      </c>
      <c r="M770" s="23" t="inlineStr">
        <is>
          <t>Stdev</t>
        </is>
      </c>
      <c r="N770" s="9" t="inlineStr">
        <is>
          <t>Combined</t>
        </is>
      </c>
    </row>
    <row r="771">
      <c r="A771" t="n">
        <v>39</v>
      </c>
      <c r="B771" t="inlineStr">
        <is>
          <t>K3-3A</t>
        </is>
      </c>
      <c r="D771" t="n">
        <v>9.050000000000001</v>
      </c>
      <c r="E771" t="n">
        <v>1.555</v>
      </c>
      <c r="F771" t="n">
        <v>1517.701</v>
      </c>
      <c r="G771" t="n">
        <v>18</v>
      </c>
      <c r="H771">
        <f>E771/F771</f>
        <v/>
      </c>
      <c r="I771">
        <f>((H771-$J$732)/$I$732)</f>
        <v/>
      </c>
      <c r="J771">
        <f>(I771-IF(I740&gt;0,I740,0))</f>
        <v/>
      </c>
      <c r="K771">
        <f>J771/R753*1.1</f>
        <v/>
      </c>
      <c r="L771">
        <f>AVERAGE(K771:K773)</f>
        <v/>
      </c>
      <c r="M771">
        <f>STDEV(K772:K773)</f>
        <v/>
      </c>
      <c r="N771">
        <f>_xlfn.CONCAT(ROUND(L771,1)," ± ",ROUND(M771,1))</f>
        <v/>
      </c>
    </row>
    <row r="772">
      <c r="A772" t="n">
        <v>40</v>
      </c>
      <c r="B772" t="inlineStr">
        <is>
          <t>K3-3B</t>
        </is>
      </c>
      <c r="F772" t="n">
        <v>1453.885</v>
      </c>
      <c r="H772">
        <f>E772/F772</f>
        <v/>
      </c>
      <c r="I772">
        <f>((H772-$J$732)/$I$732)</f>
        <v/>
      </c>
      <c r="J772">
        <f>(I772-IF(I740&gt;0,I740,0))</f>
        <v/>
      </c>
      <c r="K772">
        <f>J772/R754*1.1</f>
        <v/>
      </c>
    </row>
    <row r="773">
      <c r="A773" t="n">
        <v>41</v>
      </c>
      <c r="B773" t="inlineStr">
        <is>
          <t>K3-3C</t>
        </is>
      </c>
      <c r="F773" t="n">
        <v>1930.228</v>
      </c>
      <c r="H773">
        <f>E773/F773</f>
        <v/>
      </c>
      <c r="I773">
        <f>((H773-$J$732)/$I$732)</f>
        <v/>
      </c>
      <c r="J773">
        <f>(I773-IF(I740&gt;0,I740,0))</f>
        <v/>
      </c>
      <c r="K773">
        <f>J773/R755*1.1</f>
        <v/>
      </c>
      <c r="L773" s="23" t="inlineStr">
        <is>
          <t>Average</t>
        </is>
      </c>
      <c r="M773" s="23" t="inlineStr">
        <is>
          <t>Stdev</t>
        </is>
      </c>
      <c r="N773" s="9" t="inlineStr">
        <is>
          <t>Combined</t>
        </is>
      </c>
    </row>
    <row r="774">
      <c r="A774" t="n">
        <v>42</v>
      </c>
      <c r="B774" t="inlineStr">
        <is>
          <t>K3-4A</t>
        </is>
      </c>
      <c r="F774" t="n">
        <v>2454.78</v>
      </c>
      <c r="H774">
        <f>E774/F774</f>
        <v/>
      </c>
      <c r="I774">
        <f>((H774-$J$732)/$I$732)</f>
        <v/>
      </c>
      <c r="J774">
        <f>(I774-IF(I740&gt;0,I740,0))</f>
        <v/>
      </c>
      <c r="K774">
        <f>J774/R756*1.1</f>
        <v/>
      </c>
      <c r="L774">
        <f>AVERAGE(K774:K776)</f>
        <v/>
      </c>
      <c r="M774">
        <f>STDEV(K774:K776)</f>
        <v/>
      </c>
      <c r="N774">
        <f>_xlfn.CONCAT(ROUND(L774,1)," ± ",ROUND(M774,1))</f>
        <v/>
      </c>
    </row>
    <row r="775">
      <c r="A775" t="n">
        <v>43</v>
      </c>
      <c r="B775" t="inlineStr">
        <is>
          <t>K3-4B</t>
        </is>
      </c>
      <c r="F775" t="n">
        <v>2046.805</v>
      </c>
      <c r="H775">
        <f>E775/F775</f>
        <v/>
      </c>
      <c r="I775">
        <f>((H775-$J$732)/$I$732)</f>
        <v/>
      </c>
      <c r="J775">
        <f>(I775-IF(I740&gt;0,I740,0))</f>
        <v/>
      </c>
      <c r="K775">
        <f>J775/R757*1.1</f>
        <v/>
      </c>
    </row>
    <row r="776">
      <c r="A776" t="n">
        <v>44</v>
      </c>
      <c r="B776" t="inlineStr">
        <is>
          <t>K3-4C</t>
        </is>
      </c>
      <c r="F776" t="n">
        <v>1963.707</v>
      </c>
      <c r="H776">
        <f>E776/F776</f>
        <v/>
      </c>
      <c r="I776">
        <f>((H776-$J$732)/$I$732)</f>
        <v/>
      </c>
      <c r="J776">
        <f>(I776-IF(I740&gt;0,I740,0))</f>
        <v/>
      </c>
      <c r="K776">
        <f>J776/R758*1.1</f>
        <v/>
      </c>
      <c r="L776" s="23" t="n"/>
      <c r="M776" s="23" t="n"/>
      <c r="N776" s="9" t="n"/>
    </row>
    <row r="777">
      <c r="A777" t="n">
        <v>45</v>
      </c>
      <c r="B777" t="inlineStr">
        <is>
          <t>MeOH</t>
        </is>
      </c>
      <c r="L777" s="23" t="inlineStr">
        <is>
          <t>Average</t>
        </is>
      </c>
      <c r="M777" s="23" t="inlineStr">
        <is>
          <t>Stdev</t>
        </is>
      </c>
      <c r="N777" s="9" t="inlineStr">
        <is>
          <t>Combined</t>
        </is>
      </c>
    </row>
    <row r="778">
      <c r="A778" t="n">
        <v>46</v>
      </c>
      <c r="B778" t="inlineStr">
        <is>
          <t>K3-6A</t>
        </is>
      </c>
      <c r="F778" t="n">
        <v>2063.159</v>
      </c>
      <c r="H778">
        <f>E778/F778</f>
        <v/>
      </c>
      <c r="I778">
        <f>((H778-$J$732)/$I$732)</f>
        <v/>
      </c>
      <c r="J778">
        <f>(I778-IF(I740&gt;0,I740,0))</f>
        <v/>
      </c>
      <c r="K778">
        <f>J778/R759*1.1</f>
        <v/>
      </c>
      <c r="L778">
        <f>AVERAGE(K778:K780)</f>
        <v/>
      </c>
      <c r="M778">
        <f>STDEV(K779:K780)</f>
        <v/>
      </c>
      <c r="N778">
        <f>_xlfn.CONCAT(ROUND(L778,1)," ± ",ROUND(M778,1))</f>
        <v/>
      </c>
    </row>
    <row r="779">
      <c r="A779" t="n">
        <v>47</v>
      </c>
      <c r="B779" t="inlineStr">
        <is>
          <t>K3-6B</t>
        </is>
      </c>
      <c r="F779" t="n">
        <v>1701.403</v>
      </c>
      <c r="H779">
        <f>E779/F779</f>
        <v/>
      </c>
      <c r="I779">
        <f>((H779-$J$732)/$I$732)</f>
        <v/>
      </c>
      <c r="J779">
        <f>(I779-IF(I740&gt;0,I740,0))</f>
        <v/>
      </c>
      <c r="K779">
        <f>J779/R760*1.1</f>
        <v/>
      </c>
    </row>
    <row r="780">
      <c r="A780" t="n">
        <v>48</v>
      </c>
      <c r="B780" t="inlineStr">
        <is>
          <t>K3-6C</t>
        </is>
      </c>
      <c r="F780" t="n">
        <v>1921.069</v>
      </c>
      <c r="H780">
        <f>E780/F780</f>
        <v/>
      </c>
      <c r="I780">
        <f>((H780-$J$732)/$I$732)</f>
        <v/>
      </c>
      <c r="J780">
        <f>(I780-IF(I740&gt;0,I740,0))</f>
        <v/>
      </c>
      <c r="K780">
        <f>J780/R761*1.1</f>
        <v/>
      </c>
      <c r="L780" s="23" t="n"/>
      <c r="M780" s="23" t="n"/>
      <c r="N780" s="9" t="n"/>
    </row>
    <row r="782">
      <c r="A782" t="inlineStr">
        <is>
          <t>Compound 30:  5:3 FTCA 1</t>
        </is>
      </c>
    </row>
    <row r="783">
      <c r="I783" t="inlineStr">
        <is>
          <t>LINEST</t>
        </is>
      </c>
      <c r="Q783" t="inlineStr">
        <is>
          <t>Biosolids Masses</t>
        </is>
      </c>
      <c r="R783" t="inlineStr">
        <is>
          <t>(g)</t>
        </is>
      </c>
    </row>
    <row r="784">
      <c r="B784" t="inlineStr">
        <is>
          <t>Sample Text</t>
        </is>
      </c>
      <c r="C784" t="inlineStr">
        <is>
          <t>Std. Conc</t>
        </is>
      </c>
      <c r="D784" t="inlineStr">
        <is>
          <t>RT</t>
        </is>
      </c>
      <c r="E784" t="inlineStr">
        <is>
          <t>Area</t>
        </is>
      </c>
      <c r="F784" t="inlineStr">
        <is>
          <t>IS Area</t>
        </is>
      </c>
      <c r="G784" t="inlineStr">
        <is>
          <t>S/N</t>
        </is>
      </c>
      <c r="H784" t="inlineStr">
        <is>
          <t>ratio</t>
        </is>
      </c>
      <c r="I784">
        <f t="array" ref="I784:J788">LINEST(H786:H791,C786:C791,1,1)</f>
        <v/>
      </c>
      <c r="J784" t="n">
        <v>-0.1301379685783592</v>
      </c>
      <c r="L784" s="20" t="inlineStr">
        <is>
          <t>By S/N Ratio</t>
        </is>
      </c>
      <c r="Q784" t="inlineStr">
        <is>
          <t>SS1</t>
        </is>
      </c>
      <c r="R784" t="n">
        <v>1.0846</v>
      </c>
    </row>
    <row r="785">
      <c r="A785" t="n">
        <v>1</v>
      </c>
      <c r="B785" t="inlineStr">
        <is>
          <t>EPA1633 &amp; diPAPs Calibration 0 ppb</t>
        </is>
      </c>
      <c r="C785" t="n">
        <v>0</v>
      </c>
      <c r="D785" t="n">
        <v>10.65</v>
      </c>
      <c r="E785" t="n">
        <v>229.177</v>
      </c>
      <c r="F785" t="n">
        <v>7374.887</v>
      </c>
      <c r="G785" t="n">
        <v>13.724</v>
      </c>
      <c r="H785">
        <f>E785/F785</f>
        <v/>
      </c>
      <c r="I785" t="n">
        <v>0.001139963868028146</v>
      </c>
      <c r="J785" t="n">
        <v>0.1306875480129591</v>
      </c>
      <c r="K785" t="inlineStr">
        <is>
          <t>LOD</t>
        </is>
      </c>
      <c r="L785" s="21">
        <f>IF(G786&gt;3,C786,IF(G787&gt;3,C787,IF(G788&gt;3,C788,IF(G789&gt;3,C789,C790))))</f>
        <v/>
      </c>
      <c r="Q785" t="inlineStr">
        <is>
          <t>SS2</t>
        </is>
      </c>
      <c r="R785" t="n">
        <v>1.0726</v>
      </c>
    </row>
    <row r="786">
      <c r="A786" t="n">
        <v>2</v>
      </c>
      <c r="B786" t="inlineStr">
        <is>
          <t>EPA1633 &amp; diPAPs Calibration 0.02 ppb</t>
        </is>
      </c>
      <c r="C786" t="n">
        <v>0.5</v>
      </c>
      <c r="D786" t="n">
        <v>10.69</v>
      </c>
      <c r="E786" t="n">
        <v>142.245</v>
      </c>
      <c r="F786" t="n">
        <v>6169.054</v>
      </c>
      <c r="G786" t="n">
        <v>1160</v>
      </c>
      <c r="H786">
        <f>E786/F786</f>
        <v/>
      </c>
      <c r="I786" t="n">
        <v>0.9994253921672992</v>
      </c>
      <c r="J786" t="n">
        <v>0.2559931790781935</v>
      </c>
      <c r="K786" t="inlineStr">
        <is>
          <t>LOQ</t>
        </is>
      </c>
      <c r="L786" s="22">
        <f>IF(G786&gt;10,C786,IF(G787&gt;10,C787,IF(G788&gt;10,C788,IF(G789&gt;10,C789,C790))))</f>
        <v/>
      </c>
      <c r="Q786" t="inlineStr">
        <is>
          <t>SS3</t>
        </is>
      </c>
      <c r="R786" t="n">
        <v>1.1534</v>
      </c>
    </row>
    <row r="787">
      <c r="A787" t="n">
        <v>3</v>
      </c>
      <c r="B787" t="inlineStr">
        <is>
          <t>EPA1633 &amp; diPAPs Calibration 0.1 ppb</t>
        </is>
      </c>
      <c r="C787" t="n">
        <v>2.5</v>
      </c>
      <c r="D787" t="n">
        <v>10.69</v>
      </c>
      <c r="E787" t="n">
        <v>1756.928</v>
      </c>
      <c r="F787" t="n">
        <v>6270.085</v>
      </c>
      <c r="G787" t="n">
        <v>12.919</v>
      </c>
      <c r="H787">
        <f>E787/F787</f>
        <v/>
      </c>
      <c r="I787" t="n">
        <v>6957.269534386214</v>
      </c>
      <c r="J787" t="n">
        <v>4</v>
      </c>
      <c r="Q787" t="inlineStr">
        <is>
          <t>K4-1A</t>
        </is>
      </c>
      <c r="R787" t="n">
        <v>1.0267</v>
      </c>
    </row>
    <row r="788">
      <c r="A788" t="n">
        <v>4</v>
      </c>
      <c r="B788" t="inlineStr">
        <is>
          <t>EPA1633 &amp; diPAPs Calibration 0.4 ppb</t>
        </is>
      </c>
      <c r="C788" t="n">
        <v>10</v>
      </c>
      <c r="D788" t="n">
        <v>10.7</v>
      </c>
      <c r="E788" t="n">
        <v>4985.713</v>
      </c>
      <c r="F788" t="n">
        <v>5073.597</v>
      </c>
      <c r="G788" t="n">
        <v>746.872</v>
      </c>
      <c r="H788">
        <f>E788/F788</f>
        <v/>
      </c>
      <c r="I788" t="n">
        <v>455.9273195735837</v>
      </c>
      <c r="J788" t="n">
        <v>0.2621300309382403</v>
      </c>
      <c r="Q788" t="inlineStr">
        <is>
          <t>K4-1B</t>
        </is>
      </c>
      <c r="R788" t="n">
        <v>1.1481</v>
      </c>
    </row>
    <row r="789">
      <c r="A789" t="n">
        <v>5</v>
      </c>
      <c r="B789" t="inlineStr">
        <is>
          <t>EPA1633 &amp; diPAPs Calibration 1 ppb</t>
        </is>
      </c>
      <c r="C789" t="n">
        <v>25</v>
      </c>
      <c r="D789" t="n">
        <v>10.72</v>
      </c>
      <c r="E789" t="n">
        <v>10589.771</v>
      </c>
      <c r="F789" t="n">
        <v>5607.035</v>
      </c>
      <c r="G789" t="n">
        <v>141.856</v>
      </c>
      <c r="H789">
        <f>E789/F789</f>
        <v/>
      </c>
      <c r="Q789" t="inlineStr">
        <is>
          <t>K4-1C</t>
        </is>
      </c>
      <c r="R789" t="n">
        <v>1.0402</v>
      </c>
    </row>
    <row r="790">
      <c r="A790" t="n">
        <v>6</v>
      </c>
      <c r="B790" t="inlineStr">
        <is>
          <t>EPA1633 &amp; diPAPs Calibration 5 ppb</t>
        </is>
      </c>
      <c r="C790" t="n">
        <v>125</v>
      </c>
      <c r="D790" t="n">
        <v>10.59</v>
      </c>
      <c r="E790" t="n">
        <v>48331.668</v>
      </c>
      <c r="F790" t="n">
        <v>4189.369</v>
      </c>
      <c r="G790" t="n">
        <v>1205.505</v>
      </c>
      <c r="H790">
        <f>E790/F790</f>
        <v/>
      </c>
      <c r="Q790" t="inlineStr">
        <is>
          <t>K4-2A</t>
        </is>
      </c>
      <c r="R790" t="n">
        <v>1.127</v>
      </c>
    </row>
    <row r="791">
      <c r="A791" t="n">
        <v>7</v>
      </c>
      <c r="B791" t="inlineStr">
        <is>
          <t>EPA1633 &amp; diPAPs Calibration 10 ppb</t>
        </is>
      </c>
      <c r="C791" t="n">
        <v>250</v>
      </c>
      <c r="D791" t="n">
        <v>10.64</v>
      </c>
      <c r="E791" t="n">
        <v>93135.06299999999</v>
      </c>
      <c r="F791" t="n">
        <v>3916.892</v>
      </c>
      <c r="G791" t="n">
        <v>1720.605</v>
      </c>
      <c r="H791">
        <f>E791/F791</f>
        <v/>
      </c>
      <c r="I791" s="23" t="inlineStr">
        <is>
          <t>Background</t>
        </is>
      </c>
      <c r="J791" s="23" t="inlineStr">
        <is>
          <t>Spike</t>
        </is>
      </c>
      <c r="K791" s="9" t="inlineStr">
        <is>
          <t>Old Spike</t>
        </is>
      </c>
      <c r="O791" s="24" t="inlineStr">
        <is>
          <t>±</t>
        </is>
      </c>
      <c r="Q791" t="inlineStr">
        <is>
          <t>K4-2B</t>
        </is>
      </c>
      <c r="R791" t="n">
        <v>1.1154</v>
      </c>
    </row>
    <row r="792">
      <c r="A792" t="n">
        <v>8</v>
      </c>
      <c r="B792" t="inlineStr">
        <is>
          <t>EPA1633 &amp; diPAPs Calibration 20 ppb</t>
        </is>
      </c>
      <c r="C792" t="n">
        <v>500</v>
      </c>
      <c r="D792" t="n">
        <v>10.67</v>
      </c>
      <c r="E792" t="n">
        <v>182330.766</v>
      </c>
      <c r="F792" t="n">
        <v>4672.899</v>
      </c>
      <c r="G792" t="n">
        <v>1749.337</v>
      </c>
      <c r="H792">
        <f>E792/F792</f>
        <v/>
      </c>
      <c r="I792">
        <f>AVERAGE(I795:I797)</f>
        <v/>
      </c>
      <c r="J792" t="n">
        <v>275</v>
      </c>
      <c r="Q792" t="inlineStr">
        <is>
          <t>K4-2C</t>
        </is>
      </c>
      <c r="R792" t="n">
        <v>1.1711</v>
      </c>
    </row>
    <row r="793">
      <c r="A793" t="n">
        <v>9</v>
      </c>
      <c r="B793" t="inlineStr">
        <is>
          <t>MeOH</t>
        </is>
      </c>
      <c r="D793" t="n">
        <v>10.73</v>
      </c>
      <c r="E793" t="n">
        <v>185.171</v>
      </c>
      <c r="G793" t="n">
        <v>2.983</v>
      </c>
      <c r="I793" s="23" t="inlineStr">
        <is>
          <t>Conc.In Vial (ppb)</t>
        </is>
      </c>
      <c r="J793" s="9" t="inlineStr">
        <is>
          <t>Corr. Conc.(ppb)</t>
        </is>
      </c>
      <c r="K793" s="9" t="inlineStr">
        <is>
          <t>Conc. In soil (ng/g)</t>
        </is>
      </c>
      <c r="Q793" t="inlineStr">
        <is>
          <t>K4-4A</t>
        </is>
      </c>
      <c r="R793" t="n">
        <v>1.0932</v>
      </c>
    </row>
    <row r="794">
      <c r="A794" t="n">
        <v>10</v>
      </c>
      <c r="B794" t="inlineStr">
        <is>
          <t>MeOH</t>
        </is>
      </c>
      <c r="L794" s="23" t="inlineStr">
        <is>
          <t>Average</t>
        </is>
      </c>
      <c r="M794" s="23" t="inlineStr">
        <is>
          <t>Stdev</t>
        </is>
      </c>
      <c r="N794" s="9" t="inlineStr">
        <is>
          <t>Combined</t>
        </is>
      </c>
      <c r="O794" s="9" t="n"/>
      <c r="P794" s="9" t="n"/>
      <c r="Q794" t="inlineStr">
        <is>
          <t>K4-4B</t>
        </is>
      </c>
      <c r="R794" t="n">
        <v>1.15</v>
      </c>
    </row>
    <row r="795">
      <c r="A795" t="n">
        <v>11</v>
      </c>
      <c r="B795" t="inlineStr">
        <is>
          <t>SB1</t>
        </is>
      </c>
      <c r="D795" t="n">
        <v>10.66</v>
      </c>
      <c r="E795" t="n">
        <v>43.329</v>
      </c>
      <c r="F795" t="n">
        <v>1803.361</v>
      </c>
      <c r="G795" t="n">
        <v>12.314</v>
      </c>
      <c r="H795">
        <f>E795/F795</f>
        <v/>
      </c>
      <c r="I795">
        <f>((H795-$J$784)/$I$784)</f>
        <v/>
      </c>
      <c r="J795">
        <f>(I795-IF(I792&gt;0,I792,0))</f>
        <v/>
      </c>
      <c r="K795">
        <f>J795*1.1</f>
        <v/>
      </c>
      <c r="L795">
        <f>AVERAGE(K795:K797)</f>
        <v/>
      </c>
      <c r="M795">
        <f>STDEV(K796:K797)</f>
        <v/>
      </c>
      <c r="N795">
        <f>_xlfn.CONCAT(ROUND(L795,1)," ± ",ROUND(M795,1))</f>
        <v/>
      </c>
      <c r="Q795" t="inlineStr">
        <is>
          <t>K4-4C</t>
        </is>
      </c>
      <c r="R795" t="n">
        <v>1.0482</v>
      </c>
    </row>
    <row r="796">
      <c r="A796" t="n">
        <v>12</v>
      </c>
      <c r="B796" t="inlineStr">
        <is>
          <t>SB2</t>
        </is>
      </c>
      <c r="D796" t="n">
        <v>11.05</v>
      </c>
      <c r="E796" t="n">
        <v>5.231</v>
      </c>
      <c r="F796" t="n">
        <v>1582.835</v>
      </c>
      <c r="G796" t="n">
        <v>51</v>
      </c>
      <c r="H796">
        <f>E796/F796</f>
        <v/>
      </c>
      <c r="I796">
        <f>((H796-$J$784)/$I$784)</f>
        <v/>
      </c>
      <c r="J796">
        <f>(I796-IF(I792&gt;0,I792,0))</f>
        <v/>
      </c>
      <c r="K796">
        <f>J796*1.1</f>
        <v/>
      </c>
      <c r="Q796" t="inlineStr">
        <is>
          <t>K4-5A</t>
        </is>
      </c>
      <c r="R796" t="n">
        <v>1.1054</v>
      </c>
    </row>
    <row r="797">
      <c r="A797" t="n">
        <v>13</v>
      </c>
      <c r="B797" t="inlineStr">
        <is>
          <t>SB3</t>
        </is>
      </c>
      <c r="F797" t="n">
        <v>1671.82</v>
      </c>
      <c r="H797">
        <f>E797/F797</f>
        <v/>
      </c>
      <c r="I797">
        <f>((H797-$J$784)/$I$784)</f>
        <v/>
      </c>
      <c r="J797">
        <f>(I797-IF(I792&gt;0,I792,0))</f>
        <v/>
      </c>
      <c r="K797" s="30">
        <f>J797*1.1</f>
        <v/>
      </c>
      <c r="L797" s="23" t="inlineStr">
        <is>
          <t>Average</t>
        </is>
      </c>
      <c r="M797" s="23" t="inlineStr">
        <is>
          <t>Stdev</t>
        </is>
      </c>
      <c r="N797" s="9" t="inlineStr">
        <is>
          <t>%Recovery</t>
        </is>
      </c>
      <c r="O797" s="9" t="inlineStr">
        <is>
          <t>Uncertainty</t>
        </is>
      </c>
      <c r="P797" s="9" t="inlineStr">
        <is>
          <t>Combined</t>
        </is>
      </c>
      <c r="Q797" t="inlineStr">
        <is>
          <t>K4-5B</t>
        </is>
      </c>
      <c r="R797" s="10" t="n">
        <v>1.0463</v>
      </c>
    </row>
    <row r="798">
      <c r="A798" t="n">
        <v>14</v>
      </c>
      <c r="B798" t="inlineStr">
        <is>
          <t>SS1</t>
        </is>
      </c>
      <c r="D798" t="n">
        <v>10.76</v>
      </c>
      <c r="E798" t="n">
        <v>37304.527</v>
      </c>
      <c r="F798" t="n">
        <v>1602.526</v>
      </c>
      <c r="G798" t="n">
        <v>2013.224</v>
      </c>
      <c r="H798">
        <f>E798/F798</f>
        <v/>
      </c>
      <c r="I798">
        <f>((H798-$J$784)/$I$784)</f>
        <v/>
      </c>
      <c r="J798">
        <f>(I798-IF(I792&gt;0,I792,0))</f>
        <v/>
      </c>
      <c r="K798">
        <f>J798/R784*1.1</f>
        <v/>
      </c>
      <c r="L798" s="30">
        <f>AVERAGE(K798:K800)</f>
        <v/>
      </c>
      <c r="M798" s="30">
        <f>STDEV(K798:K800)</f>
        <v/>
      </c>
      <c r="N798" s="31">
        <f>L798/J792*100</f>
        <v/>
      </c>
      <c r="O798">
        <f>M798/J795*100</f>
        <v/>
      </c>
      <c r="P798">
        <f>_xlfn.CONCAT(ROUND(N798,1)," ± ",ROUND(O798,1))</f>
        <v/>
      </c>
      <c r="Q798" t="inlineStr">
        <is>
          <t>K4-5C</t>
        </is>
      </c>
      <c r="R798" t="n">
        <v>1.1155</v>
      </c>
    </row>
    <row r="799">
      <c r="A799" t="n">
        <v>15</v>
      </c>
      <c r="B799" t="inlineStr">
        <is>
          <t>SS2</t>
        </is>
      </c>
      <c r="D799" t="n">
        <v>10.77</v>
      </c>
      <c r="E799" t="n">
        <v>40093.969</v>
      </c>
      <c r="F799" t="n">
        <v>1532.612</v>
      </c>
      <c r="G799" t="n">
        <v>238.69</v>
      </c>
      <c r="H799">
        <f>E799/F799</f>
        <v/>
      </c>
      <c r="I799">
        <f>((H799-$J$784)/$I$784)</f>
        <v/>
      </c>
      <c r="J799">
        <f>(I799-IF(I792&gt;0,I792,0))</f>
        <v/>
      </c>
      <c r="K799">
        <f>J799/R785*1.1</f>
        <v/>
      </c>
      <c r="Q799" t="inlineStr">
        <is>
          <t>K3-1A</t>
        </is>
      </c>
      <c r="R799" t="n">
        <v>1.0874</v>
      </c>
    </row>
    <row r="800">
      <c r="A800" t="n">
        <v>16</v>
      </c>
      <c r="B800" t="inlineStr">
        <is>
          <t>SS3</t>
        </is>
      </c>
      <c r="D800" t="n">
        <v>10.78</v>
      </c>
      <c r="E800" t="n">
        <v>42777.801</v>
      </c>
      <c r="F800" t="n">
        <v>1291.402</v>
      </c>
      <c r="G800" t="n">
        <v>1461.346</v>
      </c>
      <c r="H800">
        <f>E800/F800</f>
        <v/>
      </c>
      <c r="I800">
        <f>((H800-$J$784)/$I$784)</f>
        <v/>
      </c>
      <c r="J800">
        <f>(I800-IF(I792&gt;0,I792,0))</f>
        <v/>
      </c>
      <c r="K800" s="30">
        <f>J800/R786*1.1</f>
        <v/>
      </c>
      <c r="Q800" t="inlineStr">
        <is>
          <t>K3-1B</t>
        </is>
      </c>
      <c r="R800" t="n">
        <v>1.0898</v>
      </c>
    </row>
    <row r="801">
      <c r="A801" t="n">
        <v>17</v>
      </c>
      <c r="B801" t="inlineStr">
        <is>
          <t>MeOH</t>
        </is>
      </c>
      <c r="L801" s="23" t="inlineStr">
        <is>
          <t>Average</t>
        </is>
      </c>
      <c r="M801" s="23" t="inlineStr">
        <is>
          <t>Stdev</t>
        </is>
      </c>
      <c r="N801" s="9" t="inlineStr">
        <is>
          <t>Combined</t>
        </is>
      </c>
      <c r="Q801" t="inlineStr">
        <is>
          <t>K3-1C</t>
        </is>
      </c>
      <c r="R801" t="n">
        <v>1.0536</v>
      </c>
    </row>
    <row r="802">
      <c r="A802" t="n">
        <v>18</v>
      </c>
      <c r="B802" t="inlineStr">
        <is>
          <t>K4-1A</t>
        </is>
      </c>
      <c r="D802" t="n">
        <v>10.82</v>
      </c>
      <c r="E802" t="n">
        <v>6.598</v>
      </c>
      <c r="F802" t="n">
        <v>2173.066</v>
      </c>
      <c r="G802" t="n">
        <v>68</v>
      </c>
      <c r="H802">
        <f>E802/F802</f>
        <v/>
      </c>
      <c r="I802">
        <f>((H802-$J$784)/$I$784)</f>
        <v/>
      </c>
      <c r="J802">
        <f>(I802-IF(I792&gt;0,I792,0))</f>
        <v/>
      </c>
      <c r="K802">
        <f>J802/R787*1.1</f>
        <v/>
      </c>
      <c r="L802">
        <f>AVERAGE(K802:K804)</f>
        <v/>
      </c>
      <c r="M802">
        <f>STDEV(K803:K804)</f>
        <v/>
      </c>
      <c r="N802">
        <f>_xlfn.CONCAT(ROUND(L802,1)," ± ",ROUND(M802,1))</f>
        <v/>
      </c>
      <c r="Q802" t="inlineStr">
        <is>
          <t>K3-2A</t>
        </is>
      </c>
      <c r="R802" s="10" t="n">
        <v>1.1218</v>
      </c>
    </row>
    <row r="803">
      <c r="A803" t="n">
        <v>19</v>
      </c>
      <c r="B803" t="inlineStr">
        <is>
          <t>K4-1B</t>
        </is>
      </c>
      <c r="D803" t="n">
        <v>10.74</v>
      </c>
      <c r="E803" t="n">
        <v>21.458</v>
      </c>
      <c r="F803" t="n">
        <v>2231.232</v>
      </c>
      <c r="G803" t="n">
        <v>178</v>
      </c>
      <c r="H803">
        <f>E803/F803</f>
        <v/>
      </c>
      <c r="I803">
        <f>((H803-$J$784)/$I$784)</f>
        <v/>
      </c>
      <c r="J803">
        <f>(I803-IF(I792&gt;0,I792,0))</f>
        <v/>
      </c>
      <c r="K803">
        <f>J803/R788*1.1</f>
        <v/>
      </c>
      <c r="Q803" t="inlineStr">
        <is>
          <t>K3-2B</t>
        </is>
      </c>
      <c r="R803" t="n">
        <v>1.198</v>
      </c>
    </row>
    <row r="804">
      <c r="A804" t="n">
        <v>20</v>
      </c>
      <c r="B804" t="inlineStr">
        <is>
          <t>K4-1C</t>
        </is>
      </c>
      <c r="D804" t="n">
        <v>10.79</v>
      </c>
      <c r="E804" t="n">
        <v>8.093</v>
      </c>
      <c r="F804" t="n">
        <v>2264.738</v>
      </c>
      <c r="G804" t="n">
        <v>85</v>
      </c>
      <c r="H804">
        <f>E804/F804</f>
        <v/>
      </c>
      <c r="I804">
        <f>((H804-$J$784)/$I$784)</f>
        <v/>
      </c>
      <c r="J804">
        <f>(I804-IF(I792&gt;0,I792,0))</f>
        <v/>
      </c>
      <c r="K804">
        <f>J804/R789*1.1</f>
        <v/>
      </c>
      <c r="L804" s="23" t="inlineStr">
        <is>
          <t>Average</t>
        </is>
      </c>
      <c r="M804" s="23" t="inlineStr">
        <is>
          <t>Stdev</t>
        </is>
      </c>
      <c r="N804" s="9" t="inlineStr">
        <is>
          <t>Combined</t>
        </is>
      </c>
      <c r="Q804" t="inlineStr">
        <is>
          <t>K3-2C</t>
        </is>
      </c>
      <c r="R804" t="n">
        <v>1.1538</v>
      </c>
    </row>
    <row r="805">
      <c r="A805" t="n">
        <v>21</v>
      </c>
      <c r="B805" t="inlineStr">
        <is>
          <t>K4-2A</t>
        </is>
      </c>
      <c r="D805" t="n">
        <v>10.78</v>
      </c>
      <c r="E805" t="n">
        <v>21.772</v>
      </c>
      <c r="F805" t="n">
        <v>2546.569</v>
      </c>
      <c r="G805" t="n">
        <v>229</v>
      </c>
      <c r="H805">
        <f>E805/F805</f>
        <v/>
      </c>
      <c r="I805">
        <f>((H805-$J$784)/$I$784)</f>
        <v/>
      </c>
      <c r="J805">
        <f>(I805-IF(I792&gt;0,I792,0))</f>
        <v/>
      </c>
      <c r="K805">
        <f>J805/R790*1.1</f>
        <v/>
      </c>
      <c r="L805">
        <f>AVERAGE(K805:K807)</f>
        <v/>
      </c>
      <c r="M805">
        <f>STDEV(K805:K807)</f>
        <v/>
      </c>
      <c r="N805">
        <f>_xlfn.CONCAT(ROUND(L805,1)," ± ",ROUND(M805,1))</f>
        <v/>
      </c>
      <c r="Q805" t="inlineStr">
        <is>
          <t>K3-3A</t>
        </is>
      </c>
      <c r="R805" t="n">
        <v>1.1183</v>
      </c>
    </row>
    <row r="806">
      <c r="A806" t="n">
        <v>22</v>
      </c>
      <c r="B806" t="inlineStr">
        <is>
          <t>K4-2B</t>
        </is>
      </c>
      <c r="D806" t="n">
        <v>10.63</v>
      </c>
      <c r="E806" t="n">
        <v>1.767</v>
      </c>
      <c r="F806" t="n">
        <v>1959.093</v>
      </c>
      <c r="G806" t="n">
        <v>20</v>
      </c>
      <c r="H806">
        <f>E806/F806</f>
        <v/>
      </c>
      <c r="I806">
        <f>((H806-$J$784)/$I$784)</f>
        <v/>
      </c>
      <c r="J806">
        <f>(I806-IF(I792&gt;0,I792,0))</f>
        <v/>
      </c>
      <c r="K806">
        <f>J806/R791*1.1</f>
        <v/>
      </c>
      <c r="Q806" t="inlineStr">
        <is>
          <t>K3-3B</t>
        </is>
      </c>
      <c r="R806" t="n">
        <v>1.1448</v>
      </c>
    </row>
    <row r="807">
      <c r="A807" t="n">
        <v>23</v>
      </c>
      <c r="B807" t="inlineStr">
        <is>
          <t>K4-2C</t>
        </is>
      </c>
      <c r="D807" t="n">
        <v>10.71</v>
      </c>
      <c r="E807" t="n">
        <v>4.763</v>
      </c>
      <c r="F807" t="n">
        <v>1962.095</v>
      </c>
      <c r="G807" t="n">
        <v>40</v>
      </c>
      <c r="H807">
        <f>E807/F807</f>
        <v/>
      </c>
      <c r="I807">
        <f>((H807-$J$784)/$I$784)</f>
        <v/>
      </c>
      <c r="J807">
        <f>(I807-IF(I792&gt;0,I792,0))</f>
        <v/>
      </c>
      <c r="K807">
        <f>J807/R792*1.1</f>
        <v/>
      </c>
      <c r="L807" s="23" t="n"/>
      <c r="M807" s="23" t="n"/>
      <c r="N807" s="9" t="n"/>
      <c r="Q807" t="inlineStr">
        <is>
          <t>K3-3C</t>
        </is>
      </c>
      <c r="R807" t="n">
        <v>1.0493</v>
      </c>
    </row>
    <row r="808">
      <c r="A808" t="n">
        <v>24</v>
      </c>
      <c r="B808" t="inlineStr">
        <is>
          <t>MeOH</t>
        </is>
      </c>
      <c r="L808" s="23" t="inlineStr">
        <is>
          <t>Average</t>
        </is>
      </c>
      <c r="M808" s="23" t="inlineStr">
        <is>
          <t>Stdev</t>
        </is>
      </c>
      <c r="N808" s="9" t="inlineStr">
        <is>
          <t>Combined</t>
        </is>
      </c>
      <c r="Q808" t="inlineStr">
        <is>
          <t>K3-4A</t>
        </is>
      </c>
      <c r="R808" t="n">
        <v>1.0704</v>
      </c>
    </row>
    <row r="809">
      <c r="A809" t="n">
        <v>25</v>
      </c>
      <c r="B809" t="inlineStr">
        <is>
          <t>K4-4A</t>
        </is>
      </c>
      <c r="D809" t="n">
        <v>10.67</v>
      </c>
      <c r="E809" t="n">
        <v>6.934</v>
      </c>
      <c r="F809" t="n">
        <v>1890.679</v>
      </c>
      <c r="G809" t="n">
        <v>79</v>
      </c>
      <c r="H809">
        <f>E809/F809</f>
        <v/>
      </c>
      <c r="I809">
        <f>((H809-$J$784)/$I$784)</f>
        <v/>
      </c>
      <c r="J809">
        <f>(I809-IF(I792&gt;0,I792,0))</f>
        <v/>
      </c>
      <c r="K809">
        <f>J809/R793*1.1</f>
        <v/>
      </c>
      <c r="L809">
        <f>AVERAGE(K809:K811)</f>
        <v/>
      </c>
      <c r="M809">
        <f>STDEV(K810:K811)</f>
        <v/>
      </c>
      <c r="N809">
        <f>_xlfn.CONCAT(ROUND(L809,1)," ± ",ROUND(M809,1))</f>
        <v/>
      </c>
      <c r="Q809" t="inlineStr">
        <is>
          <t>K3-4B</t>
        </is>
      </c>
      <c r="R809" t="n">
        <v>1.1589</v>
      </c>
    </row>
    <row r="810">
      <c r="A810" t="n">
        <v>26</v>
      </c>
      <c r="B810" t="inlineStr">
        <is>
          <t>K4-4B</t>
        </is>
      </c>
      <c r="D810" t="n">
        <v>10.01</v>
      </c>
      <c r="E810" t="n">
        <v>0.359</v>
      </c>
      <c r="F810" t="n">
        <v>1558.258</v>
      </c>
      <c r="G810" t="n">
        <v>4</v>
      </c>
      <c r="H810">
        <f>E810/F810</f>
        <v/>
      </c>
      <c r="I810">
        <f>((H810-$J$784)/$I$784)</f>
        <v/>
      </c>
      <c r="J810">
        <f>(I810-IF(I792&gt;0,I792,0))</f>
        <v/>
      </c>
      <c r="K810">
        <f>J810/R794*1.1</f>
        <v/>
      </c>
      <c r="Q810" t="inlineStr">
        <is>
          <t>K3-4C</t>
        </is>
      </c>
      <c r="R810" t="n">
        <v>1.0206</v>
      </c>
    </row>
    <row r="811">
      <c r="A811" t="n">
        <v>27</v>
      </c>
      <c r="B811" t="inlineStr">
        <is>
          <t>K4-4C</t>
        </is>
      </c>
      <c r="F811" t="n">
        <v>1217.543</v>
      </c>
      <c r="H811">
        <f>E811/F811</f>
        <v/>
      </c>
      <c r="I811">
        <f>((H811-$J$784)/$I$784)</f>
        <v/>
      </c>
      <c r="J811">
        <f>(I811-IF(I792&gt;0,I792,0))</f>
        <v/>
      </c>
      <c r="K811">
        <f>J811/R795*1.1</f>
        <v/>
      </c>
      <c r="L811" s="23" t="inlineStr">
        <is>
          <t>Average</t>
        </is>
      </c>
      <c r="M811" s="23" t="inlineStr">
        <is>
          <t>Stdev</t>
        </is>
      </c>
      <c r="N811" s="9" t="inlineStr">
        <is>
          <t>Combined</t>
        </is>
      </c>
      <c r="Q811" t="inlineStr">
        <is>
          <t>K3-6A</t>
        </is>
      </c>
      <c r="R811" t="n">
        <v>1.1289</v>
      </c>
    </row>
    <row r="812">
      <c r="A812" t="n">
        <v>28</v>
      </c>
      <c r="B812" t="inlineStr">
        <is>
          <t>K4-5A</t>
        </is>
      </c>
      <c r="D812" t="n">
        <v>11.12</v>
      </c>
      <c r="E812" t="n">
        <v>1.446</v>
      </c>
      <c r="F812" t="n">
        <v>1730.688</v>
      </c>
      <c r="G812" t="n">
        <v>14</v>
      </c>
      <c r="H812">
        <f>E812/F812</f>
        <v/>
      </c>
      <c r="I812">
        <f>((H812-$J$784)/$I$784)</f>
        <v/>
      </c>
      <c r="J812">
        <f>(I812-IF(I792&gt;0,I792,0))</f>
        <v/>
      </c>
      <c r="K812">
        <f>J812/R796*1.1</f>
        <v/>
      </c>
      <c r="L812">
        <f>AVERAGE(K812:K814)</f>
        <v/>
      </c>
      <c r="M812">
        <f>STDEV(K812:K814)</f>
        <v/>
      </c>
      <c r="N812">
        <f>_xlfn.CONCAT(ROUND(L812,1)," ± ",ROUND(M812,1))</f>
        <v/>
      </c>
      <c r="Q812" t="inlineStr">
        <is>
          <t>K3-6B</t>
        </is>
      </c>
      <c r="R812" t="n">
        <v>1.195</v>
      </c>
    </row>
    <row r="813">
      <c r="A813" t="n">
        <v>29</v>
      </c>
      <c r="B813" t="inlineStr">
        <is>
          <t>K4-5B</t>
        </is>
      </c>
      <c r="D813" t="n">
        <v>11.68</v>
      </c>
      <c r="E813" t="n">
        <v>4.385</v>
      </c>
      <c r="F813" t="n">
        <v>2104.275</v>
      </c>
      <c r="G813" t="n">
        <v>43</v>
      </c>
      <c r="H813">
        <f>E813/F813</f>
        <v/>
      </c>
      <c r="I813">
        <f>((H813-$J$784)/$I$784)</f>
        <v/>
      </c>
      <c r="J813">
        <f>(I813-IF(I792&gt;0,I792,0))</f>
        <v/>
      </c>
      <c r="K813">
        <f>J813/R797*1.1</f>
        <v/>
      </c>
      <c r="Q813" t="inlineStr">
        <is>
          <t>K3-6C</t>
        </is>
      </c>
      <c r="R813" t="n">
        <v>1.1716</v>
      </c>
    </row>
    <row r="814">
      <c r="A814" t="n">
        <v>30</v>
      </c>
      <c r="B814" t="inlineStr">
        <is>
          <t>K4-5C</t>
        </is>
      </c>
      <c r="F814" t="n">
        <v>2128.822</v>
      </c>
      <c r="H814">
        <f>E814/F814</f>
        <v/>
      </c>
      <c r="I814">
        <f>((H814-$J$784)/$I$784)</f>
        <v/>
      </c>
      <c r="J814">
        <f>(I814-IF(I792&gt;0,I792,0))</f>
        <v/>
      </c>
      <c r="K814">
        <f>J814/R798*1.1</f>
        <v/>
      </c>
      <c r="L814" s="23" t="n"/>
      <c r="M814" s="23" t="n"/>
      <c r="N814" s="9" t="n"/>
    </row>
    <row r="815">
      <c r="A815" t="n">
        <v>31</v>
      </c>
      <c r="B815" t="inlineStr">
        <is>
          <t>MeOH</t>
        </is>
      </c>
      <c r="D815" t="n">
        <v>10.72</v>
      </c>
      <c r="E815" t="n">
        <v>172.357</v>
      </c>
      <c r="G815" t="n">
        <v>1663</v>
      </c>
      <c r="L815" s="23" t="inlineStr">
        <is>
          <t>Average</t>
        </is>
      </c>
      <c r="M815" s="23" t="inlineStr">
        <is>
          <t>Stdev</t>
        </is>
      </c>
      <c r="N815" s="9" t="inlineStr">
        <is>
          <t>Combined</t>
        </is>
      </c>
    </row>
    <row r="816">
      <c r="A816" t="n">
        <v>32</v>
      </c>
      <c r="B816" t="inlineStr">
        <is>
          <t>K3-1A</t>
        </is>
      </c>
      <c r="D816" t="n">
        <v>10.17</v>
      </c>
      <c r="E816" t="n">
        <v>2.046</v>
      </c>
      <c r="F816" t="n">
        <v>2216.675</v>
      </c>
      <c r="G816" t="n">
        <v>22</v>
      </c>
      <c r="H816">
        <f>E816/F816</f>
        <v/>
      </c>
      <c r="I816">
        <f>((H816-$J$784)/$I$784)</f>
        <v/>
      </c>
      <c r="J816">
        <f>(I816-IF(I792&gt;0,I792,0))</f>
        <v/>
      </c>
      <c r="K816">
        <f>J816/R799*1.1</f>
        <v/>
      </c>
      <c r="L816">
        <f>AVERAGE(K816:K818)</f>
        <v/>
      </c>
      <c r="M816">
        <f>STDEV(K817:K818)</f>
        <v/>
      </c>
      <c r="N816">
        <f>_xlfn.CONCAT(ROUND(L816,1)," ± ",ROUND(M816,1))</f>
        <v/>
      </c>
    </row>
    <row r="817">
      <c r="A817" t="n">
        <v>33</v>
      </c>
      <c r="B817" t="inlineStr">
        <is>
          <t>K3-1B</t>
        </is>
      </c>
      <c r="D817" t="n">
        <v>10.92</v>
      </c>
      <c r="E817" t="n">
        <v>44.468</v>
      </c>
      <c r="F817" t="n">
        <v>1933.619</v>
      </c>
      <c r="G817" t="n">
        <v>430</v>
      </c>
      <c r="H817">
        <f>E817/F817</f>
        <v/>
      </c>
      <c r="I817">
        <f>((H817-$J$784)/$I$784)</f>
        <v/>
      </c>
      <c r="J817">
        <f>(I817-IF(I792&gt;0,I792,0))</f>
        <v/>
      </c>
      <c r="K817">
        <f>J817/R800*1.1</f>
        <v/>
      </c>
    </row>
    <row r="818">
      <c r="A818" t="n">
        <v>34</v>
      </c>
      <c r="B818" t="inlineStr">
        <is>
          <t>K3-1C</t>
        </is>
      </c>
      <c r="D818" t="n">
        <v>9.470000000000001</v>
      </c>
      <c r="E818" t="n">
        <v>0.639</v>
      </c>
      <c r="F818" t="n">
        <v>2689.694</v>
      </c>
      <c r="G818" t="n">
        <v>8</v>
      </c>
      <c r="H818">
        <f>E818/F818</f>
        <v/>
      </c>
      <c r="I818">
        <f>((H818-$J$784)/$I$784)</f>
        <v/>
      </c>
      <c r="J818">
        <f>(I818-IF(I792&gt;0,I792,0))</f>
        <v/>
      </c>
      <c r="K818">
        <f>J818/R801*1.1</f>
        <v/>
      </c>
      <c r="L818" s="23" t="inlineStr">
        <is>
          <t>Average</t>
        </is>
      </c>
      <c r="M818" s="23" t="inlineStr">
        <is>
          <t>Stdev</t>
        </is>
      </c>
      <c r="N818" s="9" t="inlineStr">
        <is>
          <t>Combined</t>
        </is>
      </c>
    </row>
    <row r="819">
      <c r="A819" t="n">
        <v>35</v>
      </c>
      <c r="B819" t="inlineStr">
        <is>
          <t>K3-2A</t>
        </is>
      </c>
      <c r="F819" t="n">
        <v>2721.774</v>
      </c>
      <c r="H819">
        <f>E819/F819</f>
        <v/>
      </c>
      <c r="I819">
        <f>((H819-$J$784)/$I$784)</f>
        <v/>
      </c>
      <c r="J819">
        <f>(I819-IF(I792&gt;0,I792,0))</f>
        <v/>
      </c>
      <c r="K819">
        <f>J819/R802*1.1</f>
        <v/>
      </c>
      <c r="L819">
        <f>AVERAGE(K819:K821)</f>
        <v/>
      </c>
      <c r="M819">
        <f>STDEV(K819:K821)</f>
        <v/>
      </c>
      <c r="N819">
        <f>_xlfn.CONCAT(ROUND(L819,1)," ± ",ROUND(M819,1))</f>
        <v/>
      </c>
    </row>
    <row r="820">
      <c r="A820" t="n">
        <v>36</v>
      </c>
      <c r="B820" t="inlineStr">
        <is>
          <t>K3-2B</t>
        </is>
      </c>
      <c r="D820" t="n">
        <v>9.289999999999999</v>
      </c>
      <c r="E820" t="n">
        <v>8.183</v>
      </c>
      <c r="F820" t="n">
        <v>3173.245</v>
      </c>
      <c r="G820" t="n">
        <v>94</v>
      </c>
      <c r="H820">
        <f>E820/F820</f>
        <v/>
      </c>
      <c r="I820">
        <f>((H820-$J$784)/$I$784)</f>
        <v/>
      </c>
      <c r="J820">
        <f>(I820-IF(I792&gt;0,I792,0))</f>
        <v/>
      </c>
      <c r="K820">
        <f>J820/R803*1.1</f>
        <v/>
      </c>
    </row>
    <row r="821">
      <c r="A821" t="n">
        <v>37</v>
      </c>
      <c r="B821" t="inlineStr">
        <is>
          <t>K3-2C</t>
        </is>
      </c>
      <c r="D821" t="n">
        <v>9.09</v>
      </c>
      <c r="E821" t="n">
        <v>2.257</v>
      </c>
      <c r="F821" t="n">
        <v>2698.936</v>
      </c>
      <c r="G821" t="n">
        <v>26</v>
      </c>
      <c r="H821">
        <f>E821/F821</f>
        <v/>
      </c>
      <c r="I821">
        <f>((H821-$J$784)/$I$784)</f>
        <v/>
      </c>
      <c r="J821">
        <f>(I821-IF(I792&gt;0,I792,0))</f>
        <v/>
      </c>
      <c r="K821">
        <f>J821/R804*1.1</f>
        <v/>
      </c>
      <c r="L821" s="23" t="n"/>
      <c r="M821" s="23" t="n"/>
      <c r="N821" s="9" t="n"/>
    </row>
    <row r="822">
      <c r="A822" t="n">
        <v>38</v>
      </c>
      <c r="B822" t="inlineStr">
        <is>
          <t>MeOH</t>
        </is>
      </c>
      <c r="L822" s="23" t="inlineStr">
        <is>
          <t>Average</t>
        </is>
      </c>
      <c r="M822" s="23" t="inlineStr">
        <is>
          <t>Stdev</t>
        </is>
      </c>
      <c r="N822" s="9" t="inlineStr">
        <is>
          <t>Combined</t>
        </is>
      </c>
    </row>
    <row r="823">
      <c r="A823" t="n">
        <v>39</v>
      </c>
      <c r="B823" t="inlineStr">
        <is>
          <t>K3-3A</t>
        </is>
      </c>
      <c r="D823" t="n">
        <v>10.03</v>
      </c>
      <c r="E823" t="n">
        <v>16.213</v>
      </c>
      <c r="F823" t="n">
        <v>2447.134</v>
      </c>
      <c r="G823" t="n">
        <v>175</v>
      </c>
      <c r="H823">
        <f>E823/F823</f>
        <v/>
      </c>
      <c r="I823">
        <f>((H823-$J$784)/$I$784)</f>
        <v/>
      </c>
      <c r="J823">
        <f>(I823-IF(I792&gt;0,I792,0))</f>
        <v/>
      </c>
      <c r="K823">
        <f>J823/R805*1.1</f>
        <v/>
      </c>
      <c r="L823">
        <f>AVERAGE(K823:K825)</f>
        <v/>
      </c>
      <c r="M823">
        <f>STDEV(K824:K825)</f>
        <v/>
      </c>
      <c r="N823">
        <f>_xlfn.CONCAT(ROUND(L823,1)," ± ",ROUND(M823,1))</f>
        <v/>
      </c>
    </row>
    <row r="824">
      <c r="A824" t="n">
        <v>40</v>
      </c>
      <c r="B824" t="inlineStr">
        <is>
          <t>K3-3B</t>
        </is>
      </c>
      <c r="D824" t="n">
        <v>10.72</v>
      </c>
      <c r="E824" t="n">
        <v>17.869</v>
      </c>
      <c r="F824" t="n">
        <v>2381.961</v>
      </c>
      <c r="G824" t="n">
        <v>198</v>
      </c>
      <c r="H824">
        <f>E824/F824</f>
        <v/>
      </c>
      <c r="I824">
        <f>((H824-$J$784)/$I$784)</f>
        <v/>
      </c>
      <c r="J824">
        <f>(I824-IF(I792&gt;0,I792,0))</f>
        <v/>
      </c>
      <c r="K824">
        <f>J824/R806*1.1</f>
        <v/>
      </c>
    </row>
    <row r="825">
      <c r="A825" t="n">
        <v>41</v>
      </c>
      <c r="B825" t="inlineStr">
        <is>
          <t>K3-3C</t>
        </is>
      </c>
      <c r="D825" t="n">
        <v>10.32</v>
      </c>
      <c r="E825" t="n">
        <v>0.806</v>
      </c>
      <c r="F825" t="n">
        <v>2598.05</v>
      </c>
      <c r="G825" t="n">
        <v>8</v>
      </c>
      <c r="H825">
        <f>E825/F825</f>
        <v/>
      </c>
      <c r="I825">
        <f>((H825-$J$784)/$I$784)</f>
        <v/>
      </c>
      <c r="J825">
        <f>(I825-IF(I792&gt;0,I792,0))</f>
        <v/>
      </c>
      <c r="K825">
        <f>J825/R807*1.1</f>
        <v/>
      </c>
      <c r="L825" s="23" t="inlineStr">
        <is>
          <t>Average</t>
        </is>
      </c>
      <c r="M825" s="23" t="inlineStr">
        <is>
          <t>Stdev</t>
        </is>
      </c>
      <c r="N825" s="9" t="inlineStr">
        <is>
          <t>Combined</t>
        </is>
      </c>
    </row>
    <row r="826">
      <c r="A826" t="n">
        <v>42</v>
      </c>
      <c r="B826" t="inlineStr">
        <is>
          <t>K3-4A</t>
        </is>
      </c>
      <c r="D826" t="n">
        <v>10.58</v>
      </c>
      <c r="E826" t="n">
        <v>1.573</v>
      </c>
      <c r="F826" t="n">
        <v>2541.848</v>
      </c>
      <c r="G826" t="n">
        <v>17</v>
      </c>
      <c r="H826">
        <f>E826/F826</f>
        <v/>
      </c>
      <c r="I826">
        <f>((H826-$J$784)/$I$784)</f>
        <v/>
      </c>
      <c r="J826">
        <f>(I826-IF(I792&gt;0,I792,0))</f>
        <v/>
      </c>
      <c r="K826">
        <f>J826/R808*1.1</f>
        <v/>
      </c>
      <c r="L826">
        <f>AVERAGE(K826:K828)</f>
        <v/>
      </c>
      <c r="M826">
        <f>STDEV(K826:K828)</f>
        <v/>
      </c>
      <c r="N826">
        <f>_xlfn.CONCAT(ROUND(L826,1)," ± ",ROUND(M826,1))</f>
        <v/>
      </c>
    </row>
    <row r="827">
      <c r="A827" t="n">
        <v>43</v>
      </c>
      <c r="B827" t="inlineStr">
        <is>
          <t>K3-4B</t>
        </is>
      </c>
      <c r="D827" t="n">
        <v>10.73</v>
      </c>
      <c r="E827" t="n">
        <v>1.854</v>
      </c>
      <c r="F827" t="n">
        <v>2826.966</v>
      </c>
      <c r="G827" t="n">
        <v>21</v>
      </c>
      <c r="H827">
        <f>E827/F827</f>
        <v/>
      </c>
      <c r="I827">
        <f>((H827-$J$784)/$I$784)</f>
        <v/>
      </c>
      <c r="J827">
        <f>(I827-IF(I792&gt;0,I792,0))</f>
        <v/>
      </c>
      <c r="K827">
        <f>J827/R809*1.1</f>
        <v/>
      </c>
    </row>
    <row r="828">
      <c r="A828" t="n">
        <v>44</v>
      </c>
      <c r="B828" t="inlineStr">
        <is>
          <t>K3-4C</t>
        </is>
      </c>
      <c r="D828" t="n">
        <v>10.61</v>
      </c>
      <c r="E828" t="n">
        <v>3.882</v>
      </c>
      <c r="F828" t="n">
        <v>2828.133</v>
      </c>
      <c r="G828" t="n">
        <v>44</v>
      </c>
      <c r="H828">
        <f>E828/F828</f>
        <v/>
      </c>
      <c r="I828">
        <f>((H828-$J$784)/$I$784)</f>
        <v/>
      </c>
      <c r="J828">
        <f>(I828-IF(I792&gt;0,I792,0))</f>
        <v/>
      </c>
      <c r="K828">
        <f>J828/R810*1.1</f>
        <v/>
      </c>
      <c r="L828" s="23" t="n"/>
      <c r="M828" s="23" t="n"/>
      <c r="N828" s="9" t="n"/>
    </row>
    <row r="829">
      <c r="A829" t="n">
        <v>45</v>
      </c>
      <c r="B829" t="inlineStr">
        <is>
          <t>MeOH</t>
        </is>
      </c>
      <c r="L829" s="23" t="inlineStr">
        <is>
          <t>Average</t>
        </is>
      </c>
      <c r="M829" s="23" t="inlineStr">
        <is>
          <t>Stdev</t>
        </is>
      </c>
      <c r="N829" s="9" t="inlineStr">
        <is>
          <t>Combined</t>
        </is>
      </c>
    </row>
    <row r="830">
      <c r="A830" t="n">
        <v>46</v>
      </c>
      <c r="B830" t="inlineStr">
        <is>
          <t>K3-6A</t>
        </is>
      </c>
      <c r="D830" t="n">
        <v>10.52</v>
      </c>
      <c r="E830" t="n">
        <v>0.793</v>
      </c>
      <c r="F830" t="n">
        <v>2704.998</v>
      </c>
      <c r="G830" t="n">
        <v>0.046</v>
      </c>
      <c r="H830">
        <f>E830/F830</f>
        <v/>
      </c>
      <c r="I830">
        <f>((H830-$J$784)/$I$784)</f>
        <v/>
      </c>
      <c r="J830">
        <f>(I830-IF(I792&gt;0,I792,0))</f>
        <v/>
      </c>
      <c r="K830">
        <f>J830/R811*1.1</f>
        <v/>
      </c>
      <c r="L830">
        <f>AVERAGE(K830:K832)</f>
        <v/>
      </c>
      <c r="M830">
        <f>STDEV(K831:K832)</f>
        <v/>
      </c>
      <c r="N830">
        <f>_xlfn.CONCAT(ROUND(L830,1)," ± ",ROUND(M830,1))</f>
        <v/>
      </c>
    </row>
    <row r="831">
      <c r="A831" t="n">
        <v>47</v>
      </c>
      <c r="B831" t="inlineStr">
        <is>
          <t>K3-6B</t>
        </is>
      </c>
      <c r="F831" t="n">
        <v>2228.994</v>
      </c>
      <c r="H831">
        <f>E831/F831</f>
        <v/>
      </c>
      <c r="I831">
        <f>((H831-$J$784)/$I$784)</f>
        <v/>
      </c>
      <c r="J831">
        <f>(I831-IF(I792&gt;0,I792,0))</f>
        <v/>
      </c>
      <c r="K831">
        <f>J831/R812*1.1</f>
        <v/>
      </c>
    </row>
    <row r="832">
      <c r="A832" t="n">
        <v>48</v>
      </c>
      <c r="B832" t="inlineStr">
        <is>
          <t>K3-6C</t>
        </is>
      </c>
      <c r="D832" t="n">
        <v>10.25</v>
      </c>
      <c r="E832" t="n">
        <v>12.156</v>
      </c>
      <c r="F832" t="n">
        <v>2518.187</v>
      </c>
      <c r="G832" t="n">
        <v>131</v>
      </c>
      <c r="H832">
        <f>E832/F832</f>
        <v/>
      </c>
      <c r="I832">
        <f>((H832-$J$784)/$I$784)</f>
        <v/>
      </c>
      <c r="J832">
        <f>(I832-IF(I792&gt;0,I792,0))</f>
        <v/>
      </c>
      <c r="K832">
        <f>J832/R813*1.1</f>
        <v/>
      </c>
      <c r="L832" s="23" t="n"/>
      <c r="M832" s="23" t="n"/>
      <c r="N832" s="9" t="n"/>
    </row>
    <row r="834">
      <c r="A834" s="15" t="inlineStr">
        <is>
          <t>Compound 32:  PFPeS 1</t>
        </is>
      </c>
      <c r="B834" s="15" t="n"/>
    </row>
    <row r="835">
      <c r="I835" t="inlineStr">
        <is>
          <t>LINEST</t>
        </is>
      </c>
      <c r="Q835" t="inlineStr">
        <is>
          <t>Biosolids Masses</t>
        </is>
      </c>
      <c r="R835" t="inlineStr">
        <is>
          <t>(g)</t>
        </is>
      </c>
    </row>
    <row r="836">
      <c r="B836" t="inlineStr">
        <is>
          <t>Sample Text</t>
        </is>
      </c>
      <c r="C836" t="inlineStr">
        <is>
          <t>Std. Conc</t>
        </is>
      </c>
      <c r="D836" t="inlineStr">
        <is>
          <t>RT</t>
        </is>
      </c>
      <c r="E836" t="inlineStr">
        <is>
          <t>Area</t>
        </is>
      </c>
      <c r="F836" t="inlineStr">
        <is>
          <t>IS Area</t>
        </is>
      </c>
      <c r="G836" t="inlineStr">
        <is>
          <t>S/N</t>
        </is>
      </c>
      <c r="H836" t="inlineStr">
        <is>
          <t>ratio</t>
        </is>
      </c>
      <c r="I836">
        <f t="array" ref="I836:J840">LINEST(H838:H844,C838:C844,1,1)</f>
        <v/>
      </c>
      <c r="J836" t="n">
        <v>-0.1828197929784139</v>
      </c>
      <c r="L836" s="20" t="inlineStr">
        <is>
          <t>By S/N Ratio</t>
        </is>
      </c>
      <c r="Q836" t="inlineStr">
        <is>
          <t>SS1</t>
        </is>
      </c>
      <c r="R836" t="n">
        <v>1.0846</v>
      </c>
    </row>
    <row r="837">
      <c r="A837" t="n">
        <v>1</v>
      </c>
      <c r="B837" t="inlineStr">
        <is>
          <t>EPA1633 &amp; diPAPs Calibration 0 ppb</t>
        </is>
      </c>
      <c r="C837" s="19" t="n">
        <v>0</v>
      </c>
      <c r="F837" t="n">
        <v>1480.336</v>
      </c>
      <c r="H837">
        <f>E837/F837</f>
        <v/>
      </c>
      <c r="I837" t="n">
        <v>0.02346747517726948</v>
      </c>
      <c r="J837" t="n">
        <v>0.2034607090410575</v>
      </c>
      <c r="K837" t="inlineStr">
        <is>
          <t>LOD</t>
        </is>
      </c>
      <c r="L837" s="21">
        <f>IF(G838&gt;3,C838,IF(G839&gt;3,C839,IF(G840&gt;3,C840,IF(G841&gt;3,C841,C842))))</f>
        <v/>
      </c>
      <c r="Q837" t="inlineStr">
        <is>
          <t>SS2</t>
        </is>
      </c>
      <c r="R837" t="n">
        <v>1.0726</v>
      </c>
    </row>
    <row r="838">
      <c r="A838" t="n">
        <v>2</v>
      </c>
      <c r="B838" t="inlineStr">
        <is>
          <t>EPA1633 &amp; diPAPs Calibration 0.02 ppb</t>
        </is>
      </c>
      <c r="C838" s="19" t="n">
        <v>0.02</v>
      </c>
      <c r="D838" t="n">
        <v>9.26</v>
      </c>
      <c r="E838" t="n">
        <v>24.681</v>
      </c>
      <c r="F838" t="n">
        <v>1118.817</v>
      </c>
      <c r="G838" t="n">
        <v>3.67</v>
      </c>
      <c r="H838">
        <f>E838/F838</f>
        <v/>
      </c>
      <c r="I838" t="n">
        <v>0.9919857978950133</v>
      </c>
      <c r="J838" t="n">
        <v>0.4299356372761511</v>
      </c>
      <c r="K838" t="inlineStr">
        <is>
          <t>LOQ</t>
        </is>
      </c>
      <c r="L838" s="22">
        <f>IF(G838&gt;10,C838,IF(G839&gt;10,C839,IF(G840&gt;10,C840,IF(G841&gt;10,C841,C842))))</f>
        <v/>
      </c>
      <c r="Q838" t="inlineStr">
        <is>
          <t>SS3</t>
        </is>
      </c>
      <c r="R838" t="n">
        <v>1.1534</v>
      </c>
    </row>
    <row r="839">
      <c r="A839" t="n">
        <v>3</v>
      </c>
      <c r="B839" t="inlineStr">
        <is>
          <t>EPA1633 &amp; diPAPs Calibration 0.1 ppb</t>
        </is>
      </c>
      <c r="C839" s="19" t="n">
        <v>0.1</v>
      </c>
      <c r="D839" t="n">
        <v>9.27</v>
      </c>
      <c r="E839" t="n">
        <v>109.918</v>
      </c>
      <c r="F839" t="n">
        <v>1446.88</v>
      </c>
      <c r="G839" t="n">
        <v>7.075</v>
      </c>
      <c r="H839">
        <f>E839/F839</f>
        <v/>
      </c>
      <c r="I839" t="n">
        <v>618.8924267818073</v>
      </c>
      <c r="J839" t="n">
        <v>5</v>
      </c>
      <c r="Q839" t="inlineStr">
        <is>
          <t>K4-1A</t>
        </is>
      </c>
      <c r="R839" t="n">
        <v>1.0267</v>
      </c>
    </row>
    <row r="840">
      <c r="A840" t="n">
        <v>4</v>
      </c>
      <c r="B840" t="inlineStr">
        <is>
          <t>EPA1633 &amp; diPAPs Calibration 0.4 ppb</t>
        </is>
      </c>
      <c r="C840" s="19" t="n">
        <v>0.4</v>
      </c>
      <c r="D840" t="n">
        <v>9.27</v>
      </c>
      <c r="E840" t="n">
        <v>383.412</v>
      </c>
      <c r="F840" t="n">
        <v>1124.702</v>
      </c>
      <c r="G840" t="n">
        <v>3697</v>
      </c>
      <c r="H840">
        <f>E840/F840</f>
        <v/>
      </c>
      <c r="I840" t="n">
        <v>114.3989553777282</v>
      </c>
      <c r="J840" t="n">
        <v>0.9242232610002509</v>
      </c>
      <c r="Q840" t="inlineStr">
        <is>
          <t>K4-1B</t>
        </is>
      </c>
      <c r="R840" t="n">
        <v>1.1481</v>
      </c>
    </row>
    <row r="841">
      <c r="A841" t="n">
        <v>5</v>
      </c>
      <c r="B841" t="inlineStr">
        <is>
          <t>EPA1633 &amp; diPAPs Calibration 1 ppb</t>
        </is>
      </c>
      <c r="C841" s="19" t="n">
        <v>1</v>
      </c>
      <c r="D841" t="n">
        <v>9.300000000000001</v>
      </c>
      <c r="E841" t="n">
        <v>416.057</v>
      </c>
      <c r="F841" t="n">
        <v>1632.484</v>
      </c>
      <c r="G841" t="n">
        <v>9.481999999999999</v>
      </c>
      <c r="H841">
        <f>E841/F841</f>
        <v/>
      </c>
      <c r="Q841" t="inlineStr">
        <is>
          <t>K4-1C</t>
        </is>
      </c>
      <c r="R841" t="n">
        <v>1.0402</v>
      </c>
    </row>
    <row r="842">
      <c r="A842" t="n">
        <v>6</v>
      </c>
      <c r="B842" t="inlineStr">
        <is>
          <t>EPA1633 &amp; diPAPs Calibration 5 ppb</t>
        </is>
      </c>
      <c r="C842" s="19" t="n">
        <v>5</v>
      </c>
      <c r="D842" t="n">
        <v>9.130000000000001</v>
      </c>
      <c r="E842" t="n">
        <v>2592.964</v>
      </c>
      <c r="F842" t="n">
        <v>1363.196</v>
      </c>
      <c r="G842" t="n">
        <v>29.969</v>
      </c>
      <c r="H842">
        <f>E842/F842</f>
        <v/>
      </c>
      <c r="Q842" t="inlineStr">
        <is>
          <t>K4-2A</t>
        </is>
      </c>
      <c r="R842" t="n">
        <v>1.127</v>
      </c>
    </row>
    <row r="843">
      <c r="A843" t="n">
        <v>7</v>
      </c>
      <c r="B843" t="inlineStr">
        <is>
          <t>EPA1633 &amp; diPAPs Calibration 10 ppb</t>
        </is>
      </c>
      <c r="C843" s="19" t="n">
        <v>10</v>
      </c>
      <c r="D843" t="n">
        <v>9.19</v>
      </c>
      <c r="E843" t="n">
        <v>5668.396</v>
      </c>
      <c r="F843" t="n">
        <v>972.191</v>
      </c>
      <c r="G843" t="n">
        <v>209.225</v>
      </c>
      <c r="H843">
        <f>E843/F843</f>
        <v/>
      </c>
      <c r="I843" s="23" t="inlineStr">
        <is>
          <t>Background</t>
        </is>
      </c>
      <c r="J843" s="23" t="inlineStr">
        <is>
          <t>Spike</t>
        </is>
      </c>
      <c r="K843" s="9" t="inlineStr">
        <is>
          <t>Old Spike</t>
        </is>
      </c>
      <c r="O843" s="24" t="inlineStr">
        <is>
          <t>±</t>
        </is>
      </c>
      <c r="Q843" t="inlineStr">
        <is>
          <t>K4-2B</t>
        </is>
      </c>
      <c r="R843" t="n">
        <v>1.1154</v>
      </c>
    </row>
    <row r="844">
      <c r="A844" t="n">
        <v>8</v>
      </c>
      <c r="B844" t="inlineStr">
        <is>
          <t>EPA1633 &amp; diPAPs Calibration 20 ppb</t>
        </is>
      </c>
      <c r="C844" s="19" t="n">
        <v>20</v>
      </c>
      <c r="D844" t="n">
        <v>9.25</v>
      </c>
      <c r="E844" t="n">
        <v>11193.547</v>
      </c>
      <c r="F844" t="n">
        <v>963.742</v>
      </c>
      <c r="G844" t="n">
        <v>94722</v>
      </c>
      <c r="H844">
        <f>E844/F844</f>
        <v/>
      </c>
      <c r="I844" t="n">
        <v>0</v>
      </c>
      <c r="J844" t="n">
        <v>11</v>
      </c>
      <c r="Q844" t="inlineStr">
        <is>
          <t>K4-2C</t>
        </is>
      </c>
      <c r="R844" t="n">
        <v>1.1711</v>
      </c>
    </row>
    <row r="845">
      <c r="A845" t="n">
        <v>9</v>
      </c>
      <c r="B845" t="inlineStr">
        <is>
          <t>MeOH</t>
        </is>
      </c>
      <c r="I845" s="23" t="inlineStr">
        <is>
          <t>Conc.In Vial (ppb)</t>
        </is>
      </c>
      <c r="J845" s="9" t="inlineStr">
        <is>
          <t>Corr. Conc.(ppb)</t>
        </is>
      </c>
      <c r="K845" s="9" t="inlineStr">
        <is>
          <t>Conc. In soil (ng/g)</t>
        </is>
      </c>
      <c r="Q845" t="inlineStr">
        <is>
          <t>K4-4A</t>
        </is>
      </c>
      <c r="R845" t="n">
        <v>1.0932</v>
      </c>
    </row>
    <row r="846">
      <c r="A846" t="n">
        <v>10</v>
      </c>
      <c r="B846" t="inlineStr">
        <is>
          <t>MeOH</t>
        </is>
      </c>
      <c r="L846" s="23" t="inlineStr">
        <is>
          <t>Average</t>
        </is>
      </c>
      <c r="M846" s="23" t="inlineStr">
        <is>
          <t>Stdev</t>
        </is>
      </c>
      <c r="N846" s="9" t="inlineStr">
        <is>
          <t>Combined</t>
        </is>
      </c>
      <c r="O846" s="9" t="n"/>
      <c r="P846" s="9" t="n"/>
      <c r="Q846" t="inlineStr">
        <is>
          <t>K4-4B</t>
        </is>
      </c>
      <c r="R846" t="n">
        <v>1.15</v>
      </c>
    </row>
    <row r="847">
      <c r="A847" t="n">
        <v>11</v>
      </c>
      <c r="B847" t="inlineStr">
        <is>
          <t>SB1</t>
        </is>
      </c>
      <c r="F847" t="n">
        <v>517.296</v>
      </c>
      <c r="H847">
        <f>E847/F847</f>
        <v/>
      </c>
      <c r="I847">
        <f>((H847-$J$836)/$I$836)</f>
        <v/>
      </c>
      <c r="J847">
        <f>(I847-IF(I844&gt;0,I844,0))</f>
        <v/>
      </c>
      <c r="K847">
        <f>J847*1.1</f>
        <v/>
      </c>
      <c r="L847">
        <f>AVERAGE(K847:K849)</f>
        <v/>
      </c>
      <c r="M847">
        <f>STDEV(K848:K849)</f>
        <v/>
      </c>
      <c r="N847">
        <f>_xlfn.CONCAT(ROUND(L847,1)," ± ",ROUND(M847,1))</f>
        <v/>
      </c>
      <c r="Q847" t="inlineStr">
        <is>
          <t>K4-4C</t>
        </is>
      </c>
      <c r="R847" t="n">
        <v>1.0482</v>
      </c>
    </row>
    <row r="848">
      <c r="A848" t="n">
        <v>12</v>
      </c>
      <c r="B848" t="inlineStr">
        <is>
          <t>SB2</t>
        </is>
      </c>
      <c r="F848" t="n">
        <v>658.292</v>
      </c>
      <c r="H848">
        <f>E848/F848</f>
        <v/>
      </c>
      <c r="I848">
        <f>((H848-$J$836)/$I$836)</f>
        <v/>
      </c>
      <c r="J848">
        <f>(I848-IF(I844&gt;0,I844,0))</f>
        <v/>
      </c>
      <c r="K848">
        <f>J848*1.1</f>
        <v/>
      </c>
      <c r="Q848" t="inlineStr">
        <is>
          <t>K4-5A</t>
        </is>
      </c>
      <c r="R848" t="n">
        <v>1.1054</v>
      </c>
    </row>
    <row r="849">
      <c r="A849" t="n">
        <v>13</v>
      </c>
      <c r="B849" t="inlineStr">
        <is>
          <t>SB3</t>
        </is>
      </c>
      <c r="F849" t="n">
        <v>554.321</v>
      </c>
      <c r="H849">
        <f>E849/F849</f>
        <v/>
      </c>
      <c r="I849">
        <f>((H849-$J$836)/$I$836)</f>
        <v/>
      </c>
      <c r="J849">
        <f>(I849-IF(I844&gt;0,I844,0))</f>
        <v/>
      </c>
      <c r="K849" s="30">
        <f>J849*1.1</f>
        <v/>
      </c>
      <c r="L849" s="25" t="inlineStr">
        <is>
          <t>Average</t>
        </is>
      </c>
      <c r="M849" s="25" t="inlineStr">
        <is>
          <t>Stdev</t>
        </is>
      </c>
      <c r="N849" s="26" t="inlineStr">
        <is>
          <t>%Recovery</t>
        </is>
      </c>
      <c r="O849" s="26" t="inlineStr">
        <is>
          <t>Uncertainty</t>
        </is>
      </c>
      <c r="P849" s="26" t="inlineStr">
        <is>
          <t>Combined</t>
        </is>
      </c>
      <c r="Q849" t="inlineStr">
        <is>
          <t>K4-5B</t>
        </is>
      </c>
      <c r="R849" s="10" t="n">
        <v>1.0463</v>
      </c>
    </row>
    <row r="850">
      <c r="A850" t="n">
        <v>14</v>
      </c>
      <c r="B850" t="inlineStr">
        <is>
          <t>SS1</t>
        </is>
      </c>
      <c r="D850" t="n">
        <v>9.35</v>
      </c>
      <c r="E850" t="n">
        <v>2172.872</v>
      </c>
      <c r="F850" t="n">
        <v>423.941</v>
      </c>
      <c r="G850" t="n">
        <v>306.071</v>
      </c>
      <c r="H850">
        <f>E850/F850</f>
        <v/>
      </c>
      <c r="I850">
        <f>((H850-$J$836)/$I$836)</f>
        <v/>
      </c>
      <c r="J850">
        <f>(I850-IF(I844&gt;0,I844,0))</f>
        <v/>
      </c>
      <c r="K850">
        <f>J850/R836*1.1</f>
        <v/>
      </c>
      <c r="L850" s="27">
        <f>AVERAGE(K850:K852)</f>
        <v/>
      </c>
      <c r="M850" s="27">
        <f>STDEV(K850:K852)</f>
        <v/>
      </c>
      <c r="N850" s="28">
        <f>L850/J844*100</f>
        <v/>
      </c>
      <c r="O850" s="29">
        <f>M850/J847*100</f>
        <v/>
      </c>
      <c r="P850" s="29">
        <f>_xlfn.CONCAT(ROUND(N850,1)," ± ",ROUND(O850,1))</f>
        <v/>
      </c>
      <c r="Q850" t="inlineStr">
        <is>
          <t>K4-5C</t>
        </is>
      </c>
      <c r="R850" t="n">
        <v>1.1155</v>
      </c>
    </row>
    <row r="851">
      <c r="A851" t="n">
        <v>15</v>
      </c>
      <c r="B851" t="inlineStr">
        <is>
          <t>SS2</t>
        </is>
      </c>
      <c r="D851" t="n">
        <v>9.359999999999999</v>
      </c>
      <c r="E851" t="n">
        <v>2537.442</v>
      </c>
      <c r="F851" t="n">
        <v>665.876</v>
      </c>
      <c r="G851" t="n">
        <v>21408</v>
      </c>
      <c r="H851">
        <f>E851/F851</f>
        <v/>
      </c>
      <c r="I851">
        <f>((H851-$J$836)/$I$836)</f>
        <v/>
      </c>
      <c r="J851">
        <f>(I851-IF(I844&gt;0,I844,0))</f>
        <v/>
      </c>
      <c r="K851">
        <f>J851/R837*1.1</f>
        <v/>
      </c>
      <c r="Q851" t="inlineStr">
        <is>
          <t>K3-1A</t>
        </is>
      </c>
      <c r="R851" t="n">
        <v>1.0874</v>
      </c>
    </row>
    <row r="852">
      <c r="A852" t="n">
        <v>16</v>
      </c>
      <c r="B852" t="inlineStr">
        <is>
          <t>SS3</t>
        </is>
      </c>
      <c r="D852" t="n">
        <v>9.359999999999999</v>
      </c>
      <c r="E852" t="n">
        <v>2640.389</v>
      </c>
      <c r="F852" t="n">
        <v>514.421</v>
      </c>
      <c r="G852" t="n">
        <v>660.5700000000001</v>
      </c>
      <c r="H852">
        <f>E852/F852</f>
        <v/>
      </c>
      <c r="I852">
        <f>((H852-$J$836)/$I$836)</f>
        <v/>
      </c>
      <c r="J852">
        <f>(I852-IF(I844&gt;0,I844,0))</f>
        <v/>
      </c>
      <c r="K852" s="30">
        <f>J852/R838*1.1</f>
        <v/>
      </c>
      <c r="Q852" t="inlineStr">
        <is>
          <t>K3-1B</t>
        </is>
      </c>
      <c r="R852" t="n">
        <v>1.0898</v>
      </c>
    </row>
    <row r="853">
      <c r="A853" t="n">
        <v>17</v>
      </c>
      <c r="B853" t="inlineStr">
        <is>
          <t>MeOH</t>
        </is>
      </c>
      <c r="L853" s="23" t="inlineStr">
        <is>
          <t>Average</t>
        </is>
      </c>
      <c r="M853" s="23" t="inlineStr">
        <is>
          <t>Stdev</t>
        </is>
      </c>
      <c r="N853" s="9" t="inlineStr">
        <is>
          <t>Combined</t>
        </is>
      </c>
      <c r="Q853" t="inlineStr">
        <is>
          <t>K3-1C</t>
        </is>
      </c>
      <c r="R853" t="n">
        <v>1.0536</v>
      </c>
    </row>
    <row r="854">
      <c r="A854" t="n">
        <v>18</v>
      </c>
      <c r="B854" t="inlineStr">
        <is>
          <t>K4-1A</t>
        </is>
      </c>
      <c r="F854" t="n">
        <v>562.856</v>
      </c>
      <c r="H854">
        <f>E854/F854</f>
        <v/>
      </c>
      <c r="I854">
        <f>((H854-$J$836)/$I$836)</f>
        <v/>
      </c>
      <c r="J854">
        <f>(I854-IF(I844&gt;0,I844,0))</f>
        <v/>
      </c>
      <c r="K854">
        <f>J854/R839*1.1</f>
        <v/>
      </c>
      <c r="L854">
        <f>AVERAGE(K854:K856)</f>
        <v/>
      </c>
      <c r="M854">
        <f>STDEV(K855:K856)</f>
        <v/>
      </c>
      <c r="N854">
        <f>_xlfn.CONCAT(ROUND(L854,1)," ± ",ROUND(M854,1))</f>
        <v/>
      </c>
      <c r="Q854" t="inlineStr">
        <is>
          <t>K3-2A</t>
        </is>
      </c>
      <c r="R854" s="10" t="n">
        <v>1.1218</v>
      </c>
    </row>
    <row r="855">
      <c r="A855" t="n">
        <v>19</v>
      </c>
      <c r="B855" t="inlineStr">
        <is>
          <t>K4-1B</t>
        </is>
      </c>
      <c r="F855" t="n">
        <v>709.3200000000001</v>
      </c>
      <c r="H855">
        <f>E855/F855</f>
        <v/>
      </c>
      <c r="I855">
        <f>((H855-$J$836)/$I$836)</f>
        <v/>
      </c>
      <c r="J855">
        <f>(I855-IF(I844&gt;0,I844,0))</f>
        <v/>
      </c>
      <c r="K855">
        <f>J855/R840*1.1</f>
        <v/>
      </c>
      <c r="Q855" t="inlineStr">
        <is>
          <t>K3-2B</t>
        </is>
      </c>
      <c r="R855" t="n">
        <v>1.198</v>
      </c>
    </row>
    <row r="856">
      <c r="A856" t="n">
        <v>20</v>
      </c>
      <c r="B856" t="inlineStr">
        <is>
          <t>K4-1C</t>
        </is>
      </c>
      <c r="F856" t="n">
        <v>545.8630000000001</v>
      </c>
      <c r="H856">
        <f>E856/F856</f>
        <v/>
      </c>
      <c r="I856">
        <f>((H856-$J$836)/$I$836)</f>
        <v/>
      </c>
      <c r="J856">
        <f>(I856-IF(I844&gt;0,I844,0))</f>
        <v/>
      </c>
      <c r="K856">
        <f>J856/R841*1.1</f>
        <v/>
      </c>
      <c r="L856" s="23" t="inlineStr">
        <is>
          <t>Average</t>
        </is>
      </c>
      <c r="M856" s="23" t="inlineStr">
        <is>
          <t>Stdev</t>
        </is>
      </c>
      <c r="N856" s="9" t="inlineStr">
        <is>
          <t>Combined</t>
        </is>
      </c>
      <c r="Q856" t="inlineStr">
        <is>
          <t>K3-2C</t>
        </is>
      </c>
      <c r="R856" t="n">
        <v>1.1538</v>
      </c>
    </row>
    <row r="857">
      <c r="A857" t="n">
        <v>21</v>
      </c>
      <c r="B857" t="inlineStr">
        <is>
          <t>K4-2A</t>
        </is>
      </c>
      <c r="D857" t="n">
        <v>9.58</v>
      </c>
      <c r="E857" t="n">
        <v>0.835</v>
      </c>
      <c r="F857" t="n">
        <v>889.295</v>
      </c>
      <c r="G857" t="n">
        <v>9</v>
      </c>
      <c r="H857">
        <f>E857/F857</f>
        <v/>
      </c>
      <c r="I857">
        <f>((H857-$J$836)/$I$836)</f>
        <v/>
      </c>
      <c r="J857">
        <f>(I857-IF(I844&gt;0,I844,0))</f>
        <v/>
      </c>
      <c r="K857">
        <f>J857/R842*1.1</f>
        <v/>
      </c>
      <c r="L857">
        <f>AVERAGE(K857:K859)</f>
        <v/>
      </c>
      <c r="M857">
        <f>STDEV(K857:K859)</f>
        <v/>
      </c>
      <c r="N857">
        <f>_xlfn.CONCAT(ROUND(L857,1)," ± ",ROUND(M857,1))</f>
        <v/>
      </c>
      <c r="Q857" t="inlineStr">
        <is>
          <t>K3-3A</t>
        </is>
      </c>
      <c r="R857" t="n">
        <v>1.1183</v>
      </c>
    </row>
    <row r="858">
      <c r="A858" t="n">
        <v>22</v>
      </c>
      <c r="B858" t="inlineStr">
        <is>
          <t>K4-2B</t>
        </is>
      </c>
      <c r="F858" t="n">
        <v>819.534</v>
      </c>
      <c r="H858">
        <f>E858/F858</f>
        <v/>
      </c>
      <c r="I858">
        <f>((H858-$J$836)/$I$836)</f>
        <v/>
      </c>
      <c r="J858">
        <f>(I858-IF(I844&gt;0,I844,0))</f>
        <v/>
      </c>
      <c r="K858">
        <f>J858/R843*1.1</f>
        <v/>
      </c>
      <c r="Q858" t="inlineStr">
        <is>
          <t>K3-3B</t>
        </is>
      </c>
      <c r="R858" t="n">
        <v>1.1448</v>
      </c>
    </row>
    <row r="859">
      <c r="A859" t="n">
        <v>23</v>
      </c>
      <c r="B859" t="inlineStr">
        <is>
          <t>K4-2C</t>
        </is>
      </c>
      <c r="F859" t="n">
        <v>609.211</v>
      </c>
      <c r="H859">
        <f>E859/F859</f>
        <v/>
      </c>
      <c r="I859">
        <f>((H859-$J$836)/$I$836)</f>
        <v/>
      </c>
      <c r="J859">
        <f>(I859-IF(I844&gt;0,I844,0))</f>
        <v/>
      </c>
      <c r="K859">
        <f>J859/R844*1.1</f>
        <v/>
      </c>
      <c r="L859" s="23" t="n"/>
      <c r="M859" s="23" t="n"/>
      <c r="N859" s="9" t="n"/>
      <c r="Q859" t="inlineStr">
        <is>
          <t>K3-3C</t>
        </is>
      </c>
      <c r="R859" t="n">
        <v>1.0493</v>
      </c>
    </row>
    <row r="860">
      <c r="A860" t="n">
        <v>24</v>
      </c>
      <c r="B860" t="inlineStr">
        <is>
          <t>MeOH</t>
        </is>
      </c>
      <c r="L860" s="23" t="inlineStr">
        <is>
          <t>Average</t>
        </is>
      </c>
      <c r="M860" s="23" t="inlineStr">
        <is>
          <t>Stdev</t>
        </is>
      </c>
      <c r="N860" s="9" t="inlineStr">
        <is>
          <t>Combined</t>
        </is>
      </c>
      <c r="Q860" t="inlineStr">
        <is>
          <t>K3-4A</t>
        </is>
      </c>
      <c r="R860" t="n">
        <v>1.0704</v>
      </c>
    </row>
    <row r="861">
      <c r="A861" t="n">
        <v>25</v>
      </c>
      <c r="B861" t="inlineStr">
        <is>
          <t>K4-4A</t>
        </is>
      </c>
      <c r="F861" t="n">
        <v>836.772</v>
      </c>
      <c r="H861">
        <f>E861/F861</f>
        <v/>
      </c>
      <c r="I861">
        <f>((H861-$J$836)/$I$836)</f>
        <v/>
      </c>
      <c r="J861">
        <f>(I861-IF(I844&gt;0,I844,0))</f>
        <v/>
      </c>
      <c r="K861">
        <f>J861/R845*1.1</f>
        <v/>
      </c>
      <c r="L861">
        <f>AVERAGE(K861:K863)</f>
        <v/>
      </c>
      <c r="M861">
        <f>STDEV(K862:K863)</f>
        <v/>
      </c>
      <c r="N861">
        <f>_xlfn.CONCAT(ROUND(L861,1)," ± ",ROUND(M861,1))</f>
        <v/>
      </c>
      <c r="Q861" t="inlineStr">
        <is>
          <t>K3-4B</t>
        </is>
      </c>
      <c r="R861" t="n">
        <v>1.1589</v>
      </c>
    </row>
    <row r="862">
      <c r="A862" t="n">
        <v>26</v>
      </c>
      <c r="B862" t="inlineStr">
        <is>
          <t>K4-4B</t>
        </is>
      </c>
      <c r="F862" t="n">
        <v>461.157</v>
      </c>
      <c r="H862">
        <f>E862/F862</f>
        <v/>
      </c>
      <c r="I862">
        <f>((H862-$J$836)/$I$836)</f>
        <v/>
      </c>
      <c r="J862">
        <f>(I862-IF(I844&gt;0,I844,0))</f>
        <v/>
      </c>
      <c r="K862">
        <f>J862/R846*1.1</f>
        <v/>
      </c>
      <c r="Q862" t="inlineStr">
        <is>
          <t>K3-4C</t>
        </is>
      </c>
      <c r="R862" t="n">
        <v>1.0206</v>
      </c>
    </row>
    <row r="863">
      <c r="A863" t="n">
        <v>27</v>
      </c>
      <c r="B863" t="inlineStr">
        <is>
          <t>K4-4C</t>
        </is>
      </c>
      <c r="F863" t="n">
        <v>666.644</v>
      </c>
      <c r="H863">
        <f>E863/F863</f>
        <v/>
      </c>
      <c r="I863">
        <f>((H863-$J$836)/$I$836)</f>
        <v/>
      </c>
      <c r="J863">
        <f>(I863-IF(I844&gt;0,I844,0))</f>
        <v/>
      </c>
      <c r="K863">
        <f>J863/R847*1.1</f>
        <v/>
      </c>
      <c r="L863" s="23" t="inlineStr">
        <is>
          <t>Average</t>
        </is>
      </c>
      <c r="M863" s="23" t="inlineStr">
        <is>
          <t>Stdev</t>
        </is>
      </c>
      <c r="N863" s="9" t="inlineStr">
        <is>
          <t>Combined</t>
        </is>
      </c>
      <c r="Q863" t="inlineStr">
        <is>
          <t>K3-6A</t>
        </is>
      </c>
      <c r="R863" t="n">
        <v>1.1289</v>
      </c>
    </row>
    <row r="864">
      <c r="A864" t="n">
        <v>28</v>
      </c>
      <c r="B864" t="inlineStr">
        <is>
          <t>K4-5A</t>
        </is>
      </c>
      <c r="F864" t="n">
        <v>578.409</v>
      </c>
      <c r="H864">
        <f>E864/F864</f>
        <v/>
      </c>
      <c r="I864">
        <f>((H864-$J$836)/$I$836)</f>
        <v/>
      </c>
      <c r="J864">
        <f>(I864-IF(I844&gt;0,I844,0))</f>
        <v/>
      </c>
      <c r="K864">
        <f>J864/R848*1.1</f>
        <v/>
      </c>
      <c r="L864">
        <f>AVERAGE(K864:K866)</f>
        <v/>
      </c>
      <c r="M864">
        <f>STDEV(K864:K866)</f>
        <v/>
      </c>
      <c r="N864">
        <f>_xlfn.CONCAT(ROUND(L864,1)," ± ",ROUND(M864,1))</f>
        <v/>
      </c>
      <c r="Q864" t="inlineStr">
        <is>
          <t>K3-6B</t>
        </is>
      </c>
      <c r="R864" t="n">
        <v>1.195</v>
      </c>
    </row>
    <row r="865">
      <c r="A865" t="n">
        <v>29</v>
      </c>
      <c r="B865" t="inlineStr">
        <is>
          <t>K4-5B</t>
        </is>
      </c>
      <c r="D865" t="n">
        <v>9.470000000000001</v>
      </c>
      <c r="E865" t="n">
        <v>0.513</v>
      </c>
      <c r="F865" t="n">
        <v>575.86</v>
      </c>
      <c r="G865" t="n">
        <v>6</v>
      </c>
      <c r="H865">
        <f>E865/F865</f>
        <v/>
      </c>
      <c r="I865">
        <f>((H865-$J$836)/$I$836)</f>
        <v/>
      </c>
      <c r="J865">
        <f>(I865-IF(I844&gt;0,I844,0))</f>
        <v/>
      </c>
      <c r="K865">
        <f>J865/R849*1.1</f>
        <v/>
      </c>
      <c r="Q865" t="inlineStr">
        <is>
          <t>K3-6C</t>
        </is>
      </c>
      <c r="R865" t="n">
        <v>1.1716</v>
      </c>
    </row>
    <row r="866">
      <c r="A866" t="n">
        <v>30</v>
      </c>
      <c r="B866" t="inlineStr">
        <is>
          <t>K4-5C</t>
        </is>
      </c>
      <c r="F866" t="n">
        <v>648.184</v>
      </c>
      <c r="H866">
        <f>E866/F866</f>
        <v/>
      </c>
      <c r="I866">
        <f>((H866-$J$836)/$I$836)</f>
        <v/>
      </c>
      <c r="J866">
        <f>(I866-IF(I844&gt;0,I844,0))</f>
        <v/>
      </c>
      <c r="K866">
        <f>J866/R850*1.1</f>
        <v/>
      </c>
      <c r="L866" s="23" t="n"/>
      <c r="M866" s="23" t="n"/>
      <c r="N866" s="9" t="n"/>
    </row>
    <row r="867">
      <c r="A867" t="n">
        <v>31</v>
      </c>
      <c r="B867" t="inlineStr">
        <is>
          <t>MeOH</t>
        </is>
      </c>
      <c r="D867" t="n">
        <v>9.32</v>
      </c>
      <c r="E867" t="n">
        <v>0.913</v>
      </c>
      <c r="G867" t="n">
        <v>11</v>
      </c>
      <c r="L867" s="23" t="inlineStr">
        <is>
          <t>Average</t>
        </is>
      </c>
      <c r="M867" s="23" t="inlineStr">
        <is>
          <t>Stdev</t>
        </is>
      </c>
      <c r="N867" s="9" t="inlineStr">
        <is>
          <t>Combined</t>
        </is>
      </c>
    </row>
    <row r="868">
      <c r="A868" t="n">
        <v>32</v>
      </c>
      <c r="B868" t="inlineStr">
        <is>
          <t>K3-1A</t>
        </is>
      </c>
      <c r="F868" t="n">
        <v>704.658</v>
      </c>
      <c r="H868">
        <f>E868/F868</f>
        <v/>
      </c>
      <c r="I868">
        <f>((H868-$J$836)/$I$836)</f>
        <v/>
      </c>
      <c r="J868">
        <f>(I868-IF(I844&gt;0,I844,0))</f>
        <v/>
      </c>
      <c r="K868">
        <f>J868/R851*1.1</f>
        <v/>
      </c>
      <c r="L868">
        <f>AVERAGE(K868:K870)</f>
        <v/>
      </c>
      <c r="M868">
        <f>STDEV(K869:K870)</f>
        <v/>
      </c>
      <c r="N868">
        <f>_xlfn.CONCAT(ROUND(L868,1)," ± ",ROUND(M868,1))</f>
        <v/>
      </c>
    </row>
    <row r="869">
      <c r="A869" t="n">
        <v>33</v>
      </c>
      <c r="B869" t="inlineStr">
        <is>
          <t>K3-1B</t>
        </is>
      </c>
      <c r="F869" t="n">
        <v>589.025</v>
      </c>
      <c r="H869">
        <f>E869/F869</f>
        <v/>
      </c>
      <c r="I869">
        <f>((H869-$J$836)/$I$836)</f>
        <v/>
      </c>
      <c r="J869">
        <f>(I869-IF(I844&gt;0,I844,0))</f>
        <v/>
      </c>
      <c r="K869">
        <f>J869/R852*1.1</f>
        <v/>
      </c>
    </row>
    <row r="870">
      <c r="A870" t="n">
        <v>34</v>
      </c>
      <c r="B870" t="inlineStr">
        <is>
          <t>K3-1C</t>
        </is>
      </c>
      <c r="F870" t="n">
        <v>902.054</v>
      </c>
      <c r="H870">
        <f>E870/F870</f>
        <v/>
      </c>
      <c r="I870">
        <f>((H870-$J$836)/$I$836)</f>
        <v/>
      </c>
      <c r="J870">
        <f>(I870-IF(I844&gt;0,I844,0))</f>
        <v/>
      </c>
      <c r="K870">
        <f>J870/R853*1.1</f>
        <v/>
      </c>
      <c r="L870" s="23" t="inlineStr">
        <is>
          <t>Average</t>
        </is>
      </c>
      <c r="M870" s="23" t="inlineStr">
        <is>
          <t>Stdev</t>
        </is>
      </c>
      <c r="N870" s="9" t="inlineStr">
        <is>
          <t>Combined</t>
        </is>
      </c>
    </row>
    <row r="871">
      <c r="A871" t="n">
        <v>35</v>
      </c>
      <c r="B871" t="inlineStr">
        <is>
          <t>K3-2A</t>
        </is>
      </c>
      <c r="D871" t="n">
        <v>9.359999999999999</v>
      </c>
      <c r="E871" t="n">
        <v>3.651</v>
      </c>
      <c r="F871" t="n">
        <v>786.168</v>
      </c>
      <c r="G871" t="n">
        <v>44</v>
      </c>
      <c r="H871">
        <f>E871/F871</f>
        <v/>
      </c>
      <c r="I871">
        <f>((H871-$J$836)/$I$836)</f>
        <v/>
      </c>
      <c r="J871">
        <f>(I871-IF(I844&gt;0,I844,0))</f>
        <v/>
      </c>
      <c r="K871">
        <f>J871/R854*1.1</f>
        <v/>
      </c>
      <c r="L871">
        <f>AVERAGE(K871:K873)</f>
        <v/>
      </c>
      <c r="M871">
        <f>STDEV(K871:K873)</f>
        <v/>
      </c>
      <c r="N871">
        <f>_xlfn.CONCAT(ROUND(L871,1)," ± ",ROUND(M871,1))</f>
        <v/>
      </c>
    </row>
    <row r="872">
      <c r="A872" t="n">
        <v>36</v>
      </c>
      <c r="B872" t="inlineStr">
        <is>
          <t>K3-2B</t>
        </is>
      </c>
      <c r="D872" t="n">
        <v>8.960000000000001</v>
      </c>
      <c r="E872" t="n">
        <v>0.185</v>
      </c>
      <c r="F872" t="n">
        <v>847.954</v>
      </c>
      <c r="G872" t="n">
        <v>2</v>
      </c>
      <c r="H872">
        <f>E872/F872</f>
        <v/>
      </c>
      <c r="I872">
        <f>((H872-$J$836)/$I$836)</f>
        <v/>
      </c>
      <c r="J872">
        <f>(I872-IF(I844&gt;0,I844,0))</f>
        <v/>
      </c>
      <c r="K872">
        <f>J872/R855*1.1</f>
        <v/>
      </c>
    </row>
    <row r="873">
      <c r="A873" t="n">
        <v>37</v>
      </c>
      <c r="B873" t="inlineStr">
        <is>
          <t>K3-2C</t>
        </is>
      </c>
      <c r="F873" t="n">
        <v>549.966</v>
      </c>
      <c r="H873">
        <f>E873/F873</f>
        <v/>
      </c>
      <c r="I873">
        <f>((H873-$J$836)/$I$836)</f>
        <v/>
      </c>
      <c r="J873">
        <f>(I873-IF(I844&gt;0,I844,0))</f>
        <v/>
      </c>
      <c r="K873">
        <f>J873/R856*1.1</f>
        <v/>
      </c>
      <c r="L873" s="23" t="n"/>
      <c r="M873" s="23" t="n"/>
      <c r="N873" s="9" t="n"/>
    </row>
    <row r="874">
      <c r="A874" t="n">
        <v>38</v>
      </c>
      <c r="B874" t="inlineStr">
        <is>
          <t>MeOH</t>
        </is>
      </c>
      <c r="L874" s="23" t="inlineStr">
        <is>
          <t>Average</t>
        </is>
      </c>
      <c r="M874" s="23" t="inlineStr">
        <is>
          <t>Stdev</t>
        </is>
      </c>
      <c r="N874" s="9" t="inlineStr">
        <is>
          <t>Combined</t>
        </is>
      </c>
    </row>
    <row r="875">
      <c r="A875" t="n">
        <v>39</v>
      </c>
      <c r="B875" t="inlineStr">
        <is>
          <t>K3-3A</t>
        </is>
      </c>
      <c r="F875" t="n">
        <v>896.226</v>
      </c>
      <c r="H875">
        <f>E875/F875</f>
        <v/>
      </c>
      <c r="I875">
        <f>((H875-$J$836)/$I$836)</f>
        <v/>
      </c>
      <c r="J875">
        <f>(I875-IF(I844&gt;0,I844,0))</f>
        <v/>
      </c>
      <c r="K875">
        <f>J875/R857*1.1</f>
        <v/>
      </c>
      <c r="L875">
        <f>AVERAGE(K875:K877)</f>
        <v/>
      </c>
      <c r="M875">
        <f>STDEV(K876:K877)</f>
        <v/>
      </c>
      <c r="N875">
        <f>_xlfn.CONCAT(ROUND(L875,1)," ± ",ROUND(M875,1))</f>
        <v/>
      </c>
    </row>
    <row r="876">
      <c r="A876" t="n">
        <v>40</v>
      </c>
      <c r="B876" t="inlineStr">
        <is>
          <t>K3-3B</t>
        </is>
      </c>
      <c r="F876" t="n">
        <v>1005.7</v>
      </c>
      <c r="H876">
        <f>E876/F876</f>
        <v/>
      </c>
      <c r="I876">
        <f>((H876-$J$836)/$I$836)</f>
        <v/>
      </c>
      <c r="J876">
        <f>(I876-IF(I844&gt;0,I844,0))</f>
        <v/>
      </c>
      <c r="K876">
        <f>J876/R858*1.1</f>
        <v/>
      </c>
    </row>
    <row r="877">
      <c r="A877" t="n">
        <v>41</v>
      </c>
      <c r="B877" t="inlineStr">
        <is>
          <t>K3-3C</t>
        </is>
      </c>
      <c r="D877" t="n">
        <v>9.51</v>
      </c>
      <c r="E877" t="n">
        <v>2.444</v>
      </c>
      <c r="F877" t="n">
        <v>1040.161</v>
      </c>
      <c r="G877" t="n">
        <v>28</v>
      </c>
      <c r="H877">
        <f>E877/F877</f>
        <v/>
      </c>
      <c r="I877">
        <f>((H877-$J$836)/$I$836)</f>
        <v/>
      </c>
      <c r="J877">
        <f>(I877-IF(I844&gt;0,I844,0))</f>
        <v/>
      </c>
      <c r="K877">
        <f>J877/R859*1.1</f>
        <v/>
      </c>
      <c r="L877" s="23" t="inlineStr">
        <is>
          <t>Average</t>
        </is>
      </c>
      <c r="M877" s="23" t="inlineStr">
        <is>
          <t>Stdev</t>
        </is>
      </c>
      <c r="N877" s="9" t="inlineStr">
        <is>
          <t>Combined</t>
        </is>
      </c>
    </row>
    <row r="878">
      <c r="A878" t="n">
        <v>42</v>
      </c>
      <c r="B878" t="inlineStr">
        <is>
          <t>K3-4A</t>
        </is>
      </c>
      <c r="F878" t="n">
        <v>1196.547</v>
      </c>
      <c r="H878">
        <f>E878/F878</f>
        <v/>
      </c>
      <c r="I878">
        <f>((H878-$J$836)/$I$836)</f>
        <v/>
      </c>
      <c r="J878">
        <f>(I878-IF(I844&gt;0,I844,0))</f>
        <v/>
      </c>
      <c r="K878">
        <f>J878/R860*1.1</f>
        <v/>
      </c>
      <c r="L878">
        <f>AVERAGE(K878:K880)</f>
        <v/>
      </c>
      <c r="M878">
        <f>STDEV(K878:K880)</f>
        <v/>
      </c>
      <c r="N878">
        <f>_xlfn.CONCAT(ROUND(L878,1)," ± ",ROUND(M878,1))</f>
        <v/>
      </c>
    </row>
    <row r="879">
      <c r="A879" t="n">
        <v>43</v>
      </c>
      <c r="B879" t="inlineStr">
        <is>
          <t>K3-4B</t>
        </is>
      </c>
      <c r="F879" t="n">
        <v>1065.462</v>
      </c>
      <c r="H879">
        <f>E879/F879</f>
        <v/>
      </c>
      <c r="I879">
        <f>((H879-$J$836)/$I$836)</f>
        <v/>
      </c>
      <c r="J879">
        <f>(I879-IF(I844&gt;0,I844,0))</f>
        <v/>
      </c>
      <c r="K879">
        <f>J879/R861*1.1</f>
        <v/>
      </c>
    </row>
    <row r="880">
      <c r="A880" t="n">
        <v>44</v>
      </c>
      <c r="B880" t="inlineStr">
        <is>
          <t>K3-4C</t>
        </is>
      </c>
      <c r="F880" t="n">
        <v>841.401</v>
      </c>
      <c r="H880">
        <f>E880/F880</f>
        <v/>
      </c>
      <c r="I880">
        <f>((H880-$J$836)/$I$836)</f>
        <v/>
      </c>
      <c r="J880">
        <f>(I880-IF(I844&gt;0,I844,0))</f>
        <v/>
      </c>
      <c r="K880">
        <f>J880/R862*1.1</f>
        <v/>
      </c>
      <c r="L880" s="23" t="n"/>
      <c r="M880" s="23" t="n"/>
      <c r="N880" s="9" t="n"/>
    </row>
    <row r="881">
      <c r="A881" t="n">
        <v>45</v>
      </c>
      <c r="B881" t="inlineStr">
        <is>
          <t>MeOH</t>
        </is>
      </c>
      <c r="L881" s="23" t="inlineStr">
        <is>
          <t>Average</t>
        </is>
      </c>
      <c r="M881" s="23" t="inlineStr">
        <is>
          <t>Stdev</t>
        </is>
      </c>
      <c r="N881" s="9" t="inlineStr">
        <is>
          <t>Combined</t>
        </is>
      </c>
    </row>
    <row r="882">
      <c r="A882" t="n">
        <v>46</v>
      </c>
      <c r="B882" t="inlineStr">
        <is>
          <t>K3-6A</t>
        </is>
      </c>
      <c r="F882" t="n">
        <v>1044.224</v>
      </c>
      <c r="H882">
        <f>E882/F882</f>
        <v/>
      </c>
      <c r="I882">
        <f>((H882-$J$836)/$I$836)</f>
        <v/>
      </c>
      <c r="J882">
        <f>(I882-IF(I844&gt;0,I844,0))</f>
        <v/>
      </c>
      <c r="K882">
        <f>J882/R863*1.1</f>
        <v/>
      </c>
      <c r="L882">
        <f>AVERAGE(K882:K884)</f>
        <v/>
      </c>
      <c r="M882">
        <f>STDEV(K883:K884)</f>
        <v/>
      </c>
      <c r="N882">
        <f>_xlfn.CONCAT(ROUND(L882,1)," ± ",ROUND(M882,1))</f>
        <v/>
      </c>
    </row>
    <row r="883">
      <c r="A883" t="n">
        <v>47</v>
      </c>
      <c r="B883" t="inlineStr">
        <is>
          <t>K3-6B</t>
        </is>
      </c>
      <c r="F883" t="n">
        <v>517.776</v>
      </c>
      <c r="H883">
        <f>E883/F883</f>
        <v/>
      </c>
      <c r="I883">
        <f>((H883-$J$836)/$I$836)</f>
        <v/>
      </c>
      <c r="J883">
        <f>(I883-IF(I844&gt;0,I844,0))</f>
        <v/>
      </c>
      <c r="K883">
        <f>J883/R864*1.1</f>
        <v/>
      </c>
    </row>
    <row r="884">
      <c r="A884" t="n">
        <v>48</v>
      </c>
      <c r="B884" t="inlineStr">
        <is>
          <t>K3-6C</t>
        </is>
      </c>
      <c r="F884" t="n">
        <v>709.654</v>
      </c>
      <c r="H884">
        <f>E884/F884</f>
        <v/>
      </c>
      <c r="I884">
        <f>((H884-$J$836)/$I$836)</f>
        <v/>
      </c>
      <c r="J884">
        <f>(I884-IF(I844&gt;0,I844,0))</f>
        <v/>
      </c>
      <c r="K884">
        <f>J884/R865*1.1</f>
        <v/>
      </c>
      <c r="L884" s="23" t="n"/>
      <c r="M884" s="23" t="n"/>
      <c r="N884" s="9" t="n"/>
    </row>
    <row r="886">
      <c r="A886" s="15" t="inlineStr">
        <is>
          <t>Compound 34:  6:2 FTUCA</t>
        </is>
      </c>
      <c r="B886" s="15" t="n"/>
    </row>
    <row r="887">
      <c r="I887" t="inlineStr">
        <is>
          <t>LINEST</t>
        </is>
      </c>
      <c r="Q887" t="inlineStr">
        <is>
          <t>Biosolids Masses</t>
        </is>
      </c>
      <c r="R887" t="inlineStr">
        <is>
          <t>(g)</t>
        </is>
      </c>
    </row>
    <row r="888">
      <c r="B888" t="inlineStr">
        <is>
          <t>Sample Text</t>
        </is>
      </c>
      <c r="C888" t="inlineStr">
        <is>
          <t>Std. Conc</t>
        </is>
      </c>
      <c r="D888" t="inlineStr">
        <is>
          <t>RT</t>
        </is>
      </c>
      <c r="E888" t="inlineStr">
        <is>
          <t>Area</t>
        </is>
      </c>
      <c r="F888" t="inlineStr">
        <is>
          <t>IS Area</t>
        </is>
      </c>
      <c r="G888" t="inlineStr">
        <is>
          <t>S/N</t>
        </is>
      </c>
      <c r="H888" t="inlineStr">
        <is>
          <t>ratio</t>
        </is>
      </c>
      <c r="I888">
        <f t="array" ref="I888:J892">LINEST(H890:H896,C890:C896,1,1)</f>
        <v/>
      </c>
      <c r="J888" t="n">
        <v>0.08129348977958362</v>
      </c>
      <c r="L888" s="20" t="inlineStr">
        <is>
          <t>By S/N Ratio</t>
        </is>
      </c>
      <c r="Q888" t="inlineStr">
        <is>
          <t>SS1</t>
        </is>
      </c>
      <c r="R888" t="n">
        <v>1.0846</v>
      </c>
    </row>
    <row r="889">
      <c r="A889" t="n">
        <v>1</v>
      </c>
      <c r="B889" t="inlineStr">
        <is>
          <t>EPA1633 &amp; diPAPs Calibration 0 ppb</t>
        </is>
      </c>
      <c r="C889" t="n">
        <v>0</v>
      </c>
      <c r="D889" t="n">
        <v>10.83</v>
      </c>
      <c r="E889" t="n">
        <v>92.34999999999999</v>
      </c>
      <c r="F889" t="n">
        <v>8287.344999999999</v>
      </c>
      <c r="G889" t="n">
        <v>14.663</v>
      </c>
      <c r="H889">
        <f>E889/F889</f>
        <v/>
      </c>
      <c r="I889" t="n">
        <v>0.003224066018836232</v>
      </c>
      <c r="J889" t="n">
        <v>0.2795233629661918</v>
      </c>
      <c r="K889" t="inlineStr">
        <is>
          <t>LOD</t>
        </is>
      </c>
      <c r="L889" s="21">
        <f>IF(G890&gt;3,C890,IF(G891&gt;3,C891,IF(G892&gt;3,C892,IF(G893&gt;3,C893,C894))))</f>
        <v/>
      </c>
      <c r="Q889" t="inlineStr">
        <is>
          <t>SS2</t>
        </is>
      </c>
      <c r="R889" t="n">
        <v>1.0726</v>
      </c>
    </row>
    <row r="890">
      <c r="A890" t="n">
        <v>2</v>
      </c>
      <c r="B890" t="inlineStr">
        <is>
          <t>EPA1633 &amp; diPAPs Calibration 0.02 ppb</t>
        </is>
      </c>
      <c r="C890" t="n">
        <v>0.2</v>
      </c>
      <c r="D890" t="n">
        <v>10.91</v>
      </c>
      <c r="E890" t="n">
        <v>445.491</v>
      </c>
      <c r="F890" t="n">
        <v>8357.611999999999</v>
      </c>
      <c r="G890" t="n">
        <v>59.794</v>
      </c>
      <c r="H890">
        <f>E890/F890</f>
        <v/>
      </c>
      <c r="I890" t="n">
        <v>0.9944365680997543</v>
      </c>
      <c r="J890" t="n">
        <v>0.5906646829103075</v>
      </c>
      <c r="K890" t="inlineStr">
        <is>
          <t>LOQ</t>
        </is>
      </c>
      <c r="L890" s="22">
        <f>IF(G890&gt;10,C890,IF(G891&gt;10,C891,IF(G892&gt;10,C892,IF(G893&gt;10,C893,C894))))</f>
        <v/>
      </c>
      <c r="Q890" t="inlineStr">
        <is>
          <t>SS3</t>
        </is>
      </c>
      <c r="R890" t="n">
        <v>1.1534</v>
      </c>
    </row>
    <row r="891">
      <c r="A891" t="n">
        <v>3</v>
      </c>
      <c r="B891" t="inlineStr">
        <is>
          <t>EPA1633 &amp; diPAPs Calibration 0.1 ppb</t>
        </is>
      </c>
      <c r="C891" t="n">
        <v>1</v>
      </c>
      <c r="D891" t="n">
        <v>10.89</v>
      </c>
      <c r="E891" t="n">
        <v>816.116</v>
      </c>
      <c r="F891" t="n">
        <v>7538.169</v>
      </c>
      <c r="G891" t="n">
        <v>19.691</v>
      </c>
      <c r="H891">
        <f>E891/F891</f>
        <v/>
      </c>
      <c r="I891" t="n">
        <v>893.7258385924082</v>
      </c>
      <c r="J891" t="n">
        <v>5</v>
      </c>
      <c r="Q891" t="inlineStr">
        <is>
          <t>K4-1A</t>
        </is>
      </c>
      <c r="R891" t="n">
        <v>1.0267</v>
      </c>
    </row>
    <row r="892">
      <c r="A892" t="n">
        <v>4</v>
      </c>
      <c r="B892" t="inlineStr">
        <is>
          <t>EPA1633 &amp; diPAPs Calibration 0.4 ppb</t>
        </is>
      </c>
      <c r="C892" t="n">
        <v>4</v>
      </c>
      <c r="D892" t="n">
        <v>10.9</v>
      </c>
      <c r="E892" t="n">
        <v>4731.996</v>
      </c>
      <c r="F892" t="n">
        <v>7199.022</v>
      </c>
      <c r="G892" t="n">
        <v>34578</v>
      </c>
      <c r="H892">
        <f>E892/F892</f>
        <v/>
      </c>
      <c r="I892" t="n">
        <v>311.8073315289726</v>
      </c>
      <c r="J892" t="n">
        <v>1.74442383818767</v>
      </c>
      <c r="Q892" t="inlineStr">
        <is>
          <t>K4-1B</t>
        </is>
      </c>
      <c r="R892" t="n">
        <v>1.1481</v>
      </c>
    </row>
    <row r="893">
      <c r="A893" t="n">
        <v>5</v>
      </c>
      <c r="B893" t="inlineStr">
        <is>
          <t>EPA1633 &amp; diPAPs Calibration 1 ppb</t>
        </is>
      </c>
      <c r="C893" t="n">
        <v>10</v>
      </c>
      <c r="D893" t="n">
        <v>10.92</v>
      </c>
      <c r="E893" t="n">
        <v>8313.835999999999</v>
      </c>
      <c r="F893" t="n">
        <v>9350.769</v>
      </c>
      <c r="G893" t="n">
        <v>174.153</v>
      </c>
      <c r="H893">
        <f>E893/F893</f>
        <v/>
      </c>
      <c r="Q893" t="inlineStr">
        <is>
          <t>K4-1C</t>
        </is>
      </c>
      <c r="R893" t="n">
        <v>1.0402</v>
      </c>
    </row>
    <row r="894">
      <c r="A894" t="n">
        <v>6</v>
      </c>
      <c r="B894" t="inlineStr">
        <is>
          <t>EPA1633 &amp; diPAPs Calibration 5 ppb</t>
        </is>
      </c>
      <c r="C894" t="n">
        <v>50</v>
      </c>
      <c r="D894" t="n">
        <v>10.78</v>
      </c>
      <c r="E894" t="n">
        <v>40254.512</v>
      </c>
      <c r="F894" t="n">
        <v>9389.059999999999</v>
      </c>
      <c r="G894" t="n">
        <v>598.687</v>
      </c>
      <c r="H894">
        <f>E894/F894</f>
        <v/>
      </c>
      <c r="Q894" t="inlineStr">
        <is>
          <t>K4-2A</t>
        </is>
      </c>
      <c r="R894" t="n">
        <v>1.127</v>
      </c>
    </row>
    <row r="895">
      <c r="A895" t="n">
        <v>7</v>
      </c>
      <c r="B895" t="inlineStr">
        <is>
          <t>EPA1633 &amp; diPAPs Calibration 10 ppb</t>
        </is>
      </c>
      <c r="C895" t="n">
        <v>100</v>
      </c>
      <c r="D895" t="n">
        <v>10.84</v>
      </c>
      <c r="E895" t="n">
        <v>82305.19500000001</v>
      </c>
      <c r="F895" t="n">
        <v>7624.321</v>
      </c>
      <c r="G895" t="n">
        <v>3006.561</v>
      </c>
      <c r="H895">
        <f>E895/F895</f>
        <v/>
      </c>
      <c r="I895" s="23" t="inlineStr">
        <is>
          <t>Background</t>
        </is>
      </c>
      <c r="J895" s="23" t="inlineStr">
        <is>
          <t>Spike</t>
        </is>
      </c>
      <c r="K895" s="9" t="inlineStr">
        <is>
          <t>Old Spike</t>
        </is>
      </c>
      <c r="O895" s="24" t="inlineStr">
        <is>
          <t>±</t>
        </is>
      </c>
      <c r="Q895" t="inlineStr">
        <is>
          <t>K4-2B</t>
        </is>
      </c>
      <c r="R895" t="n">
        <v>1.1154</v>
      </c>
    </row>
    <row r="896">
      <c r="A896" t="n">
        <v>8</v>
      </c>
      <c r="B896" t="inlineStr">
        <is>
          <t>EPA1633 &amp; diPAPs Calibration 20 ppb</t>
        </is>
      </c>
      <c r="C896" t="n">
        <v>200</v>
      </c>
      <c r="D896" t="n">
        <v>10.86</v>
      </c>
      <c r="E896" t="n">
        <v>158741.141</v>
      </c>
      <c r="F896" t="n">
        <v>8364.425999999999</v>
      </c>
      <c r="G896" t="n">
        <v>3520.78</v>
      </c>
      <c r="H896">
        <f>E896/F896</f>
        <v/>
      </c>
      <c r="I896">
        <f>AVERAGE(I899:I901)</f>
        <v/>
      </c>
      <c r="J896" t="n">
        <v>110</v>
      </c>
      <c r="Q896" t="inlineStr">
        <is>
          <t>K4-2C</t>
        </is>
      </c>
      <c r="R896" t="n">
        <v>1.1711</v>
      </c>
    </row>
    <row r="897">
      <c r="A897" t="n">
        <v>9</v>
      </c>
      <c r="B897" t="inlineStr">
        <is>
          <t>MeOH</t>
        </is>
      </c>
      <c r="D897" t="n">
        <v>10.89</v>
      </c>
      <c r="E897" t="n">
        <v>206.199</v>
      </c>
      <c r="G897" t="n">
        <v>7.453</v>
      </c>
      <c r="I897" s="23" t="inlineStr">
        <is>
          <t>Conc.In Vial (ppb)</t>
        </is>
      </c>
      <c r="J897" s="9" t="inlineStr">
        <is>
          <t>Corr. Conc.(ppb)</t>
        </is>
      </c>
      <c r="K897" s="9" t="inlineStr">
        <is>
          <t>Conc. In soil (ng/g)</t>
        </is>
      </c>
      <c r="Q897" t="inlineStr">
        <is>
          <t>K4-4A</t>
        </is>
      </c>
      <c r="R897" t="n">
        <v>1.0932</v>
      </c>
    </row>
    <row r="898">
      <c r="A898" t="n">
        <v>10</v>
      </c>
      <c r="B898" t="inlineStr">
        <is>
          <t>MeOH</t>
        </is>
      </c>
      <c r="D898" t="n">
        <v>10.93</v>
      </c>
      <c r="E898" t="n">
        <v>67.289</v>
      </c>
      <c r="G898" t="n">
        <v>484</v>
      </c>
      <c r="L898" s="23" t="inlineStr">
        <is>
          <t>Average</t>
        </is>
      </c>
      <c r="M898" s="23" t="inlineStr">
        <is>
          <t>Stdev</t>
        </is>
      </c>
      <c r="N898" s="9" t="inlineStr">
        <is>
          <t>Combined</t>
        </is>
      </c>
      <c r="O898" s="9" t="n"/>
      <c r="P898" s="9" t="n"/>
      <c r="Q898" t="inlineStr">
        <is>
          <t>K4-4B</t>
        </is>
      </c>
      <c r="R898" t="n">
        <v>1.15</v>
      </c>
    </row>
    <row r="899">
      <c r="A899" t="n">
        <v>11</v>
      </c>
      <c r="B899" t="inlineStr">
        <is>
          <t>SB1</t>
        </is>
      </c>
      <c r="D899" t="n">
        <v>10.92</v>
      </c>
      <c r="E899" t="n">
        <v>86.224</v>
      </c>
      <c r="F899" t="n">
        <v>3709.376</v>
      </c>
      <c r="G899" t="n">
        <v>30.557</v>
      </c>
      <c r="H899">
        <f>E899/F899</f>
        <v/>
      </c>
      <c r="I899">
        <f>((H899-$J$888)/$I$888)</f>
        <v/>
      </c>
      <c r="J899">
        <f>(I899-IF(I896&gt;0,I896,0))</f>
        <v/>
      </c>
      <c r="K899">
        <f>J899*1.1</f>
        <v/>
      </c>
      <c r="L899">
        <f>AVERAGE(K899:K901)</f>
        <v/>
      </c>
      <c r="M899">
        <f>STDEV(K900:K901)</f>
        <v/>
      </c>
      <c r="N899">
        <f>_xlfn.CONCAT(ROUND(L899,1)," ± ",ROUND(M899,1))</f>
        <v/>
      </c>
      <c r="Q899" t="inlineStr">
        <is>
          <t>K4-4C</t>
        </is>
      </c>
      <c r="R899" t="n">
        <v>1.0482</v>
      </c>
    </row>
    <row r="900">
      <c r="A900" t="n">
        <v>12</v>
      </c>
      <c r="B900" t="inlineStr">
        <is>
          <t>SB2</t>
        </is>
      </c>
      <c r="D900" t="n">
        <v>11.08</v>
      </c>
      <c r="E900" t="n">
        <v>15.3</v>
      </c>
      <c r="F900" t="n">
        <v>3604.751</v>
      </c>
      <c r="G900" t="n">
        <v>142</v>
      </c>
      <c r="H900">
        <f>E900/F900</f>
        <v/>
      </c>
      <c r="I900">
        <f>((H900-$J$888)/$I$888)</f>
        <v/>
      </c>
      <c r="J900">
        <f>(I900-IF(I896&gt;0,I896,0))</f>
        <v/>
      </c>
      <c r="K900">
        <f>J900*1.1</f>
        <v/>
      </c>
      <c r="Q900" t="inlineStr">
        <is>
          <t>K4-5A</t>
        </is>
      </c>
      <c r="R900" t="n">
        <v>1.1054</v>
      </c>
    </row>
    <row r="901">
      <c r="A901" t="n">
        <v>13</v>
      </c>
      <c r="B901" t="inlineStr">
        <is>
          <t>SB3</t>
        </is>
      </c>
      <c r="F901" t="n">
        <v>3442.013</v>
      </c>
      <c r="H901">
        <f>E901/F901</f>
        <v/>
      </c>
      <c r="I901">
        <f>((H901-$J$888)/$I$888)</f>
        <v/>
      </c>
      <c r="J901">
        <f>(I901-IF(I896&gt;0,I896,0))</f>
        <v/>
      </c>
      <c r="K901" s="30">
        <f>J901*1.1</f>
        <v/>
      </c>
      <c r="L901" s="25" t="inlineStr">
        <is>
          <t>Average</t>
        </is>
      </c>
      <c r="M901" s="25" t="inlineStr">
        <is>
          <t>Stdev</t>
        </is>
      </c>
      <c r="N901" s="26" t="inlineStr">
        <is>
          <t>%Recovery</t>
        </is>
      </c>
      <c r="O901" s="26" t="inlineStr">
        <is>
          <t>Uncertainty</t>
        </is>
      </c>
      <c r="P901" s="26" t="inlineStr">
        <is>
          <t>Combined</t>
        </is>
      </c>
      <c r="Q901" t="inlineStr">
        <is>
          <t>K4-5B</t>
        </is>
      </c>
      <c r="R901" s="10" t="n">
        <v>1.0463</v>
      </c>
    </row>
    <row r="902">
      <c r="A902" t="n">
        <v>14</v>
      </c>
      <c r="B902" t="inlineStr">
        <is>
          <t>SS1</t>
        </is>
      </c>
      <c r="D902" t="n">
        <v>10.96</v>
      </c>
      <c r="E902" t="n">
        <v>38174.359</v>
      </c>
      <c r="F902" t="n">
        <v>4461.313</v>
      </c>
      <c r="G902" t="n">
        <v>827.562</v>
      </c>
      <c r="H902">
        <f>E902/F902</f>
        <v/>
      </c>
      <c r="I902">
        <f>((H902-$J$888)/$I$888)</f>
        <v/>
      </c>
      <c r="J902">
        <f>(I902-IF(I896&gt;0,I896,0))</f>
        <v/>
      </c>
      <c r="K902">
        <f>J902/R888*1.1</f>
        <v/>
      </c>
      <c r="L902" s="27">
        <f>AVERAGE(K902:K904)</f>
        <v/>
      </c>
      <c r="M902" s="27">
        <f>STDEV(K902:K904)</f>
        <v/>
      </c>
      <c r="N902" s="28">
        <f>L902/J896*100</f>
        <v/>
      </c>
      <c r="O902" s="29">
        <f>M902/J899*100</f>
        <v/>
      </c>
      <c r="P902" s="29">
        <f>_xlfn.CONCAT(ROUND(N902,1)," ± ",ROUND(O902,1))</f>
        <v/>
      </c>
      <c r="Q902" t="inlineStr">
        <is>
          <t>K4-5C</t>
        </is>
      </c>
      <c r="R902" t="n">
        <v>1.1155</v>
      </c>
    </row>
    <row r="903">
      <c r="A903" t="n">
        <v>15</v>
      </c>
      <c r="B903" t="inlineStr">
        <is>
          <t>SS2</t>
        </is>
      </c>
      <c r="D903" t="n">
        <v>10.97</v>
      </c>
      <c r="E903" t="n">
        <v>36828.48</v>
      </c>
      <c r="F903" t="n">
        <v>4239.469</v>
      </c>
      <c r="G903" t="n">
        <v>3501.987</v>
      </c>
      <c r="H903">
        <f>E903/F903</f>
        <v/>
      </c>
      <c r="I903">
        <f>((H903-$J$888)/$I$888)</f>
        <v/>
      </c>
      <c r="J903">
        <f>(I903-IF(I896&gt;0,I896,0))</f>
        <v/>
      </c>
      <c r="K903">
        <f>J903/R889*1.1</f>
        <v/>
      </c>
      <c r="Q903" t="inlineStr">
        <is>
          <t>K3-1A</t>
        </is>
      </c>
      <c r="R903" t="n">
        <v>1.0874</v>
      </c>
    </row>
    <row r="904">
      <c r="A904" t="n">
        <v>16</v>
      </c>
      <c r="B904" t="inlineStr">
        <is>
          <t>SS3</t>
        </is>
      </c>
      <c r="D904" t="n">
        <v>10.97</v>
      </c>
      <c r="E904" t="n">
        <v>38644.125</v>
      </c>
      <c r="F904" t="n">
        <v>4423.033</v>
      </c>
      <c r="G904" t="n">
        <v>534.098</v>
      </c>
      <c r="H904">
        <f>E904/F904</f>
        <v/>
      </c>
      <c r="I904">
        <f>((H904-$J$888)/$I$888)</f>
        <v/>
      </c>
      <c r="J904">
        <f>(I904-IF(I896&gt;0,I896,0))</f>
        <v/>
      </c>
      <c r="K904" s="30">
        <f>J904/R890*1.1</f>
        <v/>
      </c>
      <c r="Q904" t="inlineStr">
        <is>
          <t>K3-1B</t>
        </is>
      </c>
      <c r="R904" t="n">
        <v>1.0898</v>
      </c>
    </row>
    <row r="905">
      <c r="A905" t="n">
        <v>17</v>
      </c>
      <c r="B905" t="inlineStr">
        <is>
          <t>MeOH</t>
        </is>
      </c>
      <c r="L905" s="23" t="inlineStr">
        <is>
          <t>Average</t>
        </is>
      </c>
      <c r="M905" s="23" t="inlineStr">
        <is>
          <t>Stdev</t>
        </is>
      </c>
      <c r="N905" s="9" t="inlineStr">
        <is>
          <t>Combined</t>
        </is>
      </c>
      <c r="Q905" t="inlineStr">
        <is>
          <t>K3-1C</t>
        </is>
      </c>
      <c r="R905" t="n">
        <v>1.0536</v>
      </c>
    </row>
    <row r="906">
      <c r="A906" t="n">
        <v>18</v>
      </c>
      <c r="B906" t="inlineStr">
        <is>
          <t>K4-1A</t>
        </is>
      </c>
      <c r="D906" t="n">
        <v>11.03</v>
      </c>
      <c r="E906" t="n">
        <v>66.499</v>
      </c>
      <c r="F906" t="n">
        <v>5588.792</v>
      </c>
      <c r="G906" t="n">
        <v>454</v>
      </c>
      <c r="H906">
        <f>E906/F906</f>
        <v/>
      </c>
      <c r="I906">
        <f>((H906-$J$888)/$I$888)</f>
        <v/>
      </c>
      <c r="J906">
        <f>(I906-IF(I896&gt;0,I896,0))</f>
        <v/>
      </c>
      <c r="K906">
        <f>J906/R891*1.1</f>
        <v/>
      </c>
      <c r="L906">
        <f>AVERAGE(K906:K908)</f>
        <v/>
      </c>
      <c r="M906">
        <f>STDEV(K907:K908)</f>
        <v/>
      </c>
      <c r="N906">
        <f>_xlfn.CONCAT(ROUND(L906,1)," ± ",ROUND(M906,1))</f>
        <v/>
      </c>
      <c r="Q906" t="inlineStr">
        <is>
          <t>K3-2A</t>
        </is>
      </c>
      <c r="R906" s="10" t="n">
        <v>1.1218</v>
      </c>
    </row>
    <row r="907">
      <c r="A907" t="n">
        <v>19</v>
      </c>
      <c r="B907" t="inlineStr">
        <is>
          <t>K4-1B</t>
        </is>
      </c>
      <c r="F907" t="n">
        <v>6612.543</v>
      </c>
      <c r="H907">
        <f>E907/F907</f>
        <v/>
      </c>
      <c r="I907">
        <f>((H907-$J$888)/$I$888)</f>
        <v/>
      </c>
      <c r="J907">
        <f>(I907-IF(I896&gt;0,I896,0))</f>
        <v/>
      </c>
      <c r="K907">
        <f>J907/R892*1.1</f>
        <v/>
      </c>
      <c r="Q907" t="inlineStr">
        <is>
          <t>K3-2B</t>
        </is>
      </c>
      <c r="R907" t="n">
        <v>1.198</v>
      </c>
    </row>
    <row r="908">
      <c r="A908" t="n">
        <v>20</v>
      </c>
      <c r="B908" t="inlineStr">
        <is>
          <t>K4-1C</t>
        </is>
      </c>
      <c r="F908" t="n">
        <v>6643.125</v>
      </c>
      <c r="H908">
        <f>E908/F908</f>
        <v/>
      </c>
      <c r="I908">
        <f>((H908-$J$888)/$I$888)</f>
        <v/>
      </c>
      <c r="J908">
        <f>(I908-IF(I896&gt;0,I896,0))</f>
        <v/>
      </c>
      <c r="K908">
        <f>J908/R893*1.1</f>
        <v/>
      </c>
      <c r="L908" s="23" t="inlineStr">
        <is>
          <t>Average</t>
        </is>
      </c>
      <c r="M908" s="23" t="inlineStr">
        <is>
          <t>Stdev</t>
        </is>
      </c>
      <c r="N908" s="9" t="inlineStr">
        <is>
          <t>Combined</t>
        </is>
      </c>
      <c r="Q908" t="inlineStr">
        <is>
          <t>K3-2C</t>
        </is>
      </c>
      <c r="R908" t="n">
        <v>1.1538</v>
      </c>
    </row>
    <row r="909">
      <c r="A909" t="n">
        <v>21</v>
      </c>
      <c r="B909" t="inlineStr">
        <is>
          <t>K4-2A</t>
        </is>
      </c>
      <c r="D909" t="n">
        <v>11</v>
      </c>
      <c r="E909" t="n">
        <v>11.868</v>
      </c>
      <c r="F909" t="n">
        <v>7255.147</v>
      </c>
      <c r="G909" t="n">
        <v>117</v>
      </c>
      <c r="H909">
        <f>E909/F909</f>
        <v/>
      </c>
      <c r="I909">
        <f>((H909-$J$888)/$I$888)</f>
        <v/>
      </c>
      <c r="J909">
        <f>(I909-IF(I896&gt;0,I896,0))</f>
        <v/>
      </c>
      <c r="K909">
        <f>J909/R894*1.1</f>
        <v/>
      </c>
      <c r="L909">
        <f>AVERAGE(K909:K911)</f>
        <v/>
      </c>
      <c r="M909">
        <f>STDEV(K909:K911)</f>
        <v/>
      </c>
      <c r="N909">
        <f>_xlfn.CONCAT(ROUND(L909,1)," ± ",ROUND(M909,1))</f>
        <v/>
      </c>
      <c r="Q909" t="inlineStr">
        <is>
          <t>K3-3A</t>
        </is>
      </c>
      <c r="R909" t="n">
        <v>1.1183</v>
      </c>
    </row>
    <row r="910">
      <c r="A910" t="n">
        <v>22</v>
      </c>
      <c r="B910" t="inlineStr">
        <is>
          <t>K4-2B</t>
        </is>
      </c>
      <c r="F910" t="n">
        <v>5489.167</v>
      </c>
      <c r="H910">
        <f>E910/F910</f>
        <v/>
      </c>
      <c r="I910">
        <f>((H910-$J$888)/$I$888)</f>
        <v/>
      </c>
      <c r="J910">
        <f>(I910-IF(I896&gt;0,I896,0))</f>
        <v/>
      </c>
      <c r="K910">
        <f>J910/R895*1.1</f>
        <v/>
      </c>
      <c r="Q910" t="inlineStr">
        <is>
          <t>K3-3B</t>
        </is>
      </c>
      <c r="R910" t="n">
        <v>1.1448</v>
      </c>
    </row>
    <row r="911">
      <c r="A911" t="n">
        <v>23</v>
      </c>
      <c r="B911" t="inlineStr">
        <is>
          <t>K4-2C</t>
        </is>
      </c>
      <c r="D911" t="n">
        <v>10.97</v>
      </c>
      <c r="E911" t="n">
        <v>34.457</v>
      </c>
      <c r="F911" t="n">
        <v>5628.638</v>
      </c>
      <c r="G911" t="n">
        <v>12.121</v>
      </c>
      <c r="H911">
        <f>E911/F911</f>
        <v/>
      </c>
      <c r="I911">
        <f>((H911-$J$888)/$I$888)</f>
        <v/>
      </c>
      <c r="J911">
        <f>(I911-IF(I896&gt;0,I896,0))</f>
        <v/>
      </c>
      <c r="K911">
        <f>J911/R896*1.1</f>
        <v/>
      </c>
      <c r="L911" s="23" t="n"/>
      <c r="M911" s="23" t="n"/>
      <c r="N911" s="9" t="n"/>
      <c r="Q911" t="inlineStr">
        <is>
          <t>K3-3C</t>
        </is>
      </c>
      <c r="R911" t="n">
        <v>1.0493</v>
      </c>
    </row>
    <row r="912">
      <c r="A912" t="n">
        <v>24</v>
      </c>
      <c r="B912" t="inlineStr">
        <is>
          <t>MeOH</t>
        </is>
      </c>
      <c r="L912" s="23" t="inlineStr">
        <is>
          <t>Average</t>
        </is>
      </c>
      <c r="M912" s="23" t="inlineStr">
        <is>
          <t>Stdev</t>
        </is>
      </c>
      <c r="N912" s="9" t="inlineStr">
        <is>
          <t>Combined</t>
        </is>
      </c>
      <c r="Q912" t="inlineStr">
        <is>
          <t>K3-4A</t>
        </is>
      </c>
      <c r="R912" t="n">
        <v>1.0704</v>
      </c>
    </row>
    <row r="913">
      <c r="A913" t="n">
        <v>25</v>
      </c>
      <c r="B913" t="inlineStr">
        <is>
          <t>K4-4A</t>
        </is>
      </c>
      <c r="F913" t="n">
        <v>6112.31</v>
      </c>
      <c r="H913">
        <f>E913/F913</f>
        <v/>
      </c>
      <c r="I913">
        <f>((H913-$J$888)/$I$888)</f>
        <v/>
      </c>
      <c r="J913">
        <f>(I913-IF(I896&gt;0,I896,0))</f>
        <v/>
      </c>
      <c r="K913">
        <f>J913/R897*1.1</f>
        <v/>
      </c>
      <c r="L913">
        <f>AVERAGE(K913:K915)</f>
        <v/>
      </c>
      <c r="M913">
        <f>STDEV(K914:K915)</f>
        <v/>
      </c>
      <c r="N913">
        <f>_xlfn.CONCAT(ROUND(L913,1)," ± ",ROUND(M913,1))</f>
        <v/>
      </c>
      <c r="Q913" t="inlineStr">
        <is>
          <t>K3-4B</t>
        </is>
      </c>
      <c r="R913" t="n">
        <v>1.1589</v>
      </c>
    </row>
    <row r="914">
      <c r="A914" t="n">
        <v>26</v>
      </c>
      <c r="B914" t="inlineStr">
        <is>
          <t>K4-4B</t>
        </is>
      </c>
      <c r="F914" t="n">
        <v>5729.232</v>
      </c>
      <c r="H914">
        <f>E914/F914</f>
        <v/>
      </c>
      <c r="I914">
        <f>((H914-$J$888)/$I$888)</f>
        <v/>
      </c>
      <c r="J914">
        <f>(I914-IF(I896&gt;0,I896,0))</f>
        <v/>
      </c>
      <c r="K914">
        <f>J914/R898*1.1</f>
        <v/>
      </c>
      <c r="Q914" t="inlineStr">
        <is>
          <t>K3-4C</t>
        </is>
      </c>
      <c r="R914" t="n">
        <v>1.0206</v>
      </c>
    </row>
    <row r="915">
      <c r="A915" t="n">
        <v>27</v>
      </c>
      <c r="B915" t="inlineStr">
        <is>
          <t>K4-4C</t>
        </is>
      </c>
      <c r="D915" t="n">
        <v>11.33</v>
      </c>
      <c r="E915" t="n">
        <v>3.971</v>
      </c>
      <c r="F915" t="n">
        <v>6337.776</v>
      </c>
      <c r="G915" t="n">
        <v>39</v>
      </c>
      <c r="H915">
        <f>E915/F915</f>
        <v/>
      </c>
      <c r="I915">
        <f>((H915-$J$888)/$I$888)</f>
        <v/>
      </c>
      <c r="J915">
        <f>(I915-IF(I896&gt;0,I896,0))</f>
        <v/>
      </c>
      <c r="K915">
        <f>J915/R899*1.1</f>
        <v/>
      </c>
      <c r="L915" s="23" t="inlineStr">
        <is>
          <t>Average</t>
        </is>
      </c>
      <c r="M915" s="23" t="inlineStr">
        <is>
          <t>Stdev</t>
        </is>
      </c>
      <c r="N915" s="9" t="inlineStr">
        <is>
          <t>Combined</t>
        </is>
      </c>
      <c r="Q915" t="inlineStr">
        <is>
          <t>K3-6A</t>
        </is>
      </c>
      <c r="R915" t="n">
        <v>1.1289</v>
      </c>
    </row>
    <row r="916">
      <c r="A916" t="n">
        <v>28</v>
      </c>
      <c r="B916" t="inlineStr">
        <is>
          <t>K4-5A</t>
        </is>
      </c>
      <c r="D916" t="n">
        <v>11.05</v>
      </c>
      <c r="E916" t="n">
        <v>0.846</v>
      </c>
      <c r="F916" t="n">
        <v>5644.241</v>
      </c>
      <c r="G916" t="n">
        <v>8</v>
      </c>
      <c r="H916">
        <f>E916/F916</f>
        <v/>
      </c>
      <c r="I916">
        <f>((H916-$J$888)/$I$888)</f>
        <v/>
      </c>
      <c r="J916">
        <f>(I916-IF(I896&gt;0,I896,0))</f>
        <v/>
      </c>
      <c r="K916">
        <f>J916/R900*1.1</f>
        <v/>
      </c>
      <c r="L916">
        <f>AVERAGE(K916:K918)</f>
        <v/>
      </c>
      <c r="M916">
        <f>STDEV(K916:K918)</f>
        <v/>
      </c>
      <c r="N916">
        <f>_xlfn.CONCAT(ROUND(L916,1)," ± ",ROUND(M916,1))</f>
        <v/>
      </c>
      <c r="Q916" t="inlineStr">
        <is>
          <t>K3-6B</t>
        </is>
      </c>
      <c r="R916" t="n">
        <v>1.195</v>
      </c>
    </row>
    <row r="917">
      <c r="A917" t="n">
        <v>29</v>
      </c>
      <c r="B917" t="inlineStr">
        <is>
          <t>K4-5B</t>
        </is>
      </c>
      <c r="F917" t="n">
        <v>5568.637</v>
      </c>
      <c r="H917">
        <f>E917/F917</f>
        <v/>
      </c>
      <c r="I917">
        <f>((H917-$J$888)/$I$888)</f>
        <v/>
      </c>
      <c r="J917">
        <f>(I917-IF(I896&gt;0,I896,0))</f>
        <v/>
      </c>
      <c r="K917">
        <f>J917/R901*1.1</f>
        <v/>
      </c>
      <c r="Q917" t="inlineStr">
        <is>
          <t>K3-6C</t>
        </is>
      </c>
      <c r="R917" t="n">
        <v>1.1716</v>
      </c>
    </row>
    <row r="918">
      <c r="A918" t="n">
        <v>30</v>
      </c>
      <c r="B918" t="inlineStr">
        <is>
          <t>K4-5C</t>
        </is>
      </c>
      <c r="F918" t="n">
        <v>5454.151</v>
      </c>
      <c r="H918">
        <f>E918/F918</f>
        <v/>
      </c>
      <c r="I918">
        <f>((H918-$J$888)/$I$888)</f>
        <v/>
      </c>
      <c r="J918">
        <f>(I918-IF(I896&gt;0,I896,0))</f>
        <v/>
      </c>
      <c r="K918">
        <f>J918/R902*1.1</f>
        <v/>
      </c>
      <c r="L918" s="23" t="n"/>
      <c r="M918" s="23" t="n"/>
      <c r="N918" s="9" t="n"/>
    </row>
    <row r="919">
      <c r="A919" t="n">
        <v>31</v>
      </c>
      <c r="B919" t="inlineStr">
        <is>
          <t>MeOH</t>
        </is>
      </c>
      <c r="L919" s="23" t="inlineStr">
        <is>
          <t>Average</t>
        </is>
      </c>
      <c r="M919" s="23" t="inlineStr">
        <is>
          <t>Stdev</t>
        </is>
      </c>
      <c r="N919" s="9" t="inlineStr">
        <is>
          <t>Combined</t>
        </is>
      </c>
    </row>
    <row r="920">
      <c r="A920" t="n">
        <v>32</v>
      </c>
      <c r="B920" t="inlineStr">
        <is>
          <t>K3-1A</t>
        </is>
      </c>
      <c r="D920" t="n">
        <v>10.76</v>
      </c>
      <c r="E920" t="n">
        <v>10.471</v>
      </c>
      <c r="F920" t="n">
        <v>5057.887</v>
      </c>
      <c r="G920" t="n">
        <v>115</v>
      </c>
      <c r="H920">
        <f>E920/F920</f>
        <v/>
      </c>
      <c r="I920">
        <f>((H920-$J$888)/$I$888)</f>
        <v/>
      </c>
      <c r="J920">
        <f>(I920-IF(I896&gt;0,I896,0))</f>
        <v/>
      </c>
      <c r="K920">
        <f>J920/R903*1.1</f>
        <v/>
      </c>
      <c r="L920">
        <f>AVERAGE(K920:K922)</f>
        <v/>
      </c>
      <c r="M920">
        <f>STDEV(K921:K922)</f>
        <v/>
      </c>
      <c r="N920">
        <f>_xlfn.CONCAT(ROUND(L920,1)," ± ",ROUND(M920,1))</f>
        <v/>
      </c>
    </row>
    <row r="921">
      <c r="A921" t="n">
        <v>33</v>
      </c>
      <c r="B921" t="inlineStr">
        <is>
          <t>K3-1B</t>
        </is>
      </c>
      <c r="D921" t="n">
        <v>10.76</v>
      </c>
      <c r="E921" t="n">
        <v>0.63</v>
      </c>
      <c r="F921" t="n">
        <v>4520.08</v>
      </c>
      <c r="G921" t="n">
        <v>7</v>
      </c>
      <c r="H921">
        <f>E921/F921</f>
        <v/>
      </c>
      <c r="I921">
        <f>((H921-$J$888)/$I$888)</f>
        <v/>
      </c>
      <c r="J921">
        <f>(I921-IF(I896&gt;0,I896,0))</f>
        <v/>
      </c>
      <c r="K921">
        <f>J921/R904*1.1</f>
        <v/>
      </c>
    </row>
    <row r="922">
      <c r="A922" t="n">
        <v>34</v>
      </c>
      <c r="B922" t="inlineStr">
        <is>
          <t>K3-1C</t>
        </is>
      </c>
      <c r="D922" t="n">
        <v>10.89</v>
      </c>
      <c r="E922" t="n">
        <v>15.337</v>
      </c>
      <c r="F922" t="n">
        <v>6122.734</v>
      </c>
      <c r="G922" t="n">
        <v>151</v>
      </c>
      <c r="H922">
        <f>E922/F922</f>
        <v/>
      </c>
      <c r="I922">
        <f>((H922-$J$888)/$I$888)</f>
        <v/>
      </c>
      <c r="J922">
        <f>(I922-IF(I896&gt;0,I896,0))</f>
        <v/>
      </c>
      <c r="K922">
        <f>J922/R905*1.1</f>
        <v/>
      </c>
      <c r="L922" s="23" t="inlineStr">
        <is>
          <t>Average</t>
        </is>
      </c>
      <c r="M922" s="23" t="inlineStr">
        <is>
          <t>Stdev</t>
        </is>
      </c>
      <c r="N922" s="9" t="inlineStr">
        <is>
          <t>Combined</t>
        </is>
      </c>
    </row>
    <row r="923">
      <c r="A923" t="n">
        <v>35</v>
      </c>
      <c r="B923" t="inlineStr">
        <is>
          <t>K3-2A</t>
        </is>
      </c>
      <c r="D923" t="n">
        <v>11.07</v>
      </c>
      <c r="E923" t="n">
        <v>5.18</v>
      </c>
      <c r="F923" t="n">
        <v>5685.445</v>
      </c>
      <c r="G923" t="n">
        <v>51</v>
      </c>
      <c r="H923">
        <f>E923/F923</f>
        <v/>
      </c>
      <c r="I923">
        <f>((H923-$J$888)/$I$888)</f>
        <v/>
      </c>
      <c r="J923">
        <f>(I923-IF(I896&gt;0,I896,0))</f>
        <v/>
      </c>
      <c r="K923">
        <f>J923/R906*1.1</f>
        <v/>
      </c>
      <c r="L923">
        <f>AVERAGE(K923:K925)</f>
        <v/>
      </c>
      <c r="M923">
        <f>STDEV(K923:K925)</f>
        <v/>
      </c>
      <c r="N923">
        <f>_xlfn.CONCAT(ROUND(L923,1)," ± ",ROUND(M923,1))</f>
        <v/>
      </c>
    </row>
    <row r="924">
      <c r="A924" t="n">
        <v>36</v>
      </c>
      <c r="B924" t="inlineStr">
        <is>
          <t>K3-2B</t>
        </is>
      </c>
      <c r="F924" t="n">
        <v>6763.122</v>
      </c>
      <c r="H924">
        <f>E924/F924</f>
        <v/>
      </c>
      <c r="I924">
        <f>((H924-$J$888)/$I$888)</f>
        <v/>
      </c>
      <c r="J924">
        <f>(I924-IF(I896&gt;0,I896,0))</f>
        <v/>
      </c>
      <c r="K924">
        <f>J924/R907*1.1</f>
        <v/>
      </c>
    </row>
    <row r="925">
      <c r="A925" t="n">
        <v>37</v>
      </c>
      <c r="B925" t="inlineStr">
        <is>
          <t>K3-2C</t>
        </is>
      </c>
      <c r="F925" t="n">
        <v>5297.522</v>
      </c>
      <c r="H925">
        <f>E925/F925</f>
        <v/>
      </c>
      <c r="I925">
        <f>((H925-$J$888)/$I$888)</f>
        <v/>
      </c>
      <c r="J925">
        <f>(I925-IF(I896&gt;0,I896,0))</f>
        <v/>
      </c>
      <c r="K925">
        <f>J925/R908*1.1</f>
        <v/>
      </c>
      <c r="L925" s="23" t="n"/>
      <c r="M925" s="23" t="n"/>
      <c r="N925" s="9" t="n"/>
    </row>
    <row r="926">
      <c r="A926" t="n">
        <v>38</v>
      </c>
      <c r="B926" t="inlineStr">
        <is>
          <t>MeOH</t>
        </is>
      </c>
      <c r="L926" s="23" t="inlineStr">
        <is>
          <t>Average</t>
        </is>
      </c>
      <c r="M926" s="23" t="inlineStr">
        <is>
          <t>Stdev</t>
        </is>
      </c>
      <c r="N926" s="9" t="inlineStr">
        <is>
          <t>Combined</t>
        </is>
      </c>
    </row>
    <row r="927">
      <c r="A927" t="n">
        <v>39</v>
      </c>
      <c r="B927" t="inlineStr">
        <is>
          <t>K3-3A</t>
        </is>
      </c>
      <c r="F927" t="n">
        <v>4745.281</v>
      </c>
      <c r="H927">
        <f>E927/F927</f>
        <v/>
      </c>
      <c r="I927">
        <f>((H927-$J$888)/$I$888)</f>
        <v/>
      </c>
      <c r="J927">
        <f>(I927-IF(I896&gt;0,I896,0))</f>
        <v/>
      </c>
      <c r="K927">
        <f>J927/R909*1.1</f>
        <v/>
      </c>
      <c r="L927">
        <f>AVERAGE(K927:K929)</f>
        <v/>
      </c>
      <c r="M927">
        <f>STDEV(K928:K929)</f>
        <v/>
      </c>
      <c r="N927">
        <f>_xlfn.CONCAT(ROUND(L927,1)," ± ",ROUND(M927,1))</f>
        <v/>
      </c>
    </row>
    <row r="928">
      <c r="A928" t="n">
        <v>40</v>
      </c>
      <c r="B928" t="inlineStr">
        <is>
          <t>K3-3B</t>
        </is>
      </c>
      <c r="F928" t="n">
        <v>6101.583</v>
      </c>
      <c r="H928">
        <f>E928/F928</f>
        <v/>
      </c>
      <c r="I928">
        <f>((H928-$J$888)/$I$888)</f>
        <v/>
      </c>
      <c r="J928">
        <f>(I928-IF(I896&gt;0,I896,0))</f>
        <v/>
      </c>
      <c r="K928">
        <f>J928/R910*1.1</f>
        <v/>
      </c>
    </row>
    <row r="929">
      <c r="A929" t="n">
        <v>41</v>
      </c>
      <c r="B929" t="inlineStr">
        <is>
          <t>K3-3C</t>
        </is>
      </c>
      <c r="F929" t="n">
        <v>6510.538</v>
      </c>
      <c r="H929">
        <f>E929/F929</f>
        <v/>
      </c>
      <c r="I929">
        <f>((H929-$J$888)/$I$888)</f>
        <v/>
      </c>
      <c r="J929">
        <f>(I929-IF(I896&gt;0,I896,0))</f>
        <v/>
      </c>
      <c r="K929">
        <f>J929/R911*1.1</f>
        <v/>
      </c>
      <c r="L929" s="23" t="inlineStr">
        <is>
          <t>Average</t>
        </is>
      </c>
      <c r="M929" s="23" t="inlineStr">
        <is>
          <t>Stdev</t>
        </is>
      </c>
      <c r="N929" s="9" t="inlineStr">
        <is>
          <t>Combined</t>
        </is>
      </c>
    </row>
    <row r="930">
      <c r="A930" t="n">
        <v>42</v>
      </c>
      <c r="B930" t="inlineStr">
        <is>
          <t>K3-4A</t>
        </is>
      </c>
      <c r="F930" t="n">
        <v>5583.224</v>
      </c>
      <c r="H930">
        <f>E930/F930</f>
        <v/>
      </c>
      <c r="I930">
        <f>((H930-$J$888)/$I$888)</f>
        <v/>
      </c>
      <c r="J930">
        <f>(I930-IF(I896&gt;0,I896,0))</f>
        <v/>
      </c>
      <c r="K930">
        <f>J930/R912*1.1</f>
        <v/>
      </c>
      <c r="L930">
        <f>AVERAGE(K930:K932)</f>
        <v/>
      </c>
      <c r="M930">
        <f>STDEV(K930:K932)</f>
        <v/>
      </c>
      <c r="N930">
        <f>_xlfn.CONCAT(ROUND(L930,1)," ± ",ROUND(M930,1))</f>
        <v/>
      </c>
    </row>
    <row r="931">
      <c r="A931" t="n">
        <v>43</v>
      </c>
      <c r="B931" t="inlineStr">
        <is>
          <t>K3-4B</t>
        </is>
      </c>
      <c r="D931" t="n">
        <v>11.03</v>
      </c>
      <c r="E931" t="n">
        <v>14.789</v>
      </c>
      <c r="F931" t="n">
        <v>5903.166</v>
      </c>
      <c r="G931" t="n">
        <v>143</v>
      </c>
      <c r="H931">
        <f>E931/F931</f>
        <v/>
      </c>
      <c r="I931">
        <f>((H931-$J$888)/$I$888)</f>
        <v/>
      </c>
      <c r="J931">
        <f>(I931-IF(I896&gt;0,I896,0))</f>
        <v/>
      </c>
      <c r="K931">
        <f>J931/R913*1.1</f>
        <v/>
      </c>
    </row>
    <row r="932">
      <c r="A932" t="n">
        <v>44</v>
      </c>
      <c r="B932" t="inlineStr">
        <is>
          <t>K3-4C</t>
        </is>
      </c>
      <c r="D932" t="n">
        <v>11.33</v>
      </c>
      <c r="E932" t="n">
        <v>0.375</v>
      </c>
      <c r="F932" t="n">
        <v>5771.679</v>
      </c>
      <c r="G932" t="n">
        <v>4</v>
      </c>
      <c r="H932">
        <f>E932/F932</f>
        <v/>
      </c>
      <c r="I932">
        <f>((H932-$J$888)/$I$888)</f>
        <v/>
      </c>
      <c r="J932">
        <f>(I932-IF(I896&gt;0,I896,0))</f>
        <v/>
      </c>
      <c r="K932">
        <f>J932/R914*1.1</f>
        <v/>
      </c>
      <c r="L932" s="23" t="n"/>
      <c r="M932" s="23" t="n"/>
      <c r="N932" s="9" t="n"/>
    </row>
    <row r="933">
      <c r="A933" t="n">
        <v>45</v>
      </c>
      <c r="B933" t="inlineStr">
        <is>
          <t>MeOH</t>
        </is>
      </c>
      <c r="L933" s="23" t="inlineStr">
        <is>
          <t>Average</t>
        </is>
      </c>
      <c r="M933" s="23" t="inlineStr">
        <is>
          <t>Stdev</t>
        </is>
      </c>
      <c r="N933" s="9" t="inlineStr">
        <is>
          <t>Combined</t>
        </is>
      </c>
    </row>
    <row r="934">
      <c r="A934" t="n">
        <v>46</v>
      </c>
      <c r="B934" t="inlineStr">
        <is>
          <t>K3-6A</t>
        </is>
      </c>
      <c r="F934" t="n">
        <v>5487.978</v>
      </c>
      <c r="H934">
        <f>E934/F934</f>
        <v/>
      </c>
      <c r="I934">
        <f>((H934-$J$888)/$I$888)</f>
        <v/>
      </c>
      <c r="J934">
        <f>(I934-IF(I896&gt;0,I896,0))</f>
        <v/>
      </c>
      <c r="K934">
        <f>J934/R915*1.1</f>
        <v/>
      </c>
      <c r="L934">
        <f>AVERAGE(K934:K936)</f>
        <v/>
      </c>
      <c r="M934">
        <f>STDEV(K935:K936)</f>
        <v/>
      </c>
      <c r="N934">
        <f>_xlfn.CONCAT(ROUND(L934,1)," ± ",ROUND(M934,1))</f>
        <v/>
      </c>
    </row>
    <row r="935">
      <c r="A935" t="n">
        <v>47</v>
      </c>
      <c r="B935" t="inlineStr">
        <is>
          <t>K3-6B</t>
        </is>
      </c>
      <c r="F935" t="n">
        <v>4404.307</v>
      </c>
      <c r="H935">
        <f>E935/F935</f>
        <v/>
      </c>
      <c r="I935">
        <f>((H935-$J$888)/$I$888)</f>
        <v/>
      </c>
      <c r="J935">
        <f>(I935-IF(I896&gt;0,I896,0))</f>
        <v/>
      </c>
      <c r="K935">
        <f>J935/R916*1.1</f>
        <v/>
      </c>
    </row>
    <row r="936">
      <c r="A936" t="n">
        <v>48</v>
      </c>
      <c r="B936" t="inlineStr">
        <is>
          <t>K3-6C</t>
        </is>
      </c>
      <c r="D936" t="n">
        <v>11.17</v>
      </c>
      <c r="E936" t="n">
        <v>6.848</v>
      </c>
      <c r="F936" t="n">
        <v>5559.999</v>
      </c>
      <c r="G936" t="n">
        <v>67</v>
      </c>
      <c r="H936">
        <f>E936/F936</f>
        <v/>
      </c>
      <c r="I936">
        <f>((H936-$J$888)/$I$888)</f>
        <v/>
      </c>
      <c r="J936">
        <f>(I936-IF(I896&gt;0,I896,0))</f>
        <v/>
      </c>
      <c r="K936">
        <f>J936/R917*1.1</f>
        <v/>
      </c>
      <c r="L936" s="23" t="n"/>
      <c r="M936" s="23" t="n"/>
      <c r="N936" s="9" t="n"/>
    </row>
    <row r="938">
      <c r="A938" s="15" t="inlineStr">
        <is>
          <t>Compound 36:  PFHpA 1</t>
        </is>
      </c>
      <c r="B938" s="15" t="n"/>
    </row>
    <row r="939">
      <c r="I939" t="inlineStr">
        <is>
          <t>LINEST</t>
        </is>
      </c>
      <c r="Q939" t="inlineStr">
        <is>
          <t>Biosolids Masses</t>
        </is>
      </c>
      <c r="R939" t="inlineStr">
        <is>
          <t>(g)</t>
        </is>
      </c>
    </row>
    <row r="940">
      <c r="B940" t="inlineStr">
        <is>
          <t>Sample Text</t>
        </is>
      </c>
      <c r="C940" t="inlineStr">
        <is>
          <t>Std. Conc</t>
        </is>
      </c>
      <c r="D940" t="inlineStr">
        <is>
          <t>RT</t>
        </is>
      </c>
      <c r="E940" t="inlineStr">
        <is>
          <t>Area</t>
        </is>
      </c>
      <c r="F940" t="inlineStr">
        <is>
          <t>IS Area</t>
        </is>
      </c>
      <c r="G940" t="inlineStr">
        <is>
          <t>S/N</t>
        </is>
      </c>
      <c r="H940" t="inlineStr">
        <is>
          <t>ratio</t>
        </is>
      </c>
      <c r="I940">
        <f t="array" ref="I940:J944">LINEST(H942:H948,C942:C948,1,1)</f>
        <v/>
      </c>
      <c r="J940" t="n">
        <v>0.05249041552534739</v>
      </c>
      <c r="L940" s="20" t="inlineStr">
        <is>
          <t>By S/N Ratio</t>
        </is>
      </c>
      <c r="Q940" t="inlineStr">
        <is>
          <t>SS1</t>
        </is>
      </c>
      <c r="R940" t="n">
        <v>1.0846</v>
      </c>
    </row>
    <row r="941">
      <c r="A941" t="n">
        <v>1</v>
      </c>
      <c r="B941" t="inlineStr">
        <is>
          <t>EPA1633 &amp; diPAPs Calibration 0 ppb</t>
        </is>
      </c>
      <c r="C941" t="n">
        <v>0</v>
      </c>
      <c r="D941" t="n">
        <v>10.66</v>
      </c>
      <c r="E941" t="n">
        <v>79.934</v>
      </c>
      <c r="F941" t="n">
        <v>3441.324</v>
      </c>
      <c r="G941" t="n">
        <v>0.964</v>
      </c>
      <c r="H941">
        <f>E941/F941</f>
        <v/>
      </c>
      <c r="I941" t="n">
        <v>0.00756798830434084</v>
      </c>
      <c r="J941" t="n">
        <v>0.06561371663480235</v>
      </c>
      <c r="K941" t="inlineStr">
        <is>
          <t>LOD</t>
        </is>
      </c>
      <c r="L941" s="21">
        <f>IF(G942&gt;3,C942,IF(G943&gt;3,C943,IF(G944&gt;3,C944,IF(G945&gt;3,C945,C946))))</f>
        <v/>
      </c>
      <c r="Q941" t="inlineStr">
        <is>
          <t>SS2</t>
        </is>
      </c>
      <c r="R941" t="n">
        <v>1.0726</v>
      </c>
    </row>
    <row r="942">
      <c r="A942" t="n">
        <v>2</v>
      </c>
      <c r="B942" t="inlineStr">
        <is>
          <t>EPA1633 &amp; diPAPs Calibration 0.02 ppb</t>
        </is>
      </c>
      <c r="C942" t="n">
        <v>0.02</v>
      </c>
      <c r="D942" t="n">
        <v>10.54</v>
      </c>
      <c r="E942" t="n">
        <v>101.347</v>
      </c>
      <c r="F942" t="n">
        <v>2817.635</v>
      </c>
      <c r="G942" t="n">
        <v>1.477</v>
      </c>
      <c r="H942">
        <f>E942/F942</f>
        <v/>
      </c>
      <c r="I942" t="n">
        <v>0.9942859163280339</v>
      </c>
      <c r="J942" t="n">
        <v>0.1386492517813253</v>
      </c>
      <c r="K942" t="inlineStr">
        <is>
          <t>LOQ</t>
        </is>
      </c>
      <c r="L942" s="22">
        <f>IF(G942&gt;10,C942,IF(G943&gt;10,C943,IF(G944&gt;10,C944,IF(G945&gt;10,C945,C946))))</f>
        <v/>
      </c>
      <c r="Q942" t="inlineStr">
        <is>
          <t>SS3</t>
        </is>
      </c>
      <c r="R942" t="n">
        <v>1.1534</v>
      </c>
    </row>
    <row r="943">
      <c r="A943" t="n">
        <v>3</v>
      </c>
      <c r="B943" t="inlineStr">
        <is>
          <t>EPA1633 &amp; diPAPs Calibration 0.1 ppb</t>
        </is>
      </c>
      <c r="C943" t="n">
        <v>0.1</v>
      </c>
      <c r="D943" t="n">
        <v>10.68</v>
      </c>
      <c r="E943" t="n">
        <v>123.668</v>
      </c>
      <c r="F943" t="n">
        <v>3634.252</v>
      </c>
      <c r="G943" t="n">
        <v>2.025</v>
      </c>
      <c r="H943">
        <f>E943/F943</f>
        <v/>
      </c>
      <c r="I943" t="n">
        <v>870.0309388241061</v>
      </c>
      <c r="J943" t="n">
        <v>5</v>
      </c>
      <c r="Q943" t="inlineStr">
        <is>
          <t>K4-1A</t>
        </is>
      </c>
      <c r="R943" t="n">
        <v>1.0267</v>
      </c>
    </row>
    <row r="944">
      <c r="A944" t="n">
        <v>4</v>
      </c>
      <c r="B944" t="inlineStr">
        <is>
          <t>EPA1633 &amp; diPAPs Calibration 0.4 ppb</t>
        </is>
      </c>
      <c r="C944" t="n">
        <v>0.4</v>
      </c>
      <c r="D944" t="n">
        <v>10.6</v>
      </c>
      <c r="E944" t="n">
        <v>469.085</v>
      </c>
      <c r="F944" t="n">
        <v>2506.098</v>
      </c>
      <c r="G944" t="n">
        <v>6.131</v>
      </c>
      <c r="H944">
        <f>E944/F944</f>
        <v/>
      </c>
      <c r="I944" t="n">
        <v>16.72513982302733</v>
      </c>
      <c r="J944" t="n">
        <v>0.09611807509760668</v>
      </c>
      <c r="Q944" t="inlineStr">
        <is>
          <t>K4-1B</t>
        </is>
      </c>
      <c r="R944" t="n">
        <v>1.1481</v>
      </c>
    </row>
    <row r="945">
      <c r="A945" t="n">
        <v>5</v>
      </c>
      <c r="B945" t="inlineStr">
        <is>
          <t>EPA1633 &amp; diPAPs Calibration 1 ppb</t>
        </is>
      </c>
      <c r="C945" t="n">
        <v>1</v>
      </c>
      <c r="D945" t="n">
        <v>10.61</v>
      </c>
      <c r="E945" t="n">
        <v>829.9829999999999</v>
      </c>
      <c r="F945" t="n">
        <v>3195.374</v>
      </c>
      <c r="G945" t="n">
        <v>21.757</v>
      </c>
      <c r="H945">
        <f>E945/F945</f>
        <v/>
      </c>
      <c r="Q945" t="inlineStr">
        <is>
          <t>K4-1C</t>
        </is>
      </c>
      <c r="R945" t="n">
        <v>1.0402</v>
      </c>
    </row>
    <row r="946">
      <c r="A946" t="n">
        <v>6</v>
      </c>
      <c r="B946" t="inlineStr">
        <is>
          <t>EPA1633 &amp; diPAPs Calibration 5 ppb</t>
        </is>
      </c>
      <c r="C946" t="n">
        <v>5</v>
      </c>
      <c r="D946" t="n">
        <v>10.48</v>
      </c>
      <c r="E946" t="n">
        <v>3023.33</v>
      </c>
      <c r="F946" t="n">
        <v>2906.045</v>
      </c>
      <c r="G946" t="n">
        <v>51.508</v>
      </c>
      <c r="H946">
        <f>E946/F946</f>
        <v/>
      </c>
      <c r="Q946" t="inlineStr">
        <is>
          <t>K4-2A</t>
        </is>
      </c>
      <c r="R946" t="n">
        <v>1.127</v>
      </c>
    </row>
    <row r="947">
      <c r="A947" t="n">
        <v>7</v>
      </c>
      <c r="B947" t="inlineStr">
        <is>
          <t>EPA1633 &amp; diPAPs Calibration 10 ppb</t>
        </is>
      </c>
      <c r="C947" t="n">
        <v>10</v>
      </c>
      <c r="D947" t="n">
        <v>10.53</v>
      </c>
      <c r="E947" t="n">
        <v>5730.271</v>
      </c>
      <c r="F947" t="n">
        <v>2254.562</v>
      </c>
      <c r="G947" t="n">
        <v>83.376</v>
      </c>
      <c r="H947">
        <f>E947/F947</f>
        <v/>
      </c>
      <c r="I947" s="23" t="inlineStr">
        <is>
          <t>Background</t>
        </is>
      </c>
      <c r="J947" s="23" t="inlineStr">
        <is>
          <t>Spike</t>
        </is>
      </c>
      <c r="K947" s="9" t="inlineStr">
        <is>
          <t>Old Spike</t>
        </is>
      </c>
      <c r="O947" s="24" t="inlineStr">
        <is>
          <t>±</t>
        </is>
      </c>
      <c r="Q947" t="inlineStr">
        <is>
          <t>K4-2B</t>
        </is>
      </c>
      <c r="R947" t="n">
        <v>1.1154</v>
      </c>
    </row>
    <row r="948">
      <c r="A948" t="n">
        <v>8</v>
      </c>
      <c r="B948" t="inlineStr">
        <is>
          <t>EPA1633 &amp; diPAPs Calibration 20 ppb</t>
        </is>
      </c>
      <c r="C948" t="n">
        <v>20</v>
      </c>
      <c r="D948" t="n">
        <v>10.57</v>
      </c>
      <c r="E948" t="n">
        <v>11860.446</v>
      </c>
      <c r="F948" t="n">
        <v>2682.879</v>
      </c>
      <c r="G948" t="n">
        <v>236.586</v>
      </c>
      <c r="H948">
        <f>E948/F948</f>
        <v/>
      </c>
      <c r="I948">
        <f>AVERAGE(I951:I953)</f>
        <v/>
      </c>
      <c r="J948" t="n">
        <v>11</v>
      </c>
      <c r="Q948" t="inlineStr">
        <is>
          <t>K4-2C</t>
        </is>
      </c>
      <c r="R948" t="n">
        <v>1.1711</v>
      </c>
    </row>
    <row r="949">
      <c r="A949" t="n">
        <v>9</v>
      </c>
      <c r="B949" t="inlineStr">
        <is>
          <t>MeOH</t>
        </is>
      </c>
      <c r="D949" t="n">
        <v>10.72</v>
      </c>
      <c r="E949" t="n">
        <v>115.386</v>
      </c>
      <c r="G949" t="n">
        <v>1.688</v>
      </c>
      <c r="I949" s="23" t="inlineStr">
        <is>
          <t>Conc.In Vial (ppb)</t>
        </is>
      </c>
      <c r="J949" s="9" t="inlineStr">
        <is>
          <t>Corr. Conc.(ppb)</t>
        </is>
      </c>
      <c r="K949" s="9" t="inlineStr">
        <is>
          <t>Conc. In soil (ng/g)</t>
        </is>
      </c>
      <c r="Q949" t="inlineStr">
        <is>
          <t>K4-4A</t>
        </is>
      </c>
      <c r="R949" t="n">
        <v>1.0932</v>
      </c>
    </row>
    <row r="950">
      <c r="A950" t="n">
        <v>10</v>
      </c>
      <c r="B950" t="inlineStr">
        <is>
          <t>MeOH</t>
        </is>
      </c>
      <c r="D950" t="n">
        <v>11.11</v>
      </c>
      <c r="E950" t="n">
        <v>198.013</v>
      </c>
      <c r="G950" t="n">
        <v>2.581</v>
      </c>
      <c r="L950" s="23" t="inlineStr">
        <is>
          <t>Average</t>
        </is>
      </c>
      <c r="M950" s="23" t="inlineStr">
        <is>
          <t>Stdev</t>
        </is>
      </c>
      <c r="N950" s="9" t="inlineStr">
        <is>
          <t>Combined</t>
        </is>
      </c>
      <c r="O950" s="9" t="n"/>
      <c r="P950" s="9" t="n"/>
      <c r="Q950" t="inlineStr">
        <is>
          <t>K4-4B</t>
        </is>
      </c>
      <c r="R950" t="n">
        <v>1.15</v>
      </c>
    </row>
    <row r="951">
      <c r="A951" t="n">
        <v>11</v>
      </c>
      <c r="B951" t="inlineStr">
        <is>
          <t>SB1</t>
        </is>
      </c>
      <c r="D951" t="n">
        <v>10.78</v>
      </c>
      <c r="E951" t="n">
        <v>246.023</v>
      </c>
      <c r="F951" t="n">
        <v>1216.834</v>
      </c>
      <c r="G951" t="n">
        <v>1.599</v>
      </c>
      <c r="H951">
        <f>E951/F951</f>
        <v/>
      </c>
      <c r="I951">
        <f>((H951-$J$940)/$I$940)</f>
        <v/>
      </c>
      <c r="J951">
        <f>(I951-IF(I948&gt;0,I948,0))</f>
        <v/>
      </c>
      <c r="K951">
        <f>J951*1.1</f>
        <v/>
      </c>
      <c r="L951">
        <f>AVERAGE(K951:K953)</f>
        <v/>
      </c>
      <c r="M951">
        <f>STDEV(K952:K953)</f>
        <v/>
      </c>
      <c r="N951">
        <f>_xlfn.CONCAT(ROUND(L951,1)," ± ",ROUND(M951,1))</f>
        <v/>
      </c>
      <c r="Q951" t="inlineStr">
        <is>
          <t>K4-4C</t>
        </is>
      </c>
      <c r="R951" t="n">
        <v>1.0482</v>
      </c>
    </row>
    <row r="952">
      <c r="A952" t="n">
        <v>12</v>
      </c>
      <c r="B952" t="inlineStr">
        <is>
          <t>SB2</t>
        </is>
      </c>
      <c r="D952" t="n">
        <v>10.75</v>
      </c>
      <c r="E952" t="n">
        <v>81.035</v>
      </c>
      <c r="F952" t="n">
        <v>1211.397</v>
      </c>
      <c r="G952" t="n">
        <v>0.626</v>
      </c>
      <c r="H952">
        <f>E952/F952</f>
        <v/>
      </c>
      <c r="I952">
        <f>((H952-$J$940)/$I$940)</f>
        <v/>
      </c>
      <c r="J952">
        <f>(I952-IF(I948&gt;0,I948,0))</f>
        <v/>
      </c>
      <c r="K952">
        <f>J952*1.1</f>
        <v/>
      </c>
      <c r="Q952" t="inlineStr">
        <is>
          <t>K4-5A</t>
        </is>
      </c>
      <c r="R952" t="n">
        <v>1.1054</v>
      </c>
    </row>
    <row r="953">
      <c r="A953" t="n">
        <v>13</v>
      </c>
      <c r="B953" t="inlineStr">
        <is>
          <t>SB3</t>
        </is>
      </c>
      <c r="D953" t="n">
        <v>10.86</v>
      </c>
      <c r="E953" t="n">
        <v>234.496</v>
      </c>
      <c r="F953" t="n">
        <v>1072.495</v>
      </c>
      <c r="G953" t="n">
        <v>2.085</v>
      </c>
      <c r="H953">
        <f>E953/F953</f>
        <v/>
      </c>
      <c r="I953">
        <f>((H953-$J$940)/$I$940)</f>
        <v/>
      </c>
      <c r="J953">
        <f>(I953-IF(I948&gt;0,I948,0))</f>
        <v/>
      </c>
      <c r="K953" s="30">
        <f>J953*1.1</f>
        <v/>
      </c>
      <c r="L953" s="25" t="inlineStr">
        <is>
          <t>Average</t>
        </is>
      </c>
      <c r="M953" s="25" t="inlineStr">
        <is>
          <t>Stdev</t>
        </is>
      </c>
      <c r="N953" s="26" t="inlineStr">
        <is>
          <t>%Recovery</t>
        </is>
      </c>
      <c r="O953" s="26" t="inlineStr">
        <is>
          <t>Uncertainty</t>
        </is>
      </c>
      <c r="P953" s="26" t="inlineStr">
        <is>
          <t>Combined</t>
        </is>
      </c>
      <c r="Q953" t="inlineStr">
        <is>
          <t>K4-5B</t>
        </is>
      </c>
      <c r="R953" s="10" t="n">
        <v>1.0463</v>
      </c>
    </row>
    <row r="954">
      <c r="A954" t="n">
        <v>14</v>
      </c>
      <c r="B954" t="inlineStr">
        <is>
          <t>SS1</t>
        </is>
      </c>
      <c r="D954" t="n">
        <v>10.65</v>
      </c>
      <c r="E954" t="n">
        <v>2442.701</v>
      </c>
      <c r="F954" t="n">
        <v>1296.653</v>
      </c>
      <c r="G954" t="n">
        <v>47.631</v>
      </c>
      <c r="H954">
        <f>E954/F954</f>
        <v/>
      </c>
      <c r="I954">
        <f>((H954-$J$940)/$I$940)</f>
        <v/>
      </c>
      <c r="J954">
        <f>(I954-IF(I948&gt;0,I948,0))</f>
        <v/>
      </c>
      <c r="K954">
        <f>J954/R940*1.1</f>
        <v/>
      </c>
      <c r="L954" s="27">
        <f>AVERAGE(K954:K956)</f>
        <v/>
      </c>
      <c r="M954" s="27">
        <f>STDEV(K954:K956)</f>
        <v/>
      </c>
      <c r="N954" s="28">
        <f>L954/J948*100</f>
        <v/>
      </c>
      <c r="O954" s="29">
        <f>M954/J951*100</f>
        <v/>
      </c>
      <c r="P954" s="29">
        <f>_xlfn.CONCAT(ROUND(N954,1)," ± ",ROUND(O954,1))</f>
        <v/>
      </c>
      <c r="Q954" t="inlineStr">
        <is>
          <t>K4-5C</t>
        </is>
      </c>
      <c r="R954" t="n">
        <v>1.1155</v>
      </c>
    </row>
    <row r="955">
      <c r="A955" t="n">
        <v>15</v>
      </c>
      <c r="B955" t="inlineStr">
        <is>
          <t>SS2</t>
        </is>
      </c>
      <c r="D955" t="n">
        <v>10.67</v>
      </c>
      <c r="E955" t="n">
        <v>2355.377</v>
      </c>
      <c r="F955" t="n">
        <v>1239.62</v>
      </c>
      <c r="G955" t="n">
        <v>52.249</v>
      </c>
      <c r="H955">
        <f>E955/F955</f>
        <v/>
      </c>
      <c r="I955">
        <f>((H955-$J$940)/$I$940)</f>
        <v/>
      </c>
      <c r="J955">
        <f>(I955-IF(I948&gt;0,I948,0))</f>
        <v/>
      </c>
      <c r="K955">
        <f>J955/R941*1.1</f>
        <v/>
      </c>
      <c r="Q955" t="inlineStr">
        <is>
          <t>K3-1A</t>
        </is>
      </c>
      <c r="R955" t="n">
        <v>1.0874</v>
      </c>
    </row>
    <row r="956">
      <c r="A956" t="n">
        <v>16</v>
      </c>
      <c r="B956" t="inlineStr">
        <is>
          <t>SS3</t>
        </is>
      </c>
      <c r="D956" t="n">
        <v>10.67</v>
      </c>
      <c r="E956" t="n">
        <v>2430.86</v>
      </c>
      <c r="F956" t="n">
        <v>1242.61</v>
      </c>
      <c r="G956" t="n">
        <v>39.386</v>
      </c>
      <c r="H956">
        <f>E956/F956</f>
        <v/>
      </c>
      <c r="I956">
        <f>((H956-$J$940)/$I$940)</f>
        <v/>
      </c>
      <c r="J956">
        <f>(I956-IF(I948&gt;0,I948,0))</f>
        <v/>
      </c>
      <c r="K956" s="30">
        <f>J956/R942*1.1</f>
        <v/>
      </c>
      <c r="Q956" t="inlineStr">
        <is>
          <t>K3-1B</t>
        </is>
      </c>
      <c r="R956" t="n">
        <v>1.0898</v>
      </c>
    </row>
    <row r="957">
      <c r="A957" t="n">
        <v>17</v>
      </c>
      <c r="B957" t="inlineStr">
        <is>
          <t>MeOH</t>
        </is>
      </c>
      <c r="L957" s="23" t="inlineStr">
        <is>
          <t>Average</t>
        </is>
      </c>
      <c r="M957" s="23" t="inlineStr">
        <is>
          <t>Stdev</t>
        </is>
      </c>
      <c r="N957" s="9" t="inlineStr">
        <is>
          <t>Combined</t>
        </is>
      </c>
      <c r="Q957" t="inlineStr">
        <is>
          <t>K3-1C</t>
        </is>
      </c>
      <c r="R957" t="n">
        <v>1.0536</v>
      </c>
    </row>
    <row r="958">
      <c r="A958" t="n">
        <v>18</v>
      </c>
      <c r="B958" t="inlineStr">
        <is>
          <t>K4-1A</t>
        </is>
      </c>
      <c r="D958" t="n">
        <v>10.69</v>
      </c>
      <c r="E958" t="n">
        <v>212.864</v>
      </c>
      <c r="F958" t="n">
        <v>1955.025</v>
      </c>
      <c r="G958" t="n">
        <v>3.363</v>
      </c>
      <c r="H958">
        <f>E958/F958</f>
        <v/>
      </c>
      <c r="I958">
        <f>((H958-$J$940)/$I$940)</f>
        <v/>
      </c>
      <c r="J958">
        <f>(I958-IF(I948&gt;0,I948,0))</f>
        <v/>
      </c>
      <c r="K958">
        <f>J958/R943*1.1</f>
        <v/>
      </c>
      <c r="L958">
        <f>AVERAGE(K958:K960)</f>
        <v/>
      </c>
      <c r="M958">
        <f>STDEV(K959:K960)</f>
        <v/>
      </c>
      <c r="N958">
        <f>_xlfn.CONCAT(ROUND(L958,1)," ± ",ROUND(M958,1))</f>
        <v/>
      </c>
      <c r="Q958" t="inlineStr">
        <is>
          <t>K3-2A</t>
        </is>
      </c>
      <c r="R958" s="10" t="n">
        <v>1.1218</v>
      </c>
    </row>
    <row r="959">
      <c r="A959" t="n">
        <v>19</v>
      </c>
      <c r="B959" t="inlineStr">
        <is>
          <t>K4-1B</t>
        </is>
      </c>
      <c r="D959" t="n">
        <v>10.69</v>
      </c>
      <c r="E959" t="n">
        <v>217.078</v>
      </c>
      <c r="F959" t="n">
        <v>1600.471</v>
      </c>
      <c r="G959" t="n">
        <v>2.978</v>
      </c>
      <c r="H959">
        <f>E959/F959</f>
        <v/>
      </c>
      <c r="I959">
        <f>((H959-$J$940)/$I$940)</f>
        <v/>
      </c>
      <c r="J959">
        <f>(I959-IF(I948&gt;0,I948,0))</f>
        <v/>
      </c>
      <c r="K959">
        <f>J959/R944*1.1</f>
        <v/>
      </c>
      <c r="Q959" t="inlineStr">
        <is>
          <t>K3-2B</t>
        </is>
      </c>
      <c r="R959" t="n">
        <v>1.198</v>
      </c>
    </row>
    <row r="960">
      <c r="A960" t="n">
        <v>20</v>
      </c>
      <c r="B960" t="inlineStr">
        <is>
          <t>K4-1C</t>
        </is>
      </c>
      <c r="D960" t="n">
        <v>10.67</v>
      </c>
      <c r="E960" t="n">
        <v>360.42</v>
      </c>
      <c r="F960" t="n">
        <v>1707.683</v>
      </c>
      <c r="G960" t="n">
        <v>7.208</v>
      </c>
      <c r="H960">
        <f>E960/F960</f>
        <v/>
      </c>
      <c r="I960">
        <f>((H960-$J$940)/$I$940)</f>
        <v/>
      </c>
      <c r="J960">
        <f>(I960-IF(I948&gt;0,I948,0))</f>
        <v/>
      </c>
      <c r="K960">
        <f>J960/R945*1.1</f>
        <v/>
      </c>
      <c r="L960" s="23" t="inlineStr">
        <is>
          <t>Average</t>
        </is>
      </c>
      <c r="M960" s="23" t="inlineStr">
        <is>
          <t>Stdev</t>
        </is>
      </c>
      <c r="N960" s="9" t="inlineStr">
        <is>
          <t>Combined</t>
        </is>
      </c>
      <c r="Q960" t="inlineStr">
        <is>
          <t>K3-2C</t>
        </is>
      </c>
      <c r="R960" t="n">
        <v>1.1538</v>
      </c>
    </row>
    <row r="961">
      <c r="A961" t="n">
        <v>21</v>
      </c>
      <c r="B961" t="inlineStr">
        <is>
          <t>K4-2A</t>
        </is>
      </c>
      <c r="D961" t="n">
        <v>10.71</v>
      </c>
      <c r="E961" t="n">
        <v>321.203</v>
      </c>
      <c r="F961" t="n">
        <v>2151.199</v>
      </c>
      <c r="G961" t="n">
        <v>4.71</v>
      </c>
      <c r="H961">
        <f>E961/F961</f>
        <v/>
      </c>
      <c r="I961">
        <f>((H961-$J$940)/$I$940)</f>
        <v/>
      </c>
      <c r="J961">
        <f>(I961-IF(I948&gt;0,I948,0))</f>
        <v/>
      </c>
      <c r="K961">
        <f>J961/R946*1.1</f>
        <v/>
      </c>
      <c r="L961">
        <f>AVERAGE(K961:K963)</f>
        <v/>
      </c>
      <c r="M961">
        <f>STDEV(K961:K963)</f>
        <v/>
      </c>
      <c r="N961">
        <f>_xlfn.CONCAT(ROUND(L961,1)," ± ",ROUND(M961,1))</f>
        <v/>
      </c>
      <c r="Q961" t="inlineStr">
        <is>
          <t>K3-3A</t>
        </is>
      </c>
      <c r="R961" t="n">
        <v>1.1183</v>
      </c>
    </row>
    <row r="962">
      <c r="A962" t="n">
        <v>22</v>
      </c>
      <c r="B962" t="inlineStr">
        <is>
          <t>K4-2B</t>
        </is>
      </c>
      <c r="D962" t="n">
        <v>10.72</v>
      </c>
      <c r="E962" t="n">
        <v>292.213</v>
      </c>
      <c r="F962" t="n">
        <v>1627.57</v>
      </c>
      <c r="G962" t="n">
        <v>3.941</v>
      </c>
      <c r="H962">
        <f>E962/F962</f>
        <v/>
      </c>
      <c r="I962">
        <f>((H962-$J$940)/$I$940)</f>
        <v/>
      </c>
      <c r="J962">
        <f>(I962-IF(I948&gt;0,I948,0))</f>
        <v/>
      </c>
      <c r="K962">
        <f>J962/R947*1.1</f>
        <v/>
      </c>
      <c r="Q962" t="inlineStr">
        <is>
          <t>K3-3B</t>
        </is>
      </c>
      <c r="R962" t="n">
        <v>1.1448</v>
      </c>
    </row>
    <row r="963">
      <c r="A963" t="n">
        <v>23</v>
      </c>
      <c r="B963" t="inlineStr">
        <is>
          <t>K4-2C</t>
        </is>
      </c>
      <c r="D963" t="n">
        <v>10.73</v>
      </c>
      <c r="E963" t="n">
        <v>399.946</v>
      </c>
      <c r="F963" t="n">
        <v>1993.504</v>
      </c>
      <c r="G963" t="n">
        <v>5.765</v>
      </c>
      <c r="H963">
        <f>E963/F963</f>
        <v/>
      </c>
      <c r="I963">
        <f>((H963-$J$940)/$I$940)</f>
        <v/>
      </c>
      <c r="J963">
        <f>(I963-IF(I948&gt;0,I948,0))</f>
        <v/>
      </c>
      <c r="K963">
        <f>J963/R948*1.1</f>
        <v/>
      </c>
      <c r="L963" s="23" t="n"/>
      <c r="M963" s="23" t="n"/>
      <c r="N963" s="9" t="n"/>
      <c r="Q963" t="inlineStr">
        <is>
          <t>K3-3C</t>
        </is>
      </c>
      <c r="R963" t="n">
        <v>1.0493</v>
      </c>
    </row>
    <row r="964">
      <c r="A964" t="n">
        <v>24</v>
      </c>
      <c r="B964" t="inlineStr">
        <is>
          <t>MeOH</t>
        </is>
      </c>
      <c r="L964" s="23" t="inlineStr">
        <is>
          <t>Average</t>
        </is>
      </c>
      <c r="M964" s="23" t="inlineStr">
        <is>
          <t>Stdev</t>
        </is>
      </c>
      <c r="N964" s="9" t="inlineStr">
        <is>
          <t>Combined</t>
        </is>
      </c>
      <c r="Q964" t="inlineStr">
        <is>
          <t>K3-4A</t>
        </is>
      </c>
      <c r="R964" t="n">
        <v>1.0704</v>
      </c>
    </row>
    <row r="965">
      <c r="A965" t="n">
        <v>25</v>
      </c>
      <c r="B965" t="inlineStr">
        <is>
          <t>K4-4A</t>
        </is>
      </c>
      <c r="D965" t="n">
        <v>10.7</v>
      </c>
      <c r="E965" t="n">
        <v>297.069</v>
      </c>
      <c r="F965" t="n">
        <v>1592.49</v>
      </c>
      <c r="G965" t="n">
        <v>2.605</v>
      </c>
      <c r="H965">
        <f>E965/F965</f>
        <v/>
      </c>
      <c r="I965">
        <f>((H965-$J$940)/$I$940)</f>
        <v/>
      </c>
      <c r="J965">
        <f>(I965-IF(I948&gt;0,I948,0))</f>
        <v/>
      </c>
      <c r="K965">
        <f>J965/R949*1.1</f>
        <v/>
      </c>
      <c r="L965">
        <f>AVERAGE(K965:K967)</f>
        <v/>
      </c>
      <c r="M965">
        <f>STDEV(K966:K967)</f>
        <v/>
      </c>
      <c r="N965">
        <f>_xlfn.CONCAT(ROUND(L965,1)," ± ",ROUND(M965,1))</f>
        <v/>
      </c>
      <c r="Q965" t="inlineStr">
        <is>
          <t>K3-4B</t>
        </is>
      </c>
      <c r="R965" t="n">
        <v>1.1589</v>
      </c>
    </row>
    <row r="966">
      <c r="A966" t="n">
        <v>26</v>
      </c>
      <c r="B966" t="inlineStr">
        <is>
          <t>K4-4B</t>
        </is>
      </c>
      <c r="D966" t="n">
        <v>10.72</v>
      </c>
      <c r="E966" t="n">
        <v>487.479</v>
      </c>
      <c r="F966" t="n">
        <v>1888.103</v>
      </c>
      <c r="G966" t="n">
        <v>5.256</v>
      </c>
      <c r="H966">
        <f>E966/F966</f>
        <v/>
      </c>
      <c r="I966">
        <f>((H966-$J$940)/$I$940)</f>
        <v/>
      </c>
      <c r="J966">
        <f>(I966-IF(I948&gt;0,I948,0))</f>
        <v/>
      </c>
      <c r="K966">
        <f>J966/R950*1.1</f>
        <v/>
      </c>
      <c r="Q966" t="inlineStr">
        <is>
          <t>K3-4C</t>
        </is>
      </c>
      <c r="R966" t="n">
        <v>1.0206</v>
      </c>
    </row>
    <row r="967">
      <c r="A967" t="n">
        <v>27</v>
      </c>
      <c r="B967" t="inlineStr">
        <is>
          <t>K4-4C</t>
        </is>
      </c>
      <c r="D967" t="n">
        <v>10.99</v>
      </c>
      <c r="E967" t="n">
        <v>225.828</v>
      </c>
      <c r="F967" t="n">
        <v>1937.932</v>
      </c>
      <c r="G967" t="n">
        <v>2.05</v>
      </c>
      <c r="H967">
        <f>E967/F967</f>
        <v/>
      </c>
      <c r="I967">
        <f>((H967-$J$940)/$I$940)</f>
        <v/>
      </c>
      <c r="J967">
        <f>(I967-IF(I948&gt;0,I948,0))</f>
        <v/>
      </c>
      <c r="K967">
        <f>J967/R951*1.1</f>
        <v/>
      </c>
      <c r="L967" s="23" t="inlineStr">
        <is>
          <t>Average</t>
        </is>
      </c>
      <c r="M967" s="23" t="inlineStr">
        <is>
          <t>Stdev</t>
        </is>
      </c>
      <c r="N967" s="9" t="inlineStr">
        <is>
          <t>Combined</t>
        </is>
      </c>
      <c r="Q967" t="inlineStr">
        <is>
          <t>K3-6A</t>
        </is>
      </c>
      <c r="R967" t="n">
        <v>1.1289</v>
      </c>
    </row>
    <row r="968">
      <c r="A968" t="n">
        <v>28</v>
      </c>
      <c r="B968" t="inlineStr">
        <is>
          <t>K4-5A</t>
        </is>
      </c>
      <c r="D968" t="n">
        <v>10.71</v>
      </c>
      <c r="E968" t="n">
        <v>234.375</v>
      </c>
      <c r="F968" t="n">
        <v>1478.823</v>
      </c>
      <c r="G968" t="n">
        <v>6.503</v>
      </c>
      <c r="H968">
        <f>E968/F968</f>
        <v/>
      </c>
      <c r="I968">
        <f>((H968-$J$940)/$I$940)</f>
        <v/>
      </c>
      <c r="J968">
        <f>(I968-IF(I948&gt;0,I948,0))</f>
        <v/>
      </c>
      <c r="K968">
        <f>J968/R952*1.1</f>
        <v/>
      </c>
      <c r="L968">
        <f>AVERAGE(K968:K970)</f>
        <v/>
      </c>
      <c r="M968">
        <f>STDEV(K968:K970)</f>
        <v/>
      </c>
      <c r="N968">
        <f>_xlfn.CONCAT(ROUND(L968,1)," ± ",ROUND(M968,1))</f>
        <v/>
      </c>
      <c r="Q968" t="inlineStr">
        <is>
          <t>K3-6B</t>
        </is>
      </c>
      <c r="R968" t="n">
        <v>1.195</v>
      </c>
    </row>
    <row r="969">
      <c r="A969" t="n">
        <v>29</v>
      </c>
      <c r="B969" t="inlineStr">
        <is>
          <t>K4-5B</t>
        </is>
      </c>
      <c r="D969" t="n">
        <v>10.7</v>
      </c>
      <c r="E969" t="n">
        <v>283.318</v>
      </c>
      <c r="F969" t="n">
        <v>1644.968</v>
      </c>
      <c r="G969" t="n">
        <v>3.388</v>
      </c>
      <c r="H969">
        <f>E969/F969</f>
        <v/>
      </c>
      <c r="I969">
        <f>((H969-$J$940)/$I$940)</f>
        <v/>
      </c>
      <c r="J969">
        <f>(I969-IF(I948&gt;0,I948,0))</f>
        <v/>
      </c>
      <c r="K969">
        <f>J969/R953*1.1</f>
        <v/>
      </c>
      <c r="Q969" t="inlineStr">
        <is>
          <t>K3-6C</t>
        </is>
      </c>
      <c r="R969" t="n">
        <v>1.1716</v>
      </c>
    </row>
    <row r="970">
      <c r="A970" t="n">
        <v>30</v>
      </c>
      <c r="B970" t="inlineStr">
        <is>
          <t>K4-5C</t>
        </is>
      </c>
      <c r="D970" t="n">
        <v>10.58</v>
      </c>
      <c r="E970" t="n">
        <v>349.763</v>
      </c>
      <c r="F970" t="n">
        <v>1533.308</v>
      </c>
      <c r="G970" t="n">
        <v>5.164</v>
      </c>
      <c r="H970">
        <f>E970/F970</f>
        <v/>
      </c>
      <c r="I970">
        <f>((H970-$J$940)/$I$940)</f>
        <v/>
      </c>
      <c r="J970">
        <f>(I970-IF(I948&gt;0,I948,0))</f>
        <v/>
      </c>
      <c r="K970">
        <f>J970/R954*1.1</f>
        <v/>
      </c>
      <c r="L970" s="23" t="n"/>
      <c r="M970" s="23" t="n"/>
      <c r="N970" s="9" t="n"/>
    </row>
    <row r="971">
      <c r="A971" t="n">
        <v>31</v>
      </c>
      <c r="B971" t="inlineStr">
        <is>
          <t>MeOH</t>
        </is>
      </c>
      <c r="L971" s="23" t="inlineStr">
        <is>
          <t>Average</t>
        </is>
      </c>
      <c r="M971" s="23" t="inlineStr">
        <is>
          <t>Stdev</t>
        </is>
      </c>
      <c r="N971" s="9" t="inlineStr">
        <is>
          <t>Combined</t>
        </is>
      </c>
    </row>
    <row r="972">
      <c r="A972" t="n">
        <v>32</v>
      </c>
      <c r="B972" t="inlineStr">
        <is>
          <t>K3-1A</t>
        </is>
      </c>
      <c r="D972" t="n">
        <v>10.49</v>
      </c>
      <c r="E972" t="n">
        <v>330.763</v>
      </c>
      <c r="F972" t="n">
        <v>1539.783</v>
      </c>
      <c r="G972" t="n">
        <v>4.173</v>
      </c>
      <c r="H972">
        <f>E972/F972</f>
        <v/>
      </c>
      <c r="I972">
        <f>((H972-$J$940)/$I$940)</f>
        <v/>
      </c>
      <c r="J972">
        <f>(I972-IF(I948&gt;0,I948,0))</f>
        <v/>
      </c>
      <c r="K972">
        <f>J972/R955*1.1</f>
        <v/>
      </c>
      <c r="L972">
        <f>AVERAGE(K972:K974)</f>
        <v/>
      </c>
      <c r="M972">
        <f>STDEV(K973:K974)</f>
        <v/>
      </c>
      <c r="N972">
        <f>_xlfn.CONCAT(ROUND(L972,1)," ± ",ROUND(M972,1))</f>
        <v/>
      </c>
    </row>
    <row r="973">
      <c r="A973" t="n">
        <v>33</v>
      </c>
      <c r="B973" t="inlineStr">
        <is>
          <t>K3-1B</t>
        </is>
      </c>
      <c r="D973" t="n">
        <v>10.53</v>
      </c>
      <c r="E973" t="n">
        <v>180.892</v>
      </c>
      <c r="F973" t="n">
        <v>1096.782</v>
      </c>
      <c r="G973" t="n">
        <v>3.135</v>
      </c>
      <c r="H973">
        <f>E973/F973</f>
        <v/>
      </c>
      <c r="I973">
        <f>((H973-$J$940)/$I$940)</f>
        <v/>
      </c>
      <c r="J973">
        <f>(I973-IF(I948&gt;0,I948,0))</f>
        <v/>
      </c>
      <c r="K973">
        <f>J973/R956*1.1</f>
        <v/>
      </c>
    </row>
    <row r="974">
      <c r="A974" t="n">
        <v>34</v>
      </c>
      <c r="B974" t="inlineStr">
        <is>
          <t>K3-1C</t>
        </is>
      </c>
      <c r="D974" t="n">
        <v>10.57</v>
      </c>
      <c r="E974" t="n">
        <v>259.883</v>
      </c>
      <c r="F974" t="n">
        <v>2362.051</v>
      </c>
      <c r="G974" t="n">
        <v>4.142</v>
      </c>
      <c r="H974">
        <f>E974/F974</f>
        <v/>
      </c>
      <c r="I974">
        <f>((H974-$J$940)/$I$940)</f>
        <v/>
      </c>
      <c r="J974">
        <f>(I974-IF(I948&gt;0,I948,0))</f>
        <v/>
      </c>
      <c r="K974">
        <f>J974/R957*1.1</f>
        <v/>
      </c>
      <c r="L974" s="23" t="inlineStr">
        <is>
          <t>Average</t>
        </is>
      </c>
      <c r="M974" s="23" t="inlineStr">
        <is>
          <t>Stdev</t>
        </is>
      </c>
      <c r="N974" s="9" t="inlineStr">
        <is>
          <t>Combined</t>
        </is>
      </c>
    </row>
    <row r="975">
      <c r="A975" t="n">
        <v>35</v>
      </c>
      <c r="B975" t="inlineStr">
        <is>
          <t>K3-2A</t>
        </is>
      </c>
      <c r="D975" t="n">
        <v>10.64</v>
      </c>
      <c r="E975" t="n">
        <v>280.96</v>
      </c>
      <c r="F975" t="n">
        <v>1619.999</v>
      </c>
      <c r="G975" t="n">
        <v>1.699</v>
      </c>
      <c r="H975">
        <f>E975/F975</f>
        <v/>
      </c>
      <c r="I975">
        <f>((H975-$J$940)/$I$940)</f>
        <v/>
      </c>
      <c r="J975">
        <f>(I975-IF(I948&gt;0,I948,0))</f>
        <v/>
      </c>
      <c r="K975">
        <f>J975/R958*1.1</f>
        <v/>
      </c>
      <c r="L975">
        <f>AVERAGE(K975:K977)</f>
        <v/>
      </c>
      <c r="M975">
        <f>STDEV(K975:K977)</f>
        <v/>
      </c>
      <c r="N975">
        <f>_xlfn.CONCAT(ROUND(L975,1)," ± ",ROUND(M975,1))</f>
        <v/>
      </c>
    </row>
    <row r="976">
      <c r="A976" t="n">
        <v>36</v>
      </c>
      <c r="B976" t="inlineStr">
        <is>
          <t>K3-2B</t>
        </is>
      </c>
      <c r="D976" t="n">
        <v>10.59</v>
      </c>
      <c r="E976" t="n">
        <v>299.727</v>
      </c>
      <c r="F976" t="n">
        <v>2044.315</v>
      </c>
      <c r="G976" t="n">
        <v>3.724</v>
      </c>
      <c r="H976">
        <f>E976/F976</f>
        <v/>
      </c>
      <c r="I976">
        <f>((H976-$J$940)/$I$940)</f>
        <v/>
      </c>
      <c r="J976">
        <f>(I976-IF(I948&gt;0,I948,0))</f>
        <v/>
      </c>
      <c r="K976">
        <f>J976/R959*1.1</f>
        <v/>
      </c>
    </row>
    <row r="977">
      <c r="A977" t="n">
        <v>37</v>
      </c>
      <c r="B977" t="inlineStr">
        <is>
          <t>K3-2C</t>
        </is>
      </c>
      <c r="D977" t="n">
        <v>10.71</v>
      </c>
      <c r="E977" t="n">
        <v>274.712</v>
      </c>
      <c r="F977" t="n">
        <v>2218.407</v>
      </c>
      <c r="G977" t="n">
        <v>3.175</v>
      </c>
      <c r="H977">
        <f>E977/F977</f>
        <v/>
      </c>
      <c r="I977">
        <f>((H977-$J$940)/$I$940)</f>
        <v/>
      </c>
      <c r="J977">
        <f>(I977-IF(I948&gt;0,I948,0))</f>
        <v/>
      </c>
      <c r="K977">
        <f>J977/R960*1.1</f>
        <v/>
      </c>
      <c r="L977" s="23" t="n"/>
      <c r="M977" s="23" t="n"/>
      <c r="N977" s="9" t="n"/>
    </row>
    <row r="978">
      <c r="A978" t="n">
        <v>38</v>
      </c>
      <c r="B978" t="inlineStr">
        <is>
          <t>MeOH</t>
        </is>
      </c>
      <c r="L978" s="23" t="inlineStr">
        <is>
          <t>Average</t>
        </is>
      </c>
      <c r="M978" s="23" t="inlineStr">
        <is>
          <t>Stdev</t>
        </is>
      </c>
      <c r="N978" s="9" t="inlineStr">
        <is>
          <t>Combined</t>
        </is>
      </c>
    </row>
    <row r="979">
      <c r="A979" t="n">
        <v>39</v>
      </c>
      <c r="B979" t="inlineStr">
        <is>
          <t>K3-3A</t>
        </is>
      </c>
      <c r="D979" t="n">
        <v>10.63</v>
      </c>
      <c r="E979" t="n">
        <v>331.626</v>
      </c>
      <c r="F979" t="n">
        <v>1515.995</v>
      </c>
      <c r="G979" t="n">
        <v>5.076</v>
      </c>
      <c r="H979">
        <f>E979/F979</f>
        <v/>
      </c>
      <c r="I979">
        <f>((H979-$J$940)/$I$940)</f>
        <v/>
      </c>
      <c r="J979">
        <f>(I979-IF(I948&gt;0,I948,0))</f>
        <v/>
      </c>
      <c r="K979">
        <f>J979/R961*1.1</f>
        <v/>
      </c>
      <c r="L979">
        <f>AVERAGE(K979:K981)</f>
        <v/>
      </c>
      <c r="M979">
        <f>STDEV(K980:K981)</f>
        <v/>
      </c>
      <c r="N979">
        <f>_xlfn.CONCAT(ROUND(L979,1)," ± ",ROUND(M979,1))</f>
        <v/>
      </c>
    </row>
    <row r="980">
      <c r="A980" t="n">
        <v>40</v>
      </c>
      <c r="B980" t="inlineStr">
        <is>
          <t>K3-3B</t>
        </is>
      </c>
      <c r="D980" t="n">
        <v>10.65</v>
      </c>
      <c r="E980" t="n">
        <v>141.448</v>
      </c>
      <c r="F980" t="n">
        <v>2110.115</v>
      </c>
      <c r="G980" t="n">
        <v>2.443</v>
      </c>
      <c r="H980">
        <f>E980/F980</f>
        <v/>
      </c>
      <c r="I980">
        <f>((H980-$J$940)/$I$940)</f>
        <v/>
      </c>
      <c r="J980">
        <f>(I980-IF(I948&gt;0,I948,0))</f>
        <v/>
      </c>
      <c r="K980">
        <f>J980/R962*1.1</f>
        <v/>
      </c>
    </row>
    <row r="981">
      <c r="A981" t="n">
        <v>41</v>
      </c>
      <c r="B981" t="inlineStr">
        <is>
          <t>K3-3C</t>
        </is>
      </c>
      <c r="D981" t="n">
        <v>10.66</v>
      </c>
      <c r="E981" t="n">
        <v>473.349</v>
      </c>
      <c r="F981" t="n">
        <v>1783.99</v>
      </c>
      <c r="G981" t="n">
        <v>5.938</v>
      </c>
      <c r="H981">
        <f>E981/F981</f>
        <v/>
      </c>
      <c r="I981">
        <f>((H981-$J$940)/$I$940)</f>
        <v/>
      </c>
      <c r="J981">
        <f>(I981-IF(I948&gt;0,I948,0))</f>
        <v/>
      </c>
      <c r="K981">
        <f>J981/R963*1.1</f>
        <v/>
      </c>
      <c r="L981" s="23" t="inlineStr">
        <is>
          <t>Average</t>
        </is>
      </c>
      <c r="M981" s="23" t="inlineStr">
        <is>
          <t>Stdev</t>
        </is>
      </c>
      <c r="N981" s="9" t="inlineStr">
        <is>
          <t>Combined</t>
        </is>
      </c>
    </row>
    <row r="982">
      <c r="A982" t="n">
        <v>42</v>
      </c>
      <c r="B982" t="inlineStr">
        <is>
          <t>K3-4A</t>
        </is>
      </c>
      <c r="D982" t="n">
        <v>10.71</v>
      </c>
      <c r="E982" t="n">
        <v>339.114</v>
      </c>
      <c r="F982" t="n">
        <v>2029.2</v>
      </c>
      <c r="G982" t="n">
        <v>4.323</v>
      </c>
      <c r="H982">
        <f>E982/F982</f>
        <v/>
      </c>
      <c r="I982">
        <f>((H982-$J$940)/$I$940)</f>
        <v/>
      </c>
      <c r="J982">
        <f>(I982-IF(I948&gt;0,I948,0))</f>
        <v/>
      </c>
      <c r="K982">
        <f>J982/R964*1.1</f>
        <v/>
      </c>
      <c r="L982">
        <f>AVERAGE(K982:K984)</f>
        <v/>
      </c>
      <c r="M982">
        <f>STDEV(K982:K984)</f>
        <v/>
      </c>
      <c r="N982">
        <f>_xlfn.CONCAT(ROUND(L982,1)," ± ",ROUND(M982,1))</f>
        <v/>
      </c>
    </row>
    <row r="983">
      <c r="A983" t="n">
        <v>43</v>
      </c>
      <c r="B983" t="inlineStr">
        <is>
          <t>K3-4B</t>
        </is>
      </c>
      <c r="D983" t="n">
        <v>10.71</v>
      </c>
      <c r="E983" t="n">
        <v>270.285</v>
      </c>
      <c r="F983" t="n">
        <v>1683.879</v>
      </c>
      <c r="G983" t="n">
        <v>2.934</v>
      </c>
      <c r="H983">
        <f>E983/F983</f>
        <v/>
      </c>
      <c r="I983">
        <f>((H983-$J$940)/$I$940)</f>
        <v/>
      </c>
      <c r="J983">
        <f>(I983-IF(I948&gt;0,I948,0))</f>
        <v/>
      </c>
      <c r="K983">
        <f>J983/R965*1.1</f>
        <v/>
      </c>
    </row>
    <row r="984">
      <c r="A984" t="n">
        <v>44</v>
      </c>
      <c r="B984" t="inlineStr">
        <is>
          <t>K3-4C</t>
        </is>
      </c>
      <c r="D984" t="n">
        <v>10.73</v>
      </c>
      <c r="E984" t="n">
        <v>232.184</v>
      </c>
      <c r="F984" t="n">
        <v>2361.376</v>
      </c>
      <c r="G984" t="n">
        <v>1.602</v>
      </c>
      <c r="H984">
        <f>E984/F984</f>
        <v/>
      </c>
      <c r="I984">
        <f>((H984-$J$940)/$I$940)</f>
        <v/>
      </c>
      <c r="J984">
        <f>(I984-IF(I948&gt;0,I948,0))</f>
        <v/>
      </c>
      <c r="K984">
        <f>J984/R966*1.1</f>
        <v/>
      </c>
      <c r="L984" s="23" t="n"/>
      <c r="M984" s="23" t="n"/>
      <c r="N984" s="9" t="n"/>
    </row>
    <row r="985">
      <c r="A985" t="n">
        <v>45</v>
      </c>
      <c r="B985" t="inlineStr">
        <is>
          <t>MeOH</t>
        </is>
      </c>
      <c r="L985" s="23" t="inlineStr">
        <is>
          <t>Average</t>
        </is>
      </c>
      <c r="M985" s="23" t="inlineStr">
        <is>
          <t>Stdev</t>
        </is>
      </c>
      <c r="N985" s="9" t="inlineStr">
        <is>
          <t>Combined</t>
        </is>
      </c>
    </row>
    <row r="986">
      <c r="A986" t="n">
        <v>46</v>
      </c>
      <c r="B986" t="inlineStr">
        <is>
          <t>K3-6A</t>
        </is>
      </c>
      <c r="D986" t="n">
        <v>10.75</v>
      </c>
      <c r="E986" t="n">
        <v>298.755</v>
      </c>
      <c r="F986" t="n">
        <v>2140.839</v>
      </c>
      <c r="G986" t="n">
        <v>2.386</v>
      </c>
      <c r="H986">
        <f>E986/F986</f>
        <v/>
      </c>
      <c r="I986">
        <f>((H986-$J$940)/$I$940)</f>
        <v/>
      </c>
      <c r="J986">
        <f>(I986-IF(I948&gt;0,I948,0))</f>
        <v/>
      </c>
      <c r="K986">
        <f>J986/R967*1.1</f>
        <v/>
      </c>
      <c r="L986">
        <f>AVERAGE(K986:K988)</f>
        <v/>
      </c>
      <c r="M986">
        <f>STDEV(K987:K988)</f>
        <v/>
      </c>
      <c r="N986">
        <f>_xlfn.CONCAT(ROUND(L986,1)," ± ",ROUND(M986,1))</f>
        <v/>
      </c>
    </row>
    <row r="987">
      <c r="A987" t="n">
        <v>47</v>
      </c>
      <c r="B987" t="inlineStr">
        <is>
          <t>K3-6B</t>
        </is>
      </c>
      <c r="D987" t="n">
        <v>10.7</v>
      </c>
      <c r="E987" t="n">
        <v>190.814</v>
      </c>
      <c r="F987" t="n">
        <v>2028.628</v>
      </c>
      <c r="G987" t="n">
        <v>2.099</v>
      </c>
      <c r="H987">
        <f>E987/F987</f>
        <v/>
      </c>
      <c r="I987">
        <f>((H987-$J$940)/$I$940)</f>
        <v/>
      </c>
      <c r="J987">
        <f>(I987-IF(I948&gt;0,I948,0))</f>
        <v/>
      </c>
      <c r="K987">
        <f>J987/R968*1.1</f>
        <v/>
      </c>
    </row>
    <row r="988">
      <c r="A988" t="n">
        <v>48</v>
      </c>
      <c r="B988" t="inlineStr">
        <is>
          <t>K3-6C</t>
        </is>
      </c>
      <c r="D988" t="n">
        <v>10.84</v>
      </c>
      <c r="E988" t="n">
        <v>200.246</v>
      </c>
      <c r="F988" t="n">
        <v>1942.956</v>
      </c>
      <c r="G988" t="n">
        <v>1.417</v>
      </c>
      <c r="H988">
        <f>E988/F988</f>
        <v/>
      </c>
      <c r="I988">
        <f>((H988-$J$940)/$I$940)</f>
        <v/>
      </c>
      <c r="J988">
        <f>(I988-IF(I948&gt;0,I948,0))</f>
        <v/>
      </c>
      <c r="K988">
        <f>J988/R969*1.1</f>
        <v/>
      </c>
      <c r="L988" s="23" t="n"/>
      <c r="M988" s="23" t="n"/>
      <c r="N988" s="9" t="n"/>
    </row>
    <row r="990">
      <c r="A990" t="inlineStr">
        <is>
          <t>Compound 40:  6:2 FTCA</t>
        </is>
      </c>
    </row>
    <row r="991">
      <c r="I991" t="inlineStr">
        <is>
          <t>LINEST</t>
        </is>
      </c>
      <c r="Q991" t="inlineStr">
        <is>
          <t>Biosolids Masses</t>
        </is>
      </c>
      <c r="R991" t="inlineStr">
        <is>
          <t>(g)</t>
        </is>
      </c>
    </row>
    <row r="992">
      <c r="B992" t="inlineStr">
        <is>
          <t>Sample Text</t>
        </is>
      </c>
      <c r="C992" t="inlineStr">
        <is>
          <t>Std. Conc</t>
        </is>
      </c>
      <c r="D992" t="inlineStr">
        <is>
          <t>RT</t>
        </is>
      </c>
      <c r="E992" t="inlineStr">
        <is>
          <t>Area</t>
        </is>
      </c>
      <c r="F992" t="inlineStr">
        <is>
          <t>IS Area</t>
        </is>
      </c>
      <c r="G992" t="inlineStr">
        <is>
          <t>S/N</t>
        </is>
      </c>
      <c r="H992" t="inlineStr">
        <is>
          <t>ratio</t>
        </is>
      </c>
      <c r="I992">
        <f t="array" ref="I992">LINEST(H996:H1000,C996:C1000,1,1)</f>
        <v/>
      </c>
      <c r="L992" s="20" t="inlineStr">
        <is>
          <t>By S/N Ratio</t>
        </is>
      </c>
      <c r="Q992" t="inlineStr">
        <is>
          <t>SS1</t>
        </is>
      </c>
      <c r="R992" t="n">
        <v>1.0846</v>
      </c>
    </row>
    <row r="993">
      <c r="A993" t="n">
        <v>1</v>
      </c>
      <c r="B993" t="inlineStr">
        <is>
          <t>EPA1633 &amp; diPAPs Calibration 0 ppb</t>
        </is>
      </c>
      <c r="D993" t="n">
        <v>11.1</v>
      </c>
      <c r="E993" t="n">
        <v>1.64</v>
      </c>
      <c r="G993" t="n">
        <v>16</v>
      </c>
      <c r="H993">
        <f>E993/F993</f>
        <v/>
      </c>
      <c r="K993" t="inlineStr">
        <is>
          <t>LOD</t>
        </is>
      </c>
      <c r="L993" s="21">
        <f>IF(G994&gt;3,C994,IF(G995&gt;3,C995,IF(G996&gt;3,C996,IF(G997&gt;3,C997,C998))))</f>
        <v/>
      </c>
      <c r="Q993" t="inlineStr">
        <is>
          <t>SS2</t>
        </is>
      </c>
      <c r="R993" t="n">
        <v>1.0726</v>
      </c>
    </row>
    <row r="994">
      <c r="A994" t="n">
        <v>2</v>
      </c>
      <c r="B994" t="inlineStr">
        <is>
          <t>EPA1633 &amp; diPAPs Calibration 0.02 ppb</t>
        </is>
      </c>
      <c r="H994">
        <f>E994/F994</f>
        <v/>
      </c>
      <c r="K994" t="inlineStr">
        <is>
          <t>LOQ</t>
        </is>
      </c>
      <c r="L994" s="22">
        <f>IF(G994&gt;10,C994,IF(G995&gt;10,C995,IF(G996&gt;10,C996,IF(G997&gt;10,C997,C998))))</f>
        <v/>
      </c>
      <c r="Q994" t="inlineStr">
        <is>
          <t>SS3</t>
        </is>
      </c>
      <c r="R994" t="n">
        <v>1.1534</v>
      </c>
    </row>
    <row r="995">
      <c r="A995" t="n">
        <v>3</v>
      </c>
      <c r="B995" t="inlineStr">
        <is>
          <t>EPA1633 &amp; diPAPs Calibration 0.1 ppb</t>
        </is>
      </c>
      <c r="H995">
        <f>E995/F995</f>
        <v/>
      </c>
      <c r="Q995" t="inlineStr">
        <is>
          <t>K4-1A</t>
        </is>
      </c>
      <c r="R995" t="n">
        <v>1.0267</v>
      </c>
    </row>
    <row r="996">
      <c r="A996" t="n">
        <v>4</v>
      </c>
      <c r="B996" t="inlineStr">
        <is>
          <t>EPA1633 &amp; diPAPs Calibration 0.4 ppb</t>
        </is>
      </c>
      <c r="H996">
        <f>E996/F996</f>
        <v/>
      </c>
      <c r="Q996" t="inlineStr">
        <is>
          <t>K4-1B</t>
        </is>
      </c>
      <c r="R996" t="n">
        <v>1.1481</v>
      </c>
    </row>
    <row r="997">
      <c r="A997" t="n">
        <v>5</v>
      </c>
      <c r="B997" t="inlineStr">
        <is>
          <t>EPA1633 &amp; diPAPs Calibration 1 ppb</t>
        </is>
      </c>
      <c r="H997">
        <f>E997/F997</f>
        <v/>
      </c>
      <c r="Q997" t="inlineStr">
        <is>
          <t>K4-1C</t>
        </is>
      </c>
      <c r="R997" t="n">
        <v>1.0402</v>
      </c>
    </row>
    <row r="998">
      <c r="A998" t="n">
        <v>6</v>
      </c>
      <c r="B998" t="inlineStr">
        <is>
          <t>EPA1633 &amp; diPAPs Calibration 5 ppb</t>
        </is>
      </c>
      <c r="H998">
        <f>E998/F998</f>
        <v/>
      </c>
      <c r="Q998" t="inlineStr">
        <is>
          <t>K4-2A</t>
        </is>
      </c>
      <c r="R998" t="n">
        <v>1.127</v>
      </c>
    </row>
    <row r="999">
      <c r="A999" t="n">
        <v>7</v>
      </c>
      <c r="B999" t="inlineStr">
        <is>
          <t>EPA1633 &amp; diPAPs Calibration 10 ppb</t>
        </is>
      </c>
      <c r="D999" t="n">
        <v>10.91</v>
      </c>
      <c r="E999" t="n">
        <v>4.708</v>
      </c>
      <c r="G999" t="n">
        <v>47</v>
      </c>
      <c r="H999">
        <f>E999/F999</f>
        <v/>
      </c>
      <c r="I999" s="23" t="inlineStr">
        <is>
          <t>Background</t>
        </is>
      </c>
      <c r="J999" s="23" t="inlineStr">
        <is>
          <t>Spike</t>
        </is>
      </c>
      <c r="K999" s="9" t="inlineStr">
        <is>
          <t>Old Spike</t>
        </is>
      </c>
      <c r="O999" s="24" t="inlineStr">
        <is>
          <t>±</t>
        </is>
      </c>
      <c r="Q999" t="inlineStr">
        <is>
          <t>K4-2B</t>
        </is>
      </c>
      <c r="R999" t="n">
        <v>1.1154</v>
      </c>
    </row>
    <row r="1000">
      <c r="A1000" t="n">
        <v>8</v>
      </c>
      <c r="B1000" t="inlineStr">
        <is>
          <t>EPA1633 &amp; diPAPs Calibration 20 ppb</t>
        </is>
      </c>
      <c r="H1000">
        <f>E1000/F1000</f>
        <v/>
      </c>
      <c r="I1000">
        <f>AVERAGE(I1003:I1005)</f>
        <v/>
      </c>
      <c r="J1000" t="n">
        <v>44</v>
      </c>
      <c r="Q1000" t="inlineStr">
        <is>
          <t>K4-2C</t>
        </is>
      </c>
      <c r="R1000" t="n">
        <v>1.1711</v>
      </c>
    </row>
    <row r="1001">
      <c r="A1001" t="n">
        <v>9</v>
      </c>
      <c r="B1001" t="inlineStr">
        <is>
          <t>MeOH</t>
        </is>
      </c>
      <c r="I1001" s="23" t="inlineStr">
        <is>
          <t>Conc.In Vial (ppb)</t>
        </is>
      </c>
      <c r="J1001" s="9" t="inlineStr">
        <is>
          <t>Corr. Conc.(ppb)</t>
        </is>
      </c>
      <c r="K1001" s="9" t="inlineStr">
        <is>
          <t>Conc. In soil (ng/g)</t>
        </is>
      </c>
      <c r="Q1001" t="inlineStr">
        <is>
          <t>K4-4A</t>
        </is>
      </c>
      <c r="R1001" t="n">
        <v>1.0932</v>
      </c>
    </row>
    <row r="1002">
      <c r="A1002" t="n">
        <v>10</v>
      </c>
      <c r="B1002" t="inlineStr">
        <is>
          <t>MeOH</t>
        </is>
      </c>
      <c r="D1002" t="n">
        <v>10.28</v>
      </c>
      <c r="E1002" t="n">
        <v>3.907</v>
      </c>
      <c r="G1002" t="n">
        <v>43</v>
      </c>
      <c r="L1002" s="23" t="inlineStr">
        <is>
          <t>Average</t>
        </is>
      </c>
      <c r="M1002" s="23" t="inlineStr">
        <is>
          <t>Stdev</t>
        </is>
      </c>
      <c r="N1002" s="9" t="inlineStr">
        <is>
          <t>Combined</t>
        </is>
      </c>
      <c r="O1002" s="9" t="n"/>
      <c r="P1002" s="9" t="n"/>
      <c r="Q1002" t="inlineStr">
        <is>
          <t>K4-4B</t>
        </is>
      </c>
      <c r="R1002" t="n">
        <v>1.15</v>
      </c>
    </row>
    <row r="1003">
      <c r="A1003" t="n">
        <v>11</v>
      </c>
      <c r="B1003" t="inlineStr">
        <is>
          <t>SB1</t>
        </is>
      </c>
      <c r="H1003">
        <f>E1003/F1003</f>
        <v/>
      </c>
      <c r="I1003">
        <f>((H1003-$J$940)/$I$940)</f>
        <v/>
      </c>
      <c r="J1003">
        <f>(I1003-IF(I1000&gt;0,I1000,0))</f>
        <v/>
      </c>
      <c r="K1003">
        <f>J1003*1.1</f>
        <v/>
      </c>
      <c r="L1003">
        <f>AVERAGE(K1003:K1005)</f>
        <v/>
      </c>
      <c r="M1003">
        <f>STDEV(K1004:K1005)</f>
        <v/>
      </c>
      <c r="N1003">
        <f>_xlfn.CONCAT(ROUND(L1003,1)," ± ",ROUND(M1003,1))</f>
        <v/>
      </c>
      <c r="Q1003" t="inlineStr">
        <is>
          <t>K4-4C</t>
        </is>
      </c>
      <c r="R1003" t="n">
        <v>1.0482</v>
      </c>
    </row>
    <row r="1004">
      <c r="A1004" t="n">
        <v>12</v>
      </c>
      <c r="B1004" t="inlineStr">
        <is>
          <t>SB2</t>
        </is>
      </c>
      <c r="H1004">
        <f>E1004/F1004</f>
        <v/>
      </c>
      <c r="I1004">
        <f>((H1004-$J$940)/$I$940)</f>
        <v/>
      </c>
      <c r="J1004">
        <f>(I1004-IF(I1000&gt;0,I1000,0))</f>
        <v/>
      </c>
      <c r="K1004">
        <f>J1004*1.1</f>
        <v/>
      </c>
      <c r="Q1004" t="inlineStr">
        <is>
          <t>K4-5A</t>
        </is>
      </c>
      <c r="R1004" t="n">
        <v>1.1054</v>
      </c>
    </row>
    <row r="1005">
      <c r="A1005" t="n">
        <v>13</v>
      </c>
      <c r="B1005" t="inlineStr">
        <is>
          <t>SB3</t>
        </is>
      </c>
      <c r="D1005" t="n">
        <v>10.26</v>
      </c>
      <c r="E1005" t="n">
        <v>2.567</v>
      </c>
      <c r="G1005" t="n">
        <v>28</v>
      </c>
      <c r="H1005">
        <f>E1005/F1005</f>
        <v/>
      </c>
      <c r="I1005">
        <f>((H1005-$J$940)/$I$940)</f>
        <v/>
      </c>
      <c r="J1005">
        <f>(I1005-IF(I1000&gt;0,I1000,0))</f>
        <v/>
      </c>
      <c r="K1005" s="30">
        <f>J1005*1.1</f>
        <v/>
      </c>
      <c r="L1005" s="25" t="inlineStr">
        <is>
          <t>Average</t>
        </is>
      </c>
      <c r="M1005" s="25" t="inlineStr">
        <is>
          <t>Stdev</t>
        </is>
      </c>
      <c r="N1005" s="26" t="inlineStr">
        <is>
          <t>%Recovery</t>
        </is>
      </c>
      <c r="O1005" s="26" t="inlineStr">
        <is>
          <t>Uncertainty</t>
        </is>
      </c>
      <c r="P1005" s="26" t="inlineStr">
        <is>
          <t>Combined</t>
        </is>
      </c>
      <c r="Q1005" t="inlineStr">
        <is>
          <t>K4-5B</t>
        </is>
      </c>
      <c r="R1005" s="10" t="n">
        <v>1.0463</v>
      </c>
    </row>
    <row r="1006">
      <c r="A1006" t="n">
        <v>14</v>
      </c>
      <c r="B1006" t="inlineStr">
        <is>
          <t>SS1</t>
        </is>
      </c>
      <c r="H1006">
        <f>E1006/F1006</f>
        <v/>
      </c>
      <c r="I1006">
        <f>((H1006-$J$940)/$I$940)</f>
        <v/>
      </c>
      <c r="J1006">
        <f>(I1006-IF(I1000&gt;0,I1000,0))</f>
        <v/>
      </c>
      <c r="K1006">
        <f>J1006/R992*1.1</f>
        <v/>
      </c>
      <c r="L1006" s="27">
        <f>AVERAGE(K1006:K1008)</f>
        <v/>
      </c>
      <c r="M1006" s="27">
        <f>STDEV(K1006:K1008)</f>
        <v/>
      </c>
      <c r="N1006" s="28">
        <f>L1006/J1000*100</f>
        <v/>
      </c>
      <c r="O1006" s="29">
        <f>M1006/J1003*100</f>
        <v/>
      </c>
      <c r="P1006" s="29">
        <f>_xlfn.CONCAT(ROUND(N1006,1)," ± ",ROUND(O1006,1))</f>
        <v/>
      </c>
      <c r="Q1006" t="inlineStr">
        <is>
          <t>K4-5C</t>
        </is>
      </c>
      <c r="R1006" t="n">
        <v>1.1155</v>
      </c>
    </row>
    <row r="1007">
      <c r="A1007" t="n">
        <v>15</v>
      </c>
      <c r="B1007" t="inlineStr">
        <is>
          <t>SS2</t>
        </is>
      </c>
      <c r="D1007" t="n">
        <v>10.63</v>
      </c>
      <c r="E1007" t="n">
        <v>12.051</v>
      </c>
      <c r="G1007" t="n">
        <v>136</v>
      </c>
      <c r="H1007">
        <f>E1007/F1007</f>
        <v/>
      </c>
      <c r="I1007">
        <f>((H1007-$J$940)/$I$940)</f>
        <v/>
      </c>
      <c r="J1007">
        <f>(I1007-IF(I1000&gt;0,I1000,0))</f>
        <v/>
      </c>
      <c r="K1007">
        <f>J1007/R993*1.1</f>
        <v/>
      </c>
      <c r="Q1007" t="inlineStr">
        <is>
          <t>K3-1A</t>
        </is>
      </c>
      <c r="R1007" t="n">
        <v>1.0874</v>
      </c>
    </row>
    <row r="1008">
      <c r="A1008" t="n">
        <v>16</v>
      </c>
      <c r="B1008" t="inlineStr">
        <is>
          <t>SS3</t>
        </is>
      </c>
      <c r="H1008">
        <f>E1008/F1008</f>
        <v/>
      </c>
      <c r="I1008">
        <f>((H1008-$J$940)/$I$940)</f>
        <v/>
      </c>
      <c r="J1008">
        <f>(I1008-IF(I1000&gt;0,I1000,0))</f>
        <v/>
      </c>
      <c r="K1008" s="30">
        <f>J1008/R994*1.1</f>
        <v/>
      </c>
      <c r="Q1008" t="inlineStr">
        <is>
          <t>K3-1B</t>
        </is>
      </c>
      <c r="R1008" t="n">
        <v>1.0898</v>
      </c>
    </row>
    <row r="1009">
      <c r="A1009" t="n">
        <v>17</v>
      </c>
      <c r="B1009" t="inlineStr">
        <is>
          <t>MeOH</t>
        </is>
      </c>
      <c r="L1009" s="23" t="inlineStr">
        <is>
          <t>Average</t>
        </is>
      </c>
      <c r="M1009" s="23" t="inlineStr">
        <is>
          <t>Stdev</t>
        </is>
      </c>
      <c r="N1009" s="9" t="inlineStr">
        <is>
          <t>Combined</t>
        </is>
      </c>
      <c r="Q1009" t="inlineStr">
        <is>
          <t>K3-1C</t>
        </is>
      </c>
      <c r="R1009" t="n">
        <v>1.0536</v>
      </c>
    </row>
    <row r="1010">
      <c r="A1010" t="n">
        <v>18</v>
      </c>
      <c r="B1010" t="inlineStr">
        <is>
          <t>K4-1A</t>
        </is>
      </c>
      <c r="H1010">
        <f>E1010/F1010</f>
        <v/>
      </c>
      <c r="I1010">
        <f>((H1010-$J$940)/$I$940)</f>
        <v/>
      </c>
      <c r="J1010">
        <f>(I1010-IF(I1000&gt;0,I1000,0))</f>
        <v/>
      </c>
      <c r="K1010">
        <f>J1010/R995*1.1</f>
        <v/>
      </c>
      <c r="L1010">
        <f>AVERAGE(K1010:K1012)</f>
        <v/>
      </c>
      <c r="M1010">
        <f>STDEV(K1011:K1012)</f>
        <v/>
      </c>
      <c r="N1010">
        <f>_xlfn.CONCAT(ROUND(L1010,1)," ± ",ROUND(M1010,1))</f>
        <v/>
      </c>
      <c r="Q1010" t="inlineStr">
        <is>
          <t>K3-2A</t>
        </is>
      </c>
      <c r="R1010" s="10" t="n">
        <v>1.1218</v>
      </c>
    </row>
    <row r="1011">
      <c r="A1011" t="n">
        <v>19</v>
      </c>
      <c r="B1011" t="inlineStr">
        <is>
          <t>K4-1B</t>
        </is>
      </c>
      <c r="H1011">
        <f>E1011/F1011</f>
        <v/>
      </c>
      <c r="I1011">
        <f>((H1011-$J$940)/$I$940)</f>
        <v/>
      </c>
      <c r="J1011">
        <f>(I1011-IF(I1000&gt;0,I1000,0))</f>
        <v/>
      </c>
      <c r="K1011">
        <f>J1011/R996*1.1</f>
        <v/>
      </c>
      <c r="Q1011" t="inlineStr">
        <is>
          <t>K3-2B</t>
        </is>
      </c>
      <c r="R1011" t="n">
        <v>1.198</v>
      </c>
    </row>
    <row r="1012">
      <c r="A1012" t="n">
        <v>20</v>
      </c>
      <c r="B1012" t="inlineStr">
        <is>
          <t>K4-1C</t>
        </is>
      </c>
      <c r="H1012">
        <f>E1012/F1012</f>
        <v/>
      </c>
      <c r="I1012">
        <f>((H1012-$J$940)/$I$940)</f>
        <v/>
      </c>
      <c r="J1012">
        <f>(I1012-IF(I1000&gt;0,I1000,0))</f>
        <v/>
      </c>
      <c r="K1012">
        <f>J1012/R997*1.1</f>
        <v/>
      </c>
      <c r="L1012" s="23" t="inlineStr">
        <is>
          <t>Average</t>
        </is>
      </c>
      <c r="M1012" s="23" t="inlineStr">
        <is>
          <t>Stdev</t>
        </is>
      </c>
      <c r="N1012" s="9" t="inlineStr">
        <is>
          <t>Combined</t>
        </is>
      </c>
      <c r="Q1012" t="inlineStr">
        <is>
          <t>K3-2C</t>
        </is>
      </c>
      <c r="R1012" t="n">
        <v>1.1538</v>
      </c>
    </row>
    <row r="1013">
      <c r="A1013" t="n">
        <v>21</v>
      </c>
      <c r="B1013" t="inlineStr">
        <is>
          <t>K4-2A</t>
        </is>
      </c>
      <c r="H1013">
        <f>E1013/F1013</f>
        <v/>
      </c>
      <c r="I1013">
        <f>((H1013-$J$940)/$I$940)</f>
        <v/>
      </c>
      <c r="J1013">
        <f>(I1013-IF(I1000&gt;0,I1000,0))</f>
        <v/>
      </c>
      <c r="K1013">
        <f>J1013/R998*1.1</f>
        <v/>
      </c>
      <c r="L1013">
        <f>AVERAGE(K1013:K1015)</f>
        <v/>
      </c>
      <c r="M1013">
        <f>STDEV(K1013:K1015)</f>
        <v/>
      </c>
      <c r="N1013">
        <f>_xlfn.CONCAT(ROUND(L1013,1)," ± ",ROUND(M1013,1))</f>
        <v/>
      </c>
      <c r="Q1013" t="inlineStr">
        <is>
          <t>K3-3A</t>
        </is>
      </c>
      <c r="R1013" t="n">
        <v>1.1183</v>
      </c>
    </row>
    <row r="1014">
      <c r="A1014" t="n">
        <v>22</v>
      </c>
      <c r="B1014" t="inlineStr">
        <is>
          <t>K4-2B</t>
        </is>
      </c>
      <c r="H1014">
        <f>E1014/F1014</f>
        <v/>
      </c>
      <c r="I1014">
        <f>((H1014-$J$940)/$I$940)</f>
        <v/>
      </c>
      <c r="J1014">
        <f>(I1014-IF(I1000&gt;0,I1000,0))</f>
        <v/>
      </c>
      <c r="K1014">
        <f>J1014/R999*1.1</f>
        <v/>
      </c>
      <c r="Q1014" t="inlineStr">
        <is>
          <t>K3-3B</t>
        </is>
      </c>
      <c r="R1014" t="n">
        <v>1.1448</v>
      </c>
    </row>
    <row r="1015">
      <c r="A1015" t="n">
        <v>23</v>
      </c>
      <c r="B1015" t="inlineStr">
        <is>
          <t>K4-2C</t>
        </is>
      </c>
      <c r="H1015">
        <f>E1015/F1015</f>
        <v/>
      </c>
      <c r="I1015">
        <f>((H1015-$J$940)/$I$940)</f>
        <v/>
      </c>
      <c r="J1015">
        <f>(I1015-IF(I1000&gt;0,I1000,0))</f>
        <v/>
      </c>
      <c r="K1015">
        <f>J1015/R1000*1.1</f>
        <v/>
      </c>
      <c r="L1015" s="23" t="n"/>
      <c r="M1015" s="23" t="n"/>
      <c r="N1015" s="9" t="n"/>
      <c r="Q1015" t="inlineStr">
        <is>
          <t>K3-3C</t>
        </is>
      </c>
      <c r="R1015" t="n">
        <v>1.0493</v>
      </c>
    </row>
    <row r="1016">
      <c r="A1016" t="n">
        <v>24</v>
      </c>
      <c r="B1016" t="inlineStr">
        <is>
          <t>MeOH</t>
        </is>
      </c>
      <c r="L1016" s="23" t="inlineStr">
        <is>
          <t>Average</t>
        </is>
      </c>
      <c r="M1016" s="23" t="inlineStr">
        <is>
          <t>Stdev</t>
        </is>
      </c>
      <c r="N1016" s="9" t="inlineStr">
        <is>
          <t>Combined</t>
        </is>
      </c>
      <c r="Q1016" t="inlineStr">
        <is>
          <t>K3-4A</t>
        </is>
      </c>
      <c r="R1016" t="n">
        <v>1.0704</v>
      </c>
    </row>
    <row r="1017">
      <c r="A1017" t="n">
        <v>25</v>
      </c>
      <c r="B1017" t="inlineStr">
        <is>
          <t>K4-4A</t>
        </is>
      </c>
      <c r="H1017">
        <f>E1017/F1017</f>
        <v/>
      </c>
      <c r="I1017">
        <f>((H1017-$J$940)/$I$940)</f>
        <v/>
      </c>
      <c r="J1017">
        <f>(I1017-IF(I1000&gt;0,I1000,0))</f>
        <v/>
      </c>
      <c r="K1017">
        <f>J1017/R1001*1.1</f>
        <v/>
      </c>
      <c r="L1017">
        <f>AVERAGE(K1017:K1019)</f>
        <v/>
      </c>
      <c r="M1017">
        <f>STDEV(K1018:K1019)</f>
        <v/>
      </c>
      <c r="N1017">
        <f>_xlfn.CONCAT(ROUND(L1017,1)," ± ",ROUND(M1017,1))</f>
        <v/>
      </c>
      <c r="Q1017" t="inlineStr">
        <is>
          <t>K3-4B</t>
        </is>
      </c>
      <c r="R1017" t="n">
        <v>1.1589</v>
      </c>
    </row>
    <row r="1018">
      <c r="A1018" t="n">
        <v>26</v>
      </c>
      <c r="B1018" t="inlineStr">
        <is>
          <t>K4-4B</t>
        </is>
      </c>
      <c r="D1018" t="n">
        <v>10.47</v>
      </c>
      <c r="E1018" t="n">
        <v>9.571</v>
      </c>
      <c r="G1018" t="n">
        <v>107</v>
      </c>
      <c r="H1018">
        <f>E1018/F1018</f>
        <v/>
      </c>
      <c r="I1018">
        <f>((H1018-$J$940)/$I$940)</f>
        <v/>
      </c>
      <c r="J1018">
        <f>(I1018-IF(I1000&gt;0,I1000,0))</f>
        <v/>
      </c>
      <c r="K1018">
        <f>J1018/R1002*1.1</f>
        <v/>
      </c>
      <c r="Q1018" t="inlineStr">
        <is>
          <t>K3-4C</t>
        </is>
      </c>
      <c r="R1018" t="n">
        <v>1.0206</v>
      </c>
    </row>
    <row r="1019">
      <c r="A1019" t="n">
        <v>27</v>
      </c>
      <c r="B1019" t="inlineStr">
        <is>
          <t>K4-4C</t>
        </is>
      </c>
      <c r="H1019">
        <f>E1019/F1019</f>
        <v/>
      </c>
      <c r="I1019">
        <f>((H1019-$J$940)/$I$940)</f>
        <v/>
      </c>
      <c r="J1019">
        <f>(I1019-IF(I1000&gt;0,I1000,0))</f>
        <v/>
      </c>
      <c r="K1019">
        <f>J1019/R1003*1.1</f>
        <v/>
      </c>
      <c r="L1019" s="23" t="inlineStr">
        <is>
          <t>Average</t>
        </is>
      </c>
      <c r="M1019" s="23" t="inlineStr">
        <is>
          <t>Stdev</t>
        </is>
      </c>
      <c r="N1019" s="9" t="inlineStr">
        <is>
          <t>Combined</t>
        </is>
      </c>
      <c r="Q1019" t="inlineStr">
        <is>
          <t>K3-6A</t>
        </is>
      </c>
      <c r="R1019" t="n">
        <v>1.1289</v>
      </c>
    </row>
    <row r="1020">
      <c r="A1020" t="n">
        <v>28</v>
      </c>
      <c r="B1020" t="inlineStr">
        <is>
          <t>K4-5A</t>
        </is>
      </c>
      <c r="H1020">
        <f>E1020/F1020</f>
        <v/>
      </c>
      <c r="I1020">
        <f>((H1020-$J$940)/$I$940)</f>
        <v/>
      </c>
      <c r="J1020">
        <f>(I1020-IF(I1000&gt;0,I1000,0))</f>
        <v/>
      </c>
      <c r="K1020">
        <f>J1020/R1004*1.1</f>
        <v/>
      </c>
      <c r="L1020">
        <f>AVERAGE(K1020:K1022)</f>
        <v/>
      </c>
      <c r="M1020">
        <f>STDEV(K1020:K1022)</f>
        <v/>
      </c>
      <c r="N1020">
        <f>_xlfn.CONCAT(ROUND(L1020,1)," ± ",ROUND(M1020,1))</f>
        <v/>
      </c>
      <c r="Q1020" t="inlineStr">
        <is>
          <t>K3-6B</t>
        </is>
      </c>
      <c r="R1020" t="n">
        <v>1.195</v>
      </c>
    </row>
    <row r="1021">
      <c r="A1021" t="n">
        <v>29</v>
      </c>
      <c r="B1021" t="inlineStr">
        <is>
          <t>K4-5B</t>
        </is>
      </c>
      <c r="H1021">
        <f>E1021/F1021</f>
        <v/>
      </c>
      <c r="I1021">
        <f>((H1021-$J$940)/$I$940)</f>
        <v/>
      </c>
      <c r="J1021">
        <f>(I1021-IF(I1000&gt;0,I1000,0))</f>
        <v/>
      </c>
      <c r="K1021">
        <f>J1021/R1005*1.1</f>
        <v/>
      </c>
      <c r="Q1021" t="inlineStr">
        <is>
          <t>K3-6C</t>
        </is>
      </c>
      <c r="R1021" t="n">
        <v>1.1716</v>
      </c>
    </row>
    <row r="1022">
      <c r="A1022" t="n">
        <v>30</v>
      </c>
      <c r="B1022" t="inlineStr">
        <is>
          <t>K4-5C</t>
        </is>
      </c>
      <c r="H1022">
        <f>E1022/F1022</f>
        <v/>
      </c>
      <c r="I1022">
        <f>((H1022-$J$940)/$I$940)</f>
        <v/>
      </c>
      <c r="J1022">
        <f>(I1022-IF(I1000&gt;0,I1000,0))</f>
        <v/>
      </c>
      <c r="K1022">
        <f>J1022/R1006*1.1</f>
        <v/>
      </c>
      <c r="L1022" s="23" t="n"/>
      <c r="M1022" s="23" t="n"/>
      <c r="N1022" s="9" t="n"/>
    </row>
    <row r="1023">
      <c r="A1023" t="n">
        <v>31</v>
      </c>
      <c r="B1023" t="inlineStr">
        <is>
          <t>MeOH</t>
        </is>
      </c>
      <c r="L1023" s="23" t="inlineStr">
        <is>
          <t>Average</t>
        </is>
      </c>
      <c r="M1023" s="23" t="inlineStr">
        <is>
          <t>Stdev</t>
        </is>
      </c>
      <c r="N1023" s="9" t="inlineStr">
        <is>
          <t>Combined</t>
        </is>
      </c>
    </row>
    <row r="1024">
      <c r="A1024" t="n">
        <v>32</v>
      </c>
      <c r="B1024" t="inlineStr">
        <is>
          <t>K3-1A</t>
        </is>
      </c>
      <c r="H1024">
        <f>E1024/F1024</f>
        <v/>
      </c>
      <c r="I1024">
        <f>((H1024-$J$940)/$I$940)</f>
        <v/>
      </c>
      <c r="J1024">
        <f>(I1024-IF(I1000&gt;0,I1000,0))</f>
        <v/>
      </c>
      <c r="K1024">
        <f>J1024/R1007*1.1</f>
        <v/>
      </c>
      <c r="L1024">
        <f>AVERAGE(K1024:K1026)</f>
        <v/>
      </c>
      <c r="M1024">
        <f>STDEV(K1025:K1026)</f>
        <v/>
      </c>
      <c r="N1024">
        <f>_xlfn.CONCAT(ROUND(L1024,1)," ± ",ROUND(M1024,1))</f>
        <v/>
      </c>
    </row>
    <row r="1025">
      <c r="A1025" t="n">
        <v>33</v>
      </c>
      <c r="B1025" t="inlineStr">
        <is>
          <t>K3-1B</t>
        </is>
      </c>
      <c r="H1025">
        <f>E1025/F1025</f>
        <v/>
      </c>
      <c r="I1025">
        <f>((H1025-$J$940)/$I$940)</f>
        <v/>
      </c>
      <c r="J1025">
        <f>(I1025-IF(I1000&gt;0,I1000,0))</f>
        <v/>
      </c>
      <c r="K1025">
        <f>J1025/R1008*1.1</f>
        <v/>
      </c>
    </row>
    <row r="1026">
      <c r="A1026" t="n">
        <v>34</v>
      </c>
      <c r="B1026" t="inlineStr">
        <is>
          <t>K3-1C</t>
        </is>
      </c>
      <c r="H1026">
        <f>E1026/F1026</f>
        <v/>
      </c>
      <c r="I1026">
        <f>((H1026-$J$940)/$I$940)</f>
        <v/>
      </c>
      <c r="J1026">
        <f>(I1026-IF(I1000&gt;0,I1000,0))</f>
        <v/>
      </c>
      <c r="K1026">
        <f>J1026/R1009*1.1</f>
        <v/>
      </c>
      <c r="L1026" s="23" t="inlineStr">
        <is>
          <t>Average</t>
        </is>
      </c>
      <c r="M1026" s="23" t="inlineStr">
        <is>
          <t>Stdev</t>
        </is>
      </c>
      <c r="N1026" s="9" t="inlineStr">
        <is>
          <t>Combined</t>
        </is>
      </c>
    </row>
    <row r="1027">
      <c r="A1027" t="n">
        <v>35</v>
      </c>
      <c r="B1027" t="inlineStr">
        <is>
          <t>K3-2A</t>
        </is>
      </c>
      <c r="H1027">
        <f>E1027/F1027</f>
        <v/>
      </c>
      <c r="I1027">
        <f>((H1027-$J$940)/$I$940)</f>
        <v/>
      </c>
      <c r="J1027">
        <f>(I1027-IF(I1000&gt;0,I1000,0))</f>
        <v/>
      </c>
      <c r="K1027">
        <f>J1027/R1010*1.1</f>
        <v/>
      </c>
      <c r="L1027">
        <f>AVERAGE(K1027:K1029)</f>
        <v/>
      </c>
      <c r="M1027">
        <f>STDEV(K1027:K1029)</f>
        <v/>
      </c>
      <c r="N1027">
        <f>_xlfn.CONCAT(ROUND(L1027,1)," ± ",ROUND(M1027,1))</f>
        <v/>
      </c>
    </row>
    <row r="1028">
      <c r="A1028" t="n">
        <v>36</v>
      </c>
      <c r="B1028" t="inlineStr">
        <is>
          <t>K3-2B</t>
        </is>
      </c>
      <c r="D1028" t="n">
        <v>10.99</v>
      </c>
      <c r="E1028" t="n">
        <v>0.539</v>
      </c>
      <c r="G1028" t="n">
        <v>5</v>
      </c>
      <c r="H1028">
        <f>E1028/F1028</f>
        <v/>
      </c>
      <c r="I1028">
        <f>((H1028-$J$940)/$I$940)</f>
        <v/>
      </c>
      <c r="J1028">
        <f>(I1028-IF(I1000&gt;0,I1000,0))</f>
        <v/>
      </c>
      <c r="K1028">
        <f>J1028/R1011*1.1</f>
        <v/>
      </c>
    </row>
    <row r="1029">
      <c r="A1029" t="n">
        <v>37</v>
      </c>
      <c r="B1029" t="inlineStr">
        <is>
          <t>K3-2C</t>
        </is>
      </c>
      <c r="D1029" t="n">
        <v>10.97</v>
      </c>
      <c r="E1029" t="n">
        <v>0.276</v>
      </c>
      <c r="G1029" t="n">
        <v>3</v>
      </c>
      <c r="H1029">
        <f>E1029/F1029</f>
        <v/>
      </c>
      <c r="I1029">
        <f>((H1029-$J$940)/$I$940)</f>
        <v/>
      </c>
      <c r="J1029">
        <f>(I1029-IF(I1000&gt;0,I1000,0))</f>
        <v/>
      </c>
      <c r="K1029">
        <f>J1029/R1012*1.1</f>
        <v/>
      </c>
      <c r="L1029" s="23" t="n"/>
      <c r="M1029" s="23" t="n"/>
      <c r="N1029" s="9" t="n"/>
    </row>
    <row r="1030">
      <c r="A1030" t="n">
        <v>38</v>
      </c>
      <c r="B1030" t="inlineStr">
        <is>
          <t>MeOH</t>
        </is>
      </c>
      <c r="L1030" s="23" t="inlineStr">
        <is>
          <t>Average</t>
        </is>
      </c>
      <c r="M1030" s="23" t="inlineStr">
        <is>
          <t>Stdev</t>
        </is>
      </c>
      <c r="N1030" s="9" t="inlineStr">
        <is>
          <t>Combined</t>
        </is>
      </c>
    </row>
    <row r="1031">
      <c r="A1031" t="n">
        <v>39</v>
      </c>
      <c r="B1031" t="inlineStr">
        <is>
          <t>K3-3A</t>
        </is>
      </c>
      <c r="H1031">
        <f>E1031/F1031</f>
        <v/>
      </c>
      <c r="I1031">
        <f>((H1031-$J$940)/$I$940)</f>
        <v/>
      </c>
      <c r="J1031">
        <f>(I1031-IF(I1000&gt;0,I1000,0))</f>
        <v/>
      </c>
      <c r="K1031">
        <f>J1031/R1013*1.1</f>
        <v/>
      </c>
      <c r="L1031">
        <f>AVERAGE(K1031:K1033)</f>
        <v/>
      </c>
      <c r="M1031">
        <f>STDEV(K1032:K1033)</f>
        <v/>
      </c>
      <c r="N1031">
        <f>_xlfn.CONCAT(ROUND(L1031,1)," ± ",ROUND(M1031,1))</f>
        <v/>
      </c>
    </row>
    <row r="1032">
      <c r="A1032" t="n">
        <v>40</v>
      </c>
      <c r="B1032" t="inlineStr">
        <is>
          <t>K3-3B</t>
        </is>
      </c>
      <c r="H1032">
        <f>E1032/F1032</f>
        <v/>
      </c>
      <c r="I1032">
        <f>((H1032-$J$940)/$I$940)</f>
        <v/>
      </c>
      <c r="J1032">
        <f>(I1032-IF(I1000&gt;0,I1000,0))</f>
        <v/>
      </c>
      <c r="K1032">
        <f>J1032/R1014*1.1</f>
        <v/>
      </c>
    </row>
    <row r="1033">
      <c r="A1033" t="n">
        <v>41</v>
      </c>
      <c r="B1033" t="inlineStr">
        <is>
          <t>K3-3C</t>
        </is>
      </c>
      <c r="H1033">
        <f>E1033/F1033</f>
        <v/>
      </c>
      <c r="I1033">
        <f>((H1033-$J$940)/$I$940)</f>
        <v/>
      </c>
      <c r="J1033">
        <f>(I1033-IF(I1000&gt;0,I1000,0))</f>
        <v/>
      </c>
      <c r="K1033">
        <f>J1033/R1015*1.1</f>
        <v/>
      </c>
      <c r="L1033" s="23" t="inlineStr">
        <is>
          <t>Average</t>
        </is>
      </c>
      <c r="M1033" s="23" t="inlineStr">
        <is>
          <t>Stdev</t>
        </is>
      </c>
      <c r="N1033" s="9" t="inlineStr">
        <is>
          <t>Combined</t>
        </is>
      </c>
    </row>
    <row r="1034">
      <c r="A1034" t="n">
        <v>42</v>
      </c>
      <c r="B1034" t="inlineStr">
        <is>
          <t>K3-4A</t>
        </is>
      </c>
      <c r="H1034">
        <f>E1034/F1034</f>
        <v/>
      </c>
      <c r="I1034">
        <f>((H1034-$J$940)/$I$940)</f>
        <v/>
      </c>
      <c r="J1034">
        <f>(I1034-IF(I1000&gt;0,I1000,0))</f>
        <v/>
      </c>
      <c r="K1034">
        <f>J1034/R1016*1.1</f>
        <v/>
      </c>
      <c r="L1034">
        <f>AVERAGE(K1034:K1036)</f>
        <v/>
      </c>
      <c r="M1034">
        <f>STDEV(K1034:K1036)</f>
        <v/>
      </c>
      <c r="N1034">
        <f>_xlfn.CONCAT(ROUND(L1034,1)," ± ",ROUND(M1034,1))</f>
        <v/>
      </c>
    </row>
    <row r="1035">
      <c r="A1035" t="n">
        <v>43</v>
      </c>
      <c r="B1035" t="inlineStr">
        <is>
          <t>K3-4B</t>
        </is>
      </c>
      <c r="D1035" t="n">
        <v>10.91</v>
      </c>
      <c r="E1035" t="n">
        <v>2.149</v>
      </c>
      <c r="G1035" t="n">
        <v>21</v>
      </c>
      <c r="H1035">
        <f>E1035/F1035</f>
        <v/>
      </c>
      <c r="I1035">
        <f>((H1035-$J$940)/$I$940)</f>
        <v/>
      </c>
      <c r="J1035">
        <f>(I1035-IF(I1000&gt;0,I1000,0))</f>
        <v/>
      </c>
      <c r="K1035">
        <f>J1035/R1017*1.1</f>
        <v/>
      </c>
    </row>
    <row r="1036">
      <c r="A1036" t="n">
        <v>44</v>
      </c>
      <c r="B1036" t="inlineStr">
        <is>
          <t>K3-4C</t>
        </is>
      </c>
      <c r="H1036">
        <f>E1036/F1036</f>
        <v/>
      </c>
      <c r="I1036">
        <f>((H1036-$J$940)/$I$940)</f>
        <v/>
      </c>
      <c r="J1036">
        <f>(I1036-IF(I1000&gt;0,I1000,0))</f>
        <v/>
      </c>
      <c r="K1036">
        <f>J1036/R1018*1.1</f>
        <v/>
      </c>
      <c r="L1036" s="23" t="n"/>
      <c r="M1036" s="23" t="n"/>
      <c r="N1036" s="9" t="n"/>
    </row>
    <row r="1037">
      <c r="A1037" t="n">
        <v>45</v>
      </c>
      <c r="B1037" t="inlineStr">
        <is>
          <t>MeOH</t>
        </is>
      </c>
      <c r="L1037" s="23" t="inlineStr">
        <is>
          <t>Average</t>
        </is>
      </c>
      <c r="M1037" s="23" t="inlineStr">
        <is>
          <t>Stdev</t>
        </is>
      </c>
      <c r="N1037" s="9" t="inlineStr">
        <is>
          <t>Combined</t>
        </is>
      </c>
    </row>
    <row r="1038">
      <c r="A1038" t="n">
        <v>46</v>
      </c>
      <c r="B1038" t="inlineStr">
        <is>
          <t>K3-6A</t>
        </is>
      </c>
      <c r="D1038" t="n">
        <v>10.97</v>
      </c>
      <c r="E1038" t="n">
        <v>1.643</v>
      </c>
      <c r="G1038" t="n">
        <v>16</v>
      </c>
      <c r="H1038">
        <f>E1038/F1038</f>
        <v/>
      </c>
      <c r="I1038">
        <f>((H1038-$J$940)/$I$940)</f>
        <v/>
      </c>
      <c r="J1038">
        <f>(I1038-IF(I1000&gt;0,I1000,0))</f>
        <v/>
      </c>
      <c r="K1038">
        <f>J1038/R1019*1.1</f>
        <v/>
      </c>
      <c r="L1038">
        <f>AVERAGE(K1038:K1040)</f>
        <v/>
      </c>
      <c r="M1038">
        <f>STDEV(K1039:K1040)</f>
        <v/>
      </c>
      <c r="N1038">
        <f>_xlfn.CONCAT(ROUND(L1038,1)," ± ",ROUND(M1038,1))</f>
        <v/>
      </c>
    </row>
    <row r="1039">
      <c r="A1039" t="n">
        <v>47</v>
      </c>
      <c r="B1039" t="inlineStr">
        <is>
          <t>K3-6B</t>
        </is>
      </c>
      <c r="H1039">
        <f>E1039/F1039</f>
        <v/>
      </c>
      <c r="I1039">
        <f>((H1039-$J$940)/$I$940)</f>
        <v/>
      </c>
      <c r="J1039">
        <f>(I1039-IF(I1000&gt;0,I1000,0))</f>
        <v/>
      </c>
      <c r="K1039">
        <f>J1039/R1020*1.1</f>
        <v/>
      </c>
    </row>
    <row r="1040">
      <c r="A1040" t="n">
        <v>48</v>
      </c>
      <c r="B1040" t="inlineStr">
        <is>
          <t>K3-6C</t>
        </is>
      </c>
      <c r="H1040">
        <f>E1040/F1040</f>
        <v/>
      </c>
      <c r="I1040">
        <f>((H1040-$J$940)/$I$940)</f>
        <v/>
      </c>
      <c r="J1040">
        <f>(I1040-IF(I1000&gt;0,I1000,0))</f>
        <v/>
      </c>
      <c r="K1040">
        <f>J1040/R1021*1.1</f>
        <v/>
      </c>
      <c r="L1040" s="23" t="n"/>
      <c r="M1040" s="23" t="n"/>
      <c r="N1040" s="9" t="n"/>
    </row>
    <row r="1042">
      <c r="A1042" t="inlineStr">
        <is>
          <t>Compound 41:  NaDONA 1</t>
        </is>
      </c>
    </row>
    <row r="1043">
      <c r="I1043" t="inlineStr">
        <is>
          <t>LINEST</t>
        </is>
      </c>
      <c r="Q1043" t="inlineStr">
        <is>
          <t>Biosolids Masses</t>
        </is>
      </c>
      <c r="R1043" t="inlineStr">
        <is>
          <t>(g)</t>
        </is>
      </c>
    </row>
    <row r="1044">
      <c r="B1044" t="inlineStr">
        <is>
          <t>Sample Text</t>
        </is>
      </c>
      <c r="C1044" t="inlineStr">
        <is>
          <t>Std. Conc</t>
        </is>
      </c>
      <c r="D1044" t="inlineStr">
        <is>
          <t>RT</t>
        </is>
      </c>
      <c r="E1044" t="inlineStr">
        <is>
          <t>Area</t>
        </is>
      </c>
      <c r="F1044" t="inlineStr">
        <is>
          <t>IS Area</t>
        </is>
      </c>
      <c r="G1044" t="inlineStr">
        <is>
          <t>S/N</t>
        </is>
      </c>
      <c r="H1044" t="inlineStr">
        <is>
          <t>ratio</t>
        </is>
      </c>
      <c r="I1044">
        <f t="array" ref="I1044:J1048">LINEST(H1046:H1051,C1046:C1051,1,1)</f>
        <v/>
      </c>
      <c r="J1044" t="n">
        <v>-0.1784503409150897</v>
      </c>
      <c r="L1044" s="20" t="inlineStr">
        <is>
          <t>By S/N Ratio</t>
        </is>
      </c>
      <c r="Q1044" t="inlineStr">
        <is>
          <t>SS1</t>
        </is>
      </c>
      <c r="R1044" t="n">
        <v>1.0846</v>
      </c>
    </row>
    <row r="1045">
      <c r="A1045" t="n">
        <v>1</v>
      </c>
      <c r="B1045" t="inlineStr">
        <is>
          <t>EPA1633 &amp; diPAPs Calibration 0 ppb</t>
        </is>
      </c>
      <c r="C1045" t="n">
        <v>0</v>
      </c>
      <c r="D1045" t="n">
        <v>10.75</v>
      </c>
      <c r="E1045" t="n">
        <v>405.025</v>
      </c>
      <c r="F1045" t="n">
        <v>3694.615</v>
      </c>
      <c r="G1045" t="n">
        <v>2.959</v>
      </c>
      <c r="H1045">
        <f>E1045/F1045</f>
        <v/>
      </c>
      <c r="I1045" t="n">
        <v>0.02110832263859099</v>
      </c>
      <c r="J1045" t="n">
        <v>0.3871834896768193</v>
      </c>
      <c r="K1045" t="inlineStr">
        <is>
          <t>LOD</t>
        </is>
      </c>
      <c r="L1045" s="21">
        <f>IF(G1046&gt;3,C1046,IF(G1047&gt;3,C1047,IF(G1048&gt;3,C1048,IF(G1049&gt;3,C1049,C1050))))</f>
        <v/>
      </c>
      <c r="Q1045" t="inlineStr">
        <is>
          <t>SS2</t>
        </is>
      </c>
      <c r="R1045" t="n">
        <v>1.0726</v>
      </c>
    </row>
    <row r="1046">
      <c r="A1046" t="n">
        <v>2</v>
      </c>
      <c r="B1046" t="inlineStr">
        <is>
          <t>EPA1633 &amp; diPAPs Calibration 0.02 ppb</t>
        </is>
      </c>
      <c r="C1046" t="n">
        <v>0.08</v>
      </c>
      <c r="D1046" t="n">
        <v>10.76</v>
      </c>
      <c r="E1046" t="n">
        <v>1283.639</v>
      </c>
      <c r="F1046" t="n">
        <v>3104.064</v>
      </c>
      <c r="G1046" t="n">
        <v>44.393</v>
      </c>
      <c r="H1046">
        <f>E1046/F1046</f>
        <v/>
      </c>
      <c r="I1046" t="n">
        <v>0.9990885955651522</v>
      </c>
      <c r="J1046" t="n">
        <v>0.7584221596928994</v>
      </c>
      <c r="K1046" t="inlineStr">
        <is>
          <t>LOQ</t>
        </is>
      </c>
      <c r="L1046" s="22">
        <f>IF(G1046&gt;10,C1046,IF(G1047&gt;10,C1047,IF(G1048&gt;10,C1048,IF(G1049&gt;10,C1049,C1050))))</f>
        <v/>
      </c>
      <c r="Q1046" t="inlineStr">
        <is>
          <t>SS3</t>
        </is>
      </c>
      <c r="R1046" t="n">
        <v>1.1534</v>
      </c>
    </row>
    <row r="1047">
      <c r="A1047" t="n">
        <v>3</v>
      </c>
      <c r="B1047" t="inlineStr">
        <is>
          <t>EPA1633 &amp; diPAPs Calibration 0.1 ppb</t>
        </is>
      </c>
      <c r="C1047" t="n">
        <v>0.4</v>
      </c>
      <c r="D1047" t="n">
        <v>10.77</v>
      </c>
      <c r="E1047" t="n">
        <v>1800.438</v>
      </c>
      <c r="F1047" t="n">
        <v>3160.561</v>
      </c>
      <c r="G1047" t="n">
        <v>25.568</v>
      </c>
      <c r="H1047">
        <f>E1047/F1047</f>
        <v/>
      </c>
      <c r="I1047" t="n">
        <v>4384.830959186237</v>
      </c>
      <c r="J1047" t="n">
        <v>4</v>
      </c>
      <c r="Q1047" t="inlineStr">
        <is>
          <t>K4-1A</t>
        </is>
      </c>
      <c r="R1047" t="n">
        <v>1.0267</v>
      </c>
    </row>
    <row r="1048">
      <c r="A1048" t="n">
        <v>4</v>
      </c>
      <c r="B1048" t="inlineStr">
        <is>
          <t>EPA1633 &amp; diPAPs Calibration 0.4 ppb</t>
        </is>
      </c>
      <c r="C1048" t="n">
        <v>1.6</v>
      </c>
      <c r="D1048" t="n">
        <v>10.78</v>
      </c>
      <c r="E1048" t="n">
        <v>6874.571</v>
      </c>
      <c r="F1048" t="n">
        <v>2561.342</v>
      </c>
      <c r="G1048" t="n">
        <v>56954</v>
      </c>
      <c r="H1048">
        <f>E1048/F1048</f>
        <v/>
      </c>
      <c r="I1048" t="n">
        <v>2522.173062612198</v>
      </c>
      <c r="J1048" t="n">
        <v>2.300816689252967</v>
      </c>
      <c r="Q1048" t="inlineStr">
        <is>
          <t>K4-1B</t>
        </is>
      </c>
      <c r="R1048" t="n">
        <v>1.1481</v>
      </c>
    </row>
    <row r="1049">
      <c r="A1049" t="n">
        <v>5</v>
      </c>
      <c r="B1049" t="inlineStr">
        <is>
          <t>EPA1633 &amp; diPAPs Calibration 1 ppb</t>
        </is>
      </c>
      <c r="C1049" t="n">
        <v>4</v>
      </c>
      <c r="D1049" t="n">
        <v>10.8</v>
      </c>
      <c r="E1049" t="n">
        <v>12176.579</v>
      </c>
      <c r="F1049" t="n">
        <v>2832.371</v>
      </c>
      <c r="G1049" t="n">
        <v>1682.606</v>
      </c>
      <c r="H1049">
        <f>E1049/F1049</f>
        <v/>
      </c>
      <c r="Q1049" t="inlineStr">
        <is>
          <t>K4-1C</t>
        </is>
      </c>
      <c r="R1049" t="n">
        <v>1.0402</v>
      </c>
    </row>
    <row r="1050">
      <c r="A1050" t="n">
        <v>6</v>
      </c>
      <c r="B1050" t="inlineStr">
        <is>
          <t>EPA1633 &amp; diPAPs Calibration 5 ppb</t>
        </is>
      </c>
      <c r="C1050" t="n">
        <v>20</v>
      </c>
      <c r="D1050" t="n">
        <v>10.66</v>
      </c>
      <c r="E1050" t="n">
        <v>57101.617</v>
      </c>
      <c r="F1050" t="n">
        <v>2095.76</v>
      </c>
      <c r="G1050" t="n">
        <v>6093.507</v>
      </c>
      <c r="H1050">
        <f>E1050/F1050</f>
        <v/>
      </c>
      <c r="Q1050" t="inlineStr">
        <is>
          <t>K4-2A</t>
        </is>
      </c>
      <c r="R1050" t="n">
        <v>1.127</v>
      </c>
    </row>
    <row r="1051">
      <c r="A1051" t="n">
        <v>7</v>
      </c>
      <c r="B1051" t="inlineStr">
        <is>
          <t>EPA1633 &amp; diPAPs Calibration 10 ppb</t>
        </is>
      </c>
      <c r="C1051" t="n">
        <v>40</v>
      </c>
      <c r="D1051" t="n">
        <v>10.71</v>
      </c>
      <c r="E1051" t="n">
        <v>111356.492</v>
      </c>
      <c r="F1051" t="n">
        <v>1985.663</v>
      </c>
      <c r="G1051" t="n">
        <v>3772.756</v>
      </c>
      <c r="H1051">
        <f>E1051/F1051</f>
        <v/>
      </c>
      <c r="I1051" s="23" t="inlineStr">
        <is>
          <t>Background</t>
        </is>
      </c>
      <c r="J1051" s="23" t="inlineStr">
        <is>
          <t>Spike</t>
        </is>
      </c>
      <c r="K1051" s="9" t="inlineStr">
        <is>
          <t>Old Spike</t>
        </is>
      </c>
      <c r="O1051" s="24" t="inlineStr">
        <is>
          <t>±</t>
        </is>
      </c>
      <c r="Q1051" t="inlineStr">
        <is>
          <t>K4-2B</t>
        </is>
      </c>
      <c r="R1051" t="n">
        <v>1.1154</v>
      </c>
    </row>
    <row r="1052">
      <c r="A1052" t="n">
        <v>8</v>
      </c>
      <c r="B1052" t="inlineStr">
        <is>
          <t>EPA1633 &amp; diPAPs Calibration 20 ppb</t>
        </is>
      </c>
      <c r="C1052" t="n">
        <v>80</v>
      </c>
      <c r="D1052" t="n">
        <v>10.75</v>
      </c>
      <c r="E1052" t="n">
        <v>231647.938</v>
      </c>
      <c r="F1052" t="n">
        <v>2349.671</v>
      </c>
      <c r="G1052" t="n">
        <v>3201.349</v>
      </c>
      <c r="H1052">
        <f>E1052/F1052</f>
        <v/>
      </c>
      <c r="I1052">
        <f>AVERAGE(I1055:I1057)</f>
        <v/>
      </c>
      <c r="J1052" t="n">
        <v>44</v>
      </c>
      <c r="Q1052" t="inlineStr">
        <is>
          <t>K4-2C</t>
        </is>
      </c>
      <c r="R1052" t="n">
        <v>1.1711</v>
      </c>
    </row>
    <row r="1053">
      <c r="A1053" t="n">
        <v>9</v>
      </c>
      <c r="B1053" t="inlineStr">
        <is>
          <t>MeOH</t>
        </is>
      </c>
      <c r="D1053" t="n">
        <v>10.76</v>
      </c>
      <c r="E1053" t="n">
        <v>317.281</v>
      </c>
      <c r="F1053" t="n">
        <v>0</v>
      </c>
      <c r="G1053" t="n">
        <v>250.539</v>
      </c>
      <c r="I1053" s="23" t="inlineStr">
        <is>
          <t>Conc.In Vial (ppb)</t>
        </is>
      </c>
      <c r="J1053" s="9" t="inlineStr">
        <is>
          <t>Corr. Conc.(ppb)</t>
        </is>
      </c>
      <c r="K1053" s="9" t="inlineStr">
        <is>
          <t>Conc. In soil (ng/g)</t>
        </is>
      </c>
      <c r="Q1053" t="inlineStr">
        <is>
          <t>K4-4A</t>
        </is>
      </c>
      <c r="R1053" t="n">
        <v>1.0932</v>
      </c>
    </row>
    <row r="1054">
      <c r="A1054" t="n">
        <v>10</v>
      </c>
      <c r="B1054" t="inlineStr">
        <is>
          <t>MeOH</t>
        </is>
      </c>
      <c r="D1054" t="n">
        <v>10.76</v>
      </c>
      <c r="E1054" t="n">
        <v>203.698</v>
      </c>
      <c r="F1054" t="n">
        <v>0</v>
      </c>
      <c r="G1054" t="n">
        <v>1847</v>
      </c>
      <c r="L1054" s="23" t="inlineStr">
        <is>
          <t>Average</t>
        </is>
      </c>
      <c r="M1054" s="23" t="inlineStr">
        <is>
          <t>Stdev</t>
        </is>
      </c>
      <c r="N1054" s="9" t="inlineStr">
        <is>
          <t>Combined</t>
        </is>
      </c>
      <c r="O1054" s="9" t="n"/>
      <c r="P1054" s="9" t="n"/>
      <c r="Q1054" t="inlineStr">
        <is>
          <t>K4-4B</t>
        </is>
      </c>
      <c r="R1054" t="n">
        <v>1.15</v>
      </c>
    </row>
    <row r="1055">
      <c r="A1055" t="n">
        <v>11</v>
      </c>
      <c r="B1055" t="inlineStr">
        <is>
          <t>SB1</t>
        </is>
      </c>
      <c r="D1055" t="n">
        <v>10.78</v>
      </c>
      <c r="E1055" t="n">
        <v>237.396</v>
      </c>
      <c r="F1055" t="n">
        <v>923.4400000000001</v>
      </c>
      <c r="G1055" t="n">
        <v>1922</v>
      </c>
      <c r="H1055">
        <f>E1055/F1055</f>
        <v/>
      </c>
      <c r="I1055">
        <f>((H1055-$J$1044)/$I$1044)</f>
        <v/>
      </c>
      <c r="J1055">
        <f>(I1055-IF(I1052&gt;0,I1052,0))</f>
        <v/>
      </c>
      <c r="K1055">
        <f>J1055*1.1</f>
        <v/>
      </c>
      <c r="L1055">
        <f>AVERAGE(K1055:K1057)</f>
        <v/>
      </c>
      <c r="M1055">
        <f>STDEV(K1056:K1057)</f>
        <v/>
      </c>
      <c r="N1055">
        <f>_xlfn.CONCAT(ROUND(L1055,1)," ± ",ROUND(M1055,1))</f>
        <v/>
      </c>
      <c r="Q1055" t="inlineStr">
        <is>
          <t>K4-4C</t>
        </is>
      </c>
      <c r="R1055" t="n">
        <v>1.0482</v>
      </c>
    </row>
    <row r="1056">
      <c r="A1056" t="n">
        <v>12</v>
      </c>
      <c r="B1056" t="inlineStr">
        <is>
          <t>SB2</t>
        </is>
      </c>
      <c r="D1056" t="n">
        <v>10.76</v>
      </c>
      <c r="E1056" t="n">
        <v>8.317</v>
      </c>
      <c r="F1056" t="n">
        <v>791.418</v>
      </c>
      <c r="G1056" t="n">
        <v>92</v>
      </c>
      <c r="H1056">
        <f>E1056/F1056</f>
        <v/>
      </c>
      <c r="I1056">
        <f>((H1056-$J$1044)/$I$1044)</f>
        <v/>
      </c>
      <c r="J1056">
        <f>(I1056-IF(I1052&gt;0,I1052,0))</f>
        <v/>
      </c>
      <c r="K1056">
        <f>J1056*1.1</f>
        <v/>
      </c>
      <c r="Q1056" t="inlineStr">
        <is>
          <t>K4-5A</t>
        </is>
      </c>
      <c r="R1056" t="n">
        <v>1.1054</v>
      </c>
    </row>
    <row r="1057">
      <c r="A1057" t="n">
        <v>13</v>
      </c>
      <c r="B1057" t="inlineStr">
        <is>
          <t>SB3</t>
        </is>
      </c>
      <c r="D1057" t="n">
        <v>10.82</v>
      </c>
      <c r="E1057" t="n">
        <v>35.151</v>
      </c>
      <c r="F1057" t="n">
        <v>835.91</v>
      </c>
      <c r="G1057" t="n">
        <v>323</v>
      </c>
      <c r="H1057">
        <f>E1057/F1057</f>
        <v/>
      </c>
      <c r="I1057">
        <f>((H1057-$J$1044)/$I$1044)</f>
        <v/>
      </c>
      <c r="J1057">
        <f>(I1057-IF(I1052&gt;0,I1052,0))</f>
        <v/>
      </c>
      <c r="K1057" s="30">
        <f>J1057*1.1</f>
        <v/>
      </c>
      <c r="L1057" s="23" t="inlineStr">
        <is>
          <t>Average</t>
        </is>
      </c>
      <c r="M1057" s="23" t="inlineStr">
        <is>
          <t>Stdev</t>
        </is>
      </c>
      <c r="N1057" s="9" t="inlineStr">
        <is>
          <t>%Recovery</t>
        </is>
      </c>
      <c r="O1057" s="9" t="inlineStr">
        <is>
          <t>Uncertainty</t>
        </is>
      </c>
      <c r="P1057" s="9" t="inlineStr">
        <is>
          <t>Combined</t>
        </is>
      </c>
      <c r="Q1057" t="inlineStr">
        <is>
          <t>K4-5B</t>
        </is>
      </c>
      <c r="R1057" s="10" t="n">
        <v>1.0463</v>
      </c>
    </row>
    <row r="1058">
      <c r="A1058" t="n">
        <v>14</v>
      </c>
      <c r="B1058" t="inlineStr">
        <is>
          <t>SS1</t>
        </is>
      </c>
      <c r="D1058" t="n">
        <v>10.84</v>
      </c>
      <c r="E1058" t="n">
        <v>44522.875</v>
      </c>
      <c r="F1058" t="n">
        <v>801.263</v>
      </c>
      <c r="G1058" t="n">
        <v>849.688</v>
      </c>
      <c r="H1058">
        <f>E1058/F1058</f>
        <v/>
      </c>
      <c r="I1058">
        <f>((H1058-$J$1044)/$I$1044)</f>
        <v/>
      </c>
      <c r="J1058">
        <f>(I1058-IF(I1052&gt;0,I1052,0))</f>
        <v/>
      </c>
      <c r="K1058">
        <f>J1058/R1044*1.1</f>
        <v/>
      </c>
      <c r="L1058" s="30">
        <f>AVERAGE(K1058:K1060)</f>
        <v/>
      </c>
      <c r="M1058" s="30">
        <f>STDEV(K1058:K1060)</f>
        <v/>
      </c>
      <c r="N1058" s="31">
        <f>L1058/J1052*100</f>
        <v/>
      </c>
      <c r="O1058">
        <f>M1058/J1055*100</f>
        <v/>
      </c>
      <c r="P1058">
        <f>_xlfn.CONCAT(ROUND(N1058,1)," ± ",ROUND(O1058,1))</f>
        <v/>
      </c>
      <c r="Q1058" t="inlineStr">
        <is>
          <t>K4-5C</t>
        </is>
      </c>
      <c r="R1058" t="n">
        <v>1.1155</v>
      </c>
    </row>
    <row r="1059">
      <c r="A1059" t="n">
        <v>15</v>
      </c>
      <c r="B1059" t="inlineStr">
        <is>
          <t>SS2</t>
        </is>
      </c>
      <c r="D1059" t="n">
        <v>10.85</v>
      </c>
      <c r="E1059" t="n">
        <v>48572.555</v>
      </c>
      <c r="F1059" t="n">
        <v>768.403</v>
      </c>
      <c r="G1059" t="n">
        <v>998.498</v>
      </c>
      <c r="H1059">
        <f>E1059/F1059</f>
        <v/>
      </c>
      <c r="I1059">
        <f>((H1059-$J$1044)/$I$1044)</f>
        <v/>
      </c>
      <c r="J1059">
        <f>(I1059-IF(I1052&gt;0,I1052,0))</f>
        <v/>
      </c>
      <c r="K1059">
        <f>J1059/R1045*1.1</f>
        <v/>
      </c>
      <c r="Q1059" t="inlineStr">
        <is>
          <t>K3-1A</t>
        </is>
      </c>
      <c r="R1059" t="n">
        <v>1.0874</v>
      </c>
    </row>
    <row r="1060">
      <c r="A1060" t="n">
        <v>16</v>
      </c>
      <c r="B1060" t="inlineStr">
        <is>
          <t>SS3</t>
        </is>
      </c>
      <c r="D1060" t="n">
        <v>10.85</v>
      </c>
      <c r="E1060" t="n">
        <v>48850.535</v>
      </c>
      <c r="F1060" t="n">
        <v>645.971</v>
      </c>
      <c r="G1060" t="n">
        <v>2178.917</v>
      </c>
      <c r="H1060">
        <f>E1060/F1060</f>
        <v/>
      </c>
      <c r="I1060">
        <f>((H1060-$J$1044)/$I$1044)</f>
        <v/>
      </c>
      <c r="J1060">
        <f>(I1060-IF(I1052&gt;0,I1052,0))</f>
        <v/>
      </c>
      <c r="K1060" s="30">
        <f>J1060/R1046*1.1</f>
        <v/>
      </c>
      <c r="Q1060" t="inlineStr">
        <is>
          <t>K3-1B</t>
        </is>
      </c>
      <c r="R1060" t="n">
        <v>1.0898</v>
      </c>
    </row>
    <row r="1061">
      <c r="A1061" t="n">
        <v>17</v>
      </c>
      <c r="B1061" t="inlineStr">
        <is>
          <t>MeOH</t>
        </is>
      </c>
      <c r="L1061" s="23" t="inlineStr">
        <is>
          <t>Average</t>
        </is>
      </c>
      <c r="M1061" s="23" t="inlineStr">
        <is>
          <t>Stdev</t>
        </is>
      </c>
      <c r="N1061" s="9" t="inlineStr">
        <is>
          <t>Combined</t>
        </is>
      </c>
      <c r="Q1061" t="inlineStr">
        <is>
          <t>K3-1C</t>
        </is>
      </c>
      <c r="R1061" t="n">
        <v>1.0536</v>
      </c>
    </row>
    <row r="1062">
      <c r="A1062" t="n">
        <v>18</v>
      </c>
      <c r="B1062" t="inlineStr">
        <is>
          <t>K4-1A</t>
        </is>
      </c>
      <c r="D1062" t="n">
        <v>10.86</v>
      </c>
      <c r="E1062" t="n">
        <v>14.293</v>
      </c>
      <c r="F1062" t="n">
        <v>1089.252</v>
      </c>
      <c r="G1062" t="n">
        <v>141</v>
      </c>
      <c r="H1062">
        <f>E1062/F1062</f>
        <v/>
      </c>
      <c r="I1062">
        <f>((H1062-$J$1044)/$I$1044)</f>
        <v/>
      </c>
      <c r="J1062">
        <f>(I1062-IF(I1052&gt;0,I1052,0))</f>
        <v/>
      </c>
      <c r="K1062">
        <f>J1062/R1047*1.1</f>
        <v/>
      </c>
      <c r="L1062">
        <f>AVERAGE(K1062:K1064)</f>
        <v/>
      </c>
      <c r="M1062">
        <f>STDEV(K1063:K1064)</f>
        <v/>
      </c>
      <c r="N1062">
        <f>_xlfn.CONCAT(ROUND(L1062,1)," ± ",ROUND(M1062,1))</f>
        <v/>
      </c>
      <c r="Q1062" t="inlineStr">
        <is>
          <t>K3-2A</t>
        </is>
      </c>
      <c r="R1062" s="10" t="n">
        <v>1.1218</v>
      </c>
    </row>
    <row r="1063">
      <c r="A1063" t="n">
        <v>19</v>
      </c>
      <c r="B1063" t="inlineStr">
        <is>
          <t>K4-1B</t>
        </is>
      </c>
      <c r="D1063" t="n">
        <v>10.66</v>
      </c>
      <c r="E1063" t="n">
        <v>10.528</v>
      </c>
      <c r="F1063" t="n">
        <v>1115.616</v>
      </c>
      <c r="G1063" t="n">
        <v>117</v>
      </c>
      <c r="H1063">
        <f>E1063/F1063</f>
        <v/>
      </c>
      <c r="I1063">
        <f>((H1063-$J$1044)/$I$1044)</f>
        <v/>
      </c>
      <c r="J1063">
        <f>(I1063-IF(I1052&gt;0,I1052,0))</f>
        <v/>
      </c>
      <c r="K1063">
        <f>J1063/R1048*1.1</f>
        <v/>
      </c>
      <c r="Q1063" t="inlineStr">
        <is>
          <t>K3-2B</t>
        </is>
      </c>
      <c r="R1063" t="n">
        <v>1.198</v>
      </c>
    </row>
    <row r="1064">
      <c r="A1064" t="n">
        <v>20</v>
      </c>
      <c r="B1064" t="inlineStr">
        <is>
          <t>K4-1C</t>
        </is>
      </c>
      <c r="F1064" t="n">
        <v>1132.369</v>
      </c>
      <c r="H1064">
        <f>E1064/F1064</f>
        <v/>
      </c>
      <c r="I1064">
        <f>((H1064-$J$1044)/$I$1044)</f>
        <v/>
      </c>
      <c r="J1064">
        <f>(I1064-IF(I1052&gt;0,I1052,0))</f>
        <v/>
      </c>
      <c r="K1064">
        <f>J1064/R1049*1.1</f>
        <v/>
      </c>
      <c r="L1064" s="23" t="inlineStr">
        <is>
          <t>Average</t>
        </is>
      </c>
      <c r="M1064" s="23" t="inlineStr">
        <is>
          <t>Stdev</t>
        </is>
      </c>
      <c r="N1064" s="9" t="inlineStr">
        <is>
          <t>Combined</t>
        </is>
      </c>
      <c r="Q1064" t="inlineStr">
        <is>
          <t>K3-2C</t>
        </is>
      </c>
      <c r="R1064" t="n">
        <v>1.1538</v>
      </c>
    </row>
    <row r="1065">
      <c r="A1065" t="n">
        <v>21</v>
      </c>
      <c r="B1065" t="inlineStr">
        <is>
          <t>K4-2A</t>
        </is>
      </c>
      <c r="F1065" t="n">
        <v>1273.285</v>
      </c>
      <c r="H1065">
        <f>E1065/F1065</f>
        <v/>
      </c>
      <c r="I1065">
        <f>((H1065-$J$1044)/$I$1044)</f>
        <v/>
      </c>
      <c r="J1065">
        <f>(I1065-IF(I1052&gt;0,I1052,0))</f>
        <v/>
      </c>
      <c r="K1065">
        <f>J1065/R1050*1.1</f>
        <v/>
      </c>
      <c r="L1065">
        <f>AVERAGE(K1065:K1067)</f>
        <v/>
      </c>
      <c r="M1065">
        <f>STDEV(K1065:K1067)</f>
        <v/>
      </c>
      <c r="N1065">
        <f>_xlfn.CONCAT(ROUND(L1065,1)," ± ",ROUND(M1065,1))</f>
        <v/>
      </c>
      <c r="Q1065" t="inlineStr">
        <is>
          <t>K3-3A</t>
        </is>
      </c>
      <c r="R1065" t="n">
        <v>1.1183</v>
      </c>
    </row>
    <row r="1066">
      <c r="A1066" t="n">
        <v>22</v>
      </c>
      <c r="B1066" t="inlineStr">
        <is>
          <t>K4-2B</t>
        </is>
      </c>
      <c r="F1066" t="n">
        <v>979.547</v>
      </c>
      <c r="H1066">
        <f>E1066/F1066</f>
        <v/>
      </c>
      <c r="I1066">
        <f>((H1066-$J$1044)/$I$1044)</f>
        <v/>
      </c>
      <c r="J1066">
        <f>(I1066-IF(I1052&gt;0,I1052,0))</f>
        <v/>
      </c>
      <c r="K1066">
        <f>J1066/R1051*1.1</f>
        <v/>
      </c>
      <c r="Q1066" t="inlineStr">
        <is>
          <t>K3-3B</t>
        </is>
      </c>
      <c r="R1066" t="n">
        <v>1.1448</v>
      </c>
    </row>
    <row r="1067">
      <c r="A1067" t="n">
        <v>23</v>
      </c>
      <c r="B1067" t="inlineStr">
        <is>
          <t>K4-2C</t>
        </is>
      </c>
      <c r="F1067" t="n">
        <v>981.904</v>
      </c>
      <c r="H1067">
        <f>E1067/F1067</f>
        <v/>
      </c>
      <c r="I1067">
        <f>((H1067-$J$1044)/$I$1044)</f>
        <v/>
      </c>
      <c r="J1067">
        <f>(I1067-IF(I1052&gt;0,I1052,0))</f>
        <v/>
      </c>
      <c r="K1067">
        <f>J1067/R1052*1.1</f>
        <v/>
      </c>
      <c r="L1067" s="23" t="n"/>
      <c r="M1067" s="23" t="n"/>
      <c r="N1067" s="9" t="n"/>
      <c r="Q1067" t="inlineStr">
        <is>
          <t>K3-3C</t>
        </is>
      </c>
      <c r="R1067" t="n">
        <v>1.0493</v>
      </c>
    </row>
    <row r="1068">
      <c r="A1068" t="n">
        <v>24</v>
      </c>
      <c r="B1068" t="inlineStr">
        <is>
          <t>MeOH</t>
        </is>
      </c>
      <c r="F1068" t="n">
        <v>0</v>
      </c>
      <c r="L1068" s="23" t="inlineStr">
        <is>
          <t>Average</t>
        </is>
      </c>
      <c r="M1068" s="23" t="inlineStr">
        <is>
          <t>Stdev</t>
        </is>
      </c>
      <c r="N1068" s="9" t="inlineStr">
        <is>
          <t>Combined</t>
        </is>
      </c>
      <c r="Q1068" t="inlineStr">
        <is>
          <t>K3-4A</t>
        </is>
      </c>
      <c r="R1068" t="n">
        <v>1.0704</v>
      </c>
    </row>
    <row r="1069">
      <c r="A1069" t="n">
        <v>25</v>
      </c>
      <c r="B1069" t="inlineStr">
        <is>
          <t>K4-4A</t>
        </is>
      </c>
      <c r="D1069" t="n">
        <v>12.72</v>
      </c>
      <c r="E1069" t="n">
        <v>2.861</v>
      </c>
      <c r="F1069" t="n">
        <v>945.34</v>
      </c>
      <c r="G1069" t="n">
        <v>28</v>
      </c>
      <c r="H1069">
        <f>E1069/F1069</f>
        <v/>
      </c>
      <c r="I1069">
        <f>((H1069-$J$1044)/$I$1044)</f>
        <v/>
      </c>
      <c r="J1069">
        <f>(I1069-IF(I1052&gt;0,I1052,0))</f>
        <v/>
      </c>
      <c r="K1069">
        <f>J1069/R1053*1.1</f>
        <v/>
      </c>
      <c r="L1069">
        <f>AVERAGE(K1069:K1071)</f>
        <v/>
      </c>
      <c r="M1069">
        <f>STDEV(K1070:K1071)</f>
        <v/>
      </c>
      <c r="N1069">
        <f>_xlfn.CONCAT(ROUND(L1069,1)," ± ",ROUND(M1069,1))</f>
        <v/>
      </c>
      <c r="Q1069" t="inlineStr">
        <is>
          <t>K3-4B</t>
        </is>
      </c>
      <c r="R1069" t="n">
        <v>1.1589</v>
      </c>
    </row>
    <row r="1070">
      <c r="A1070" t="n">
        <v>26</v>
      </c>
      <c r="B1070" t="inlineStr">
        <is>
          <t>K4-4B</t>
        </is>
      </c>
      <c r="D1070" t="n">
        <v>9.77</v>
      </c>
      <c r="E1070" t="n">
        <v>1.056</v>
      </c>
      <c r="F1070" t="n">
        <v>779.129</v>
      </c>
      <c r="G1070" t="n">
        <v>12</v>
      </c>
      <c r="H1070">
        <f>E1070/F1070</f>
        <v/>
      </c>
      <c r="I1070">
        <f>((H1070-$J$1044)/$I$1044)</f>
        <v/>
      </c>
      <c r="J1070">
        <f>(I1070-IF(I1052&gt;0,I1052,0))</f>
        <v/>
      </c>
      <c r="K1070">
        <f>J1070/R1054*1.1</f>
        <v/>
      </c>
      <c r="Q1070" t="inlineStr">
        <is>
          <t>K3-4C</t>
        </is>
      </c>
      <c r="R1070" t="n">
        <v>1.0206</v>
      </c>
    </row>
    <row r="1071">
      <c r="A1071" t="n">
        <v>27</v>
      </c>
      <c r="B1071" t="inlineStr">
        <is>
          <t>K4-4C</t>
        </is>
      </c>
      <c r="F1071" t="n">
        <v>609.096</v>
      </c>
      <c r="H1071">
        <f>E1071/F1071</f>
        <v/>
      </c>
      <c r="I1071">
        <f>((H1071-$J$1044)/$I$1044)</f>
        <v/>
      </c>
      <c r="J1071">
        <f>(I1071-IF(I1052&gt;0,I1052,0))</f>
        <v/>
      </c>
      <c r="K1071">
        <f>J1071/R1055*1.1</f>
        <v/>
      </c>
      <c r="L1071" s="23" t="inlineStr">
        <is>
          <t>Average</t>
        </is>
      </c>
      <c r="M1071" s="23" t="inlineStr">
        <is>
          <t>Stdev</t>
        </is>
      </c>
      <c r="N1071" s="9" t="inlineStr">
        <is>
          <t>Combined</t>
        </is>
      </c>
      <c r="Q1071" t="inlineStr">
        <is>
          <t>K3-6A</t>
        </is>
      </c>
      <c r="R1071" t="n">
        <v>1.1289</v>
      </c>
    </row>
    <row r="1072">
      <c r="A1072" t="n">
        <v>28</v>
      </c>
      <c r="B1072" t="inlineStr">
        <is>
          <t>K4-5A</t>
        </is>
      </c>
      <c r="F1072" t="n">
        <v>865.3440000000001</v>
      </c>
      <c r="H1072">
        <f>E1072/F1072</f>
        <v/>
      </c>
      <c r="I1072">
        <f>((H1072-$J$1044)/$I$1044)</f>
        <v/>
      </c>
      <c r="J1072">
        <f>(I1072-IF(I1052&gt;0,I1052,0))</f>
        <v/>
      </c>
      <c r="K1072">
        <f>J1072/R1056*1.1</f>
        <v/>
      </c>
      <c r="L1072">
        <f>AVERAGE(K1072:K1074)</f>
        <v/>
      </c>
      <c r="M1072">
        <f>STDEV(K1072:K1074)</f>
        <v/>
      </c>
      <c r="N1072">
        <f>_xlfn.CONCAT(ROUND(L1072,1)," ± ",ROUND(M1072,1))</f>
        <v/>
      </c>
      <c r="Q1072" t="inlineStr">
        <is>
          <t>K3-6B</t>
        </is>
      </c>
      <c r="R1072" t="n">
        <v>1.195</v>
      </c>
    </row>
    <row r="1073">
      <c r="A1073" t="n">
        <v>29</v>
      </c>
      <c r="B1073" t="inlineStr">
        <is>
          <t>K4-5B</t>
        </is>
      </c>
      <c r="D1073" t="n">
        <v>10.06</v>
      </c>
      <c r="E1073" t="n">
        <v>3.992</v>
      </c>
      <c r="F1073" t="n">
        <v>1052.138</v>
      </c>
      <c r="G1073" t="n">
        <v>44</v>
      </c>
      <c r="H1073">
        <f>E1073/F1073</f>
        <v/>
      </c>
      <c r="I1073">
        <f>((H1073-$J$1044)/$I$1044)</f>
        <v/>
      </c>
      <c r="J1073">
        <f>(I1073-IF(I1052&gt;0,I1052,0))</f>
        <v/>
      </c>
      <c r="K1073">
        <f>J1073/R1057*1.1</f>
        <v/>
      </c>
      <c r="Q1073" t="inlineStr">
        <is>
          <t>K3-6C</t>
        </is>
      </c>
      <c r="R1073" t="n">
        <v>1.1716</v>
      </c>
    </row>
    <row r="1074">
      <c r="A1074" t="n">
        <v>30</v>
      </c>
      <c r="B1074" t="inlineStr">
        <is>
          <t>K4-5C</t>
        </is>
      </c>
      <c r="D1074" t="n">
        <v>12.09</v>
      </c>
      <c r="E1074" t="n">
        <v>30.4</v>
      </c>
      <c r="F1074" t="n">
        <v>1085.217</v>
      </c>
      <c r="G1074" t="n">
        <v>261</v>
      </c>
      <c r="H1074">
        <f>E1074/F1074</f>
        <v/>
      </c>
      <c r="I1074">
        <f>((H1074-$J$1044)/$I$1044)</f>
        <v/>
      </c>
      <c r="J1074">
        <f>(I1074-IF(I1052&gt;0,I1052,0))</f>
        <v/>
      </c>
      <c r="K1074">
        <f>J1074/R1058*1.1</f>
        <v/>
      </c>
      <c r="L1074" s="23" t="n"/>
      <c r="M1074" s="23" t="n"/>
      <c r="N1074" s="9" t="n"/>
    </row>
    <row r="1075">
      <c r="A1075" t="n">
        <v>31</v>
      </c>
      <c r="B1075" t="inlineStr">
        <is>
          <t>MeOH</t>
        </is>
      </c>
      <c r="F1075" t="n">
        <v>0</v>
      </c>
      <c r="L1075" s="23" t="inlineStr">
        <is>
          <t>Average</t>
        </is>
      </c>
      <c r="M1075" s="23" t="inlineStr">
        <is>
          <t>Stdev</t>
        </is>
      </c>
      <c r="N1075" s="9" t="inlineStr">
        <is>
          <t>Combined</t>
        </is>
      </c>
    </row>
    <row r="1076">
      <c r="A1076" t="n">
        <v>32</v>
      </c>
      <c r="B1076" t="inlineStr">
        <is>
          <t>K3-1A</t>
        </is>
      </c>
      <c r="D1076" t="n">
        <v>10.99</v>
      </c>
      <c r="E1076" t="n">
        <v>2.059</v>
      </c>
      <c r="F1076" t="n">
        <v>1109.893</v>
      </c>
      <c r="G1076" t="n">
        <v>20</v>
      </c>
      <c r="H1076">
        <f>E1076/F1076</f>
        <v/>
      </c>
      <c r="I1076">
        <f>((H1076-$J$1044)/$I$1044)</f>
        <v/>
      </c>
      <c r="J1076">
        <f>(I1076-IF(I1052&gt;0,I1052,0))</f>
        <v/>
      </c>
      <c r="K1076">
        <f>J1076/R1059*1.1</f>
        <v/>
      </c>
      <c r="L1076">
        <f>AVERAGE(K1076:K1078)</f>
        <v/>
      </c>
      <c r="M1076">
        <f>STDEV(K1077:K1078)</f>
        <v/>
      </c>
      <c r="N1076">
        <f>_xlfn.CONCAT(ROUND(L1076,1)," ± ",ROUND(M1076,1))</f>
        <v/>
      </c>
    </row>
    <row r="1077">
      <c r="A1077" t="n">
        <v>33</v>
      </c>
      <c r="B1077" t="inlineStr">
        <is>
          <t>K3-1B</t>
        </is>
      </c>
      <c r="D1077" t="n">
        <v>10.7</v>
      </c>
      <c r="E1077" t="n">
        <v>45.514</v>
      </c>
      <c r="F1077" t="n">
        <v>966.809</v>
      </c>
      <c r="G1077" t="n">
        <v>6.178</v>
      </c>
      <c r="H1077">
        <f>E1077/F1077</f>
        <v/>
      </c>
      <c r="I1077">
        <f>((H1077-$J$1044)/$I$1044)</f>
        <v/>
      </c>
      <c r="J1077">
        <f>(I1077-IF(I1052&gt;0,I1052,0))</f>
        <v/>
      </c>
      <c r="K1077">
        <f>J1077/R1060*1.1</f>
        <v/>
      </c>
    </row>
    <row r="1078">
      <c r="A1078" t="n">
        <v>34</v>
      </c>
      <c r="B1078" t="inlineStr">
        <is>
          <t>K3-1C</t>
        </is>
      </c>
      <c r="D1078" t="n">
        <v>12.2</v>
      </c>
      <c r="E1078" t="n">
        <v>4.177</v>
      </c>
      <c r="F1078" t="n">
        <v>1349.016</v>
      </c>
      <c r="G1078" t="n">
        <v>38</v>
      </c>
      <c r="H1078">
        <f>E1078/F1078</f>
        <v/>
      </c>
      <c r="I1078">
        <f>((H1078-$J$1044)/$I$1044)</f>
        <v/>
      </c>
      <c r="J1078">
        <f>(I1078-IF(I1052&gt;0,I1052,0))</f>
        <v/>
      </c>
      <c r="K1078">
        <f>J1078/R1061*1.1</f>
        <v/>
      </c>
      <c r="L1078" s="23" t="inlineStr">
        <is>
          <t>Average</t>
        </is>
      </c>
      <c r="M1078" s="23" t="inlineStr">
        <is>
          <t>Stdev</t>
        </is>
      </c>
      <c r="N1078" s="9" t="inlineStr">
        <is>
          <t>Combined</t>
        </is>
      </c>
    </row>
    <row r="1079">
      <c r="A1079" t="n">
        <v>35</v>
      </c>
      <c r="B1079" t="inlineStr">
        <is>
          <t>K3-2A</t>
        </is>
      </c>
      <c r="D1079" t="n">
        <v>12.83</v>
      </c>
      <c r="E1079" t="n">
        <v>3.659</v>
      </c>
      <c r="F1079" t="n">
        <v>1363.004</v>
      </c>
      <c r="G1079" t="n">
        <v>36</v>
      </c>
      <c r="H1079">
        <f>E1079/F1079</f>
        <v/>
      </c>
      <c r="I1079">
        <f>((H1079-$J$1044)/$I$1044)</f>
        <v/>
      </c>
      <c r="J1079">
        <f>(I1079-IF(I1052&gt;0,I1052,0))</f>
        <v/>
      </c>
      <c r="K1079">
        <f>J1079/R1062*1.1</f>
        <v/>
      </c>
      <c r="L1079">
        <f>AVERAGE(K1079:K1081)</f>
        <v/>
      </c>
      <c r="M1079">
        <f>STDEV(K1079:K1081)</f>
        <v/>
      </c>
      <c r="N1079">
        <f>_xlfn.CONCAT(ROUND(L1079,1)," ± ",ROUND(M1079,1))</f>
        <v/>
      </c>
    </row>
    <row r="1080">
      <c r="A1080" t="n">
        <v>36</v>
      </c>
      <c r="B1080" t="inlineStr">
        <is>
          <t>K3-2B</t>
        </is>
      </c>
      <c r="D1080" t="n">
        <v>9.720000000000001</v>
      </c>
      <c r="E1080" t="n">
        <v>2.813</v>
      </c>
      <c r="F1080" t="n">
        <v>1596.113</v>
      </c>
      <c r="G1080" t="n">
        <v>31</v>
      </c>
      <c r="H1080">
        <f>E1080/F1080</f>
        <v/>
      </c>
      <c r="I1080">
        <f>((H1080-$J$1044)/$I$1044)</f>
        <v/>
      </c>
      <c r="J1080">
        <f>(I1080-IF(I1052&gt;0,I1052,0))</f>
        <v/>
      </c>
      <c r="K1080">
        <f>J1080/R1063*1.1</f>
        <v/>
      </c>
    </row>
    <row r="1081">
      <c r="A1081" t="n">
        <v>37</v>
      </c>
      <c r="B1081" t="inlineStr">
        <is>
          <t>K3-2C</t>
        </is>
      </c>
      <c r="D1081" t="n">
        <v>11.21</v>
      </c>
      <c r="E1081" t="n">
        <v>24.471</v>
      </c>
      <c r="F1081" t="n">
        <v>1349.468</v>
      </c>
      <c r="G1081" t="n">
        <v>234</v>
      </c>
      <c r="H1081">
        <f>E1081/F1081</f>
        <v/>
      </c>
      <c r="I1081">
        <f>((H1081-$J$1044)/$I$1044)</f>
        <v/>
      </c>
      <c r="J1081">
        <f>(I1081-IF(I1052&gt;0,I1052,0))</f>
        <v/>
      </c>
      <c r="K1081">
        <f>J1081/R1064*1.1</f>
        <v/>
      </c>
      <c r="L1081" s="23" t="n"/>
      <c r="M1081" s="23" t="n"/>
      <c r="N1081" s="9" t="n"/>
    </row>
    <row r="1082">
      <c r="A1082" t="n">
        <v>38</v>
      </c>
      <c r="B1082" t="inlineStr">
        <is>
          <t>MeOH</t>
        </is>
      </c>
      <c r="F1082" t="n">
        <v>0</v>
      </c>
      <c r="L1082" s="23" t="inlineStr">
        <is>
          <t>Average</t>
        </is>
      </c>
      <c r="M1082" s="23" t="inlineStr">
        <is>
          <t>Stdev</t>
        </is>
      </c>
      <c r="N1082" s="9" t="inlineStr">
        <is>
          <t>Combined</t>
        </is>
      </c>
    </row>
    <row r="1083">
      <c r="A1083" t="n">
        <v>39</v>
      </c>
      <c r="B1083" t="inlineStr">
        <is>
          <t>K3-3A</t>
        </is>
      </c>
      <c r="D1083" t="n">
        <v>11.11</v>
      </c>
      <c r="E1083" t="n">
        <v>8.372999999999999</v>
      </c>
      <c r="F1083" t="n">
        <v>1225.294</v>
      </c>
      <c r="G1083" t="n">
        <v>82</v>
      </c>
      <c r="H1083">
        <f>E1083/F1083</f>
        <v/>
      </c>
      <c r="I1083">
        <f>((H1083-$J$1044)/$I$1044)</f>
        <v/>
      </c>
      <c r="J1083">
        <f>(I1083-IF(I1052&gt;0,I1052,0))</f>
        <v/>
      </c>
      <c r="K1083">
        <f>J1083/R1065*1.1</f>
        <v/>
      </c>
      <c r="L1083">
        <f>AVERAGE(K1083:K1085)</f>
        <v/>
      </c>
      <c r="M1083">
        <f>STDEV(K1084:K1085)</f>
        <v/>
      </c>
      <c r="N1083">
        <f>_xlfn.CONCAT(ROUND(L1083,1)," ± ",ROUND(M1083,1))</f>
        <v/>
      </c>
    </row>
    <row r="1084">
      <c r="A1084" t="n">
        <v>40</v>
      </c>
      <c r="B1084" t="inlineStr">
        <is>
          <t>K3-3B</t>
        </is>
      </c>
      <c r="F1084" t="n">
        <v>1218.475</v>
      </c>
      <c r="H1084">
        <f>E1084/F1084</f>
        <v/>
      </c>
      <c r="I1084">
        <f>((H1084-$J$1044)/$I$1044)</f>
        <v/>
      </c>
      <c r="J1084">
        <f>(I1084-IF(I1052&gt;0,I1052,0))</f>
        <v/>
      </c>
      <c r="K1084">
        <f>J1084/R1066*1.1</f>
        <v/>
      </c>
    </row>
    <row r="1085">
      <c r="A1085" t="n">
        <v>41</v>
      </c>
      <c r="B1085" t="inlineStr">
        <is>
          <t>K3-3C</t>
        </is>
      </c>
      <c r="D1085" t="n">
        <v>10.57</v>
      </c>
      <c r="E1085" t="n">
        <v>1.728</v>
      </c>
      <c r="F1085" t="n">
        <v>1309.716</v>
      </c>
      <c r="G1085" t="n">
        <v>20</v>
      </c>
      <c r="H1085">
        <f>E1085/F1085</f>
        <v/>
      </c>
      <c r="I1085">
        <f>((H1085-$J$1044)/$I$1044)</f>
        <v/>
      </c>
      <c r="J1085">
        <f>(I1085-IF(I1052&gt;0,I1052,0))</f>
        <v/>
      </c>
      <c r="K1085">
        <f>J1085/R1067*1.1</f>
        <v/>
      </c>
      <c r="L1085" s="23" t="inlineStr">
        <is>
          <t>Average</t>
        </is>
      </c>
      <c r="M1085" s="23" t="inlineStr">
        <is>
          <t>Stdev</t>
        </is>
      </c>
      <c r="N1085" s="9" t="inlineStr">
        <is>
          <t>Combined</t>
        </is>
      </c>
    </row>
    <row r="1086">
      <c r="A1086" t="n">
        <v>42</v>
      </c>
      <c r="B1086" t="inlineStr">
        <is>
          <t>K3-4A</t>
        </is>
      </c>
      <c r="F1086" t="n">
        <v>1283.354</v>
      </c>
      <c r="H1086">
        <f>E1086/F1086</f>
        <v/>
      </c>
      <c r="I1086">
        <f>((H1086-$J$1044)/$I$1044)</f>
        <v/>
      </c>
      <c r="J1086">
        <f>(I1086-IF(I1052&gt;0,I1052,0))</f>
        <v/>
      </c>
      <c r="K1086">
        <f>J1086/R1068*1.1</f>
        <v/>
      </c>
      <c r="L1086">
        <f>AVERAGE(K1086:K1088)</f>
        <v/>
      </c>
      <c r="M1086">
        <f>STDEV(K1086:K1088)</f>
        <v/>
      </c>
      <c r="N1086">
        <f>_xlfn.CONCAT(ROUND(L1086,1)," ± ",ROUND(M1086,1))</f>
        <v/>
      </c>
    </row>
    <row r="1087">
      <c r="A1087" t="n">
        <v>43</v>
      </c>
      <c r="B1087" t="inlineStr">
        <is>
          <t>K3-4B</t>
        </is>
      </c>
      <c r="D1087" t="n">
        <v>10.89</v>
      </c>
      <c r="E1087" t="n">
        <v>34.694</v>
      </c>
      <c r="F1087" t="n">
        <v>1424.072</v>
      </c>
      <c r="G1087" t="n">
        <v>2.902</v>
      </c>
      <c r="H1087">
        <f>E1087/F1087</f>
        <v/>
      </c>
      <c r="I1087">
        <f>((H1087-$J$1044)/$I$1044)</f>
        <v/>
      </c>
      <c r="J1087">
        <f>(I1087-IF(I1052&gt;0,I1052,0))</f>
        <v/>
      </c>
      <c r="K1087">
        <f>J1087/R1069*1.1</f>
        <v/>
      </c>
    </row>
    <row r="1088">
      <c r="A1088" t="n">
        <v>44</v>
      </c>
      <c r="B1088" t="inlineStr">
        <is>
          <t>K3-4C</t>
        </is>
      </c>
      <c r="D1088" t="n">
        <v>12.31</v>
      </c>
      <c r="E1088" t="n">
        <v>0.8100000000000001</v>
      </c>
      <c r="F1088" t="n">
        <v>1425.145</v>
      </c>
      <c r="G1088" t="n">
        <v>8</v>
      </c>
      <c r="H1088">
        <f>E1088/F1088</f>
        <v/>
      </c>
      <c r="I1088">
        <f>((H1088-$J$1044)/$I$1044)</f>
        <v/>
      </c>
      <c r="J1088">
        <f>(I1088-IF(I1052&gt;0,I1052,0))</f>
        <v/>
      </c>
      <c r="K1088">
        <f>J1088/R1070*1.1</f>
        <v/>
      </c>
      <c r="L1088" s="23" t="n"/>
      <c r="M1088" s="23" t="n"/>
      <c r="N1088" s="9" t="n"/>
    </row>
    <row r="1089">
      <c r="A1089" t="n">
        <v>45</v>
      </c>
      <c r="B1089" t="inlineStr">
        <is>
          <t>MeOH</t>
        </is>
      </c>
      <c r="F1089" t="n">
        <v>5.694</v>
      </c>
      <c r="L1089" s="23" t="inlineStr">
        <is>
          <t>Average</t>
        </is>
      </c>
      <c r="M1089" s="23" t="inlineStr">
        <is>
          <t>Stdev</t>
        </is>
      </c>
      <c r="N1089" s="9" t="inlineStr">
        <is>
          <t>Combined</t>
        </is>
      </c>
    </row>
    <row r="1090">
      <c r="A1090" t="n">
        <v>46</v>
      </c>
      <c r="B1090" t="inlineStr">
        <is>
          <t>K3-6A</t>
        </is>
      </c>
      <c r="F1090" t="n">
        <v>1359.244</v>
      </c>
      <c r="H1090">
        <f>E1090/F1090</f>
        <v/>
      </c>
      <c r="I1090">
        <f>((H1090-$J$1044)/$I$1044)</f>
        <v/>
      </c>
      <c r="J1090">
        <f>(I1090-IF(I1052&gt;0,I1052,0))</f>
        <v/>
      </c>
      <c r="K1090">
        <f>J1090/R1071*1.1</f>
        <v/>
      </c>
      <c r="L1090">
        <f>AVERAGE(K1090:K1092)</f>
        <v/>
      </c>
      <c r="M1090">
        <f>STDEV(K1091:K1092)</f>
        <v/>
      </c>
      <c r="N1090">
        <f>_xlfn.CONCAT(ROUND(L1090,1)," ± ",ROUND(M1090,1))</f>
        <v/>
      </c>
    </row>
    <row r="1091">
      <c r="A1091" t="n">
        <v>47</v>
      </c>
      <c r="B1091" t="inlineStr">
        <is>
          <t>K3-6B</t>
        </is>
      </c>
      <c r="D1091" t="n">
        <v>12.51</v>
      </c>
      <c r="E1091" t="n">
        <v>0.553</v>
      </c>
      <c r="F1091" t="n">
        <v>1118.555</v>
      </c>
      <c r="G1091" t="n">
        <v>5</v>
      </c>
      <c r="H1091">
        <f>E1091/F1091</f>
        <v/>
      </c>
      <c r="I1091">
        <f>((H1091-$J$1044)/$I$1044)</f>
        <v/>
      </c>
      <c r="J1091">
        <f>(I1091-IF(I1052&gt;0,I1052,0))</f>
        <v/>
      </c>
      <c r="K1091">
        <f>J1091/R1072*1.1</f>
        <v/>
      </c>
    </row>
    <row r="1092">
      <c r="A1092" t="n">
        <v>48</v>
      </c>
      <c r="B1092" t="inlineStr">
        <is>
          <t>K3-6C</t>
        </is>
      </c>
      <c r="D1092" t="n">
        <v>10.82</v>
      </c>
      <c r="E1092" t="n">
        <v>5.258</v>
      </c>
      <c r="F1092" t="n">
        <v>1259.911</v>
      </c>
      <c r="G1092" t="n">
        <v>53</v>
      </c>
      <c r="H1092">
        <f>E1092/F1092</f>
        <v/>
      </c>
      <c r="I1092">
        <f>((H1092-$J$1044)/$I$1044)</f>
        <v/>
      </c>
      <c r="J1092">
        <f>(I1092-IF(I1052&gt;0,I1052,0))</f>
        <v/>
      </c>
      <c r="K1092">
        <f>J1092/R1073*1.1</f>
        <v/>
      </c>
      <c r="L1092" s="23" t="n"/>
      <c r="M1092" s="23" t="n"/>
      <c r="N1092" s="9" t="n"/>
    </row>
    <row r="1094">
      <c r="A1094" s="15" t="inlineStr">
        <is>
          <t>Compound 44:  PFHxS 1</t>
        </is>
      </c>
      <c r="B1094" s="15" t="n"/>
    </row>
    <row r="1095">
      <c r="I1095" t="inlineStr">
        <is>
          <t>LINEST</t>
        </is>
      </c>
      <c r="Q1095" t="inlineStr">
        <is>
          <t>Biosolids Masses</t>
        </is>
      </c>
      <c r="R1095" t="inlineStr">
        <is>
          <t>(g)</t>
        </is>
      </c>
    </row>
    <row r="1096">
      <c r="B1096" t="inlineStr">
        <is>
          <t>Sample Text</t>
        </is>
      </c>
      <c r="C1096" t="inlineStr">
        <is>
          <t>Std. Conc</t>
        </is>
      </c>
      <c r="D1096" t="inlineStr">
        <is>
          <t>RT</t>
        </is>
      </c>
      <c r="E1096" t="inlineStr">
        <is>
          <t>Area</t>
        </is>
      </c>
      <c r="F1096" t="inlineStr">
        <is>
          <t>IS Area</t>
        </is>
      </c>
      <c r="G1096" t="inlineStr">
        <is>
          <t>S/N</t>
        </is>
      </c>
      <c r="H1096" t="inlineStr">
        <is>
          <t>ratio</t>
        </is>
      </c>
      <c r="I1096">
        <f t="array" ref="I1096:J1100">LINEST(H1100:H1104,C1100:C1104,1,1)</f>
        <v/>
      </c>
      <c r="J1096" t="n">
        <v>-0.2732027125001868</v>
      </c>
      <c r="L1096" s="20" t="inlineStr">
        <is>
          <t>By S/N Ratio</t>
        </is>
      </c>
      <c r="Q1096" t="inlineStr">
        <is>
          <t>SS1</t>
        </is>
      </c>
      <c r="R1096" t="n">
        <v>1.0846</v>
      </c>
    </row>
    <row r="1097">
      <c r="A1097" t="n">
        <v>1</v>
      </c>
      <c r="B1097" t="inlineStr">
        <is>
          <t>EPA1633 &amp; diPAPs Calibration 0 ppb</t>
        </is>
      </c>
      <c r="C1097" t="n">
        <v>0</v>
      </c>
      <c r="F1097" t="n">
        <v>1480.336</v>
      </c>
      <c r="H1097">
        <f>E1097/F1097</f>
        <v/>
      </c>
      <c r="I1097" t="n">
        <v>0.01673795116389274</v>
      </c>
      <c r="J1097" t="n">
        <v>0.1717023379352663</v>
      </c>
      <c r="K1097" t="inlineStr">
        <is>
          <t>LOD</t>
        </is>
      </c>
      <c r="L1097" s="21">
        <f>IF(G1100&gt;3,C1100,IF(G1101&gt;3,C1101,IF(G1102&gt;3,C1102,IF(G1103&gt;3,C1103,C1104))))</f>
        <v/>
      </c>
      <c r="Q1097" t="inlineStr">
        <is>
          <t>SS2</t>
        </is>
      </c>
      <c r="R1097" t="n">
        <v>1.0726</v>
      </c>
    </row>
    <row r="1098">
      <c r="A1098" t="n">
        <v>2</v>
      </c>
      <c r="B1098" t="inlineStr">
        <is>
          <t>EPA1633 &amp; diPAPs Calibration 0.02 ppb</t>
        </is>
      </c>
      <c r="C1098" t="n">
        <v>0.02</v>
      </c>
      <c r="D1098" t="n">
        <v>10.79</v>
      </c>
      <c r="E1098" t="n">
        <v>10.805</v>
      </c>
      <c r="F1098" t="n">
        <v>1118.817</v>
      </c>
      <c r="G1098" t="n">
        <v>3.413</v>
      </c>
      <c r="H1098">
        <f>E1098/F1098</f>
        <v/>
      </c>
      <c r="I1098" t="n">
        <v>0.9900840820091201</v>
      </c>
      <c r="J1098" t="n">
        <v>0.2704968911199679</v>
      </c>
      <c r="K1098" t="inlineStr">
        <is>
          <t>LOQ</t>
        </is>
      </c>
      <c r="L1098" s="22">
        <f>IF(G1098&gt;10,C1098,IF(G1099&gt;10,C1099,IF(G1100&gt;10,C1100,IF(G1101&gt;10,C1101,C1102))))</f>
        <v/>
      </c>
      <c r="Q1098" t="inlineStr">
        <is>
          <t>SS3</t>
        </is>
      </c>
      <c r="R1098" t="n">
        <v>1.1534</v>
      </c>
    </row>
    <row r="1099">
      <c r="A1099" t="n">
        <v>3</v>
      </c>
      <c r="B1099" t="inlineStr">
        <is>
          <t>EPA1633 &amp; diPAPs Calibration 0.1 ppb</t>
        </is>
      </c>
      <c r="C1099" t="n">
        <v>0.1</v>
      </c>
      <c r="F1099" t="n">
        <v>1446.88</v>
      </c>
      <c r="H1099">
        <f>E1099/F1099</f>
        <v/>
      </c>
      <c r="I1099" t="n">
        <v>299.5438494710439</v>
      </c>
      <c r="J1099" t="n">
        <v>3</v>
      </c>
      <c r="Q1099" t="inlineStr">
        <is>
          <t>K4-1A</t>
        </is>
      </c>
      <c r="R1099" t="n">
        <v>1.0267</v>
      </c>
    </row>
    <row r="1100">
      <c r="A1100" t="n">
        <v>4</v>
      </c>
      <c r="B1100" t="inlineStr">
        <is>
          <t>EPA1633 &amp; diPAPs Calibration 0.4 ppb</t>
        </is>
      </c>
      <c r="C1100" t="n">
        <v>0.4</v>
      </c>
      <c r="D1100" t="n">
        <v>10.77</v>
      </c>
      <c r="E1100" t="n">
        <v>44.754</v>
      </c>
      <c r="F1100" t="n">
        <v>1124.702</v>
      </c>
      <c r="G1100" t="n">
        <v>3.874</v>
      </c>
      <c r="H1100">
        <f>E1100/F1100</f>
        <v/>
      </c>
      <c r="I1100" t="n">
        <v>21.91719455062601</v>
      </c>
      <c r="J1100" t="n">
        <v>0.2195057043167032</v>
      </c>
      <c r="Q1100" t="inlineStr">
        <is>
          <t>K4-1B</t>
        </is>
      </c>
      <c r="R1100" t="n">
        <v>1.1481</v>
      </c>
    </row>
    <row r="1101">
      <c r="A1101" t="n">
        <v>5</v>
      </c>
      <c r="B1101" t="inlineStr">
        <is>
          <t>EPA1633 &amp; diPAPs Calibration 1 ppb</t>
        </is>
      </c>
      <c r="C1101" t="n">
        <v>1</v>
      </c>
      <c r="D1101" t="n">
        <v>10.78</v>
      </c>
      <c r="E1101" t="n">
        <v>254.433</v>
      </c>
      <c r="F1101" t="n">
        <v>1632.484</v>
      </c>
      <c r="G1101" t="n">
        <v>2283</v>
      </c>
      <c r="H1101">
        <f>E1101/F1101</f>
        <v/>
      </c>
      <c r="Q1101" t="inlineStr">
        <is>
          <t>K4-1C</t>
        </is>
      </c>
      <c r="R1101" t="n">
        <v>1.0402</v>
      </c>
    </row>
    <row r="1102">
      <c r="A1102" t="n">
        <v>6</v>
      </c>
      <c r="B1102" t="inlineStr">
        <is>
          <t>EPA1633 &amp; diPAPs Calibration 5 ppb</t>
        </is>
      </c>
      <c r="C1102" t="n">
        <v>5</v>
      </c>
      <c r="D1102" t="n">
        <v>10.66</v>
      </c>
      <c r="E1102" t="n">
        <v>1105.536</v>
      </c>
      <c r="F1102" t="n">
        <v>1363.196</v>
      </c>
      <c r="G1102" t="n">
        <v>10.591</v>
      </c>
      <c r="H1102">
        <f>E1102/F1102</f>
        <v/>
      </c>
      <c r="Q1102" t="inlineStr">
        <is>
          <t>K4-2A</t>
        </is>
      </c>
      <c r="R1102" t="n">
        <v>1.127</v>
      </c>
    </row>
    <row r="1103">
      <c r="A1103" t="n">
        <v>7</v>
      </c>
      <c r="B1103" t="inlineStr">
        <is>
          <t>EPA1633 &amp; diPAPs Calibration 10 ppb</t>
        </is>
      </c>
      <c r="C1103" t="n">
        <v>10</v>
      </c>
      <c r="D1103" t="n">
        <v>10.71</v>
      </c>
      <c r="E1103" t="n">
        <v>2448.87</v>
      </c>
      <c r="F1103" t="n">
        <v>972.191</v>
      </c>
      <c r="G1103" t="n">
        <v>2132.788</v>
      </c>
      <c r="H1103">
        <f>E1103/F1103</f>
        <v/>
      </c>
      <c r="I1103" s="23" t="inlineStr">
        <is>
          <t>Background</t>
        </is>
      </c>
      <c r="J1103" s="23" t="inlineStr">
        <is>
          <t>Spike</t>
        </is>
      </c>
      <c r="K1103" s="9" t="inlineStr">
        <is>
          <t>Old Spike</t>
        </is>
      </c>
      <c r="O1103" s="24" t="inlineStr">
        <is>
          <t>±</t>
        </is>
      </c>
      <c r="Q1103" t="inlineStr">
        <is>
          <t>K4-2B</t>
        </is>
      </c>
      <c r="R1103" t="n">
        <v>1.1154</v>
      </c>
    </row>
    <row r="1104">
      <c r="A1104" t="n">
        <v>8</v>
      </c>
      <c r="B1104" t="inlineStr">
        <is>
          <t>EPA1633 &amp; diPAPs Calibration 20 ppb</t>
        </is>
      </c>
      <c r="C1104" t="n">
        <v>20</v>
      </c>
      <c r="D1104" t="n">
        <v>10.74</v>
      </c>
      <c r="E1104" t="n">
        <v>5448.152</v>
      </c>
      <c r="F1104" t="n">
        <v>963.742</v>
      </c>
      <c r="G1104" t="n">
        <v>231.678</v>
      </c>
      <c r="H1104">
        <f>E1104/F1104</f>
        <v/>
      </c>
      <c r="I1104">
        <f>AVERAGE(I1107:I1109)</f>
        <v/>
      </c>
      <c r="J1104" t="n">
        <v>11</v>
      </c>
      <c r="Q1104" t="inlineStr">
        <is>
          <t>K4-2C</t>
        </is>
      </c>
      <c r="R1104" t="n">
        <v>1.1711</v>
      </c>
    </row>
    <row r="1105">
      <c r="A1105" t="n">
        <v>9</v>
      </c>
      <c r="B1105" t="inlineStr">
        <is>
          <t>MeOH</t>
        </is>
      </c>
      <c r="I1105" s="23" t="inlineStr">
        <is>
          <t>Conc.In Vial (ppb)</t>
        </is>
      </c>
      <c r="J1105" s="9" t="inlineStr">
        <is>
          <t>Corr. Conc.(ppb)</t>
        </is>
      </c>
      <c r="K1105" s="9" t="inlineStr">
        <is>
          <t>Conc. In soil (ng/g)</t>
        </is>
      </c>
      <c r="Q1105" t="inlineStr">
        <is>
          <t>K4-4A</t>
        </is>
      </c>
      <c r="R1105" t="n">
        <v>1.0932</v>
      </c>
    </row>
    <row r="1106">
      <c r="A1106" t="n">
        <v>10</v>
      </c>
      <c r="B1106" t="inlineStr">
        <is>
          <t>MeOH</t>
        </is>
      </c>
      <c r="L1106" s="23" t="inlineStr">
        <is>
          <t>Average</t>
        </is>
      </c>
      <c r="M1106" s="23" t="inlineStr">
        <is>
          <t>Stdev</t>
        </is>
      </c>
      <c r="N1106" s="9" t="inlineStr">
        <is>
          <t>Combined</t>
        </is>
      </c>
      <c r="O1106" s="9" t="n"/>
      <c r="P1106" s="9" t="n"/>
      <c r="Q1106" t="inlineStr">
        <is>
          <t>K4-4B</t>
        </is>
      </c>
      <c r="R1106" t="n">
        <v>1.15</v>
      </c>
    </row>
    <row r="1107">
      <c r="A1107" t="n">
        <v>11</v>
      </c>
      <c r="B1107" t="inlineStr">
        <is>
          <t>SB1</t>
        </is>
      </c>
      <c r="D1107" t="n">
        <v>10.64</v>
      </c>
      <c r="E1107" t="n">
        <v>0.637</v>
      </c>
      <c r="F1107" t="n">
        <v>517.296</v>
      </c>
      <c r="G1107" t="n">
        <v>7</v>
      </c>
      <c r="H1107">
        <f>E1107/F1107</f>
        <v/>
      </c>
      <c r="I1107">
        <f>((H1107-$J$1096)/$I$1096)</f>
        <v/>
      </c>
      <c r="J1107">
        <f>(I1107-IF(I1104&gt;0,I1104,0))</f>
        <v/>
      </c>
      <c r="K1107">
        <f>J1107*1.1</f>
        <v/>
      </c>
      <c r="L1107">
        <f>AVERAGE(K1107:K1109)</f>
        <v/>
      </c>
      <c r="M1107">
        <f>STDEV(K1108:K1109)</f>
        <v/>
      </c>
      <c r="N1107">
        <f>_xlfn.CONCAT(ROUND(L1107,1)," ± ",ROUND(M1107,1))</f>
        <v/>
      </c>
      <c r="Q1107" t="inlineStr">
        <is>
          <t>K4-4C</t>
        </is>
      </c>
      <c r="R1107" t="n">
        <v>1.0482</v>
      </c>
    </row>
    <row r="1108">
      <c r="A1108" t="n">
        <v>12</v>
      </c>
      <c r="B1108" t="inlineStr">
        <is>
          <t>SB2</t>
        </is>
      </c>
      <c r="F1108" t="n">
        <v>658.292</v>
      </c>
      <c r="H1108">
        <f>E1108/F1108</f>
        <v/>
      </c>
      <c r="I1108">
        <f>((H1108-$J$1096)/$I$1096)</f>
        <v/>
      </c>
      <c r="J1108">
        <f>(I1108-IF(I1104&gt;0,I1104,0))</f>
        <v/>
      </c>
      <c r="K1108">
        <f>J1108*1.1</f>
        <v/>
      </c>
      <c r="Q1108" t="inlineStr">
        <is>
          <t>K4-5A</t>
        </is>
      </c>
      <c r="R1108" t="n">
        <v>1.1054</v>
      </c>
    </row>
    <row r="1109">
      <c r="A1109" t="n">
        <v>13</v>
      </c>
      <c r="B1109" t="inlineStr">
        <is>
          <t>SB3</t>
        </is>
      </c>
      <c r="D1109" t="n">
        <v>10.76</v>
      </c>
      <c r="E1109" t="n">
        <v>1.829</v>
      </c>
      <c r="F1109" t="n">
        <v>554.321</v>
      </c>
      <c r="G1109" t="n">
        <v>20</v>
      </c>
      <c r="H1109">
        <f>E1109/F1109</f>
        <v/>
      </c>
      <c r="I1109">
        <f>((H1109-$J$1096)/$I$1096)</f>
        <v/>
      </c>
      <c r="J1109">
        <f>(I1109-IF(I1104&gt;0,I1104,0))</f>
        <v/>
      </c>
      <c r="K1109" s="30">
        <f>J1109*1.1</f>
        <v/>
      </c>
      <c r="L1109" s="25" t="inlineStr">
        <is>
          <t>Average</t>
        </is>
      </c>
      <c r="M1109" s="25" t="inlineStr">
        <is>
          <t>Stdev</t>
        </is>
      </c>
      <c r="N1109" s="26" t="inlineStr">
        <is>
          <t>%Recovery</t>
        </is>
      </c>
      <c r="O1109" s="26" t="inlineStr">
        <is>
          <t>Uncertainty</t>
        </is>
      </c>
      <c r="P1109" s="26" t="inlineStr">
        <is>
          <t>Combined</t>
        </is>
      </c>
      <c r="Q1109" t="inlineStr">
        <is>
          <t>K4-5B</t>
        </is>
      </c>
      <c r="R1109" s="10" t="n">
        <v>1.0463</v>
      </c>
    </row>
    <row r="1110">
      <c r="A1110" t="n">
        <v>14</v>
      </c>
      <c r="B1110" t="inlineStr">
        <is>
          <t>SS1</t>
        </is>
      </c>
      <c r="D1110" t="n">
        <v>10.82</v>
      </c>
      <c r="E1110" t="n">
        <v>801.996</v>
      </c>
      <c r="F1110" t="n">
        <v>423.941</v>
      </c>
      <c r="G1110" t="n">
        <v>6615</v>
      </c>
      <c r="H1110">
        <f>E1110/F1110</f>
        <v/>
      </c>
      <c r="I1110">
        <f>((H1110-$J$1096)/$I$1096)</f>
        <v/>
      </c>
      <c r="J1110">
        <f>(I1110-IF(I1104&gt;0,I1104,0))</f>
        <v/>
      </c>
      <c r="K1110">
        <f>J1110/R1096*1.1</f>
        <v/>
      </c>
      <c r="L1110" s="27">
        <f>AVERAGE(K1110:K1112)</f>
        <v/>
      </c>
      <c r="M1110" s="27">
        <f>STDEV(K1110:K1112)</f>
        <v/>
      </c>
      <c r="N1110" s="28">
        <f>L1110/J1104*100</f>
        <v/>
      </c>
      <c r="O1110" s="29">
        <f>M1110/J1107*100</f>
        <v/>
      </c>
      <c r="P1110" s="29">
        <f>_xlfn.CONCAT(ROUND(N1110,1)," ± ",ROUND(O1110,1))</f>
        <v/>
      </c>
      <c r="Q1110" t="inlineStr">
        <is>
          <t>K4-5C</t>
        </is>
      </c>
      <c r="R1110" t="n">
        <v>1.1155</v>
      </c>
    </row>
    <row r="1111">
      <c r="A1111" t="n">
        <v>15</v>
      </c>
      <c r="B1111" t="inlineStr">
        <is>
          <t>SS2</t>
        </is>
      </c>
      <c r="D1111" t="n">
        <v>10.84</v>
      </c>
      <c r="E1111" t="n">
        <v>1114.078</v>
      </c>
      <c r="F1111" t="n">
        <v>665.876</v>
      </c>
      <c r="G1111" t="n">
        <v>46.73</v>
      </c>
      <c r="H1111">
        <f>E1111/F1111</f>
        <v/>
      </c>
      <c r="I1111">
        <f>((H1111-$J$1096)/$I$1096)</f>
        <v/>
      </c>
      <c r="J1111">
        <f>(I1111-IF(I1104&gt;0,I1104,0))</f>
        <v/>
      </c>
      <c r="K1111">
        <f>J1111/R1097*1.1</f>
        <v/>
      </c>
      <c r="Q1111" t="inlineStr">
        <is>
          <t>K3-1A</t>
        </is>
      </c>
      <c r="R1111" t="n">
        <v>1.0874</v>
      </c>
    </row>
    <row r="1112">
      <c r="A1112" t="n">
        <v>16</v>
      </c>
      <c r="B1112" t="inlineStr">
        <is>
          <t>SS3</t>
        </is>
      </c>
      <c r="D1112" t="n">
        <v>10.84</v>
      </c>
      <c r="E1112" t="n">
        <v>1220.243</v>
      </c>
      <c r="F1112" t="n">
        <v>514.421</v>
      </c>
      <c r="G1112" t="n">
        <v>71.35899999999999</v>
      </c>
      <c r="H1112">
        <f>E1112/F1112</f>
        <v/>
      </c>
      <c r="I1112">
        <f>((H1112-$J$1096)/$I$1096)</f>
        <v/>
      </c>
      <c r="J1112">
        <f>(I1112-IF(I1104&gt;0,I1104,0))</f>
        <v/>
      </c>
      <c r="K1112" s="30">
        <f>J1112/R1098*1.1</f>
        <v/>
      </c>
      <c r="Q1112" t="inlineStr">
        <is>
          <t>K3-1B</t>
        </is>
      </c>
      <c r="R1112" t="n">
        <v>1.0898</v>
      </c>
    </row>
    <row r="1113">
      <c r="A1113" t="n">
        <v>17</v>
      </c>
      <c r="B1113" t="inlineStr">
        <is>
          <t>MeOH</t>
        </is>
      </c>
      <c r="L1113" s="23" t="inlineStr">
        <is>
          <t>Average</t>
        </is>
      </c>
      <c r="M1113" s="23" t="inlineStr">
        <is>
          <t>Stdev</t>
        </is>
      </c>
      <c r="N1113" s="9" t="inlineStr">
        <is>
          <t>Combined</t>
        </is>
      </c>
      <c r="Q1113" t="inlineStr">
        <is>
          <t>K3-1C</t>
        </is>
      </c>
      <c r="R1113" t="n">
        <v>1.0536</v>
      </c>
    </row>
    <row r="1114">
      <c r="A1114" t="n">
        <v>18</v>
      </c>
      <c r="B1114" t="inlineStr">
        <is>
          <t>K4-1A</t>
        </is>
      </c>
      <c r="F1114" t="n">
        <v>562.856</v>
      </c>
      <c r="H1114">
        <f>E1114/F1114</f>
        <v/>
      </c>
      <c r="I1114">
        <f>((H1114-$J$1096)/$I$1096)</f>
        <v/>
      </c>
      <c r="J1114">
        <f>(I1114-IF(I1104&gt;0,I1104,0))</f>
        <v/>
      </c>
      <c r="K1114">
        <f>J1114/R1099*1.1</f>
        <v/>
      </c>
      <c r="L1114">
        <f>AVERAGE(K1114:K1116)</f>
        <v/>
      </c>
      <c r="M1114">
        <f>STDEV(K1115:K1116)</f>
        <v/>
      </c>
      <c r="N1114">
        <f>_xlfn.CONCAT(ROUND(L1114,1)," ± ",ROUND(M1114,1))</f>
        <v/>
      </c>
      <c r="Q1114" t="inlineStr">
        <is>
          <t>K3-2A</t>
        </is>
      </c>
      <c r="R1114" s="10" t="n">
        <v>1.1218</v>
      </c>
    </row>
    <row r="1115">
      <c r="A1115" t="n">
        <v>19</v>
      </c>
      <c r="B1115" t="inlineStr">
        <is>
          <t>K4-1B</t>
        </is>
      </c>
      <c r="D1115" t="n">
        <v>10.8</v>
      </c>
      <c r="E1115" t="n">
        <v>2.49</v>
      </c>
      <c r="F1115" t="n">
        <v>709.3200000000001</v>
      </c>
      <c r="G1115" t="n">
        <v>26</v>
      </c>
      <c r="H1115">
        <f>E1115/F1115</f>
        <v/>
      </c>
      <c r="I1115">
        <f>((H1115-$J$1096)/$I$1096)</f>
        <v/>
      </c>
      <c r="J1115">
        <f>(I1115-IF(I1104&gt;0,I1104,0))</f>
        <v/>
      </c>
      <c r="K1115">
        <f>J1115/R1100*1.1</f>
        <v/>
      </c>
      <c r="Q1115" t="inlineStr">
        <is>
          <t>K3-2B</t>
        </is>
      </c>
      <c r="R1115" t="n">
        <v>1.198</v>
      </c>
    </row>
    <row r="1116">
      <c r="A1116" t="n">
        <v>20</v>
      </c>
      <c r="B1116" t="inlineStr">
        <is>
          <t>K4-1C</t>
        </is>
      </c>
      <c r="F1116" t="n">
        <v>545.8630000000001</v>
      </c>
      <c r="H1116">
        <f>E1116/F1116</f>
        <v/>
      </c>
      <c r="I1116">
        <f>((H1116-$J$1096)/$I$1096)</f>
        <v/>
      </c>
      <c r="J1116">
        <f>(I1116-IF(I1104&gt;0,I1104,0))</f>
        <v/>
      </c>
      <c r="K1116">
        <f>J1116/R1101*1.1</f>
        <v/>
      </c>
      <c r="L1116" s="23" t="inlineStr">
        <is>
          <t>Average</t>
        </is>
      </c>
      <c r="M1116" s="23" t="inlineStr">
        <is>
          <t>Stdev</t>
        </is>
      </c>
      <c r="N1116" s="9" t="inlineStr">
        <is>
          <t>Combined</t>
        </is>
      </c>
      <c r="Q1116" t="inlineStr">
        <is>
          <t>K3-2C</t>
        </is>
      </c>
      <c r="R1116" t="n">
        <v>1.1538</v>
      </c>
    </row>
    <row r="1117">
      <c r="A1117" t="n">
        <v>21</v>
      </c>
      <c r="B1117" t="inlineStr">
        <is>
          <t>K4-2A</t>
        </is>
      </c>
      <c r="D1117" t="n">
        <v>10.86</v>
      </c>
      <c r="E1117" t="n">
        <v>13.287</v>
      </c>
      <c r="F1117" t="n">
        <v>889.295</v>
      </c>
      <c r="G1117" t="n">
        <v>129</v>
      </c>
      <c r="H1117">
        <f>E1117/F1117</f>
        <v/>
      </c>
      <c r="I1117">
        <f>((H1117-$J$1096)/$I$1096)</f>
        <v/>
      </c>
      <c r="J1117">
        <f>(I1117-IF(I1104&gt;0,I1104,0))</f>
        <v/>
      </c>
      <c r="K1117">
        <f>J1117/R1102*1.1</f>
        <v/>
      </c>
      <c r="L1117">
        <f>AVERAGE(K1117:K1119)</f>
        <v/>
      </c>
      <c r="M1117">
        <f>STDEV(K1117:K1119)</f>
        <v/>
      </c>
      <c r="N1117">
        <f>_xlfn.CONCAT(ROUND(L1117,1)," ± ",ROUND(M1117,1))</f>
        <v/>
      </c>
      <c r="Q1117" t="inlineStr">
        <is>
          <t>K3-3A</t>
        </is>
      </c>
      <c r="R1117" t="n">
        <v>1.1183</v>
      </c>
    </row>
    <row r="1118">
      <c r="A1118" t="n">
        <v>22</v>
      </c>
      <c r="B1118" t="inlineStr">
        <is>
          <t>K4-2B</t>
        </is>
      </c>
      <c r="F1118" t="n">
        <v>819.534</v>
      </c>
      <c r="H1118">
        <f>E1118/F1118</f>
        <v/>
      </c>
      <c r="I1118">
        <f>((H1118-$J$1096)/$I$1096)</f>
        <v/>
      </c>
      <c r="J1118">
        <f>(I1118-IF(I1104&gt;0,I1104,0))</f>
        <v/>
      </c>
      <c r="K1118">
        <f>J1118/R1103*1.1</f>
        <v/>
      </c>
      <c r="Q1118" t="inlineStr">
        <is>
          <t>K3-3B</t>
        </is>
      </c>
      <c r="R1118" t="n">
        <v>1.1448</v>
      </c>
    </row>
    <row r="1119">
      <c r="A1119" t="n">
        <v>23</v>
      </c>
      <c r="B1119" t="inlineStr">
        <is>
          <t>K4-2C</t>
        </is>
      </c>
      <c r="F1119" t="n">
        <v>609.211</v>
      </c>
      <c r="H1119">
        <f>E1119/F1119</f>
        <v/>
      </c>
      <c r="I1119">
        <f>((H1119-$J$1096)/$I$1096)</f>
        <v/>
      </c>
      <c r="J1119">
        <f>(I1119-IF(I1104&gt;0,I1104,0))</f>
        <v/>
      </c>
      <c r="K1119">
        <f>J1119/R1104*1.1</f>
        <v/>
      </c>
      <c r="L1119" s="23" t="n"/>
      <c r="M1119" s="23" t="n"/>
      <c r="N1119" s="9" t="n"/>
      <c r="Q1119" t="inlineStr">
        <is>
          <t>K3-3C</t>
        </is>
      </c>
      <c r="R1119" t="n">
        <v>1.0493</v>
      </c>
    </row>
    <row r="1120">
      <c r="A1120" t="n">
        <v>24</v>
      </c>
      <c r="B1120" t="inlineStr">
        <is>
          <t>MeOH</t>
        </is>
      </c>
      <c r="L1120" s="23" t="inlineStr">
        <is>
          <t>Average</t>
        </is>
      </c>
      <c r="M1120" s="23" t="inlineStr">
        <is>
          <t>Stdev</t>
        </is>
      </c>
      <c r="N1120" s="9" t="inlineStr">
        <is>
          <t>Combined</t>
        </is>
      </c>
      <c r="Q1120" t="inlineStr">
        <is>
          <t>K3-4A</t>
        </is>
      </c>
      <c r="R1120" t="n">
        <v>1.0704</v>
      </c>
    </row>
    <row r="1121">
      <c r="A1121" t="n">
        <v>25</v>
      </c>
      <c r="B1121" t="inlineStr">
        <is>
          <t>K4-4A</t>
        </is>
      </c>
      <c r="F1121" t="n">
        <v>836.772</v>
      </c>
      <c r="H1121">
        <f>E1121/F1121</f>
        <v/>
      </c>
      <c r="I1121">
        <f>((H1121-$J$1096)/$I$1096)</f>
        <v/>
      </c>
      <c r="J1121">
        <f>(I1121-IF(I1104&gt;0,I1104,0))</f>
        <v/>
      </c>
      <c r="K1121">
        <f>J1121/R1105*1.1</f>
        <v/>
      </c>
      <c r="L1121">
        <f>AVERAGE(K1121:K1123)</f>
        <v/>
      </c>
      <c r="M1121">
        <f>STDEV(K1122:K1123)</f>
        <v/>
      </c>
      <c r="N1121">
        <f>_xlfn.CONCAT(ROUND(L1121,1)," ± ",ROUND(M1121,1))</f>
        <v/>
      </c>
      <c r="Q1121" t="inlineStr">
        <is>
          <t>K3-4B</t>
        </is>
      </c>
      <c r="R1121" t="n">
        <v>1.1589</v>
      </c>
    </row>
    <row r="1122">
      <c r="A1122" t="n">
        <v>26</v>
      </c>
      <c r="B1122" t="inlineStr">
        <is>
          <t>K4-4B</t>
        </is>
      </c>
      <c r="F1122" t="n">
        <v>461.157</v>
      </c>
      <c r="H1122">
        <f>E1122/F1122</f>
        <v/>
      </c>
      <c r="I1122">
        <f>((H1122-$J$1096)/$I$1096)</f>
        <v/>
      </c>
      <c r="J1122">
        <f>(I1122-IF(I1104&gt;0,I1104,0))</f>
        <v/>
      </c>
      <c r="K1122">
        <f>J1122/R1106*1.1</f>
        <v/>
      </c>
      <c r="Q1122" t="inlineStr">
        <is>
          <t>K3-4C</t>
        </is>
      </c>
      <c r="R1122" t="n">
        <v>1.0206</v>
      </c>
    </row>
    <row r="1123">
      <c r="A1123" t="n">
        <v>27</v>
      </c>
      <c r="B1123" t="inlineStr">
        <is>
          <t>K4-4C</t>
        </is>
      </c>
      <c r="F1123" t="n">
        <v>666.644</v>
      </c>
      <c r="H1123">
        <f>E1123/F1123</f>
        <v/>
      </c>
      <c r="I1123">
        <f>((H1123-$J$1096)/$I$1096)</f>
        <v/>
      </c>
      <c r="J1123">
        <f>(I1123-IF(I1104&gt;0,I1104,0))</f>
        <v/>
      </c>
      <c r="K1123">
        <f>J1123/R1107*1.1</f>
        <v/>
      </c>
      <c r="L1123" s="23" t="inlineStr">
        <is>
          <t>Average</t>
        </is>
      </c>
      <c r="M1123" s="23" t="inlineStr">
        <is>
          <t>Stdev</t>
        </is>
      </c>
      <c r="N1123" s="9" t="inlineStr">
        <is>
          <t>Combined</t>
        </is>
      </c>
      <c r="Q1123" t="inlineStr">
        <is>
          <t>K3-6A</t>
        </is>
      </c>
      <c r="R1123" t="n">
        <v>1.1289</v>
      </c>
    </row>
    <row r="1124">
      <c r="A1124" t="n">
        <v>28</v>
      </c>
      <c r="B1124" t="inlineStr">
        <is>
          <t>K4-5A</t>
        </is>
      </c>
      <c r="F1124" t="n">
        <v>578.409</v>
      </c>
      <c r="H1124">
        <f>E1124/F1124</f>
        <v/>
      </c>
      <c r="I1124">
        <f>((H1124-$J$1096)/$I$1096)</f>
        <v/>
      </c>
      <c r="J1124">
        <f>(I1124-IF(I1104&gt;0,I1104,0))</f>
        <v/>
      </c>
      <c r="K1124">
        <f>J1124/R1108*1.1</f>
        <v/>
      </c>
      <c r="L1124">
        <f>AVERAGE(K1124:K1126)</f>
        <v/>
      </c>
      <c r="M1124">
        <f>STDEV(K1124:K1126)</f>
        <v/>
      </c>
      <c r="N1124">
        <f>_xlfn.CONCAT(ROUND(L1124,1)," ± ",ROUND(M1124,1))</f>
        <v/>
      </c>
      <c r="Q1124" t="inlineStr">
        <is>
          <t>K3-6B</t>
        </is>
      </c>
      <c r="R1124" t="n">
        <v>1.195</v>
      </c>
    </row>
    <row r="1125">
      <c r="A1125" t="n">
        <v>29</v>
      </c>
      <c r="B1125" t="inlineStr">
        <is>
          <t>K4-5B</t>
        </is>
      </c>
      <c r="F1125" t="n">
        <v>575.86</v>
      </c>
      <c r="H1125">
        <f>E1125/F1125</f>
        <v/>
      </c>
      <c r="I1125">
        <f>((H1125-$J$1096)/$I$1096)</f>
        <v/>
      </c>
      <c r="J1125">
        <f>(I1125-IF(I1104&gt;0,I1104,0))</f>
        <v/>
      </c>
      <c r="K1125">
        <f>J1125/R1109*1.1</f>
        <v/>
      </c>
      <c r="Q1125" t="inlineStr">
        <is>
          <t>K3-6C</t>
        </is>
      </c>
      <c r="R1125" t="n">
        <v>1.1716</v>
      </c>
    </row>
    <row r="1126">
      <c r="A1126" t="n">
        <v>30</v>
      </c>
      <c r="B1126" t="inlineStr">
        <is>
          <t>K4-5C</t>
        </is>
      </c>
      <c r="D1126" t="n">
        <v>10.69</v>
      </c>
      <c r="E1126" t="n">
        <v>5.518</v>
      </c>
      <c r="F1126" t="n">
        <v>648.184</v>
      </c>
      <c r="G1126" t="n">
        <v>62</v>
      </c>
      <c r="H1126">
        <f>E1126/F1126</f>
        <v/>
      </c>
      <c r="I1126">
        <f>((H1126-$J$1096)/$I$1096)</f>
        <v/>
      </c>
      <c r="J1126">
        <f>(I1126-IF(I1104&gt;0,I1104,0))</f>
        <v/>
      </c>
      <c r="K1126">
        <f>J1126/R1110*1.1</f>
        <v/>
      </c>
      <c r="L1126" s="23" t="n"/>
      <c r="M1126" s="23" t="n"/>
      <c r="N1126" s="9" t="n"/>
    </row>
    <row r="1127">
      <c r="A1127" t="n">
        <v>31</v>
      </c>
      <c r="B1127" t="inlineStr">
        <is>
          <t>MeOH</t>
        </is>
      </c>
      <c r="L1127" s="23" t="inlineStr">
        <is>
          <t>Average</t>
        </is>
      </c>
      <c r="M1127" s="23" t="inlineStr">
        <is>
          <t>Stdev</t>
        </is>
      </c>
      <c r="N1127" s="9" t="inlineStr">
        <is>
          <t>Combined</t>
        </is>
      </c>
    </row>
    <row r="1128">
      <c r="A1128" t="n">
        <v>32</v>
      </c>
      <c r="B1128" t="inlineStr">
        <is>
          <t>K3-1A</t>
        </is>
      </c>
      <c r="F1128" t="n">
        <v>704.658</v>
      </c>
      <c r="H1128">
        <f>E1128/F1128</f>
        <v/>
      </c>
      <c r="I1128">
        <f>((H1128-$J$1096)/$I$1096)</f>
        <v/>
      </c>
      <c r="J1128">
        <f>(I1128-IF(I1104&gt;0,I1104,0))</f>
        <v/>
      </c>
      <c r="K1128">
        <f>J1128/R1111*1.1</f>
        <v/>
      </c>
      <c r="L1128">
        <f>AVERAGE(K1128:K1130)</f>
        <v/>
      </c>
      <c r="M1128">
        <f>STDEV(K1129:K1130)</f>
        <v/>
      </c>
      <c r="N1128">
        <f>_xlfn.CONCAT(ROUND(L1128,1)," ± ",ROUND(M1128,1))</f>
        <v/>
      </c>
    </row>
    <row r="1129">
      <c r="A1129" t="n">
        <v>33</v>
      </c>
      <c r="B1129" t="inlineStr">
        <is>
          <t>K3-1B</t>
        </is>
      </c>
      <c r="F1129" t="n">
        <v>589.025</v>
      </c>
      <c r="H1129">
        <f>E1129/F1129</f>
        <v/>
      </c>
      <c r="I1129">
        <f>((H1129-$J$1096)/$I$1096)</f>
        <v/>
      </c>
      <c r="J1129">
        <f>(I1129-IF(I1104&gt;0,I1104,0))</f>
        <v/>
      </c>
      <c r="K1129">
        <f>J1129/R1112*1.1</f>
        <v/>
      </c>
    </row>
    <row r="1130">
      <c r="A1130" t="n">
        <v>34</v>
      </c>
      <c r="B1130" t="inlineStr">
        <is>
          <t>K3-1C</t>
        </is>
      </c>
      <c r="D1130" t="n">
        <v>10.76</v>
      </c>
      <c r="E1130" t="n">
        <v>10.695</v>
      </c>
      <c r="F1130" t="n">
        <v>902.054</v>
      </c>
      <c r="G1130" t="n">
        <v>117</v>
      </c>
      <c r="H1130">
        <f>E1130/F1130</f>
        <v/>
      </c>
      <c r="I1130">
        <f>((H1130-$J$1096)/$I$1096)</f>
        <v/>
      </c>
      <c r="J1130">
        <f>(I1130-IF(I1104&gt;0,I1104,0))</f>
        <v/>
      </c>
      <c r="K1130">
        <f>J1130/R1113*1.1</f>
        <v/>
      </c>
      <c r="L1130" s="23" t="inlineStr">
        <is>
          <t>Average</t>
        </is>
      </c>
      <c r="M1130" s="23" t="inlineStr">
        <is>
          <t>Stdev</t>
        </is>
      </c>
      <c r="N1130" s="9" t="inlineStr">
        <is>
          <t>Combined</t>
        </is>
      </c>
    </row>
    <row r="1131">
      <c r="A1131" t="n">
        <v>35</v>
      </c>
      <c r="B1131" t="inlineStr">
        <is>
          <t>K3-2A</t>
        </is>
      </c>
      <c r="F1131" t="n">
        <v>786.168</v>
      </c>
      <c r="H1131">
        <f>E1131/F1131</f>
        <v/>
      </c>
      <c r="I1131">
        <f>((H1131-$J$1096)/$I$1096)</f>
        <v/>
      </c>
      <c r="J1131">
        <f>(I1131-IF(I1104&gt;0,I1104,0))</f>
        <v/>
      </c>
      <c r="K1131">
        <f>J1131/R1114*1.1</f>
        <v/>
      </c>
      <c r="L1131">
        <f>AVERAGE(K1131:K1133)</f>
        <v/>
      </c>
      <c r="M1131">
        <f>STDEV(K1131:K1133)</f>
        <v/>
      </c>
      <c r="N1131">
        <f>_xlfn.CONCAT(ROUND(L1131,1)," ± ",ROUND(M1131,1))</f>
        <v/>
      </c>
    </row>
    <row r="1132">
      <c r="A1132" t="n">
        <v>36</v>
      </c>
      <c r="B1132" t="inlineStr">
        <is>
          <t>K3-2B</t>
        </is>
      </c>
      <c r="F1132" t="n">
        <v>847.954</v>
      </c>
      <c r="H1132">
        <f>E1132/F1132</f>
        <v/>
      </c>
      <c r="I1132">
        <f>((H1132-$J$1096)/$I$1096)</f>
        <v/>
      </c>
      <c r="J1132">
        <f>(I1132-IF(I1104&gt;0,I1104,0))</f>
        <v/>
      </c>
      <c r="K1132">
        <f>J1132/R1115*1.1</f>
        <v/>
      </c>
    </row>
    <row r="1133">
      <c r="A1133" t="n">
        <v>37</v>
      </c>
      <c r="B1133" t="inlineStr">
        <is>
          <t>K3-2C</t>
        </is>
      </c>
      <c r="F1133" t="n">
        <v>549.966</v>
      </c>
      <c r="H1133">
        <f>E1133/F1133</f>
        <v/>
      </c>
      <c r="I1133">
        <f>((H1133-$J$1096)/$I$1096)</f>
        <v/>
      </c>
      <c r="J1133">
        <f>(I1133-IF(I1104&gt;0,I1104,0))</f>
        <v/>
      </c>
      <c r="K1133">
        <f>J1133/R1116*1.1</f>
        <v/>
      </c>
      <c r="L1133" s="23" t="n"/>
      <c r="M1133" s="23" t="n"/>
      <c r="N1133" s="9" t="n"/>
    </row>
    <row r="1134">
      <c r="A1134" t="n">
        <v>38</v>
      </c>
      <c r="B1134" t="inlineStr">
        <is>
          <t>MeOH</t>
        </is>
      </c>
      <c r="L1134" s="23" t="inlineStr">
        <is>
          <t>Average</t>
        </is>
      </c>
      <c r="M1134" s="23" t="inlineStr">
        <is>
          <t>Stdev</t>
        </is>
      </c>
      <c r="N1134" s="9" t="inlineStr">
        <is>
          <t>Combined</t>
        </is>
      </c>
    </row>
    <row r="1135">
      <c r="A1135" t="n">
        <v>39</v>
      </c>
      <c r="B1135" t="inlineStr">
        <is>
          <t>K3-3A</t>
        </is>
      </c>
      <c r="F1135" t="n">
        <v>896.226</v>
      </c>
      <c r="H1135">
        <f>E1135/F1135</f>
        <v/>
      </c>
      <c r="I1135">
        <f>((H1135-$J$1096)/$I$1096)</f>
        <v/>
      </c>
      <c r="J1135">
        <f>(I1135-IF(I1104&gt;0,I1104,0))</f>
        <v/>
      </c>
      <c r="K1135">
        <f>J1135/R1117*1.1</f>
        <v/>
      </c>
      <c r="L1135">
        <f>AVERAGE(K1135:K1137)</f>
        <v/>
      </c>
      <c r="M1135">
        <f>STDEV(K1136:K1137)</f>
        <v/>
      </c>
      <c r="N1135">
        <f>_xlfn.CONCAT(ROUND(L1135,1)," ± ",ROUND(M1135,1))</f>
        <v/>
      </c>
    </row>
    <row r="1136">
      <c r="A1136" t="n">
        <v>40</v>
      </c>
      <c r="B1136" t="inlineStr">
        <is>
          <t>K3-3B</t>
        </is>
      </c>
      <c r="F1136" t="n">
        <v>1005.7</v>
      </c>
      <c r="H1136">
        <f>E1136/F1136</f>
        <v/>
      </c>
      <c r="I1136">
        <f>((H1136-$J$1096)/$I$1096)</f>
        <v/>
      </c>
      <c r="J1136">
        <f>(I1136-IF(I1104&gt;0,I1104,0))</f>
        <v/>
      </c>
      <c r="K1136">
        <f>J1136/R1118*1.1</f>
        <v/>
      </c>
    </row>
    <row r="1137">
      <c r="A1137" t="n">
        <v>41</v>
      </c>
      <c r="B1137" t="inlineStr">
        <is>
          <t>K3-3C</t>
        </is>
      </c>
      <c r="F1137" t="n">
        <v>1040.161</v>
      </c>
      <c r="H1137">
        <f>E1137/F1137</f>
        <v/>
      </c>
      <c r="I1137">
        <f>((H1137-$J$1096)/$I$1096)</f>
        <v/>
      </c>
      <c r="J1137">
        <f>(I1137-IF(I1104&gt;0,I1104,0))</f>
        <v/>
      </c>
      <c r="K1137">
        <f>J1137/R1119*1.1</f>
        <v/>
      </c>
      <c r="L1137" s="23" t="inlineStr">
        <is>
          <t>Average</t>
        </is>
      </c>
      <c r="M1137" s="23" t="inlineStr">
        <is>
          <t>Stdev</t>
        </is>
      </c>
      <c r="N1137" s="9" t="inlineStr">
        <is>
          <t>Combined</t>
        </is>
      </c>
    </row>
    <row r="1138">
      <c r="A1138" t="n">
        <v>42</v>
      </c>
      <c r="B1138" t="inlineStr">
        <is>
          <t>K3-4A</t>
        </is>
      </c>
      <c r="F1138" t="n">
        <v>1196.547</v>
      </c>
      <c r="H1138">
        <f>E1138/F1138</f>
        <v/>
      </c>
      <c r="I1138">
        <f>((H1138-$J$1096)/$I$1096)</f>
        <v/>
      </c>
      <c r="J1138">
        <f>(I1138-IF(I1104&gt;0,I1104,0))</f>
        <v/>
      </c>
      <c r="K1138">
        <f>J1138/R1120*1.1</f>
        <v/>
      </c>
      <c r="L1138">
        <f>AVERAGE(K1138:K1140)</f>
        <v/>
      </c>
      <c r="M1138">
        <f>STDEV(K1138:K1140)</f>
        <v/>
      </c>
      <c r="N1138">
        <f>_xlfn.CONCAT(ROUND(L1138,1)," ± ",ROUND(M1138,1))</f>
        <v/>
      </c>
    </row>
    <row r="1139">
      <c r="A1139" t="n">
        <v>43</v>
      </c>
      <c r="B1139" t="inlineStr">
        <is>
          <t>K3-4B</t>
        </is>
      </c>
      <c r="F1139" t="n">
        <v>1065.462</v>
      </c>
      <c r="H1139">
        <f>E1139/F1139</f>
        <v/>
      </c>
      <c r="I1139">
        <f>((H1139-$J$1096)/$I$1096)</f>
        <v/>
      </c>
      <c r="J1139">
        <f>(I1139-IF(I1104&gt;0,I1104,0))</f>
        <v/>
      </c>
      <c r="K1139">
        <f>J1139/R1121*1.1</f>
        <v/>
      </c>
    </row>
    <row r="1140">
      <c r="A1140" t="n">
        <v>44</v>
      </c>
      <c r="B1140" t="inlineStr">
        <is>
          <t>K3-4C</t>
        </is>
      </c>
      <c r="F1140" t="n">
        <v>841.401</v>
      </c>
      <c r="H1140">
        <f>E1140/F1140</f>
        <v/>
      </c>
      <c r="I1140">
        <f>((H1140-$J$1096)/$I$1096)</f>
        <v/>
      </c>
      <c r="J1140">
        <f>(I1140-IF(I1104&gt;0,I1104,0))</f>
        <v/>
      </c>
      <c r="K1140">
        <f>J1140/R1122*1.1</f>
        <v/>
      </c>
      <c r="L1140" s="23" t="n"/>
      <c r="M1140" s="23" t="n"/>
      <c r="N1140" s="9" t="n"/>
    </row>
    <row r="1141">
      <c r="A1141" t="n">
        <v>45</v>
      </c>
      <c r="B1141" t="inlineStr">
        <is>
          <t>MeOH</t>
        </is>
      </c>
      <c r="D1141" t="n">
        <v>10.81</v>
      </c>
      <c r="E1141" t="n">
        <v>0.753</v>
      </c>
      <c r="G1141" t="n">
        <v>8</v>
      </c>
      <c r="L1141" s="23" t="inlineStr">
        <is>
          <t>Average</t>
        </is>
      </c>
      <c r="M1141" s="23" t="inlineStr">
        <is>
          <t>Stdev</t>
        </is>
      </c>
      <c r="N1141" s="9" t="inlineStr">
        <is>
          <t>Combined</t>
        </is>
      </c>
    </row>
    <row r="1142">
      <c r="A1142" t="n">
        <v>46</v>
      </c>
      <c r="B1142" t="inlineStr">
        <is>
          <t>K3-6A</t>
        </is>
      </c>
      <c r="F1142" t="n">
        <v>1044.224</v>
      </c>
      <c r="H1142">
        <f>E1142/F1142</f>
        <v/>
      </c>
      <c r="I1142">
        <f>((H1142-$J$1096)/$I$1096)</f>
        <v/>
      </c>
      <c r="J1142">
        <f>(I1142-IF(I1104&gt;0,I1104,0))</f>
        <v/>
      </c>
      <c r="K1142">
        <f>J1142/R1123*1.1</f>
        <v/>
      </c>
      <c r="L1142">
        <f>AVERAGE(K1142:K1144)</f>
        <v/>
      </c>
      <c r="M1142">
        <f>STDEV(K1143:K1144)</f>
        <v/>
      </c>
      <c r="N1142">
        <f>_xlfn.CONCAT(ROUND(L1142,1)," ± ",ROUND(M1142,1))</f>
        <v/>
      </c>
    </row>
    <row r="1143">
      <c r="A1143" t="n">
        <v>47</v>
      </c>
      <c r="B1143" t="inlineStr">
        <is>
          <t>K3-6B</t>
        </is>
      </c>
      <c r="F1143" t="n">
        <v>517.776</v>
      </c>
      <c r="H1143">
        <f>E1143/F1143</f>
        <v/>
      </c>
      <c r="I1143">
        <f>((H1143-$J$1096)/$I$1096)</f>
        <v/>
      </c>
      <c r="J1143">
        <f>(I1143-IF(I1104&gt;0,I1104,0))</f>
        <v/>
      </c>
      <c r="K1143">
        <f>J1143/R1124*1.1</f>
        <v/>
      </c>
    </row>
    <row r="1144">
      <c r="A1144" t="n">
        <v>48</v>
      </c>
      <c r="B1144" t="inlineStr">
        <is>
          <t>K3-6C</t>
        </is>
      </c>
      <c r="D1144" t="n">
        <v>10.84</v>
      </c>
      <c r="E1144" t="n">
        <v>14.124</v>
      </c>
      <c r="F1144" t="n">
        <v>709.654</v>
      </c>
      <c r="G1144" t="n">
        <v>142</v>
      </c>
      <c r="H1144">
        <f>E1144/F1144</f>
        <v/>
      </c>
      <c r="I1144">
        <f>((H1144-$J$1096)/$I$1096)</f>
        <v/>
      </c>
      <c r="J1144">
        <f>(I1144-IF(I1104&gt;0,I1104,0))</f>
        <v/>
      </c>
      <c r="K1144">
        <f>J1144/R1125*1.1</f>
        <v/>
      </c>
      <c r="L1144" s="23" t="n"/>
      <c r="M1144" s="23" t="n"/>
      <c r="N1144" s="9" t="n"/>
    </row>
    <row r="1146">
      <c r="A1146" t="inlineStr">
        <is>
          <t>Compound 48:  PFOA 1</t>
        </is>
      </c>
    </row>
    <row r="1147">
      <c r="I1147" t="inlineStr">
        <is>
          <t>LINEST</t>
        </is>
      </c>
      <c r="Q1147" t="inlineStr">
        <is>
          <t>Biosolids Masses</t>
        </is>
      </c>
      <c r="R1147" t="inlineStr">
        <is>
          <t>(g)</t>
        </is>
      </c>
    </row>
    <row r="1148">
      <c r="B1148" t="inlineStr">
        <is>
          <t>Sample Text</t>
        </is>
      </c>
      <c r="C1148" t="inlineStr">
        <is>
          <t>Std. Conc</t>
        </is>
      </c>
      <c r="D1148" t="inlineStr">
        <is>
          <t>RT</t>
        </is>
      </c>
      <c r="E1148" t="inlineStr">
        <is>
          <t>Area</t>
        </is>
      </c>
      <c r="F1148" t="inlineStr">
        <is>
          <t>IS Area</t>
        </is>
      </c>
      <c r="G1148" t="inlineStr">
        <is>
          <t>S/N</t>
        </is>
      </c>
      <c r="H1148" t="inlineStr">
        <is>
          <t>ratio</t>
        </is>
      </c>
      <c r="I1148">
        <f t="array" ref="I1148:J1152">LINEST(H1151:H1155,C1151:C1155,1,1)</f>
        <v/>
      </c>
      <c r="J1148" t="n">
        <v>0.07487693782175309</v>
      </c>
      <c r="L1148" s="20" t="inlineStr">
        <is>
          <t>By S/N Ratio</t>
        </is>
      </c>
      <c r="Q1148" t="inlineStr">
        <is>
          <t>SS1</t>
        </is>
      </c>
      <c r="R1148" t="n">
        <v>1.0846</v>
      </c>
    </row>
    <row r="1149">
      <c r="A1149" t="n">
        <v>1</v>
      </c>
      <c r="B1149" t="inlineStr">
        <is>
          <t>EPA1633 &amp; diPAPs Calibration 0 ppb</t>
        </is>
      </c>
      <c r="C1149" t="n">
        <v>0</v>
      </c>
      <c r="D1149" t="n">
        <v>11.99</v>
      </c>
      <c r="E1149" t="n">
        <v>424.566</v>
      </c>
      <c r="F1149" t="n">
        <v>7374.887</v>
      </c>
      <c r="G1149" t="n">
        <v>2.699</v>
      </c>
      <c r="H1149">
        <f>E1149/F1149</f>
        <v/>
      </c>
      <c r="I1149" t="n">
        <v>0.00489590877984295</v>
      </c>
      <c r="J1149" t="n">
        <v>0.02459384133160635</v>
      </c>
      <c r="K1149" t="inlineStr">
        <is>
          <t>LOD</t>
        </is>
      </c>
      <c r="L1149" s="21">
        <f>IF(G1150&gt;3,C1150,IF(G1151&gt;3,C1151,IF(G1152&gt;3,C1152,IF(G1153&gt;3,C1153,C1154))))</f>
        <v/>
      </c>
      <c r="Q1149" t="inlineStr">
        <is>
          <t>SS2</t>
        </is>
      </c>
      <c r="R1149" t="n">
        <v>1.0726</v>
      </c>
    </row>
    <row r="1150">
      <c r="A1150" t="n">
        <v>2</v>
      </c>
      <c r="B1150" t="inlineStr">
        <is>
          <t>EPA1633 &amp; diPAPs Calibration 0.02 ppb</t>
        </is>
      </c>
      <c r="C1150" t="n">
        <v>0.02</v>
      </c>
      <c r="D1150" t="n">
        <v>11.92</v>
      </c>
      <c r="E1150" t="n">
        <v>760.22</v>
      </c>
      <c r="F1150" t="n">
        <v>6169.054</v>
      </c>
      <c r="G1150" t="n">
        <v>19.22</v>
      </c>
      <c r="H1150">
        <f>E1150/F1150</f>
        <v/>
      </c>
      <c r="I1150" t="n">
        <v>0.9971807791618926</v>
      </c>
      <c r="J1150" t="n">
        <v>0.0414623065183374</v>
      </c>
      <c r="K1150" t="inlineStr">
        <is>
          <t>LOQ</t>
        </is>
      </c>
      <c r="L1150" s="22">
        <f>IF(G1150&gt;10,C1150,IF(G1151&gt;10,C1151,IF(G1152&gt;10,C1152,IF(G1153&gt;10,C1153,C1154))))</f>
        <v/>
      </c>
      <c r="Q1150" t="inlineStr">
        <is>
          <t>SS3</t>
        </is>
      </c>
      <c r="R1150" t="n">
        <v>1.1534</v>
      </c>
    </row>
    <row r="1151">
      <c r="A1151" t="n">
        <v>3</v>
      </c>
      <c r="B1151" t="inlineStr">
        <is>
          <t>EPA1633 &amp; diPAPs Calibration 0.1 ppb</t>
        </is>
      </c>
      <c r="C1151" t="n">
        <v>0.1</v>
      </c>
      <c r="D1151" t="n">
        <v>11.94</v>
      </c>
      <c r="E1151" t="n">
        <v>462.534</v>
      </c>
      <c r="F1151" t="n">
        <v>6270.085</v>
      </c>
      <c r="G1151" t="n">
        <v>16.229</v>
      </c>
      <c r="H1151">
        <f>E1151/F1151</f>
        <v/>
      </c>
      <c r="I1151" t="n">
        <v>1061.123803090961</v>
      </c>
      <c r="J1151" t="n">
        <v>3</v>
      </c>
      <c r="Q1151" t="inlineStr">
        <is>
          <t>K4-1A</t>
        </is>
      </c>
      <c r="R1151" t="n">
        <v>1.0267</v>
      </c>
    </row>
    <row r="1152">
      <c r="A1152" t="n">
        <v>4</v>
      </c>
      <c r="B1152" t="inlineStr">
        <is>
          <t>EPA1633 &amp; diPAPs Calibration 0.4 ppb</t>
        </is>
      </c>
      <c r="C1152" t="n">
        <v>0.4</v>
      </c>
      <c r="D1152" t="n">
        <v>11.93</v>
      </c>
      <c r="E1152" t="n">
        <v>607.223</v>
      </c>
      <c r="F1152" t="n">
        <v>5073.597</v>
      </c>
      <c r="G1152" t="n">
        <v>7.689</v>
      </c>
      <c r="H1152">
        <f>E1152/F1152</f>
        <v/>
      </c>
      <c r="I1152" t="n">
        <v>1.824202189115653</v>
      </c>
      <c r="J1152" t="n">
        <v>0.005157368585461692</v>
      </c>
      <c r="Q1152" t="inlineStr">
        <is>
          <t>K4-1B</t>
        </is>
      </c>
      <c r="R1152" t="n">
        <v>1.1481</v>
      </c>
    </row>
    <row r="1153">
      <c r="A1153" t="n">
        <v>5</v>
      </c>
      <c r="B1153" t="inlineStr">
        <is>
          <t>EPA1633 &amp; diPAPs Calibration 1 ppb</t>
        </is>
      </c>
      <c r="C1153" t="n">
        <v>1</v>
      </c>
      <c r="D1153" t="n">
        <v>11.93</v>
      </c>
      <c r="E1153" t="n">
        <v>1346.038</v>
      </c>
      <c r="F1153" t="n">
        <v>5607.035</v>
      </c>
      <c r="G1153" t="n">
        <v>22.849</v>
      </c>
      <c r="H1153">
        <f>E1153/F1153</f>
        <v/>
      </c>
      <c r="Q1153" t="inlineStr">
        <is>
          <t>K4-1C</t>
        </is>
      </c>
      <c r="R1153" t="n">
        <v>1.0402</v>
      </c>
    </row>
    <row r="1154">
      <c r="A1154" t="n">
        <v>6</v>
      </c>
      <c r="B1154" t="inlineStr">
        <is>
          <t>EPA1633 &amp; diPAPs Calibration 5 ppb</t>
        </is>
      </c>
      <c r="C1154" t="n">
        <v>5</v>
      </c>
      <c r="D1154" t="n">
        <v>11.83</v>
      </c>
      <c r="E1154" t="n">
        <v>3905.586</v>
      </c>
      <c r="F1154" t="n">
        <v>4189.369</v>
      </c>
      <c r="G1154" t="n">
        <v>39.028</v>
      </c>
      <c r="H1154">
        <f>E1154/F1154</f>
        <v/>
      </c>
      <c r="Q1154" t="inlineStr">
        <is>
          <t>K4-2A</t>
        </is>
      </c>
      <c r="R1154" t="n">
        <v>1.127</v>
      </c>
    </row>
    <row r="1155">
      <c r="A1155" t="n">
        <v>7</v>
      </c>
      <c r="B1155" t="inlineStr">
        <is>
          <t>EPA1633 &amp; diPAPs Calibration 10 ppb</t>
        </is>
      </c>
      <c r="C1155" t="n">
        <v>10</v>
      </c>
      <c r="D1155" t="n">
        <v>11.86</v>
      </c>
      <c r="E1155" t="n">
        <v>6424.06</v>
      </c>
      <c r="F1155" t="n">
        <v>3916.892</v>
      </c>
      <c r="G1155" t="n">
        <v>61.883</v>
      </c>
      <c r="H1155">
        <f>E1155/F1155</f>
        <v/>
      </c>
      <c r="I1155" s="23" t="inlineStr">
        <is>
          <t>Background</t>
        </is>
      </c>
      <c r="J1155" s="23" t="inlineStr">
        <is>
          <t>Spike</t>
        </is>
      </c>
      <c r="K1155" s="9" t="inlineStr">
        <is>
          <t>Old Spike</t>
        </is>
      </c>
      <c r="O1155" s="24" t="inlineStr">
        <is>
          <t>±</t>
        </is>
      </c>
      <c r="Q1155" t="inlineStr">
        <is>
          <t>K4-2B</t>
        </is>
      </c>
      <c r="R1155" t="n">
        <v>1.1154</v>
      </c>
    </row>
    <row r="1156">
      <c r="A1156" t="n">
        <v>8</v>
      </c>
      <c r="B1156" t="inlineStr">
        <is>
          <t>EPA1633 &amp; diPAPs Calibration 20 ppb</t>
        </is>
      </c>
      <c r="C1156" t="n">
        <v>20</v>
      </c>
      <c r="D1156" t="n">
        <v>11.89</v>
      </c>
      <c r="E1156" t="n">
        <v>10955.967</v>
      </c>
      <c r="F1156" t="n">
        <v>4672.899</v>
      </c>
      <c r="G1156" t="n">
        <v>207.543</v>
      </c>
      <c r="H1156">
        <f>E1156/F1156</f>
        <v/>
      </c>
      <c r="I1156">
        <f>AVERAGE(I1159:I1161)</f>
        <v/>
      </c>
      <c r="J1156" t="n">
        <v>11</v>
      </c>
      <c r="Q1156" t="inlineStr">
        <is>
          <t>K4-2C</t>
        </is>
      </c>
      <c r="R1156" t="n">
        <v>1.1711</v>
      </c>
    </row>
    <row r="1157">
      <c r="A1157" t="n">
        <v>9</v>
      </c>
      <c r="B1157" t="inlineStr">
        <is>
          <t>MeOH</t>
        </is>
      </c>
      <c r="D1157" t="n">
        <v>11.91</v>
      </c>
      <c r="E1157" t="n">
        <v>563.261</v>
      </c>
      <c r="G1157" t="n">
        <v>8.558</v>
      </c>
      <c r="I1157" s="23" t="inlineStr">
        <is>
          <t>Conc.In Vial (ppb)</t>
        </is>
      </c>
      <c r="J1157" s="9" t="inlineStr">
        <is>
          <t>Corr. Conc.(ppb)</t>
        </is>
      </c>
      <c r="K1157" s="9" t="inlineStr">
        <is>
          <t>Conc. In soil (ng/g)</t>
        </is>
      </c>
      <c r="Q1157" t="inlineStr">
        <is>
          <t>K4-4A</t>
        </is>
      </c>
      <c r="R1157" t="n">
        <v>1.0932</v>
      </c>
    </row>
    <row r="1158">
      <c r="A1158" t="n">
        <v>10</v>
      </c>
      <c r="B1158" t="inlineStr">
        <is>
          <t>MeOH</t>
        </is>
      </c>
      <c r="D1158" t="n">
        <v>11.92</v>
      </c>
      <c r="E1158" t="n">
        <v>514.647</v>
      </c>
      <c r="G1158" t="n">
        <v>11.229</v>
      </c>
      <c r="L1158" s="23" t="inlineStr">
        <is>
          <t>Average</t>
        </is>
      </c>
      <c r="M1158" s="23" t="inlineStr">
        <is>
          <t>Stdev</t>
        </is>
      </c>
      <c r="N1158" s="9" t="inlineStr">
        <is>
          <t>Combined</t>
        </is>
      </c>
      <c r="O1158" s="9" t="n"/>
      <c r="P1158" s="9" t="n"/>
      <c r="Q1158" t="inlineStr">
        <is>
          <t>K4-4B</t>
        </is>
      </c>
      <c r="R1158" t="n">
        <v>1.15</v>
      </c>
    </row>
    <row r="1159">
      <c r="A1159" t="n">
        <v>11</v>
      </c>
      <c r="B1159" t="inlineStr">
        <is>
          <t>SB1</t>
        </is>
      </c>
      <c r="D1159" t="n">
        <v>11.93</v>
      </c>
      <c r="E1159" t="n">
        <v>1770.076</v>
      </c>
      <c r="F1159" t="n">
        <v>1803.361</v>
      </c>
      <c r="G1159" t="n">
        <v>28.448</v>
      </c>
      <c r="H1159">
        <f>E1159/F1159</f>
        <v/>
      </c>
      <c r="I1159">
        <f>((H1159-$J$1148)/$I$1148)</f>
        <v/>
      </c>
      <c r="J1159">
        <f>(I1159-IF(I1156&gt;0,I1156,0))</f>
        <v/>
      </c>
      <c r="K1159">
        <f>J1159*1.1</f>
        <v/>
      </c>
      <c r="L1159">
        <f>AVERAGE(K1159:K1161)</f>
        <v/>
      </c>
      <c r="M1159">
        <f>STDEV(K1160:K1161)</f>
        <v/>
      </c>
      <c r="N1159">
        <f>_xlfn.CONCAT(ROUND(L1159,1)," ± ",ROUND(M1159,1))</f>
        <v/>
      </c>
      <c r="Q1159" t="inlineStr">
        <is>
          <t>K4-4C</t>
        </is>
      </c>
      <c r="R1159" t="n">
        <v>1.0482</v>
      </c>
    </row>
    <row r="1160">
      <c r="A1160" t="n">
        <v>12</v>
      </c>
      <c r="B1160" t="inlineStr">
        <is>
          <t>SB2</t>
        </is>
      </c>
      <c r="D1160" t="n">
        <v>11.95</v>
      </c>
      <c r="E1160" t="n">
        <v>699.1609999999999</v>
      </c>
      <c r="F1160" t="n">
        <v>1582.835</v>
      </c>
      <c r="G1160" t="n">
        <v>6.519</v>
      </c>
      <c r="H1160">
        <f>E1160/F1160</f>
        <v/>
      </c>
      <c r="I1160">
        <f>((H1160-$J$1148)/$I$1148)</f>
        <v/>
      </c>
      <c r="J1160">
        <f>(I1160-IF(I1156&gt;0,I1156,0))</f>
        <v/>
      </c>
      <c r="K1160">
        <f>J1160*1.1</f>
        <v/>
      </c>
      <c r="Q1160" t="inlineStr">
        <is>
          <t>K4-5A</t>
        </is>
      </c>
      <c r="R1160" t="n">
        <v>1.1054</v>
      </c>
    </row>
    <row r="1161">
      <c r="A1161" t="n">
        <v>13</v>
      </c>
      <c r="B1161" t="inlineStr">
        <is>
          <t>SB3</t>
        </is>
      </c>
      <c r="D1161" t="n">
        <v>11.96</v>
      </c>
      <c r="E1161" t="n">
        <v>615.037</v>
      </c>
      <c r="F1161" t="n">
        <v>1671.82</v>
      </c>
      <c r="G1161" t="n">
        <v>12.218</v>
      </c>
      <c r="H1161">
        <f>E1161/F1161</f>
        <v/>
      </c>
      <c r="I1161">
        <f>((H1161-$J$1148)/$I$1148)</f>
        <v/>
      </c>
      <c r="J1161">
        <f>(I1161-IF(I1156&gt;0,I1156,0))</f>
        <v/>
      </c>
      <c r="K1161" s="30">
        <f>J1161*1.1</f>
        <v/>
      </c>
      <c r="L1161" s="23" t="inlineStr">
        <is>
          <t>Average</t>
        </is>
      </c>
      <c r="M1161" s="23" t="inlineStr">
        <is>
          <t>Stdev</t>
        </is>
      </c>
      <c r="N1161" s="9" t="inlineStr">
        <is>
          <t>%Recovery</t>
        </is>
      </c>
      <c r="O1161" s="9" t="inlineStr">
        <is>
          <t>Uncertainty</t>
        </is>
      </c>
      <c r="P1161" s="9" t="inlineStr">
        <is>
          <t>Combined</t>
        </is>
      </c>
      <c r="Q1161" t="inlineStr">
        <is>
          <t>K4-5B</t>
        </is>
      </c>
      <c r="R1161" s="10" t="n">
        <v>1.0463</v>
      </c>
    </row>
    <row r="1162">
      <c r="A1162" t="n">
        <v>14</v>
      </c>
      <c r="B1162" t="inlineStr">
        <is>
          <t>SS1</t>
        </is>
      </c>
      <c r="D1162" t="n">
        <v>11.96</v>
      </c>
      <c r="E1162" t="n">
        <v>2910.376</v>
      </c>
      <c r="F1162" t="n">
        <v>1602.526</v>
      </c>
      <c r="G1162" t="n">
        <v>37.135</v>
      </c>
      <c r="H1162">
        <f>E1162/F1162</f>
        <v/>
      </c>
      <c r="I1162">
        <f>((H1162-$J$1148)/$I$1148)</f>
        <v/>
      </c>
      <c r="J1162">
        <f>(I1162-IF(I1156&gt;0,I1156,0))</f>
        <v/>
      </c>
      <c r="K1162">
        <f>J1162/R1148*1.1</f>
        <v/>
      </c>
      <c r="L1162" s="30">
        <f>AVERAGE(K1162:K1164)</f>
        <v/>
      </c>
      <c r="M1162" s="30">
        <f>STDEV(K1162:K1164)</f>
        <v/>
      </c>
      <c r="N1162" s="31">
        <f>L1162/J1156*100</f>
        <v/>
      </c>
      <c r="O1162">
        <f>M1162/J1159*100</f>
        <v/>
      </c>
      <c r="P1162">
        <f>_xlfn.CONCAT(ROUND(N1162,1)," ± ",ROUND(O1162,1))</f>
        <v/>
      </c>
      <c r="Q1162" t="inlineStr">
        <is>
          <t>K4-5C</t>
        </is>
      </c>
      <c r="R1162" t="n">
        <v>1.1155</v>
      </c>
    </row>
    <row r="1163">
      <c r="A1163" t="n">
        <v>15</v>
      </c>
      <c r="B1163" t="inlineStr">
        <is>
          <t>SS2</t>
        </is>
      </c>
      <c r="D1163" t="n">
        <v>11.98</v>
      </c>
      <c r="E1163" t="n">
        <v>3631.172</v>
      </c>
      <c r="F1163" t="n">
        <v>1532.612</v>
      </c>
      <c r="G1163" t="n">
        <v>39.631</v>
      </c>
      <c r="H1163">
        <f>E1163/F1163</f>
        <v/>
      </c>
      <c r="I1163">
        <f>((H1163-$J$1148)/$I$1148)</f>
        <v/>
      </c>
      <c r="J1163">
        <f>(I1163-IF(I1156&gt;0,I1156,0))</f>
        <v/>
      </c>
      <c r="K1163">
        <f>J1163/R1149*1.1</f>
        <v/>
      </c>
      <c r="Q1163" t="inlineStr">
        <is>
          <t>K3-1A</t>
        </is>
      </c>
      <c r="R1163" t="n">
        <v>1.0874</v>
      </c>
    </row>
    <row r="1164">
      <c r="A1164" t="n">
        <v>16</v>
      </c>
      <c r="B1164" t="inlineStr">
        <is>
          <t>SS3</t>
        </is>
      </c>
      <c r="D1164" t="n">
        <v>11.98</v>
      </c>
      <c r="E1164" t="n">
        <v>6254.115</v>
      </c>
      <c r="F1164" t="n">
        <v>1291.402</v>
      </c>
      <c r="G1164" t="n">
        <v>131.125</v>
      </c>
      <c r="H1164">
        <f>E1164/F1164</f>
        <v/>
      </c>
      <c r="I1164">
        <f>((H1164-$J$1148)/$I$1148)</f>
        <v/>
      </c>
      <c r="J1164">
        <f>(I1164-IF(I1156&gt;0,I1156,0))</f>
        <v/>
      </c>
      <c r="K1164" s="30">
        <f>J1164/R1150*1.1</f>
        <v/>
      </c>
      <c r="Q1164" t="inlineStr">
        <is>
          <t>K3-1B</t>
        </is>
      </c>
      <c r="R1164" t="n">
        <v>1.0898</v>
      </c>
    </row>
    <row r="1165">
      <c r="A1165" t="n">
        <v>17</v>
      </c>
      <c r="B1165" t="inlineStr">
        <is>
          <t>MeOH</t>
        </is>
      </c>
      <c r="L1165" s="23" t="inlineStr">
        <is>
          <t>Average</t>
        </is>
      </c>
      <c r="M1165" s="23" t="inlineStr">
        <is>
          <t>Stdev</t>
        </is>
      </c>
      <c r="N1165" s="9" t="inlineStr">
        <is>
          <t>Combined</t>
        </is>
      </c>
      <c r="Q1165" t="inlineStr">
        <is>
          <t>K3-1C</t>
        </is>
      </c>
      <c r="R1165" t="n">
        <v>1.0536</v>
      </c>
    </row>
    <row r="1166">
      <c r="A1166" t="n">
        <v>18</v>
      </c>
      <c r="B1166" t="inlineStr">
        <is>
          <t>K4-1A</t>
        </is>
      </c>
      <c r="D1166" t="n">
        <v>12</v>
      </c>
      <c r="E1166" t="n">
        <v>1016.779</v>
      </c>
      <c r="F1166" t="n">
        <v>2173.066</v>
      </c>
      <c r="G1166" t="n">
        <v>30.514</v>
      </c>
      <c r="H1166">
        <f>E1166/F1166</f>
        <v/>
      </c>
      <c r="I1166">
        <f>((H1166-$J$1148)/$I$1148)</f>
        <v/>
      </c>
      <c r="J1166">
        <f>(I1166-IF(I1156&gt;0,I1156,0))</f>
        <v/>
      </c>
      <c r="K1166">
        <f>J1166/R1151*1.1</f>
        <v/>
      </c>
      <c r="L1166">
        <f>AVERAGE(K1166:K1168)</f>
        <v/>
      </c>
      <c r="M1166">
        <f>STDEV(K1167:K1168)</f>
        <v/>
      </c>
      <c r="N1166">
        <f>_xlfn.CONCAT(ROUND(L1166,1)," ± ",ROUND(M1166,1))</f>
        <v/>
      </c>
      <c r="Q1166" t="inlineStr">
        <is>
          <t>K3-2A</t>
        </is>
      </c>
      <c r="R1166" s="10" t="n">
        <v>1.1218</v>
      </c>
    </row>
    <row r="1167">
      <c r="A1167" t="n">
        <v>19</v>
      </c>
      <c r="B1167" t="inlineStr">
        <is>
          <t>K4-1B</t>
        </is>
      </c>
      <c r="D1167" t="n">
        <v>11.99</v>
      </c>
      <c r="E1167" t="n">
        <v>2142.668</v>
      </c>
      <c r="F1167" t="n">
        <v>2231.232</v>
      </c>
      <c r="G1167" t="n">
        <v>27.55</v>
      </c>
      <c r="H1167">
        <f>E1167/F1167</f>
        <v/>
      </c>
      <c r="I1167">
        <f>((H1167-$J$1148)/$I$1148)</f>
        <v/>
      </c>
      <c r="J1167">
        <f>(I1167-IF(I1156&gt;0,I1156,0))</f>
        <v/>
      </c>
      <c r="K1167">
        <f>J1167/R1152*1.1</f>
        <v/>
      </c>
      <c r="Q1167" t="inlineStr">
        <is>
          <t>K3-2B</t>
        </is>
      </c>
      <c r="R1167" t="n">
        <v>1.198</v>
      </c>
    </row>
    <row r="1168">
      <c r="A1168" t="n">
        <v>20</v>
      </c>
      <c r="B1168" t="inlineStr">
        <is>
          <t>K4-1C</t>
        </is>
      </c>
      <c r="D1168" t="n">
        <v>11.99</v>
      </c>
      <c r="E1168" t="n">
        <v>2297.941</v>
      </c>
      <c r="F1168" t="n">
        <v>2264.738</v>
      </c>
      <c r="G1168" t="n">
        <v>160.597</v>
      </c>
      <c r="H1168">
        <f>E1168/F1168</f>
        <v/>
      </c>
      <c r="I1168">
        <f>((H1168-$J$1148)/$I$1148)</f>
        <v/>
      </c>
      <c r="J1168">
        <f>(I1168-IF(I1156&gt;0,I1156,0))</f>
        <v/>
      </c>
      <c r="K1168">
        <f>J1168/R1153*1.1</f>
        <v/>
      </c>
      <c r="L1168" s="23" t="inlineStr">
        <is>
          <t>Average</t>
        </is>
      </c>
      <c r="M1168" s="23" t="inlineStr">
        <is>
          <t>Stdev</t>
        </is>
      </c>
      <c r="N1168" s="9" t="inlineStr">
        <is>
          <t>Combined</t>
        </is>
      </c>
      <c r="Q1168" t="inlineStr">
        <is>
          <t>K3-2C</t>
        </is>
      </c>
      <c r="R1168" t="n">
        <v>1.1538</v>
      </c>
    </row>
    <row r="1169">
      <c r="A1169" t="n">
        <v>21</v>
      </c>
      <c r="B1169" t="inlineStr">
        <is>
          <t>K4-2A</t>
        </is>
      </c>
      <c r="D1169" t="n">
        <v>12.01</v>
      </c>
      <c r="E1169" t="n">
        <v>14661.41</v>
      </c>
      <c r="F1169" t="n">
        <v>2546.569</v>
      </c>
      <c r="G1169" t="n">
        <v>315.547</v>
      </c>
      <c r="H1169">
        <f>E1169/F1169</f>
        <v/>
      </c>
      <c r="I1169">
        <f>((H1169-$J$1148)/$I$1148)</f>
        <v/>
      </c>
      <c r="J1169">
        <f>(I1169-IF(I1156&gt;0,I1156,0))</f>
        <v/>
      </c>
      <c r="K1169">
        <f>J1169/R1154*1.1</f>
        <v/>
      </c>
      <c r="L1169">
        <f>AVERAGE(K1169:K1171)</f>
        <v/>
      </c>
      <c r="M1169">
        <f>STDEV(K1169:K1171)</f>
        <v/>
      </c>
      <c r="N1169">
        <f>_xlfn.CONCAT(ROUND(L1169,1)," ± ",ROUND(M1169,1))</f>
        <v/>
      </c>
      <c r="Q1169" t="inlineStr">
        <is>
          <t>K3-3A</t>
        </is>
      </c>
      <c r="R1169" t="n">
        <v>1.1183</v>
      </c>
    </row>
    <row r="1170">
      <c r="A1170" t="n">
        <v>22</v>
      </c>
      <c r="B1170" t="inlineStr">
        <is>
          <t>K4-2B</t>
        </is>
      </c>
      <c r="D1170" t="n">
        <v>11.99</v>
      </c>
      <c r="E1170" t="n">
        <v>1861.887</v>
      </c>
      <c r="F1170" t="n">
        <v>1959.093</v>
      </c>
      <c r="G1170" t="n">
        <v>27.692</v>
      </c>
      <c r="H1170">
        <f>E1170/F1170</f>
        <v/>
      </c>
      <c r="I1170">
        <f>((H1170-$J$1148)/$I$1148)</f>
        <v/>
      </c>
      <c r="J1170">
        <f>(I1170-IF(I1156&gt;0,I1156,0))</f>
        <v/>
      </c>
      <c r="K1170">
        <f>J1170/R1155*1.1</f>
        <v/>
      </c>
      <c r="Q1170" t="inlineStr">
        <is>
          <t>K3-3B</t>
        </is>
      </c>
      <c r="R1170" t="n">
        <v>1.1448</v>
      </c>
    </row>
    <row r="1171">
      <c r="A1171" t="n">
        <v>23</v>
      </c>
      <c r="B1171" t="inlineStr">
        <is>
          <t>K4-2C</t>
        </is>
      </c>
      <c r="D1171" t="n">
        <v>12.04</v>
      </c>
      <c r="E1171" t="n">
        <v>1009.192</v>
      </c>
      <c r="F1171" t="n">
        <v>1962.095</v>
      </c>
      <c r="G1171" t="n">
        <v>18.1</v>
      </c>
      <c r="H1171">
        <f>E1171/F1171</f>
        <v/>
      </c>
      <c r="I1171">
        <f>((H1171-$J$1148)/$I$1148)</f>
        <v/>
      </c>
      <c r="J1171">
        <f>(I1171-IF(I1156&gt;0,I1156,0))</f>
        <v/>
      </c>
      <c r="K1171">
        <f>J1171/R1156*1.1</f>
        <v/>
      </c>
      <c r="L1171" s="23" t="n"/>
      <c r="M1171" s="23" t="n"/>
      <c r="N1171" s="9" t="n"/>
      <c r="Q1171" t="inlineStr">
        <is>
          <t>K3-3C</t>
        </is>
      </c>
      <c r="R1171" t="n">
        <v>1.0493</v>
      </c>
    </row>
    <row r="1172">
      <c r="A1172" t="n">
        <v>24</v>
      </c>
      <c r="B1172" t="inlineStr">
        <is>
          <t>MeOH</t>
        </is>
      </c>
      <c r="L1172" s="23" t="inlineStr">
        <is>
          <t>Average</t>
        </is>
      </c>
      <c r="M1172" s="23" t="inlineStr">
        <is>
          <t>Stdev</t>
        </is>
      </c>
      <c r="N1172" s="9" t="inlineStr">
        <is>
          <t>Combined</t>
        </is>
      </c>
      <c r="Q1172" t="inlineStr">
        <is>
          <t>K3-4A</t>
        </is>
      </c>
      <c r="R1172" t="n">
        <v>1.0704</v>
      </c>
    </row>
    <row r="1173">
      <c r="A1173" t="n">
        <v>25</v>
      </c>
      <c r="B1173" t="inlineStr">
        <is>
          <t>K4-4A</t>
        </is>
      </c>
      <c r="D1173" t="n">
        <v>12.04</v>
      </c>
      <c r="E1173" t="n">
        <v>981.524</v>
      </c>
      <c r="F1173" t="n">
        <v>1890.679</v>
      </c>
      <c r="G1173" t="n">
        <v>14.456</v>
      </c>
      <c r="H1173">
        <f>E1173/F1173</f>
        <v/>
      </c>
      <c r="I1173">
        <f>((H1173-$J$1148)/$I$1148)</f>
        <v/>
      </c>
      <c r="J1173">
        <f>(I1173-IF(I1156&gt;0,I1156,0))</f>
        <v/>
      </c>
      <c r="K1173">
        <f>J1173/R1157*1.1</f>
        <v/>
      </c>
      <c r="L1173">
        <f>AVERAGE(K1173:K1175)</f>
        <v/>
      </c>
      <c r="M1173">
        <f>STDEV(K1174:K1175)</f>
        <v/>
      </c>
      <c r="N1173">
        <f>_xlfn.CONCAT(ROUND(L1173,1)," ± ",ROUND(M1173,1))</f>
        <v/>
      </c>
      <c r="Q1173" t="inlineStr">
        <is>
          <t>K3-4B</t>
        </is>
      </c>
      <c r="R1173" t="n">
        <v>1.1589</v>
      </c>
    </row>
    <row r="1174">
      <c r="A1174" t="n">
        <v>26</v>
      </c>
      <c r="B1174" t="inlineStr">
        <is>
          <t>K4-4B</t>
        </is>
      </c>
      <c r="D1174" t="n">
        <v>12.02</v>
      </c>
      <c r="E1174" t="n">
        <v>1736.965</v>
      </c>
      <c r="F1174" t="n">
        <v>1558.258</v>
      </c>
      <c r="G1174" t="n">
        <v>42.325</v>
      </c>
      <c r="H1174">
        <f>E1174/F1174</f>
        <v/>
      </c>
      <c r="I1174">
        <f>((H1174-$J$1148)/$I$1148)</f>
        <v/>
      </c>
      <c r="J1174">
        <f>(I1174-IF(I1156&gt;0,I1156,0))</f>
        <v/>
      </c>
      <c r="K1174">
        <f>J1174/R1158*1.1</f>
        <v/>
      </c>
      <c r="Q1174" t="inlineStr">
        <is>
          <t>K3-4C</t>
        </is>
      </c>
      <c r="R1174" t="n">
        <v>1.0206</v>
      </c>
    </row>
    <row r="1175">
      <c r="A1175" t="n">
        <v>27</v>
      </c>
      <c r="B1175" t="inlineStr">
        <is>
          <t>K4-4C</t>
        </is>
      </c>
      <c r="D1175" t="n">
        <v>12.04</v>
      </c>
      <c r="E1175" t="n">
        <v>998.47</v>
      </c>
      <c r="F1175" t="n">
        <v>1217.543</v>
      </c>
      <c r="G1175" t="n">
        <v>25.742</v>
      </c>
      <c r="H1175">
        <f>E1175/F1175</f>
        <v/>
      </c>
      <c r="I1175">
        <f>((H1175-$J$1148)/$I$1148)</f>
        <v/>
      </c>
      <c r="J1175">
        <f>(I1175-IF(I1156&gt;0,I1156,0))</f>
        <v/>
      </c>
      <c r="K1175">
        <f>J1175/R1159*1.1</f>
        <v/>
      </c>
      <c r="L1175" s="23" t="inlineStr">
        <is>
          <t>Average</t>
        </is>
      </c>
      <c r="M1175" s="23" t="inlineStr">
        <is>
          <t>Stdev</t>
        </is>
      </c>
      <c r="N1175" s="9" t="inlineStr">
        <is>
          <t>Combined</t>
        </is>
      </c>
      <c r="Q1175" t="inlineStr">
        <is>
          <t>K3-6A</t>
        </is>
      </c>
      <c r="R1175" t="n">
        <v>1.1289</v>
      </c>
    </row>
    <row r="1176">
      <c r="A1176" t="n">
        <v>28</v>
      </c>
      <c r="B1176" t="inlineStr">
        <is>
          <t>K4-5A</t>
        </is>
      </c>
      <c r="D1176" t="n">
        <v>12.02</v>
      </c>
      <c r="E1176" t="n">
        <v>2559.751</v>
      </c>
      <c r="F1176" t="n">
        <v>1730.688</v>
      </c>
      <c r="G1176" t="n">
        <v>82.58199999999999</v>
      </c>
      <c r="H1176">
        <f>E1176/F1176</f>
        <v/>
      </c>
      <c r="I1176">
        <f>((H1176-$J$1148)/$I$1148)</f>
        <v/>
      </c>
      <c r="J1176">
        <f>(I1176-IF(I1156&gt;0,I1156,0))</f>
        <v/>
      </c>
      <c r="K1176">
        <f>J1176/R1160*1.1</f>
        <v/>
      </c>
      <c r="L1176">
        <f>AVERAGE(K1176:K1178)</f>
        <v/>
      </c>
      <c r="M1176">
        <f>STDEV(K1176:K1178)</f>
        <v/>
      </c>
      <c r="N1176">
        <f>_xlfn.CONCAT(ROUND(L1176,1)," ± ",ROUND(M1176,1))</f>
        <v/>
      </c>
      <c r="Q1176" t="inlineStr">
        <is>
          <t>K3-6B</t>
        </is>
      </c>
      <c r="R1176" t="n">
        <v>1.195</v>
      </c>
    </row>
    <row r="1177">
      <c r="A1177" t="n">
        <v>29</v>
      </c>
      <c r="B1177" t="inlineStr">
        <is>
          <t>K4-5B</t>
        </is>
      </c>
      <c r="D1177" t="n">
        <v>11.99</v>
      </c>
      <c r="E1177" t="n">
        <v>1160.597</v>
      </c>
      <c r="F1177" t="n">
        <v>2104.275</v>
      </c>
      <c r="G1177" t="n">
        <v>21.557</v>
      </c>
      <c r="H1177">
        <f>E1177/F1177</f>
        <v/>
      </c>
      <c r="I1177">
        <f>((H1177-$J$1148)/$I$1148)</f>
        <v/>
      </c>
      <c r="J1177">
        <f>(I1177-IF(I1156&gt;0,I1156,0))</f>
        <v/>
      </c>
      <c r="K1177">
        <f>J1177/R1161*1.1</f>
        <v/>
      </c>
      <c r="Q1177" t="inlineStr">
        <is>
          <t>K3-6C</t>
        </is>
      </c>
      <c r="R1177" t="n">
        <v>1.1716</v>
      </c>
    </row>
    <row r="1178">
      <c r="A1178" t="n">
        <v>30</v>
      </c>
      <c r="B1178" t="inlineStr">
        <is>
          <t>K4-5C</t>
        </is>
      </c>
      <c r="D1178" t="n">
        <v>11.92</v>
      </c>
      <c r="E1178" t="n">
        <v>1137.04</v>
      </c>
      <c r="F1178" t="n">
        <v>2128.822</v>
      </c>
      <c r="G1178" t="n">
        <v>18.37</v>
      </c>
      <c r="H1178">
        <f>E1178/F1178</f>
        <v/>
      </c>
      <c r="I1178">
        <f>((H1178-$J$1148)/$I$1148)</f>
        <v/>
      </c>
      <c r="J1178">
        <f>(I1178-IF(I1156&gt;0,I1156,0))</f>
        <v/>
      </c>
      <c r="K1178">
        <f>J1178/R1162*1.1</f>
        <v/>
      </c>
      <c r="L1178" s="23" t="n"/>
      <c r="M1178" s="23" t="n"/>
      <c r="N1178" s="9" t="n"/>
    </row>
    <row r="1179">
      <c r="A1179" t="n">
        <v>31</v>
      </c>
      <c r="B1179" t="inlineStr">
        <is>
          <t>MeOH</t>
        </is>
      </c>
      <c r="L1179" s="23" t="inlineStr">
        <is>
          <t>Average</t>
        </is>
      </c>
      <c r="M1179" s="23" t="inlineStr">
        <is>
          <t>Stdev</t>
        </is>
      </c>
      <c r="N1179" s="9" t="inlineStr">
        <is>
          <t>Combined</t>
        </is>
      </c>
    </row>
    <row r="1180">
      <c r="A1180" t="n">
        <v>32</v>
      </c>
      <c r="B1180" t="inlineStr">
        <is>
          <t>K3-1A</t>
        </is>
      </c>
      <c r="D1180" t="n">
        <v>11.83</v>
      </c>
      <c r="E1180" t="n">
        <v>1830.223</v>
      </c>
      <c r="F1180" t="n">
        <v>2216.675</v>
      </c>
      <c r="G1180" t="n">
        <v>15.992</v>
      </c>
      <c r="H1180">
        <f>E1180/F1180</f>
        <v/>
      </c>
      <c r="I1180">
        <f>((H1180-$J$1148)/$I$1148)</f>
        <v/>
      </c>
      <c r="J1180">
        <f>(I1180-IF(I1156&gt;0,I1156,0))</f>
        <v/>
      </c>
      <c r="K1180">
        <f>J1180/R1163*1.1</f>
        <v/>
      </c>
      <c r="L1180">
        <f>AVERAGE(K1180:K1182)</f>
        <v/>
      </c>
      <c r="M1180">
        <f>STDEV(K1181:K1182)</f>
        <v/>
      </c>
      <c r="N1180">
        <f>_xlfn.CONCAT(ROUND(L1180,1)," ± ",ROUND(M1180,1))</f>
        <v/>
      </c>
    </row>
    <row r="1181">
      <c r="A1181" t="n">
        <v>33</v>
      </c>
      <c r="B1181" t="inlineStr">
        <is>
          <t>K3-1B</t>
        </is>
      </c>
      <c r="D1181" t="n">
        <v>11.86</v>
      </c>
      <c r="E1181" t="n">
        <v>1360.896</v>
      </c>
      <c r="F1181" t="n">
        <v>1933.619</v>
      </c>
      <c r="G1181" t="n">
        <v>32.203</v>
      </c>
      <c r="H1181">
        <f>E1181/F1181</f>
        <v/>
      </c>
      <c r="I1181">
        <f>((H1181-$J$1148)/$I$1148)</f>
        <v/>
      </c>
      <c r="J1181">
        <f>(I1181-IF(I1156&gt;0,I1156,0))</f>
        <v/>
      </c>
      <c r="K1181">
        <f>J1181/R1164*1.1</f>
        <v/>
      </c>
    </row>
    <row r="1182">
      <c r="A1182" t="n">
        <v>34</v>
      </c>
      <c r="B1182" t="inlineStr">
        <is>
          <t>K3-1C</t>
        </is>
      </c>
      <c r="D1182" t="n">
        <v>11.91</v>
      </c>
      <c r="E1182" t="n">
        <v>1611.091</v>
      </c>
      <c r="F1182" t="n">
        <v>2689.694</v>
      </c>
      <c r="G1182" t="n">
        <v>46.494</v>
      </c>
      <c r="H1182">
        <f>E1182/F1182</f>
        <v/>
      </c>
      <c r="I1182">
        <f>((H1182-$J$1148)/$I$1148)</f>
        <v/>
      </c>
      <c r="J1182">
        <f>(I1182-IF(I1156&gt;0,I1156,0))</f>
        <v/>
      </c>
      <c r="K1182">
        <f>J1182/R1165*1.1</f>
        <v/>
      </c>
      <c r="L1182" s="23" t="inlineStr">
        <is>
          <t>Average</t>
        </is>
      </c>
      <c r="M1182" s="23" t="inlineStr">
        <is>
          <t>Stdev</t>
        </is>
      </c>
      <c r="N1182" s="9" t="inlineStr">
        <is>
          <t>Combined</t>
        </is>
      </c>
    </row>
    <row r="1183">
      <c r="A1183" t="n">
        <v>35</v>
      </c>
      <c r="B1183" t="inlineStr">
        <is>
          <t>K3-2A</t>
        </is>
      </c>
      <c r="D1183" t="n">
        <v>11.93</v>
      </c>
      <c r="E1183" t="n">
        <v>1237.273</v>
      </c>
      <c r="F1183" t="n">
        <v>2721.774</v>
      </c>
      <c r="G1183" t="n">
        <v>35.108</v>
      </c>
      <c r="H1183">
        <f>E1183/F1183</f>
        <v/>
      </c>
      <c r="I1183">
        <f>((H1183-$J$1148)/$I$1148)</f>
        <v/>
      </c>
      <c r="J1183">
        <f>(I1183-IF(I1156&gt;0,I1156,0))</f>
        <v/>
      </c>
      <c r="K1183">
        <f>J1183/R1166*1.1</f>
        <v/>
      </c>
      <c r="L1183">
        <f>AVERAGE(K1183:K1185)</f>
        <v/>
      </c>
      <c r="M1183">
        <f>STDEV(K1183:K1185)</f>
        <v/>
      </c>
      <c r="N1183">
        <f>_xlfn.CONCAT(ROUND(L1183,1)," ± ",ROUND(M1183,1))</f>
        <v/>
      </c>
    </row>
    <row r="1184">
      <c r="A1184" t="n">
        <v>36</v>
      </c>
      <c r="B1184" t="inlineStr">
        <is>
          <t>K3-2B</t>
        </is>
      </c>
      <c r="D1184" t="n">
        <v>11.92</v>
      </c>
      <c r="E1184" t="n">
        <v>1706.569</v>
      </c>
      <c r="F1184" t="n">
        <v>3173.245</v>
      </c>
      <c r="G1184" t="n">
        <v>25.746</v>
      </c>
      <c r="H1184">
        <f>E1184/F1184</f>
        <v/>
      </c>
      <c r="I1184">
        <f>((H1184-$J$1148)/$I$1148)</f>
        <v/>
      </c>
      <c r="J1184">
        <f>(I1184-IF(I1156&gt;0,I1156,0))</f>
        <v/>
      </c>
      <c r="K1184">
        <f>J1184/R1167*1.1</f>
        <v/>
      </c>
    </row>
    <row r="1185">
      <c r="A1185" t="n">
        <v>37</v>
      </c>
      <c r="B1185" t="inlineStr">
        <is>
          <t>K3-2C</t>
        </is>
      </c>
      <c r="D1185" t="n">
        <v>11.93</v>
      </c>
      <c r="E1185" t="n">
        <v>1615.712</v>
      </c>
      <c r="F1185" t="n">
        <v>2698.936</v>
      </c>
      <c r="G1185" t="n">
        <v>30.842</v>
      </c>
      <c r="H1185">
        <f>E1185/F1185</f>
        <v/>
      </c>
      <c r="I1185">
        <f>((H1185-$J$1148)/$I$1148)</f>
        <v/>
      </c>
      <c r="J1185">
        <f>(I1185-IF(I1156&gt;0,I1156,0))</f>
        <v/>
      </c>
      <c r="K1185">
        <f>J1185/R1168*1.1</f>
        <v/>
      </c>
      <c r="L1185" s="23" t="n"/>
      <c r="M1185" s="23" t="n"/>
      <c r="N1185" s="9" t="n"/>
    </row>
    <row r="1186">
      <c r="A1186" t="n">
        <v>38</v>
      </c>
      <c r="B1186" t="inlineStr">
        <is>
          <t>MeOH</t>
        </is>
      </c>
      <c r="L1186" s="23" t="inlineStr">
        <is>
          <t>Average</t>
        </is>
      </c>
      <c r="M1186" s="23" t="inlineStr">
        <is>
          <t>Stdev</t>
        </is>
      </c>
      <c r="N1186" s="9" t="inlineStr">
        <is>
          <t>Combined</t>
        </is>
      </c>
    </row>
    <row r="1187">
      <c r="A1187" t="n">
        <v>39</v>
      </c>
      <c r="B1187" t="inlineStr">
        <is>
          <t>K3-3A</t>
        </is>
      </c>
      <c r="D1187" t="n">
        <v>11.96</v>
      </c>
      <c r="E1187" t="n">
        <v>2683.825</v>
      </c>
      <c r="F1187" t="n">
        <v>2447.134</v>
      </c>
      <c r="G1187" t="n">
        <v>23.616</v>
      </c>
      <c r="H1187">
        <f>E1187/F1187</f>
        <v/>
      </c>
      <c r="I1187">
        <f>((H1187-$J$1148)/$I$1148)</f>
        <v/>
      </c>
      <c r="J1187">
        <f>(I1187-IF(I1156&gt;0,I1156,0))</f>
        <v/>
      </c>
      <c r="K1187">
        <f>J1187/R1169*1.1</f>
        <v/>
      </c>
      <c r="L1187">
        <f>AVERAGE(K1187:K1189)</f>
        <v/>
      </c>
      <c r="M1187">
        <f>STDEV(K1188:K1189)</f>
        <v/>
      </c>
      <c r="N1187">
        <f>_xlfn.CONCAT(ROUND(L1187,1)," ± ",ROUND(M1187,1))</f>
        <v/>
      </c>
    </row>
    <row r="1188">
      <c r="A1188" t="n">
        <v>40</v>
      </c>
      <c r="B1188" t="inlineStr">
        <is>
          <t>K3-3B</t>
        </is>
      </c>
      <c r="D1188" t="n">
        <v>11.98</v>
      </c>
      <c r="E1188" t="n">
        <v>2546.56</v>
      </c>
      <c r="F1188" t="n">
        <v>2381.961</v>
      </c>
      <c r="G1188" t="n">
        <v>28.144</v>
      </c>
      <c r="H1188">
        <f>E1188/F1188</f>
        <v/>
      </c>
      <c r="I1188">
        <f>((H1188-$J$1148)/$I$1148)</f>
        <v/>
      </c>
      <c r="J1188">
        <f>(I1188-IF(I1156&gt;0,I1156,0))</f>
        <v/>
      </c>
      <c r="K1188">
        <f>J1188/R1170*1.1</f>
        <v/>
      </c>
    </row>
    <row r="1189">
      <c r="A1189" t="n">
        <v>41</v>
      </c>
      <c r="B1189" t="inlineStr">
        <is>
          <t>K3-3C</t>
        </is>
      </c>
      <c r="D1189" t="n">
        <v>11.98</v>
      </c>
      <c r="E1189" t="n">
        <v>1798.203</v>
      </c>
      <c r="F1189" t="n">
        <v>2598.05</v>
      </c>
      <c r="G1189" t="n">
        <v>18.077</v>
      </c>
      <c r="H1189">
        <f>E1189/F1189</f>
        <v/>
      </c>
      <c r="I1189">
        <f>((H1189-$J$1148)/$I$1148)</f>
        <v/>
      </c>
      <c r="J1189">
        <f>(I1189-IF(I1156&gt;0,I1156,0))</f>
        <v/>
      </c>
      <c r="K1189">
        <f>J1189/R1171*1.1</f>
        <v/>
      </c>
      <c r="L1189" s="23" t="inlineStr">
        <is>
          <t>Average</t>
        </is>
      </c>
      <c r="M1189" s="23" t="inlineStr">
        <is>
          <t>Stdev</t>
        </is>
      </c>
      <c r="N1189" s="9" t="inlineStr">
        <is>
          <t>Combined</t>
        </is>
      </c>
    </row>
    <row r="1190">
      <c r="A1190" t="n">
        <v>42</v>
      </c>
      <c r="B1190" t="inlineStr">
        <is>
          <t>K3-4A</t>
        </is>
      </c>
      <c r="D1190" t="n">
        <v>12.04</v>
      </c>
      <c r="E1190" t="n">
        <v>1702.146</v>
      </c>
      <c r="F1190" t="n">
        <v>2541.848</v>
      </c>
      <c r="G1190" t="n">
        <v>30.34</v>
      </c>
      <c r="H1190">
        <f>E1190/F1190</f>
        <v/>
      </c>
      <c r="I1190">
        <f>((H1190-$J$1148)/$I$1148)</f>
        <v/>
      </c>
      <c r="J1190">
        <f>(I1190-IF(I1156&gt;0,I1156,0))</f>
        <v/>
      </c>
      <c r="K1190">
        <f>J1190/R1172*1.1</f>
        <v/>
      </c>
      <c r="L1190">
        <f>AVERAGE(K1190:K1192)</f>
        <v/>
      </c>
      <c r="M1190">
        <f>STDEV(K1190:K1192)</f>
        <v/>
      </c>
      <c r="N1190">
        <f>_xlfn.CONCAT(ROUND(L1190,1)," ± ",ROUND(M1190,1))</f>
        <v/>
      </c>
    </row>
    <row r="1191">
      <c r="A1191" t="n">
        <v>43</v>
      </c>
      <c r="B1191" t="inlineStr">
        <is>
          <t>K3-4B</t>
        </is>
      </c>
      <c r="D1191" t="n">
        <v>12.01</v>
      </c>
      <c r="E1191" t="n">
        <v>1877.541</v>
      </c>
      <c r="F1191" t="n">
        <v>2826.966</v>
      </c>
      <c r="G1191" t="n">
        <v>29.394</v>
      </c>
      <c r="H1191">
        <f>E1191/F1191</f>
        <v/>
      </c>
      <c r="I1191">
        <f>((H1191-$J$1148)/$I$1148)</f>
        <v/>
      </c>
      <c r="J1191">
        <f>(I1191-IF(I1156&gt;0,I1156,0))</f>
        <v/>
      </c>
      <c r="K1191">
        <f>J1191/R1173*1.1</f>
        <v/>
      </c>
    </row>
    <row r="1192">
      <c r="A1192" t="n">
        <v>44</v>
      </c>
      <c r="B1192" t="inlineStr">
        <is>
          <t>K3-4C</t>
        </is>
      </c>
      <c r="D1192" t="n">
        <v>12.05</v>
      </c>
      <c r="E1192" t="n">
        <v>1854.382</v>
      </c>
      <c r="F1192" t="n">
        <v>2828.133</v>
      </c>
      <c r="G1192" t="n">
        <v>19.512</v>
      </c>
      <c r="H1192">
        <f>E1192/F1192</f>
        <v/>
      </c>
      <c r="I1192">
        <f>((H1192-$J$1148)/$I$1148)</f>
        <v/>
      </c>
      <c r="J1192">
        <f>(I1192-IF(I1156&gt;0,I1156,0))</f>
        <v/>
      </c>
      <c r="K1192">
        <f>J1192/R1174*1.1</f>
        <v/>
      </c>
      <c r="L1192" s="23" t="n"/>
      <c r="M1192" s="23" t="n"/>
      <c r="N1192" s="9" t="n"/>
    </row>
    <row r="1193">
      <c r="A1193" t="n">
        <v>45</v>
      </c>
      <c r="B1193" t="inlineStr">
        <is>
          <t>MeOH</t>
        </is>
      </c>
      <c r="D1193" t="n">
        <v>12.13</v>
      </c>
      <c r="E1193" t="n">
        <v>579.917</v>
      </c>
      <c r="G1193" t="n">
        <v>5.44</v>
      </c>
      <c r="L1193" s="23" t="inlineStr">
        <is>
          <t>Average</t>
        </is>
      </c>
      <c r="M1193" s="23" t="inlineStr">
        <is>
          <t>Stdev</t>
        </is>
      </c>
      <c r="N1193" s="9" t="inlineStr">
        <is>
          <t>Combined</t>
        </is>
      </c>
    </row>
    <row r="1194">
      <c r="A1194" t="n">
        <v>46</v>
      </c>
      <c r="B1194" t="inlineStr">
        <is>
          <t>K3-6A</t>
        </is>
      </c>
      <c r="D1194" t="n">
        <v>12.07</v>
      </c>
      <c r="E1194" t="n">
        <v>1220.255</v>
      </c>
      <c r="F1194" t="n">
        <v>2704.998</v>
      </c>
      <c r="G1194" t="n">
        <v>22.862</v>
      </c>
      <c r="H1194">
        <f>E1194/F1194</f>
        <v/>
      </c>
      <c r="I1194">
        <f>((H1194-$J$1148)/$I$1148)</f>
        <v/>
      </c>
      <c r="J1194">
        <f>(I1194-IF(I1156&gt;0,I1156,0))</f>
        <v/>
      </c>
      <c r="K1194">
        <f>J1194/R1175*1.1</f>
        <v/>
      </c>
      <c r="L1194">
        <f>AVERAGE(K1194:K1196)</f>
        <v/>
      </c>
      <c r="M1194">
        <f>STDEV(K1195:K1196)</f>
        <v/>
      </c>
      <c r="N1194">
        <f>_xlfn.CONCAT(ROUND(L1194,1)," ± ",ROUND(M1194,1))</f>
        <v/>
      </c>
    </row>
    <row r="1195">
      <c r="A1195" t="n">
        <v>47</v>
      </c>
      <c r="B1195" t="inlineStr">
        <is>
          <t>K3-6B</t>
        </is>
      </c>
      <c r="D1195" t="n">
        <v>12.05</v>
      </c>
      <c r="E1195" t="n">
        <v>1428.933</v>
      </c>
      <c r="F1195" t="n">
        <v>2228.994</v>
      </c>
      <c r="G1195" t="n">
        <v>18.989</v>
      </c>
      <c r="H1195">
        <f>E1195/F1195</f>
        <v/>
      </c>
      <c r="I1195">
        <f>((H1195-$J$1148)/$I$1148)</f>
        <v/>
      </c>
      <c r="J1195">
        <f>(I1195-IF(I1156&gt;0,I1156,0))</f>
        <v/>
      </c>
      <c r="K1195">
        <f>J1195/R1176*1.1</f>
        <v/>
      </c>
    </row>
    <row r="1196">
      <c r="A1196" t="n">
        <v>48</v>
      </c>
      <c r="B1196" t="inlineStr">
        <is>
          <t>K3-6C</t>
        </is>
      </c>
      <c r="D1196" t="n">
        <v>12.05</v>
      </c>
      <c r="E1196" t="n">
        <v>1846.879</v>
      </c>
      <c r="F1196" t="n">
        <v>2518.187</v>
      </c>
      <c r="G1196" t="n">
        <v>30.434</v>
      </c>
      <c r="H1196">
        <f>E1196/F1196</f>
        <v/>
      </c>
      <c r="I1196">
        <f>((H1196-$J$1148)/$I$1148)</f>
        <v/>
      </c>
      <c r="J1196">
        <f>(I1196-IF(I1156&gt;0,I1156,0))</f>
        <v/>
      </c>
      <c r="K1196">
        <f>J1196/R1177*1.1</f>
        <v/>
      </c>
      <c r="L1196" s="23" t="n"/>
      <c r="M1196" s="23" t="n"/>
      <c r="N1196" s="9" t="n"/>
    </row>
    <row r="1198">
      <c r="A1198" t="inlineStr">
        <is>
          <t>Compound 52:  6:2 FTS 1</t>
        </is>
      </c>
    </row>
    <row r="1199">
      <c r="I1199" t="inlineStr">
        <is>
          <t>LINEST</t>
        </is>
      </c>
      <c r="Q1199" t="inlineStr">
        <is>
          <t>Biosolids Masses</t>
        </is>
      </c>
      <c r="R1199" t="inlineStr">
        <is>
          <t>(g)</t>
        </is>
      </c>
    </row>
    <row r="1200">
      <c r="B1200" t="inlineStr">
        <is>
          <t>Sample Text</t>
        </is>
      </c>
      <c r="C1200" t="inlineStr">
        <is>
          <t>Std. Conc</t>
        </is>
      </c>
      <c r="D1200" t="inlineStr">
        <is>
          <t>RT</t>
        </is>
      </c>
      <c r="E1200" t="inlineStr">
        <is>
          <t>Area</t>
        </is>
      </c>
      <c r="F1200" t="inlineStr">
        <is>
          <t>IS Area</t>
        </is>
      </c>
      <c r="G1200" t="inlineStr">
        <is>
          <t>S/N</t>
        </is>
      </c>
      <c r="H1200" t="inlineStr">
        <is>
          <t>ratio</t>
        </is>
      </c>
      <c r="I1200">
        <f t="array" ref="I1200:J1204">LINEST(H1202:H1207,C1202:C1207,1,1)</f>
        <v/>
      </c>
      <c r="J1200" t="n">
        <v>0.02862970378807494</v>
      </c>
      <c r="L1200" s="20" t="inlineStr">
        <is>
          <t>By S/N Ratio</t>
        </is>
      </c>
      <c r="Q1200" t="inlineStr">
        <is>
          <t>SS1</t>
        </is>
      </c>
      <c r="R1200" t="n">
        <v>1.0846</v>
      </c>
    </row>
    <row r="1201">
      <c r="A1201" t="n">
        <v>1</v>
      </c>
      <c r="B1201" t="inlineStr">
        <is>
          <t>EPA1633 &amp; diPAPs Calibration 0 ppb</t>
        </is>
      </c>
      <c r="C1201" t="n">
        <v>0</v>
      </c>
      <c r="D1201" t="n">
        <v>11.72</v>
      </c>
      <c r="E1201" t="n">
        <v>337.177</v>
      </c>
      <c r="F1201" t="n">
        <v>22113.453</v>
      </c>
      <c r="G1201" t="n">
        <v>2891</v>
      </c>
      <c r="H1201">
        <f>E1201/F1201</f>
        <v/>
      </c>
      <c r="I1201" t="n">
        <v>0.003087017838439228</v>
      </c>
      <c r="J1201" t="n">
        <v>0.05662422163267046</v>
      </c>
      <c r="K1201" t="inlineStr">
        <is>
          <t>LOD</t>
        </is>
      </c>
      <c r="L1201" s="21">
        <f>IF(G1202&gt;3,C1202,IF(G1203&gt;3,C1203,IF(G1204&gt;3,C1204,IF(G1205&gt;3,C1205,C1206))))</f>
        <v/>
      </c>
      <c r="Q1201" t="inlineStr">
        <is>
          <t>SS2</t>
        </is>
      </c>
      <c r="R1201" t="n">
        <v>1.0726</v>
      </c>
    </row>
    <row r="1202">
      <c r="A1202" t="n">
        <v>2</v>
      </c>
      <c r="B1202" t="inlineStr">
        <is>
          <t>EPA1633 &amp; diPAPs Calibration 0.02 ppb</t>
        </is>
      </c>
      <c r="C1202" t="n">
        <v>0.08</v>
      </c>
      <c r="D1202" t="n">
        <v>11.77</v>
      </c>
      <c r="E1202" t="n">
        <v>1126.898</v>
      </c>
      <c r="F1202" t="n">
        <v>19727.258</v>
      </c>
      <c r="G1202" t="n">
        <v>24.994</v>
      </c>
      <c r="H1202">
        <f>E1202/F1202</f>
        <v/>
      </c>
      <c r="I1202" t="n">
        <v>0.995393055057712</v>
      </c>
      <c r="J1202" t="n">
        <v>0.1109165695505907</v>
      </c>
      <c r="K1202" t="inlineStr">
        <is>
          <t>LOQ</t>
        </is>
      </c>
      <c r="L1202" s="22">
        <f>IF(G1202&gt;10,C1202,IF(G1203&gt;10,C1203,IF(G1204&gt;10,C1204,IF(G1205&gt;10,C1205,C1206))))</f>
        <v/>
      </c>
      <c r="Q1202" t="inlineStr">
        <is>
          <t>SS3</t>
        </is>
      </c>
      <c r="R1202" t="n">
        <v>1.1534</v>
      </c>
    </row>
    <row r="1203">
      <c r="A1203" t="n">
        <v>3</v>
      </c>
      <c r="B1203" t="inlineStr">
        <is>
          <t>EPA1633 &amp; diPAPs Calibration 0.1 ppb</t>
        </is>
      </c>
      <c r="C1203" t="n">
        <v>0.4</v>
      </c>
      <c r="D1203" t="n">
        <v>11.77</v>
      </c>
      <c r="E1203" t="n">
        <v>1525.989</v>
      </c>
      <c r="F1203" t="n">
        <v>21608.316</v>
      </c>
      <c r="G1203" t="n">
        <v>53.375</v>
      </c>
      <c r="H1203">
        <f>E1203/F1203</f>
        <v/>
      </c>
      <c r="I1203" t="n">
        <v>864.254352962492</v>
      </c>
      <c r="J1203" t="n">
        <v>4</v>
      </c>
      <c r="Q1203" t="inlineStr">
        <is>
          <t>K4-1A</t>
        </is>
      </c>
      <c r="R1203" t="n">
        <v>1.0267</v>
      </c>
    </row>
    <row r="1204">
      <c r="A1204" t="n">
        <v>4</v>
      </c>
      <c r="B1204" t="inlineStr">
        <is>
          <t>EPA1633 &amp; diPAPs Calibration 0.4 ppb</t>
        </is>
      </c>
      <c r="C1204" t="n">
        <v>1.6</v>
      </c>
      <c r="D1204" t="n">
        <v>11.76</v>
      </c>
      <c r="E1204" t="n">
        <v>4824.491</v>
      </c>
      <c r="F1204" t="n">
        <v>17922.152</v>
      </c>
      <c r="G1204" t="n">
        <v>1068.037</v>
      </c>
      <c r="H1204">
        <f>E1204/F1204</f>
        <v/>
      </c>
      <c r="I1204" t="n">
        <v>10.63247655996028</v>
      </c>
      <c r="J1204" t="n">
        <v>0.04920994160348406</v>
      </c>
      <c r="Q1204" t="inlineStr">
        <is>
          <t>K4-1B</t>
        </is>
      </c>
      <c r="R1204" t="n">
        <v>1.1481</v>
      </c>
    </row>
    <row r="1205">
      <c r="A1205" t="n">
        <v>5</v>
      </c>
      <c r="B1205" t="inlineStr">
        <is>
          <t>EPA1633 &amp; diPAPs Calibration 1 ppb</t>
        </is>
      </c>
      <c r="C1205" t="n">
        <v>4</v>
      </c>
      <c r="D1205" t="n">
        <v>11.78</v>
      </c>
      <c r="E1205" t="n">
        <v>7820.011</v>
      </c>
      <c r="F1205" t="n">
        <v>21861.023</v>
      </c>
      <c r="G1205" t="n">
        <v>166.691</v>
      </c>
      <c r="H1205">
        <f>E1205/F1205</f>
        <v/>
      </c>
      <c r="Q1205" t="inlineStr">
        <is>
          <t>K4-1C</t>
        </is>
      </c>
      <c r="R1205" t="n">
        <v>1.0402</v>
      </c>
    </row>
    <row r="1206">
      <c r="A1206" t="n">
        <v>6</v>
      </c>
      <c r="B1206" t="inlineStr">
        <is>
          <t>EPA1633 &amp; diPAPs Calibration 5 ppb</t>
        </is>
      </c>
      <c r="C1206" t="n">
        <v>20</v>
      </c>
      <c r="D1206" t="n">
        <v>11.68</v>
      </c>
      <c r="E1206" t="n">
        <v>32797.883</v>
      </c>
      <c r="F1206" t="n">
        <v>19662.793</v>
      </c>
      <c r="G1206" t="n">
        <v>240894</v>
      </c>
      <c r="H1206">
        <f>E1206/F1206</f>
        <v/>
      </c>
      <c r="Q1206" t="inlineStr">
        <is>
          <t>K4-2A</t>
        </is>
      </c>
      <c r="R1206" t="n">
        <v>1.127</v>
      </c>
    </row>
    <row r="1207">
      <c r="A1207" t="n">
        <v>7</v>
      </c>
      <c r="B1207" t="inlineStr">
        <is>
          <t>EPA1633 &amp; diPAPs Calibration 10 ppb</t>
        </is>
      </c>
      <c r="C1207" t="n">
        <v>40</v>
      </c>
      <c r="D1207" t="n">
        <v>11.71</v>
      </c>
      <c r="E1207" t="n">
        <v>64116.289</v>
      </c>
      <c r="F1207" t="n">
        <v>17115.689</v>
      </c>
      <c r="G1207" t="n">
        <v>3590.181</v>
      </c>
      <c r="H1207">
        <f>E1207/F1207</f>
        <v/>
      </c>
      <c r="I1207" s="23" t="inlineStr">
        <is>
          <t>Background</t>
        </is>
      </c>
      <c r="J1207" s="23" t="inlineStr">
        <is>
          <t>Spike</t>
        </is>
      </c>
      <c r="K1207" s="9" t="inlineStr">
        <is>
          <t>Old Spike</t>
        </is>
      </c>
      <c r="O1207" s="24" t="inlineStr">
        <is>
          <t>±</t>
        </is>
      </c>
      <c r="Q1207" t="inlineStr">
        <is>
          <t>K4-2B</t>
        </is>
      </c>
      <c r="R1207" t="n">
        <v>1.1154</v>
      </c>
    </row>
    <row r="1208">
      <c r="A1208" t="n">
        <v>8</v>
      </c>
      <c r="B1208" t="inlineStr">
        <is>
          <t>EPA1633 &amp; diPAPs Calibration 20 ppb</t>
        </is>
      </c>
      <c r="C1208" t="n">
        <v>80</v>
      </c>
      <c r="D1208" t="n">
        <v>11.74</v>
      </c>
      <c r="E1208" t="n">
        <v>119857.156</v>
      </c>
      <c r="F1208" t="n">
        <v>21588.051</v>
      </c>
      <c r="G1208" t="n">
        <v>5544.825</v>
      </c>
      <c r="H1208">
        <f>E1208/F1208</f>
        <v/>
      </c>
      <c r="I1208">
        <f>AVERAGE(I1211:I1213)</f>
        <v/>
      </c>
      <c r="J1208" t="n">
        <v>44</v>
      </c>
      <c r="Q1208" t="inlineStr">
        <is>
          <t>K4-2C</t>
        </is>
      </c>
      <c r="R1208" t="n">
        <v>1.1711</v>
      </c>
    </row>
    <row r="1209">
      <c r="A1209" t="n">
        <v>9</v>
      </c>
      <c r="B1209" t="inlineStr">
        <is>
          <t>MeOH</t>
        </is>
      </c>
      <c r="D1209" t="n">
        <v>11.76</v>
      </c>
      <c r="E1209" t="n">
        <v>33.773</v>
      </c>
      <c r="F1209" t="n">
        <v>29.33</v>
      </c>
      <c r="G1209" t="n">
        <v>285</v>
      </c>
      <c r="I1209" s="23" t="inlineStr">
        <is>
          <t>Conc.In Vial (ppb)</t>
        </is>
      </c>
      <c r="J1209" s="9" t="inlineStr">
        <is>
          <t>Corr. Conc.(ppb)</t>
        </is>
      </c>
      <c r="K1209" s="9" t="inlineStr">
        <is>
          <t>Conc. In soil (ng/g)</t>
        </is>
      </c>
      <c r="Q1209" t="inlineStr">
        <is>
          <t>K4-4A</t>
        </is>
      </c>
      <c r="R1209" t="n">
        <v>1.0932</v>
      </c>
    </row>
    <row r="1210">
      <c r="A1210" t="n">
        <v>10</v>
      </c>
      <c r="B1210" t="inlineStr">
        <is>
          <t>MeOH</t>
        </is>
      </c>
      <c r="D1210" t="n">
        <v>11.76</v>
      </c>
      <c r="E1210" t="n">
        <v>147.191</v>
      </c>
      <c r="F1210" t="n">
        <v>4.523</v>
      </c>
      <c r="G1210" t="n">
        <v>1059</v>
      </c>
      <c r="L1210" s="23" t="inlineStr">
        <is>
          <t>Average</t>
        </is>
      </c>
      <c r="M1210" s="23" t="inlineStr">
        <is>
          <t>Stdev</t>
        </is>
      </c>
      <c r="N1210" s="9" t="inlineStr">
        <is>
          <t>Combined</t>
        </is>
      </c>
      <c r="O1210" s="9" t="n"/>
      <c r="P1210" s="9" t="n"/>
      <c r="Q1210" t="inlineStr">
        <is>
          <t>K4-4B</t>
        </is>
      </c>
      <c r="R1210" t="n">
        <v>1.15</v>
      </c>
    </row>
    <row r="1211">
      <c r="A1211" t="n">
        <v>11</v>
      </c>
      <c r="B1211" t="inlineStr">
        <is>
          <t>SB1</t>
        </is>
      </c>
      <c r="D1211" t="n">
        <v>11.79</v>
      </c>
      <c r="E1211" t="n">
        <v>318.469</v>
      </c>
      <c r="F1211" t="n">
        <v>8290.896000000001</v>
      </c>
      <c r="G1211" t="n">
        <v>53.735</v>
      </c>
      <c r="H1211">
        <f>E1211/F1211</f>
        <v/>
      </c>
      <c r="I1211">
        <f>((H1211-$J$1200)/$I$1200)</f>
        <v/>
      </c>
      <c r="J1211">
        <f>(I1211-IF(I1208&gt;0,I1208,0))</f>
        <v/>
      </c>
      <c r="K1211">
        <f>J1211*1.1</f>
        <v/>
      </c>
      <c r="L1211">
        <f>AVERAGE(K1211:K1213)</f>
        <v/>
      </c>
      <c r="M1211">
        <f>STDEV(K1212:K1213)</f>
        <v/>
      </c>
      <c r="N1211">
        <f>_xlfn.CONCAT(ROUND(L1211,1)," ± ",ROUND(M1211,1))</f>
        <v/>
      </c>
      <c r="Q1211" t="inlineStr">
        <is>
          <t>K4-4C</t>
        </is>
      </c>
      <c r="R1211" t="n">
        <v>1.0482</v>
      </c>
    </row>
    <row r="1212">
      <c r="A1212" t="n">
        <v>12</v>
      </c>
      <c r="B1212" t="inlineStr">
        <is>
          <t>SB2</t>
        </is>
      </c>
      <c r="D1212" t="n">
        <v>11.78</v>
      </c>
      <c r="E1212" t="n">
        <v>4.568</v>
      </c>
      <c r="F1212" t="n">
        <v>7311.854</v>
      </c>
      <c r="G1212" t="n">
        <v>5.712</v>
      </c>
      <c r="H1212">
        <f>E1212/F1212</f>
        <v/>
      </c>
      <c r="I1212">
        <f>((H1212-$J$1200)/$I$1200)</f>
        <v/>
      </c>
      <c r="J1212">
        <f>(I1212-IF(I1208&gt;0,I1208,0))</f>
        <v/>
      </c>
      <c r="K1212">
        <f>J1212*1.1</f>
        <v/>
      </c>
      <c r="Q1212" t="inlineStr">
        <is>
          <t>K4-5A</t>
        </is>
      </c>
      <c r="R1212" t="n">
        <v>1.1054</v>
      </c>
    </row>
    <row r="1213">
      <c r="A1213" t="n">
        <v>13</v>
      </c>
      <c r="B1213" t="inlineStr">
        <is>
          <t>SB3</t>
        </is>
      </c>
      <c r="D1213" t="n">
        <v>11.78</v>
      </c>
      <c r="E1213" t="n">
        <v>44.291</v>
      </c>
      <c r="F1213" t="n">
        <v>6894.442</v>
      </c>
      <c r="G1213" t="n">
        <v>376</v>
      </c>
      <c r="H1213">
        <f>E1213/F1213</f>
        <v/>
      </c>
      <c r="I1213">
        <f>((H1213-$J$1200)/$I$1200)</f>
        <v/>
      </c>
      <c r="J1213">
        <f>(I1213-IF(I1208&gt;0,I1208,0))</f>
        <v/>
      </c>
      <c r="K1213" s="30">
        <f>J1213*1.1</f>
        <v/>
      </c>
      <c r="L1213" s="25" t="inlineStr">
        <is>
          <t>Average</t>
        </is>
      </c>
      <c r="M1213" s="25" t="inlineStr">
        <is>
          <t>Stdev</t>
        </is>
      </c>
      <c r="N1213" s="26" t="inlineStr">
        <is>
          <t>%Recovery</t>
        </is>
      </c>
      <c r="O1213" s="26" t="inlineStr">
        <is>
          <t>Uncertainty</t>
        </is>
      </c>
      <c r="P1213" s="26" t="inlineStr">
        <is>
          <t>Combined</t>
        </is>
      </c>
      <c r="Q1213" t="inlineStr">
        <is>
          <t>K4-5B</t>
        </is>
      </c>
      <c r="R1213" s="10" t="n">
        <v>1.0463</v>
      </c>
    </row>
    <row r="1214">
      <c r="A1214" t="n">
        <v>14</v>
      </c>
      <c r="B1214" t="inlineStr">
        <is>
          <t>SS1</t>
        </is>
      </c>
      <c r="D1214" t="n">
        <v>11.82</v>
      </c>
      <c r="E1214" t="n">
        <v>26068.9</v>
      </c>
      <c r="F1214" t="n">
        <v>8442.453</v>
      </c>
      <c r="G1214" t="n">
        <v>1204.547</v>
      </c>
      <c r="H1214">
        <f>E1214/F1214</f>
        <v/>
      </c>
      <c r="I1214">
        <f>((H1214-$J$1200)/$I$1200)</f>
        <v/>
      </c>
      <c r="J1214">
        <f>(I1214-IF(I1208&gt;0,I1208,0))</f>
        <v/>
      </c>
      <c r="K1214">
        <f>J1214/R1200*1.1</f>
        <v/>
      </c>
      <c r="L1214" s="27">
        <f>AVERAGE(K1214:K1216)</f>
        <v/>
      </c>
      <c r="M1214" s="27">
        <f>STDEV(K1214:K1216)</f>
        <v/>
      </c>
      <c r="N1214" s="28">
        <f>L1214/J1208*100</f>
        <v/>
      </c>
      <c r="O1214" s="29">
        <f>M1214/J1211*100</f>
        <v/>
      </c>
      <c r="P1214" s="29">
        <f>_xlfn.CONCAT(ROUND(N1214,1)," ± ",ROUND(O1214,1))</f>
        <v/>
      </c>
      <c r="Q1214" t="inlineStr">
        <is>
          <t>K4-5C</t>
        </is>
      </c>
      <c r="R1214" t="n">
        <v>1.1155</v>
      </c>
    </row>
    <row r="1215">
      <c r="A1215" t="n">
        <v>15</v>
      </c>
      <c r="B1215" t="inlineStr">
        <is>
          <t>SS2</t>
        </is>
      </c>
      <c r="D1215" t="n">
        <v>11.83</v>
      </c>
      <c r="E1215" t="n">
        <v>26763.598</v>
      </c>
      <c r="F1215" t="n">
        <v>9012.263999999999</v>
      </c>
      <c r="G1215" t="n">
        <v>752.045</v>
      </c>
      <c r="H1215">
        <f>E1215/F1215</f>
        <v/>
      </c>
      <c r="I1215">
        <f>((H1215-$J$1200)/$I$1200)</f>
        <v/>
      </c>
      <c r="J1215">
        <f>(I1215-IF(I1208&gt;0,I1208,0))</f>
        <v/>
      </c>
      <c r="K1215">
        <f>J1215/R1201*1.1</f>
        <v/>
      </c>
      <c r="Q1215" t="inlineStr">
        <is>
          <t>K3-1A</t>
        </is>
      </c>
      <c r="R1215" t="n">
        <v>1.0874</v>
      </c>
    </row>
    <row r="1216">
      <c r="A1216" t="n">
        <v>16</v>
      </c>
      <c r="B1216" t="inlineStr">
        <is>
          <t>SS3</t>
        </is>
      </c>
      <c r="D1216" t="n">
        <v>11.84</v>
      </c>
      <c r="E1216" t="n">
        <v>24919.904</v>
      </c>
      <c r="F1216" t="n">
        <v>7925.868</v>
      </c>
      <c r="G1216" t="n">
        <v>244.276</v>
      </c>
      <c r="H1216">
        <f>E1216/F1216</f>
        <v/>
      </c>
      <c r="I1216">
        <f>((H1216-$J$1200)/$I$1200)</f>
        <v/>
      </c>
      <c r="J1216">
        <f>(I1216-IF(I1208&gt;0,I1208,0))</f>
        <v/>
      </c>
      <c r="K1216" s="30">
        <f>J1216/R1202*1.1</f>
        <v/>
      </c>
      <c r="Q1216" t="inlineStr">
        <is>
          <t>K3-1B</t>
        </is>
      </c>
      <c r="R1216" t="n">
        <v>1.0898</v>
      </c>
    </row>
    <row r="1217">
      <c r="A1217" t="n">
        <v>17</v>
      </c>
      <c r="B1217" t="inlineStr">
        <is>
          <t>MeOH</t>
        </is>
      </c>
      <c r="L1217" s="23" t="inlineStr">
        <is>
          <t>Average</t>
        </is>
      </c>
      <c r="M1217" s="23" t="inlineStr">
        <is>
          <t>Stdev</t>
        </is>
      </c>
      <c r="N1217" s="9" t="inlineStr">
        <is>
          <t>Combined</t>
        </is>
      </c>
      <c r="Q1217" t="inlineStr">
        <is>
          <t>K3-1C</t>
        </is>
      </c>
      <c r="R1217" t="n">
        <v>1.0536</v>
      </c>
    </row>
    <row r="1218">
      <c r="A1218" t="n">
        <v>18</v>
      </c>
      <c r="B1218" t="inlineStr">
        <is>
          <t>K4-1A</t>
        </is>
      </c>
      <c r="D1218" t="n">
        <v>11.79</v>
      </c>
      <c r="E1218" t="n">
        <v>39.752</v>
      </c>
      <c r="F1218" t="n">
        <v>8643.662</v>
      </c>
      <c r="G1218" t="n">
        <v>361</v>
      </c>
      <c r="H1218">
        <f>E1218/F1218</f>
        <v/>
      </c>
      <c r="I1218">
        <f>((H1218-$J$1200)/$I$1200)</f>
        <v/>
      </c>
      <c r="J1218">
        <f>(I1218-IF(I1208&gt;0,I1208,0))</f>
        <v/>
      </c>
      <c r="K1218">
        <f>J1218/R1203*1.1</f>
        <v/>
      </c>
      <c r="L1218">
        <f>AVERAGE(K1218:K1220)</f>
        <v/>
      </c>
      <c r="M1218">
        <f>STDEV(K1219:K1220)</f>
        <v/>
      </c>
      <c r="N1218">
        <f>_xlfn.CONCAT(ROUND(L1218,1)," ± ",ROUND(M1218,1))</f>
        <v/>
      </c>
      <c r="Q1218" t="inlineStr">
        <is>
          <t>K3-2A</t>
        </is>
      </c>
      <c r="R1218" s="10" t="n">
        <v>1.1218</v>
      </c>
    </row>
    <row r="1219">
      <c r="A1219" t="n">
        <v>19</v>
      </c>
      <c r="B1219" t="inlineStr">
        <is>
          <t>K4-1B</t>
        </is>
      </c>
      <c r="D1219" t="n">
        <v>11.84</v>
      </c>
      <c r="E1219" t="n">
        <v>67.173</v>
      </c>
      <c r="F1219" t="n">
        <v>7778.754</v>
      </c>
      <c r="G1219" t="n">
        <v>616</v>
      </c>
      <c r="H1219">
        <f>E1219/F1219</f>
        <v/>
      </c>
      <c r="I1219">
        <f>((H1219-$J$1200)/$I$1200)</f>
        <v/>
      </c>
      <c r="J1219">
        <f>(I1219-IF(I1208&gt;0,I1208,0))</f>
        <v/>
      </c>
      <c r="K1219">
        <f>J1219/R1204*1.1</f>
        <v/>
      </c>
      <c r="Q1219" t="inlineStr">
        <is>
          <t>K3-2B</t>
        </is>
      </c>
      <c r="R1219" t="n">
        <v>1.198</v>
      </c>
    </row>
    <row r="1220">
      <c r="A1220" t="n">
        <v>20</v>
      </c>
      <c r="B1220" t="inlineStr">
        <is>
          <t>K4-1C</t>
        </is>
      </c>
      <c r="D1220" t="n">
        <v>11.94</v>
      </c>
      <c r="E1220" t="n">
        <v>33.269</v>
      </c>
      <c r="F1220" t="n">
        <v>8090.841</v>
      </c>
      <c r="G1220" t="n">
        <v>179</v>
      </c>
      <c r="H1220">
        <f>E1220/F1220</f>
        <v/>
      </c>
      <c r="I1220">
        <f>((H1220-$J$1200)/$I$1200)</f>
        <v/>
      </c>
      <c r="J1220">
        <f>(I1220-IF(I1208&gt;0,I1208,0))</f>
        <v/>
      </c>
      <c r="K1220">
        <f>J1220/R1205*1.1</f>
        <v/>
      </c>
      <c r="L1220" s="23" t="inlineStr">
        <is>
          <t>Average</t>
        </is>
      </c>
      <c r="M1220" s="23" t="inlineStr">
        <is>
          <t>Stdev</t>
        </is>
      </c>
      <c r="N1220" s="9" t="inlineStr">
        <is>
          <t>Combined</t>
        </is>
      </c>
      <c r="Q1220" t="inlineStr">
        <is>
          <t>K3-2C</t>
        </is>
      </c>
      <c r="R1220" t="n">
        <v>1.1538</v>
      </c>
    </row>
    <row r="1221">
      <c r="A1221" t="n">
        <v>21</v>
      </c>
      <c r="B1221" t="inlineStr">
        <is>
          <t>K4-2A</t>
        </is>
      </c>
      <c r="D1221" t="n">
        <v>11.86</v>
      </c>
      <c r="E1221" t="n">
        <v>62.455</v>
      </c>
      <c r="F1221" t="n">
        <v>8274.536</v>
      </c>
      <c r="G1221" t="n">
        <v>3.017</v>
      </c>
      <c r="H1221">
        <f>E1221/F1221</f>
        <v/>
      </c>
      <c r="I1221">
        <f>((H1221-$J$1200)/$I$1200)</f>
        <v/>
      </c>
      <c r="J1221">
        <f>(I1221-IF(I1208&gt;0,I1208,0))</f>
        <v/>
      </c>
      <c r="K1221">
        <f>J1221/R1206*1.1</f>
        <v/>
      </c>
      <c r="L1221">
        <f>AVERAGE(K1221:K1223)</f>
        <v/>
      </c>
      <c r="M1221">
        <f>STDEV(K1221:K1223)</f>
        <v/>
      </c>
      <c r="N1221">
        <f>_xlfn.CONCAT(ROUND(L1221,1)," ± ",ROUND(M1221,1))</f>
        <v/>
      </c>
      <c r="Q1221" t="inlineStr">
        <is>
          <t>K3-3A</t>
        </is>
      </c>
      <c r="R1221" t="n">
        <v>1.1183</v>
      </c>
    </row>
    <row r="1222">
      <c r="A1222" t="n">
        <v>22</v>
      </c>
      <c r="B1222" t="inlineStr">
        <is>
          <t>K4-2B</t>
        </is>
      </c>
      <c r="D1222" t="n">
        <v>11.87</v>
      </c>
      <c r="E1222" t="n">
        <v>43.448</v>
      </c>
      <c r="F1222" t="n">
        <v>7255.211</v>
      </c>
      <c r="G1222" t="n">
        <v>341</v>
      </c>
      <c r="H1222">
        <f>E1222/F1222</f>
        <v/>
      </c>
      <c r="I1222">
        <f>((H1222-$J$1200)/$I$1200)</f>
        <v/>
      </c>
      <c r="J1222">
        <f>(I1222-IF(I1208&gt;0,I1208,0))</f>
        <v/>
      </c>
      <c r="K1222">
        <f>J1222/R1207*1.1</f>
        <v/>
      </c>
      <c r="Q1222" t="inlineStr">
        <is>
          <t>K3-3B</t>
        </is>
      </c>
      <c r="R1222" t="n">
        <v>1.1448</v>
      </c>
    </row>
    <row r="1223">
      <c r="A1223" t="n">
        <v>23</v>
      </c>
      <c r="B1223" t="inlineStr">
        <is>
          <t>K4-2C</t>
        </is>
      </c>
      <c r="D1223" t="n">
        <v>11.89</v>
      </c>
      <c r="E1223" t="n">
        <v>86.779</v>
      </c>
      <c r="F1223" t="n">
        <v>6344.476</v>
      </c>
      <c r="G1223" t="n">
        <v>740</v>
      </c>
      <c r="H1223">
        <f>E1223/F1223</f>
        <v/>
      </c>
      <c r="I1223">
        <f>((H1223-$J$1200)/$I$1200)</f>
        <v/>
      </c>
      <c r="J1223">
        <f>(I1223-IF(I1208&gt;0,I1208,0))</f>
        <v/>
      </c>
      <c r="K1223">
        <f>J1223/R1208*1.1</f>
        <v/>
      </c>
      <c r="L1223" s="23" t="n"/>
      <c r="M1223" s="23" t="n"/>
      <c r="N1223" s="9" t="n"/>
      <c r="Q1223" t="inlineStr">
        <is>
          <t>K3-3C</t>
        </is>
      </c>
      <c r="R1223" t="n">
        <v>1.0493</v>
      </c>
    </row>
    <row r="1224">
      <c r="A1224" t="n">
        <v>24</v>
      </c>
      <c r="B1224" t="inlineStr">
        <is>
          <t>MeOH</t>
        </is>
      </c>
      <c r="L1224" s="23" t="inlineStr">
        <is>
          <t>Average</t>
        </is>
      </c>
      <c r="M1224" s="23" t="inlineStr">
        <is>
          <t>Stdev</t>
        </is>
      </c>
      <c r="N1224" s="9" t="inlineStr">
        <is>
          <t>Combined</t>
        </is>
      </c>
      <c r="Q1224" t="inlineStr">
        <is>
          <t>K3-4A</t>
        </is>
      </c>
      <c r="R1224" t="n">
        <v>1.0704</v>
      </c>
    </row>
    <row r="1225">
      <c r="A1225" t="n">
        <v>25</v>
      </c>
      <c r="B1225" t="inlineStr">
        <is>
          <t>K4-4A</t>
        </is>
      </c>
      <c r="D1225" t="n">
        <v>11.92</v>
      </c>
      <c r="E1225" t="n">
        <v>19.173</v>
      </c>
      <c r="F1225" t="n">
        <v>8255.324000000001</v>
      </c>
      <c r="G1225" t="n">
        <v>120</v>
      </c>
      <c r="H1225">
        <f>E1225/F1225</f>
        <v/>
      </c>
      <c r="I1225">
        <f>((H1225-$J$1200)/$I$1200)</f>
        <v/>
      </c>
      <c r="J1225">
        <f>(I1225-IF(I1208&gt;0,I1208,0))</f>
        <v/>
      </c>
      <c r="K1225">
        <f>J1225/R1209*1.1</f>
        <v/>
      </c>
      <c r="L1225">
        <f>AVERAGE(K1225:K1227)</f>
        <v/>
      </c>
      <c r="M1225">
        <f>STDEV(K1226:K1227)</f>
        <v/>
      </c>
      <c r="N1225">
        <f>_xlfn.CONCAT(ROUND(L1225,1)," ± ",ROUND(M1225,1))</f>
        <v/>
      </c>
      <c r="Q1225" t="inlineStr">
        <is>
          <t>K3-4B</t>
        </is>
      </c>
      <c r="R1225" t="n">
        <v>1.1589</v>
      </c>
    </row>
    <row r="1226">
      <c r="A1226" t="n">
        <v>26</v>
      </c>
      <c r="B1226" t="inlineStr">
        <is>
          <t>K4-4B</t>
        </is>
      </c>
      <c r="F1226" t="n">
        <v>8700.057000000001</v>
      </c>
      <c r="H1226">
        <f>E1226/F1226</f>
        <v/>
      </c>
      <c r="I1226">
        <f>((H1226-$J$1200)/$I$1200)</f>
        <v/>
      </c>
      <c r="J1226">
        <f>(I1226-IF(I1208&gt;0,I1208,0))</f>
        <v/>
      </c>
      <c r="K1226">
        <f>J1226/R1210*1.1</f>
        <v/>
      </c>
      <c r="Q1226" t="inlineStr">
        <is>
          <t>K3-4C</t>
        </is>
      </c>
      <c r="R1226" t="n">
        <v>1.0206</v>
      </c>
    </row>
    <row r="1227">
      <c r="A1227" t="n">
        <v>27</v>
      </c>
      <c r="B1227" t="inlineStr">
        <is>
          <t>K4-4C</t>
        </is>
      </c>
      <c r="D1227" t="n">
        <v>11.91</v>
      </c>
      <c r="E1227" t="n">
        <v>50.585</v>
      </c>
      <c r="F1227" t="n">
        <v>8862.481</v>
      </c>
      <c r="G1227" t="n">
        <v>3.671</v>
      </c>
      <c r="H1227">
        <f>E1227/F1227</f>
        <v/>
      </c>
      <c r="I1227">
        <f>((H1227-$J$1200)/$I$1200)</f>
        <v/>
      </c>
      <c r="J1227">
        <f>(I1227-IF(I1208&gt;0,I1208,0))</f>
        <v/>
      </c>
      <c r="K1227">
        <f>J1227/R1211*1.1</f>
        <v/>
      </c>
      <c r="L1227" s="23" t="inlineStr">
        <is>
          <t>Average</t>
        </is>
      </c>
      <c r="M1227" s="23" t="inlineStr">
        <is>
          <t>Stdev</t>
        </is>
      </c>
      <c r="N1227" s="9" t="inlineStr">
        <is>
          <t>Combined</t>
        </is>
      </c>
      <c r="Q1227" t="inlineStr">
        <is>
          <t>K3-6A</t>
        </is>
      </c>
      <c r="R1227" t="n">
        <v>1.1289</v>
      </c>
    </row>
    <row r="1228">
      <c r="A1228" t="n">
        <v>28</v>
      </c>
      <c r="B1228" t="inlineStr">
        <is>
          <t>K4-5A</t>
        </is>
      </c>
      <c r="D1228" t="n">
        <v>11.89</v>
      </c>
      <c r="E1228" t="n">
        <v>59.269</v>
      </c>
      <c r="F1228" t="n">
        <v>7566.267</v>
      </c>
      <c r="G1228" t="n">
        <v>3.432</v>
      </c>
      <c r="H1228">
        <f>E1228/F1228</f>
        <v/>
      </c>
      <c r="I1228">
        <f>((H1228-$J$1200)/$I$1200)</f>
        <v/>
      </c>
      <c r="J1228">
        <f>(I1228-IF(I1208&gt;0,I1208,0))</f>
        <v/>
      </c>
      <c r="K1228">
        <f>J1228/R1212*1.1</f>
        <v/>
      </c>
      <c r="L1228">
        <f>AVERAGE(K1228:K1230)</f>
        <v/>
      </c>
      <c r="M1228">
        <f>STDEV(K1228:K1230)</f>
        <v/>
      </c>
      <c r="N1228">
        <f>_xlfn.CONCAT(ROUND(L1228,1)," ± ",ROUND(M1228,1))</f>
        <v/>
      </c>
      <c r="Q1228" t="inlineStr">
        <is>
          <t>K3-6B</t>
        </is>
      </c>
      <c r="R1228" t="n">
        <v>1.195</v>
      </c>
    </row>
    <row r="1229">
      <c r="A1229" t="n">
        <v>29</v>
      </c>
      <c r="B1229" t="inlineStr">
        <is>
          <t>K4-5B</t>
        </is>
      </c>
      <c r="D1229" t="n">
        <v>11.91</v>
      </c>
      <c r="E1229" t="n">
        <v>24.204</v>
      </c>
      <c r="F1229" t="n">
        <v>7728.61</v>
      </c>
      <c r="G1229" t="n">
        <v>220</v>
      </c>
      <c r="H1229">
        <f>E1229/F1229</f>
        <v/>
      </c>
      <c r="I1229">
        <f>((H1229-$J$1200)/$I$1200)</f>
        <v/>
      </c>
      <c r="J1229">
        <f>(I1229-IF(I1208&gt;0,I1208,0))</f>
        <v/>
      </c>
      <c r="K1229">
        <f>J1229/R1213*1.1</f>
        <v/>
      </c>
      <c r="Q1229" t="inlineStr">
        <is>
          <t>K3-6C</t>
        </is>
      </c>
      <c r="R1229" t="n">
        <v>1.1716</v>
      </c>
    </row>
    <row r="1230">
      <c r="A1230" t="n">
        <v>30</v>
      </c>
      <c r="B1230" t="inlineStr">
        <is>
          <t>K4-5C</t>
        </is>
      </c>
      <c r="D1230" t="n">
        <v>11.78</v>
      </c>
      <c r="E1230" t="n">
        <v>177.317</v>
      </c>
      <c r="F1230" t="n">
        <v>7892.756</v>
      </c>
      <c r="G1230" t="n">
        <v>1416</v>
      </c>
      <c r="H1230">
        <f>E1230/F1230</f>
        <v/>
      </c>
      <c r="I1230">
        <f>((H1230-$J$1200)/$I$1200)</f>
        <v/>
      </c>
      <c r="J1230">
        <f>(I1230-IF(I1208&gt;0,I1208,0))</f>
        <v/>
      </c>
      <c r="K1230">
        <f>J1230/R1214*1.1</f>
        <v/>
      </c>
      <c r="L1230" s="23" t="n"/>
      <c r="M1230" s="23" t="n"/>
      <c r="N1230" s="9" t="n"/>
    </row>
    <row r="1231">
      <c r="A1231" t="n">
        <v>31</v>
      </c>
      <c r="B1231" t="inlineStr">
        <is>
          <t>MeOH</t>
        </is>
      </c>
      <c r="L1231" s="23" t="inlineStr">
        <is>
          <t>Average</t>
        </is>
      </c>
      <c r="M1231" s="23" t="inlineStr">
        <is>
          <t>Stdev</t>
        </is>
      </c>
      <c r="N1231" s="9" t="inlineStr">
        <is>
          <t>Combined</t>
        </is>
      </c>
    </row>
    <row r="1232">
      <c r="A1232" t="n">
        <v>32</v>
      </c>
      <c r="B1232" t="inlineStr">
        <is>
          <t>K3-1A</t>
        </is>
      </c>
      <c r="D1232" t="n">
        <v>11.69</v>
      </c>
      <c r="E1232" t="n">
        <v>134.193</v>
      </c>
      <c r="F1232" t="n">
        <v>9463.556</v>
      </c>
      <c r="G1232" t="n">
        <v>738</v>
      </c>
      <c r="H1232">
        <f>E1232/F1232</f>
        <v/>
      </c>
      <c r="I1232">
        <f>((H1232-$J$1200)/$I$1200)</f>
        <v/>
      </c>
      <c r="J1232">
        <f>(I1232-IF(I1208&gt;0,I1208,0))</f>
        <v/>
      </c>
      <c r="K1232">
        <f>J1232/R1215*1.1</f>
        <v/>
      </c>
      <c r="L1232">
        <f>AVERAGE(K1232:K1234)</f>
        <v/>
      </c>
      <c r="M1232">
        <f>STDEV(K1233:K1234)</f>
        <v/>
      </c>
      <c r="N1232">
        <f>_xlfn.CONCAT(ROUND(L1232,1)," ± ",ROUND(M1232,1))</f>
        <v/>
      </c>
    </row>
    <row r="1233">
      <c r="A1233" t="n">
        <v>33</v>
      </c>
      <c r="B1233" t="inlineStr">
        <is>
          <t>K3-1B</t>
        </is>
      </c>
      <c r="D1233" t="n">
        <v>11.79</v>
      </c>
      <c r="E1233" t="n">
        <v>38.076</v>
      </c>
      <c r="F1233" t="n">
        <v>8614.062</v>
      </c>
      <c r="G1233" t="n">
        <v>201</v>
      </c>
      <c r="H1233">
        <f>E1233/F1233</f>
        <v/>
      </c>
      <c r="I1233">
        <f>((H1233-$J$1200)/$I$1200)</f>
        <v/>
      </c>
      <c r="J1233">
        <f>(I1233-IF(I1208&gt;0,I1208,0))</f>
        <v/>
      </c>
      <c r="K1233">
        <f>J1233/R1216*1.1</f>
        <v/>
      </c>
    </row>
    <row r="1234">
      <c r="A1234" t="n">
        <v>34</v>
      </c>
      <c r="B1234" t="inlineStr">
        <is>
          <t>K3-1C</t>
        </is>
      </c>
      <c r="D1234" t="n">
        <v>11.76</v>
      </c>
      <c r="E1234" t="n">
        <v>100.953</v>
      </c>
      <c r="F1234" t="n">
        <v>10580.468</v>
      </c>
      <c r="G1234" t="n">
        <v>2.857</v>
      </c>
      <c r="H1234">
        <f>E1234/F1234</f>
        <v/>
      </c>
      <c r="I1234">
        <f>((H1234-$J$1200)/$I$1200)</f>
        <v/>
      </c>
      <c r="J1234">
        <f>(I1234-IF(I1208&gt;0,I1208,0))</f>
        <v/>
      </c>
      <c r="K1234">
        <f>J1234/R1217*1.1</f>
        <v/>
      </c>
      <c r="L1234" s="23" t="inlineStr">
        <is>
          <t>Average</t>
        </is>
      </c>
      <c r="M1234" s="23" t="inlineStr">
        <is>
          <t>Stdev</t>
        </is>
      </c>
      <c r="N1234" s="9" t="inlineStr">
        <is>
          <t>Combined</t>
        </is>
      </c>
    </row>
    <row r="1235">
      <c r="A1235" t="n">
        <v>35</v>
      </c>
      <c r="B1235" t="inlineStr">
        <is>
          <t>K3-2A</t>
        </is>
      </c>
      <c r="D1235" t="n">
        <v>11.78</v>
      </c>
      <c r="E1235" t="n">
        <v>78.622</v>
      </c>
      <c r="F1235" t="n">
        <v>10118.425</v>
      </c>
      <c r="G1235" t="n">
        <v>671</v>
      </c>
      <c r="H1235">
        <f>E1235/F1235</f>
        <v/>
      </c>
      <c r="I1235">
        <f>((H1235-$J$1200)/$I$1200)</f>
        <v/>
      </c>
      <c r="J1235">
        <f>(I1235-IF(I1208&gt;0,I1208,0))</f>
        <v/>
      </c>
      <c r="K1235">
        <f>J1235/R1218*1.1</f>
        <v/>
      </c>
      <c r="L1235">
        <f>AVERAGE(K1235:K1237)</f>
        <v/>
      </c>
      <c r="M1235">
        <f>STDEV(K1235:K1237)</f>
        <v/>
      </c>
      <c r="N1235">
        <f>_xlfn.CONCAT(ROUND(L1235,1)," ± ",ROUND(M1235,1))</f>
        <v/>
      </c>
    </row>
    <row r="1236">
      <c r="A1236" t="n">
        <v>36</v>
      </c>
      <c r="B1236" t="inlineStr">
        <is>
          <t>K3-2B</t>
        </is>
      </c>
      <c r="F1236" t="n">
        <v>11670.299</v>
      </c>
      <c r="H1236">
        <f>E1236/F1236</f>
        <v/>
      </c>
      <c r="I1236">
        <f>((H1236-$J$1200)/$I$1200)</f>
        <v/>
      </c>
      <c r="J1236">
        <f>(I1236-IF(I1208&gt;0,I1208,0))</f>
        <v/>
      </c>
      <c r="K1236">
        <f>J1236/R1219*1.1</f>
        <v/>
      </c>
    </row>
    <row r="1237">
      <c r="A1237" t="n">
        <v>37</v>
      </c>
      <c r="B1237" t="inlineStr">
        <is>
          <t>K3-2C</t>
        </is>
      </c>
      <c r="D1237" t="n">
        <v>11.78</v>
      </c>
      <c r="E1237" t="n">
        <v>104.013</v>
      </c>
      <c r="F1237" t="n">
        <v>10063.434</v>
      </c>
      <c r="G1237" t="n">
        <v>776</v>
      </c>
      <c r="H1237">
        <f>E1237/F1237</f>
        <v/>
      </c>
      <c r="I1237">
        <f>((H1237-$J$1200)/$I$1200)</f>
        <v/>
      </c>
      <c r="J1237">
        <f>(I1237-IF(I1208&gt;0,I1208,0))</f>
        <v/>
      </c>
      <c r="K1237">
        <f>J1237/R1220*1.1</f>
        <v/>
      </c>
      <c r="L1237" s="23" t="n"/>
      <c r="M1237" s="23" t="n"/>
      <c r="N1237" s="9" t="n"/>
    </row>
    <row r="1238">
      <c r="A1238" t="n">
        <v>38</v>
      </c>
      <c r="B1238" t="inlineStr">
        <is>
          <t>MeOH</t>
        </is>
      </c>
      <c r="D1238" t="n">
        <v>11.82</v>
      </c>
      <c r="E1238" t="n">
        <v>86.637</v>
      </c>
      <c r="G1238" t="n">
        <v>3.314</v>
      </c>
      <c r="L1238" s="23" t="inlineStr">
        <is>
          <t>Average</t>
        </is>
      </c>
      <c r="M1238" s="23" t="inlineStr">
        <is>
          <t>Stdev</t>
        </is>
      </c>
      <c r="N1238" s="9" t="inlineStr">
        <is>
          <t>Combined</t>
        </is>
      </c>
    </row>
    <row r="1239">
      <c r="A1239" t="n">
        <v>39</v>
      </c>
      <c r="B1239" t="inlineStr">
        <is>
          <t>K3-3A</t>
        </is>
      </c>
      <c r="D1239" t="n">
        <v>11.81</v>
      </c>
      <c r="E1239" t="n">
        <v>46.902</v>
      </c>
      <c r="F1239" t="n">
        <v>9698.305</v>
      </c>
      <c r="G1239" t="n">
        <v>451</v>
      </c>
      <c r="H1239">
        <f>E1239/F1239</f>
        <v/>
      </c>
      <c r="I1239">
        <f>((H1239-$J$1200)/$I$1200)</f>
        <v/>
      </c>
      <c r="J1239">
        <f>(I1239-IF(I1208&gt;0,I1208,0))</f>
        <v/>
      </c>
      <c r="K1239">
        <f>J1239/R1221*1.1</f>
        <v/>
      </c>
      <c r="L1239">
        <f>AVERAGE(K1239:K1241)</f>
        <v/>
      </c>
      <c r="M1239">
        <f>STDEV(K1240:K1241)</f>
        <v/>
      </c>
      <c r="N1239">
        <f>_xlfn.CONCAT(ROUND(L1239,1)," ± ",ROUND(M1239,1))</f>
        <v/>
      </c>
    </row>
    <row r="1240">
      <c r="A1240" t="n">
        <v>40</v>
      </c>
      <c r="B1240" t="inlineStr">
        <is>
          <t>K3-3B</t>
        </is>
      </c>
      <c r="D1240" t="n">
        <v>11.85</v>
      </c>
      <c r="E1240" t="n">
        <v>147.728</v>
      </c>
      <c r="F1240" t="n">
        <v>11153.47</v>
      </c>
      <c r="G1240" t="n">
        <v>140.82</v>
      </c>
      <c r="H1240">
        <f>E1240/F1240</f>
        <v/>
      </c>
      <c r="I1240">
        <f>((H1240-$J$1200)/$I$1200)</f>
        <v/>
      </c>
      <c r="J1240">
        <f>(I1240-IF(I1208&gt;0,I1208,0))</f>
        <v/>
      </c>
      <c r="K1240">
        <f>J1240/R1222*1.1</f>
        <v/>
      </c>
    </row>
    <row r="1241">
      <c r="A1241" t="n">
        <v>41</v>
      </c>
      <c r="B1241" t="inlineStr">
        <is>
          <t>K3-3C</t>
        </is>
      </c>
      <c r="D1241" t="n">
        <v>11.81</v>
      </c>
      <c r="E1241" t="n">
        <v>14.235</v>
      </c>
      <c r="F1241" t="n">
        <v>13110.222</v>
      </c>
      <c r="G1241" t="n">
        <v>134</v>
      </c>
      <c r="H1241">
        <f>E1241/F1241</f>
        <v/>
      </c>
      <c r="I1241">
        <f>((H1241-$J$1200)/$I$1200)</f>
        <v/>
      </c>
      <c r="J1241">
        <f>(I1241-IF(I1208&gt;0,I1208,0))</f>
        <v/>
      </c>
      <c r="K1241">
        <f>J1241/R1223*1.1</f>
        <v/>
      </c>
      <c r="L1241" s="23" t="inlineStr">
        <is>
          <t>Average</t>
        </is>
      </c>
      <c r="M1241" s="23" t="inlineStr">
        <is>
          <t>Stdev</t>
        </is>
      </c>
      <c r="N1241" s="9" t="inlineStr">
        <is>
          <t>Combined</t>
        </is>
      </c>
    </row>
    <row r="1242">
      <c r="A1242" t="n">
        <v>42</v>
      </c>
      <c r="B1242" t="inlineStr">
        <is>
          <t>K3-4A</t>
        </is>
      </c>
      <c r="D1242" t="n">
        <v>11.91</v>
      </c>
      <c r="E1242" t="n">
        <v>20.144</v>
      </c>
      <c r="F1242" t="n">
        <v>13316.729</v>
      </c>
      <c r="G1242" t="n">
        <v>2.889</v>
      </c>
      <c r="H1242">
        <f>E1242/F1242</f>
        <v/>
      </c>
      <c r="I1242">
        <f>((H1242-$J$1200)/$I$1200)</f>
        <v/>
      </c>
      <c r="J1242">
        <f>(I1242-IF(I1208&gt;0,I1208,0))</f>
        <v/>
      </c>
      <c r="K1242">
        <f>J1242/R1224*1.1</f>
        <v/>
      </c>
      <c r="L1242">
        <f>AVERAGE(K1242:K1244)</f>
        <v/>
      </c>
      <c r="M1242">
        <f>STDEV(K1242:K1244)</f>
        <v/>
      </c>
      <c r="N1242">
        <f>_xlfn.CONCAT(ROUND(L1242,1)," ± ",ROUND(M1242,1))</f>
        <v/>
      </c>
    </row>
    <row r="1243">
      <c r="A1243" t="n">
        <v>43</v>
      </c>
      <c r="B1243" t="inlineStr">
        <is>
          <t>K3-4B</t>
        </is>
      </c>
      <c r="D1243" t="n">
        <v>11.91</v>
      </c>
      <c r="E1243" t="n">
        <v>209.483</v>
      </c>
      <c r="F1243" t="n">
        <v>13406.583</v>
      </c>
      <c r="G1243" t="n">
        <v>5.074</v>
      </c>
      <c r="H1243">
        <f>E1243/F1243</f>
        <v/>
      </c>
      <c r="I1243">
        <f>((H1243-$J$1200)/$I$1200)</f>
        <v/>
      </c>
      <c r="J1243">
        <f>(I1243-IF(I1208&gt;0,I1208,0))</f>
        <v/>
      </c>
      <c r="K1243">
        <f>J1243/R1225*1.1</f>
        <v/>
      </c>
    </row>
    <row r="1244">
      <c r="A1244" t="n">
        <v>44</v>
      </c>
      <c r="B1244" t="inlineStr">
        <is>
          <t>K3-4C</t>
        </is>
      </c>
      <c r="D1244" t="n">
        <v>11.92</v>
      </c>
      <c r="E1244" t="n">
        <v>137.553</v>
      </c>
      <c r="F1244" t="n">
        <v>15237.138</v>
      </c>
      <c r="G1244" t="n">
        <v>1164</v>
      </c>
      <c r="H1244">
        <f>E1244/F1244</f>
        <v/>
      </c>
      <c r="I1244">
        <f>((H1244-$J$1200)/$I$1200)</f>
        <v/>
      </c>
      <c r="J1244">
        <f>(I1244-IF(I1208&gt;0,I1208,0))</f>
        <v/>
      </c>
      <c r="K1244">
        <f>J1244/R1226*1.1</f>
        <v/>
      </c>
      <c r="L1244" s="23" t="n"/>
      <c r="M1244" s="23" t="n"/>
      <c r="N1244" s="9" t="n"/>
    </row>
    <row r="1245">
      <c r="A1245" t="n">
        <v>45</v>
      </c>
      <c r="B1245" t="inlineStr">
        <is>
          <t>MeOH</t>
        </is>
      </c>
      <c r="L1245" s="23" t="inlineStr">
        <is>
          <t>Average</t>
        </is>
      </c>
      <c r="M1245" s="23" t="inlineStr">
        <is>
          <t>Stdev</t>
        </is>
      </c>
      <c r="N1245" s="9" t="inlineStr">
        <is>
          <t>Combined</t>
        </is>
      </c>
    </row>
    <row r="1246">
      <c r="A1246" t="n">
        <v>46</v>
      </c>
      <c r="B1246" t="inlineStr">
        <is>
          <t>K3-6A</t>
        </is>
      </c>
      <c r="D1246" t="n">
        <v>11.91</v>
      </c>
      <c r="E1246" t="n">
        <v>57.444</v>
      </c>
      <c r="F1246" t="n">
        <v>12951.722</v>
      </c>
      <c r="G1246" t="n">
        <v>488</v>
      </c>
      <c r="H1246">
        <f>E1246/F1246</f>
        <v/>
      </c>
      <c r="I1246">
        <f>((H1246-$J$1200)/$I$1200)</f>
        <v/>
      </c>
      <c r="J1246">
        <f>(I1246-IF(I1208&gt;0,I1208,0))</f>
        <v/>
      </c>
      <c r="K1246">
        <f>J1246/R1227*1.1</f>
        <v/>
      </c>
      <c r="L1246">
        <f>AVERAGE(K1246:K1248)</f>
        <v/>
      </c>
      <c r="M1246">
        <f>STDEV(K1247:K1248)</f>
        <v/>
      </c>
      <c r="N1246">
        <f>_xlfn.CONCAT(ROUND(L1246,1)," ± ",ROUND(M1246,1))</f>
        <v/>
      </c>
    </row>
    <row r="1247">
      <c r="A1247" t="n">
        <v>47</v>
      </c>
      <c r="B1247" t="inlineStr">
        <is>
          <t>K3-6B</t>
        </is>
      </c>
      <c r="F1247" t="n">
        <v>12128.479</v>
      </c>
      <c r="H1247">
        <f>E1247/F1247</f>
        <v/>
      </c>
      <c r="I1247">
        <f>((H1247-$J$1200)/$I$1200)</f>
        <v/>
      </c>
      <c r="J1247">
        <f>(I1247-IF(I1208&gt;0,I1208,0))</f>
        <v/>
      </c>
      <c r="K1247">
        <f>J1247/R1228*1.1</f>
        <v/>
      </c>
    </row>
    <row r="1248">
      <c r="A1248" t="n">
        <v>48</v>
      </c>
      <c r="B1248" t="inlineStr">
        <is>
          <t>K3-6C</t>
        </is>
      </c>
      <c r="D1248" t="n">
        <v>12.08</v>
      </c>
      <c r="E1248" t="n">
        <v>31.238</v>
      </c>
      <c r="F1248" t="n">
        <v>10764.568</v>
      </c>
      <c r="G1248" t="n">
        <v>275</v>
      </c>
      <c r="H1248">
        <f>E1248/F1248</f>
        <v/>
      </c>
      <c r="I1248">
        <f>((H1248-$J$1200)/$I$1200)</f>
        <v/>
      </c>
      <c r="J1248">
        <f>(I1248-IF(I1208&gt;0,I1208,0))</f>
        <v/>
      </c>
      <c r="K1248">
        <f>J1248/R1229*1.1</f>
        <v/>
      </c>
      <c r="L1248" s="23" t="n"/>
      <c r="M1248" s="23" t="n"/>
      <c r="N1248" s="9" t="n"/>
    </row>
    <row r="1250">
      <c r="A1250" s="17" t="inlineStr">
        <is>
          <t>Compound 56:  7:3 FTCA 1</t>
        </is>
      </c>
      <c r="B1250" s="17" t="n"/>
    </row>
    <row r="1251">
      <c r="I1251" t="inlineStr">
        <is>
          <t>LINEST</t>
        </is>
      </c>
      <c r="Q1251" t="inlineStr">
        <is>
          <t>Biosolids Masses</t>
        </is>
      </c>
      <c r="R1251" t="inlineStr">
        <is>
          <t>(g)</t>
        </is>
      </c>
    </row>
    <row r="1252">
      <c r="B1252" t="inlineStr">
        <is>
          <t>Sample Text</t>
        </is>
      </c>
      <c r="C1252" t="inlineStr">
        <is>
          <t>Std. Conc</t>
        </is>
      </c>
      <c r="D1252" t="inlineStr">
        <is>
          <t>RT</t>
        </is>
      </c>
      <c r="E1252" t="inlineStr">
        <is>
          <t>Area</t>
        </is>
      </c>
      <c r="F1252" s="17" t="inlineStr">
        <is>
          <t>IS Area</t>
        </is>
      </c>
      <c r="G1252" t="inlineStr">
        <is>
          <t>S/N</t>
        </is>
      </c>
      <c r="H1252" t="inlineStr">
        <is>
          <t>ratio</t>
        </is>
      </c>
      <c r="I1252">
        <f t="array" ref="I1252:J1256">LINEST(H1256:H1260,C1256:C1260,1,1)</f>
        <v/>
      </c>
      <c r="J1252" t="n">
        <v>-1720.033785772629</v>
      </c>
      <c r="L1252" s="20" t="inlineStr">
        <is>
          <t>By S/N Ratio</t>
        </is>
      </c>
      <c r="Q1252" t="inlineStr">
        <is>
          <t>SS1</t>
        </is>
      </c>
      <c r="R1252" t="n">
        <v>1.0846</v>
      </c>
    </row>
    <row r="1253">
      <c r="A1253" t="n">
        <v>1</v>
      </c>
      <c r="B1253" t="inlineStr">
        <is>
          <t>EPA1633 &amp; diPAPs Calibration 0 ppb</t>
        </is>
      </c>
      <c r="C1253" t="n">
        <v>0</v>
      </c>
      <c r="D1253" t="n">
        <v>13.23</v>
      </c>
      <c r="E1253" t="n">
        <v>1694.257</v>
      </c>
      <c r="F1253" s="17" t="n">
        <v>300.866</v>
      </c>
      <c r="G1253" t="n">
        <v>10654</v>
      </c>
      <c r="H1253">
        <f>E1253/F1253</f>
        <v/>
      </c>
      <c r="I1253" t="n">
        <v>6.699845319907032</v>
      </c>
      <c r="J1253" t="n">
        <v>1718.219712150758</v>
      </c>
      <c r="K1253" t="inlineStr">
        <is>
          <t>LOD</t>
        </is>
      </c>
      <c r="L1253" s="21">
        <f>IF(G1256&gt;3,C1256,IF(G1257&gt;3,C1257,IF(G1258&gt;3,C1258,IF(G1259&gt;3,C1259,C1260))))</f>
        <v/>
      </c>
      <c r="Q1253" t="inlineStr">
        <is>
          <t>SS2</t>
        </is>
      </c>
      <c r="R1253" t="n">
        <v>1.0726</v>
      </c>
    </row>
    <row r="1254">
      <c r="A1254" t="n">
        <v>2</v>
      </c>
      <c r="B1254" t="inlineStr">
        <is>
          <t>EPA1633 &amp; diPAPs Calibration 0.02 ppb</t>
        </is>
      </c>
      <c r="C1254" t="n">
        <v>0.5</v>
      </c>
      <c r="D1254" t="n">
        <v>13.26</v>
      </c>
      <c r="E1254" t="n">
        <v>2473.444</v>
      </c>
      <c r="F1254" s="17" t="n">
        <v>321.662</v>
      </c>
      <c r="G1254" t="n">
        <v>25.135</v>
      </c>
      <c r="H1254">
        <f>E1254/F1254</f>
        <v/>
      </c>
      <c r="I1254" t="n">
        <v>0.831899518177474</v>
      </c>
      <c r="J1254" t="n">
        <v>2706.853593182003</v>
      </c>
      <c r="K1254" t="inlineStr">
        <is>
          <t>LOQ</t>
        </is>
      </c>
      <c r="L1254" s="22">
        <f>IF(G1256&gt;10,C1256,IF(G1257&gt;10,C1257,IF(G1258&gt;10,C1258,IF(G1259&gt;10,C1259,C1260))))</f>
        <v/>
      </c>
      <c r="Q1254" t="inlineStr">
        <is>
          <t>SS3</t>
        </is>
      </c>
      <c r="R1254" t="n">
        <v>1.1534</v>
      </c>
    </row>
    <row r="1255">
      <c r="A1255" t="n">
        <v>3</v>
      </c>
      <c r="B1255" t="inlineStr">
        <is>
          <t>EPA1633 &amp; diPAPs Calibration 0.1 ppb</t>
        </is>
      </c>
      <c r="C1255" t="n">
        <v>2.5</v>
      </c>
      <c r="D1255" t="n">
        <v>13.26</v>
      </c>
      <c r="E1255" t="n">
        <v>5976.64</v>
      </c>
      <c r="F1255" s="17" t="n">
        <v>271.981</v>
      </c>
      <c r="G1255" t="n">
        <v>38973</v>
      </c>
      <c r="H1255">
        <f>E1255/F1255</f>
        <v/>
      </c>
      <c r="I1255" t="n">
        <v>14.84646877554631</v>
      </c>
      <c r="J1255" t="n">
        <v>3</v>
      </c>
      <c r="Q1255" t="inlineStr">
        <is>
          <t>K4-1A</t>
        </is>
      </c>
      <c r="R1255" t="n">
        <v>1.0267</v>
      </c>
    </row>
    <row r="1256">
      <c r="A1256" t="n">
        <v>4</v>
      </c>
      <c r="B1256" t="inlineStr">
        <is>
          <t>EPA1633 &amp; diPAPs Calibration 0.4 ppb</t>
        </is>
      </c>
      <c r="C1256" t="n">
        <v>10</v>
      </c>
      <c r="D1256" t="n">
        <v>13.26</v>
      </c>
      <c r="E1256" t="n">
        <v>18215.34</v>
      </c>
      <c r="F1256" s="17" t="n">
        <v>575.192</v>
      </c>
      <c r="G1256" t="n">
        <v>112927</v>
      </c>
      <c r="H1256">
        <f>E1256/F1256</f>
        <v/>
      </c>
      <c r="I1256" t="n">
        <v>108780913.6869518</v>
      </c>
      <c r="J1256" t="n">
        <v>21981169.12476696</v>
      </c>
      <c r="Q1256" t="inlineStr">
        <is>
          <t>K4-1B</t>
        </is>
      </c>
      <c r="R1256" t="n">
        <v>1.1481</v>
      </c>
    </row>
    <row r="1257">
      <c r="A1257" t="n">
        <v>5</v>
      </c>
      <c r="B1257" t="inlineStr">
        <is>
          <t>EPA1633 &amp; diPAPs Calibration 1 ppb</t>
        </is>
      </c>
      <c r="C1257" t="n">
        <v>25</v>
      </c>
      <c r="D1257" t="n">
        <v>13.28</v>
      </c>
      <c r="E1257" t="n">
        <v>31488.873</v>
      </c>
      <c r="F1257" s="17" t="n">
        <v>121.731</v>
      </c>
      <c r="G1257" t="n">
        <v>1490.741</v>
      </c>
      <c r="H1257">
        <f>E1257/F1257</f>
        <v/>
      </c>
      <c r="Q1257" t="inlineStr">
        <is>
          <t>K4-1C</t>
        </is>
      </c>
      <c r="R1257" t="n">
        <v>1.0402</v>
      </c>
    </row>
    <row r="1258">
      <c r="A1258" t="n">
        <v>6</v>
      </c>
      <c r="B1258" t="inlineStr">
        <is>
          <t>EPA1633 &amp; diPAPs Calibration 5 ppb</t>
        </is>
      </c>
      <c r="C1258" t="n">
        <v>125</v>
      </c>
      <c r="D1258" t="n">
        <v>13.2</v>
      </c>
      <c r="E1258" t="n">
        <v>131775.313</v>
      </c>
      <c r="F1258" s="17" t="n">
        <v>630.125</v>
      </c>
      <c r="G1258" t="n">
        <v>3432.452</v>
      </c>
      <c r="H1258">
        <f>E1258/F1258</f>
        <v/>
      </c>
      <c r="Q1258" t="inlineStr">
        <is>
          <t>K4-2A</t>
        </is>
      </c>
      <c r="R1258" t="n">
        <v>1.127</v>
      </c>
    </row>
    <row r="1259">
      <c r="A1259" t="n">
        <v>7</v>
      </c>
      <c r="B1259" t="inlineStr">
        <is>
          <t>EPA1633 &amp; diPAPs Calibration 10 ppb</t>
        </is>
      </c>
      <c r="C1259" t="n">
        <v>250</v>
      </c>
      <c r="D1259" t="n">
        <v>13.21</v>
      </c>
      <c r="E1259" t="n">
        <v>230732.938</v>
      </c>
      <c r="F1259" s="17" t="n">
        <v>189.169</v>
      </c>
      <c r="G1259" t="n">
        <v>3647.747</v>
      </c>
      <c r="H1259">
        <f>E1259/F1259</f>
        <v/>
      </c>
      <c r="I1259" s="23" t="inlineStr">
        <is>
          <t>Background</t>
        </is>
      </c>
      <c r="J1259" s="23" t="inlineStr">
        <is>
          <t>Spike</t>
        </is>
      </c>
      <c r="K1259" s="9" t="inlineStr">
        <is>
          <t>Old Spike</t>
        </is>
      </c>
      <c r="O1259" s="24" t="inlineStr">
        <is>
          <t>±</t>
        </is>
      </c>
      <c r="Q1259" t="inlineStr">
        <is>
          <t>K4-2B</t>
        </is>
      </c>
      <c r="R1259" t="n">
        <v>1.1154</v>
      </c>
    </row>
    <row r="1260">
      <c r="A1260" t="n">
        <v>8</v>
      </c>
      <c r="B1260" t="inlineStr">
        <is>
          <t>EPA1633 &amp; diPAPs Calibration 20 ppb</t>
        </is>
      </c>
      <c r="C1260" t="n">
        <v>500</v>
      </c>
      <c r="D1260" t="n">
        <v>13.24</v>
      </c>
      <c r="E1260" t="n">
        <v>456151.25</v>
      </c>
      <c r="F1260" s="17" t="n">
        <v>34.629</v>
      </c>
      <c r="G1260" t="n">
        <v>3552.021</v>
      </c>
      <c r="H1260">
        <f>E1260/F1260</f>
        <v/>
      </c>
      <c r="I1260">
        <f>AVERAGE(I1263:I1265)</f>
        <v/>
      </c>
      <c r="J1260" t="n">
        <v>275</v>
      </c>
      <c r="Q1260" t="inlineStr">
        <is>
          <t>K4-2C</t>
        </is>
      </c>
      <c r="R1260" t="n">
        <v>1.1711</v>
      </c>
    </row>
    <row r="1261">
      <c r="A1261" t="n">
        <v>9</v>
      </c>
      <c r="B1261" t="inlineStr">
        <is>
          <t>MeOH</t>
        </is>
      </c>
      <c r="D1261" t="n">
        <v>13.26</v>
      </c>
      <c r="E1261" t="n">
        <v>771.564</v>
      </c>
      <c r="G1261" t="n">
        <v>432.46</v>
      </c>
      <c r="I1261" s="23" t="inlineStr">
        <is>
          <t>Conc.In Vial (ppb)</t>
        </is>
      </c>
      <c r="J1261" s="9" t="inlineStr">
        <is>
          <t>Corr. Conc.(ppb)</t>
        </is>
      </c>
      <c r="K1261" s="9" t="inlineStr">
        <is>
          <t>Conc. In soil (ng/g)</t>
        </is>
      </c>
      <c r="Q1261" t="inlineStr">
        <is>
          <t>K4-4A</t>
        </is>
      </c>
      <c r="R1261" t="n">
        <v>1.0932</v>
      </c>
    </row>
    <row r="1262">
      <c r="A1262" t="n">
        <v>10</v>
      </c>
      <c r="B1262" t="inlineStr">
        <is>
          <t>MeOH</t>
        </is>
      </c>
      <c r="D1262" t="n">
        <v>13.26</v>
      </c>
      <c r="E1262" t="n">
        <v>410.223</v>
      </c>
      <c r="G1262" t="n">
        <v>12.236</v>
      </c>
      <c r="L1262" s="23" t="inlineStr">
        <is>
          <t>Average</t>
        </is>
      </c>
      <c r="M1262" s="23" t="inlineStr">
        <is>
          <t>Stdev</t>
        </is>
      </c>
      <c r="N1262" s="9" t="inlineStr">
        <is>
          <t>Combined</t>
        </is>
      </c>
      <c r="O1262" s="9" t="n"/>
      <c r="P1262" s="9" t="n"/>
      <c r="Q1262" t="inlineStr">
        <is>
          <t>K4-4B</t>
        </is>
      </c>
      <c r="R1262" t="n">
        <v>1.15</v>
      </c>
    </row>
    <row r="1263">
      <c r="A1263" t="n">
        <v>11</v>
      </c>
      <c r="B1263" t="inlineStr">
        <is>
          <t>SB1</t>
        </is>
      </c>
      <c r="D1263" t="n">
        <v>13.29</v>
      </c>
      <c r="E1263" t="n">
        <v>165.528</v>
      </c>
      <c r="F1263" t="n">
        <v>61.924</v>
      </c>
      <c r="G1263" t="n">
        <v>5.625</v>
      </c>
      <c r="H1263">
        <f>E1263/F1263</f>
        <v/>
      </c>
      <c r="I1263">
        <f>((H1263-$J$1252)/$I$1252)</f>
        <v/>
      </c>
      <c r="J1263">
        <f>(I1263-IF(I1260&gt;0,I1260,0))</f>
        <v/>
      </c>
      <c r="K1263">
        <f>J1263*1.1</f>
        <v/>
      </c>
      <c r="L1263">
        <f>AVERAGE(K1263:K1265)</f>
        <v/>
      </c>
      <c r="M1263">
        <f>STDEV(K1264:K1265)</f>
        <v/>
      </c>
      <c r="N1263">
        <f>_xlfn.CONCAT(ROUND(L1263,1)," ± ",ROUND(M1263,1))</f>
        <v/>
      </c>
      <c r="Q1263" t="inlineStr">
        <is>
          <t>K4-4C</t>
        </is>
      </c>
      <c r="R1263" t="n">
        <v>1.0482</v>
      </c>
    </row>
    <row r="1264">
      <c r="A1264" t="n">
        <v>12</v>
      </c>
      <c r="B1264" t="inlineStr">
        <is>
          <t>SB2</t>
        </is>
      </c>
      <c r="D1264" t="n">
        <v>13.26</v>
      </c>
      <c r="E1264" t="n">
        <v>2.333</v>
      </c>
      <c r="F1264" t="n">
        <v>37.859</v>
      </c>
      <c r="G1264" t="n">
        <v>20</v>
      </c>
      <c r="H1264">
        <f>E1264/F1264</f>
        <v/>
      </c>
      <c r="I1264">
        <f>((H1264-$J$1252)/$I$1252)</f>
        <v/>
      </c>
      <c r="J1264">
        <f>(I1264-IF(I1260&gt;0,I1260,0))</f>
        <v/>
      </c>
      <c r="K1264">
        <f>J1264*1.1</f>
        <v/>
      </c>
      <c r="Q1264" t="inlineStr">
        <is>
          <t>K4-5A</t>
        </is>
      </c>
      <c r="R1264" t="n">
        <v>1.1054</v>
      </c>
    </row>
    <row r="1265">
      <c r="A1265" t="n">
        <v>13</v>
      </c>
      <c r="B1265" t="inlineStr">
        <is>
          <t>SB3</t>
        </is>
      </c>
      <c r="F1265" t="n">
        <v>151.1</v>
      </c>
      <c r="H1265">
        <f>E1265/F1265</f>
        <v/>
      </c>
      <c r="I1265">
        <f>((H1265-$J$1252)/$I$1252)</f>
        <v/>
      </c>
      <c r="J1265">
        <f>(I1265-IF(I1260&gt;0,I1260,0))</f>
        <v/>
      </c>
      <c r="K1265" s="30">
        <f>J1265*1.1</f>
        <v/>
      </c>
      <c r="L1265" s="25" t="inlineStr">
        <is>
          <t>Average</t>
        </is>
      </c>
      <c r="M1265" s="25" t="inlineStr">
        <is>
          <t>Stdev</t>
        </is>
      </c>
      <c r="N1265" s="26" t="inlineStr">
        <is>
          <t>%Recovery</t>
        </is>
      </c>
      <c r="O1265" s="26" t="inlineStr">
        <is>
          <t>Uncertainty</t>
        </is>
      </c>
      <c r="P1265" s="26" t="inlineStr">
        <is>
          <t>Combined</t>
        </is>
      </c>
      <c r="Q1265" t="inlineStr">
        <is>
          <t>K4-5B</t>
        </is>
      </c>
      <c r="R1265" s="10" t="n">
        <v>1.0463</v>
      </c>
    </row>
    <row r="1266">
      <c r="A1266" t="n">
        <v>14</v>
      </c>
      <c r="B1266" t="inlineStr">
        <is>
          <t>SS1</t>
        </is>
      </c>
      <c r="D1266" t="n">
        <v>13.31</v>
      </c>
      <c r="E1266" t="n">
        <v>77207.367</v>
      </c>
      <c r="F1266" t="n">
        <v>120.184</v>
      </c>
      <c r="G1266" t="n">
        <v>1733.472</v>
      </c>
      <c r="H1266">
        <f>E1266/F1266</f>
        <v/>
      </c>
      <c r="I1266">
        <f>((H1266-$J$1252)/$I$1252)</f>
        <v/>
      </c>
      <c r="J1266">
        <f>(I1266-IF(I1260&gt;0,I1260,0))</f>
        <v/>
      </c>
      <c r="K1266">
        <f>J1266/R1252*1.1</f>
        <v/>
      </c>
      <c r="L1266" s="27">
        <f>AVERAGE(K1266:K1268)</f>
        <v/>
      </c>
      <c r="M1266" s="27">
        <f>STDEV(K1266:K1268)</f>
        <v/>
      </c>
      <c r="N1266" s="28">
        <f>L1266/J1260*100</f>
        <v/>
      </c>
      <c r="O1266" s="29">
        <f>M1266/J1263*100</f>
        <v/>
      </c>
      <c r="P1266" s="29">
        <f>_xlfn.CONCAT(ROUND(N1266,1)," ± ",ROUND(O1266,1))</f>
        <v/>
      </c>
      <c r="Q1266" t="inlineStr">
        <is>
          <t>K4-5C</t>
        </is>
      </c>
      <c r="R1266" t="n">
        <v>1.1155</v>
      </c>
    </row>
    <row r="1267">
      <c r="A1267" t="n">
        <v>15</v>
      </c>
      <c r="B1267" t="inlineStr">
        <is>
          <t>SS2</t>
        </is>
      </c>
      <c r="D1267" t="n">
        <v>13.32</v>
      </c>
      <c r="E1267" t="n">
        <v>85687.25</v>
      </c>
      <c r="F1267" t="n">
        <v>140.114</v>
      </c>
      <c r="G1267" t="n">
        <v>1363.483</v>
      </c>
      <c r="H1267">
        <f>E1267/F1267</f>
        <v/>
      </c>
      <c r="I1267">
        <f>((H1267-$J$1252)/$I$1252)</f>
        <v/>
      </c>
      <c r="J1267">
        <f>(I1267-IF(I1260&gt;0,I1260,0))</f>
        <v/>
      </c>
      <c r="K1267">
        <f>J1267/R1253*1.1</f>
        <v/>
      </c>
      <c r="Q1267" t="inlineStr">
        <is>
          <t>K3-1A</t>
        </is>
      </c>
      <c r="R1267" t="n">
        <v>1.0874</v>
      </c>
    </row>
    <row r="1268">
      <c r="A1268" t="n">
        <v>16</v>
      </c>
      <c r="B1268" t="inlineStr">
        <is>
          <t>SS3</t>
        </is>
      </c>
      <c r="D1268" t="n">
        <v>13.32</v>
      </c>
      <c r="E1268" t="n">
        <v>75303.367</v>
      </c>
      <c r="F1268" t="n">
        <v>104.483</v>
      </c>
      <c r="G1268" t="n">
        <v>885.455</v>
      </c>
      <c r="H1268">
        <f>E1268/F1268</f>
        <v/>
      </c>
      <c r="I1268">
        <f>((H1268-$J$1252)/$I$1252)</f>
        <v/>
      </c>
      <c r="J1268">
        <f>(I1268-IF(I1260&gt;0,I1260,0))</f>
        <v/>
      </c>
      <c r="K1268" s="30">
        <f>J1268/R1254*1.1</f>
        <v/>
      </c>
      <c r="Q1268" t="inlineStr">
        <is>
          <t>K3-1B</t>
        </is>
      </c>
      <c r="R1268" t="n">
        <v>1.0898</v>
      </c>
    </row>
    <row r="1269">
      <c r="A1269" t="n">
        <v>17</v>
      </c>
      <c r="B1269" t="inlineStr">
        <is>
          <t>MeOH</t>
        </is>
      </c>
      <c r="L1269" s="23" t="inlineStr">
        <is>
          <t>Average</t>
        </is>
      </c>
      <c r="M1269" s="23" t="inlineStr">
        <is>
          <t>Stdev</t>
        </is>
      </c>
      <c r="N1269" s="9" t="inlineStr">
        <is>
          <t>Combined</t>
        </is>
      </c>
      <c r="Q1269" t="inlineStr">
        <is>
          <t>K3-1C</t>
        </is>
      </c>
      <c r="R1269" t="n">
        <v>1.0536</v>
      </c>
    </row>
    <row r="1270">
      <c r="A1270" t="n">
        <v>18</v>
      </c>
      <c r="B1270" t="inlineStr">
        <is>
          <t>K4-1A</t>
        </is>
      </c>
      <c r="D1270" t="n">
        <v>13.32</v>
      </c>
      <c r="E1270" t="n">
        <v>167.659</v>
      </c>
      <c r="F1270" t="n">
        <v>293.287</v>
      </c>
      <c r="G1270" t="n">
        <v>1155</v>
      </c>
      <c r="H1270">
        <f>E1270/F1270</f>
        <v/>
      </c>
      <c r="I1270">
        <f>((H1270-$J$1252)/$I$1252)</f>
        <v/>
      </c>
      <c r="J1270">
        <f>(I1270-IF(I1260&gt;0,I1260,0))</f>
        <v/>
      </c>
      <c r="K1270">
        <f>J1270/R1255*1.1</f>
        <v/>
      </c>
      <c r="L1270">
        <f>AVERAGE(K1270:K1272)</f>
        <v/>
      </c>
      <c r="M1270">
        <f>STDEV(K1271:K1272)</f>
        <v/>
      </c>
      <c r="N1270">
        <f>_xlfn.CONCAT(ROUND(L1270,1)," ± ",ROUND(M1270,1))</f>
        <v/>
      </c>
      <c r="Q1270" t="inlineStr">
        <is>
          <t>K3-2A</t>
        </is>
      </c>
      <c r="R1270" s="10" t="n">
        <v>1.1218</v>
      </c>
    </row>
    <row r="1271">
      <c r="A1271" t="n">
        <v>19</v>
      </c>
      <c r="B1271" t="inlineStr">
        <is>
          <t>K4-1B</t>
        </is>
      </c>
      <c r="F1271" t="n">
        <v>121.913</v>
      </c>
      <c r="H1271">
        <f>E1271/F1271</f>
        <v/>
      </c>
      <c r="I1271">
        <f>((H1271-$J$1252)/$I$1252)</f>
        <v/>
      </c>
      <c r="J1271">
        <f>(I1271-IF(I1260&gt;0,I1260,0))</f>
        <v/>
      </c>
      <c r="K1271">
        <f>J1271/R1256*1.1</f>
        <v/>
      </c>
      <c r="Q1271" t="inlineStr">
        <is>
          <t>K3-2B</t>
        </is>
      </c>
      <c r="R1271" t="n">
        <v>1.198</v>
      </c>
    </row>
    <row r="1272">
      <c r="A1272" t="n">
        <v>20</v>
      </c>
      <c r="B1272" t="inlineStr">
        <is>
          <t>K4-1C</t>
        </is>
      </c>
      <c r="D1272" t="n">
        <v>13.32</v>
      </c>
      <c r="E1272" t="n">
        <v>81.762</v>
      </c>
      <c r="F1272" t="n">
        <v>278.029</v>
      </c>
      <c r="G1272" t="n">
        <v>35.307</v>
      </c>
      <c r="H1272">
        <f>E1272/F1272</f>
        <v/>
      </c>
      <c r="I1272">
        <f>((H1272-$J$1252)/$I$1252)</f>
        <v/>
      </c>
      <c r="J1272">
        <f>(I1272-IF(I1260&gt;0,I1260,0))</f>
        <v/>
      </c>
      <c r="K1272">
        <f>J1272/R1257*1.1</f>
        <v/>
      </c>
      <c r="L1272" s="23" t="inlineStr">
        <is>
          <t>Average</t>
        </is>
      </c>
      <c r="M1272" s="23" t="inlineStr">
        <is>
          <t>Stdev</t>
        </is>
      </c>
      <c r="N1272" s="9" t="inlineStr">
        <is>
          <t>Combined</t>
        </is>
      </c>
      <c r="Q1272" t="inlineStr">
        <is>
          <t>K3-2C</t>
        </is>
      </c>
      <c r="R1272" t="n">
        <v>1.1538</v>
      </c>
    </row>
    <row r="1273">
      <c r="A1273" t="n">
        <v>21</v>
      </c>
      <c r="B1273" t="inlineStr">
        <is>
          <t>K4-2A</t>
        </is>
      </c>
      <c r="D1273" t="n">
        <v>13.34</v>
      </c>
      <c r="E1273" t="n">
        <v>13.068</v>
      </c>
      <c r="F1273" t="n">
        <v>80.721</v>
      </c>
      <c r="G1273" t="n">
        <v>110</v>
      </c>
      <c r="H1273">
        <f>E1273/F1273</f>
        <v/>
      </c>
      <c r="I1273">
        <f>((H1273-$J$1252)/$I$1252)</f>
        <v/>
      </c>
      <c r="J1273">
        <f>(I1273-IF(I1260&gt;0,I1260,0))</f>
        <v/>
      </c>
      <c r="K1273">
        <f>J1273/R1258*1.1</f>
        <v/>
      </c>
      <c r="L1273">
        <f>AVERAGE(K1273:K1275)</f>
        <v/>
      </c>
      <c r="M1273">
        <f>STDEV(K1273:K1275)</f>
        <v/>
      </c>
      <c r="N1273">
        <f>_xlfn.CONCAT(ROUND(L1273,1)," ± ",ROUND(M1273,1))</f>
        <v/>
      </c>
      <c r="Q1273" t="inlineStr">
        <is>
          <t>K3-3A</t>
        </is>
      </c>
      <c r="R1273" t="n">
        <v>1.1183</v>
      </c>
    </row>
    <row r="1274">
      <c r="A1274" t="n">
        <v>22</v>
      </c>
      <c r="B1274" t="inlineStr">
        <is>
          <t>K4-2B</t>
        </is>
      </c>
      <c r="F1274" t="n">
        <v>1.117</v>
      </c>
      <c r="H1274">
        <f>E1274/F1274</f>
        <v/>
      </c>
      <c r="I1274">
        <f>((H1274-$J$1252)/$I$1252)</f>
        <v/>
      </c>
      <c r="J1274">
        <f>(I1274-IF(I1260&gt;0,I1260,0))</f>
        <v/>
      </c>
      <c r="K1274">
        <f>J1274/R1259*1.1</f>
        <v/>
      </c>
      <c r="Q1274" t="inlineStr">
        <is>
          <t>K3-3B</t>
        </is>
      </c>
      <c r="R1274" t="n">
        <v>1.1448</v>
      </c>
    </row>
    <row r="1275">
      <c r="A1275" t="n">
        <v>23</v>
      </c>
      <c r="B1275" t="inlineStr">
        <is>
          <t>K4-2C</t>
        </is>
      </c>
      <c r="D1275" t="n">
        <v>13.34</v>
      </c>
      <c r="E1275" t="n">
        <v>16.898</v>
      </c>
      <c r="F1275" t="n">
        <v>64.84699999999999</v>
      </c>
      <c r="G1275" t="n">
        <v>135</v>
      </c>
      <c r="H1275">
        <f>E1275/F1275</f>
        <v/>
      </c>
      <c r="I1275">
        <f>((H1275-$J$1252)/$I$1252)</f>
        <v/>
      </c>
      <c r="J1275">
        <f>(I1275-IF(I1260&gt;0,I1260,0))</f>
        <v/>
      </c>
      <c r="K1275">
        <f>J1275/R1260*1.1</f>
        <v/>
      </c>
      <c r="L1275" s="23" t="n"/>
      <c r="M1275" s="23" t="n"/>
      <c r="N1275" s="9" t="n"/>
      <c r="Q1275" t="inlineStr">
        <is>
          <t>K3-3C</t>
        </is>
      </c>
      <c r="R1275" t="n">
        <v>1.0493</v>
      </c>
    </row>
    <row r="1276">
      <c r="A1276" t="n">
        <v>24</v>
      </c>
      <c r="B1276" t="inlineStr">
        <is>
          <t>MeOH</t>
        </is>
      </c>
      <c r="L1276" s="23" t="inlineStr">
        <is>
          <t>Average</t>
        </is>
      </c>
      <c r="M1276" s="23" t="inlineStr">
        <is>
          <t>Stdev</t>
        </is>
      </c>
      <c r="N1276" s="9" t="inlineStr">
        <is>
          <t>Combined</t>
        </is>
      </c>
      <c r="Q1276" t="inlineStr">
        <is>
          <t>K3-4A</t>
        </is>
      </c>
      <c r="R1276" t="n">
        <v>1.0704</v>
      </c>
    </row>
    <row r="1277">
      <c r="A1277" t="n">
        <v>25</v>
      </c>
      <c r="B1277" t="inlineStr">
        <is>
          <t>K4-4A</t>
        </is>
      </c>
      <c r="F1277" t="n">
        <v>92.72199999999999</v>
      </c>
      <c r="H1277">
        <f>E1277/F1277</f>
        <v/>
      </c>
      <c r="I1277">
        <f>((H1277-$J$1252)/$I$1252)</f>
        <v/>
      </c>
      <c r="J1277">
        <f>(I1277-IF(I1260&gt;0,I1260,0))</f>
        <v/>
      </c>
      <c r="K1277">
        <f>J1277/R1261*1.1</f>
        <v/>
      </c>
      <c r="L1277">
        <f>AVERAGE(K1277:K1279)</f>
        <v/>
      </c>
      <c r="M1277">
        <f>STDEV(K1278:K1279)</f>
        <v/>
      </c>
      <c r="N1277">
        <f>_xlfn.CONCAT(ROUND(L1277,1)," ± ",ROUND(M1277,1))</f>
        <v/>
      </c>
      <c r="Q1277" t="inlineStr">
        <is>
          <t>K3-4B</t>
        </is>
      </c>
      <c r="R1277" t="n">
        <v>1.1589</v>
      </c>
    </row>
    <row r="1278">
      <c r="A1278" t="n">
        <v>26</v>
      </c>
      <c r="B1278" t="inlineStr">
        <is>
          <t>K4-4B</t>
        </is>
      </c>
      <c r="F1278" t="n">
        <v>96.197</v>
      </c>
      <c r="H1278">
        <f>E1278/F1278</f>
        <v/>
      </c>
      <c r="I1278">
        <f>((H1278-$J$1252)/$I$1252)</f>
        <v/>
      </c>
      <c r="J1278">
        <f>(I1278-IF(I1260&gt;0,I1260,0))</f>
        <v/>
      </c>
      <c r="K1278">
        <f>J1278/R1262*1.1</f>
        <v/>
      </c>
      <c r="Q1278" t="inlineStr">
        <is>
          <t>K3-4C</t>
        </is>
      </c>
      <c r="R1278" t="n">
        <v>1.0206</v>
      </c>
    </row>
    <row r="1279">
      <c r="A1279" t="n">
        <v>27</v>
      </c>
      <c r="B1279" t="inlineStr">
        <is>
          <t>K4-4C</t>
        </is>
      </c>
      <c r="D1279" t="n">
        <v>13.02</v>
      </c>
      <c r="E1279" t="n">
        <v>1.665</v>
      </c>
      <c r="F1279" t="n">
        <v>122.295</v>
      </c>
      <c r="G1279" t="n">
        <v>16</v>
      </c>
      <c r="H1279">
        <f>E1279/F1279</f>
        <v/>
      </c>
      <c r="I1279">
        <f>((H1279-$J$1252)/$I$1252)</f>
        <v/>
      </c>
      <c r="J1279">
        <f>(I1279-IF(I1260&gt;0,I1260,0))</f>
        <v/>
      </c>
      <c r="K1279">
        <f>J1279/R1263*1.1</f>
        <v/>
      </c>
      <c r="L1279" s="23" t="inlineStr">
        <is>
          <t>Average</t>
        </is>
      </c>
      <c r="M1279" s="23" t="inlineStr">
        <is>
          <t>Stdev</t>
        </is>
      </c>
      <c r="N1279" s="9" t="inlineStr">
        <is>
          <t>Combined</t>
        </is>
      </c>
      <c r="Q1279" t="inlineStr">
        <is>
          <t>K3-6A</t>
        </is>
      </c>
      <c r="R1279" t="n">
        <v>1.1289</v>
      </c>
    </row>
    <row r="1280">
      <c r="A1280" t="n">
        <v>28</v>
      </c>
      <c r="B1280" t="inlineStr">
        <is>
          <t>K4-5A</t>
        </is>
      </c>
      <c r="F1280" t="n">
        <v>195.191</v>
      </c>
      <c r="H1280">
        <f>E1280/F1280</f>
        <v/>
      </c>
      <c r="I1280">
        <f>((H1280-$J$1252)/$I$1252)</f>
        <v/>
      </c>
      <c r="J1280">
        <f>(I1280-IF(I1260&gt;0,I1260,0))</f>
        <v/>
      </c>
      <c r="K1280">
        <f>J1280/R1264*1.1</f>
        <v/>
      </c>
      <c r="L1280">
        <f>AVERAGE(K1280:K1282)</f>
        <v/>
      </c>
      <c r="M1280">
        <f>STDEV(K1280:K1282)</f>
        <v/>
      </c>
      <c r="N1280">
        <f>_xlfn.CONCAT(ROUND(L1280,1)," ± ",ROUND(M1280,1))</f>
        <v/>
      </c>
      <c r="Q1280" t="inlineStr">
        <is>
          <t>K3-6B</t>
        </is>
      </c>
      <c r="R1280" t="n">
        <v>1.195</v>
      </c>
    </row>
    <row r="1281">
      <c r="A1281" t="n">
        <v>29</v>
      </c>
      <c r="B1281" t="inlineStr">
        <is>
          <t>K4-5B</t>
        </is>
      </c>
      <c r="D1281" t="n">
        <v>13.31</v>
      </c>
      <c r="E1281" t="n">
        <v>69.748</v>
      </c>
      <c r="F1281" t="n">
        <v>113.956</v>
      </c>
      <c r="G1281" t="n">
        <v>575</v>
      </c>
      <c r="H1281">
        <f>E1281/F1281</f>
        <v/>
      </c>
      <c r="I1281">
        <f>((H1281-$J$1252)/$I$1252)</f>
        <v/>
      </c>
      <c r="J1281">
        <f>(I1281-IF(I1260&gt;0,I1260,0))</f>
        <v/>
      </c>
      <c r="K1281">
        <f>J1281/R1265*1.1</f>
        <v/>
      </c>
      <c r="Q1281" t="inlineStr">
        <is>
          <t>K3-6C</t>
        </is>
      </c>
      <c r="R1281" t="n">
        <v>1.1716</v>
      </c>
    </row>
    <row r="1282">
      <c r="A1282" t="n">
        <v>30</v>
      </c>
      <c r="B1282" t="inlineStr">
        <is>
          <t>K4-5C</t>
        </is>
      </c>
      <c r="F1282" t="n">
        <v>84.712</v>
      </c>
      <c r="H1282">
        <f>E1282/F1282</f>
        <v/>
      </c>
      <c r="I1282">
        <f>((H1282-$J$1252)/$I$1252)</f>
        <v/>
      </c>
      <c r="J1282">
        <f>(I1282-IF(I1260&gt;0,I1260,0))</f>
        <v/>
      </c>
      <c r="K1282">
        <f>J1282/R1266*1.1</f>
        <v/>
      </c>
      <c r="L1282" s="23" t="n"/>
      <c r="M1282" s="23" t="n"/>
      <c r="N1282" s="9" t="n"/>
    </row>
    <row r="1283">
      <c r="A1283" t="n">
        <v>31</v>
      </c>
      <c r="B1283" t="inlineStr">
        <is>
          <t>MeOH</t>
        </is>
      </c>
      <c r="L1283" s="23" t="inlineStr">
        <is>
          <t>Average</t>
        </is>
      </c>
      <c r="M1283" s="23" t="inlineStr">
        <is>
          <t>Stdev</t>
        </is>
      </c>
      <c r="N1283" s="9" t="inlineStr">
        <is>
          <t>Combined</t>
        </is>
      </c>
    </row>
    <row r="1284">
      <c r="A1284" t="n">
        <v>32</v>
      </c>
      <c r="B1284" t="inlineStr">
        <is>
          <t>K3-1A</t>
        </is>
      </c>
      <c r="D1284" t="n">
        <v>13.34</v>
      </c>
      <c r="E1284" t="n">
        <v>18.681</v>
      </c>
      <c r="F1284" t="n">
        <v>8.545999999999999</v>
      </c>
      <c r="G1284" t="n">
        <v>150</v>
      </c>
      <c r="H1284">
        <f>E1284/F1284</f>
        <v/>
      </c>
      <c r="I1284">
        <f>((H1284-$J$1252)/$I$1252)</f>
        <v/>
      </c>
      <c r="J1284">
        <f>(I1284-IF(I1260&gt;0,I1260,0))</f>
        <v/>
      </c>
      <c r="K1284">
        <f>J1284/R1267*1.1</f>
        <v/>
      </c>
      <c r="L1284">
        <f>AVERAGE(K1284:K1286)</f>
        <v/>
      </c>
      <c r="M1284">
        <f>STDEV(K1285:K1286)</f>
        <v/>
      </c>
      <c r="N1284">
        <f>_xlfn.CONCAT(ROUND(L1284,1)," ± ",ROUND(M1284,1))</f>
        <v/>
      </c>
    </row>
    <row r="1285">
      <c r="A1285" t="n">
        <v>33</v>
      </c>
      <c r="B1285" t="inlineStr">
        <is>
          <t>K3-1B</t>
        </is>
      </c>
      <c r="F1285" t="n">
        <v>51.544</v>
      </c>
      <c r="H1285">
        <f>E1285/F1285</f>
        <v/>
      </c>
      <c r="I1285">
        <f>((H1285-$J$1252)/$I$1252)</f>
        <v/>
      </c>
      <c r="J1285">
        <f>(I1285-IF(I1260&gt;0,I1260,0))</f>
        <v/>
      </c>
      <c r="K1285">
        <f>J1285/R1268*1.1</f>
        <v/>
      </c>
    </row>
    <row r="1286">
      <c r="A1286" t="n">
        <v>34</v>
      </c>
      <c r="B1286" t="inlineStr">
        <is>
          <t>K3-1C</t>
        </is>
      </c>
      <c r="F1286" t="n">
        <v>205.27</v>
      </c>
      <c r="H1286">
        <f>E1286/F1286</f>
        <v/>
      </c>
      <c r="I1286">
        <f>((H1286-$J$1252)/$I$1252)</f>
        <v/>
      </c>
      <c r="J1286">
        <f>(I1286-IF(I1260&gt;0,I1260,0))</f>
        <v/>
      </c>
      <c r="K1286">
        <f>J1286/R1269*1.1</f>
        <v/>
      </c>
      <c r="L1286" s="23" t="inlineStr">
        <is>
          <t>Average</t>
        </is>
      </c>
      <c r="M1286" s="23" t="inlineStr">
        <is>
          <t>Stdev</t>
        </is>
      </c>
      <c r="N1286" s="9" t="inlineStr">
        <is>
          <t>Combined</t>
        </is>
      </c>
    </row>
    <row r="1287">
      <c r="A1287" t="n">
        <v>35</v>
      </c>
      <c r="B1287" t="inlineStr">
        <is>
          <t>K3-2A</t>
        </is>
      </c>
      <c r="F1287" t="n">
        <v>175.825</v>
      </c>
      <c r="H1287">
        <f>E1287/F1287</f>
        <v/>
      </c>
      <c r="I1287">
        <f>((H1287-$J$1252)/$I$1252)</f>
        <v/>
      </c>
      <c r="J1287">
        <f>(I1287-IF(I1260&gt;0,I1260,0))</f>
        <v/>
      </c>
      <c r="K1287">
        <f>J1287/R1270*1.1</f>
        <v/>
      </c>
      <c r="L1287">
        <f>AVERAGE(K1287:K1289)</f>
        <v/>
      </c>
      <c r="M1287">
        <f>STDEV(K1287:K1289)</f>
        <v/>
      </c>
      <c r="N1287">
        <f>_xlfn.CONCAT(ROUND(L1287,1)," ± ",ROUND(M1287,1))</f>
        <v/>
      </c>
    </row>
    <row r="1288">
      <c r="A1288" t="n">
        <v>36</v>
      </c>
      <c r="B1288" t="inlineStr">
        <is>
          <t>K3-2B</t>
        </is>
      </c>
      <c r="F1288" t="n">
        <v>73.20399999999999</v>
      </c>
      <c r="H1288">
        <f>E1288/F1288</f>
        <v/>
      </c>
      <c r="I1288">
        <f>((H1288-$J$1252)/$I$1252)</f>
        <v/>
      </c>
      <c r="J1288">
        <f>(I1288-IF(I1260&gt;0,I1260,0))</f>
        <v/>
      </c>
      <c r="K1288">
        <f>J1288/R1271*1.1</f>
        <v/>
      </c>
    </row>
    <row r="1289">
      <c r="A1289" t="n">
        <v>37</v>
      </c>
      <c r="B1289" t="inlineStr">
        <is>
          <t>K3-2C</t>
        </is>
      </c>
      <c r="F1289" t="n">
        <v>179.966</v>
      </c>
      <c r="H1289">
        <f>E1289/F1289</f>
        <v/>
      </c>
      <c r="I1289">
        <f>((H1289-$J$1252)/$I$1252)</f>
        <v/>
      </c>
      <c r="J1289">
        <f>(I1289-IF(I1260&gt;0,I1260,0))</f>
        <v/>
      </c>
      <c r="K1289">
        <f>J1289/R1272*1.1</f>
        <v/>
      </c>
      <c r="L1289" s="23" t="n"/>
      <c r="M1289" s="23" t="n"/>
      <c r="N1289" s="9" t="n"/>
    </row>
    <row r="1290">
      <c r="A1290" t="n">
        <v>38</v>
      </c>
      <c r="B1290" t="inlineStr">
        <is>
          <t>MeOH</t>
        </is>
      </c>
      <c r="L1290" s="23" t="inlineStr">
        <is>
          <t>Average</t>
        </is>
      </c>
      <c r="M1290" s="23" t="inlineStr">
        <is>
          <t>Stdev</t>
        </is>
      </c>
      <c r="N1290" s="9" t="inlineStr">
        <is>
          <t>Combined</t>
        </is>
      </c>
    </row>
    <row r="1291">
      <c r="A1291" t="n">
        <v>39</v>
      </c>
      <c r="B1291" t="inlineStr">
        <is>
          <t>K3-3A</t>
        </is>
      </c>
      <c r="D1291" t="n">
        <v>12.97</v>
      </c>
      <c r="E1291" t="n">
        <v>0.786</v>
      </c>
      <c r="F1291" t="n">
        <v>243.206</v>
      </c>
      <c r="G1291" t="n">
        <v>7</v>
      </c>
      <c r="H1291">
        <f>E1291/F1291</f>
        <v/>
      </c>
      <c r="I1291">
        <f>((H1291-$J$1252)/$I$1252)</f>
        <v/>
      </c>
      <c r="J1291">
        <f>(I1291-IF(I1260&gt;0,I1260,0))</f>
        <v/>
      </c>
      <c r="K1291">
        <f>J1291/R1273*1.1</f>
        <v/>
      </c>
      <c r="L1291">
        <f>AVERAGE(K1291:K1293)</f>
        <v/>
      </c>
      <c r="M1291">
        <f>STDEV(K1292:K1293)</f>
        <v/>
      </c>
      <c r="N1291">
        <f>_xlfn.CONCAT(ROUND(L1291,1)," ± ",ROUND(M1291,1))</f>
        <v/>
      </c>
    </row>
    <row r="1292">
      <c r="A1292" t="n">
        <v>40</v>
      </c>
      <c r="B1292" t="inlineStr">
        <is>
          <t>K3-3B</t>
        </is>
      </c>
      <c r="F1292" t="n">
        <v>281.241</v>
      </c>
      <c r="H1292">
        <f>E1292/F1292</f>
        <v/>
      </c>
      <c r="I1292">
        <f>((H1292-$J$1252)/$I$1252)</f>
        <v/>
      </c>
      <c r="J1292">
        <f>(I1292-IF(I1260&gt;0,I1260,0))</f>
        <v/>
      </c>
      <c r="K1292">
        <f>J1292/R1274*1.1</f>
        <v/>
      </c>
    </row>
    <row r="1293">
      <c r="A1293" t="n">
        <v>41</v>
      </c>
      <c r="B1293" t="inlineStr">
        <is>
          <t>K3-3C</t>
        </is>
      </c>
      <c r="D1293" t="n">
        <v>13.66</v>
      </c>
      <c r="E1293" t="n">
        <v>5.61</v>
      </c>
      <c r="F1293" t="n">
        <v>124.019</v>
      </c>
      <c r="G1293" t="n">
        <v>56</v>
      </c>
      <c r="H1293">
        <f>E1293/F1293</f>
        <v/>
      </c>
      <c r="I1293">
        <f>((H1293-$J$1252)/$I$1252)</f>
        <v/>
      </c>
      <c r="J1293">
        <f>(I1293-IF(I1260&gt;0,I1260,0))</f>
        <v/>
      </c>
      <c r="K1293">
        <f>J1293/R1275*1.1</f>
        <v/>
      </c>
      <c r="L1293" s="23" t="inlineStr">
        <is>
          <t>Average</t>
        </is>
      </c>
      <c r="M1293" s="23" t="inlineStr">
        <is>
          <t>Stdev</t>
        </is>
      </c>
      <c r="N1293" s="9" t="inlineStr">
        <is>
          <t>Combined</t>
        </is>
      </c>
    </row>
    <row r="1294">
      <c r="A1294" t="n">
        <v>42</v>
      </c>
      <c r="B1294" t="inlineStr">
        <is>
          <t>K3-4A</t>
        </is>
      </c>
      <c r="F1294" t="n">
        <v>159.038</v>
      </c>
      <c r="H1294">
        <f>E1294/F1294</f>
        <v/>
      </c>
      <c r="I1294">
        <f>((H1294-$J$1252)/$I$1252)</f>
        <v/>
      </c>
      <c r="J1294">
        <f>(I1294-IF(I1260&gt;0,I1260,0))</f>
        <v/>
      </c>
      <c r="K1294">
        <f>J1294/R1276*1.1</f>
        <v/>
      </c>
      <c r="L1294">
        <f>AVERAGE(K1294:K1296)</f>
        <v/>
      </c>
      <c r="M1294">
        <f>STDEV(K1294:K1296)</f>
        <v/>
      </c>
      <c r="N1294">
        <f>_xlfn.CONCAT(ROUND(L1294,1)," ± ",ROUND(M1294,1))</f>
        <v/>
      </c>
    </row>
    <row r="1295">
      <c r="A1295" t="n">
        <v>43</v>
      </c>
      <c r="B1295" t="inlineStr">
        <is>
          <t>K3-4B</t>
        </is>
      </c>
      <c r="D1295" t="n">
        <v>12.55</v>
      </c>
      <c r="E1295" t="n">
        <v>1.349</v>
      </c>
      <c r="F1295" t="n">
        <v>149.228</v>
      </c>
      <c r="G1295" t="n">
        <v>13</v>
      </c>
      <c r="H1295">
        <f>E1295/F1295</f>
        <v/>
      </c>
      <c r="I1295">
        <f>((H1295-$J$1252)/$I$1252)</f>
        <v/>
      </c>
      <c r="J1295">
        <f>(I1295-IF(I1260&gt;0,I1260,0))</f>
        <v/>
      </c>
      <c r="K1295">
        <f>J1295/R1277*1.1</f>
        <v/>
      </c>
    </row>
    <row r="1296">
      <c r="A1296" t="n">
        <v>44</v>
      </c>
      <c r="B1296" t="inlineStr">
        <is>
          <t>K3-4C</t>
        </is>
      </c>
      <c r="F1296" t="n">
        <v>244.215</v>
      </c>
      <c r="H1296">
        <f>E1296/F1296</f>
        <v/>
      </c>
      <c r="I1296">
        <f>((H1296-$J$1252)/$I$1252)</f>
        <v/>
      </c>
      <c r="J1296">
        <f>(I1296-IF(I1260&gt;0,I1260,0))</f>
        <v/>
      </c>
      <c r="K1296">
        <f>J1296/R1278*1.1</f>
        <v/>
      </c>
      <c r="L1296" s="23" t="n"/>
      <c r="M1296" s="23" t="n"/>
      <c r="N1296" s="9" t="n"/>
    </row>
    <row r="1297">
      <c r="A1297" t="n">
        <v>45</v>
      </c>
      <c r="B1297" t="inlineStr">
        <is>
          <t>MeOH</t>
        </is>
      </c>
      <c r="D1297" t="n">
        <v>13.44</v>
      </c>
      <c r="E1297" t="n">
        <v>455.913</v>
      </c>
      <c r="G1297" t="n">
        <v>13.139</v>
      </c>
      <c r="L1297" s="23" t="inlineStr">
        <is>
          <t>Average</t>
        </is>
      </c>
      <c r="M1297" s="23" t="inlineStr">
        <is>
          <t>Stdev</t>
        </is>
      </c>
      <c r="N1297" s="9" t="inlineStr">
        <is>
          <t>Combined</t>
        </is>
      </c>
    </row>
    <row r="1298">
      <c r="A1298" t="n">
        <v>46</v>
      </c>
      <c r="B1298" t="inlineStr">
        <is>
          <t>K3-6A</t>
        </is>
      </c>
      <c r="D1298" t="n">
        <v>13.45</v>
      </c>
      <c r="E1298" t="n">
        <v>18.388</v>
      </c>
      <c r="F1298" t="n">
        <v>11.224</v>
      </c>
      <c r="G1298" t="n">
        <v>161</v>
      </c>
      <c r="H1298">
        <f>E1298/F1298</f>
        <v/>
      </c>
      <c r="I1298">
        <f>((H1298-$J$1252)/$I$1252)</f>
        <v/>
      </c>
      <c r="J1298">
        <f>(I1298-IF(I1260&gt;0,I1260,0))</f>
        <v/>
      </c>
      <c r="K1298">
        <f>J1298/R1279*1.1</f>
        <v/>
      </c>
      <c r="L1298">
        <f>AVERAGE(K1298:K1300)</f>
        <v/>
      </c>
      <c r="M1298">
        <f>STDEV(K1299:K1300)</f>
        <v/>
      </c>
      <c r="N1298">
        <f>_xlfn.CONCAT(ROUND(L1298,1)," ± ",ROUND(M1298,1))</f>
        <v/>
      </c>
    </row>
    <row r="1299">
      <c r="A1299" t="n">
        <v>47</v>
      </c>
      <c r="B1299" t="inlineStr">
        <is>
          <t>K3-6B</t>
        </is>
      </c>
      <c r="D1299" t="n">
        <v>13.41</v>
      </c>
      <c r="E1299" t="n">
        <v>1.546</v>
      </c>
      <c r="F1299" t="n">
        <v>89.45099999999999</v>
      </c>
      <c r="G1299" t="n">
        <v>13</v>
      </c>
      <c r="H1299">
        <f>E1299/F1299</f>
        <v/>
      </c>
      <c r="I1299">
        <f>((H1299-$J$1252)/$I$1252)</f>
        <v/>
      </c>
      <c r="J1299">
        <f>(I1299-IF(I1260&gt;0,I1260,0))</f>
        <v/>
      </c>
      <c r="K1299">
        <f>J1299/R1280*1.1</f>
        <v/>
      </c>
    </row>
    <row r="1300">
      <c r="A1300" t="n">
        <v>48</v>
      </c>
      <c r="B1300" t="inlineStr">
        <is>
          <t>K3-6C</t>
        </is>
      </c>
      <c r="F1300" t="n">
        <v>231.601</v>
      </c>
      <c r="H1300">
        <f>E1300/F1300</f>
        <v/>
      </c>
      <c r="I1300">
        <f>((H1300-$J$1252)/$I$1252)</f>
        <v/>
      </c>
      <c r="J1300">
        <f>(I1300-IF(I1260&gt;0,I1260,0))</f>
        <v/>
      </c>
      <c r="K1300">
        <f>J1300/R1281*1.1</f>
        <v/>
      </c>
      <c r="L1300" s="23" t="n"/>
      <c r="M1300" s="23" t="n"/>
      <c r="N1300" s="9" t="n"/>
    </row>
    <row r="1302">
      <c r="A1302" s="15" t="inlineStr">
        <is>
          <t>Compound 58:  NBP1 1</t>
        </is>
      </c>
      <c r="B1302" s="15" t="n"/>
    </row>
    <row r="1303">
      <c r="F1303" t="inlineStr">
        <is>
          <t>6:2 FTS</t>
        </is>
      </c>
      <c r="I1303" t="inlineStr">
        <is>
          <t>LINEST</t>
        </is>
      </c>
      <c r="Q1303" t="inlineStr">
        <is>
          <t>Biosolids Masses</t>
        </is>
      </c>
      <c r="R1303" t="inlineStr">
        <is>
          <t>(g)</t>
        </is>
      </c>
    </row>
    <row r="1304">
      <c r="B1304" t="inlineStr">
        <is>
          <t>Sample Text</t>
        </is>
      </c>
      <c r="C1304" t="inlineStr">
        <is>
          <t>Std. Conc</t>
        </is>
      </c>
      <c r="D1304" t="inlineStr">
        <is>
          <t>RT</t>
        </is>
      </c>
      <c r="E1304" t="inlineStr">
        <is>
          <t>Area</t>
        </is>
      </c>
      <c r="F1304" t="inlineStr">
        <is>
          <t>IS Area</t>
        </is>
      </c>
      <c r="G1304" t="inlineStr">
        <is>
          <t>S/N</t>
        </is>
      </c>
      <c r="H1304" t="inlineStr">
        <is>
          <t>ratio</t>
        </is>
      </c>
      <c r="I1304">
        <f t="array" ref="I1304:J1308">LINEST(H1307:H1311,C1307:C1311,1,1)</f>
        <v/>
      </c>
      <c r="J1304" t="n">
        <v>0.01370308801686745</v>
      </c>
      <c r="L1304" s="20" t="inlineStr">
        <is>
          <t>By S/N Ratio</t>
        </is>
      </c>
      <c r="Q1304" t="inlineStr">
        <is>
          <t>SS1</t>
        </is>
      </c>
      <c r="R1304" t="n">
        <v>1.0846</v>
      </c>
    </row>
    <row r="1305">
      <c r="A1305" t="n">
        <v>1</v>
      </c>
      <c r="B1305" t="inlineStr">
        <is>
          <t>EPA1633 &amp; diPAPs Calibration 0 ppb</t>
        </is>
      </c>
      <c r="C1305" t="n">
        <v>0</v>
      </c>
      <c r="D1305" t="n">
        <v>11.51</v>
      </c>
      <c r="E1305" t="n">
        <v>29.021</v>
      </c>
      <c r="F1305" t="n">
        <v>22113.453</v>
      </c>
      <c r="G1305" t="n">
        <v>3.857</v>
      </c>
      <c r="H1305">
        <f>E1305/F1305</f>
        <v/>
      </c>
      <c r="I1305" t="n">
        <v>0.0004628850272939342</v>
      </c>
      <c r="J1305" t="n">
        <v>0.006975694254913268</v>
      </c>
      <c r="K1305" t="inlineStr">
        <is>
          <t>LOD</t>
        </is>
      </c>
      <c r="L1305" s="21">
        <f>IF(G1308&gt;3,C1308,IF(G1309&gt;3,C1309,IF(G1310&gt;3,C1310,IF(G1311&gt;3,C1311,C1312))))</f>
        <v/>
      </c>
      <c r="Q1305" t="inlineStr">
        <is>
          <t>SS2</t>
        </is>
      </c>
      <c r="R1305" t="n">
        <v>1.0726</v>
      </c>
    </row>
    <row r="1306">
      <c r="A1306" t="n">
        <v>2</v>
      </c>
      <c r="B1306" t="inlineStr">
        <is>
          <t>EPA1633 &amp; diPAPs Calibration 0.02 ppb</t>
        </is>
      </c>
      <c r="C1306" t="n">
        <v>0.06</v>
      </c>
      <c r="D1306" t="n">
        <v>11.59</v>
      </c>
      <c r="E1306" t="n">
        <v>18.079</v>
      </c>
      <c r="F1306" t="n">
        <v>19727.258</v>
      </c>
      <c r="G1306" t="n">
        <v>0.76</v>
      </c>
      <c r="H1306">
        <f>E1306/F1306</f>
        <v/>
      </c>
      <c r="I1306" t="n">
        <v>0.998171875891222</v>
      </c>
      <c r="J1306" t="n">
        <v>0.01176019514298981</v>
      </c>
      <c r="K1306" t="inlineStr">
        <is>
          <t>LOQ</t>
        </is>
      </c>
      <c r="L1306" s="22">
        <f>IF(G1308&gt;10,C1308,IF(G1309&gt;10,C1309,IF(G1310&gt;10,C1310,IF(G1311&gt;10,C1311,C1312))))</f>
        <v/>
      </c>
      <c r="Q1306" t="inlineStr">
        <is>
          <t>SS3</t>
        </is>
      </c>
      <c r="R1306" t="n">
        <v>1.1534</v>
      </c>
    </row>
    <row r="1307">
      <c r="A1307" t="n">
        <v>3</v>
      </c>
      <c r="B1307" t="inlineStr">
        <is>
          <t>EPA1633 &amp; diPAPs Calibration 0.1 ppb</t>
        </is>
      </c>
      <c r="C1307" t="n">
        <v>0.3</v>
      </c>
      <c r="D1307" t="n">
        <v>11.56</v>
      </c>
      <c r="E1307" t="n">
        <v>257.153</v>
      </c>
      <c r="F1307" t="n">
        <v>21608.316</v>
      </c>
      <c r="G1307" t="n">
        <v>5.812</v>
      </c>
      <c r="H1307">
        <f>E1307/F1307</f>
        <v/>
      </c>
      <c r="I1307" t="n">
        <v>1638.026441035988</v>
      </c>
      <c r="J1307" t="n">
        <v>3</v>
      </c>
      <c r="Q1307" t="inlineStr">
        <is>
          <t>K4-1A</t>
        </is>
      </c>
      <c r="R1307" t="n">
        <v>1.0267</v>
      </c>
    </row>
    <row r="1308">
      <c r="A1308" t="n">
        <v>4</v>
      </c>
      <c r="B1308" t="inlineStr">
        <is>
          <t>EPA1633 &amp; diPAPs Calibration 0.4 ppb</t>
        </is>
      </c>
      <c r="C1308" t="n">
        <v>1.2</v>
      </c>
      <c r="D1308" t="n">
        <v>11.56</v>
      </c>
      <c r="E1308" t="n">
        <v>889.227</v>
      </c>
      <c r="F1308" t="n">
        <v>17922.152</v>
      </c>
      <c r="G1308" t="n">
        <v>37.122</v>
      </c>
      <c r="H1308">
        <f>E1308/F1308</f>
        <v/>
      </c>
      <c r="I1308" t="n">
        <v>0.2265426437475451</v>
      </c>
      <c r="J1308" t="n">
        <v>0.0004149065694036034</v>
      </c>
      <c r="Q1308" t="inlineStr">
        <is>
          <t>K4-1B</t>
        </is>
      </c>
      <c r="R1308" t="n">
        <v>1.1481</v>
      </c>
    </row>
    <row r="1309">
      <c r="A1309" t="n">
        <v>5</v>
      </c>
      <c r="B1309" t="inlineStr">
        <is>
          <t>EPA1633 &amp; diPAPs Calibration 1 ppb</t>
        </is>
      </c>
      <c r="C1309" t="n">
        <v>3</v>
      </c>
      <c r="D1309" t="n">
        <v>11.57</v>
      </c>
      <c r="E1309" t="n">
        <v>1541.285</v>
      </c>
      <c r="F1309" t="n">
        <v>21861.023</v>
      </c>
      <c r="G1309" t="n">
        <v>51.701</v>
      </c>
      <c r="H1309">
        <f>E1309/F1309</f>
        <v/>
      </c>
      <c r="Q1309" t="inlineStr">
        <is>
          <t>K4-1C</t>
        </is>
      </c>
      <c r="R1309" t="n">
        <v>1.0402</v>
      </c>
    </row>
    <row r="1310">
      <c r="A1310" t="n">
        <v>6</v>
      </c>
      <c r="B1310" t="inlineStr">
        <is>
          <t>EPA1633 &amp; diPAPs Calibration 5 ppb</t>
        </is>
      </c>
      <c r="C1310" t="n">
        <v>15</v>
      </c>
      <c r="D1310" t="n">
        <v>11.46</v>
      </c>
      <c r="E1310" t="n">
        <v>5555.634</v>
      </c>
      <c r="F1310" t="n">
        <v>19662.793</v>
      </c>
      <c r="G1310" t="n">
        <v>94.502</v>
      </c>
      <c r="H1310">
        <f>E1310/F1310</f>
        <v/>
      </c>
      <c r="Q1310" t="inlineStr">
        <is>
          <t>K4-2A</t>
        </is>
      </c>
      <c r="R1310" t="n">
        <v>1.127</v>
      </c>
    </row>
    <row r="1311">
      <c r="A1311" t="n">
        <v>7</v>
      </c>
      <c r="B1311" t="inlineStr">
        <is>
          <t>EPA1633 &amp; diPAPs Calibration 10 ppb</t>
        </is>
      </c>
      <c r="C1311" t="n">
        <v>30</v>
      </c>
      <c r="D1311" t="n">
        <v>11.49</v>
      </c>
      <c r="E1311" t="n">
        <v>9949.161</v>
      </c>
      <c r="F1311" t="n">
        <v>17115.689</v>
      </c>
      <c r="G1311" t="n">
        <v>228.799</v>
      </c>
      <c r="H1311">
        <f>E1311/F1311</f>
        <v/>
      </c>
      <c r="I1311" s="23" t="inlineStr">
        <is>
          <t>Background</t>
        </is>
      </c>
      <c r="J1311" s="23" t="inlineStr">
        <is>
          <t>Spike</t>
        </is>
      </c>
      <c r="K1311" s="9" t="inlineStr">
        <is>
          <t>Old Spike</t>
        </is>
      </c>
      <c r="O1311" s="24" t="inlineStr">
        <is>
          <t>±</t>
        </is>
      </c>
      <c r="Q1311" t="inlineStr">
        <is>
          <t>K4-2B</t>
        </is>
      </c>
      <c r="R1311" t="n">
        <v>1.1154</v>
      </c>
    </row>
    <row r="1312">
      <c r="A1312" t="n">
        <v>8</v>
      </c>
      <c r="B1312" t="inlineStr">
        <is>
          <t>EPA1633 &amp; diPAPs Calibration 20 ppb</t>
        </is>
      </c>
      <c r="C1312" t="n">
        <v>60</v>
      </c>
      <c r="D1312" t="n">
        <v>11.53</v>
      </c>
      <c r="E1312" t="n">
        <v>20879.131</v>
      </c>
      <c r="F1312" t="n">
        <v>21588.051</v>
      </c>
      <c r="G1312" t="n">
        <v>472.153</v>
      </c>
      <c r="H1312">
        <f>E1312/F1312</f>
        <v/>
      </c>
      <c r="I1312">
        <f>AVERAGE(I1315:I1317)</f>
        <v/>
      </c>
      <c r="J1312" t="n">
        <v>33</v>
      </c>
      <c r="Q1312" t="inlineStr">
        <is>
          <t>K4-2C</t>
        </is>
      </c>
      <c r="R1312" t="n">
        <v>1.1711</v>
      </c>
    </row>
    <row r="1313">
      <c r="A1313" t="n">
        <v>9</v>
      </c>
      <c r="B1313" t="inlineStr">
        <is>
          <t>MeOH</t>
        </is>
      </c>
      <c r="D1313" t="n">
        <v>11.17</v>
      </c>
      <c r="E1313" t="n">
        <v>13.497</v>
      </c>
      <c r="F1313" t="n">
        <v>29.33</v>
      </c>
      <c r="G1313" t="n">
        <v>1.32</v>
      </c>
      <c r="I1313" s="23" t="inlineStr">
        <is>
          <t>Conc.In Vial (ppb)</t>
        </is>
      </c>
      <c r="J1313" s="9" t="inlineStr">
        <is>
          <t>Corr. Conc.(ppb)</t>
        </is>
      </c>
      <c r="K1313" s="9" t="inlineStr">
        <is>
          <t>Conc. In soil (ng/g)</t>
        </is>
      </c>
      <c r="Q1313" t="inlineStr">
        <is>
          <t>K4-4A</t>
        </is>
      </c>
      <c r="R1313" t="n">
        <v>1.0932</v>
      </c>
    </row>
    <row r="1314">
      <c r="A1314" t="n">
        <v>10</v>
      </c>
      <c r="B1314" t="inlineStr">
        <is>
          <t>MeOH</t>
        </is>
      </c>
      <c r="D1314" t="n">
        <v>11.61</v>
      </c>
      <c r="E1314" t="n">
        <v>11.835</v>
      </c>
      <c r="F1314" t="n">
        <v>4.523</v>
      </c>
      <c r="G1314" t="n">
        <v>100</v>
      </c>
      <c r="L1314" s="23" t="inlineStr">
        <is>
          <t>Average</t>
        </is>
      </c>
      <c r="M1314" s="23" t="inlineStr">
        <is>
          <t>Stdev</t>
        </is>
      </c>
      <c r="N1314" s="9" t="inlineStr">
        <is>
          <t>Combined</t>
        </is>
      </c>
      <c r="O1314" s="9" t="n"/>
      <c r="P1314" s="9" t="n"/>
      <c r="Q1314" t="inlineStr">
        <is>
          <t>K4-4B</t>
        </is>
      </c>
      <c r="R1314" t="n">
        <v>1.15</v>
      </c>
    </row>
    <row r="1315">
      <c r="A1315" t="n">
        <v>11</v>
      </c>
      <c r="B1315" t="inlineStr">
        <is>
          <t>SB1</t>
        </is>
      </c>
      <c r="F1315" t="n">
        <v>8290.896000000001</v>
      </c>
      <c r="H1315">
        <f>E1315/F1315</f>
        <v/>
      </c>
      <c r="I1315">
        <f>((H1315-$J$1304)/$I$1304)</f>
        <v/>
      </c>
      <c r="J1315">
        <f>(I1315-IF(I1312&gt;0,I1312,0))</f>
        <v/>
      </c>
      <c r="K1315">
        <f>J1315*1.1</f>
        <v/>
      </c>
      <c r="L1315">
        <f>AVERAGE(K1315:K1317)</f>
        <v/>
      </c>
      <c r="M1315">
        <f>STDEV(K1316:K1317)</f>
        <v/>
      </c>
      <c r="N1315">
        <f>_xlfn.CONCAT(ROUND(L1315,1)," ± ",ROUND(M1315,1))</f>
        <v/>
      </c>
      <c r="Q1315" t="inlineStr">
        <is>
          <t>K4-4C</t>
        </is>
      </c>
      <c r="R1315" t="n">
        <v>1.0482</v>
      </c>
    </row>
    <row r="1316">
      <c r="A1316" t="n">
        <v>12</v>
      </c>
      <c r="B1316" t="inlineStr">
        <is>
          <t>SB2</t>
        </is>
      </c>
      <c r="D1316" t="n">
        <v>11.84</v>
      </c>
      <c r="E1316" t="n">
        <v>2.338</v>
      </c>
      <c r="F1316" t="n">
        <v>7311.854</v>
      </c>
      <c r="G1316" t="n">
        <v>22</v>
      </c>
      <c r="H1316">
        <f>E1316/F1316</f>
        <v/>
      </c>
      <c r="I1316">
        <f>((H1316-$J$1304)/$I$1304)</f>
        <v/>
      </c>
      <c r="J1316">
        <f>(I1316-IF(I1312&gt;0,I1312,0))</f>
        <v/>
      </c>
      <c r="K1316">
        <f>J1316*1.1</f>
        <v/>
      </c>
      <c r="Q1316" t="inlineStr">
        <is>
          <t>K4-5A</t>
        </is>
      </c>
      <c r="R1316" t="n">
        <v>1.1054</v>
      </c>
    </row>
    <row r="1317">
      <c r="A1317" t="n">
        <v>13</v>
      </c>
      <c r="B1317" t="inlineStr">
        <is>
          <t>SB3</t>
        </is>
      </c>
      <c r="D1317" t="n">
        <v>11.27</v>
      </c>
      <c r="E1317" t="n">
        <v>36.663</v>
      </c>
      <c r="F1317" t="n">
        <v>6894.442</v>
      </c>
      <c r="G1317" t="n">
        <v>350</v>
      </c>
      <c r="H1317">
        <f>E1317/F1317</f>
        <v/>
      </c>
      <c r="I1317">
        <f>((H1317-$J$1304)/$I$1304)</f>
        <v/>
      </c>
      <c r="J1317">
        <f>(I1317-IF(I1312&gt;0,I1312,0))</f>
        <v/>
      </c>
      <c r="K1317" s="30">
        <f>J1317*1.1</f>
        <v/>
      </c>
      <c r="L1317" s="25" t="inlineStr">
        <is>
          <t>Average</t>
        </is>
      </c>
      <c r="M1317" s="25" t="inlineStr">
        <is>
          <t>Stdev</t>
        </is>
      </c>
      <c r="N1317" s="26" t="inlineStr">
        <is>
          <t>%Recovery</t>
        </is>
      </c>
      <c r="O1317" s="26" t="inlineStr">
        <is>
          <t>Uncertainty</t>
        </is>
      </c>
      <c r="P1317" s="26" t="inlineStr">
        <is>
          <t>Combined</t>
        </is>
      </c>
      <c r="Q1317" t="inlineStr">
        <is>
          <t>K4-5B</t>
        </is>
      </c>
      <c r="R1317" s="10" t="n">
        <v>1.0463</v>
      </c>
    </row>
    <row r="1318">
      <c r="A1318" t="n">
        <v>14</v>
      </c>
      <c r="B1318" t="inlineStr">
        <is>
          <t>SS1</t>
        </is>
      </c>
      <c r="D1318" t="n">
        <v>11.6</v>
      </c>
      <c r="E1318" t="n">
        <v>3877.506</v>
      </c>
      <c r="F1318" t="n">
        <v>8442.453</v>
      </c>
      <c r="G1318" t="n">
        <v>117.362</v>
      </c>
      <c r="H1318">
        <f>E1318/F1318</f>
        <v/>
      </c>
      <c r="I1318">
        <f>((H1318-$J$1304)/$I$1304)</f>
        <v/>
      </c>
      <c r="J1318">
        <f>(I1318-IF(I1312&gt;0,I1312,0))</f>
        <v/>
      </c>
      <c r="K1318">
        <f>J1318/R1304*1.1</f>
        <v/>
      </c>
      <c r="L1318" s="27">
        <f>AVERAGE(K1318:K1320)</f>
        <v/>
      </c>
      <c r="M1318" s="27">
        <f>STDEV(K1318:K1320)</f>
        <v/>
      </c>
      <c r="N1318" s="28">
        <f>L1318/J1312*100</f>
        <v/>
      </c>
      <c r="O1318" s="29">
        <f>M1318/J1315*100</f>
        <v/>
      </c>
      <c r="P1318" s="29">
        <f>_xlfn.CONCAT(ROUND(N1318,1)," ± ",ROUND(O1318,1))</f>
        <v/>
      </c>
      <c r="Q1318" t="inlineStr">
        <is>
          <t>K4-5C</t>
        </is>
      </c>
      <c r="R1318" t="n">
        <v>1.1155</v>
      </c>
    </row>
    <row r="1319">
      <c r="A1319" t="n">
        <v>15</v>
      </c>
      <c r="B1319" t="inlineStr">
        <is>
          <t>SS2</t>
        </is>
      </c>
      <c r="D1319" t="n">
        <v>11.61</v>
      </c>
      <c r="E1319" t="n">
        <v>3750.636</v>
      </c>
      <c r="F1319" t="n">
        <v>9012.263999999999</v>
      </c>
      <c r="G1319" t="n">
        <v>74.76300000000001</v>
      </c>
      <c r="H1319">
        <f>E1319/F1319</f>
        <v/>
      </c>
      <c r="I1319">
        <f>((H1319-$J$1304)/$I$1304)</f>
        <v/>
      </c>
      <c r="J1319">
        <f>(I1319-IF(I1312&gt;0,I1312,0))</f>
        <v/>
      </c>
      <c r="K1319">
        <f>J1319/R1305*1.1</f>
        <v/>
      </c>
      <c r="Q1319" t="inlineStr">
        <is>
          <t>K3-1A</t>
        </is>
      </c>
      <c r="R1319" t="n">
        <v>1.0874</v>
      </c>
    </row>
    <row r="1320">
      <c r="A1320" t="n">
        <v>16</v>
      </c>
      <c r="B1320" t="inlineStr">
        <is>
          <t>SS3</t>
        </is>
      </c>
      <c r="D1320" t="n">
        <v>11.61</v>
      </c>
      <c r="E1320" t="n">
        <v>4148.715</v>
      </c>
      <c r="F1320" t="n">
        <v>7925.868</v>
      </c>
      <c r="G1320" t="n">
        <v>173.505</v>
      </c>
      <c r="H1320">
        <f>E1320/F1320</f>
        <v/>
      </c>
      <c r="I1320">
        <f>((H1320-$J$1304)/$I$1304)</f>
        <v/>
      </c>
      <c r="J1320">
        <f>(I1320-IF(I1312&gt;0,I1312,0))</f>
        <v/>
      </c>
      <c r="K1320" s="30">
        <f>J1320/R1306*1.1</f>
        <v/>
      </c>
      <c r="Q1320" t="inlineStr">
        <is>
          <t>K3-1B</t>
        </is>
      </c>
      <c r="R1320" t="n">
        <v>1.0898</v>
      </c>
    </row>
    <row r="1321">
      <c r="A1321" t="n">
        <v>17</v>
      </c>
      <c r="B1321" t="inlineStr">
        <is>
          <t>MeOH</t>
        </is>
      </c>
      <c r="L1321" s="23" t="inlineStr">
        <is>
          <t>Average</t>
        </is>
      </c>
      <c r="M1321" s="23" t="inlineStr">
        <is>
          <t>Stdev</t>
        </is>
      </c>
      <c r="N1321" s="9" t="inlineStr">
        <is>
          <t>Combined</t>
        </is>
      </c>
      <c r="Q1321" t="inlineStr">
        <is>
          <t>K3-1C</t>
        </is>
      </c>
      <c r="R1321" t="n">
        <v>1.0536</v>
      </c>
    </row>
    <row r="1322">
      <c r="A1322" t="n">
        <v>18</v>
      </c>
      <c r="B1322" t="inlineStr">
        <is>
          <t>K4-1A</t>
        </is>
      </c>
      <c r="D1322" t="n">
        <v>12.41</v>
      </c>
      <c r="E1322" t="n">
        <v>2.371</v>
      </c>
      <c r="F1322" t="n">
        <v>8643.662</v>
      </c>
      <c r="G1322" t="n">
        <v>22</v>
      </c>
      <c r="H1322">
        <f>E1322/F1322</f>
        <v/>
      </c>
      <c r="I1322">
        <f>((H1322-$J$1304)/$I$1304)</f>
        <v/>
      </c>
      <c r="J1322">
        <f>(I1322-IF(I1312&gt;0,I1312,0))</f>
        <v/>
      </c>
      <c r="K1322">
        <f>J1322/R1307*1.1</f>
        <v/>
      </c>
      <c r="L1322">
        <f>AVERAGE(K1322:K1324)</f>
        <v/>
      </c>
      <c r="M1322">
        <f>STDEV(K1323:K1324)</f>
        <v/>
      </c>
      <c r="N1322">
        <f>_xlfn.CONCAT(ROUND(L1322,1)," ± ",ROUND(M1322,1))</f>
        <v/>
      </c>
      <c r="Q1322" t="inlineStr">
        <is>
          <t>K3-2A</t>
        </is>
      </c>
      <c r="R1322" s="10" t="n">
        <v>1.1218</v>
      </c>
    </row>
    <row r="1323">
      <c r="A1323" t="n">
        <v>19</v>
      </c>
      <c r="B1323" t="inlineStr">
        <is>
          <t>K4-1B</t>
        </is>
      </c>
      <c r="F1323" t="n">
        <v>7778.754</v>
      </c>
      <c r="H1323">
        <f>E1323/F1323</f>
        <v/>
      </c>
      <c r="I1323">
        <f>((H1323-$J$1304)/$I$1304)</f>
        <v/>
      </c>
      <c r="J1323">
        <f>(I1323-IF(I1312&gt;0,I1312,0))</f>
        <v/>
      </c>
      <c r="K1323">
        <f>J1323/R1308*1.1</f>
        <v/>
      </c>
      <c r="Q1323" t="inlineStr">
        <is>
          <t>K3-2B</t>
        </is>
      </c>
      <c r="R1323" t="n">
        <v>1.198</v>
      </c>
    </row>
    <row r="1324">
      <c r="A1324" t="n">
        <v>20</v>
      </c>
      <c r="B1324" t="inlineStr">
        <is>
          <t>K4-1C</t>
        </is>
      </c>
      <c r="F1324" t="n">
        <v>8090.841</v>
      </c>
      <c r="H1324">
        <f>E1324/F1324</f>
        <v/>
      </c>
      <c r="I1324">
        <f>((H1324-$J$1304)/$I$1304)</f>
        <v/>
      </c>
      <c r="J1324">
        <f>(I1324-IF(I1312&gt;0,I1312,0))</f>
        <v/>
      </c>
      <c r="K1324">
        <f>J1324/R1309*1.1</f>
        <v/>
      </c>
      <c r="L1324" s="23" t="inlineStr">
        <is>
          <t>Average</t>
        </is>
      </c>
      <c r="M1324" s="23" t="inlineStr">
        <is>
          <t>Stdev</t>
        </is>
      </c>
      <c r="N1324" s="9" t="inlineStr">
        <is>
          <t>Combined</t>
        </is>
      </c>
      <c r="Q1324" t="inlineStr">
        <is>
          <t>K3-2C</t>
        </is>
      </c>
      <c r="R1324" t="n">
        <v>1.1538</v>
      </c>
    </row>
    <row r="1325">
      <c r="A1325" t="n">
        <v>21</v>
      </c>
      <c r="B1325" t="inlineStr">
        <is>
          <t>K4-2A</t>
        </is>
      </c>
      <c r="D1325" t="n">
        <v>11.12</v>
      </c>
      <c r="E1325" t="n">
        <v>2.527</v>
      </c>
      <c r="F1325" t="n">
        <v>8274.536</v>
      </c>
      <c r="G1325" t="n">
        <v>17</v>
      </c>
      <c r="H1325">
        <f>E1325/F1325</f>
        <v/>
      </c>
      <c r="I1325">
        <f>((H1325-$J$1304)/$I$1304)</f>
        <v/>
      </c>
      <c r="J1325">
        <f>(I1325-IF(I1312&gt;0,I1312,0))</f>
        <v/>
      </c>
      <c r="K1325">
        <f>J1325/R1310*1.1</f>
        <v/>
      </c>
      <c r="L1325">
        <f>AVERAGE(K1325:K1327)</f>
        <v/>
      </c>
      <c r="M1325">
        <f>STDEV(K1325:K1327)</f>
        <v/>
      </c>
      <c r="N1325">
        <f>_xlfn.CONCAT(ROUND(L1325,1)," ± ",ROUND(M1325,1))</f>
        <v/>
      </c>
      <c r="Q1325" t="inlineStr">
        <is>
          <t>K3-3A</t>
        </is>
      </c>
      <c r="R1325" t="n">
        <v>1.1183</v>
      </c>
    </row>
    <row r="1326">
      <c r="A1326" t="n">
        <v>22</v>
      </c>
      <c r="B1326" t="inlineStr">
        <is>
          <t>K4-2B</t>
        </is>
      </c>
      <c r="D1326" t="n">
        <v>12.13</v>
      </c>
      <c r="E1326" t="n">
        <v>7.076</v>
      </c>
      <c r="F1326" t="n">
        <v>7255.211</v>
      </c>
      <c r="G1326" t="n">
        <v>63</v>
      </c>
      <c r="H1326">
        <f>E1326/F1326</f>
        <v/>
      </c>
      <c r="I1326">
        <f>((H1326-$J$1304)/$I$1304)</f>
        <v/>
      </c>
      <c r="J1326">
        <f>(I1326-IF(I1312&gt;0,I1312,0))</f>
        <v/>
      </c>
      <c r="K1326">
        <f>J1326/R1311*1.1</f>
        <v/>
      </c>
      <c r="Q1326" t="inlineStr">
        <is>
          <t>K3-3B</t>
        </is>
      </c>
      <c r="R1326" t="n">
        <v>1.1448</v>
      </c>
    </row>
    <row r="1327">
      <c r="A1327" t="n">
        <v>23</v>
      </c>
      <c r="B1327" t="inlineStr">
        <is>
          <t>K4-2C</t>
        </is>
      </c>
      <c r="D1327" t="n">
        <v>12.3</v>
      </c>
      <c r="E1327" t="n">
        <v>15.614</v>
      </c>
      <c r="F1327" t="n">
        <v>6344.476</v>
      </c>
      <c r="G1327" t="n">
        <v>144</v>
      </c>
      <c r="H1327">
        <f>E1327/F1327</f>
        <v/>
      </c>
      <c r="I1327">
        <f>((H1327-$J$1304)/$I$1304)</f>
        <v/>
      </c>
      <c r="J1327">
        <f>(I1327-IF(I1312&gt;0,I1312,0))</f>
        <v/>
      </c>
      <c r="K1327">
        <f>J1327/R1312*1.1</f>
        <v/>
      </c>
      <c r="L1327" s="23" t="n"/>
      <c r="M1327" s="23" t="n"/>
      <c r="N1327" s="9" t="n"/>
      <c r="Q1327" t="inlineStr">
        <is>
          <t>K3-3C</t>
        </is>
      </c>
      <c r="R1327" t="n">
        <v>1.0493</v>
      </c>
    </row>
    <row r="1328">
      <c r="A1328" t="n">
        <v>24</v>
      </c>
      <c r="B1328" t="inlineStr">
        <is>
          <t>MeOH</t>
        </is>
      </c>
      <c r="L1328" s="23" t="inlineStr">
        <is>
          <t>Average</t>
        </is>
      </c>
      <c r="M1328" s="23" t="inlineStr">
        <is>
          <t>Stdev</t>
        </is>
      </c>
      <c r="N1328" s="9" t="inlineStr">
        <is>
          <t>Combined</t>
        </is>
      </c>
      <c r="Q1328" t="inlineStr">
        <is>
          <t>K3-4A</t>
        </is>
      </c>
      <c r="R1328" t="n">
        <v>1.0704</v>
      </c>
    </row>
    <row r="1329">
      <c r="A1329" t="n">
        <v>25</v>
      </c>
      <c r="B1329" t="inlineStr">
        <is>
          <t>K4-4A</t>
        </is>
      </c>
      <c r="D1329" t="n">
        <v>11.75</v>
      </c>
      <c r="E1329" t="n">
        <v>5.507</v>
      </c>
      <c r="F1329" t="n">
        <v>8255.324000000001</v>
      </c>
      <c r="G1329" t="n">
        <v>3.716</v>
      </c>
      <c r="H1329">
        <f>E1329/F1329</f>
        <v/>
      </c>
      <c r="I1329">
        <f>((H1329-$J$1304)/$I$1304)</f>
        <v/>
      </c>
      <c r="J1329">
        <f>(I1329-IF(I1312&gt;0,I1312,0))</f>
        <v/>
      </c>
      <c r="K1329">
        <f>J1329/R1313*1.1</f>
        <v/>
      </c>
      <c r="L1329">
        <f>AVERAGE(K1329:K1331)</f>
        <v/>
      </c>
      <c r="M1329">
        <f>STDEV(K1330:K1331)</f>
        <v/>
      </c>
      <c r="N1329">
        <f>_xlfn.CONCAT(ROUND(L1329,1)," ± ",ROUND(M1329,1))</f>
        <v/>
      </c>
      <c r="Q1329" t="inlineStr">
        <is>
          <t>K3-4B</t>
        </is>
      </c>
      <c r="R1329" t="n">
        <v>1.1589</v>
      </c>
    </row>
    <row r="1330">
      <c r="A1330" t="n">
        <v>26</v>
      </c>
      <c r="B1330" t="inlineStr">
        <is>
          <t>K4-4B</t>
        </is>
      </c>
      <c r="D1330" t="n">
        <v>12.01</v>
      </c>
      <c r="E1330" t="n">
        <v>16.84</v>
      </c>
      <c r="F1330" t="n">
        <v>8700.057000000001</v>
      </c>
      <c r="G1330" t="n">
        <v>152</v>
      </c>
      <c r="H1330">
        <f>E1330/F1330</f>
        <v/>
      </c>
      <c r="I1330">
        <f>((H1330-$J$1304)/$I$1304)</f>
        <v/>
      </c>
      <c r="J1330">
        <f>(I1330-IF(I1312&gt;0,I1312,0))</f>
        <v/>
      </c>
      <c r="K1330">
        <f>J1330/R1314*1.1</f>
        <v/>
      </c>
      <c r="Q1330" t="inlineStr">
        <is>
          <t>K3-4C</t>
        </is>
      </c>
      <c r="R1330" t="n">
        <v>1.0206</v>
      </c>
    </row>
    <row r="1331">
      <c r="A1331" t="n">
        <v>27</v>
      </c>
      <c r="B1331" t="inlineStr">
        <is>
          <t>K4-4C</t>
        </is>
      </c>
      <c r="D1331" t="n">
        <v>12.02</v>
      </c>
      <c r="E1331" t="n">
        <v>0.316</v>
      </c>
      <c r="F1331" t="n">
        <v>8862.481</v>
      </c>
      <c r="G1331" t="n">
        <v>3</v>
      </c>
      <c r="H1331">
        <f>E1331/F1331</f>
        <v/>
      </c>
      <c r="I1331">
        <f>((H1331-$J$1304)/$I$1304)</f>
        <v/>
      </c>
      <c r="J1331">
        <f>(I1331-IF(I1312&gt;0,I1312,0))</f>
        <v/>
      </c>
      <c r="K1331">
        <f>J1331/R1315*1.1</f>
        <v/>
      </c>
      <c r="L1331" s="23" t="inlineStr">
        <is>
          <t>Average</t>
        </is>
      </c>
      <c r="M1331" s="23" t="inlineStr">
        <is>
          <t>Stdev</t>
        </is>
      </c>
      <c r="N1331" s="9" t="inlineStr">
        <is>
          <t>Combined</t>
        </is>
      </c>
      <c r="Q1331" t="inlineStr">
        <is>
          <t>K3-6A</t>
        </is>
      </c>
      <c r="R1331" t="n">
        <v>1.1289</v>
      </c>
    </row>
    <row r="1332">
      <c r="A1332" t="n">
        <v>28</v>
      </c>
      <c r="B1332" t="inlineStr">
        <is>
          <t>K4-5A</t>
        </is>
      </c>
      <c r="D1332" t="n">
        <v>11.67</v>
      </c>
      <c r="E1332" t="n">
        <v>0.652</v>
      </c>
      <c r="F1332" t="n">
        <v>7566.267</v>
      </c>
      <c r="G1332" t="n">
        <v>6</v>
      </c>
      <c r="H1332">
        <f>E1332/F1332</f>
        <v/>
      </c>
      <c r="I1332">
        <f>((H1332-$J$1304)/$I$1304)</f>
        <v/>
      </c>
      <c r="J1332">
        <f>(I1332-IF(I1312&gt;0,I1312,0))</f>
        <v/>
      </c>
      <c r="K1332">
        <f>J1332/R1316*1.1</f>
        <v/>
      </c>
      <c r="L1332">
        <f>AVERAGE(K1332:K1334)</f>
        <v/>
      </c>
      <c r="M1332">
        <f>STDEV(K1332:K1334)</f>
        <v/>
      </c>
      <c r="N1332">
        <f>_xlfn.CONCAT(ROUND(L1332,1)," ± ",ROUND(M1332,1))</f>
        <v/>
      </c>
      <c r="Q1332" t="inlineStr">
        <is>
          <t>K3-6B</t>
        </is>
      </c>
      <c r="R1332" t="n">
        <v>1.195</v>
      </c>
    </row>
    <row r="1333">
      <c r="A1333" t="n">
        <v>29</v>
      </c>
      <c r="B1333" t="inlineStr">
        <is>
          <t>K4-5B</t>
        </is>
      </c>
      <c r="D1333" t="n">
        <v>12.22</v>
      </c>
      <c r="E1333" t="n">
        <v>21.819</v>
      </c>
      <c r="F1333" t="n">
        <v>7728.61</v>
      </c>
      <c r="G1333" t="n">
        <v>197</v>
      </c>
      <c r="H1333">
        <f>E1333/F1333</f>
        <v/>
      </c>
      <c r="I1333">
        <f>((H1333-$J$1304)/$I$1304)</f>
        <v/>
      </c>
      <c r="J1333">
        <f>(I1333-IF(I1312&gt;0,I1312,0))</f>
        <v/>
      </c>
      <c r="K1333">
        <f>J1333/R1317*1.1</f>
        <v/>
      </c>
      <c r="Q1333" t="inlineStr">
        <is>
          <t>K3-6C</t>
        </is>
      </c>
      <c r="R1333" t="n">
        <v>1.1716</v>
      </c>
    </row>
    <row r="1334">
      <c r="A1334" t="n">
        <v>30</v>
      </c>
      <c r="B1334" t="inlineStr">
        <is>
          <t>K4-5C</t>
        </is>
      </c>
      <c r="D1334" t="n">
        <v>11.09</v>
      </c>
      <c r="E1334" t="n">
        <v>21.181</v>
      </c>
      <c r="F1334" t="n">
        <v>7892.756</v>
      </c>
      <c r="G1334" t="n">
        <v>205</v>
      </c>
      <c r="H1334">
        <f>E1334/F1334</f>
        <v/>
      </c>
      <c r="I1334">
        <f>((H1334-$J$1304)/$I$1304)</f>
        <v/>
      </c>
      <c r="J1334">
        <f>(I1334-IF(I1312&gt;0,I1312,0))</f>
        <v/>
      </c>
      <c r="K1334">
        <f>J1334/R1318*1.1</f>
        <v/>
      </c>
      <c r="L1334" s="23" t="n"/>
      <c r="M1334" s="23" t="n"/>
      <c r="N1334" s="9" t="n"/>
    </row>
    <row r="1335">
      <c r="A1335" t="n">
        <v>31</v>
      </c>
      <c r="B1335" t="inlineStr">
        <is>
          <t>MeOH</t>
        </is>
      </c>
      <c r="D1335" t="n">
        <v>11.59</v>
      </c>
      <c r="E1335" t="n">
        <v>0.65</v>
      </c>
      <c r="G1335" t="n">
        <v>7</v>
      </c>
      <c r="L1335" s="23" t="inlineStr">
        <is>
          <t>Average</t>
        </is>
      </c>
      <c r="M1335" s="23" t="inlineStr">
        <is>
          <t>Stdev</t>
        </is>
      </c>
      <c r="N1335" s="9" t="inlineStr">
        <is>
          <t>Combined</t>
        </is>
      </c>
    </row>
    <row r="1336">
      <c r="A1336" t="n">
        <v>32</v>
      </c>
      <c r="B1336" t="inlineStr">
        <is>
          <t>K3-1A</t>
        </is>
      </c>
      <c r="F1336" t="n">
        <v>9463.556</v>
      </c>
      <c r="H1336">
        <f>E1336/F1336</f>
        <v/>
      </c>
      <c r="I1336">
        <f>((H1336-$J$1304)/$I$1304)</f>
        <v/>
      </c>
      <c r="J1336">
        <f>(I1336-IF(I1312&gt;0,I1312,0))</f>
        <v/>
      </c>
      <c r="K1336">
        <f>J1336/R1319*1.1</f>
        <v/>
      </c>
      <c r="L1336">
        <f>AVERAGE(K1336:K1338)</f>
        <v/>
      </c>
      <c r="M1336">
        <f>STDEV(K1337:K1338)</f>
        <v/>
      </c>
      <c r="N1336">
        <f>_xlfn.CONCAT(ROUND(L1336,1)," ± ",ROUND(M1336,1))</f>
        <v/>
      </c>
    </row>
    <row r="1337">
      <c r="A1337" t="n">
        <v>33</v>
      </c>
      <c r="B1337" t="inlineStr">
        <is>
          <t>K3-1B</t>
        </is>
      </c>
      <c r="D1337" t="n">
        <v>12.72</v>
      </c>
      <c r="E1337" t="n">
        <v>14.28</v>
      </c>
      <c r="F1337" t="n">
        <v>8614.062</v>
      </c>
      <c r="G1337" t="n">
        <v>6.561</v>
      </c>
      <c r="H1337">
        <f>E1337/F1337</f>
        <v/>
      </c>
      <c r="I1337">
        <f>((H1337-$J$1304)/$I$1304)</f>
        <v/>
      </c>
      <c r="J1337">
        <f>(I1337-IF(I1312&gt;0,I1312,0))</f>
        <v/>
      </c>
      <c r="K1337">
        <f>J1337/R1320*1.1</f>
        <v/>
      </c>
    </row>
    <row r="1338">
      <c r="A1338" t="n">
        <v>34</v>
      </c>
      <c r="B1338" t="inlineStr">
        <is>
          <t>K3-1C</t>
        </is>
      </c>
      <c r="D1338" t="n">
        <v>12.09</v>
      </c>
      <c r="E1338" t="n">
        <v>35.631</v>
      </c>
      <c r="F1338" t="n">
        <v>10580.468</v>
      </c>
      <c r="G1338" t="n">
        <v>307</v>
      </c>
      <c r="H1338">
        <f>E1338/F1338</f>
        <v/>
      </c>
      <c r="I1338">
        <f>((H1338-$J$1304)/$I$1304)</f>
        <v/>
      </c>
      <c r="J1338">
        <f>(I1338-IF(I1312&gt;0,I1312,0))</f>
        <v/>
      </c>
      <c r="K1338">
        <f>J1338/R1321*1.1</f>
        <v/>
      </c>
      <c r="L1338" s="23" t="inlineStr">
        <is>
          <t>Average</t>
        </is>
      </c>
      <c r="M1338" s="23" t="inlineStr">
        <is>
          <t>Stdev</t>
        </is>
      </c>
      <c r="N1338" s="9" t="inlineStr">
        <is>
          <t>Combined</t>
        </is>
      </c>
    </row>
    <row r="1339">
      <c r="A1339" t="n">
        <v>35</v>
      </c>
      <c r="B1339" t="inlineStr">
        <is>
          <t>K3-2A</t>
        </is>
      </c>
      <c r="F1339" t="n">
        <v>10118.425</v>
      </c>
      <c r="H1339">
        <f>E1339/F1339</f>
        <v/>
      </c>
      <c r="I1339">
        <f>((H1339-$J$1304)/$I$1304)</f>
        <v/>
      </c>
      <c r="J1339">
        <f>(I1339-IF(I1312&gt;0,I1312,0))</f>
        <v/>
      </c>
      <c r="K1339">
        <f>J1339/R1322*1.1</f>
        <v/>
      </c>
      <c r="L1339">
        <f>AVERAGE(K1339:K1341)</f>
        <v/>
      </c>
      <c r="M1339">
        <f>STDEV(K1339:K1341)</f>
        <v/>
      </c>
      <c r="N1339">
        <f>_xlfn.CONCAT(ROUND(L1339,1)," ± ",ROUND(M1339,1))</f>
        <v/>
      </c>
    </row>
    <row r="1340">
      <c r="A1340" t="n">
        <v>36</v>
      </c>
      <c r="B1340" t="inlineStr">
        <is>
          <t>K3-2B</t>
        </is>
      </c>
      <c r="D1340" t="n">
        <v>12.1</v>
      </c>
      <c r="E1340" t="n">
        <v>2.029</v>
      </c>
      <c r="F1340" t="n">
        <v>11670.299</v>
      </c>
      <c r="G1340" t="n">
        <v>18</v>
      </c>
      <c r="H1340">
        <f>E1340/F1340</f>
        <v/>
      </c>
      <c r="I1340">
        <f>((H1340-$J$1304)/$I$1304)</f>
        <v/>
      </c>
      <c r="J1340">
        <f>(I1340-IF(I1312&gt;0,I1312,0))</f>
        <v/>
      </c>
      <c r="K1340">
        <f>J1340/R1323*1.1</f>
        <v/>
      </c>
    </row>
    <row r="1341">
      <c r="A1341" t="n">
        <v>37</v>
      </c>
      <c r="B1341" t="inlineStr">
        <is>
          <t>K3-2C</t>
        </is>
      </c>
      <c r="F1341" t="n">
        <v>10063.434</v>
      </c>
      <c r="H1341">
        <f>E1341/F1341</f>
        <v/>
      </c>
      <c r="I1341">
        <f>((H1341-$J$1304)/$I$1304)</f>
        <v/>
      </c>
      <c r="J1341">
        <f>(I1341-IF(I1312&gt;0,I1312,0))</f>
        <v/>
      </c>
      <c r="K1341">
        <f>J1341/R1324*1.1</f>
        <v/>
      </c>
      <c r="L1341" s="23" t="n"/>
      <c r="M1341" s="23" t="n"/>
      <c r="N1341" s="9" t="n"/>
    </row>
    <row r="1342">
      <c r="A1342" t="n">
        <v>38</v>
      </c>
      <c r="B1342" t="inlineStr">
        <is>
          <t>MeOH</t>
        </is>
      </c>
      <c r="L1342" s="23" t="inlineStr">
        <is>
          <t>Average</t>
        </is>
      </c>
      <c r="M1342" s="23" t="inlineStr">
        <is>
          <t>Stdev</t>
        </is>
      </c>
      <c r="N1342" s="9" t="inlineStr">
        <is>
          <t>Combined</t>
        </is>
      </c>
    </row>
    <row r="1343">
      <c r="A1343" t="n">
        <v>39</v>
      </c>
      <c r="B1343" t="inlineStr">
        <is>
          <t>K3-3A</t>
        </is>
      </c>
      <c r="D1343" t="n">
        <v>11.65</v>
      </c>
      <c r="E1343" t="n">
        <v>44.267</v>
      </c>
      <c r="F1343" t="n">
        <v>9698.305</v>
      </c>
      <c r="G1343" t="n">
        <v>396</v>
      </c>
      <c r="H1343">
        <f>E1343/F1343</f>
        <v/>
      </c>
      <c r="I1343">
        <f>((H1343-$J$1304)/$I$1304)</f>
        <v/>
      </c>
      <c r="J1343">
        <f>(I1343-IF(I1312&gt;0,I1312,0))</f>
        <v/>
      </c>
      <c r="K1343">
        <f>J1343/R1325*1.1</f>
        <v/>
      </c>
      <c r="L1343">
        <f>AVERAGE(K1343:K1345)</f>
        <v/>
      </c>
      <c r="M1343">
        <f>STDEV(K1344:K1345)</f>
        <v/>
      </c>
      <c r="N1343">
        <f>_xlfn.CONCAT(ROUND(L1343,1)," ± ",ROUND(M1343,1))</f>
        <v/>
      </c>
    </row>
    <row r="1344">
      <c r="A1344" t="n">
        <v>40</v>
      </c>
      <c r="B1344" t="inlineStr">
        <is>
          <t>K3-3B</t>
        </is>
      </c>
      <c r="D1344" t="n">
        <v>12.9</v>
      </c>
      <c r="E1344" t="n">
        <v>24.049</v>
      </c>
      <c r="F1344" t="n">
        <v>11153.47</v>
      </c>
      <c r="G1344" t="n">
        <v>222</v>
      </c>
      <c r="H1344">
        <f>E1344/F1344</f>
        <v/>
      </c>
      <c r="I1344">
        <f>((H1344-$J$1304)/$I$1304)</f>
        <v/>
      </c>
      <c r="J1344">
        <f>(I1344-IF(I1312&gt;0,I1312,0))</f>
        <v/>
      </c>
      <c r="K1344">
        <f>J1344/R1326*1.1</f>
        <v/>
      </c>
    </row>
    <row r="1345">
      <c r="A1345" t="n">
        <v>41</v>
      </c>
      <c r="B1345" t="inlineStr">
        <is>
          <t>K3-3C</t>
        </is>
      </c>
      <c r="D1345" t="n">
        <v>10.81</v>
      </c>
      <c r="E1345" t="n">
        <v>0.541</v>
      </c>
      <c r="F1345" t="n">
        <v>13110.222</v>
      </c>
      <c r="G1345" t="n">
        <v>6</v>
      </c>
      <c r="H1345">
        <f>E1345/F1345</f>
        <v/>
      </c>
      <c r="I1345">
        <f>((H1345-$J$1304)/$I$1304)</f>
        <v/>
      </c>
      <c r="J1345">
        <f>(I1345-IF(I1312&gt;0,I1312,0))</f>
        <v/>
      </c>
      <c r="K1345">
        <f>J1345/R1327*1.1</f>
        <v/>
      </c>
      <c r="L1345" s="23" t="inlineStr">
        <is>
          <t>Average</t>
        </is>
      </c>
      <c r="M1345" s="23" t="inlineStr">
        <is>
          <t>Stdev</t>
        </is>
      </c>
      <c r="N1345" s="9" t="inlineStr">
        <is>
          <t>Combined</t>
        </is>
      </c>
    </row>
    <row r="1346">
      <c r="A1346" t="n">
        <v>42</v>
      </c>
      <c r="B1346" t="inlineStr">
        <is>
          <t>K3-4A</t>
        </is>
      </c>
      <c r="D1346" t="n">
        <v>11.61</v>
      </c>
      <c r="E1346" t="n">
        <v>6.797</v>
      </c>
      <c r="F1346" t="n">
        <v>13316.729</v>
      </c>
      <c r="G1346" t="n">
        <v>67</v>
      </c>
      <c r="H1346">
        <f>E1346/F1346</f>
        <v/>
      </c>
      <c r="I1346">
        <f>((H1346-$J$1304)/$I$1304)</f>
        <v/>
      </c>
      <c r="J1346">
        <f>(I1346-IF(I1312&gt;0,I1312,0))</f>
        <v/>
      </c>
      <c r="K1346">
        <f>J1346/R1328*1.1</f>
        <v/>
      </c>
      <c r="L1346">
        <f>AVERAGE(K1346:K1348)</f>
        <v/>
      </c>
      <c r="M1346">
        <f>STDEV(K1346:K1348)</f>
        <v/>
      </c>
      <c r="N1346">
        <f>_xlfn.CONCAT(ROUND(L1346,1)," ± ",ROUND(M1346,1))</f>
        <v/>
      </c>
    </row>
    <row r="1347">
      <c r="A1347" t="n">
        <v>43</v>
      </c>
      <c r="B1347" t="inlineStr">
        <is>
          <t>K3-4B</t>
        </is>
      </c>
      <c r="D1347" t="n">
        <v>11.41</v>
      </c>
      <c r="E1347" t="n">
        <v>0.569</v>
      </c>
      <c r="F1347" t="n">
        <v>13406.583</v>
      </c>
      <c r="G1347" t="n">
        <v>6</v>
      </c>
      <c r="H1347">
        <f>E1347/F1347</f>
        <v/>
      </c>
      <c r="I1347">
        <f>((H1347-$J$1304)/$I$1304)</f>
        <v/>
      </c>
      <c r="J1347">
        <f>(I1347-IF(I1312&gt;0,I1312,0))</f>
        <v/>
      </c>
      <c r="K1347">
        <f>J1347/R1329*1.1</f>
        <v/>
      </c>
    </row>
    <row r="1348">
      <c r="A1348" t="n">
        <v>44</v>
      </c>
      <c r="B1348" t="inlineStr">
        <is>
          <t>K3-4C</t>
        </is>
      </c>
      <c r="D1348" t="n">
        <v>11.94</v>
      </c>
      <c r="E1348" t="n">
        <v>46.632</v>
      </c>
      <c r="F1348" t="n">
        <v>15237.138</v>
      </c>
      <c r="G1348" t="n">
        <v>2.641</v>
      </c>
      <c r="H1348">
        <f>E1348/F1348</f>
        <v/>
      </c>
      <c r="I1348">
        <f>((H1348-$J$1304)/$I$1304)</f>
        <v/>
      </c>
      <c r="J1348">
        <f>(I1348-IF(I1312&gt;0,I1312,0))</f>
        <v/>
      </c>
      <c r="K1348">
        <f>J1348/R1330*1.1</f>
        <v/>
      </c>
      <c r="L1348" s="23" t="n"/>
      <c r="M1348" s="23" t="n"/>
      <c r="N1348" s="9" t="n"/>
    </row>
    <row r="1349">
      <c r="A1349" t="n">
        <v>45</v>
      </c>
      <c r="B1349" t="inlineStr">
        <is>
          <t>MeOH</t>
        </is>
      </c>
      <c r="L1349" s="23" t="inlineStr">
        <is>
          <t>Average</t>
        </is>
      </c>
      <c r="M1349" s="23" t="inlineStr">
        <is>
          <t>Stdev</t>
        </is>
      </c>
      <c r="N1349" s="9" t="inlineStr">
        <is>
          <t>Combined</t>
        </is>
      </c>
    </row>
    <row r="1350">
      <c r="A1350" t="n">
        <v>46</v>
      </c>
      <c r="B1350" t="inlineStr">
        <is>
          <t>K3-6A</t>
        </is>
      </c>
      <c r="D1350" t="n">
        <v>11.91</v>
      </c>
      <c r="E1350" t="n">
        <v>22.691</v>
      </c>
      <c r="F1350" t="n">
        <v>12951.722</v>
      </c>
      <c r="G1350" t="n">
        <v>206</v>
      </c>
      <c r="H1350">
        <f>E1350/F1350</f>
        <v/>
      </c>
      <c r="I1350">
        <f>((H1350-$J$1304)/$I$1304)</f>
        <v/>
      </c>
      <c r="J1350">
        <f>(I1350-IF(I1312&gt;0,I1312,0))</f>
        <v/>
      </c>
      <c r="K1350">
        <f>J1350/R1331*1.1</f>
        <v/>
      </c>
      <c r="L1350">
        <f>AVERAGE(K1350:K1352)</f>
        <v/>
      </c>
      <c r="M1350">
        <f>STDEV(K1351:K1352)</f>
        <v/>
      </c>
      <c r="N1350">
        <f>_xlfn.CONCAT(ROUND(L1350,1)," ± ",ROUND(M1350,1))</f>
        <v/>
      </c>
    </row>
    <row r="1351">
      <c r="A1351" t="n">
        <v>47</v>
      </c>
      <c r="B1351" t="inlineStr">
        <is>
          <t>K3-6B</t>
        </is>
      </c>
      <c r="D1351" t="n">
        <v>13.09</v>
      </c>
      <c r="E1351" t="n">
        <v>0.64</v>
      </c>
      <c r="F1351" t="n">
        <v>12128.479</v>
      </c>
      <c r="G1351" t="n">
        <v>0.098</v>
      </c>
      <c r="H1351">
        <f>E1351/F1351</f>
        <v/>
      </c>
      <c r="I1351">
        <f>((H1351-$J$1304)/$I$1304)</f>
        <v/>
      </c>
      <c r="J1351">
        <f>(I1351-IF(I1312&gt;0,I1312,0))</f>
        <v/>
      </c>
      <c r="K1351">
        <f>J1351/R1332*1.1</f>
        <v/>
      </c>
    </row>
    <row r="1352">
      <c r="A1352" t="n">
        <v>48</v>
      </c>
      <c r="B1352" t="inlineStr">
        <is>
          <t>K3-6C</t>
        </is>
      </c>
      <c r="D1352" t="n">
        <v>10.88</v>
      </c>
      <c r="E1352" t="n">
        <v>1.486</v>
      </c>
      <c r="F1352" t="n">
        <v>10764.568</v>
      </c>
      <c r="G1352" t="n">
        <v>15</v>
      </c>
      <c r="H1352">
        <f>E1352/F1352</f>
        <v/>
      </c>
      <c r="I1352">
        <f>((H1352-$J$1304)/$I$1304)</f>
        <v/>
      </c>
      <c r="J1352">
        <f>(I1352-IF(I1312&gt;0,I1312,0))</f>
        <v/>
      </c>
      <c r="K1352">
        <f>J1352/R1333*1.1</f>
        <v/>
      </c>
      <c r="L1352" s="23" t="n"/>
      <c r="M1352" s="23" t="n"/>
      <c r="N1352" s="9" t="n"/>
    </row>
    <row r="1354">
      <c r="A1354" s="15" t="inlineStr">
        <is>
          <t>Compound 60:  PFHpS 1</t>
        </is>
      </c>
      <c r="B1354" s="15" t="n"/>
    </row>
    <row r="1355">
      <c r="I1355" t="inlineStr">
        <is>
          <t>LINEST</t>
        </is>
      </c>
      <c r="Q1355" t="inlineStr">
        <is>
          <t>Biosolids Masses</t>
        </is>
      </c>
      <c r="R1355" t="inlineStr">
        <is>
          <t>(g)</t>
        </is>
      </c>
    </row>
    <row r="1356">
      <c r="B1356" t="inlineStr">
        <is>
          <t>Sample Text</t>
        </is>
      </c>
      <c r="C1356" t="inlineStr">
        <is>
          <t>Std. Conc</t>
        </is>
      </c>
      <c r="D1356" t="inlineStr">
        <is>
          <t>RT</t>
        </is>
      </c>
      <c r="E1356" t="inlineStr">
        <is>
          <t>Area</t>
        </is>
      </c>
      <c r="F1356" t="inlineStr">
        <is>
          <t>IS Area</t>
        </is>
      </c>
      <c r="G1356" t="inlineStr">
        <is>
          <t>S/N</t>
        </is>
      </c>
      <c r="H1356" t="inlineStr">
        <is>
          <t>ratio</t>
        </is>
      </c>
      <c r="I1356">
        <f t="array" ref="I1356:J1360">LINEST(H1359:H1362,C1359:C1362,1,1)</f>
        <v/>
      </c>
      <c r="J1356" t="n">
        <v>-0.002314827625469501</v>
      </c>
      <c r="L1356" s="20" t="inlineStr">
        <is>
          <t>By S/N Ratio</t>
        </is>
      </c>
      <c r="Q1356" t="inlineStr">
        <is>
          <t>SS1</t>
        </is>
      </c>
      <c r="R1356" t="n">
        <v>1.0846</v>
      </c>
    </row>
    <row r="1357">
      <c r="A1357" t="n">
        <v>1</v>
      </c>
      <c r="B1357" t="inlineStr">
        <is>
          <t>EPA1633 &amp; diPAPs Calibration 0 ppb</t>
        </is>
      </c>
      <c r="C1357" t="n">
        <v>0</v>
      </c>
      <c r="F1357" t="n">
        <v>16637.717</v>
      </c>
      <c r="H1357">
        <f>E1357/F1357</f>
        <v/>
      </c>
      <c r="I1357" t="n">
        <v>0.0008750296841842176</v>
      </c>
      <c r="J1357" t="n">
        <v>0.002238178150554956</v>
      </c>
      <c r="K1357" t="inlineStr">
        <is>
          <t>LOD</t>
        </is>
      </c>
      <c r="L1357" s="21">
        <f>IF(G1360&gt;3,C1360,IF(G1361&gt;3,C1361,IF(G1362&gt;3,C1362,IF(G1363&gt;3,C1363,C1364))))</f>
        <v/>
      </c>
      <c r="Q1357" t="inlineStr">
        <is>
          <t>SS2</t>
        </is>
      </c>
      <c r="R1357" t="n">
        <v>1.0726</v>
      </c>
    </row>
    <row r="1358">
      <c r="A1358" t="n">
        <v>2</v>
      </c>
      <c r="B1358" t="inlineStr">
        <is>
          <t>EPA1633 &amp; diPAPs Calibration 0.02 ppb</t>
        </is>
      </c>
      <c r="C1358" t="n">
        <v>0.02</v>
      </c>
      <c r="D1358" t="n">
        <v>11.97</v>
      </c>
      <c r="E1358" t="n">
        <v>19.077</v>
      </c>
      <c r="F1358" t="n">
        <v>14442.151</v>
      </c>
      <c r="G1358" t="n">
        <v>175</v>
      </c>
      <c r="H1358">
        <f>E1358/F1358</f>
        <v/>
      </c>
      <c r="I1358" t="n">
        <v>0.9958560853215707</v>
      </c>
      <c r="J1358" t="n">
        <v>0.003456921024421388</v>
      </c>
      <c r="K1358" t="inlineStr">
        <is>
          <t>LOQ</t>
        </is>
      </c>
      <c r="L1358" s="22">
        <f>IF(G1360&gt;10,C1360,IF(G1361&gt;10,C1361,IF(G1362&gt;10,C1362,IF(G1363&gt;10,C1363,C1364))))</f>
        <v/>
      </c>
      <c r="Q1358" t="inlineStr">
        <is>
          <t>SS3</t>
        </is>
      </c>
      <c r="R1358" t="n">
        <v>1.1534</v>
      </c>
    </row>
    <row r="1359">
      <c r="A1359" t="n">
        <v>3</v>
      </c>
      <c r="B1359" t="inlineStr">
        <is>
          <t>EPA1633 &amp; diPAPs Calibration 0.1 ppb</t>
        </is>
      </c>
      <c r="C1359" t="n">
        <v>0.1</v>
      </c>
      <c r="D1359" t="n">
        <v>11.98</v>
      </c>
      <c r="E1359" t="n">
        <v>22.566</v>
      </c>
      <c r="F1359" t="n">
        <v>14939.226</v>
      </c>
      <c r="G1359" t="n">
        <v>206</v>
      </c>
      <c r="H1359">
        <f>E1359/F1359</f>
        <v/>
      </c>
      <c r="I1359" t="n">
        <v>480.6354196940334</v>
      </c>
      <c r="J1359" t="n">
        <v>2</v>
      </c>
      <c r="Q1359" t="inlineStr">
        <is>
          <t>K4-1A</t>
        </is>
      </c>
      <c r="R1359" t="n">
        <v>1.0267</v>
      </c>
    </row>
    <row r="1360">
      <c r="A1360" t="n">
        <v>4</v>
      </c>
      <c r="B1360" t="inlineStr">
        <is>
          <t>EPA1633 &amp; diPAPs Calibration 0.4 ppb</t>
        </is>
      </c>
      <c r="C1360" t="n">
        <v>0.4</v>
      </c>
      <c r="D1360" t="n">
        <v>12.01</v>
      </c>
      <c r="E1360" t="n">
        <v>97.345</v>
      </c>
      <c r="F1360" t="n">
        <v>14017.551</v>
      </c>
      <c r="G1360" t="n">
        <v>755</v>
      </c>
      <c r="H1360">
        <f>E1360/F1360</f>
        <v/>
      </c>
      <c r="I1360" t="n">
        <v>0.005743738883017799</v>
      </c>
      <c r="J1360" t="n">
        <v>2.390060593817323e-05</v>
      </c>
      <c r="Q1360" t="inlineStr">
        <is>
          <t>K4-1B</t>
        </is>
      </c>
      <c r="R1360" t="n">
        <v>1.1481</v>
      </c>
    </row>
    <row r="1361">
      <c r="A1361" t="n">
        <v>5</v>
      </c>
      <c r="B1361" t="inlineStr">
        <is>
          <t>EPA1633 &amp; diPAPs Calibration 1 ppb</t>
        </is>
      </c>
      <c r="C1361" t="n">
        <v>1</v>
      </c>
      <c r="D1361" t="n">
        <v>12.04</v>
      </c>
      <c r="E1361" t="n">
        <v>201.055</v>
      </c>
      <c r="F1361" t="n">
        <v>15819.927</v>
      </c>
      <c r="G1361" t="n">
        <v>11.556</v>
      </c>
      <c r="H1361">
        <f>E1361/F1361</f>
        <v/>
      </c>
      <c r="Q1361" t="inlineStr">
        <is>
          <t>K4-1C</t>
        </is>
      </c>
      <c r="R1361" t="n">
        <v>1.0402</v>
      </c>
    </row>
    <row r="1362">
      <c r="A1362" t="n">
        <v>6</v>
      </c>
      <c r="B1362" t="inlineStr">
        <is>
          <t>EPA1633 &amp; diPAPs Calibration 5 ppb</t>
        </is>
      </c>
      <c r="C1362" t="n">
        <v>5</v>
      </c>
      <c r="D1362" t="n">
        <v>11.91</v>
      </c>
      <c r="E1362" t="n">
        <v>1344.277</v>
      </c>
      <c r="F1362" t="n">
        <v>14259.822</v>
      </c>
      <c r="G1362" t="n">
        <v>43.997</v>
      </c>
      <c r="H1362">
        <f>E1362/F1362</f>
        <v/>
      </c>
      <c r="Q1362" t="inlineStr">
        <is>
          <t>K4-2A</t>
        </is>
      </c>
      <c r="R1362" t="n">
        <v>1.127</v>
      </c>
    </row>
    <row r="1363">
      <c r="A1363" t="n">
        <v>7</v>
      </c>
      <c r="B1363" t="inlineStr">
        <is>
          <t>EPA1633 &amp; diPAPs Calibration 10 ppb</t>
        </is>
      </c>
      <c r="C1363" t="n">
        <v>10</v>
      </c>
      <c r="D1363" t="n">
        <v>11.94</v>
      </c>
      <c r="E1363" t="n">
        <v>2955.396</v>
      </c>
      <c r="F1363" t="n">
        <v>11049.457</v>
      </c>
      <c r="G1363" t="n">
        <v>21932</v>
      </c>
      <c r="H1363">
        <f>E1363/F1363</f>
        <v/>
      </c>
      <c r="I1363" s="23" t="inlineStr">
        <is>
          <t>Background</t>
        </is>
      </c>
      <c r="J1363" s="23" t="inlineStr">
        <is>
          <t>Spike</t>
        </is>
      </c>
      <c r="K1363" s="9" t="inlineStr">
        <is>
          <t>Old Spike</t>
        </is>
      </c>
      <c r="O1363" s="24" t="inlineStr">
        <is>
          <t>±</t>
        </is>
      </c>
      <c r="Q1363" t="inlineStr">
        <is>
          <t>K4-2B</t>
        </is>
      </c>
      <c r="R1363" t="n">
        <v>1.1154</v>
      </c>
    </row>
    <row r="1364">
      <c r="A1364" t="n">
        <v>8</v>
      </c>
      <c r="B1364" t="inlineStr">
        <is>
          <t>EPA1633 &amp; diPAPs Calibration 20 ppb</t>
        </is>
      </c>
      <c r="C1364" t="n">
        <v>20</v>
      </c>
      <c r="D1364" t="n">
        <v>11.97</v>
      </c>
      <c r="E1364" t="n">
        <v>4788.935</v>
      </c>
      <c r="F1364" t="n">
        <v>12460.612</v>
      </c>
      <c r="G1364" t="n">
        <v>34766</v>
      </c>
      <c r="H1364">
        <f>E1364/F1364</f>
        <v/>
      </c>
      <c r="I1364">
        <f>AVERAGE(I1368)</f>
        <v/>
      </c>
      <c r="J1364" t="n">
        <v>11</v>
      </c>
      <c r="Q1364" t="inlineStr">
        <is>
          <t>K4-2C</t>
        </is>
      </c>
      <c r="R1364" t="n">
        <v>1.1711</v>
      </c>
    </row>
    <row r="1365">
      <c r="A1365" t="n">
        <v>9</v>
      </c>
      <c r="B1365" t="inlineStr">
        <is>
          <t>MeOH</t>
        </is>
      </c>
      <c r="F1365" t="n">
        <v>4.973</v>
      </c>
      <c r="I1365" s="23" t="inlineStr">
        <is>
          <t>Conc.In Vial (ppb)</t>
        </is>
      </c>
      <c r="J1365" s="9" t="inlineStr">
        <is>
          <t>Corr. Conc.(ppb)</t>
        </is>
      </c>
      <c r="K1365" s="9" t="inlineStr">
        <is>
          <t>Conc. In soil (ng/g)</t>
        </is>
      </c>
      <c r="Q1365" t="inlineStr">
        <is>
          <t>K4-4A</t>
        </is>
      </c>
      <c r="R1365" t="n">
        <v>1.0932</v>
      </c>
    </row>
    <row r="1366">
      <c r="A1366" t="n">
        <v>10</v>
      </c>
      <c r="B1366" t="inlineStr">
        <is>
          <t>MeOH</t>
        </is>
      </c>
      <c r="F1366" t="n">
        <v>0.6820000000000001</v>
      </c>
      <c r="L1366" s="23" t="inlineStr">
        <is>
          <t>Average</t>
        </is>
      </c>
      <c r="M1366" s="23" t="inlineStr">
        <is>
          <t>Stdev</t>
        </is>
      </c>
      <c r="N1366" s="9" t="inlineStr">
        <is>
          <t>Combined</t>
        </is>
      </c>
      <c r="O1366" s="9" t="n"/>
      <c r="P1366" s="9" t="n"/>
      <c r="Q1366" t="inlineStr">
        <is>
          <t>K4-4B</t>
        </is>
      </c>
      <c r="R1366" t="n">
        <v>1.15</v>
      </c>
    </row>
    <row r="1367">
      <c r="A1367" t="n">
        <v>11</v>
      </c>
      <c r="B1367" t="inlineStr">
        <is>
          <t>SB1</t>
        </is>
      </c>
      <c r="F1367" t="n">
        <v>6414.278</v>
      </c>
      <c r="H1367">
        <f>E1367/F1367</f>
        <v/>
      </c>
      <c r="I1367">
        <f>((H1367-$J$1356)/$I$1356)</f>
        <v/>
      </c>
      <c r="J1367">
        <f>(I1367-IF(I1364&gt;0,I1364,0))</f>
        <v/>
      </c>
      <c r="K1367">
        <f>J1367*1.1</f>
        <v/>
      </c>
      <c r="L1367">
        <f>AVERAGE(K1367:K1369)</f>
        <v/>
      </c>
      <c r="M1367">
        <f>STDEV(K1368:K1369)</f>
        <v/>
      </c>
      <c r="N1367">
        <f>_xlfn.CONCAT(ROUND(L1367,1)," ± ",ROUND(M1367,1))</f>
        <v/>
      </c>
      <c r="Q1367" t="inlineStr">
        <is>
          <t>K4-4C</t>
        </is>
      </c>
      <c r="R1367" t="n">
        <v>1.0482</v>
      </c>
    </row>
    <row r="1368">
      <c r="A1368" t="n">
        <v>12</v>
      </c>
      <c r="B1368" t="inlineStr">
        <is>
          <t>SB2</t>
        </is>
      </c>
      <c r="D1368" t="n">
        <v>12.15</v>
      </c>
      <c r="E1368" t="n">
        <v>10.161</v>
      </c>
      <c r="F1368" t="n">
        <v>5459.898</v>
      </c>
      <c r="G1368" t="n">
        <v>90</v>
      </c>
      <c r="H1368">
        <f>E1368/F1368</f>
        <v/>
      </c>
      <c r="I1368">
        <f>((H1368-$J$1356)/$I$1356)</f>
        <v/>
      </c>
      <c r="J1368">
        <f>(I1368-IF(I1364&gt;0,I1364,0))</f>
        <v/>
      </c>
      <c r="K1368">
        <f>J1368*1.1</f>
        <v/>
      </c>
      <c r="Q1368" t="inlineStr">
        <is>
          <t>K4-5A</t>
        </is>
      </c>
      <c r="R1368" t="n">
        <v>1.1054</v>
      </c>
    </row>
    <row r="1369">
      <c r="A1369" t="n">
        <v>13</v>
      </c>
      <c r="B1369" t="inlineStr">
        <is>
          <t>SB3</t>
        </is>
      </c>
      <c r="F1369" t="n">
        <v>5569.052</v>
      </c>
      <c r="H1369">
        <f>E1369/F1369</f>
        <v/>
      </c>
      <c r="I1369">
        <f>((H1369-$J$1356)/$I$1356)</f>
        <v/>
      </c>
      <c r="J1369">
        <f>(I1369-IF(I1364&gt;0,I1364,0))</f>
        <v/>
      </c>
      <c r="K1369" s="30">
        <f>J1369*1.1</f>
        <v/>
      </c>
      <c r="L1369" s="25" t="inlineStr">
        <is>
          <t>Average</t>
        </is>
      </c>
      <c r="M1369" s="25" t="inlineStr">
        <is>
          <t>Stdev</t>
        </is>
      </c>
      <c r="N1369" s="26" t="inlineStr">
        <is>
          <t>%Recovery</t>
        </is>
      </c>
      <c r="O1369" s="26" t="inlineStr">
        <is>
          <t>Uncertainty</t>
        </is>
      </c>
      <c r="P1369" s="26" t="inlineStr">
        <is>
          <t>Combined</t>
        </is>
      </c>
      <c r="Q1369" t="inlineStr">
        <is>
          <t>K4-5B</t>
        </is>
      </c>
      <c r="R1369" s="10" t="n">
        <v>1.0463</v>
      </c>
    </row>
    <row r="1370">
      <c r="A1370" t="n">
        <v>14</v>
      </c>
      <c r="B1370" t="inlineStr">
        <is>
          <t>SS1</t>
        </is>
      </c>
      <c r="D1370" t="n">
        <v>12.05</v>
      </c>
      <c r="E1370" t="n">
        <v>685.371</v>
      </c>
      <c r="F1370" t="n">
        <v>5405.744</v>
      </c>
      <c r="G1370" t="n">
        <v>118.744</v>
      </c>
      <c r="H1370">
        <f>E1370/F1370</f>
        <v/>
      </c>
      <c r="I1370">
        <f>((H1370-$J$1356)/$I$1356)</f>
        <v/>
      </c>
      <c r="J1370">
        <f>(I1370-IF(I1364&gt;0,I1364,0))</f>
        <v/>
      </c>
      <c r="K1370">
        <f>J1370/R1356*1.1</f>
        <v/>
      </c>
      <c r="L1370" s="27">
        <f>AVERAGE(K1370:K1372)</f>
        <v/>
      </c>
      <c r="M1370" s="27">
        <f>STDEV(K1370:K1372)</f>
        <v/>
      </c>
      <c r="N1370" s="28">
        <f>L1370/J1364*100</f>
        <v/>
      </c>
      <c r="O1370" s="29">
        <f>M1370/J1367*100</f>
        <v/>
      </c>
      <c r="P1370" s="29">
        <f>_xlfn.CONCAT(ROUND(N1370,1)," ± ",ROUND(O1370,1))</f>
        <v/>
      </c>
      <c r="Q1370" t="inlineStr">
        <is>
          <t>K4-5C</t>
        </is>
      </c>
      <c r="R1370" t="n">
        <v>1.1155</v>
      </c>
    </row>
    <row r="1371">
      <c r="A1371" t="n">
        <v>15</v>
      </c>
      <c r="B1371" t="inlineStr">
        <is>
          <t>SS2</t>
        </is>
      </c>
      <c r="D1371" t="n">
        <v>12.05</v>
      </c>
      <c r="E1371" t="n">
        <v>775.087</v>
      </c>
      <c r="F1371" t="n">
        <v>5358.604</v>
      </c>
      <c r="G1371" t="n">
        <v>5491</v>
      </c>
      <c r="H1371">
        <f>E1371/F1371</f>
        <v/>
      </c>
      <c r="I1371">
        <f>((H1371-$J$1356)/$I$1356)</f>
        <v/>
      </c>
      <c r="J1371">
        <f>(I1371-IF(I1364&gt;0,I1364,0))</f>
        <v/>
      </c>
      <c r="K1371">
        <f>J1371/R1357*1.1</f>
        <v/>
      </c>
      <c r="Q1371" t="inlineStr">
        <is>
          <t>K3-1A</t>
        </is>
      </c>
      <c r="R1371" t="n">
        <v>1.0874</v>
      </c>
    </row>
    <row r="1372">
      <c r="A1372" t="n">
        <v>16</v>
      </c>
      <c r="B1372" t="inlineStr">
        <is>
          <t>SS3</t>
        </is>
      </c>
      <c r="D1372" t="n">
        <v>12.05</v>
      </c>
      <c r="E1372" t="n">
        <v>542.578</v>
      </c>
      <c r="F1372" t="n">
        <v>5299.512</v>
      </c>
      <c r="G1372" t="n">
        <v>3685</v>
      </c>
      <c r="H1372">
        <f>E1372/F1372</f>
        <v/>
      </c>
      <c r="I1372">
        <f>((H1372-$J$1356)/$I$1356)</f>
        <v/>
      </c>
      <c r="J1372">
        <f>(I1372-IF(I1364&gt;0,I1364,0))</f>
        <v/>
      </c>
      <c r="K1372" s="30">
        <f>J1372/R1358*1.1</f>
        <v/>
      </c>
      <c r="Q1372" t="inlineStr">
        <is>
          <t>K3-1B</t>
        </is>
      </c>
      <c r="R1372" t="n">
        <v>1.0898</v>
      </c>
    </row>
    <row r="1373">
      <c r="A1373" t="n">
        <v>17</v>
      </c>
      <c r="B1373" t="inlineStr">
        <is>
          <t>MeOH</t>
        </is>
      </c>
      <c r="L1373" s="23" t="inlineStr">
        <is>
          <t>Average</t>
        </is>
      </c>
      <c r="M1373" s="23" t="inlineStr">
        <is>
          <t>Stdev</t>
        </is>
      </c>
      <c r="N1373" s="9" t="inlineStr">
        <is>
          <t>Combined</t>
        </is>
      </c>
      <c r="Q1373" t="inlineStr">
        <is>
          <t>K3-1C</t>
        </is>
      </c>
      <c r="R1373" t="n">
        <v>1.0536</v>
      </c>
    </row>
    <row r="1374">
      <c r="A1374" t="n">
        <v>18</v>
      </c>
      <c r="B1374" t="inlineStr">
        <is>
          <t>K4-1A</t>
        </is>
      </c>
      <c r="F1374" t="n">
        <v>7333.607</v>
      </c>
      <c r="H1374">
        <f>E1374/F1374</f>
        <v/>
      </c>
      <c r="I1374">
        <f>((H1374-$J$1356)/$I$1356)</f>
        <v/>
      </c>
      <c r="J1374">
        <f>(I1374-IF(I1364&gt;0,I1364,0))</f>
        <v/>
      </c>
      <c r="K1374">
        <f>J1374/R1359*1.1</f>
        <v/>
      </c>
      <c r="L1374">
        <f>AVERAGE(K1374:K1376)</f>
        <v/>
      </c>
      <c r="M1374">
        <f>STDEV(K1375:K1376)</f>
        <v/>
      </c>
      <c r="N1374">
        <f>_xlfn.CONCAT(ROUND(L1374,1)," ± ",ROUND(M1374,1))</f>
        <v/>
      </c>
      <c r="Q1374" t="inlineStr">
        <is>
          <t>K3-2A</t>
        </is>
      </c>
      <c r="R1374" s="10" t="n">
        <v>1.1218</v>
      </c>
    </row>
    <row r="1375">
      <c r="A1375" t="n">
        <v>19</v>
      </c>
      <c r="B1375" t="inlineStr">
        <is>
          <t>K4-1B</t>
        </is>
      </c>
      <c r="F1375" t="n">
        <v>7556.923</v>
      </c>
      <c r="H1375">
        <f>E1375/F1375</f>
        <v/>
      </c>
      <c r="I1375">
        <f>((H1375-$J$1356)/$I$1356)</f>
        <v/>
      </c>
      <c r="J1375">
        <f>(I1375-IF(I1364&gt;0,I1364,0))</f>
        <v/>
      </c>
      <c r="K1375">
        <f>J1375/R1360*1.1</f>
        <v/>
      </c>
      <c r="Q1375" t="inlineStr">
        <is>
          <t>K3-2B</t>
        </is>
      </c>
      <c r="R1375" t="n">
        <v>1.198</v>
      </c>
    </row>
    <row r="1376">
      <c r="A1376" t="n">
        <v>20</v>
      </c>
      <c r="B1376" t="inlineStr">
        <is>
          <t>K4-1C</t>
        </is>
      </c>
      <c r="F1376" t="n">
        <v>7543.019</v>
      </c>
      <c r="H1376">
        <f>E1376/F1376</f>
        <v/>
      </c>
      <c r="I1376">
        <f>((H1376-$J$1356)/$I$1356)</f>
        <v/>
      </c>
      <c r="J1376">
        <f>(I1376-IF(I1364&gt;0,I1364,0))</f>
        <v/>
      </c>
      <c r="K1376">
        <f>J1376/R1361*1.1</f>
        <v/>
      </c>
      <c r="L1376" s="23" t="inlineStr">
        <is>
          <t>Average</t>
        </is>
      </c>
      <c r="M1376" s="23" t="inlineStr">
        <is>
          <t>Stdev</t>
        </is>
      </c>
      <c r="N1376" s="9" t="inlineStr">
        <is>
          <t>Combined</t>
        </is>
      </c>
      <c r="Q1376" t="inlineStr">
        <is>
          <t>K3-2C</t>
        </is>
      </c>
      <c r="R1376" t="n">
        <v>1.1538</v>
      </c>
    </row>
    <row r="1377">
      <c r="A1377" t="n">
        <v>21</v>
      </c>
      <c r="B1377" t="inlineStr">
        <is>
          <t>K4-2A</t>
        </is>
      </c>
      <c r="F1377" t="n">
        <v>8613.116</v>
      </c>
      <c r="H1377">
        <f>E1377/F1377</f>
        <v/>
      </c>
      <c r="I1377">
        <f>((H1377-$J$1356)/$I$1356)</f>
        <v/>
      </c>
      <c r="J1377">
        <f>(I1377-IF(I1364&gt;0,I1364,0))</f>
        <v/>
      </c>
      <c r="K1377">
        <f>J1377/R1362*1.1</f>
        <v/>
      </c>
      <c r="L1377">
        <f>AVERAGE(K1377:K1379)</f>
        <v/>
      </c>
      <c r="M1377">
        <f>STDEV(K1377:K1379)</f>
        <v/>
      </c>
      <c r="N1377">
        <f>_xlfn.CONCAT(ROUND(L1377,1)," ± ",ROUND(M1377,1))</f>
        <v/>
      </c>
      <c r="Q1377" t="inlineStr">
        <is>
          <t>K3-3A</t>
        </is>
      </c>
      <c r="R1377" t="n">
        <v>1.1183</v>
      </c>
    </row>
    <row r="1378">
      <c r="A1378" t="n">
        <v>22</v>
      </c>
      <c r="B1378" t="inlineStr">
        <is>
          <t>K4-2B</t>
        </is>
      </c>
      <c r="F1378" t="n">
        <v>6789.031</v>
      </c>
      <c r="H1378">
        <f>E1378/F1378</f>
        <v/>
      </c>
      <c r="I1378">
        <f>((H1378-$J$1356)/$I$1356)</f>
        <v/>
      </c>
      <c r="J1378">
        <f>(I1378-IF(I1364&gt;0,I1364,0))</f>
        <v/>
      </c>
      <c r="K1378">
        <f>J1378/R1363*1.1</f>
        <v/>
      </c>
      <c r="Q1378" t="inlineStr">
        <is>
          <t>K3-3B</t>
        </is>
      </c>
      <c r="R1378" t="n">
        <v>1.1448</v>
      </c>
    </row>
    <row r="1379">
      <c r="A1379" t="n">
        <v>23</v>
      </c>
      <c r="B1379" t="inlineStr">
        <is>
          <t>K4-2C</t>
        </is>
      </c>
      <c r="F1379" t="n">
        <v>6441.085</v>
      </c>
      <c r="H1379">
        <f>E1379/F1379</f>
        <v/>
      </c>
      <c r="I1379">
        <f>((H1379-$J$1356)/$I$1356)</f>
        <v/>
      </c>
      <c r="J1379">
        <f>(I1379-IF(I1364&gt;0,I1364,0))</f>
        <v/>
      </c>
      <c r="K1379">
        <f>J1379/R1364*1.1</f>
        <v/>
      </c>
      <c r="L1379" s="23" t="n"/>
      <c r="M1379" s="23" t="n"/>
      <c r="N1379" s="9" t="n"/>
      <c r="Q1379" t="inlineStr">
        <is>
          <t>K3-3C</t>
        </is>
      </c>
      <c r="R1379" t="n">
        <v>1.0493</v>
      </c>
    </row>
    <row r="1380">
      <c r="A1380" t="n">
        <v>24</v>
      </c>
      <c r="B1380" t="inlineStr">
        <is>
          <t>MeOH</t>
        </is>
      </c>
      <c r="L1380" s="23" t="inlineStr">
        <is>
          <t>Average</t>
        </is>
      </c>
      <c r="M1380" s="23" t="inlineStr">
        <is>
          <t>Stdev</t>
        </is>
      </c>
      <c r="N1380" s="9" t="inlineStr">
        <is>
          <t>Combined</t>
        </is>
      </c>
      <c r="Q1380" t="inlineStr">
        <is>
          <t>K3-4A</t>
        </is>
      </c>
      <c r="R1380" t="n">
        <v>1.0704</v>
      </c>
    </row>
    <row r="1381">
      <c r="A1381" t="n">
        <v>25</v>
      </c>
      <c r="B1381" t="inlineStr">
        <is>
          <t>K4-4A</t>
        </is>
      </c>
      <c r="F1381" t="n">
        <v>6856.379</v>
      </c>
      <c r="H1381">
        <f>E1381/F1381</f>
        <v/>
      </c>
      <c r="I1381">
        <f>((H1381-$J$1356)/$I$1356)</f>
        <v/>
      </c>
      <c r="J1381">
        <f>(I1381-IF(I1364&gt;0,I1364,0))</f>
        <v/>
      </c>
      <c r="K1381">
        <f>J1381/R1365*1.1</f>
        <v/>
      </c>
      <c r="L1381">
        <f>AVERAGE(K1381:K1383)</f>
        <v/>
      </c>
      <c r="M1381">
        <f>STDEV(K1382:K1383)</f>
        <v/>
      </c>
      <c r="N1381">
        <f>_xlfn.CONCAT(ROUND(L1381,1)," ± ",ROUND(M1381,1))</f>
        <v/>
      </c>
      <c r="Q1381" t="inlineStr">
        <is>
          <t>K3-4B</t>
        </is>
      </c>
      <c r="R1381" t="n">
        <v>1.1589</v>
      </c>
    </row>
    <row r="1382">
      <c r="A1382" t="n">
        <v>26</v>
      </c>
      <c r="B1382" t="inlineStr">
        <is>
          <t>K4-4B</t>
        </is>
      </c>
      <c r="F1382" t="n">
        <v>8361.857</v>
      </c>
      <c r="H1382">
        <f>E1382/F1382</f>
        <v/>
      </c>
      <c r="I1382">
        <f>((H1382-$J$1356)/$I$1356)</f>
        <v/>
      </c>
      <c r="J1382">
        <f>(I1382-IF(I1364&gt;0,I1364,0))</f>
        <v/>
      </c>
      <c r="K1382">
        <f>J1382/R1366*1.1</f>
        <v/>
      </c>
      <c r="Q1382" t="inlineStr">
        <is>
          <t>K3-4C</t>
        </is>
      </c>
      <c r="R1382" t="n">
        <v>1.0206</v>
      </c>
    </row>
    <row r="1383">
      <c r="A1383" t="n">
        <v>27</v>
      </c>
      <c r="B1383" t="inlineStr">
        <is>
          <t>K4-4C</t>
        </is>
      </c>
      <c r="F1383" t="n">
        <v>8247.347</v>
      </c>
      <c r="H1383">
        <f>E1383/F1383</f>
        <v/>
      </c>
      <c r="I1383">
        <f>((H1383-$J$1356)/$I$1356)</f>
        <v/>
      </c>
      <c r="J1383">
        <f>(I1383-IF(I1364&gt;0,I1364,0))</f>
        <v/>
      </c>
      <c r="K1383">
        <f>J1383/R1367*1.1</f>
        <v/>
      </c>
      <c r="L1383" s="23" t="inlineStr">
        <is>
          <t>Average</t>
        </is>
      </c>
      <c r="M1383" s="23" t="inlineStr">
        <is>
          <t>Stdev</t>
        </is>
      </c>
      <c r="N1383" s="9" t="inlineStr">
        <is>
          <t>Combined</t>
        </is>
      </c>
      <c r="Q1383" t="inlineStr">
        <is>
          <t>K3-6A</t>
        </is>
      </c>
      <c r="R1383" t="n">
        <v>1.1289</v>
      </c>
    </row>
    <row r="1384">
      <c r="A1384" t="n">
        <v>28</v>
      </c>
      <c r="B1384" t="inlineStr">
        <is>
          <t>K4-5A</t>
        </is>
      </c>
      <c r="F1384" t="n">
        <v>7625.911</v>
      </c>
      <c r="H1384">
        <f>E1384/F1384</f>
        <v/>
      </c>
      <c r="I1384">
        <f>((H1384-$J$1356)/$I$1356)</f>
        <v/>
      </c>
      <c r="J1384">
        <f>(I1384-IF(I1364&gt;0,I1364,0))</f>
        <v/>
      </c>
      <c r="K1384">
        <f>J1384/R1368*1.1</f>
        <v/>
      </c>
      <c r="L1384">
        <f>AVERAGE(K1384:K1386)</f>
        <v/>
      </c>
      <c r="M1384">
        <f>STDEV(K1384:K1386)</f>
        <v/>
      </c>
      <c r="N1384">
        <f>_xlfn.CONCAT(ROUND(L1384,1)," ± ",ROUND(M1384,1))</f>
        <v/>
      </c>
      <c r="Q1384" t="inlineStr">
        <is>
          <t>K3-6B</t>
        </is>
      </c>
      <c r="R1384" t="n">
        <v>1.195</v>
      </c>
    </row>
    <row r="1385">
      <c r="A1385" t="n">
        <v>29</v>
      </c>
      <c r="B1385" t="inlineStr">
        <is>
          <t>K4-5B</t>
        </is>
      </c>
      <c r="F1385" t="n">
        <v>7830.348</v>
      </c>
      <c r="H1385">
        <f>E1385/F1385</f>
        <v/>
      </c>
      <c r="I1385">
        <f>((H1385-$J$1356)/$I$1356)</f>
        <v/>
      </c>
      <c r="J1385">
        <f>(I1385-IF(I1364&gt;0,I1364,0))</f>
        <v/>
      </c>
      <c r="K1385">
        <f>J1385/R1369*1.1</f>
        <v/>
      </c>
      <c r="Q1385" t="inlineStr">
        <is>
          <t>K3-6C</t>
        </is>
      </c>
      <c r="R1385" t="n">
        <v>1.1716</v>
      </c>
    </row>
    <row r="1386">
      <c r="A1386" t="n">
        <v>30</v>
      </c>
      <c r="B1386" t="inlineStr">
        <is>
          <t>K4-5C</t>
        </is>
      </c>
      <c r="F1386" t="n">
        <v>6655.14</v>
      </c>
      <c r="H1386">
        <f>E1386/F1386</f>
        <v/>
      </c>
      <c r="I1386">
        <f>((H1386-$J$1356)/$I$1356)</f>
        <v/>
      </c>
      <c r="J1386">
        <f>(I1386-IF(I1364&gt;0,I1364,0))</f>
        <v/>
      </c>
      <c r="K1386">
        <f>J1386/R1370*1.1</f>
        <v/>
      </c>
      <c r="L1386" s="23" t="n"/>
      <c r="M1386" s="23" t="n"/>
      <c r="N1386" s="9" t="n"/>
    </row>
    <row r="1387">
      <c r="A1387" t="n">
        <v>31</v>
      </c>
      <c r="B1387" t="inlineStr">
        <is>
          <t>MeOH</t>
        </is>
      </c>
      <c r="L1387" s="23" t="inlineStr">
        <is>
          <t>Average</t>
        </is>
      </c>
      <c r="M1387" s="23" t="inlineStr">
        <is>
          <t>Stdev</t>
        </is>
      </c>
      <c r="N1387" s="9" t="inlineStr">
        <is>
          <t>Combined</t>
        </is>
      </c>
    </row>
    <row r="1388">
      <c r="A1388" t="n">
        <v>32</v>
      </c>
      <c r="B1388" t="inlineStr">
        <is>
          <t>K3-1A</t>
        </is>
      </c>
      <c r="F1388" t="n">
        <v>8732.843000000001</v>
      </c>
      <c r="H1388">
        <f>E1388/F1388</f>
        <v/>
      </c>
      <c r="I1388">
        <f>((H1388-$J$1356)/$I$1356)</f>
        <v/>
      </c>
      <c r="J1388">
        <f>(I1388-IF(I1364&gt;0,I1364,0))</f>
        <v/>
      </c>
      <c r="K1388">
        <f>J1388/R1371*1.1</f>
        <v/>
      </c>
      <c r="L1388">
        <f>AVERAGE(K1388:K1390)</f>
        <v/>
      </c>
      <c r="M1388">
        <f>STDEV(K1389:K1390)</f>
        <v/>
      </c>
      <c r="N1388">
        <f>_xlfn.CONCAT(ROUND(L1388,1)," ± ",ROUND(M1388,1))</f>
        <v/>
      </c>
    </row>
    <row r="1389">
      <c r="A1389" t="n">
        <v>33</v>
      </c>
      <c r="B1389" t="inlineStr">
        <is>
          <t>K3-1B</t>
        </is>
      </c>
      <c r="F1389" t="n">
        <v>7852.211</v>
      </c>
      <c r="H1389">
        <f>E1389/F1389</f>
        <v/>
      </c>
      <c r="I1389">
        <f>((H1389-$J$1356)/$I$1356)</f>
        <v/>
      </c>
      <c r="J1389">
        <f>(I1389-IF(I1364&gt;0,I1364,0))</f>
        <v/>
      </c>
      <c r="K1389">
        <f>J1389/R1372*1.1</f>
        <v/>
      </c>
    </row>
    <row r="1390">
      <c r="A1390" t="n">
        <v>34</v>
      </c>
      <c r="B1390" t="inlineStr">
        <is>
          <t>K3-1C</t>
        </is>
      </c>
      <c r="F1390" t="n">
        <v>9807.196</v>
      </c>
      <c r="H1390">
        <f>E1390/F1390</f>
        <v/>
      </c>
      <c r="I1390">
        <f>((H1390-$J$1356)/$I$1356)</f>
        <v/>
      </c>
      <c r="J1390">
        <f>(I1390-IF(I1364&gt;0,I1364,0))</f>
        <v/>
      </c>
      <c r="K1390">
        <f>J1390/R1373*1.1</f>
        <v/>
      </c>
      <c r="L1390" s="23" t="inlineStr">
        <is>
          <t>Average</t>
        </is>
      </c>
      <c r="M1390" s="23" t="inlineStr">
        <is>
          <t>Stdev</t>
        </is>
      </c>
      <c r="N1390" s="9" t="inlineStr">
        <is>
          <t>Combined</t>
        </is>
      </c>
    </row>
    <row r="1391">
      <c r="A1391" t="n">
        <v>35</v>
      </c>
      <c r="B1391" t="inlineStr">
        <is>
          <t>K3-2A</t>
        </is>
      </c>
      <c r="F1391" t="n">
        <v>10189.86</v>
      </c>
      <c r="H1391">
        <f>E1391/F1391</f>
        <v/>
      </c>
      <c r="I1391">
        <f>((H1391-$J$1356)/$I$1356)</f>
        <v/>
      </c>
      <c r="J1391">
        <f>(I1391-IF(I1364&gt;0,I1364,0))</f>
        <v/>
      </c>
      <c r="K1391">
        <f>J1391/R1374*1.1</f>
        <v/>
      </c>
      <c r="L1391">
        <f>AVERAGE(K1391:K1393)</f>
        <v/>
      </c>
      <c r="M1391">
        <f>STDEV(K1391:K1393)</f>
        <v/>
      </c>
      <c r="N1391">
        <f>_xlfn.CONCAT(ROUND(L1391,1)," ± ",ROUND(M1391,1))</f>
        <v/>
      </c>
    </row>
    <row r="1392">
      <c r="A1392" t="n">
        <v>36</v>
      </c>
      <c r="B1392" t="inlineStr">
        <is>
          <t>K3-2B</t>
        </is>
      </c>
      <c r="F1392" t="n">
        <v>10207.86</v>
      </c>
      <c r="H1392">
        <f>E1392/F1392</f>
        <v/>
      </c>
      <c r="I1392">
        <f>((H1392-$J$1356)/$I$1356)</f>
        <v/>
      </c>
      <c r="J1392">
        <f>(I1392-IF(I1364&gt;0,I1364,0))</f>
        <v/>
      </c>
      <c r="K1392">
        <f>J1392/R1375*1.1</f>
        <v/>
      </c>
    </row>
    <row r="1393">
      <c r="A1393" t="n">
        <v>37</v>
      </c>
      <c r="B1393" t="inlineStr">
        <is>
          <t>K3-2C</t>
        </is>
      </c>
      <c r="F1393" t="n">
        <v>8814.884</v>
      </c>
      <c r="H1393">
        <f>E1393/F1393</f>
        <v/>
      </c>
      <c r="I1393">
        <f>((H1393-$J$1356)/$I$1356)</f>
        <v/>
      </c>
      <c r="J1393">
        <f>(I1393-IF(I1364&gt;0,I1364,0))</f>
        <v/>
      </c>
      <c r="K1393">
        <f>J1393/R1376*1.1</f>
        <v/>
      </c>
      <c r="L1393" s="23" t="n"/>
      <c r="M1393" s="23" t="n"/>
      <c r="N1393" s="9" t="n"/>
    </row>
    <row r="1394">
      <c r="A1394" t="n">
        <v>38</v>
      </c>
      <c r="B1394" t="inlineStr">
        <is>
          <t>MeOH</t>
        </is>
      </c>
      <c r="L1394" s="23" t="inlineStr">
        <is>
          <t>Average</t>
        </is>
      </c>
      <c r="M1394" s="23" t="inlineStr">
        <is>
          <t>Stdev</t>
        </is>
      </c>
      <c r="N1394" s="9" t="inlineStr">
        <is>
          <t>Combined</t>
        </is>
      </c>
    </row>
    <row r="1395">
      <c r="A1395" t="n">
        <v>39</v>
      </c>
      <c r="B1395" t="inlineStr">
        <is>
          <t>K3-3A</t>
        </is>
      </c>
      <c r="F1395" t="n">
        <v>8410.066000000001</v>
      </c>
      <c r="H1395">
        <f>E1395/F1395</f>
        <v/>
      </c>
      <c r="I1395">
        <f>((H1395-$J$1356)/$I$1356)</f>
        <v/>
      </c>
      <c r="J1395">
        <f>(I1395-IF(I1364&gt;0,I1364,0))</f>
        <v/>
      </c>
      <c r="K1395">
        <f>J1395/R1377*1.1</f>
        <v/>
      </c>
      <c r="L1395">
        <f>AVERAGE(K1395:K1397)</f>
        <v/>
      </c>
      <c r="M1395">
        <f>STDEV(K1396:K1397)</f>
        <v/>
      </c>
      <c r="N1395">
        <f>_xlfn.CONCAT(ROUND(L1395,1)," ± ",ROUND(M1395,1))</f>
        <v/>
      </c>
    </row>
    <row r="1396">
      <c r="A1396" t="n">
        <v>40</v>
      </c>
      <c r="B1396" t="inlineStr">
        <is>
          <t>K3-3B</t>
        </is>
      </c>
      <c r="F1396" t="n">
        <v>8557.771000000001</v>
      </c>
      <c r="H1396">
        <f>E1396/F1396</f>
        <v/>
      </c>
      <c r="I1396">
        <f>((H1396-$J$1356)/$I$1356)</f>
        <v/>
      </c>
      <c r="J1396">
        <f>(I1396-IF(I1364&gt;0,I1364,0))</f>
        <v/>
      </c>
      <c r="K1396">
        <f>J1396/R1378*1.1</f>
        <v/>
      </c>
    </row>
    <row r="1397">
      <c r="A1397" t="n">
        <v>41</v>
      </c>
      <c r="B1397" t="inlineStr">
        <is>
          <t>K3-3C</t>
        </is>
      </c>
      <c r="F1397" t="n">
        <v>9876.084000000001</v>
      </c>
      <c r="H1397">
        <f>E1397/F1397</f>
        <v/>
      </c>
      <c r="I1397">
        <f>((H1397-$J$1356)/$I$1356)</f>
        <v/>
      </c>
      <c r="J1397">
        <f>(I1397-IF(I1364&gt;0,I1364,0))</f>
        <v/>
      </c>
      <c r="K1397">
        <f>J1397/R1379*1.1</f>
        <v/>
      </c>
      <c r="L1397" s="23" t="inlineStr">
        <is>
          <t>Average</t>
        </is>
      </c>
      <c r="M1397" s="23" t="inlineStr">
        <is>
          <t>Stdev</t>
        </is>
      </c>
      <c r="N1397" s="9" t="inlineStr">
        <is>
          <t>Combined</t>
        </is>
      </c>
    </row>
    <row r="1398">
      <c r="A1398" t="n">
        <v>42</v>
      </c>
      <c r="B1398" t="inlineStr">
        <is>
          <t>K3-4A</t>
        </is>
      </c>
      <c r="F1398" t="n">
        <v>10133.361</v>
      </c>
      <c r="H1398">
        <f>E1398/F1398</f>
        <v/>
      </c>
      <c r="I1398">
        <f>((H1398-$J$1356)/$I$1356)</f>
        <v/>
      </c>
      <c r="J1398">
        <f>(I1398-IF(I1364&gt;0,I1364,0))</f>
        <v/>
      </c>
      <c r="K1398">
        <f>J1398/R1380*1.1</f>
        <v/>
      </c>
      <c r="L1398">
        <f>AVERAGE(K1398:K1400)</f>
        <v/>
      </c>
      <c r="M1398">
        <f>STDEV(K1398:K1400)</f>
        <v/>
      </c>
      <c r="N1398">
        <f>_xlfn.CONCAT(ROUND(L1398,1)," ± ",ROUND(M1398,1))</f>
        <v/>
      </c>
    </row>
    <row r="1399">
      <c r="A1399" t="n">
        <v>43</v>
      </c>
      <c r="B1399" t="inlineStr">
        <is>
          <t>K3-4B</t>
        </is>
      </c>
      <c r="D1399" t="n">
        <v>12.07</v>
      </c>
      <c r="E1399" t="n">
        <v>1.921</v>
      </c>
      <c r="F1399" t="n">
        <v>10043.649</v>
      </c>
      <c r="G1399" t="n">
        <v>17</v>
      </c>
      <c r="H1399">
        <f>E1399/F1399</f>
        <v/>
      </c>
      <c r="I1399">
        <f>((H1399-$J$1356)/$I$1356)</f>
        <v/>
      </c>
      <c r="J1399">
        <f>(I1399-IF(I1364&gt;0,I1364,0))</f>
        <v/>
      </c>
      <c r="K1399">
        <f>J1399/R1381*1.1</f>
        <v/>
      </c>
    </row>
    <row r="1400">
      <c r="A1400" t="n">
        <v>44</v>
      </c>
      <c r="B1400" t="inlineStr">
        <is>
          <t>K3-4C</t>
        </is>
      </c>
      <c r="F1400" t="n">
        <v>9604.054</v>
      </c>
      <c r="H1400">
        <f>E1400/F1400</f>
        <v/>
      </c>
      <c r="I1400">
        <f>((H1400-$J$1356)/$I$1356)</f>
        <v/>
      </c>
      <c r="J1400">
        <f>(I1400-IF(I1364&gt;0,I1364,0))</f>
        <v/>
      </c>
      <c r="K1400">
        <f>J1400/R1382*1.1</f>
        <v/>
      </c>
      <c r="L1400" s="23" t="n"/>
      <c r="M1400" s="23" t="n"/>
      <c r="N1400" s="9" t="n"/>
    </row>
    <row r="1401">
      <c r="A1401" t="n">
        <v>45</v>
      </c>
      <c r="B1401" t="inlineStr">
        <is>
          <t>MeOH</t>
        </is>
      </c>
      <c r="L1401" s="23" t="inlineStr">
        <is>
          <t>Average</t>
        </is>
      </c>
      <c r="M1401" s="23" t="inlineStr">
        <is>
          <t>Stdev</t>
        </is>
      </c>
      <c r="N1401" s="9" t="inlineStr">
        <is>
          <t>Combined</t>
        </is>
      </c>
    </row>
    <row r="1402">
      <c r="A1402" t="n">
        <v>46</v>
      </c>
      <c r="B1402" t="inlineStr">
        <is>
          <t>K3-6A</t>
        </is>
      </c>
      <c r="F1402" t="n">
        <v>9362.067999999999</v>
      </c>
      <c r="H1402">
        <f>E1402/F1402</f>
        <v/>
      </c>
      <c r="I1402">
        <f>((H1402-$J$1356)/$I$1356)</f>
        <v/>
      </c>
      <c r="J1402">
        <f>(I1402-IF(I1364&gt;0,I1364,0))</f>
        <v/>
      </c>
      <c r="K1402">
        <f>J1402/R1383*1.1</f>
        <v/>
      </c>
      <c r="L1402">
        <f>AVERAGE(K1402:K1404)</f>
        <v/>
      </c>
      <c r="M1402">
        <f>STDEV(K1403:K1404)</f>
        <v/>
      </c>
      <c r="N1402">
        <f>_xlfn.CONCAT(ROUND(L1402,1)," ± ",ROUND(M1402,1))</f>
        <v/>
      </c>
    </row>
    <row r="1403">
      <c r="A1403" t="n">
        <v>47</v>
      </c>
      <c r="B1403" t="inlineStr">
        <is>
          <t>K3-6B</t>
        </is>
      </c>
      <c r="F1403" t="n">
        <v>7438.873</v>
      </c>
      <c r="H1403">
        <f>E1403/F1403</f>
        <v/>
      </c>
      <c r="I1403">
        <f>((H1403-$J$1356)/$I$1356)</f>
        <v/>
      </c>
      <c r="J1403">
        <f>(I1403-IF(I1364&gt;0,I1364,0))</f>
        <v/>
      </c>
      <c r="K1403">
        <f>J1403/R1384*1.1</f>
        <v/>
      </c>
    </row>
    <row r="1404">
      <c r="A1404" t="n">
        <v>48</v>
      </c>
      <c r="B1404" t="inlineStr">
        <is>
          <t>K3-6C</t>
        </is>
      </c>
      <c r="F1404" t="n">
        <v>7497.73</v>
      </c>
      <c r="H1404">
        <f>E1404/F1404</f>
        <v/>
      </c>
      <c r="I1404">
        <f>((H1404-$J$1356)/$I$1356)</f>
        <v/>
      </c>
      <c r="J1404">
        <f>(I1404-IF(I1364&gt;0,I1364,0))</f>
        <v/>
      </c>
      <c r="K1404">
        <f>J1404/R1385*1.1</f>
        <v/>
      </c>
      <c r="L1404" s="23" t="n"/>
      <c r="M1404" s="23" t="n"/>
      <c r="N1404" s="9" t="n"/>
    </row>
    <row r="1406">
      <c r="A1406" s="15" t="inlineStr">
        <is>
          <t>Compound 63:  PFNA 1</t>
        </is>
      </c>
      <c r="B1406" s="15" t="n"/>
    </row>
    <row r="1407">
      <c r="I1407" t="inlineStr">
        <is>
          <t>LINEST</t>
        </is>
      </c>
      <c r="Q1407" t="inlineStr">
        <is>
          <t>Biosolids Masses</t>
        </is>
      </c>
      <c r="R1407" t="inlineStr">
        <is>
          <t>(g)</t>
        </is>
      </c>
    </row>
    <row r="1408">
      <c r="B1408" t="inlineStr">
        <is>
          <t>Sample Text</t>
        </is>
      </c>
      <c r="C1408" t="inlineStr">
        <is>
          <t>Std. Conc</t>
        </is>
      </c>
      <c r="D1408" t="inlineStr">
        <is>
          <t>RT</t>
        </is>
      </c>
      <c r="E1408" t="inlineStr">
        <is>
          <t>Area</t>
        </is>
      </c>
      <c r="F1408" t="inlineStr">
        <is>
          <t>IS Area</t>
        </is>
      </c>
      <c r="G1408" t="inlineStr">
        <is>
          <t>S/N</t>
        </is>
      </c>
      <c r="H1408" t="inlineStr">
        <is>
          <t>ratio</t>
        </is>
      </c>
      <c r="I1408">
        <f t="array" ref="I1408:J1412">LINEST(H1410:H1415,C1410:C1415,1,1)</f>
        <v/>
      </c>
      <c r="J1408" t="n">
        <v>0.08629832546922955</v>
      </c>
      <c r="L1408" s="20" t="inlineStr">
        <is>
          <t>By S/N Ratio</t>
        </is>
      </c>
      <c r="Q1408" t="inlineStr">
        <is>
          <t>SS1</t>
        </is>
      </c>
      <c r="R1408" t="n">
        <v>1.0846</v>
      </c>
    </row>
    <row r="1409">
      <c r="A1409" t="n">
        <v>1</v>
      </c>
      <c r="B1409" t="inlineStr">
        <is>
          <t>EPA1633 &amp; diPAPs Calibration 0 ppb</t>
        </is>
      </c>
      <c r="C1409" t="n">
        <v>0</v>
      </c>
      <c r="D1409" t="n">
        <v>13.12</v>
      </c>
      <c r="E1409" t="n">
        <v>640.7140000000001</v>
      </c>
      <c r="F1409" t="n">
        <v>8092.868</v>
      </c>
      <c r="G1409" t="n">
        <v>7.011</v>
      </c>
      <c r="H1409">
        <f>E1409/F1409</f>
        <v/>
      </c>
      <c r="I1409" t="n">
        <v>0.004162681770692919</v>
      </c>
      <c r="J1409" t="n">
        <v>0.01908869882730944</v>
      </c>
      <c r="K1409" t="inlineStr">
        <is>
          <t>LOD</t>
        </is>
      </c>
      <c r="L1409" s="21">
        <f>IF(G1412&gt;3,C1412,IF(G1413&gt;3,C1413,IF(G1414&gt;3,C1414,IF(G1415&gt;3,C1415,C1416))))</f>
        <v/>
      </c>
      <c r="Q1409" t="inlineStr">
        <is>
          <t>SS2</t>
        </is>
      </c>
      <c r="R1409" t="n">
        <v>1.0726</v>
      </c>
    </row>
    <row r="1410">
      <c r="A1410" t="n">
        <v>2</v>
      </c>
      <c r="B1410" t="inlineStr">
        <is>
          <t>EPA1633 &amp; diPAPs Calibration 0.02 ppb</t>
        </is>
      </c>
      <c r="C1410" t="n">
        <v>0.02</v>
      </c>
      <c r="D1410" t="n">
        <v>13.08</v>
      </c>
      <c r="E1410" t="n">
        <v>659.1319999999999</v>
      </c>
      <c r="F1410" t="n">
        <v>8014.825</v>
      </c>
      <c r="G1410" t="n">
        <v>11.639</v>
      </c>
      <c r="H1410">
        <f>E1410/F1410</f>
        <v/>
      </c>
      <c r="I1410" t="n">
        <v>0.9988135111624962</v>
      </c>
      <c r="J1410" t="n">
        <v>0.03739129528074529</v>
      </c>
      <c r="K1410" t="inlineStr">
        <is>
          <t>LOQ</t>
        </is>
      </c>
      <c r="L1410" s="22">
        <f>IF(G1412&gt;10,C1412,IF(G1413&gt;10,C1413,IF(G1414&gt;10,C1414,IF(G1415&gt;10,C1415,C1416))))</f>
        <v/>
      </c>
      <c r="Q1410" t="inlineStr">
        <is>
          <t>SS3</t>
        </is>
      </c>
      <c r="R1410" t="n">
        <v>1.1534</v>
      </c>
    </row>
    <row r="1411">
      <c r="A1411" t="n">
        <v>3</v>
      </c>
      <c r="B1411" t="inlineStr">
        <is>
          <t>EPA1633 &amp; diPAPs Calibration 0.1 ppb</t>
        </is>
      </c>
      <c r="C1411" t="n">
        <v>0.1</v>
      </c>
      <c r="D1411" t="n">
        <v>13.06</v>
      </c>
      <c r="E1411" t="n">
        <v>1142.956</v>
      </c>
      <c r="F1411" t="n">
        <v>7789.75</v>
      </c>
      <c r="G1411" t="n">
        <v>8.387</v>
      </c>
      <c r="H1411">
        <f>E1411/F1411</f>
        <v/>
      </c>
      <c r="I1411" t="n">
        <v>3367.291725268484</v>
      </c>
      <c r="J1411" t="n">
        <v>4</v>
      </c>
      <c r="Q1411" t="inlineStr">
        <is>
          <t>K4-1A</t>
        </is>
      </c>
      <c r="R1411" t="n">
        <v>1.0267</v>
      </c>
    </row>
    <row r="1412">
      <c r="A1412" t="n">
        <v>4</v>
      </c>
      <c r="B1412" t="inlineStr">
        <is>
          <t>EPA1633 &amp; diPAPs Calibration 0.4 ppb</t>
        </is>
      </c>
      <c r="C1412" t="n">
        <v>0.4</v>
      </c>
      <c r="D1412" t="n">
        <v>13.03</v>
      </c>
      <c r="E1412" t="n">
        <v>1572.106</v>
      </c>
      <c r="F1412" t="n">
        <v>7364.624</v>
      </c>
      <c r="G1412" t="n">
        <v>10.553</v>
      </c>
      <c r="H1412">
        <f>E1412/F1412</f>
        <v/>
      </c>
      <c r="I1412" t="n">
        <v>4.707840741365472</v>
      </c>
      <c r="J1412" t="n">
        <v>0.00559243585108754</v>
      </c>
      <c r="Q1412" t="inlineStr">
        <is>
          <t>K4-1B</t>
        </is>
      </c>
      <c r="R1412" t="n">
        <v>1.1481</v>
      </c>
    </row>
    <row r="1413">
      <c r="A1413" t="n">
        <v>5</v>
      </c>
      <c r="B1413" t="inlineStr">
        <is>
          <t>EPA1633 &amp; diPAPs Calibration 1 ppb</t>
        </is>
      </c>
      <c r="C1413" t="n">
        <v>1</v>
      </c>
      <c r="D1413" t="n">
        <v>13.05</v>
      </c>
      <c r="E1413" t="n">
        <v>2271.313</v>
      </c>
      <c r="F1413" t="n">
        <v>8117.523</v>
      </c>
      <c r="G1413" t="n">
        <v>29.189</v>
      </c>
      <c r="H1413">
        <f>E1413/F1413</f>
        <v/>
      </c>
      <c r="Q1413" t="inlineStr">
        <is>
          <t>K4-1C</t>
        </is>
      </c>
      <c r="R1413" t="n">
        <v>1.0402</v>
      </c>
    </row>
    <row r="1414">
      <c r="A1414" t="n">
        <v>6</v>
      </c>
      <c r="B1414" t="inlineStr">
        <is>
          <t>EPA1633 &amp; diPAPs Calibration 5 ppb</t>
        </is>
      </c>
      <c r="C1414" t="n">
        <v>5</v>
      </c>
      <c r="D1414" t="n">
        <v>12.96</v>
      </c>
      <c r="E1414" t="n">
        <v>8166.67</v>
      </c>
      <c r="F1414" t="n">
        <v>6441.461</v>
      </c>
      <c r="G1414" t="n">
        <v>183.309</v>
      </c>
      <c r="H1414">
        <f>E1414/F1414</f>
        <v/>
      </c>
      <c r="Q1414" t="inlineStr">
        <is>
          <t>K4-2A</t>
        </is>
      </c>
      <c r="R1414" t="n">
        <v>1.127</v>
      </c>
    </row>
    <row r="1415">
      <c r="A1415" t="n">
        <v>7</v>
      </c>
      <c r="B1415" t="inlineStr">
        <is>
          <t>EPA1633 &amp; diPAPs Calibration 10 ppb</t>
        </is>
      </c>
      <c r="C1415" t="n">
        <v>10</v>
      </c>
      <c r="D1415" t="n">
        <v>12.96</v>
      </c>
      <c r="E1415" t="n">
        <v>13376.505</v>
      </c>
      <c r="F1415" t="n">
        <v>5311.949</v>
      </c>
      <c r="G1415" t="n">
        <v>149.528</v>
      </c>
      <c r="H1415">
        <f>E1415/F1415</f>
        <v/>
      </c>
      <c r="I1415" s="23" t="inlineStr">
        <is>
          <t>Background</t>
        </is>
      </c>
      <c r="J1415" s="23" t="inlineStr">
        <is>
          <t>Spike</t>
        </is>
      </c>
      <c r="K1415" s="9" t="inlineStr">
        <is>
          <t>Old Spike</t>
        </is>
      </c>
      <c r="O1415" s="24" t="inlineStr">
        <is>
          <t>±</t>
        </is>
      </c>
      <c r="Q1415" t="inlineStr">
        <is>
          <t>K4-2B</t>
        </is>
      </c>
      <c r="R1415" t="n">
        <v>1.1154</v>
      </c>
    </row>
    <row r="1416">
      <c r="A1416" t="n">
        <v>8</v>
      </c>
      <c r="B1416" t="inlineStr">
        <is>
          <t>EPA1633 &amp; diPAPs Calibration 20 ppb</t>
        </is>
      </c>
      <c r="C1416" t="n">
        <v>20</v>
      </c>
      <c r="D1416" t="n">
        <v>12.99</v>
      </c>
      <c r="E1416" t="n">
        <v>25391.307</v>
      </c>
      <c r="F1416" t="n">
        <v>4766.589</v>
      </c>
      <c r="G1416" t="n">
        <v>316.806</v>
      </c>
      <c r="H1416">
        <f>E1416/F1416</f>
        <v/>
      </c>
      <c r="I1416">
        <f>AVERAGE(I1419:I1421)</f>
        <v/>
      </c>
      <c r="J1416" t="n">
        <v>11</v>
      </c>
      <c r="Q1416" t="inlineStr">
        <is>
          <t>K4-2C</t>
        </is>
      </c>
      <c r="R1416" t="n">
        <v>1.1711</v>
      </c>
    </row>
    <row r="1417">
      <c r="A1417" t="n">
        <v>9</v>
      </c>
      <c r="B1417" t="inlineStr">
        <is>
          <t>MeOH</t>
        </is>
      </c>
      <c r="I1417" s="23" t="inlineStr">
        <is>
          <t>Conc.In Vial (ppb)</t>
        </is>
      </c>
      <c r="J1417" s="9" t="inlineStr">
        <is>
          <t>Corr. Conc.(ppb)</t>
        </is>
      </c>
      <c r="K1417" s="9" t="inlineStr">
        <is>
          <t>Conc. In soil (ng/g)</t>
        </is>
      </c>
      <c r="Q1417" t="inlineStr">
        <is>
          <t>K4-4A</t>
        </is>
      </c>
      <c r="R1417" t="n">
        <v>1.0932</v>
      </c>
    </row>
    <row r="1418">
      <c r="A1418" t="n">
        <v>10</v>
      </c>
      <c r="B1418" t="inlineStr">
        <is>
          <t>MeOH</t>
        </is>
      </c>
      <c r="D1418" t="n">
        <v>13.2</v>
      </c>
      <c r="E1418" t="n">
        <v>501.355</v>
      </c>
      <c r="G1418" t="n">
        <v>4.841</v>
      </c>
      <c r="L1418" s="23" t="inlineStr">
        <is>
          <t>Average</t>
        </is>
      </c>
      <c r="M1418" s="23" t="inlineStr">
        <is>
          <t>Stdev</t>
        </is>
      </c>
      <c r="N1418" s="9" t="inlineStr">
        <is>
          <t>Combined</t>
        </is>
      </c>
      <c r="O1418" s="9" t="n"/>
      <c r="P1418" s="9" t="n"/>
      <c r="Q1418" t="inlineStr">
        <is>
          <t>K4-4B</t>
        </is>
      </c>
      <c r="R1418" t="n">
        <v>1.15</v>
      </c>
    </row>
    <row r="1419">
      <c r="A1419" t="n">
        <v>11</v>
      </c>
      <c r="B1419" t="inlineStr">
        <is>
          <t>SB1</t>
        </is>
      </c>
      <c r="D1419" t="n">
        <v>13.03</v>
      </c>
      <c r="E1419" t="n">
        <v>3584.243</v>
      </c>
      <c r="F1419" t="n">
        <v>2451.924</v>
      </c>
      <c r="G1419" t="n">
        <v>56.209</v>
      </c>
      <c r="H1419">
        <f>E1419/F1419</f>
        <v/>
      </c>
      <c r="I1419">
        <f>((H1419-$J$1408)/$I$1408)</f>
        <v/>
      </c>
      <c r="J1419">
        <f>(I1419-IF(I1416&gt;0,I1416,0))</f>
        <v/>
      </c>
      <c r="K1419">
        <f>J1419*1.1</f>
        <v/>
      </c>
      <c r="L1419">
        <f>AVERAGE(K1419:K1421)</f>
        <v/>
      </c>
      <c r="M1419">
        <f>STDEV(K1420:K1421)</f>
        <v/>
      </c>
      <c r="N1419">
        <f>_xlfn.CONCAT(ROUND(L1419,1)," ± ",ROUND(M1419,1))</f>
        <v/>
      </c>
      <c r="Q1419" t="inlineStr">
        <is>
          <t>K4-4C</t>
        </is>
      </c>
      <c r="R1419" t="n">
        <v>1.0482</v>
      </c>
    </row>
    <row r="1420">
      <c r="A1420" t="n">
        <v>12</v>
      </c>
      <c r="B1420" t="inlineStr">
        <is>
          <t>SB2</t>
        </is>
      </c>
      <c r="D1420" t="n">
        <v>13.09</v>
      </c>
      <c r="E1420" t="n">
        <v>389.298</v>
      </c>
      <c r="F1420" t="n">
        <v>2271.8</v>
      </c>
      <c r="G1420" t="n">
        <v>7.844</v>
      </c>
      <c r="H1420">
        <f>E1420/F1420</f>
        <v/>
      </c>
      <c r="I1420">
        <f>((H1420-$J$1408)/$I$1408)</f>
        <v/>
      </c>
      <c r="J1420">
        <f>(I1420-IF(I1416&gt;0,I1416,0))</f>
        <v/>
      </c>
      <c r="K1420">
        <f>J1420*1.1</f>
        <v/>
      </c>
      <c r="Q1420" t="inlineStr">
        <is>
          <t>K4-5A</t>
        </is>
      </c>
      <c r="R1420" t="n">
        <v>1.1054</v>
      </c>
    </row>
    <row r="1421">
      <c r="A1421" t="n">
        <v>13</v>
      </c>
      <c r="B1421" t="inlineStr">
        <is>
          <t>SB3</t>
        </is>
      </c>
      <c r="D1421" t="n">
        <v>13.11</v>
      </c>
      <c r="E1421" t="n">
        <v>394.23</v>
      </c>
      <c r="F1421" t="n">
        <v>1817.396</v>
      </c>
      <c r="G1421" t="n">
        <v>4.042</v>
      </c>
      <c r="H1421">
        <f>E1421/F1421</f>
        <v/>
      </c>
      <c r="I1421">
        <f>((H1421-$J$1408)/$I$1408)</f>
        <v/>
      </c>
      <c r="J1421">
        <f>(I1421-IF(I1416&gt;0,I1416,0))</f>
        <v/>
      </c>
      <c r="K1421" s="30">
        <f>J1421*1.1</f>
        <v/>
      </c>
      <c r="L1421" s="25" t="inlineStr">
        <is>
          <t>Average</t>
        </is>
      </c>
      <c r="M1421" s="25" t="inlineStr">
        <is>
          <t>Stdev</t>
        </is>
      </c>
      <c r="N1421" s="26" t="inlineStr">
        <is>
          <t>%Recovery</t>
        </is>
      </c>
      <c r="O1421" s="26" t="inlineStr">
        <is>
          <t>Uncertainty</t>
        </is>
      </c>
      <c r="P1421" s="26" t="inlineStr">
        <is>
          <t>Combined</t>
        </is>
      </c>
      <c r="Q1421" t="inlineStr">
        <is>
          <t>K4-5B</t>
        </is>
      </c>
      <c r="R1421" s="10" t="n">
        <v>1.0463</v>
      </c>
    </row>
    <row r="1422">
      <c r="A1422" t="n">
        <v>14</v>
      </c>
      <c r="B1422" t="inlineStr">
        <is>
          <t>SS1</t>
        </is>
      </c>
      <c r="D1422" t="n">
        <v>13.06</v>
      </c>
      <c r="E1422" t="n">
        <v>5492.266</v>
      </c>
      <c r="F1422" t="n">
        <v>2217.159</v>
      </c>
      <c r="G1422" t="n">
        <v>97.759</v>
      </c>
      <c r="H1422">
        <f>E1422/F1422</f>
        <v/>
      </c>
      <c r="I1422">
        <f>((H1422-$J$1408)/$I$1408)</f>
        <v/>
      </c>
      <c r="J1422">
        <f>(I1422-IF(I1416&gt;0,I1416,0))</f>
        <v/>
      </c>
      <c r="K1422">
        <f>J1422/R1408*1.1</f>
        <v/>
      </c>
      <c r="L1422" s="27">
        <f>AVERAGE(K1422:K1424)</f>
        <v/>
      </c>
      <c r="M1422" s="27">
        <f>STDEV(K1422:K1424)</f>
        <v/>
      </c>
      <c r="N1422" s="28">
        <f>L1422/J1416*100</f>
        <v/>
      </c>
      <c r="O1422" s="29">
        <f>M1422/J1419*100</f>
        <v/>
      </c>
      <c r="P1422" s="29">
        <f>_xlfn.CONCAT(ROUND(N1422,1)," ± ",ROUND(O1422,1))</f>
        <v/>
      </c>
      <c r="Q1422" t="inlineStr">
        <is>
          <t>K4-5C</t>
        </is>
      </c>
      <c r="R1422" t="n">
        <v>1.1155</v>
      </c>
    </row>
    <row r="1423">
      <c r="A1423" t="n">
        <v>15</v>
      </c>
      <c r="B1423" t="inlineStr">
        <is>
          <t>SS2</t>
        </is>
      </c>
      <c r="D1423" t="n">
        <v>13.08</v>
      </c>
      <c r="E1423" t="n">
        <v>7719.185</v>
      </c>
      <c r="F1423" t="n">
        <v>2505.109</v>
      </c>
      <c r="G1423" t="n">
        <v>72.21599999999999</v>
      </c>
      <c r="H1423">
        <f>E1423/F1423</f>
        <v/>
      </c>
      <c r="I1423">
        <f>((H1423-$J$1408)/$I$1408)</f>
        <v/>
      </c>
      <c r="J1423">
        <f>(I1423-IF(I1416&gt;0,I1416,0))</f>
        <v/>
      </c>
      <c r="K1423">
        <f>J1423/R1409*1.1</f>
        <v/>
      </c>
      <c r="Q1423" t="inlineStr">
        <is>
          <t>K3-1A</t>
        </is>
      </c>
      <c r="R1423" t="n">
        <v>1.0874</v>
      </c>
    </row>
    <row r="1424">
      <c r="A1424" t="n">
        <v>16</v>
      </c>
      <c r="B1424" t="inlineStr">
        <is>
          <t>SS3</t>
        </is>
      </c>
      <c r="D1424" t="n">
        <v>13.08</v>
      </c>
      <c r="E1424" t="n">
        <v>5334.001</v>
      </c>
      <c r="F1424" t="n">
        <v>1762.056</v>
      </c>
      <c r="G1424" t="n">
        <v>142.022</v>
      </c>
      <c r="H1424">
        <f>E1424/F1424</f>
        <v/>
      </c>
      <c r="I1424">
        <f>((H1424-$J$1408)/$I$1408)</f>
        <v/>
      </c>
      <c r="J1424">
        <f>(I1424-IF(I1416&gt;0,I1416,0))</f>
        <v/>
      </c>
      <c r="K1424" s="30">
        <f>J1424/R1410*1.1</f>
        <v/>
      </c>
      <c r="Q1424" t="inlineStr">
        <is>
          <t>K3-1B</t>
        </is>
      </c>
      <c r="R1424" t="n">
        <v>1.0898</v>
      </c>
    </row>
    <row r="1425">
      <c r="A1425" t="n">
        <v>17</v>
      </c>
      <c r="B1425" t="inlineStr">
        <is>
          <t>MeOH</t>
        </is>
      </c>
      <c r="L1425" s="23" t="inlineStr">
        <is>
          <t>Average</t>
        </is>
      </c>
      <c r="M1425" s="23" t="inlineStr">
        <is>
          <t>Stdev</t>
        </is>
      </c>
      <c r="N1425" s="9" t="inlineStr">
        <is>
          <t>Combined</t>
        </is>
      </c>
      <c r="Q1425" t="inlineStr">
        <is>
          <t>K3-1C</t>
        </is>
      </c>
      <c r="R1425" t="n">
        <v>1.0536</v>
      </c>
    </row>
    <row r="1426">
      <c r="A1426" t="n">
        <v>18</v>
      </c>
      <c r="B1426" t="inlineStr">
        <is>
          <t>K4-1A</t>
        </is>
      </c>
      <c r="D1426" t="n">
        <v>13.11</v>
      </c>
      <c r="E1426" t="n">
        <v>642.792</v>
      </c>
      <c r="F1426" t="n">
        <v>3034.158</v>
      </c>
      <c r="G1426" t="n">
        <v>11.675</v>
      </c>
      <c r="H1426">
        <f>E1426/F1426</f>
        <v/>
      </c>
      <c r="I1426">
        <f>((H1426-$J$1408)/$I$1408)</f>
        <v/>
      </c>
      <c r="J1426">
        <f>(I1426-IF(I1416&gt;0,I1416,0))</f>
        <v/>
      </c>
      <c r="K1426">
        <f>J1426/R1411*1.1</f>
        <v/>
      </c>
      <c r="L1426">
        <f>AVERAGE(K1426:K1428)</f>
        <v/>
      </c>
      <c r="M1426">
        <f>STDEV(K1427:K1428)</f>
        <v/>
      </c>
      <c r="N1426">
        <f>_xlfn.CONCAT(ROUND(L1426,1)," ± ",ROUND(M1426,1))</f>
        <v/>
      </c>
      <c r="Q1426" t="inlineStr">
        <is>
          <t>K3-2A</t>
        </is>
      </c>
      <c r="R1426" s="10" t="n">
        <v>1.1218</v>
      </c>
    </row>
    <row r="1427">
      <c r="A1427" t="n">
        <v>19</v>
      </c>
      <c r="B1427" t="inlineStr">
        <is>
          <t>K4-1B</t>
        </is>
      </c>
      <c r="D1427" t="n">
        <v>13.12</v>
      </c>
      <c r="E1427" t="n">
        <v>505.925</v>
      </c>
      <c r="F1427" t="n">
        <v>3000.833</v>
      </c>
      <c r="G1427" t="n">
        <v>4.532</v>
      </c>
      <c r="H1427">
        <f>E1427/F1427</f>
        <v/>
      </c>
      <c r="I1427">
        <f>((H1427-$J$1408)/$I$1408)</f>
        <v/>
      </c>
      <c r="J1427">
        <f>(I1427-IF(I1416&gt;0,I1416,0))</f>
        <v/>
      </c>
      <c r="K1427">
        <f>J1427/R1412*1.1</f>
        <v/>
      </c>
      <c r="Q1427" t="inlineStr">
        <is>
          <t>K3-2B</t>
        </is>
      </c>
      <c r="R1427" t="n">
        <v>1.198</v>
      </c>
    </row>
    <row r="1428">
      <c r="A1428" t="n">
        <v>20</v>
      </c>
      <c r="B1428" t="inlineStr">
        <is>
          <t>K4-1C</t>
        </is>
      </c>
      <c r="D1428" t="n">
        <v>13.11</v>
      </c>
      <c r="E1428" t="n">
        <v>454.594</v>
      </c>
      <c r="F1428" t="n">
        <v>2957.755</v>
      </c>
      <c r="G1428" t="n">
        <v>9.218</v>
      </c>
      <c r="H1428">
        <f>E1428/F1428</f>
        <v/>
      </c>
      <c r="I1428">
        <f>((H1428-$J$1408)/$I$1408)</f>
        <v/>
      </c>
      <c r="J1428">
        <f>(I1428-IF(I1416&gt;0,I1416,0))</f>
        <v/>
      </c>
      <c r="K1428">
        <f>J1428/R1413*1.1</f>
        <v/>
      </c>
      <c r="L1428" s="23" t="inlineStr">
        <is>
          <t>Average</t>
        </is>
      </c>
      <c r="M1428" s="23" t="inlineStr">
        <is>
          <t>Stdev</t>
        </is>
      </c>
      <c r="N1428" s="9" t="inlineStr">
        <is>
          <t>Combined</t>
        </is>
      </c>
      <c r="Q1428" t="inlineStr">
        <is>
          <t>K3-2C</t>
        </is>
      </c>
      <c r="R1428" t="n">
        <v>1.1538</v>
      </c>
    </row>
    <row r="1429">
      <c r="A1429" t="n">
        <v>21</v>
      </c>
      <c r="B1429" t="inlineStr">
        <is>
          <t>K4-2A</t>
        </is>
      </c>
      <c r="D1429" t="n">
        <v>13.11</v>
      </c>
      <c r="E1429" t="n">
        <v>1004.704</v>
      </c>
      <c r="F1429" t="n">
        <v>2249.78</v>
      </c>
      <c r="G1429" t="n">
        <v>16.268</v>
      </c>
      <c r="H1429">
        <f>E1429/F1429</f>
        <v/>
      </c>
      <c r="I1429">
        <f>((H1429-$J$1408)/$I$1408)</f>
        <v/>
      </c>
      <c r="J1429">
        <f>(I1429-IF(I1416&gt;0,I1416,0))</f>
        <v/>
      </c>
      <c r="K1429">
        <f>J1429/R1414*1.1</f>
        <v/>
      </c>
      <c r="L1429">
        <f>AVERAGE(K1429:K1431)</f>
        <v/>
      </c>
      <c r="M1429">
        <f>STDEV(K1429:K1431)</f>
        <v/>
      </c>
      <c r="N1429">
        <f>_xlfn.CONCAT(ROUND(L1429,1)," ± ",ROUND(M1429,1))</f>
        <v/>
      </c>
      <c r="Q1429" t="inlineStr">
        <is>
          <t>K3-3A</t>
        </is>
      </c>
      <c r="R1429" t="n">
        <v>1.1183</v>
      </c>
    </row>
    <row r="1430">
      <c r="A1430" t="n">
        <v>22</v>
      </c>
      <c r="B1430" t="inlineStr">
        <is>
          <t>K4-2B</t>
        </is>
      </c>
      <c r="D1430" t="n">
        <v>13.12</v>
      </c>
      <c r="E1430" t="n">
        <v>300.603</v>
      </c>
      <c r="F1430" t="n">
        <v>2723.332</v>
      </c>
      <c r="G1430" t="n">
        <v>6.643</v>
      </c>
      <c r="H1430">
        <f>E1430/F1430</f>
        <v/>
      </c>
      <c r="I1430">
        <f>((H1430-$J$1408)/$I$1408)</f>
        <v/>
      </c>
      <c r="J1430">
        <f>(I1430-IF(I1416&gt;0,I1416,0))</f>
        <v/>
      </c>
      <c r="K1430">
        <f>J1430/R1415*1.1</f>
        <v/>
      </c>
      <c r="Q1430" t="inlineStr">
        <is>
          <t>K3-3B</t>
        </is>
      </c>
      <c r="R1430" t="n">
        <v>1.1448</v>
      </c>
    </row>
    <row r="1431">
      <c r="A1431" t="n">
        <v>23</v>
      </c>
      <c r="B1431" t="inlineStr">
        <is>
          <t>K4-2C</t>
        </is>
      </c>
      <c r="D1431" t="n">
        <v>13.15</v>
      </c>
      <c r="E1431" t="n">
        <v>168.883</v>
      </c>
      <c r="F1431" t="n">
        <v>2283.646</v>
      </c>
      <c r="G1431" t="n">
        <v>3.69</v>
      </c>
      <c r="H1431">
        <f>E1431/F1431</f>
        <v/>
      </c>
      <c r="I1431">
        <f>((H1431-$J$1408)/$I$1408)</f>
        <v/>
      </c>
      <c r="J1431">
        <f>(I1431-IF(I1416&gt;0,I1416,0))</f>
        <v/>
      </c>
      <c r="K1431">
        <f>J1431/R1416*1.1</f>
        <v/>
      </c>
      <c r="L1431" s="23" t="n"/>
      <c r="M1431" s="23" t="n"/>
      <c r="N1431" s="9" t="n"/>
      <c r="Q1431" t="inlineStr">
        <is>
          <t>K3-3C</t>
        </is>
      </c>
      <c r="R1431" t="n">
        <v>1.0493</v>
      </c>
    </row>
    <row r="1432">
      <c r="A1432" t="n">
        <v>24</v>
      </c>
      <c r="B1432" t="inlineStr">
        <is>
          <t>MeOH</t>
        </is>
      </c>
      <c r="L1432" s="23" t="inlineStr">
        <is>
          <t>Average</t>
        </is>
      </c>
      <c r="M1432" s="23" t="inlineStr">
        <is>
          <t>Stdev</t>
        </is>
      </c>
      <c r="N1432" s="9" t="inlineStr">
        <is>
          <t>Combined</t>
        </is>
      </c>
      <c r="Q1432" t="inlineStr">
        <is>
          <t>K3-4A</t>
        </is>
      </c>
      <c r="R1432" t="n">
        <v>1.0704</v>
      </c>
    </row>
    <row r="1433">
      <c r="A1433" t="n">
        <v>25</v>
      </c>
      <c r="B1433" t="inlineStr">
        <is>
          <t>K4-4A</t>
        </is>
      </c>
      <c r="D1433" t="n">
        <v>13.17</v>
      </c>
      <c r="E1433" t="n">
        <v>527.724</v>
      </c>
      <c r="F1433" t="n">
        <v>1724.848</v>
      </c>
      <c r="G1433" t="n">
        <v>8.891999999999999</v>
      </c>
      <c r="H1433">
        <f>E1433/F1433</f>
        <v/>
      </c>
      <c r="I1433">
        <f>((H1433-$J$1408)/$I$1408)</f>
        <v/>
      </c>
      <c r="J1433">
        <f>(I1433-IF(I1416&gt;0,I1416,0))</f>
        <v/>
      </c>
      <c r="K1433">
        <f>J1433/R1417*1.1</f>
        <v/>
      </c>
      <c r="L1433">
        <f>AVERAGE(K1433:K1435)</f>
        <v/>
      </c>
      <c r="M1433">
        <f>STDEV(K1434:K1435)</f>
        <v/>
      </c>
      <c r="N1433">
        <f>_xlfn.CONCAT(ROUND(L1433,1)," ± ",ROUND(M1433,1))</f>
        <v/>
      </c>
      <c r="Q1433" t="inlineStr">
        <is>
          <t>K3-4B</t>
        </is>
      </c>
      <c r="R1433" t="n">
        <v>1.1589</v>
      </c>
    </row>
    <row r="1434">
      <c r="A1434" t="n">
        <v>26</v>
      </c>
      <c r="B1434" t="inlineStr">
        <is>
          <t>K4-4B</t>
        </is>
      </c>
      <c r="D1434" t="n">
        <v>13.14</v>
      </c>
      <c r="E1434" t="n">
        <v>485.422</v>
      </c>
      <c r="F1434" t="n">
        <v>2218.471</v>
      </c>
      <c r="G1434" t="n">
        <v>12.22</v>
      </c>
      <c r="H1434">
        <f>E1434/F1434</f>
        <v/>
      </c>
      <c r="I1434">
        <f>((H1434-$J$1408)/$I$1408)</f>
        <v/>
      </c>
      <c r="J1434">
        <f>(I1434-IF(I1416&gt;0,I1416,0))</f>
        <v/>
      </c>
      <c r="K1434">
        <f>J1434/R1418*1.1</f>
        <v/>
      </c>
      <c r="Q1434" t="inlineStr">
        <is>
          <t>K3-4C</t>
        </is>
      </c>
      <c r="R1434" t="n">
        <v>1.0206</v>
      </c>
    </row>
    <row r="1435">
      <c r="A1435" t="n">
        <v>27</v>
      </c>
      <c r="B1435" t="inlineStr">
        <is>
          <t>K4-4C</t>
        </is>
      </c>
      <c r="D1435" t="n">
        <v>13.15</v>
      </c>
      <c r="E1435" t="n">
        <v>359.635</v>
      </c>
      <c r="F1435" t="n">
        <v>2598.377</v>
      </c>
      <c r="G1435" t="n">
        <v>4.496</v>
      </c>
      <c r="H1435">
        <f>E1435/F1435</f>
        <v/>
      </c>
      <c r="I1435">
        <f>((H1435-$J$1408)/$I$1408)</f>
        <v/>
      </c>
      <c r="J1435">
        <f>(I1435-IF(I1416&gt;0,I1416,0))</f>
        <v/>
      </c>
      <c r="K1435">
        <f>J1435/R1419*1.1</f>
        <v/>
      </c>
      <c r="L1435" s="23" t="inlineStr">
        <is>
          <t>Average</t>
        </is>
      </c>
      <c r="M1435" s="23" t="inlineStr">
        <is>
          <t>Stdev</t>
        </is>
      </c>
      <c r="N1435" s="9" t="inlineStr">
        <is>
          <t>Combined</t>
        </is>
      </c>
      <c r="Q1435" t="inlineStr">
        <is>
          <t>K3-6A</t>
        </is>
      </c>
      <c r="R1435" t="n">
        <v>1.1289</v>
      </c>
    </row>
    <row r="1436">
      <c r="A1436" t="n">
        <v>28</v>
      </c>
      <c r="B1436" t="inlineStr">
        <is>
          <t>K4-5A</t>
        </is>
      </c>
      <c r="D1436" t="n">
        <v>13.15</v>
      </c>
      <c r="E1436" t="n">
        <v>384.76</v>
      </c>
      <c r="F1436" t="n">
        <v>2438.789</v>
      </c>
      <c r="G1436" t="n">
        <v>3.399</v>
      </c>
      <c r="H1436">
        <f>E1436/F1436</f>
        <v/>
      </c>
      <c r="I1436">
        <f>((H1436-$J$1408)/$I$1408)</f>
        <v/>
      </c>
      <c r="J1436">
        <f>(I1436-IF(I1416&gt;0,I1416,0))</f>
        <v/>
      </c>
      <c r="K1436">
        <f>J1436/R1420*1.1</f>
        <v/>
      </c>
      <c r="L1436">
        <f>AVERAGE(K1436:K1438)</f>
        <v/>
      </c>
      <c r="M1436">
        <f>STDEV(K1436:K1438)</f>
        <v/>
      </c>
      <c r="N1436">
        <f>_xlfn.CONCAT(ROUND(L1436,1)," ± ",ROUND(M1436,1))</f>
        <v/>
      </c>
      <c r="Q1436" t="inlineStr">
        <is>
          <t>K3-6B</t>
        </is>
      </c>
      <c r="R1436" t="n">
        <v>1.195</v>
      </c>
    </row>
    <row r="1437">
      <c r="A1437" t="n">
        <v>29</v>
      </c>
      <c r="B1437" t="inlineStr">
        <is>
          <t>K4-5B</t>
        </is>
      </c>
      <c r="D1437" t="n">
        <v>13.09</v>
      </c>
      <c r="E1437" t="n">
        <v>977.99</v>
      </c>
      <c r="F1437" t="n">
        <v>1988.313</v>
      </c>
      <c r="G1437" t="n">
        <v>14.322</v>
      </c>
      <c r="H1437">
        <f>E1437/F1437</f>
        <v/>
      </c>
      <c r="I1437">
        <f>((H1437-$J$1408)/$I$1408)</f>
        <v/>
      </c>
      <c r="J1437">
        <f>(I1437-IF(I1416&gt;0,I1416,0))</f>
        <v/>
      </c>
      <c r="K1437">
        <f>J1437/R1421*1.1</f>
        <v/>
      </c>
      <c r="Q1437" t="inlineStr">
        <is>
          <t>K3-6C</t>
        </is>
      </c>
      <c r="R1437" t="n">
        <v>1.1716</v>
      </c>
    </row>
    <row r="1438">
      <c r="A1438" t="n">
        <v>30</v>
      </c>
      <c r="B1438" t="inlineStr">
        <is>
          <t>K4-5C</t>
        </is>
      </c>
      <c r="D1438" t="n">
        <v>13.07</v>
      </c>
      <c r="E1438" t="n">
        <v>397.025</v>
      </c>
      <c r="F1438" t="n">
        <v>2087.422</v>
      </c>
      <c r="G1438" t="n">
        <v>7.543</v>
      </c>
      <c r="H1438">
        <f>E1438/F1438</f>
        <v/>
      </c>
      <c r="I1438">
        <f>((H1438-$J$1408)/$I$1408)</f>
        <v/>
      </c>
      <c r="J1438">
        <f>(I1438-IF(I1416&gt;0,I1416,0))</f>
        <v/>
      </c>
      <c r="K1438">
        <f>J1438/R1422*1.1</f>
        <v/>
      </c>
      <c r="L1438" s="23" t="n"/>
      <c r="M1438" s="23" t="n"/>
      <c r="N1438" s="9" t="n"/>
    </row>
    <row r="1439">
      <c r="A1439" t="n">
        <v>31</v>
      </c>
      <c r="B1439" t="inlineStr">
        <is>
          <t>MeOH</t>
        </is>
      </c>
      <c r="L1439" s="23" t="inlineStr">
        <is>
          <t>Average</t>
        </is>
      </c>
      <c r="M1439" s="23" t="inlineStr">
        <is>
          <t>Stdev</t>
        </is>
      </c>
      <c r="N1439" s="9" t="inlineStr">
        <is>
          <t>Combined</t>
        </is>
      </c>
    </row>
    <row r="1440">
      <c r="A1440" t="n">
        <v>32</v>
      </c>
      <c r="B1440" t="inlineStr">
        <is>
          <t>K3-1A</t>
        </is>
      </c>
      <c r="D1440" t="n">
        <v>12.96</v>
      </c>
      <c r="E1440" t="n">
        <v>2208.274</v>
      </c>
      <c r="F1440" t="n">
        <v>2907.094</v>
      </c>
      <c r="G1440" t="n">
        <v>43.125</v>
      </c>
      <c r="H1440">
        <f>E1440/F1440</f>
        <v/>
      </c>
      <c r="I1440">
        <f>((H1440-$J$1408)/$I$1408)</f>
        <v/>
      </c>
      <c r="J1440">
        <f>(I1440-IF(I1416&gt;0,I1416,0))</f>
        <v/>
      </c>
      <c r="K1440">
        <f>J1440/R1423*1.1</f>
        <v/>
      </c>
      <c r="L1440">
        <f>AVERAGE(K1440:K1442)</f>
        <v/>
      </c>
      <c r="M1440">
        <f>STDEV(K1441:K1442)</f>
        <v/>
      </c>
      <c r="N1440">
        <f>_xlfn.CONCAT(ROUND(L1440,1)," ± ",ROUND(M1440,1))</f>
        <v/>
      </c>
    </row>
    <row r="1441">
      <c r="A1441" t="n">
        <v>33</v>
      </c>
      <c r="B1441" t="inlineStr">
        <is>
          <t>K3-1B</t>
        </is>
      </c>
      <c r="D1441" t="n">
        <v>12.96</v>
      </c>
      <c r="E1441" t="n">
        <v>484.142</v>
      </c>
      <c r="F1441" t="n">
        <v>2080.127</v>
      </c>
      <c r="G1441" t="n">
        <v>9.672000000000001</v>
      </c>
      <c r="H1441">
        <f>E1441/F1441</f>
        <v/>
      </c>
      <c r="I1441">
        <f>((H1441-$J$1408)/$I$1408)</f>
        <v/>
      </c>
      <c r="J1441">
        <f>(I1441-IF(I1416&gt;0,I1416,0))</f>
        <v/>
      </c>
      <c r="K1441">
        <f>J1441/R1424*1.1</f>
        <v/>
      </c>
    </row>
    <row r="1442">
      <c r="A1442" t="n">
        <v>34</v>
      </c>
      <c r="B1442" t="inlineStr">
        <is>
          <t>K3-1C</t>
        </is>
      </c>
      <c r="D1442" t="n">
        <v>13.03</v>
      </c>
      <c r="E1442" t="n">
        <v>578.503</v>
      </c>
      <c r="F1442" t="n">
        <v>3637.841</v>
      </c>
      <c r="G1442" t="n">
        <v>11.247</v>
      </c>
      <c r="H1442">
        <f>E1442/F1442</f>
        <v/>
      </c>
      <c r="I1442">
        <f>((H1442-$J$1408)/$I$1408)</f>
        <v/>
      </c>
      <c r="J1442">
        <f>(I1442-IF(I1416&gt;0,I1416,0))</f>
        <v/>
      </c>
      <c r="K1442">
        <f>J1442/R1425*1.1</f>
        <v/>
      </c>
      <c r="L1442" s="23" t="inlineStr">
        <is>
          <t>Average</t>
        </is>
      </c>
      <c r="M1442" s="23" t="inlineStr">
        <is>
          <t>Stdev</t>
        </is>
      </c>
      <c r="N1442" s="9" t="inlineStr">
        <is>
          <t>Combined</t>
        </is>
      </c>
    </row>
    <row r="1443">
      <c r="A1443" t="n">
        <v>35</v>
      </c>
      <c r="B1443" t="inlineStr">
        <is>
          <t>K3-2A</t>
        </is>
      </c>
      <c r="D1443" t="n">
        <v>13.03</v>
      </c>
      <c r="E1443" t="n">
        <v>727.373</v>
      </c>
      <c r="F1443" t="n">
        <v>2822.439</v>
      </c>
      <c r="G1443" t="n">
        <v>12.475</v>
      </c>
      <c r="H1443">
        <f>E1443/F1443</f>
        <v/>
      </c>
      <c r="I1443">
        <f>((H1443-$J$1408)/$I$1408)</f>
        <v/>
      </c>
      <c r="J1443">
        <f>(I1443-IF(I1416&gt;0,I1416,0))</f>
        <v/>
      </c>
      <c r="K1443">
        <f>J1443/R1426*1.1</f>
        <v/>
      </c>
      <c r="L1443">
        <f>AVERAGE(K1443:K1445)</f>
        <v/>
      </c>
      <c r="M1443">
        <f>STDEV(K1443:K1445)</f>
        <v/>
      </c>
      <c r="N1443">
        <f>_xlfn.CONCAT(ROUND(L1443,1)," ± ",ROUND(M1443,1))</f>
        <v/>
      </c>
    </row>
    <row r="1444">
      <c r="A1444" t="n">
        <v>36</v>
      </c>
      <c r="B1444" t="inlineStr">
        <is>
          <t>K3-2B</t>
        </is>
      </c>
      <c r="D1444" t="n">
        <v>13.07</v>
      </c>
      <c r="E1444" t="n">
        <v>926.506</v>
      </c>
      <c r="F1444" t="n">
        <v>3615.067</v>
      </c>
      <c r="G1444" t="n">
        <v>7.394</v>
      </c>
      <c r="H1444">
        <f>E1444/F1444</f>
        <v/>
      </c>
      <c r="I1444">
        <f>((H1444-$J$1408)/$I$1408)</f>
        <v/>
      </c>
      <c r="J1444">
        <f>(I1444-IF(I1416&gt;0,I1416,0))</f>
        <v/>
      </c>
      <c r="K1444">
        <f>J1444/R1427*1.1</f>
        <v/>
      </c>
    </row>
    <row r="1445">
      <c r="A1445" t="n">
        <v>37</v>
      </c>
      <c r="B1445" t="inlineStr">
        <is>
          <t>K3-2C</t>
        </is>
      </c>
      <c r="D1445" t="n">
        <v>13.05</v>
      </c>
      <c r="E1445" t="n">
        <v>749.6079999999999</v>
      </c>
      <c r="F1445" t="n">
        <v>3528.332</v>
      </c>
      <c r="G1445" t="n">
        <v>11.862</v>
      </c>
      <c r="H1445">
        <f>E1445/F1445</f>
        <v/>
      </c>
      <c r="I1445">
        <f>((H1445-$J$1408)/$I$1408)</f>
        <v/>
      </c>
      <c r="J1445">
        <f>(I1445-IF(I1416&gt;0,I1416,0))</f>
        <v/>
      </c>
      <c r="K1445">
        <f>J1445/R1428*1.1</f>
        <v/>
      </c>
      <c r="L1445" s="23" t="n"/>
      <c r="M1445" s="23" t="n"/>
      <c r="N1445" s="9" t="n"/>
    </row>
    <row r="1446">
      <c r="A1446" t="n">
        <v>38</v>
      </c>
      <c r="B1446" t="inlineStr">
        <is>
          <t>MeOH</t>
        </is>
      </c>
      <c r="L1446" s="23" t="inlineStr">
        <is>
          <t>Average</t>
        </is>
      </c>
      <c r="M1446" s="23" t="inlineStr">
        <is>
          <t>Stdev</t>
        </is>
      </c>
      <c r="N1446" s="9" t="inlineStr">
        <is>
          <t>Combined</t>
        </is>
      </c>
    </row>
    <row r="1447">
      <c r="A1447" t="n">
        <v>39</v>
      </c>
      <c r="B1447" t="inlineStr">
        <is>
          <t>K3-3A</t>
        </is>
      </c>
      <c r="D1447" t="n">
        <v>13.09</v>
      </c>
      <c r="E1447" t="n">
        <v>628.421</v>
      </c>
      <c r="F1447" t="n">
        <v>2678.696</v>
      </c>
      <c r="G1447" t="n">
        <v>8.622999999999999</v>
      </c>
      <c r="H1447">
        <f>E1447/F1447</f>
        <v/>
      </c>
      <c r="I1447">
        <f>((H1447-$J$1408)/$I$1408)</f>
        <v/>
      </c>
      <c r="J1447">
        <f>(I1447-IF(I1416&gt;0,I1416,0))</f>
        <v/>
      </c>
      <c r="K1447">
        <f>J1447/R1429*1.1</f>
        <v/>
      </c>
      <c r="L1447">
        <f>AVERAGE(K1447:K1449)</f>
        <v/>
      </c>
      <c r="M1447">
        <f>STDEV(K1448:K1449)</f>
        <v/>
      </c>
      <c r="N1447">
        <f>_xlfn.CONCAT(ROUND(L1447,1)," ± ",ROUND(M1447,1))</f>
        <v/>
      </c>
    </row>
    <row r="1448">
      <c r="A1448" t="n">
        <v>40</v>
      </c>
      <c r="B1448" t="inlineStr">
        <is>
          <t>K3-3B</t>
        </is>
      </c>
      <c r="D1448" t="n">
        <v>13.09</v>
      </c>
      <c r="E1448" t="n">
        <v>895.456</v>
      </c>
      <c r="F1448" t="n">
        <v>2726.988</v>
      </c>
      <c r="G1448" t="n">
        <v>15.805</v>
      </c>
      <c r="H1448">
        <f>E1448/F1448</f>
        <v/>
      </c>
      <c r="I1448">
        <f>((H1448-$J$1408)/$I$1408)</f>
        <v/>
      </c>
      <c r="J1448">
        <f>(I1448-IF(I1416&gt;0,I1416,0))</f>
        <v/>
      </c>
      <c r="K1448">
        <f>J1448/R1430*1.1</f>
        <v/>
      </c>
    </row>
    <row r="1449">
      <c r="A1449" t="n">
        <v>41</v>
      </c>
      <c r="B1449" t="inlineStr">
        <is>
          <t>K3-3C</t>
        </is>
      </c>
      <c r="D1449" t="n">
        <v>13.09</v>
      </c>
      <c r="E1449" t="n">
        <v>1018.369</v>
      </c>
      <c r="F1449" t="n">
        <v>5082.269</v>
      </c>
      <c r="G1449" t="n">
        <v>17.586</v>
      </c>
      <c r="H1449">
        <f>E1449/F1449</f>
        <v/>
      </c>
      <c r="I1449">
        <f>((H1449-$J$1408)/$I$1408)</f>
        <v/>
      </c>
      <c r="J1449">
        <f>(I1449-IF(I1416&gt;0,I1416,0))</f>
        <v/>
      </c>
      <c r="K1449">
        <f>J1449/R1431*1.1</f>
        <v/>
      </c>
      <c r="L1449" s="23" t="inlineStr">
        <is>
          <t>Average</t>
        </is>
      </c>
      <c r="M1449" s="23" t="inlineStr">
        <is>
          <t>Stdev</t>
        </is>
      </c>
      <c r="N1449" s="9" t="inlineStr">
        <is>
          <t>Combined</t>
        </is>
      </c>
    </row>
    <row r="1450">
      <c r="A1450" t="n">
        <v>42</v>
      </c>
      <c r="B1450" t="inlineStr">
        <is>
          <t>K3-4A</t>
        </is>
      </c>
      <c r="D1450" t="n">
        <v>13.14</v>
      </c>
      <c r="E1450" t="n">
        <v>1100.625</v>
      </c>
      <c r="F1450" t="n">
        <v>4210.385</v>
      </c>
      <c r="G1450" t="n">
        <v>13.365</v>
      </c>
      <c r="H1450">
        <f>E1450/F1450</f>
        <v/>
      </c>
      <c r="I1450">
        <f>((H1450-$J$1408)/$I$1408)</f>
        <v/>
      </c>
      <c r="J1450">
        <f>(I1450-IF(I1416&gt;0,I1416,0))</f>
        <v/>
      </c>
      <c r="K1450">
        <f>J1450/R1432*1.1</f>
        <v/>
      </c>
      <c r="L1450">
        <f>AVERAGE(K1450:K1452)</f>
        <v/>
      </c>
      <c r="M1450">
        <f>STDEV(K1450:K1452)</f>
        <v/>
      </c>
      <c r="N1450">
        <f>_xlfn.CONCAT(ROUND(L1450,1)," ± ",ROUND(M1450,1))</f>
        <v/>
      </c>
    </row>
    <row r="1451">
      <c r="A1451" t="n">
        <v>43</v>
      </c>
      <c r="B1451" t="inlineStr">
        <is>
          <t>K3-4B</t>
        </is>
      </c>
      <c r="D1451" t="n">
        <v>13.12</v>
      </c>
      <c r="E1451" t="n">
        <v>1049.238</v>
      </c>
      <c r="F1451" t="n">
        <v>3844.751</v>
      </c>
      <c r="G1451" t="n">
        <v>11.956</v>
      </c>
      <c r="H1451">
        <f>E1451/F1451</f>
        <v/>
      </c>
      <c r="I1451">
        <f>((H1451-$J$1408)/$I$1408)</f>
        <v/>
      </c>
      <c r="J1451">
        <f>(I1451-IF(I1416&gt;0,I1416,0))</f>
        <v/>
      </c>
      <c r="K1451">
        <f>J1451/R1433*1.1</f>
        <v/>
      </c>
    </row>
    <row r="1452">
      <c r="A1452" t="n">
        <v>44</v>
      </c>
      <c r="B1452" t="inlineStr">
        <is>
          <t>K3-4C</t>
        </is>
      </c>
      <c r="D1452" t="n">
        <v>13.2</v>
      </c>
      <c r="E1452" t="n">
        <v>832.063</v>
      </c>
      <c r="F1452" t="n">
        <v>3926.421</v>
      </c>
      <c r="G1452" t="n">
        <v>10.266</v>
      </c>
      <c r="H1452">
        <f>E1452/F1452</f>
        <v/>
      </c>
      <c r="I1452">
        <f>((H1452-$J$1408)/$I$1408)</f>
        <v/>
      </c>
      <c r="J1452">
        <f>(I1452-IF(I1416&gt;0,I1416,0))</f>
        <v/>
      </c>
      <c r="K1452">
        <f>J1452/R1434*1.1</f>
        <v/>
      </c>
      <c r="L1452" s="23" t="n"/>
      <c r="M1452" s="23" t="n"/>
      <c r="N1452" s="9" t="n"/>
    </row>
    <row r="1453">
      <c r="A1453" t="n">
        <v>45</v>
      </c>
      <c r="B1453" t="inlineStr">
        <is>
          <t>MeOH</t>
        </is>
      </c>
      <c r="L1453" s="23" t="inlineStr">
        <is>
          <t>Average</t>
        </is>
      </c>
      <c r="M1453" s="23" t="inlineStr">
        <is>
          <t>Stdev</t>
        </is>
      </c>
      <c r="N1453" s="9" t="inlineStr">
        <is>
          <t>Combined</t>
        </is>
      </c>
    </row>
    <row r="1454">
      <c r="A1454" t="n">
        <v>46</v>
      </c>
      <c r="B1454" t="inlineStr">
        <is>
          <t>K3-6A</t>
        </is>
      </c>
      <c r="D1454" t="n">
        <v>13.17</v>
      </c>
      <c r="E1454" t="n">
        <v>1082.883</v>
      </c>
      <c r="F1454" t="n">
        <v>4791.03</v>
      </c>
      <c r="G1454" t="n">
        <v>8.803000000000001</v>
      </c>
      <c r="H1454">
        <f>E1454/F1454</f>
        <v/>
      </c>
      <c r="I1454">
        <f>((H1454-$J$1408)/$I$1408)</f>
        <v/>
      </c>
      <c r="J1454">
        <f>(I1454-IF(I1416&gt;0,I1416,0))</f>
        <v/>
      </c>
      <c r="K1454">
        <f>J1454/R1435*1.1</f>
        <v/>
      </c>
      <c r="L1454">
        <f>AVERAGE(K1454:K1456)</f>
        <v/>
      </c>
      <c r="M1454">
        <f>STDEV(K1455:K1456)</f>
        <v/>
      </c>
      <c r="N1454">
        <f>_xlfn.CONCAT(ROUND(L1454,1)," ± ",ROUND(M1454,1))</f>
        <v/>
      </c>
    </row>
    <row r="1455">
      <c r="A1455" t="n">
        <v>47</v>
      </c>
      <c r="B1455" t="inlineStr">
        <is>
          <t>K3-6B</t>
        </is>
      </c>
      <c r="D1455" t="n">
        <v>13.18</v>
      </c>
      <c r="E1455" t="n">
        <v>431.61</v>
      </c>
      <c r="F1455" t="n">
        <v>3140.853</v>
      </c>
      <c r="G1455" t="n">
        <v>4.082</v>
      </c>
      <c r="H1455">
        <f>E1455/F1455</f>
        <v/>
      </c>
      <c r="I1455">
        <f>((H1455-$J$1408)/$I$1408)</f>
        <v/>
      </c>
      <c r="J1455">
        <f>(I1455-IF(I1416&gt;0,I1416,0))</f>
        <v/>
      </c>
      <c r="K1455">
        <f>J1455/R1436*1.1</f>
        <v/>
      </c>
    </row>
    <row r="1456">
      <c r="A1456" t="n">
        <v>48</v>
      </c>
      <c r="B1456" t="inlineStr">
        <is>
          <t>K3-6C</t>
        </is>
      </c>
      <c r="D1456" t="n">
        <v>13.15</v>
      </c>
      <c r="E1456" t="n">
        <v>760.162</v>
      </c>
      <c r="F1456" t="n">
        <v>3659.982</v>
      </c>
      <c r="G1456" t="n">
        <v>12.368</v>
      </c>
      <c r="H1456">
        <f>E1456/F1456</f>
        <v/>
      </c>
      <c r="I1456">
        <f>((H1456-$J$1408)/$I$1408)</f>
        <v/>
      </c>
      <c r="J1456">
        <f>(I1456-IF(I1416&gt;0,I1416,0))</f>
        <v/>
      </c>
      <c r="K1456">
        <f>J1456/R1437*1.1</f>
        <v/>
      </c>
      <c r="L1456" s="23" t="n"/>
      <c r="M1456" s="23" t="n"/>
      <c r="N1456" s="9" t="n"/>
    </row>
    <row r="1458">
      <c r="A1458" s="15" t="inlineStr">
        <is>
          <t>Compound 65:  NBP2</t>
        </is>
      </c>
      <c r="B1458" s="15" t="n"/>
    </row>
    <row r="1459">
      <c r="F1459" t="inlineStr">
        <is>
          <t>6:2 FTUCA</t>
        </is>
      </c>
      <c r="I1459" t="inlineStr">
        <is>
          <t>LINEST</t>
        </is>
      </c>
      <c r="Q1459" t="inlineStr">
        <is>
          <t>Biosolids Masses</t>
        </is>
      </c>
      <c r="R1459" t="inlineStr">
        <is>
          <t>(g)</t>
        </is>
      </c>
    </row>
    <row r="1460">
      <c r="B1460" t="inlineStr">
        <is>
          <t>Sample Text</t>
        </is>
      </c>
      <c r="C1460" t="inlineStr">
        <is>
          <t>Std. Conc</t>
        </is>
      </c>
      <c r="D1460" t="inlineStr">
        <is>
          <t>RT</t>
        </is>
      </c>
      <c r="E1460" t="inlineStr">
        <is>
          <t>Area</t>
        </is>
      </c>
      <c r="F1460" t="inlineStr">
        <is>
          <t>IS Area</t>
        </is>
      </c>
      <c r="G1460" t="inlineStr">
        <is>
          <t>S/N</t>
        </is>
      </c>
      <c r="H1460" t="inlineStr">
        <is>
          <t>ratio</t>
        </is>
      </c>
      <c r="I1460">
        <f t="array" ref="I1460:J1464">LINEST(H1462:H1468,C1462:C1468,1,1)</f>
        <v/>
      </c>
      <c r="J1460" t="n">
        <v>0.03227334696524653</v>
      </c>
      <c r="L1460" s="20" t="inlineStr">
        <is>
          <t>By S/N Ratio</t>
        </is>
      </c>
      <c r="Q1460" t="inlineStr">
        <is>
          <t>SS1</t>
        </is>
      </c>
      <c r="R1460" t="n">
        <v>1.0846</v>
      </c>
    </row>
    <row r="1461">
      <c r="A1461" t="n">
        <v>1</v>
      </c>
      <c r="B1461" t="inlineStr">
        <is>
          <t>EPA1633 &amp; diPAPs Calibration 0 ppb</t>
        </is>
      </c>
      <c r="C1461" t="n">
        <v>0</v>
      </c>
      <c r="D1461" t="n">
        <v>11.08</v>
      </c>
      <c r="E1461" t="n">
        <v>112.808</v>
      </c>
      <c r="F1461" t="n">
        <v>8287.344999999999</v>
      </c>
      <c r="G1461" t="n">
        <v>969</v>
      </c>
      <c r="H1461">
        <f>E1461/F1461</f>
        <v/>
      </c>
      <c r="I1461" t="n">
        <v>0.001647199735481831</v>
      </c>
      <c r="J1461" t="n">
        <v>0.0428431806466328</v>
      </c>
      <c r="K1461" t="inlineStr">
        <is>
          <t>LOD</t>
        </is>
      </c>
      <c r="L1461" s="21">
        <f>IF(G1464&gt;3,C1464,IF(G1465&gt;3,C1465,IF(G1466&gt;3,C1466,IF(G1467&gt;3,C1467,C1468))))</f>
        <v/>
      </c>
      <c r="Q1461" t="inlineStr">
        <is>
          <t>SS2</t>
        </is>
      </c>
      <c r="R1461" t="n">
        <v>1.0726</v>
      </c>
    </row>
    <row r="1462">
      <c r="A1462" t="n">
        <v>2</v>
      </c>
      <c r="B1462" t="inlineStr">
        <is>
          <t>EPA1633 &amp; diPAPs Calibration 0.02 ppb</t>
        </is>
      </c>
      <c r="C1462" t="n">
        <v>0.06</v>
      </c>
      <c r="D1462" t="n">
        <v>11.11</v>
      </c>
      <c r="E1462" t="n">
        <v>181.578</v>
      </c>
      <c r="F1462" t="n">
        <v>8357.611999999999</v>
      </c>
      <c r="G1462" t="n">
        <v>1583</v>
      </c>
      <c r="H1462">
        <f>E1462/F1462</f>
        <v/>
      </c>
      <c r="I1462" t="n">
        <v>0.996321770827675</v>
      </c>
      <c r="J1462" t="n">
        <v>0.09053251736447204</v>
      </c>
      <c r="K1462" t="inlineStr">
        <is>
          <t>LOQ</t>
        </is>
      </c>
      <c r="L1462" s="22">
        <f>IF(G1464&gt;10,C1464,IF(G1465&gt;10,C1465,IF(G1466&gt;10,C1466,IF(G1467&gt;10,C1467,C1468))))</f>
        <v/>
      </c>
      <c r="Q1462" t="inlineStr">
        <is>
          <t>SS3</t>
        </is>
      </c>
      <c r="R1462" t="n">
        <v>1.1534</v>
      </c>
    </row>
    <row r="1463">
      <c r="A1463" t="n">
        <v>3</v>
      </c>
      <c r="B1463" t="inlineStr">
        <is>
          <t>EPA1633 &amp; diPAPs Calibration 0.1 ppb</t>
        </is>
      </c>
      <c r="C1463" t="n">
        <v>0.3</v>
      </c>
      <c r="D1463" t="n">
        <v>11.08</v>
      </c>
      <c r="E1463" t="n">
        <v>531.147</v>
      </c>
      <c r="F1463" t="n">
        <v>7538.169</v>
      </c>
      <c r="G1463" t="n">
        <v>5081</v>
      </c>
      <c r="H1463">
        <f>E1463/F1463</f>
        <v/>
      </c>
      <c r="I1463" t="n">
        <v>1354.349775598545</v>
      </c>
      <c r="J1463" t="n">
        <v>5</v>
      </c>
      <c r="Q1463" t="inlineStr">
        <is>
          <t>K4-1A</t>
        </is>
      </c>
      <c r="R1463" t="n">
        <v>1.0267</v>
      </c>
    </row>
    <row r="1464">
      <c r="A1464" t="n">
        <v>4</v>
      </c>
      <c r="B1464" t="inlineStr">
        <is>
          <t>EPA1633 &amp; diPAPs Calibration 0.4 ppb</t>
        </is>
      </c>
      <c r="C1464" t="n">
        <v>1.2</v>
      </c>
      <c r="D1464" t="n">
        <v>11.09</v>
      </c>
      <c r="E1464" t="n">
        <v>1579.271</v>
      </c>
      <c r="F1464" t="n">
        <v>7199.022</v>
      </c>
      <c r="G1464" t="n">
        <v>114.033</v>
      </c>
      <c r="H1464">
        <f>E1464/F1464</f>
        <v/>
      </c>
      <c r="I1464" t="n">
        <v>11.1004359008919</v>
      </c>
      <c r="J1464" t="n">
        <v>0.04098068350174216</v>
      </c>
      <c r="Q1464" t="inlineStr">
        <is>
          <t>K4-1B</t>
        </is>
      </c>
      <c r="R1464" t="n">
        <v>1.1481</v>
      </c>
    </row>
    <row r="1465">
      <c r="A1465" t="n">
        <v>5</v>
      </c>
      <c r="B1465" t="inlineStr">
        <is>
          <t>EPA1633 &amp; diPAPs Calibration 1 ppb</t>
        </is>
      </c>
      <c r="C1465" t="n">
        <v>3</v>
      </c>
      <c r="D1465" t="n">
        <v>11.1</v>
      </c>
      <c r="E1465" t="n">
        <v>1080.139</v>
      </c>
      <c r="F1465" t="n">
        <v>9350.769</v>
      </c>
      <c r="G1465" t="n">
        <v>16.943</v>
      </c>
      <c r="H1465">
        <f>E1465/F1465</f>
        <v/>
      </c>
      <c r="Q1465" t="inlineStr">
        <is>
          <t>K4-1C</t>
        </is>
      </c>
      <c r="R1465" t="n">
        <v>1.0402</v>
      </c>
    </row>
    <row r="1466">
      <c r="A1466" t="n">
        <v>6</v>
      </c>
      <c r="B1466" t="inlineStr">
        <is>
          <t>EPA1633 &amp; diPAPs Calibration 5 ppb</t>
        </is>
      </c>
      <c r="C1466" t="n">
        <v>15</v>
      </c>
      <c r="D1466" t="n">
        <v>10.99</v>
      </c>
      <c r="E1466" t="n">
        <v>7963.25</v>
      </c>
      <c r="F1466" t="n">
        <v>9389.059999999999</v>
      </c>
      <c r="G1466" t="n">
        <v>282.99</v>
      </c>
      <c r="H1466">
        <f>E1466/F1466</f>
        <v/>
      </c>
      <c r="Q1466" t="inlineStr">
        <is>
          <t>K4-2A</t>
        </is>
      </c>
      <c r="R1466" t="n">
        <v>1.127</v>
      </c>
    </row>
    <row r="1467">
      <c r="A1467" t="n">
        <v>7</v>
      </c>
      <c r="B1467" t="inlineStr">
        <is>
          <t>EPA1633 &amp; diPAPs Calibration 10 ppb</t>
        </is>
      </c>
      <c r="C1467" t="n">
        <v>30</v>
      </c>
      <c r="D1467" t="n">
        <v>11.03</v>
      </c>
      <c r="E1467" t="n">
        <v>14812.25</v>
      </c>
      <c r="F1467" t="n">
        <v>7624.321</v>
      </c>
      <c r="G1467" t="n">
        <v>128640</v>
      </c>
      <c r="H1467">
        <f>E1467/F1467</f>
        <v/>
      </c>
      <c r="I1467" s="23" t="inlineStr">
        <is>
          <t>Background</t>
        </is>
      </c>
      <c r="J1467" s="23" t="inlineStr">
        <is>
          <t>Spike</t>
        </is>
      </c>
      <c r="K1467" s="9" t="inlineStr">
        <is>
          <t>Old Spike</t>
        </is>
      </c>
      <c r="O1467" s="24" t="inlineStr">
        <is>
          <t>±</t>
        </is>
      </c>
      <c r="Q1467" t="inlineStr">
        <is>
          <t>K4-2B</t>
        </is>
      </c>
      <c r="R1467" t="n">
        <v>1.1154</v>
      </c>
    </row>
    <row r="1468">
      <c r="A1468" t="n">
        <v>8</v>
      </c>
      <c r="B1468" t="inlineStr">
        <is>
          <t>EPA1633 &amp; diPAPs Calibration 20 ppb</t>
        </is>
      </c>
      <c r="C1468" t="n">
        <v>60</v>
      </c>
      <c r="D1468" t="n">
        <v>11.06</v>
      </c>
      <c r="E1468" t="n">
        <v>30525.117</v>
      </c>
      <c r="F1468" t="n">
        <v>8364.425999999999</v>
      </c>
      <c r="G1468" t="n">
        <v>977.7089999999999</v>
      </c>
      <c r="H1468">
        <f>E1468/F1468</f>
        <v/>
      </c>
      <c r="I1468">
        <f>AVERAGE(I1471:I1473)</f>
        <v/>
      </c>
      <c r="J1468" t="n">
        <v>33</v>
      </c>
      <c r="Q1468" t="inlineStr">
        <is>
          <t>K4-2C</t>
        </is>
      </c>
      <c r="R1468" t="n">
        <v>1.1711</v>
      </c>
    </row>
    <row r="1469">
      <c r="A1469" t="n">
        <v>9</v>
      </c>
      <c r="B1469" t="inlineStr">
        <is>
          <t>MeOH</t>
        </is>
      </c>
      <c r="I1469" s="23" t="inlineStr">
        <is>
          <t>Conc.In Vial (ppb)</t>
        </is>
      </c>
      <c r="J1469" s="9" t="inlineStr">
        <is>
          <t>Corr. Conc.(ppb)</t>
        </is>
      </c>
      <c r="K1469" s="9" t="inlineStr">
        <is>
          <t>Conc. In soil (ng/g)</t>
        </is>
      </c>
      <c r="Q1469" t="inlineStr">
        <is>
          <t>K4-4A</t>
        </is>
      </c>
      <c r="R1469" t="n">
        <v>1.0932</v>
      </c>
    </row>
    <row r="1470">
      <c r="A1470" t="n">
        <v>10</v>
      </c>
      <c r="B1470" t="inlineStr">
        <is>
          <t>MeOH</t>
        </is>
      </c>
      <c r="L1470" s="23" t="inlineStr">
        <is>
          <t>Average</t>
        </is>
      </c>
      <c r="M1470" s="23" t="inlineStr">
        <is>
          <t>Stdev</t>
        </is>
      </c>
      <c r="N1470" s="9" t="inlineStr">
        <is>
          <t>Combined</t>
        </is>
      </c>
      <c r="O1470" s="9" t="n"/>
      <c r="P1470" s="9" t="n"/>
      <c r="Q1470" t="inlineStr">
        <is>
          <t>K4-4B</t>
        </is>
      </c>
      <c r="R1470" t="n">
        <v>1.15</v>
      </c>
    </row>
    <row r="1471">
      <c r="A1471" t="n">
        <v>11</v>
      </c>
      <c r="B1471" t="inlineStr">
        <is>
          <t>SB1</t>
        </is>
      </c>
      <c r="D1471" t="n">
        <v>11.09</v>
      </c>
      <c r="E1471" t="n">
        <v>86.66500000000001</v>
      </c>
      <c r="F1471" t="n">
        <v>3709.376</v>
      </c>
      <c r="G1471" t="n">
        <v>757</v>
      </c>
      <c r="H1471">
        <f>E1471/F1471</f>
        <v/>
      </c>
      <c r="I1471">
        <f>((H1471-$J$1460)/$I$1460)</f>
        <v/>
      </c>
      <c r="J1471">
        <f>(I1471-IF(I1468&gt;0,I1468,0))</f>
        <v/>
      </c>
      <c r="K1471">
        <f>J1471*1.1</f>
        <v/>
      </c>
      <c r="L1471">
        <f>AVERAGE(K1471:K1473)</f>
        <v/>
      </c>
      <c r="M1471">
        <f>STDEV(K1472:K1473)</f>
        <v/>
      </c>
      <c r="N1471">
        <f>_xlfn.CONCAT(ROUND(L1471,1)," ± ",ROUND(M1471,1))</f>
        <v/>
      </c>
      <c r="Q1471" t="inlineStr">
        <is>
          <t>K4-4C</t>
        </is>
      </c>
      <c r="R1471" t="n">
        <v>1.0482</v>
      </c>
    </row>
    <row r="1472">
      <c r="A1472" t="n">
        <v>12</v>
      </c>
      <c r="B1472" t="inlineStr">
        <is>
          <t>SB2</t>
        </is>
      </c>
      <c r="F1472" t="n">
        <v>3604.751</v>
      </c>
      <c r="H1472">
        <f>E1472/F1472</f>
        <v/>
      </c>
      <c r="I1472">
        <f>((H1472-$J$1460)/$I$1460)</f>
        <v/>
      </c>
      <c r="J1472">
        <f>(I1472-IF(I1468&gt;0,I1468,0))</f>
        <v/>
      </c>
      <c r="K1472">
        <f>J1472*1.1</f>
        <v/>
      </c>
      <c r="Q1472" t="inlineStr">
        <is>
          <t>K4-5A</t>
        </is>
      </c>
      <c r="R1472" t="n">
        <v>1.1054</v>
      </c>
    </row>
    <row r="1473">
      <c r="A1473" t="n">
        <v>13</v>
      </c>
      <c r="B1473" t="inlineStr">
        <is>
          <t>SB3</t>
        </is>
      </c>
      <c r="F1473" t="n">
        <v>3442.013</v>
      </c>
      <c r="H1473">
        <f>E1473/F1473</f>
        <v/>
      </c>
      <c r="I1473">
        <f>((H1473-$J$1460)/$I$1460)</f>
        <v/>
      </c>
      <c r="J1473">
        <f>(I1473-IF(I1468&gt;0,I1468,0))</f>
        <v/>
      </c>
      <c r="K1473" s="30">
        <f>J1473*1.1</f>
        <v/>
      </c>
      <c r="L1473" s="25" t="inlineStr">
        <is>
          <t>Average</t>
        </is>
      </c>
      <c r="M1473" s="25" t="inlineStr">
        <is>
          <t>Stdev</t>
        </is>
      </c>
      <c r="N1473" s="26" t="inlineStr">
        <is>
          <t>%Recovery</t>
        </is>
      </c>
      <c r="O1473" s="26" t="inlineStr">
        <is>
          <t>Uncertainty</t>
        </is>
      </c>
      <c r="P1473" s="26" t="inlineStr">
        <is>
          <t>Combined</t>
        </is>
      </c>
      <c r="Q1473" t="inlineStr">
        <is>
          <t>K4-5B</t>
        </is>
      </c>
      <c r="R1473" s="10" t="n">
        <v>1.0463</v>
      </c>
    </row>
    <row r="1474">
      <c r="A1474" t="n">
        <v>14</v>
      </c>
      <c r="B1474" t="inlineStr">
        <is>
          <t>SS1</t>
        </is>
      </c>
      <c r="D1474" t="n">
        <v>11.15</v>
      </c>
      <c r="E1474" t="n">
        <v>5705.678</v>
      </c>
      <c r="F1474" t="n">
        <v>4461.313</v>
      </c>
      <c r="G1474" t="n">
        <v>97.92400000000001</v>
      </c>
      <c r="H1474">
        <f>E1474/F1474</f>
        <v/>
      </c>
      <c r="I1474">
        <f>((H1474-$J$1460)/$I$1460)</f>
        <v/>
      </c>
      <c r="J1474">
        <f>(I1474-IF(I1468&gt;0,I1468,0))</f>
        <v/>
      </c>
      <c r="K1474">
        <f>J1474/R1460*1.1</f>
        <v/>
      </c>
      <c r="L1474" s="27">
        <f>AVERAGE(K1474:K1476)</f>
        <v/>
      </c>
      <c r="M1474" s="27">
        <f>STDEV(K1474:K1476)</f>
        <v/>
      </c>
      <c r="N1474" s="28">
        <f>L1474/J1468*100</f>
        <v/>
      </c>
      <c r="O1474" s="29">
        <f>M1474/J1471*100</f>
        <v/>
      </c>
      <c r="P1474" s="29">
        <f>_xlfn.CONCAT(ROUND(N1474,1)," ± ",ROUND(O1474,1))</f>
        <v/>
      </c>
      <c r="Q1474" t="inlineStr">
        <is>
          <t>K4-5C</t>
        </is>
      </c>
      <c r="R1474" t="n">
        <v>1.1155</v>
      </c>
    </row>
    <row r="1475">
      <c r="A1475" t="n">
        <v>15</v>
      </c>
      <c r="B1475" t="inlineStr">
        <is>
          <t>SS2</t>
        </is>
      </c>
      <c r="D1475" t="n">
        <v>11.15</v>
      </c>
      <c r="E1475" t="n">
        <v>5567.703</v>
      </c>
      <c r="F1475" t="n">
        <v>4239.469</v>
      </c>
      <c r="G1475" t="n">
        <v>101.452</v>
      </c>
      <c r="H1475">
        <f>E1475/F1475</f>
        <v/>
      </c>
      <c r="I1475">
        <f>((H1475-$J$1460)/$I$1460)</f>
        <v/>
      </c>
      <c r="J1475">
        <f>(I1475-IF(I1468&gt;0,I1468,0))</f>
        <v/>
      </c>
      <c r="K1475">
        <f>J1475/R1461*1.1</f>
        <v/>
      </c>
      <c r="Q1475" t="inlineStr">
        <is>
          <t>K3-1A</t>
        </is>
      </c>
      <c r="R1475" t="n">
        <v>1.0874</v>
      </c>
    </row>
    <row r="1476">
      <c r="A1476" t="n">
        <v>16</v>
      </c>
      <c r="B1476" t="inlineStr">
        <is>
          <t>SS3</t>
        </is>
      </c>
      <c r="D1476" t="n">
        <v>11.16</v>
      </c>
      <c r="E1476" t="n">
        <v>5354.171</v>
      </c>
      <c r="F1476" t="n">
        <v>4423.033</v>
      </c>
      <c r="G1476" t="n">
        <v>47948</v>
      </c>
      <c r="H1476">
        <f>E1476/F1476</f>
        <v/>
      </c>
      <c r="I1476">
        <f>((H1476-$J$1460)/$I$1460)</f>
        <v/>
      </c>
      <c r="J1476">
        <f>(I1476-IF(I1468&gt;0,I1468,0))</f>
        <v/>
      </c>
      <c r="K1476" s="30">
        <f>J1476/R1462*1.1</f>
        <v/>
      </c>
      <c r="Q1476" t="inlineStr">
        <is>
          <t>K3-1B</t>
        </is>
      </c>
      <c r="R1476" t="n">
        <v>1.0898</v>
      </c>
    </row>
    <row r="1477">
      <c r="A1477" t="n">
        <v>17</v>
      </c>
      <c r="B1477" t="inlineStr">
        <is>
          <t>MeOH</t>
        </is>
      </c>
      <c r="L1477" s="23" t="inlineStr">
        <is>
          <t>Average</t>
        </is>
      </c>
      <c r="M1477" s="23" t="inlineStr">
        <is>
          <t>Stdev</t>
        </is>
      </c>
      <c r="N1477" s="9" t="inlineStr">
        <is>
          <t>Combined</t>
        </is>
      </c>
      <c r="Q1477" t="inlineStr">
        <is>
          <t>K3-1C</t>
        </is>
      </c>
      <c r="R1477" t="n">
        <v>1.0536</v>
      </c>
    </row>
    <row r="1478">
      <c r="A1478" t="n">
        <v>18</v>
      </c>
      <c r="B1478" t="inlineStr">
        <is>
          <t>K4-1A</t>
        </is>
      </c>
      <c r="D1478" t="n">
        <v>10.89</v>
      </c>
      <c r="E1478" t="n">
        <v>5.108</v>
      </c>
      <c r="F1478" t="n">
        <v>5588.792</v>
      </c>
      <c r="G1478" t="n">
        <v>50</v>
      </c>
      <c r="H1478">
        <f>E1478/F1478</f>
        <v/>
      </c>
      <c r="I1478">
        <f>((H1478-$J$1460)/$I$1460)</f>
        <v/>
      </c>
      <c r="J1478">
        <f>(I1478-IF(I1468&gt;0,I1468,0))</f>
        <v/>
      </c>
      <c r="K1478">
        <f>J1478/R1463*1.1</f>
        <v/>
      </c>
      <c r="L1478">
        <f>AVERAGE(K1478:K1480)</f>
        <v/>
      </c>
      <c r="M1478">
        <f>STDEV(K1479:K1480)</f>
        <v/>
      </c>
      <c r="N1478">
        <f>_xlfn.CONCAT(ROUND(L1478,1)," ± ",ROUND(M1478,1))</f>
        <v/>
      </c>
      <c r="Q1478" t="inlineStr">
        <is>
          <t>K3-2A</t>
        </is>
      </c>
      <c r="R1478" s="10" t="n">
        <v>1.1218</v>
      </c>
    </row>
    <row r="1479">
      <c r="A1479" t="n">
        <v>19</v>
      </c>
      <c r="B1479" t="inlineStr">
        <is>
          <t>K4-1B</t>
        </is>
      </c>
      <c r="F1479" t="n">
        <v>6612.543</v>
      </c>
      <c r="H1479">
        <f>E1479/F1479</f>
        <v/>
      </c>
      <c r="I1479">
        <f>((H1479-$J$1460)/$I$1460)</f>
        <v/>
      </c>
      <c r="J1479">
        <f>(I1479-IF(I1468&gt;0,I1468,0))</f>
        <v/>
      </c>
      <c r="K1479">
        <f>J1479/R1464*1.1</f>
        <v/>
      </c>
      <c r="Q1479" t="inlineStr">
        <is>
          <t>K3-2B</t>
        </is>
      </c>
      <c r="R1479" t="n">
        <v>1.198</v>
      </c>
    </row>
    <row r="1480">
      <c r="A1480" t="n">
        <v>20</v>
      </c>
      <c r="B1480" t="inlineStr">
        <is>
          <t>K4-1C</t>
        </is>
      </c>
      <c r="D1480" t="n">
        <v>11.13</v>
      </c>
      <c r="E1480" t="n">
        <v>3.463</v>
      </c>
      <c r="F1480" t="n">
        <v>6643.125</v>
      </c>
      <c r="G1480" t="n">
        <v>34</v>
      </c>
      <c r="H1480">
        <f>E1480/F1480</f>
        <v/>
      </c>
      <c r="I1480">
        <f>((H1480-$J$1460)/$I$1460)</f>
        <v/>
      </c>
      <c r="J1480">
        <f>(I1480-IF(I1468&gt;0,I1468,0))</f>
        <v/>
      </c>
      <c r="K1480">
        <f>J1480/R1465*1.1</f>
        <v/>
      </c>
      <c r="L1480" s="23" t="inlineStr">
        <is>
          <t>Average</t>
        </is>
      </c>
      <c r="M1480" s="23" t="inlineStr">
        <is>
          <t>Stdev</t>
        </is>
      </c>
      <c r="N1480" s="9" t="inlineStr">
        <is>
          <t>Combined</t>
        </is>
      </c>
      <c r="Q1480" t="inlineStr">
        <is>
          <t>K3-2C</t>
        </is>
      </c>
      <c r="R1480" t="n">
        <v>1.1538</v>
      </c>
    </row>
    <row r="1481">
      <c r="A1481" t="n">
        <v>21</v>
      </c>
      <c r="B1481" t="inlineStr">
        <is>
          <t>K4-2A</t>
        </is>
      </c>
      <c r="F1481" t="n">
        <v>7255.147</v>
      </c>
      <c r="H1481">
        <f>E1481/F1481</f>
        <v/>
      </c>
      <c r="I1481">
        <f>((H1481-$J$1460)/$I$1460)</f>
        <v/>
      </c>
      <c r="J1481">
        <f>(I1481-IF(I1468&gt;0,I1468,0))</f>
        <v/>
      </c>
      <c r="K1481">
        <f>J1481/R1466*1.1</f>
        <v/>
      </c>
      <c r="L1481">
        <f>AVERAGE(K1481:K1483)</f>
        <v/>
      </c>
      <c r="M1481">
        <f>STDEV(K1481:K1483)</f>
        <v/>
      </c>
      <c r="N1481">
        <f>_xlfn.CONCAT(ROUND(L1481,1)," ± ",ROUND(M1481,1))</f>
        <v/>
      </c>
      <c r="Q1481" t="inlineStr">
        <is>
          <t>K3-3A</t>
        </is>
      </c>
      <c r="R1481" t="n">
        <v>1.1183</v>
      </c>
    </row>
    <row r="1482">
      <c r="A1482" t="n">
        <v>22</v>
      </c>
      <c r="B1482" t="inlineStr">
        <is>
          <t>K4-2B</t>
        </is>
      </c>
      <c r="F1482" t="n">
        <v>5489.167</v>
      </c>
      <c r="H1482">
        <f>E1482/F1482</f>
        <v/>
      </c>
      <c r="I1482">
        <f>((H1482-$J$1460)/$I$1460)</f>
        <v/>
      </c>
      <c r="J1482">
        <f>(I1482-IF(I1468&gt;0,I1468,0))</f>
        <v/>
      </c>
      <c r="K1482">
        <f>J1482/R1467*1.1</f>
        <v/>
      </c>
      <c r="Q1482" t="inlineStr">
        <is>
          <t>K3-3B</t>
        </is>
      </c>
      <c r="R1482" t="n">
        <v>1.1448</v>
      </c>
    </row>
    <row r="1483">
      <c r="A1483" t="n">
        <v>23</v>
      </c>
      <c r="B1483" t="inlineStr">
        <is>
          <t>K4-2C</t>
        </is>
      </c>
      <c r="F1483" t="n">
        <v>5628.638</v>
      </c>
      <c r="H1483">
        <f>E1483/F1483</f>
        <v/>
      </c>
      <c r="I1483">
        <f>((H1483-$J$1460)/$I$1460)</f>
        <v/>
      </c>
      <c r="J1483">
        <f>(I1483-IF(I1468&gt;0,I1468,0))</f>
        <v/>
      </c>
      <c r="K1483">
        <f>J1483/R1468*1.1</f>
        <v/>
      </c>
      <c r="L1483" s="23" t="n"/>
      <c r="M1483" s="23" t="n"/>
      <c r="N1483" s="9" t="n"/>
      <c r="Q1483" t="inlineStr">
        <is>
          <t>K3-3C</t>
        </is>
      </c>
      <c r="R1483" t="n">
        <v>1.0493</v>
      </c>
    </row>
    <row r="1484">
      <c r="A1484" t="n">
        <v>24</v>
      </c>
      <c r="B1484" t="inlineStr">
        <is>
          <t>MeOH</t>
        </is>
      </c>
      <c r="L1484" s="23" t="inlineStr">
        <is>
          <t>Average</t>
        </is>
      </c>
      <c r="M1484" s="23" t="inlineStr">
        <is>
          <t>Stdev</t>
        </is>
      </c>
      <c r="N1484" s="9" t="inlineStr">
        <is>
          <t>Combined</t>
        </is>
      </c>
      <c r="Q1484" t="inlineStr">
        <is>
          <t>K3-4A</t>
        </is>
      </c>
      <c r="R1484" t="n">
        <v>1.0704</v>
      </c>
    </row>
    <row r="1485">
      <c r="A1485" t="n">
        <v>25</v>
      </c>
      <c r="B1485" t="inlineStr">
        <is>
          <t>K4-4A</t>
        </is>
      </c>
      <c r="F1485" t="n">
        <v>6112.31</v>
      </c>
      <c r="H1485">
        <f>E1485/F1485</f>
        <v/>
      </c>
      <c r="I1485">
        <f>((H1485-$J$1460)/$I$1460)</f>
        <v/>
      </c>
      <c r="J1485">
        <f>(I1485-IF(I1468&gt;0,I1468,0))</f>
        <v/>
      </c>
      <c r="K1485">
        <f>J1485/R1469*1.1</f>
        <v/>
      </c>
      <c r="L1485">
        <f>AVERAGE(K1485:K1487)</f>
        <v/>
      </c>
      <c r="M1485">
        <f>STDEV(K1486:K1487)</f>
        <v/>
      </c>
      <c r="N1485">
        <f>_xlfn.CONCAT(ROUND(L1485,1)," ± ",ROUND(M1485,1))</f>
        <v/>
      </c>
      <c r="Q1485" t="inlineStr">
        <is>
          <t>K3-4B</t>
        </is>
      </c>
      <c r="R1485" t="n">
        <v>1.1589</v>
      </c>
    </row>
    <row r="1486">
      <c r="A1486" t="n">
        <v>26</v>
      </c>
      <c r="B1486" t="inlineStr">
        <is>
          <t>K4-4B</t>
        </is>
      </c>
      <c r="F1486" t="n">
        <v>5729.232</v>
      </c>
      <c r="H1486">
        <f>E1486/F1486</f>
        <v/>
      </c>
      <c r="I1486">
        <f>((H1486-$J$1460)/$I$1460)</f>
        <v/>
      </c>
      <c r="J1486">
        <f>(I1486-IF(I1468&gt;0,I1468,0))</f>
        <v/>
      </c>
      <c r="K1486">
        <f>J1486/R1470*1.1</f>
        <v/>
      </c>
      <c r="Q1486" t="inlineStr">
        <is>
          <t>K3-4C</t>
        </is>
      </c>
      <c r="R1486" t="n">
        <v>1.0206</v>
      </c>
    </row>
    <row r="1487">
      <c r="A1487" t="n">
        <v>27</v>
      </c>
      <c r="B1487" t="inlineStr">
        <is>
          <t>K4-4C</t>
        </is>
      </c>
      <c r="D1487" t="n">
        <v>11.05</v>
      </c>
      <c r="E1487" t="n">
        <v>0.306</v>
      </c>
      <c r="F1487" t="n">
        <v>6337.776</v>
      </c>
      <c r="G1487" t="n">
        <v>3</v>
      </c>
      <c r="H1487">
        <f>E1487/F1487</f>
        <v/>
      </c>
      <c r="I1487">
        <f>((H1487-$J$1460)/$I$1460)</f>
        <v/>
      </c>
      <c r="J1487">
        <f>(I1487-IF(I1468&gt;0,I1468,0))</f>
        <v/>
      </c>
      <c r="K1487">
        <f>J1487/R1471*1.1</f>
        <v/>
      </c>
      <c r="L1487" s="23" t="inlineStr">
        <is>
          <t>Average</t>
        </is>
      </c>
      <c r="M1487" s="23" t="inlineStr">
        <is>
          <t>Stdev</t>
        </is>
      </c>
      <c r="N1487" s="9" t="inlineStr">
        <is>
          <t>Combined</t>
        </is>
      </c>
      <c r="Q1487" t="inlineStr">
        <is>
          <t>K3-6A</t>
        </is>
      </c>
      <c r="R1487" t="n">
        <v>1.1289</v>
      </c>
    </row>
    <row r="1488">
      <c r="A1488" t="n">
        <v>28</v>
      </c>
      <c r="B1488" t="inlineStr">
        <is>
          <t>K4-5A</t>
        </is>
      </c>
      <c r="F1488" t="n">
        <v>5644.241</v>
      </c>
      <c r="H1488">
        <f>E1488/F1488</f>
        <v/>
      </c>
      <c r="I1488">
        <f>((H1488-$J$1460)/$I$1460)</f>
        <v/>
      </c>
      <c r="J1488">
        <f>(I1488-IF(I1468&gt;0,I1468,0))</f>
        <v/>
      </c>
      <c r="K1488">
        <f>J1488/R1472*1.1</f>
        <v/>
      </c>
      <c r="L1488">
        <f>AVERAGE(K1488:K1490)</f>
        <v/>
      </c>
      <c r="M1488">
        <f>STDEV(K1488:K1490)</f>
        <v/>
      </c>
      <c r="N1488">
        <f>_xlfn.CONCAT(ROUND(L1488,1)," ± ",ROUND(M1488,1))</f>
        <v/>
      </c>
      <c r="Q1488" t="inlineStr">
        <is>
          <t>K3-6B</t>
        </is>
      </c>
      <c r="R1488" t="n">
        <v>1.195</v>
      </c>
    </row>
    <row r="1489">
      <c r="A1489" t="n">
        <v>29</v>
      </c>
      <c r="B1489" t="inlineStr">
        <is>
          <t>K4-5B</t>
        </is>
      </c>
      <c r="F1489" t="n">
        <v>5568.637</v>
      </c>
      <c r="H1489">
        <f>E1489/F1489</f>
        <v/>
      </c>
      <c r="I1489">
        <f>((H1489-$J$1460)/$I$1460)</f>
        <v/>
      </c>
      <c r="J1489">
        <f>(I1489-IF(I1468&gt;0,I1468,0))</f>
        <v/>
      </c>
      <c r="K1489">
        <f>J1489/R1473*1.1</f>
        <v/>
      </c>
      <c r="Q1489" t="inlineStr">
        <is>
          <t>K3-6C</t>
        </is>
      </c>
      <c r="R1489" t="n">
        <v>1.1716</v>
      </c>
    </row>
    <row r="1490">
      <c r="A1490" t="n">
        <v>30</v>
      </c>
      <c r="B1490" t="inlineStr">
        <is>
          <t>K4-5C</t>
        </is>
      </c>
      <c r="F1490" t="n">
        <v>5454.151</v>
      </c>
      <c r="H1490">
        <f>E1490/F1490</f>
        <v/>
      </c>
      <c r="I1490">
        <f>((H1490-$J$1460)/$I$1460)</f>
        <v/>
      </c>
      <c r="J1490">
        <f>(I1490-IF(I1468&gt;0,I1468,0))</f>
        <v/>
      </c>
      <c r="K1490">
        <f>J1490/R1474*1.1</f>
        <v/>
      </c>
      <c r="L1490" s="23" t="n"/>
      <c r="M1490" s="23" t="n"/>
      <c r="N1490" s="9" t="n"/>
    </row>
    <row r="1491">
      <c r="A1491" t="n">
        <v>31</v>
      </c>
      <c r="B1491" t="inlineStr">
        <is>
          <t>MeOH</t>
        </is>
      </c>
      <c r="L1491" s="23" t="inlineStr">
        <is>
          <t>Average</t>
        </is>
      </c>
      <c r="M1491" s="23" t="inlineStr">
        <is>
          <t>Stdev</t>
        </is>
      </c>
      <c r="N1491" s="9" t="inlineStr">
        <is>
          <t>Combined</t>
        </is>
      </c>
    </row>
    <row r="1492">
      <c r="A1492" t="n">
        <v>32</v>
      </c>
      <c r="B1492" t="inlineStr">
        <is>
          <t>K3-1A</t>
        </is>
      </c>
      <c r="D1492" t="n">
        <v>10.79</v>
      </c>
      <c r="E1492" t="n">
        <v>4.092</v>
      </c>
      <c r="F1492" t="n">
        <v>5057.887</v>
      </c>
      <c r="G1492" t="n">
        <v>44</v>
      </c>
      <c r="H1492">
        <f>E1492/F1492</f>
        <v/>
      </c>
      <c r="I1492">
        <f>((H1492-$J$1460)/$I$1460)</f>
        <v/>
      </c>
      <c r="J1492">
        <f>(I1492-IF(I1468&gt;0,I1468,0))</f>
        <v/>
      </c>
      <c r="K1492">
        <f>J1492/R1475*1.1</f>
        <v/>
      </c>
      <c r="L1492">
        <f>AVERAGE(K1492:K1494)</f>
        <v/>
      </c>
      <c r="M1492">
        <f>STDEV(K1493:K1494)</f>
        <v/>
      </c>
      <c r="N1492">
        <f>_xlfn.CONCAT(ROUND(L1492,1)," ± ",ROUND(M1492,1))</f>
        <v/>
      </c>
    </row>
    <row r="1493">
      <c r="A1493" t="n">
        <v>33</v>
      </c>
      <c r="B1493" t="inlineStr">
        <is>
          <t>K3-1B</t>
        </is>
      </c>
      <c r="F1493" t="n">
        <v>4520.08</v>
      </c>
      <c r="H1493">
        <f>E1493/F1493</f>
        <v/>
      </c>
      <c r="I1493">
        <f>((H1493-$J$1460)/$I$1460)</f>
        <v/>
      </c>
      <c r="J1493">
        <f>(I1493-IF(I1468&gt;0,I1468,0))</f>
        <v/>
      </c>
      <c r="K1493">
        <f>J1493/R1476*1.1</f>
        <v/>
      </c>
    </row>
    <row r="1494">
      <c r="A1494" t="n">
        <v>34</v>
      </c>
      <c r="B1494" t="inlineStr">
        <is>
          <t>K3-1C</t>
        </is>
      </c>
      <c r="F1494" t="n">
        <v>6122.734</v>
      </c>
      <c r="H1494">
        <f>E1494/F1494</f>
        <v/>
      </c>
      <c r="I1494">
        <f>((H1494-$J$1460)/$I$1460)</f>
        <v/>
      </c>
      <c r="J1494">
        <f>(I1494-IF(I1468&gt;0,I1468,0))</f>
        <v/>
      </c>
      <c r="K1494">
        <f>J1494/R1477*1.1</f>
        <v/>
      </c>
      <c r="L1494" s="23" t="inlineStr">
        <is>
          <t>Average</t>
        </is>
      </c>
      <c r="M1494" s="23" t="inlineStr">
        <is>
          <t>Stdev</t>
        </is>
      </c>
      <c r="N1494" s="9" t="inlineStr">
        <is>
          <t>Combined</t>
        </is>
      </c>
    </row>
    <row r="1495">
      <c r="A1495" t="n">
        <v>35</v>
      </c>
      <c r="B1495" t="inlineStr">
        <is>
          <t>K3-2A</t>
        </is>
      </c>
      <c r="D1495" t="n">
        <v>11.13</v>
      </c>
      <c r="E1495" t="n">
        <v>0.611</v>
      </c>
      <c r="F1495" t="n">
        <v>5685.445</v>
      </c>
      <c r="G1495" t="n">
        <v>6</v>
      </c>
      <c r="H1495">
        <f>E1495/F1495</f>
        <v/>
      </c>
      <c r="I1495">
        <f>((H1495-$J$1460)/$I$1460)</f>
        <v/>
      </c>
      <c r="J1495">
        <f>(I1495-IF(I1468&gt;0,I1468,0))</f>
        <v/>
      </c>
      <c r="K1495">
        <f>J1495/R1478*1.1</f>
        <v/>
      </c>
      <c r="L1495">
        <f>AVERAGE(K1495:K1497)</f>
        <v/>
      </c>
      <c r="M1495">
        <f>STDEV(K1495:K1497)</f>
        <v/>
      </c>
      <c r="N1495">
        <f>_xlfn.CONCAT(ROUND(L1495,1)," ± ",ROUND(M1495,1))</f>
        <v/>
      </c>
    </row>
    <row r="1496">
      <c r="A1496" t="n">
        <v>36</v>
      </c>
      <c r="B1496" t="inlineStr">
        <is>
          <t>K3-2B</t>
        </is>
      </c>
      <c r="D1496" t="n">
        <v>11.09</v>
      </c>
      <c r="E1496" t="n">
        <v>12.352</v>
      </c>
      <c r="F1496" t="n">
        <v>6763.122</v>
      </c>
      <c r="G1496" t="n">
        <v>3.351</v>
      </c>
      <c r="H1496">
        <f>E1496/F1496</f>
        <v/>
      </c>
      <c r="I1496">
        <f>((H1496-$J$1460)/$I$1460)</f>
        <v/>
      </c>
      <c r="J1496">
        <f>(I1496-IF(I1468&gt;0,I1468,0))</f>
        <v/>
      </c>
      <c r="K1496">
        <f>J1496/R1479*1.1</f>
        <v/>
      </c>
    </row>
    <row r="1497">
      <c r="A1497" t="n">
        <v>37</v>
      </c>
      <c r="B1497" t="inlineStr">
        <is>
          <t>K3-2C</t>
        </is>
      </c>
      <c r="D1497" t="n">
        <v>10.45</v>
      </c>
      <c r="E1497" t="n">
        <v>0.481</v>
      </c>
      <c r="F1497" t="n">
        <v>5297.522</v>
      </c>
      <c r="G1497" t="n">
        <v>5</v>
      </c>
      <c r="H1497">
        <f>E1497/F1497</f>
        <v/>
      </c>
      <c r="I1497">
        <f>((H1497-$J$1460)/$I$1460)</f>
        <v/>
      </c>
      <c r="J1497">
        <f>(I1497-IF(I1468&gt;0,I1468,0))</f>
        <v/>
      </c>
      <c r="K1497">
        <f>J1497/R1480*1.1</f>
        <v/>
      </c>
      <c r="L1497" s="23" t="n"/>
      <c r="M1497" s="23" t="n"/>
      <c r="N1497" s="9" t="n"/>
    </row>
    <row r="1498">
      <c r="A1498" t="n">
        <v>38</v>
      </c>
      <c r="B1498" t="inlineStr">
        <is>
          <t>MeOH</t>
        </is>
      </c>
      <c r="D1498" t="n">
        <v>10.95</v>
      </c>
      <c r="E1498" t="n">
        <v>20.207</v>
      </c>
      <c r="G1498" t="n">
        <v>3.641</v>
      </c>
      <c r="L1498" s="23" t="inlineStr">
        <is>
          <t>Average</t>
        </is>
      </c>
      <c r="M1498" s="23" t="inlineStr">
        <is>
          <t>Stdev</t>
        </is>
      </c>
      <c r="N1498" s="9" t="inlineStr">
        <is>
          <t>Combined</t>
        </is>
      </c>
    </row>
    <row r="1499">
      <c r="A1499" t="n">
        <v>39</v>
      </c>
      <c r="B1499" t="inlineStr">
        <is>
          <t>K3-3A</t>
        </is>
      </c>
      <c r="F1499" t="n">
        <v>4745.281</v>
      </c>
      <c r="H1499">
        <f>E1499/F1499</f>
        <v/>
      </c>
      <c r="I1499">
        <f>((H1499-$J$1460)/$I$1460)</f>
        <v/>
      </c>
      <c r="J1499">
        <f>(I1499-IF(I1468&gt;0,I1468,0))</f>
        <v/>
      </c>
      <c r="K1499">
        <f>J1499/R1481*1.1</f>
        <v/>
      </c>
      <c r="L1499">
        <f>AVERAGE(K1499:K1501)</f>
        <v/>
      </c>
      <c r="M1499">
        <f>STDEV(K1500:K1501)</f>
        <v/>
      </c>
      <c r="N1499">
        <f>_xlfn.CONCAT(ROUND(L1499,1)," ± ",ROUND(M1499,1))</f>
        <v/>
      </c>
    </row>
    <row r="1500">
      <c r="A1500" t="n">
        <v>40</v>
      </c>
      <c r="B1500" t="inlineStr">
        <is>
          <t>K3-3B</t>
        </is>
      </c>
      <c r="F1500" t="n">
        <v>6101.583</v>
      </c>
      <c r="H1500">
        <f>E1500/F1500</f>
        <v/>
      </c>
      <c r="I1500">
        <f>((H1500-$J$1460)/$I$1460)</f>
        <v/>
      </c>
      <c r="J1500">
        <f>(I1500-IF(I1468&gt;0,I1468,0))</f>
        <v/>
      </c>
      <c r="K1500">
        <f>J1500/R1482*1.1</f>
        <v/>
      </c>
    </row>
    <row r="1501">
      <c r="A1501" t="n">
        <v>41</v>
      </c>
      <c r="B1501" t="inlineStr">
        <is>
          <t>K3-3C</t>
        </is>
      </c>
      <c r="F1501" t="n">
        <v>6510.538</v>
      </c>
      <c r="H1501">
        <f>E1501/F1501</f>
        <v/>
      </c>
      <c r="I1501">
        <f>((H1501-$J$1460)/$I$1460)</f>
        <v/>
      </c>
      <c r="J1501">
        <f>(I1501-IF(I1468&gt;0,I1468,0))</f>
        <v/>
      </c>
      <c r="K1501">
        <f>J1501/R1483*1.1</f>
        <v/>
      </c>
      <c r="L1501" s="23" t="inlineStr">
        <is>
          <t>Average</t>
        </is>
      </c>
      <c r="M1501" s="23" t="inlineStr">
        <is>
          <t>Stdev</t>
        </is>
      </c>
      <c r="N1501" s="9" t="inlineStr">
        <is>
          <t>Combined</t>
        </is>
      </c>
    </row>
    <row r="1502">
      <c r="A1502" t="n">
        <v>42</v>
      </c>
      <c r="B1502" t="inlineStr">
        <is>
          <t>K3-4A</t>
        </is>
      </c>
      <c r="D1502" t="n">
        <v>11.68</v>
      </c>
      <c r="E1502" t="n">
        <v>7.653</v>
      </c>
      <c r="F1502" t="n">
        <v>5583.224</v>
      </c>
      <c r="G1502" t="n">
        <v>75</v>
      </c>
      <c r="H1502">
        <f>E1502/F1502</f>
        <v/>
      </c>
      <c r="I1502">
        <f>((H1502-$J$1460)/$I$1460)</f>
        <v/>
      </c>
      <c r="J1502">
        <f>(I1502-IF(I1468&gt;0,I1468,0))</f>
        <v/>
      </c>
      <c r="K1502">
        <f>J1502/R1484*1.1</f>
        <v/>
      </c>
      <c r="L1502">
        <f>AVERAGE(K1502:K1504)</f>
        <v/>
      </c>
      <c r="M1502">
        <f>STDEV(K1502:K1504)</f>
        <v/>
      </c>
      <c r="N1502">
        <f>_xlfn.CONCAT(ROUND(L1502,1)," ± ",ROUND(M1502,1))</f>
        <v/>
      </c>
    </row>
    <row r="1503">
      <c r="A1503" t="n">
        <v>43</v>
      </c>
      <c r="B1503" t="inlineStr">
        <is>
          <t>K3-4B</t>
        </is>
      </c>
      <c r="F1503" t="n">
        <v>5903.166</v>
      </c>
      <c r="H1503">
        <f>E1503/F1503</f>
        <v/>
      </c>
      <c r="I1503">
        <f>((H1503-$J$1460)/$I$1460)</f>
        <v/>
      </c>
      <c r="J1503">
        <f>(I1503-IF(I1468&gt;0,I1468,0))</f>
        <v/>
      </c>
      <c r="K1503">
        <f>J1503/R1485*1.1</f>
        <v/>
      </c>
    </row>
    <row r="1504">
      <c r="A1504" t="n">
        <v>44</v>
      </c>
      <c r="B1504" t="inlineStr">
        <is>
          <t>K3-4C</t>
        </is>
      </c>
      <c r="D1504" t="n">
        <v>11.7</v>
      </c>
      <c r="E1504" t="n">
        <v>0.418</v>
      </c>
      <c r="F1504" t="n">
        <v>5771.679</v>
      </c>
      <c r="G1504" t="n">
        <v>4</v>
      </c>
      <c r="H1504">
        <f>E1504/F1504</f>
        <v/>
      </c>
      <c r="I1504">
        <f>((H1504-$J$1460)/$I$1460)</f>
        <v/>
      </c>
      <c r="J1504">
        <f>(I1504-IF(I1468&gt;0,I1468,0))</f>
        <v/>
      </c>
      <c r="K1504">
        <f>J1504/R1486*1.1</f>
        <v/>
      </c>
      <c r="L1504" s="23" t="n"/>
      <c r="M1504" s="23" t="n"/>
      <c r="N1504" s="9" t="n"/>
    </row>
    <row r="1505">
      <c r="A1505" t="n">
        <v>45</v>
      </c>
      <c r="B1505" t="inlineStr">
        <is>
          <t>MeOH</t>
        </is>
      </c>
      <c r="D1505" t="n">
        <v>11.23</v>
      </c>
      <c r="E1505" t="n">
        <v>88.199</v>
      </c>
      <c r="G1505" t="n">
        <v>4.32</v>
      </c>
      <c r="L1505" s="23" t="inlineStr">
        <is>
          <t>Average</t>
        </is>
      </c>
      <c r="M1505" s="23" t="inlineStr">
        <is>
          <t>Stdev</t>
        </is>
      </c>
      <c r="N1505" s="9" t="inlineStr">
        <is>
          <t>Combined</t>
        </is>
      </c>
    </row>
    <row r="1506">
      <c r="A1506" t="n">
        <v>46</v>
      </c>
      <c r="B1506" t="inlineStr">
        <is>
          <t>K3-6A</t>
        </is>
      </c>
      <c r="D1506" t="n">
        <v>11.22</v>
      </c>
      <c r="E1506" t="n">
        <v>33.219</v>
      </c>
      <c r="F1506" t="n">
        <v>5487.978</v>
      </c>
      <c r="G1506" t="n">
        <v>1.891</v>
      </c>
      <c r="H1506">
        <f>E1506/F1506</f>
        <v/>
      </c>
      <c r="I1506">
        <f>((H1506-$J$1460)/$I$1460)</f>
        <v/>
      </c>
      <c r="J1506">
        <f>(I1506-IF(I1468&gt;0,I1468,0))</f>
        <v/>
      </c>
      <c r="K1506">
        <f>J1506/R1487*1.1</f>
        <v/>
      </c>
      <c r="L1506">
        <f>AVERAGE(K1506:K1508)</f>
        <v/>
      </c>
      <c r="M1506">
        <f>STDEV(K1507:K1508)</f>
        <v/>
      </c>
      <c r="N1506">
        <f>_xlfn.CONCAT(ROUND(L1506,1)," ± ",ROUND(M1506,1))</f>
        <v/>
      </c>
    </row>
    <row r="1507">
      <c r="A1507" t="n">
        <v>47</v>
      </c>
      <c r="B1507" t="inlineStr">
        <is>
          <t>K3-6B</t>
        </is>
      </c>
      <c r="D1507" t="n">
        <v>11.27</v>
      </c>
      <c r="E1507" t="n">
        <v>27.776</v>
      </c>
      <c r="F1507" t="n">
        <v>4404.307</v>
      </c>
      <c r="G1507" t="n">
        <v>265</v>
      </c>
      <c r="H1507">
        <f>E1507/F1507</f>
        <v/>
      </c>
      <c r="I1507">
        <f>((H1507-$J$1460)/$I$1460)</f>
        <v/>
      </c>
      <c r="J1507">
        <f>(I1507-IF(I1468&gt;0,I1468,0))</f>
        <v/>
      </c>
      <c r="K1507">
        <f>J1507/R1488*1.1</f>
        <v/>
      </c>
    </row>
    <row r="1508">
      <c r="A1508" t="n">
        <v>48</v>
      </c>
      <c r="B1508" t="inlineStr">
        <is>
          <t>K3-6C</t>
        </is>
      </c>
      <c r="D1508" t="n">
        <v>11.04</v>
      </c>
      <c r="E1508" t="n">
        <v>2.265</v>
      </c>
      <c r="F1508" t="n">
        <v>5559.999</v>
      </c>
      <c r="G1508" t="n">
        <v>18</v>
      </c>
      <c r="H1508">
        <f>E1508/F1508</f>
        <v/>
      </c>
      <c r="I1508">
        <f>((H1508-$J$1460)/$I$1460)</f>
        <v/>
      </c>
      <c r="J1508">
        <f>(I1508-IF(I1468&gt;0,I1468,0))</f>
        <v/>
      </c>
      <c r="K1508">
        <f>J1508/R1489*1.1</f>
        <v/>
      </c>
      <c r="L1508" s="23" t="n"/>
      <c r="M1508" s="23" t="n"/>
      <c r="N1508" s="9" t="n"/>
    </row>
    <row r="1510">
      <c r="A1510" t="inlineStr">
        <is>
          <t>Compound 68:  8:2 FTCA</t>
        </is>
      </c>
    </row>
    <row r="1511">
      <c r="I1511" t="inlineStr">
        <is>
          <t>LINEST</t>
        </is>
      </c>
      <c r="Q1511" t="inlineStr">
        <is>
          <t>Biosolids Masses</t>
        </is>
      </c>
      <c r="R1511" t="inlineStr">
        <is>
          <t>(g)</t>
        </is>
      </c>
    </row>
    <row r="1512">
      <c r="B1512" t="inlineStr">
        <is>
          <t>Sample Text</t>
        </is>
      </c>
      <c r="C1512" t="inlineStr">
        <is>
          <t>Std. Conc</t>
        </is>
      </c>
      <c r="D1512" t="inlineStr">
        <is>
          <t>RT</t>
        </is>
      </c>
      <c r="E1512" t="inlineStr">
        <is>
          <t>Area</t>
        </is>
      </c>
      <c r="F1512" t="inlineStr">
        <is>
          <t>IS Area</t>
        </is>
      </c>
      <c r="G1512" t="inlineStr">
        <is>
          <t>S/N</t>
        </is>
      </c>
      <c r="H1512" t="inlineStr">
        <is>
          <t>ratio</t>
        </is>
      </c>
      <c r="I1512">
        <f t="array" ref="I1512">LINEST(H1516:H1520,C1516:C1520,1,1)</f>
        <v/>
      </c>
      <c r="L1512" s="20" t="inlineStr">
        <is>
          <t>By S/N Ratio</t>
        </is>
      </c>
      <c r="Q1512" t="inlineStr">
        <is>
          <t>SS1</t>
        </is>
      </c>
      <c r="R1512" t="n">
        <v>1.0846</v>
      </c>
    </row>
    <row r="1513">
      <c r="A1513" t="n">
        <v>1</v>
      </c>
      <c r="B1513" t="inlineStr">
        <is>
          <t>EPA1633 &amp; diPAPs Calibration 0 ppb</t>
        </is>
      </c>
      <c r="C1513" t="n">
        <v>0</v>
      </c>
      <c r="H1513">
        <f>E1513/F1513</f>
        <v/>
      </c>
      <c r="K1513" t="inlineStr">
        <is>
          <t>LOD</t>
        </is>
      </c>
      <c r="L1513" s="21">
        <f>IF(G1516&gt;3,C1516,IF(G1517&gt;3,C1517,IF(G1518&gt;3,C1518,IF(G1519&gt;3,C1519,C1520))))</f>
        <v/>
      </c>
      <c r="Q1513" t="inlineStr">
        <is>
          <t>SS2</t>
        </is>
      </c>
      <c r="R1513" t="n">
        <v>1.0726</v>
      </c>
    </row>
    <row r="1514">
      <c r="A1514" t="n">
        <v>2</v>
      </c>
      <c r="B1514" t="inlineStr">
        <is>
          <t>EPA1633 &amp; diPAPs Calibration 0.02 ppb</t>
        </is>
      </c>
      <c r="C1514" s="19" t="n">
        <v>0.2</v>
      </c>
      <c r="H1514">
        <f>E1514/F1514</f>
        <v/>
      </c>
      <c r="K1514" t="inlineStr">
        <is>
          <t>LOQ</t>
        </is>
      </c>
      <c r="L1514" s="22">
        <f>IF(G1516&gt;10,C1516,IF(G1517&gt;10,C1517,IF(G1518&gt;10,C1518,IF(G1519&gt;10,C1519,C1520))))</f>
        <v/>
      </c>
      <c r="Q1514" t="inlineStr">
        <is>
          <t>SS3</t>
        </is>
      </c>
      <c r="R1514" t="n">
        <v>1.1534</v>
      </c>
    </row>
    <row r="1515">
      <c r="A1515" t="n">
        <v>3</v>
      </c>
      <c r="B1515" t="inlineStr">
        <is>
          <t>EPA1633 &amp; diPAPs Calibration 0.1 ppb</t>
        </is>
      </c>
      <c r="C1515" s="19" t="n">
        <v>0.2</v>
      </c>
      <c r="H1515">
        <f>E1515/F1515</f>
        <v/>
      </c>
      <c r="Q1515" t="inlineStr">
        <is>
          <t>K4-1A</t>
        </is>
      </c>
      <c r="R1515" t="n">
        <v>1.0267</v>
      </c>
    </row>
    <row r="1516">
      <c r="A1516" t="n">
        <v>4</v>
      </c>
      <c r="B1516" t="inlineStr">
        <is>
          <t>EPA1633 &amp; diPAPs Calibration 0.4 ppb</t>
        </is>
      </c>
      <c r="C1516" s="19" t="n">
        <v>4</v>
      </c>
      <c r="H1516">
        <f>E1516/F1516</f>
        <v/>
      </c>
      <c r="Q1516" t="inlineStr">
        <is>
          <t>K4-1B</t>
        </is>
      </c>
      <c r="R1516" t="n">
        <v>1.1481</v>
      </c>
    </row>
    <row r="1517">
      <c r="A1517" t="n">
        <v>5</v>
      </c>
      <c r="B1517" t="inlineStr">
        <is>
          <t>EPA1633 &amp; diPAPs Calibration 1 ppb</t>
        </is>
      </c>
      <c r="C1517" s="19" t="n">
        <v>10</v>
      </c>
      <c r="D1517" t="n">
        <v>13.34</v>
      </c>
      <c r="E1517" t="n">
        <v>49.435</v>
      </c>
      <c r="G1517" t="n">
        <v>350</v>
      </c>
      <c r="H1517">
        <f>E1517/F1517</f>
        <v/>
      </c>
      <c r="Q1517" t="inlineStr">
        <is>
          <t>K4-1C</t>
        </is>
      </c>
      <c r="R1517" t="n">
        <v>1.0402</v>
      </c>
    </row>
    <row r="1518">
      <c r="A1518" t="n">
        <v>6</v>
      </c>
      <c r="B1518" t="inlineStr">
        <is>
          <t>EPA1633 &amp; diPAPs Calibration 5 ppb</t>
        </is>
      </c>
      <c r="C1518" s="19" t="n">
        <v>50</v>
      </c>
      <c r="D1518" t="n">
        <v>14.4</v>
      </c>
      <c r="E1518" t="n">
        <v>6.389</v>
      </c>
      <c r="G1518" t="n">
        <v>59</v>
      </c>
      <c r="H1518">
        <f>E1518/F1518</f>
        <v/>
      </c>
      <c r="Q1518" t="inlineStr">
        <is>
          <t>K4-2A</t>
        </is>
      </c>
      <c r="R1518" t="n">
        <v>1.127</v>
      </c>
    </row>
    <row r="1519">
      <c r="A1519" t="n">
        <v>7</v>
      </c>
      <c r="B1519" t="inlineStr">
        <is>
          <t>EPA1633 &amp; diPAPs Calibration 10 ppb</t>
        </is>
      </c>
      <c r="C1519" s="19" t="n">
        <v>100</v>
      </c>
      <c r="D1519" t="n">
        <v>13.34</v>
      </c>
      <c r="E1519" t="n">
        <v>41.284</v>
      </c>
      <c r="G1519" t="n">
        <v>6.405</v>
      </c>
      <c r="H1519">
        <f>E1519/F1519</f>
        <v/>
      </c>
      <c r="I1519" s="23" t="inlineStr">
        <is>
          <t>Background</t>
        </is>
      </c>
      <c r="J1519" s="23" t="inlineStr">
        <is>
          <t>Spike</t>
        </is>
      </c>
      <c r="K1519" s="9" t="inlineStr">
        <is>
          <t>Old Spike</t>
        </is>
      </c>
      <c r="O1519" s="24" t="inlineStr">
        <is>
          <t>±</t>
        </is>
      </c>
      <c r="Q1519" t="inlineStr">
        <is>
          <t>K4-2B</t>
        </is>
      </c>
      <c r="R1519" t="n">
        <v>1.1154</v>
      </c>
    </row>
    <row r="1520">
      <c r="A1520" t="n">
        <v>8</v>
      </c>
      <c r="B1520" t="inlineStr">
        <is>
          <t>EPA1633 &amp; diPAPs Calibration 20 ppb</t>
        </is>
      </c>
      <c r="C1520" s="19" t="n">
        <v>200</v>
      </c>
      <c r="D1520" t="n">
        <v>13.38</v>
      </c>
      <c r="E1520" t="n">
        <v>224.692</v>
      </c>
      <c r="G1520" t="n">
        <v>3.057</v>
      </c>
      <c r="H1520">
        <f>E1520/F1520</f>
        <v/>
      </c>
      <c r="I1520">
        <f>AVERAGE(I1523:I1525)</f>
        <v/>
      </c>
      <c r="J1520" t="n">
        <v>44</v>
      </c>
      <c r="Q1520" t="inlineStr">
        <is>
          <t>K4-2C</t>
        </is>
      </c>
      <c r="R1520" t="n">
        <v>1.1711</v>
      </c>
    </row>
    <row r="1521">
      <c r="A1521" t="n">
        <v>9</v>
      </c>
      <c r="B1521" t="inlineStr">
        <is>
          <t>MeOH</t>
        </is>
      </c>
      <c r="I1521" s="23" t="inlineStr">
        <is>
          <t>Conc.In Vial (ppb)</t>
        </is>
      </c>
      <c r="J1521" s="9" t="inlineStr">
        <is>
          <t>Corr. Conc.(ppb)</t>
        </is>
      </c>
      <c r="K1521" s="9" t="inlineStr">
        <is>
          <t>Conc. In soil (ng/g)</t>
        </is>
      </c>
      <c r="Q1521" t="inlineStr">
        <is>
          <t>K4-4A</t>
        </is>
      </c>
      <c r="R1521" t="n">
        <v>1.0932</v>
      </c>
    </row>
    <row r="1522">
      <c r="A1522" t="n">
        <v>10</v>
      </c>
      <c r="B1522" t="inlineStr">
        <is>
          <t>MeOH</t>
        </is>
      </c>
      <c r="L1522" s="23" t="inlineStr">
        <is>
          <t>Average</t>
        </is>
      </c>
      <c r="M1522" s="23" t="inlineStr">
        <is>
          <t>Stdev</t>
        </is>
      </c>
      <c r="N1522" s="9" t="inlineStr">
        <is>
          <t>Combined</t>
        </is>
      </c>
      <c r="O1522" s="9" t="n"/>
      <c r="P1522" s="9" t="n"/>
      <c r="Q1522" t="inlineStr">
        <is>
          <t>K4-4B</t>
        </is>
      </c>
      <c r="R1522" t="n">
        <v>1.15</v>
      </c>
    </row>
    <row r="1523">
      <c r="A1523" t="n">
        <v>11</v>
      </c>
      <c r="B1523" t="inlineStr">
        <is>
          <t>SB1</t>
        </is>
      </c>
      <c r="H1523">
        <f>E1523/F1523</f>
        <v/>
      </c>
      <c r="I1523">
        <f>((H1523-$J$1460)/$I$1460)</f>
        <v/>
      </c>
      <c r="J1523">
        <f>(I1523-IF(I1520&gt;0,I1520,0))</f>
        <v/>
      </c>
      <c r="K1523">
        <f>J1523*1.1</f>
        <v/>
      </c>
      <c r="L1523">
        <f>AVERAGE(K1523:K1525)</f>
        <v/>
      </c>
      <c r="M1523">
        <f>STDEV(K1524:K1525)</f>
        <v/>
      </c>
      <c r="N1523">
        <f>_xlfn.CONCAT(ROUND(L1523,1)," ± ",ROUND(M1523,1))</f>
        <v/>
      </c>
      <c r="Q1523" t="inlineStr">
        <is>
          <t>K4-4C</t>
        </is>
      </c>
      <c r="R1523" t="n">
        <v>1.0482</v>
      </c>
    </row>
    <row r="1524">
      <c r="A1524" t="n">
        <v>12</v>
      </c>
      <c r="B1524" t="inlineStr">
        <is>
          <t>SB2</t>
        </is>
      </c>
      <c r="H1524">
        <f>E1524/F1524</f>
        <v/>
      </c>
      <c r="I1524">
        <f>((H1524-$J$1460)/$I$1460)</f>
        <v/>
      </c>
      <c r="J1524">
        <f>(I1524-IF(I1520&gt;0,I1520,0))</f>
        <v/>
      </c>
      <c r="K1524">
        <f>J1524*1.1</f>
        <v/>
      </c>
      <c r="Q1524" t="inlineStr">
        <is>
          <t>K4-5A</t>
        </is>
      </c>
      <c r="R1524" t="n">
        <v>1.1054</v>
      </c>
    </row>
    <row r="1525">
      <c r="A1525" t="n">
        <v>13</v>
      </c>
      <c r="B1525" t="inlineStr">
        <is>
          <t>SB3</t>
        </is>
      </c>
      <c r="D1525" t="n">
        <v>13</v>
      </c>
      <c r="E1525" t="n">
        <v>8.259</v>
      </c>
      <c r="G1525" t="n">
        <v>78</v>
      </c>
      <c r="H1525">
        <f>E1525/F1525</f>
        <v/>
      </c>
      <c r="I1525">
        <f>((H1525-$J$1460)/$I$1460)</f>
        <v/>
      </c>
      <c r="J1525">
        <f>(I1525-IF(I1520&gt;0,I1520,0))</f>
        <v/>
      </c>
      <c r="K1525" s="30">
        <f>J1525*1.1</f>
        <v/>
      </c>
      <c r="L1525" s="25" t="inlineStr">
        <is>
          <t>Average</t>
        </is>
      </c>
      <c r="M1525" s="25" t="inlineStr">
        <is>
          <t>Stdev</t>
        </is>
      </c>
      <c r="N1525" s="26" t="inlineStr">
        <is>
          <t>%Recovery</t>
        </is>
      </c>
      <c r="O1525" s="26" t="inlineStr">
        <is>
          <t>Uncertainty</t>
        </is>
      </c>
      <c r="P1525" s="26" t="inlineStr">
        <is>
          <t>Combined</t>
        </is>
      </c>
      <c r="Q1525" t="inlineStr">
        <is>
          <t>K4-5B</t>
        </is>
      </c>
      <c r="R1525" s="10" t="n">
        <v>1.0463</v>
      </c>
    </row>
    <row r="1526">
      <c r="A1526" t="n">
        <v>14</v>
      </c>
      <c r="B1526" t="inlineStr">
        <is>
          <t>SS1</t>
        </is>
      </c>
      <c r="H1526">
        <f>E1526/F1526</f>
        <v/>
      </c>
      <c r="I1526">
        <f>((H1526-$J$1460)/$I$1460)</f>
        <v/>
      </c>
      <c r="J1526">
        <f>(I1526-IF(I1520&gt;0,I1520,0))</f>
        <v/>
      </c>
      <c r="K1526">
        <f>J1526/R1512*1.1</f>
        <v/>
      </c>
      <c r="L1526" s="27">
        <f>AVERAGE(K1526:K1528)</f>
        <v/>
      </c>
      <c r="M1526" s="27">
        <f>STDEV(K1526:K1528)</f>
        <v/>
      </c>
      <c r="N1526" s="28">
        <f>L1526/J1520*100</f>
        <v/>
      </c>
      <c r="O1526" s="29">
        <f>M1526/J1523*100</f>
        <v/>
      </c>
      <c r="P1526" s="29">
        <f>_xlfn.CONCAT(ROUND(N1526,1)," ± ",ROUND(O1526,1))</f>
        <v/>
      </c>
      <c r="Q1526" t="inlineStr">
        <is>
          <t>K4-5C</t>
        </is>
      </c>
      <c r="R1526" t="n">
        <v>1.1155</v>
      </c>
    </row>
    <row r="1527">
      <c r="A1527" t="n">
        <v>15</v>
      </c>
      <c r="B1527" t="inlineStr">
        <is>
          <t>SS2</t>
        </is>
      </c>
      <c r="H1527">
        <f>E1527/F1527</f>
        <v/>
      </c>
      <c r="I1527">
        <f>((H1527-$J$1460)/$I$1460)</f>
        <v/>
      </c>
      <c r="J1527">
        <f>(I1527-IF(I1520&gt;0,I1520,0))</f>
        <v/>
      </c>
      <c r="K1527">
        <f>J1527/R1513*1.1</f>
        <v/>
      </c>
      <c r="Q1527" t="inlineStr">
        <is>
          <t>K3-1A</t>
        </is>
      </c>
      <c r="R1527" t="n">
        <v>1.0874</v>
      </c>
    </row>
    <row r="1528">
      <c r="A1528" t="n">
        <v>16</v>
      </c>
      <c r="B1528" t="inlineStr">
        <is>
          <t>SS3</t>
        </is>
      </c>
      <c r="H1528">
        <f>E1528/F1528</f>
        <v/>
      </c>
      <c r="I1528">
        <f>((H1528-$J$1460)/$I$1460)</f>
        <v/>
      </c>
      <c r="J1528">
        <f>(I1528-IF(I1520&gt;0,I1520,0))</f>
        <v/>
      </c>
      <c r="K1528" s="30">
        <f>J1528/R1514*1.1</f>
        <v/>
      </c>
      <c r="Q1528" t="inlineStr">
        <is>
          <t>K3-1B</t>
        </is>
      </c>
      <c r="R1528" t="n">
        <v>1.0898</v>
      </c>
    </row>
    <row r="1529">
      <c r="A1529" t="n">
        <v>17</v>
      </c>
      <c r="B1529" t="inlineStr">
        <is>
          <t>MeOH</t>
        </is>
      </c>
      <c r="L1529" s="23" t="inlineStr">
        <is>
          <t>Average</t>
        </is>
      </c>
      <c r="M1529" s="23" t="inlineStr">
        <is>
          <t>Stdev</t>
        </is>
      </c>
      <c r="N1529" s="9" t="inlineStr">
        <is>
          <t>Combined</t>
        </is>
      </c>
      <c r="Q1529" t="inlineStr">
        <is>
          <t>K3-1C</t>
        </is>
      </c>
      <c r="R1529" t="n">
        <v>1.0536</v>
      </c>
    </row>
    <row r="1530">
      <c r="A1530" t="n">
        <v>18</v>
      </c>
      <c r="B1530" t="inlineStr">
        <is>
          <t>K4-1A</t>
        </is>
      </c>
      <c r="H1530">
        <f>E1530/F1530</f>
        <v/>
      </c>
      <c r="I1530">
        <f>((H1530-$J$1460)/$I$1460)</f>
        <v/>
      </c>
      <c r="J1530">
        <f>(I1530-IF(I1520&gt;0,I1520,0))</f>
        <v/>
      </c>
      <c r="K1530">
        <f>J1530/R1515*1.1</f>
        <v/>
      </c>
      <c r="L1530">
        <f>AVERAGE(K1530:K1532)</f>
        <v/>
      </c>
      <c r="M1530">
        <f>STDEV(K1531:K1532)</f>
        <v/>
      </c>
      <c r="N1530">
        <f>_xlfn.CONCAT(ROUND(L1530,1)," ± ",ROUND(M1530,1))</f>
        <v/>
      </c>
      <c r="Q1530" t="inlineStr">
        <is>
          <t>K3-2A</t>
        </is>
      </c>
      <c r="R1530" s="10" t="n">
        <v>1.1218</v>
      </c>
    </row>
    <row r="1531">
      <c r="A1531" t="n">
        <v>19</v>
      </c>
      <c r="B1531" t="inlineStr">
        <is>
          <t>K4-1B</t>
        </is>
      </c>
      <c r="H1531">
        <f>E1531/F1531</f>
        <v/>
      </c>
      <c r="I1531">
        <f>((H1531-$J$1460)/$I$1460)</f>
        <v/>
      </c>
      <c r="J1531">
        <f>(I1531-IF(I1520&gt;0,I1520,0))</f>
        <v/>
      </c>
      <c r="K1531">
        <f>J1531/R1516*1.1</f>
        <v/>
      </c>
      <c r="Q1531" t="inlineStr">
        <is>
          <t>K3-2B</t>
        </is>
      </c>
      <c r="R1531" t="n">
        <v>1.198</v>
      </c>
    </row>
    <row r="1532">
      <c r="A1532" t="n">
        <v>20</v>
      </c>
      <c r="B1532" t="inlineStr">
        <is>
          <t>K4-1C</t>
        </is>
      </c>
      <c r="H1532">
        <f>E1532/F1532</f>
        <v/>
      </c>
      <c r="I1532">
        <f>((H1532-$J$1460)/$I$1460)</f>
        <v/>
      </c>
      <c r="J1532">
        <f>(I1532-IF(I1520&gt;0,I1520,0))</f>
        <v/>
      </c>
      <c r="K1532">
        <f>J1532/R1517*1.1</f>
        <v/>
      </c>
      <c r="L1532" s="23" t="inlineStr">
        <is>
          <t>Average</t>
        </is>
      </c>
      <c r="M1532" s="23" t="inlineStr">
        <is>
          <t>Stdev</t>
        </is>
      </c>
      <c r="N1532" s="9" t="inlineStr">
        <is>
          <t>Combined</t>
        </is>
      </c>
      <c r="Q1532" t="inlineStr">
        <is>
          <t>K3-2C</t>
        </is>
      </c>
      <c r="R1532" t="n">
        <v>1.1538</v>
      </c>
    </row>
    <row r="1533">
      <c r="A1533" t="n">
        <v>21</v>
      </c>
      <c r="B1533" t="inlineStr">
        <is>
          <t>K4-2A</t>
        </is>
      </c>
      <c r="H1533">
        <f>E1533/F1533</f>
        <v/>
      </c>
      <c r="I1533">
        <f>((H1533-$J$1460)/$I$1460)</f>
        <v/>
      </c>
      <c r="J1533">
        <f>(I1533-IF(I1520&gt;0,I1520,0))</f>
        <v/>
      </c>
      <c r="K1533">
        <f>J1533/R1518*1.1</f>
        <v/>
      </c>
      <c r="L1533">
        <f>AVERAGE(K1533:K1535)</f>
        <v/>
      </c>
      <c r="M1533">
        <f>STDEV(K1533:K1535)</f>
        <v/>
      </c>
      <c r="N1533">
        <f>_xlfn.CONCAT(ROUND(L1533,1)," ± ",ROUND(M1533,1))</f>
        <v/>
      </c>
      <c r="Q1533" t="inlineStr">
        <is>
          <t>K3-3A</t>
        </is>
      </c>
      <c r="R1533" t="n">
        <v>1.1183</v>
      </c>
    </row>
    <row r="1534">
      <c r="A1534" t="n">
        <v>22</v>
      </c>
      <c r="B1534" t="inlineStr">
        <is>
          <t>K4-2B</t>
        </is>
      </c>
      <c r="H1534">
        <f>E1534/F1534</f>
        <v/>
      </c>
      <c r="I1534">
        <f>((H1534-$J$1460)/$I$1460)</f>
        <v/>
      </c>
      <c r="J1534">
        <f>(I1534-IF(I1520&gt;0,I1520,0))</f>
        <v/>
      </c>
      <c r="K1534">
        <f>J1534/R1519*1.1</f>
        <v/>
      </c>
      <c r="Q1534" t="inlineStr">
        <is>
          <t>K3-3B</t>
        </is>
      </c>
      <c r="R1534" t="n">
        <v>1.1448</v>
      </c>
    </row>
    <row r="1535">
      <c r="A1535" t="n">
        <v>23</v>
      </c>
      <c r="B1535" t="inlineStr">
        <is>
          <t>K4-2C</t>
        </is>
      </c>
      <c r="H1535">
        <f>E1535/F1535</f>
        <v/>
      </c>
      <c r="I1535">
        <f>((H1535-$J$1460)/$I$1460)</f>
        <v/>
      </c>
      <c r="J1535">
        <f>(I1535-IF(I1520&gt;0,I1520,0))</f>
        <v/>
      </c>
      <c r="K1535">
        <f>J1535/R1520*1.1</f>
        <v/>
      </c>
      <c r="L1535" s="23" t="n"/>
      <c r="M1535" s="23" t="n"/>
      <c r="N1535" s="9" t="n"/>
      <c r="Q1535" t="inlineStr">
        <is>
          <t>K3-3C</t>
        </is>
      </c>
      <c r="R1535" t="n">
        <v>1.0493</v>
      </c>
    </row>
    <row r="1536">
      <c r="A1536" t="n">
        <v>24</v>
      </c>
      <c r="B1536" t="inlineStr">
        <is>
          <t>MeOH</t>
        </is>
      </c>
      <c r="L1536" s="23" t="inlineStr">
        <is>
          <t>Average</t>
        </is>
      </c>
      <c r="M1536" s="23" t="inlineStr">
        <is>
          <t>Stdev</t>
        </is>
      </c>
      <c r="N1536" s="9" t="inlineStr">
        <is>
          <t>Combined</t>
        </is>
      </c>
      <c r="Q1536" t="inlineStr">
        <is>
          <t>K3-4A</t>
        </is>
      </c>
      <c r="R1536" t="n">
        <v>1.0704</v>
      </c>
    </row>
    <row r="1537">
      <c r="A1537" t="n">
        <v>25</v>
      </c>
      <c r="B1537" t="inlineStr">
        <is>
          <t>K4-4A</t>
        </is>
      </c>
      <c r="H1537">
        <f>E1537/F1537</f>
        <v/>
      </c>
      <c r="I1537">
        <f>((H1537-$J$1460)/$I$1460)</f>
        <v/>
      </c>
      <c r="J1537">
        <f>(I1537-IF(I1520&gt;0,I1520,0))</f>
        <v/>
      </c>
      <c r="K1537">
        <f>J1537/R1521*1.1</f>
        <v/>
      </c>
      <c r="L1537">
        <f>AVERAGE(K1537:K1539)</f>
        <v/>
      </c>
      <c r="M1537">
        <f>STDEV(K1538:K1539)</f>
        <v/>
      </c>
      <c r="N1537">
        <f>_xlfn.CONCAT(ROUND(L1537,1)," ± ",ROUND(M1537,1))</f>
        <v/>
      </c>
      <c r="Q1537" t="inlineStr">
        <is>
          <t>K3-4B</t>
        </is>
      </c>
      <c r="R1537" t="n">
        <v>1.1589</v>
      </c>
    </row>
    <row r="1538">
      <c r="A1538" t="n">
        <v>26</v>
      </c>
      <c r="B1538" t="inlineStr">
        <is>
          <t>K4-4B</t>
        </is>
      </c>
      <c r="H1538">
        <f>E1538/F1538</f>
        <v/>
      </c>
      <c r="I1538">
        <f>((H1538-$J$1460)/$I$1460)</f>
        <v/>
      </c>
      <c r="J1538">
        <f>(I1538-IF(I1520&gt;0,I1520,0))</f>
        <v/>
      </c>
      <c r="K1538">
        <f>J1538/R1522*1.1</f>
        <v/>
      </c>
      <c r="Q1538" t="inlineStr">
        <is>
          <t>K3-4C</t>
        </is>
      </c>
      <c r="R1538" t="n">
        <v>1.0206</v>
      </c>
    </row>
    <row r="1539">
      <c r="A1539" t="n">
        <v>27</v>
      </c>
      <c r="B1539" t="inlineStr">
        <is>
          <t>K4-4C</t>
        </is>
      </c>
      <c r="D1539" t="n">
        <v>13.05</v>
      </c>
      <c r="E1539" t="n">
        <v>0.606</v>
      </c>
      <c r="G1539" t="n">
        <v>6</v>
      </c>
      <c r="H1539">
        <f>E1539/F1539</f>
        <v/>
      </c>
      <c r="I1539">
        <f>((H1539-$J$1460)/$I$1460)</f>
        <v/>
      </c>
      <c r="J1539">
        <f>(I1539-IF(I1520&gt;0,I1520,0))</f>
        <v/>
      </c>
      <c r="K1539">
        <f>J1539/R1523*1.1</f>
        <v/>
      </c>
      <c r="L1539" s="23" t="inlineStr">
        <is>
          <t>Average</t>
        </is>
      </c>
      <c r="M1539" s="23" t="inlineStr">
        <is>
          <t>Stdev</t>
        </is>
      </c>
      <c r="N1539" s="9" t="inlineStr">
        <is>
          <t>Combined</t>
        </is>
      </c>
      <c r="Q1539" t="inlineStr">
        <is>
          <t>K3-6A</t>
        </is>
      </c>
      <c r="R1539" t="n">
        <v>1.1289</v>
      </c>
    </row>
    <row r="1540">
      <c r="A1540" t="n">
        <v>28</v>
      </c>
      <c r="B1540" t="inlineStr">
        <is>
          <t>K4-5A</t>
        </is>
      </c>
      <c r="H1540">
        <f>E1540/F1540</f>
        <v/>
      </c>
      <c r="I1540">
        <f>((H1540-$J$1460)/$I$1460)</f>
        <v/>
      </c>
      <c r="J1540">
        <f>(I1540-IF(I1520&gt;0,I1520,0))</f>
        <v/>
      </c>
      <c r="K1540">
        <f>J1540/R1524*1.1</f>
        <v/>
      </c>
      <c r="L1540">
        <f>AVERAGE(K1540:K1542)</f>
        <v/>
      </c>
      <c r="M1540">
        <f>STDEV(K1540:K1542)</f>
        <v/>
      </c>
      <c r="N1540">
        <f>_xlfn.CONCAT(ROUND(L1540,1)," ± ",ROUND(M1540,1))</f>
        <v/>
      </c>
      <c r="Q1540" t="inlineStr">
        <is>
          <t>K3-6B</t>
        </is>
      </c>
      <c r="R1540" t="n">
        <v>1.195</v>
      </c>
    </row>
    <row r="1541">
      <c r="A1541" t="n">
        <v>29</v>
      </c>
      <c r="B1541" t="inlineStr">
        <is>
          <t>K4-5B</t>
        </is>
      </c>
      <c r="H1541">
        <f>E1541/F1541</f>
        <v/>
      </c>
      <c r="I1541">
        <f>((H1541-$J$1460)/$I$1460)</f>
        <v/>
      </c>
      <c r="J1541">
        <f>(I1541-IF(I1520&gt;0,I1520,0))</f>
        <v/>
      </c>
      <c r="K1541">
        <f>J1541/R1525*1.1</f>
        <v/>
      </c>
      <c r="Q1541" t="inlineStr">
        <is>
          <t>K3-6C</t>
        </is>
      </c>
      <c r="R1541" t="n">
        <v>1.1716</v>
      </c>
    </row>
    <row r="1542">
      <c r="A1542" t="n">
        <v>30</v>
      </c>
      <c r="B1542" t="inlineStr">
        <is>
          <t>K4-5C</t>
        </is>
      </c>
      <c r="H1542">
        <f>E1542/F1542</f>
        <v/>
      </c>
      <c r="I1542">
        <f>((H1542-$J$1460)/$I$1460)</f>
        <v/>
      </c>
      <c r="J1542">
        <f>(I1542-IF(I1520&gt;0,I1520,0))</f>
        <v/>
      </c>
      <c r="K1542">
        <f>J1542/R1526*1.1</f>
        <v/>
      </c>
      <c r="L1542" s="23" t="n"/>
      <c r="M1542" s="23" t="n"/>
      <c r="N1542" s="9" t="n"/>
    </row>
    <row r="1543">
      <c r="A1543" t="n">
        <v>31</v>
      </c>
      <c r="B1543" t="inlineStr">
        <is>
          <t>MeOH</t>
        </is>
      </c>
      <c r="L1543" s="23" t="inlineStr">
        <is>
          <t>Average</t>
        </is>
      </c>
      <c r="M1543" s="23" t="inlineStr">
        <is>
          <t>Stdev</t>
        </is>
      </c>
      <c r="N1543" s="9" t="inlineStr">
        <is>
          <t>Combined</t>
        </is>
      </c>
    </row>
    <row r="1544">
      <c r="A1544" t="n">
        <v>32</v>
      </c>
      <c r="B1544" t="inlineStr">
        <is>
          <t>K3-1A</t>
        </is>
      </c>
      <c r="D1544" t="n">
        <v>13.42</v>
      </c>
      <c r="E1544" t="n">
        <v>2.538</v>
      </c>
      <c r="G1544" t="n">
        <v>21</v>
      </c>
      <c r="H1544">
        <f>E1544/F1544</f>
        <v/>
      </c>
      <c r="I1544">
        <f>((H1544-$J$1460)/$I$1460)</f>
        <v/>
      </c>
      <c r="J1544">
        <f>(I1544-IF(I1520&gt;0,I1520,0))</f>
        <v/>
      </c>
      <c r="K1544">
        <f>J1544/R1527*1.1</f>
        <v/>
      </c>
      <c r="L1544">
        <f>AVERAGE(K1544:K1546)</f>
        <v/>
      </c>
      <c r="M1544">
        <f>STDEV(K1545:K1546)</f>
        <v/>
      </c>
      <c r="N1544">
        <f>_xlfn.CONCAT(ROUND(L1544,1)," ± ",ROUND(M1544,1))</f>
        <v/>
      </c>
    </row>
    <row r="1545">
      <c r="A1545" t="n">
        <v>33</v>
      </c>
      <c r="B1545" t="inlineStr">
        <is>
          <t>K3-1B</t>
        </is>
      </c>
      <c r="H1545">
        <f>E1545/F1545</f>
        <v/>
      </c>
      <c r="I1545">
        <f>((H1545-$J$1460)/$I$1460)</f>
        <v/>
      </c>
      <c r="J1545">
        <f>(I1545-IF(I1520&gt;0,I1520,0))</f>
        <v/>
      </c>
      <c r="K1545">
        <f>J1545/R1528*1.1</f>
        <v/>
      </c>
    </row>
    <row r="1546">
      <c r="A1546" t="n">
        <v>34</v>
      </c>
      <c r="B1546" t="inlineStr">
        <is>
          <t>K3-1C</t>
        </is>
      </c>
      <c r="H1546">
        <f>E1546/F1546</f>
        <v/>
      </c>
      <c r="I1546">
        <f>((H1546-$J$1460)/$I$1460)</f>
        <v/>
      </c>
      <c r="J1546">
        <f>(I1546-IF(I1520&gt;0,I1520,0))</f>
        <v/>
      </c>
      <c r="K1546">
        <f>J1546/R1529*1.1</f>
        <v/>
      </c>
      <c r="L1546" s="23" t="inlineStr">
        <is>
          <t>Average</t>
        </is>
      </c>
      <c r="M1546" s="23" t="inlineStr">
        <is>
          <t>Stdev</t>
        </is>
      </c>
      <c r="N1546" s="9" t="inlineStr">
        <is>
          <t>Combined</t>
        </is>
      </c>
    </row>
    <row r="1547">
      <c r="A1547" t="n">
        <v>35</v>
      </c>
      <c r="B1547" t="inlineStr">
        <is>
          <t>K3-2A</t>
        </is>
      </c>
      <c r="D1547" t="n">
        <v>13.5</v>
      </c>
      <c r="E1547" t="n">
        <v>30.903</v>
      </c>
      <c r="G1547" t="n">
        <v>284</v>
      </c>
      <c r="H1547">
        <f>E1547/F1547</f>
        <v/>
      </c>
      <c r="I1547">
        <f>((H1547-$J$1460)/$I$1460)</f>
        <v/>
      </c>
      <c r="J1547">
        <f>(I1547-IF(I1520&gt;0,I1520,0))</f>
        <v/>
      </c>
      <c r="K1547">
        <f>J1547/R1530*1.1</f>
        <v/>
      </c>
      <c r="L1547">
        <f>AVERAGE(K1547:K1549)</f>
        <v/>
      </c>
      <c r="M1547">
        <f>STDEV(K1547:K1549)</f>
        <v/>
      </c>
      <c r="N1547">
        <f>_xlfn.CONCAT(ROUND(L1547,1)," ± ",ROUND(M1547,1))</f>
        <v/>
      </c>
    </row>
    <row r="1548">
      <c r="A1548" t="n">
        <v>36</v>
      </c>
      <c r="B1548" t="inlineStr">
        <is>
          <t>K3-2B</t>
        </is>
      </c>
      <c r="H1548">
        <f>E1548/F1548</f>
        <v/>
      </c>
      <c r="I1548">
        <f>((H1548-$J$1460)/$I$1460)</f>
        <v/>
      </c>
      <c r="J1548">
        <f>(I1548-IF(I1520&gt;0,I1520,0))</f>
        <v/>
      </c>
      <c r="K1548">
        <f>J1548/R1531*1.1</f>
        <v/>
      </c>
    </row>
    <row r="1549">
      <c r="A1549" t="n">
        <v>37</v>
      </c>
      <c r="B1549" t="inlineStr">
        <is>
          <t>K3-2C</t>
        </is>
      </c>
      <c r="H1549">
        <f>E1549/F1549</f>
        <v/>
      </c>
      <c r="I1549">
        <f>((H1549-$J$1460)/$I$1460)</f>
        <v/>
      </c>
      <c r="J1549">
        <f>(I1549-IF(I1520&gt;0,I1520,0))</f>
        <v/>
      </c>
      <c r="K1549">
        <f>J1549/R1532*1.1</f>
        <v/>
      </c>
      <c r="L1549" s="23" t="n"/>
      <c r="M1549" s="23" t="n"/>
      <c r="N1549" s="9" t="n"/>
    </row>
    <row r="1550">
      <c r="A1550" t="n">
        <v>38</v>
      </c>
      <c r="B1550" t="inlineStr">
        <is>
          <t>MeOH</t>
        </is>
      </c>
      <c r="L1550" s="23" t="inlineStr">
        <is>
          <t>Average</t>
        </is>
      </c>
      <c r="M1550" s="23" t="inlineStr">
        <is>
          <t>Stdev</t>
        </is>
      </c>
      <c r="N1550" s="9" t="inlineStr">
        <is>
          <t>Combined</t>
        </is>
      </c>
    </row>
    <row r="1551">
      <c r="A1551" t="n">
        <v>39</v>
      </c>
      <c r="B1551" t="inlineStr">
        <is>
          <t>K3-3A</t>
        </is>
      </c>
      <c r="H1551">
        <f>E1551/F1551</f>
        <v/>
      </c>
      <c r="I1551">
        <f>((H1551-$J$1460)/$I$1460)</f>
        <v/>
      </c>
      <c r="J1551">
        <f>(I1551-IF(I1520&gt;0,I1520,0))</f>
        <v/>
      </c>
      <c r="K1551">
        <f>J1551/R1533*1.1</f>
        <v/>
      </c>
      <c r="L1551">
        <f>AVERAGE(K1551:K1553)</f>
        <v/>
      </c>
      <c r="M1551">
        <f>STDEV(K1552:K1553)</f>
        <v/>
      </c>
      <c r="N1551">
        <f>_xlfn.CONCAT(ROUND(L1551,1)," ± ",ROUND(M1551,1))</f>
        <v/>
      </c>
    </row>
    <row r="1552">
      <c r="A1552" t="n">
        <v>40</v>
      </c>
      <c r="B1552" t="inlineStr">
        <is>
          <t>K3-3B</t>
        </is>
      </c>
      <c r="H1552">
        <f>E1552/F1552</f>
        <v/>
      </c>
      <c r="I1552">
        <f>((H1552-$J$1460)/$I$1460)</f>
        <v/>
      </c>
      <c r="J1552">
        <f>(I1552-IF(I1520&gt;0,I1520,0))</f>
        <v/>
      </c>
      <c r="K1552">
        <f>J1552/R1534*1.1</f>
        <v/>
      </c>
    </row>
    <row r="1553">
      <c r="A1553" t="n">
        <v>41</v>
      </c>
      <c r="B1553" t="inlineStr">
        <is>
          <t>K3-3C</t>
        </is>
      </c>
      <c r="H1553">
        <f>E1553/F1553</f>
        <v/>
      </c>
      <c r="I1553">
        <f>((H1553-$J$1460)/$I$1460)</f>
        <v/>
      </c>
      <c r="J1553">
        <f>(I1553-IF(I1520&gt;0,I1520,0))</f>
        <v/>
      </c>
      <c r="K1553">
        <f>J1553/R1535*1.1</f>
        <v/>
      </c>
      <c r="L1553" s="23" t="inlineStr">
        <is>
          <t>Average</t>
        </is>
      </c>
      <c r="M1553" s="23" t="inlineStr">
        <is>
          <t>Stdev</t>
        </is>
      </c>
      <c r="N1553" s="9" t="inlineStr">
        <is>
          <t>Combined</t>
        </is>
      </c>
    </row>
    <row r="1554">
      <c r="A1554" t="n">
        <v>42</v>
      </c>
      <c r="B1554" t="inlineStr">
        <is>
          <t>K3-4A</t>
        </is>
      </c>
      <c r="H1554">
        <f>E1554/F1554</f>
        <v/>
      </c>
      <c r="I1554">
        <f>((H1554-$J$1460)/$I$1460)</f>
        <v/>
      </c>
      <c r="J1554">
        <f>(I1554-IF(I1520&gt;0,I1520,0))</f>
        <v/>
      </c>
      <c r="K1554">
        <f>J1554/R1536*1.1</f>
        <v/>
      </c>
      <c r="L1554">
        <f>AVERAGE(K1554:K1556)</f>
        <v/>
      </c>
      <c r="M1554">
        <f>STDEV(K1554:K1556)</f>
        <v/>
      </c>
      <c r="N1554">
        <f>_xlfn.CONCAT(ROUND(L1554,1)," ± ",ROUND(M1554,1))</f>
        <v/>
      </c>
    </row>
    <row r="1555">
      <c r="A1555" t="n">
        <v>43</v>
      </c>
      <c r="B1555" t="inlineStr">
        <is>
          <t>K3-4B</t>
        </is>
      </c>
      <c r="H1555">
        <f>E1555/F1555</f>
        <v/>
      </c>
      <c r="I1555">
        <f>((H1555-$J$1460)/$I$1460)</f>
        <v/>
      </c>
      <c r="J1555">
        <f>(I1555-IF(I1520&gt;0,I1520,0))</f>
        <v/>
      </c>
      <c r="K1555">
        <f>J1555/R1537*1.1</f>
        <v/>
      </c>
    </row>
    <row r="1556">
      <c r="A1556" t="n">
        <v>44</v>
      </c>
      <c r="B1556" t="inlineStr">
        <is>
          <t>K3-4C</t>
        </is>
      </c>
      <c r="H1556">
        <f>E1556/F1556</f>
        <v/>
      </c>
      <c r="I1556">
        <f>((H1556-$J$1460)/$I$1460)</f>
        <v/>
      </c>
      <c r="J1556">
        <f>(I1556-IF(I1520&gt;0,I1520,0))</f>
        <v/>
      </c>
      <c r="K1556">
        <f>J1556/R1538*1.1</f>
        <v/>
      </c>
      <c r="L1556" s="23" t="n"/>
      <c r="M1556" s="23" t="n"/>
      <c r="N1556" s="9" t="n"/>
    </row>
    <row r="1557">
      <c r="A1557" t="n">
        <v>45</v>
      </c>
      <c r="B1557" t="inlineStr">
        <is>
          <t>MeOH</t>
        </is>
      </c>
      <c r="L1557" s="23" t="inlineStr">
        <is>
          <t>Average</t>
        </is>
      </c>
      <c r="M1557" s="23" t="inlineStr">
        <is>
          <t>Stdev</t>
        </is>
      </c>
      <c r="N1557" s="9" t="inlineStr">
        <is>
          <t>Combined</t>
        </is>
      </c>
    </row>
    <row r="1558">
      <c r="A1558" t="n">
        <v>46</v>
      </c>
      <c r="B1558" t="inlineStr">
        <is>
          <t>K3-6A</t>
        </is>
      </c>
      <c r="D1558" t="n">
        <v>13.02</v>
      </c>
      <c r="E1558" t="n">
        <v>3.168</v>
      </c>
      <c r="G1558" t="n">
        <v>30</v>
      </c>
      <c r="H1558">
        <f>E1558/F1558</f>
        <v/>
      </c>
      <c r="I1558">
        <f>((H1558-$J$1460)/$I$1460)</f>
        <v/>
      </c>
      <c r="J1558">
        <f>(I1558-IF(I1520&gt;0,I1520,0))</f>
        <v/>
      </c>
      <c r="K1558">
        <f>J1558/R1539*1.1</f>
        <v/>
      </c>
      <c r="L1558">
        <f>AVERAGE(K1558:K1560)</f>
        <v/>
      </c>
      <c r="M1558">
        <f>STDEV(K1559:K1560)</f>
        <v/>
      </c>
      <c r="N1558">
        <f>_xlfn.CONCAT(ROUND(L1558,1)," ± ",ROUND(M1558,1))</f>
        <v/>
      </c>
    </row>
    <row r="1559">
      <c r="A1559" t="n">
        <v>47</v>
      </c>
      <c r="B1559" t="inlineStr">
        <is>
          <t>K3-6B</t>
        </is>
      </c>
      <c r="D1559" t="n">
        <v>13.02</v>
      </c>
      <c r="E1559" t="n">
        <v>14.585</v>
      </c>
      <c r="G1559" t="n">
        <v>136</v>
      </c>
      <c r="H1559">
        <f>E1559/F1559</f>
        <v/>
      </c>
      <c r="I1559">
        <f>((H1559-$J$1460)/$I$1460)</f>
        <v/>
      </c>
      <c r="J1559">
        <f>(I1559-IF(I1520&gt;0,I1520,0))</f>
        <v/>
      </c>
      <c r="K1559">
        <f>J1559/R1540*1.1</f>
        <v/>
      </c>
    </row>
    <row r="1560">
      <c r="A1560" t="n">
        <v>48</v>
      </c>
      <c r="B1560" t="inlineStr">
        <is>
          <t>K3-6C</t>
        </is>
      </c>
      <c r="H1560">
        <f>E1560/F1560</f>
        <v/>
      </c>
      <c r="I1560">
        <f>((H1560-$J$1460)/$I$1460)</f>
        <v/>
      </c>
      <c r="J1560">
        <f>(I1560-IF(I1520&gt;0,I1520,0))</f>
        <v/>
      </c>
      <c r="K1560">
        <f>J1560/R1541*1.1</f>
        <v/>
      </c>
      <c r="L1560" s="23" t="n"/>
      <c r="M1560" s="23" t="n"/>
      <c r="N1560" s="9" t="n"/>
    </row>
    <row r="1562">
      <c r="A1562" s="15" t="inlineStr">
        <is>
          <t>Compound 70:  FOSA 1</t>
        </is>
      </c>
      <c r="B1562" s="15" t="n"/>
    </row>
    <row r="1563">
      <c r="I1563" t="inlineStr">
        <is>
          <t>LINEST</t>
        </is>
      </c>
      <c r="Q1563" t="inlineStr">
        <is>
          <t>Biosolids Masses</t>
        </is>
      </c>
      <c r="R1563" t="inlineStr">
        <is>
          <t>(g)</t>
        </is>
      </c>
    </row>
    <row r="1564">
      <c r="B1564" t="inlineStr">
        <is>
          <t>Sample Text</t>
        </is>
      </c>
      <c r="C1564" t="inlineStr">
        <is>
          <t>Std. Conc</t>
        </is>
      </c>
      <c r="D1564" t="inlineStr">
        <is>
          <t>RT</t>
        </is>
      </c>
      <c r="E1564" t="inlineStr">
        <is>
          <t>Area</t>
        </is>
      </c>
      <c r="F1564" t="inlineStr">
        <is>
          <t>IS Area</t>
        </is>
      </c>
      <c r="G1564" t="inlineStr">
        <is>
          <t>S/N</t>
        </is>
      </c>
      <c r="H1564" t="inlineStr">
        <is>
          <t>ratio</t>
        </is>
      </c>
      <c r="I1564">
        <f t="array" ref="I1564:J1568">LINEST(H1566:H1572,C1566:C1572,1,1)</f>
        <v/>
      </c>
      <c r="J1564" t="n">
        <v>-0.003823401466298781</v>
      </c>
      <c r="L1564" s="20" t="inlineStr">
        <is>
          <t>By S/N Ratio</t>
        </is>
      </c>
      <c r="Q1564" t="inlineStr">
        <is>
          <t>SS1</t>
        </is>
      </c>
      <c r="R1564" t="n">
        <v>1.0846</v>
      </c>
    </row>
    <row r="1565">
      <c r="A1565" t="n">
        <v>1</v>
      </c>
      <c r="B1565" t="inlineStr">
        <is>
          <t>EPA1633 &amp; diPAPs Calibration 0 ppb</t>
        </is>
      </c>
      <c r="C1565" t="n">
        <v>0</v>
      </c>
      <c r="D1565" t="n">
        <v>13.09</v>
      </c>
      <c r="E1565" t="n">
        <v>100.982</v>
      </c>
      <c r="F1565" t="n">
        <v>13205.621</v>
      </c>
      <c r="G1565" t="n">
        <v>4.571</v>
      </c>
      <c r="H1565">
        <f>E1565/F1565</f>
        <v/>
      </c>
      <c r="I1565" t="n">
        <v>0.003804255708823884</v>
      </c>
      <c r="J1565" t="n">
        <v>0.03298252402714836</v>
      </c>
      <c r="K1565" t="inlineStr">
        <is>
          <t>LOD</t>
        </is>
      </c>
      <c r="L1565" s="21">
        <f>IF(G1568&gt;3,C1568,IF(G1569&gt;3,C1569,IF(G1570&gt;3,C1570,IF(G1571&gt;3,C1571,C1572))))</f>
        <v/>
      </c>
      <c r="Q1565" t="inlineStr">
        <is>
          <t>SS2</t>
        </is>
      </c>
      <c r="R1565" t="n">
        <v>1.0726</v>
      </c>
    </row>
    <row r="1566">
      <c r="A1566" t="n">
        <v>2</v>
      </c>
      <c r="B1566" t="inlineStr">
        <is>
          <t>EPA1633 &amp; diPAPs Calibration 0.02 ppb</t>
        </is>
      </c>
      <c r="C1566" t="n">
        <v>0.02</v>
      </c>
      <c r="D1566" t="n">
        <v>13.13</v>
      </c>
      <c r="E1566" t="n">
        <v>29.256</v>
      </c>
      <c r="F1566" t="n">
        <v>13259.294</v>
      </c>
      <c r="G1566" t="n">
        <v>213</v>
      </c>
      <c r="H1566">
        <f>E1566/F1566</f>
        <v/>
      </c>
      <c r="I1566" t="n">
        <v>0.9978743220508467</v>
      </c>
      <c r="J1566" t="n">
        <v>0.06969582753064356</v>
      </c>
      <c r="K1566" t="inlineStr">
        <is>
          <t>LOQ</t>
        </is>
      </c>
      <c r="L1566" s="22">
        <f>IF(G1568&gt;10,C1568,IF(G1569&gt;10,C1569,IF(G1570&gt;10,C1570,IF(G1571&gt;10,C1571,C1572))))</f>
        <v/>
      </c>
      <c r="Q1566" t="inlineStr">
        <is>
          <t>SS3</t>
        </is>
      </c>
      <c r="R1566" t="n">
        <v>1.1534</v>
      </c>
    </row>
    <row r="1567">
      <c r="A1567" t="n">
        <v>3</v>
      </c>
      <c r="B1567" t="inlineStr">
        <is>
          <t>EPA1633 &amp; diPAPs Calibration 0.1 ppb</t>
        </is>
      </c>
      <c r="C1567" t="n">
        <v>0.1</v>
      </c>
      <c r="D1567" t="n">
        <v>13.16</v>
      </c>
      <c r="E1567" t="n">
        <v>554.35</v>
      </c>
      <c r="F1567" t="n">
        <v>14266.168</v>
      </c>
      <c r="G1567" t="n">
        <v>14.607</v>
      </c>
      <c r="H1567">
        <f>E1567/F1567</f>
        <v/>
      </c>
      <c r="I1567" t="n">
        <v>2347.190745541435</v>
      </c>
      <c r="J1567" t="n">
        <v>5</v>
      </c>
      <c r="Q1567" t="inlineStr">
        <is>
          <t>K4-1A</t>
        </is>
      </c>
      <c r="R1567" t="n">
        <v>1.0267</v>
      </c>
    </row>
    <row r="1568">
      <c r="A1568" t="n">
        <v>4</v>
      </c>
      <c r="B1568" t="inlineStr">
        <is>
          <t>EPA1633 &amp; diPAPs Calibration 0.4 ppb</t>
        </is>
      </c>
      <c r="C1568" t="n">
        <v>0.4</v>
      </c>
      <c r="D1568" t="n">
        <v>13.17</v>
      </c>
      <c r="E1568" t="n">
        <v>1532.081</v>
      </c>
      <c r="F1568" t="n">
        <v>12275.191</v>
      </c>
      <c r="G1568" t="n">
        <v>13.18</v>
      </c>
      <c r="H1568">
        <f>E1568/F1568</f>
        <v/>
      </c>
      <c r="I1568" t="n">
        <v>11.40149870461536</v>
      </c>
      <c r="J1568" t="n">
        <v>0.02428754187590607</v>
      </c>
      <c r="Q1568" t="inlineStr">
        <is>
          <t>K4-1B</t>
        </is>
      </c>
      <c r="R1568" t="n">
        <v>1.1481</v>
      </c>
    </row>
    <row r="1569">
      <c r="A1569" t="n">
        <v>5</v>
      </c>
      <c r="B1569" t="inlineStr">
        <is>
          <t>EPA1633 &amp; diPAPs Calibration 1 ppb</t>
        </is>
      </c>
      <c r="C1569" t="n">
        <v>1</v>
      </c>
      <c r="D1569" t="n">
        <v>13.17</v>
      </c>
      <c r="E1569" t="n">
        <v>1987.902</v>
      </c>
      <c r="F1569" t="n">
        <v>14683.087</v>
      </c>
      <c r="G1569" t="n">
        <v>335.888</v>
      </c>
      <c r="H1569">
        <f>E1569/F1569</f>
        <v/>
      </c>
      <c r="Q1569" t="inlineStr">
        <is>
          <t>K4-1C</t>
        </is>
      </c>
      <c r="R1569" t="n">
        <v>1.0402</v>
      </c>
    </row>
    <row r="1570">
      <c r="A1570" t="n">
        <v>6</v>
      </c>
      <c r="B1570" t="inlineStr">
        <is>
          <t>EPA1633 &amp; diPAPs Calibration 5 ppb</t>
        </is>
      </c>
      <c r="C1570" t="n">
        <v>5</v>
      </c>
      <c r="D1570" t="n">
        <v>13.09</v>
      </c>
      <c r="E1570" t="n">
        <v>9972.636</v>
      </c>
      <c r="F1570" t="n">
        <v>12289.724</v>
      </c>
      <c r="G1570" t="n">
        <v>132.641</v>
      </c>
      <c r="H1570">
        <f>E1570/F1570</f>
        <v/>
      </c>
      <c r="Q1570" t="inlineStr">
        <is>
          <t>K4-2A</t>
        </is>
      </c>
      <c r="R1570" t="n">
        <v>1.127</v>
      </c>
    </row>
    <row r="1571">
      <c r="A1571" t="n">
        <v>7</v>
      </c>
      <c r="B1571" t="inlineStr">
        <is>
          <t>EPA1633 &amp; diPAPs Calibration 10 ppb</t>
        </is>
      </c>
      <c r="C1571" t="n">
        <v>10</v>
      </c>
      <c r="D1571" t="n">
        <v>13.11</v>
      </c>
      <c r="E1571" t="n">
        <v>17594.711</v>
      </c>
      <c r="F1571" t="n">
        <v>9146.025</v>
      </c>
      <c r="G1571" t="n">
        <v>1701.693</v>
      </c>
      <c r="H1571">
        <f>E1571/F1571</f>
        <v/>
      </c>
      <c r="I1571" s="23" t="inlineStr">
        <is>
          <t>Background</t>
        </is>
      </c>
      <c r="J1571" s="23" t="inlineStr">
        <is>
          <t>Spike</t>
        </is>
      </c>
      <c r="K1571" s="9" t="inlineStr">
        <is>
          <t>Old Spike</t>
        </is>
      </c>
      <c r="O1571" s="24" t="inlineStr">
        <is>
          <t>±</t>
        </is>
      </c>
      <c r="Q1571" t="inlineStr">
        <is>
          <t>K4-2B</t>
        </is>
      </c>
      <c r="R1571" t="n">
        <v>1.1154</v>
      </c>
    </row>
    <row r="1572">
      <c r="A1572" t="n">
        <v>8</v>
      </c>
      <c r="B1572" t="inlineStr">
        <is>
          <t>EPA1633 &amp; diPAPs Calibration 20 ppb</t>
        </is>
      </c>
      <c r="C1572" t="n">
        <v>20</v>
      </c>
      <c r="D1572" t="n">
        <v>13.12</v>
      </c>
      <c r="E1572" t="n">
        <v>38660.688</v>
      </c>
      <c r="F1572" t="n">
        <v>10540.908</v>
      </c>
      <c r="G1572" t="n">
        <v>339.359</v>
      </c>
      <c r="H1572">
        <f>E1572/F1572</f>
        <v/>
      </c>
      <c r="I1572">
        <f>AVERAGE(I1575:I1577)</f>
        <v/>
      </c>
      <c r="J1572" t="n">
        <v>11</v>
      </c>
      <c r="Q1572" t="inlineStr">
        <is>
          <t>K4-2C</t>
        </is>
      </c>
      <c r="R1572" t="n">
        <v>1.1711</v>
      </c>
    </row>
    <row r="1573">
      <c r="A1573" t="n">
        <v>9</v>
      </c>
      <c r="B1573" t="inlineStr">
        <is>
          <t>MeOH</t>
        </is>
      </c>
      <c r="D1573" t="n">
        <v>12.82</v>
      </c>
      <c r="E1573" t="n">
        <v>5.313</v>
      </c>
      <c r="G1573" t="n">
        <v>52</v>
      </c>
      <c r="I1573" s="23" t="inlineStr">
        <is>
          <t>Conc.In Vial (ppb)</t>
        </is>
      </c>
      <c r="J1573" s="9" t="inlineStr">
        <is>
          <t>Corr. Conc.(ppb)</t>
        </is>
      </c>
      <c r="K1573" s="9" t="inlineStr">
        <is>
          <t>Conc. In soil (ng/g)</t>
        </is>
      </c>
      <c r="Q1573" t="inlineStr">
        <is>
          <t>K4-4A</t>
        </is>
      </c>
      <c r="R1573" t="n">
        <v>1.0932</v>
      </c>
    </row>
    <row r="1574">
      <c r="A1574" t="n">
        <v>10</v>
      </c>
      <c r="B1574" t="inlineStr">
        <is>
          <t>MeOH</t>
        </is>
      </c>
      <c r="D1574" t="n">
        <v>13.17</v>
      </c>
      <c r="E1574" t="n">
        <v>73.82899999999999</v>
      </c>
      <c r="G1574" t="n">
        <v>13.354</v>
      </c>
      <c r="L1574" s="23" t="inlineStr">
        <is>
          <t>Average</t>
        </is>
      </c>
      <c r="M1574" s="23" t="inlineStr">
        <is>
          <t>Stdev</t>
        </is>
      </c>
      <c r="N1574" s="9" t="inlineStr">
        <is>
          <t>Combined</t>
        </is>
      </c>
      <c r="O1574" s="9" t="n"/>
      <c r="P1574" s="9" t="n"/>
      <c r="Q1574" t="inlineStr">
        <is>
          <t>K4-4B</t>
        </is>
      </c>
      <c r="R1574" t="n">
        <v>1.15</v>
      </c>
    </row>
    <row r="1575">
      <c r="A1575" t="n">
        <v>11</v>
      </c>
      <c r="B1575" t="inlineStr">
        <is>
          <t>SB1</t>
        </is>
      </c>
      <c r="D1575" t="n">
        <v>13.17</v>
      </c>
      <c r="E1575" t="n">
        <v>8.913</v>
      </c>
      <c r="F1575" t="n">
        <v>4312.337</v>
      </c>
      <c r="G1575" t="n">
        <v>1.275</v>
      </c>
      <c r="H1575">
        <f>E1575/F1575</f>
        <v/>
      </c>
      <c r="I1575">
        <f>((H1575-$J$1564)/$I$1564)</f>
        <v/>
      </c>
      <c r="J1575">
        <f>(I1575-IF(I1572&gt;0,I1572,0))</f>
        <v/>
      </c>
      <c r="K1575">
        <f>J1575*1.1</f>
        <v/>
      </c>
      <c r="L1575">
        <f>AVERAGE(K1575:K1577)</f>
        <v/>
      </c>
      <c r="M1575">
        <f>STDEV(K1576:K1577)</f>
        <v/>
      </c>
      <c r="N1575">
        <f>_xlfn.CONCAT(ROUND(L1575,1)," ± ",ROUND(M1575,1))</f>
        <v/>
      </c>
      <c r="Q1575" t="inlineStr">
        <is>
          <t>K4-4C</t>
        </is>
      </c>
      <c r="R1575" t="n">
        <v>1.0482</v>
      </c>
    </row>
    <row r="1576">
      <c r="A1576" t="n">
        <v>12</v>
      </c>
      <c r="B1576" t="inlineStr">
        <is>
          <t>SB2</t>
        </is>
      </c>
      <c r="F1576" t="n">
        <v>3563.555</v>
      </c>
      <c r="H1576">
        <f>E1576/F1576</f>
        <v/>
      </c>
      <c r="I1576">
        <f>((H1576-$J$1564)/$I$1564)</f>
        <v/>
      </c>
      <c r="J1576">
        <f>(I1576-IF(I1572&gt;0,I1572,0))</f>
        <v/>
      </c>
      <c r="K1576">
        <f>J1576*1.1</f>
        <v/>
      </c>
      <c r="Q1576" t="inlineStr">
        <is>
          <t>K4-5A</t>
        </is>
      </c>
      <c r="R1576" t="n">
        <v>1.1054</v>
      </c>
    </row>
    <row r="1577">
      <c r="A1577" t="n">
        <v>13</v>
      </c>
      <c r="B1577" t="inlineStr">
        <is>
          <t>SB3</t>
        </is>
      </c>
      <c r="D1577" t="n">
        <v>13.17</v>
      </c>
      <c r="E1577" t="n">
        <v>16.847</v>
      </c>
      <c r="F1577" t="n">
        <v>4440.152</v>
      </c>
      <c r="G1577" t="n">
        <v>149</v>
      </c>
      <c r="H1577">
        <f>E1577/F1577</f>
        <v/>
      </c>
      <c r="I1577">
        <f>((H1577-$J$1564)/$I$1564)</f>
        <v/>
      </c>
      <c r="J1577">
        <f>(I1577-IF(I1572&gt;0,I1572,0))</f>
        <v/>
      </c>
      <c r="K1577" s="30">
        <f>J1577*1.1</f>
        <v/>
      </c>
      <c r="L1577" s="25" t="inlineStr">
        <is>
          <t>Average</t>
        </is>
      </c>
      <c r="M1577" s="25" t="inlineStr">
        <is>
          <t>Stdev</t>
        </is>
      </c>
      <c r="N1577" s="26" t="inlineStr">
        <is>
          <t>%Recovery</t>
        </is>
      </c>
      <c r="O1577" s="26" t="inlineStr">
        <is>
          <t>Uncertainty</t>
        </is>
      </c>
      <c r="P1577" s="26" t="inlineStr">
        <is>
          <t>Combined</t>
        </is>
      </c>
      <c r="Q1577" t="inlineStr">
        <is>
          <t>K4-5B</t>
        </is>
      </c>
      <c r="R1577" s="10" t="n">
        <v>1.0463</v>
      </c>
    </row>
    <row r="1578">
      <c r="A1578" t="n">
        <v>14</v>
      </c>
      <c r="B1578" t="inlineStr">
        <is>
          <t>SS1</t>
        </is>
      </c>
      <c r="D1578" t="n">
        <v>13.2</v>
      </c>
      <c r="E1578" t="n">
        <v>6559.153</v>
      </c>
      <c r="F1578" t="n">
        <v>4327.706</v>
      </c>
      <c r="G1578" t="n">
        <v>1002.67</v>
      </c>
      <c r="H1578">
        <f>E1578/F1578</f>
        <v/>
      </c>
      <c r="I1578">
        <f>((H1578-$J$1564)/$I$1564)</f>
        <v/>
      </c>
      <c r="J1578">
        <f>(I1578-IF(I1572&gt;0,I1572,0))</f>
        <v/>
      </c>
      <c r="K1578">
        <f>J1578/R1564*1.1</f>
        <v/>
      </c>
      <c r="L1578" s="27">
        <f>AVERAGE(K1578:K1580)</f>
        <v/>
      </c>
      <c r="M1578" s="27">
        <f>STDEV(K1578:K1580)</f>
        <v/>
      </c>
      <c r="N1578" s="28">
        <f>L1578/J1572*100</f>
        <v/>
      </c>
      <c r="O1578" s="29">
        <f>M1578/J1575*100</f>
        <v/>
      </c>
      <c r="P1578" s="29">
        <f>_xlfn.CONCAT(ROUND(N1578,1)," ± ",ROUND(O1578,1))</f>
        <v/>
      </c>
      <c r="Q1578" t="inlineStr">
        <is>
          <t>K4-5C</t>
        </is>
      </c>
      <c r="R1578" t="n">
        <v>1.1155</v>
      </c>
    </row>
    <row r="1579">
      <c r="A1579" t="n">
        <v>15</v>
      </c>
      <c r="B1579" t="inlineStr">
        <is>
          <t>SS2</t>
        </is>
      </c>
      <c r="D1579" t="n">
        <v>13.21</v>
      </c>
      <c r="E1579" t="n">
        <v>6642.175</v>
      </c>
      <c r="F1579" t="n">
        <v>4560.75</v>
      </c>
      <c r="G1579" t="n">
        <v>549.946</v>
      </c>
      <c r="H1579">
        <f>E1579/F1579</f>
        <v/>
      </c>
      <c r="I1579">
        <f>((H1579-$J$1564)/$I$1564)</f>
        <v/>
      </c>
      <c r="J1579">
        <f>(I1579-IF(I1572&gt;0,I1572,0))</f>
        <v/>
      </c>
      <c r="K1579">
        <f>J1579/R1565*1.1</f>
        <v/>
      </c>
      <c r="Q1579" t="inlineStr">
        <is>
          <t>K3-1A</t>
        </is>
      </c>
      <c r="R1579" t="n">
        <v>1.0874</v>
      </c>
    </row>
    <row r="1580">
      <c r="A1580" t="n">
        <v>16</v>
      </c>
      <c r="B1580" t="inlineStr">
        <is>
          <t>SS3</t>
        </is>
      </c>
      <c r="D1580" t="n">
        <v>13.21</v>
      </c>
      <c r="E1580" t="n">
        <v>6847.048</v>
      </c>
      <c r="F1580" t="n">
        <v>4386.909</v>
      </c>
      <c r="G1580" t="n">
        <v>1706.56</v>
      </c>
      <c r="H1580">
        <f>E1580/F1580</f>
        <v/>
      </c>
      <c r="I1580">
        <f>((H1580-$J$1564)/$I$1564)</f>
        <v/>
      </c>
      <c r="J1580">
        <f>(I1580-IF(I1572&gt;0,I1572,0))</f>
        <v/>
      </c>
      <c r="K1580" s="30">
        <f>J1580/R1566*1.1</f>
        <v/>
      </c>
      <c r="Q1580" t="inlineStr">
        <is>
          <t>K3-1B</t>
        </is>
      </c>
      <c r="R1580" t="n">
        <v>1.0898</v>
      </c>
    </row>
    <row r="1581">
      <c r="A1581" t="n">
        <v>17</v>
      </c>
      <c r="B1581" t="inlineStr">
        <is>
          <t>MeOH</t>
        </is>
      </c>
      <c r="L1581" s="23" t="inlineStr">
        <is>
          <t>Average</t>
        </is>
      </c>
      <c r="M1581" s="23" t="inlineStr">
        <is>
          <t>Stdev</t>
        </is>
      </c>
      <c r="N1581" s="9" t="inlineStr">
        <is>
          <t>Combined</t>
        </is>
      </c>
      <c r="Q1581" t="inlineStr">
        <is>
          <t>K3-1C</t>
        </is>
      </c>
      <c r="R1581" t="n">
        <v>1.0536</v>
      </c>
    </row>
    <row r="1582">
      <c r="A1582" t="n">
        <v>18</v>
      </c>
      <c r="B1582" t="inlineStr">
        <is>
          <t>K4-1A</t>
        </is>
      </c>
      <c r="D1582" t="n">
        <v>13.2</v>
      </c>
      <c r="E1582" t="n">
        <v>119.214</v>
      </c>
      <c r="F1582" t="n">
        <v>6129.653</v>
      </c>
      <c r="G1582" t="n">
        <v>5.571</v>
      </c>
      <c r="H1582">
        <f>E1582/F1582</f>
        <v/>
      </c>
      <c r="I1582">
        <f>((H1582-$J$1564)/$I$1564)</f>
        <v/>
      </c>
      <c r="J1582">
        <f>(I1582-IF(I1572&gt;0,I1572,0))</f>
        <v/>
      </c>
      <c r="K1582">
        <f>J1582/R1567*1.1</f>
        <v/>
      </c>
      <c r="L1582">
        <f>AVERAGE(K1582:K1584)</f>
        <v/>
      </c>
      <c r="M1582">
        <f>STDEV(K1583:K1584)</f>
        <v/>
      </c>
      <c r="N1582">
        <f>_xlfn.CONCAT(ROUND(L1582,1)," ± ",ROUND(M1582,1))</f>
        <v/>
      </c>
      <c r="Q1582" t="inlineStr">
        <is>
          <t>K3-2A</t>
        </is>
      </c>
      <c r="R1582" s="10" t="n">
        <v>1.1218</v>
      </c>
    </row>
    <row r="1583">
      <c r="A1583" t="n">
        <v>19</v>
      </c>
      <c r="B1583" t="inlineStr">
        <is>
          <t>K4-1B</t>
        </is>
      </c>
      <c r="F1583" t="n">
        <v>6202.174</v>
      </c>
      <c r="H1583">
        <f>E1583/F1583</f>
        <v/>
      </c>
      <c r="I1583">
        <f>((H1583-$J$1564)/$I$1564)</f>
        <v/>
      </c>
      <c r="J1583">
        <f>(I1583-IF(I1572&gt;0,I1572,0))</f>
        <v/>
      </c>
      <c r="K1583">
        <f>J1583/R1568*1.1</f>
        <v/>
      </c>
      <c r="Q1583" t="inlineStr">
        <is>
          <t>K3-2B</t>
        </is>
      </c>
      <c r="R1583" t="n">
        <v>1.198</v>
      </c>
    </row>
    <row r="1584">
      <c r="A1584" t="n">
        <v>20</v>
      </c>
      <c r="B1584" t="inlineStr">
        <is>
          <t>K4-1C</t>
        </is>
      </c>
      <c r="D1584" t="n">
        <v>13.23</v>
      </c>
      <c r="E1584" t="n">
        <v>18.458</v>
      </c>
      <c r="F1584" t="n">
        <v>5567.882</v>
      </c>
      <c r="G1584" t="n">
        <v>4.083</v>
      </c>
      <c r="H1584">
        <f>E1584/F1584</f>
        <v/>
      </c>
      <c r="I1584">
        <f>((H1584-$J$1564)/$I$1564)</f>
        <v/>
      </c>
      <c r="J1584">
        <f>(I1584-IF(I1572&gt;0,I1572,0))</f>
        <v/>
      </c>
      <c r="K1584">
        <f>J1584/R1569*1.1</f>
        <v/>
      </c>
      <c r="L1584" s="23" t="inlineStr">
        <is>
          <t>Average</t>
        </is>
      </c>
      <c r="M1584" s="23" t="inlineStr">
        <is>
          <t>Stdev</t>
        </is>
      </c>
      <c r="N1584" s="9" t="inlineStr">
        <is>
          <t>Combined</t>
        </is>
      </c>
      <c r="Q1584" t="inlineStr">
        <is>
          <t>K3-2C</t>
        </is>
      </c>
      <c r="R1584" t="n">
        <v>1.1538</v>
      </c>
    </row>
    <row r="1585">
      <c r="A1585" t="n">
        <v>21</v>
      </c>
      <c r="B1585" t="inlineStr">
        <is>
          <t>K4-2A</t>
        </is>
      </c>
      <c r="D1585" t="n">
        <v>13.25</v>
      </c>
      <c r="E1585" t="n">
        <v>16.794</v>
      </c>
      <c r="F1585" t="n">
        <v>5829.725</v>
      </c>
      <c r="G1585" t="n">
        <v>2.533</v>
      </c>
      <c r="H1585">
        <f>E1585/F1585</f>
        <v/>
      </c>
      <c r="I1585">
        <f>((H1585-$J$1564)/$I$1564)</f>
        <v/>
      </c>
      <c r="J1585">
        <f>(I1585-IF(I1572&gt;0,I1572,0))</f>
        <v/>
      </c>
      <c r="K1585">
        <f>J1585/R1570*1.1</f>
        <v/>
      </c>
      <c r="L1585">
        <f>AVERAGE(K1585:K1587)</f>
        <v/>
      </c>
      <c r="M1585">
        <f>STDEV(K1585:K1587)</f>
        <v/>
      </c>
      <c r="N1585">
        <f>_xlfn.CONCAT(ROUND(L1585,1)," ± ",ROUND(M1585,1))</f>
        <v/>
      </c>
      <c r="Q1585" t="inlineStr">
        <is>
          <t>K3-3A</t>
        </is>
      </c>
      <c r="R1585" t="n">
        <v>1.1183</v>
      </c>
    </row>
    <row r="1586">
      <c r="A1586" t="n">
        <v>22</v>
      </c>
      <c r="B1586" t="inlineStr">
        <is>
          <t>K4-2B</t>
        </is>
      </c>
      <c r="D1586" t="n">
        <v>13.22</v>
      </c>
      <c r="E1586" t="n">
        <v>98.80800000000001</v>
      </c>
      <c r="F1586" t="n">
        <v>5298.286</v>
      </c>
      <c r="G1586" t="n">
        <v>729</v>
      </c>
      <c r="H1586">
        <f>E1586/F1586</f>
        <v/>
      </c>
      <c r="I1586">
        <f>((H1586-$J$1564)/$I$1564)</f>
        <v/>
      </c>
      <c r="J1586">
        <f>(I1586-IF(I1572&gt;0,I1572,0))</f>
        <v/>
      </c>
      <c r="K1586">
        <f>J1586/R1571*1.1</f>
        <v/>
      </c>
      <c r="Q1586" t="inlineStr">
        <is>
          <t>K3-3B</t>
        </is>
      </c>
      <c r="R1586" t="n">
        <v>1.1448</v>
      </c>
    </row>
    <row r="1587">
      <c r="A1587" t="n">
        <v>23</v>
      </c>
      <c r="B1587" t="inlineStr">
        <is>
          <t>K4-2C</t>
        </is>
      </c>
      <c r="D1587" t="n">
        <v>13.25</v>
      </c>
      <c r="E1587" t="n">
        <v>11.623</v>
      </c>
      <c r="F1587" t="n">
        <v>5070.005</v>
      </c>
      <c r="G1587" t="n">
        <v>99</v>
      </c>
      <c r="H1587">
        <f>E1587/F1587</f>
        <v/>
      </c>
      <c r="I1587">
        <f>((H1587-$J$1564)/$I$1564)</f>
        <v/>
      </c>
      <c r="J1587">
        <f>(I1587-IF(I1572&gt;0,I1572,0))</f>
        <v/>
      </c>
      <c r="K1587">
        <f>J1587/R1572*1.1</f>
        <v/>
      </c>
      <c r="L1587" s="23" t="n"/>
      <c r="M1587" s="23" t="n"/>
      <c r="N1587" s="9" t="n"/>
      <c r="Q1587" t="inlineStr">
        <is>
          <t>K3-3C</t>
        </is>
      </c>
      <c r="R1587" t="n">
        <v>1.0493</v>
      </c>
    </row>
    <row r="1588">
      <c r="A1588" t="n">
        <v>24</v>
      </c>
      <c r="B1588" t="inlineStr">
        <is>
          <t>MeOH</t>
        </is>
      </c>
      <c r="D1588" t="n">
        <v>13.26</v>
      </c>
      <c r="E1588" t="n">
        <v>30.588</v>
      </c>
      <c r="G1588" t="n">
        <v>252</v>
      </c>
      <c r="L1588" s="23" t="inlineStr">
        <is>
          <t>Average</t>
        </is>
      </c>
      <c r="M1588" s="23" t="inlineStr">
        <is>
          <t>Stdev</t>
        </is>
      </c>
      <c r="N1588" s="9" t="inlineStr">
        <is>
          <t>Combined</t>
        </is>
      </c>
      <c r="Q1588" t="inlineStr">
        <is>
          <t>K3-4A</t>
        </is>
      </c>
      <c r="R1588" t="n">
        <v>1.0704</v>
      </c>
    </row>
    <row r="1589">
      <c r="A1589" t="n">
        <v>25</v>
      </c>
      <c r="B1589" t="inlineStr">
        <is>
          <t>K4-4A</t>
        </is>
      </c>
      <c r="F1589" t="n">
        <v>5768.776</v>
      </c>
      <c r="H1589">
        <f>E1589/F1589</f>
        <v/>
      </c>
      <c r="I1589">
        <f>((H1589-$J$1564)/$I$1564)</f>
        <v/>
      </c>
      <c r="J1589">
        <f>(I1589-IF(I1572&gt;0,I1572,0))</f>
        <v/>
      </c>
      <c r="K1589">
        <f>J1589/R1573*1.1</f>
        <v/>
      </c>
      <c r="L1589">
        <f>AVERAGE(K1589:K1591)</f>
        <v/>
      </c>
      <c r="M1589">
        <f>STDEV(K1590:K1591)</f>
        <v/>
      </c>
      <c r="N1589">
        <f>_xlfn.CONCAT(ROUND(L1589,1)," ± ",ROUND(M1589,1))</f>
        <v/>
      </c>
      <c r="Q1589" t="inlineStr">
        <is>
          <t>K3-4B</t>
        </is>
      </c>
      <c r="R1589" t="n">
        <v>1.1589</v>
      </c>
    </row>
    <row r="1590">
      <c r="A1590" t="n">
        <v>26</v>
      </c>
      <c r="B1590" t="inlineStr">
        <is>
          <t>K4-4B</t>
        </is>
      </c>
      <c r="D1590" t="n">
        <v>13.26</v>
      </c>
      <c r="E1590" t="n">
        <v>4.601</v>
      </c>
      <c r="F1590" t="n">
        <v>5622.463</v>
      </c>
      <c r="G1590" t="n">
        <v>39</v>
      </c>
      <c r="H1590">
        <f>E1590/F1590</f>
        <v/>
      </c>
      <c r="I1590">
        <f>((H1590-$J$1564)/$I$1564)</f>
        <v/>
      </c>
      <c r="J1590">
        <f>(I1590-IF(I1572&gt;0,I1572,0))</f>
        <v/>
      </c>
      <c r="K1590">
        <f>J1590/R1574*1.1</f>
        <v/>
      </c>
      <c r="Q1590" t="inlineStr">
        <is>
          <t>K3-4C</t>
        </is>
      </c>
      <c r="R1590" t="n">
        <v>1.0206</v>
      </c>
    </row>
    <row r="1591">
      <c r="A1591" t="n">
        <v>27</v>
      </c>
      <c r="B1591" t="inlineStr">
        <is>
          <t>K4-4C</t>
        </is>
      </c>
      <c r="D1591" t="n">
        <v>13.28</v>
      </c>
      <c r="E1591" t="n">
        <v>3.812</v>
      </c>
      <c r="F1591" t="n">
        <v>6493.59</v>
      </c>
      <c r="G1591" t="n">
        <v>32</v>
      </c>
      <c r="H1591">
        <f>E1591/F1591</f>
        <v/>
      </c>
      <c r="I1591">
        <f>((H1591-$J$1564)/$I$1564)</f>
        <v/>
      </c>
      <c r="J1591">
        <f>(I1591-IF(I1572&gt;0,I1572,0))</f>
        <v/>
      </c>
      <c r="K1591">
        <f>J1591/R1575*1.1</f>
        <v/>
      </c>
      <c r="L1591" s="23" t="inlineStr">
        <is>
          <t>Average</t>
        </is>
      </c>
      <c r="M1591" s="23" t="inlineStr">
        <is>
          <t>Stdev</t>
        </is>
      </c>
      <c r="N1591" s="9" t="inlineStr">
        <is>
          <t>Combined</t>
        </is>
      </c>
      <c r="Q1591" t="inlineStr">
        <is>
          <t>K3-6A</t>
        </is>
      </c>
      <c r="R1591" t="n">
        <v>1.1289</v>
      </c>
    </row>
    <row r="1592">
      <c r="A1592" t="n">
        <v>28</v>
      </c>
      <c r="B1592" t="inlineStr">
        <is>
          <t>K4-5A</t>
        </is>
      </c>
      <c r="F1592" t="n">
        <v>5176.378</v>
      </c>
      <c r="H1592">
        <f>E1592/F1592</f>
        <v/>
      </c>
      <c r="I1592">
        <f>((H1592-$J$1564)/$I$1564)</f>
        <v/>
      </c>
      <c r="J1592">
        <f>(I1592-IF(I1572&gt;0,I1572,0))</f>
        <v/>
      </c>
      <c r="K1592">
        <f>J1592/R1576*1.1</f>
        <v/>
      </c>
      <c r="L1592">
        <f>AVERAGE(K1592:K1594)</f>
        <v/>
      </c>
      <c r="M1592">
        <f>STDEV(K1592:K1594)</f>
        <v/>
      </c>
      <c r="N1592">
        <f>_xlfn.CONCAT(ROUND(L1592,1)," ± ",ROUND(M1592,1))</f>
        <v/>
      </c>
      <c r="Q1592" t="inlineStr">
        <is>
          <t>K3-6B</t>
        </is>
      </c>
      <c r="R1592" t="n">
        <v>1.195</v>
      </c>
    </row>
    <row r="1593">
      <c r="A1593" t="n">
        <v>29</v>
      </c>
      <c r="B1593" t="inlineStr">
        <is>
          <t>K4-5B</t>
        </is>
      </c>
      <c r="D1593" t="n">
        <v>13.39</v>
      </c>
      <c r="E1593" t="n">
        <v>8.090999999999999</v>
      </c>
      <c r="F1593" t="n">
        <v>4979.178</v>
      </c>
      <c r="G1593" t="n">
        <v>68</v>
      </c>
      <c r="H1593">
        <f>E1593/F1593</f>
        <v/>
      </c>
      <c r="I1593">
        <f>((H1593-$J$1564)/$I$1564)</f>
        <v/>
      </c>
      <c r="J1593">
        <f>(I1593-IF(I1572&gt;0,I1572,0))</f>
        <v/>
      </c>
      <c r="K1593">
        <f>J1593/R1577*1.1</f>
        <v/>
      </c>
      <c r="Q1593" t="inlineStr">
        <is>
          <t>K3-6C</t>
        </is>
      </c>
      <c r="R1593" t="n">
        <v>1.1716</v>
      </c>
    </row>
    <row r="1594">
      <c r="A1594" t="n">
        <v>30</v>
      </c>
      <c r="B1594" t="inlineStr">
        <is>
          <t>K4-5C</t>
        </is>
      </c>
      <c r="D1594" t="n">
        <v>13.19</v>
      </c>
      <c r="E1594" t="n">
        <v>8.577999999999999</v>
      </c>
      <c r="F1594" t="n">
        <v>5149.499</v>
      </c>
      <c r="G1594" t="n">
        <v>4.069</v>
      </c>
      <c r="H1594">
        <f>E1594/F1594</f>
        <v/>
      </c>
      <c r="I1594">
        <f>((H1594-$J$1564)/$I$1564)</f>
        <v/>
      </c>
      <c r="J1594">
        <f>(I1594-IF(I1572&gt;0,I1572,0))</f>
        <v/>
      </c>
      <c r="K1594">
        <f>J1594/R1578*1.1</f>
        <v/>
      </c>
      <c r="L1594" s="23" t="n"/>
      <c r="M1594" s="23" t="n"/>
      <c r="N1594" s="9" t="n"/>
    </row>
    <row r="1595">
      <c r="A1595" t="n">
        <v>31</v>
      </c>
      <c r="B1595" t="inlineStr">
        <is>
          <t>MeOH</t>
        </is>
      </c>
      <c r="D1595" t="n">
        <v>13.17</v>
      </c>
      <c r="E1595" t="n">
        <v>37.986</v>
      </c>
      <c r="G1595" t="n">
        <v>10.332</v>
      </c>
      <c r="L1595" s="23" t="inlineStr">
        <is>
          <t>Average</t>
        </is>
      </c>
      <c r="M1595" s="23" t="inlineStr">
        <is>
          <t>Stdev</t>
        </is>
      </c>
      <c r="N1595" s="9" t="inlineStr">
        <is>
          <t>Combined</t>
        </is>
      </c>
    </row>
    <row r="1596">
      <c r="A1596" t="n">
        <v>32</v>
      </c>
      <c r="B1596" t="inlineStr">
        <is>
          <t>K3-1A</t>
        </is>
      </c>
      <c r="D1596" t="n">
        <v>13.12</v>
      </c>
      <c r="E1596" t="n">
        <v>59.136</v>
      </c>
      <c r="F1596" t="n">
        <v>6155.055</v>
      </c>
      <c r="G1596" t="n">
        <v>11.9</v>
      </c>
      <c r="H1596">
        <f>E1596/F1596</f>
        <v/>
      </c>
      <c r="I1596">
        <f>((H1596-$J$1564)/$I$1564)</f>
        <v/>
      </c>
      <c r="J1596">
        <f>(I1596-IF(I1572&gt;0,I1572,0))</f>
        <v/>
      </c>
      <c r="K1596">
        <f>J1596/R1579*1.1</f>
        <v/>
      </c>
      <c r="L1596">
        <f>AVERAGE(K1596:K1598)</f>
        <v/>
      </c>
      <c r="M1596">
        <f>STDEV(K1597:K1598)</f>
        <v/>
      </c>
      <c r="N1596">
        <f>_xlfn.CONCAT(ROUND(L1596,1)," ± ",ROUND(M1596,1))</f>
        <v/>
      </c>
    </row>
    <row r="1597">
      <c r="A1597" t="n">
        <v>33</v>
      </c>
      <c r="B1597" t="inlineStr">
        <is>
          <t>K3-1B</t>
        </is>
      </c>
      <c r="D1597" t="n">
        <v>13.17</v>
      </c>
      <c r="E1597" t="n">
        <v>2.656</v>
      </c>
      <c r="F1597" t="n">
        <v>5160.451</v>
      </c>
      <c r="G1597" t="n">
        <v>24</v>
      </c>
      <c r="H1597">
        <f>E1597/F1597</f>
        <v/>
      </c>
      <c r="I1597">
        <f>((H1597-$J$1564)/$I$1564)</f>
        <v/>
      </c>
      <c r="J1597">
        <f>(I1597-IF(I1572&gt;0,I1572,0))</f>
        <v/>
      </c>
      <c r="K1597">
        <f>J1597/R1580*1.1</f>
        <v/>
      </c>
    </row>
    <row r="1598">
      <c r="A1598" t="n">
        <v>34</v>
      </c>
      <c r="B1598" t="inlineStr">
        <is>
          <t>K3-1C</t>
        </is>
      </c>
      <c r="D1598" t="n">
        <v>13.17</v>
      </c>
      <c r="E1598" t="n">
        <v>0.855</v>
      </c>
      <c r="F1598" t="n">
        <v>7465.032</v>
      </c>
      <c r="G1598" t="n">
        <v>8</v>
      </c>
      <c r="H1598">
        <f>E1598/F1598</f>
        <v/>
      </c>
      <c r="I1598">
        <f>((H1598-$J$1564)/$I$1564)</f>
        <v/>
      </c>
      <c r="J1598">
        <f>(I1598-IF(I1572&gt;0,I1572,0))</f>
        <v/>
      </c>
      <c r="K1598">
        <f>J1598/R1581*1.1</f>
        <v/>
      </c>
      <c r="L1598" s="23" t="inlineStr">
        <is>
          <t>Average</t>
        </is>
      </c>
      <c r="M1598" s="23" t="inlineStr">
        <is>
          <t>Stdev</t>
        </is>
      </c>
      <c r="N1598" s="9" t="inlineStr">
        <is>
          <t>Combined</t>
        </is>
      </c>
    </row>
    <row r="1599">
      <c r="A1599" t="n">
        <v>35</v>
      </c>
      <c r="B1599" t="inlineStr">
        <is>
          <t>K3-2A</t>
        </is>
      </c>
      <c r="D1599" t="n">
        <v>13.18</v>
      </c>
      <c r="E1599" t="n">
        <v>135.966</v>
      </c>
      <c r="F1599" t="n">
        <v>7342.454</v>
      </c>
      <c r="G1599" t="n">
        <v>6.585</v>
      </c>
      <c r="H1599">
        <f>E1599/F1599</f>
        <v/>
      </c>
      <c r="I1599">
        <f>((H1599-$J$1564)/$I$1564)</f>
        <v/>
      </c>
      <c r="J1599">
        <f>(I1599-IF(I1572&gt;0,I1572,0))</f>
        <v/>
      </c>
      <c r="K1599">
        <f>J1599/R1582*1.1</f>
        <v/>
      </c>
      <c r="L1599">
        <f>AVERAGE(K1599:K1601)</f>
        <v/>
      </c>
      <c r="M1599">
        <f>STDEV(K1599:K1601)</f>
        <v/>
      </c>
      <c r="N1599">
        <f>_xlfn.CONCAT(ROUND(L1599,1)," ± ",ROUND(M1599,1))</f>
        <v/>
      </c>
    </row>
    <row r="1600">
      <c r="A1600" t="n">
        <v>36</v>
      </c>
      <c r="B1600" t="inlineStr">
        <is>
          <t>K3-2B</t>
        </is>
      </c>
      <c r="D1600" t="n">
        <v>13.08</v>
      </c>
      <c r="E1600" t="n">
        <v>13.218</v>
      </c>
      <c r="F1600" t="n">
        <v>8155.675</v>
      </c>
      <c r="G1600" t="n">
        <v>121</v>
      </c>
      <c r="H1600">
        <f>E1600/F1600</f>
        <v/>
      </c>
      <c r="I1600">
        <f>((H1600-$J$1564)/$I$1564)</f>
        <v/>
      </c>
      <c r="J1600">
        <f>(I1600-IF(I1572&gt;0,I1572,0))</f>
        <v/>
      </c>
      <c r="K1600">
        <f>J1600/R1583*1.1</f>
        <v/>
      </c>
    </row>
    <row r="1601">
      <c r="A1601" t="n">
        <v>37</v>
      </c>
      <c r="B1601" t="inlineStr">
        <is>
          <t>K3-2C</t>
        </is>
      </c>
      <c r="D1601" t="n">
        <v>12.95</v>
      </c>
      <c r="E1601" t="n">
        <v>13.503</v>
      </c>
      <c r="F1601" t="n">
        <v>5978.155</v>
      </c>
      <c r="G1601" t="n">
        <v>128</v>
      </c>
      <c r="H1601">
        <f>E1601/F1601</f>
        <v/>
      </c>
      <c r="I1601">
        <f>((H1601-$J$1564)/$I$1564)</f>
        <v/>
      </c>
      <c r="J1601">
        <f>(I1601-IF(I1572&gt;0,I1572,0))</f>
        <v/>
      </c>
      <c r="K1601">
        <f>J1601/R1584*1.1</f>
        <v/>
      </c>
      <c r="L1601" s="23" t="n"/>
      <c r="M1601" s="23" t="n"/>
      <c r="N1601" s="9" t="n"/>
    </row>
    <row r="1602">
      <c r="A1602" t="n">
        <v>38</v>
      </c>
      <c r="B1602" t="inlineStr">
        <is>
          <t>MeOH</t>
        </is>
      </c>
      <c r="L1602" s="23" t="inlineStr">
        <is>
          <t>Average</t>
        </is>
      </c>
      <c r="M1602" s="23" t="inlineStr">
        <is>
          <t>Stdev</t>
        </is>
      </c>
      <c r="N1602" s="9" t="inlineStr">
        <is>
          <t>Combined</t>
        </is>
      </c>
    </row>
    <row r="1603">
      <c r="A1603" t="n">
        <v>39</v>
      </c>
      <c r="B1603" t="inlineStr">
        <is>
          <t>K3-3A</t>
        </is>
      </c>
      <c r="F1603" t="n">
        <v>5182.681</v>
      </c>
      <c r="H1603">
        <f>E1603/F1603</f>
        <v/>
      </c>
      <c r="I1603">
        <f>((H1603-$J$1564)/$I$1564)</f>
        <v/>
      </c>
      <c r="J1603">
        <f>(I1603-IF(I1572&gt;0,I1572,0))</f>
        <v/>
      </c>
      <c r="K1603">
        <f>J1603/R1585*1.1</f>
        <v/>
      </c>
      <c r="L1603">
        <f>AVERAGE(K1603:K1605)</f>
        <v/>
      </c>
      <c r="M1603">
        <f>STDEV(K1604:K1605)</f>
        <v/>
      </c>
      <c r="N1603">
        <f>_xlfn.CONCAT(ROUND(L1603,1)," ± ",ROUND(M1603,1))</f>
        <v/>
      </c>
    </row>
    <row r="1604">
      <c r="A1604" t="n">
        <v>40</v>
      </c>
      <c r="B1604" t="inlineStr">
        <is>
          <t>K3-3B</t>
        </is>
      </c>
      <c r="D1604" t="n">
        <v>13.2</v>
      </c>
      <c r="E1604" t="n">
        <v>15.983</v>
      </c>
      <c r="F1604" t="n">
        <v>6315.599</v>
      </c>
      <c r="G1604" t="n">
        <v>91</v>
      </c>
      <c r="H1604">
        <f>E1604/F1604</f>
        <v/>
      </c>
      <c r="I1604">
        <f>((H1604-$J$1564)/$I$1564)</f>
        <v/>
      </c>
      <c r="J1604">
        <f>(I1604-IF(I1572&gt;0,I1572,0))</f>
        <v/>
      </c>
      <c r="K1604">
        <f>J1604/R1586*1.1</f>
        <v/>
      </c>
    </row>
    <row r="1605">
      <c r="A1605" t="n">
        <v>41</v>
      </c>
      <c r="B1605" t="inlineStr">
        <is>
          <t>K3-3C</t>
        </is>
      </c>
      <c r="D1605" t="n">
        <v>13.21</v>
      </c>
      <c r="E1605" t="n">
        <v>7.39</v>
      </c>
      <c r="F1605" t="n">
        <v>7248.654</v>
      </c>
      <c r="G1605" t="n">
        <v>64</v>
      </c>
      <c r="H1605">
        <f>E1605/F1605</f>
        <v/>
      </c>
      <c r="I1605">
        <f>((H1605-$J$1564)/$I$1564)</f>
        <v/>
      </c>
      <c r="J1605">
        <f>(I1605-IF(I1572&gt;0,I1572,0))</f>
        <v/>
      </c>
      <c r="K1605">
        <f>J1605/R1587*1.1</f>
        <v/>
      </c>
      <c r="L1605" s="23" t="inlineStr">
        <is>
          <t>Average</t>
        </is>
      </c>
      <c r="M1605" s="23" t="inlineStr">
        <is>
          <t>Stdev</t>
        </is>
      </c>
      <c r="N1605" s="9" t="inlineStr">
        <is>
          <t>Combined</t>
        </is>
      </c>
    </row>
    <row r="1606">
      <c r="A1606" t="n">
        <v>42</v>
      </c>
      <c r="B1606" t="inlineStr">
        <is>
          <t>K3-4A</t>
        </is>
      </c>
      <c r="D1606" t="n">
        <v>13.26</v>
      </c>
      <c r="E1606" t="n">
        <v>34.374</v>
      </c>
      <c r="F1606" t="n">
        <v>7757.742</v>
      </c>
      <c r="G1606" t="n">
        <v>276</v>
      </c>
      <c r="H1606">
        <f>E1606/F1606</f>
        <v/>
      </c>
      <c r="I1606">
        <f>((H1606-$J$1564)/$I$1564)</f>
        <v/>
      </c>
      <c r="J1606">
        <f>(I1606-IF(I1572&gt;0,I1572,0))</f>
        <v/>
      </c>
      <c r="K1606">
        <f>J1606/R1588*1.1</f>
        <v/>
      </c>
      <c r="L1606">
        <f>AVERAGE(K1606:K1608)</f>
        <v/>
      </c>
      <c r="M1606">
        <f>STDEV(K1606:K1608)</f>
        <v/>
      </c>
      <c r="N1606">
        <f>_xlfn.CONCAT(ROUND(L1606,1)," ± ",ROUND(M1606,1))</f>
        <v/>
      </c>
    </row>
    <row r="1607">
      <c r="A1607" t="n">
        <v>43</v>
      </c>
      <c r="B1607" t="inlineStr">
        <is>
          <t>K3-4B</t>
        </is>
      </c>
      <c r="D1607" t="n">
        <v>13.22</v>
      </c>
      <c r="E1607" t="n">
        <v>23.937</v>
      </c>
      <c r="F1607" t="n">
        <v>7034.812</v>
      </c>
      <c r="G1607" t="n">
        <v>193</v>
      </c>
      <c r="H1607">
        <f>E1607/F1607</f>
        <v/>
      </c>
      <c r="I1607">
        <f>((H1607-$J$1564)/$I$1564)</f>
        <v/>
      </c>
      <c r="J1607">
        <f>(I1607-IF(I1572&gt;0,I1572,0))</f>
        <v/>
      </c>
      <c r="K1607">
        <f>J1607/R1589*1.1</f>
        <v/>
      </c>
    </row>
    <row r="1608">
      <c r="A1608" t="n">
        <v>44</v>
      </c>
      <c r="B1608" t="inlineStr">
        <is>
          <t>K3-4C</t>
        </is>
      </c>
      <c r="D1608" t="n">
        <v>13.33</v>
      </c>
      <c r="E1608" t="n">
        <v>36.789</v>
      </c>
      <c r="F1608" t="n">
        <v>7000.271</v>
      </c>
      <c r="G1608" t="n">
        <v>309</v>
      </c>
      <c r="H1608">
        <f>E1608/F1608</f>
        <v/>
      </c>
      <c r="I1608">
        <f>((H1608-$J$1564)/$I$1564)</f>
        <v/>
      </c>
      <c r="J1608">
        <f>(I1608-IF(I1572&gt;0,I1572,0))</f>
        <v/>
      </c>
      <c r="K1608">
        <f>J1608/R1590*1.1</f>
        <v/>
      </c>
      <c r="L1608" s="23" t="n"/>
      <c r="M1608" s="23" t="n"/>
      <c r="N1608" s="9" t="n"/>
    </row>
    <row r="1609">
      <c r="A1609" t="n">
        <v>45</v>
      </c>
      <c r="B1609" t="inlineStr">
        <is>
          <t>MeOH</t>
        </is>
      </c>
      <c r="L1609" s="23" t="inlineStr">
        <is>
          <t>Average</t>
        </is>
      </c>
      <c r="M1609" s="23" t="inlineStr">
        <is>
          <t>Stdev</t>
        </is>
      </c>
      <c r="N1609" s="9" t="inlineStr">
        <is>
          <t>Combined</t>
        </is>
      </c>
    </row>
    <row r="1610">
      <c r="A1610" t="n">
        <v>46</v>
      </c>
      <c r="B1610" t="inlineStr">
        <is>
          <t>K3-6A</t>
        </is>
      </c>
      <c r="D1610" t="n">
        <v>13.39</v>
      </c>
      <c r="E1610" t="n">
        <v>64.899</v>
      </c>
      <c r="F1610" t="n">
        <v>6690.938</v>
      </c>
      <c r="G1610" t="n">
        <v>487</v>
      </c>
      <c r="H1610">
        <f>E1610/F1610</f>
        <v/>
      </c>
      <c r="I1610">
        <f>((H1610-$J$1564)/$I$1564)</f>
        <v/>
      </c>
      <c r="J1610">
        <f>(I1610-IF(I1572&gt;0,I1572,0))</f>
        <v/>
      </c>
      <c r="K1610">
        <f>J1610/R1591*1.1</f>
        <v/>
      </c>
      <c r="L1610">
        <f>AVERAGE(K1610:K1612)</f>
        <v/>
      </c>
      <c r="M1610">
        <f>STDEV(K1611:K1612)</f>
        <v/>
      </c>
      <c r="N1610">
        <f>_xlfn.CONCAT(ROUND(L1610,1)," ± ",ROUND(M1610,1))</f>
        <v/>
      </c>
    </row>
    <row r="1611">
      <c r="A1611" t="n">
        <v>47</v>
      </c>
      <c r="B1611" t="inlineStr">
        <is>
          <t>K3-6B</t>
        </is>
      </c>
      <c r="F1611" t="n">
        <v>5311.462</v>
      </c>
      <c r="H1611">
        <f>E1611/F1611</f>
        <v/>
      </c>
      <c r="I1611">
        <f>((H1611-$J$1564)/$I$1564)</f>
        <v/>
      </c>
      <c r="J1611">
        <f>(I1611-IF(I1572&gt;0,I1572,0))</f>
        <v/>
      </c>
      <c r="K1611">
        <f>J1611/R1592*1.1</f>
        <v/>
      </c>
    </row>
    <row r="1612">
      <c r="A1612" t="n">
        <v>48</v>
      </c>
      <c r="B1612" t="inlineStr">
        <is>
          <t>K3-6C</t>
        </is>
      </c>
      <c r="F1612" t="n">
        <v>5807.998</v>
      </c>
      <c r="H1612">
        <f>E1612/F1612</f>
        <v/>
      </c>
      <c r="I1612">
        <f>((H1612-$J$1564)/$I$1564)</f>
        <v/>
      </c>
      <c r="J1612">
        <f>(I1612-IF(I1572&gt;0,I1572,0))</f>
        <v/>
      </c>
      <c r="K1612">
        <f>J1612/R1593*1.1</f>
        <v/>
      </c>
      <c r="L1612" s="23" t="n"/>
      <c r="M1612" s="23" t="n"/>
      <c r="N1612" s="9" t="n"/>
    </row>
    <row r="1614">
      <c r="A1614" s="15" t="inlineStr">
        <is>
          <t>Compound 72:  PFOS 1</t>
        </is>
      </c>
      <c r="B1614" s="15" t="n"/>
    </row>
    <row r="1615">
      <c r="I1615" t="inlineStr">
        <is>
          <t>LINEST</t>
        </is>
      </c>
      <c r="Q1615" t="inlineStr">
        <is>
          <t>Biosolids Masses</t>
        </is>
      </c>
      <c r="R1615" t="inlineStr">
        <is>
          <t>(g)</t>
        </is>
      </c>
    </row>
    <row r="1616">
      <c r="B1616" t="inlineStr">
        <is>
          <t>Sample Text</t>
        </is>
      </c>
      <c r="C1616" t="inlineStr">
        <is>
          <t>Std. Conc</t>
        </is>
      </c>
      <c r="D1616" t="inlineStr">
        <is>
          <t>RT</t>
        </is>
      </c>
      <c r="E1616" t="inlineStr">
        <is>
          <t>Area</t>
        </is>
      </c>
      <c r="F1616" t="inlineStr">
        <is>
          <t>IS Area</t>
        </is>
      </c>
      <c r="G1616" t="inlineStr">
        <is>
          <t>S/N</t>
        </is>
      </c>
      <c r="H1616" t="inlineStr">
        <is>
          <t>ratio</t>
        </is>
      </c>
      <c r="I1616">
        <f t="array" ref="I1616:J1620">LINEST(H1617:H1624,C1617:C1624,1,1)</f>
        <v/>
      </c>
      <c r="J1616" t="n">
        <v>0.01262412044866779</v>
      </c>
      <c r="L1616" s="20" t="inlineStr">
        <is>
          <t>By S/N Ratio</t>
        </is>
      </c>
      <c r="Q1616" t="inlineStr">
        <is>
          <t>SS1</t>
        </is>
      </c>
      <c r="R1616" t="n">
        <v>1.0846</v>
      </c>
    </row>
    <row r="1617">
      <c r="A1617" t="n">
        <v>1</v>
      </c>
      <c r="B1617" t="inlineStr">
        <is>
          <t>EPA1633 &amp; diPAPs Calibration 0 ppb</t>
        </is>
      </c>
      <c r="C1617" t="n">
        <v>0</v>
      </c>
      <c r="D1617" t="n">
        <v>13.04</v>
      </c>
      <c r="E1617" t="n">
        <v>96.84</v>
      </c>
      <c r="F1617" t="n">
        <v>16637.717</v>
      </c>
      <c r="G1617" t="n">
        <v>2.767</v>
      </c>
      <c r="H1617">
        <f>E1617/F1617</f>
        <v/>
      </c>
      <c r="I1617" t="n">
        <v>0.004010260135431479</v>
      </c>
      <c r="J1617" t="n">
        <v>0.03252301190439961</v>
      </c>
      <c r="K1617" t="inlineStr">
        <is>
          <t>LOD</t>
        </is>
      </c>
      <c r="L1617" s="21">
        <f>IF(G1620&gt;3,C1620,IF(G1621&gt;3,C1621,IF(G1622&gt;3,C1622,IF(G1623&gt;3,C1623,C1624))))</f>
        <v/>
      </c>
      <c r="Q1617" t="inlineStr">
        <is>
          <t>SS2</t>
        </is>
      </c>
      <c r="R1617" t="n">
        <v>1.0726</v>
      </c>
    </row>
    <row r="1618">
      <c r="A1618" t="n">
        <v>2</v>
      </c>
      <c r="B1618" t="inlineStr">
        <is>
          <t>EPA1633 &amp; diPAPs Calibration 0.02 ppb</t>
        </is>
      </c>
      <c r="C1618" s="19" t="n">
        <v>0.02</v>
      </c>
      <c r="D1618" t="n">
        <v>13.04</v>
      </c>
      <c r="E1618" t="n">
        <v>455.526</v>
      </c>
      <c r="F1618" t="n">
        <v>14442.151</v>
      </c>
      <c r="G1618" t="n">
        <v>28.569</v>
      </c>
      <c r="H1618">
        <f>E1618/F1618</f>
        <v/>
      </c>
      <c r="I1618" t="n">
        <v>0.9971898416702014</v>
      </c>
      <c r="J1618" t="n">
        <v>0.07603188822668061</v>
      </c>
      <c r="K1618" t="inlineStr">
        <is>
          <t>LOQ</t>
        </is>
      </c>
      <c r="L1618" s="22">
        <f>IF(G1620&gt;10,C1620,IF(G1621&gt;10,C1621,IF(G1622&gt;10,C1622,IF(G1623&gt;10,C1623,C1624))))</f>
        <v/>
      </c>
      <c r="Q1618" t="inlineStr">
        <is>
          <t>SS3</t>
        </is>
      </c>
      <c r="R1618" t="n">
        <v>1.1534</v>
      </c>
    </row>
    <row r="1619">
      <c r="A1619" t="n">
        <v>3</v>
      </c>
      <c r="B1619" t="inlineStr">
        <is>
          <t>EPA1633 &amp; diPAPs Calibration 0.1 ppb</t>
        </is>
      </c>
      <c r="C1619" s="19" t="n">
        <v>0.1</v>
      </c>
      <c r="D1619" t="n">
        <v>13.05</v>
      </c>
      <c r="E1619" t="n">
        <v>447.818</v>
      </c>
      <c r="F1619" t="n">
        <v>14939.226</v>
      </c>
      <c r="G1619" t="n">
        <v>30.537</v>
      </c>
      <c r="H1619">
        <f>E1619/F1619</f>
        <v/>
      </c>
      <c r="I1619" t="n">
        <v>2129.111013631017</v>
      </c>
      <c r="J1619" t="n">
        <v>6</v>
      </c>
      <c r="Q1619" t="inlineStr">
        <is>
          <t>K4-1A</t>
        </is>
      </c>
      <c r="R1619" t="n">
        <v>1.0267</v>
      </c>
    </row>
    <row r="1620">
      <c r="A1620" t="n">
        <v>4</v>
      </c>
      <c r="B1620" t="inlineStr">
        <is>
          <t>EPA1633 &amp; diPAPs Calibration 0.4 ppb</t>
        </is>
      </c>
      <c r="C1620" s="19" t="n">
        <v>0.4</v>
      </c>
      <c r="D1620" t="n">
        <v>13.05</v>
      </c>
      <c r="E1620" t="n">
        <v>1981.462</v>
      </c>
      <c r="F1620" t="n">
        <v>14017.551</v>
      </c>
      <c r="G1620" t="n">
        <v>103.198</v>
      </c>
      <c r="H1620">
        <f>E1620/F1620</f>
        <v/>
      </c>
      <c r="I1620" t="n">
        <v>12.30806720308235</v>
      </c>
      <c r="J1620" t="n">
        <v>0.03468508816388673</v>
      </c>
      <c r="Q1620" t="inlineStr">
        <is>
          <t>K4-1B</t>
        </is>
      </c>
      <c r="R1620" t="n">
        <v>1.1481</v>
      </c>
    </row>
    <row r="1621">
      <c r="A1621" t="n">
        <v>5</v>
      </c>
      <c r="B1621" t="inlineStr">
        <is>
          <t>EPA1633 &amp; diPAPs Calibration 1 ppb</t>
        </is>
      </c>
      <c r="C1621" s="19" t="n">
        <v>1</v>
      </c>
      <c r="D1621" t="n">
        <v>13.05</v>
      </c>
      <c r="E1621" t="n">
        <v>2359.058</v>
      </c>
      <c r="F1621" t="n">
        <v>15819.927</v>
      </c>
      <c r="G1621" t="n">
        <v>36.117</v>
      </c>
      <c r="H1621">
        <f>E1621/F1621</f>
        <v/>
      </c>
      <c r="Q1621" t="inlineStr">
        <is>
          <t>K4-1C</t>
        </is>
      </c>
      <c r="R1621" t="n">
        <v>1.0402</v>
      </c>
    </row>
    <row r="1622">
      <c r="A1622" t="n">
        <v>6</v>
      </c>
      <c r="B1622" t="inlineStr">
        <is>
          <t>EPA1633 &amp; diPAPs Calibration 5 ppb</t>
        </is>
      </c>
      <c r="C1622" s="19" t="n">
        <v>5</v>
      </c>
      <c r="D1622" t="n">
        <v>12.98</v>
      </c>
      <c r="E1622" t="n">
        <v>11868.883</v>
      </c>
      <c r="F1622" t="n">
        <v>14259.822</v>
      </c>
      <c r="G1622" t="n">
        <v>80727</v>
      </c>
      <c r="H1622">
        <f>E1622/F1622</f>
        <v/>
      </c>
      <c r="Q1622" t="inlineStr">
        <is>
          <t>K4-2A</t>
        </is>
      </c>
      <c r="R1622" t="n">
        <v>1.127</v>
      </c>
    </row>
    <row r="1623">
      <c r="A1623" t="n">
        <v>7</v>
      </c>
      <c r="B1623" t="inlineStr">
        <is>
          <t>EPA1633 &amp; diPAPs Calibration 10 ppb</t>
        </is>
      </c>
      <c r="C1623" s="19" t="n">
        <v>10</v>
      </c>
      <c r="D1623" t="n">
        <v>12.99</v>
      </c>
      <c r="E1623" t="n">
        <v>22008.389</v>
      </c>
      <c r="F1623" t="n">
        <v>11049.457</v>
      </c>
      <c r="G1623" t="n">
        <v>2027.901</v>
      </c>
      <c r="H1623">
        <f>E1623/F1623</f>
        <v/>
      </c>
      <c r="I1623" s="23" t="inlineStr">
        <is>
          <t>Background</t>
        </is>
      </c>
      <c r="J1623" s="23" t="inlineStr">
        <is>
          <t>Spike</t>
        </is>
      </c>
      <c r="K1623" s="9" t="inlineStr">
        <is>
          <t>Old Spike</t>
        </is>
      </c>
      <c r="O1623" s="24" t="inlineStr">
        <is>
          <t>±</t>
        </is>
      </c>
      <c r="Q1623" t="inlineStr">
        <is>
          <t>K4-2B</t>
        </is>
      </c>
      <c r="R1623" t="n">
        <v>1.1154</v>
      </c>
    </row>
    <row r="1624">
      <c r="A1624" t="n">
        <v>8</v>
      </c>
      <c r="B1624" t="inlineStr">
        <is>
          <t>EPA1633 &amp; diPAPs Calibration 20 ppb</t>
        </is>
      </c>
      <c r="C1624" s="19" t="n">
        <v>20</v>
      </c>
      <c r="D1624" t="n">
        <v>13.01</v>
      </c>
      <c r="E1624" t="n">
        <v>45815.148</v>
      </c>
      <c r="F1624" t="n">
        <v>12460.612</v>
      </c>
      <c r="G1624" t="n">
        <v>2089.385</v>
      </c>
      <c r="H1624">
        <f>E1624/F1624</f>
        <v/>
      </c>
      <c r="I1624">
        <f>AVERAGE(I1627:I1629)</f>
        <v/>
      </c>
      <c r="J1624" t="n">
        <v>11</v>
      </c>
      <c r="Q1624" t="inlineStr">
        <is>
          <t>K4-2C</t>
        </is>
      </c>
      <c r="R1624" t="n">
        <v>1.1711</v>
      </c>
    </row>
    <row r="1625">
      <c r="A1625" t="n">
        <v>9</v>
      </c>
      <c r="B1625" t="inlineStr">
        <is>
          <t>MeOH</t>
        </is>
      </c>
      <c r="D1625" t="n">
        <v>13.02</v>
      </c>
      <c r="E1625" t="n">
        <v>285.305</v>
      </c>
      <c r="F1625" t="n">
        <v>4.973</v>
      </c>
      <c r="G1625" t="n">
        <v>5.039</v>
      </c>
      <c r="I1625" s="23" t="inlineStr">
        <is>
          <t>Conc.In Vial (ppb)</t>
        </is>
      </c>
      <c r="J1625" s="9" t="inlineStr">
        <is>
          <t>Corr. Conc.(ppb)</t>
        </is>
      </c>
      <c r="K1625" s="9" t="inlineStr">
        <is>
          <t>Conc. In soil (ng/g)</t>
        </is>
      </c>
      <c r="Q1625" t="inlineStr">
        <is>
          <t>K4-4A</t>
        </is>
      </c>
      <c r="R1625" t="n">
        <v>1.0932</v>
      </c>
    </row>
    <row r="1626">
      <c r="A1626" t="n">
        <v>10</v>
      </c>
      <c r="B1626" t="inlineStr">
        <is>
          <t>MeOH</t>
        </is>
      </c>
      <c r="D1626" t="n">
        <v>13.08</v>
      </c>
      <c r="E1626" t="n">
        <v>115.938</v>
      </c>
      <c r="F1626" t="n">
        <v>0.6820000000000001</v>
      </c>
      <c r="G1626" t="n">
        <v>13.274</v>
      </c>
      <c r="L1626" s="23" t="inlineStr">
        <is>
          <t>Average</t>
        </is>
      </c>
      <c r="M1626" s="23" t="inlineStr">
        <is>
          <t>Stdev</t>
        </is>
      </c>
      <c r="N1626" s="9" t="inlineStr">
        <is>
          <t>Combined</t>
        </is>
      </c>
      <c r="O1626" s="9" t="n"/>
      <c r="P1626" s="9" t="n"/>
      <c r="Q1626" t="inlineStr">
        <is>
          <t>K4-4B</t>
        </is>
      </c>
      <c r="R1626" t="n">
        <v>1.15</v>
      </c>
    </row>
    <row r="1627">
      <c r="A1627" t="n">
        <v>11</v>
      </c>
      <c r="B1627" t="inlineStr">
        <is>
          <t>SB1</t>
        </is>
      </c>
      <c r="D1627" t="n">
        <v>13.05</v>
      </c>
      <c r="E1627" t="n">
        <v>621.849</v>
      </c>
      <c r="F1627" t="n">
        <v>6414.278</v>
      </c>
      <c r="G1627" t="n">
        <v>4.434</v>
      </c>
      <c r="H1627">
        <f>E1627/F1627</f>
        <v/>
      </c>
      <c r="I1627">
        <f>((H1627-$J$1616)/$I$1616)</f>
        <v/>
      </c>
      <c r="J1627">
        <f>(I1627-IF(I1624&gt;0,I1624,0))</f>
        <v/>
      </c>
      <c r="K1627">
        <f>J1627*1.1</f>
        <v/>
      </c>
      <c r="L1627">
        <f>AVERAGE(K1627:K1629)</f>
        <v/>
      </c>
      <c r="M1627">
        <f>STDEV(K1628:K1629)</f>
        <v/>
      </c>
      <c r="N1627">
        <f>_xlfn.CONCAT(ROUND(L1627,1)," ± ",ROUND(M1627,1))</f>
        <v/>
      </c>
      <c r="Q1627" t="inlineStr">
        <is>
          <t>K4-4C</t>
        </is>
      </c>
      <c r="R1627" t="n">
        <v>1.0482</v>
      </c>
    </row>
    <row r="1628">
      <c r="A1628" t="n">
        <v>12</v>
      </c>
      <c r="B1628" t="inlineStr">
        <is>
          <t>SB2</t>
        </is>
      </c>
      <c r="D1628" t="n">
        <v>13.06</v>
      </c>
      <c r="E1628" t="n">
        <v>432.236</v>
      </c>
      <c r="F1628" t="n">
        <v>5459.898</v>
      </c>
      <c r="G1628" t="n">
        <v>13.6</v>
      </c>
      <c r="H1628">
        <f>E1628/F1628</f>
        <v/>
      </c>
      <c r="I1628">
        <f>((H1628-$J$1616)/$I$1616)</f>
        <v/>
      </c>
      <c r="J1628">
        <f>(I1628-IF(I1624&gt;0,I1624,0))</f>
        <v/>
      </c>
      <c r="K1628">
        <f>J1628*1.1</f>
        <v/>
      </c>
      <c r="Q1628" t="inlineStr">
        <is>
          <t>K4-5A</t>
        </is>
      </c>
      <c r="R1628" t="n">
        <v>1.1054</v>
      </c>
    </row>
    <row r="1629">
      <c r="A1629" t="n">
        <v>13</v>
      </c>
      <c r="B1629" t="inlineStr">
        <is>
          <t>SB3</t>
        </is>
      </c>
      <c r="D1629" t="n">
        <v>13.08</v>
      </c>
      <c r="E1629" t="n">
        <v>249.687</v>
      </c>
      <c r="F1629" t="n">
        <v>5569.052</v>
      </c>
      <c r="G1629" t="n">
        <v>24.701</v>
      </c>
      <c r="H1629">
        <f>E1629/F1629</f>
        <v/>
      </c>
      <c r="I1629">
        <f>((H1629-$J$1616)/$I$1616)</f>
        <v/>
      </c>
      <c r="J1629">
        <f>(I1629-IF(I1624&gt;0,I1624,0))</f>
        <v/>
      </c>
      <c r="K1629" s="30">
        <f>J1629*1.1</f>
        <v/>
      </c>
      <c r="L1629" s="25" t="inlineStr">
        <is>
          <t>Average</t>
        </is>
      </c>
      <c r="M1629" s="25" t="inlineStr">
        <is>
          <t>Stdev</t>
        </is>
      </c>
      <c r="N1629" s="26" t="inlineStr">
        <is>
          <t>%Recovery</t>
        </is>
      </c>
      <c r="O1629" s="26" t="inlineStr">
        <is>
          <t>Uncertainty</t>
        </is>
      </c>
      <c r="P1629" s="26" t="inlineStr">
        <is>
          <t>Combined</t>
        </is>
      </c>
      <c r="Q1629" t="inlineStr">
        <is>
          <t>K4-5B</t>
        </is>
      </c>
      <c r="R1629" s="10" t="n">
        <v>1.0463</v>
      </c>
    </row>
    <row r="1630">
      <c r="A1630" t="n">
        <v>14</v>
      </c>
      <c r="B1630" t="inlineStr">
        <is>
          <t>SS1</t>
        </is>
      </c>
      <c r="D1630" t="n">
        <v>13.08</v>
      </c>
      <c r="E1630" t="n">
        <v>8683.874</v>
      </c>
      <c r="F1630" t="n">
        <v>5405.744</v>
      </c>
      <c r="G1630" t="n">
        <v>115.927</v>
      </c>
      <c r="H1630">
        <f>E1630/F1630</f>
        <v/>
      </c>
      <c r="I1630">
        <f>((H1630-$J$1616)/$I$1616)</f>
        <v/>
      </c>
      <c r="J1630">
        <f>(I1630-IF(I1624&gt;0,I1624,0))</f>
        <v/>
      </c>
      <c r="K1630">
        <f>J1630/R1616*1.1</f>
        <v/>
      </c>
      <c r="L1630" s="27">
        <f>AVERAGE(K1630:K1632)</f>
        <v/>
      </c>
      <c r="M1630" s="27">
        <f>STDEV(K1630:K1632)</f>
        <v/>
      </c>
      <c r="N1630" s="28">
        <f>L1630/J1624*100</f>
        <v/>
      </c>
      <c r="O1630" s="29">
        <f>M1630/J1627*100</f>
        <v/>
      </c>
      <c r="P1630" s="29">
        <f>_xlfn.CONCAT(ROUND(N1630,1)," ± ",ROUND(O1630,1))</f>
        <v/>
      </c>
      <c r="Q1630" t="inlineStr">
        <is>
          <t>K4-5C</t>
        </is>
      </c>
      <c r="R1630" t="n">
        <v>1.1155</v>
      </c>
    </row>
    <row r="1631">
      <c r="A1631" t="n">
        <v>15</v>
      </c>
      <c r="B1631" t="inlineStr">
        <is>
          <t>SS2</t>
        </is>
      </c>
      <c r="D1631" t="n">
        <v>13.09</v>
      </c>
      <c r="E1631" t="n">
        <v>9778.018</v>
      </c>
      <c r="F1631" t="n">
        <v>5358.604</v>
      </c>
      <c r="G1631" t="n">
        <v>273.629</v>
      </c>
      <c r="H1631">
        <f>E1631/F1631</f>
        <v/>
      </c>
      <c r="I1631">
        <f>((H1631-$J$1616)/$I$1616)</f>
        <v/>
      </c>
      <c r="J1631">
        <f>(I1631-IF(I1624&gt;0,I1624,0))</f>
        <v/>
      </c>
      <c r="K1631">
        <f>J1631/R1617*1.1</f>
        <v/>
      </c>
      <c r="Q1631" t="inlineStr">
        <is>
          <t>K3-1A</t>
        </is>
      </c>
      <c r="R1631" t="n">
        <v>1.0874</v>
      </c>
    </row>
    <row r="1632">
      <c r="A1632" t="n">
        <v>16</v>
      </c>
      <c r="B1632" t="inlineStr">
        <is>
          <t>SS3</t>
        </is>
      </c>
      <c r="D1632" t="n">
        <v>13.11</v>
      </c>
      <c r="E1632" t="n">
        <v>10325.898</v>
      </c>
      <c r="F1632" t="n">
        <v>5299.512</v>
      </c>
      <c r="G1632" t="n">
        <v>176.405</v>
      </c>
      <c r="H1632">
        <f>E1632/F1632</f>
        <v/>
      </c>
      <c r="I1632">
        <f>((H1632-$J$1616)/$I$1616)</f>
        <v/>
      </c>
      <c r="J1632">
        <f>(I1632-IF(I1624&gt;0,I1624,0))</f>
        <v/>
      </c>
      <c r="K1632" s="30">
        <f>J1632/R1618*1.1</f>
        <v/>
      </c>
      <c r="Q1632" t="inlineStr">
        <is>
          <t>K3-1B</t>
        </is>
      </c>
      <c r="R1632" t="n">
        <v>1.0898</v>
      </c>
    </row>
    <row r="1633">
      <c r="A1633" t="n">
        <v>17</v>
      </c>
      <c r="B1633" t="inlineStr">
        <is>
          <t>MeOH</t>
        </is>
      </c>
      <c r="L1633" s="23" t="inlineStr">
        <is>
          <t>Average</t>
        </is>
      </c>
      <c r="M1633" s="23" t="inlineStr">
        <is>
          <t>Stdev</t>
        </is>
      </c>
      <c r="N1633" s="9" t="inlineStr">
        <is>
          <t>Combined</t>
        </is>
      </c>
      <c r="Q1633" t="inlineStr">
        <is>
          <t>K3-1C</t>
        </is>
      </c>
      <c r="R1633" t="n">
        <v>1.0536</v>
      </c>
    </row>
    <row r="1634">
      <c r="A1634" t="n">
        <v>18</v>
      </c>
      <c r="B1634" t="inlineStr">
        <is>
          <t>K4-1A</t>
        </is>
      </c>
      <c r="D1634" t="n">
        <v>13.11</v>
      </c>
      <c r="E1634" t="n">
        <v>1747.074</v>
      </c>
      <c r="F1634" t="n">
        <v>7333.607</v>
      </c>
      <c r="G1634" t="n">
        <v>344.161</v>
      </c>
      <c r="H1634">
        <f>E1634/F1634</f>
        <v/>
      </c>
      <c r="I1634">
        <f>((H1634-$J$1616)/$I$1616)</f>
        <v/>
      </c>
      <c r="J1634">
        <f>(I1634-IF(I1624&gt;0,I1624,0))</f>
        <v/>
      </c>
      <c r="K1634">
        <f>J1634/R1619*1.1</f>
        <v/>
      </c>
      <c r="L1634">
        <f>AVERAGE(K1634:K1636)</f>
        <v/>
      </c>
      <c r="M1634">
        <f>STDEV(K1635:K1636)</f>
        <v/>
      </c>
      <c r="N1634">
        <f>_xlfn.CONCAT(ROUND(L1634,1)," ± ",ROUND(M1634,1))</f>
        <v/>
      </c>
      <c r="Q1634" t="inlineStr">
        <is>
          <t>K3-2A</t>
        </is>
      </c>
      <c r="R1634" s="10" t="n">
        <v>1.1218</v>
      </c>
    </row>
    <row r="1635">
      <c r="A1635" t="n">
        <v>19</v>
      </c>
      <c r="B1635" t="inlineStr">
        <is>
          <t>K4-1B</t>
        </is>
      </c>
      <c r="D1635" t="n">
        <v>13.11</v>
      </c>
      <c r="E1635" t="n">
        <v>1490.489</v>
      </c>
      <c r="F1635" t="n">
        <v>7556.923</v>
      </c>
      <c r="G1635" t="n">
        <v>47.148</v>
      </c>
      <c r="H1635">
        <f>E1635/F1635</f>
        <v/>
      </c>
      <c r="I1635">
        <f>((H1635-$J$1616)/$I$1616)</f>
        <v/>
      </c>
      <c r="J1635">
        <f>(I1635-IF(I1624&gt;0,I1624,0))</f>
        <v/>
      </c>
      <c r="K1635">
        <f>J1635/R1620*1.1</f>
        <v/>
      </c>
      <c r="Q1635" t="inlineStr">
        <is>
          <t>K3-2B</t>
        </is>
      </c>
      <c r="R1635" t="n">
        <v>1.198</v>
      </c>
    </row>
    <row r="1636">
      <c r="A1636" t="n">
        <v>20</v>
      </c>
      <c r="B1636" t="inlineStr">
        <is>
          <t>K4-1C</t>
        </is>
      </c>
      <c r="D1636" t="n">
        <v>13.11</v>
      </c>
      <c r="E1636" t="n">
        <v>1895.908</v>
      </c>
      <c r="F1636" t="n">
        <v>7543.019</v>
      </c>
      <c r="G1636" t="n">
        <v>79.038</v>
      </c>
      <c r="H1636">
        <f>E1636/F1636</f>
        <v/>
      </c>
      <c r="I1636">
        <f>((H1636-$J$1616)/$I$1616)</f>
        <v/>
      </c>
      <c r="J1636">
        <f>(I1636-IF(I1624&gt;0,I1624,0))</f>
        <v/>
      </c>
      <c r="K1636">
        <f>J1636/R1621*1.1</f>
        <v/>
      </c>
      <c r="L1636" s="23" t="inlineStr">
        <is>
          <t>Average</t>
        </is>
      </c>
      <c r="M1636" s="23" t="inlineStr">
        <is>
          <t>Stdev</t>
        </is>
      </c>
      <c r="N1636" s="9" t="inlineStr">
        <is>
          <t>Combined</t>
        </is>
      </c>
      <c r="Q1636" t="inlineStr">
        <is>
          <t>K3-2C</t>
        </is>
      </c>
      <c r="R1636" t="n">
        <v>1.1538</v>
      </c>
    </row>
    <row r="1637">
      <c r="A1637" t="n">
        <v>21</v>
      </c>
      <c r="B1637" t="inlineStr">
        <is>
          <t>K4-2A</t>
        </is>
      </c>
      <c r="D1637" t="n">
        <v>13.11</v>
      </c>
      <c r="E1637" t="n">
        <v>2405.44</v>
      </c>
      <c r="F1637" t="n">
        <v>8613.116</v>
      </c>
      <c r="G1637" t="n">
        <v>17241</v>
      </c>
      <c r="H1637">
        <f>E1637/F1637</f>
        <v/>
      </c>
      <c r="I1637">
        <f>((H1637-$J$1616)/$I$1616)</f>
        <v/>
      </c>
      <c r="J1637">
        <f>(I1637-IF(I1624&gt;0,I1624,0))</f>
        <v/>
      </c>
      <c r="K1637">
        <f>J1637/R1622*1.1</f>
        <v/>
      </c>
      <c r="L1637">
        <f>AVERAGE(K1637:K1639)</f>
        <v/>
      </c>
      <c r="M1637">
        <f>STDEV(K1637:K1639)</f>
        <v/>
      </c>
      <c r="N1637">
        <f>_xlfn.CONCAT(ROUND(L1637,1)," ± ",ROUND(M1637,1))</f>
        <v/>
      </c>
      <c r="Q1637" t="inlineStr">
        <is>
          <t>K3-3A</t>
        </is>
      </c>
      <c r="R1637" t="n">
        <v>1.1183</v>
      </c>
    </row>
    <row r="1638">
      <c r="A1638" t="n">
        <v>22</v>
      </c>
      <c r="B1638" t="inlineStr">
        <is>
          <t>K4-2B</t>
        </is>
      </c>
      <c r="D1638" t="n">
        <v>13.13</v>
      </c>
      <c r="E1638" t="n">
        <v>1788.487</v>
      </c>
      <c r="F1638" t="n">
        <v>6789.031</v>
      </c>
      <c r="G1638" t="n">
        <v>248.759</v>
      </c>
      <c r="H1638">
        <f>E1638/F1638</f>
        <v/>
      </c>
      <c r="I1638">
        <f>((H1638-$J$1616)/$I$1616)</f>
        <v/>
      </c>
      <c r="J1638">
        <f>(I1638-IF(I1624&gt;0,I1624,0))</f>
        <v/>
      </c>
      <c r="K1638">
        <f>J1638/R1623*1.1</f>
        <v/>
      </c>
      <c r="Q1638" t="inlineStr">
        <is>
          <t>K3-3B</t>
        </is>
      </c>
      <c r="R1638" t="n">
        <v>1.1448</v>
      </c>
    </row>
    <row r="1639">
      <c r="A1639" t="n">
        <v>23</v>
      </c>
      <c r="B1639" t="inlineStr">
        <is>
          <t>K4-2C</t>
        </is>
      </c>
      <c r="D1639" t="n">
        <v>13.12</v>
      </c>
      <c r="E1639" t="n">
        <v>1656.046</v>
      </c>
      <c r="F1639" t="n">
        <v>6441.085</v>
      </c>
      <c r="G1639" t="n">
        <v>91.003</v>
      </c>
      <c r="H1639">
        <f>E1639/F1639</f>
        <v/>
      </c>
      <c r="I1639">
        <f>((H1639-$J$1616)/$I$1616)</f>
        <v/>
      </c>
      <c r="J1639">
        <f>(I1639-IF(I1624&gt;0,I1624,0))</f>
        <v/>
      </c>
      <c r="K1639">
        <f>J1639/R1624*1.1</f>
        <v/>
      </c>
      <c r="L1639" s="23" t="n"/>
      <c r="M1639" s="23" t="n"/>
      <c r="N1639" s="9" t="n"/>
      <c r="Q1639" t="inlineStr">
        <is>
          <t>K3-3C</t>
        </is>
      </c>
      <c r="R1639" t="n">
        <v>1.0493</v>
      </c>
    </row>
    <row r="1640">
      <c r="A1640" t="n">
        <v>24</v>
      </c>
      <c r="B1640" t="inlineStr">
        <is>
          <t>MeOH</t>
        </is>
      </c>
      <c r="D1640" t="n">
        <v>13.15</v>
      </c>
      <c r="E1640" t="n">
        <v>134.681</v>
      </c>
      <c r="G1640" t="n">
        <v>2.696</v>
      </c>
      <c r="L1640" s="23" t="inlineStr">
        <is>
          <t>Average</t>
        </is>
      </c>
      <c r="M1640" s="23" t="inlineStr">
        <is>
          <t>Stdev</t>
        </is>
      </c>
      <c r="N1640" s="9" t="inlineStr">
        <is>
          <t>Combined</t>
        </is>
      </c>
      <c r="Q1640" t="inlineStr">
        <is>
          <t>K3-4A</t>
        </is>
      </c>
      <c r="R1640" t="n">
        <v>1.0704</v>
      </c>
    </row>
    <row r="1641">
      <c r="A1641" t="n">
        <v>25</v>
      </c>
      <c r="B1641" t="inlineStr">
        <is>
          <t>K4-4A</t>
        </is>
      </c>
      <c r="D1641" t="n">
        <v>13.14</v>
      </c>
      <c r="E1641" t="n">
        <v>1660.847</v>
      </c>
      <c r="F1641" t="n">
        <v>6856.379</v>
      </c>
      <c r="G1641" t="n">
        <v>13.497</v>
      </c>
      <c r="H1641">
        <f>E1641/F1641</f>
        <v/>
      </c>
      <c r="I1641">
        <f>((H1641-$J$1616)/$I$1616)</f>
        <v/>
      </c>
      <c r="J1641">
        <f>(I1641-IF(I1624&gt;0,I1624,0))</f>
        <v/>
      </c>
      <c r="K1641">
        <f>J1641/R1625*1.1</f>
        <v/>
      </c>
      <c r="L1641">
        <f>AVERAGE(K1641:K1643)</f>
        <v/>
      </c>
      <c r="M1641">
        <f>STDEV(K1642:K1643)</f>
        <v/>
      </c>
      <c r="N1641">
        <f>_xlfn.CONCAT(ROUND(L1641,1)," ± ",ROUND(M1641,1))</f>
        <v/>
      </c>
      <c r="Q1641" t="inlineStr">
        <is>
          <t>K3-4B</t>
        </is>
      </c>
      <c r="R1641" t="n">
        <v>1.1589</v>
      </c>
    </row>
    <row r="1642">
      <c r="A1642" t="n">
        <v>26</v>
      </c>
      <c r="B1642" t="inlineStr">
        <is>
          <t>K4-4B</t>
        </is>
      </c>
      <c r="D1642" t="n">
        <v>13.15</v>
      </c>
      <c r="E1642" t="n">
        <v>1633.532</v>
      </c>
      <c r="F1642" t="n">
        <v>8361.857</v>
      </c>
      <c r="G1642" t="n">
        <v>126.285</v>
      </c>
      <c r="H1642">
        <f>E1642/F1642</f>
        <v/>
      </c>
      <c r="I1642">
        <f>((H1642-$J$1616)/$I$1616)</f>
        <v/>
      </c>
      <c r="J1642">
        <f>(I1642-IF(I1624&gt;0,I1624,0))</f>
        <v/>
      </c>
      <c r="K1642">
        <f>J1642/R1626*1.1</f>
        <v/>
      </c>
      <c r="Q1642" t="inlineStr">
        <is>
          <t>K3-4C</t>
        </is>
      </c>
      <c r="R1642" t="n">
        <v>1.0206</v>
      </c>
    </row>
    <row r="1643">
      <c r="A1643" t="n">
        <v>27</v>
      </c>
      <c r="B1643" t="inlineStr">
        <is>
          <t>K4-4C</t>
        </is>
      </c>
      <c r="D1643" t="n">
        <v>13.15</v>
      </c>
      <c r="E1643" t="n">
        <v>1522.114</v>
      </c>
      <c r="F1643" t="n">
        <v>8247.347</v>
      </c>
      <c r="G1643" t="n">
        <v>269.602</v>
      </c>
      <c r="H1643">
        <f>E1643/F1643</f>
        <v/>
      </c>
      <c r="I1643">
        <f>((H1643-$J$1616)/$I$1616)</f>
        <v/>
      </c>
      <c r="J1643">
        <f>(I1643-IF(I1624&gt;0,I1624,0))</f>
        <v/>
      </c>
      <c r="K1643">
        <f>J1643/R1627*1.1</f>
        <v/>
      </c>
      <c r="L1643" s="23" t="inlineStr">
        <is>
          <t>Average</t>
        </is>
      </c>
      <c r="M1643" s="23" t="inlineStr">
        <is>
          <t>Stdev</t>
        </is>
      </c>
      <c r="N1643" s="9" t="inlineStr">
        <is>
          <t>Combined</t>
        </is>
      </c>
      <c r="Q1643" t="inlineStr">
        <is>
          <t>K3-6A</t>
        </is>
      </c>
      <c r="R1643" t="n">
        <v>1.1289</v>
      </c>
    </row>
    <row r="1644">
      <c r="A1644" t="n">
        <v>28</v>
      </c>
      <c r="B1644" t="inlineStr">
        <is>
          <t>K4-5A</t>
        </is>
      </c>
      <c r="D1644" t="n">
        <v>13.14</v>
      </c>
      <c r="E1644" t="n">
        <v>1384.803</v>
      </c>
      <c r="F1644" t="n">
        <v>7625.911</v>
      </c>
      <c r="G1644" t="n">
        <v>13.487</v>
      </c>
      <c r="H1644">
        <f>E1644/F1644</f>
        <v/>
      </c>
      <c r="I1644">
        <f>((H1644-$J$1616)/$I$1616)</f>
        <v/>
      </c>
      <c r="J1644">
        <f>(I1644-IF(I1624&gt;0,I1624,0))</f>
        <v/>
      </c>
      <c r="K1644">
        <f>J1644/R1628*1.1</f>
        <v/>
      </c>
      <c r="L1644">
        <f>AVERAGE(K1644:K1646)</f>
        <v/>
      </c>
      <c r="M1644">
        <f>STDEV(K1644:K1646)</f>
        <v/>
      </c>
      <c r="N1644">
        <f>_xlfn.CONCAT(ROUND(L1644,1)," ± ",ROUND(M1644,1))</f>
        <v/>
      </c>
      <c r="Q1644" t="inlineStr">
        <is>
          <t>K3-6B</t>
        </is>
      </c>
      <c r="R1644" t="n">
        <v>1.195</v>
      </c>
    </row>
    <row r="1645">
      <c r="A1645" t="n">
        <v>29</v>
      </c>
      <c r="B1645" t="inlineStr">
        <is>
          <t>K4-5B</t>
        </is>
      </c>
      <c r="D1645" t="n">
        <v>13.11</v>
      </c>
      <c r="E1645" t="n">
        <v>1515.453</v>
      </c>
      <c r="F1645" t="n">
        <v>7830.348</v>
      </c>
      <c r="G1645" t="n">
        <v>68.17700000000001</v>
      </c>
      <c r="H1645">
        <f>E1645/F1645</f>
        <v/>
      </c>
      <c r="I1645">
        <f>((H1645-$J$1616)/$I$1616)</f>
        <v/>
      </c>
      <c r="J1645">
        <f>(I1645-IF(I1624&gt;0,I1624,0))</f>
        <v/>
      </c>
      <c r="K1645">
        <f>J1645/R1629*1.1</f>
        <v/>
      </c>
      <c r="Q1645" t="inlineStr">
        <is>
          <t>K3-6C</t>
        </is>
      </c>
      <c r="R1645" t="n">
        <v>1.1716</v>
      </c>
    </row>
    <row r="1646">
      <c r="A1646" t="n">
        <v>30</v>
      </c>
      <c r="B1646" t="inlineStr">
        <is>
          <t>K4-5C</t>
        </is>
      </c>
      <c r="D1646" t="n">
        <v>13.04</v>
      </c>
      <c r="E1646" t="n">
        <v>1272.568</v>
      </c>
      <c r="F1646" t="n">
        <v>6655.14</v>
      </c>
      <c r="G1646" t="n">
        <v>48.928</v>
      </c>
      <c r="H1646">
        <f>E1646/F1646</f>
        <v/>
      </c>
      <c r="I1646">
        <f>((H1646-$J$1616)/$I$1616)</f>
        <v/>
      </c>
      <c r="J1646">
        <f>(I1646-IF(I1624&gt;0,I1624,0))</f>
        <v/>
      </c>
      <c r="K1646">
        <f>J1646/R1630*1.1</f>
        <v/>
      </c>
      <c r="L1646" s="23" t="n"/>
      <c r="M1646" s="23" t="n"/>
      <c r="N1646" s="9" t="n"/>
    </row>
    <row r="1647">
      <c r="A1647" t="n">
        <v>31</v>
      </c>
      <c r="B1647" t="inlineStr">
        <is>
          <t>MeOH</t>
        </is>
      </c>
      <c r="D1647" t="n">
        <v>13.01</v>
      </c>
      <c r="E1647" t="n">
        <v>166.852</v>
      </c>
      <c r="G1647" t="n">
        <v>3.587</v>
      </c>
      <c r="L1647" s="23" t="inlineStr">
        <is>
          <t>Average</t>
        </is>
      </c>
      <c r="M1647" s="23" t="inlineStr">
        <is>
          <t>Stdev</t>
        </is>
      </c>
      <c r="N1647" s="9" t="inlineStr">
        <is>
          <t>Combined</t>
        </is>
      </c>
    </row>
    <row r="1648">
      <c r="A1648" t="n">
        <v>32</v>
      </c>
      <c r="B1648" t="inlineStr">
        <is>
          <t>K3-1A</t>
        </is>
      </c>
      <c r="D1648" t="n">
        <v>12.99</v>
      </c>
      <c r="E1648" t="n">
        <v>1939.733</v>
      </c>
      <c r="F1648" t="n">
        <v>8732.843000000001</v>
      </c>
      <c r="G1648" t="n">
        <v>72.17</v>
      </c>
      <c r="H1648">
        <f>E1648/F1648</f>
        <v/>
      </c>
      <c r="I1648">
        <f>((H1648-$J$1616)/$I$1616)</f>
        <v/>
      </c>
      <c r="J1648">
        <f>(I1648-IF(I1624&gt;0,I1624,0))</f>
        <v/>
      </c>
      <c r="K1648">
        <f>J1648/R1631*1.1</f>
        <v/>
      </c>
      <c r="L1648">
        <f>AVERAGE(K1648:K1650)</f>
        <v/>
      </c>
      <c r="M1648">
        <f>STDEV(K1649:K1650)</f>
        <v/>
      </c>
      <c r="N1648">
        <f>_xlfn.CONCAT(ROUND(L1648,1)," ± ",ROUND(M1648,1))</f>
        <v/>
      </c>
    </row>
    <row r="1649">
      <c r="A1649" t="n">
        <v>33</v>
      </c>
      <c r="B1649" t="inlineStr">
        <is>
          <t>K3-1B</t>
        </is>
      </c>
      <c r="D1649" t="n">
        <v>12.99</v>
      </c>
      <c r="E1649" t="n">
        <v>1959.561</v>
      </c>
      <c r="F1649" t="n">
        <v>7852.211</v>
      </c>
      <c r="G1649" t="n">
        <v>54.27</v>
      </c>
      <c r="H1649">
        <f>E1649/F1649</f>
        <v/>
      </c>
      <c r="I1649">
        <f>((H1649-$J$1616)/$I$1616)</f>
        <v/>
      </c>
      <c r="J1649">
        <f>(I1649-IF(I1624&gt;0,I1624,0))</f>
        <v/>
      </c>
      <c r="K1649">
        <f>J1649/R1632*1.1</f>
        <v/>
      </c>
    </row>
    <row r="1650">
      <c r="A1650" t="n">
        <v>34</v>
      </c>
      <c r="B1650" t="inlineStr">
        <is>
          <t>K3-1C</t>
        </is>
      </c>
      <c r="D1650" t="n">
        <v>13.04</v>
      </c>
      <c r="E1650" t="n">
        <v>2350.909</v>
      </c>
      <c r="F1650" t="n">
        <v>9807.196</v>
      </c>
      <c r="G1650" t="n">
        <v>151.166</v>
      </c>
      <c r="H1650">
        <f>E1650/F1650</f>
        <v/>
      </c>
      <c r="I1650">
        <f>((H1650-$J$1616)/$I$1616)</f>
        <v/>
      </c>
      <c r="J1650">
        <f>(I1650-IF(I1624&gt;0,I1624,0))</f>
        <v/>
      </c>
      <c r="K1650">
        <f>J1650/R1633*1.1</f>
        <v/>
      </c>
      <c r="L1650" s="23" t="inlineStr">
        <is>
          <t>Average</t>
        </is>
      </c>
      <c r="M1650" s="23" t="inlineStr">
        <is>
          <t>Stdev</t>
        </is>
      </c>
      <c r="N1650" s="9" t="inlineStr">
        <is>
          <t>Combined</t>
        </is>
      </c>
    </row>
    <row r="1651">
      <c r="A1651" t="n">
        <v>35</v>
      </c>
      <c r="B1651" t="inlineStr">
        <is>
          <t>K3-2A</t>
        </is>
      </c>
      <c r="D1651" t="n">
        <v>13.06</v>
      </c>
      <c r="E1651" t="n">
        <v>2778.413</v>
      </c>
      <c r="F1651" t="n">
        <v>10189.86</v>
      </c>
      <c r="G1651" t="n">
        <v>67.724</v>
      </c>
      <c r="H1651">
        <f>E1651/F1651</f>
        <v/>
      </c>
      <c r="I1651">
        <f>((H1651-$J$1616)/$I$1616)</f>
        <v/>
      </c>
      <c r="J1651">
        <f>(I1651-IF(I1624&gt;0,I1624,0))</f>
        <v/>
      </c>
      <c r="K1651">
        <f>J1651/R1634*1.1</f>
        <v/>
      </c>
      <c r="L1651">
        <f>AVERAGE(K1651:K1653)</f>
        <v/>
      </c>
      <c r="M1651">
        <f>STDEV(K1651:K1653)</f>
        <v/>
      </c>
      <c r="N1651">
        <f>_xlfn.CONCAT(ROUND(L1651,1)," ± ",ROUND(M1651,1))</f>
        <v/>
      </c>
    </row>
    <row r="1652">
      <c r="A1652" t="n">
        <v>36</v>
      </c>
      <c r="B1652" t="inlineStr">
        <is>
          <t>K3-2B</t>
        </is>
      </c>
      <c r="D1652" t="n">
        <v>13.05</v>
      </c>
      <c r="E1652" t="n">
        <v>2755.762</v>
      </c>
      <c r="F1652" t="n">
        <v>10207.86</v>
      </c>
      <c r="G1652" t="n">
        <v>118.981</v>
      </c>
      <c r="H1652">
        <f>E1652/F1652</f>
        <v/>
      </c>
      <c r="I1652">
        <f>((H1652-$J$1616)/$I$1616)</f>
        <v/>
      </c>
      <c r="J1652">
        <f>(I1652-IF(I1624&gt;0,I1624,0))</f>
        <v/>
      </c>
      <c r="K1652">
        <f>J1652/R1635*1.1</f>
        <v/>
      </c>
    </row>
    <row r="1653">
      <c r="A1653" t="n">
        <v>37</v>
      </c>
      <c r="B1653" t="inlineStr">
        <is>
          <t>K3-2C</t>
        </is>
      </c>
      <c r="D1653" t="n">
        <v>13.05</v>
      </c>
      <c r="E1653" t="n">
        <v>2565.152</v>
      </c>
      <c r="F1653" t="n">
        <v>8814.884</v>
      </c>
      <c r="G1653" t="n">
        <v>24.773</v>
      </c>
      <c r="H1653">
        <f>E1653/F1653</f>
        <v/>
      </c>
      <c r="I1653">
        <f>((H1653-$J$1616)/$I$1616)</f>
        <v/>
      </c>
      <c r="J1653">
        <f>(I1653-IF(I1624&gt;0,I1624,0))</f>
        <v/>
      </c>
      <c r="K1653">
        <f>J1653/R1636*1.1</f>
        <v/>
      </c>
      <c r="L1653" s="23" t="n"/>
      <c r="M1653" s="23" t="n"/>
      <c r="N1653" s="9" t="n"/>
    </row>
    <row r="1654">
      <c r="A1654" t="n">
        <v>38</v>
      </c>
      <c r="B1654" t="inlineStr">
        <is>
          <t>MeOH</t>
        </is>
      </c>
      <c r="L1654" s="23" t="inlineStr">
        <is>
          <t>Average</t>
        </is>
      </c>
      <c r="M1654" s="23" t="inlineStr">
        <is>
          <t>Stdev</t>
        </is>
      </c>
      <c r="N1654" s="9" t="inlineStr">
        <is>
          <t>Combined</t>
        </is>
      </c>
    </row>
    <row r="1655">
      <c r="A1655" t="n">
        <v>39</v>
      </c>
      <c r="B1655" t="inlineStr">
        <is>
          <t>K3-3A</t>
        </is>
      </c>
      <c r="D1655" t="n">
        <v>13.08</v>
      </c>
      <c r="E1655" t="n">
        <v>2893.752</v>
      </c>
      <c r="F1655" t="n">
        <v>8410.066000000001</v>
      </c>
      <c r="G1655" t="n">
        <v>202.815</v>
      </c>
      <c r="H1655">
        <f>E1655/F1655</f>
        <v/>
      </c>
      <c r="I1655">
        <f>((H1655-$J$1616)/$I$1616)</f>
        <v/>
      </c>
      <c r="J1655">
        <f>(I1655-IF(I1624&gt;0,I1624,0))</f>
        <v/>
      </c>
      <c r="K1655">
        <f>J1655/R1637*1.1</f>
        <v/>
      </c>
      <c r="L1655">
        <f>AVERAGE(K1655:K1657)</f>
        <v/>
      </c>
      <c r="M1655">
        <f>STDEV(K1656:K1657)</f>
        <v/>
      </c>
      <c r="N1655">
        <f>_xlfn.CONCAT(ROUND(L1655,1)," ± ",ROUND(M1655,1))</f>
        <v/>
      </c>
    </row>
    <row r="1656">
      <c r="A1656" t="n">
        <v>40</v>
      </c>
      <c r="B1656" t="inlineStr">
        <is>
          <t>K3-3B</t>
        </is>
      </c>
      <c r="D1656" t="n">
        <v>13.11</v>
      </c>
      <c r="E1656" t="n">
        <v>3141.079</v>
      </c>
      <c r="F1656" t="n">
        <v>8557.771000000001</v>
      </c>
      <c r="G1656" t="n">
        <v>29.922</v>
      </c>
      <c r="H1656">
        <f>E1656/F1656</f>
        <v/>
      </c>
      <c r="I1656">
        <f>((H1656-$J$1616)/$I$1616)</f>
        <v/>
      </c>
      <c r="J1656">
        <f>(I1656-IF(I1624&gt;0,I1624,0))</f>
        <v/>
      </c>
      <c r="K1656">
        <f>J1656/R1638*1.1</f>
        <v/>
      </c>
    </row>
    <row r="1657">
      <c r="A1657" t="n">
        <v>41</v>
      </c>
      <c r="B1657" t="inlineStr">
        <is>
          <t>K3-3C</t>
        </is>
      </c>
      <c r="D1657" t="n">
        <v>13.09</v>
      </c>
      <c r="E1657" t="n">
        <v>2671.486</v>
      </c>
      <c r="F1657" t="n">
        <v>9876.084000000001</v>
      </c>
      <c r="G1657" t="n">
        <v>217.829</v>
      </c>
      <c r="H1657">
        <f>E1657/F1657</f>
        <v/>
      </c>
      <c r="I1657">
        <f>((H1657-$J$1616)/$I$1616)</f>
        <v/>
      </c>
      <c r="J1657">
        <f>(I1657-IF(I1624&gt;0,I1624,0))</f>
        <v/>
      </c>
      <c r="K1657">
        <f>J1657/R1639*1.1</f>
        <v/>
      </c>
      <c r="L1657" s="23" t="inlineStr">
        <is>
          <t>Average</t>
        </is>
      </c>
      <c r="M1657" s="23" t="inlineStr">
        <is>
          <t>Stdev</t>
        </is>
      </c>
      <c r="N1657" s="9" t="inlineStr">
        <is>
          <t>Combined</t>
        </is>
      </c>
    </row>
    <row r="1658">
      <c r="A1658" t="n">
        <v>42</v>
      </c>
      <c r="B1658" t="inlineStr">
        <is>
          <t>K3-4A</t>
        </is>
      </c>
      <c r="D1658" t="n">
        <v>13.15</v>
      </c>
      <c r="E1658" t="n">
        <v>3336.302</v>
      </c>
      <c r="F1658" t="n">
        <v>10133.361</v>
      </c>
      <c r="G1658" t="n">
        <v>88.35299999999999</v>
      </c>
      <c r="H1658">
        <f>E1658/F1658</f>
        <v/>
      </c>
      <c r="I1658">
        <f>((H1658-$J$1616)/$I$1616)</f>
        <v/>
      </c>
      <c r="J1658">
        <f>(I1658-IF(I1624&gt;0,I1624,0))</f>
        <v/>
      </c>
      <c r="K1658">
        <f>J1658/R1640*1.1</f>
        <v/>
      </c>
      <c r="L1658">
        <f>AVERAGE(K1658:K1660)</f>
        <v/>
      </c>
      <c r="M1658">
        <f>STDEV(K1658:K1660)</f>
        <v/>
      </c>
      <c r="N1658">
        <f>_xlfn.CONCAT(ROUND(L1658,1)," ± ",ROUND(M1658,1))</f>
        <v/>
      </c>
    </row>
    <row r="1659">
      <c r="A1659" t="n">
        <v>43</v>
      </c>
      <c r="B1659" t="inlineStr">
        <is>
          <t>K3-4B</t>
        </is>
      </c>
      <c r="D1659" t="n">
        <v>13.13</v>
      </c>
      <c r="E1659" t="n">
        <v>3196.861</v>
      </c>
      <c r="F1659" t="n">
        <v>10043.649</v>
      </c>
      <c r="G1659" t="n">
        <v>103.597</v>
      </c>
      <c r="H1659">
        <f>E1659/F1659</f>
        <v/>
      </c>
      <c r="I1659">
        <f>((H1659-$J$1616)/$I$1616)</f>
        <v/>
      </c>
      <c r="J1659">
        <f>(I1659-IF(I1624&gt;0,I1624,0))</f>
        <v/>
      </c>
      <c r="K1659">
        <f>J1659/R1641*1.1</f>
        <v/>
      </c>
    </row>
    <row r="1660">
      <c r="A1660" t="n">
        <v>44</v>
      </c>
      <c r="B1660" t="inlineStr">
        <is>
          <t>K3-4C</t>
        </is>
      </c>
      <c r="D1660" t="n">
        <v>13.17</v>
      </c>
      <c r="E1660" t="n">
        <v>3197.22</v>
      </c>
      <c r="F1660" t="n">
        <v>9604.054</v>
      </c>
      <c r="G1660" t="n">
        <v>252.285</v>
      </c>
      <c r="H1660">
        <f>E1660/F1660</f>
        <v/>
      </c>
      <c r="I1660">
        <f>((H1660-$J$1616)/$I$1616)</f>
        <v/>
      </c>
      <c r="J1660">
        <f>(I1660-IF(I1624&gt;0,I1624,0))</f>
        <v/>
      </c>
      <c r="K1660">
        <f>J1660/R1642*1.1</f>
        <v/>
      </c>
      <c r="L1660" s="23" t="n"/>
      <c r="M1660" s="23" t="n"/>
      <c r="N1660" s="9" t="n"/>
    </row>
    <row r="1661">
      <c r="A1661" t="n">
        <v>45</v>
      </c>
      <c r="B1661" t="inlineStr">
        <is>
          <t>MeOH</t>
        </is>
      </c>
      <c r="D1661" t="n">
        <v>13.2</v>
      </c>
      <c r="E1661" t="n">
        <v>100.161</v>
      </c>
      <c r="G1661" t="n">
        <v>10.102</v>
      </c>
      <c r="L1661" s="23" t="inlineStr">
        <is>
          <t>Average</t>
        </is>
      </c>
      <c r="M1661" s="23" t="inlineStr">
        <is>
          <t>Stdev</t>
        </is>
      </c>
      <c r="N1661" s="9" t="inlineStr">
        <is>
          <t>Combined</t>
        </is>
      </c>
    </row>
    <row r="1662">
      <c r="A1662" t="n">
        <v>46</v>
      </c>
      <c r="B1662" t="inlineStr">
        <is>
          <t>K3-6A</t>
        </is>
      </c>
      <c r="D1662" t="n">
        <v>13.17</v>
      </c>
      <c r="E1662" t="n">
        <v>2168.728</v>
      </c>
      <c r="F1662" t="n">
        <v>9362.067999999999</v>
      </c>
      <c r="G1662" t="n">
        <v>77.51600000000001</v>
      </c>
      <c r="H1662">
        <f>E1662/F1662</f>
        <v/>
      </c>
      <c r="I1662">
        <f>((H1662-$J$1616)/$I$1616)</f>
        <v/>
      </c>
      <c r="J1662">
        <f>(I1662-IF(I1624&gt;0,I1624,0))</f>
        <v/>
      </c>
      <c r="K1662">
        <f>J1662/R1643*1.1</f>
        <v/>
      </c>
      <c r="L1662">
        <f>AVERAGE(K1662:K1664)</f>
        <v/>
      </c>
      <c r="M1662">
        <f>STDEV(K1663:K1664)</f>
        <v/>
      </c>
      <c r="N1662">
        <f>_xlfn.CONCAT(ROUND(L1662,1)," ± ",ROUND(M1662,1))</f>
        <v/>
      </c>
    </row>
    <row r="1663">
      <c r="A1663" t="n">
        <v>47</v>
      </c>
      <c r="B1663" t="inlineStr">
        <is>
          <t>K3-6B</t>
        </is>
      </c>
      <c r="D1663" t="n">
        <v>13.15</v>
      </c>
      <c r="E1663" t="n">
        <v>1967.774</v>
      </c>
      <c r="F1663" t="n">
        <v>7438.873</v>
      </c>
      <c r="G1663" t="n">
        <v>85.624</v>
      </c>
      <c r="H1663">
        <f>E1663/F1663</f>
        <v/>
      </c>
      <c r="I1663">
        <f>((H1663-$J$1616)/$I$1616)</f>
        <v/>
      </c>
      <c r="J1663">
        <f>(I1663-IF(I1624&gt;0,I1624,0))</f>
        <v/>
      </c>
      <c r="K1663">
        <f>J1663/R1644*1.1</f>
        <v/>
      </c>
    </row>
    <row r="1664">
      <c r="A1664" t="n">
        <v>48</v>
      </c>
      <c r="B1664" t="inlineStr">
        <is>
          <t>K3-6C</t>
        </is>
      </c>
      <c r="D1664" t="n">
        <v>13.16</v>
      </c>
      <c r="E1664" t="n">
        <v>1822.744</v>
      </c>
      <c r="F1664" t="n">
        <v>7497.73</v>
      </c>
      <c r="G1664" t="n">
        <v>19.825</v>
      </c>
      <c r="H1664">
        <f>E1664/F1664</f>
        <v/>
      </c>
      <c r="I1664">
        <f>((H1664-$J$1616)/$I$1616)</f>
        <v/>
      </c>
      <c r="J1664">
        <f>(I1664-IF(I1624&gt;0,I1624,0))</f>
        <v/>
      </c>
      <c r="K1664">
        <f>J1664/R1645*1.1</f>
        <v/>
      </c>
      <c r="L1664" s="23" t="n"/>
      <c r="M1664" s="23" t="n"/>
      <c r="N1664" s="9" t="n"/>
    </row>
    <row r="1666">
      <c r="A1666" s="15" t="inlineStr">
        <is>
          <t>Compound 78:  N-MeFOSA 1</t>
        </is>
      </c>
      <c r="B1666" s="15" t="n"/>
    </row>
    <row r="1667">
      <c r="I1667" t="inlineStr">
        <is>
          <t>LINEST</t>
        </is>
      </c>
      <c r="Q1667" t="inlineStr">
        <is>
          <t>Biosolids Masses</t>
        </is>
      </c>
      <c r="R1667" t="inlineStr">
        <is>
          <t>(g)</t>
        </is>
      </c>
    </row>
    <row r="1668">
      <c r="B1668" t="inlineStr">
        <is>
          <t>Sample Text</t>
        </is>
      </c>
      <c r="C1668" t="inlineStr">
        <is>
          <t>Std. Conc</t>
        </is>
      </c>
      <c r="D1668" t="inlineStr">
        <is>
          <t>RT</t>
        </is>
      </c>
      <c r="E1668" t="inlineStr">
        <is>
          <t>Area</t>
        </is>
      </c>
      <c r="F1668" t="inlineStr">
        <is>
          <t>IS Area</t>
        </is>
      </c>
      <c r="G1668" t="inlineStr">
        <is>
          <t>S/N</t>
        </is>
      </c>
      <c r="H1668" t="inlineStr">
        <is>
          <t>ratio</t>
        </is>
      </c>
      <c r="I1668">
        <f t="array" ref="I1668:J1672">LINEST(H1670:H1676,C1670:C1676,1,1)</f>
        <v/>
      </c>
      <c r="J1668" t="n">
        <v>-0.03113766612057667</v>
      </c>
      <c r="L1668" s="20" t="inlineStr">
        <is>
          <t>By S/N Ratio</t>
        </is>
      </c>
      <c r="Q1668" t="inlineStr">
        <is>
          <t>SS1</t>
        </is>
      </c>
      <c r="R1668" t="n">
        <v>1.0846</v>
      </c>
    </row>
    <row r="1669">
      <c r="A1669" t="n">
        <v>1</v>
      </c>
      <c r="B1669" t="inlineStr">
        <is>
          <t>EPA1633 &amp; diPAPs Calibration 0 ppb</t>
        </is>
      </c>
      <c r="C1669" t="n">
        <v>0</v>
      </c>
      <c r="D1669" t="n">
        <v>15.37</v>
      </c>
      <c r="E1669" t="n">
        <v>134.836</v>
      </c>
      <c r="F1669" t="n">
        <v>8869.878000000001</v>
      </c>
      <c r="G1669" t="n">
        <v>0.782</v>
      </c>
      <c r="H1669">
        <f>E1669/F1669</f>
        <v/>
      </c>
      <c r="I1669" t="n">
        <v>0.003638116641021135</v>
      </c>
      <c r="J1669" t="n">
        <v>0.03154211459753452</v>
      </c>
      <c r="K1669" t="inlineStr">
        <is>
          <t>LOD</t>
        </is>
      </c>
      <c r="L1669" s="21">
        <f>IF(G1672&gt;3,C1672,IF(G1673&gt;3,C1673,IF(G1674&gt;3,C1674,IF(G1675&gt;3,C1675,C1676))))</f>
        <v/>
      </c>
      <c r="Q1669" t="inlineStr">
        <is>
          <t>SS2</t>
        </is>
      </c>
      <c r="R1669" t="n">
        <v>1.0726</v>
      </c>
    </row>
    <row r="1670">
      <c r="A1670" t="n">
        <v>2</v>
      </c>
      <c r="B1670" t="inlineStr">
        <is>
          <t>EPA1633 &amp; diPAPs Calibration 0.02 ppb</t>
        </is>
      </c>
      <c r="C1670" t="n">
        <v>0.02</v>
      </c>
      <c r="D1670" t="n">
        <v>15.38</v>
      </c>
      <c r="E1670" t="n">
        <v>11.521</v>
      </c>
      <c r="F1670" t="n">
        <v>7362.827</v>
      </c>
      <c r="G1670" t="n">
        <v>0.342</v>
      </c>
      <c r="H1670">
        <f>E1670/F1670</f>
        <v/>
      </c>
      <c r="I1670" t="n">
        <v>0.9967688419398322</v>
      </c>
      <c r="J1670" t="n">
        <v>0.06665207845015336</v>
      </c>
      <c r="K1670" t="inlineStr">
        <is>
          <t>LOQ</t>
        </is>
      </c>
      <c r="L1670" s="22">
        <f>IF(G1672&gt;10,C1672,IF(G1673&gt;10,C1673,IF(G1674&gt;10,C1674,IF(G1675&gt;10,C1675,C1676))))</f>
        <v/>
      </c>
      <c r="Q1670" t="inlineStr">
        <is>
          <t>SS3</t>
        </is>
      </c>
      <c r="R1670" t="n">
        <v>1.1534</v>
      </c>
    </row>
    <row r="1671">
      <c r="A1671" t="n">
        <v>3</v>
      </c>
      <c r="B1671" t="inlineStr">
        <is>
          <t>EPA1633 &amp; diPAPs Calibration 0.1 ppb</t>
        </is>
      </c>
      <c r="C1671" t="n">
        <v>0.1</v>
      </c>
      <c r="D1671" t="n">
        <v>15.38</v>
      </c>
      <c r="E1671" t="n">
        <v>107.95</v>
      </c>
      <c r="F1671" t="n">
        <v>9670.424000000001</v>
      </c>
      <c r="G1671" t="n">
        <v>1.324</v>
      </c>
      <c r="H1671">
        <f>E1671/F1671</f>
        <v/>
      </c>
      <c r="I1671" t="n">
        <v>1542.432811052345</v>
      </c>
      <c r="J1671" t="n">
        <v>5</v>
      </c>
      <c r="Q1671" t="inlineStr">
        <is>
          <t>K4-1A</t>
        </is>
      </c>
      <c r="R1671" t="n">
        <v>1.0267</v>
      </c>
    </row>
    <row r="1672">
      <c r="A1672" t="n">
        <v>4</v>
      </c>
      <c r="B1672" t="inlineStr">
        <is>
          <t>EPA1633 &amp; diPAPs Calibration 0.4 ppb</t>
        </is>
      </c>
      <c r="C1672" t="n">
        <v>0.4</v>
      </c>
      <c r="D1672" t="n">
        <v>15.39</v>
      </c>
      <c r="E1672" t="n">
        <v>535.005</v>
      </c>
      <c r="F1672" t="n">
        <v>8260.82</v>
      </c>
      <c r="G1672" t="n">
        <v>52.346</v>
      </c>
      <c r="H1672">
        <f>E1672/F1672</f>
        <v/>
      </c>
      <c r="I1672" t="n">
        <v>6.852257087090918</v>
      </c>
      <c r="J1672" t="n">
        <v>0.02221249780862699</v>
      </c>
      <c r="Q1672" t="inlineStr">
        <is>
          <t>K4-1B</t>
        </is>
      </c>
      <c r="R1672" t="n">
        <v>1.1481</v>
      </c>
    </row>
    <row r="1673">
      <c r="A1673" t="n">
        <v>5</v>
      </c>
      <c r="B1673" t="inlineStr">
        <is>
          <t>EPA1633 &amp; diPAPs Calibration 1 ppb</t>
        </is>
      </c>
      <c r="C1673" t="n">
        <v>1</v>
      </c>
      <c r="D1673" t="n">
        <v>15.37</v>
      </c>
      <c r="E1673" t="n">
        <v>735.872</v>
      </c>
      <c r="F1673" t="n">
        <v>9618.662</v>
      </c>
      <c r="G1673" t="n">
        <v>5357</v>
      </c>
      <c r="H1673">
        <f>E1673/F1673</f>
        <v/>
      </c>
      <c r="Q1673" t="inlineStr">
        <is>
          <t>K4-1C</t>
        </is>
      </c>
      <c r="R1673" t="n">
        <v>1.0402</v>
      </c>
    </row>
    <row r="1674">
      <c r="A1674" t="n">
        <v>6</v>
      </c>
      <c r="B1674" t="inlineStr">
        <is>
          <t>EPA1633 &amp; diPAPs Calibration 5 ppb</t>
        </is>
      </c>
      <c r="C1674" t="n">
        <v>5</v>
      </c>
      <c r="D1674" t="n">
        <v>15.34</v>
      </c>
      <c r="E1674" t="n">
        <v>4448.286</v>
      </c>
      <c r="F1674" t="n">
        <v>7907.169</v>
      </c>
      <c r="G1674" t="n">
        <v>31261</v>
      </c>
      <c r="H1674">
        <f>E1674/F1674</f>
        <v/>
      </c>
      <c r="Q1674" t="inlineStr">
        <is>
          <t>K4-2A</t>
        </is>
      </c>
      <c r="R1674" t="n">
        <v>1.127</v>
      </c>
    </row>
    <row r="1675">
      <c r="A1675" t="n">
        <v>7</v>
      </c>
      <c r="B1675" t="inlineStr">
        <is>
          <t>EPA1633 &amp; diPAPs Calibration 10 ppb</t>
        </is>
      </c>
      <c r="C1675" t="n">
        <v>10</v>
      </c>
      <c r="D1675" t="n">
        <v>15.36</v>
      </c>
      <c r="E1675" t="n">
        <v>9227.802</v>
      </c>
      <c r="F1675" t="n">
        <v>6344.778</v>
      </c>
      <c r="G1675" t="n">
        <v>65645</v>
      </c>
      <c r="H1675">
        <f>E1675/F1675</f>
        <v/>
      </c>
      <c r="I1675" s="23" t="inlineStr">
        <is>
          <t>Background</t>
        </is>
      </c>
      <c r="J1675" s="23" t="inlineStr">
        <is>
          <t>Spike</t>
        </is>
      </c>
      <c r="K1675" s="9" t="inlineStr">
        <is>
          <t>Old Spike</t>
        </is>
      </c>
      <c r="O1675" s="24" t="inlineStr">
        <is>
          <t>±</t>
        </is>
      </c>
      <c r="Q1675" t="inlineStr">
        <is>
          <t>K4-2B</t>
        </is>
      </c>
      <c r="R1675" t="n">
        <v>1.1154</v>
      </c>
    </row>
    <row r="1676">
      <c r="A1676" t="n">
        <v>8</v>
      </c>
      <c r="B1676" t="inlineStr">
        <is>
          <t>EPA1633 &amp; diPAPs Calibration 20 ppb</t>
        </is>
      </c>
      <c r="C1676" t="n">
        <v>20</v>
      </c>
      <c r="D1676" t="n">
        <v>15.38</v>
      </c>
      <c r="E1676" t="n">
        <v>19508.637</v>
      </c>
      <c r="F1676" t="n">
        <v>6895.557</v>
      </c>
      <c r="G1676" t="n">
        <v>1829.865</v>
      </c>
      <c r="H1676">
        <f>E1676/F1676</f>
        <v/>
      </c>
      <c r="I1676">
        <f>AVERAGE(I1679:I1681)</f>
        <v/>
      </c>
      <c r="J1676" t="n">
        <v>11</v>
      </c>
      <c r="Q1676" t="inlineStr">
        <is>
          <t>K4-2C</t>
        </is>
      </c>
      <c r="R1676" t="n">
        <v>1.1711</v>
      </c>
    </row>
    <row r="1677">
      <c r="A1677" t="n">
        <v>9</v>
      </c>
      <c r="B1677" t="inlineStr">
        <is>
          <t>MeOH</t>
        </is>
      </c>
      <c r="F1677" t="n">
        <v>65.31999999999999</v>
      </c>
      <c r="I1677" s="23" t="inlineStr">
        <is>
          <t>Conc.In Vial (ppb)</t>
        </is>
      </c>
      <c r="J1677" s="9" t="inlineStr">
        <is>
          <t>Corr. Conc.(ppb)</t>
        </is>
      </c>
      <c r="K1677" s="9" t="inlineStr">
        <is>
          <t>Conc. In soil (ng/g)</t>
        </is>
      </c>
      <c r="Q1677" t="inlineStr">
        <is>
          <t>K4-4A</t>
        </is>
      </c>
      <c r="R1677" t="n">
        <v>1.0932</v>
      </c>
    </row>
    <row r="1678">
      <c r="A1678" t="n">
        <v>10</v>
      </c>
      <c r="B1678" t="inlineStr">
        <is>
          <t>MeOH</t>
        </is>
      </c>
      <c r="F1678" t="n">
        <v>35.911</v>
      </c>
      <c r="L1678" s="23" t="inlineStr">
        <is>
          <t>Average</t>
        </is>
      </c>
      <c r="M1678" s="23" t="inlineStr">
        <is>
          <t>Stdev</t>
        </is>
      </c>
      <c r="N1678" s="9" t="inlineStr">
        <is>
          <t>Combined</t>
        </is>
      </c>
      <c r="O1678" s="9" t="n"/>
      <c r="P1678" s="9" t="n"/>
      <c r="Q1678" t="inlineStr">
        <is>
          <t>K4-4B</t>
        </is>
      </c>
      <c r="R1678" t="n">
        <v>1.15</v>
      </c>
    </row>
    <row r="1679">
      <c r="A1679" t="n">
        <v>11</v>
      </c>
      <c r="B1679" t="inlineStr">
        <is>
          <t>SB1</t>
        </is>
      </c>
      <c r="F1679" t="n">
        <v>2375.932</v>
      </c>
      <c r="H1679">
        <f>E1679/F1679</f>
        <v/>
      </c>
      <c r="I1679">
        <f>((H1679-$J$1668)/$I$1668)</f>
        <v/>
      </c>
      <c r="J1679">
        <f>(I1679-IF(I1676&gt;0,I1676,0))</f>
        <v/>
      </c>
      <c r="K1679">
        <f>J1679*1.1</f>
        <v/>
      </c>
      <c r="L1679">
        <f>AVERAGE(K1679:K1681)</f>
        <v/>
      </c>
      <c r="M1679">
        <f>STDEV(K1680:K1681)</f>
        <v/>
      </c>
      <c r="N1679">
        <f>_xlfn.CONCAT(ROUND(L1679,1)," ± ",ROUND(M1679,1))</f>
        <v/>
      </c>
      <c r="Q1679" t="inlineStr">
        <is>
          <t>K4-4C</t>
        </is>
      </c>
      <c r="R1679" t="n">
        <v>1.0482</v>
      </c>
    </row>
    <row r="1680">
      <c r="A1680" t="n">
        <v>12</v>
      </c>
      <c r="B1680" t="inlineStr">
        <is>
          <t>SB2</t>
        </is>
      </c>
      <c r="D1680" t="n">
        <v>14.98</v>
      </c>
      <c r="E1680" t="n">
        <v>14.819</v>
      </c>
      <c r="F1680" t="n">
        <v>2312.328</v>
      </c>
      <c r="G1680" t="n">
        <v>134</v>
      </c>
      <c r="H1680">
        <f>E1680/F1680</f>
        <v/>
      </c>
      <c r="I1680">
        <f>((H1680-$J$1668)/$I$1668)</f>
        <v/>
      </c>
      <c r="J1680">
        <f>(I1680-IF(I1676&gt;0,I1676,0))</f>
        <v/>
      </c>
      <c r="K1680">
        <f>J1680*1.1</f>
        <v/>
      </c>
      <c r="Q1680" t="inlineStr">
        <is>
          <t>K4-5A</t>
        </is>
      </c>
      <c r="R1680" t="n">
        <v>1.1054</v>
      </c>
    </row>
    <row r="1681">
      <c r="A1681" t="n">
        <v>13</v>
      </c>
      <c r="B1681" t="inlineStr">
        <is>
          <t>SB3</t>
        </is>
      </c>
      <c r="F1681" t="n">
        <v>2990.264</v>
      </c>
      <c r="H1681">
        <f>E1681/F1681</f>
        <v/>
      </c>
      <c r="I1681">
        <f>((H1681-$J$1668)/$I$1668)</f>
        <v/>
      </c>
      <c r="J1681">
        <f>(I1681-IF(I1676&gt;0,I1676,0))</f>
        <v/>
      </c>
      <c r="K1681" s="30">
        <f>J1681*1.1</f>
        <v/>
      </c>
      <c r="L1681" s="25" t="inlineStr">
        <is>
          <t>Average</t>
        </is>
      </c>
      <c r="M1681" s="25" t="inlineStr">
        <is>
          <t>Stdev</t>
        </is>
      </c>
      <c r="N1681" s="26" t="inlineStr">
        <is>
          <t>%Recovery</t>
        </is>
      </c>
      <c r="O1681" s="26" t="inlineStr">
        <is>
          <t>Uncertainty</t>
        </is>
      </c>
      <c r="P1681" s="26" t="inlineStr">
        <is>
          <t>Combined</t>
        </is>
      </c>
      <c r="Q1681" t="inlineStr">
        <is>
          <t>K4-5B</t>
        </is>
      </c>
      <c r="R1681" s="10" t="n">
        <v>1.0463</v>
      </c>
    </row>
    <row r="1682">
      <c r="A1682" t="n">
        <v>14</v>
      </c>
      <c r="B1682" t="inlineStr">
        <is>
          <t>SS1</t>
        </is>
      </c>
      <c r="D1682" t="n">
        <v>15.44</v>
      </c>
      <c r="E1682" t="n">
        <v>1605.637</v>
      </c>
      <c r="F1682" t="n">
        <v>1863.89</v>
      </c>
      <c r="G1682" t="n">
        <v>96.151</v>
      </c>
      <c r="H1682">
        <f>E1682/F1682</f>
        <v/>
      </c>
      <c r="I1682">
        <f>((H1682-$J$1668)/$I$1668)</f>
        <v/>
      </c>
      <c r="J1682">
        <f>(I1682-IF(I1676&gt;0,I1676,0))</f>
        <v/>
      </c>
      <c r="K1682">
        <f>J1682/R1668*1.1</f>
        <v/>
      </c>
      <c r="L1682" s="27">
        <f>AVERAGE(K1682:K1684)</f>
        <v/>
      </c>
      <c r="M1682" s="27">
        <f>STDEV(K1682:K1684)</f>
        <v/>
      </c>
      <c r="N1682" s="28">
        <f>L1682/J1676*100</f>
        <v/>
      </c>
      <c r="O1682" s="29">
        <f>M1682/J1679*100</f>
        <v/>
      </c>
      <c r="P1682" s="29">
        <f>_xlfn.CONCAT(ROUND(N1682,1)," ± ",ROUND(O1682,1))</f>
        <v/>
      </c>
      <c r="Q1682" t="inlineStr">
        <is>
          <t>K4-5C</t>
        </is>
      </c>
      <c r="R1682" t="n">
        <v>1.1155</v>
      </c>
    </row>
    <row r="1683">
      <c r="A1683" t="n">
        <v>15</v>
      </c>
      <c r="B1683" t="inlineStr">
        <is>
          <t>SS2</t>
        </is>
      </c>
      <c r="D1683" t="n">
        <v>15.44</v>
      </c>
      <c r="E1683" t="n">
        <v>2852.241</v>
      </c>
      <c r="F1683" t="n">
        <v>2404.218</v>
      </c>
      <c r="G1683" t="n">
        <v>20388</v>
      </c>
      <c r="H1683">
        <f>E1683/F1683</f>
        <v/>
      </c>
      <c r="I1683">
        <f>((H1683-$J$1668)/$I$1668)</f>
        <v/>
      </c>
      <c r="J1683">
        <f>(I1683-IF(I1676&gt;0,I1676,0))</f>
        <v/>
      </c>
      <c r="K1683">
        <f>J1683/R1669*1.1</f>
        <v/>
      </c>
      <c r="Q1683" t="inlineStr">
        <is>
          <t>K3-1A</t>
        </is>
      </c>
      <c r="R1683" t="n">
        <v>1.0874</v>
      </c>
    </row>
    <row r="1684">
      <c r="A1684" t="n">
        <v>16</v>
      </c>
      <c r="B1684" t="inlineStr">
        <is>
          <t>SS3</t>
        </is>
      </c>
      <c r="D1684" t="n">
        <v>15.46</v>
      </c>
      <c r="E1684" t="n">
        <v>2574.47</v>
      </c>
      <c r="F1684" t="n">
        <v>2091.666</v>
      </c>
      <c r="G1684" t="n">
        <v>18474</v>
      </c>
      <c r="H1684">
        <f>E1684/F1684</f>
        <v/>
      </c>
      <c r="I1684">
        <f>((H1684-$J$1668)/$I$1668)</f>
        <v/>
      </c>
      <c r="J1684">
        <f>(I1684-IF(I1676&gt;0,I1676,0))</f>
        <v/>
      </c>
      <c r="K1684" s="30">
        <f>J1684/R1670*1.1</f>
        <v/>
      </c>
      <c r="Q1684" t="inlineStr">
        <is>
          <t>K3-1B</t>
        </is>
      </c>
      <c r="R1684" t="n">
        <v>1.0898</v>
      </c>
    </row>
    <row r="1685">
      <c r="A1685" t="n">
        <v>17</v>
      </c>
      <c r="B1685" t="inlineStr">
        <is>
          <t>MeOH</t>
        </is>
      </c>
      <c r="L1685" s="23" t="inlineStr">
        <is>
          <t>Average</t>
        </is>
      </c>
      <c r="M1685" s="23" t="inlineStr">
        <is>
          <t>Stdev</t>
        </is>
      </c>
      <c r="N1685" s="9" t="inlineStr">
        <is>
          <t>Combined</t>
        </is>
      </c>
      <c r="Q1685" t="inlineStr">
        <is>
          <t>K3-1C</t>
        </is>
      </c>
      <c r="R1685" t="n">
        <v>1.0536</v>
      </c>
    </row>
    <row r="1686">
      <c r="A1686" t="n">
        <v>18</v>
      </c>
      <c r="B1686" t="inlineStr">
        <is>
          <t>K4-1A</t>
        </is>
      </c>
      <c r="F1686" t="n">
        <v>2980.241</v>
      </c>
      <c r="H1686">
        <f>E1686/F1686</f>
        <v/>
      </c>
      <c r="I1686">
        <f>((H1686-$J$1668)/$I$1668)</f>
        <v/>
      </c>
      <c r="J1686">
        <f>(I1686-IF(I1676&gt;0,I1676,0))</f>
        <v/>
      </c>
      <c r="K1686">
        <f>J1686/R1671*1.1</f>
        <v/>
      </c>
      <c r="L1686">
        <f>AVERAGE(K1686:K1688)</f>
        <v/>
      </c>
      <c r="M1686">
        <f>STDEV(K1687:K1688)</f>
        <v/>
      </c>
      <c r="N1686">
        <f>_xlfn.CONCAT(ROUND(L1686,1)," ± ",ROUND(M1686,1))</f>
        <v/>
      </c>
      <c r="Q1686" t="inlineStr">
        <is>
          <t>K3-2A</t>
        </is>
      </c>
      <c r="R1686" s="10" t="n">
        <v>1.1218</v>
      </c>
    </row>
    <row r="1687">
      <c r="A1687" t="n">
        <v>19</v>
      </c>
      <c r="B1687" t="inlineStr">
        <is>
          <t>K4-1B</t>
        </is>
      </c>
      <c r="D1687" t="n">
        <v>14.02</v>
      </c>
      <c r="E1687" t="n">
        <v>0.595</v>
      </c>
      <c r="F1687" t="n">
        <v>3364.29</v>
      </c>
      <c r="G1687" t="n">
        <v>6</v>
      </c>
      <c r="H1687">
        <f>E1687/F1687</f>
        <v/>
      </c>
      <c r="I1687">
        <f>((H1687-$J$1668)/$I$1668)</f>
        <v/>
      </c>
      <c r="J1687">
        <f>(I1687-IF(I1676&gt;0,I1676,0))</f>
        <v/>
      </c>
      <c r="K1687">
        <f>J1687/R1672*1.1</f>
        <v/>
      </c>
      <c r="Q1687" t="inlineStr">
        <is>
          <t>K3-2B</t>
        </is>
      </c>
      <c r="R1687" t="n">
        <v>1.198</v>
      </c>
    </row>
    <row r="1688">
      <c r="A1688" t="n">
        <v>20</v>
      </c>
      <c r="B1688" t="inlineStr">
        <is>
          <t>K4-1C</t>
        </is>
      </c>
      <c r="F1688" t="n">
        <v>3837.76</v>
      </c>
      <c r="H1688">
        <f>E1688/F1688</f>
        <v/>
      </c>
      <c r="I1688">
        <f>((H1688-$J$1668)/$I$1668)</f>
        <v/>
      </c>
      <c r="J1688">
        <f>(I1688-IF(I1676&gt;0,I1676,0))</f>
        <v/>
      </c>
      <c r="K1688">
        <f>J1688/R1673*1.1</f>
        <v/>
      </c>
      <c r="L1688" s="23" t="inlineStr">
        <is>
          <t>Average</t>
        </is>
      </c>
      <c r="M1688" s="23" t="inlineStr">
        <is>
          <t>Stdev</t>
        </is>
      </c>
      <c r="N1688" s="9" t="inlineStr">
        <is>
          <t>Combined</t>
        </is>
      </c>
      <c r="Q1688" t="inlineStr">
        <is>
          <t>K3-2C</t>
        </is>
      </c>
      <c r="R1688" t="n">
        <v>1.1538</v>
      </c>
    </row>
    <row r="1689">
      <c r="A1689" t="n">
        <v>21</v>
      </c>
      <c r="B1689" t="inlineStr">
        <is>
          <t>K4-2A</t>
        </is>
      </c>
      <c r="F1689" t="n">
        <v>2988.778</v>
      </c>
      <c r="H1689">
        <f>E1689/F1689</f>
        <v/>
      </c>
      <c r="I1689">
        <f>((H1689-$J$1668)/$I$1668)</f>
        <v/>
      </c>
      <c r="J1689">
        <f>(I1689-IF(I1676&gt;0,I1676,0))</f>
        <v/>
      </c>
      <c r="K1689">
        <f>J1689/R1674*1.1</f>
        <v/>
      </c>
      <c r="L1689">
        <f>AVERAGE(K1689:K1691)</f>
        <v/>
      </c>
      <c r="M1689">
        <f>STDEV(K1689:K1691)</f>
        <v/>
      </c>
      <c r="N1689">
        <f>_xlfn.CONCAT(ROUND(L1689,1)," ± ",ROUND(M1689,1))</f>
        <v/>
      </c>
      <c r="Q1689" t="inlineStr">
        <is>
          <t>K3-3A</t>
        </is>
      </c>
      <c r="R1689" t="n">
        <v>1.1183</v>
      </c>
    </row>
    <row r="1690">
      <c r="A1690" t="n">
        <v>22</v>
      </c>
      <c r="B1690" t="inlineStr">
        <is>
          <t>K4-2B</t>
        </is>
      </c>
      <c r="F1690" t="n">
        <v>2732.104</v>
      </c>
      <c r="H1690">
        <f>E1690/F1690</f>
        <v/>
      </c>
      <c r="I1690">
        <f>((H1690-$J$1668)/$I$1668)</f>
        <v/>
      </c>
      <c r="J1690">
        <f>(I1690-IF(I1676&gt;0,I1676,0))</f>
        <v/>
      </c>
      <c r="K1690">
        <f>J1690/R1675*1.1</f>
        <v/>
      </c>
      <c r="Q1690" t="inlineStr">
        <is>
          <t>K3-3B</t>
        </is>
      </c>
      <c r="R1690" t="n">
        <v>1.1448</v>
      </c>
    </row>
    <row r="1691">
      <c r="A1691" t="n">
        <v>23</v>
      </c>
      <c r="B1691" t="inlineStr">
        <is>
          <t>K4-2C</t>
        </is>
      </c>
      <c r="F1691" t="n">
        <v>2088.237</v>
      </c>
      <c r="H1691">
        <f>E1691/F1691</f>
        <v/>
      </c>
      <c r="I1691">
        <f>((H1691-$J$1668)/$I$1668)</f>
        <v/>
      </c>
      <c r="J1691">
        <f>(I1691-IF(I1676&gt;0,I1676,0))</f>
        <v/>
      </c>
      <c r="K1691">
        <f>J1691/R1676*1.1</f>
        <v/>
      </c>
      <c r="L1691" s="23" t="n"/>
      <c r="M1691" s="23" t="n"/>
      <c r="N1691" s="9" t="n"/>
      <c r="Q1691" t="inlineStr">
        <is>
          <t>K3-3C</t>
        </is>
      </c>
      <c r="R1691" t="n">
        <v>1.0493</v>
      </c>
    </row>
    <row r="1692">
      <c r="A1692" t="n">
        <v>24</v>
      </c>
      <c r="B1692" t="inlineStr">
        <is>
          <t>MeOH</t>
        </is>
      </c>
      <c r="L1692" s="23" t="inlineStr">
        <is>
          <t>Average</t>
        </is>
      </c>
      <c r="M1692" s="23" t="inlineStr">
        <is>
          <t>Stdev</t>
        </is>
      </c>
      <c r="N1692" s="9" t="inlineStr">
        <is>
          <t>Combined</t>
        </is>
      </c>
      <c r="Q1692" t="inlineStr">
        <is>
          <t>K3-4A</t>
        </is>
      </c>
      <c r="R1692" t="n">
        <v>1.0704</v>
      </c>
    </row>
    <row r="1693">
      <c r="A1693" t="n">
        <v>25</v>
      </c>
      <c r="B1693" t="inlineStr">
        <is>
          <t>K4-4A</t>
        </is>
      </c>
      <c r="F1693" t="n">
        <v>3222.134</v>
      </c>
      <c r="H1693">
        <f>E1693/F1693</f>
        <v/>
      </c>
      <c r="I1693">
        <f>((H1693-$J$1668)/$I$1668)</f>
        <v/>
      </c>
      <c r="J1693">
        <f>(I1693-IF(I1676&gt;0,I1676,0))</f>
        <v/>
      </c>
      <c r="K1693">
        <f>J1693/R1677*1.1</f>
        <v/>
      </c>
      <c r="L1693">
        <f>AVERAGE(K1693:K1695)</f>
        <v/>
      </c>
      <c r="M1693">
        <f>STDEV(K1694:K1695)</f>
        <v/>
      </c>
      <c r="N1693">
        <f>_xlfn.CONCAT(ROUND(L1693,1)," ± ",ROUND(M1693,1))</f>
        <v/>
      </c>
      <c r="Q1693" t="inlineStr">
        <is>
          <t>K3-4B</t>
        </is>
      </c>
      <c r="R1693" t="n">
        <v>1.1589</v>
      </c>
    </row>
    <row r="1694">
      <c r="A1694" t="n">
        <v>26</v>
      </c>
      <c r="B1694" t="inlineStr">
        <is>
          <t>K4-4B</t>
        </is>
      </c>
      <c r="D1694" t="n">
        <v>13.86</v>
      </c>
      <c r="E1694" t="n">
        <v>0.696</v>
      </c>
      <c r="F1694" t="n">
        <v>2984.256</v>
      </c>
      <c r="G1694" t="n">
        <v>7</v>
      </c>
      <c r="H1694">
        <f>E1694/F1694</f>
        <v/>
      </c>
      <c r="I1694">
        <f>((H1694-$J$1668)/$I$1668)</f>
        <v/>
      </c>
      <c r="J1694">
        <f>(I1694-IF(I1676&gt;0,I1676,0))</f>
        <v/>
      </c>
      <c r="K1694">
        <f>J1694/R1678*1.1</f>
        <v/>
      </c>
      <c r="Q1694" t="inlineStr">
        <is>
          <t>K3-4C</t>
        </is>
      </c>
      <c r="R1694" t="n">
        <v>1.0206</v>
      </c>
    </row>
    <row r="1695">
      <c r="A1695" t="n">
        <v>27</v>
      </c>
      <c r="B1695" t="inlineStr">
        <is>
          <t>K4-4C</t>
        </is>
      </c>
      <c r="F1695" t="n">
        <v>3124.142</v>
      </c>
      <c r="H1695">
        <f>E1695/F1695</f>
        <v/>
      </c>
      <c r="I1695">
        <f>((H1695-$J$1668)/$I$1668)</f>
        <v/>
      </c>
      <c r="J1695">
        <f>(I1695-IF(I1676&gt;0,I1676,0))</f>
        <v/>
      </c>
      <c r="K1695">
        <f>J1695/R1679*1.1</f>
        <v/>
      </c>
      <c r="L1695" s="23" t="inlineStr">
        <is>
          <t>Average</t>
        </is>
      </c>
      <c r="M1695" s="23" t="inlineStr">
        <is>
          <t>Stdev</t>
        </is>
      </c>
      <c r="N1695" s="9" t="inlineStr">
        <is>
          <t>Combined</t>
        </is>
      </c>
      <c r="Q1695" t="inlineStr">
        <is>
          <t>K3-6A</t>
        </is>
      </c>
      <c r="R1695" t="n">
        <v>1.1289</v>
      </c>
    </row>
    <row r="1696">
      <c r="A1696" t="n">
        <v>28</v>
      </c>
      <c r="B1696" t="inlineStr">
        <is>
          <t>K4-5A</t>
        </is>
      </c>
      <c r="F1696" t="n">
        <v>2396.031</v>
      </c>
      <c r="H1696">
        <f>E1696/F1696</f>
        <v/>
      </c>
      <c r="I1696">
        <f>((H1696-$J$1668)/$I$1668)</f>
        <v/>
      </c>
      <c r="J1696">
        <f>(I1696-IF(I1676&gt;0,I1676,0))</f>
        <v/>
      </c>
      <c r="K1696">
        <f>J1696/R1680*1.1</f>
        <v/>
      </c>
      <c r="L1696">
        <f>AVERAGE(K1696:K1698)</f>
        <v/>
      </c>
      <c r="M1696">
        <f>STDEV(K1696:K1698)</f>
        <v/>
      </c>
      <c r="N1696">
        <f>_xlfn.CONCAT(ROUND(L1696,1)," ± ",ROUND(M1696,1))</f>
        <v/>
      </c>
      <c r="Q1696" t="inlineStr">
        <is>
          <t>K3-6B</t>
        </is>
      </c>
      <c r="R1696" t="n">
        <v>1.195</v>
      </c>
    </row>
    <row r="1697">
      <c r="A1697" t="n">
        <v>29</v>
      </c>
      <c r="B1697" t="inlineStr">
        <is>
          <t>K4-5B</t>
        </is>
      </c>
      <c r="F1697" t="n">
        <v>2338.589</v>
      </c>
      <c r="H1697">
        <f>E1697/F1697</f>
        <v/>
      </c>
      <c r="I1697">
        <f>((H1697-$J$1668)/$I$1668)</f>
        <v/>
      </c>
      <c r="J1697">
        <f>(I1697-IF(I1676&gt;0,I1676,0))</f>
        <v/>
      </c>
      <c r="K1697">
        <f>J1697/R1681*1.1</f>
        <v/>
      </c>
      <c r="Q1697" t="inlineStr">
        <is>
          <t>K3-6C</t>
        </is>
      </c>
      <c r="R1697" t="n">
        <v>1.1716</v>
      </c>
    </row>
    <row r="1698">
      <c r="A1698" t="n">
        <v>30</v>
      </c>
      <c r="B1698" t="inlineStr">
        <is>
          <t>K4-5C</t>
        </is>
      </c>
      <c r="F1698" t="n">
        <v>2243.741</v>
      </c>
      <c r="H1698">
        <f>E1698/F1698</f>
        <v/>
      </c>
      <c r="I1698">
        <f>((H1698-$J$1668)/$I$1668)</f>
        <v/>
      </c>
      <c r="J1698">
        <f>(I1698-IF(I1676&gt;0,I1676,0))</f>
        <v/>
      </c>
      <c r="K1698">
        <f>J1698/R1682*1.1</f>
        <v/>
      </c>
      <c r="L1698" s="23" t="n"/>
      <c r="M1698" s="23" t="n"/>
      <c r="N1698" s="9" t="n"/>
    </row>
    <row r="1699">
      <c r="A1699" t="n">
        <v>31</v>
      </c>
      <c r="B1699" t="inlineStr">
        <is>
          <t>MeOH</t>
        </is>
      </c>
      <c r="L1699" s="23" t="inlineStr">
        <is>
          <t>Average</t>
        </is>
      </c>
      <c r="M1699" s="23" t="inlineStr">
        <is>
          <t>Stdev</t>
        </is>
      </c>
      <c r="N1699" s="9" t="inlineStr">
        <is>
          <t>Combined</t>
        </is>
      </c>
    </row>
    <row r="1700">
      <c r="A1700" t="n">
        <v>32</v>
      </c>
      <c r="B1700" t="inlineStr">
        <is>
          <t>K3-1A</t>
        </is>
      </c>
      <c r="D1700" t="n">
        <v>14.67</v>
      </c>
      <c r="E1700" t="n">
        <v>14.815</v>
      </c>
      <c r="F1700" t="n">
        <v>3346.899</v>
      </c>
      <c r="G1700" t="n">
        <v>134</v>
      </c>
      <c r="H1700">
        <f>E1700/F1700</f>
        <v/>
      </c>
      <c r="I1700">
        <f>((H1700-$J$1668)/$I$1668)</f>
        <v/>
      </c>
      <c r="J1700">
        <f>(I1700-IF(I1676&gt;0,I1676,0))</f>
        <v/>
      </c>
      <c r="K1700">
        <f>J1700/R1683*1.1</f>
        <v/>
      </c>
      <c r="L1700">
        <f>AVERAGE(K1700:K1702)</f>
        <v/>
      </c>
      <c r="M1700">
        <f>STDEV(K1701:K1702)</f>
        <v/>
      </c>
      <c r="N1700">
        <f>_xlfn.CONCAT(ROUND(L1700,1)," ± ",ROUND(M1700,1))</f>
        <v/>
      </c>
    </row>
    <row r="1701">
      <c r="A1701" t="n">
        <v>33</v>
      </c>
      <c r="B1701" t="inlineStr">
        <is>
          <t>K3-1B</t>
        </is>
      </c>
      <c r="F1701" t="n">
        <v>2776.687</v>
      </c>
      <c r="H1701">
        <f>E1701/F1701</f>
        <v/>
      </c>
      <c r="I1701">
        <f>((H1701-$J$1668)/$I$1668)</f>
        <v/>
      </c>
      <c r="J1701">
        <f>(I1701-IF(I1676&gt;0,I1676,0))</f>
        <v/>
      </c>
      <c r="K1701">
        <f>J1701/R1684*1.1</f>
        <v/>
      </c>
    </row>
    <row r="1702">
      <c r="A1702" t="n">
        <v>34</v>
      </c>
      <c r="B1702" t="inlineStr">
        <is>
          <t>K3-1C</t>
        </is>
      </c>
      <c r="D1702" t="n">
        <v>15.07</v>
      </c>
      <c r="E1702" t="n">
        <v>1.122</v>
      </c>
      <c r="F1702" t="n">
        <v>4456.358</v>
      </c>
      <c r="G1702" t="n">
        <v>11</v>
      </c>
      <c r="H1702">
        <f>E1702/F1702</f>
        <v/>
      </c>
      <c r="I1702">
        <f>((H1702-$J$1668)/$I$1668)</f>
        <v/>
      </c>
      <c r="J1702">
        <f>(I1702-IF(I1676&gt;0,I1676,0))</f>
        <v/>
      </c>
      <c r="K1702">
        <f>J1702/R1685*1.1</f>
        <v/>
      </c>
      <c r="L1702" s="23" t="inlineStr">
        <is>
          <t>Average</t>
        </is>
      </c>
      <c r="M1702" s="23" t="inlineStr">
        <is>
          <t>Stdev</t>
        </is>
      </c>
      <c r="N1702" s="9" t="inlineStr">
        <is>
          <t>Combined</t>
        </is>
      </c>
    </row>
    <row r="1703">
      <c r="A1703" t="n">
        <v>35</v>
      </c>
      <c r="B1703" t="inlineStr">
        <is>
          <t>K3-2A</t>
        </is>
      </c>
      <c r="F1703" t="n">
        <v>4389.123</v>
      </c>
      <c r="H1703">
        <f>E1703/F1703</f>
        <v/>
      </c>
      <c r="I1703">
        <f>((H1703-$J$1668)/$I$1668)</f>
        <v/>
      </c>
      <c r="J1703">
        <f>(I1703-IF(I1676&gt;0,I1676,0))</f>
        <v/>
      </c>
      <c r="K1703">
        <f>J1703/R1686*1.1</f>
        <v/>
      </c>
      <c r="L1703">
        <f>AVERAGE(K1703:K1705)</f>
        <v/>
      </c>
      <c r="M1703">
        <f>STDEV(K1703:K1705)</f>
        <v/>
      </c>
      <c r="N1703">
        <f>_xlfn.CONCAT(ROUND(L1703,1)," ± ",ROUND(M1703,1))</f>
        <v/>
      </c>
    </row>
    <row r="1704">
      <c r="A1704" t="n">
        <v>36</v>
      </c>
      <c r="B1704" t="inlineStr">
        <is>
          <t>K3-2B</t>
        </is>
      </c>
      <c r="F1704" t="n">
        <v>4280.789</v>
      </c>
      <c r="H1704">
        <f>E1704/F1704</f>
        <v/>
      </c>
      <c r="I1704">
        <f>((H1704-$J$1668)/$I$1668)</f>
        <v/>
      </c>
      <c r="J1704">
        <f>(I1704-IF(I1676&gt;0,I1676,0))</f>
        <v/>
      </c>
      <c r="K1704">
        <f>J1704/R1687*1.1</f>
        <v/>
      </c>
    </row>
    <row r="1705">
      <c r="A1705" t="n">
        <v>37</v>
      </c>
      <c r="B1705" t="inlineStr">
        <is>
          <t>K3-2C</t>
        </is>
      </c>
      <c r="D1705" t="n">
        <v>14.34</v>
      </c>
      <c r="E1705" t="n">
        <v>31.027</v>
      </c>
      <c r="F1705" t="n">
        <v>2980.863</v>
      </c>
      <c r="G1705" t="n">
        <v>277</v>
      </c>
      <c r="H1705">
        <f>E1705/F1705</f>
        <v/>
      </c>
      <c r="I1705">
        <f>((H1705-$J$1668)/$I$1668)</f>
        <v/>
      </c>
      <c r="J1705">
        <f>(I1705-IF(I1676&gt;0,I1676,0))</f>
        <v/>
      </c>
      <c r="K1705">
        <f>J1705/R1688*1.1</f>
        <v/>
      </c>
      <c r="L1705" s="23" t="n"/>
      <c r="M1705" s="23" t="n"/>
      <c r="N1705" s="9" t="n"/>
    </row>
    <row r="1706">
      <c r="A1706" t="n">
        <v>38</v>
      </c>
      <c r="B1706" t="inlineStr">
        <is>
          <t>MeOH</t>
        </is>
      </c>
      <c r="L1706" s="23" t="inlineStr">
        <is>
          <t>Average</t>
        </is>
      </c>
      <c r="M1706" s="23" t="inlineStr">
        <is>
          <t>Stdev</t>
        </is>
      </c>
      <c r="N1706" s="9" t="inlineStr">
        <is>
          <t>Combined</t>
        </is>
      </c>
    </row>
    <row r="1707">
      <c r="A1707" t="n">
        <v>39</v>
      </c>
      <c r="B1707" t="inlineStr">
        <is>
          <t>K3-3A</t>
        </is>
      </c>
      <c r="F1707" t="n">
        <v>2857.398</v>
      </c>
      <c r="H1707">
        <f>E1707/F1707</f>
        <v/>
      </c>
      <c r="I1707">
        <f>((H1707-$J$1668)/$I$1668)</f>
        <v/>
      </c>
      <c r="J1707">
        <f>(I1707-IF(I1676&gt;0,I1676,0))</f>
        <v/>
      </c>
      <c r="K1707">
        <f>J1707/R1689*1.1</f>
        <v/>
      </c>
      <c r="L1707">
        <f>AVERAGE(K1707:K1709)</f>
        <v/>
      </c>
      <c r="M1707">
        <f>STDEV(K1708:K1709)</f>
        <v/>
      </c>
      <c r="N1707">
        <f>_xlfn.CONCAT(ROUND(L1707,1)," ± ",ROUND(M1707,1))</f>
        <v/>
      </c>
    </row>
    <row r="1708">
      <c r="A1708" t="n">
        <v>40</v>
      </c>
      <c r="B1708" t="inlineStr">
        <is>
          <t>K3-3B</t>
        </is>
      </c>
      <c r="F1708" t="n">
        <v>2854.998</v>
      </c>
      <c r="H1708">
        <f>E1708/F1708</f>
        <v/>
      </c>
      <c r="I1708">
        <f>((H1708-$J$1668)/$I$1668)</f>
        <v/>
      </c>
      <c r="J1708">
        <f>(I1708-IF(I1676&gt;0,I1676,0))</f>
        <v/>
      </c>
      <c r="K1708">
        <f>J1708/R1690*1.1</f>
        <v/>
      </c>
    </row>
    <row r="1709">
      <c r="A1709" t="n">
        <v>41</v>
      </c>
      <c r="B1709" t="inlineStr">
        <is>
          <t>K3-3C</t>
        </is>
      </c>
      <c r="D1709" t="n">
        <v>14.44</v>
      </c>
      <c r="E1709" t="n">
        <v>10.629</v>
      </c>
      <c r="F1709" t="n">
        <v>3426.938</v>
      </c>
      <c r="G1709" t="n">
        <v>98</v>
      </c>
      <c r="H1709">
        <f>E1709/F1709</f>
        <v/>
      </c>
      <c r="I1709">
        <f>((H1709-$J$1668)/$I$1668)</f>
        <v/>
      </c>
      <c r="J1709">
        <f>(I1709-IF(I1676&gt;0,I1676,0))</f>
        <v/>
      </c>
      <c r="K1709">
        <f>J1709/R1691*1.1</f>
        <v/>
      </c>
      <c r="L1709" s="23" t="inlineStr">
        <is>
          <t>Average</t>
        </is>
      </c>
      <c r="M1709" s="23" t="inlineStr">
        <is>
          <t>Stdev</t>
        </is>
      </c>
      <c r="N1709" s="9" t="inlineStr">
        <is>
          <t>Combined</t>
        </is>
      </c>
    </row>
    <row r="1710">
      <c r="A1710" t="n">
        <v>42</v>
      </c>
      <c r="B1710" t="inlineStr">
        <is>
          <t>K3-4A</t>
        </is>
      </c>
      <c r="F1710" t="n">
        <v>4359.233</v>
      </c>
      <c r="H1710">
        <f>E1710/F1710</f>
        <v/>
      </c>
      <c r="I1710">
        <f>((H1710-$J$1668)/$I$1668)</f>
        <v/>
      </c>
      <c r="J1710">
        <f>(I1710-IF(I1676&gt;0,I1676,0))</f>
        <v/>
      </c>
      <c r="K1710">
        <f>J1710/R1692*1.1</f>
        <v/>
      </c>
      <c r="L1710">
        <f>AVERAGE(K1710:K1712)</f>
        <v/>
      </c>
      <c r="M1710">
        <f>STDEV(K1710:K1712)</f>
        <v/>
      </c>
      <c r="N1710">
        <f>_xlfn.CONCAT(ROUND(L1710,1)," ± ",ROUND(M1710,1))</f>
        <v/>
      </c>
    </row>
    <row r="1711">
      <c r="A1711" t="n">
        <v>43</v>
      </c>
      <c r="B1711" t="inlineStr">
        <is>
          <t>K3-4B</t>
        </is>
      </c>
      <c r="F1711" t="n">
        <v>3811.07</v>
      </c>
      <c r="H1711">
        <f>E1711/F1711</f>
        <v/>
      </c>
      <c r="I1711">
        <f>((H1711-$J$1668)/$I$1668)</f>
        <v/>
      </c>
      <c r="J1711">
        <f>(I1711-IF(I1676&gt;0,I1676,0))</f>
        <v/>
      </c>
      <c r="K1711">
        <f>J1711/R1693*1.1</f>
        <v/>
      </c>
    </row>
    <row r="1712">
      <c r="A1712" t="n">
        <v>44</v>
      </c>
      <c r="B1712" t="inlineStr">
        <is>
          <t>K3-4C</t>
        </is>
      </c>
      <c r="D1712" t="n">
        <v>14.81</v>
      </c>
      <c r="E1712" t="n">
        <v>0.315</v>
      </c>
      <c r="F1712" t="n">
        <v>2743.947</v>
      </c>
      <c r="G1712" t="n">
        <v>3</v>
      </c>
      <c r="H1712">
        <f>E1712/F1712</f>
        <v/>
      </c>
      <c r="I1712">
        <f>((H1712-$J$1668)/$I$1668)</f>
        <v/>
      </c>
      <c r="J1712">
        <f>(I1712-IF(I1676&gt;0,I1676,0))</f>
        <v/>
      </c>
      <c r="K1712">
        <f>J1712/R1694*1.1</f>
        <v/>
      </c>
      <c r="L1712" s="23" t="n"/>
      <c r="M1712" s="23" t="n"/>
      <c r="N1712" s="9" t="n"/>
    </row>
    <row r="1713">
      <c r="A1713" t="n">
        <v>45</v>
      </c>
      <c r="B1713" t="inlineStr">
        <is>
          <t>MeOH</t>
        </is>
      </c>
      <c r="L1713" s="23" t="inlineStr">
        <is>
          <t>Average</t>
        </is>
      </c>
      <c r="M1713" s="23" t="inlineStr">
        <is>
          <t>Stdev</t>
        </is>
      </c>
      <c r="N1713" s="9" t="inlineStr">
        <is>
          <t>Combined</t>
        </is>
      </c>
    </row>
    <row r="1714">
      <c r="A1714" t="n">
        <v>46</v>
      </c>
      <c r="B1714" t="inlineStr">
        <is>
          <t>K3-6A</t>
        </is>
      </c>
      <c r="F1714" t="n">
        <v>3570.69</v>
      </c>
      <c r="H1714">
        <f>E1714/F1714</f>
        <v/>
      </c>
      <c r="I1714">
        <f>((H1714-$J$1668)/$I$1668)</f>
        <v/>
      </c>
      <c r="J1714">
        <f>(I1714-IF(I1676&gt;0,I1676,0))</f>
        <v/>
      </c>
      <c r="K1714">
        <f>J1714/R1695*1.1</f>
        <v/>
      </c>
      <c r="L1714">
        <f>AVERAGE(K1714:K1716)</f>
        <v/>
      </c>
      <c r="M1714">
        <f>STDEV(K1715:K1716)</f>
        <v/>
      </c>
      <c r="N1714">
        <f>_xlfn.CONCAT(ROUND(L1714,1)," ± ",ROUND(M1714,1))</f>
        <v/>
      </c>
    </row>
    <row r="1715">
      <c r="A1715" t="n">
        <v>47</v>
      </c>
      <c r="B1715" t="inlineStr">
        <is>
          <t>K3-6B</t>
        </is>
      </c>
      <c r="F1715" t="n">
        <v>2023.379</v>
      </c>
      <c r="H1715">
        <f>E1715/F1715</f>
        <v/>
      </c>
      <c r="I1715">
        <f>((H1715-$J$1668)/$I$1668)</f>
        <v/>
      </c>
      <c r="J1715">
        <f>(I1715-IF(I1676&gt;0,I1676,0))</f>
        <v/>
      </c>
      <c r="K1715">
        <f>J1715/R1696*1.1</f>
        <v/>
      </c>
    </row>
    <row r="1716">
      <c r="A1716" t="n">
        <v>48</v>
      </c>
      <c r="B1716" t="inlineStr">
        <is>
          <t>K3-6C</t>
        </is>
      </c>
      <c r="F1716" t="n">
        <v>2531.472</v>
      </c>
      <c r="H1716">
        <f>E1716/F1716</f>
        <v/>
      </c>
      <c r="I1716">
        <f>((H1716-$J$1668)/$I$1668)</f>
        <v/>
      </c>
      <c r="J1716">
        <f>(I1716-IF(I1676&gt;0,I1676,0))</f>
        <v/>
      </c>
      <c r="K1716">
        <f>J1716/R1697*1.1</f>
        <v/>
      </c>
      <c r="L1716" s="23" t="n"/>
      <c r="M1716" s="23" t="n"/>
      <c r="N1716" s="9" t="n"/>
    </row>
    <row r="1718">
      <c r="A1718" s="15" t="inlineStr">
        <is>
          <t>Compound 80:  PFDA 1</t>
        </is>
      </c>
      <c r="B1718" s="15" t="n"/>
    </row>
    <row r="1719">
      <c r="I1719" t="inlineStr">
        <is>
          <t>LINEST</t>
        </is>
      </c>
      <c r="Q1719" t="inlineStr">
        <is>
          <t>Biosolids Masses</t>
        </is>
      </c>
      <c r="R1719" t="inlineStr">
        <is>
          <t>(g)</t>
        </is>
      </c>
    </row>
    <row r="1720">
      <c r="B1720" t="inlineStr">
        <is>
          <t>Sample Text</t>
        </is>
      </c>
      <c r="C1720" t="inlineStr">
        <is>
          <t>Std. Conc</t>
        </is>
      </c>
      <c r="D1720" t="inlineStr">
        <is>
          <t>RT</t>
        </is>
      </c>
      <c r="E1720" t="inlineStr">
        <is>
          <t>Area</t>
        </is>
      </c>
      <c r="F1720" t="inlineStr">
        <is>
          <t>IS Area</t>
        </is>
      </c>
      <c r="G1720" t="inlineStr">
        <is>
          <t>S/N</t>
        </is>
      </c>
      <c r="H1720" t="inlineStr">
        <is>
          <t>ratio</t>
        </is>
      </c>
      <c r="I1720">
        <f t="array" ref="I1720:J1724">LINEST(H1724:H1728,C1724:C1728,1,1)</f>
        <v/>
      </c>
      <c r="J1720" t="n">
        <v>-40.9228762538925</v>
      </c>
      <c r="L1720" s="20" t="inlineStr">
        <is>
          <t>By S/N Ratio</t>
        </is>
      </c>
      <c r="Q1720" t="inlineStr">
        <is>
          <t>SS1</t>
        </is>
      </c>
      <c r="R1720" t="n">
        <v>1.0846</v>
      </c>
    </row>
    <row r="1721">
      <c r="A1721" t="n">
        <v>1</v>
      </c>
      <c r="B1721" t="inlineStr">
        <is>
          <t>EPA1633 &amp; diPAPs Calibration 0 ppb</t>
        </is>
      </c>
      <c r="C1721" t="n">
        <v>0</v>
      </c>
      <c r="D1721" t="n">
        <v>14</v>
      </c>
      <c r="E1721" t="n">
        <v>212.436</v>
      </c>
      <c r="F1721" s="29" t="n">
        <v>300.866</v>
      </c>
      <c r="G1721" t="n">
        <v>3.663</v>
      </c>
      <c r="H1721">
        <f>E1721/F1721</f>
        <v/>
      </c>
      <c r="I1721" t="n">
        <v>4.002475197754483</v>
      </c>
      <c r="J1721" t="n">
        <v>41.05845107642983</v>
      </c>
      <c r="K1721" t="inlineStr">
        <is>
          <t>LOD</t>
        </is>
      </c>
      <c r="L1721" s="21">
        <f>IF(G1724&gt;3,C1724,IF(G1725&gt;3,C1725,IF(G1726&gt;3,C1726,IF(G1727&gt;3,C1727,C1728))))</f>
        <v/>
      </c>
      <c r="Q1721" t="inlineStr">
        <is>
          <t>SS2</t>
        </is>
      </c>
      <c r="R1721" t="n">
        <v>1.0726</v>
      </c>
    </row>
    <row r="1722">
      <c r="A1722" t="n">
        <v>2</v>
      </c>
      <c r="B1722" t="inlineStr">
        <is>
          <t>EPA1633 &amp; diPAPs Calibration 0.02 ppb</t>
        </is>
      </c>
      <c r="C1722" s="19" t="n">
        <v>0.02</v>
      </c>
      <c r="D1722" t="n">
        <v>14.08</v>
      </c>
      <c r="E1722" t="n">
        <v>260.861</v>
      </c>
      <c r="F1722" s="29" t="n">
        <v>321.662</v>
      </c>
      <c r="G1722" t="n">
        <v>14.211</v>
      </c>
      <c r="H1722">
        <f>E1722/F1722</f>
        <v/>
      </c>
      <c r="I1722" t="n">
        <v>0.8352004173160151</v>
      </c>
      <c r="J1722" t="n">
        <v>64.68277312894088</v>
      </c>
      <c r="K1722" t="inlineStr">
        <is>
          <t>LOQ</t>
        </is>
      </c>
      <c r="L1722" s="22">
        <f>IF(G1724&gt;10,C1724,IF(G1725&gt;10,C1725,IF(G1726&gt;10,C1726,IF(G1727&gt;10,C1727,C1728))))</f>
        <v/>
      </c>
      <c r="Q1722" t="inlineStr">
        <is>
          <t>SS3</t>
        </is>
      </c>
      <c r="R1722" t="n">
        <v>1.1534</v>
      </c>
    </row>
    <row r="1723">
      <c r="A1723" t="n">
        <v>3</v>
      </c>
      <c r="B1723" t="inlineStr">
        <is>
          <t>EPA1633 &amp; diPAPs Calibration 0.1 ppb</t>
        </is>
      </c>
      <c r="C1723" s="19" t="n">
        <v>0.1</v>
      </c>
      <c r="D1723" t="n">
        <v>13.99</v>
      </c>
      <c r="E1723" t="n">
        <v>432.717</v>
      </c>
      <c r="F1723" s="29" t="n">
        <v>271.981</v>
      </c>
      <c r="G1723" t="n">
        <v>5.538</v>
      </c>
      <c r="H1723">
        <f>E1723/F1723</f>
        <v/>
      </c>
      <c r="I1723" t="n">
        <v>15.20392959218056</v>
      </c>
      <c r="J1723" t="n">
        <v>3</v>
      </c>
      <c r="Q1723" t="inlineStr">
        <is>
          <t>K4-1A</t>
        </is>
      </c>
      <c r="R1723" t="n">
        <v>1.0267</v>
      </c>
    </row>
    <row r="1724">
      <c r="A1724" t="n">
        <v>4</v>
      </c>
      <c r="B1724" t="inlineStr">
        <is>
          <t>EPA1633 &amp; diPAPs Calibration 0.4 ppb</t>
        </is>
      </c>
      <c r="C1724" s="19" t="n">
        <v>0.4</v>
      </c>
      <c r="D1724" t="n">
        <v>14</v>
      </c>
      <c r="E1724" t="n">
        <v>614.861</v>
      </c>
      <c r="F1724" s="29" t="n">
        <v>575.192</v>
      </c>
      <c r="G1724" t="n">
        <v>20.256</v>
      </c>
      <c r="H1724">
        <f>E1724/F1724</f>
        <v/>
      </c>
      <c r="I1724" t="n">
        <v>63611.13019069948</v>
      </c>
      <c r="J1724" t="n">
        <v>12551.58341895011</v>
      </c>
      <c r="Q1724" t="inlineStr">
        <is>
          <t>K4-1B</t>
        </is>
      </c>
      <c r="R1724" t="n">
        <v>1.1481</v>
      </c>
    </row>
    <row r="1725">
      <c r="A1725" t="n">
        <v>5</v>
      </c>
      <c r="B1725" t="inlineStr">
        <is>
          <t>EPA1633 &amp; diPAPs Calibration 1 ppb</t>
        </is>
      </c>
      <c r="C1725" s="19" t="n">
        <v>1</v>
      </c>
      <c r="D1725" t="n">
        <v>13.99</v>
      </c>
      <c r="E1725" t="n">
        <v>827.0309999999999</v>
      </c>
      <c r="F1725" s="29" t="n">
        <v>121.731</v>
      </c>
      <c r="G1725" t="n">
        <v>39.81</v>
      </c>
      <c r="H1725">
        <f>E1725/F1725</f>
        <v/>
      </c>
      <c r="Q1725" t="inlineStr">
        <is>
          <t>K4-1C</t>
        </is>
      </c>
      <c r="R1725" t="n">
        <v>1.0402</v>
      </c>
    </row>
    <row r="1726">
      <c r="A1726" t="n">
        <v>6</v>
      </c>
      <c r="B1726" t="inlineStr">
        <is>
          <t>EPA1633 &amp; diPAPs Calibration 5 ppb</t>
        </is>
      </c>
      <c r="C1726" s="19" t="n">
        <v>5</v>
      </c>
      <c r="D1726" t="n">
        <v>13.92</v>
      </c>
      <c r="E1726" t="n">
        <v>3454.264</v>
      </c>
      <c r="F1726" s="29" t="n">
        <v>630.125</v>
      </c>
      <c r="G1726" t="n">
        <v>23.296</v>
      </c>
      <c r="H1726">
        <f>E1726/F1726</f>
        <v/>
      </c>
      <c r="Q1726" t="inlineStr">
        <is>
          <t>K4-2A</t>
        </is>
      </c>
      <c r="R1726" t="n">
        <v>1.127</v>
      </c>
    </row>
    <row r="1727">
      <c r="A1727" t="n">
        <v>7</v>
      </c>
      <c r="B1727" t="inlineStr">
        <is>
          <t>EPA1633 &amp; diPAPs Calibration 10 ppb</t>
        </is>
      </c>
      <c r="C1727" s="19" t="n">
        <v>10</v>
      </c>
      <c r="D1727" t="n">
        <v>13.93</v>
      </c>
      <c r="E1727" t="n">
        <v>5960.041</v>
      </c>
      <c r="F1727" s="29" t="n">
        <v>189.169</v>
      </c>
      <c r="G1727" t="n">
        <v>103.052</v>
      </c>
      <c r="H1727">
        <f>E1727/F1727</f>
        <v/>
      </c>
      <c r="I1727" s="23" t="inlineStr">
        <is>
          <t>Background</t>
        </is>
      </c>
      <c r="J1727" s="23" t="inlineStr">
        <is>
          <t>Spike</t>
        </is>
      </c>
      <c r="K1727" s="9" t="inlineStr">
        <is>
          <t>Old Spike</t>
        </is>
      </c>
      <c r="O1727" s="24" t="inlineStr">
        <is>
          <t>±</t>
        </is>
      </c>
      <c r="Q1727" t="inlineStr">
        <is>
          <t>K4-2B</t>
        </is>
      </c>
      <c r="R1727" t="n">
        <v>1.1154</v>
      </c>
    </row>
    <row r="1728">
      <c r="A1728" t="n">
        <v>8</v>
      </c>
      <c r="B1728" t="inlineStr">
        <is>
          <t>EPA1633 &amp; diPAPs Calibration 20 ppb</t>
        </is>
      </c>
      <c r="C1728" s="19" t="n">
        <v>20</v>
      </c>
      <c r="D1728" t="n">
        <v>13.96</v>
      </c>
      <c r="E1728" t="n">
        <v>11033.229</v>
      </c>
      <c r="F1728" s="29" t="n">
        <v>34.629</v>
      </c>
      <c r="G1728" t="n">
        <v>47.206</v>
      </c>
      <c r="H1728">
        <f>E1728/F1728</f>
        <v/>
      </c>
      <c r="I1728">
        <f>AVERAGE(I1731:I1733)</f>
        <v/>
      </c>
      <c r="J1728" t="n">
        <v>11</v>
      </c>
      <c r="Q1728" t="inlineStr">
        <is>
          <t>K4-2C</t>
        </is>
      </c>
      <c r="R1728" t="n">
        <v>1.1711</v>
      </c>
    </row>
    <row r="1729">
      <c r="A1729" t="n">
        <v>9</v>
      </c>
      <c r="B1729" t="inlineStr">
        <is>
          <t>MeOH</t>
        </is>
      </c>
      <c r="D1729" t="n">
        <v>14.05</v>
      </c>
      <c r="E1729" t="n">
        <v>153.122</v>
      </c>
      <c r="G1729" t="n">
        <v>1091</v>
      </c>
      <c r="I1729" s="23" t="inlineStr">
        <is>
          <t>Conc.In Vial (ppb)</t>
        </is>
      </c>
      <c r="J1729" s="9" t="inlineStr">
        <is>
          <t>Corr. Conc.(ppb)</t>
        </is>
      </c>
      <c r="K1729" s="9" t="inlineStr">
        <is>
          <t>Conc. In soil (ng/g)</t>
        </is>
      </c>
      <c r="Q1729" t="inlineStr">
        <is>
          <t>K4-4A</t>
        </is>
      </c>
      <c r="R1729" t="n">
        <v>1.0932</v>
      </c>
    </row>
    <row r="1730">
      <c r="A1730" t="n">
        <v>10</v>
      </c>
      <c r="B1730" t="inlineStr">
        <is>
          <t>MeOH</t>
        </is>
      </c>
      <c r="D1730" t="n">
        <v>14.02</v>
      </c>
      <c r="E1730" t="n">
        <v>181.383</v>
      </c>
      <c r="G1730" t="n">
        <v>127.4</v>
      </c>
      <c r="L1730" s="23" t="inlineStr">
        <is>
          <t>Average</t>
        </is>
      </c>
      <c r="M1730" s="23" t="inlineStr">
        <is>
          <t>Stdev</t>
        </is>
      </c>
      <c r="N1730" s="9" t="inlineStr">
        <is>
          <t>Combined</t>
        </is>
      </c>
      <c r="O1730" s="9" t="n"/>
      <c r="P1730" s="9" t="n"/>
      <c r="Q1730" t="inlineStr">
        <is>
          <t>K4-4B</t>
        </is>
      </c>
      <c r="R1730" t="n">
        <v>1.15</v>
      </c>
    </row>
    <row r="1731">
      <c r="A1731" t="n">
        <v>11</v>
      </c>
      <c r="B1731" t="inlineStr">
        <is>
          <t>SB1</t>
        </is>
      </c>
      <c r="D1731" t="n">
        <v>13.99</v>
      </c>
      <c r="E1731" t="n">
        <v>154.719</v>
      </c>
      <c r="F1731" t="n">
        <v>61.924</v>
      </c>
      <c r="G1731" t="n">
        <v>4.242</v>
      </c>
      <c r="H1731">
        <f>E1731/F1731</f>
        <v/>
      </c>
      <c r="I1731">
        <f>((H1731-$J$1720)/$I$1720)</f>
        <v/>
      </c>
      <c r="J1731">
        <f>(I1731-IF(I1728&gt;0,I1728,0))</f>
        <v/>
      </c>
      <c r="K1731">
        <f>J1731*1.1</f>
        <v/>
      </c>
      <c r="L1731">
        <f>AVERAGE(K1731:K1733)</f>
        <v/>
      </c>
      <c r="M1731">
        <f>STDEV(K1732:K1733)</f>
        <v/>
      </c>
      <c r="N1731">
        <f>_xlfn.CONCAT(ROUND(L1731,1)," ± ",ROUND(M1731,1))</f>
        <v/>
      </c>
      <c r="Q1731" t="inlineStr">
        <is>
          <t>K4-4C</t>
        </is>
      </c>
      <c r="R1731" t="n">
        <v>1.0482</v>
      </c>
    </row>
    <row r="1732">
      <c r="A1732" t="n">
        <v>12</v>
      </c>
      <c r="B1732" t="inlineStr">
        <is>
          <t>SB2</t>
        </is>
      </c>
      <c r="D1732" t="n">
        <v>14.25</v>
      </c>
      <c r="E1732" t="n">
        <v>104.889</v>
      </c>
      <c r="F1732" t="n">
        <v>37.859</v>
      </c>
      <c r="G1732" t="n">
        <v>6.407</v>
      </c>
      <c r="H1732">
        <f>E1732/F1732</f>
        <v/>
      </c>
      <c r="I1732">
        <f>((H1732-$J$1720)/$I$1720)</f>
        <v/>
      </c>
      <c r="J1732">
        <f>(I1732-IF(I1728&gt;0,I1728,0))</f>
        <v/>
      </c>
      <c r="K1732">
        <f>J1732*1.1</f>
        <v/>
      </c>
      <c r="Q1732" t="inlineStr">
        <is>
          <t>K4-5A</t>
        </is>
      </c>
      <c r="R1732" t="n">
        <v>1.1054</v>
      </c>
    </row>
    <row r="1733">
      <c r="A1733" t="n">
        <v>13</v>
      </c>
      <c r="B1733" t="inlineStr">
        <is>
          <t>SB3</t>
        </is>
      </c>
      <c r="D1733" t="n">
        <v>14.03</v>
      </c>
      <c r="E1733" t="n">
        <v>224.878</v>
      </c>
      <c r="F1733" t="n">
        <v>151.1</v>
      </c>
      <c r="G1733" t="n">
        <v>17.378</v>
      </c>
      <c r="H1733">
        <f>E1733/F1733</f>
        <v/>
      </c>
      <c r="I1733">
        <f>((H1733-$J$1720)/$I$1720)</f>
        <v/>
      </c>
      <c r="J1733">
        <f>(I1733-IF(I1728&gt;0,I1728,0))</f>
        <v/>
      </c>
      <c r="K1733" s="30">
        <f>J1733*1.1</f>
        <v/>
      </c>
      <c r="L1733" s="25" t="inlineStr">
        <is>
          <t>Average</t>
        </is>
      </c>
      <c r="M1733" s="25" t="inlineStr">
        <is>
          <t>Stdev</t>
        </is>
      </c>
      <c r="N1733" s="26" t="inlineStr">
        <is>
          <t>%Recovery</t>
        </is>
      </c>
      <c r="O1733" s="26" t="inlineStr">
        <is>
          <t>Uncertainty</t>
        </is>
      </c>
      <c r="P1733" s="26" t="inlineStr">
        <is>
          <t>Combined</t>
        </is>
      </c>
      <c r="Q1733" t="inlineStr">
        <is>
          <t>K4-5B</t>
        </is>
      </c>
      <c r="R1733" s="10" t="n">
        <v>1.0463</v>
      </c>
    </row>
    <row r="1734">
      <c r="A1734" t="n">
        <v>14</v>
      </c>
      <c r="B1734" t="inlineStr">
        <is>
          <t>SS1</t>
        </is>
      </c>
      <c r="D1734" t="n">
        <v>14.02</v>
      </c>
      <c r="E1734" t="n">
        <v>2284.392</v>
      </c>
      <c r="F1734" t="n">
        <v>120.184</v>
      </c>
      <c r="G1734" t="n">
        <v>87.626</v>
      </c>
      <c r="H1734">
        <f>E1734/F1734</f>
        <v/>
      </c>
      <c r="I1734">
        <f>((H1734-$J$1720)/$I$1720)</f>
        <v/>
      </c>
      <c r="J1734">
        <f>(I1734-IF(I1728&gt;0,I1728,0))</f>
        <v/>
      </c>
      <c r="K1734">
        <f>J1734/R1720*1.1</f>
        <v/>
      </c>
      <c r="L1734" s="27">
        <f>AVERAGE(K1734:K1736)</f>
        <v/>
      </c>
      <c r="M1734" s="27">
        <f>STDEV(K1734:K1736)</f>
        <v/>
      </c>
      <c r="N1734" s="28">
        <f>L1734/J1728*100</f>
        <v/>
      </c>
      <c r="O1734" s="29">
        <f>M1734/J1731*100</f>
        <v/>
      </c>
      <c r="P1734" s="29">
        <f>_xlfn.CONCAT(ROUND(N1734,1)," ± ",ROUND(O1734,1))</f>
        <v/>
      </c>
      <c r="Q1734" t="inlineStr">
        <is>
          <t>K4-5C</t>
        </is>
      </c>
      <c r="R1734" t="n">
        <v>1.1155</v>
      </c>
    </row>
    <row r="1735">
      <c r="A1735" t="n">
        <v>15</v>
      </c>
      <c r="B1735" t="inlineStr">
        <is>
          <t>SS2</t>
        </is>
      </c>
      <c r="D1735" t="n">
        <v>14.02</v>
      </c>
      <c r="E1735" t="n">
        <v>2148.452</v>
      </c>
      <c r="F1735" t="n">
        <v>140.114</v>
      </c>
      <c r="G1735" t="n">
        <v>56.566</v>
      </c>
      <c r="H1735">
        <f>E1735/F1735</f>
        <v/>
      </c>
      <c r="I1735">
        <f>((H1735-$J$1720)/$I$1720)</f>
        <v/>
      </c>
      <c r="J1735">
        <f>(I1735-IF(I1728&gt;0,I1728,0))</f>
        <v/>
      </c>
      <c r="K1735">
        <f>J1735/R1721*1.1</f>
        <v/>
      </c>
      <c r="Q1735" t="inlineStr">
        <is>
          <t>K3-1A</t>
        </is>
      </c>
      <c r="R1735" t="n">
        <v>1.0874</v>
      </c>
    </row>
    <row r="1736">
      <c r="A1736" t="n">
        <v>16</v>
      </c>
      <c r="B1736" t="inlineStr">
        <is>
          <t>SS3</t>
        </is>
      </c>
      <c r="D1736" t="n">
        <v>14.03</v>
      </c>
      <c r="E1736" t="n">
        <v>1883.769</v>
      </c>
      <c r="F1736" t="n">
        <v>104.483</v>
      </c>
      <c r="G1736" t="n">
        <v>131.751</v>
      </c>
      <c r="H1736">
        <f>E1736/F1736</f>
        <v/>
      </c>
      <c r="I1736">
        <f>((H1736-$J$1720)/$I$1720)</f>
        <v/>
      </c>
      <c r="J1736">
        <f>(I1736-IF(I1728&gt;0,I1728,0))</f>
        <v/>
      </c>
      <c r="K1736" s="30">
        <f>J1736/R1722*1.1</f>
        <v/>
      </c>
      <c r="Q1736" t="inlineStr">
        <is>
          <t>K3-1B</t>
        </is>
      </c>
      <c r="R1736" t="n">
        <v>1.0898</v>
      </c>
    </row>
    <row r="1737">
      <c r="A1737" t="n">
        <v>17</v>
      </c>
      <c r="B1737" t="inlineStr">
        <is>
          <t>MeOH</t>
        </is>
      </c>
      <c r="L1737" s="23" t="inlineStr">
        <is>
          <t>Average</t>
        </is>
      </c>
      <c r="M1737" s="23" t="inlineStr">
        <is>
          <t>Stdev</t>
        </is>
      </c>
      <c r="N1737" s="9" t="inlineStr">
        <is>
          <t>Combined</t>
        </is>
      </c>
      <c r="Q1737" t="inlineStr">
        <is>
          <t>K3-1C</t>
        </is>
      </c>
      <c r="R1737" t="n">
        <v>1.0536</v>
      </c>
    </row>
    <row r="1738">
      <c r="A1738" t="n">
        <v>18</v>
      </c>
      <c r="B1738" t="inlineStr">
        <is>
          <t>K4-1A</t>
        </is>
      </c>
      <c r="D1738" t="n">
        <v>14.05</v>
      </c>
      <c r="E1738" t="n">
        <v>258.784</v>
      </c>
      <c r="F1738" t="n">
        <v>293.287</v>
      </c>
      <c r="G1738" t="n">
        <v>1708</v>
      </c>
      <c r="H1738">
        <f>E1738/F1738</f>
        <v/>
      </c>
      <c r="I1738">
        <f>((H1738-$J$1720)/$I$1720)</f>
        <v/>
      </c>
      <c r="J1738">
        <f>(I1738-IF(I1728&gt;0,I1728,0))</f>
        <v/>
      </c>
      <c r="K1738">
        <f>J1738/R1723*1.1</f>
        <v/>
      </c>
      <c r="L1738">
        <f>AVERAGE(K1738:K1740)</f>
        <v/>
      </c>
      <c r="M1738">
        <f>STDEV(K1739:K1740)</f>
        <v/>
      </c>
      <c r="N1738">
        <f>_xlfn.CONCAT(ROUND(L1738,1)," ± ",ROUND(M1738,1))</f>
        <v/>
      </c>
      <c r="Q1738" t="inlineStr">
        <is>
          <t>K3-2A</t>
        </is>
      </c>
      <c r="R1738" s="10" t="n">
        <v>1.1218</v>
      </c>
    </row>
    <row r="1739">
      <c r="A1739" t="n">
        <v>19</v>
      </c>
      <c r="B1739" t="inlineStr">
        <is>
          <t>K4-1B</t>
        </is>
      </c>
      <c r="D1739" t="n">
        <v>14.09</v>
      </c>
      <c r="E1739" t="n">
        <v>226.117</v>
      </c>
      <c r="F1739" t="n">
        <v>121.913</v>
      </c>
      <c r="G1739" t="n">
        <v>1.881</v>
      </c>
      <c r="H1739">
        <f>E1739/F1739</f>
        <v/>
      </c>
      <c r="I1739">
        <f>((H1739-$J$1720)/$I$1720)</f>
        <v/>
      </c>
      <c r="J1739">
        <f>(I1739-IF(I1728&gt;0,I1728,0))</f>
        <v/>
      </c>
      <c r="K1739">
        <f>J1739/R1724*1.1</f>
        <v/>
      </c>
      <c r="Q1739" t="inlineStr">
        <is>
          <t>K3-2B</t>
        </is>
      </c>
      <c r="R1739" t="n">
        <v>1.198</v>
      </c>
    </row>
    <row r="1740">
      <c r="A1740" t="n">
        <v>20</v>
      </c>
      <c r="B1740" t="inlineStr">
        <is>
          <t>K4-1C</t>
        </is>
      </c>
      <c r="D1740" t="n">
        <v>14.03</v>
      </c>
      <c r="E1740" t="n">
        <v>261.481</v>
      </c>
      <c r="F1740" t="n">
        <v>278.029</v>
      </c>
      <c r="G1740" t="n">
        <v>101.657</v>
      </c>
      <c r="H1740">
        <f>E1740/F1740</f>
        <v/>
      </c>
      <c r="I1740">
        <f>((H1740-$J$1720)/$I$1720)</f>
        <v/>
      </c>
      <c r="J1740">
        <f>(I1740-IF(I1728&gt;0,I1728,0))</f>
        <v/>
      </c>
      <c r="K1740">
        <f>J1740/R1725*1.1</f>
        <v/>
      </c>
      <c r="L1740" s="23" t="inlineStr">
        <is>
          <t>Average</t>
        </is>
      </c>
      <c r="M1740" s="23" t="inlineStr">
        <is>
          <t>Stdev</t>
        </is>
      </c>
      <c r="N1740" s="9" t="inlineStr">
        <is>
          <t>Combined</t>
        </is>
      </c>
      <c r="Q1740" t="inlineStr">
        <is>
          <t>K3-2C</t>
        </is>
      </c>
      <c r="R1740" t="n">
        <v>1.1538</v>
      </c>
    </row>
    <row r="1741">
      <c r="A1741" t="n">
        <v>21</v>
      </c>
      <c r="B1741" t="inlineStr">
        <is>
          <t>K4-2A</t>
        </is>
      </c>
      <c r="D1741" t="n">
        <v>14.05</v>
      </c>
      <c r="E1741" t="n">
        <v>23.92</v>
      </c>
      <c r="F1741" t="n">
        <v>80.721</v>
      </c>
      <c r="G1741" t="n">
        <v>179</v>
      </c>
      <c r="H1741">
        <f>E1741/F1741</f>
        <v/>
      </c>
      <c r="I1741">
        <f>((H1741-$J$1720)/$I$1720)</f>
        <v/>
      </c>
      <c r="J1741">
        <f>(I1741-IF(I1728&gt;0,I1728,0))</f>
        <v/>
      </c>
      <c r="K1741">
        <f>J1741/R1726*1.1</f>
        <v/>
      </c>
      <c r="L1741">
        <f>AVERAGE(K1741:K1743)</f>
        <v/>
      </c>
      <c r="M1741">
        <f>STDEV(K1741:K1743)</f>
        <v/>
      </c>
      <c r="N1741">
        <f>_xlfn.CONCAT(ROUND(L1741,1)," ± ",ROUND(M1741,1))</f>
        <v/>
      </c>
      <c r="Q1741" t="inlineStr">
        <is>
          <t>K3-3A</t>
        </is>
      </c>
      <c r="R1741" t="n">
        <v>1.1183</v>
      </c>
    </row>
    <row r="1742">
      <c r="A1742" t="n">
        <v>22</v>
      </c>
      <c r="B1742" t="inlineStr">
        <is>
          <t>K4-2B</t>
        </is>
      </c>
      <c r="D1742" t="n">
        <v>14.14</v>
      </c>
      <c r="E1742" t="n">
        <v>51.103</v>
      </c>
      <c r="F1742" t="n">
        <v>1.117</v>
      </c>
      <c r="G1742" t="n">
        <v>349</v>
      </c>
      <c r="H1742">
        <f>E1742/F1742</f>
        <v/>
      </c>
      <c r="I1742">
        <f>((H1742-$J$1720)/$I$1720)</f>
        <v/>
      </c>
      <c r="J1742">
        <f>(I1742-IF(I1728&gt;0,I1728,0))</f>
        <v/>
      </c>
      <c r="K1742">
        <f>J1742/R1727*1.1</f>
        <v/>
      </c>
      <c r="Q1742" t="inlineStr">
        <is>
          <t>K3-3B</t>
        </is>
      </c>
      <c r="R1742" t="n">
        <v>1.1448</v>
      </c>
    </row>
    <row r="1743">
      <c r="A1743" t="n">
        <v>23</v>
      </c>
      <c r="B1743" t="inlineStr">
        <is>
          <t>K4-2C</t>
        </is>
      </c>
      <c r="D1743" t="n">
        <v>14.12</v>
      </c>
      <c r="E1743" t="n">
        <v>108.897</v>
      </c>
      <c r="F1743" t="n">
        <v>64.84699999999999</v>
      </c>
      <c r="G1743" t="n">
        <v>819</v>
      </c>
      <c r="H1743">
        <f>E1743/F1743</f>
        <v/>
      </c>
      <c r="I1743">
        <f>((H1743-$J$1720)/$I$1720)</f>
        <v/>
      </c>
      <c r="J1743">
        <f>(I1743-IF(I1728&gt;0,I1728,0))</f>
        <v/>
      </c>
      <c r="K1743">
        <f>J1743/R1728*1.1</f>
        <v/>
      </c>
      <c r="L1743" s="23" t="n"/>
      <c r="M1743" s="23" t="n"/>
      <c r="N1743" s="9" t="n"/>
      <c r="Q1743" t="inlineStr">
        <is>
          <t>K3-3C</t>
        </is>
      </c>
      <c r="R1743" t="n">
        <v>1.0493</v>
      </c>
    </row>
    <row r="1744">
      <c r="A1744" t="n">
        <v>24</v>
      </c>
      <c r="B1744" t="inlineStr">
        <is>
          <t>MeOH</t>
        </is>
      </c>
      <c r="L1744" s="23" t="inlineStr">
        <is>
          <t>Average</t>
        </is>
      </c>
      <c r="M1744" s="23" t="inlineStr">
        <is>
          <t>Stdev</t>
        </is>
      </c>
      <c r="N1744" s="9" t="inlineStr">
        <is>
          <t>Combined</t>
        </is>
      </c>
      <c r="Q1744" t="inlineStr">
        <is>
          <t>K3-4A</t>
        </is>
      </c>
      <c r="R1744" t="n">
        <v>1.0704</v>
      </c>
    </row>
    <row r="1745">
      <c r="A1745" t="n">
        <v>25</v>
      </c>
      <c r="B1745" t="inlineStr">
        <is>
          <t>K4-4A</t>
        </is>
      </c>
      <c r="D1745" t="n">
        <v>14.06</v>
      </c>
      <c r="E1745" t="n">
        <v>144.435</v>
      </c>
      <c r="F1745" t="n">
        <v>92.72199999999999</v>
      </c>
      <c r="G1745" t="n">
        <v>1153</v>
      </c>
      <c r="H1745">
        <f>E1745/F1745</f>
        <v/>
      </c>
      <c r="I1745">
        <f>((H1745-$J$1720)/$I$1720)</f>
        <v/>
      </c>
      <c r="J1745">
        <f>(I1745-IF(I1728&gt;0,I1728,0))</f>
        <v/>
      </c>
      <c r="K1745">
        <f>J1745/R1729*1.1</f>
        <v/>
      </c>
      <c r="L1745">
        <f>AVERAGE(K1745:K1747)</f>
        <v/>
      </c>
      <c r="M1745">
        <f>STDEV(K1746:K1747)</f>
        <v/>
      </c>
      <c r="N1745">
        <f>_xlfn.CONCAT(ROUND(L1745,1)," ± ",ROUND(M1745,1))</f>
        <v/>
      </c>
      <c r="Q1745" t="inlineStr">
        <is>
          <t>K3-4B</t>
        </is>
      </c>
      <c r="R1745" t="n">
        <v>1.1589</v>
      </c>
    </row>
    <row r="1746">
      <c r="A1746" t="n">
        <v>26</v>
      </c>
      <c r="B1746" t="inlineStr">
        <is>
          <t>K4-4B</t>
        </is>
      </c>
      <c r="D1746" t="n">
        <v>14.12</v>
      </c>
      <c r="E1746" t="n">
        <v>157.587</v>
      </c>
      <c r="F1746" t="n">
        <v>96.197</v>
      </c>
      <c r="G1746" t="n">
        <v>1126</v>
      </c>
      <c r="H1746">
        <f>E1746/F1746</f>
        <v/>
      </c>
      <c r="I1746">
        <f>((H1746-$J$1720)/$I$1720)</f>
        <v/>
      </c>
      <c r="J1746">
        <f>(I1746-IF(I1728&gt;0,I1728,0))</f>
        <v/>
      </c>
      <c r="K1746">
        <f>J1746/R1730*1.1</f>
        <v/>
      </c>
      <c r="Q1746" t="inlineStr">
        <is>
          <t>K3-4C</t>
        </is>
      </c>
      <c r="R1746" t="n">
        <v>1.0206</v>
      </c>
    </row>
    <row r="1747">
      <c r="A1747" t="n">
        <v>27</v>
      </c>
      <c r="B1747" t="inlineStr">
        <is>
          <t>K4-4C</t>
        </is>
      </c>
      <c r="D1747" t="n">
        <v>14.14</v>
      </c>
      <c r="E1747" t="n">
        <v>168.837</v>
      </c>
      <c r="F1747" t="n">
        <v>122.295</v>
      </c>
      <c r="G1747" t="n">
        <v>11.018</v>
      </c>
      <c r="H1747">
        <f>E1747/F1747</f>
        <v/>
      </c>
      <c r="I1747">
        <f>((H1747-$J$1720)/$I$1720)</f>
        <v/>
      </c>
      <c r="J1747">
        <f>(I1747-IF(I1728&gt;0,I1728,0))</f>
        <v/>
      </c>
      <c r="K1747">
        <f>J1747/R1731*1.1</f>
        <v/>
      </c>
      <c r="L1747" s="23" t="inlineStr">
        <is>
          <t>Average</t>
        </is>
      </c>
      <c r="M1747" s="23" t="inlineStr">
        <is>
          <t>Stdev</t>
        </is>
      </c>
      <c r="N1747" s="9" t="inlineStr">
        <is>
          <t>Combined</t>
        </is>
      </c>
      <c r="Q1747" t="inlineStr">
        <is>
          <t>K3-6A</t>
        </is>
      </c>
      <c r="R1747" t="n">
        <v>1.1289</v>
      </c>
    </row>
    <row r="1748">
      <c r="A1748" t="n">
        <v>28</v>
      </c>
      <c r="B1748" t="inlineStr">
        <is>
          <t>K4-5A</t>
        </is>
      </c>
      <c r="D1748" t="n">
        <v>14.09</v>
      </c>
      <c r="E1748" t="n">
        <v>117.18</v>
      </c>
      <c r="F1748" t="n">
        <v>195.191</v>
      </c>
      <c r="G1748" t="n">
        <v>2.969</v>
      </c>
      <c r="H1748">
        <f>E1748/F1748</f>
        <v/>
      </c>
      <c r="I1748">
        <f>((H1748-$J$1720)/$I$1720)</f>
        <v/>
      </c>
      <c r="J1748">
        <f>(I1748-IF(I1728&gt;0,I1728,0))</f>
        <v/>
      </c>
      <c r="K1748">
        <f>J1748/R1732*1.1</f>
        <v/>
      </c>
      <c r="L1748">
        <f>AVERAGE(K1748:K1750)</f>
        <v/>
      </c>
      <c r="M1748">
        <f>STDEV(K1748:K1750)</f>
        <v/>
      </c>
      <c r="N1748">
        <f>_xlfn.CONCAT(ROUND(L1748,1)," ± ",ROUND(M1748,1))</f>
        <v/>
      </c>
      <c r="Q1748" t="inlineStr">
        <is>
          <t>K3-6B</t>
        </is>
      </c>
      <c r="R1748" t="n">
        <v>1.195</v>
      </c>
    </row>
    <row r="1749">
      <c r="A1749" t="n">
        <v>29</v>
      </c>
      <c r="B1749" t="inlineStr">
        <is>
          <t>K4-5B</t>
        </is>
      </c>
      <c r="D1749" t="n">
        <v>14.05</v>
      </c>
      <c r="E1749" t="n">
        <v>57.857</v>
      </c>
      <c r="F1749" t="n">
        <v>113.956</v>
      </c>
      <c r="G1749" t="n">
        <v>492</v>
      </c>
      <c r="H1749">
        <f>E1749/F1749</f>
        <v/>
      </c>
      <c r="I1749">
        <f>((H1749-$J$1720)/$I$1720)</f>
        <v/>
      </c>
      <c r="J1749">
        <f>(I1749-IF(I1728&gt;0,I1728,0))</f>
        <v/>
      </c>
      <c r="K1749">
        <f>J1749/R1733*1.1</f>
        <v/>
      </c>
      <c r="Q1749" t="inlineStr">
        <is>
          <t>K3-6C</t>
        </is>
      </c>
      <c r="R1749" t="n">
        <v>1.1716</v>
      </c>
    </row>
    <row r="1750">
      <c r="A1750" t="n">
        <v>30</v>
      </c>
      <c r="B1750" t="inlineStr">
        <is>
          <t>K4-5C</t>
        </is>
      </c>
      <c r="D1750" t="n">
        <v>14.02</v>
      </c>
      <c r="E1750" t="n">
        <v>47.482</v>
      </c>
      <c r="F1750" t="n">
        <v>84.712</v>
      </c>
      <c r="G1750" t="n">
        <v>2.599</v>
      </c>
      <c r="H1750">
        <f>E1750/F1750</f>
        <v/>
      </c>
      <c r="I1750">
        <f>((H1750-$J$1720)/$I$1720)</f>
        <v/>
      </c>
      <c r="J1750">
        <f>(I1750-IF(I1728&gt;0,I1728,0))</f>
        <v/>
      </c>
      <c r="K1750">
        <f>J1750/R1734*1.1</f>
        <v/>
      </c>
      <c r="L1750" s="23" t="n"/>
      <c r="M1750" s="23" t="n"/>
      <c r="N1750" s="9" t="n"/>
    </row>
    <row r="1751">
      <c r="A1751" t="n">
        <v>31</v>
      </c>
      <c r="B1751" t="inlineStr">
        <is>
          <t>MeOH</t>
        </is>
      </c>
      <c r="L1751" s="23" t="inlineStr">
        <is>
          <t>Average</t>
        </is>
      </c>
      <c r="M1751" s="23" t="inlineStr">
        <is>
          <t>Stdev</t>
        </is>
      </c>
      <c r="N1751" s="9" t="inlineStr">
        <is>
          <t>Combined</t>
        </is>
      </c>
    </row>
    <row r="1752">
      <c r="A1752" t="n">
        <v>32</v>
      </c>
      <c r="B1752" t="inlineStr">
        <is>
          <t>K3-1A</t>
        </is>
      </c>
      <c r="D1752" t="n">
        <v>14.03</v>
      </c>
      <c r="E1752" t="n">
        <v>94.94199999999999</v>
      </c>
      <c r="F1752" t="n">
        <v>8.545999999999999</v>
      </c>
      <c r="G1752" t="n">
        <v>630</v>
      </c>
      <c r="H1752">
        <f>E1752/F1752</f>
        <v/>
      </c>
      <c r="I1752">
        <f>((H1752-$J$1720)/$I$1720)</f>
        <v/>
      </c>
      <c r="J1752">
        <f>(I1752-IF(I1728&gt;0,I1728,0))</f>
        <v/>
      </c>
      <c r="K1752">
        <f>J1752/R1735*1.1</f>
        <v/>
      </c>
      <c r="L1752">
        <f>AVERAGE(K1752:K1754)</f>
        <v/>
      </c>
      <c r="M1752">
        <f>STDEV(K1753:K1754)</f>
        <v/>
      </c>
      <c r="N1752">
        <f>_xlfn.CONCAT(ROUND(L1752,1)," ± ",ROUND(M1752,1))</f>
        <v/>
      </c>
    </row>
    <row r="1753">
      <c r="A1753" t="n">
        <v>33</v>
      </c>
      <c r="B1753" t="inlineStr">
        <is>
          <t>K3-1B</t>
        </is>
      </c>
      <c r="D1753" t="n">
        <v>13.98</v>
      </c>
      <c r="E1753" t="n">
        <v>217.252</v>
      </c>
      <c r="F1753" t="n">
        <v>51.544</v>
      </c>
      <c r="G1753" t="n">
        <v>7.107</v>
      </c>
      <c r="H1753">
        <f>E1753/F1753</f>
        <v/>
      </c>
      <c r="I1753">
        <f>((H1753-$J$1720)/$I$1720)</f>
        <v/>
      </c>
      <c r="J1753">
        <f>(I1753-IF(I1728&gt;0,I1728,0))</f>
        <v/>
      </c>
      <c r="K1753">
        <f>J1753/R1736*1.1</f>
        <v/>
      </c>
    </row>
    <row r="1754">
      <c r="A1754" t="n">
        <v>34</v>
      </c>
      <c r="B1754" t="inlineStr">
        <is>
          <t>K3-1C</t>
        </is>
      </c>
      <c r="D1754" t="n">
        <v>14.02</v>
      </c>
      <c r="E1754" t="n">
        <v>119.685</v>
      </c>
      <c r="F1754" t="n">
        <v>205.27</v>
      </c>
      <c r="G1754" t="n">
        <v>845</v>
      </c>
      <c r="H1754">
        <f>E1754/F1754</f>
        <v/>
      </c>
      <c r="I1754">
        <f>((H1754-$J$1720)/$I$1720)</f>
        <v/>
      </c>
      <c r="J1754">
        <f>(I1754-IF(I1728&gt;0,I1728,0))</f>
        <v/>
      </c>
      <c r="K1754">
        <f>J1754/R1737*1.1</f>
        <v/>
      </c>
      <c r="L1754" s="23" t="inlineStr">
        <is>
          <t>Average</t>
        </is>
      </c>
      <c r="M1754" s="23" t="inlineStr">
        <is>
          <t>Stdev</t>
        </is>
      </c>
      <c r="N1754" s="9" t="inlineStr">
        <is>
          <t>Combined</t>
        </is>
      </c>
    </row>
    <row r="1755">
      <c r="A1755" t="n">
        <v>35</v>
      </c>
      <c r="B1755" t="inlineStr">
        <is>
          <t>K3-2A</t>
        </is>
      </c>
      <c r="D1755" t="n">
        <v>14.03</v>
      </c>
      <c r="E1755" t="n">
        <v>166.926</v>
      </c>
      <c r="F1755" t="n">
        <v>175.825</v>
      </c>
      <c r="G1755" t="n">
        <v>114.577</v>
      </c>
      <c r="H1755">
        <f>E1755/F1755</f>
        <v/>
      </c>
      <c r="I1755">
        <f>((H1755-$J$1720)/$I$1720)</f>
        <v/>
      </c>
      <c r="J1755">
        <f>(I1755-IF(I1728&gt;0,I1728,0))</f>
        <v/>
      </c>
      <c r="K1755">
        <f>J1755/R1738*1.1</f>
        <v/>
      </c>
      <c r="L1755">
        <f>AVERAGE(K1755:K1757)</f>
        <v/>
      </c>
      <c r="M1755">
        <f>STDEV(K1755:K1757)</f>
        <v/>
      </c>
      <c r="N1755">
        <f>_xlfn.CONCAT(ROUND(L1755,1)," ± ",ROUND(M1755,1))</f>
        <v/>
      </c>
    </row>
    <row r="1756">
      <c r="A1756" t="n">
        <v>36</v>
      </c>
      <c r="B1756" t="inlineStr">
        <is>
          <t>K3-2B</t>
        </is>
      </c>
      <c r="D1756" t="n">
        <v>13.99</v>
      </c>
      <c r="E1756" t="n">
        <v>474.997</v>
      </c>
      <c r="F1756" t="n">
        <v>73.20399999999999</v>
      </c>
      <c r="G1756" t="n">
        <v>9.154</v>
      </c>
      <c r="H1756">
        <f>E1756/F1756</f>
        <v/>
      </c>
      <c r="I1756">
        <f>((H1756-$J$1720)/$I$1720)</f>
        <v/>
      </c>
      <c r="J1756">
        <f>(I1756-IF(I1728&gt;0,I1728,0))</f>
        <v/>
      </c>
      <c r="K1756">
        <f>J1756/R1739*1.1</f>
        <v/>
      </c>
    </row>
    <row r="1757">
      <c r="A1757" t="n">
        <v>37</v>
      </c>
      <c r="B1757" t="inlineStr">
        <is>
          <t>K3-2C</t>
        </is>
      </c>
      <c r="D1757" t="n">
        <v>14.03</v>
      </c>
      <c r="E1757" t="n">
        <v>246.684</v>
      </c>
      <c r="F1757" t="n">
        <v>179.966</v>
      </c>
      <c r="G1757" t="n">
        <v>1757</v>
      </c>
      <c r="H1757">
        <f>E1757/F1757</f>
        <v/>
      </c>
      <c r="I1757">
        <f>((H1757-$J$1720)/$I$1720)</f>
        <v/>
      </c>
      <c r="J1757">
        <f>(I1757-IF(I1728&gt;0,I1728,0))</f>
        <v/>
      </c>
      <c r="K1757">
        <f>J1757/R1740*1.1</f>
        <v/>
      </c>
      <c r="L1757" s="23" t="n"/>
      <c r="M1757" s="23" t="n"/>
      <c r="N1757" s="9" t="n"/>
    </row>
    <row r="1758">
      <c r="A1758" t="n">
        <v>38</v>
      </c>
      <c r="B1758" t="inlineStr">
        <is>
          <t>MeOH</t>
        </is>
      </c>
      <c r="L1758" s="23" t="inlineStr">
        <is>
          <t>Average</t>
        </is>
      </c>
      <c r="M1758" s="23" t="inlineStr">
        <is>
          <t>Stdev</t>
        </is>
      </c>
      <c r="N1758" s="9" t="inlineStr">
        <is>
          <t>Combined</t>
        </is>
      </c>
    </row>
    <row r="1759">
      <c r="A1759" t="n">
        <v>39</v>
      </c>
      <c r="B1759" t="inlineStr">
        <is>
          <t>K3-3A</t>
        </is>
      </c>
      <c r="D1759" t="n">
        <v>14.08</v>
      </c>
      <c r="E1759" t="n">
        <v>135.191</v>
      </c>
      <c r="F1759" t="n">
        <v>243.206</v>
      </c>
      <c r="G1759" t="n">
        <v>2.709</v>
      </c>
      <c r="H1759">
        <f>E1759/F1759</f>
        <v/>
      </c>
      <c r="I1759">
        <f>((H1759-$J$1720)/$I$1720)</f>
        <v/>
      </c>
      <c r="J1759">
        <f>(I1759-IF(I1728&gt;0,I1728,0))</f>
        <v/>
      </c>
      <c r="K1759">
        <f>J1759/R1741*1.1</f>
        <v/>
      </c>
      <c r="L1759">
        <f>AVERAGE(K1759:K1761)</f>
        <v/>
      </c>
      <c r="M1759">
        <f>STDEV(K1760:K1761)</f>
        <v/>
      </c>
      <c r="N1759">
        <f>_xlfn.CONCAT(ROUND(L1759,1)," ± ",ROUND(M1759,1))</f>
        <v/>
      </c>
    </row>
    <row r="1760">
      <c r="A1760" t="n">
        <v>40</v>
      </c>
      <c r="B1760" t="inlineStr">
        <is>
          <t>K3-3B</t>
        </is>
      </c>
      <c r="D1760" t="n">
        <v>14.08</v>
      </c>
      <c r="E1760" t="n">
        <v>155.001</v>
      </c>
      <c r="F1760" t="n">
        <v>281.241</v>
      </c>
      <c r="G1760" t="n">
        <v>3.865</v>
      </c>
      <c r="H1760">
        <f>E1760/F1760</f>
        <v/>
      </c>
      <c r="I1760">
        <f>((H1760-$J$1720)/$I$1720)</f>
        <v/>
      </c>
      <c r="J1760">
        <f>(I1760-IF(I1728&gt;0,I1728,0))</f>
        <v/>
      </c>
      <c r="K1760">
        <f>J1760/R1742*1.1</f>
        <v/>
      </c>
    </row>
    <row r="1761">
      <c r="A1761" t="n">
        <v>41</v>
      </c>
      <c r="B1761" t="inlineStr">
        <is>
          <t>K3-3C</t>
        </is>
      </c>
      <c r="D1761" t="n">
        <v>14.06</v>
      </c>
      <c r="E1761" t="n">
        <v>226.409</v>
      </c>
      <c r="F1761" t="n">
        <v>124.019</v>
      </c>
      <c r="G1761" t="n">
        <v>6.724</v>
      </c>
      <c r="H1761">
        <f>E1761/F1761</f>
        <v/>
      </c>
      <c r="I1761">
        <f>((H1761-$J$1720)/$I$1720)</f>
        <v/>
      </c>
      <c r="J1761">
        <f>(I1761-IF(I1728&gt;0,I1728,0))</f>
        <v/>
      </c>
      <c r="K1761">
        <f>J1761/R1743*1.1</f>
        <v/>
      </c>
      <c r="L1761" s="23" t="inlineStr">
        <is>
          <t>Average</t>
        </is>
      </c>
      <c r="M1761" s="23" t="inlineStr">
        <is>
          <t>Stdev</t>
        </is>
      </c>
      <c r="N1761" s="9" t="inlineStr">
        <is>
          <t>Combined</t>
        </is>
      </c>
    </row>
    <row r="1762">
      <c r="A1762" t="n">
        <v>42</v>
      </c>
      <c r="B1762" t="inlineStr">
        <is>
          <t>K3-4A</t>
        </is>
      </c>
      <c r="D1762" t="n">
        <v>14.11</v>
      </c>
      <c r="E1762" t="n">
        <v>368.873</v>
      </c>
      <c r="F1762" t="n">
        <v>159.038</v>
      </c>
      <c r="G1762" t="n">
        <v>12.03</v>
      </c>
      <c r="H1762">
        <f>E1762/F1762</f>
        <v/>
      </c>
      <c r="I1762">
        <f>((H1762-$J$1720)/$I$1720)</f>
        <v/>
      </c>
      <c r="J1762">
        <f>(I1762-IF(I1728&gt;0,I1728,0))</f>
        <v/>
      </c>
      <c r="K1762">
        <f>J1762/R1744*1.1</f>
        <v/>
      </c>
      <c r="L1762">
        <f>AVERAGE(K1762:K1764)</f>
        <v/>
      </c>
      <c r="M1762">
        <f>STDEV(K1762:K1764)</f>
        <v/>
      </c>
      <c r="N1762">
        <f>_xlfn.CONCAT(ROUND(L1762,1)," ± ",ROUND(M1762,1))</f>
        <v/>
      </c>
    </row>
    <row r="1763">
      <c r="A1763" t="n">
        <v>43</v>
      </c>
      <c r="B1763" t="inlineStr">
        <is>
          <t>K3-4B</t>
        </is>
      </c>
      <c r="D1763" t="n">
        <v>14.08</v>
      </c>
      <c r="E1763" t="n">
        <v>410.789</v>
      </c>
      <c r="F1763" t="n">
        <v>149.228</v>
      </c>
      <c r="G1763" t="n">
        <v>7.682</v>
      </c>
      <c r="H1763">
        <f>E1763/F1763</f>
        <v/>
      </c>
      <c r="I1763">
        <f>((H1763-$J$1720)/$I$1720)</f>
        <v/>
      </c>
      <c r="J1763">
        <f>(I1763-IF(I1728&gt;0,I1728,0))</f>
        <v/>
      </c>
      <c r="K1763">
        <f>J1763/R1745*1.1</f>
        <v/>
      </c>
    </row>
    <row r="1764">
      <c r="A1764" t="n">
        <v>44</v>
      </c>
      <c r="B1764" t="inlineStr">
        <is>
          <t>K3-4C</t>
        </is>
      </c>
      <c r="D1764" t="n">
        <v>14.14</v>
      </c>
      <c r="E1764" t="n">
        <v>331.5</v>
      </c>
      <c r="F1764" t="n">
        <v>244.215</v>
      </c>
      <c r="G1764" t="n">
        <v>14.213</v>
      </c>
      <c r="H1764">
        <f>E1764/F1764</f>
        <v/>
      </c>
      <c r="I1764">
        <f>((H1764-$J$1720)/$I$1720)</f>
        <v/>
      </c>
      <c r="J1764">
        <f>(I1764-IF(I1728&gt;0,I1728,0))</f>
        <v/>
      </c>
      <c r="K1764">
        <f>J1764/R1746*1.1</f>
        <v/>
      </c>
      <c r="L1764" s="23" t="n"/>
      <c r="M1764" s="23" t="n"/>
      <c r="N1764" s="9" t="n"/>
    </row>
    <row r="1765">
      <c r="A1765" t="n">
        <v>45</v>
      </c>
      <c r="B1765" t="inlineStr">
        <is>
          <t>MeOH</t>
        </is>
      </c>
      <c r="L1765" s="23" t="inlineStr">
        <is>
          <t>Average</t>
        </is>
      </c>
      <c r="M1765" s="23" t="inlineStr">
        <is>
          <t>Stdev</t>
        </is>
      </c>
      <c r="N1765" s="9" t="inlineStr">
        <is>
          <t>Combined</t>
        </is>
      </c>
    </row>
    <row r="1766">
      <c r="A1766" t="n">
        <v>46</v>
      </c>
      <c r="B1766" t="inlineStr">
        <is>
          <t>K3-6A</t>
        </is>
      </c>
      <c r="D1766" t="n">
        <v>14.12</v>
      </c>
      <c r="E1766" t="n">
        <v>48.382</v>
      </c>
      <c r="F1766" t="n">
        <v>11.224</v>
      </c>
      <c r="G1766" t="n">
        <v>6.683</v>
      </c>
      <c r="H1766">
        <f>E1766/F1766</f>
        <v/>
      </c>
      <c r="I1766">
        <f>((H1766-$J$1720)/$I$1720)</f>
        <v/>
      </c>
      <c r="J1766">
        <f>(I1766-IF(I1728&gt;0,I1728,0))</f>
        <v/>
      </c>
      <c r="K1766">
        <f>J1766/R1747*1.1</f>
        <v/>
      </c>
      <c r="L1766">
        <f>AVERAGE(K1766:K1768)</f>
        <v/>
      </c>
      <c r="M1766">
        <f>STDEV(K1767:K1768)</f>
        <v/>
      </c>
      <c r="N1766">
        <f>_xlfn.CONCAT(ROUND(L1766,1)," ± ",ROUND(M1766,1))</f>
        <v/>
      </c>
    </row>
    <row r="1767">
      <c r="A1767" t="n">
        <v>47</v>
      </c>
      <c r="B1767" t="inlineStr">
        <is>
          <t>K3-6B</t>
        </is>
      </c>
      <c r="D1767" t="n">
        <v>14.15</v>
      </c>
      <c r="E1767" t="n">
        <v>147.329</v>
      </c>
      <c r="F1767" t="n">
        <v>89.45099999999999</v>
      </c>
      <c r="G1767" t="n">
        <v>804</v>
      </c>
      <c r="H1767">
        <f>E1767/F1767</f>
        <v/>
      </c>
      <c r="I1767">
        <f>((H1767-$J$1720)/$I$1720)</f>
        <v/>
      </c>
      <c r="J1767">
        <f>(I1767-IF(I1728&gt;0,I1728,0))</f>
        <v/>
      </c>
      <c r="K1767">
        <f>J1767/R1748*1.1</f>
        <v/>
      </c>
    </row>
    <row r="1768">
      <c r="A1768" t="n">
        <v>48</v>
      </c>
      <c r="B1768" t="inlineStr">
        <is>
          <t>K3-6C</t>
        </is>
      </c>
      <c r="D1768" t="n">
        <v>14.09</v>
      </c>
      <c r="E1768" t="n">
        <v>70.621</v>
      </c>
      <c r="F1768" t="n">
        <v>231.601</v>
      </c>
      <c r="G1768" t="n">
        <v>573</v>
      </c>
      <c r="H1768">
        <f>E1768/F1768</f>
        <v/>
      </c>
      <c r="I1768">
        <f>((H1768-$J$1720)/$I$1720)</f>
        <v/>
      </c>
      <c r="J1768">
        <f>(I1768-IF(I1728&gt;0,I1728,0))</f>
        <v/>
      </c>
      <c r="K1768">
        <f>J1768/R1749*1.1</f>
        <v/>
      </c>
      <c r="L1768" s="23" t="n"/>
      <c r="M1768" s="23" t="n"/>
      <c r="N1768" s="9" t="n"/>
    </row>
    <row r="1770">
      <c r="A1770" s="15" t="inlineStr">
        <is>
          <t>Compound 86:  N-EtFOSA 1</t>
        </is>
      </c>
      <c r="B1770" s="15" t="n"/>
    </row>
    <row r="1771">
      <c r="I1771" t="inlineStr">
        <is>
          <t>LINEST</t>
        </is>
      </c>
      <c r="Q1771" t="inlineStr">
        <is>
          <t>Biosolids Masses</t>
        </is>
      </c>
      <c r="R1771" t="inlineStr">
        <is>
          <t>(g)</t>
        </is>
      </c>
    </row>
    <row r="1772">
      <c r="B1772" t="inlineStr">
        <is>
          <t>Sample Text</t>
        </is>
      </c>
      <c r="C1772" t="inlineStr">
        <is>
          <t>Std. Conc</t>
        </is>
      </c>
      <c r="D1772" t="inlineStr">
        <is>
          <t>RT</t>
        </is>
      </c>
      <c r="E1772" t="inlineStr">
        <is>
          <t>Area</t>
        </is>
      </c>
      <c r="F1772" t="inlineStr">
        <is>
          <t>IS Area</t>
        </is>
      </c>
      <c r="G1772" t="inlineStr">
        <is>
          <t>S/N</t>
        </is>
      </c>
      <c r="H1772" t="inlineStr">
        <is>
          <t>ratio</t>
        </is>
      </c>
      <c r="I1772">
        <f t="array" ref="I1772:J1776">LINEST(H1774:H1780,C1774:C1780,1,1)</f>
        <v/>
      </c>
      <c r="J1772" t="n">
        <v>-0.007864052449163994</v>
      </c>
      <c r="L1772" s="20" t="inlineStr">
        <is>
          <t>By S/N Ratio</t>
        </is>
      </c>
      <c r="Q1772" t="inlineStr">
        <is>
          <t>SS1</t>
        </is>
      </c>
      <c r="R1772" t="n">
        <v>1.0846</v>
      </c>
    </row>
    <row r="1773">
      <c r="A1773" t="n">
        <v>1</v>
      </c>
      <c r="B1773" t="inlineStr">
        <is>
          <t>EPA1633 &amp; diPAPs Calibration 0 ppb</t>
        </is>
      </c>
      <c r="C1773" t="n">
        <v>0</v>
      </c>
      <c r="D1773" t="n">
        <v>16.43</v>
      </c>
      <c r="E1773" t="n">
        <v>84.759</v>
      </c>
      <c r="F1773" t="n">
        <v>9366.290999999999</v>
      </c>
      <c r="G1773" t="n">
        <v>2.131</v>
      </c>
      <c r="H1773">
        <f>E1773/F1773</f>
        <v/>
      </c>
      <c r="I1773" t="n">
        <v>0.00353541319553838</v>
      </c>
      <c r="J1773" t="n">
        <v>0.0306516857942212</v>
      </c>
      <c r="K1773" t="inlineStr">
        <is>
          <t>LOD</t>
        </is>
      </c>
      <c r="L1773" s="21">
        <f>IF(G1776&gt;3,C1776,IF(G1777&gt;3,C1777,IF(G1778&gt;3,C1778,IF(G1779&gt;3,C1779,C1780))))</f>
        <v/>
      </c>
      <c r="Q1773" t="inlineStr">
        <is>
          <t>SS2</t>
        </is>
      </c>
      <c r="R1773" t="n">
        <v>1.0726</v>
      </c>
    </row>
    <row r="1774">
      <c r="A1774" t="n">
        <v>2</v>
      </c>
      <c r="B1774" t="inlineStr">
        <is>
          <t>EPA1633 &amp; diPAPs Calibration 0.02 ppb</t>
        </is>
      </c>
      <c r="C1774" t="n">
        <v>0.02</v>
      </c>
      <c r="D1774" t="n">
        <v>16.42</v>
      </c>
      <c r="E1774" t="n">
        <v>38.431</v>
      </c>
      <c r="F1774" t="n">
        <v>8227.450000000001</v>
      </c>
      <c r="G1774" t="n">
        <v>6.325</v>
      </c>
      <c r="H1774">
        <f>E1774/F1774</f>
        <v/>
      </c>
      <c r="I1774" t="n">
        <v>0.9965831437442819</v>
      </c>
      <c r="J1774" t="n">
        <v>0.06477050103500585</v>
      </c>
      <c r="K1774" t="inlineStr">
        <is>
          <t>LOQ</t>
        </is>
      </c>
      <c r="L1774" s="22">
        <f>IF(G1776&gt;10,C1776,IF(G1777&gt;10,C1777,IF(G1778&gt;10,C1778,IF(G1779&gt;10,C1779,C1780))))</f>
        <v/>
      </c>
      <c r="Q1774" t="inlineStr">
        <is>
          <t>SS3</t>
        </is>
      </c>
      <c r="R1774" t="n">
        <v>1.1534</v>
      </c>
    </row>
    <row r="1775">
      <c r="A1775" t="n">
        <v>3</v>
      </c>
      <c r="B1775" t="inlineStr">
        <is>
          <t>EPA1633 &amp; diPAPs Calibration 0.1 ppb</t>
        </is>
      </c>
      <c r="C1775" t="n">
        <v>0.1</v>
      </c>
      <c r="D1775" t="n">
        <v>16.44</v>
      </c>
      <c r="E1775" t="n">
        <v>156.368</v>
      </c>
      <c r="F1775" t="n">
        <v>8592.939</v>
      </c>
      <c r="G1775" t="n">
        <v>4.813</v>
      </c>
      <c r="H1775">
        <f>E1775/F1775</f>
        <v/>
      </c>
      <c r="I1775" t="n">
        <v>1458.333434537227</v>
      </c>
      <c r="J1775" t="n">
        <v>5</v>
      </c>
      <c r="Q1775" t="inlineStr">
        <is>
          <t>K4-1A</t>
        </is>
      </c>
      <c r="R1775" t="n">
        <v>1.0267</v>
      </c>
    </row>
    <row r="1776">
      <c r="A1776" t="n">
        <v>4</v>
      </c>
      <c r="B1776" t="inlineStr">
        <is>
          <t>EPA1633 &amp; diPAPs Calibration 0.4 ppb</t>
        </is>
      </c>
      <c r="C1776" t="n">
        <v>0.4</v>
      </c>
      <c r="D1776" t="n">
        <v>16.44</v>
      </c>
      <c r="E1776" t="n">
        <v>534.498</v>
      </c>
      <c r="F1776" t="n">
        <v>8009.04</v>
      </c>
      <c r="G1776" t="n">
        <v>4.975</v>
      </c>
      <c r="H1776">
        <f>E1776/F1776</f>
        <v/>
      </c>
      <c r="I1776" t="n">
        <v>6.118026389214016</v>
      </c>
      <c r="J1776" t="n">
        <v>0.02097608902162847</v>
      </c>
      <c r="Q1776" t="inlineStr">
        <is>
          <t>K4-1B</t>
        </is>
      </c>
      <c r="R1776" t="n">
        <v>1.1481</v>
      </c>
    </row>
    <row r="1777">
      <c r="A1777" t="n">
        <v>5</v>
      </c>
      <c r="B1777" t="inlineStr">
        <is>
          <t>EPA1633 &amp; diPAPs Calibration 1 ppb</t>
        </is>
      </c>
      <c r="C1777" t="n">
        <v>1</v>
      </c>
      <c r="D1777" t="n">
        <v>16.42</v>
      </c>
      <c r="E1777" t="n">
        <v>904.566</v>
      </c>
      <c r="F1777" t="n">
        <v>9820.112999999999</v>
      </c>
      <c r="G1777" t="n">
        <v>7040</v>
      </c>
      <c r="H1777">
        <f>E1777/F1777</f>
        <v/>
      </c>
      <c r="Q1777" t="inlineStr">
        <is>
          <t>K4-1C</t>
        </is>
      </c>
      <c r="R1777" t="n">
        <v>1.0402</v>
      </c>
    </row>
    <row r="1778">
      <c r="A1778" t="n">
        <v>6</v>
      </c>
      <c r="B1778" t="inlineStr">
        <is>
          <t>EPA1633 &amp; diPAPs Calibration 5 ppb</t>
        </is>
      </c>
      <c r="C1778" t="n">
        <v>5</v>
      </c>
      <c r="D1778" t="n">
        <v>16.4</v>
      </c>
      <c r="E1778" t="n">
        <v>5185.272</v>
      </c>
      <c r="F1778" t="n">
        <v>8875.213</v>
      </c>
      <c r="G1778" t="n">
        <v>23.241</v>
      </c>
      <c r="H1778">
        <f>E1778/F1778</f>
        <v/>
      </c>
      <c r="Q1778" t="inlineStr">
        <is>
          <t>K4-2A</t>
        </is>
      </c>
      <c r="R1778" t="n">
        <v>1.127</v>
      </c>
    </row>
    <row r="1779">
      <c r="A1779" t="n">
        <v>7</v>
      </c>
      <c r="B1779" t="inlineStr">
        <is>
          <t>EPA1633 &amp; diPAPs Calibration 10 ppb</t>
        </is>
      </c>
      <c r="C1779" t="n">
        <v>10</v>
      </c>
      <c r="D1779" t="n">
        <v>16.42</v>
      </c>
      <c r="E1779" t="n">
        <v>9113.175999999999</v>
      </c>
      <c r="F1779" t="n">
        <v>6292.695</v>
      </c>
      <c r="G1779" t="n">
        <v>366.025</v>
      </c>
      <c r="H1779">
        <f>E1779/F1779</f>
        <v/>
      </c>
      <c r="I1779" s="23" t="inlineStr">
        <is>
          <t>Background</t>
        </is>
      </c>
      <c r="J1779" s="23" t="inlineStr">
        <is>
          <t>Spike</t>
        </is>
      </c>
      <c r="K1779" s="9" t="inlineStr">
        <is>
          <t>Old Spike</t>
        </is>
      </c>
      <c r="O1779" s="24" t="inlineStr">
        <is>
          <t>±</t>
        </is>
      </c>
      <c r="Q1779" t="inlineStr">
        <is>
          <t>K4-2B</t>
        </is>
      </c>
      <c r="R1779" t="n">
        <v>1.1154</v>
      </c>
    </row>
    <row r="1780">
      <c r="A1780" t="n">
        <v>8</v>
      </c>
      <c r="B1780" t="inlineStr">
        <is>
          <t>EPA1633 &amp; diPAPs Calibration 20 ppb</t>
        </is>
      </c>
      <c r="C1780" t="n">
        <v>20</v>
      </c>
      <c r="D1780" t="n">
        <v>16.43</v>
      </c>
      <c r="E1780" t="n">
        <v>20767.504</v>
      </c>
      <c r="F1780" t="n">
        <v>7803.31</v>
      </c>
      <c r="G1780" t="n">
        <v>894.763</v>
      </c>
      <c r="H1780">
        <f>E1780/F1780</f>
        <v/>
      </c>
      <c r="I1780">
        <f>AVERAGE(I1783:I1785)</f>
        <v/>
      </c>
      <c r="J1780" t="n">
        <v>11</v>
      </c>
      <c r="Q1780" t="inlineStr">
        <is>
          <t>K4-2C</t>
        </is>
      </c>
      <c r="R1780" t="n">
        <v>1.1711</v>
      </c>
    </row>
    <row r="1781">
      <c r="A1781" t="n">
        <v>9</v>
      </c>
      <c r="B1781" t="inlineStr">
        <is>
          <t>MeOH</t>
        </is>
      </c>
      <c r="F1781" t="n">
        <v>19.677</v>
      </c>
      <c r="I1781" s="23" t="inlineStr">
        <is>
          <t>Conc.In Vial (ppb)</t>
        </is>
      </c>
      <c r="J1781" s="9" t="inlineStr">
        <is>
          <t>Corr. Conc.(ppb)</t>
        </is>
      </c>
      <c r="K1781" s="9" t="inlineStr">
        <is>
          <t>Conc. In soil (ng/g)</t>
        </is>
      </c>
      <c r="Q1781" t="inlineStr">
        <is>
          <t>K4-4A</t>
        </is>
      </c>
      <c r="R1781" t="n">
        <v>1.0932</v>
      </c>
    </row>
    <row r="1782">
      <c r="A1782" t="n">
        <v>10</v>
      </c>
      <c r="B1782" t="inlineStr">
        <is>
          <t>MeOH</t>
        </is>
      </c>
      <c r="D1782" t="n">
        <v>16.71</v>
      </c>
      <c r="E1782" t="n">
        <v>1.213</v>
      </c>
      <c r="F1782" t="n">
        <v>0.218</v>
      </c>
      <c r="G1782" t="n">
        <v>16</v>
      </c>
      <c r="L1782" s="23" t="inlineStr">
        <is>
          <t>Average</t>
        </is>
      </c>
      <c r="M1782" s="23" t="inlineStr">
        <is>
          <t>Stdev</t>
        </is>
      </c>
      <c r="N1782" s="9" t="inlineStr">
        <is>
          <t>Combined</t>
        </is>
      </c>
      <c r="O1782" s="9" t="n"/>
      <c r="P1782" s="9" t="n"/>
      <c r="Q1782" t="inlineStr">
        <is>
          <t>K4-4B</t>
        </is>
      </c>
      <c r="R1782" t="n">
        <v>1.15</v>
      </c>
    </row>
    <row r="1783">
      <c r="A1783" t="n">
        <v>11</v>
      </c>
      <c r="B1783" t="inlineStr">
        <is>
          <t>SB1</t>
        </is>
      </c>
      <c r="D1783" t="n">
        <v>16.45</v>
      </c>
      <c r="E1783" t="n">
        <v>110.438</v>
      </c>
      <c r="F1783" t="n">
        <v>1812.627</v>
      </c>
      <c r="G1783" t="n">
        <v>45.241</v>
      </c>
      <c r="H1783">
        <f>E1783/F1783</f>
        <v/>
      </c>
      <c r="I1783">
        <f>((H1783-$J$1772)/$I$1772)</f>
        <v/>
      </c>
      <c r="J1783">
        <f>(I1783-IF(I1780&gt;0,I1780,0))</f>
        <v/>
      </c>
      <c r="K1783">
        <f>J1783*1.1</f>
        <v/>
      </c>
      <c r="L1783">
        <f>AVERAGE(K1783:K1785)</f>
        <v/>
      </c>
      <c r="M1783">
        <f>STDEV(K1784:K1785)</f>
        <v/>
      </c>
      <c r="N1783">
        <f>_xlfn.CONCAT(ROUND(L1783,1)," ± ",ROUND(M1783,1))</f>
        <v/>
      </c>
      <c r="Q1783" t="inlineStr">
        <is>
          <t>K4-4C</t>
        </is>
      </c>
      <c r="R1783" t="n">
        <v>1.0482</v>
      </c>
    </row>
    <row r="1784">
      <c r="A1784" t="n">
        <v>12</v>
      </c>
      <c r="B1784" t="inlineStr">
        <is>
          <t>SB2</t>
        </is>
      </c>
      <c r="D1784" t="n">
        <v>16.22</v>
      </c>
      <c r="E1784" t="n">
        <v>22.16</v>
      </c>
      <c r="F1784" t="n">
        <v>2140.853</v>
      </c>
      <c r="G1784" t="n">
        <v>4.322</v>
      </c>
      <c r="H1784">
        <f>E1784/F1784</f>
        <v/>
      </c>
      <c r="I1784">
        <f>((H1784-$J$1772)/$I$1772)</f>
        <v/>
      </c>
      <c r="J1784">
        <f>(I1784-IF(I1780&gt;0,I1780,0))</f>
        <v/>
      </c>
      <c r="K1784">
        <f>J1784*1.1</f>
        <v/>
      </c>
      <c r="Q1784" t="inlineStr">
        <is>
          <t>K4-5A</t>
        </is>
      </c>
      <c r="R1784" t="n">
        <v>1.1054</v>
      </c>
    </row>
    <row r="1785">
      <c r="A1785" t="n">
        <v>13</v>
      </c>
      <c r="B1785" t="inlineStr">
        <is>
          <t>SB3</t>
        </is>
      </c>
      <c r="F1785" t="n">
        <v>2104.667</v>
      </c>
      <c r="H1785">
        <f>E1785/F1785</f>
        <v/>
      </c>
      <c r="I1785">
        <f>((H1785-$J$1772)/$I$1772)</f>
        <v/>
      </c>
      <c r="J1785">
        <f>(I1785-IF(I1780&gt;0,I1780,0))</f>
        <v/>
      </c>
      <c r="K1785" s="30">
        <f>J1785*1.1</f>
        <v/>
      </c>
      <c r="L1785" s="25" t="inlineStr">
        <is>
          <t>Average</t>
        </is>
      </c>
      <c r="M1785" s="25" t="inlineStr">
        <is>
          <t>Stdev</t>
        </is>
      </c>
      <c r="N1785" s="26" t="inlineStr">
        <is>
          <t>%Recovery</t>
        </is>
      </c>
      <c r="O1785" s="26" t="inlineStr">
        <is>
          <t>Uncertainty</t>
        </is>
      </c>
      <c r="P1785" s="26" t="inlineStr">
        <is>
          <t>Combined</t>
        </is>
      </c>
      <c r="Q1785" t="inlineStr">
        <is>
          <t>K4-5B</t>
        </is>
      </c>
      <c r="R1785" s="10" t="n">
        <v>1.0463</v>
      </c>
    </row>
    <row r="1786">
      <c r="A1786" t="n">
        <v>14</v>
      </c>
      <c r="B1786" t="inlineStr">
        <is>
          <t>SS1</t>
        </is>
      </c>
      <c r="D1786" t="n">
        <v>16.49</v>
      </c>
      <c r="E1786" t="n">
        <v>2709.834</v>
      </c>
      <c r="F1786" t="n">
        <v>2157.787</v>
      </c>
      <c r="G1786" t="n">
        <v>25779</v>
      </c>
      <c r="H1786">
        <f>E1786/F1786</f>
        <v/>
      </c>
      <c r="I1786">
        <f>((H1786-$J$1772)/$I$1772)</f>
        <v/>
      </c>
      <c r="J1786">
        <f>(I1786-IF(I1780&gt;0,I1780,0))</f>
        <v/>
      </c>
      <c r="K1786">
        <f>J1786/R1772*1.1</f>
        <v/>
      </c>
      <c r="L1786" s="27">
        <f>AVERAGE(K1786:K1788)</f>
        <v/>
      </c>
      <c r="M1786" s="27">
        <f>STDEV(K1786:K1788)</f>
        <v/>
      </c>
      <c r="N1786" s="28">
        <f>L1786/J1780*100</f>
        <v/>
      </c>
      <c r="O1786" s="29">
        <f>M1786/J1783*100</f>
        <v/>
      </c>
      <c r="P1786" s="29">
        <f>_xlfn.CONCAT(ROUND(N1786,1)," ± ",ROUND(O1786,1))</f>
        <v/>
      </c>
      <c r="Q1786" t="inlineStr">
        <is>
          <t>K4-5C</t>
        </is>
      </c>
      <c r="R1786" t="n">
        <v>1.1155</v>
      </c>
    </row>
    <row r="1787">
      <c r="A1787" t="n">
        <v>15</v>
      </c>
      <c r="B1787" t="inlineStr">
        <is>
          <t>SS2</t>
        </is>
      </c>
      <c r="D1787" t="n">
        <v>16.5</v>
      </c>
      <c r="E1787" t="n">
        <v>2763.527</v>
      </c>
      <c r="F1787" t="n">
        <v>2467.77</v>
      </c>
      <c r="G1787" t="n">
        <v>25557</v>
      </c>
      <c r="H1787">
        <f>E1787/F1787</f>
        <v/>
      </c>
      <c r="I1787">
        <f>((H1787-$J$1772)/$I$1772)</f>
        <v/>
      </c>
      <c r="J1787">
        <f>(I1787-IF(I1780&gt;0,I1780,0))</f>
        <v/>
      </c>
      <c r="K1787">
        <f>J1787/R1773*1.1</f>
        <v/>
      </c>
      <c r="Q1787" t="inlineStr">
        <is>
          <t>K3-1A</t>
        </is>
      </c>
      <c r="R1787" t="n">
        <v>1.0874</v>
      </c>
    </row>
    <row r="1788">
      <c r="A1788" t="n">
        <v>16</v>
      </c>
      <c r="B1788" t="inlineStr">
        <is>
          <t>SS3</t>
        </is>
      </c>
      <c r="D1788" t="n">
        <v>16.51</v>
      </c>
      <c r="E1788" t="n">
        <v>2355.104</v>
      </c>
      <c r="F1788" t="n">
        <v>2130.298</v>
      </c>
      <c r="G1788" t="n">
        <v>90.137</v>
      </c>
      <c r="H1788">
        <f>E1788/F1788</f>
        <v/>
      </c>
      <c r="I1788">
        <f>((H1788-$J$1772)/$I$1772)</f>
        <v/>
      </c>
      <c r="J1788">
        <f>(I1788-IF(I1780&gt;0,I1780,0))</f>
        <v/>
      </c>
      <c r="K1788" s="30">
        <f>J1788/R1774*1.1</f>
        <v/>
      </c>
      <c r="Q1788" t="inlineStr">
        <is>
          <t>K3-1B</t>
        </is>
      </c>
      <c r="R1788" t="n">
        <v>1.0898</v>
      </c>
    </row>
    <row r="1789">
      <c r="A1789" s="19" t="n">
        <v>17</v>
      </c>
      <c r="B1789" s="19" t="inlineStr">
        <is>
          <t>MeOH</t>
        </is>
      </c>
      <c r="L1789" s="23" t="inlineStr">
        <is>
          <t>Average</t>
        </is>
      </c>
      <c r="M1789" s="23" t="inlineStr">
        <is>
          <t>Stdev</t>
        </is>
      </c>
      <c r="N1789" s="9" t="inlineStr">
        <is>
          <t>Combined</t>
        </is>
      </c>
      <c r="Q1789" t="inlineStr">
        <is>
          <t>K3-1C</t>
        </is>
      </c>
      <c r="R1789" t="n">
        <v>1.0536</v>
      </c>
    </row>
    <row r="1790">
      <c r="A1790" s="19" t="n">
        <v>18</v>
      </c>
      <c r="B1790" s="19" t="inlineStr">
        <is>
          <t>K4-1A</t>
        </is>
      </c>
      <c r="D1790" t="n">
        <v>16.92</v>
      </c>
      <c r="E1790" t="n">
        <v>49.901</v>
      </c>
      <c r="F1790" t="n">
        <v>3005.722</v>
      </c>
      <c r="G1790" t="n">
        <v>2.621</v>
      </c>
      <c r="H1790">
        <f>E1790/F1790</f>
        <v/>
      </c>
      <c r="I1790">
        <f>((H1790-$J$1772)/$I$1772)</f>
        <v/>
      </c>
      <c r="J1790">
        <f>(I1790-IF(I1780&gt;0,I1780,0))</f>
        <v/>
      </c>
      <c r="K1790">
        <f>J1790/R1775*1.1</f>
        <v/>
      </c>
      <c r="L1790">
        <f>AVERAGE(K1790:K1792)</f>
        <v/>
      </c>
      <c r="M1790">
        <f>STDEV(K1791:K1792)</f>
        <v/>
      </c>
      <c r="N1790">
        <f>_xlfn.CONCAT(ROUND(L1790,1)," ± ",ROUND(M1790,1))</f>
        <v/>
      </c>
      <c r="Q1790" t="inlineStr">
        <is>
          <t>K3-2A</t>
        </is>
      </c>
      <c r="R1790" s="10" t="n">
        <v>1.1218</v>
      </c>
    </row>
    <row r="1791">
      <c r="A1791" s="19" t="n">
        <v>19</v>
      </c>
      <c r="B1791" s="19" t="inlineStr">
        <is>
          <t>K4-1B</t>
        </is>
      </c>
      <c r="D1791" t="n">
        <v>16.27</v>
      </c>
      <c r="E1791" t="n">
        <v>5.42</v>
      </c>
      <c r="F1791" t="n">
        <v>2753.095</v>
      </c>
      <c r="G1791" t="n">
        <v>55</v>
      </c>
      <c r="H1791">
        <f>E1791/F1791</f>
        <v/>
      </c>
      <c r="I1791">
        <f>((H1791-$J$1772)/$I$1772)</f>
        <v/>
      </c>
      <c r="J1791">
        <f>(I1791-IF(I1780&gt;0,I1780,0))</f>
        <v/>
      </c>
      <c r="K1791">
        <f>J1791/R1776*1.1</f>
        <v/>
      </c>
      <c r="Q1791" t="inlineStr">
        <is>
          <t>K3-2B</t>
        </is>
      </c>
      <c r="R1791" t="n">
        <v>1.198</v>
      </c>
    </row>
    <row r="1792">
      <c r="A1792" s="19" t="n">
        <v>20</v>
      </c>
      <c r="B1792" s="19" t="inlineStr">
        <is>
          <t>K4-1C</t>
        </is>
      </c>
      <c r="D1792" t="n">
        <v>16.28</v>
      </c>
      <c r="E1792" t="n">
        <v>1.058</v>
      </c>
      <c r="F1792" t="n">
        <v>3219.148</v>
      </c>
      <c r="G1792" t="n">
        <v>11</v>
      </c>
      <c r="H1792">
        <f>E1792/F1792</f>
        <v/>
      </c>
      <c r="I1792">
        <f>((H1792-$J$1772)/$I$1772)</f>
        <v/>
      </c>
      <c r="J1792">
        <f>(I1792-IF(I1780&gt;0,I1780,0))</f>
        <v/>
      </c>
      <c r="K1792">
        <f>J1792/R1777*1.1</f>
        <v/>
      </c>
      <c r="L1792" s="23" t="inlineStr">
        <is>
          <t>Average</t>
        </is>
      </c>
      <c r="M1792" s="23" t="inlineStr">
        <is>
          <t>Stdev</t>
        </is>
      </c>
      <c r="N1792" s="9" t="inlineStr">
        <is>
          <t>Combined</t>
        </is>
      </c>
      <c r="Q1792" t="inlineStr">
        <is>
          <t>K3-2C</t>
        </is>
      </c>
      <c r="R1792" t="n">
        <v>1.1538</v>
      </c>
    </row>
    <row r="1793">
      <c r="A1793" s="19" t="n">
        <v>21</v>
      </c>
      <c r="B1793" s="19" t="inlineStr">
        <is>
          <t>K4-2A</t>
        </is>
      </c>
      <c r="D1793" t="n">
        <v>16.49</v>
      </c>
      <c r="E1793" t="n">
        <v>12.297</v>
      </c>
      <c r="F1793" t="n">
        <v>3074.921</v>
      </c>
      <c r="G1793" t="n">
        <v>143</v>
      </c>
      <c r="H1793">
        <f>E1793/F1793</f>
        <v/>
      </c>
      <c r="I1793">
        <f>((H1793-$J$1772)/$I$1772)</f>
        <v/>
      </c>
      <c r="J1793">
        <f>(I1793-IF(I1780&gt;0,I1780,0))</f>
        <v/>
      </c>
      <c r="K1793">
        <f>J1793/R1778*1.1</f>
        <v/>
      </c>
      <c r="L1793">
        <f>AVERAGE(K1793:K1795)</f>
        <v/>
      </c>
      <c r="M1793">
        <f>STDEV(K1793:K1795)</f>
        <v/>
      </c>
      <c r="N1793">
        <f>_xlfn.CONCAT(ROUND(L1793,1)," ± ",ROUND(M1793,1))</f>
        <v/>
      </c>
      <c r="Q1793" t="inlineStr">
        <is>
          <t>K3-3A</t>
        </is>
      </c>
      <c r="R1793" t="n">
        <v>1.1183</v>
      </c>
    </row>
    <row r="1794">
      <c r="A1794" s="19" t="n">
        <v>22</v>
      </c>
      <c r="B1794" s="19" t="inlineStr">
        <is>
          <t>K4-2B</t>
        </is>
      </c>
      <c r="D1794" t="n">
        <v>16.15</v>
      </c>
      <c r="E1794" t="n">
        <v>1.072</v>
      </c>
      <c r="F1794" t="n">
        <v>2113.953</v>
      </c>
      <c r="G1794" t="n">
        <v>11</v>
      </c>
      <c r="H1794">
        <f>E1794/F1794</f>
        <v/>
      </c>
      <c r="I1794">
        <f>((H1794-$J$1772)/$I$1772)</f>
        <v/>
      </c>
      <c r="J1794">
        <f>(I1794-IF(I1780&gt;0,I1780,0))</f>
        <v/>
      </c>
      <c r="K1794">
        <f>J1794/R1779*1.1</f>
        <v/>
      </c>
      <c r="Q1794" t="inlineStr">
        <is>
          <t>K3-3B</t>
        </is>
      </c>
      <c r="R1794" t="n">
        <v>1.1448</v>
      </c>
    </row>
    <row r="1795">
      <c r="A1795" s="19" t="n">
        <v>23</v>
      </c>
      <c r="B1795" s="19" t="inlineStr">
        <is>
          <t>K4-2C</t>
        </is>
      </c>
      <c r="F1795" t="n">
        <v>2043.23</v>
      </c>
      <c r="H1795">
        <f>E1795/F1795</f>
        <v/>
      </c>
      <c r="I1795">
        <f>((H1795-$J$1772)/$I$1772)</f>
        <v/>
      </c>
      <c r="J1795">
        <f>(I1795-IF(I1780&gt;0,I1780,0))</f>
        <v/>
      </c>
      <c r="K1795">
        <f>J1795/R1780*1.1</f>
        <v/>
      </c>
      <c r="L1795" s="23" t="n"/>
      <c r="M1795" s="23" t="n"/>
      <c r="N1795" s="9" t="n"/>
      <c r="Q1795" t="inlineStr">
        <is>
          <t>K3-3C</t>
        </is>
      </c>
      <c r="R1795" t="n">
        <v>1.0493</v>
      </c>
    </row>
    <row r="1796">
      <c r="A1796" s="19" t="n">
        <v>24</v>
      </c>
      <c r="B1796" s="19" t="inlineStr">
        <is>
          <t>MeOH</t>
        </is>
      </c>
      <c r="L1796" s="23" t="inlineStr">
        <is>
          <t>Average</t>
        </is>
      </c>
      <c r="M1796" s="23" t="inlineStr">
        <is>
          <t>Stdev</t>
        </is>
      </c>
      <c r="N1796" s="9" t="inlineStr">
        <is>
          <t>Combined</t>
        </is>
      </c>
      <c r="Q1796" t="inlineStr">
        <is>
          <t>K3-4A</t>
        </is>
      </c>
      <c r="R1796" t="n">
        <v>1.0704</v>
      </c>
    </row>
    <row r="1797">
      <c r="A1797" s="19" t="n">
        <v>25</v>
      </c>
      <c r="B1797" s="19" t="inlineStr">
        <is>
          <t>K4-4A</t>
        </is>
      </c>
      <c r="F1797" t="n">
        <v>3196.453</v>
      </c>
      <c r="H1797">
        <f>E1797/F1797</f>
        <v/>
      </c>
      <c r="I1797">
        <f>((H1797-$J$1772)/$I$1772)</f>
        <v/>
      </c>
      <c r="J1797">
        <f>(I1797-IF(I1780&gt;0,I1780,0))</f>
        <v/>
      </c>
      <c r="K1797">
        <f>J1797/R1781*1.1</f>
        <v/>
      </c>
      <c r="L1797">
        <f>AVERAGE(K1797:K1799)</f>
        <v/>
      </c>
      <c r="M1797">
        <f>STDEV(K1798:K1799)</f>
        <v/>
      </c>
      <c r="N1797">
        <f>_xlfn.CONCAT(ROUND(L1797,1)," ± ",ROUND(M1797,1))</f>
        <v/>
      </c>
      <c r="Q1797" t="inlineStr">
        <is>
          <t>K3-4B</t>
        </is>
      </c>
      <c r="R1797" t="n">
        <v>1.1589</v>
      </c>
    </row>
    <row r="1798">
      <c r="A1798" s="19" t="n">
        <v>26</v>
      </c>
      <c r="B1798" s="19" t="inlineStr">
        <is>
          <t>K4-4B</t>
        </is>
      </c>
      <c r="D1798" t="n">
        <v>16.37</v>
      </c>
      <c r="E1798" t="n">
        <v>2.925</v>
      </c>
      <c r="F1798" t="n">
        <v>2390.072</v>
      </c>
      <c r="G1798" t="n">
        <v>32</v>
      </c>
      <c r="H1798">
        <f>E1798/F1798</f>
        <v/>
      </c>
      <c r="I1798">
        <f>((H1798-$J$1772)/$I$1772)</f>
        <v/>
      </c>
      <c r="J1798">
        <f>(I1798-IF(I1780&gt;0,I1780,0))</f>
        <v/>
      </c>
      <c r="K1798">
        <f>J1798/R1782*1.1</f>
        <v/>
      </c>
      <c r="Q1798" t="inlineStr">
        <is>
          <t>K3-4C</t>
        </is>
      </c>
      <c r="R1798" t="n">
        <v>1.0206</v>
      </c>
    </row>
    <row r="1799">
      <c r="A1799" s="19" t="n">
        <v>27</v>
      </c>
      <c r="B1799" s="19" t="inlineStr">
        <is>
          <t>K4-4C</t>
        </is>
      </c>
      <c r="F1799" t="n">
        <v>2962.253</v>
      </c>
      <c r="H1799">
        <f>E1799/F1799</f>
        <v/>
      </c>
      <c r="I1799">
        <f>((H1799-$J$1772)/$I$1772)</f>
        <v/>
      </c>
      <c r="J1799">
        <f>(I1799-IF(I1780&gt;0,I1780,0))</f>
        <v/>
      </c>
      <c r="K1799">
        <f>J1799/R1783*1.1</f>
        <v/>
      </c>
      <c r="L1799" s="23" t="inlineStr">
        <is>
          <t>Average</t>
        </is>
      </c>
      <c r="M1799" s="23" t="inlineStr">
        <is>
          <t>Stdev</t>
        </is>
      </c>
      <c r="N1799" s="9" t="inlineStr">
        <is>
          <t>Combined</t>
        </is>
      </c>
      <c r="Q1799" t="inlineStr">
        <is>
          <t>K3-6A</t>
        </is>
      </c>
      <c r="R1799" t="n">
        <v>1.1289</v>
      </c>
    </row>
    <row r="1800">
      <c r="A1800" s="19" t="n">
        <v>28</v>
      </c>
      <c r="B1800" s="19" t="inlineStr">
        <is>
          <t>K4-5A</t>
        </is>
      </c>
      <c r="D1800" t="n">
        <v>16.57</v>
      </c>
      <c r="E1800" t="n">
        <v>1.826</v>
      </c>
      <c r="F1800" t="n">
        <v>2517.348</v>
      </c>
      <c r="G1800" t="n">
        <v>0.398</v>
      </c>
      <c r="H1800">
        <f>E1800/F1800</f>
        <v/>
      </c>
      <c r="I1800">
        <f>((H1800-$J$1772)/$I$1772)</f>
        <v/>
      </c>
      <c r="J1800">
        <f>(I1800-IF(I1780&gt;0,I1780,0))</f>
        <v/>
      </c>
      <c r="K1800">
        <f>J1800/R1784*1.1</f>
        <v/>
      </c>
      <c r="L1800">
        <f>AVERAGE(K1800:K1802)</f>
        <v/>
      </c>
      <c r="M1800">
        <f>STDEV(K1800:K1802)</f>
        <v/>
      </c>
      <c r="N1800">
        <f>_xlfn.CONCAT(ROUND(L1800,1)," ± ",ROUND(M1800,1))</f>
        <v/>
      </c>
      <c r="Q1800" t="inlineStr">
        <is>
          <t>K3-6B</t>
        </is>
      </c>
      <c r="R1800" t="n">
        <v>1.195</v>
      </c>
    </row>
    <row r="1801">
      <c r="A1801" s="19" t="n">
        <v>29</v>
      </c>
      <c r="B1801" s="19" t="inlineStr">
        <is>
          <t>K4-5B</t>
        </is>
      </c>
      <c r="D1801" t="n">
        <v>16.52</v>
      </c>
      <c r="E1801" t="n">
        <v>11.006</v>
      </c>
      <c r="F1801" t="n">
        <v>2760.21</v>
      </c>
      <c r="G1801" t="n">
        <v>139</v>
      </c>
      <c r="H1801">
        <f>E1801/F1801</f>
        <v/>
      </c>
      <c r="I1801">
        <f>((H1801-$J$1772)/$I$1772)</f>
        <v/>
      </c>
      <c r="J1801">
        <f>(I1801-IF(I1780&gt;0,I1780,0))</f>
        <v/>
      </c>
      <c r="K1801">
        <f>J1801/R1785*1.1</f>
        <v/>
      </c>
      <c r="Q1801" t="inlineStr">
        <is>
          <t>K3-6C</t>
        </is>
      </c>
      <c r="R1801" t="n">
        <v>1.1716</v>
      </c>
    </row>
    <row r="1802">
      <c r="A1802" s="19" t="n">
        <v>30</v>
      </c>
      <c r="B1802" s="19" t="inlineStr">
        <is>
          <t>K4-5C</t>
        </is>
      </c>
      <c r="D1802" t="n">
        <v>16.03</v>
      </c>
      <c r="E1802" t="n">
        <v>4.277</v>
      </c>
      <c r="F1802" t="n">
        <v>2323.882</v>
      </c>
      <c r="G1802" t="n">
        <v>44</v>
      </c>
      <c r="H1802">
        <f>E1802/F1802</f>
        <v/>
      </c>
      <c r="I1802">
        <f>((H1802-$J$1772)/$I$1772)</f>
        <v/>
      </c>
      <c r="J1802">
        <f>(I1802-IF(I1780&gt;0,I1780,0))</f>
        <v/>
      </c>
      <c r="K1802">
        <f>J1802/R1786*1.1</f>
        <v/>
      </c>
      <c r="L1802" s="23" t="n"/>
      <c r="M1802" s="23" t="n"/>
      <c r="N1802" s="9" t="n"/>
    </row>
    <row r="1803">
      <c r="A1803" s="19" t="n">
        <v>31</v>
      </c>
      <c r="B1803" s="19" t="inlineStr">
        <is>
          <t>MeOH</t>
        </is>
      </c>
      <c r="L1803" s="23" t="inlineStr">
        <is>
          <t>Average</t>
        </is>
      </c>
      <c r="M1803" s="23" t="inlineStr">
        <is>
          <t>Stdev</t>
        </is>
      </c>
      <c r="N1803" s="9" t="inlineStr">
        <is>
          <t>Combined</t>
        </is>
      </c>
    </row>
    <row r="1804">
      <c r="A1804" s="19" t="n">
        <v>32</v>
      </c>
      <c r="B1804" s="19" t="inlineStr">
        <is>
          <t>K3-1A</t>
        </is>
      </c>
      <c r="F1804" t="n">
        <v>3000.735</v>
      </c>
      <c r="H1804">
        <f>E1804/F1804</f>
        <v/>
      </c>
      <c r="I1804">
        <f>((H1804-$J$1772)/$I$1772)</f>
        <v/>
      </c>
      <c r="J1804">
        <f>(I1804-IF(I1780&gt;0,I1780,0))</f>
        <v/>
      </c>
      <c r="K1804">
        <f>J1804/R1787*1.1</f>
        <v/>
      </c>
      <c r="L1804">
        <f>AVERAGE(K1804:K1806)</f>
        <v/>
      </c>
      <c r="M1804">
        <f>STDEV(K1805:K1806)</f>
        <v/>
      </c>
      <c r="N1804">
        <f>_xlfn.CONCAT(ROUND(L1804,1)," ± ",ROUND(M1804,1))</f>
        <v/>
      </c>
    </row>
    <row r="1805">
      <c r="A1805" s="19" t="n">
        <v>33</v>
      </c>
      <c r="B1805" s="19" t="inlineStr">
        <is>
          <t>K3-1B</t>
        </is>
      </c>
      <c r="D1805" t="n">
        <v>16.5</v>
      </c>
      <c r="E1805" t="n">
        <v>1.102</v>
      </c>
      <c r="F1805" t="n">
        <v>1898.942</v>
      </c>
      <c r="G1805" t="n">
        <v>13</v>
      </c>
      <c r="H1805">
        <f>E1805/F1805</f>
        <v/>
      </c>
      <c r="I1805">
        <f>((H1805-$J$1772)/$I$1772)</f>
        <v/>
      </c>
      <c r="J1805">
        <f>(I1805-IF(I1780&gt;0,I1780,0))</f>
        <v/>
      </c>
      <c r="K1805">
        <f>J1805/R1788*1.1</f>
        <v/>
      </c>
    </row>
    <row r="1806">
      <c r="A1806" s="19" t="n">
        <v>34</v>
      </c>
      <c r="B1806" s="19" t="inlineStr">
        <is>
          <t>K3-1C</t>
        </is>
      </c>
      <c r="F1806" t="n">
        <v>3850.193</v>
      </c>
      <c r="H1806">
        <f>E1806/F1806</f>
        <v/>
      </c>
      <c r="I1806">
        <f>((H1806-$J$1772)/$I$1772)</f>
        <v/>
      </c>
      <c r="J1806">
        <f>(I1806-IF(I1780&gt;0,I1780,0))</f>
        <v/>
      </c>
      <c r="K1806">
        <f>J1806/R1789*1.1</f>
        <v/>
      </c>
      <c r="L1806" s="23" t="inlineStr">
        <is>
          <t>Average</t>
        </is>
      </c>
      <c r="M1806" s="23" t="inlineStr">
        <is>
          <t>Stdev</t>
        </is>
      </c>
      <c r="N1806" s="9" t="inlineStr">
        <is>
          <t>Combined</t>
        </is>
      </c>
    </row>
    <row r="1807">
      <c r="A1807" s="19" t="n">
        <v>35</v>
      </c>
      <c r="B1807" s="19" t="inlineStr">
        <is>
          <t>K3-2A</t>
        </is>
      </c>
      <c r="D1807" t="n">
        <v>16.52</v>
      </c>
      <c r="E1807" t="n">
        <v>20.768</v>
      </c>
      <c r="F1807" t="n">
        <v>3639.932</v>
      </c>
      <c r="G1807" t="n">
        <v>4.785</v>
      </c>
      <c r="H1807">
        <f>E1807/F1807</f>
        <v/>
      </c>
      <c r="I1807">
        <f>((H1807-$J$1772)/$I$1772)</f>
        <v/>
      </c>
      <c r="J1807">
        <f>(I1807-IF(I1780&gt;0,I1780,0))</f>
        <v/>
      </c>
      <c r="K1807">
        <f>J1807/R1790*1.1</f>
        <v/>
      </c>
      <c r="L1807">
        <f>AVERAGE(K1807:K1809)</f>
        <v/>
      </c>
      <c r="M1807">
        <f>STDEV(K1807:K1809)</f>
        <v/>
      </c>
      <c r="N1807">
        <f>_xlfn.CONCAT(ROUND(L1807,1)," ± ",ROUND(M1807,1))</f>
        <v/>
      </c>
    </row>
    <row r="1808">
      <c r="A1808" s="19" t="n">
        <v>36</v>
      </c>
      <c r="B1808" s="19" t="inlineStr">
        <is>
          <t>K3-2B</t>
        </is>
      </c>
      <c r="D1808" t="n">
        <v>16.33</v>
      </c>
      <c r="E1808" t="n">
        <v>47.035</v>
      </c>
      <c r="F1808" t="n">
        <v>3692.815</v>
      </c>
      <c r="G1808" t="n">
        <v>4.214</v>
      </c>
      <c r="H1808">
        <f>E1808/F1808</f>
        <v/>
      </c>
      <c r="I1808">
        <f>((H1808-$J$1772)/$I$1772)</f>
        <v/>
      </c>
      <c r="J1808">
        <f>(I1808-IF(I1780&gt;0,I1780,0))</f>
        <v/>
      </c>
      <c r="K1808">
        <f>J1808/R1791*1.1</f>
        <v/>
      </c>
    </row>
    <row r="1809">
      <c r="A1809" s="19" t="n">
        <v>37</v>
      </c>
      <c r="B1809" s="19" t="inlineStr">
        <is>
          <t>K3-2C</t>
        </is>
      </c>
      <c r="F1809" t="n">
        <v>2895.058</v>
      </c>
      <c r="H1809">
        <f>E1809/F1809</f>
        <v/>
      </c>
      <c r="I1809">
        <f>((H1809-$J$1772)/$I$1772)</f>
        <v/>
      </c>
      <c r="J1809">
        <f>(I1809-IF(I1780&gt;0,I1780,0))</f>
        <v/>
      </c>
      <c r="K1809">
        <f>J1809/R1792*1.1</f>
        <v/>
      </c>
      <c r="L1809" s="23" t="n"/>
      <c r="M1809" s="23" t="n"/>
      <c r="N1809" s="9" t="n"/>
    </row>
    <row r="1810">
      <c r="A1810" s="19" t="n">
        <v>38</v>
      </c>
      <c r="B1810" s="19" t="inlineStr">
        <is>
          <t>MeOH</t>
        </is>
      </c>
      <c r="D1810" t="n">
        <v>16.59</v>
      </c>
      <c r="E1810" t="n">
        <v>6.148</v>
      </c>
      <c r="G1810" t="n">
        <v>81</v>
      </c>
      <c r="L1810" s="23" t="inlineStr">
        <is>
          <t>Average</t>
        </is>
      </c>
      <c r="M1810" s="23" t="inlineStr">
        <is>
          <t>Stdev</t>
        </is>
      </c>
      <c r="N1810" s="9" t="inlineStr">
        <is>
          <t>Combined</t>
        </is>
      </c>
    </row>
    <row r="1811">
      <c r="A1811" s="19" t="n">
        <v>39</v>
      </c>
      <c r="B1811" s="19" t="inlineStr">
        <is>
          <t>K3-3A</t>
        </is>
      </c>
      <c r="F1811" t="n">
        <v>2161.935</v>
      </c>
      <c r="H1811">
        <f>E1811/F1811</f>
        <v/>
      </c>
      <c r="I1811">
        <f>((H1811-$J$1772)/$I$1772)</f>
        <v/>
      </c>
      <c r="J1811">
        <f>(I1811-IF(I1780&gt;0,I1780,0))</f>
        <v/>
      </c>
      <c r="K1811">
        <f>J1811/R1793*1.1</f>
        <v/>
      </c>
      <c r="L1811">
        <f>AVERAGE(K1811:K1813)</f>
        <v/>
      </c>
      <c r="M1811">
        <f>STDEV(K1812:K1813)</f>
        <v/>
      </c>
      <c r="N1811">
        <f>_xlfn.CONCAT(ROUND(L1811,1)," ± ",ROUND(M1811,1))</f>
        <v/>
      </c>
    </row>
    <row r="1812">
      <c r="A1812" s="19" t="n">
        <v>40</v>
      </c>
      <c r="B1812" s="19" t="inlineStr">
        <is>
          <t>K3-3B</t>
        </is>
      </c>
      <c r="D1812" t="n">
        <v>16.61</v>
      </c>
      <c r="E1812" t="n">
        <v>1.131</v>
      </c>
      <c r="F1812" t="n">
        <v>3048.598</v>
      </c>
      <c r="G1812" t="n">
        <v>15</v>
      </c>
      <c r="H1812">
        <f>E1812/F1812</f>
        <v/>
      </c>
      <c r="I1812">
        <f>((H1812-$J$1772)/$I$1772)</f>
        <v/>
      </c>
      <c r="J1812">
        <f>(I1812-IF(I1780&gt;0,I1780,0))</f>
        <v/>
      </c>
      <c r="K1812">
        <f>J1812/R1794*1.1</f>
        <v/>
      </c>
    </row>
    <row r="1813">
      <c r="A1813" s="19" t="n">
        <v>41</v>
      </c>
      <c r="B1813" s="19" t="inlineStr">
        <is>
          <t>K3-3C</t>
        </is>
      </c>
      <c r="D1813" t="n">
        <v>16.61</v>
      </c>
      <c r="E1813" t="n">
        <v>12.505</v>
      </c>
      <c r="F1813" t="n">
        <v>3225.971</v>
      </c>
      <c r="G1813" t="n">
        <v>155</v>
      </c>
      <c r="H1813">
        <f>E1813/F1813</f>
        <v/>
      </c>
      <c r="I1813">
        <f>((H1813-$J$1772)/$I$1772)</f>
        <v/>
      </c>
      <c r="J1813">
        <f>(I1813-IF(I1780&gt;0,I1780,0))</f>
        <v/>
      </c>
      <c r="K1813">
        <f>J1813/R1795*1.1</f>
        <v/>
      </c>
      <c r="L1813" s="23" t="inlineStr">
        <is>
          <t>Average</t>
        </is>
      </c>
      <c r="M1813" s="23" t="inlineStr">
        <is>
          <t>Stdev</t>
        </is>
      </c>
      <c r="N1813" s="9" t="inlineStr">
        <is>
          <t>Combined</t>
        </is>
      </c>
    </row>
    <row r="1814">
      <c r="A1814" s="19" t="n">
        <v>42</v>
      </c>
      <c r="B1814" s="19" t="inlineStr">
        <is>
          <t>K3-4A</t>
        </is>
      </c>
      <c r="F1814" t="n">
        <v>3658.864</v>
      </c>
      <c r="H1814">
        <f>E1814/F1814</f>
        <v/>
      </c>
      <c r="I1814">
        <f>((H1814-$J$1772)/$I$1772)</f>
        <v/>
      </c>
      <c r="J1814">
        <f>(I1814-IF(I1780&gt;0,I1780,0))</f>
        <v/>
      </c>
      <c r="K1814">
        <f>J1814/R1796*1.1</f>
        <v/>
      </c>
      <c r="L1814">
        <f>AVERAGE(K1814:K1816)</f>
        <v/>
      </c>
      <c r="M1814">
        <f>STDEV(K1814:K1816)</f>
        <v/>
      </c>
      <c r="N1814">
        <f>_xlfn.CONCAT(ROUND(L1814,1)," ± ",ROUND(M1814,1))</f>
        <v/>
      </c>
    </row>
    <row r="1815">
      <c r="A1815" s="19" t="n">
        <v>43</v>
      </c>
      <c r="B1815" s="19" t="inlineStr">
        <is>
          <t>K3-4B</t>
        </is>
      </c>
      <c r="D1815" t="n">
        <v>16.39</v>
      </c>
      <c r="E1815" t="n">
        <v>7.001</v>
      </c>
      <c r="F1815" t="n">
        <v>3040.107</v>
      </c>
      <c r="G1815" t="n">
        <v>63</v>
      </c>
      <c r="H1815">
        <f>E1815/F1815</f>
        <v/>
      </c>
      <c r="I1815">
        <f>((H1815-$J$1772)/$I$1772)</f>
        <v/>
      </c>
      <c r="J1815">
        <f>(I1815-IF(I1780&gt;0,I1780,0))</f>
        <v/>
      </c>
      <c r="K1815">
        <f>J1815/R1797*1.1</f>
        <v/>
      </c>
    </row>
    <row r="1816">
      <c r="A1816" s="19" t="n">
        <v>44</v>
      </c>
      <c r="B1816" s="19" t="inlineStr">
        <is>
          <t>K3-4C</t>
        </is>
      </c>
      <c r="F1816" t="n">
        <v>3328.993</v>
      </c>
      <c r="H1816">
        <f>E1816/F1816</f>
        <v/>
      </c>
      <c r="I1816">
        <f>((H1816-$J$1772)/$I$1772)</f>
        <v/>
      </c>
      <c r="J1816">
        <f>(I1816-IF(I1780&gt;0,I1780,0))</f>
        <v/>
      </c>
      <c r="K1816">
        <f>J1816/R1798*1.1</f>
        <v/>
      </c>
      <c r="L1816" s="23" t="n"/>
      <c r="M1816" s="23" t="n"/>
      <c r="N1816" s="9" t="n"/>
    </row>
    <row r="1817">
      <c r="A1817" s="19" t="n">
        <v>45</v>
      </c>
      <c r="B1817" s="19" t="inlineStr">
        <is>
          <t>MeOH</t>
        </is>
      </c>
      <c r="F1817" t="n">
        <v>22.63</v>
      </c>
      <c r="L1817" s="23" t="inlineStr">
        <is>
          <t>Average</t>
        </is>
      </c>
      <c r="M1817" s="23" t="inlineStr">
        <is>
          <t>Stdev</t>
        </is>
      </c>
      <c r="N1817" s="9" t="inlineStr">
        <is>
          <t>Combined</t>
        </is>
      </c>
    </row>
    <row r="1818">
      <c r="A1818" s="19" t="n">
        <v>46</v>
      </c>
      <c r="B1818" s="19" t="inlineStr">
        <is>
          <t>K3-6A</t>
        </is>
      </c>
      <c r="D1818" t="n">
        <v>16.49</v>
      </c>
      <c r="E1818" t="n">
        <v>12.383</v>
      </c>
      <c r="F1818" t="n">
        <v>3672.744</v>
      </c>
      <c r="G1818" t="n">
        <v>143</v>
      </c>
      <c r="H1818">
        <f>E1818/F1818</f>
        <v/>
      </c>
      <c r="I1818">
        <f>((H1818-$J$1772)/$I$1772)</f>
        <v/>
      </c>
      <c r="J1818">
        <f>(I1818-IF(I1780&gt;0,I1780,0))</f>
        <v/>
      </c>
      <c r="K1818">
        <f>J1818/R1799*1.1</f>
        <v/>
      </c>
      <c r="L1818">
        <f>AVERAGE(K1818:K1820)</f>
        <v/>
      </c>
      <c r="M1818">
        <f>STDEV(K1819:K1820)</f>
        <v/>
      </c>
      <c r="N1818">
        <f>_xlfn.CONCAT(ROUND(L1818,1)," ± ",ROUND(M1818,1))</f>
        <v/>
      </c>
    </row>
    <row r="1819">
      <c r="A1819" s="19" t="n">
        <v>47</v>
      </c>
      <c r="B1819" s="19" t="inlineStr">
        <is>
          <t>K3-6B</t>
        </is>
      </c>
      <c r="F1819" t="n">
        <v>2772.744</v>
      </c>
      <c r="H1819">
        <f>E1819/F1819</f>
        <v/>
      </c>
      <c r="I1819">
        <f>((H1819-$J$1772)/$I$1772)</f>
        <v/>
      </c>
      <c r="J1819">
        <f>(I1819-IF(I1780&gt;0,I1780,0))</f>
        <v/>
      </c>
      <c r="K1819">
        <f>J1819/R1800*1.1</f>
        <v/>
      </c>
    </row>
    <row r="1820">
      <c r="A1820" s="19" t="n">
        <v>48</v>
      </c>
      <c r="B1820" s="19" t="inlineStr">
        <is>
          <t>K3-6C</t>
        </is>
      </c>
      <c r="D1820" t="n">
        <v>16.3</v>
      </c>
      <c r="E1820" t="n">
        <v>4.174</v>
      </c>
      <c r="F1820" t="n">
        <v>2464.405</v>
      </c>
      <c r="G1820" t="n">
        <v>45</v>
      </c>
      <c r="H1820">
        <f>E1820/F1820</f>
        <v/>
      </c>
      <c r="I1820">
        <f>((H1820-$J$1772)/$I$1772)</f>
        <v/>
      </c>
      <c r="J1820">
        <f>(I1820-IF(I1780&gt;0,I1780,0))</f>
        <v/>
      </c>
      <c r="K1820">
        <f>J1820/R1801*1.1</f>
        <v/>
      </c>
      <c r="L1820" s="23" t="n"/>
      <c r="M1820" s="23" t="n"/>
      <c r="N1820" s="9" t="n"/>
    </row>
    <row r="1822">
      <c r="A1822" t="inlineStr">
        <is>
          <t>Compound 88:  8:2 FTS 1</t>
        </is>
      </c>
    </row>
    <row r="1823">
      <c r="I1823" t="inlineStr">
        <is>
          <t>LINEST</t>
        </is>
      </c>
      <c r="Q1823" t="inlineStr">
        <is>
          <t>Biosolids Masses</t>
        </is>
      </c>
      <c r="R1823" t="inlineStr">
        <is>
          <t>(g)</t>
        </is>
      </c>
    </row>
    <row r="1824">
      <c r="B1824" t="inlineStr">
        <is>
          <t>Sample Text</t>
        </is>
      </c>
      <c r="C1824" t="inlineStr">
        <is>
          <t>Std. Conc</t>
        </is>
      </c>
      <c r="D1824" t="inlineStr">
        <is>
          <t>RT</t>
        </is>
      </c>
      <c r="E1824" t="inlineStr">
        <is>
          <t>Area</t>
        </is>
      </c>
      <c r="F1824" t="inlineStr">
        <is>
          <t>IS Area</t>
        </is>
      </c>
      <c r="G1824" t="inlineStr">
        <is>
          <t>S/N</t>
        </is>
      </c>
      <c r="H1824" t="inlineStr">
        <is>
          <t>ratio</t>
        </is>
      </c>
      <c r="I1824">
        <f t="array" ref="I1824:J1828">LINEST(H1827:H1832,C1827:C1832,1,1)</f>
        <v/>
      </c>
      <c r="J1824" t="n">
        <v>0.2442968521685083</v>
      </c>
      <c r="L1824" s="20" t="inlineStr">
        <is>
          <t>By S/N Ratio</t>
        </is>
      </c>
      <c r="Q1824" t="inlineStr">
        <is>
          <t>SS1</t>
        </is>
      </c>
      <c r="R1824" t="n">
        <v>1.0846</v>
      </c>
    </row>
    <row r="1825">
      <c r="A1825" t="n">
        <v>1</v>
      </c>
      <c r="B1825" t="inlineStr">
        <is>
          <t>EPA1633 &amp; diPAPs Calibration 0 ppb</t>
        </is>
      </c>
      <c r="C1825" t="n">
        <v>0</v>
      </c>
      <c r="D1825" t="n">
        <v>13.85</v>
      </c>
      <c r="E1825" t="n">
        <v>276.706</v>
      </c>
      <c r="F1825" t="n">
        <v>30965.986</v>
      </c>
      <c r="G1825" t="n">
        <v>8.314</v>
      </c>
      <c r="H1825">
        <f>E1825/F1825</f>
        <v/>
      </c>
      <c r="I1825" t="n">
        <v>0.005337396924338367</v>
      </c>
      <c r="J1825" t="n">
        <v>0.1999295132130484</v>
      </c>
      <c r="K1825" t="inlineStr">
        <is>
          <t>LOD</t>
        </is>
      </c>
      <c r="L1825" s="21">
        <f>IF(G1828&gt;3,C1828,IF(G1829&gt;3,C1829,IF(G1830&gt;3,C1830,IF(G1831&gt;3,C1831,C1832))))</f>
        <v/>
      </c>
      <c r="Q1825" t="inlineStr">
        <is>
          <t>SS2</t>
        </is>
      </c>
      <c r="R1825" t="n">
        <v>1.0726</v>
      </c>
    </row>
    <row r="1826">
      <c r="A1826" t="n">
        <v>2</v>
      </c>
      <c r="B1826" t="inlineStr">
        <is>
          <t>EPA1633 &amp; diPAPs Calibration 0.02 ppb</t>
        </is>
      </c>
      <c r="C1826" t="n">
        <v>0.08</v>
      </c>
      <c r="D1826" t="n">
        <v>13.86</v>
      </c>
      <c r="E1826" t="n">
        <v>1018.703</v>
      </c>
      <c r="F1826" t="n">
        <v>26256.979</v>
      </c>
      <c r="G1826" t="n">
        <v>7885</v>
      </c>
      <c r="H1826">
        <f>E1826/F1826</f>
        <v/>
      </c>
      <c r="I1826" t="n">
        <v>0.978101268755634</v>
      </c>
      <c r="J1826" t="n">
        <v>0.3723213437274169</v>
      </c>
      <c r="K1826" t="inlineStr">
        <is>
          <t>LOQ</t>
        </is>
      </c>
      <c r="L1826" s="22">
        <f>IF(G1828&gt;10,C1828,IF(G1829&gt;10,C1829,IF(G1830&gt;10,C1830,IF(G1831&gt;10,C1831,C1832))))</f>
        <v/>
      </c>
      <c r="Q1826" t="inlineStr">
        <is>
          <t>SS3</t>
        </is>
      </c>
      <c r="R1826" t="n">
        <v>1.1534</v>
      </c>
    </row>
    <row r="1827">
      <c r="A1827" t="n">
        <v>3</v>
      </c>
      <c r="B1827" t="inlineStr">
        <is>
          <t>EPA1633 &amp; diPAPs Calibration 0.1 ppb</t>
        </is>
      </c>
      <c r="C1827" t="n">
        <v>0.4</v>
      </c>
      <c r="D1827" t="n">
        <v>13.86</v>
      </c>
      <c r="E1827" t="n">
        <v>2584.64</v>
      </c>
      <c r="F1827" t="n">
        <v>29442.266</v>
      </c>
      <c r="G1827" t="n">
        <v>170.53</v>
      </c>
      <c r="H1827">
        <f>E1827/F1827</f>
        <v/>
      </c>
      <c r="I1827" t="n">
        <v>178.6589840006869</v>
      </c>
      <c r="J1827" t="n">
        <v>4</v>
      </c>
      <c r="Q1827" t="inlineStr">
        <is>
          <t>K4-1A</t>
        </is>
      </c>
      <c r="R1827" t="n">
        <v>1.0267</v>
      </c>
    </row>
    <row r="1828">
      <c r="A1828" t="n">
        <v>4</v>
      </c>
      <c r="B1828" t="inlineStr">
        <is>
          <t>EPA1633 &amp; diPAPs Calibration 0.4 ppb</t>
        </is>
      </c>
      <c r="C1828" t="n">
        <v>1.6</v>
      </c>
      <c r="D1828" t="n">
        <v>13.88</v>
      </c>
      <c r="E1828" t="n">
        <v>6387.782</v>
      </c>
      <c r="F1828" t="n">
        <v>26004.189</v>
      </c>
      <c r="G1828" t="n">
        <v>417.713</v>
      </c>
      <c r="H1828">
        <f>E1828/F1828</f>
        <v/>
      </c>
      <c r="I1828" t="n">
        <v>24.76627703282608</v>
      </c>
      <c r="J1828" t="n">
        <v>0.5544927319799572</v>
      </c>
      <c r="Q1828" t="inlineStr">
        <is>
          <t>K4-1B</t>
        </is>
      </c>
      <c r="R1828" t="n">
        <v>1.1481</v>
      </c>
    </row>
    <row r="1829">
      <c r="A1829" t="n">
        <v>5</v>
      </c>
      <c r="B1829" t="inlineStr">
        <is>
          <t>EPA1633 &amp; diPAPs Calibration 1 ppb</t>
        </is>
      </c>
      <c r="C1829" t="n">
        <v>4</v>
      </c>
      <c r="D1829" t="n">
        <v>13.86</v>
      </c>
      <c r="E1829" t="n">
        <v>11925.851</v>
      </c>
      <c r="F1829" t="n">
        <v>33901.273</v>
      </c>
      <c r="G1829" t="n">
        <v>86642</v>
      </c>
      <c r="H1829">
        <f>E1829/F1829</f>
        <v/>
      </c>
      <c r="Q1829" t="inlineStr">
        <is>
          <t>K4-1C</t>
        </is>
      </c>
      <c r="R1829" t="n">
        <v>1.0402</v>
      </c>
    </row>
    <row r="1830">
      <c r="A1830" t="n">
        <v>6</v>
      </c>
      <c r="B1830" t="inlineStr">
        <is>
          <t>EPA1633 &amp; diPAPs Calibration 5 ppb</t>
        </is>
      </c>
      <c r="C1830" t="n">
        <v>20</v>
      </c>
      <c r="D1830" t="n">
        <v>13.81</v>
      </c>
      <c r="E1830" t="n">
        <v>55993.508</v>
      </c>
      <c r="F1830" t="n">
        <v>29163.5</v>
      </c>
      <c r="G1830" t="n">
        <v>1422.991</v>
      </c>
      <c r="H1830">
        <f>E1830/F1830</f>
        <v/>
      </c>
      <c r="Q1830" t="inlineStr">
        <is>
          <t>K4-2A</t>
        </is>
      </c>
      <c r="R1830" t="n">
        <v>1.127</v>
      </c>
    </row>
    <row r="1831">
      <c r="A1831" t="n">
        <v>7</v>
      </c>
      <c r="B1831" t="inlineStr">
        <is>
          <t>EPA1633 &amp; diPAPs Calibration 10 ppb</t>
        </is>
      </c>
      <c r="C1831" t="n">
        <v>40</v>
      </c>
      <c r="D1831" t="n">
        <v>13.82</v>
      </c>
      <c r="E1831" t="n">
        <v>96105.359</v>
      </c>
      <c r="F1831" t="n">
        <v>26316.053</v>
      </c>
      <c r="G1831" t="n">
        <v>721.8099999999999</v>
      </c>
      <c r="H1831">
        <f>E1831/F1831</f>
        <v/>
      </c>
      <c r="I1831" s="23" t="inlineStr">
        <is>
          <t>Background</t>
        </is>
      </c>
      <c r="J1831" s="23" t="inlineStr">
        <is>
          <t>Spike</t>
        </is>
      </c>
      <c r="K1831" s="9" t="inlineStr">
        <is>
          <t>Old Spike</t>
        </is>
      </c>
      <c r="O1831" s="24" t="inlineStr">
        <is>
          <t>±</t>
        </is>
      </c>
      <c r="Q1831" t="inlineStr">
        <is>
          <t>K4-2B</t>
        </is>
      </c>
      <c r="R1831" t="n">
        <v>1.1154</v>
      </c>
    </row>
    <row r="1832">
      <c r="A1832" t="n">
        <v>8</v>
      </c>
      <c r="B1832" t="inlineStr">
        <is>
          <t>EPA1633 &amp; diPAPs Calibration 20 ppb</t>
        </is>
      </c>
      <c r="C1832" t="n">
        <v>80</v>
      </c>
      <c r="D1832" t="n">
        <v>13.85</v>
      </c>
      <c r="E1832" t="n">
        <v>196691.609</v>
      </c>
      <c r="F1832" t="n">
        <v>34970.711</v>
      </c>
      <c r="G1832" t="n">
        <v>1007.646</v>
      </c>
      <c r="H1832">
        <f>E1832/F1832</f>
        <v/>
      </c>
      <c r="I1832">
        <f>AVERAGE(I1835:I1837)</f>
        <v/>
      </c>
      <c r="J1832" t="n">
        <v>44</v>
      </c>
      <c r="Q1832" t="inlineStr">
        <is>
          <t>K4-2C</t>
        </is>
      </c>
      <c r="R1832" t="n">
        <v>1.1711</v>
      </c>
    </row>
    <row r="1833">
      <c r="A1833" t="n">
        <v>9</v>
      </c>
      <c r="B1833" t="inlineStr">
        <is>
          <t>MeOH</t>
        </is>
      </c>
      <c r="D1833" t="n">
        <v>13.88</v>
      </c>
      <c r="E1833" t="n">
        <v>485.21</v>
      </c>
      <c r="F1833" t="n">
        <v>190.67</v>
      </c>
      <c r="G1833" t="n">
        <v>3967</v>
      </c>
      <c r="I1833" s="23" t="inlineStr">
        <is>
          <t>Conc.In Vial (ppb)</t>
        </is>
      </c>
      <c r="J1833" s="9" t="inlineStr">
        <is>
          <t>Corr. Conc.(ppb)</t>
        </is>
      </c>
      <c r="K1833" s="9" t="inlineStr">
        <is>
          <t>Conc. In soil (ng/g)</t>
        </is>
      </c>
      <c r="Q1833" t="inlineStr">
        <is>
          <t>K4-4A</t>
        </is>
      </c>
      <c r="R1833" t="n">
        <v>1.0932</v>
      </c>
    </row>
    <row r="1834">
      <c r="A1834" t="n">
        <v>10</v>
      </c>
      <c r="B1834" t="inlineStr">
        <is>
          <t>MeOH</t>
        </is>
      </c>
      <c r="D1834" t="n">
        <v>13.92</v>
      </c>
      <c r="E1834" t="n">
        <v>278.556</v>
      </c>
      <c r="G1834" t="n">
        <v>8.02</v>
      </c>
      <c r="L1834" s="23" t="inlineStr">
        <is>
          <t>Average</t>
        </is>
      </c>
      <c r="M1834" s="23" t="inlineStr">
        <is>
          <t>Stdev</t>
        </is>
      </c>
      <c r="N1834" s="9" t="inlineStr">
        <is>
          <t>Combined</t>
        </is>
      </c>
      <c r="O1834" s="9" t="n"/>
      <c r="P1834" s="9" t="n"/>
      <c r="Q1834" t="inlineStr">
        <is>
          <t>K4-4B</t>
        </is>
      </c>
      <c r="R1834" t="n">
        <v>1.15</v>
      </c>
    </row>
    <row r="1835">
      <c r="A1835" t="n">
        <v>11</v>
      </c>
      <c r="B1835" t="inlineStr">
        <is>
          <t>SB1</t>
        </is>
      </c>
      <c r="D1835" t="n">
        <v>13.86</v>
      </c>
      <c r="E1835" t="n">
        <v>85.29000000000001</v>
      </c>
      <c r="F1835" t="n">
        <v>13138.81</v>
      </c>
      <c r="G1835" t="n">
        <v>681</v>
      </c>
      <c r="H1835">
        <f>E1835/F1835</f>
        <v/>
      </c>
      <c r="I1835">
        <f>((H1835-$J$1824)/$I$1824)</f>
        <v/>
      </c>
      <c r="J1835">
        <f>(I1835-IF(I1832&gt;0,I1832,0))</f>
        <v/>
      </c>
      <c r="K1835">
        <f>J1835*1.1</f>
        <v/>
      </c>
      <c r="L1835">
        <f>AVERAGE(K1835:K1837)</f>
        <v/>
      </c>
      <c r="M1835">
        <f>STDEV(K1836:K1837)</f>
        <v/>
      </c>
      <c r="N1835">
        <f>_xlfn.CONCAT(ROUND(L1835,1)," ± ",ROUND(M1835,1))</f>
        <v/>
      </c>
      <c r="Q1835" t="inlineStr">
        <is>
          <t>K4-4C</t>
        </is>
      </c>
      <c r="R1835" t="n">
        <v>1.0482</v>
      </c>
    </row>
    <row r="1836">
      <c r="A1836" t="n">
        <v>12</v>
      </c>
      <c r="B1836" t="inlineStr">
        <is>
          <t>SB2</t>
        </is>
      </c>
      <c r="D1836" t="n">
        <v>13.91</v>
      </c>
      <c r="E1836" t="n">
        <v>8.859</v>
      </c>
      <c r="F1836" t="n">
        <v>10766.206</v>
      </c>
      <c r="G1836" t="n">
        <v>85</v>
      </c>
      <c r="H1836">
        <f>E1836/F1836</f>
        <v/>
      </c>
      <c r="I1836">
        <f>((H1836-$J$1824)/$I$1824)</f>
        <v/>
      </c>
      <c r="J1836">
        <f>(I1836-IF(I1832&gt;0,I1832,0))</f>
        <v/>
      </c>
      <c r="K1836">
        <f>J1836*1.1</f>
        <v/>
      </c>
      <c r="Q1836" t="inlineStr">
        <is>
          <t>K4-5A</t>
        </is>
      </c>
      <c r="R1836" t="n">
        <v>1.1054</v>
      </c>
    </row>
    <row r="1837">
      <c r="A1837" t="n">
        <v>13</v>
      </c>
      <c r="B1837" t="inlineStr">
        <is>
          <t>SB3</t>
        </is>
      </c>
      <c r="D1837" t="n">
        <v>13.85</v>
      </c>
      <c r="E1837" t="n">
        <v>36.471</v>
      </c>
      <c r="F1837" t="n">
        <v>11886.97</v>
      </c>
      <c r="G1837" t="n">
        <v>13.742</v>
      </c>
      <c r="H1837">
        <f>E1837/F1837</f>
        <v/>
      </c>
      <c r="I1837">
        <f>((H1837-$J$1824)/$I$1824)</f>
        <v/>
      </c>
      <c r="J1837">
        <f>(I1837-IF(I1832&gt;0,I1832,0))</f>
        <v/>
      </c>
      <c r="K1837" s="30">
        <f>J1837*1.1</f>
        <v/>
      </c>
      <c r="L1837" s="23" t="inlineStr">
        <is>
          <t>Average</t>
        </is>
      </c>
      <c r="M1837" s="23" t="inlineStr">
        <is>
          <t>Stdev</t>
        </is>
      </c>
      <c r="N1837" s="9" t="inlineStr">
        <is>
          <t>%Recovery</t>
        </is>
      </c>
      <c r="O1837" s="9" t="inlineStr">
        <is>
          <t>Uncertainty</t>
        </is>
      </c>
      <c r="P1837" s="9" t="inlineStr">
        <is>
          <t>Combined</t>
        </is>
      </c>
      <c r="Q1837" t="inlineStr">
        <is>
          <t>K4-5B</t>
        </is>
      </c>
      <c r="R1837" s="10" t="n">
        <v>1.0463</v>
      </c>
    </row>
    <row r="1838">
      <c r="A1838" t="n">
        <v>14</v>
      </c>
      <c r="B1838" t="inlineStr">
        <is>
          <t>SS1</t>
        </is>
      </c>
      <c r="D1838" t="n">
        <v>13.91</v>
      </c>
      <c r="E1838" t="n">
        <v>43100.574</v>
      </c>
      <c r="F1838" t="n">
        <v>13876.597</v>
      </c>
      <c r="G1838" t="n">
        <v>293.098</v>
      </c>
      <c r="H1838">
        <f>E1838/F1838</f>
        <v/>
      </c>
      <c r="I1838">
        <f>((H1838-$J$1824)/$I$1824)</f>
        <v/>
      </c>
      <c r="J1838">
        <f>(I1838-IF(I1832&gt;0,I1832,0))</f>
        <v/>
      </c>
      <c r="K1838">
        <f>J1838/R1824*1.1</f>
        <v/>
      </c>
      <c r="L1838" s="30">
        <f>AVERAGE(K1838:K1840)</f>
        <v/>
      </c>
      <c r="M1838" s="30">
        <f>STDEV(K1838:K1840)</f>
        <v/>
      </c>
      <c r="N1838" s="31">
        <f>L1838/J1832*100</f>
        <v/>
      </c>
      <c r="O1838">
        <f>M1838/J1835*100</f>
        <v/>
      </c>
      <c r="P1838">
        <f>_xlfn.CONCAT(ROUND(N1838,1)," ± ",ROUND(O1838,1))</f>
        <v/>
      </c>
      <c r="Q1838" t="inlineStr">
        <is>
          <t>K4-5C</t>
        </is>
      </c>
      <c r="R1838" t="n">
        <v>1.1155</v>
      </c>
    </row>
    <row r="1839">
      <c r="A1839" t="n">
        <v>15</v>
      </c>
      <c r="B1839" t="inlineStr">
        <is>
          <t>SS2</t>
        </is>
      </c>
      <c r="D1839" t="n">
        <v>13.92</v>
      </c>
      <c r="E1839" t="n">
        <v>44511.66</v>
      </c>
      <c r="F1839" t="n">
        <v>13576.301</v>
      </c>
      <c r="G1839" t="n">
        <v>1531.261</v>
      </c>
      <c r="H1839">
        <f>E1839/F1839</f>
        <v/>
      </c>
      <c r="I1839">
        <f>((H1839-$J$1824)/$I$1824)</f>
        <v/>
      </c>
      <c r="J1839">
        <f>(I1839-IF(I1832&gt;0,I1832,0))</f>
        <v/>
      </c>
      <c r="K1839">
        <f>J1839/R1825*1.1</f>
        <v/>
      </c>
      <c r="Q1839" t="inlineStr">
        <is>
          <t>K3-1A</t>
        </is>
      </c>
      <c r="R1839" t="n">
        <v>1.0874</v>
      </c>
    </row>
    <row r="1840">
      <c r="A1840" t="n">
        <v>16</v>
      </c>
      <c r="B1840" t="inlineStr">
        <is>
          <t>SS3</t>
        </is>
      </c>
      <c r="D1840" t="n">
        <v>13.94</v>
      </c>
      <c r="E1840" t="n">
        <v>43011.988</v>
      </c>
      <c r="F1840" t="n">
        <v>12674.324</v>
      </c>
      <c r="G1840" t="n">
        <v>272.056</v>
      </c>
      <c r="H1840">
        <f>E1840/F1840</f>
        <v/>
      </c>
      <c r="I1840">
        <f>((H1840-$J$1824)/$I$1824)</f>
        <v/>
      </c>
      <c r="J1840">
        <f>(I1840-IF(I1832&gt;0,I1832,0))</f>
        <v/>
      </c>
      <c r="K1840" s="30">
        <f>J1840/R1826*1.1</f>
        <v/>
      </c>
      <c r="Q1840" t="inlineStr">
        <is>
          <t>K3-1B</t>
        </is>
      </c>
      <c r="R1840" t="n">
        <v>1.0898</v>
      </c>
    </row>
    <row r="1841">
      <c r="A1841" s="19" t="n">
        <v>17</v>
      </c>
      <c r="B1841" s="19" t="inlineStr">
        <is>
          <t>MeOH</t>
        </is>
      </c>
      <c r="L1841" s="23" t="inlineStr">
        <is>
          <t>Average</t>
        </is>
      </c>
      <c r="M1841" s="23" t="inlineStr">
        <is>
          <t>Stdev</t>
        </is>
      </c>
      <c r="N1841" s="9" t="inlineStr">
        <is>
          <t>Combined</t>
        </is>
      </c>
      <c r="Q1841" t="inlineStr">
        <is>
          <t>K3-1C</t>
        </is>
      </c>
      <c r="R1841" t="n">
        <v>1.0536</v>
      </c>
    </row>
    <row r="1842">
      <c r="A1842" s="19" t="n">
        <v>18</v>
      </c>
      <c r="B1842" s="19" t="inlineStr">
        <is>
          <t>K4-1A</t>
        </is>
      </c>
      <c r="D1842" t="n">
        <v>13.91</v>
      </c>
      <c r="E1842" t="n">
        <v>119.703</v>
      </c>
      <c r="F1842" t="n">
        <v>14693.816</v>
      </c>
      <c r="G1842" t="n">
        <v>12.537</v>
      </c>
      <c r="H1842">
        <f>E1842/F1842</f>
        <v/>
      </c>
      <c r="I1842">
        <f>((H1842-$J$1824)/$I$1824)</f>
        <v/>
      </c>
      <c r="J1842">
        <f>(I1842-IF(I1832&gt;0,I1832,0))</f>
        <v/>
      </c>
      <c r="K1842">
        <f>J1842/R1827*1.1</f>
        <v/>
      </c>
      <c r="L1842">
        <f>AVERAGE(K1842:K1844)</f>
        <v/>
      </c>
      <c r="M1842">
        <f>STDEV(K1843:K1844)</f>
        <v/>
      </c>
      <c r="N1842">
        <f>_xlfn.CONCAT(ROUND(L1842,1)," ± ",ROUND(M1842,1))</f>
        <v/>
      </c>
      <c r="Q1842" t="inlineStr">
        <is>
          <t>K3-2A</t>
        </is>
      </c>
      <c r="R1842" s="10" t="n">
        <v>1.1218</v>
      </c>
    </row>
    <row r="1843">
      <c r="A1843" s="19" t="n">
        <v>19</v>
      </c>
      <c r="B1843" s="19" t="inlineStr">
        <is>
          <t>K4-1B</t>
        </is>
      </c>
      <c r="D1843" t="n">
        <v>13.92</v>
      </c>
      <c r="E1843" t="n">
        <v>0.797</v>
      </c>
      <c r="F1843" t="n">
        <v>13933.742</v>
      </c>
      <c r="G1843" t="n">
        <v>8</v>
      </c>
      <c r="H1843">
        <f>E1843/F1843</f>
        <v/>
      </c>
      <c r="I1843">
        <f>((H1843-$J$1824)/$I$1824)</f>
        <v/>
      </c>
      <c r="J1843">
        <f>(I1843-IF(I1832&gt;0,I1832,0))</f>
        <v/>
      </c>
      <c r="K1843">
        <f>J1843/R1828*1.1</f>
        <v/>
      </c>
      <c r="Q1843" t="inlineStr">
        <is>
          <t>K3-2B</t>
        </is>
      </c>
      <c r="R1843" t="n">
        <v>1.198</v>
      </c>
    </row>
    <row r="1844">
      <c r="A1844" s="19" t="n">
        <v>20</v>
      </c>
      <c r="B1844" s="19" t="inlineStr">
        <is>
          <t>K4-1C</t>
        </is>
      </c>
      <c r="D1844" t="n">
        <v>13.89</v>
      </c>
      <c r="E1844" t="n">
        <v>16.122</v>
      </c>
      <c r="F1844" t="n">
        <v>14628.158</v>
      </c>
      <c r="G1844" t="n">
        <v>154</v>
      </c>
      <c r="H1844">
        <f>E1844/F1844</f>
        <v/>
      </c>
      <c r="I1844">
        <f>((H1844-$J$1824)/$I$1824)</f>
        <v/>
      </c>
      <c r="J1844">
        <f>(I1844-IF(I1832&gt;0,I1832,0))</f>
        <v/>
      </c>
      <c r="K1844">
        <f>J1844/R1829*1.1</f>
        <v/>
      </c>
      <c r="L1844" s="23" t="inlineStr">
        <is>
          <t>Average</t>
        </is>
      </c>
      <c r="M1844" s="23" t="inlineStr">
        <is>
          <t>Stdev</t>
        </is>
      </c>
      <c r="N1844" s="9" t="inlineStr">
        <is>
          <t>Combined</t>
        </is>
      </c>
      <c r="Q1844" t="inlineStr">
        <is>
          <t>K3-2C</t>
        </is>
      </c>
      <c r="R1844" t="n">
        <v>1.1538</v>
      </c>
    </row>
    <row r="1845">
      <c r="A1845" s="19" t="n">
        <v>21</v>
      </c>
      <c r="B1845" s="19" t="inlineStr">
        <is>
          <t>K4-2A</t>
        </is>
      </c>
      <c r="D1845" t="n">
        <v>13.96</v>
      </c>
      <c r="E1845" t="n">
        <v>12.869</v>
      </c>
      <c r="F1845" t="n">
        <v>15029.15</v>
      </c>
      <c r="G1845" t="n">
        <v>5.047</v>
      </c>
      <c r="H1845">
        <f>E1845/F1845</f>
        <v/>
      </c>
      <c r="I1845">
        <f>((H1845-$J$1824)/$I$1824)</f>
        <v/>
      </c>
      <c r="J1845">
        <f>(I1845-IF(I1832&gt;0,I1832,0))</f>
        <v/>
      </c>
      <c r="K1845">
        <f>J1845/R1830*1.1</f>
        <v/>
      </c>
      <c r="L1845">
        <f>AVERAGE(K1845:K1847)</f>
        <v/>
      </c>
      <c r="M1845">
        <f>STDEV(K1845:K1847)</f>
        <v/>
      </c>
      <c r="N1845">
        <f>_xlfn.CONCAT(ROUND(L1845,1)," ± ",ROUND(M1845,1))</f>
        <v/>
      </c>
      <c r="Q1845" t="inlineStr">
        <is>
          <t>K3-3A</t>
        </is>
      </c>
      <c r="R1845" t="n">
        <v>1.1183</v>
      </c>
    </row>
    <row r="1846">
      <c r="A1846" s="19" t="n">
        <v>22</v>
      </c>
      <c r="B1846" s="19" t="inlineStr">
        <is>
          <t>K4-2B</t>
        </is>
      </c>
      <c r="D1846" t="n">
        <v>13.95</v>
      </c>
      <c r="E1846" t="n">
        <v>11.621</v>
      </c>
      <c r="F1846" t="n">
        <v>13193.37</v>
      </c>
      <c r="G1846" t="n">
        <v>3.857</v>
      </c>
      <c r="H1846">
        <f>E1846/F1846</f>
        <v/>
      </c>
      <c r="I1846">
        <f>((H1846-$J$1824)/$I$1824)</f>
        <v/>
      </c>
      <c r="J1846">
        <f>(I1846-IF(I1832&gt;0,I1832,0))</f>
        <v/>
      </c>
      <c r="K1846">
        <f>J1846/R1831*1.1</f>
        <v/>
      </c>
      <c r="Q1846" t="inlineStr">
        <is>
          <t>K3-3B</t>
        </is>
      </c>
      <c r="R1846" t="n">
        <v>1.1448</v>
      </c>
    </row>
    <row r="1847">
      <c r="A1847" s="19" t="n">
        <v>23</v>
      </c>
      <c r="B1847" s="19" t="inlineStr">
        <is>
          <t>K4-2C</t>
        </is>
      </c>
      <c r="D1847" t="n">
        <v>13.99</v>
      </c>
      <c r="E1847" t="n">
        <v>1.771</v>
      </c>
      <c r="F1847" t="n">
        <v>11709.538</v>
      </c>
      <c r="G1847" t="n">
        <v>17</v>
      </c>
      <c r="H1847">
        <f>E1847/F1847</f>
        <v/>
      </c>
      <c r="I1847">
        <f>((H1847-$J$1824)/$I$1824)</f>
        <v/>
      </c>
      <c r="J1847">
        <f>(I1847-IF(I1832&gt;0,I1832,0))</f>
        <v/>
      </c>
      <c r="K1847">
        <f>J1847/R1832*1.1</f>
        <v/>
      </c>
      <c r="L1847" s="23" t="n"/>
      <c r="M1847" s="23" t="n"/>
      <c r="N1847" s="9" t="n"/>
      <c r="Q1847" t="inlineStr">
        <is>
          <t>K3-3C</t>
        </is>
      </c>
      <c r="R1847" t="n">
        <v>1.0493</v>
      </c>
    </row>
    <row r="1848">
      <c r="A1848" s="19" t="n">
        <v>24</v>
      </c>
      <c r="B1848" s="19" t="inlineStr">
        <is>
          <t>MeOH</t>
        </is>
      </c>
      <c r="L1848" s="23" t="inlineStr">
        <is>
          <t>Average</t>
        </is>
      </c>
      <c r="M1848" s="23" t="inlineStr">
        <is>
          <t>Stdev</t>
        </is>
      </c>
      <c r="N1848" s="9" t="inlineStr">
        <is>
          <t>Combined</t>
        </is>
      </c>
      <c r="Q1848" t="inlineStr">
        <is>
          <t>K3-4A</t>
        </is>
      </c>
      <c r="R1848" t="n">
        <v>1.0704</v>
      </c>
    </row>
    <row r="1849">
      <c r="A1849" s="19" t="n">
        <v>25</v>
      </c>
      <c r="B1849" s="19" t="inlineStr">
        <is>
          <t>K4-4A</t>
        </is>
      </c>
      <c r="D1849" t="n">
        <v>14.36</v>
      </c>
      <c r="E1849" t="n">
        <v>0.952</v>
      </c>
      <c r="F1849" t="n">
        <v>15668.421</v>
      </c>
      <c r="G1849" t="n">
        <v>9</v>
      </c>
      <c r="H1849">
        <f>E1849/F1849</f>
        <v/>
      </c>
      <c r="I1849">
        <f>((H1849-$J$1824)/$I$1824)</f>
        <v/>
      </c>
      <c r="J1849">
        <f>(I1849-IF(I1832&gt;0,I1832,0))</f>
        <v/>
      </c>
      <c r="K1849">
        <f>J1849/R1833*1.1</f>
        <v/>
      </c>
      <c r="L1849">
        <f>AVERAGE(K1849:K1851)</f>
        <v/>
      </c>
      <c r="M1849">
        <f>STDEV(K1850:K1851)</f>
        <v/>
      </c>
      <c r="N1849">
        <f>_xlfn.CONCAT(ROUND(L1849,1)," ± ",ROUND(M1849,1))</f>
        <v/>
      </c>
      <c r="Q1849" t="inlineStr">
        <is>
          <t>K3-4B</t>
        </is>
      </c>
      <c r="R1849" t="n">
        <v>1.1589</v>
      </c>
    </row>
    <row r="1850">
      <c r="A1850" s="19" t="n">
        <v>26</v>
      </c>
      <c r="B1850" s="19" t="inlineStr">
        <is>
          <t>K4-4B</t>
        </is>
      </c>
      <c r="D1850" t="n">
        <v>13.99</v>
      </c>
      <c r="E1850" t="n">
        <v>25.61</v>
      </c>
      <c r="F1850" t="n">
        <v>15767.02</v>
      </c>
      <c r="G1850" t="n">
        <v>238</v>
      </c>
      <c r="H1850">
        <f>E1850/F1850</f>
        <v/>
      </c>
      <c r="I1850">
        <f>((H1850-$J$1824)/$I$1824)</f>
        <v/>
      </c>
      <c r="J1850">
        <f>(I1850-IF(I1832&gt;0,I1832,0))</f>
        <v/>
      </c>
      <c r="K1850">
        <f>J1850/R1834*1.1</f>
        <v/>
      </c>
      <c r="Q1850" t="inlineStr">
        <is>
          <t>K3-4C</t>
        </is>
      </c>
      <c r="R1850" t="n">
        <v>1.0206</v>
      </c>
    </row>
    <row r="1851">
      <c r="A1851" s="19" t="n">
        <v>27</v>
      </c>
      <c r="B1851" s="19" t="inlineStr">
        <is>
          <t>K4-4C</t>
        </is>
      </c>
      <c r="D1851" t="n">
        <v>13.95</v>
      </c>
      <c r="E1851" t="n">
        <v>15.121</v>
      </c>
      <c r="F1851" t="n">
        <v>17637.92</v>
      </c>
      <c r="G1851" t="n">
        <v>144</v>
      </c>
      <c r="H1851">
        <f>E1851/F1851</f>
        <v/>
      </c>
      <c r="I1851">
        <f>((H1851-$J$1824)/$I$1824)</f>
        <v/>
      </c>
      <c r="J1851">
        <f>(I1851-IF(I1832&gt;0,I1832,0))</f>
        <v/>
      </c>
      <c r="K1851">
        <f>J1851/R1835*1.1</f>
        <v/>
      </c>
      <c r="L1851" s="23" t="inlineStr">
        <is>
          <t>Average</t>
        </is>
      </c>
      <c r="M1851" s="23" t="inlineStr">
        <is>
          <t>Stdev</t>
        </is>
      </c>
      <c r="N1851" s="9" t="inlineStr">
        <is>
          <t>Combined</t>
        </is>
      </c>
      <c r="Q1851" t="inlineStr">
        <is>
          <t>K3-6A</t>
        </is>
      </c>
      <c r="R1851" t="n">
        <v>1.1289</v>
      </c>
    </row>
    <row r="1852">
      <c r="A1852" s="19" t="n">
        <v>28</v>
      </c>
      <c r="B1852" s="19" t="inlineStr">
        <is>
          <t>K4-5A</t>
        </is>
      </c>
      <c r="F1852" t="n">
        <v>14951.4</v>
      </c>
      <c r="H1852">
        <f>E1852/F1852</f>
        <v/>
      </c>
      <c r="I1852">
        <f>((H1852-$J$1824)/$I$1824)</f>
        <v/>
      </c>
      <c r="J1852">
        <f>(I1852-IF(I1832&gt;0,I1832,0))</f>
        <v/>
      </c>
      <c r="K1852">
        <f>J1852/R1836*1.1</f>
        <v/>
      </c>
      <c r="L1852">
        <f>AVERAGE(K1852:K1854)</f>
        <v/>
      </c>
      <c r="M1852">
        <f>STDEV(K1852:K1854)</f>
        <v/>
      </c>
      <c r="N1852">
        <f>_xlfn.CONCAT(ROUND(L1852,1)," ± ",ROUND(M1852,1))</f>
        <v/>
      </c>
      <c r="Q1852" t="inlineStr">
        <is>
          <t>K3-6B</t>
        </is>
      </c>
      <c r="R1852" t="n">
        <v>1.195</v>
      </c>
    </row>
    <row r="1853">
      <c r="A1853" s="19" t="n">
        <v>29</v>
      </c>
      <c r="B1853" s="19" t="inlineStr">
        <is>
          <t>K4-5B</t>
        </is>
      </c>
      <c r="F1853" t="n">
        <v>14532.852</v>
      </c>
      <c r="H1853">
        <f>E1853/F1853</f>
        <v/>
      </c>
      <c r="I1853">
        <f>((H1853-$J$1824)/$I$1824)</f>
        <v/>
      </c>
      <c r="J1853">
        <f>(I1853-IF(I1832&gt;0,I1832,0))</f>
        <v/>
      </c>
      <c r="K1853">
        <f>J1853/R1837*1.1</f>
        <v/>
      </c>
      <c r="Q1853" t="inlineStr">
        <is>
          <t>K3-6C</t>
        </is>
      </c>
      <c r="R1853" t="n">
        <v>1.1716</v>
      </c>
    </row>
    <row r="1854">
      <c r="A1854" s="19" t="n">
        <v>30</v>
      </c>
      <c r="B1854" s="19" t="inlineStr">
        <is>
          <t>K4-5C</t>
        </is>
      </c>
      <c r="D1854" t="n">
        <v>13.92</v>
      </c>
      <c r="E1854" t="n">
        <v>3.827</v>
      </c>
      <c r="F1854" t="n">
        <v>14835.213</v>
      </c>
      <c r="G1854" t="n">
        <v>37</v>
      </c>
      <c r="H1854">
        <f>E1854/F1854</f>
        <v/>
      </c>
      <c r="I1854">
        <f>((H1854-$J$1824)/$I$1824)</f>
        <v/>
      </c>
      <c r="J1854">
        <f>(I1854-IF(I1832&gt;0,I1832,0))</f>
        <v/>
      </c>
      <c r="K1854">
        <f>J1854/R1838*1.1</f>
        <v/>
      </c>
      <c r="L1854" s="23" t="n"/>
      <c r="M1854" s="23" t="n"/>
      <c r="N1854" s="9" t="n"/>
    </row>
    <row r="1855">
      <c r="A1855" s="19" t="n">
        <v>31</v>
      </c>
      <c r="B1855" s="19" t="inlineStr">
        <is>
          <t>MeOH</t>
        </is>
      </c>
      <c r="L1855" s="23" t="inlineStr">
        <is>
          <t>Average</t>
        </is>
      </c>
      <c r="M1855" s="23" t="inlineStr">
        <is>
          <t>Stdev</t>
        </is>
      </c>
      <c r="N1855" s="9" t="inlineStr">
        <is>
          <t>Combined</t>
        </is>
      </c>
    </row>
    <row r="1856">
      <c r="A1856" s="19" t="n">
        <v>32</v>
      </c>
      <c r="B1856" s="19" t="inlineStr">
        <is>
          <t>K3-1A</t>
        </is>
      </c>
      <c r="D1856" t="n">
        <v>13.76</v>
      </c>
      <c r="E1856" t="n">
        <v>0.406</v>
      </c>
      <c r="F1856" t="n">
        <v>15618.279</v>
      </c>
      <c r="G1856" t="n">
        <v>4</v>
      </c>
      <c r="H1856">
        <f>E1856/F1856</f>
        <v/>
      </c>
      <c r="I1856">
        <f>((H1856-$J$1824)/$I$1824)</f>
        <v/>
      </c>
      <c r="J1856">
        <f>(I1856-IF(I1832&gt;0,I1832,0))</f>
        <v/>
      </c>
      <c r="K1856">
        <f>J1856/R1839*1.1</f>
        <v/>
      </c>
      <c r="L1856">
        <f>AVERAGE(K1856:K1858)</f>
        <v/>
      </c>
      <c r="M1856">
        <f>STDEV(K1857:K1858)</f>
        <v/>
      </c>
      <c r="N1856">
        <f>_xlfn.CONCAT(ROUND(L1856,1)," ± ",ROUND(M1856,1))</f>
        <v/>
      </c>
    </row>
    <row r="1857">
      <c r="A1857" s="19" t="n">
        <v>33</v>
      </c>
      <c r="B1857" s="19" t="inlineStr">
        <is>
          <t>K3-1B</t>
        </is>
      </c>
      <c r="D1857" t="n">
        <v>13.85</v>
      </c>
      <c r="E1857" t="n">
        <v>35.68</v>
      </c>
      <c r="F1857" t="n">
        <v>15026.766</v>
      </c>
      <c r="G1857" t="n">
        <v>328</v>
      </c>
      <c r="H1857">
        <f>E1857/F1857</f>
        <v/>
      </c>
      <c r="I1857">
        <f>((H1857-$J$1824)/$I$1824)</f>
        <v/>
      </c>
      <c r="J1857">
        <f>(I1857-IF(I1832&gt;0,I1832,0))</f>
        <v/>
      </c>
      <c r="K1857">
        <f>J1857/R1840*1.1</f>
        <v/>
      </c>
    </row>
    <row r="1858">
      <c r="A1858" s="19" t="n">
        <v>34</v>
      </c>
      <c r="B1858" s="19" t="inlineStr">
        <is>
          <t>K3-1C</t>
        </is>
      </c>
      <c r="F1858" t="n">
        <v>20473.66</v>
      </c>
      <c r="H1858">
        <f>E1858/F1858</f>
        <v/>
      </c>
      <c r="I1858">
        <f>((H1858-$J$1824)/$I$1824)</f>
        <v/>
      </c>
      <c r="J1858">
        <f>(I1858-IF(I1832&gt;0,I1832,0))</f>
        <v/>
      </c>
      <c r="K1858">
        <f>J1858/R1841*1.1</f>
        <v/>
      </c>
      <c r="L1858" s="23" t="inlineStr">
        <is>
          <t>Average</t>
        </is>
      </c>
      <c r="M1858" s="23" t="inlineStr">
        <is>
          <t>Stdev</t>
        </is>
      </c>
      <c r="N1858" s="9" t="inlineStr">
        <is>
          <t>Combined</t>
        </is>
      </c>
    </row>
    <row r="1859">
      <c r="A1859" s="19" t="n">
        <v>35</v>
      </c>
      <c r="B1859" s="19" t="inlineStr">
        <is>
          <t>K3-2A</t>
        </is>
      </c>
      <c r="D1859" t="n">
        <v>13.88</v>
      </c>
      <c r="E1859" t="n">
        <v>57.116</v>
      </c>
      <c r="F1859" t="n">
        <v>18932.715</v>
      </c>
      <c r="G1859" t="n">
        <v>3.817</v>
      </c>
      <c r="H1859">
        <f>E1859/F1859</f>
        <v/>
      </c>
      <c r="I1859">
        <f>((H1859-$J$1824)/$I$1824)</f>
        <v/>
      </c>
      <c r="J1859">
        <f>(I1859-IF(I1832&gt;0,I1832,0))</f>
        <v/>
      </c>
      <c r="K1859">
        <f>J1859/R1842*1.1</f>
        <v/>
      </c>
      <c r="L1859">
        <f>AVERAGE(K1859:K1861)</f>
        <v/>
      </c>
      <c r="M1859">
        <f>STDEV(K1859:K1861)</f>
        <v/>
      </c>
      <c r="N1859">
        <f>_xlfn.CONCAT(ROUND(L1859,1)," ± ",ROUND(M1859,1))</f>
        <v/>
      </c>
    </row>
    <row r="1860">
      <c r="A1860" s="19" t="n">
        <v>36</v>
      </c>
      <c r="B1860" s="19" t="inlineStr">
        <is>
          <t>K3-2B</t>
        </is>
      </c>
      <c r="D1860" t="n">
        <v>14.69</v>
      </c>
      <c r="E1860" t="n">
        <v>2.656</v>
      </c>
      <c r="F1860" t="n">
        <v>20441.465</v>
      </c>
      <c r="G1860" t="n">
        <v>24</v>
      </c>
      <c r="H1860">
        <f>E1860/F1860</f>
        <v/>
      </c>
      <c r="I1860">
        <f>((H1860-$J$1824)/$I$1824)</f>
        <v/>
      </c>
      <c r="J1860">
        <f>(I1860-IF(I1832&gt;0,I1832,0))</f>
        <v/>
      </c>
      <c r="K1860">
        <f>J1860/R1843*1.1</f>
        <v/>
      </c>
    </row>
    <row r="1861">
      <c r="A1861" s="19" t="n">
        <v>37</v>
      </c>
      <c r="B1861" s="19" t="inlineStr">
        <is>
          <t>K3-2C</t>
        </is>
      </c>
      <c r="F1861" t="n">
        <v>16814.209</v>
      </c>
      <c r="H1861">
        <f>E1861/F1861</f>
        <v/>
      </c>
      <c r="I1861">
        <f>((H1861-$J$1824)/$I$1824)</f>
        <v/>
      </c>
      <c r="J1861">
        <f>(I1861-IF(I1832&gt;0,I1832,0))</f>
        <v/>
      </c>
      <c r="K1861">
        <f>J1861/R1844*1.1</f>
        <v/>
      </c>
      <c r="L1861" s="23" t="n"/>
      <c r="M1861" s="23" t="n"/>
      <c r="N1861" s="9" t="n"/>
    </row>
    <row r="1862">
      <c r="A1862" s="19" t="n">
        <v>38</v>
      </c>
      <c r="B1862" s="19" t="inlineStr">
        <is>
          <t>MeOH</t>
        </is>
      </c>
      <c r="L1862" s="23" t="inlineStr">
        <is>
          <t>Average</t>
        </is>
      </c>
      <c r="M1862" s="23" t="inlineStr">
        <is>
          <t>Stdev</t>
        </is>
      </c>
      <c r="N1862" s="9" t="inlineStr">
        <is>
          <t>Combined</t>
        </is>
      </c>
    </row>
    <row r="1863">
      <c r="A1863" s="19" t="n">
        <v>39</v>
      </c>
      <c r="B1863" s="19" t="inlineStr">
        <is>
          <t>K3-3A</t>
        </is>
      </c>
      <c r="F1863" t="n">
        <v>15959.362</v>
      </c>
      <c r="H1863">
        <f>E1863/F1863</f>
        <v/>
      </c>
      <c r="I1863">
        <f>((H1863-$J$1824)/$I$1824)</f>
        <v/>
      </c>
      <c r="J1863">
        <f>(I1863-IF(I1832&gt;0,I1832,0))</f>
        <v/>
      </c>
      <c r="K1863">
        <f>J1863/R1845*1.1</f>
        <v/>
      </c>
      <c r="L1863">
        <f>AVERAGE(K1863:K1865)</f>
        <v/>
      </c>
      <c r="M1863">
        <f>STDEV(K1864:K1865)</f>
        <v/>
      </c>
      <c r="N1863">
        <f>_xlfn.CONCAT(ROUND(L1863,1)," ± ",ROUND(M1863,1))</f>
        <v/>
      </c>
    </row>
    <row r="1864">
      <c r="A1864" s="19" t="n">
        <v>40</v>
      </c>
      <c r="B1864" s="19" t="inlineStr">
        <is>
          <t>K3-3B</t>
        </is>
      </c>
      <c r="D1864" t="n">
        <v>13.96</v>
      </c>
      <c r="E1864" t="n">
        <v>1.57</v>
      </c>
      <c r="F1864" t="n">
        <v>18827.549</v>
      </c>
      <c r="G1864" t="n">
        <v>15</v>
      </c>
      <c r="H1864">
        <f>E1864/F1864</f>
        <v/>
      </c>
      <c r="I1864">
        <f>((H1864-$J$1824)/$I$1824)</f>
        <v/>
      </c>
      <c r="J1864">
        <f>(I1864-IF(I1832&gt;0,I1832,0))</f>
        <v/>
      </c>
      <c r="K1864">
        <f>J1864/R1846*1.1</f>
        <v/>
      </c>
    </row>
    <row r="1865">
      <c r="A1865" s="19" t="n">
        <v>41</v>
      </c>
      <c r="B1865" s="19" t="inlineStr">
        <is>
          <t>K3-3C</t>
        </is>
      </c>
      <c r="D1865" t="n">
        <v>13.94</v>
      </c>
      <c r="E1865" t="n">
        <v>34.513</v>
      </c>
      <c r="F1865" t="n">
        <v>20731.822</v>
      </c>
      <c r="G1865" t="n">
        <v>316</v>
      </c>
      <c r="H1865">
        <f>E1865/F1865</f>
        <v/>
      </c>
      <c r="I1865">
        <f>((H1865-$J$1824)/$I$1824)</f>
        <v/>
      </c>
      <c r="J1865">
        <f>(I1865-IF(I1832&gt;0,I1832,0))</f>
        <v/>
      </c>
      <c r="K1865">
        <f>J1865/R1847*1.1</f>
        <v/>
      </c>
      <c r="L1865" s="23" t="inlineStr">
        <is>
          <t>Average</t>
        </is>
      </c>
      <c r="M1865" s="23" t="inlineStr">
        <is>
          <t>Stdev</t>
        </is>
      </c>
      <c r="N1865" s="9" t="inlineStr">
        <is>
          <t>Combined</t>
        </is>
      </c>
    </row>
    <row r="1866">
      <c r="A1866" s="19" t="n">
        <v>42</v>
      </c>
      <c r="B1866" s="19" t="inlineStr">
        <is>
          <t>K3-4A</t>
        </is>
      </c>
      <c r="D1866" t="n">
        <v>14.3</v>
      </c>
      <c r="E1866" t="n">
        <v>3.736</v>
      </c>
      <c r="F1866" t="n">
        <v>23327.654</v>
      </c>
      <c r="G1866" t="n">
        <v>35</v>
      </c>
      <c r="H1866">
        <f>E1866/F1866</f>
        <v/>
      </c>
      <c r="I1866">
        <f>((H1866-$J$1824)/$I$1824)</f>
        <v/>
      </c>
      <c r="J1866">
        <f>(I1866-IF(I1832&gt;0,I1832,0))</f>
        <v/>
      </c>
      <c r="K1866">
        <f>J1866/R1848*1.1</f>
        <v/>
      </c>
      <c r="L1866">
        <f>AVERAGE(K1866:K1868)</f>
        <v/>
      </c>
      <c r="M1866">
        <f>STDEV(K1866:K1868)</f>
        <v/>
      </c>
      <c r="N1866">
        <f>_xlfn.CONCAT(ROUND(L1866,1)," ± ",ROUND(M1866,1))</f>
        <v/>
      </c>
    </row>
    <row r="1867">
      <c r="A1867" s="19" t="n">
        <v>43</v>
      </c>
      <c r="B1867" s="19" t="inlineStr">
        <is>
          <t>K3-4B</t>
        </is>
      </c>
      <c r="F1867" t="n">
        <v>21138.484</v>
      </c>
      <c r="H1867">
        <f>E1867/F1867</f>
        <v/>
      </c>
      <c r="I1867">
        <f>((H1867-$J$1824)/$I$1824)</f>
        <v/>
      </c>
      <c r="J1867">
        <f>(I1867-IF(I1832&gt;0,I1832,0))</f>
        <v/>
      </c>
      <c r="K1867">
        <f>J1867/R1849*1.1</f>
        <v/>
      </c>
    </row>
    <row r="1868">
      <c r="A1868" s="19" t="n">
        <v>44</v>
      </c>
      <c r="B1868" s="19" t="inlineStr">
        <is>
          <t>K3-4C</t>
        </is>
      </c>
      <c r="F1868" t="n">
        <v>24052.029</v>
      </c>
      <c r="H1868">
        <f>E1868/F1868</f>
        <v/>
      </c>
      <c r="I1868">
        <f>((H1868-$J$1824)/$I$1824)</f>
        <v/>
      </c>
      <c r="J1868">
        <f>(I1868-IF(I1832&gt;0,I1832,0))</f>
        <v/>
      </c>
      <c r="K1868">
        <f>J1868/R1850*1.1</f>
        <v/>
      </c>
      <c r="L1868" s="23" t="n"/>
      <c r="M1868" s="23" t="n"/>
      <c r="N1868" s="9" t="n"/>
    </row>
    <row r="1869">
      <c r="A1869" s="19" t="n">
        <v>45</v>
      </c>
      <c r="B1869" s="19" t="inlineStr">
        <is>
          <t>MeOH</t>
        </is>
      </c>
      <c r="L1869" s="23" t="inlineStr">
        <is>
          <t>Average</t>
        </is>
      </c>
      <c r="M1869" s="23" t="inlineStr">
        <is>
          <t>Stdev</t>
        </is>
      </c>
      <c r="N1869" s="9" t="inlineStr">
        <is>
          <t>Combined</t>
        </is>
      </c>
    </row>
    <row r="1870">
      <c r="A1870" s="19" t="n">
        <v>46</v>
      </c>
      <c r="B1870" s="19" t="inlineStr">
        <is>
          <t>K3-6A</t>
        </is>
      </c>
      <c r="F1870" t="n">
        <v>19976.734</v>
      </c>
      <c r="H1870">
        <f>E1870/F1870</f>
        <v/>
      </c>
      <c r="I1870">
        <f>((H1870-$J$1824)/$I$1824)</f>
        <v/>
      </c>
      <c r="J1870">
        <f>(I1870-IF(I1832&gt;0,I1832,0))</f>
        <v/>
      </c>
      <c r="K1870">
        <f>J1870/R1851*1.1</f>
        <v/>
      </c>
      <c r="L1870">
        <f>AVERAGE(K1870:K1872)</f>
        <v/>
      </c>
      <c r="M1870">
        <f>STDEV(K1871:K1872)</f>
        <v/>
      </c>
      <c r="N1870">
        <f>_xlfn.CONCAT(ROUND(L1870,1)," ± ",ROUND(M1870,1))</f>
        <v/>
      </c>
    </row>
    <row r="1871">
      <c r="A1871" s="19" t="n">
        <v>47</v>
      </c>
      <c r="B1871" s="19" t="inlineStr">
        <is>
          <t>K3-6B</t>
        </is>
      </c>
      <c r="D1871" t="n">
        <v>14.08</v>
      </c>
      <c r="E1871" t="n">
        <v>62.805</v>
      </c>
      <c r="F1871" t="n">
        <v>15967.418</v>
      </c>
      <c r="G1871" t="n">
        <v>328</v>
      </c>
      <c r="H1871">
        <f>E1871/F1871</f>
        <v/>
      </c>
      <c r="I1871">
        <f>((H1871-$J$1824)/$I$1824)</f>
        <v/>
      </c>
      <c r="J1871">
        <f>(I1871-IF(I1832&gt;0,I1832,0))</f>
        <v/>
      </c>
      <c r="K1871">
        <f>J1871/R1852*1.1</f>
        <v/>
      </c>
    </row>
    <row r="1872">
      <c r="A1872" s="19" t="n">
        <v>48</v>
      </c>
      <c r="B1872" s="19" t="inlineStr">
        <is>
          <t>K3-6C</t>
        </is>
      </c>
      <c r="D1872" t="n">
        <v>14.11</v>
      </c>
      <c r="E1872" t="n">
        <v>31.911</v>
      </c>
      <c r="F1872" t="n">
        <v>14614.665</v>
      </c>
      <c r="G1872" t="n">
        <v>3.137</v>
      </c>
      <c r="H1872">
        <f>E1872/F1872</f>
        <v/>
      </c>
      <c r="I1872">
        <f>((H1872-$J$1824)/$I$1824)</f>
        <v/>
      </c>
      <c r="J1872">
        <f>(I1872-IF(I1832&gt;0,I1832,0))</f>
        <v/>
      </c>
      <c r="K1872">
        <f>J1872/R1853*1.1</f>
        <v/>
      </c>
      <c r="L1872" s="23" t="n"/>
      <c r="M1872" s="23" t="n"/>
      <c r="N1872" s="9" t="n"/>
    </row>
    <row r="1874">
      <c r="A1874" t="inlineStr">
        <is>
          <t>Compound 92:  9Cl-PF3ONS 1</t>
        </is>
      </c>
    </row>
    <row r="1875">
      <c r="I1875" t="inlineStr">
        <is>
          <t>LINEST</t>
        </is>
      </c>
      <c r="Q1875" t="inlineStr">
        <is>
          <t>Biosolids Masses</t>
        </is>
      </c>
      <c r="R1875" t="inlineStr">
        <is>
          <t>(g)</t>
        </is>
      </c>
    </row>
    <row r="1876">
      <c r="B1876" t="inlineStr">
        <is>
          <t>Sample Text</t>
        </is>
      </c>
      <c r="C1876" t="inlineStr">
        <is>
          <t>Std. Conc</t>
        </is>
      </c>
      <c r="D1876" t="inlineStr">
        <is>
          <t>RT</t>
        </is>
      </c>
      <c r="E1876" t="inlineStr">
        <is>
          <t>Area</t>
        </is>
      </c>
      <c r="F1876" t="inlineStr">
        <is>
          <t>IS Area</t>
        </is>
      </c>
      <c r="G1876" t="inlineStr">
        <is>
          <t>S/N</t>
        </is>
      </c>
      <c r="H1876" t="inlineStr">
        <is>
          <t>ratio</t>
        </is>
      </c>
      <c r="I1876">
        <f t="array" ref="I1876:J1880">LINEST(H1878:H1884,C1878:C1884,1,1)</f>
        <v/>
      </c>
      <c r="J1876" t="n">
        <v>-12.35366650797494</v>
      </c>
      <c r="L1876" s="20" t="inlineStr">
        <is>
          <t>By S/N Ratio</t>
        </is>
      </c>
      <c r="Q1876" t="inlineStr">
        <is>
          <t>SS1</t>
        </is>
      </c>
      <c r="R1876" t="n">
        <v>1.0846</v>
      </c>
    </row>
    <row r="1877">
      <c r="A1877" t="n">
        <v>1</v>
      </c>
      <c r="B1877" t="inlineStr">
        <is>
          <t>EPA1633 &amp; diPAPs Calibration 0 ppb</t>
        </is>
      </c>
      <c r="C1877" t="n">
        <v>0</v>
      </c>
      <c r="D1877" t="n">
        <v>13.59</v>
      </c>
      <c r="E1877" t="n">
        <v>2699.672</v>
      </c>
      <c r="F1877" t="n">
        <v>818.542</v>
      </c>
      <c r="G1877" t="n">
        <v>140.596</v>
      </c>
      <c r="H1877">
        <f>E1877/F1877</f>
        <v/>
      </c>
      <c r="I1877" t="n">
        <v>0.5149522907283008</v>
      </c>
      <c r="J1877" t="n">
        <v>17.8583434992409</v>
      </c>
      <c r="K1877" t="inlineStr">
        <is>
          <t>LOD</t>
        </is>
      </c>
      <c r="L1877" s="21">
        <f>IF(G1880&gt;3,C1880,IF(G1881&gt;3,C1881,IF(G1882&gt;3,C1882,IF(G1883&gt;3,C1883,C1884))))</f>
        <v/>
      </c>
      <c r="Q1877" t="inlineStr">
        <is>
          <t>SS2</t>
        </is>
      </c>
      <c r="R1877" t="n">
        <v>1.0726</v>
      </c>
    </row>
    <row r="1878">
      <c r="A1878" t="n">
        <v>2</v>
      </c>
      <c r="B1878" t="inlineStr">
        <is>
          <t>EPA1633 &amp; diPAPs Calibration 0.02 ppb</t>
        </is>
      </c>
      <c r="C1878" t="n">
        <v>0.08</v>
      </c>
      <c r="D1878" t="n">
        <v>13.62</v>
      </c>
      <c r="E1878" t="n">
        <v>6565.071</v>
      </c>
      <c r="F1878" t="n">
        <v>878.931</v>
      </c>
      <c r="G1878" t="n">
        <v>787.866</v>
      </c>
      <c r="H1878">
        <f>E1878/F1878</f>
        <v/>
      </c>
      <c r="I1878" t="n">
        <v>0.9966714292838961</v>
      </c>
      <c r="J1878" t="n">
        <v>37.73671255364184</v>
      </c>
      <c r="K1878" t="inlineStr">
        <is>
          <t>LOQ</t>
        </is>
      </c>
      <c r="L1878" s="22">
        <f>IF(G1880&gt;10,C1880,IF(G1881&gt;10,C1881,IF(G1882&gt;10,C1882,IF(G1883&gt;10,C1883,C1884))))</f>
        <v/>
      </c>
      <c r="Q1878" t="inlineStr">
        <is>
          <t>SS3</t>
        </is>
      </c>
      <c r="R1878" t="n">
        <v>1.1534</v>
      </c>
    </row>
    <row r="1879">
      <c r="A1879" t="n">
        <v>3</v>
      </c>
      <c r="B1879" t="inlineStr">
        <is>
          <t>EPA1633 &amp; diPAPs Calibration 0.1 ppb</t>
        </is>
      </c>
      <c r="C1879" t="n">
        <v>0.4</v>
      </c>
      <c r="D1879" t="n">
        <v>13.62</v>
      </c>
      <c r="E1879" t="n">
        <v>12696.771</v>
      </c>
      <c r="F1879" t="n">
        <v>947.3</v>
      </c>
      <c r="G1879" t="n">
        <v>508.955</v>
      </c>
      <c r="H1879">
        <f>E1879/F1879</f>
        <v/>
      </c>
      <c r="I1879" t="n">
        <v>1497.146244275236</v>
      </c>
      <c r="J1879" t="n">
        <v>5</v>
      </c>
      <c r="Q1879" t="inlineStr">
        <is>
          <t>K4-1A</t>
        </is>
      </c>
      <c r="R1879" t="n">
        <v>1.0267</v>
      </c>
    </row>
    <row r="1880">
      <c r="A1880" t="n">
        <v>4</v>
      </c>
      <c r="B1880" t="inlineStr">
        <is>
          <t>EPA1633 &amp; diPAPs Calibration 0.4 ppb</t>
        </is>
      </c>
      <c r="C1880" t="n">
        <v>1.6</v>
      </c>
      <c r="D1880" t="n">
        <v>13.61</v>
      </c>
      <c r="E1880" t="n">
        <v>38141.039</v>
      </c>
      <c r="F1880" t="n">
        <v>785.4690000000001</v>
      </c>
      <c r="G1880" t="n">
        <v>872.6849999999999</v>
      </c>
      <c r="H1880">
        <f>E1880/F1880</f>
        <v/>
      </c>
      <c r="I1880" t="n">
        <v>2132025.293656937</v>
      </c>
      <c r="J1880" t="n">
        <v>7120.29737178095</v>
      </c>
      <c r="Q1880" t="inlineStr">
        <is>
          <t>K4-1B</t>
        </is>
      </c>
      <c r="R1880" t="n">
        <v>1.1481</v>
      </c>
    </row>
    <row r="1881">
      <c r="A1881" t="n">
        <v>5</v>
      </c>
      <c r="B1881" t="inlineStr">
        <is>
          <t>EPA1633 &amp; diPAPs Calibration 1 ppb</t>
        </is>
      </c>
      <c r="C1881" t="n">
        <v>4</v>
      </c>
      <c r="D1881" t="n">
        <v>13.63</v>
      </c>
      <c r="E1881" t="n">
        <v>63651.219</v>
      </c>
      <c r="F1881" t="n">
        <v>1347.024</v>
      </c>
      <c r="G1881" t="n">
        <v>1327.623</v>
      </c>
      <c r="H1881">
        <f>E1881/F1881</f>
        <v/>
      </c>
      <c r="Q1881" t="inlineStr">
        <is>
          <t>K4-1C</t>
        </is>
      </c>
      <c r="R1881" t="n">
        <v>1.0402</v>
      </c>
    </row>
    <row r="1882">
      <c r="A1882" t="n">
        <v>6</v>
      </c>
      <c r="B1882" t="inlineStr">
        <is>
          <t>EPA1633 &amp; diPAPs Calibration 5 ppb</t>
        </is>
      </c>
      <c r="C1882" t="n">
        <v>20</v>
      </c>
      <c r="D1882" t="n">
        <v>13.56</v>
      </c>
      <c r="E1882" t="n">
        <v>300471.5</v>
      </c>
      <c r="F1882" t="n">
        <v>950.485</v>
      </c>
      <c r="G1882" t="n">
        <v>7424.08</v>
      </c>
      <c r="H1882">
        <f>E1882/F1882</f>
        <v/>
      </c>
      <c r="Q1882" t="inlineStr">
        <is>
          <t>K4-2A</t>
        </is>
      </c>
      <c r="R1882" t="n">
        <v>1.127</v>
      </c>
    </row>
    <row r="1883">
      <c r="A1883" t="n">
        <v>7</v>
      </c>
      <c r="B1883" t="inlineStr">
        <is>
          <t>EPA1633 &amp; diPAPs Calibration 10 ppb</t>
        </is>
      </c>
      <c r="C1883" t="n">
        <v>40</v>
      </c>
      <c r="D1883" t="n">
        <v>13.57</v>
      </c>
      <c r="E1883" t="n">
        <v>539908.75</v>
      </c>
      <c r="F1883" t="n">
        <v>675.6130000000001</v>
      </c>
      <c r="G1883" t="n">
        <v>7375.817</v>
      </c>
      <c r="H1883">
        <f>E1883/F1883</f>
        <v/>
      </c>
      <c r="I1883" s="23" t="inlineStr">
        <is>
          <t>Background</t>
        </is>
      </c>
      <c r="J1883" s="23" t="inlineStr">
        <is>
          <t>Spike</t>
        </is>
      </c>
      <c r="K1883" s="9" t="inlineStr">
        <is>
          <t>Old Spike</t>
        </is>
      </c>
      <c r="O1883" s="24" t="inlineStr">
        <is>
          <t>±</t>
        </is>
      </c>
      <c r="Q1883" t="inlineStr">
        <is>
          <t>K4-2B</t>
        </is>
      </c>
      <c r="R1883" t="n">
        <v>1.1154</v>
      </c>
    </row>
    <row r="1884">
      <c r="A1884" t="n">
        <v>8</v>
      </c>
      <c r="B1884" t="inlineStr">
        <is>
          <t>EPA1633 &amp; diPAPs Calibration 20 ppb</t>
        </is>
      </c>
      <c r="C1884" t="n">
        <v>80</v>
      </c>
      <c r="D1884" t="n">
        <v>13.59</v>
      </c>
      <c r="E1884" t="n">
        <v>1066024</v>
      </c>
      <c r="F1884" t="n">
        <v>669.518</v>
      </c>
      <c r="G1884" t="n">
        <v>3999.661</v>
      </c>
      <c r="H1884">
        <f>E1884/F1884</f>
        <v/>
      </c>
      <c r="I1884">
        <f>AVERAGE(I1887:I1889)</f>
        <v/>
      </c>
      <c r="J1884" t="n">
        <v>44</v>
      </c>
      <c r="Q1884" t="inlineStr">
        <is>
          <t>K4-2C</t>
        </is>
      </c>
      <c r="R1884" t="n">
        <v>1.1711</v>
      </c>
    </row>
    <row r="1885">
      <c r="A1885" t="n">
        <v>9</v>
      </c>
      <c r="B1885" t="inlineStr">
        <is>
          <t>MeOH</t>
        </is>
      </c>
      <c r="D1885" t="n">
        <v>13.61</v>
      </c>
      <c r="E1885" t="n">
        <v>2658.124</v>
      </c>
      <c r="G1885" t="n">
        <v>183.5</v>
      </c>
      <c r="I1885" s="23" t="inlineStr">
        <is>
          <t>Conc.In Vial (ppb)</t>
        </is>
      </c>
      <c r="J1885" s="9" t="inlineStr">
        <is>
          <t>Corr. Conc.(ppb)</t>
        </is>
      </c>
      <c r="K1885" s="9" t="inlineStr">
        <is>
          <t>Conc. In soil (ng/g)</t>
        </is>
      </c>
      <c r="Q1885" t="inlineStr">
        <is>
          <t>K4-4A</t>
        </is>
      </c>
      <c r="R1885" t="n">
        <v>1.0932</v>
      </c>
    </row>
    <row r="1886">
      <c r="A1886" t="n">
        <v>10</v>
      </c>
      <c r="B1886" t="inlineStr">
        <is>
          <t>MeOH</t>
        </is>
      </c>
      <c r="D1886" t="n">
        <v>13.63</v>
      </c>
      <c r="E1886" t="n">
        <v>1898.098</v>
      </c>
      <c r="G1886" t="n">
        <v>14492</v>
      </c>
      <c r="L1886" s="23" t="inlineStr">
        <is>
          <t>Average</t>
        </is>
      </c>
      <c r="M1886" s="23" t="inlineStr">
        <is>
          <t>Stdev</t>
        </is>
      </c>
      <c r="N1886" s="9" t="inlineStr">
        <is>
          <t>Combined</t>
        </is>
      </c>
      <c r="O1886" s="9" t="n"/>
      <c r="P1886" s="9" t="n"/>
      <c r="Q1886" t="inlineStr">
        <is>
          <t>K4-4B</t>
        </is>
      </c>
      <c r="R1886" t="n">
        <v>1.15</v>
      </c>
    </row>
    <row r="1887">
      <c r="A1887" t="n">
        <v>11</v>
      </c>
      <c r="B1887" t="inlineStr">
        <is>
          <t>SB1</t>
        </is>
      </c>
      <c r="D1887" t="n">
        <v>13.64</v>
      </c>
      <c r="E1887" t="n">
        <v>910.8</v>
      </c>
      <c r="F1887" t="n">
        <v>454.851</v>
      </c>
      <c r="G1887" t="n">
        <v>74.871</v>
      </c>
      <c r="H1887">
        <f>E1887/F1887</f>
        <v/>
      </c>
      <c r="I1887">
        <f>((H1887-$J$1876)/$I$1876)</f>
        <v/>
      </c>
      <c r="J1887">
        <f>(I1887-IF(I1884&gt;0,I1884,0))</f>
        <v/>
      </c>
      <c r="K1887">
        <f>J1887*1.1</f>
        <v/>
      </c>
      <c r="L1887">
        <f>AVERAGE(K1887:K1889)</f>
        <v/>
      </c>
      <c r="M1887">
        <f>STDEV(K1888:K1889)</f>
        <v/>
      </c>
      <c r="N1887">
        <f>_xlfn.CONCAT(ROUND(L1887,1)," ± ",ROUND(M1887,1))</f>
        <v/>
      </c>
      <c r="Q1887" t="inlineStr">
        <is>
          <t>K4-4C</t>
        </is>
      </c>
      <c r="R1887" t="n">
        <v>1.0482</v>
      </c>
    </row>
    <row r="1888">
      <c r="A1888" t="n">
        <v>12</v>
      </c>
      <c r="B1888" t="inlineStr">
        <is>
          <t>SB2</t>
        </is>
      </c>
      <c r="D1888" t="n">
        <v>13.64</v>
      </c>
      <c r="E1888" t="n">
        <v>22.324</v>
      </c>
      <c r="F1888" t="n">
        <v>327.91</v>
      </c>
      <c r="G1888" t="n">
        <v>199</v>
      </c>
      <c r="H1888">
        <f>E1888/F1888</f>
        <v/>
      </c>
      <c r="I1888">
        <f>((H1888-$J$1876)/$I$1876)</f>
        <v/>
      </c>
      <c r="J1888">
        <f>(I1888-IF(I1884&gt;0,I1884,0))</f>
        <v/>
      </c>
      <c r="K1888">
        <f>J1888*1.1</f>
        <v/>
      </c>
      <c r="Q1888" t="inlineStr">
        <is>
          <t>K4-5A</t>
        </is>
      </c>
      <c r="R1888" t="n">
        <v>1.1054</v>
      </c>
    </row>
    <row r="1889">
      <c r="A1889" t="n">
        <v>13</v>
      </c>
      <c r="B1889" t="inlineStr">
        <is>
          <t>SB3</t>
        </is>
      </c>
      <c r="D1889" t="n">
        <v>13.66</v>
      </c>
      <c r="E1889" t="n">
        <v>264.035</v>
      </c>
      <c r="F1889" t="n">
        <v>222.426</v>
      </c>
      <c r="G1889" t="n">
        <v>17.385</v>
      </c>
      <c r="H1889">
        <f>E1889/F1889</f>
        <v/>
      </c>
      <c r="I1889">
        <f>((H1889-$J$1876)/$I$1876)</f>
        <v/>
      </c>
      <c r="J1889">
        <f>(I1889-IF(I1884&gt;0,I1884,0))</f>
        <v/>
      </c>
      <c r="K1889" s="30">
        <f>J1889*1.1</f>
        <v/>
      </c>
      <c r="L1889" s="23" t="inlineStr">
        <is>
          <t>Average</t>
        </is>
      </c>
      <c r="M1889" s="23" t="inlineStr">
        <is>
          <t>Stdev</t>
        </is>
      </c>
      <c r="N1889" s="9" t="inlineStr">
        <is>
          <t>%Recovery</t>
        </is>
      </c>
      <c r="O1889" s="9" t="inlineStr">
        <is>
          <t>Uncertainty</t>
        </is>
      </c>
      <c r="P1889" s="9" t="inlineStr">
        <is>
          <t>Combined</t>
        </is>
      </c>
      <c r="Q1889" t="inlineStr">
        <is>
          <t>K4-5B</t>
        </is>
      </c>
      <c r="R1889" s="10" t="n">
        <v>1.0463</v>
      </c>
    </row>
    <row r="1890">
      <c r="A1890" t="n">
        <v>14</v>
      </c>
      <c r="B1890" t="inlineStr">
        <is>
          <t>SS1</t>
        </is>
      </c>
      <c r="D1890" t="n">
        <v>13.66</v>
      </c>
      <c r="E1890" t="n">
        <v>208530.359</v>
      </c>
      <c r="F1890" t="n">
        <v>226.192</v>
      </c>
      <c r="G1890" t="n">
        <v>18871.507</v>
      </c>
      <c r="H1890">
        <f>E1890/F1890</f>
        <v/>
      </c>
      <c r="I1890">
        <f>((H1890-$J$1876)/$I$1876)</f>
        <v/>
      </c>
      <c r="J1890">
        <f>(I1890-IF(I1884&gt;0,I1884,0))</f>
        <v/>
      </c>
      <c r="K1890">
        <f>J1890/R1876*1.1</f>
        <v/>
      </c>
      <c r="L1890" s="30">
        <f>AVERAGE(K1890:K1892)</f>
        <v/>
      </c>
      <c r="M1890" s="30">
        <f>STDEV(K1890:K1892)</f>
        <v/>
      </c>
      <c r="N1890" s="31">
        <f>L1890/J1884*100</f>
        <v/>
      </c>
      <c r="O1890">
        <f>M1890/J1887*100</f>
        <v/>
      </c>
      <c r="P1890">
        <f>_xlfn.CONCAT(ROUND(N1890,1)," ± ",ROUND(O1890,1))</f>
        <v/>
      </c>
      <c r="Q1890" t="inlineStr">
        <is>
          <t>K4-5C</t>
        </is>
      </c>
      <c r="R1890" t="n">
        <v>1.1155</v>
      </c>
    </row>
    <row r="1891">
      <c r="A1891" t="n">
        <v>15</v>
      </c>
      <c r="B1891" t="inlineStr">
        <is>
          <t>SS2</t>
        </is>
      </c>
      <c r="D1891" t="n">
        <v>13.67</v>
      </c>
      <c r="E1891" t="n">
        <v>226677.25</v>
      </c>
      <c r="F1891" t="n">
        <v>314.009</v>
      </c>
      <c r="G1891" t="n">
        <v>1949.23</v>
      </c>
      <c r="H1891">
        <f>E1891/F1891</f>
        <v/>
      </c>
      <c r="I1891">
        <f>((H1891-$J$1876)/$I$1876)</f>
        <v/>
      </c>
      <c r="J1891">
        <f>(I1891-IF(I1884&gt;0,I1884,0))</f>
        <v/>
      </c>
      <c r="K1891">
        <f>J1891/R1877*1.1</f>
        <v/>
      </c>
      <c r="Q1891" t="inlineStr">
        <is>
          <t>K3-1A</t>
        </is>
      </c>
      <c r="R1891" t="n">
        <v>1.0874</v>
      </c>
    </row>
    <row r="1892">
      <c r="A1892" t="n">
        <v>16</v>
      </c>
      <c r="B1892" t="inlineStr">
        <is>
          <t>SS3</t>
        </is>
      </c>
      <c r="D1892" t="n">
        <v>13.68</v>
      </c>
      <c r="E1892" t="n">
        <v>212668.875</v>
      </c>
      <c r="F1892" t="n">
        <v>235.115</v>
      </c>
      <c r="G1892" t="n">
        <v>7448.838</v>
      </c>
      <c r="H1892">
        <f>E1892/F1892</f>
        <v/>
      </c>
      <c r="I1892">
        <f>((H1892-$J$1876)/$I$1876)</f>
        <v/>
      </c>
      <c r="J1892">
        <f>(I1892-IF(I1884&gt;0,I1884,0))</f>
        <v/>
      </c>
      <c r="K1892" s="30">
        <f>J1892/R1878*1.1</f>
        <v/>
      </c>
      <c r="Q1892" t="inlineStr">
        <is>
          <t>K3-1B</t>
        </is>
      </c>
      <c r="R1892" t="n">
        <v>1.0898</v>
      </c>
    </row>
    <row r="1893">
      <c r="A1893" s="19" t="n">
        <v>17</v>
      </c>
      <c r="B1893" s="19" t="inlineStr">
        <is>
          <t>MeOH</t>
        </is>
      </c>
      <c r="L1893" s="23" t="inlineStr">
        <is>
          <t>Average</t>
        </is>
      </c>
      <c r="M1893" s="23" t="inlineStr">
        <is>
          <t>Stdev</t>
        </is>
      </c>
      <c r="N1893" s="9" t="inlineStr">
        <is>
          <t>Combined</t>
        </is>
      </c>
      <c r="Q1893" t="inlineStr">
        <is>
          <t>K3-1C</t>
        </is>
      </c>
      <c r="R1893" t="n">
        <v>1.0536</v>
      </c>
    </row>
    <row r="1894">
      <c r="A1894" s="19" t="n">
        <v>18</v>
      </c>
      <c r="B1894" s="19" t="inlineStr">
        <is>
          <t>K4-1A</t>
        </is>
      </c>
      <c r="D1894" t="n">
        <v>13.7</v>
      </c>
      <c r="E1894" t="n">
        <v>343.774</v>
      </c>
      <c r="F1894" t="n">
        <v>242.818</v>
      </c>
      <c r="G1894" t="n">
        <v>2634</v>
      </c>
      <c r="H1894">
        <f>E1894/F1894</f>
        <v/>
      </c>
      <c r="I1894">
        <f>((H1894-$J$1876)/$I$1876)</f>
        <v/>
      </c>
      <c r="J1894">
        <f>(I1894-IF(I1884&gt;0,I1884,0))</f>
        <v/>
      </c>
      <c r="K1894">
        <f>J1894/R1879*1.1</f>
        <v/>
      </c>
      <c r="L1894">
        <f>AVERAGE(K1894:K1896)</f>
        <v/>
      </c>
      <c r="M1894">
        <f>STDEV(K1895:K1896)</f>
        <v/>
      </c>
      <c r="N1894">
        <f>_xlfn.CONCAT(ROUND(L1894,1)," ± ",ROUND(M1894,1))</f>
        <v/>
      </c>
      <c r="Q1894" t="inlineStr">
        <is>
          <t>K3-2A</t>
        </is>
      </c>
      <c r="R1894" s="10" t="n">
        <v>1.1218</v>
      </c>
    </row>
    <row r="1895">
      <c r="A1895" s="19" t="n">
        <v>19</v>
      </c>
      <c r="B1895" s="19" t="inlineStr">
        <is>
          <t>K4-1B</t>
        </is>
      </c>
      <c r="D1895" t="n">
        <v>13.67</v>
      </c>
      <c r="E1895" t="n">
        <v>116.635</v>
      </c>
      <c r="F1895" t="n">
        <v>508.77</v>
      </c>
      <c r="G1895" t="n">
        <v>951</v>
      </c>
      <c r="H1895">
        <f>E1895/F1895</f>
        <v/>
      </c>
      <c r="I1895">
        <f>((H1895-$J$1876)/$I$1876)</f>
        <v/>
      </c>
      <c r="J1895">
        <f>(I1895-IF(I1884&gt;0,I1884,0))</f>
        <v/>
      </c>
      <c r="K1895">
        <f>J1895/R1880*1.1</f>
        <v/>
      </c>
      <c r="Q1895" t="inlineStr">
        <is>
          <t>K3-2B</t>
        </is>
      </c>
      <c r="R1895" t="n">
        <v>1.198</v>
      </c>
    </row>
    <row r="1896">
      <c r="A1896" s="19" t="n">
        <v>20</v>
      </c>
      <c r="B1896" s="19" t="inlineStr">
        <is>
          <t>K4-1C</t>
        </is>
      </c>
      <c r="D1896" t="n">
        <v>13.71</v>
      </c>
      <c r="E1896" t="n">
        <v>181.267</v>
      </c>
      <c r="F1896" t="n">
        <v>189.276</v>
      </c>
      <c r="G1896" t="n">
        <v>3.925</v>
      </c>
      <c r="H1896">
        <f>E1896/F1896</f>
        <v/>
      </c>
      <c r="I1896">
        <f>((H1896-$J$1876)/$I$1876)</f>
        <v/>
      </c>
      <c r="J1896">
        <f>(I1896-IF(I1884&gt;0,I1884,0))</f>
        <v/>
      </c>
      <c r="K1896">
        <f>J1896/R1881*1.1</f>
        <v/>
      </c>
      <c r="L1896" s="23" t="inlineStr">
        <is>
          <t>Average</t>
        </is>
      </c>
      <c r="M1896" s="23" t="inlineStr">
        <is>
          <t>Stdev</t>
        </is>
      </c>
      <c r="N1896" s="9" t="inlineStr">
        <is>
          <t>Combined</t>
        </is>
      </c>
      <c r="Q1896" t="inlineStr">
        <is>
          <t>K3-2C</t>
        </is>
      </c>
      <c r="R1896" t="n">
        <v>1.1538</v>
      </c>
    </row>
    <row r="1897">
      <c r="A1897" s="19" t="n">
        <v>21</v>
      </c>
      <c r="B1897" s="19" t="inlineStr">
        <is>
          <t>K4-2A</t>
        </is>
      </c>
      <c r="D1897" t="n">
        <v>13.74</v>
      </c>
      <c r="E1897" t="n">
        <v>72.566</v>
      </c>
      <c r="F1897" t="n">
        <v>318.211</v>
      </c>
      <c r="G1897" t="n">
        <v>1.996</v>
      </c>
      <c r="H1897">
        <f>E1897/F1897</f>
        <v/>
      </c>
      <c r="I1897">
        <f>((H1897-$J$1876)/$I$1876)</f>
        <v/>
      </c>
      <c r="J1897">
        <f>(I1897-IF(I1884&gt;0,I1884,0))</f>
        <v/>
      </c>
      <c r="K1897">
        <f>J1897/R1882*1.1</f>
        <v/>
      </c>
      <c r="L1897">
        <f>AVERAGE(K1897:K1899)</f>
        <v/>
      </c>
      <c r="M1897">
        <f>STDEV(K1897:K1899)</f>
        <v/>
      </c>
      <c r="N1897">
        <f>_xlfn.CONCAT(ROUND(L1897,1)," ± ",ROUND(M1897,1))</f>
        <v/>
      </c>
      <c r="Q1897" t="inlineStr">
        <is>
          <t>K3-3A</t>
        </is>
      </c>
      <c r="R1897" t="n">
        <v>1.1183</v>
      </c>
    </row>
    <row r="1898">
      <c r="A1898" s="19" t="n">
        <v>22</v>
      </c>
      <c r="B1898" s="19" t="inlineStr">
        <is>
          <t>K4-2B</t>
        </is>
      </c>
      <c r="D1898" t="n">
        <v>13.68</v>
      </c>
      <c r="E1898" t="n">
        <v>19.759</v>
      </c>
      <c r="F1898" t="n">
        <v>608.7859999999999</v>
      </c>
      <c r="G1898" t="n">
        <v>1.197</v>
      </c>
      <c r="H1898">
        <f>E1898/F1898</f>
        <v/>
      </c>
      <c r="I1898">
        <f>((H1898-$J$1876)/$I$1876)</f>
        <v/>
      </c>
      <c r="J1898">
        <f>(I1898-IF(I1884&gt;0,I1884,0))</f>
        <v/>
      </c>
      <c r="K1898">
        <f>J1898/R1883*1.1</f>
        <v/>
      </c>
      <c r="Q1898" t="inlineStr">
        <is>
          <t>K3-3B</t>
        </is>
      </c>
      <c r="R1898" t="n">
        <v>1.1448</v>
      </c>
    </row>
    <row r="1899">
      <c r="A1899" s="19" t="n">
        <v>23</v>
      </c>
      <c r="B1899" s="19" t="inlineStr">
        <is>
          <t>K4-2C</t>
        </is>
      </c>
      <c r="D1899" t="n">
        <v>13.71</v>
      </c>
      <c r="E1899" t="n">
        <v>86.486</v>
      </c>
      <c r="F1899" t="n">
        <v>229.764</v>
      </c>
      <c r="G1899" t="n">
        <v>2.679</v>
      </c>
      <c r="H1899">
        <f>E1899/F1899</f>
        <v/>
      </c>
      <c r="I1899">
        <f>((H1899-$J$1876)/$I$1876)</f>
        <v/>
      </c>
      <c r="J1899">
        <f>(I1899-IF(I1884&gt;0,I1884,0))</f>
        <v/>
      </c>
      <c r="K1899">
        <f>J1899/R1884*1.1</f>
        <v/>
      </c>
      <c r="L1899" s="23" t="n"/>
      <c r="M1899" s="23" t="n"/>
      <c r="N1899" s="9" t="n"/>
      <c r="Q1899" t="inlineStr">
        <is>
          <t>K3-3C</t>
        </is>
      </c>
      <c r="R1899" t="n">
        <v>1.0493</v>
      </c>
    </row>
    <row r="1900">
      <c r="A1900" s="19" t="n">
        <v>24</v>
      </c>
      <c r="B1900" s="19" t="inlineStr">
        <is>
          <t>MeOH</t>
        </is>
      </c>
      <c r="L1900" s="23" t="inlineStr">
        <is>
          <t>Average</t>
        </is>
      </c>
      <c r="M1900" s="23" t="inlineStr">
        <is>
          <t>Stdev</t>
        </is>
      </c>
      <c r="N1900" s="9" t="inlineStr">
        <is>
          <t>Combined</t>
        </is>
      </c>
      <c r="Q1900" t="inlineStr">
        <is>
          <t>K3-4A</t>
        </is>
      </c>
      <c r="R1900" t="n">
        <v>1.0704</v>
      </c>
    </row>
    <row r="1901">
      <c r="A1901" s="19" t="n">
        <v>25</v>
      </c>
      <c r="B1901" s="19" t="inlineStr">
        <is>
          <t>K4-4A</t>
        </is>
      </c>
      <c r="D1901" t="n">
        <v>13.74</v>
      </c>
      <c r="E1901" t="n">
        <v>6.91</v>
      </c>
      <c r="F1901" t="n">
        <v>288.067</v>
      </c>
      <c r="G1901" t="n">
        <v>60</v>
      </c>
      <c r="H1901">
        <f>E1901/F1901</f>
        <v/>
      </c>
      <c r="I1901">
        <f>((H1901-$J$1876)/$I$1876)</f>
        <v/>
      </c>
      <c r="J1901">
        <f>(I1901-IF(I1884&gt;0,I1884,0))</f>
        <v/>
      </c>
      <c r="K1901">
        <f>J1901/R1885*1.1</f>
        <v/>
      </c>
      <c r="L1901">
        <f>AVERAGE(K1901:K1903)</f>
        <v/>
      </c>
      <c r="M1901">
        <f>STDEV(K1902:K1903)</f>
        <v/>
      </c>
      <c r="N1901">
        <f>_xlfn.CONCAT(ROUND(L1901,1)," ± ",ROUND(M1901,1))</f>
        <v/>
      </c>
      <c r="Q1901" t="inlineStr">
        <is>
          <t>K3-4B</t>
        </is>
      </c>
      <c r="R1901" t="n">
        <v>1.1589</v>
      </c>
    </row>
    <row r="1902">
      <c r="A1902" s="19" t="n">
        <v>26</v>
      </c>
      <c r="B1902" s="19" t="inlineStr">
        <is>
          <t>K4-4B</t>
        </is>
      </c>
      <c r="D1902" t="n">
        <v>13.71</v>
      </c>
      <c r="E1902" t="n">
        <v>99.43899999999999</v>
      </c>
      <c r="F1902" t="n">
        <v>219.81</v>
      </c>
      <c r="G1902" t="n">
        <v>936</v>
      </c>
      <c r="H1902">
        <f>E1902/F1902</f>
        <v/>
      </c>
      <c r="I1902">
        <f>((H1902-$J$1876)/$I$1876)</f>
        <v/>
      </c>
      <c r="J1902">
        <f>(I1902-IF(I1884&gt;0,I1884,0))</f>
        <v/>
      </c>
      <c r="K1902">
        <f>J1902/R1886*1.1</f>
        <v/>
      </c>
      <c r="Q1902" t="inlineStr">
        <is>
          <t>K3-4C</t>
        </is>
      </c>
      <c r="R1902" t="n">
        <v>1.0206</v>
      </c>
    </row>
    <row r="1903">
      <c r="A1903" s="19" t="n">
        <v>27</v>
      </c>
      <c r="B1903" s="19" t="inlineStr">
        <is>
          <t>K4-4C</t>
        </is>
      </c>
      <c r="D1903" t="n">
        <v>13.71</v>
      </c>
      <c r="E1903" t="n">
        <v>22.458</v>
      </c>
      <c r="F1903" t="n">
        <v>322.86</v>
      </c>
      <c r="G1903" t="n">
        <v>2.643</v>
      </c>
      <c r="H1903">
        <f>E1903/F1903</f>
        <v/>
      </c>
      <c r="I1903">
        <f>((H1903-$J$1876)/$I$1876)</f>
        <v/>
      </c>
      <c r="J1903">
        <f>(I1903-IF(I1884&gt;0,I1884,0))</f>
        <v/>
      </c>
      <c r="K1903">
        <f>J1903/R1887*1.1</f>
        <v/>
      </c>
      <c r="L1903" s="23" t="inlineStr">
        <is>
          <t>Average</t>
        </is>
      </c>
      <c r="M1903" s="23" t="inlineStr">
        <is>
          <t>Stdev</t>
        </is>
      </c>
      <c r="N1903" s="9" t="inlineStr">
        <is>
          <t>Combined</t>
        </is>
      </c>
      <c r="Q1903" t="inlineStr">
        <is>
          <t>K3-6A</t>
        </is>
      </c>
      <c r="R1903" t="n">
        <v>1.1289</v>
      </c>
    </row>
    <row r="1904">
      <c r="A1904" s="19" t="n">
        <v>28</v>
      </c>
      <c r="B1904" s="19" t="inlineStr">
        <is>
          <t>K4-5A</t>
        </is>
      </c>
      <c r="D1904" t="n">
        <v>13.7</v>
      </c>
      <c r="E1904" t="n">
        <v>96.556</v>
      </c>
      <c r="F1904" t="n">
        <v>302.863</v>
      </c>
      <c r="G1904" t="n">
        <v>702</v>
      </c>
      <c r="H1904">
        <f>E1904/F1904</f>
        <v/>
      </c>
      <c r="I1904">
        <f>((H1904-$J$1876)/$I$1876)</f>
        <v/>
      </c>
      <c r="J1904">
        <f>(I1904-IF(I1884&gt;0,I1884,0))</f>
        <v/>
      </c>
      <c r="K1904">
        <f>J1904/R1888*1.1</f>
        <v/>
      </c>
      <c r="L1904">
        <f>AVERAGE(K1904:K1906)</f>
        <v/>
      </c>
      <c r="M1904">
        <f>STDEV(K1904:K1906)</f>
        <v/>
      </c>
      <c r="N1904">
        <f>_xlfn.CONCAT(ROUND(L1904,1)," ± ",ROUND(M1904,1))</f>
        <v/>
      </c>
      <c r="Q1904" t="inlineStr">
        <is>
          <t>K3-6B</t>
        </is>
      </c>
      <c r="R1904" t="n">
        <v>1.195</v>
      </c>
    </row>
    <row r="1905">
      <c r="A1905" s="19" t="n">
        <v>29</v>
      </c>
      <c r="B1905" s="19" t="inlineStr">
        <is>
          <t>K4-5B</t>
        </is>
      </c>
      <c r="D1905" t="n">
        <v>13.68</v>
      </c>
      <c r="E1905" t="n">
        <v>40.386</v>
      </c>
      <c r="F1905" t="n">
        <v>188.939</v>
      </c>
      <c r="G1905" t="n">
        <v>2.917</v>
      </c>
      <c r="H1905">
        <f>E1905/F1905</f>
        <v/>
      </c>
      <c r="I1905">
        <f>((H1905-$J$1876)/$I$1876)</f>
        <v/>
      </c>
      <c r="J1905">
        <f>(I1905-IF(I1884&gt;0,I1884,0))</f>
        <v/>
      </c>
      <c r="K1905">
        <f>J1905/R1889*1.1</f>
        <v/>
      </c>
      <c r="Q1905" t="inlineStr">
        <is>
          <t>K3-6C</t>
        </is>
      </c>
      <c r="R1905" t="n">
        <v>1.1716</v>
      </c>
    </row>
    <row r="1906">
      <c r="A1906" s="19" t="n">
        <v>30</v>
      </c>
      <c r="B1906" s="19" t="inlineStr">
        <is>
          <t>K4-5C</t>
        </is>
      </c>
      <c r="D1906" t="n">
        <v>13.24</v>
      </c>
      <c r="E1906" t="n">
        <v>3.91</v>
      </c>
      <c r="F1906" t="n">
        <v>386.08</v>
      </c>
      <c r="G1906" t="n">
        <v>33</v>
      </c>
      <c r="H1906">
        <f>E1906/F1906</f>
        <v/>
      </c>
      <c r="I1906">
        <f>((H1906-$J$1876)/$I$1876)</f>
        <v/>
      </c>
      <c r="J1906">
        <f>(I1906-IF(I1884&gt;0,I1884,0))</f>
        <v/>
      </c>
      <c r="K1906">
        <f>J1906/R1890*1.1</f>
        <v/>
      </c>
      <c r="L1906" s="23" t="n"/>
      <c r="M1906" s="23" t="n"/>
      <c r="N1906" s="9" t="n"/>
    </row>
    <row r="1907">
      <c r="A1907" s="19" t="n">
        <v>31</v>
      </c>
      <c r="B1907" s="19" t="inlineStr">
        <is>
          <t>MeOH</t>
        </is>
      </c>
      <c r="L1907" s="23" t="inlineStr">
        <is>
          <t>Average</t>
        </is>
      </c>
      <c r="M1907" s="23" t="inlineStr">
        <is>
          <t>Stdev</t>
        </is>
      </c>
      <c r="N1907" s="9" t="inlineStr">
        <is>
          <t>Combined</t>
        </is>
      </c>
    </row>
    <row r="1908">
      <c r="A1908" s="19" t="n">
        <v>32</v>
      </c>
      <c r="B1908" s="19" t="inlineStr">
        <is>
          <t>K3-1A</t>
        </is>
      </c>
      <c r="D1908" t="n">
        <v>13.6</v>
      </c>
      <c r="E1908" t="n">
        <v>164.905</v>
      </c>
      <c r="F1908" t="n">
        <v>273.068</v>
      </c>
      <c r="G1908" t="n">
        <v>4.676</v>
      </c>
      <c r="H1908">
        <f>E1908/F1908</f>
        <v/>
      </c>
      <c r="I1908">
        <f>((H1908-$J$1876)/$I$1876)</f>
        <v/>
      </c>
      <c r="J1908">
        <f>(I1908-IF(I1884&gt;0,I1884,0))</f>
        <v/>
      </c>
      <c r="K1908">
        <f>J1908/R1891*1.1</f>
        <v/>
      </c>
      <c r="L1908">
        <f>AVERAGE(K1908:K1910)</f>
        <v/>
      </c>
      <c r="M1908">
        <f>STDEV(K1909:K1910)</f>
        <v/>
      </c>
      <c r="N1908">
        <f>_xlfn.CONCAT(ROUND(L1908,1)," ± ",ROUND(M1908,1))</f>
        <v/>
      </c>
    </row>
    <row r="1909">
      <c r="A1909" s="19" t="n">
        <v>33</v>
      </c>
      <c r="B1909" s="19" t="inlineStr">
        <is>
          <t>K3-1B</t>
        </is>
      </c>
      <c r="D1909" t="n">
        <v>13.62</v>
      </c>
      <c r="E1909" t="n">
        <v>31.115</v>
      </c>
      <c r="F1909" t="n">
        <v>112.597</v>
      </c>
      <c r="G1909" t="n">
        <v>307</v>
      </c>
      <c r="H1909">
        <f>E1909/F1909</f>
        <v/>
      </c>
      <c r="I1909">
        <f>((H1909-$J$1876)/$I$1876)</f>
        <v/>
      </c>
      <c r="J1909">
        <f>(I1909-IF(I1884&gt;0,I1884,0))</f>
        <v/>
      </c>
      <c r="K1909">
        <f>J1909/R1892*1.1</f>
        <v/>
      </c>
    </row>
    <row r="1910">
      <c r="A1910" s="19" t="n">
        <v>34</v>
      </c>
      <c r="B1910" s="19" t="inlineStr">
        <is>
          <t>K3-1C</t>
        </is>
      </c>
      <c r="D1910" t="n">
        <v>13.63</v>
      </c>
      <c r="E1910" t="n">
        <v>7.239</v>
      </c>
      <c r="F1910" t="n">
        <v>575.867</v>
      </c>
      <c r="G1910" t="n">
        <v>73</v>
      </c>
      <c r="H1910">
        <f>E1910/F1910</f>
        <v/>
      </c>
      <c r="I1910">
        <f>((H1910-$J$1876)/$I$1876)</f>
        <v/>
      </c>
      <c r="J1910">
        <f>(I1910-IF(I1884&gt;0,I1884,0))</f>
        <v/>
      </c>
      <c r="K1910">
        <f>J1910/R1893*1.1</f>
        <v/>
      </c>
      <c r="L1910" s="23" t="inlineStr">
        <is>
          <t>Average</t>
        </is>
      </c>
      <c r="M1910" s="23" t="inlineStr">
        <is>
          <t>Stdev</t>
        </is>
      </c>
      <c r="N1910" s="9" t="inlineStr">
        <is>
          <t>Combined</t>
        </is>
      </c>
    </row>
    <row r="1911">
      <c r="A1911" s="19" t="n">
        <v>35</v>
      </c>
      <c r="B1911" s="19" t="inlineStr">
        <is>
          <t>K3-2A</t>
        </is>
      </c>
      <c r="F1911" t="n">
        <v>406.817</v>
      </c>
      <c r="H1911">
        <f>E1911/F1911</f>
        <v/>
      </c>
      <c r="I1911">
        <f>((H1911-$J$1876)/$I$1876)</f>
        <v/>
      </c>
      <c r="J1911">
        <f>(I1911-IF(I1884&gt;0,I1884,0))</f>
        <v/>
      </c>
      <c r="K1911">
        <f>J1911/R1894*1.1</f>
        <v/>
      </c>
      <c r="L1911">
        <f>AVERAGE(K1911:K1913)</f>
        <v/>
      </c>
      <c r="M1911">
        <f>STDEV(K1911:K1913)</f>
        <v/>
      </c>
      <c r="N1911">
        <f>_xlfn.CONCAT(ROUND(L1911,1)," ± ",ROUND(M1911,1))</f>
        <v/>
      </c>
    </row>
    <row r="1912">
      <c r="A1912" s="19" t="n">
        <v>36</v>
      </c>
      <c r="B1912" s="19" t="inlineStr">
        <is>
          <t>K3-2B</t>
        </is>
      </c>
      <c r="D1912" t="n">
        <v>13.66</v>
      </c>
      <c r="E1912" t="n">
        <v>33.37</v>
      </c>
      <c r="F1912" t="n">
        <v>266.099</v>
      </c>
      <c r="G1912" t="n">
        <v>334</v>
      </c>
      <c r="H1912">
        <f>E1912/F1912</f>
        <v/>
      </c>
      <c r="I1912">
        <f>((H1912-$J$1876)/$I$1876)</f>
        <v/>
      </c>
      <c r="J1912">
        <f>(I1912-IF(I1884&gt;0,I1884,0))</f>
        <v/>
      </c>
      <c r="K1912">
        <f>J1912/R1895*1.1</f>
        <v/>
      </c>
    </row>
    <row r="1913">
      <c r="A1913" s="19" t="n">
        <v>37</v>
      </c>
      <c r="B1913" s="19" t="inlineStr">
        <is>
          <t>K3-2C</t>
        </is>
      </c>
      <c r="D1913" t="n">
        <v>12.81</v>
      </c>
      <c r="E1913" t="n">
        <v>2.257</v>
      </c>
      <c r="F1913" t="n">
        <v>84.498</v>
      </c>
      <c r="G1913" t="n">
        <v>22</v>
      </c>
      <c r="H1913">
        <f>E1913/F1913</f>
        <v/>
      </c>
      <c r="I1913">
        <f>((H1913-$J$1876)/$I$1876)</f>
        <v/>
      </c>
      <c r="J1913">
        <f>(I1913-IF(I1884&gt;0,I1884,0))</f>
        <v/>
      </c>
      <c r="K1913">
        <f>J1913/R1896*1.1</f>
        <v/>
      </c>
      <c r="L1913" s="23" t="n"/>
      <c r="M1913" s="23" t="n"/>
      <c r="N1913" s="9" t="n"/>
    </row>
    <row r="1914">
      <c r="A1914" s="19" t="n">
        <v>38</v>
      </c>
      <c r="B1914" s="19" t="inlineStr">
        <is>
          <t>MeOH</t>
        </is>
      </c>
      <c r="L1914" s="23" t="inlineStr">
        <is>
          <t>Average</t>
        </is>
      </c>
      <c r="M1914" s="23" t="inlineStr">
        <is>
          <t>Stdev</t>
        </is>
      </c>
      <c r="N1914" s="9" t="inlineStr">
        <is>
          <t>Combined</t>
        </is>
      </c>
    </row>
    <row r="1915">
      <c r="A1915" s="19" t="n">
        <v>39</v>
      </c>
      <c r="B1915" s="19" t="inlineStr">
        <is>
          <t>K3-3A</t>
        </is>
      </c>
      <c r="D1915" t="n">
        <v>13.67</v>
      </c>
      <c r="E1915" t="n">
        <v>20.468</v>
      </c>
      <c r="F1915" t="n">
        <v>164.973</v>
      </c>
      <c r="G1915" t="n">
        <v>192</v>
      </c>
      <c r="H1915">
        <f>E1915/F1915</f>
        <v/>
      </c>
      <c r="I1915">
        <f>((H1915-$J$1876)/$I$1876)</f>
        <v/>
      </c>
      <c r="J1915">
        <f>(I1915-IF(I1884&gt;0,I1884,0))</f>
        <v/>
      </c>
      <c r="K1915">
        <f>J1915/R1897*1.1</f>
        <v/>
      </c>
      <c r="L1915">
        <f>AVERAGE(K1915:K1917)</f>
        <v/>
      </c>
      <c r="M1915">
        <f>STDEV(K1916:K1917)</f>
        <v/>
      </c>
      <c r="N1915">
        <f>_xlfn.CONCAT(ROUND(L1915,1)," ± ",ROUND(M1915,1))</f>
        <v/>
      </c>
    </row>
    <row r="1916">
      <c r="A1916" s="19" t="n">
        <v>40</v>
      </c>
      <c r="B1916" s="19" t="inlineStr">
        <is>
          <t>K3-3B</t>
        </is>
      </c>
      <c r="D1916" t="n">
        <v>13.3</v>
      </c>
      <c r="E1916" t="n">
        <v>56.14</v>
      </c>
      <c r="F1916" t="n">
        <v>375.679</v>
      </c>
      <c r="G1916" t="n">
        <v>449</v>
      </c>
      <c r="H1916">
        <f>E1916/F1916</f>
        <v/>
      </c>
      <c r="I1916">
        <f>((H1916-$J$1876)/$I$1876)</f>
        <v/>
      </c>
      <c r="J1916">
        <f>(I1916-IF(I1884&gt;0,I1884,0))</f>
        <v/>
      </c>
      <c r="K1916">
        <f>J1916/R1898*1.1</f>
        <v/>
      </c>
    </row>
    <row r="1917">
      <c r="A1917" s="19" t="n">
        <v>41</v>
      </c>
      <c r="B1917" s="19" t="inlineStr">
        <is>
          <t>K3-3C</t>
        </is>
      </c>
      <c r="D1917" t="n">
        <v>13.68</v>
      </c>
      <c r="E1917" t="n">
        <v>1.014</v>
      </c>
      <c r="F1917" t="n">
        <v>522.725</v>
      </c>
      <c r="G1917" t="n">
        <v>10</v>
      </c>
      <c r="H1917">
        <f>E1917/F1917</f>
        <v/>
      </c>
      <c r="I1917">
        <f>((H1917-$J$1876)/$I$1876)</f>
        <v/>
      </c>
      <c r="J1917">
        <f>(I1917-IF(I1884&gt;0,I1884,0))</f>
        <v/>
      </c>
      <c r="K1917">
        <f>J1917/R1899*1.1</f>
        <v/>
      </c>
      <c r="L1917" s="23" t="inlineStr">
        <is>
          <t>Average</t>
        </is>
      </c>
      <c r="M1917" s="23" t="inlineStr">
        <is>
          <t>Stdev</t>
        </is>
      </c>
      <c r="N1917" s="9" t="inlineStr">
        <is>
          <t>Combined</t>
        </is>
      </c>
    </row>
    <row r="1918">
      <c r="A1918" s="19" t="n">
        <v>42</v>
      </c>
      <c r="B1918" s="19" t="inlineStr">
        <is>
          <t>K3-4A</t>
        </is>
      </c>
      <c r="D1918" t="n">
        <v>13.72</v>
      </c>
      <c r="E1918" t="n">
        <v>0.863</v>
      </c>
      <c r="F1918" t="n">
        <v>299.257</v>
      </c>
      <c r="G1918" t="n">
        <v>6</v>
      </c>
      <c r="H1918">
        <f>E1918/F1918</f>
        <v/>
      </c>
      <c r="I1918">
        <f>((H1918-$J$1876)/$I$1876)</f>
        <v/>
      </c>
      <c r="J1918">
        <f>(I1918-IF(I1884&gt;0,I1884,0))</f>
        <v/>
      </c>
      <c r="K1918">
        <f>J1918/R1900*1.1</f>
        <v/>
      </c>
      <c r="L1918">
        <f>AVERAGE(K1918:K1920)</f>
        <v/>
      </c>
      <c r="M1918">
        <f>STDEV(K1918:K1920)</f>
        <v/>
      </c>
      <c r="N1918">
        <f>_xlfn.CONCAT(ROUND(L1918,1)," ± ",ROUND(M1918,1))</f>
        <v/>
      </c>
    </row>
    <row r="1919">
      <c r="A1919" s="19" t="n">
        <v>43</v>
      </c>
      <c r="B1919" s="19" t="inlineStr">
        <is>
          <t>K3-4B</t>
        </is>
      </c>
      <c r="D1919" t="n">
        <v>13.71</v>
      </c>
      <c r="E1919" t="n">
        <v>22.487</v>
      </c>
      <c r="F1919" t="n">
        <v>449.922</v>
      </c>
      <c r="G1919" t="n">
        <v>206</v>
      </c>
      <c r="H1919">
        <f>E1919/F1919</f>
        <v/>
      </c>
      <c r="I1919">
        <f>((H1919-$J$1876)/$I$1876)</f>
        <v/>
      </c>
      <c r="J1919">
        <f>(I1919-IF(I1884&gt;0,I1884,0))</f>
        <v/>
      </c>
      <c r="K1919">
        <f>J1919/R1901*1.1</f>
        <v/>
      </c>
    </row>
    <row r="1920">
      <c r="A1920" s="19" t="n">
        <v>44</v>
      </c>
      <c r="B1920" s="19" t="inlineStr">
        <is>
          <t>K3-4C</t>
        </is>
      </c>
      <c r="D1920" t="n">
        <v>13.86</v>
      </c>
      <c r="E1920" t="n">
        <v>0.298</v>
      </c>
      <c r="F1920" t="n">
        <v>357.082</v>
      </c>
      <c r="G1920" t="n">
        <v>3</v>
      </c>
      <c r="H1920">
        <f>E1920/F1920</f>
        <v/>
      </c>
      <c r="I1920">
        <f>((H1920-$J$1876)/$I$1876)</f>
        <v/>
      </c>
      <c r="J1920">
        <f>(I1920-IF(I1884&gt;0,I1884,0))</f>
        <v/>
      </c>
      <c r="K1920">
        <f>J1920/R1902*1.1</f>
        <v/>
      </c>
      <c r="L1920" s="23" t="n"/>
      <c r="M1920" s="23" t="n"/>
      <c r="N1920" s="9" t="n"/>
    </row>
    <row r="1921">
      <c r="A1921" s="19" t="n">
        <v>45</v>
      </c>
      <c r="B1921" s="19" t="inlineStr">
        <is>
          <t>MeOH</t>
        </is>
      </c>
      <c r="L1921" s="23" t="inlineStr">
        <is>
          <t>Average</t>
        </is>
      </c>
      <c r="M1921" s="23" t="inlineStr">
        <is>
          <t>Stdev</t>
        </is>
      </c>
      <c r="N1921" s="9" t="inlineStr">
        <is>
          <t>Combined</t>
        </is>
      </c>
    </row>
    <row r="1922">
      <c r="A1922" s="19" t="n">
        <v>46</v>
      </c>
      <c r="B1922" s="19" t="inlineStr">
        <is>
          <t>K3-6A</t>
        </is>
      </c>
      <c r="D1922" t="n">
        <v>13.79</v>
      </c>
      <c r="E1922" t="n">
        <v>12.23</v>
      </c>
      <c r="F1922" t="n">
        <v>481.186</v>
      </c>
      <c r="G1922" t="n">
        <v>106</v>
      </c>
      <c r="H1922">
        <f>E1922/F1922</f>
        <v/>
      </c>
      <c r="I1922">
        <f>((H1922-$J$1876)/$I$1876)</f>
        <v/>
      </c>
      <c r="J1922">
        <f>(I1922-IF(I1884&gt;0,I1884,0))</f>
        <v/>
      </c>
      <c r="K1922">
        <f>J1922/R1903*1.1</f>
        <v/>
      </c>
      <c r="L1922">
        <f>AVERAGE(K1922:K1924)</f>
        <v/>
      </c>
      <c r="M1922">
        <f>STDEV(K1923:K1924)</f>
        <v/>
      </c>
      <c r="N1922">
        <f>_xlfn.CONCAT(ROUND(L1922,1)," ± ",ROUND(M1922,1))</f>
        <v/>
      </c>
    </row>
    <row r="1923">
      <c r="A1923" s="19" t="n">
        <v>47</v>
      </c>
      <c r="B1923" s="19" t="inlineStr">
        <is>
          <t>K3-6B</t>
        </is>
      </c>
      <c r="D1923" t="n">
        <v>13.72</v>
      </c>
      <c r="E1923" t="n">
        <v>7.958</v>
      </c>
      <c r="F1923" t="n">
        <v>210.944</v>
      </c>
      <c r="G1923" t="n">
        <v>78</v>
      </c>
      <c r="H1923">
        <f>E1923/F1923</f>
        <v/>
      </c>
      <c r="I1923">
        <f>((H1923-$J$1876)/$I$1876)</f>
        <v/>
      </c>
      <c r="J1923">
        <f>(I1923-IF(I1884&gt;0,I1884,0))</f>
        <v/>
      </c>
      <c r="K1923">
        <f>J1923/R1904*1.1</f>
        <v/>
      </c>
    </row>
    <row r="1924">
      <c r="A1924" s="19" t="n">
        <v>48</v>
      </c>
      <c r="B1924" s="19" t="inlineStr">
        <is>
          <t>K3-6C</t>
        </is>
      </c>
      <c r="D1924" t="n">
        <v>13.38</v>
      </c>
      <c r="E1924" t="n">
        <v>0.712</v>
      </c>
      <c r="F1924" t="n">
        <v>445.594</v>
      </c>
      <c r="G1924" t="n">
        <v>6</v>
      </c>
      <c r="H1924">
        <f>E1924/F1924</f>
        <v/>
      </c>
      <c r="I1924">
        <f>((H1924-$J$1876)/$I$1876)</f>
        <v/>
      </c>
      <c r="J1924">
        <f>(I1924-IF(I1884&gt;0,I1884,0))</f>
        <v/>
      </c>
      <c r="K1924">
        <f>J1924/R1905*1.1</f>
        <v/>
      </c>
      <c r="L1924" s="23" t="n"/>
      <c r="M1924" s="23" t="n"/>
      <c r="N1924" s="9" t="n"/>
    </row>
    <row r="1926">
      <c r="A1926" s="15" t="inlineStr">
        <is>
          <t>Compound 96:  10:2 FTUCA 1</t>
        </is>
      </c>
      <c r="B1926" s="15" t="n"/>
    </row>
    <row r="1927">
      <c r="I1927" t="inlineStr">
        <is>
          <t>LINEST</t>
        </is>
      </c>
      <c r="Q1927" t="inlineStr">
        <is>
          <t>Biosolids Masses</t>
        </is>
      </c>
      <c r="R1927" t="inlineStr">
        <is>
          <t>(g)</t>
        </is>
      </c>
    </row>
    <row r="1928">
      <c r="B1928" t="inlineStr">
        <is>
          <t>Sample Text</t>
        </is>
      </c>
      <c r="C1928" t="inlineStr">
        <is>
          <t>Std. Conc</t>
        </is>
      </c>
      <c r="D1928" t="inlineStr">
        <is>
          <t>RT</t>
        </is>
      </c>
      <c r="E1928" t="inlineStr">
        <is>
          <t>Area</t>
        </is>
      </c>
      <c r="F1928" t="inlineStr">
        <is>
          <t>IS Area</t>
        </is>
      </c>
      <c r="G1928" t="inlineStr">
        <is>
          <t>S/N</t>
        </is>
      </c>
      <c r="H1928" t="inlineStr">
        <is>
          <t>ratio</t>
        </is>
      </c>
      <c r="I1928">
        <f t="array" ref="I1928:J1932">LINEST(H1930:H1936,C1930:C1936,1,1)</f>
        <v/>
      </c>
      <c r="J1928" t="n">
        <v>0.09182712069145893</v>
      </c>
      <c r="L1928" s="20" t="inlineStr">
        <is>
          <t>By S/N Ratio</t>
        </is>
      </c>
      <c r="Q1928" t="inlineStr">
        <is>
          <t>SS1</t>
        </is>
      </c>
      <c r="R1928" t="n">
        <v>1.0846</v>
      </c>
    </row>
    <row r="1929">
      <c r="A1929" t="n">
        <v>1</v>
      </c>
      <c r="B1929" t="inlineStr">
        <is>
          <t>EPA1633 &amp; diPAPs Calibration 0 ppb</t>
        </is>
      </c>
      <c r="C1929" t="n">
        <v>0</v>
      </c>
      <c r="D1929" t="n">
        <v>15.14</v>
      </c>
      <c r="E1929" t="n">
        <v>3983.531</v>
      </c>
      <c r="F1929" t="n">
        <v>68189.008</v>
      </c>
      <c r="G1929" t="n">
        <v>26.872</v>
      </c>
      <c r="H1929">
        <f>E1929/F1929</f>
        <v/>
      </c>
      <c r="I1929" t="n">
        <v>0.002221820092637933</v>
      </c>
      <c r="J1929" t="n">
        <v>0.1926296237644002</v>
      </c>
      <c r="K1929" t="inlineStr">
        <is>
          <t>LOD</t>
        </is>
      </c>
      <c r="L1929" s="21">
        <f>IF(G1932&gt;3,C1932,IF(G1933&gt;3,C1933,IF(G1934&gt;3,C1934,IF(G1935&gt;3,C1935,C1936))))</f>
        <v/>
      </c>
      <c r="Q1929" t="inlineStr">
        <is>
          <t>SS2</t>
        </is>
      </c>
      <c r="R1929" t="n">
        <v>1.0726</v>
      </c>
    </row>
    <row r="1930">
      <c r="A1930" t="n">
        <v>2</v>
      </c>
      <c r="B1930" t="inlineStr">
        <is>
          <t>EPA1633 &amp; diPAPs Calibration 0.02 ppb</t>
        </is>
      </c>
      <c r="C1930" t="n">
        <v>0.2</v>
      </c>
      <c r="D1930" t="n">
        <v>15.17</v>
      </c>
      <c r="E1930" t="n">
        <v>6130.959</v>
      </c>
      <c r="F1930" t="n">
        <v>61484.391</v>
      </c>
      <c r="G1930" t="n">
        <v>164.126</v>
      </c>
      <c r="H1930">
        <f>E1930/F1930</f>
        <v/>
      </c>
      <c r="I1930" t="n">
        <v>0.9975872795195847</v>
      </c>
      <c r="J1930" t="n">
        <v>0.4070483212299247</v>
      </c>
      <c r="K1930" t="inlineStr">
        <is>
          <t>LOQ</t>
        </is>
      </c>
      <c r="L1930" s="22">
        <f>IF(G1932&gt;10,C1932,IF(G1933&gt;10,C1933,IF(G1934&gt;10,C1934,IF(G1935&gt;10,C1935,C1936))))</f>
        <v/>
      </c>
      <c r="Q1930" t="inlineStr">
        <is>
          <t>SS3</t>
        </is>
      </c>
      <c r="R1930" t="n">
        <v>1.1534</v>
      </c>
    </row>
    <row r="1931">
      <c r="A1931" t="n">
        <v>3</v>
      </c>
      <c r="B1931" t="inlineStr">
        <is>
          <t>EPA1633 &amp; diPAPs Calibration 0.1 ppb</t>
        </is>
      </c>
      <c r="C1931" t="n">
        <v>1</v>
      </c>
      <c r="D1931" t="n">
        <v>15.17</v>
      </c>
      <c r="E1931" t="n">
        <v>11482.545</v>
      </c>
      <c r="F1931" t="n">
        <v>63501.434</v>
      </c>
      <c r="G1931" t="n">
        <v>72902</v>
      </c>
      <c r="H1931">
        <f>E1931/F1931</f>
        <v/>
      </c>
      <c r="I1931" t="n">
        <v>2067.349466333293</v>
      </c>
      <c r="J1931" t="n">
        <v>5</v>
      </c>
      <c r="Q1931" t="inlineStr">
        <is>
          <t>K4-1A</t>
        </is>
      </c>
      <c r="R1931" t="n">
        <v>1.0267</v>
      </c>
    </row>
    <row r="1932">
      <c r="A1932" t="n">
        <v>4</v>
      </c>
      <c r="B1932" t="inlineStr">
        <is>
          <t>EPA1633 &amp; diPAPs Calibration 0.4 ppb</t>
        </is>
      </c>
      <c r="C1932" t="n">
        <v>4</v>
      </c>
      <c r="D1932" t="n">
        <v>15.17</v>
      </c>
      <c r="E1932" t="n">
        <v>35478.27</v>
      </c>
      <c r="F1932" t="n">
        <v>57149.977</v>
      </c>
      <c r="G1932" t="n">
        <v>1015.565</v>
      </c>
      <c r="H1932">
        <f>E1932/F1932</f>
        <v/>
      </c>
      <c r="I1932" t="n">
        <v>342.5356926270656</v>
      </c>
      <c r="J1932" t="n">
        <v>0.8284416790804997</v>
      </c>
      <c r="Q1932" t="inlineStr">
        <is>
          <t>K4-1B</t>
        </is>
      </c>
      <c r="R1932" t="n">
        <v>1.1481</v>
      </c>
    </row>
    <row r="1933">
      <c r="A1933" t="n">
        <v>5</v>
      </c>
      <c r="B1933" t="inlineStr">
        <is>
          <t>EPA1633 &amp; diPAPs Calibration 1 ppb</t>
        </is>
      </c>
      <c r="C1933" t="n">
        <v>10</v>
      </c>
      <c r="D1933" t="n">
        <v>15.15</v>
      </c>
      <c r="E1933" t="n">
        <v>63231.914</v>
      </c>
      <c r="F1933" t="n">
        <v>71495.45299999999</v>
      </c>
      <c r="G1933" t="n">
        <v>2362.49</v>
      </c>
      <c r="H1933">
        <f>E1933/F1933</f>
        <v/>
      </c>
      <c r="Q1933" t="inlineStr">
        <is>
          <t>K4-1C</t>
        </is>
      </c>
      <c r="R1933" t="n">
        <v>1.0402</v>
      </c>
    </row>
    <row r="1934">
      <c r="A1934" t="n">
        <v>6</v>
      </c>
      <c r="B1934" t="inlineStr">
        <is>
          <t>EPA1633 &amp; diPAPs Calibration 5 ppb</t>
        </is>
      </c>
      <c r="C1934" t="n">
        <v>50</v>
      </c>
      <c r="D1934" t="n">
        <v>15.13</v>
      </c>
      <c r="E1934" t="n">
        <v>265786.594</v>
      </c>
      <c r="F1934" t="n">
        <v>55511.488</v>
      </c>
      <c r="G1934" t="n">
        <v>997.176</v>
      </c>
      <c r="H1934">
        <f>E1934/F1934</f>
        <v/>
      </c>
      <c r="Q1934" t="inlineStr">
        <is>
          <t>K4-2A</t>
        </is>
      </c>
      <c r="R1934" t="n">
        <v>1.127</v>
      </c>
    </row>
    <row r="1935">
      <c r="A1935" t="n">
        <v>7</v>
      </c>
      <c r="B1935" t="inlineStr">
        <is>
          <t>EPA1633 &amp; diPAPs Calibration 10 ppb</t>
        </is>
      </c>
      <c r="C1935" t="n">
        <v>100</v>
      </c>
      <c r="D1935" t="n">
        <v>15.13</v>
      </c>
      <c r="E1935" t="n">
        <v>466660</v>
      </c>
      <c r="F1935" t="n">
        <v>42641.691</v>
      </c>
      <c r="G1935" t="n">
        <v>8034.862</v>
      </c>
      <c r="H1935">
        <f>E1935/F1935</f>
        <v/>
      </c>
      <c r="I1935" s="23" t="inlineStr">
        <is>
          <t>Background</t>
        </is>
      </c>
      <c r="J1935" s="23" t="inlineStr">
        <is>
          <t>Spike</t>
        </is>
      </c>
      <c r="K1935" s="9" t="inlineStr">
        <is>
          <t>Old Spike</t>
        </is>
      </c>
      <c r="O1935" s="24" t="inlineStr">
        <is>
          <t>±</t>
        </is>
      </c>
      <c r="Q1935" t="inlineStr">
        <is>
          <t>K4-2B</t>
        </is>
      </c>
      <c r="R1935" t="n">
        <v>1.1154</v>
      </c>
    </row>
    <row r="1936">
      <c r="A1936" t="n">
        <v>8</v>
      </c>
      <c r="B1936" t="inlineStr">
        <is>
          <t>EPA1633 &amp; diPAPs Calibration 20 ppb</t>
        </is>
      </c>
      <c r="C1936" t="n">
        <v>200</v>
      </c>
      <c r="D1936" t="n">
        <v>15.14</v>
      </c>
      <c r="E1936" t="n">
        <v>979481.875</v>
      </c>
      <c r="F1936" t="n">
        <v>48928.695</v>
      </c>
      <c r="G1936" t="n">
        <v>7103.993</v>
      </c>
      <c r="H1936">
        <f>E1936/F1936</f>
        <v/>
      </c>
      <c r="I1936">
        <f>AVERAGE(I1939:I1941)</f>
        <v/>
      </c>
      <c r="J1936" t="n">
        <v>110</v>
      </c>
      <c r="Q1936" t="inlineStr">
        <is>
          <t>K4-2C</t>
        </is>
      </c>
      <c r="R1936" t="n">
        <v>1.1711</v>
      </c>
    </row>
    <row r="1937">
      <c r="A1937" t="n">
        <v>9</v>
      </c>
      <c r="B1937" t="inlineStr">
        <is>
          <t>MeOH</t>
        </is>
      </c>
      <c r="D1937" t="n">
        <v>15.17</v>
      </c>
      <c r="E1937" t="n">
        <v>2745.4</v>
      </c>
      <c r="F1937" t="n">
        <v>142.221</v>
      </c>
      <c r="G1937" t="n">
        <v>16394</v>
      </c>
      <c r="I1937" s="23" t="inlineStr">
        <is>
          <t>Conc.In Vial (ppb)</t>
        </is>
      </c>
      <c r="J1937" s="9" t="inlineStr">
        <is>
          <t>Corr. Conc.(ppb)</t>
        </is>
      </c>
      <c r="K1937" s="9" t="inlineStr">
        <is>
          <t>Conc. In soil (ng/g)</t>
        </is>
      </c>
      <c r="Q1937" t="inlineStr">
        <is>
          <t>K4-4A</t>
        </is>
      </c>
      <c r="R1937" t="n">
        <v>1.0932</v>
      </c>
    </row>
    <row r="1938">
      <c r="A1938" t="n">
        <v>10</v>
      </c>
      <c r="B1938" t="inlineStr">
        <is>
          <t>MeOH</t>
        </is>
      </c>
      <c r="D1938" t="n">
        <v>15.18</v>
      </c>
      <c r="E1938" t="n">
        <v>1154.211</v>
      </c>
      <c r="F1938" t="n">
        <v>51.685</v>
      </c>
      <c r="G1938" t="n">
        <v>7210</v>
      </c>
      <c r="L1938" s="23" t="inlineStr">
        <is>
          <t>Average</t>
        </is>
      </c>
      <c r="M1938" s="23" t="inlineStr">
        <is>
          <t>Stdev</t>
        </is>
      </c>
      <c r="N1938" s="9" t="inlineStr">
        <is>
          <t>Combined</t>
        </is>
      </c>
      <c r="O1938" s="9" t="n"/>
      <c r="P1938" s="9" t="n"/>
      <c r="Q1938" t="inlineStr">
        <is>
          <t>K4-4B</t>
        </is>
      </c>
      <c r="R1938" t="n">
        <v>1.15</v>
      </c>
    </row>
    <row r="1939">
      <c r="A1939" t="n">
        <v>11</v>
      </c>
      <c r="B1939" t="inlineStr">
        <is>
          <t>SB1</t>
        </is>
      </c>
      <c r="D1939" t="n">
        <v>15.17</v>
      </c>
      <c r="E1939" t="n">
        <v>541.818</v>
      </c>
      <c r="F1939" t="n">
        <v>23240.385</v>
      </c>
      <c r="G1939" t="n">
        <v>10.423</v>
      </c>
      <c r="H1939">
        <f>E1939/F1939</f>
        <v/>
      </c>
      <c r="I1939">
        <f>((H1939-$J$1928)/$I$1928)</f>
        <v/>
      </c>
      <c r="J1939">
        <f>(I1939-IF(I1936&gt;0,I1936,0))</f>
        <v/>
      </c>
      <c r="K1939">
        <f>J1939*1.1</f>
        <v/>
      </c>
      <c r="L1939">
        <f>AVERAGE(K1939:K1941)</f>
        <v/>
      </c>
      <c r="M1939">
        <f>STDEV(K1940:K1941)</f>
        <v/>
      </c>
      <c r="N1939">
        <f>_xlfn.CONCAT(ROUND(L1939,1)," ± ",ROUND(M1939,1))</f>
        <v/>
      </c>
      <c r="Q1939" t="inlineStr">
        <is>
          <t>K4-4C</t>
        </is>
      </c>
      <c r="R1939" t="n">
        <v>1.0482</v>
      </c>
    </row>
    <row r="1940">
      <c r="A1940" t="n">
        <v>12</v>
      </c>
      <c r="B1940" t="inlineStr">
        <is>
          <t>SB2</t>
        </is>
      </c>
      <c r="D1940" t="n">
        <v>15.23</v>
      </c>
      <c r="E1940" t="n">
        <v>12.718</v>
      </c>
      <c r="F1940" t="n">
        <v>20862.051</v>
      </c>
      <c r="G1940" t="n">
        <v>108</v>
      </c>
      <c r="H1940">
        <f>E1940/F1940</f>
        <v/>
      </c>
      <c r="I1940">
        <f>((H1940-$J$1928)/$I$1928)</f>
        <v/>
      </c>
      <c r="J1940">
        <f>(I1940-IF(I1936&gt;0,I1936,0))</f>
        <v/>
      </c>
      <c r="K1940">
        <f>J1940*1.1</f>
        <v/>
      </c>
      <c r="Q1940" t="inlineStr">
        <is>
          <t>K4-5A</t>
        </is>
      </c>
      <c r="R1940" t="n">
        <v>1.1054</v>
      </c>
    </row>
    <row r="1941">
      <c r="A1941" t="n">
        <v>13</v>
      </c>
      <c r="B1941" t="inlineStr">
        <is>
          <t>SB3</t>
        </is>
      </c>
      <c r="D1941" t="n">
        <v>15.2</v>
      </c>
      <c r="E1941" t="n">
        <v>73.297</v>
      </c>
      <c r="F1941" t="n">
        <v>19219.836</v>
      </c>
      <c r="G1941" t="n">
        <v>475</v>
      </c>
      <c r="H1941">
        <f>E1941/F1941</f>
        <v/>
      </c>
      <c r="I1941">
        <f>((H1941-$J$1928)/$I$1928)</f>
        <v/>
      </c>
      <c r="J1941">
        <f>(I1941-IF(I1936&gt;0,I1936,0))</f>
        <v/>
      </c>
      <c r="K1941" s="30">
        <f>J1941*1.1</f>
        <v/>
      </c>
      <c r="L1941" s="25" t="inlineStr">
        <is>
          <t>Average</t>
        </is>
      </c>
      <c r="M1941" s="25" t="inlineStr">
        <is>
          <t>Stdev</t>
        </is>
      </c>
      <c r="N1941" s="26" t="inlineStr">
        <is>
          <t>%Recovery</t>
        </is>
      </c>
      <c r="O1941" s="26" t="inlineStr">
        <is>
          <t>Uncertainty</t>
        </is>
      </c>
      <c r="P1941" s="26" t="inlineStr">
        <is>
          <t>Combined</t>
        </is>
      </c>
      <c r="Q1941" t="inlineStr">
        <is>
          <t>K4-5B</t>
        </is>
      </c>
      <c r="R1941" s="10" t="n">
        <v>1.0463</v>
      </c>
    </row>
    <row r="1942">
      <c r="A1942" t="n">
        <v>14</v>
      </c>
      <c r="B1942" t="inlineStr">
        <is>
          <t>SS1</t>
        </is>
      </c>
      <c r="D1942" t="n">
        <v>15.21</v>
      </c>
      <c r="E1942" t="n">
        <v>185035.766</v>
      </c>
      <c r="F1942" t="n">
        <v>19767.512</v>
      </c>
      <c r="G1942" t="n">
        <v>3214.406</v>
      </c>
      <c r="H1942">
        <f>E1942/F1942</f>
        <v/>
      </c>
      <c r="I1942">
        <f>((H1942-$J$1928)/$I$1928)</f>
        <v/>
      </c>
      <c r="J1942">
        <f>(I1942-IF(I1936&gt;0,I1936,0))</f>
        <v/>
      </c>
      <c r="K1942">
        <f>J1942/R1928*1.1</f>
        <v/>
      </c>
      <c r="L1942" s="27">
        <f>AVERAGE(K1942:K1944)</f>
        <v/>
      </c>
      <c r="M1942" s="27">
        <f>STDEV(K1942:K1944)</f>
        <v/>
      </c>
      <c r="N1942" s="28">
        <f>L1942/J1936*100</f>
        <v/>
      </c>
      <c r="O1942" s="29">
        <f>M1942/J1939*100</f>
        <v/>
      </c>
      <c r="P1942" s="29">
        <f>_xlfn.CONCAT(ROUND(N1942,1)," ± ",ROUND(O1942,1))</f>
        <v/>
      </c>
      <c r="Q1942" t="inlineStr">
        <is>
          <t>K4-5C</t>
        </is>
      </c>
      <c r="R1942" t="n">
        <v>1.1155</v>
      </c>
    </row>
    <row r="1943">
      <c r="A1943" t="n">
        <v>15</v>
      </c>
      <c r="B1943" t="inlineStr">
        <is>
          <t>SS2</t>
        </is>
      </c>
      <c r="D1943" t="n">
        <v>15.21</v>
      </c>
      <c r="E1943" t="n">
        <v>194341.172</v>
      </c>
      <c r="F1943" t="n">
        <v>20699.598</v>
      </c>
      <c r="G1943" t="n">
        <v>2008.061</v>
      </c>
      <c r="H1943">
        <f>E1943/F1943</f>
        <v/>
      </c>
      <c r="I1943">
        <f>((H1943-$J$1928)/$I$1928)</f>
        <v/>
      </c>
      <c r="J1943">
        <f>(I1943-IF(I1936&gt;0,I1936,0))</f>
        <v/>
      </c>
      <c r="K1943">
        <f>J1943/R1929*1.1</f>
        <v/>
      </c>
      <c r="Q1943" t="inlineStr">
        <is>
          <t>K3-1A</t>
        </is>
      </c>
      <c r="R1943" t="n">
        <v>1.0874</v>
      </c>
    </row>
    <row r="1944">
      <c r="A1944" t="n">
        <v>16</v>
      </c>
      <c r="B1944" t="inlineStr">
        <is>
          <t>SS3</t>
        </is>
      </c>
      <c r="D1944" t="n">
        <v>15.23</v>
      </c>
      <c r="E1944" t="n">
        <v>179323.094</v>
      </c>
      <c r="F1944" t="n">
        <v>17356.738</v>
      </c>
      <c r="G1944" t="n">
        <v>2044.404</v>
      </c>
      <c r="H1944">
        <f>E1944/F1944</f>
        <v/>
      </c>
      <c r="I1944">
        <f>((H1944-$J$1928)/$I$1928)</f>
        <v/>
      </c>
      <c r="J1944">
        <f>(I1944-IF(I1936&gt;0,I1936,0))</f>
        <v/>
      </c>
      <c r="K1944" s="30">
        <f>J1944/R1930*1.1</f>
        <v/>
      </c>
      <c r="Q1944" t="inlineStr">
        <is>
          <t>K3-1B</t>
        </is>
      </c>
      <c r="R1944" t="n">
        <v>1.0898</v>
      </c>
    </row>
    <row r="1945">
      <c r="A1945" s="19" t="n">
        <v>17</v>
      </c>
      <c r="B1945" s="19" t="inlineStr">
        <is>
          <t>MeOH</t>
        </is>
      </c>
      <c r="L1945" s="23" t="inlineStr">
        <is>
          <t>Average</t>
        </is>
      </c>
      <c r="M1945" s="23" t="inlineStr">
        <is>
          <t>Stdev</t>
        </is>
      </c>
      <c r="N1945" s="9" t="inlineStr">
        <is>
          <t>Combined</t>
        </is>
      </c>
      <c r="Q1945" t="inlineStr">
        <is>
          <t>K3-1C</t>
        </is>
      </c>
      <c r="R1945" t="n">
        <v>1.0536</v>
      </c>
    </row>
    <row r="1946">
      <c r="A1946" s="19" t="n">
        <v>18</v>
      </c>
      <c r="B1946" s="19" t="inlineStr">
        <is>
          <t>K4-1A</t>
        </is>
      </c>
      <c r="D1946" t="n">
        <v>15.23</v>
      </c>
      <c r="E1946" t="n">
        <v>521.458</v>
      </c>
      <c r="F1946" t="n">
        <v>24821.027</v>
      </c>
      <c r="G1946" t="n">
        <v>3550</v>
      </c>
      <c r="H1946">
        <f>E1946/F1946</f>
        <v/>
      </c>
      <c r="I1946">
        <f>((H1946-$J$1928)/$I$1928)</f>
        <v/>
      </c>
      <c r="J1946">
        <f>(I1946-IF(I1936&gt;0,I1936,0))</f>
        <v/>
      </c>
      <c r="K1946">
        <f>J1946/R1931*1.1</f>
        <v/>
      </c>
      <c r="L1946">
        <f>AVERAGE(K1946:K1948)</f>
        <v/>
      </c>
      <c r="M1946">
        <f>STDEV(K1947:K1948)</f>
        <v/>
      </c>
      <c r="N1946">
        <f>_xlfn.CONCAT(ROUND(L1946,1)," ± ",ROUND(M1946,1))</f>
        <v/>
      </c>
      <c r="Q1946" t="inlineStr">
        <is>
          <t>K3-2A</t>
        </is>
      </c>
      <c r="R1946" s="10" t="n">
        <v>1.1218</v>
      </c>
    </row>
    <row r="1947">
      <c r="A1947" s="19" t="n">
        <v>19</v>
      </c>
      <c r="B1947" s="19" t="inlineStr">
        <is>
          <t>K4-1B</t>
        </is>
      </c>
      <c r="D1947" t="n">
        <v>15.23</v>
      </c>
      <c r="E1947" t="n">
        <v>181.737</v>
      </c>
      <c r="F1947" t="n">
        <v>24418.576</v>
      </c>
      <c r="G1947" t="n">
        <v>1252</v>
      </c>
      <c r="H1947">
        <f>E1947/F1947</f>
        <v/>
      </c>
      <c r="I1947">
        <f>((H1947-$J$1928)/$I$1928)</f>
        <v/>
      </c>
      <c r="J1947">
        <f>(I1947-IF(I1936&gt;0,I1936,0))</f>
        <v/>
      </c>
      <c r="K1947">
        <f>J1947/R1932*1.1</f>
        <v/>
      </c>
      <c r="Q1947" t="inlineStr">
        <is>
          <t>K3-2B</t>
        </is>
      </c>
      <c r="R1947" t="n">
        <v>1.198</v>
      </c>
    </row>
    <row r="1948">
      <c r="A1948" s="19" t="n">
        <v>20</v>
      </c>
      <c r="B1948" s="19" t="inlineStr">
        <is>
          <t>K4-1C</t>
        </is>
      </c>
      <c r="D1948" t="n">
        <v>15.31</v>
      </c>
      <c r="E1948" t="n">
        <v>241.453</v>
      </c>
      <c r="F1948" t="n">
        <v>22987.746</v>
      </c>
      <c r="G1948" t="n">
        <v>1245</v>
      </c>
      <c r="H1948">
        <f>E1948/F1948</f>
        <v/>
      </c>
      <c r="I1948">
        <f>((H1948-$J$1928)/$I$1928)</f>
        <v/>
      </c>
      <c r="J1948">
        <f>(I1948-IF(I1936&gt;0,I1936,0))</f>
        <v/>
      </c>
      <c r="K1948">
        <f>J1948/R1933*1.1</f>
        <v/>
      </c>
      <c r="L1948" s="23" t="inlineStr">
        <is>
          <t>Average</t>
        </is>
      </c>
      <c r="M1948" s="23" t="inlineStr">
        <is>
          <t>Stdev</t>
        </is>
      </c>
      <c r="N1948" s="9" t="inlineStr">
        <is>
          <t>Combined</t>
        </is>
      </c>
      <c r="Q1948" t="inlineStr">
        <is>
          <t>K3-2C</t>
        </is>
      </c>
      <c r="R1948" t="n">
        <v>1.1538</v>
      </c>
    </row>
    <row r="1949">
      <c r="A1949" s="19" t="n">
        <v>21</v>
      </c>
      <c r="B1949" s="19" t="inlineStr">
        <is>
          <t>K4-2A</t>
        </is>
      </c>
      <c r="D1949" t="n">
        <v>15.26</v>
      </c>
      <c r="E1949" t="n">
        <v>84.518</v>
      </c>
      <c r="F1949" t="n">
        <v>22065.328</v>
      </c>
      <c r="G1949" t="n">
        <v>3.454</v>
      </c>
      <c r="H1949">
        <f>E1949/F1949</f>
        <v/>
      </c>
      <c r="I1949">
        <f>((H1949-$J$1928)/$I$1928)</f>
        <v/>
      </c>
      <c r="J1949">
        <f>(I1949-IF(I1936&gt;0,I1936,0))</f>
        <v/>
      </c>
      <c r="K1949">
        <f>J1949/R1934*1.1</f>
        <v/>
      </c>
      <c r="L1949">
        <f>AVERAGE(K1949:K1951)</f>
        <v/>
      </c>
      <c r="M1949">
        <f>STDEV(K1949:K1951)</f>
        <v/>
      </c>
      <c r="N1949">
        <f>_xlfn.CONCAT(ROUND(L1949,1)," ± ",ROUND(M1949,1))</f>
        <v/>
      </c>
      <c r="Q1949" t="inlineStr">
        <is>
          <t>K3-3A</t>
        </is>
      </c>
      <c r="R1949" t="n">
        <v>1.1183</v>
      </c>
    </row>
    <row r="1950">
      <c r="A1950" s="19" t="n">
        <v>22</v>
      </c>
      <c r="B1950" s="19" t="inlineStr">
        <is>
          <t>K4-2B</t>
        </is>
      </c>
      <c r="D1950" t="n">
        <v>15.31</v>
      </c>
      <c r="E1950" t="n">
        <v>52.84</v>
      </c>
      <c r="F1950" t="n">
        <v>22549.762</v>
      </c>
      <c r="G1950" t="n">
        <v>422</v>
      </c>
      <c r="H1950">
        <f>E1950/F1950</f>
        <v/>
      </c>
      <c r="I1950">
        <f>((H1950-$J$1928)/$I$1928)</f>
        <v/>
      </c>
      <c r="J1950">
        <f>(I1950-IF(I1936&gt;0,I1936,0))</f>
        <v/>
      </c>
      <c r="K1950">
        <f>J1950/R1935*1.1</f>
        <v/>
      </c>
      <c r="Q1950" t="inlineStr">
        <is>
          <t>K3-3B</t>
        </is>
      </c>
      <c r="R1950" t="n">
        <v>1.1448</v>
      </c>
    </row>
    <row r="1951">
      <c r="A1951" s="19" t="n">
        <v>23</v>
      </c>
      <c r="B1951" s="19" t="inlineStr">
        <is>
          <t>K4-2C</t>
        </is>
      </c>
      <c r="D1951" t="n">
        <v>15.3</v>
      </c>
      <c r="E1951" t="n">
        <v>56.226</v>
      </c>
      <c r="F1951" t="n">
        <v>21312.756</v>
      </c>
      <c r="G1951" t="n">
        <v>439</v>
      </c>
      <c r="H1951">
        <f>E1951/F1951</f>
        <v/>
      </c>
      <c r="I1951">
        <f>((H1951-$J$1928)/$I$1928)</f>
        <v/>
      </c>
      <c r="J1951">
        <f>(I1951-IF(I1936&gt;0,I1936,0))</f>
        <v/>
      </c>
      <c r="K1951">
        <f>J1951/R1936*1.1</f>
        <v/>
      </c>
      <c r="L1951" s="23" t="n"/>
      <c r="M1951" s="23" t="n"/>
      <c r="N1951" s="9" t="n"/>
      <c r="Q1951" t="inlineStr">
        <is>
          <t>K3-3C</t>
        </is>
      </c>
      <c r="R1951" t="n">
        <v>1.0493</v>
      </c>
    </row>
    <row r="1952">
      <c r="A1952" s="19" t="n">
        <v>24</v>
      </c>
      <c r="B1952" s="19" t="inlineStr">
        <is>
          <t>MeOH</t>
        </is>
      </c>
      <c r="L1952" s="23" t="inlineStr">
        <is>
          <t>Average</t>
        </is>
      </c>
      <c r="M1952" s="23" t="inlineStr">
        <is>
          <t>Stdev</t>
        </is>
      </c>
      <c r="N1952" s="9" t="inlineStr">
        <is>
          <t>Combined</t>
        </is>
      </c>
      <c r="Q1952" t="inlineStr">
        <is>
          <t>K3-4A</t>
        </is>
      </c>
      <c r="R1952" t="n">
        <v>1.0704</v>
      </c>
    </row>
    <row r="1953">
      <c r="A1953" s="19" t="n">
        <v>25</v>
      </c>
      <c r="B1953" s="19" t="inlineStr">
        <is>
          <t>K4-4A</t>
        </is>
      </c>
      <c r="F1953" t="n">
        <v>23539.836</v>
      </c>
      <c r="H1953">
        <f>E1953/F1953</f>
        <v/>
      </c>
      <c r="I1953">
        <f>((H1953-$J$1928)/$I$1928)</f>
        <v/>
      </c>
      <c r="J1953">
        <f>(I1953-IF(I1936&gt;0,I1936,0))</f>
        <v/>
      </c>
      <c r="K1953">
        <f>J1953/R1937*1.1</f>
        <v/>
      </c>
      <c r="L1953">
        <f>AVERAGE(K1953:K1955)</f>
        <v/>
      </c>
      <c r="M1953">
        <f>STDEV(K1954:K1955)</f>
        <v/>
      </c>
      <c r="N1953">
        <f>_xlfn.CONCAT(ROUND(L1953,1)," ± ",ROUND(M1953,1))</f>
        <v/>
      </c>
      <c r="Q1953" t="inlineStr">
        <is>
          <t>K3-4B</t>
        </is>
      </c>
      <c r="R1953" t="n">
        <v>1.1589</v>
      </c>
    </row>
    <row r="1954">
      <c r="A1954" s="19" t="n">
        <v>26</v>
      </c>
      <c r="B1954" s="19" t="inlineStr">
        <is>
          <t>K4-4B</t>
        </is>
      </c>
      <c r="D1954" t="n">
        <v>15.33</v>
      </c>
      <c r="E1954" t="n">
        <v>147.751</v>
      </c>
      <c r="F1954" t="n">
        <v>23990.521</v>
      </c>
      <c r="G1954" t="n">
        <v>4.375</v>
      </c>
      <c r="H1954">
        <f>E1954/F1954</f>
        <v/>
      </c>
      <c r="I1954">
        <f>((H1954-$J$1928)/$I$1928)</f>
        <v/>
      </c>
      <c r="J1954">
        <f>(I1954-IF(I1936&gt;0,I1936,0))</f>
        <v/>
      </c>
      <c r="K1954">
        <f>J1954/R1938*1.1</f>
        <v/>
      </c>
      <c r="Q1954" t="inlineStr">
        <is>
          <t>K3-4C</t>
        </is>
      </c>
      <c r="R1954" t="n">
        <v>1.0206</v>
      </c>
    </row>
    <row r="1955">
      <c r="A1955" s="19" t="n">
        <v>27</v>
      </c>
      <c r="B1955" s="19" t="inlineStr">
        <is>
          <t>K4-4C</t>
        </is>
      </c>
      <c r="F1955" t="n">
        <v>26560.857</v>
      </c>
      <c r="H1955">
        <f>E1955/F1955</f>
        <v/>
      </c>
      <c r="I1955">
        <f>((H1955-$J$1928)/$I$1928)</f>
        <v/>
      </c>
      <c r="J1955">
        <f>(I1955-IF(I1936&gt;0,I1936,0))</f>
        <v/>
      </c>
      <c r="K1955">
        <f>J1955/R1939*1.1</f>
        <v/>
      </c>
      <c r="L1955" s="23" t="inlineStr">
        <is>
          <t>Average</t>
        </is>
      </c>
      <c r="M1955" s="23" t="inlineStr">
        <is>
          <t>Stdev</t>
        </is>
      </c>
      <c r="N1955" s="9" t="inlineStr">
        <is>
          <t>Combined</t>
        </is>
      </c>
      <c r="Q1955" t="inlineStr">
        <is>
          <t>K3-6A</t>
        </is>
      </c>
      <c r="R1955" t="n">
        <v>1.1289</v>
      </c>
    </row>
    <row r="1956">
      <c r="A1956" s="19" t="n">
        <v>28</v>
      </c>
      <c r="B1956" s="19" t="inlineStr">
        <is>
          <t>K4-5A</t>
        </is>
      </c>
      <c r="D1956" t="n">
        <v>15.21</v>
      </c>
      <c r="E1956" t="n">
        <v>82.849</v>
      </c>
      <c r="F1956" t="n">
        <v>21848.643</v>
      </c>
      <c r="G1956" t="n">
        <v>613</v>
      </c>
      <c r="H1956">
        <f>E1956/F1956</f>
        <v/>
      </c>
      <c r="I1956">
        <f>((H1956-$J$1928)/$I$1928)</f>
        <v/>
      </c>
      <c r="J1956">
        <f>(I1956-IF(I1936&gt;0,I1936,0))</f>
        <v/>
      </c>
      <c r="K1956">
        <f>J1956/R1940*1.1</f>
        <v/>
      </c>
      <c r="L1956">
        <f>AVERAGE(K1956:K1958)</f>
        <v/>
      </c>
      <c r="M1956">
        <f>STDEV(K1956:K1958)</f>
        <v/>
      </c>
      <c r="N1956">
        <f>_xlfn.CONCAT(ROUND(L1956,1)," ± ",ROUND(M1956,1))</f>
        <v/>
      </c>
      <c r="Q1956" t="inlineStr">
        <is>
          <t>K3-6B</t>
        </is>
      </c>
      <c r="R1956" t="n">
        <v>1.195</v>
      </c>
    </row>
    <row r="1957">
      <c r="A1957" s="19" t="n">
        <v>29</v>
      </c>
      <c r="B1957" s="19" t="inlineStr">
        <is>
          <t>K4-5B</t>
        </is>
      </c>
      <c r="D1957" t="n">
        <v>15.44</v>
      </c>
      <c r="E1957" t="n">
        <v>13.442</v>
      </c>
      <c r="F1957" t="n">
        <v>22835.781</v>
      </c>
      <c r="G1957" t="n">
        <v>111</v>
      </c>
      <c r="H1957">
        <f>E1957/F1957</f>
        <v/>
      </c>
      <c r="I1957">
        <f>((H1957-$J$1928)/$I$1928)</f>
        <v/>
      </c>
      <c r="J1957">
        <f>(I1957-IF(I1936&gt;0,I1936,0))</f>
        <v/>
      </c>
      <c r="K1957">
        <f>J1957/R1941*1.1</f>
        <v/>
      </c>
      <c r="Q1957" t="inlineStr">
        <is>
          <t>K3-6C</t>
        </is>
      </c>
      <c r="R1957" t="n">
        <v>1.1716</v>
      </c>
    </row>
    <row r="1958">
      <c r="A1958" s="19" t="n">
        <v>30</v>
      </c>
      <c r="B1958" s="19" t="inlineStr">
        <is>
          <t>K4-5C</t>
        </is>
      </c>
      <c r="D1958" t="n">
        <v>15.23</v>
      </c>
      <c r="E1958" t="n">
        <v>5.86</v>
      </c>
      <c r="F1958" t="n">
        <v>22675.041</v>
      </c>
      <c r="G1958" t="n">
        <v>50</v>
      </c>
      <c r="H1958">
        <f>E1958/F1958</f>
        <v/>
      </c>
      <c r="I1958">
        <f>((H1958-$J$1928)/$I$1928)</f>
        <v/>
      </c>
      <c r="J1958">
        <f>(I1958-IF(I1936&gt;0,I1936,0))</f>
        <v/>
      </c>
      <c r="K1958">
        <f>J1958/R1942*1.1</f>
        <v/>
      </c>
      <c r="L1958" s="23" t="n"/>
      <c r="M1958" s="23" t="n"/>
      <c r="N1958" s="9" t="n"/>
    </row>
    <row r="1959">
      <c r="A1959" s="19" t="n">
        <v>31</v>
      </c>
      <c r="B1959" s="19" t="inlineStr">
        <is>
          <t>MeOH</t>
        </is>
      </c>
      <c r="D1959" t="n">
        <v>15.13</v>
      </c>
      <c r="E1959" t="n">
        <v>1079.139</v>
      </c>
      <c r="G1959" t="n">
        <v>7490</v>
      </c>
      <c r="L1959" s="23" t="inlineStr">
        <is>
          <t>Average</t>
        </is>
      </c>
      <c r="M1959" s="23" t="inlineStr">
        <is>
          <t>Stdev</t>
        </is>
      </c>
      <c r="N1959" s="9" t="inlineStr">
        <is>
          <t>Combined</t>
        </is>
      </c>
    </row>
    <row r="1960">
      <c r="A1960" s="19" t="n">
        <v>32</v>
      </c>
      <c r="B1960" s="19" t="inlineStr">
        <is>
          <t>K3-1A</t>
        </is>
      </c>
      <c r="D1960" t="n">
        <v>15.18</v>
      </c>
      <c r="E1960" t="n">
        <v>77.554</v>
      </c>
      <c r="F1960" t="n">
        <v>26872.742</v>
      </c>
      <c r="G1960" t="n">
        <v>653</v>
      </c>
      <c r="H1960">
        <f>E1960/F1960</f>
        <v/>
      </c>
      <c r="I1960">
        <f>((H1960-$J$1928)/$I$1928)</f>
        <v/>
      </c>
      <c r="J1960">
        <f>(I1960-IF(I1936&gt;0,I1936,0))</f>
        <v/>
      </c>
      <c r="K1960">
        <f>J1960/R1943*1.1</f>
        <v/>
      </c>
      <c r="L1960">
        <f>AVERAGE(K1960:K1962)</f>
        <v/>
      </c>
      <c r="M1960">
        <f>STDEV(K1961:K1962)</f>
        <v/>
      </c>
      <c r="N1960">
        <f>_xlfn.CONCAT(ROUND(L1960,1)," ± ",ROUND(M1960,1))</f>
        <v/>
      </c>
    </row>
    <row r="1961">
      <c r="A1961" s="19" t="n">
        <v>33</v>
      </c>
      <c r="B1961" s="19" t="inlineStr">
        <is>
          <t>K3-1B</t>
        </is>
      </c>
      <c r="D1961" t="n">
        <v>15.18</v>
      </c>
      <c r="E1961" t="n">
        <v>40.314</v>
      </c>
      <c r="F1961" t="n">
        <v>21870.893</v>
      </c>
      <c r="G1961" t="n">
        <v>272</v>
      </c>
      <c r="H1961">
        <f>E1961/F1961</f>
        <v/>
      </c>
      <c r="I1961">
        <f>((H1961-$J$1928)/$I$1928)</f>
        <v/>
      </c>
      <c r="J1961">
        <f>(I1961-IF(I1936&gt;0,I1936,0))</f>
        <v/>
      </c>
      <c r="K1961">
        <f>J1961/R1944*1.1</f>
        <v/>
      </c>
    </row>
    <row r="1962">
      <c r="A1962" s="19" t="n">
        <v>34</v>
      </c>
      <c r="B1962" s="19" t="inlineStr">
        <is>
          <t>K3-1C</t>
        </is>
      </c>
      <c r="D1962" t="n">
        <v>15.21</v>
      </c>
      <c r="E1962" t="n">
        <v>122.296</v>
      </c>
      <c r="F1962" t="n">
        <v>32909.313</v>
      </c>
      <c r="G1962" t="n">
        <v>1023</v>
      </c>
      <c r="H1962">
        <f>E1962/F1962</f>
        <v/>
      </c>
      <c r="I1962">
        <f>((H1962-$J$1928)/$I$1928)</f>
        <v/>
      </c>
      <c r="J1962">
        <f>(I1962-IF(I1936&gt;0,I1936,0))</f>
        <v/>
      </c>
      <c r="K1962">
        <f>J1962/R1945*1.1</f>
        <v/>
      </c>
      <c r="L1962" s="23" t="inlineStr">
        <is>
          <t>Average</t>
        </is>
      </c>
      <c r="M1962" s="23" t="inlineStr">
        <is>
          <t>Stdev</t>
        </is>
      </c>
      <c r="N1962" s="9" t="inlineStr">
        <is>
          <t>Combined</t>
        </is>
      </c>
    </row>
    <row r="1963">
      <c r="A1963" s="19" t="n">
        <v>35</v>
      </c>
      <c r="B1963" s="19" t="inlineStr">
        <is>
          <t>K3-2A</t>
        </is>
      </c>
      <c r="D1963" t="n">
        <v>15.23</v>
      </c>
      <c r="E1963" t="n">
        <v>33.673</v>
      </c>
      <c r="F1963" t="n">
        <v>26168.053</v>
      </c>
      <c r="G1963" t="n">
        <v>281</v>
      </c>
      <c r="H1963">
        <f>E1963/F1963</f>
        <v/>
      </c>
      <c r="I1963">
        <f>((H1963-$J$1928)/$I$1928)</f>
        <v/>
      </c>
      <c r="J1963">
        <f>(I1963-IF(I1936&gt;0,I1936,0))</f>
        <v/>
      </c>
      <c r="K1963">
        <f>J1963/R1946*1.1</f>
        <v/>
      </c>
      <c r="L1963">
        <f>AVERAGE(K1963:K1965)</f>
        <v/>
      </c>
      <c r="M1963">
        <f>STDEV(K1963:K1965)</f>
        <v/>
      </c>
      <c r="N1963">
        <f>_xlfn.CONCAT(ROUND(L1963,1)," ± ",ROUND(M1963,1))</f>
        <v/>
      </c>
    </row>
    <row r="1964">
      <c r="A1964" s="19" t="n">
        <v>36</v>
      </c>
      <c r="B1964" s="19" t="inlineStr">
        <is>
          <t>K3-2B</t>
        </is>
      </c>
      <c r="D1964" t="n">
        <v>15.18</v>
      </c>
      <c r="E1964" t="n">
        <v>7.903</v>
      </c>
      <c r="F1964" t="n">
        <v>31361.701</v>
      </c>
      <c r="G1964" t="n">
        <v>71</v>
      </c>
      <c r="H1964">
        <f>E1964/F1964</f>
        <v/>
      </c>
      <c r="I1964">
        <f>((H1964-$J$1928)/$I$1928)</f>
        <v/>
      </c>
      <c r="J1964">
        <f>(I1964-IF(I1936&gt;0,I1936,0))</f>
        <v/>
      </c>
      <c r="K1964">
        <f>J1964/R1947*1.1</f>
        <v/>
      </c>
    </row>
    <row r="1965">
      <c r="A1965" s="19" t="n">
        <v>37</v>
      </c>
      <c r="B1965" s="19" t="inlineStr">
        <is>
          <t>K3-2C</t>
        </is>
      </c>
      <c r="F1965" t="n">
        <v>25991.197</v>
      </c>
      <c r="H1965">
        <f>E1965/F1965</f>
        <v/>
      </c>
      <c r="I1965">
        <f>((H1965-$J$1928)/$I$1928)</f>
        <v/>
      </c>
      <c r="J1965">
        <f>(I1965-IF(I1936&gt;0,I1936,0))</f>
        <v/>
      </c>
      <c r="K1965">
        <f>J1965/R1948*1.1</f>
        <v/>
      </c>
      <c r="L1965" s="23" t="n"/>
      <c r="M1965" s="23" t="n"/>
      <c r="N1965" s="9" t="n"/>
    </row>
    <row r="1966">
      <c r="A1966" s="19" t="n">
        <v>38</v>
      </c>
      <c r="B1966" s="19" t="inlineStr">
        <is>
          <t>MeOH</t>
        </is>
      </c>
      <c r="L1966" s="23" t="inlineStr">
        <is>
          <t>Average</t>
        </is>
      </c>
      <c r="M1966" s="23" t="inlineStr">
        <is>
          <t>Stdev</t>
        </is>
      </c>
      <c r="N1966" s="9" t="inlineStr">
        <is>
          <t>Combined</t>
        </is>
      </c>
    </row>
    <row r="1967">
      <c r="A1967" s="19" t="n">
        <v>39</v>
      </c>
      <c r="B1967" s="19" t="inlineStr">
        <is>
          <t>K3-3A</t>
        </is>
      </c>
      <c r="D1967" t="n">
        <v>15.23</v>
      </c>
      <c r="E1967" t="n">
        <v>60.186</v>
      </c>
      <c r="F1967" t="n">
        <v>22350.551</v>
      </c>
      <c r="G1967" t="n">
        <v>488</v>
      </c>
      <c r="H1967">
        <f>E1967/F1967</f>
        <v/>
      </c>
      <c r="I1967">
        <f>((H1967-$J$1928)/$I$1928)</f>
        <v/>
      </c>
      <c r="J1967">
        <f>(I1967-IF(I1936&gt;0,I1936,0))</f>
        <v/>
      </c>
      <c r="K1967">
        <f>J1967/R1949*1.1</f>
        <v/>
      </c>
      <c r="L1967">
        <f>AVERAGE(K1967:K1969)</f>
        <v/>
      </c>
      <c r="M1967">
        <f>STDEV(K1968:K1969)</f>
        <v/>
      </c>
      <c r="N1967">
        <f>_xlfn.CONCAT(ROUND(L1967,1)," ± ",ROUND(M1967,1))</f>
        <v/>
      </c>
    </row>
    <row r="1968">
      <c r="A1968" s="19" t="n">
        <v>40</v>
      </c>
      <c r="B1968" s="19" t="inlineStr">
        <is>
          <t>K3-3B</t>
        </is>
      </c>
      <c r="D1968" t="n">
        <v>15.26</v>
      </c>
      <c r="E1968" t="n">
        <v>9.75</v>
      </c>
      <c r="F1968" t="n">
        <v>25724.141</v>
      </c>
      <c r="G1968" t="n">
        <v>62</v>
      </c>
      <c r="H1968">
        <f>E1968/F1968</f>
        <v/>
      </c>
      <c r="I1968">
        <f>((H1968-$J$1928)/$I$1928)</f>
        <v/>
      </c>
      <c r="J1968">
        <f>(I1968-IF(I1936&gt;0,I1936,0))</f>
        <v/>
      </c>
      <c r="K1968">
        <f>J1968/R1950*1.1</f>
        <v/>
      </c>
    </row>
    <row r="1969">
      <c r="A1969" s="19" t="n">
        <v>41</v>
      </c>
      <c r="B1969" s="19" t="inlineStr">
        <is>
          <t>K3-3C</t>
        </is>
      </c>
      <c r="D1969" t="n">
        <v>15.28</v>
      </c>
      <c r="E1969" t="n">
        <v>25.568</v>
      </c>
      <c r="F1969" t="n">
        <v>29659.332</v>
      </c>
      <c r="G1969" t="n">
        <v>1.827</v>
      </c>
      <c r="H1969">
        <f>E1969/F1969</f>
        <v/>
      </c>
      <c r="I1969">
        <f>((H1969-$J$1928)/$I$1928)</f>
        <v/>
      </c>
      <c r="J1969">
        <f>(I1969-IF(I1936&gt;0,I1936,0))</f>
        <v/>
      </c>
      <c r="K1969">
        <f>J1969/R1951*1.1</f>
        <v/>
      </c>
      <c r="L1969" s="23" t="inlineStr">
        <is>
          <t>Average</t>
        </is>
      </c>
      <c r="M1969" s="23" t="inlineStr">
        <is>
          <t>Stdev</t>
        </is>
      </c>
      <c r="N1969" s="9" t="inlineStr">
        <is>
          <t>Combined</t>
        </is>
      </c>
    </row>
    <row r="1970">
      <c r="A1970" s="19" t="n">
        <v>42</v>
      </c>
      <c r="B1970" s="19" t="inlineStr">
        <is>
          <t>K3-4A</t>
        </is>
      </c>
      <c r="D1970" t="n">
        <v>15.4</v>
      </c>
      <c r="E1970" t="n">
        <v>48.419</v>
      </c>
      <c r="F1970" t="n">
        <v>31270.463</v>
      </c>
      <c r="G1970" t="n">
        <v>390</v>
      </c>
      <c r="H1970">
        <f>E1970/F1970</f>
        <v/>
      </c>
      <c r="I1970">
        <f>((H1970-$J$1928)/$I$1928)</f>
        <v/>
      </c>
      <c r="J1970">
        <f>(I1970-IF(I1936&gt;0,I1936,0))</f>
        <v/>
      </c>
      <c r="K1970">
        <f>J1970/R1952*1.1</f>
        <v/>
      </c>
      <c r="L1970">
        <f>AVERAGE(K1970:K1972)</f>
        <v/>
      </c>
      <c r="M1970">
        <f>STDEV(K1970:K1972)</f>
        <v/>
      </c>
      <c r="N1970">
        <f>_xlfn.CONCAT(ROUND(L1970,1)," ± ",ROUND(M1970,1))</f>
        <v/>
      </c>
    </row>
    <row r="1971">
      <c r="A1971" s="19" t="n">
        <v>43</v>
      </c>
      <c r="B1971" s="19" t="inlineStr">
        <is>
          <t>K3-4B</t>
        </is>
      </c>
      <c r="D1971" t="n">
        <v>15.36</v>
      </c>
      <c r="E1971" t="n">
        <v>0.733</v>
      </c>
      <c r="F1971" t="n">
        <v>30780.789</v>
      </c>
      <c r="G1971" t="n">
        <v>6</v>
      </c>
      <c r="H1971">
        <f>E1971/F1971</f>
        <v/>
      </c>
      <c r="I1971">
        <f>((H1971-$J$1928)/$I$1928)</f>
        <v/>
      </c>
      <c r="J1971">
        <f>(I1971-IF(I1936&gt;0,I1936,0))</f>
        <v/>
      </c>
      <c r="K1971">
        <f>J1971/R1953*1.1</f>
        <v/>
      </c>
    </row>
    <row r="1972">
      <c r="A1972" s="19" t="n">
        <v>44</v>
      </c>
      <c r="B1972" s="19" t="inlineStr">
        <is>
          <t>K3-4C</t>
        </is>
      </c>
      <c r="D1972" t="n">
        <v>15.28</v>
      </c>
      <c r="E1972" t="n">
        <v>43.694</v>
      </c>
      <c r="F1972" t="n">
        <v>31819.67</v>
      </c>
      <c r="G1972" t="n">
        <v>345</v>
      </c>
      <c r="H1972">
        <f>E1972/F1972</f>
        <v/>
      </c>
      <c r="I1972">
        <f>((H1972-$J$1928)/$I$1928)</f>
        <v/>
      </c>
      <c r="J1972">
        <f>(I1972-IF(I1936&gt;0,I1936,0))</f>
        <v/>
      </c>
      <c r="K1972">
        <f>J1972/R1954*1.1</f>
        <v/>
      </c>
      <c r="L1972" s="23" t="n"/>
      <c r="M1972" s="23" t="n"/>
      <c r="N1972" s="9" t="n"/>
    </row>
    <row r="1973">
      <c r="A1973" s="19" t="n">
        <v>45</v>
      </c>
      <c r="B1973" s="19" t="inlineStr">
        <is>
          <t>MeOH</t>
        </is>
      </c>
      <c r="L1973" s="23" t="inlineStr">
        <is>
          <t>Average</t>
        </is>
      </c>
      <c r="M1973" s="23" t="inlineStr">
        <is>
          <t>Stdev</t>
        </is>
      </c>
      <c r="N1973" s="9" t="inlineStr">
        <is>
          <t>Combined</t>
        </is>
      </c>
    </row>
    <row r="1974">
      <c r="A1974" s="19" t="n">
        <v>46</v>
      </c>
      <c r="B1974" s="19" t="inlineStr">
        <is>
          <t>K3-6A</t>
        </is>
      </c>
      <c r="D1974" t="n">
        <v>15.3</v>
      </c>
      <c r="E1974" t="n">
        <v>1.231</v>
      </c>
      <c r="F1974" t="n">
        <v>28759.182</v>
      </c>
      <c r="G1974" t="n">
        <v>10</v>
      </c>
      <c r="H1974">
        <f>E1974/F1974</f>
        <v/>
      </c>
      <c r="I1974">
        <f>((H1974-$J$1928)/$I$1928)</f>
        <v/>
      </c>
      <c r="J1974">
        <f>(I1974-IF(I1936&gt;0,I1936,0))</f>
        <v/>
      </c>
      <c r="K1974">
        <f>J1974/R1955*1.1</f>
        <v/>
      </c>
      <c r="L1974">
        <f>AVERAGE(K1974:K1976)</f>
        <v/>
      </c>
      <c r="M1974">
        <f>STDEV(K1975:K1976)</f>
        <v/>
      </c>
      <c r="N1974">
        <f>_xlfn.CONCAT(ROUND(L1974,1)," ± ",ROUND(M1974,1))</f>
        <v/>
      </c>
    </row>
    <row r="1975">
      <c r="A1975" s="19" t="n">
        <v>47</v>
      </c>
      <c r="B1975" s="19" t="inlineStr">
        <is>
          <t>K3-6B</t>
        </is>
      </c>
      <c r="D1975" t="n">
        <v>15.33</v>
      </c>
      <c r="E1975" t="n">
        <v>42.467</v>
      </c>
      <c r="F1975" t="n">
        <v>24892.369</v>
      </c>
      <c r="G1975" t="n">
        <v>2.269</v>
      </c>
      <c r="H1975">
        <f>E1975/F1975</f>
        <v/>
      </c>
      <c r="I1975">
        <f>((H1975-$J$1928)/$I$1928)</f>
        <v/>
      </c>
      <c r="J1975">
        <f>(I1975-IF(I1936&gt;0,I1936,0))</f>
        <v/>
      </c>
      <c r="K1975">
        <f>J1975/R1956*1.1</f>
        <v/>
      </c>
    </row>
    <row r="1976">
      <c r="A1976" s="19" t="n">
        <v>48</v>
      </c>
      <c r="B1976" s="19" t="inlineStr">
        <is>
          <t>K3-6C</t>
        </is>
      </c>
      <c r="F1976" t="n">
        <v>20317.258</v>
      </c>
      <c r="H1976">
        <f>E1976/F1976</f>
        <v/>
      </c>
      <c r="I1976">
        <f>((H1976-$J$1928)/$I$1928)</f>
        <v/>
      </c>
      <c r="J1976">
        <f>(I1976-IF(I1936&gt;0,I1936,0))</f>
        <v/>
      </c>
      <c r="K1976">
        <f>J1976/R1957*1.1</f>
        <v/>
      </c>
      <c r="L1976" s="23" t="n"/>
      <c r="M1976" s="23" t="n"/>
      <c r="N1976" s="9" t="n"/>
    </row>
    <row r="1978">
      <c r="A1978" t="inlineStr">
        <is>
          <t>Compound 98:  PFUDA 1</t>
        </is>
      </c>
    </row>
    <row r="1979">
      <c r="I1979" t="inlineStr">
        <is>
          <t>LINEST</t>
        </is>
      </c>
      <c r="Q1979" t="inlineStr">
        <is>
          <t>Biosolids Masses</t>
        </is>
      </c>
      <c r="R1979" t="inlineStr">
        <is>
          <t>(g)</t>
        </is>
      </c>
    </row>
    <row r="1980">
      <c r="B1980" t="inlineStr">
        <is>
          <t>Sample Text</t>
        </is>
      </c>
      <c r="C1980" t="inlineStr">
        <is>
          <t>Std. Conc</t>
        </is>
      </c>
      <c r="D1980" t="inlineStr">
        <is>
          <t>RT</t>
        </is>
      </c>
      <c r="E1980" t="inlineStr">
        <is>
          <t>Area</t>
        </is>
      </c>
      <c r="F1980" t="inlineStr">
        <is>
          <t>IS Area</t>
        </is>
      </c>
      <c r="G1980" t="inlineStr">
        <is>
          <t>S/N</t>
        </is>
      </c>
      <c r="H1980" t="inlineStr">
        <is>
          <t>ratio</t>
        </is>
      </c>
      <c r="I1980">
        <f t="array" ref="I1980:J1984">LINEST(H1982:H1988,C1982:C1988,1,1)</f>
        <v/>
      </c>
      <c r="J1980" t="n">
        <v>-0.2128850827239637</v>
      </c>
      <c r="L1980" s="20" t="inlineStr">
        <is>
          <t>By S/N Ratio</t>
        </is>
      </c>
      <c r="Q1980" t="inlineStr">
        <is>
          <t>SS1</t>
        </is>
      </c>
      <c r="R1980" t="n">
        <v>1.0846</v>
      </c>
    </row>
    <row r="1981">
      <c r="A1981" t="n">
        <v>1</v>
      </c>
      <c r="B1981" t="inlineStr">
        <is>
          <t>EPA1633 &amp; diPAPs Calibration 0 ppb</t>
        </is>
      </c>
      <c r="C1981" t="n">
        <v>0</v>
      </c>
      <c r="D1981" t="n">
        <v>14.78</v>
      </c>
      <c r="E1981" t="n">
        <v>176.054</v>
      </c>
      <c r="F1981" t="n">
        <v>818.542</v>
      </c>
      <c r="G1981" t="n">
        <v>6.124</v>
      </c>
      <c r="H1981">
        <f>E1981/F1981</f>
        <v/>
      </c>
      <c r="I1981" t="n">
        <v>0.03866975375282791</v>
      </c>
      <c r="J1981" t="n">
        <v>0.3352629738632542</v>
      </c>
      <c r="K1981" t="inlineStr">
        <is>
          <t>LOD</t>
        </is>
      </c>
      <c r="L1981" s="21">
        <f>IF(G1984&gt;3,C1984,IF(G1985&gt;3,C1985,IF(G1986&gt;3,C1986,IF(G1987&gt;3,C1987,C1988))))</f>
        <v/>
      </c>
      <c r="Q1981" t="inlineStr">
        <is>
          <t>SS2</t>
        </is>
      </c>
      <c r="R1981" t="n">
        <v>1.0726</v>
      </c>
    </row>
    <row r="1982">
      <c r="A1982" t="n">
        <v>2</v>
      </c>
      <c r="B1982" t="inlineStr">
        <is>
          <t>EPA1633 &amp; diPAPs Calibration 0.02 ppb</t>
        </is>
      </c>
      <c r="C1982" t="n">
        <v>0.02</v>
      </c>
      <c r="D1982" t="n">
        <v>14.81</v>
      </c>
      <c r="E1982" t="n">
        <v>138.09</v>
      </c>
      <c r="F1982" t="n">
        <v>878.931</v>
      </c>
      <c r="G1982" t="n">
        <v>5.083</v>
      </c>
      <c r="H1982">
        <f>E1982/F1982</f>
        <v/>
      </c>
      <c r="I1982" t="n">
        <v>0.9905967580392204</v>
      </c>
      <c r="J1982" t="n">
        <v>0.7084488253400739</v>
      </c>
      <c r="K1982" t="inlineStr">
        <is>
          <t>LOQ</t>
        </is>
      </c>
      <c r="L1982" s="22">
        <f>IF(G1984&gt;10,C1984,IF(G1985&gt;10,C1985,IF(G1986&gt;10,C1986,IF(G1987&gt;10,C1987,C1988))))</f>
        <v/>
      </c>
      <c r="Q1982" t="inlineStr">
        <is>
          <t>SS3</t>
        </is>
      </c>
      <c r="R1982" t="n">
        <v>1.1534</v>
      </c>
    </row>
    <row r="1983">
      <c r="A1983" t="n">
        <v>3</v>
      </c>
      <c r="B1983" t="inlineStr">
        <is>
          <t>EPA1633 &amp; diPAPs Calibration 0.1 ppb</t>
        </is>
      </c>
      <c r="C1983" t="n">
        <v>0.1</v>
      </c>
      <c r="D1983" t="n">
        <v>14.81</v>
      </c>
      <c r="E1983" t="n">
        <v>149.586</v>
      </c>
      <c r="F1983" t="n">
        <v>947.3</v>
      </c>
      <c r="G1983" t="n">
        <v>1060</v>
      </c>
      <c r="H1983">
        <f>E1983/F1983</f>
        <v/>
      </c>
      <c r="I1983" t="n">
        <v>526.7315050335593</v>
      </c>
      <c r="J1983" t="n">
        <v>5</v>
      </c>
      <c r="Q1983" t="inlineStr">
        <is>
          <t>K4-1A</t>
        </is>
      </c>
      <c r="R1983" t="n">
        <v>1.0267</v>
      </c>
    </row>
    <row r="1984">
      <c r="A1984" t="n">
        <v>4</v>
      </c>
      <c r="B1984" t="inlineStr">
        <is>
          <t>EPA1633 &amp; diPAPs Calibration 0.4 ppb</t>
        </is>
      </c>
      <c r="C1984" t="n">
        <v>0.4</v>
      </c>
      <c r="D1984" t="n">
        <v>14.84</v>
      </c>
      <c r="E1984" t="n">
        <v>556.372</v>
      </c>
      <c r="F1984" t="n">
        <v>785.4690000000001</v>
      </c>
      <c r="G1984" t="n">
        <v>2.859</v>
      </c>
      <c r="H1984">
        <f>E1984/F1984</f>
        <v/>
      </c>
      <c r="I1984" t="n">
        <v>264.3664044389153</v>
      </c>
      <c r="J1984" t="n">
        <v>2.509498690628653</v>
      </c>
      <c r="Q1984" t="inlineStr">
        <is>
          <t>K4-1B</t>
        </is>
      </c>
      <c r="R1984" t="n">
        <v>1.1481</v>
      </c>
    </row>
    <row r="1985">
      <c r="A1985" t="n">
        <v>5</v>
      </c>
      <c r="B1985" t="inlineStr">
        <is>
          <t>EPA1633 &amp; diPAPs Calibration 1 ppb</t>
        </is>
      </c>
      <c r="C1985" t="n">
        <v>1</v>
      </c>
      <c r="D1985" t="n">
        <v>14.8</v>
      </c>
      <c r="E1985" t="n">
        <v>854.277</v>
      </c>
      <c r="F1985" t="n">
        <v>1347.024</v>
      </c>
      <c r="G1985" t="n">
        <v>20.524</v>
      </c>
      <c r="H1985">
        <f>E1985/F1985</f>
        <v/>
      </c>
      <c r="Q1985" t="inlineStr">
        <is>
          <t>K4-1C</t>
        </is>
      </c>
      <c r="R1985" t="n">
        <v>1.0402</v>
      </c>
    </row>
    <row r="1986">
      <c r="A1986" t="n">
        <v>6</v>
      </c>
      <c r="B1986" t="inlineStr">
        <is>
          <t>EPA1633 &amp; diPAPs Calibration 5 ppb</t>
        </is>
      </c>
      <c r="C1986" t="n">
        <v>5</v>
      </c>
      <c r="D1986" t="n">
        <v>14.77</v>
      </c>
      <c r="E1986" t="n">
        <v>2860.832</v>
      </c>
      <c r="F1986" t="n">
        <v>950.485</v>
      </c>
      <c r="G1986" t="n">
        <v>17855</v>
      </c>
      <c r="H1986">
        <f>E1986/F1986</f>
        <v/>
      </c>
      <c r="Q1986" t="inlineStr">
        <is>
          <t>K4-2A</t>
        </is>
      </c>
      <c r="R1986" t="n">
        <v>1.127</v>
      </c>
    </row>
    <row r="1987">
      <c r="A1987" t="n">
        <v>7</v>
      </c>
      <c r="B1987" t="inlineStr">
        <is>
          <t>EPA1633 &amp; diPAPs Calibration 10 ppb</t>
        </is>
      </c>
      <c r="C1987" t="n">
        <v>10</v>
      </c>
      <c r="D1987" t="n">
        <v>14.78</v>
      </c>
      <c r="E1987" t="n">
        <v>5530.637</v>
      </c>
      <c r="F1987" t="n">
        <v>675.6130000000001</v>
      </c>
      <c r="G1987" t="n">
        <v>31.346</v>
      </c>
      <c r="H1987">
        <f>E1987/F1987</f>
        <v/>
      </c>
      <c r="I1987" s="23" t="inlineStr">
        <is>
          <t>Background</t>
        </is>
      </c>
      <c r="J1987" s="23" t="inlineStr">
        <is>
          <t>Spike</t>
        </is>
      </c>
      <c r="K1987" s="9" t="inlineStr">
        <is>
          <t>Old Spike</t>
        </is>
      </c>
      <c r="O1987" s="24" t="inlineStr">
        <is>
          <t>±</t>
        </is>
      </c>
      <c r="Q1987" t="inlineStr">
        <is>
          <t>K4-2B</t>
        </is>
      </c>
      <c r="R1987" t="n">
        <v>1.1154</v>
      </c>
    </row>
    <row r="1988">
      <c r="A1988" t="n">
        <v>8</v>
      </c>
      <c r="B1988" t="inlineStr">
        <is>
          <t>EPA1633 &amp; diPAPs Calibration 20 ppb</t>
        </is>
      </c>
      <c r="C1988" t="n">
        <v>20</v>
      </c>
      <c r="D1988" t="n">
        <v>14.8</v>
      </c>
      <c r="E1988" t="n">
        <v>12096.596</v>
      </c>
      <c r="F1988" t="n">
        <v>669.518</v>
      </c>
      <c r="G1988" t="n">
        <v>295.236</v>
      </c>
      <c r="H1988">
        <f>E1988/F1988</f>
        <v/>
      </c>
      <c r="I1988">
        <f>AVERAGE(I1991:I1993)</f>
        <v/>
      </c>
      <c r="J1988" t="n">
        <v>11</v>
      </c>
      <c r="Q1988" t="inlineStr">
        <is>
          <t>K4-2C</t>
        </is>
      </c>
      <c r="R1988" t="n">
        <v>1.1711</v>
      </c>
    </row>
    <row r="1989">
      <c r="A1989" t="n">
        <v>9</v>
      </c>
      <c r="B1989" t="inlineStr">
        <is>
          <t>MeOH</t>
        </is>
      </c>
      <c r="D1989" t="n">
        <v>14.83</v>
      </c>
      <c r="E1989" t="n">
        <v>67.35599999999999</v>
      </c>
      <c r="G1989" t="n">
        <v>456</v>
      </c>
      <c r="I1989" s="23" t="inlineStr">
        <is>
          <t>Conc.In Vial (ppb)</t>
        </is>
      </c>
      <c r="J1989" s="9" t="inlineStr">
        <is>
          <t>Corr. Conc.(ppb)</t>
        </is>
      </c>
      <c r="K1989" s="9" t="inlineStr">
        <is>
          <t>Conc. In soil (ng/g)</t>
        </is>
      </c>
      <c r="Q1989" t="inlineStr">
        <is>
          <t>K4-4A</t>
        </is>
      </c>
      <c r="R1989" t="n">
        <v>1.0932</v>
      </c>
    </row>
    <row r="1990">
      <c r="A1990" t="n">
        <v>10</v>
      </c>
      <c r="B1990" t="inlineStr">
        <is>
          <t>MeOH</t>
        </is>
      </c>
      <c r="D1990" t="n">
        <v>14.97</v>
      </c>
      <c r="E1990" t="n">
        <v>56.265</v>
      </c>
      <c r="G1990" t="n">
        <v>345</v>
      </c>
      <c r="L1990" s="23" t="inlineStr">
        <is>
          <t>Average</t>
        </is>
      </c>
      <c r="M1990" s="23" t="inlineStr">
        <is>
          <t>Stdev</t>
        </is>
      </c>
      <c r="N1990" s="9" t="inlineStr">
        <is>
          <t>Combined</t>
        </is>
      </c>
      <c r="O1990" s="9" t="n"/>
      <c r="P1990" s="9" t="n"/>
      <c r="Q1990" t="inlineStr">
        <is>
          <t>K4-4B</t>
        </is>
      </c>
      <c r="R1990" t="n">
        <v>1.15</v>
      </c>
    </row>
    <row r="1991">
      <c r="A1991" t="n">
        <v>11</v>
      </c>
      <c r="B1991" t="inlineStr">
        <is>
          <t>SB1</t>
        </is>
      </c>
      <c r="D1991" t="n">
        <v>14.81</v>
      </c>
      <c r="E1991" t="n">
        <v>871.876</v>
      </c>
      <c r="F1991" t="n">
        <v>454.851</v>
      </c>
      <c r="G1991" t="n">
        <v>68.051</v>
      </c>
      <c r="H1991">
        <f>E1991/F1991</f>
        <v/>
      </c>
      <c r="I1991">
        <f>((H1991-$J$1980)/$I$1980)</f>
        <v/>
      </c>
      <c r="J1991">
        <f>(I1991-IF(I1988&gt;0,I1988,0))</f>
        <v/>
      </c>
      <c r="K1991">
        <f>J1991*1.1</f>
        <v/>
      </c>
      <c r="L1991">
        <f>AVERAGE(K1991:K1993)</f>
        <v/>
      </c>
      <c r="M1991">
        <f>STDEV(K1992:K1993)</f>
        <v/>
      </c>
      <c r="N1991">
        <f>_xlfn.CONCAT(ROUND(L1991,1)," ± ",ROUND(M1991,1))</f>
        <v/>
      </c>
      <c r="Q1991" t="inlineStr">
        <is>
          <t>K4-4C</t>
        </is>
      </c>
      <c r="R1991" t="n">
        <v>1.0482</v>
      </c>
    </row>
    <row r="1992">
      <c r="A1992" t="n">
        <v>12</v>
      </c>
      <c r="B1992" t="inlineStr">
        <is>
          <t>SB2</t>
        </is>
      </c>
      <c r="D1992" t="n">
        <v>14.83</v>
      </c>
      <c r="E1992" t="n">
        <v>58.474</v>
      </c>
      <c r="F1992" t="n">
        <v>327.91</v>
      </c>
      <c r="G1992" t="n">
        <v>368</v>
      </c>
      <c r="H1992">
        <f>E1992/F1992</f>
        <v/>
      </c>
      <c r="I1992">
        <f>((H1992-$J$1980)/$I$1980)</f>
        <v/>
      </c>
      <c r="J1992">
        <f>(I1992-IF(I1988&gt;0,I1988,0))</f>
        <v/>
      </c>
      <c r="K1992">
        <f>J1992*1.1</f>
        <v/>
      </c>
      <c r="Q1992" t="inlineStr">
        <is>
          <t>K4-5A</t>
        </is>
      </c>
      <c r="R1992" t="n">
        <v>1.1054</v>
      </c>
    </row>
    <row r="1993">
      <c r="A1993" t="n">
        <v>13</v>
      </c>
      <c r="B1993" t="inlineStr">
        <is>
          <t>SB3</t>
        </is>
      </c>
      <c r="D1993" t="n">
        <v>14.91</v>
      </c>
      <c r="E1993" t="n">
        <v>107.296</v>
      </c>
      <c r="F1993" t="n">
        <v>222.426</v>
      </c>
      <c r="G1993" t="n">
        <v>8.166</v>
      </c>
      <c r="H1993">
        <f>E1993/F1993</f>
        <v/>
      </c>
      <c r="I1993">
        <f>((H1993-$J$1980)/$I$1980)</f>
        <v/>
      </c>
      <c r="J1993">
        <f>(I1993-IF(I1988&gt;0,I1988,0))</f>
        <v/>
      </c>
      <c r="K1993" s="30">
        <f>J1993*1.1</f>
        <v/>
      </c>
      <c r="L1993" s="23" t="inlineStr">
        <is>
          <t>Average</t>
        </is>
      </c>
      <c r="M1993" s="23" t="inlineStr">
        <is>
          <t>Stdev</t>
        </is>
      </c>
      <c r="N1993" s="9" t="inlineStr">
        <is>
          <t>%Recovery</t>
        </is>
      </c>
      <c r="O1993" s="9" t="inlineStr">
        <is>
          <t>Uncertainty</t>
        </is>
      </c>
      <c r="P1993" s="9" t="inlineStr">
        <is>
          <t>Combined</t>
        </is>
      </c>
      <c r="Q1993" t="inlineStr">
        <is>
          <t>K4-5B</t>
        </is>
      </c>
      <c r="R1993" s="10" t="n">
        <v>1.0463</v>
      </c>
    </row>
    <row r="1994">
      <c r="A1994" t="n">
        <v>14</v>
      </c>
      <c r="B1994" t="inlineStr">
        <is>
          <t>SS1</t>
        </is>
      </c>
      <c r="D1994" t="n">
        <v>14.84</v>
      </c>
      <c r="E1994" t="n">
        <v>2915.842</v>
      </c>
      <c r="F1994" t="n">
        <v>226.192</v>
      </c>
      <c r="G1994" t="n">
        <v>16.713</v>
      </c>
      <c r="H1994">
        <f>E1994/F1994</f>
        <v/>
      </c>
      <c r="I1994">
        <f>((H1994-$J$1980)/$I$1980)</f>
        <v/>
      </c>
      <c r="J1994">
        <f>(I1994-IF(I1988&gt;0,I1988,0))</f>
        <v/>
      </c>
      <c r="K1994">
        <f>J1994/R1980*1.1</f>
        <v/>
      </c>
      <c r="L1994" s="30">
        <f>AVERAGE(K1994:K1996)</f>
        <v/>
      </c>
      <c r="M1994" s="30">
        <f>STDEV(K1994:K1996)</f>
        <v/>
      </c>
      <c r="N1994" s="31">
        <f>L1994/J1988*100</f>
        <v/>
      </c>
      <c r="O1994">
        <f>M1994/J1991*100</f>
        <v/>
      </c>
      <c r="P1994">
        <f>_xlfn.CONCAT(ROUND(N1994,1)," ± ",ROUND(O1994,1))</f>
        <v/>
      </c>
      <c r="Q1994" t="inlineStr">
        <is>
          <t>K4-5C</t>
        </is>
      </c>
      <c r="R1994" t="n">
        <v>1.1155</v>
      </c>
    </row>
    <row r="1995">
      <c r="A1995" t="n">
        <v>15</v>
      </c>
      <c r="B1995" t="inlineStr">
        <is>
          <t>SS2</t>
        </is>
      </c>
      <c r="D1995" t="n">
        <v>14.88</v>
      </c>
      <c r="E1995" t="n">
        <v>2162.63</v>
      </c>
      <c r="F1995" t="n">
        <v>314.009</v>
      </c>
      <c r="G1995" t="n">
        <v>14188</v>
      </c>
      <c r="H1995">
        <f>E1995/F1995</f>
        <v/>
      </c>
      <c r="I1995">
        <f>((H1995-$J$1980)/$I$1980)</f>
        <v/>
      </c>
      <c r="J1995">
        <f>(I1995-IF(I1988&gt;0,I1988,0))</f>
        <v/>
      </c>
      <c r="K1995">
        <f>J1995/R1981*1.1</f>
        <v/>
      </c>
      <c r="Q1995" t="inlineStr">
        <is>
          <t>K3-1A</t>
        </is>
      </c>
      <c r="R1995" t="n">
        <v>1.0874</v>
      </c>
    </row>
    <row r="1996">
      <c r="A1996" t="n">
        <v>16</v>
      </c>
      <c r="B1996" t="inlineStr">
        <is>
          <t>SS3</t>
        </is>
      </c>
      <c r="D1996" t="n">
        <v>14.88</v>
      </c>
      <c r="E1996" t="n">
        <v>2602.307</v>
      </c>
      <c r="F1996" t="n">
        <v>235.115</v>
      </c>
      <c r="G1996" t="n">
        <v>59.633</v>
      </c>
      <c r="H1996">
        <f>E1996/F1996</f>
        <v/>
      </c>
      <c r="I1996">
        <f>((H1996-$J$1980)/$I$1980)</f>
        <v/>
      </c>
      <c r="J1996">
        <f>(I1996-IF(I1988&gt;0,I1988,0))</f>
        <v/>
      </c>
      <c r="K1996" s="30">
        <f>J1996/R1982*1.1</f>
        <v/>
      </c>
      <c r="Q1996" t="inlineStr">
        <is>
          <t>K3-1B</t>
        </is>
      </c>
      <c r="R1996" t="n">
        <v>1.0898</v>
      </c>
    </row>
    <row r="1997">
      <c r="A1997" s="19" t="n">
        <v>17</v>
      </c>
      <c r="B1997" s="19" t="inlineStr">
        <is>
          <t>MeOH</t>
        </is>
      </c>
      <c r="L1997" s="23" t="inlineStr">
        <is>
          <t>Average</t>
        </is>
      </c>
      <c r="M1997" s="23" t="inlineStr">
        <is>
          <t>Stdev</t>
        </is>
      </c>
      <c r="N1997" s="9" t="inlineStr">
        <is>
          <t>Combined</t>
        </is>
      </c>
      <c r="Q1997" t="inlineStr">
        <is>
          <t>K3-1C</t>
        </is>
      </c>
      <c r="R1997" t="n">
        <v>1.0536</v>
      </c>
    </row>
    <row r="1998">
      <c r="A1998" s="19" t="n">
        <v>18</v>
      </c>
      <c r="B1998" s="19" t="inlineStr">
        <is>
          <t>K4-1A</t>
        </is>
      </c>
      <c r="D1998" t="n">
        <v>14.92</v>
      </c>
      <c r="E1998" t="n">
        <v>116.305</v>
      </c>
      <c r="F1998" t="n">
        <v>242.818</v>
      </c>
      <c r="G1998" t="n">
        <v>2.607</v>
      </c>
      <c r="H1998">
        <f>E1998/F1998</f>
        <v/>
      </c>
      <c r="I1998">
        <f>((H1998-$J$1980)/$I$1980)</f>
        <v/>
      </c>
      <c r="J1998">
        <f>(I1998-IF(I1988&gt;0,I1988,0))</f>
        <v/>
      </c>
      <c r="K1998">
        <f>J1998/R1983*1.1</f>
        <v/>
      </c>
      <c r="L1998">
        <f>AVERAGE(K1998:K2000)</f>
        <v/>
      </c>
      <c r="M1998">
        <f>STDEV(K1999:K2000)</f>
        <v/>
      </c>
      <c r="N1998">
        <f>_xlfn.CONCAT(ROUND(L1998,1)," ± ",ROUND(M1998,1))</f>
        <v/>
      </c>
      <c r="Q1998" t="inlineStr">
        <is>
          <t>K3-2A</t>
        </is>
      </c>
      <c r="R1998" s="10" t="n">
        <v>1.1218</v>
      </c>
    </row>
    <row r="1999">
      <c r="A1999" s="19" t="n">
        <v>19</v>
      </c>
      <c r="B1999" s="19" t="inlineStr">
        <is>
          <t>K4-1B</t>
        </is>
      </c>
      <c r="D1999" t="n">
        <v>14.88</v>
      </c>
      <c r="E1999" t="n">
        <v>31.993</v>
      </c>
      <c r="F1999" t="n">
        <v>508.77</v>
      </c>
      <c r="G1999" t="n">
        <v>262</v>
      </c>
      <c r="H1999">
        <f>E1999/F1999</f>
        <v/>
      </c>
      <c r="I1999">
        <f>((H1999-$J$1980)/$I$1980)</f>
        <v/>
      </c>
      <c r="J1999">
        <f>(I1999-IF(I1988&gt;0,I1988,0))</f>
        <v/>
      </c>
      <c r="K1999">
        <f>J1999/R1984*1.1</f>
        <v/>
      </c>
      <c r="Q1999" t="inlineStr">
        <is>
          <t>K3-2B</t>
        </is>
      </c>
      <c r="R1999" t="n">
        <v>1.198</v>
      </c>
    </row>
    <row r="2000">
      <c r="A2000" s="19" t="n">
        <v>20</v>
      </c>
      <c r="B2000" s="19" t="inlineStr">
        <is>
          <t>K4-1C</t>
        </is>
      </c>
      <c r="D2000" t="n">
        <v>14.92</v>
      </c>
      <c r="E2000" t="n">
        <v>10.984</v>
      </c>
      <c r="F2000" t="n">
        <v>189.276</v>
      </c>
      <c r="G2000" t="n">
        <v>94</v>
      </c>
      <c r="H2000">
        <f>E2000/F2000</f>
        <v/>
      </c>
      <c r="I2000">
        <f>((H2000-$J$1980)/$I$1980)</f>
        <v/>
      </c>
      <c r="J2000">
        <f>(I2000-IF(I1988&gt;0,I1988,0))</f>
        <v/>
      </c>
      <c r="K2000">
        <f>J2000/R1985*1.1</f>
        <v/>
      </c>
      <c r="L2000" s="23" t="inlineStr">
        <is>
          <t>Average</t>
        </is>
      </c>
      <c r="M2000" s="23" t="inlineStr">
        <is>
          <t>Stdev</t>
        </is>
      </c>
      <c r="N2000" s="9" t="inlineStr">
        <is>
          <t>Combined</t>
        </is>
      </c>
      <c r="Q2000" t="inlineStr">
        <is>
          <t>K3-2C</t>
        </is>
      </c>
      <c r="R2000" t="n">
        <v>1.1538</v>
      </c>
    </row>
    <row r="2001">
      <c r="A2001" s="19" t="n">
        <v>21</v>
      </c>
      <c r="B2001" s="19" t="inlineStr">
        <is>
          <t>K4-2A</t>
        </is>
      </c>
      <c r="D2001" t="n">
        <v>14.89</v>
      </c>
      <c r="E2001" t="n">
        <v>72.783</v>
      </c>
      <c r="F2001" t="n">
        <v>318.211</v>
      </c>
      <c r="G2001" t="n">
        <v>2.807</v>
      </c>
      <c r="H2001">
        <f>E2001/F2001</f>
        <v/>
      </c>
      <c r="I2001">
        <f>((H2001-$J$1980)/$I$1980)</f>
        <v/>
      </c>
      <c r="J2001">
        <f>(I2001-IF(I1988&gt;0,I1988,0))</f>
        <v/>
      </c>
      <c r="K2001">
        <f>J2001/R1986*1.1</f>
        <v/>
      </c>
      <c r="L2001">
        <f>AVERAGE(K2001:K2003)</f>
        <v/>
      </c>
      <c r="M2001">
        <f>STDEV(K2001:K2003)</f>
        <v/>
      </c>
      <c r="N2001">
        <f>_xlfn.CONCAT(ROUND(L2001,1)," ± ",ROUND(M2001,1))</f>
        <v/>
      </c>
      <c r="Q2001" t="inlineStr">
        <is>
          <t>K3-3A</t>
        </is>
      </c>
      <c r="R2001" t="n">
        <v>1.1183</v>
      </c>
    </row>
    <row r="2002">
      <c r="A2002" s="19" t="n">
        <v>22</v>
      </c>
      <c r="B2002" s="19" t="inlineStr">
        <is>
          <t>K4-2B</t>
        </is>
      </c>
      <c r="D2002" t="n">
        <v>14.88</v>
      </c>
      <c r="E2002" t="n">
        <v>33.11</v>
      </c>
      <c r="F2002" t="n">
        <v>608.7859999999999</v>
      </c>
      <c r="G2002" t="n">
        <v>240</v>
      </c>
      <c r="H2002">
        <f>E2002/F2002</f>
        <v/>
      </c>
      <c r="I2002">
        <f>((H2002-$J$1980)/$I$1980)</f>
        <v/>
      </c>
      <c r="J2002">
        <f>(I2002-IF(I1988&gt;0,I1988,0))</f>
        <v/>
      </c>
      <c r="K2002">
        <f>J2002/R1987*1.1</f>
        <v/>
      </c>
      <c r="Q2002" t="inlineStr">
        <is>
          <t>K3-3B</t>
        </is>
      </c>
      <c r="R2002" t="n">
        <v>1.1448</v>
      </c>
    </row>
    <row r="2003">
      <c r="A2003" s="19" t="n">
        <v>23</v>
      </c>
      <c r="B2003" s="19" t="inlineStr">
        <is>
          <t>K4-2C</t>
        </is>
      </c>
      <c r="D2003" t="n">
        <v>14.92</v>
      </c>
      <c r="E2003" t="n">
        <v>254.143</v>
      </c>
      <c r="F2003" t="n">
        <v>229.764</v>
      </c>
      <c r="G2003" t="n">
        <v>30.804</v>
      </c>
      <c r="H2003">
        <f>E2003/F2003</f>
        <v/>
      </c>
      <c r="I2003">
        <f>((H2003-$J$1980)/$I$1980)</f>
        <v/>
      </c>
      <c r="J2003">
        <f>(I2003-IF(I1988&gt;0,I1988,0))</f>
        <v/>
      </c>
      <c r="K2003">
        <f>J2003/R1988*1.1</f>
        <v/>
      </c>
      <c r="L2003" s="23" t="n"/>
      <c r="M2003" s="23" t="n"/>
      <c r="N2003" s="9" t="n"/>
      <c r="Q2003" t="inlineStr">
        <is>
          <t>K3-3C</t>
        </is>
      </c>
      <c r="R2003" t="n">
        <v>1.0493</v>
      </c>
    </row>
    <row r="2004">
      <c r="A2004" s="19" t="n">
        <v>24</v>
      </c>
      <c r="B2004" s="19" t="inlineStr">
        <is>
          <t>MeOH</t>
        </is>
      </c>
      <c r="L2004" s="23" t="inlineStr">
        <is>
          <t>Average</t>
        </is>
      </c>
      <c r="M2004" s="23" t="inlineStr">
        <is>
          <t>Stdev</t>
        </is>
      </c>
      <c r="N2004" s="9" t="inlineStr">
        <is>
          <t>Combined</t>
        </is>
      </c>
      <c r="Q2004" t="inlineStr">
        <is>
          <t>K3-4A</t>
        </is>
      </c>
      <c r="R2004" t="n">
        <v>1.0704</v>
      </c>
    </row>
    <row r="2005">
      <c r="A2005" s="19" t="n">
        <v>25</v>
      </c>
      <c r="B2005" s="19" t="inlineStr">
        <is>
          <t>K4-4A</t>
        </is>
      </c>
      <c r="D2005" t="n">
        <v>14.92</v>
      </c>
      <c r="E2005" t="n">
        <v>97.292</v>
      </c>
      <c r="F2005" t="n">
        <v>288.067</v>
      </c>
      <c r="G2005" t="n">
        <v>725</v>
      </c>
      <c r="H2005">
        <f>E2005/F2005</f>
        <v/>
      </c>
      <c r="I2005">
        <f>((H2005-$J$1980)/$I$1980)</f>
        <v/>
      </c>
      <c r="J2005">
        <f>(I2005-IF(I1988&gt;0,I1988,0))</f>
        <v/>
      </c>
      <c r="K2005">
        <f>J2005/R1989*1.1</f>
        <v/>
      </c>
      <c r="L2005">
        <f>AVERAGE(K2005:K2007)</f>
        <v/>
      </c>
      <c r="M2005">
        <f>STDEV(K2006:K2007)</f>
        <v/>
      </c>
      <c r="N2005">
        <f>_xlfn.CONCAT(ROUND(L2005,1)," ± ",ROUND(M2005,1))</f>
        <v/>
      </c>
      <c r="Q2005" t="inlineStr">
        <is>
          <t>K3-4B</t>
        </is>
      </c>
      <c r="R2005" t="n">
        <v>1.1589</v>
      </c>
    </row>
    <row r="2006">
      <c r="A2006" s="19" t="n">
        <v>26</v>
      </c>
      <c r="B2006" s="19" t="inlineStr">
        <is>
          <t>K4-4B</t>
        </is>
      </c>
      <c r="D2006" t="n">
        <v>14.92</v>
      </c>
      <c r="E2006" t="n">
        <v>111.563</v>
      </c>
      <c r="F2006" t="n">
        <v>219.81</v>
      </c>
      <c r="G2006" t="n">
        <v>45.963</v>
      </c>
      <c r="H2006">
        <f>E2006/F2006</f>
        <v/>
      </c>
      <c r="I2006">
        <f>((H2006-$J$1980)/$I$1980)</f>
        <v/>
      </c>
      <c r="J2006">
        <f>(I2006-IF(I1988&gt;0,I1988,0))</f>
        <v/>
      </c>
      <c r="K2006">
        <f>J2006/R1990*1.1</f>
        <v/>
      </c>
      <c r="Q2006" t="inlineStr">
        <is>
          <t>K3-4C</t>
        </is>
      </c>
      <c r="R2006" t="n">
        <v>1.0206</v>
      </c>
    </row>
    <row r="2007">
      <c r="A2007" s="19" t="n">
        <v>27</v>
      </c>
      <c r="B2007" s="19" t="inlineStr">
        <is>
          <t>K4-4C</t>
        </is>
      </c>
      <c r="D2007" t="n">
        <v>14.94</v>
      </c>
      <c r="E2007" t="n">
        <v>18.054</v>
      </c>
      <c r="F2007" t="n">
        <v>322.86</v>
      </c>
      <c r="G2007" t="n">
        <v>156</v>
      </c>
      <c r="H2007">
        <f>E2007/F2007</f>
        <v/>
      </c>
      <c r="I2007">
        <f>((H2007-$J$1980)/$I$1980)</f>
        <v/>
      </c>
      <c r="J2007">
        <f>(I2007-IF(I1988&gt;0,I1988,0))</f>
        <v/>
      </c>
      <c r="K2007">
        <f>J2007/R1991*1.1</f>
        <v/>
      </c>
      <c r="L2007" s="23" t="inlineStr">
        <is>
          <t>Average</t>
        </is>
      </c>
      <c r="M2007" s="23" t="inlineStr">
        <is>
          <t>Stdev</t>
        </is>
      </c>
      <c r="N2007" s="9" t="inlineStr">
        <is>
          <t>Combined</t>
        </is>
      </c>
      <c r="Q2007" t="inlineStr">
        <is>
          <t>K3-6A</t>
        </is>
      </c>
      <c r="R2007" t="n">
        <v>1.1289</v>
      </c>
    </row>
    <row r="2008">
      <c r="A2008" s="19" t="n">
        <v>28</v>
      </c>
      <c r="B2008" s="19" t="inlineStr">
        <is>
          <t>K4-5A</t>
        </is>
      </c>
      <c r="D2008" t="n">
        <v>14.92</v>
      </c>
      <c r="E2008" t="n">
        <v>40.075</v>
      </c>
      <c r="F2008" t="n">
        <v>302.863</v>
      </c>
      <c r="G2008" t="n">
        <v>5.829</v>
      </c>
      <c r="H2008">
        <f>E2008/F2008</f>
        <v/>
      </c>
      <c r="I2008">
        <f>((H2008-$J$1980)/$I$1980)</f>
        <v/>
      </c>
      <c r="J2008">
        <f>(I2008-IF(I1988&gt;0,I1988,0))</f>
        <v/>
      </c>
      <c r="K2008">
        <f>J2008/R1992*1.1</f>
        <v/>
      </c>
      <c r="L2008">
        <f>AVERAGE(K2008:K2010)</f>
        <v/>
      </c>
      <c r="M2008">
        <f>STDEV(K2008:K2010)</f>
        <v/>
      </c>
      <c r="N2008">
        <f>_xlfn.CONCAT(ROUND(L2008,1)," ± ",ROUND(M2008,1))</f>
        <v/>
      </c>
      <c r="Q2008" t="inlineStr">
        <is>
          <t>K3-6B</t>
        </is>
      </c>
      <c r="R2008" t="n">
        <v>1.195</v>
      </c>
    </row>
    <row r="2009">
      <c r="A2009" s="19" t="n">
        <v>29</v>
      </c>
      <c r="B2009" s="19" t="inlineStr">
        <is>
          <t>K4-5B</t>
        </is>
      </c>
      <c r="D2009" t="n">
        <v>14.84</v>
      </c>
      <c r="E2009" t="n">
        <v>87.521</v>
      </c>
      <c r="F2009" t="n">
        <v>188.939</v>
      </c>
      <c r="G2009" t="n">
        <v>2.63</v>
      </c>
      <c r="H2009">
        <f>E2009/F2009</f>
        <v/>
      </c>
      <c r="I2009">
        <f>((H2009-$J$1980)/$I$1980)</f>
        <v/>
      </c>
      <c r="J2009">
        <f>(I2009-IF(I1988&gt;0,I1988,0))</f>
        <v/>
      </c>
      <c r="K2009">
        <f>J2009/R1993*1.1</f>
        <v/>
      </c>
      <c r="Q2009" t="inlineStr">
        <is>
          <t>K3-6C</t>
        </is>
      </c>
      <c r="R2009" t="n">
        <v>1.1716</v>
      </c>
    </row>
    <row r="2010">
      <c r="A2010" s="19" t="n">
        <v>30</v>
      </c>
      <c r="B2010" s="19" t="inlineStr">
        <is>
          <t>K4-5C</t>
        </is>
      </c>
      <c r="D2010" t="n">
        <v>14.8</v>
      </c>
      <c r="E2010" t="n">
        <v>60.708</v>
      </c>
      <c r="F2010" t="n">
        <v>386.08</v>
      </c>
      <c r="G2010" t="n">
        <v>496</v>
      </c>
      <c r="H2010">
        <f>E2010/F2010</f>
        <v/>
      </c>
      <c r="I2010">
        <f>((H2010-$J$1980)/$I$1980)</f>
        <v/>
      </c>
      <c r="J2010">
        <f>(I2010-IF(I1988&gt;0,I1988,0))</f>
        <v/>
      </c>
      <c r="K2010">
        <f>J2010/R1994*1.1</f>
        <v/>
      </c>
      <c r="L2010" s="23" t="n"/>
      <c r="M2010" s="23" t="n"/>
      <c r="N2010" s="9" t="n"/>
    </row>
    <row r="2011">
      <c r="A2011" s="19" t="n">
        <v>31</v>
      </c>
      <c r="B2011" s="19" t="inlineStr">
        <is>
          <t>MeOH</t>
        </is>
      </c>
      <c r="L2011" s="23" t="inlineStr">
        <is>
          <t>Average</t>
        </is>
      </c>
      <c r="M2011" s="23" t="inlineStr">
        <is>
          <t>Stdev</t>
        </is>
      </c>
      <c r="N2011" s="9" t="inlineStr">
        <is>
          <t>Combined</t>
        </is>
      </c>
    </row>
    <row r="2012">
      <c r="A2012" s="19" t="n">
        <v>32</v>
      </c>
      <c r="B2012" s="19" t="inlineStr">
        <is>
          <t>K3-1A</t>
        </is>
      </c>
      <c r="D2012" t="n">
        <v>14.81</v>
      </c>
      <c r="E2012" t="n">
        <v>427.026</v>
      </c>
      <c r="F2012" t="n">
        <v>273.068</v>
      </c>
      <c r="G2012" t="n">
        <v>5.635</v>
      </c>
      <c r="H2012">
        <f>E2012/F2012</f>
        <v/>
      </c>
      <c r="I2012">
        <f>((H2012-$J$1980)/$I$1980)</f>
        <v/>
      </c>
      <c r="J2012">
        <f>(I2012-IF(I1988&gt;0,I1988,0))</f>
        <v/>
      </c>
      <c r="K2012">
        <f>J2012/R1995*1.1</f>
        <v/>
      </c>
      <c r="L2012">
        <f>AVERAGE(K2012:K2014)</f>
        <v/>
      </c>
      <c r="M2012">
        <f>STDEV(K2013:K2014)</f>
        <v/>
      </c>
      <c r="N2012">
        <f>_xlfn.CONCAT(ROUND(L2012,1)," ± ",ROUND(M2012,1))</f>
        <v/>
      </c>
    </row>
    <row r="2013">
      <c r="A2013" s="19" t="n">
        <v>33</v>
      </c>
      <c r="B2013" s="19" t="inlineStr">
        <is>
          <t>K3-1B</t>
        </is>
      </c>
      <c r="D2013" t="n">
        <v>14.81</v>
      </c>
      <c r="E2013" t="n">
        <v>12.344</v>
      </c>
      <c r="F2013" t="n">
        <v>112.597</v>
      </c>
      <c r="G2013" t="n">
        <v>8.893000000000001</v>
      </c>
      <c r="H2013">
        <f>E2013/F2013</f>
        <v/>
      </c>
      <c r="I2013">
        <f>((H2013-$J$1980)/$I$1980)</f>
        <v/>
      </c>
      <c r="J2013">
        <f>(I2013-IF(I1988&gt;0,I1988,0))</f>
        <v/>
      </c>
      <c r="K2013">
        <f>J2013/R1996*1.1</f>
        <v/>
      </c>
    </row>
    <row r="2014">
      <c r="A2014" s="19" t="n">
        <v>34</v>
      </c>
      <c r="B2014" s="19" t="inlineStr">
        <is>
          <t>K3-1C</t>
        </is>
      </c>
      <c r="D2014" t="n">
        <v>14.83</v>
      </c>
      <c r="E2014" t="n">
        <v>55.431</v>
      </c>
      <c r="F2014" t="n">
        <v>575.867</v>
      </c>
      <c r="G2014" t="n">
        <v>438</v>
      </c>
      <c r="H2014">
        <f>E2014/F2014</f>
        <v/>
      </c>
      <c r="I2014">
        <f>((H2014-$J$1980)/$I$1980)</f>
        <v/>
      </c>
      <c r="J2014">
        <f>(I2014-IF(I1988&gt;0,I1988,0))</f>
        <v/>
      </c>
      <c r="K2014">
        <f>J2014/R1997*1.1</f>
        <v/>
      </c>
      <c r="L2014" s="23" t="inlineStr">
        <is>
          <t>Average</t>
        </is>
      </c>
      <c r="M2014" s="23" t="inlineStr">
        <is>
          <t>Stdev</t>
        </is>
      </c>
      <c r="N2014" s="9" t="inlineStr">
        <is>
          <t>Combined</t>
        </is>
      </c>
    </row>
    <row r="2015">
      <c r="A2015" s="19" t="n">
        <v>35</v>
      </c>
      <c r="B2015" s="19" t="inlineStr">
        <is>
          <t>K3-2A</t>
        </is>
      </c>
      <c r="D2015" t="n">
        <v>14.88</v>
      </c>
      <c r="E2015" t="n">
        <v>35.019</v>
      </c>
      <c r="F2015" t="n">
        <v>406.817</v>
      </c>
      <c r="G2015" t="n">
        <v>3.175</v>
      </c>
      <c r="H2015">
        <f>E2015/F2015</f>
        <v/>
      </c>
      <c r="I2015">
        <f>((H2015-$J$1980)/$I$1980)</f>
        <v/>
      </c>
      <c r="J2015">
        <f>(I2015-IF(I1988&gt;0,I1988,0))</f>
        <v/>
      </c>
      <c r="K2015">
        <f>J2015/R1998*1.1</f>
        <v/>
      </c>
      <c r="L2015">
        <f>AVERAGE(K2015:K2017)</f>
        <v/>
      </c>
      <c r="M2015">
        <f>STDEV(K2015:K2017)</f>
        <v/>
      </c>
      <c r="N2015">
        <f>_xlfn.CONCAT(ROUND(L2015,1)," ± ",ROUND(M2015,1))</f>
        <v/>
      </c>
    </row>
    <row r="2016">
      <c r="A2016" s="19" t="n">
        <v>36</v>
      </c>
      <c r="B2016" s="19" t="inlineStr">
        <is>
          <t>K3-2B</t>
        </is>
      </c>
      <c r="D2016" t="n">
        <v>14.88</v>
      </c>
      <c r="E2016" t="n">
        <v>231.338</v>
      </c>
      <c r="F2016" t="n">
        <v>266.099</v>
      </c>
      <c r="G2016" t="n">
        <v>6.464</v>
      </c>
      <c r="H2016">
        <f>E2016/F2016</f>
        <v/>
      </c>
      <c r="I2016">
        <f>((H2016-$J$1980)/$I$1980)</f>
        <v/>
      </c>
      <c r="J2016">
        <f>(I2016-IF(I1988&gt;0,I1988,0))</f>
        <v/>
      </c>
      <c r="K2016">
        <f>J2016/R1999*1.1</f>
        <v/>
      </c>
    </row>
    <row r="2017">
      <c r="A2017" s="19" t="n">
        <v>37</v>
      </c>
      <c r="B2017" s="19" t="inlineStr">
        <is>
          <t>K3-2C</t>
        </is>
      </c>
      <c r="D2017" t="n">
        <v>14.89</v>
      </c>
      <c r="E2017" t="n">
        <v>36.611</v>
      </c>
      <c r="F2017" t="n">
        <v>84.498</v>
      </c>
      <c r="G2017" t="n">
        <v>2.716</v>
      </c>
      <c r="H2017">
        <f>E2017/F2017</f>
        <v/>
      </c>
      <c r="I2017">
        <f>((H2017-$J$1980)/$I$1980)</f>
        <v/>
      </c>
      <c r="J2017">
        <f>(I2017-IF(I1988&gt;0,I1988,0))</f>
        <v/>
      </c>
      <c r="K2017">
        <f>J2017/R2000*1.1</f>
        <v/>
      </c>
      <c r="L2017" s="23" t="n"/>
      <c r="M2017" s="23" t="n"/>
      <c r="N2017" s="9" t="n"/>
    </row>
    <row r="2018">
      <c r="A2018" s="19" t="n">
        <v>38</v>
      </c>
      <c r="B2018" s="19" t="inlineStr">
        <is>
          <t>MeOH</t>
        </is>
      </c>
      <c r="L2018" s="23" t="inlineStr">
        <is>
          <t>Average</t>
        </is>
      </c>
      <c r="M2018" s="23" t="inlineStr">
        <is>
          <t>Stdev</t>
        </is>
      </c>
      <c r="N2018" s="9" t="inlineStr">
        <is>
          <t>Combined</t>
        </is>
      </c>
    </row>
    <row r="2019">
      <c r="A2019" s="19" t="n">
        <v>39</v>
      </c>
      <c r="B2019" s="19" t="inlineStr">
        <is>
          <t>K3-3A</t>
        </is>
      </c>
      <c r="D2019" t="n">
        <v>14.91</v>
      </c>
      <c r="E2019" t="n">
        <v>95.76600000000001</v>
      </c>
      <c r="F2019" t="n">
        <v>164.973</v>
      </c>
      <c r="G2019" t="n">
        <v>655</v>
      </c>
      <c r="H2019">
        <f>E2019/F2019</f>
        <v/>
      </c>
      <c r="I2019">
        <f>((H2019-$J$1980)/$I$1980)</f>
        <v/>
      </c>
      <c r="J2019">
        <f>(I2019-IF(I1988&gt;0,I1988,0))</f>
        <v/>
      </c>
      <c r="K2019">
        <f>J2019/R2001*1.1</f>
        <v/>
      </c>
      <c r="L2019">
        <f>AVERAGE(K2019:K2021)</f>
        <v/>
      </c>
      <c r="M2019">
        <f>STDEV(K2020:K2021)</f>
        <v/>
      </c>
      <c r="N2019">
        <f>_xlfn.CONCAT(ROUND(L2019,1)," ± ",ROUND(M2019,1))</f>
        <v/>
      </c>
    </row>
    <row r="2020">
      <c r="A2020" s="19" t="n">
        <v>40</v>
      </c>
      <c r="B2020" s="19" t="inlineStr">
        <is>
          <t>K3-3B</t>
        </is>
      </c>
      <c r="D2020" t="n">
        <v>14.99</v>
      </c>
      <c r="E2020" t="n">
        <v>236.64</v>
      </c>
      <c r="F2020" t="n">
        <v>375.679</v>
      </c>
      <c r="G2020" t="n">
        <v>4.943</v>
      </c>
      <c r="H2020">
        <f>E2020/F2020</f>
        <v/>
      </c>
      <c r="I2020">
        <f>((H2020-$J$1980)/$I$1980)</f>
        <v/>
      </c>
      <c r="J2020">
        <f>(I2020-IF(I1988&gt;0,I1988,0))</f>
        <v/>
      </c>
      <c r="K2020">
        <f>J2020/R2002*1.1</f>
        <v/>
      </c>
    </row>
    <row r="2021">
      <c r="A2021" s="19" t="n">
        <v>41</v>
      </c>
      <c r="B2021" s="19" t="inlineStr">
        <is>
          <t>K3-3C</t>
        </is>
      </c>
      <c r="D2021" t="n">
        <v>14.91</v>
      </c>
      <c r="E2021" t="n">
        <v>47.31</v>
      </c>
      <c r="F2021" t="n">
        <v>522.725</v>
      </c>
      <c r="G2021" t="n">
        <v>339</v>
      </c>
      <c r="H2021">
        <f>E2021/F2021</f>
        <v/>
      </c>
      <c r="I2021">
        <f>((H2021-$J$1980)/$I$1980)</f>
        <v/>
      </c>
      <c r="J2021">
        <f>(I2021-IF(I1988&gt;0,I1988,0))</f>
        <v/>
      </c>
      <c r="K2021">
        <f>J2021/R2003*1.1</f>
        <v/>
      </c>
      <c r="L2021" s="23" t="inlineStr">
        <is>
          <t>Average</t>
        </is>
      </c>
      <c r="M2021" s="23" t="inlineStr">
        <is>
          <t>Stdev</t>
        </is>
      </c>
      <c r="N2021" s="9" t="inlineStr">
        <is>
          <t>Combined</t>
        </is>
      </c>
    </row>
    <row r="2022">
      <c r="A2022" s="19" t="n">
        <v>42</v>
      </c>
      <c r="B2022" s="19" t="inlineStr">
        <is>
          <t>K3-4A</t>
        </is>
      </c>
      <c r="D2022" t="n">
        <v>14.96</v>
      </c>
      <c r="E2022" t="n">
        <v>89.873</v>
      </c>
      <c r="F2022" t="n">
        <v>299.257</v>
      </c>
      <c r="G2022" t="n">
        <v>3.77</v>
      </c>
      <c r="H2022">
        <f>E2022/F2022</f>
        <v/>
      </c>
      <c r="I2022">
        <f>((H2022-$J$1980)/$I$1980)</f>
        <v/>
      </c>
      <c r="J2022">
        <f>(I2022-IF(I1988&gt;0,I1988,0))</f>
        <v/>
      </c>
      <c r="K2022">
        <f>J2022/R2004*1.1</f>
        <v/>
      </c>
      <c r="L2022">
        <f>AVERAGE(K2022:K2024)</f>
        <v/>
      </c>
      <c r="M2022">
        <f>STDEV(K2022:K2024)</f>
        <v/>
      </c>
      <c r="N2022">
        <f>_xlfn.CONCAT(ROUND(L2022,1)," ± ",ROUND(M2022,1))</f>
        <v/>
      </c>
    </row>
    <row r="2023">
      <c r="A2023" s="19" t="n">
        <v>43</v>
      </c>
      <c r="B2023" s="19" t="inlineStr">
        <is>
          <t>K3-4B</t>
        </is>
      </c>
      <c r="D2023" t="n">
        <v>14.94</v>
      </c>
      <c r="E2023" t="n">
        <v>58.598</v>
      </c>
      <c r="F2023" t="n">
        <v>449.922</v>
      </c>
      <c r="G2023" t="n">
        <v>374</v>
      </c>
      <c r="H2023">
        <f>E2023/F2023</f>
        <v/>
      </c>
      <c r="I2023">
        <f>((H2023-$J$1980)/$I$1980)</f>
        <v/>
      </c>
      <c r="J2023">
        <f>(I2023-IF(I1988&gt;0,I1988,0))</f>
        <v/>
      </c>
      <c r="K2023">
        <f>J2023/R2005*1.1</f>
        <v/>
      </c>
    </row>
    <row r="2024">
      <c r="A2024" s="19" t="n">
        <v>44</v>
      </c>
      <c r="B2024" s="19" t="inlineStr">
        <is>
          <t>K3-4C</t>
        </is>
      </c>
      <c r="D2024" t="n">
        <v>14.96</v>
      </c>
      <c r="E2024" t="n">
        <v>59.042</v>
      </c>
      <c r="F2024" t="n">
        <v>357.082</v>
      </c>
      <c r="G2024" t="n">
        <v>33.264</v>
      </c>
      <c r="H2024">
        <f>E2024/F2024</f>
        <v/>
      </c>
      <c r="I2024">
        <f>((H2024-$J$1980)/$I$1980)</f>
        <v/>
      </c>
      <c r="J2024">
        <f>(I2024-IF(I1988&gt;0,I1988,0))</f>
        <v/>
      </c>
      <c r="K2024">
        <f>J2024/R2006*1.1</f>
        <v/>
      </c>
      <c r="L2024" s="23" t="n"/>
      <c r="M2024" s="23" t="n"/>
      <c r="N2024" s="9" t="n"/>
    </row>
    <row r="2025">
      <c r="A2025" s="19" t="n">
        <v>45</v>
      </c>
      <c r="B2025" s="19" t="inlineStr">
        <is>
          <t>MeOH</t>
        </is>
      </c>
      <c r="L2025" s="23" t="inlineStr">
        <is>
          <t>Average</t>
        </is>
      </c>
      <c r="M2025" s="23" t="inlineStr">
        <is>
          <t>Stdev</t>
        </is>
      </c>
      <c r="N2025" s="9" t="inlineStr">
        <is>
          <t>Combined</t>
        </is>
      </c>
    </row>
    <row r="2026">
      <c r="A2026" s="19" t="n">
        <v>46</v>
      </c>
      <c r="B2026" s="19" t="inlineStr">
        <is>
          <t>K3-6A</t>
        </is>
      </c>
      <c r="D2026" t="n">
        <v>14.96</v>
      </c>
      <c r="E2026" t="n">
        <v>59.196</v>
      </c>
      <c r="F2026" t="n">
        <v>481.186</v>
      </c>
      <c r="G2026" t="n">
        <v>2.887</v>
      </c>
      <c r="H2026">
        <f>E2026/F2026</f>
        <v/>
      </c>
      <c r="I2026">
        <f>((H2026-$J$1980)/$I$1980)</f>
        <v/>
      </c>
      <c r="J2026">
        <f>(I2026-IF(I1988&gt;0,I1988,0))</f>
        <v/>
      </c>
      <c r="K2026">
        <f>J2026/R2007*1.1</f>
        <v/>
      </c>
      <c r="L2026">
        <f>AVERAGE(K2026:K2028)</f>
        <v/>
      </c>
      <c r="M2026">
        <f>STDEV(K2027:K2028)</f>
        <v/>
      </c>
      <c r="N2026">
        <f>_xlfn.CONCAT(ROUND(L2026,1)," ± ",ROUND(M2026,1))</f>
        <v/>
      </c>
    </row>
    <row r="2027">
      <c r="A2027" s="19" t="n">
        <v>47</v>
      </c>
      <c r="B2027" s="19" t="inlineStr">
        <is>
          <t>K3-6B</t>
        </is>
      </c>
      <c r="D2027" t="n">
        <v>14.96</v>
      </c>
      <c r="E2027" t="n">
        <v>174.796</v>
      </c>
      <c r="F2027" t="n">
        <v>210.944</v>
      </c>
      <c r="G2027" t="n">
        <v>10.782</v>
      </c>
      <c r="H2027">
        <f>E2027/F2027</f>
        <v/>
      </c>
      <c r="I2027">
        <f>((H2027-$J$1980)/$I$1980)</f>
        <v/>
      </c>
      <c r="J2027">
        <f>(I2027-IF(I1988&gt;0,I1988,0))</f>
        <v/>
      </c>
      <c r="K2027">
        <f>J2027/R2008*1.1</f>
        <v/>
      </c>
    </row>
    <row r="2028">
      <c r="A2028" s="19" t="n">
        <v>48</v>
      </c>
      <c r="B2028" s="19" t="inlineStr">
        <is>
          <t>K3-6C</t>
        </is>
      </c>
      <c r="D2028" t="n">
        <v>15.07</v>
      </c>
      <c r="E2028" t="n">
        <v>77.514</v>
      </c>
      <c r="F2028" t="n">
        <v>445.594</v>
      </c>
      <c r="G2028" t="n">
        <v>487</v>
      </c>
      <c r="H2028">
        <f>E2028/F2028</f>
        <v/>
      </c>
      <c r="I2028">
        <f>((H2028-$J$1980)/$I$1980)</f>
        <v/>
      </c>
      <c r="J2028">
        <f>(I2028-IF(I1988&gt;0,I1988,0))</f>
        <v/>
      </c>
      <c r="K2028">
        <f>J2028/R2009*1.1</f>
        <v/>
      </c>
      <c r="L2028" s="23" t="n"/>
      <c r="M2028" s="23" t="n"/>
      <c r="N2028" s="9" t="n"/>
    </row>
    <row r="2030">
      <c r="A2030" s="15" t="inlineStr">
        <is>
          <t>Compound 102:  N-MeFOSAA 1</t>
        </is>
      </c>
      <c r="B2030" s="15" t="n"/>
    </row>
    <row r="2031">
      <c r="I2031" t="inlineStr">
        <is>
          <t>LINEST</t>
        </is>
      </c>
      <c r="Q2031" t="inlineStr">
        <is>
          <t>Biosolids Masses</t>
        </is>
      </c>
      <c r="R2031" t="inlineStr">
        <is>
          <t>(g)</t>
        </is>
      </c>
    </row>
    <row r="2032">
      <c r="B2032" t="inlineStr">
        <is>
          <t>Sample Text</t>
        </is>
      </c>
      <c r="C2032" t="inlineStr">
        <is>
          <t>Std. Conc</t>
        </is>
      </c>
      <c r="D2032" t="inlineStr">
        <is>
          <t>RT</t>
        </is>
      </c>
      <c r="E2032" t="inlineStr">
        <is>
          <t>Area</t>
        </is>
      </c>
      <c r="F2032" t="inlineStr">
        <is>
          <t>IS Area</t>
        </is>
      </c>
      <c r="G2032" t="inlineStr">
        <is>
          <t>S/N</t>
        </is>
      </c>
      <c r="H2032" t="inlineStr">
        <is>
          <t>ratio</t>
        </is>
      </c>
      <c r="I2032">
        <f t="array" ref="I2032:J2036">LINEST(H2034:H2040,C2034:C2040,1,1)</f>
        <v/>
      </c>
      <c r="J2032" t="n">
        <v>0.008220021679181233</v>
      </c>
      <c r="L2032" s="20" t="inlineStr">
        <is>
          <t>By S/N Ratio</t>
        </is>
      </c>
      <c r="Q2032" t="inlineStr">
        <is>
          <t>SS1</t>
        </is>
      </c>
      <c r="R2032" t="n">
        <v>1.0846</v>
      </c>
    </row>
    <row r="2033">
      <c r="A2033" t="n">
        <v>1</v>
      </c>
      <c r="B2033" t="inlineStr">
        <is>
          <t>EPA1633 &amp; diPAPs Calibration 0 ppb</t>
        </is>
      </c>
      <c r="C2033" t="n">
        <v>0</v>
      </c>
      <c r="D2033" t="n">
        <v>14.43</v>
      </c>
      <c r="E2033" t="n">
        <v>231.505</v>
      </c>
      <c r="F2033" t="n">
        <v>66948.406</v>
      </c>
      <c r="G2033" t="n">
        <v>3.649</v>
      </c>
      <c r="H2033">
        <f>E2033/F2033</f>
        <v/>
      </c>
      <c r="I2033" t="n">
        <v>0.002638120388564476</v>
      </c>
      <c r="J2033" t="n">
        <v>0.02287224512813789</v>
      </c>
      <c r="K2033" t="inlineStr">
        <is>
          <t>LOD</t>
        </is>
      </c>
      <c r="L2033" s="21">
        <f>IF(G2036&gt;3,C2036,IF(G2037&gt;3,C2037,IF(G2038&gt;3,C2038,IF(G2039&gt;3,C2039,C2040))))</f>
        <v/>
      </c>
      <c r="Q2033" t="inlineStr">
        <is>
          <t>SS2</t>
        </is>
      </c>
      <c r="R2033" t="n">
        <v>1.0726</v>
      </c>
    </row>
    <row r="2034">
      <c r="A2034" t="n">
        <v>2</v>
      </c>
      <c r="B2034" t="inlineStr">
        <is>
          <t>EPA1633 &amp; diPAPs Calibration 0.02 ppb</t>
        </is>
      </c>
      <c r="C2034" t="n">
        <v>0.02</v>
      </c>
      <c r="D2034" t="n">
        <v>14.46</v>
      </c>
      <c r="E2034" t="n">
        <v>473.921</v>
      </c>
      <c r="F2034" t="n">
        <v>59700.34</v>
      </c>
      <c r="G2034" t="n">
        <v>2.673</v>
      </c>
      <c r="H2034">
        <f>E2034/F2034</f>
        <v/>
      </c>
      <c r="I2034" t="n">
        <v>0.9944649467884381</v>
      </c>
      <c r="J2034" t="n">
        <v>0.04833165740672773</v>
      </c>
      <c r="K2034" t="inlineStr">
        <is>
          <t>LOQ</t>
        </is>
      </c>
      <c r="L2034" s="22">
        <f>IF(G2036&gt;10,C2036,IF(G2037&gt;10,C2037,IF(G2038&gt;10,C2038,IF(G2039&gt;10,C2039,C2040))))</f>
        <v/>
      </c>
      <c r="Q2034" t="inlineStr">
        <is>
          <t>SS3</t>
        </is>
      </c>
      <c r="R2034" t="n">
        <v>1.1534</v>
      </c>
    </row>
    <row r="2035">
      <c r="A2035" t="n">
        <v>3</v>
      </c>
      <c r="B2035" t="inlineStr">
        <is>
          <t>EPA1633 &amp; diPAPs Calibration 0.1 ppb</t>
        </is>
      </c>
      <c r="C2035" t="n">
        <v>0.1</v>
      </c>
      <c r="D2035" t="n">
        <v>14.46</v>
      </c>
      <c r="E2035" t="n">
        <v>977.3819999999999</v>
      </c>
      <c r="F2035" t="n">
        <v>61532.309</v>
      </c>
      <c r="G2035" t="n">
        <v>58.621</v>
      </c>
      <c r="H2035">
        <f>E2035/F2035</f>
        <v/>
      </c>
      <c r="I2035" t="n">
        <v>898.333682421659</v>
      </c>
      <c r="J2035" t="n">
        <v>5</v>
      </c>
      <c r="Q2035" t="inlineStr">
        <is>
          <t>K4-1A</t>
        </is>
      </c>
      <c r="R2035" t="n">
        <v>1.0267</v>
      </c>
    </row>
    <row r="2036">
      <c r="A2036" t="n">
        <v>4</v>
      </c>
      <c r="B2036" t="inlineStr">
        <is>
          <t>EPA1633 &amp; diPAPs Calibration 0.4 ppb</t>
        </is>
      </c>
      <c r="C2036" t="n">
        <v>0.4</v>
      </c>
      <c r="D2036" t="n">
        <v>14.48</v>
      </c>
      <c r="E2036" t="n">
        <v>2410.224</v>
      </c>
      <c r="F2036" t="n">
        <v>55660.844</v>
      </c>
      <c r="G2036" t="n">
        <v>65.294</v>
      </c>
      <c r="H2036">
        <f>E2036/F2036</f>
        <v/>
      </c>
      <c r="I2036" t="n">
        <v>2.09846176385293</v>
      </c>
      <c r="J2036" t="n">
        <v>0.0116797455384065</v>
      </c>
      <c r="Q2036" t="inlineStr">
        <is>
          <t>K4-1B</t>
        </is>
      </c>
      <c r="R2036" t="n">
        <v>1.1481</v>
      </c>
    </row>
    <row r="2037">
      <c r="A2037" t="n">
        <v>5</v>
      </c>
      <c r="B2037" t="inlineStr">
        <is>
          <t>EPA1633 &amp; diPAPs Calibration 1 ppb</t>
        </is>
      </c>
      <c r="C2037" t="n">
        <v>1</v>
      </c>
      <c r="D2037" t="n">
        <v>14.48</v>
      </c>
      <c r="E2037" t="n">
        <v>4633.323</v>
      </c>
      <c r="F2037" t="n">
        <v>65274.496</v>
      </c>
      <c r="G2037" t="n">
        <v>252.048</v>
      </c>
      <c r="H2037">
        <f>E2037/F2037</f>
        <v/>
      </c>
      <c r="Q2037" t="inlineStr">
        <is>
          <t>K4-1C</t>
        </is>
      </c>
      <c r="R2037" t="n">
        <v>1.0402</v>
      </c>
    </row>
    <row r="2038">
      <c r="A2038" t="n">
        <v>6</v>
      </c>
      <c r="B2038" t="inlineStr">
        <is>
          <t>EPA1633 &amp; diPAPs Calibration 5 ppb</t>
        </is>
      </c>
      <c r="C2038" t="n">
        <v>5</v>
      </c>
      <c r="D2038" t="n">
        <v>14.42</v>
      </c>
      <c r="E2038" t="n">
        <v>19750.473</v>
      </c>
      <c r="F2038" t="n">
        <v>54658.043</v>
      </c>
      <c r="G2038" t="n">
        <v>127425</v>
      </c>
      <c r="H2038">
        <f>E2038/F2038</f>
        <v/>
      </c>
      <c r="Q2038" t="inlineStr">
        <is>
          <t>K4-2A</t>
        </is>
      </c>
      <c r="R2038" t="n">
        <v>1.127</v>
      </c>
    </row>
    <row r="2039">
      <c r="A2039" t="n">
        <v>7</v>
      </c>
      <c r="B2039" t="inlineStr">
        <is>
          <t>EPA1633 &amp; diPAPs Calibration 10 ppb</t>
        </is>
      </c>
      <c r="C2039" t="n">
        <v>10</v>
      </c>
      <c r="D2039" t="n">
        <v>14.43</v>
      </c>
      <c r="E2039" t="n">
        <v>38774.004</v>
      </c>
      <c r="F2039" t="n">
        <v>43532.867</v>
      </c>
      <c r="G2039" t="n">
        <v>271.106</v>
      </c>
      <c r="H2039">
        <f>E2039/F2039</f>
        <v/>
      </c>
      <c r="I2039" s="23" t="inlineStr">
        <is>
          <t>Background</t>
        </is>
      </c>
      <c r="J2039" s="23" t="inlineStr">
        <is>
          <t>Spike</t>
        </is>
      </c>
      <c r="K2039" s="9" t="inlineStr">
        <is>
          <t>Old Spike</t>
        </is>
      </c>
      <c r="O2039" s="24" t="inlineStr">
        <is>
          <t>±</t>
        </is>
      </c>
      <c r="Q2039" t="inlineStr">
        <is>
          <t>K4-2B</t>
        </is>
      </c>
      <c r="R2039" t="n">
        <v>1.1154</v>
      </c>
    </row>
    <row r="2040">
      <c r="A2040" t="n">
        <v>8</v>
      </c>
      <c r="B2040" t="inlineStr">
        <is>
          <t>EPA1633 &amp; diPAPs Calibration 20 ppb</t>
        </is>
      </c>
      <c r="C2040" t="n">
        <v>20</v>
      </c>
      <c r="D2040" t="n">
        <v>14.45</v>
      </c>
      <c r="E2040" t="n">
        <v>77288.016</v>
      </c>
      <c r="F2040" t="n">
        <v>49701.246</v>
      </c>
      <c r="G2040" t="n">
        <v>1418.33</v>
      </c>
      <c r="H2040">
        <f>E2040/F2040</f>
        <v/>
      </c>
      <c r="I2040">
        <f>AVERAGE(I2043:I2045)</f>
        <v/>
      </c>
      <c r="J2040" t="n">
        <v>11</v>
      </c>
      <c r="Q2040" t="inlineStr">
        <is>
          <t>K4-2C</t>
        </is>
      </c>
      <c r="R2040" t="n">
        <v>1.1711</v>
      </c>
    </row>
    <row r="2041">
      <c r="A2041" t="n">
        <v>9</v>
      </c>
      <c r="B2041" t="inlineStr">
        <is>
          <t>MeOH</t>
        </is>
      </c>
      <c r="D2041" t="n">
        <v>14.45</v>
      </c>
      <c r="E2041" t="n">
        <v>72.495</v>
      </c>
      <c r="F2041" t="n">
        <v>47.897</v>
      </c>
      <c r="G2041" t="n">
        <v>16.535</v>
      </c>
      <c r="I2041" s="23" t="inlineStr">
        <is>
          <t>Conc.In Vial (ppb)</t>
        </is>
      </c>
      <c r="J2041" s="9" t="inlineStr">
        <is>
          <t>Corr. Conc.(ppb)</t>
        </is>
      </c>
      <c r="K2041" s="9" t="inlineStr">
        <is>
          <t>Conc. In soil (ng/g)</t>
        </is>
      </c>
      <c r="Q2041" t="inlineStr">
        <is>
          <t>K4-4A</t>
        </is>
      </c>
      <c r="R2041" t="n">
        <v>1.0932</v>
      </c>
    </row>
    <row r="2042">
      <c r="A2042" t="n">
        <v>10</v>
      </c>
      <c r="B2042" t="inlineStr">
        <is>
          <t>MeOH</t>
        </is>
      </c>
      <c r="D2042" t="n">
        <v>14.48</v>
      </c>
      <c r="E2042" t="n">
        <v>42.525</v>
      </c>
      <c r="F2042" t="n">
        <v>20.298</v>
      </c>
      <c r="G2042" t="n">
        <v>349</v>
      </c>
      <c r="L2042" s="23" t="inlineStr">
        <is>
          <t>Average</t>
        </is>
      </c>
      <c r="M2042" s="23" t="inlineStr">
        <is>
          <t>Stdev</t>
        </is>
      </c>
      <c r="N2042" s="9" t="inlineStr">
        <is>
          <t>Combined</t>
        </is>
      </c>
      <c r="O2042" s="9" t="n"/>
      <c r="P2042" s="9" t="n"/>
      <c r="Q2042" t="inlineStr">
        <is>
          <t>K4-4B</t>
        </is>
      </c>
      <c r="R2042" t="n">
        <v>1.15</v>
      </c>
    </row>
    <row r="2043">
      <c r="A2043" t="n">
        <v>11</v>
      </c>
      <c r="B2043" t="inlineStr">
        <is>
          <t>SB1</t>
        </is>
      </c>
      <c r="D2043" t="n">
        <v>14.46</v>
      </c>
      <c r="E2043" t="n">
        <v>2.35</v>
      </c>
      <c r="F2043" t="n">
        <v>22850.369</v>
      </c>
      <c r="G2043" t="n">
        <v>22</v>
      </c>
      <c r="H2043">
        <f>E2043/F2043</f>
        <v/>
      </c>
      <c r="I2043">
        <f>((H2043-$J$2032)/$I$2032)</f>
        <v/>
      </c>
      <c r="J2043">
        <f>(I2043-IF(I2040&gt;0,I2040,0))</f>
        <v/>
      </c>
      <c r="K2043">
        <f>J2043*1.1</f>
        <v/>
      </c>
      <c r="L2043">
        <f>AVERAGE(K2043:K2045)</f>
        <v/>
      </c>
      <c r="M2043">
        <f>STDEV(K2044:K2045)</f>
        <v/>
      </c>
      <c r="N2043">
        <f>_xlfn.CONCAT(ROUND(L2043,1)," ± ",ROUND(M2043,1))</f>
        <v/>
      </c>
      <c r="Q2043" t="inlineStr">
        <is>
          <t>K4-4C</t>
        </is>
      </c>
      <c r="R2043" t="n">
        <v>1.0482</v>
      </c>
    </row>
    <row r="2044">
      <c r="A2044" t="n">
        <v>12</v>
      </c>
      <c r="B2044" t="inlineStr">
        <is>
          <t>SB2</t>
        </is>
      </c>
      <c r="F2044" t="n">
        <v>22397.273</v>
      </c>
      <c r="H2044">
        <f>E2044/F2044</f>
        <v/>
      </c>
      <c r="I2044">
        <f>((H2044-$J$2032)/$I$2032)</f>
        <v/>
      </c>
      <c r="J2044">
        <f>(I2044-IF(I2040&gt;0,I2040,0))</f>
        <v/>
      </c>
      <c r="K2044">
        <f>J2044*1.1</f>
        <v/>
      </c>
      <c r="Q2044" t="inlineStr">
        <is>
          <t>K4-5A</t>
        </is>
      </c>
      <c r="R2044" t="n">
        <v>1.1054</v>
      </c>
    </row>
    <row r="2045">
      <c r="A2045" t="n">
        <v>13</v>
      </c>
      <c r="B2045" t="inlineStr">
        <is>
          <t>SB3</t>
        </is>
      </c>
      <c r="F2045" t="n">
        <v>20408.439</v>
      </c>
      <c r="H2045">
        <f>E2045/F2045</f>
        <v/>
      </c>
      <c r="I2045">
        <f>((H2045-$J$2032)/$I$2032)</f>
        <v/>
      </c>
      <c r="J2045">
        <f>(I2045-IF(I2040&gt;0,I2040,0))</f>
        <v/>
      </c>
      <c r="K2045" s="30">
        <f>J2045*1.1</f>
        <v/>
      </c>
      <c r="L2045" s="25" t="inlineStr">
        <is>
          <t>Average</t>
        </is>
      </c>
      <c r="M2045" s="25" t="inlineStr">
        <is>
          <t>Stdev</t>
        </is>
      </c>
      <c r="N2045" s="26" t="inlineStr">
        <is>
          <t>%Recovery</t>
        </is>
      </c>
      <c r="O2045" s="26" t="inlineStr">
        <is>
          <t>Uncertainty</t>
        </is>
      </c>
      <c r="P2045" s="26" t="inlineStr">
        <is>
          <t>Combined</t>
        </is>
      </c>
      <c r="Q2045" t="inlineStr">
        <is>
          <t>K4-5B</t>
        </is>
      </c>
      <c r="R2045" s="10" t="n">
        <v>1.0463</v>
      </c>
    </row>
    <row r="2046">
      <c r="A2046" t="n">
        <v>14</v>
      </c>
      <c r="B2046" t="inlineStr">
        <is>
          <t>SS1</t>
        </is>
      </c>
      <c r="D2046" t="n">
        <v>14.51</v>
      </c>
      <c r="E2046" t="n">
        <v>13268.116</v>
      </c>
      <c r="F2046" t="n">
        <v>20513.979</v>
      </c>
      <c r="G2046" t="n">
        <v>116.599</v>
      </c>
      <c r="H2046">
        <f>E2046/F2046</f>
        <v/>
      </c>
      <c r="I2046">
        <f>((H2046-$J$2032)/$I$2032)</f>
        <v/>
      </c>
      <c r="J2046">
        <f>(I2046-IF(I2040&gt;0,I2040,0))</f>
        <v/>
      </c>
      <c r="K2046">
        <f>J2046/R2032*1.1</f>
        <v/>
      </c>
      <c r="L2046" s="27">
        <f>AVERAGE(K2046:K2048)</f>
        <v/>
      </c>
      <c r="M2046" s="27">
        <f>STDEV(K2046:K2048)</f>
        <v/>
      </c>
      <c r="N2046" s="28">
        <f>L2046/J2040*100</f>
        <v/>
      </c>
      <c r="O2046" s="29">
        <f>M2046/J2043*100</f>
        <v/>
      </c>
      <c r="P2046" s="29">
        <f>_xlfn.CONCAT(ROUND(N2046,1)," ± ",ROUND(O2046,1))</f>
        <v/>
      </c>
      <c r="Q2046" t="inlineStr">
        <is>
          <t>K4-5C</t>
        </is>
      </c>
      <c r="R2046" t="n">
        <v>1.1155</v>
      </c>
    </row>
    <row r="2047">
      <c r="A2047" t="n">
        <v>15</v>
      </c>
      <c r="B2047" t="inlineStr">
        <is>
          <t>SS2</t>
        </is>
      </c>
      <c r="D2047" t="n">
        <v>14.52</v>
      </c>
      <c r="E2047" t="n">
        <v>14231.771</v>
      </c>
      <c r="F2047" t="n">
        <v>22867.717</v>
      </c>
      <c r="G2047" t="n">
        <v>172.501</v>
      </c>
      <c r="H2047">
        <f>E2047/F2047</f>
        <v/>
      </c>
      <c r="I2047">
        <f>((H2047-$J$2032)/$I$2032)</f>
        <v/>
      </c>
      <c r="J2047">
        <f>(I2047-IF(I2040&gt;0,I2040,0))</f>
        <v/>
      </c>
      <c r="K2047">
        <f>J2047/R2033*1.1</f>
        <v/>
      </c>
      <c r="Q2047" t="inlineStr">
        <is>
          <t>K3-1A</t>
        </is>
      </c>
      <c r="R2047" t="n">
        <v>1.0874</v>
      </c>
    </row>
    <row r="2048">
      <c r="A2048" t="n">
        <v>16</v>
      </c>
      <c r="B2048" t="inlineStr">
        <is>
          <t>SS3</t>
        </is>
      </c>
      <c r="D2048" t="n">
        <v>14.54</v>
      </c>
      <c r="E2048" t="n">
        <v>14172.501</v>
      </c>
      <c r="F2048" t="n">
        <v>20747.598</v>
      </c>
      <c r="G2048" t="n">
        <v>268.122</v>
      </c>
      <c r="H2048">
        <f>E2048/F2048</f>
        <v/>
      </c>
      <c r="I2048">
        <f>((H2048-$J$2032)/$I$2032)</f>
        <v/>
      </c>
      <c r="J2048">
        <f>(I2048-IF(I2040&gt;0,I2040,0))</f>
        <v/>
      </c>
      <c r="K2048" s="30">
        <f>J2048/R2034*1.1</f>
        <v/>
      </c>
      <c r="Q2048" t="inlineStr">
        <is>
          <t>K3-1B</t>
        </is>
      </c>
      <c r="R2048" t="n">
        <v>1.0898</v>
      </c>
    </row>
    <row r="2049">
      <c r="A2049" s="19" t="n">
        <v>17</v>
      </c>
      <c r="B2049" s="19" t="inlineStr">
        <is>
          <t>MeOH</t>
        </is>
      </c>
      <c r="L2049" s="23" t="inlineStr">
        <is>
          <t>Average</t>
        </is>
      </c>
      <c r="M2049" s="23" t="inlineStr">
        <is>
          <t>Stdev</t>
        </is>
      </c>
      <c r="N2049" s="9" t="inlineStr">
        <is>
          <t>Combined</t>
        </is>
      </c>
      <c r="Q2049" t="inlineStr">
        <is>
          <t>K3-1C</t>
        </is>
      </c>
      <c r="R2049" t="n">
        <v>1.0536</v>
      </c>
    </row>
    <row r="2050">
      <c r="A2050" s="19" t="n">
        <v>18</v>
      </c>
      <c r="B2050" s="19" t="inlineStr">
        <is>
          <t>K4-1A</t>
        </is>
      </c>
      <c r="F2050" t="n">
        <v>25781.148</v>
      </c>
      <c r="H2050">
        <f>E2050/F2050</f>
        <v/>
      </c>
      <c r="I2050">
        <f>((H2050-$J$2032)/$I$2032)</f>
        <v/>
      </c>
      <c r="J2050">
        <f>(I2050-IF(I2040&gt;0,I2040,0))</f>
        <v/>
      </c>
      <c r="K2050">
        <f>J2050/R2035*1.1</f>
        <v/>
      </c>
      <c r="L2050">
        <f>AVERAGE(K2050:K2052)</f>
        <v/>
      </c>
      <c r="M2050">
        <f>STDEV(K2051:K2052)</f>
        <v/>
      </c>
      <c r="N2050">
        <f>_xlfn.CONCAT(ROUND(L2050,1)," ± ",ROUND(M2050,1))</f>
        <v/>
      </c>
      <c r="Q2050" t="inlineStr">
        <is>
          <t>K3-2A</t>
        </is>
      </c>
      <c r="R2050" s="10" t="n">
        <v>1.1218</v>
      </c>
    </row>
    <row r="2051">
      <c r="A2051" s="19" t="n">
        <v>19</v>
      </c>
      <c r="B2051" s="19" t="inlineStr">
        <is>
          <t>K4-1B</t>
        </is>
      </c>
      <c r="F2051" t="n">
        <v>24498.238</v>
      </c>
      <c r="H2051">
        <f>E2051/F2051</f>
        <v/>
      </c>
      <c r="I2051">
        <f>((H2051-$J$2032)/$I$2032)</f>
        <v/>
      </c>
      <c r="J2051">
        <f>(I2051-IF(I2040&gt;0,I2040,0))</f>
        <v/>
      </c>
      <c r="K2051">
        <f>J2051/R2036*1.1</f>
        <v/>
      </c>
      <c r="Q2051" t="inlineStr">
        <is>
          <t>K3-2B</t>
        </is>
      </c>
      <c r="R2051" t="n">
        <v>1.198</v>
      </c>
    </row>
    <row r="2052">
      <c r="A2052" s="19" t="n">
        <v>20</v>
      </c>
      <c r="B2052" s="19" t="inlineStr">
        <is>
          <t>K4-1C</t>
        </is>
      </c>
      <c r="F2052" t="n">
        <v>25078.18</v>
      </c>
      <c r="H2052">
        <f>E2052/F2052</f>
        <v/>
      </c>
      <c r="I2052">
        <f>((H2052-$J$2032)/$I$2032)</f>
        <v/>
      </c>
      <c r="J2052">
        <f>(I2052-IF(I2040&gt;0,I2040,0))</f>
        <v/>
      </c>
      <c r="K2052">
        <f>J2052/R2037*1.1</f>
        <v/>
      </c>
      <c r="L2052" s="23" t="inlineStr">
        <is>
          <t>Average</t>
        </is>
      </c>
      <c r="M2052" s="23" t="inlineStr">
        <is>
          <t>Stdev</t>
        </is>
      </c>
      <c r="N2052" s="9" t="inlineStr">
        <is>
          <t>Combined</t>
        </is>
      </c>
      <c r="Q2052" t="inlineStr">
        <is>
          <t>K3-2C</t>
        </is>
      </c>
      <c r="R2052" t="n">
        <v>1.1538</v>
      </c>
    </row>
    <row r="2053">
      <c r="A2053" s="19" t="n">
        <v>21</v>
      </c>
      <c r="B2053" s="19" t="inlineStr">
        <is>
          <t>K4-2A</t>
        </is>
      </c>
      <c r="F2053" t="n">
        <v>26329.213</v>
      </c>
      <c r="H2053">
        <f>E2053/F2053</f>
        <v/>
      </c>
      <c r="I2053">
        <f>((H2053-$J$2032)/$I$2032)</f>
        <v/>
      </c>
      <c r="J2053">
        <f>(I2053-IF(I2040&gt;0,I2040,0))</f>
        <v/>
      </c>
      <c r="K2053">
        <f>J2053/R2038*1.1</f>
        <v/>
      </c>
      <c r="L2053">
        <f>AVERAGE(K2053:K2055)</f>
        <v/>
      </c>
      <c r="M2053">
        <f>STDEV(K2053:K2055)</f>
        <v/>
      </c>
      <c r="N2053">
        <f>_xlfn.CONCAT(ROUND(L2053,1)," ± ",ROUND(M2053,1))</f>
        <v/>
      </c>
      <c r="Q2053" t="inlineStr">
        <is>
          <t>K3-3A</t>
        </is>
      </c>
      <c r="R2053" t="n">
        <v>1.1183</v>
      </c>
    </row>
    <row r="2054">
      <c r="A2054" s="19" t="n">
        <v>22</v>
      </c>
      <c r="B2054" s="19" t="inlineStr">
        <is>
          <t>K4-2B</t>
        </is>
      </c>
      <c r="F2054" t="n">
        <v>23001.746</v>
      </c>
      <c r="H2054">
        <f>E2054/F2054</f>
        <v/>
      </c>
      <c r="I2054">
        <f>((H2054-$J$2032)/$I$2032)</f>
        <v/>
      </c>
      <c r="J2054">
        <f>(I2054-IF(I2040&gt;0,I2040,0))</f>
        <v/>
      </c>
      <c r="K2054">
        <f>J2054/R2039*1.1</f>
        <v/>
      </c>
      <c r="Q2054" t="inlineStr">
        <is>
          <t>K3-3B</t>
        </is>
      </c>
      <c r="R2054" t="n">
        <v>1.1448</v>
      </c>
    </row>
    <row r="2055">
      <c r="A2055" s="19" t="n">
        <v>23</v>
      </c>
      <c r="B2055" s="19" t="inlineStr">
        <is>
          <t>K4-2C</t>
        </is>
      </c>
      <c r="F2055" t="n">
        <v>20754.352</v>
      </c>
      <c r="H2055">
        <f>E2055/F2055</f>
        <v/>
      </c>
      <c r="I2055">
        <f>((H2055-$J$2032)/$I$2032)</f>
        <v/>
      </c>
      <c r="J2055">
        <f>(I2055-IF(I2040&gt;0,I2040,0))</f>
        <v/>
      </c>
      <c r="K2055">
        <f>J2055/R2040*1.1</f>
        <v/>
      </c>
      <c r="L2055" s="23" t="n"/>
      <c r="M2055" s="23" t="n"/>
      <c r="N2055" s="9" t="n"/>
      <c r="Q2055" t="inlineStr">
        <is>
          <t>K3-3C</t>
        </is>
      </c>
      <c r="R2055" t="n">
        <v>1.0493</v>
      </c>
    </row>
    <row r="2056">
      <c r="A2056" s="19" t="n">
        <v>24</v>
      </c>
      <c r="B2056" s="19" t="inlineStr">
        <is>
          <t>MeOH</t>
        </is>
      </c>
      <c r="L2056" s="23" t="inlineStr">
        <is>
          <t>Average</t>
        </is>
      </c>
      <c r="M2056" s="23" t="inlineStr">
        <is>
          <t>Stdev</t>
        </is>
      </c>
      <c r="N2056" s="9" t="inlineStr">
        <is>
          <t>Combined</t>
        </is>
      </c>
      <c r="Q2056" t="inlineStr">
        <is>
          <t>K3-4A</t>
        </is>
      </c>
      <c r="R2056" t="n">
        <v>1.0704</v>
      </c>
    </row>
    <row r="2057">
      <c r="A2057" s="19" t="n">
        <v>25</v>
      </c>
      <c r="B2057" s="19" t="inlineStr">
        <is>
          <t>K4-4A</t>
        </is>
      </c>
      <c r="F2057" t="n">
        <v>26876.785</v>
      </c>
      <c r="H2057">
        <f>E2057/F2057</f>
        <v/>
      </c>
      <c r="I2057">
        <f>((H2057-$J$2032)/$I$2032)</f>
        <v/>
      </c>
      <c r="J2057">
        <f>(I2057-IF(I2040&gt;0,I2040,0))</f>
        <v/>
      </c>
      <c r="K2057">
        <f>J2057/R2041*1.1</f>
        <v/>
      </c>
      <c r="L2057">
        <f>AVERAGE(K2057:K2059)</f>
        <v/>
      </c>
      <c r="M2057">
        <f>STDEV(K2058:K2059)</f>
        <v/>
      </c>
      <c r="N2057">
        <f>_xlfn.CONCAT(ROUND(L2057,1)," ± ",ROUND(M2057,1))</f>
        <v/>
      </c>
      <c r="Q2057" t="inlineStr">
        <is>
          <t>K3-4B</t>
        </is>
      </c>
      <c r="R2057" t="n">
        <v>1.1589</v>
      </c>
    </row>
    <row r="2058">
      <c r="A2058" s="19" t="n">
        <v>26</v>
      </c>
      <c r="B2058" s="19" t="inlineStr">
        <is>
          <t>K4-4B</t>
        </is>
      </c>
      <c r="F2058" t="n">
        <v>26592.869</v>
      </c>
      <c r="H2058">
        <f>E2058/F2058</f>
        <v/>
      </c>
      <c r="I2058">
        <f>((H2058-$J$2032)/$I$2032)</f>
        <v/>
      </c>
      <c r="J2058">
        <f>(I2058-IF(I2040&gt;0,I2040,0))</f>
        <v/>
      </c>
      <c r="K2058">
        <f>J2058/R2042*1.1</f>
        <v/>
      </c>
      <c r="Q2058" t="inlineStr">
        <is>
          <t>K3-4C</t>
        </is>
      </c>
      <c r="R2058" t="n">
        <v>1.0206</v>
      </c>
    </row>
    <row r="2059">
      <c r="A2059" s="19" t="n">
        <v>27</v>
      </c>
      <c r="B2059" s="19" t="inlineStr">
        <is>
          <t>K4-4C</t>
        </is>
      </c>
      <c r="F2059" t="n">
        <v>27348.488</v>
      </c>
      <c r="H2059">
        <f>E2059/F2059</f>
        <v/>
      </c>
      <c r="I2059">
        <f>((H2059-$J$2032)/$I$2032)</f>
        <v/>
      </c>
      <c r="J2059">
        <f>(I2059-IF(I2040&gt;0,I2040,0))</f>
        <v/>
      </c>
      <c r="K2059">
        <f>J2059/R2043*1.1</f>
        <v/>
      </c>
      <c r="L2059" s="23" t="inlineStr">
        <is>
          <t>Average</t>
        </is>
      </c>
      <c r="M2059" s="23" t="inlineStr">
        <is>
          <t>Stdev</t>
        </is>
      </c>
      <c r="N2059" s="9" t="inlineStr">
        <is>
          <t>Combined</t>
        </is>
      </c>
      <c r="Q2059" t="inlineStr">
        <is>
          <t>K3-6A</t>
        </is>
      </c>
      <c r="R2059" t="n">
        <v>1.1289</v>
      </c>
    </row>
    <row r="2060">
      <c r="A2060" s="19" t="n">
        <v>28</v>
      </c>
      <c r="B2060" s="19" t="inlineStr">
        <is>
          <t>K4-5A</t>
        </is>
      </c>
      <c r="F2060" t="n">
        <v>24556.311</v>
      </c>
      <c r="H2060">
        <f>E2060/F2060</f>
        <v/>
      </c>
      <c r="I2060">
        <f>((H2060-$J$2032)/$I$2032)</f>
        <v/>
      </c>
      <c r="J2060">
        <f>(I2060-IF(I2040&gt;0,I2040,0))</f>
        <v/>
      </c>
      <c r="K2060">
        <f>J2060/R2044*1.1</f>
        <v/>
      </c>
      <c r="L2060">
        <f>AVERAGE(K2060:K2062)</f>
        <v/>
      </c>
      <c r="M2060">
        <f>STDEV(K2060:K2062)</f>
        <v/>
      </c>
      <c r="N2060">
        <f>_xlfn.CONCAT(ROUND(L2060,1)," ± ",ROUND(M2060,1))</f>
        <v/>
      </c>
      <c r="Q2060" t="inlineStr">
        <is>
          <t>K3-6B</t>
        </is>
      </c>
      <c r="R2060" t="n">
        <v>1.195</v>
      </c>
    </row>
    <row r="2061">
      <c r="A2061" s="19" t="n">
        <v>29</v>
      </c>
      <c r="B2061" s="19" t="inlineStr">
        <is>
          <t>K4-5B</t>
        </is>
      </c>
      <c r="F2061" t="n">
        <v>25471.133</v>
      </c>
      <c r="H2061">
        <f>E2061/F2061</f>
        <v/>
      </c>
      <c r="I2061">
        <f>((H2061-$J$2032)/$I$2032)</f>
        <v/>
      </c>
      <c r="J2061">
        <f>(I2061-IF(I2040&gt;0,I2040,0))</f>
        <v/>
      </c>
      <c r="K2061">
        <f>J2061/R2045*1.1</f>
        <v/>
      </c>
      <c r="Q2061" t="inlineStr">
        <is>
          <t>K3-6C</t>
        </is>
      </c>
      <c r="R2061" t="n">
        <v>1.1716</v>
      </c>
    </row>
    <row r="2062">
      <c r="A2062" s="19" t="n">
        <v>30</v>
      </c>
      <c r="B2062" s="19" t="inlineStr">
        <is>
          <t>K4-5C</t>
        </is>
      </c>
      <c r="F2062" t="n">
        <v>25624.244</v>
      </c>
      <c r="H2062">
        <f>E2062/F2062</f>
        <v/>
      </c>
      <c r="I2062">
        <f>((H2062-$J$2032)/$I$2032)</f>
        <v/>
      </c>
      <c r="J2062">
        <f>(I2062-IF(I2040&gt;0,I2040,0))</f>
        <v/>
      </c>
      <c r="K2062">
        <f>J2062/R2046*1.1</f>
        <v/>
      </c>
      <c r="L2062" s="23" t="n"/>
      <c r="M2062" s="23" t="n"/>
      <c r="N2062" s="9" t="n"/>
    </row>
    <row r="2063">
      <c r="A2063" s="19" t="n">
        <v>31</v>
      </c>
      <c r="B2063" s="19" t="inlineStr">
        <is>
          <t>MeOH</t>
        </is>
      </c>
      <c r="D2063" t="n">
        <v>14.48</v>
      </c>
      <c r="E2063" t="n">
        <v>63.625</v>
      </c>
      <c r="G2063" t="n">
        <v>445</v>
      </c>
      <c r="L2063" s="23" t="inlineStr">
        <is>
          <t>Average</t>
        </is>
      </c>
      <c r="M2063" s="23" t="inlineStr">
        <is>
          <t>Stdev</t>
        </is>
      </c>
      <c r="N2063" s="9" t="inlineStr">
        <is>
          <t>Combined</t>
        </is>
      </c>
    </row>
    <row r="2064">
      <c r="A2064" s="19" t="n">
        <v>32</v>
      </c>
      <c r="B2064" s="19" t="inlineStr">
        <is>
          <t>K3-1A</t>
        </is>
      </c>
      <c r="F2064" t="n">
        <v>27430.15</v>
      </c>
      <c r="H2064">
        <f>E2064/F2064</f>
        <v/>
      </c>
      <c r="I2064">
        <f>((H2064-$J$2032)/$I$2032)</f>
        <v/>
      </c>
      <c r="J2064">
        <f>(I2064-IF(I2040&gt;0,I2040,0))</f>
        <v/>
      </c>
      <c r="K2064">
        <f>J2064/R2047*1.1</f>
        <v/>
      </c>
      <c r="L2064">
        <f>AVERAGE(K2064:K2066)</f>
        <v/>
      </c>
      <c r="M2064">
        <f>STDEV(K2065:K2066)</f>
        <v/>
      </c>
      <c r="N2064">
        <f>_xlfn.CONCAT(ROUND(L2064,1)," ± ",ROUND(M2064,1))</f>
        <v/>
      </c>
    </row>
    <row r="2065">
      <c r="A2065" s="19" t="n">
        <v>33</v>
      </c>
      <c r="B2065" s="19" t="inlineStr">
        <is>
          <t>K3-1B</t>
        </is>
      </c>
      <c r="D2065" t="n">
        <v>14.51</v>
      </c>
      <c r="E2065" t="n">
        <v>13.761</v>
      </c>
      <c r="F2065" t="n">
        <v>23993.336</v>
      </c>
      <c r="G2065" t="n">
        <v>125</v>
      </c>
      <c r="H2065">
        <f>E2065/F2065</f>
        <v/>
      </c>
      <c r="I2065">
        <f>((H2065-$J$2032)/$I$2032)</f>
        <v/>
      </c>
      <c r="J2065">
        <f>(I2065-IF(I2040&gt;0,I2040,0))</f>
        <v/>
      </c>
      <c r="K2065">
        <f>J2065/R2048*1.1</f>
        <v/>
      </c>
    </row>
    <row r="2066">
      <c r="A2066" s="19" t="n">
        <v>34</v>
      </c>
      <c r="B2066" s="19" t="inlineStr">
        <is>
          <t>K3-1C</t>
        </is>
      </c>
      <c r="F2066" t="n">
        <v>32579.355</v>
      </c>
      <c r="H2066">
        <f>E2066/F2066</f>
        <v/>
      </c>
      <c r="I2066">
        <f>((H2066-$J$2032)/$I$2032)</f>
        <v/>
      </c>
      <c r="J2066">
        <f>(I2066-IF(I2040&gt;0,I2040,0))</f>
        <v/>
      </c>
      <c r="K2066">
        <f>J2066/R2049*1.1</f>
        <v/>
      </c>
      <c r="L2066" s="23" t="inlineStr">
        <is>
          <t>Average</t>
        </is>
      </c>
      <c r="M2066" s="23" t="inlineStr">
        <is>
          <t>Stdev</t>
        </is>
      </c>
      <c r="N2066" s="9" t="inlineStr">
        <is>
          <t>Combined</t>
        </is>
      </c>
    </row>
    <row r="2067">
      <c r="A2067" s="19" t="n">
        <v>35</v>
      </c>
      <c r="B2067" s="19" t="inlineStr">
        <is>
          <t>K3-2A</t>
        </is>
      </c>
      <c r="D2067" t="n">
        <v>14.52</v>
      </c>
      <c r="E2067" t="n">
        <v>0.914</v>
      </c>
      <c r="F2067" t="n">
        <v>32450.516</v>
      </c>
      <c r="G2067" t="n">
        <v>8</v>
      </c>
      <c r="H2067">
        <f>E2067/F2067</f>
        <v/>
      </c>
      <c r="I2067">
        <f>((H2067-$J$2032)/$I$2032)</f>
        <v/>
      </c>
      <c r="J2067">
        <f>(I2067-IF(I2040&gt;0,I2040,0))</f>
        <v/>
      </c>
      <c r="K2067">
        <f>J2067/R2050*1.1</f>
        <v/>
      </c>
      <c r="L2067">
        <f>AVERAGE(K2067:K2069)</f>
        <v/>
      </c>
      <c r="M2067">
        <f>STDEV(K2067:K2069)</f>
        <v/>
      </c>
      <c r="N2067">
        <f>_xlfn.CONCAT(ROUND(L2067,1)," ± ",ROUND(M2067,1))</f>
        <v/>
      </c>
    </row>
    <row r="2068">
      <c r="A2068" s="19" t="n">
        <v>36</v>
      </c>
      <c r="B2068" s="19" t="inlineStr">
        <is>
          <t>K3-2B</t>
        </is>
      </c>
      <c r="F2068" t="n">
        <v>35748.871</v>
      </c>
      <c r="H2068">
        <f>E2068/F2068</f>
        <v/>
      </c>
      <c r="I2068">
        <f>((H2068-$J$2032)/$I$2032)</f>
        <v/>
      </c>
      <c r="J2068">
        <f>(I2068-IF(I2040&gt;0,I2040,0))</f>
        <v/>
      </c>
      <c r="K2068">
        <f>J2068/R2051*1.1</f>
        <v/>
      </c>
    </row>
    <row r="2069">
      <c r="A2069" s="19" t="n">
        <v>37</v>
      </c>
      <c r="B2069" s="19" t="inlineStr">
        <is>
          <t>K3-2C</t>
        </is>
      </c>
      <c r="F2069" t="n">
        <v>28929.938</v>
      </c>
      <c r="H2069">
        <f>E2069/F2069</f>
        <v/>
      </c>
      <c r="I2069">
        <f>((H2069-$J$2032)/$I$2032)</f>
        <v/>
      </c>
      <c r="J2069">
        <f>(I2069-IF(I2040&gt;0,I2040,0))</f>
        <v/>
      </c>
      <c r="K2069">
        <f>J2069/R2052*1.1</f>
        <v/>
      </c>
      <c r="L2069" s="23" t="n"/>
      <c r="M2069" s="23" t="n"/>
      <c r="N2069" s="9" t="n"/>
    </row>
    <row r="2070">
      <c r="A2070" s="19" t="n">
        <v>38</v>
      </c>
      <c r="B2070" s="19" t="inlineStr">
        <is>
          <t>MeOH</t>
        </is>
      </c>
      <c r="L2070" s="23" t="inlineStr">
        <is>
          <t>Average</t>
        </is>
      </c>
      <c r="M2070" s="23" t="inlineStr">
        <is>
          <t>Stdev</t>
        </is>
      </c>
      <c r="N2070" s="9" t="inlineStr">
        <is>
          <t>Combined</t>
        </is>
      </c>
    </row>
    <row r="2071">
      <c r="A2071" s="19" t="n">
        <v>39</v>
      </c>
      <c r="B2071" s="19" t="inlineStr">
        <is>
          <t>K3-3A</t>
        </is>
      </c>
      <c r="F2071" t="n">
        <v>25978.053</v>
      </c>
      <c r="H2071">
        <f>E2071/F2071</f>
        <v/>
      </c>
      <c r="I2071">
        <f>((H2071-$J$2032)/$I$2032)</f>
        <v/>
      </c>
      <c r="J2071">
        <f>(I2071-IF(I2040&gt;0,I2040,0))</f>
        <v/>
      </c>
      <c r="K2071">
        <f>J2071/R2053*1.1</f>
        <v/>
      </c>
      <c r="L2071">
        <f>AVERAGE(K2071:K2073)</f>
        <v/>
      </c>
      <c r="M2071">
        <f>STDEV(K2072:K2073)</f>
        <v/>
      </c>
      <c r="N2071">
        <f>_xlfn.CONCAT(ROUND(L2071,1)," ± ",ROUND(M2071,1))</f>
        <v/>
      </c>
    </row>
    <row r="2072">
      <c r="A2072" s="19" t="n">
        <v>40</v>
      </c>
      <c r="B2072" s="19" t="inlineStr">
        <is>
          <t>K3-3B</t>
        </is>
      </c>
      <c r="D2072" t="n">
        <v>14.92</v>
      </c>
      <c r="E2072" t="n">
        <v>40.155</v>
      </c>
      <c r="F2072" t="n">
        <v>29972.719</v>
      </c>
      <c r="G2072" t="n">
        <v>337</v>
      </c>
      <c r="H2072">
        <f>E2072/F2072</f>
        <v/>
      </c>
      <c r="I2072">
        <f>((H2072-$J$2032)/$I$2032)</f>
        <v/>
      </c>
      <c r="J2072">
        <f>(I2072-IF(I2040&gt;0,I2040,0))</f>
        <v/>
      </c>
      <c r="K2072">
        <f>J2072/R2054*1.1</f>
        <v/>
      </c>
    </row>
    <row r="2073">
      <c r="A2073" s="19" t="n">
        <v>41</v>
      </c>
      <c r="B2073" s="19" t="inlineStr">
        <is>
          <t>K3-3C</t>
        </is>
      </c>
      <c r="F2073" t="n">
        <v>34328.914</v>
      </c>
      <c r="H2073">
        <f>E2073/F2073</f>
        <v/>
      </c>
      <c r="I2073">
        <f>((H2073-$J$2032)/$I$2032)</f>
        <v/>
      </c>
      <c r="J2073">
        <f>(I2073-IF(I2040&gt;0,I2040,0))</f>
        <v/>
      </c>
      <c r="K2073">
        <f>J2073/R2055*1.1</f>
        <v/>
      </c>
      <c r="L2073" s="23" t="inlineStr">
        <is>
          <t>Average</t>
        </is>
      </c>
      <c r="M2073" s="23" t="inlineStr">
        <is>
          <t>Stdev</t>
        </is>
      </c>
      <c r="N2073" s="9" t="inlineStr">
        <is>
          <t>Combined</t>
        </is>
      </c>
    </row>
    <row r="2074">
      <c r="A2074" s="19" t="n">
        <v>42</v>
      </c>
      <c r="B2074" s="19" t="inlineStr">
        <is>
          <t>K3-4A</t>
        </is>
      </c>
      <c r="F2074" t="n">
        <v>35665.301</v>
      </c>
      <c r="H2074">
        <f>E2074/F2074</f>
        <v/>
      </c>
      <c r="I2074">
        <f>((H2074-$J$2032)/$I$2032)</f>
        <v/>
      </c>
      <c r="J2074">
        <f>(I2074-IF(I2040&gt;0,I2040,0))</f>
        <v/>
      </c>
      <c r="K2074">
        <f>J2074/R2056*1.1</f>
        <v/>
      </c>
      <c r="L2074">
        <f>AVERAGE(K2074:K2076)</f>
        <v/>
      </c>
      <c r="M2074">
        <f>STDEV(K2074:K2076)</f>
        <v/>
      </c>
      <c r="N2074">
        <f>_xlfn.CONCAT(ROUND(L2074,1)," ± ",ROUND(M2074,1))</f>
        <v/>
      </c>
    </row>
    <row r="2075">
      <c r="A2075" s="19" t="n">
        <v>43</v>
      </c>
      <c r="B2075" s="19" t="inlineStr">
        <is>
          <t>K3-4B</t>
        </is>
      </c>
      <c r="D2075" t="n">
        <v>14.54</v>
      </c>
      <c r="E2075" t="n">
        <v>18.435</v>
      </c>
      <c r="F2075" t="n">
        <v>32649.486</v>
      </c>
      <c r="G2075" t="n">
        <v>159</v>
      </c>
      <c r="H2075">
        <f>E2075/F2075</f>
        <v/>
      </c>
      <c r="I2075">
        <f>((H2075-$J$2032)/$I$2032)</f>
        <v/>
      </c>
      <c r="J2075">
        <f>(I2075-IF(I2040&gt;0,I2040,0))</f>
        <v/>
      </c>
      <c r="K2075">
        <f>J2075/R2057*1.1</f>
        <v/>
      </c>
    </row>
    <row r="2076">
      <c r="A2076" s="19" t="n">
        <v>44</v>
      </c>
      <c r="B2076" s="19" t="inlineStr">
        <is>
          <t>K3-4C</t>
        </is>
      </c>
      <c r="D2076" t="n">
        <v>14.66</v>
      </c>
      <c r="E2076" t="n">
        <v>25.789</v>
      </c>
      <c r="F2076" t="n">
        <v>37222.816</v>
      </c>
      <c r="G2076" t="n">
        <v>219</v>
      </c>
      <c r="H2076">
        <f>E2076/F2076</f>
        <v/>
      </c>
      <c r="I2076">
        <f>((H2076-$J$2032)/$I$2032)</f>
        <v/>
      </c>
      <c r="J2076">
        <f>(I2076-IF(I2040&gt;0,I2040,0))</f>
        <v/>
      </c>
      <c r="K2076">
        <f>J2076/R2058*1.1</f>
        <v/>
      </c>
      <c r="L2076" s="23" t="n"/>
      <c r="M2076" s="23" t="n"/>
      <c r="N2076" s="9" t="n"/>
    </row>
    <row r="2077">
      <c r="A2077" s="19" t="n">
        <v>45</v>
      </c>
      <c r="B2077" s="19" t="inlineStr">
        <is>
          <t>MeOH</t>
        </is>
      </c>
      <c r="F2077" t="n">
        <v>250.186</v>
      </c>
      <c r="L2077" s="23" t="inlineStr">
        <is>
          <t>Average</t>
        </is>
      </c>
      <c r="M2077" s="23" t="inlineStr">
        <is>
          <t>Stdev</t>
        </is>
      </c>
      <c r="N2077" s="9" t="inlineStr">
        <is>
          <t>Combined</t>
        </is>
      </c>
    </row>
    <row r="2078">
      <c r="A2078" s="19" t="n">
        <v>46</v>
      </c>
      <c r="B2078" s="19" t="inlineStr">
        <is>
          <t>K3-6A</t>
        </is>
      </c>
      <c r="D2078" t="n">
        <v>14.05</v>
      </c>
      <c r="E2078" t="n">
        <v>0.861</v>
      </c>
      <c r="F2078" t="n">
        <v>32457.338</v>
      </c>
      <c r="G2078" t="n">
        <v>8</v>
      </c>
      <c r="H2078">
        <f>E2078/F2078</f>
        <v/>
      </c>
      <c r="I2078">
        <f>((H2078-$J$2032)/$I$2032)</f>
        <v/>
      </c>
      <c r="J2078">
        <f>(I2078-IF(I2040&gt;0,I2040,0))</f>
        <v/>
      </c>
      <c r="K2078">
        <f>J2078/R2059*1.1</f>
        <v/>
      </c>
      <c r="L2078">
        <f>AVERAGE(K2078:K2080)</f>
        <v/>
      </c>
      <c r="M2078">
        <f>STDEV(K2079:K2080)</f>
        <v/>
      </c>
      <c r="N2078">
        <f>_xlfn.CONCAT(ROUND(L2078,1)," ± ",ROUND(M2078,1))</f>
        <v/>
      </c>
    </row>
    <row r="2079">
      <c r="A2079" s="19" t="n">
        <v>47</v>
      </c>
      <c r="B2079" s="19" t="inlineStr">
        <is>
          <t>K3-6B</t>
        </is>
      </c>
      <c r="F2079" t="n">
        <v>26206.738</v>
      </c>
      <c r="H2079">
        <f>E2079/F2079</f>
        <v/>
      </c>
      <c r="I2079">
        <f>((H2079-$J$2032)/$I$2032)</f>
        <v/>
      </c>
      <c r="J2079">
        <f>(I2079-IF(I2040&gt;0,I2040,0))</f>
        <v/>
      </c>
      <c r="K2079">
        <f>J2079/R2060*1.1</f>
        <v/>
      </c>
    </row>
    <row r="2080">
      <c r="A2080" s="19" t="n">
        <v>48</v>
      </c>
      <c r="B2080" s="19" t="inlineStr">
        <is>
          <t>K3-6C</t>
        </is>
      </c>
      <c r="F2080" t="n">
        <v>24576.775</v>
      </c>
      <c r="H2080">
        <f>E2080/F2080</f>
        <v/>
      </c>
      <c r="I2080">
        <f>((H2080-$J$2032)/$I$2032)</f>
        <v/>
      </c>
      <c r="J2080">
        <f>(I2080-IF(I2040&gt;0,I2040,0))</f>
        <v/>
      </c>
      <c r="K2080">
        <f>J2080/R2061*1.1</f>
        <v/>
      </c>
      <c r="L2080" s="23" t="n"/>
      <c r="M2080" s="23" t="n"/>
      <c r="N2080" s="9" t="n"/>
    </row>
    <row r="2082">
      <c r="A2082" s="15" t="inlineStr">
        <is>
          <t>Compound 104:  N-EtFOSE 1</t>
        </is>
      </c>
      <c r="B2082" s="15" t="n"/>
    </row>
    <row r="2083">
      <c r="I2083" t="inlineStr">
        <is>
          <t>LINEST</t>
        </is>
      </c>
      <c r="Q2083" t="inlineStr">
        <is>
          <t>Biosolids Masses</t>
        </is>
      </c>
      <c r="R2083" t="inlineStr">
        <is>
          <t>(g)</t>
        </is>
      </c>
    </row>
    <row r="2084">
      <c r="B2084" t="inlineStr">
        <is>
          <t>Sample Text</t>
        </is>
      </c>
      <c r="C2084" t="inlineStr">
        <is>
          <t>Std. Conc</t>
        </is>
      </c>
      <c r="D2084" t="inlineStr">
        <is>
          <t>RT</t>
        </is>
      </c>
      <c r="E2084" t="inlineStr">
        <is>
          <t>Area</t>
        </is>
      </c>
      <c r="F2084" t="inlineStr">
        <is>
          <t>IS Area</t>
        </is>
      </c>
      <c r="G2084" t="inlineStr">
        <is>
          <t>S/N</t>
        </is>
      </c>
      <c r="H2084" t="inlineStr">
        <is>
          <t>ratio</t>
        </is>
      </c>
      <c r="I2084">
        <f t="array" ref="I2084:J2088">LINEST(H2086:H2091,C2086:C2091,1,1)</f>
        <v/>
      </c>
      <c r="J2084" t="n">
        <v>0.00469764647143639</v>
      </c>
      <c r="L2084" s="20" t="inlineStr">
        <is>
          <t>By S/N Ratio</t>
        </is>
      </c>
      <c r="Q2084" t="inlineStr">
        <is>
          <t>SS1</t>
        </is>
      </c>
      <c r="R2084" t="n">
        <v>1.0846</v>
      </c>
    </row>
    <row r="2085">
      <c r="A2085" t="n">
        <v>1</v>
      </c>
      <c r="B2085" t="inlineStr">
        <is>
          <t>EPA1633 &amp; diPAPs Calibration 0 ppb</t>
        </is>
      </c>
      <c r="C2085" t="n">
        <v>0</v>
      </c>
      <c r="D2085" t="n">
        <v>18.85</v>
      </c>
      <c r="E2085" t="n">
        <v>62.884</v>
      </c>
      <c r="F2085" t="n">
        <v>4028.771</v>
      </c>
      <c r="G2085" t="n">
        <v>29.71</v>
      </c>
      <c r="H2085">
        <f>E2085/F2085</f>
        <v/>
      </c>
      <c r="I2085" t="n">
        <v>0.0001168723059564594</v>
      </c>
      <c r="J2085" t="n">
        <v>0.005359382178486001</v>
      </c>
      <c r="K2085" t="inlineStr">
        <is>
          <t>LOD</t>
        </is>
      </c>
      <c r="L2085" s="21">
        <f>IF(G2088&gt;3,C2088,IF(G2089&gt;3,C2089,IF(G2090&gt;3,C2090,IF(G2091&gt;3,C2091,C2092))))</f>
        <v/>
      </c>
      <c r="Q2085" t="inlineStr">
        <is>
          <t>SS2</t>
        </is>
      </c>
      <c r="R2085" t="n">
        <v>1.0726</v>
      </c>
    </row>
    <row r="2086">
      <c r="A2086" t="n">
        <v>2</v>
      </c>
      <c r="B2086" t="inlineStr">
        <is>
          <t>EPA1633 &amp; diPAPs Calibration 0.02 ppb</t>
        </is>
      </c>
      <c r="C2086" t="n">
        <v>0.2</v>
      </c>
      <c r="D2086" t="n">
        <v>18.87</v>
      </c>
      <c r="E2086" t="n">
        <v>45.132</v>
      </c>
      <c r="F2086" t="n">
        <v>3693.433</v>
      </c>
      <c r="G2086" t="n">
        <v>16.123</v>
      </c>
      <c r="H2086">
        <f>E2086/F2086</f>
        <v/>
      </c>
      <c r="I2086" t="n">
        <v>0.9996474161259986</v>
      </c>
      <c r="J2086" t="n">
        <v>0.01049805664446012</v>
      </c>
      <c r="K2086" t="inlineStr">
        <is>
          <t>LOQ</t>
        </is>
      </c>
      <c r="L2086" s="22">
        <f>IF(G2088&gt;10,C2088,IF(G2089&gt;10,C2089,IF(G2090&gt;10,C2090,IF(G2091&gt;10,C2091,C2092))))</f>
        <v/>
      </c>
      <c r="Q2086" t="inlineStr">
        <is>
          <t>SS3</t>
        </is>
      </c>
      <c r="R2086" t="n">
        <v>1.1534</v>
      </c>
    </row>
    <row r="2087">
      <c r="A2087" t="n">
        <v>3</v>
      </c>
      <c r="B2087" t="inlineStr">
        <is>
          <t>EPA1633 &amp; diPAPs Calibration 0.1 ppb</t>
        </is>
      </c>
      <c r="C2087" t="n">
        <v>1</v>
      </c>
      <c r="D2087" t="n">
        <v>18.86</v>
      </c>
      <c r="E2087" t="n">
        <v>91.652</v>
      </c>
      <c r="F2087" t="n">
        <v>3784.583</v>
      </c>
      <c r="G2087" t="n">
        <v>13.144</v>
      </c>
      <c r="H2087">
        <f>E2087/F2087</f>
        <v/>
      </c>
      <c r="I2087" t="n">
        <v>11340.81833954601</v>
      </c>
      <c r="J2087" t="n">
        <v>4</v>
      </c>
      <c r="Q2087" t="inlineStr">
        <is>
          <t>K4-1A</t>
        </is>
      </c>
      <c r="R2087" t="n">
        <v>1.0267</v>
      </c>
    </row>
    <row r="2088">
      <c r="A2088" t="n">
        <v>4</v>
      </c>
      <c r="B2088" t="inlineStr">
        <is>
          <t>EPA1633 &amp; diPAPs Calibration 0.4 ppb</t>
        </is>
      </c>
      <c r="C2088" t="n">
        <v>4</v>
      </c>
      <c r="D2088" t="n">
        <v>18.86</v>
      </c>
      <c r="E2088" t="n">
        <v>218.398</v>
      </c>
      <c r="F2088" t="n">
        <v>3633.396</v>
      </c>
      <c r="G2088" t="n">
        <v>58.135</v>
      </c>
      <c r="H2088">
        <f>E2088/F2088</f>
        <v/>
      </c>
      <c r="I2088" t="n">
        <v>1.249862440679945</v>
      </c>
      <c r="J2088" t="n">
        <v>0.0004408367732411732</v>
      </c>
      <c r="Q2088" t="inlineStr">
        <is>
          <t>K4-1B</t>
        </is>
      </c>
      <c r="R2088" t="n">
        <v>1.1481</v>
      </c>
    </row>
    <row r="2089">
      <c r="A2089" t="n">
        <v>5</v>
      </c>
      <c r="B2089" t="inlineStr">
        <is>
          <t>EPA1633 &amp; diPAPs Calibration 1 ppb</t>
        </is>
      </c>
      <c r="C2089" t="n">
        <v>10</v>
      </c>
      <c r="D2089" t="n">
        <v>18.84</v>
      </c>
      <c r="E2089" t="n">
        <v>458.093</v>
      </c>
      <c r="F2089" t="n">
        <v>4115.012</v>
      </c>
      <c r="G2089" t="n">
        <v>89.176</v>
      </c>
      <c r="H2089">
        <f>E2089/F2089</f>
        <v/>
      </c>
      <c r="Q2089" t="inlineStr">
        <is>
          <t>K4-1C</t>
        </is>
      </c>
      <c r="R2089" t="n">
        <v>1.0402</v>
      </c>
    </row>
    <row r="2090">
      <c r="A2090" t="n">
        <v>6</v>
      </c>
      <c r="B2090" t="inlineStr">
        <is>
          <t>EPA1633 &amp; diPAPs Calibration 5 ppb</t>
        </is>
      </c>
      <c r="C2090" t="n">
        <v>50</v>
      </c>
      <c r="D2090" t="n">
        <v>18.84</v>
      </c>
      <c r="E2090" t="n">
        <v>2110.466</v>
      </c>
      <c r="F2090" t="n">
        <v>3380.772</v>
      </c>
      <c r="G2090" t="n">
        <v>638.475</v>
      </c>
      <c r="H2090">
        <f>E2090/F2090</f>
        <v/>
      </c>
      <c r="Q2090" t="inlineStr">
        <is>
          <t>K4-2A</t>
        </is>
      </c>
      <c r="R2090" t="n">
        <v>1.127</v>
      </c>
    </row>
    <row r="2091">
      <c r="A2091" t="n">
        <v>7</v>
      </c>
      <c r="B2091" t="inlineStr">
        <is>
          <t>EPA1633 &amp; diPAPs Calibration 10 ppb</t>
        </is>
      </c>
      <c r="C2091" t="n">
        <v>100</v>
      </c>
      <c r="D2091" t="n">
        <v>18.85</v>
      </c>
      <c r="E2091" t="n">
        <v>3697.562</v>
      </c>
      <c r="F2091" t="n">
        <v>2952.945</v>
      </c>
      <c r="G2091" t="n">
        <v>1680.601</v>
      </c>
      <c r="H2091">
        <f>E2091/F2091</f>
        <v/>
      </c>
      <c r="I2091" s="23" t="inlineStr">
        <is>
          <t>Background</t>
        </is>
      </c>
      <c r="J2091" s="23" t="inlineStr">
        <is>
          <t>Spike</t>
        </is>
      </c>
      <c r="K2091" s="9" t="inlineStr">
        <is>
          <t>Old Spike</t>
        </is>
      </c>
      <c r="O2091" s="24" t="inlineStr">
        <is>
          <t>±</t>
        </is>
      </c>
      <c r="Q2091" t="inlineStr">
        <is>
          <t>K4-2B</t>
        </is>
      </c>
      <c r="R2091" t="n">
        <v>1.1154</v>
      </c>
    </row>
    <row r="2092">
      <c r="A2092" t="n">
        <v>8</v>
      </c>
      <c r="B2092" t="inlineStr">
        <is>
          <t>EPA1633 &amp; diPAPs Calibration 20 ppb</t>
        </is>
      </c>
      <c r="C2092" t="n">
        <v>200</v>
      </c>
      <c r="D2092" t="n">
        <v>18.86</v>
      </c>
      <c r="E2092" t="n">
        <v>7585.031</v>
      </c>
      <c r="F2092" t="n">
        <v>3244.369</v>
      </c>
      <c r="G2092" t="n">
        <v>840.136</v>
      </c>
      <c r="H2092">
        <f>E2092/F2092</f>
        <v/>
      </c>
      <c r="I2092">
        <f>AVERAGE(I2095:I2097)</f>
        <v/>
      </c>
      <c r="J2092" t="n">
        <v>110</v>
      </c>
      <c r="Q2092" t="inlineStr">
        <is>
          <t>K4-2C</t>
        </is>
      </c>
      <c r="R2092" t="n">
        <v>1.1711</v>
      </c>
    </row>
    <row r="2093">
      <c r="A2093" t="n">
        <v>9</v>
      </c>
      <c r="B2093" t="inlineStr">
        <is>
          <t>MeOH</t>
        </is>
      </c>
      <c r="D2093" t="n">
        <v>18.86</v>
      </c>
      <c r="E2093" t="n">
        <v>269.91</v>
      </c>
      <c r="F2093" t="n">
        <v>96.73</v>
      </c>
      <c r="G2093" t="n">
        <v>79.66800000000001</v>
      </c>
      <c r="I2093" s="23" t="inlineStr">
        <is>
          <t>Conc.In Vial (ppb)</t>
        </is>
      </c>
      <c r="J2093" s="9" t="inlineStr">
        <is>
          <t>Corr. Conc.(ppb)</t>
        </is>
      </c>
      <c r="K2093" s="9" t="inlineStr">
        <is>
          <t>Conc. In soil (ng/g)</t>
        </is>
      </c>
      <c r="Q2093" t="inlineStr">
        <is>
          <t>K4-4A</t>
        </is>
      </c>
      <c r="R2093" t="n">
        <v>1.0932</v>
      </c>
    </row>
    <row r="2094">
      <c r="A2094" t="n">
        <v>10</v>
      </c>
      <c r="B2094" t="inlineStr">
        <is>
          <t>MeOH</t>
        </is>
      </c>
      <c r="D2094" t="n">
        <v>18.86</v>
      </c>
      <c r="E2094" t="n">
        <v>42.228</v>
      </c>
      <c r="F2094" t="n">
        <v>27.687</v>
      </c>
      <c r="G2094" t="n">
        <v>16.495</v>
      </c>
      <c r="L2094" s="23" t="inlineStr">
        <is>
          <t>Average</t>
        </is>
      </c>
      <c r="M2094" s="23" t="inlineStr">
        <is>
          <t>Stdev</t>
        </is>
      </c>
      <c r="N2094" s="9" t="inlineStr">
        <is>
          <t>Combined</t>
        </is>
      </c>
      <c r="O2094" s="9" t="n"/>
      <c r="P2094" s="9" t="n"/>
      <c r="Q2094" t="inlineStr">
        <is>
          <t>K4-4B</t>
        </is>
      </c>
      <c r="R2094" t="n">
        <v>1.15</v>
      </c>
    </row>
    <row r="2095">
      <c r="A2095" t="n">
        <v>11</v>
      </c>
      <c r="B2095" t="inlineStr">
        <is>
          <t>SB1</t>
        </is>
      </c>
      <c r="D2095" t="n">
        <v>18.87</v>
      </c>
      <c r="E2095" t="n">
        <v>35.863</v>
      </c>
      <c r="F2095" t="n">
        <v>1283.732</v>
      </c>
      <c r="G2095" t="n">
        <v>9.315</v>
      </c>
      <c r="H2095">
        <f>E2095/F2095</f>
        <v/>
      </c>
      <c r="I2095">
        <f>((H2095-$J$2084)/$I$2084)</f>
        <v/>
      </c>
      <c r="J2095">
        <f>(I2095-IF(I2092&gt;0,I2092,0))</f>
        <v/>
      </c>
      <c r="K2095">
        <f>J2095*1.1</f>
        <v/>
      </c>
      <c r="L2095">
        <f>AVERAGE(K2095:K2097)</f>
        <v/>
      </c>
      <c r="M2095">
        <f>STDEV(K2096:K2097)</f>
        <v/>
      </c>
      <c r="N2095">
        <f>_xlfn.CONCAT(ROUND(L2095,1)," ± ",ROUND(M2095,1))</f>
        <v/>
      </c>
      <c r="Q2095" t="inlineStr">
        <is>
          <t>K4-4C</t>
        </is>
      </c>
      <c r="R2095" t="n">
        <v>1.0482</v>
      </c>
    </row>
    <row r="2096">
      <c r="A2096" t="n">
        <v>12</v>
      </c>
      <c r="B2096" t="inlineStr">
        <is>
          <t>SB2</t>
        </is>
      </c>
      <c r="D2096" t="n">
        <v>18.88</v>
      </c>
      <c r="E2096" t="n">
        <v>25.28</v>
      </c>
      <c r="F2096" t="n">
        <v>1194.124</v>
      </c>
      <c r="G2096" t="n">
        <v>11.173</v>
      </c>
      <c r="H2096">
        <f>E2096/F2096</f>
        <v/>
      </c>
      <c r="I2096">
        <f>((H2096-$J$2084)/$I$2084)</f>
        <v/>
      </c>
      <c r="J2096">
        <f>(I2096-IF(I2092&gt;0,I2092,0))</f>
        <v/>
      </c>
      <c r="K2096">
        <f>J2096*1.1</f>
        <v/>
      </c>
      <c r="Q2096" t="inlineStr">
        <is>
          <t>K4-5A</t>
        </is>
      </c>
      <c r="R2096" t="n">
        <v>1.1054</v>
      </c>
    </row>
    <row r="2097">
      <c r="A2097" t="n">
        <v>13</v>
      </c>
      <c r="B2097" t="inlineStr">
        <is>
          <t>SB3</t>
        </is>
      </c>
      <c r="D2097" t="n">
        <v>18.92</v>
      </c>
      <c r="E2097" t="n">
        <v>3.773</v>
      </c>
      <c r="F2097" t="n">
        <v>1266.078</v>
      </c>
      <c r="G2097" t="n">
        <v>1.585</v>
      </c>
      <c r="H2097">
        <f>E2097/F2097</f>
        <v/>
      </c>
      <c r="I2097">
        <f>((H2097-$J$2084)/$I$2084)</f>
        <v/>
      </c>
      <c r="J2097">
        <f>(I2097-IF(I2092&gt;0,I2092,0))</f>
        <v/>
      </c>
      <c r="K2097" s="30">
        <f>J2097*1.1</f>
        <v/>
      </c>
      <c r="L2097" s="25" t="inlineStr">
        <is>
          <t>Average</t>
        </is>
      </c>
      <c r="M2097" s="25" t="inlineStr">
        <is>
          <t>Stdev</t>
        </is>
      </c>
      <c r="N2097" s="26" t="inlineStr">
        <is>
          <t>%Recovery</t>
        </is>
      </c>
      <c r="O2097" s="26" t="inlineStr">
        <is>
          <t>Uncertainty</t>
        </is>
      </c>
      <c r="P2097" s="26" t="inlineStr">
        <is>
          <t>Combined</t>
        </is>
      </c>
      <c r="Q2097" t="inlineStr">
        <is>
          <t>K4-5B</t>
        </is>
      </c>
      <c r="R2097" s="10" t="n">
        <v>1.0463</v>
      </c>
    </row>
    <row r="2098">
      <c r="A2098" t="n">
        <v>14</v>
      </c>
      <c r="B2098" t="inlineStr">
        <is>
          <t>SS1</t>
        </is>
      </c>
      <c r="D2098" t="n">
        <v>18.89</v>
      </c>
      <c r="E2098" t="n">
        <v>1224.621</v>
      </c>
      <c r="F2098" t="n">
        <v>1121.533</v>
      </c>
      <c r="G2098" t="n">
        <v>323.903</v>
      </c>
      <c r="H2098">
        <f>E2098/F2098</f>
        <v/>
      </c>
      <c r="I2098">
        <f>((H2098-$J$2084)/$I$2084)</f>
        <v/>
      </c>
      <c r="J2098">
        <f>(I2098-IF(I2092&gt;0,I2092,0))</f>
        <v/>
      </c>
      <c r="K2098">
        <f>J2098/R2084*1.1</f>
        <v/>
      </c>
      <c r="L2098" s="27">
        <f>AVERAGE(K2098:K2100)</f>
        <v/>
      </c>
      <c r="M2098" s="27">
        <f>STDEV(K2098:K2100)</f>
        <v/>
      </c>
      <c r="N2098" s="28">
        <f>L2098/J2092*100</f>
        <v/>
      </c>
      <c r="O2098" s="29">
        <f>M2098/J2095*100</f>
        <v/>
      </c>
      <c r="P2098" s="29">
        <f>_xlfn.CONCAT(ROUND(N2098,1)," ± ",ROUND(O2098,1))</f>
        <v/>
      </c>
      <c r="Q2098" t="inlineStr">
        <is>
          <t>K4-5C</t>
        </is>
      </c>
      <c r="R2098" t="n">
        <v>1.1155</v>
      </c>
    </row>
    <row r="2099">
      <c r="A2099" t="n">
        <v>15</v>
      </c>
      <c r="B2099" t="inlineStr">
        <is>
          <t>SS2</t>
        </is>
      </c>
      <c r="D2099" t="n">
        <v>18.9</v>
      </c>
      <c r="E2099" t="n">
        <v>1438.788</v>
      </c>
      <c r="F2099" t="n">
        <v>1236.175</v>
      </c>
      <c r="G2099" t="n">
        <v>177.379</v>
      </c>
      <c r="H2099">
        <f>E2099/F2099</f>
        <v/>
      </c>
      <c r="I2099">
        <f>((H2099-$J$2084)/$I$2084)</f>
        <v/>
      </c>
      <c r="J2099">
        <f>(I2099-IF(I2092&gt;0,I2092,0))</f>
        <v/>
      </c>
      <c r="K2099">
        <f>J2099/R2085*1.1</f>
        <v/>
      </c>
      <c r="Q2099" t="inlineStr">
        <is>
          <t>K3-1A</t>
        </is>
      </c>
      <c r="R2099" t="n">
        <v>1.0874</v>
      </c>
    </row>
    <row r="2100">
      <c r="A2100" t="n">
        <v>16</v>
      </c>
      <c r="B2100" t="inlineStr">
        <is>
          <t>SS3</t>
        </is>
      </c>
      <c r="D2100" t="n">
        <v>18.9</v>
      </c>
      <c r="E2100" t="n">
        <v>1257.108</v>
      </c>
      <c r="F2100" t="n">
        <v>1076.699</v>
      </c>
      <c r="G2100" t="n">
        <v>1248.628</v>
      </c>
      <c r="H2100">
        <f>E2100/F2100</f>
        <v/>
      </c>
      <c r="I2100">
        <f>((H2100-$J$2084)/$I$2084)</f>
        <v/>
      </c>
      <c r="J2100">
        <f>(I2100-IF(I2092&gt;0,I2092,0))</f>
        <v/>
      </c>
      <c r="K2100" s="30">
        <f>J2100/R2086*1.1</f>
        <v/>
      </c>
      <c r="Q2100" t="inlineStr">
        <is>
          <t>K3-1B</t>
        </is>
      </c>
      <c r="R2100" t="n">
        <v>1.0898</v>
      </c>
    </row>
    <row r="2101">
      <c r="A2101" s="19" t="n">
        <v>17</v>
      </c>
      <c r="B2101" s="19" t="inlineStr">
        <is>
          <t>MeOH</t>
        </is>
      </c>
      <c r="L2101" s="23" t="inlineStr">
        <is>
          <t>Average</t>
        </is>
      </c>
      <c r="M2101" s="23" t="inlineStr">
        <is>
          <t>Stdev</t>
        </is>
      </c>
      <c r="N2101" s="9" t="inlineStr">
        <is>
          <t>Combined</t>
        </is>
      </c>
      <c r="Q2101" t="inlineStr">
        <is>
          <t>K3-1C</t>
        </is>
      </c>
      <c r="R2101" t="n">
        <v>1.0536</v>
      </c>
    </row>
    <row r="2102">
      <c r="A2102" s="19" t="n">
        <v>18</v>
      </c>
      <c r="B2102" s="19" t="inlineStr">
        <is>
          <t>K4-1A</t>
        </is>
      </c>
      <c r="D2102" t="n">
        <v>18.89</v>
      </c>
      <c r="E2102" t="n">
        <v>22.449</v>
      </c>
      <c r="F2102" t="n">
        <v>1609.995</v>
      </c>
      <c r="G2102" t="n">
        <v>71.60599999999999</v>
      </c>
      <c r="H2102">
        <f>E2102/F2102</f>
        <v/>
      </c>
      <c r="I2102">
        <f>((H2102-$J$2084)/$I$2084)</f>
        <v/>
      </c>
      <c r="J2102">
        <f>(I2102-IF(I2092&gt;0,I2092,0))</f>
        <v/>
      </c>
      <c r="K2102">
        <f>J2102/R2087*1.1</f>
        <v/>
      </c>
      <c r="L2102">
        <f>AVERAGE(K2102:K2104)</f>
        <v/>
      </c>
      <c r="M2102">
        <f>STDEV(K2103:K2104)</f>
        <v/>
      </c>
      <c r="N2102">
        <f>_xlfn.CONCAT(ROUND(L2102,1)," ± ",ROUND(M2102,1))</f>
        <v/>
      </c>
      <c r="Q2102" t="inlineStr">
        <is>
          <t>K3-2A</t>
        </is>
      </c>
      <c r="R2102" s="10" t="n">
        <v>1.1218</v>
      </c>
    </row>
    <row r="2103">
      <c r="A2103" s="19" t="n">
        <v>19</v>
      </c>
      <c r="B2103" s="19" t="inlineStr">
        <is>
          <t>K4-1B</t>
        </is>
      </c>
      <c r="D2103" t="n">
        <v>18.91</v>
      </c>
      <c r="E2103" t="n">
        <v>8.599</v>
      </c>
      <c r="F2103" t="n">
        <v>1632.476</v>
      </c>
      <c r="G2103" t="n">
        <v>13.072</v>
      </c>
      <c r="H2103">
        <f>E2103/F2103</f>
        <v/>
      </c>
      <c r="I2103">
        <f>((H2103-$J$2084)/$I$2084)</f>
        <v/>
      </c>
      <c r="J2103">
        <f>(I2103-IF(I2092&gt;0,I2092,0))</f>
        <v/>
      </c>
      <c r="K2103">
        <f>J2103/R2088*1.1</f>
        <v/>
      </c>
      <c r="Q2103" t="inlineStr">
        <is>
          <t>K3-2B</t>
        </is>
      </c>
      <c r="R2103" t="n">
        <v>1.198</v>
      </c>
    </row>
    <row r="2104">
      <c r="A2104" s="19" t="n">
        <v>20</v>
      </c>
      <c r="B2104" s="19" t="inlineStr">
        <is>
          <t>K4-1C</t>
        </is>
      </c>
      <c r="D2104" t="n">
        <v>18.89</v>
      </c>
      <c r="E2104" t="n">
        <v>8</v>
      </c>
      <c r="F2104" t="n">
        <v>1678.802</v>
      </c>
      <c r="G2104" t="n">
        <v>4.182</v>
      </c>
      <c r="H2104">
        <f>E2104/F2104</f>
        <v/>
      </c>
      <c r="I2104">
        <f>((H2104-$J$2084)/$I$2084)</f>
        <v/>
      </c>
      <c r="J2104">
        <f>(I2104-IF(I2092&gt;0,I2092,0))</f>
        <v/>
      </c>
      <c r="K2104">
        <f>J2104/R2089*1.1</f>
        <v/>
      </c>
      <c r="L2104" s="23" t="inlineStr">
        <is>
          <t>Average</t>
        </is>
      </c>
      <c r="M2104" s="23" t="inlineStr">
        <is>
          <t>Stdev</t>
        </is>
      </c>
      <c r="N2104" s="9" t="inlineStr">
        <is>
          <t>Combined</t>
        </is>
      </c>
      <c r="Q2104" t="inlineStr">
        <is>
          <t>K3-2C</t>
        </is>
      </c>
      <c r="R2104" t="n">
        <v>1.1538</v>
      </c>
    </row>
    <row r="2105">
      <c r="A2105" s="19" t="n">
        <v>21</v>
      </c>
      <c r="B2105" s="19" t="inlineStr">
        <is>
          <t>K4-2A</t>
        </is>
      </c>
      <c r="D2105" t="n">
        <v>18.89</v>
      </c>
      <c r="E2105" t="n">
        <v>6.459</v>
      </c>
      <c r="F2105" t="n">
        <v>1686.286</v>
      </c>
      <c r="G2105" t="n">
        <v>3.519</v>
      </c>
      <c r="H2105">
        <f>E2105/F2105</f>
        <v/>
      </c>
      <c r="I2105">
        <f>((H2105-$J$2084)/$I$2084)</f>
        <v/>
      </c>
      <c r="J2105">
        <f>(I2105-IF(I2092&gt;0,I2092,0))</f>
        <v/>
      </c>
      <c r="K2105">
        <f>J2105/R2090*1.1</f>
        <v/>
      </c>
      <c r="L2105">
        <f>AVERAGE(K2105:K2107)</f>
        <v/>
      </c>
      <c r="M2105">
        <f>STDEV(K2105:K2107)</f>
        <v/>
      </c>
      <c r="N2105">
        <f>_xlfn.CONCAT(ROUND(L2105,1)," ± ",ROUND(M2105,1))</f>
        <v/>
      </c>
      <c r="Q2105" t="inlineStr">
        <is>
          <t>K3-3A</t>
        </is>
      </c>
      <c r="R2105" t="n">
        <v>1.1183</v>
      </c>
    </row>
    <row r="2106">
      <c r="A2106" s="19" t="n">
        <v>22</v>
      </c>
      <c r="B2106" s="19" t="inlineStr">
        <is>
          <t>K4-2B</t>
        </is>
      </c>
      <c r="D2106" t="n">
        <v>18.9</v>
      </c>
      <c r="E2106" t="n">
        <v>6.129</v>
      </c>
      <c r="F2106" t="n">
        <v>1528.592</v>
      </c>
      <c r="G2106" t="n">
        <v>2.141</v>
      </c>
      <c r="H2106">
        <f>E2106/F2106</f>
        <v/>
      </c>
      <c r="I2106">
        <f>((H2106-$J$2084)/$I$2084)</f>
        <v/>
      </c>
      <c r="J2106">
        <f>(I2106-IF(I2092&gt;0,I2092,0))</f>
        <v/>
      </c>
      <c r="K2106">
        <f>J2106/R2091*1.1</f>
        <v/>
      </c>
      <c r="Q2106" t="inlineStr">
        <is>
          <t>K3-3B</t>
        </is>
      </c>
      <c r="R2106" t="n">
        <v>1.1448</v>
      </c>
    </row>
    <row r="2107">
      <c r="A2107" s="19" t="n">
        <v>23</v>
      </c>
      <c r="B2107" s="19" t="inlineStr">
        <is>
          <t>K4-2C</t>
        </is>
      </c>
      <c r="D2107" t="n">
        <v>19.25</v>
      </c>
      <c r="E2107" t="n">
        <v>3.234</v>
      </c>
      <c r="F2107" t="n">
        <v>1341.622</v>
      </c>
      <c r="G2107" t="n">
        <v>2.546</v>
      </c>
      <c r="H2107">
        <f>E2107/F2107</f>
        <v/>
      </c>
      <c r="I2107">
        <f>((H2107-$J$2084)/$I$2084)</f>
        <v/>
      </c>
      <c r="J2107">
        <f>(I2107-IF(I2092&gt;0,I2092,0))</f>
        <v/>
      </c>
      <c r="K2107">
        <f>J2107/R2092*1.1</f>
        <v/>
      </c>
      <c r="L2107" s="23" t="n"/>
      <c r="M2107" s="23" t="n"/>
      <c r="N2107" s="9" t="n"/>
      <c r="Q2107" t="inlineStr">
        <is>
          <t>K3-3C</t>
        </is>
      </c>
      <c r="R2107" t="n">
        <v>1.0493</v>
      </c>
    </row>
    <row r="2108">
      <c r="A2108" s="19" t="n">
        <v>24</v>
      </c>
      <c r="B2108" s="19" t="inlineStr">
        <is>
          <t>MeOH</t>
        </is>
      </c>
      <c r="L2108" s="23" t="inlineStr">
        <is>
          <t>Average</t>
        </is>
      </c>
      <c r="M2108" s="23" t="inlineStr">
        <is>
          <t>Stdev</t>
        </is>
      </c>
      <c r="N2108" s="9" t="inlineStr">
        <is>
          <t>Combined</t>
        </is>
      </c>
      <c r="Q2108" t="inlineStr">
        <is>
          <t>K3-4A</t>
        </is>
      </c>
      <c r="R2108" t="n">
        <v>1.0704</v>
      </c>
    </row>
    <row r="2109">
      <c r="A2109" s="19" t="n">
        <v>25</v>
      </c>
      <c r="B2109" s="19" t="inlineStr">
        <is>
          <t>K4-4A</t>
        </is>
      </c>
      <c r="D2109" t="n">
        <v>18.93</v>
      </c>
      <c r="E2109" t="n">
        <v>1.281</v>
      </c>
      <c r="F2109" t="n">
        <v>1530.409</v>
      </c>
      <c r="G2109" t="n">
        <v>1.239</v>
      </c>
      <c r="H2109">
        <f>E2109/F2109</f>
        <v/>
      </c>
      <c r="I2109">
        <f>((H2109-$J$2084)/$I$2084)</f>
        <v/>
      </c>
      <c r="J2109">
        <f>(I2109-IF(I2092&gt;0,I2092,0))</f>
        <v/>
      </c>
      <c r="K2109">
        <f>J2109/R2093*1.1</f>
        <v/>
      </c>
      <c r="L2109">
        <f>AVERAGE(K2109:K2111)</f>
        <v/>
      </c>
      <c r="M2109">
        <f>STDEV(K2110:K2111)</f>
        <v/>
      </c>
      <c r="N2109">
        <f>_xlfn.CONCAT(ROUND(L2109,1)," ± ",ROUND(M2109,1))</f>
        <v/>
      </c>
      <c r="Q2109" t="inlineStr">
        <is>
          <t>K3-4B</t>
        </is>
      </c>
      <c r="R2109" t="n">
        <v>1.1589</v>
      </c>
    </row>
    <row r="2110">
      <c r="A2110" s="19" t="n">
        <v>26</v>
      </c>
      <c r="B2110" s="19" t="inlineStr">
        <is>
          <t>K4-4B</t>
        </is>
      </c>
      <c r="D2110" t="n">
        <v>18.94</v>
      </c>
      <c r="E2110" t="n">
        <v>3.645</v>
      </c>
      <c r="F2110" t="n">
        <v>1665.401</v>
      </c>
      <c r="G2110" t="n">
        <v>1.664</v>
      </c>
      <c r="H2110">
        <f>E2110/F2110</f>
        <v/>
      </c>
      <c r="I2110">
        <f>((H2110-$J$2084)/$I$2084)</f>
        <v/>
      </c>
      <c r="J2110">
        <f>(I2110-IF(I2092&gt;0,I2092,0))</f>
        <v/>
      </c>
      <c r="K2110">
        <f>J2110/R2094*1.1</f>
        <v/>
      </c>
      <c r="Q2110" t="inlineStr">
        <is>
          <t>K3-4C</t>
        </is>
      </c>
      <c r="R2110" t="n">
        <v>1.0206</v>
      </c>
    </row>
    <row r="2111">
      <c r="A2111" s="19" t="n">
        <v>27</v>
      </c>
      <c r="B2111" s="19" t="inlineStr">
        <is>
          <t>K4-4C</t>
        </is>
      </c>
      <c r="D2111" t="n">
        <v>18.7</v>
      </c>
      <c r="E2111" t="n">
        <v>3.627</v>
      </c>
      <c r="F2111" t="n">
        <v>1618.391</v>
      </c>
      <c r="G2111" t="n">
        <v>4.442</v>
      </c>
      <c r="H2111">
        <f>E2111/F2111</f>
        <v/>
      </c>
      <c r="I2111">
        <f>((H2111-$J$2084)/$I$2084)</f>
        <v/>
      </c>
      <c r="J2111">
        <f>(I2111-IF(I2092&gt;0,I2092,0))</f>
        <v/>
      </c>
      <c r="K2111">
        <f>J2111/R2095*1.1</f>
        <v/>
      </c>
      <c r="L2111" s="23" t="inlineStr">
        <is>
          <t>Average</t>
        </is>
      </c>
      <c r="M2111" s="23" t="inlineStr">
        <is>
          <t>Stdev</t>
        </is>
      </c>
      <c r="N2111" s="9" t="inlineStr">
        <is>
          <t>Combined</t>
        </is>
      </c>
      <c r="Q2111" t="inlineStr">
        <is>
          <t>K3-6A</t>
        </is>
      </c>
      <c r="R2111" t="n">
        <v>1.1289</v>
      </c>
    </row>
    <row r="2112">
      <c r="A2112" s="19" t="n">
        <v>28</v>
      </c>
      <c r="B2112" s="19" t="inlineStr">
        <is>
          <t>K4-5A</t>
        </is>
      </c>
      <c r="D2112" t="n">
        <v>18.47</v>
      </c>
      <c r="E2112" t="n">
        <v>4.821</v>
      </c>
      <c r="F2112" t="n">
        <v>1626.32</v>
      </c>
      <c r="G2112" t="n">
        <v>1.352</v>
      </c>
      <c r="H2112">
        <f>E2112/F2112</f>
        <v/>
      </c>
      <c r="I2112">
        <f>((H2112-$J$2084)/$I$2084)</f>
        <v/>
      </c>
      <c r="J2112">
        <f>(I2112-IF(I2092&gt;0,I2092,0))</f>
        <v/>
      </c>
      <c r="K2112">
        <f>J2112/R2096*1.1</f>
        <v/>
      </c>
      <c r="L2112">
        <f>AVERAGE(K2112:K2114)</f>
        <v/>
      </c>
      <c r="M2112">
        <f>STDEV(K2112:K2114)</f>
        <v/>
      </c>
      <c r="N2112">
        <f>_xlfn.CONCAT(ROUND(L2112,1)," ± ",ROUND(M2112,1))</f>
        <v/>
      </c>
      <c r="Q2112" t="inlineStr">
        <is>
          <t>K3-6B</t>
        </is>
      </c>
      <c r="R2112" t="n">
        <v>1.195</v>
      </c>
    </row>
    <row r="2113">
      <c r="A2113" s="19" t="n">
        <v>29</v>
      </c>
      <c r="B2113" s="19" t="inlineStr">
        <is>
          <t>K4-5B</t>
        </is>
      </c>
      <c r="D2113" t="n">
        <v>18.87</v>
      </c>
      <c r="E2113" t="n">
        <v>5.909</v>
      </c>
      <c r="F2113" t="n">
        <v>1665.634</v>
      </c>
      <c r="G2113" t="n">
        <v>5.232</v>
      </c>
      <c r="H2113">
        <f>E2113/F2113</f>
        <v/>
      </c>
      <c r="I2113">
        <f>((H2113-$J$2084)/$I$2084)</f>
        <v/>
      </c>
      <c r="J2113">
        <f>(I2113-IF(I2092&gt;0,I2092,0))</f>
        <v/>
      </c>
      <c r="K2113">
        <f>J2113/R2097*1.1</f>
        <v/>
      </c>
      <c r="Q2113" t="inlineStr">
        <is>
          <t>K3-6C</t>
        </is>
      </c>
      <c r="R2113" t="n">
        <v>1.1716</v>
      </c>
    </row>
    <row r="2114">
      <c r="A2114" s="19" t="n">
        <v>30</v>
      </c>
      <c r="B2114" s="19" t="inlineStr">
        <is>
          <t>K4-5C</t>
        </is>
      </c>
      <c r="D2114" t="n">
        <v>18.79</v>
      </c>
      <c r="E2114" t="n">
        <v>1.093</v>
      </c>
      <c r="F2114" t="n">
        <v>1613.307</v>
      </c>
      <c r="G2114" t="n">
        <v>0.723</v>
      </c>
      <c r="H2114">
        <f>E2114/F2114</f>
        <v/>
      </c>
      <c r="I2114">
        <f>((H2114-$J$2084)/$I$2084)</f>
        <v/>
      </c>
      <c r="J2114">
        <f>(I2114-IF(I2092&gt;0,I2092,0))</f>
        <v/>
      </c>
      <c r="K2114">
        <f>J2114/R2098*1.1</f>
        <v/>
      </c>
      <c r="L2114" s="23" t="n"/>
      <c r="M2114" s="23" t="n"/>
      <c r="N2114" s="9" t="n"/>
    </row>
    <row r="2115">
      <c r="A2115" s="19" t="n">
        <v>31</v>
      </c>
      <c r="B2115" s="19" t="inlineStr">
        <is>
          <t>MeOH</t>
        </is>
      </c>
      <c r="L2115" s="23" t="inlineStr">
        <is>
          <t>Average</t>
        </is>
      </c>
      <c r="M2115" s="23" t="inlineStr">
        <is>
          <t>Stdev</t>
        </is>
      </c>
      <c r="N2115" s="9" t="inlineStr">
        <is>
          <t>Combined</t>
        </is>
      </c>
    </row>
    <row r="2116">
      <c r="A2116" s="19" t="n">
        <v>32</v>
      </c>
      <c r="B2116" s="19" t="inlineStr">
        <is>
          <t>K3-1A</t>
        </is>
      </c>
      <c r="D2116" t="n">
        <v>18.8</v>
      </c>
      <c r="E2116" t="n">
        <v>1.1</v>
      </c>
      <c r="F2116" t="n">
        <v>1742.121</v>
      </c>
      <c r="G2116" t="n">
        <v>1.898</v>
      </c>
      <c r="H2116">
        <f>E2116/F2116</f>
        <v/>
      </c>
      <c r="I2116">
        <f>((H2116-$J$2084)/$I$2084)</f>
        <v/>
      </c>
      <c r="J2116">
        <f>(I2116-IF(I2092&gt;0,I2092,0))</f>
        <v/>
      </c>
      <c r="K2116">
        <f>J2116/R2099*1.1</f>
        <v/>
      </c>
      <c r="L2116">
        <f>AVERAGE(K2116:K2118)</f>
        <v/>
      </c>
      <c r="M2116">
        <f>STDEV(K2117:K2118)</f>
        <v/>
      </c>
      <c r="N2116">
        <f>_xlfn.CONCAT(ROUND(L2116,1)," ± ",ROUND(M2116,1))</f>
        <v/>
      </c>
    </row>
    <row r="2117">
      <c r="A2117" s="19" t="n">
        <v>33</v>
      </c>
      <c r="B2117" s="19" t="inlineStr">
        <is>
          <t>K3-1B</t>
        </is>
      </c>
      <c r="D2117" t="n">
        <v>18.87</v>
      </c>
      <c r="E2117" t="n">
        <v>4.169</v>
      </c>
      <c r="F2117" t="n">
        <v>1572.028</v>
      </c>
      <c r="G2117" t="n">
        <v>1.725</v>
      </c>
      <c r="H2117">
        <f>E2117/F2117</f>
        <v/>
      </c>
      <c r="I2117">
        <f>((H2117-$J$2084)/$I$2084)</f>
        <v/>
      </c>
      <c r="J2117">
        <f>(I2117-IF(I2092&gt;0,I2092,0))</f>
        <v/>
      </c>
      <c r="K2117">
        <f>J2117/R2100*1.1</f>
        <v/>
      </c>
    </row>
    <row r="2118">
      <c r="A2118" s="19" t="n">
        <v>34</v>
      </c>
      <c r="B2118" s="19" t="inlineStr">
        <is>
          <t>K3-1C</t>
        </is>
      </c>
      <c r="D2118" t="n">
        <v>18.83</v>
      </c>
      <c r="E2118" t="n">
        <v>2.006</v>
      </c>
      <c r="F2118" t="n">
        <v>2116.855</v>
      </c>
      <c r="G2118" t="n">
        <v>2.261</v>
      </c>
      <c r="H2118">
        <f>E2118/F2118</f>
        <v/>
      </c>
      <c r="I2118">
        <f>((H2118-$J$2084)/$I$2084)</f>
        <v/>
      </c>
      <c r="J2118">
        <f>(I2118-IF(I2092&gt;0,I2092,0))</f>
        <v/>
      </c>
      <c r="K2118">
        <f>J2118/R2101*1.1</f>
        <v/>
      </c>
      <c r="L2118" s="23" t="inlineStr">
        <is>
          <t>Average</t>
        </is>
      </c>
      <c r="M2118" s="23" t="inlineStr">
        <is>
          <t>Stdev</t>
        </is>
      </c>
      <c r="N2118" s="9" t="inlineStr">
        <is>
          <t>Combined</t>
        </is>
      </c>
    </row>
    <row r="2119">
      <c r="A2119" s="19" t="n">
        <v>35</v>
      </c>
      <c r="B2119" s="19" t="inlineStr">
        <is>
          <t>K3-2A</t>
        </is>
      </c>
      <c r="D2119" t="n">
        <v>18.67</v>
      </c>
      <c r="E2119" t="n">
        <v>2.061</v>
      </c>
      <c r="F2119" t="n">
        <v>2008.621</v>
      </c>
      <c r="G2119" t="n">
        <v>0.717</v>
      </c>
      <c r="H2119">
        <f>E2119/F2119</f>
        <v/>
      </c>
      <c r="I2119">
        <f>((H2119-$J$2084)/$I$2084)</f>
        <v/>
      </c>
      <c r="J2119">
        <f>(I2119-IF(I2092&gt;0,I2092,0))</f>
        <v/>
      </c>
      <c r="K2119">
        <f>J2119/R2102*1.1</f>
        <v/>
      </c>
      <c r="L2119">
        <f>AVERAGE(K2119:K2121)</f>
        <v/>
      </c>
      <c r="M2119">
        <f>STDEV(K2119:K2121)</f>
        <v/>
      </c>
      <c r="N2119">
        <f>_xlfn.CONCAT(ROUND(L2119,1)," ± ",ROUND(M2119,1))</f>
        <v/>
      </c>
    </row>
    <row r="2120">
      <c r="A2120" s="19" t="n">
        <v>36</v>
      </c>
      <c r="B2120" s="19" t="inlineStr">
        <is>
          <t>K3-2B</t>
        </is>
      </c>
      <c r="D2120" t="n">
        <v>18.34</v>
      </c>
      <c r="E2120" t="n">
        <v>4.461</v>
      </c>
      <c r="F2120" t="n">
        <v>2203.574</v>
      </c>
      <c r="G2120" t="n">
        <v>1.656</v>
      </c>
      <c r="H2120">
        <f>E2120/F2120</f>
        <v/>
      </c>
      <c r="I2120">
        <f>((H2120-$J$2084)/$I$2084)</f>
        <v/>
      </c>
      <c r="J2120">
        <f>(I2120-IF(I2092&gt;0,I2092,0))</f>
        <v/>
      </c>
      <c r="K2120">
        <f>J2120/R2103*1.1</f>
        <v/>
      </c>
    </row>
    <row r="2121">
      <c r="A2121" s="19" t="n">
        <v>37</v>
      </c>
      <c r="B2121" s="19" t="inlineStr">
        <is>
          <t>K3-2C</t>
        </is>
      </c>
      <c r="D2121" t="n">
        <v>18.59</v>
      </c>
      <c r="E2121" t="n">
        <v>2.956</v>
      </c>
      <c r="F2121" t="n">
        <v>1898.184</v>
      </c>
      <c r="G2121" t="n">
        <v>1.06</v>
      </c>
      <c r="H2121">
        <f>E2121/F2121</f>
        <v/>
      </c>
      <c r="I2121">
        <f>((H2121-$J$2084)/$I$2084)</f>
        <v/>
      </c>
      <c r="J2121">
        <f>(I2121-IF(I2092&gt;0,I2092,0))</f>
        <v/>
      </c>
      <c r="K2121">
        <f>J2121/R2104*1.1</f>
        <v/>
      </c>
      <c r="L2121" s="23" t="n"/>
      <c r="M2121" s="23" t="n"/>
      <c r="N2121" s="9" t="n"/>
    </row>
    <row r="2122">
      <c r="A2122" s="19" t="n">
        <v>38</v>
      </c>
      <c r="B2122" s="19" t="inlineStr">
        <is>
          <t>MeOH</t>
        </is>
      </c>
      <c r="L2122" s="23" t="inlineStr">
        <is>
          <t>Average</t>
        </is>
      </c>
      <c r="M2122" s="23" t="inlineStr">
        <is>
          <t>Stdev</t>
        </is>
      </c>
      <c r="N2122" s="9" t="inlineStr">
        <is>
          <t>Combined</t>
        </is>
      </c>
    </row>
    <row r="2123">
      <c r="A2123" s="19" t="n">
        <v>39</v>
      </c>
      <c r="B2123" s="19" t="inlineStr">
        <is>
          <t>K3-3A</t>
        </is>
      </c>
      <c r="D2123" t="n">
        <v>18.88</v>
      </c>
      <c r="E2123" t="n">
        <v>3.176</v>
      </c>
      <c r="F2123" t="n">
        <v>1523.872</v>
      </c>
      <c r="G2123" t="n">
        <v>2.566</v>
      </c>
      <c r="H2123">
        <f>E2123/F2123</f>
        <v/>
      </c>
      <c r="I2123">
        <f>((H2123-$J$2084)/$I$2084)</f>
        <v/>
      </c>
      <c r="J2123">
        <f>(I2123-IF(I2092&gt;0,I2092,0))</f>
        <v/>
      </c>
      <c r="K2123">
        <f>J2123/R2105*1.1</f>
        <v/>
      </c>
      <c r="L2123">
        <f>AVERAGE(K2123:K2125)</f>
        <v/>
      </c>
      <c r="M2123">
        <f>STDEV(K2124:K2125)</f>
        <v/>
      </c>
      <c r="N2123">
        <f>_xlfn.CONCAT(ROUND(L2123,1)," ± ",ROUND(M2123,1))</f>
        <v/>
      </c>
    </row>
    <row r="2124">
      <c r="A2124" s="19" t="n">
        <v>40</v>
      </c>
      <c r="B2124" s="19" t="inlineStr">
        <is>
          <t>K3-3B</t>
        </is>
      </c>
      <c r="D2124" t="n">
        <v>18.88</v>
      </c>
      <c r="E2124" t="n">
        <v>3.475</v>
      </c>
      <c r="F2124" t="n">
        <v>1684.574</v>
      </c>
      <c r="G2124" t="n">
        <v>2.095</v>
      </c>
      <c r="H2124">
        <f>E2124/F2124</f>
        <v/>
      </c>
      <c r="I2124">
        <f>((H2124-$J$2084)/$I$2084)</f>
        <v/>
      </c>
      <c r="J2124">
        <f>(I2124-IF(I2092&gt;0,I2092,0))</f>
        <v/>
      </c>
      <c r="K2124">
        <f>J2124/R2106*1.1</f>
        <v/>
      </c>
    </row>
    <row r="2125">
      <c r="A2125" s="19" t="n">
        <v>41</v>
      </c>
      <c r="B2125" s="19" t="inlineStr">
        <is>
          <t>K3-3C</t>
        </is>
      </c>
      <c r="D2125" t="n">
        <v>18.78</v>
      </c>
      <c r="E2125" t="n">
        <v>3.702</v>
      </c>
      <c r="F2125" t="n">
        <v>2072.912</v>
      </c>
      <c r="G2125" t="n">
        <v>1.515</v>
      </c>
      <c r="H2125">
        <f>E2125/F2125</f>
        <v/>
      </c>
      <c r="I2125">
        <f>((H2125-$J$2084)/$I$2084)</f>
        <v/>
      </c>
      <c r="J2125">
        <f>(I2125-IF(I2092&gt;0,I2092,0))</f>
        <v/>
      </c>
      <c r="K2125">
        <f>J2125/R2107*1.1</f>
        <v/>
      </c>
      <c r="L2125" s="23" t="inlineStr">
        <is>
          <t>Average</t>
        </is>
      </c>
      <c r="M2125" s="23" t="inlineStr">
        <is>
          <t>Stdev</t>
        </is>
      </c>
      <c r="N2125" s="9" t="inlineStr">
        <is>
          <t>Combined</t>
        </is>
      </c>
    </row>
    <row r="2126">
      <c r="A2126" s="19" t="n">
        <v>42</v>
      </c>
      <c r="B2126" s="19" t="inlineStr">
        <is>
          <t>K3-4A</t>
        </is>
      </c>
      <c r="D2126" t="n">
        <v>18.65</v>
      </c>
      <c r="E2126" t="n">
        <v>11.386</v>
      </c>
      <c r="F2126" t="n">
        <v>2194.503</v>
      </c>
      <c r="G2126" t="n">
        <v>2.541</v>
      </c>
      <c r="H2126">
        <f>E2126/F2126</f>
        <v/>
      </c>
      <c r="I2126">
        <f>((H2126-$J$2084)/$I$2084)</f>
        <v/>
      </c>
      <c r="J2126">
        <f>(I2126-IF(I2092&gt;0,I2092,0))</f>
        <v/>
      </c>
      <c r="K2126">
        <f>J2126/R2108*1.1</f>
        <v/>
      </c>
      <c r="L2126">
        <f>AVERAGE(K2126:K2128)</f>
        <v/>
      </c>
      <c r="M2126">
        <f>STDEV(K2126:K2128)</f>
        <v/>
      </c>
      <c r="N2126">
        <f>_xlfn.CONCAT(ROUND(L2126,1)," ± ",ROUND(M2126,1))</f>
        <v/>
      </c>
    </row>
    <row r="2127">
      <c r="A2127" s="19" t="n">
        <v>43</v>
      </c>
      <c r="B2127" s="19" t="inlineStr">
        <is>
          <t>K3-4B</t>
        </is>
      </c>
      <c r="D2127" t="n">
        <v>18.91</v>
      </c>
      <c r="E2127" t="n">
        <v>6.637</v>
      </c>
      <c r="F2127" t="n">
        <v>1936.442</v>
      </c>
      <c r="G2127" t="n">
        <v>5.08</v>
      </c>
      <c r="H2127">
        <f>E2127/F2127</f>
        <v/>
      </c>
      <c r="I2127">
        <f>((H2127-$J$2084)/$I$2084)</f>
        <v/>
      </c>
      <c r="J2127">
        <f>(I2127-IF(I2092&gt;0,I2092,0))</f>
        <v/>
      </c>
      <c r="K2127">
        <f>J2127/R2109*1.1</f>
        <v/>
      </c>
    </row>
    <row r="2128">
      <c r="A2128" s="19" t="n">
        <v>44</v>
      </c>
      <c r="B2128" s="19" t="inlineStr">
        <is>
          <t>K3-4C</t>
        </is>
      </c>
      <c r="D2128" t="n">
        <v>18.91</v>
      </c>
      <c r="E2128" t="n">
        <v>3.714</v>
      </c>
      <c r="F2128" t="n">
        <v>2051.932</v>
      </c>
      <c r="G2128" t="n">
        <v>1.236</v>
      </c>
      <c r="H2128">
        <f>E2128/F2128</f>
        <v/>
      </c>
      <c r="I2128">
        <f>((H2128-$J$2084)/$I$2084)</f>
        <v/>
      </c>
      <c r="J2128">
        <f>(I2128-IF(I2092&gt;0,I2092,0))</f>
        <v/>
      </c>
      <c r="K2128">
        <f>J2128/R2110*1.1</f>
        <v/>
      </c>
      <c r="L2128" s="23" t="n"/>
      <c r="M2128" s="23" t="n"/>
      <c r="N2128" s="9" t="n"/>
    </row>
    <row r="2129">
      <c r="A2129" s="19" t="n">
        <v>45</v>
      </c>
      <c r="B2129" s="19" t="inlineStr">
        <is>
          <t>MeOH</t>
        </is>
      </c>
      <c r="L2129" s="23" t="inlineStr">
        <is>
          <t>Average</t>
        </is>
      </c>
      <c r="M2129" s="23" t="inlineStr">
        <is>
          <t>Stdev</t>
        </is>
      </c>
      <c r="N2129" s="9" t="inlineStr">
        <is>
          <t>Combined</t>
        </is>
      </c>
    </row>
    <row r="2130">
      <c r="A2130" s="19" t="n">
        <v>46</v>
      </c>
      <c r="B2130" s="19" t="inlineStr">
        <is>
          <t>K3-6A</t>
        </is>
      </c>
      <c r="D2130" t="n">
        <v>18.9</v>
      </c>
      <c r="E2130" t="n">
        <v>6.108</v>
      </c>
      <c r="F2130" t="n">
        <v>1703.303</v>
      </c>
      <c r="G2130" t="n">
        <v>4.933</v>
      </c>
      <c r="H2130">
        <f>E2130/F2130</f>
        <v/>
      </c>
      <c r="I2130">
        <f>((H2130-$J$2084)/$I$2084)</f>
        <v/>
      </c>
      <c r="J2130">
        <f>(I2130-IF(I2092&gt;0,I2092,0))</f>
        <v/>
      </c>
      <c r="K2130">
        <f>J2130/R2111*1.1</f>
        <v/>
      </c>
      <c r="L2130">
        <f>AVERAGE(K2130:K2132)</f>
        <v/>
      </c>
      <c r="M2130">
        <f>STDEV(K2131:K2132)</f>
        <v/>
      </c>
      <c r="N2130">
        <f>_xlfn.CONCAT(ROUND(L2130,1)," ± ",ROUND(M2130,1))</f>
        <v/>
      </c>
    </row>
    <row r="2131">
      <c r="A2131" s="19" t="n">
        <v>47</v>
      </c>
      <c r="B2131" s="19" t="inlineStr">
        <is>
          <t>K3-6B</t>
        </is>
      </c>
      <c r="D2131" t="n">
        <v>18.88</v>
      </c>
      <c r="E2131" t="n">
        <v>3.952</v>
      </c>
      <c r="F2131" t="n">
        <v>1471.201</v>
      </c>
      <c r="G2131" t="n">
        <v>0.635</v>
      </c>
      <c r="H2131">
        <f>E2131/F2131</f>
        <v/>
      </c>
      <c r="I2131">
        <f>((H2131-$J$2084)/$I$2084)</f>
        <v/>
      </c>
      <c r="J2131">
        <f>(I2131-IF(I2092&gt;0,I2092,0))</f>
        <v/>
      </c>
      <c r="K2131">
        <f>J2131/R2112*1.1</f>
        <v/>
      </c>
    </row>
    <row r="2132">
      <c r="A2132" s="19" t="n">
        <v>48</v>
      </c>
      <c r="B2132" s="19" t="inlineStr">
        <is>
          <t>K3-6C</t>
        </is>
      </c>
      <c r="D2132" t="n">
        <v>18.73</v>
      </c>
      <c r="E2132" t="n">
        <v>1.567</v>
      </c>
      <c r="F2132" t="n">
        <v>1466.605</v>
      </c>
      <c r="G2132" t="n">
        <v>0.998</v>
      </c>
      <c r="H2132">
        <f>E2132/F2132</f>
        <v/>
      </c>
      <c r="I2132">
        <f>((H2132-$J$2084)/$I$2084)</f>
        <v/>
      </c>
      <c r="J2132">
        <f>(I2132-IF(I2092&gt;0,I2092,0))</f>
        <v/>
      </c>
      <c r="K2132">
        <f>J2132/R2113*1.1</f>
        <v/>
      </c>
      <c r="L2132" s="23" t="n"/>
      <c r="M2132" s="23" t="n"/>
      <c r="N2132" s="9" t="n"/>
    </row>
    <row r="2134">
      <c r="A2134" s="15" t="inlineStr">
        <is>
          <t>Compound 110:  N-EtFOSAA 1</t>
        </is>
      </c>
      <c r="B2134" s="15" t="n"/>
    </row>
    <row r="2135">
      <c r="I2135" t="inlineStr">
        <is>
          <t>LINEST</t>
        </is>
      </c>
      <c r="Q2135" t="inlineStr">
        <is>
          <t>Biosolids Masses</t>
        </is>
      </c>
      <c r="R2135" t="inlineStr">
        <is>
          <t>(g)</t>
        </is>
      </c>
    </row>
    <row r="2136">
      <c r="B2136" t="inlineStr">
        <is>
          <t>Sample Text</t>
        </is>
      </c>
      <c r="C2136" t="inlineStr">
        <is>
          <t>Std. Conc</t>
        </is>
      </c>
      <c r="D2136" t="inlineStr">
        <is>
          <t>RT</t>
        </is>
      </c>
      <c r="E2136" t="inlineStr">
        <is>
          <t>Area</t>
        </is>
      </c>
      <c r="F2136" t="inlineStr">
        <is>
          <t>IS Area</t>
        </is>
      </c>
      <c r="G2136" t="inlineStr">
        <is>
          <t>S/N</t>
        </is>
      </c>
      <c r="H2136" t="inlineStr">
        <is>
          <t>ratio</t>
        </is>
      </c>
      <c r="I2136">
        <f t="array" ref="I2136:J2140">LINEST(H2138:H2144,C2138:C2144,1,1)</f>
        <v/>
      </c>
      <c r="J2136" t="n">
        <v>0.006480753625132063</v>
      </c>
      <c r="L2136" s="20" t="inlineStr">
        <is>
          <t>By S/N Ratio</t>
        </is>
      </c>
      <c r="Q2136" t="inlineStr">
        <is>
          <t>SS1</t>
        </is>
      </c>
      <c r="R2136" t="n">
        <v>1.0846</v>
      </c>
    </row>
    <row r="2137">
      <c r="A2137" t="n">
        <v>1</v>
      </c>
      <c r="B2137" t="inlineStr">
        <is>
          <t>EPA1633 &amp; diPAPs Calibration 0 ppb</t>
        </is>
      </c>
      <c r="C2137" t="n">
        <v>0</v>
      </c>
      <c r="D2137" t="n">
        <v>14.89</v>
      </c>
      <c r="E2137" t="n">
        <v>174.231</v>
      </c>
      <c r="F2137" t="n">
        <v>65057.813</v>
      </c>
      <c r="G2137" t="n">
        <v>2.414</v>
      </c>
      <c r="H2137">
        <f>E2137/F2137</f>
        <v/>
      </c>
      <c r="I2137" t="n">
        <v>0.001017724910515041</v>
      </c>
      <c r="J2137" t="n">
        <v>0.008823575196649254</v>
      </c>
      <c r="K2137" t="inlineStr">
        <is>
          <t>LOD</t>
        </is>
      </c>
      <c r="L2137" s="21">
        <f>IF(G2140&gt;3,C2140,IF(G2141&gt;3,C2141,IF(G2142&gt;3,C2142,IF(G2143&gt;3,C2143,C2144))))</f>
        <v/>
      </c>
      <c r="Q2137" t="inlineStr">
        <is>
          <t>SS2</t>
        </is>
      </c>
      <c r="R2137" t="n">
        <v>1.0726</v>
      </c>
    </row>
    <row r="2138">
      <c r="A2138" t="n">
        <v>2</v>
      </c>
      <c r="B2138" t="inlineStr">
        <is>
          <t>EPA1633 &amp; diPAPs Calibration 0.02 ppb</t>
        </is>
      </c>
      <c r="C2138" s="19" t="n">
        <v>0.02</v>
      </c>
      <c r="D2138" t="n">
        <v>14.91</v>
      </c>
      <c r="E2138" t="n">
        <v>343.613</v>
      </c>
      <c r="F2138" t="n">
        <v>57750.676</v>
      </c>
      <c r="G2138" t="n">
        <v>2173</v>
      </c>
      <c r="H2138">
        <f>E2138/F2138</f>
        <v/>
      </c>
      <c r="I2138" t="n">
        <v>0.9992978367077535</v>
      </c>
      <c r="J2138" t="n">
        <v>0.01864521874078356</v>
      </c>
      <c r="K2138" t="inlineStr">
        <is>
          <t>LOQ</t>
        </is>
      </c>
      <c r="L2138" s="22">
        <f>IF(G2140&gt;10,C2140,IF(G2141&gt;10,C2141,IF(G2142&gt;10,C2142,IF(G2143&gt;10,C2143,C2144))))</f>
        <v/>
      </c>
      <c r="Q2138" t="inlineStr">
        <is>
          <t>SS3</t>
        </is>
      </c>
      <c r="R2138" t="n">
        <v>1.1534</v>
      </c>
    </row>
    <row r="2139">
      <c r="A2139" t="n">
        <v>3</v>
      </c>
      <c r="B2139" t="inlineStr">
        <is>
          <t>EPA1633 &amp; diPAPs Calibration 0.1 ppb</t>
        </is>
      </c>
      <c r="C2139" s="19" t="n">
        <v>0.1</v>
      </c>
      <c r="D2139" t="n">
        <v>14.91</v>
      </c>
      <c r="E2139" t="n">
        <v>676.687</v>
      </c>
      <c r="F2139" t="n">
        <v>59400.441</v>
      </c>
      <c r="G2139" t="n">
        <v>7.153</v>
      </c>
      <c r="H2139">
        <f>E2139/F2139</f>
        <v/>
      </c>
      <c r="I2139" t="n">
        <v>7115.85074114751</v>
      </c>
      <c r="J2139" t="n">
        <v>5</v>
      </c>
      <c r="Q2139" t="inlineStr">
        <is>
          <t>K4-1A</t>
        </is>
      </c>
      <c r="R2139" t="n">
        <v>1.0267</v>
      </c>
    </row>
    <row r="2140">
      <c r="A2140" t="n">
        <v>4</v>
      </c>
      <c r="B2140" t="inlineStr">
        <is>
          <t>EPA1633 &amp; diPAPs Calibration 0.4 ppb</t>
        </is>
      </c>
      <c r="C2140" s="19" t="n">
        <v>0.4</v>
      </c>
      <c r="D2140" t="n">
        <v>14.93</v>
      </c>
      <c r="E2140" t="n">
        <v>2795.131</v>
      </c>
      <c r="F2140" t="n">
        <v>50625.988</v>
      </c>
      <c r="G2140" t="n">
        <v>17002</v>
      </c>
      <c r="H2140">
        <f>E2140/F2140</f>
        <v/>
      </c>
      <c r="I2140" t="n">
        <v>2.473784109369435</v>
      </c>
      <c r="J2140" t="n">
        <v>0.001738220909458333</v>
      </c>
      <c r="Q2140" t="inlineStr">
        <is>
          <t>K4-1B</t>
        </is>
      </c>
      <c r="R2140" t="n">
        <v>1.1481</v>
      </c>
    </row>
    <row r="2141">
      <c r="A2141" t="n">
        <v>5</v>
      </c>
      <c r="B2141" t="inlineStr">
        <is>
          <t>EPA1633 &amp; diPAPs Calibration 1 ppb</t>
        </is>
      </c>
      <c r="C2141" s="19" t="n">
        <v>1</v>
      </c>
      <c r="D2141" t="n">
        <v>14.91</v>
      </c>
      <c r="E2141" t="n">
        <v>4300.565</v>
      </c>
      <c r="F2141" t="n">
        <v>60298.527</v>
      </c>
      <c r="G2141" t="n">
        <v>68.82299999999999</v>
      </c>
      <c r="H2141">
        <f>E2141/F2141</f>
        <v/>
      </c>
      <c r="Q2141" t="inlineStr">
        <is>
          <t>K4-1C</t>
        </is>
      </c>
      <c r="R2141" t="n">
        <v>1.0402</v>
      </c>
    </row>
    <row r="2142">
      <c r="A2142" t="n">
        <v>6</v>
      </c>
      <c r="B2142" t="inlineStr">
        <is>
          <t>EPA1633 &amp; diPAPs Calibration 5 ppb</t>
        </is>
      </c>
      <c r="C2142" s="19" t="n">
        <v>5</v>
      </c>
      <c r="D2142" t="n">
        <v>14.88</v>
      </c>
      <c r="E2142" t="n">
        <v>22214.008</v>
      </c>
      <c r="F2142" t="n">
        <v>51469.859</v>
      </c>
      <c r="G2142" t="n">
        <v>415.062</v>
      </c>
      <c r="H2142">
        <f>E2142/F2142</f>
        <v/>
      </c>
      <c r="Q2142" t="inlineStr">
        <is>
          <t>K4-2A</t>
        </is>
      </c>
      <c r="R2142" t="n">
        <v>1.127</v>
      </c>
    </row>
    <row r="2143">
      <c r="A2143" t="n">
        <v>7</v>
      </c>
      <c r="B2143" t="inlineStr">
        <is>
          <t>EPA1633 &amp; diPAPs Calibration 10 ppb</t>
        </is>
      </c>
      <c r="C2143" s="19" t="n">
        <v>10</v>
      </c>
      <c r="D2143" t="n">
        <v>14.89</v>
      </c>
      <c r="E2143" t="n">
        <v>37532.332</v>
      </c>
      <c r="F2143" t="n">
        <v>41948.844</v>
      </c>
      <c r="G2143" t="n">
        <v>828.566</v>
      </c>
      <c r="H2143">
        <f>E2143/F2143</f>
        <v/>
      </c>
      <c r="I2143" s="23" t="inlineStr">
        <is>
          <t>Background</t>
        </is>
      </c>
      <c r="J2143" s="23" t="inlineStr">
        <is>
          <t>Spike</t>
        </is>
      </c>
      <c r="K2143" s="9" t="inlineStr">
        <is>
          <t>Old Spike</t>
        </is>
      </c>
      <c r="O2143" s="24" t="inlineStr">
        <is>
          <t>±</t>
        </is>
      </c>
      <c r="Q2143" t="inlineStr">
        <is>
          <t>K4-2B</t>
        </is>
      </c>
      <c r="R2143" t="n">
        <v>1.1154</v>
      </c>
    </row>
    <row r="2144">
      <c r="A2144" t="n">
        <v>8</v>
      </c>
      <c r="B2144" t="inlineStr">
        <is>
          <t>EPA1633 &amp; diPAPs Calibration 20 ppb</t>
        </is>
      </c>
      <c r="C2144" s="19" t="n">
        <v>20</v>
      </c>
      <c r="D2144" t="n">
        <v>14.91</v>
      </c>
      <c r="E2144" t="n">
        <v>77194.711</v>
      </c>
      <c r="F2144" t="n">
        <v>45131.258</v>
      </c>
      <c r="G2144" t="n">
        <v>650.647</v>
      </c>
      <c r="H2144">
        <f>E2144/F2144</f>
        <v/>
      </c>
      <c r="I2144">
        <f>AVERAGE(I2147:I2149)</f>
        <v/>
      </c>
      <c r="J2144" t="n">
        <v>11</v>
      </c>
      <c r="Q2144" t="inlineStr">
        <is>
          <t>K4-2C</t>
        </is>
      </c>
      <c r="R2144" t="n">
        <v>1.1711</v>
      </c>
    </row>
    <row r="2145">
      <c r="A2145" t="n">
        <v>9</v>
      </c>
      <c r="B2145" t="inlineStr">
        <is>
          <t>MeOH</t>
        </is>
      </c>
      <c r="D2145" t="n">
        <v>14.93</v>
      </c>
      <c r="E2145" t="n">
        <v>43.64</v>
      </c>
      <c r="F2145" t="n">
        <v>64.01600000000001</v>
      </c>
      <c r="G2145" t="n">
        <v>2.809</v>
      </c>
      <c r="I2145" s="23" t="inlineStr">
        <is>
          <t>Conc.In Vial (ppb)</t>
        </is>
      </c>
      <c r="J2145" s="9" t="inlineStr">
        <is>
          <t>Corr. Conc.(ppb)</t>
        </is>
      </c>
      <c r="K2145" s="9" t="inlineStr">
        <is>
          <t>Conc. In soil (ng/g)</t>
        </is>
      </c>
      <c r="Q2145" t="inlineStr">
        <is>
          <t>K4-4A</t>
        </is>
      </c>
      <c r="R2145" t="n">
        <v>1.0932</v>
      </c>
    </row>
    <row r="2146">
      <c r="A2146" t="n">
        <v>10</v>
      </c>
      <c r="B2146" t="inlineStr">
        <is>
          <t>MeOH</t>
        </is>
      </c>
      <c r="D2146" t="n">
        <v>14.96</v>
      </c>
      <c r="E2146" t="n">
        <v>109.797</v>
      </c>
      <c r="F2146" t="n">
        <v>14.842</v>
      </c>
      <c r="G2146" t="n">
        <v>10.141</v>
      </c>
      <c r="L2146" s="23" t="inlineStr">
        <is>
          <t>Average</t>
        </is>
      </c>
      <c r="M2146" s="23" t="inlineStr">
        <is>
          <t>Stdev</t>
        </is>
      </c>
      <c r="N2146" s="9" t="inlineStr">
        <is>
          <t>Combined</t>
        </is>
      </c>
      <c r="O2146" s="9" t="n"/>
      <c r="P2146" s="9" t="n"/>
      <c r="Q2146" t="inlineStr">
        <is>
          <t>K4-4B</t>
        </is>
      </c>
      <c r="R2146" t="n">
        <v>1.15</v>
      </c>
    </row>
    <row r="2147">
      <c r="A2147" t="n">
        <v>11</v>
      </c>
      <c r="B2147" t="inlineStr">
        <is>
          <t>SB1</t>
        </is>
      </c>
      <c r="F2147" t="n">
        <v>19023.547</v>
      </c>
      <c r="H2147">
        <f>E2147/F2147</f>
        <v/>
      </c>
      <c r="I2147">
        <f>((H2147-$J$2136)/$I$2136)</f>
        <v/>
      </c>
      <c r="J2147">
        <f>(I2147-IF(I2144&gt;0,I2144,0))</f>
        <v/>
      </c>
      <c r="K2147">
        <f>J2147*1.1</f>
        <v/>
      </c>
      <c r="L2147">
        <f>AVERAGE(K2147:K2149)</f>
        <v/>
      </c>
      <c r="M2147">
        <f>STDEV(K2148:K2149)</f>
        <v/>
      </c>
      <c r="N2147">
        <f>_xlfn.CONCAT(ROUND(L2147,1)," ± ",ROUND(M2147,1))</f>
        <v/>
      </c>
      <c r="Q2147" t="inlineStr">
        <is>
          <t>K4-4C</t>
        </is>
      </c>
      <c r="R2147" t="n">
        <v>1.0482</v>
      </c>
    </row>
    <row r="2148">
      <c r="A2148" t="n">
        <v>12</v>
      </c>
      <c r="B2148" t="inlineStr">
        <is>
          <t>SB2</t>
        </is>
      </c>
      <c r="D2148" t="n">
        <v>14.93</v>
      </c>
      <c r="E2148" t="n">
        <v>19.087</v>
      </c>
      <c r="F2148" t="n">
        <v>19876.041</v>
      </c>
      <c r="G2148" t="n">
        <v>164</v>
      </c>
      <c r="H2148">
        <f>E2148/F2148</f>
        <v/>
      </c>
      <c r="I2148">
        <f>((H2148-$J$2136)/$I$2136)</f>
        <v/>
      </c>
      <c r="J2148">
        <f>(I2148-IF(I2144&gt;0,I2144,0))</f>
        <v/>
      </c>
      <c r="K2148">
        <f>J2148*1.1</f>
        <v/>
      </c>
      <c r="Q2148" t="inlineStr">
        <is>
          <t>K4-5A</t>
        </is>
      </c>
      <c r="R2148" t="n">
        <v>1.1054</v>
      </c>
    </row>
    <row r="2149">
      <c r="A2149" t="n">
        <v>13</v>
      </c>
      <c r="B2149" t="inlineStr">
        <is>
          <t>SB3</t>
        </is>
      </c>
      <c r="F2149" t="n">
        <v>19622.186</v>
      </c>
      <c r="H2149">
        <f>E2149/F2149</f>
        <v/>
      </c>
      <c r="I2149">
        <f>((H2149-$J$2136)/$I$2136)</f>
        <v/>
      </c>
      <c r="J2149">
        <f>(I2149-IF(I2144&gt;0,I2144,0))</f>
        <v/>
      </c>
      <c r="K2149" s="30">
        <f>J2149*1.1</f>
        <v/>
      </c>
      <c r="L2149" s="25" t="inlineStr">
        <is>
          <t>Average</t>
        </is>
      </c>
      <c r="M2149" s="25" t="inlineStr">
        <is>
          <t>Stdev</t>
        </is>
      </c>
      <c r="N2149" s="26" t="inlineStr">
        <is>
          <t>%Recovery</t>
        </is>
      </c>
      <c r="O2149" s="26" t="inlineStr">
        <is>
          <t>Uncertainty</t>
        </is>
      </c>
      <c r="P2149" s="26" t="inlineStr">
        <is>
          <t>Combined</t>
        </is>
      </c>
      <c r="Q2149" t="inlineStr">
        <is>
          <t>K4-5B</t>
        </is>
      </c>
      <c r="R2149" s="10" t="n">
        <v>1.0463</v>
      </c>
    </row>
    <row r="2150">
      <c r="A2150" t="n">
        <v>14</v>
      </c>
      <c r="B2150" t="inlineStr">
        <is>
          <t>SS1</t>
        </is>
      </c>
      <c r="D2150" t="n">
        <v>14.97</v>
      </c>
      <c r="E2150" t="n">
        <v>14167.78</v>
      </c>
      <c r="F2150" t="n">
        <v>19773.83</v>
      </c>
      <c r="G2150" t="n">
        <v>462.882</v>
      </c>
      <c r="H2150">
        <f>E2150/F2150</f>
        <v/>
      </c>
      <c r="I2150">
        <f>((H2150-$J$2136)/$I$2136)</f>
        <v/>
      </c>
      <c r="J2150">
        <f>(I2150-IF(I2144&gt;0,I2144,0))</f>
        <v/>
      </c>
      <c r="K2150">
        <f>J2150/R2136*1.1</f>
        <v/>
      </c>
      <c r="L2150" s="27">
        <f>AVERAGE(K2150:K2152)</f>
        <v/>
      </c>
      <c r="M2150" s="27">
        <f>STDEV(K2150:K2152)</f>
        <v/>
      </c>
      <c r="N2150" s="28">
        <f>L2150/J2144*100</f>
        <v/>
      </c>
      <c r="O2150" s="29">
        <f>M2150/J2147*100</f>
        <v/>
      </c>
      <c r="P2150" s="29">
        <f>_xlfn.CONCAT(ROUND(N2150,1)," ± ",ROUND(O2150,1))</f>
        <v/>
      </c>
      <c r="Q2150" t="inlineStr">
        <is>
          <t>K4-5C</t>
        </is>
      </c>
      <c r="R2150" t="n">
        <v>1.1155</v>
      </c>
    </row>
    <row r="2151">
      <c r="A2151" t="n">
        <v>15</v>
      </c>
      <c r="B2151" t="inlineStr">
        <is>
          <t>SS2</t>
        </is>
      </c>
      <c r="D2151" t="n">
        <v>14.97</v>
      </c>
      <c r="E2151" t="n">
        <v>14409.267</v>
      </c>
      <c r="F2151" t="n">
        <v>21252.592</v>
      </c>
      <c r="G2151" t="n">
        <v>203.405</v>
      </c>
      <c r="H2151">
        <f>E2151/F2151</f>
        <v/>
      </c>
      <c r="I2151">
        <f>((H2151-$J$2136)/$I$2136)</f>
        <v/>
      </c>
      <c r="J2151">
        <f>(I2151-IF(I2144&gt;0,I2144,0))</f>
        <v/>
      </c>
      <c r="K2151">
        <f>J2151/R2137*1.1</f>
        <v/>
      </c>
      <c r="Q2151" t="inlineStr">
        <is>
          <t>K3-1A</t>
        </is>
      </c>
      <c r="R2151" t="n">
        <v>1.0874</v>
      </c>
    </row>
    <row r="2152">
      <c r="A2152" t="n">
        <v>16</v>
      </c>
      <c r="B2152" t="inlineStr">
        <is>
          <t>SS3</t>
        </is>
      </c>
      <c r="D2152" t="n">
        <v>14.99</v>
      </c>
      <c r="E2152" t="n">
        <v>14605.328</v>
      </c>
      <c r="F2152" t="n">
        <v>19102.932</v>
      </c>
      <c r="G2152" t="n">
        <v>1261.511</v>
      </c>
      <c r="H2152">
        <f>E2152/F2152</f>
        <v/>
      </c>
      <c r="I2152">
        <f>((H2152-$J$2136)/$I$2136)</f>
        <v/>
      </c>
      <c r="J2152">
        <f>(I2152-IF(I2144&gt;0,I2144,0))</f>
        <v/>
      </c>
      <c r="K2152" s="30">
        <f>J2152/R2138*1.1</f>
        <v/>
      </c>
      <c r="Q2152" t="inlineStr">
        <is>
          <t>K3-1B</t>
        </is>
      </c>
      <c r="R2152" t="n">
        <v>1.0898</v>
      </c>
    </row>
    <row r="2153">
      <c r="A2153" s="19" t="n">
        <v>17</v>
      </c>
      <c r="B2153" s="19" t="inlineStr">
        <is>
          <t>MeOH</t>
        </is>
      </c>
      <c r="L2153" s="23" t="inlineStr">
        <is>
          <t>Average</t>
        </is>
      </c>
      <c r="M2153" s="23" t="inlineStr">
        <is>
          <t>Stdev</t>
        </is>
      </c>
      <c r="N2153" s="9" t="inlineStr">
        <is>
          <t>Combined</t>
        </is>
      </c>
      <c r="Q2153" t="inlineStr">
        <is>
          <t>K3-1C</t>
        </is>
      </c>
      <c r="R2153" t="n">
        <v>1.0536</v>
      </c>
    </row>
    <row r="2154">
      <c r="A2154" s="19" t="n">
        <v>18</v>
      </c>
      <c r="B2154" s="19" t="inlineStr">
        <is>
          <t>K4-1A</t>
        </is>
      </c>
      <c r="D2154" t="n">
        <v>14.99</v>
      </c>
      <c r="E2154" t="n">
        <v>2.801</v>
      </c>
      <c r="F2154" t="n">
        <v>23639.141</v>
      </c>
      <c r="G2154" t="n">
        <v>25</v>
      </c>
      <c r="H2154">
        <f>E2154/F2154</f>
        <v/>
      </c>
      <c r="I2154">
        <f>((H2154-$J$2136)/$I$2136)</f>
        <v/>
      </c>
      <c r="J2154">
        <f>(I2154-IF(I2144&gt;0,I2144,0))</f>
        <v/>
      </c>
      <c r="K2154">
        <f>J2154/R2139*1.1</f>
        <v/>
      </c>
      <c r="L2154">
        <f>AVERAGE(K2154:K2156)</f>
        <v/>
      </c>
      <c r="M2154">
        <f>STDEV(K2155:K2156)</f>
        <v/>
      </c>
      <c r="N2154">
        <f>_xlfn.CONCAT(ROUND(L2154,1)," ± ",ROUND(M2154,1))</f>
        <v/>
      </c>
      <c r="Q2154" t="inlineStr">
        <is>
          <t>K3-2A</t>
        </is>
      </c>
      <c r="R2154" s="10" t="n">
        <v>1.1218</v>
      </c>
    </row>
    <row r="2155">
      <c r="A2155" s="19" t="n">
        <v>19</v>
      </c>
      <c r="B2155" s="19" t="inlineStr">
        <is>
          <t>K4-1B</t>
        </is>
      </c>
      <c r="F2155" t="n">
        <v>22105.367</v>
      </c>
      <c r="H2155">
        <f>E2155/F2155</f>
        <v/>
      </c>
      <c r="I2155">
        <f>((H2155-$J$2136)/$I$2136)</f>
        <v/>
      </c>
      <c r="J2155">
        <f>(I2155-IF(I2144&gt;0,I2144,0))</f>
        <v/>
      </c>
      <c r="K2155">
        <f>J2155/R2140*1.1</f>
        <v/>
      </c>
      <c r="Q2155" t="inlineStr">
        <is>
          <t>K3-2B</t>
        </is>
      </c>
      <c r="R2155" t="n">
        <v>1.198</v>
      </c>
    </row>
    <row r="2156">
      <c r="A2156" s="19" t="n">
        <v>20</v>
      </c>
      <c r="B2156" s="19" t="inlineStr">
        <is>
          <t>K4-1C</t>
        </is>
      </c>
      <c r="D2156" t="n">
        <v>15.02</v>
      </c>
      <c r="E2156" t="n">
        <v>32.54</v>
      </c>
      <c r="F2156" t="n">
        <v>21073.406</v>
      </c>
      <c r="G2156" t="n">
        <v>275</v>
      </c>
      <c r="H2156">
        <f>E2156/F2156</f>
        <v/>
      </c>
      <c r="I2156">
        <f>((H2156-$J$2136)/$I$2136)</f>
        <v/>
      </c>
      <c r="J2156">
        <f>(I2156-IF(I2144&gt;0,I2144,0))</f>
        <v/>
      </c>
      <c r="K2156">
        <f>J2156/R2141*1.1</f>
        <v/>
      </c>
      <c r="L2156" s="23" t="inlineStr">
        <is>
          <t>Average</t>
        </is>
      </c>
      <c r="M2156" s="23" t="inlineStr">
        <is>
          <t>Stdev</t>
        </is>
      </c>
      <c r="N2156" s="9" t="inlineStr">
        <is>
          <t>Combined</t>
        </is>
      </c>
      <c r="Q2156" t="inlineStr">
        <is>
          <t>K3-2C</t>
        </is>
      </c>
      <c r="R2156" t="n">
        <v>1.1538</v>
      </c>
    </row>
    <row r="2157">
      <c r="A2157" s="19" t="n">
        <v>21</v>
      </c>
      <c r="B2157" s="19" t="inlineStr">
        <is>
          <t>K4-2A</t>
        </is>
      </c>
      <c r="F2157" t="n">
        <v>22198.574</v>
      </c>
      <c r="H2157">
        <f>E2157/F2157</f>
        <v/>
      </c>
      <c r="I2157">
        <f>((H2157-$J$2136)/$I$2136)</f>
        <v/>
      </c>
      <c r="J2157">
        <f>(I2157-IF(I2144&gt;0,I2144,0))</f>
        <v/>
      </c>
      <c r="K2157">
        <f>J2157/R2142*1.1</f>
        <v/>
      </c>
      <c r="L2157">
        <f>AVERAGE(K2157:K2159)</f>
        <v/>
      </c>
      <c r="M2157">
        <f>STDEV(K2157:K2159)</f>
        <v/>
      </c>
      <c r="N2157">
        <f>_xlfn.CONCAT(ROUND(L2157,1)," ± ",ROUND(M2157,1))</f>
        <v/>
      </c>
      <c r="Q2157" t="inlineStr">
        <is>
          <t>K3-3A</t>
        </is>
      </c>
      <c r="R2157" t="n">
        <v>1.1183</v>
      </c>
    </row>
    <row r="2158">
      <c r="A2158" s="19" t="n">
        <v>22</v>
      </c>
      <c r="B2158" s="19" t="inlineStr">
        <is>
          <t>K4-2B</t>
        </is>
      </c>
      <c r="F2158" t="n">
        <v>19047.846</v>
      </c>
      <c r="H2158">
        <f>E2158/F2158</f>
        <v/>
      </c>
      <c r="I2158">
        <f>((H2158-$J$2136)/$I$2136)</f>
        <v/>
      </c>
      <c r="J2158">
        <f>(I2158-IF(I2144&gt;0,I2144,0))</f>
        <v/>
      </c>
      <c r="K2158">
        <f>J2158/R2143*1.1</f>
        <v/>
      </c>
      <c r="Q2158" t="inlineStr">
        <is>
          <t>K3-3B</t>
        </is>
      </c>
      <c r="R2158" t="n">
        <v>1.1448</v>
      </c>
    </row>
    <row r="2159">
      <c r="A2159" s="19" t="n">
        <v>23</v>
      </c>
      <c r="B2159" s="19" t="inlineStr">
        <is>
          <t>K4-2C</t>
        </is>
      </c>
      <c r="F2159" t="n">
        <v>17391.42</v>
      </c>
      <c r="H2159">
        <f>E2159/F2159</f>
        <v/>
      </c>
      <c r="I2159">
        <f>((H2159-$J$2136)/$I$2136)</f>
        <v/>
      </c>
      <c r="J2159">
        <f>(I2159-IF(I2144&gt;0,I2144,0))</f>
        <v/>
      </c>
      <c r="K2159">
        <f>J2159/R2144*1.1</f>
        <v/>
      </c>
      <c r="L2159" s="23" t="n"/>
      <c r="M2159" s="23" t="n"/>
      <c r="N2159" s="9" t="n"/>
      <c r="Q2159" t="inlineStr">
        <is>
          <t>K3-3C</t>
        </is>
      </c>
      <c r="R2159" t="n">
        <v>1.0493</v>
      </c>
    </row>
    <row r="2160">
      <c r="A2160" s="19" t="n">
        <v>24</v>
      </c>
      <c r="B2160" s="19" t="inlineStr">
        <is>
          <t>MeOH</t>
        </is>
      </c>
      <c r="L2160" s="23" t="inlineStr">
        <is>
          <t>Average</t>
        </is>
      </c>
      <c r="M2160" s="23" t="inlineStr">
        <is>
          <t>Stdev</t>
        </is>
      </c>
      <c r="N2160" s="9" t="inlineStr">
        <is>
          <t>Combined</t>
        </is>
      </c>
      <c r="Q2160" t="inlineStr">
        <is>
          <t>K3-4A</t>
        </is>
      </c>
      <c r="R2160" t="n">
        <v>1.0704</v>
      </c>
    </row>
    <row r="2161">
      <c r="A2161" s="19" t="n">
        <v>25</v>
      </c>
      <c r="B2161" s="19" t="inlineStr">
        <is>
          <t>K4-4A</t>
        </is>
      </c>
      <c r="F2161" t="n">
        <v>23917.184</v>
      </c>
      <c r="H2161">
        <f>E2161/F2161</f>
        <v/>
      </c>
      <c r="I2161">
        <f>((H2161-$J$2136)/$I$2136)</f>
        <v/>
      </c>
      <c r="J2161">
        <f>(I2161-IF(I2144&gt;0,I2144,0))</f>
        <v/>
      </c>
      <c r="K2161">
        <f>J2161/R2145*1.1</f>
        <v/>
      </c>
      <c r="L2161">
        <f>AVERAGE(K2161:K2163)</f>
        <v/>
      </c>
      <c r="M2161">
        <f>STDEV(K2162:K2163)</f>
        <v/>
      </c>
      <c r="N2161">
        <f>_xlfn.CONCAT(ROUND(L2161,1)," ± ",ROUND(M2161,1))</f>
        <v/>
      </c>
      <c r="Q2161" t="inlineStr">
        <is>
          <t>K3-4B</t>
        </is>
      </c>
      <c r="R2161" t="n">
        <v>1.1589</v>
      </c>
    </row>
    <row r="2162">
      <c r="A2162" s="19" t="n">
        <v>26</v>
      </c>
      <c r="B2162" s="19" t="inlineStr">
        <is>
          <t>K4-4B</t>
        </is>
      </c>
      <c r="F2162" t="n">
        <v>21871.559</v>
      </c>
      <c r="H2162">
        <f>E2162/F2162</f>
        <v/>
      </c>
      <c r="I2162">
        <f>((H2162-$J$2136)/$I$2136)</f>
        <v/>
      </c>
      <c r="J2162">
        <f>(I2162-IF(I2144&gt;0,I2144,0))</f>
        <v/>
      </c>
      <c r="K2162">
        <f>J2162/R2146*1.1</f>
        <v/>
      </c>
      <c r="Q2162" t="inlineStr">
        <is>
          <t>K3-4C</t>
        </is>
      </c>
      <c r="R2162" t="n">
        <v>1.0206</v>
      </c>
    </row>
    <row r="2163">
      <c r="A2163" s="19" t="n">
        <v>27</v>
      </c>
      <c r="B2163" s="19" t="inlineStr">
        <is>
          <t>K4-4C</t>
        </is>
      </c>
      <c r="F2163" t="n">
        <v>25710.891</v>
      </c>
      <c r="H2163">
        <f>E2163/F2163</f>
        <v/>
      </c>
      <c r="I2163">
        <f>((H2163-$J$2136)/$I$2136)</f>
        <v/>
      </c>
      <c r="J2163">
        <f>(I2163-IF(I2144&gt;0,I2144,0))</f>
        <v/>
      </c>
      <c r="K2163">
        <f>J2163/R2147*1.1</f>
        <v/>
      </c>
      <c r="L2163" s="23" t="inlineStr">
        <is>
          <t>Average</t>
        </is>
      </c>
      <c r="M2163" s="23" t="inlineStr">
        <is>
          <t>Stdev</t>
        </is>
      </c>
      <c r="N2163" s="9" t="inlineStr">
        <is>
          <t>Combined</t>
        </is>
      </c>
      <c r="Q2163" t="inlineStr">
        <is>
          <t>K3-6A</t>
        </is>
      </c>
      <c r="R2163" t="n">
        <v>1.1289</v>
      </c>
    </row>
    <row r="2164">
      <c r="A2164" s="19" t="n">
        <v>28</v>
      </c>
      <c r="B2164" s="19" t="inlineStr">
        <is>
          <t>K4-5A</t>
        </is>
      </c>
      <c r="F2164" t="n">
        <v>21448.361</v>
      </c>
      <c r="H2164">
        <f>E2164/F2164</f>
        <v/>
      </c>
      <c r="I2164">
        <f>((H2164-$J$2136)/$I$2136)</f>
        <v/>
      </c>
      <c r="J2164">
        <f>(I2164-IF(I2144&gt;0,I2144,0))</f>
        <v/>
      </c>
      <c r="K2164">
        <f>J2164/R2148*1.1</f>
        <v/>
      </c>
      <c r="L2164">
        <f>AVERAGE(K2164:K2166)</f>
        <v/>
      </c>
      <c r="M2164">
        <f>STDEV(K2164:K2166)</f>
        <v/>
      </c>
      <c r="N2164">
        <f>_xlfn.CONCAT(ROUND(L2164,1)," ± ",ROUND(M2164,1))</f>
        <v/>
      </c>
      <c r="Q2164" t="inlineStr">
        <is>
          <t>K3-6B</t>
        </is>
      </c>
      <c r="R2164" t="n">
        <v>1.195</v>
      </c>
    </row>
    <row r="2165">
      <c r="A2165" s="19" t="n">
        <v>29</v>
      </c>
      <c r="B2165" s="19" t="inlineStr">
        <is>
          <t>K4-5B</t>
        </is>
      </c>
      <c r="F2165" t="n">
        <v>22339.35</v>
      </c>
      <c r="H2165">
        <f>E2165/F2165</f>
        <v/>
      </c>
      <c r="I2165">
        <f>((H2165-$J$2136)/$I$2136)</f>
        <v/>
      </c>
      <c r="J2165">
        <f>(I2165-IF(I2144&gt;0,I2144,0))</f>
        <v/>
      </c>
      <c r="K2165">
        <f>J2165/R2149*1.1</f>
        <v/>
      </c>
      <c r="Q2165" t="inlineStr">
        <is>
          <t>K3-6C</t>
        </is>
      </c>
      <c r="R2165" t="n">
        <v>1.1716</v>
      </c>
    </row>
    <row r="2166">
      <c r="A2166" s="19" t="n">
        <v>30</v>
      </c>
      <c r="B2166" s="19" t="inlineStr">
        <is>
          <t>K4-5C</t>
        </is>
      </c>
      <c r="F2166" t="n">
        <v>21963.625</v>
      </c>
      <c r="H2166">
        <f>E2166/F2166</f>
        <v/>
      </c>
      <c r="I2166">
        <f>((H2166-$J$2136)/$I$2136)</f>
        <v/>
      </c>
      <c r="J2166">
        <f>(I2166-IF(I2144&gt;0,I2144,0))</f>
        <v/>
      </c>
      <c r="K2166">
        <f>J2166/R2150*1.1</f>
        <v/>
      </c>
      <c r="L2166" s="23" t="n"/>
      <c r="M2166" s="23" t="n"/>
      <c r="N2166" s="9" t="n"/>
    </row>
    <row r="2167">
      <c r="A2167" s="19" t="n">
        <v>31</v>
      </c>
      <c r="B2167" s="19" t="inlineStr">
        <is>
          <t>MeOH</t>
        </is>
      </c>
      <c r="D2167" t="n">
        <v>14.89</v>
      </c>
      <c r="E2167" t="n">
        <v>57.573</v>
      </c>
      <c r="F2167" t="n">
        <v>162.657</v>
      </c>
      <c r="G2167" t="n">
        <v>4.037</v>
      </c>
      <c r="L2167" s="23" t="inlineStr">
        <is>
          <t>Average</t>
        </is>
      </c>
      <c r="M2167" s="23" t="inlineStr">
        <is>
          <t>Stdev</t>
        </is>
      </c>
      <c r="N2167" s="9" t="inlineStr">
        <is>
          <t>Combined</t>
        </is>
      </c>
    </row>
    <row r="2168">
      <c r="A2168" s="19" t="n">
        <v>32</v>
      </c>
      <c r="B2168" s="19" t="inlineStr">
        <is>
          <t>K3-1A</t>
        </is>
      </c>
      <c r="F2168" t="n">
        <v>25588.145</v>
      </c>
      <c r="H2168">
        <f>E2168/F2168</f>
        <v/>
      </c>
      <c r="I2168">
        <f>((H2168-$J$2136)/$I$2136)</f>
        <v/>
      </c>
      <c r="J2168">
        <f>(I2168-IF(I2144&gt;0,I2144,0))</f>
        <v/>
      </c>
      <c r="K2168">
        <f>J2168/R2151*1.1</f>
        <v/>
      </c>
      <c r="L2168">
        <f>AVERAGE(K2168:K2170)</f>
        <v/>
      </c>
      <c r="M2168">
        <f>STDEV(K2169:K2170)</f>
        <v/>
      </c>
      <c r="N2168">
        <f>_xlfn.CONCAT(ROUND(L2168,1)," ± ",ROUND(M2168,1))</f>
        <v/>
      </c>
    </row>
    <row r="2169">
      <c r="A2169" s="19" t="n">
        <v>33</v>
      </c>
      <c r="B2169" s="19" t="inlineStr">
        <is>
          <t>K3-1B</t>
        </is>
      </c>
      <c r="F2169" t="n">
        <v>23743.408</v>
      </c>
      <c r="H2169">
        <f>E2169/F2169</f>
        <v/>
      </c>
      <c r="I2169">
        <f>((H2169-$J$2136)/$I$2136)</f>
        <v/>
      </c>
      <c r="J2169">
        <f>(I2169-IF(I2144&gt;0,I2144,0))</f>
        <v/>
      </c>
      <c r="K2169">
        <f>J2169/R2152*1.1</f>
        <v/>
      </c>
    </row>
    <row r="2170">
      <c r="A2170" s="19" t="n">
        <v>34</v>
      </c>
      <c r="B2170" s="19" t="inlineStr">
        <is>
          <t>K3-1C</t>
        </is>
      </c>
      <c r="D2170" t="n">
        <v>14.96</v>
      </c>
      <c r="E2170" t="n">
        <v>8.233000000000001</v>
      </c>
      <c r="F2170" t="n">
        <v>31354.984</v>
      </c>
      <c r="G2170" t="n">
        <v>72</v>
      </c>
      <c r="H2170">
        <f>E2170/F2170</f>
        <v/>
      </c>
      <c r="I2170">
        <f>((H2170-$J$2136)/$I$2136)</f>
        <v/>
      </c>
      <c r="J2170">
        <f>(I2170-IF(I2144&gt;0,I2144,0))</f>
        <v/>
      </c>
      <c r="K2170">
        <f>J2170/R2153*1.1</f>
        <v/>
      </c>
      <c r="L2170" s="23" t="inlineStr">
        <is>
          <t>Average</t>
        </is>
      </c>
      <c r="M2170" s="23" t="inlineStr">
        <is>
          <t>Stdev</t>
        </is>
      </c>
      <c r="N2170" s="9" t="inlineStr">
        <is>
          <t>Combined</t>
        </is>
      </c>
    </row>
    <row r="2171">
      <c r="A2171" s="19" t="n">
        <v>35</v>
      </c>
      <c r="B2171" s="19" t="inlineStr">
        <is>
          <t>K3-2A</t>
        </is>
      </c>
      <c r="D2171" t="n">
        <v>14.94</v>
      </c>
      <c r="E2171" t="n">
        <v>1.744</v>
      </c>
      <c r="F2171" t="n">
        <v>28332.404</v>
      </c>
      <c r="G2171" t="n">
        <v>15</v>
      </c>
      <c r="H2171">
        <f>E2171/F2171</f>
        <v/>
      </c>
      <c r="I2171">
        <f>((H2171-$J$2136)/$I$2136)</f>
        <v/>
      </c>
      <c r="J2171">
        <f>(I2171-IF(I2144&gt;0,I2144,0))</f>
        <v/>
      </c>
      <c r="K2171">
        <f>J2171/R2154*1.1</f>
        <v/>
      </c>
      <c r="L2171">
        <f>AVERAGE(K2171:K2173)</f>
        <v/>
      </c>
      <c r="M2171">
        <f>STDEV(K2171:K2173)</f>
        <v/>
      </c>
      <c r="N2171">
        <f>_xlfn.CONCAT(ROUND(L2171,1)," ± ",ROUND(M2171,1))</f>
        <v/>
      </c>
    </row>
    <row r="2172">
      <c r="A2172" s="19" t="n">
        <v>36</v>
      </c>
      <c r="B2172" s="19" t="inlineStr">
        <is>
          <t>K3-2B</t>
        </is>
      </c>
      <c r="D2172" t="n">
        <v>15.02</v>
      </c>
      <c r="E2172" t="n">
        <v>4.891</v>
      </c>
      <c r="F2172" t="n">
        <v>33095.668</v>
      </c>
      <c r="G2172" t="n">
        <v>46</v>
      </c>
      <c r="H2172">
        <f>E2172/F2172</f>
        <v/>
      </c>
      <c r="I2172">
        <f>((H2172-$J$2136)/$I$2136)</f>
        <v/>
      </c>
      <c r="J2172">
        <f>(I2172-IF(I2144&gt;0,I2144,0))</f>
        <v/>
      </c>
      <c r="K2172">
        <f>J2172/R2155*1.1</f>
        <v/>
      </c>
    </row>
    <row r="2173">
      <c r="A2173" s="19" t="n">
        <v>37</v>
      </c>
      <c r="B2173" s="19" t="inlineStr">
        <is>
          <t>K3-2C</t>
        </is>
      </c>
      <c r="D2173" t="n">
        <v>15.14</v>
      </c>
      <c r="E2173" t="n">
        <v>23.521</v>
      </c>
      <c r="F2173" t="n">
        <v>28664.4</v>
      </c>
      <c r="G2173" t="n">
        <v>2.121</v>
      </c>
      <c r="H2173">
        <f>E2173/F2173</f>
        <v/>
      </c>
      <c r="I2173">
        <f>((H2173-$J$2136)/$I$2136)</f>
        <v/>
      </c>
      <c r="J2173">
        <f>(I2173-IF(I2144&gt;0,I2144,0))</f>
        <v/>
      </c>
      <c r="K2173">
        <f>J2173/R2156*1.1</f>
        <v/>
      </c>
      <c r="L2173" s="23" t="n"/>
      <c r="M2173" s="23" t="n"/>
      <c r="N2173" s="9" t="n"/>
    </row>
    <row r="2174">
      <c r="A2174" s="19" t="n">
        <v>38</v>
      </c>
      <c r="B2174" s="19" t="inlineStr">
        <is>
          <t>MeOH</t>
        </is>
      </c>
      <c r="L2174" s="23" t="inlineStr">
        <is>
          <t>Average</t>
        </is>
      </c>
      <c r="M2174" s="23" t="inlineStr">
        <is>
          <t>Stdev</t>
        </is>
      </c>
      <c r="N2174" s="9" t="inlineStr">
        <is>
          <t>Combined</t>
        </is>
      </c>
    </row>
    <row r="2175">
      <c r="A2175" s="19" t="n">
        <v>39</v>
      </c>
      <c r="B2175" s="19" t="inlineStr">
        <is>
          <t>K3-3A</t>
        </is>
      </c>
      <c r="F2175" t="n">
        <v>23955.172</v>
      </c>
      <c r="H2175">
        <f>E2175/F2175</f>
        <v/>
      </c>
      <c r="I2175">
        <f>((H2175-$J$2136)/$I$2136)</f>
        <v/>
      </c>
      <c r="J2175">
        <f>(I2175-IF(I2144&gt;0,I2144,0))</f>
        <v/>
      </c>
      <c r="K2175">
        <f>J2175/R2157*1.1</f>
        <v/>
      </c>
      <c r="L2175">
        <f>AVERAGE(K2175:K2177)</f>
        <v/>
      </c>
      <c r="M2175">
        <f>STDEV(K2176:K2177)</f>
        <v/>
      </c>
      <c r="N2175">
        <f>_xlfn.CONCAT(ROUND(L2175,1)," ± ",ROUND(M2175,1))</f>
        <v/>
      </c>
    </row>
    <row r="2176">
      <c r="A2176" s="19" t="n">
        <v>40</v>
      </c>
      <c r="B2176" s="19" t="inlineStr">
        <is>
          <t>K3-3B</t>
        </is>
      </c>
      <c r="D2176" t="n">
        <v>15.01</v>
      </c>
      <c r="E2176" t="n">
        <v>68.967</v>
      </c>
      <c r="F2176" t="n">
        <v>29001.438</v>
      </c>
      <c r="G2176" t="n">
        <v>2.438</v>
      </c>
      <c r="H2176">
        <f>E2176/F2176</f>
        <v/>
      </c>
      <c r="I2176">
        <f>((H2176-$J$2136)/$I$2136)</f>
        <v/>
      </c>
      <c r="J2176">
        <f>(I2176-IF(I2144&gt;0,I2144,0))</f>
        <v/>
      </c>
      <c r="K2176">
        <f>J2176/R2158*1.1</f>
        <v/>
      </c>
    </row>
    <row r="2177">
      <c r="A2177" s="19" t="n">
        <v>41</v>
      </c>
      <c r="B2177" s="19" t="inlineStr">
        <is>
          <t>K3-3C</t>
        </is>
      </c>
      <c r="D2177" t="n">
        <v>14.97</v>
      </c>
      <c r="E2177" t="n">
        <v>1.011</v>
      </c>
      <c r="F2177" t="n">
        <v>32934.473</v>
      </c>
      <c r="G2177" t="n">
        <v>9</v>
      </c>
      <c r="H2177">
        <f>E2177/F2177</f>
        <v/>
      </c>
      <c r="I2177">
        <f>((H2177-$J$2136)/$I$2136)</f>
        <v/>
      </c>
      <c r="J2177">
        <f>(I2177-IF(I2144&gt;0,I2144,0))</f>
        <v/>
      </c>
      <c r="K2177">
        <f>J2177/R2159*1.1</f>
        <v/>
      </c>
      <c r="L2177" s="23" t="inlineStr">
        <is>
          <t>Average</t>
        </is>
      </c>
      <c r="M2177" s="23" t="inlineStr">
        <is>
          <t>Stdev</t>
        </is>
      </c>
      <c r="N2177" s="9" t="inlineStr">
        <is>
          <t>Combined</t>
        </is>
      </c>
    </row>
    <row r="2178">
      <c r="A2178" s="19" t="n">
        <v>42</v>
      </c>
      <c r="B2178" s="19" t="inlineStr">
        <is>
          <t>K3-4A</t>
        </is>
      </c>
      <c r="D2178" t="n">
        <v>15.02</v>
      </c>
      <c r="E2178" t="n">
        <v>2.59</v>
      </c>
      <c r="F2178" t="n">
        <v>36892.102</v>
      </c>
      <c r="G2178" t="n">
        <v>24</v>
      </c>
      <c r="H2178">
        <f>E2178/F2178</f>
        <v/>
      </c>
      <c r="I2178">
        <f>((H2178-$J$2136)/$I$2136)</f>
        <v/>
      </c>
      <c r="J2178">
        <f>(I2178-IF(I2144&gt;0,I2144,0))</f>
        <v/>
      </c>
      <c r="K2178">
        <f>J2178/R2160*1.1</f>
        <v/>
      </c>
      <c r="L2178">
        <f>AVERAGE(K2178:K2180)</f>
        <v/>
      </c>
      <c r="M2178">
        <f>STDEV(K2178:K2180)</f>
        <v/>
      </c>
      <c r="N2178">
        <f>_xlfn.CONCAT(ROUND(L2178,1)," ± ",ROUND(M2178,1))</f>
        <v/>
      </c>
    </row>
    <row r="2179">
      <c r="A2179" s="19" t="n">
        <v>43</v>
      </c>
      <c r="B2179" s="19" t="inlineStr">
        <is>
          <t>K3-4B</t>
        </is>
      </c>
      <c r="D2179" t="n">
        <v>14.6</v>
      </c>
      <c r="E2179" t="n">
        <v>36.678</v>
      </c>
      <c r="F2179" t="n">
        <v>32473.859</v>
      </c>
      <c r="G2179" t="n">
        <v>324</v>
      </c>
      <c r="H2179">
        <f>E2179/F2179</f>
        <v/>
      </c>
      <c r="I2179">
        <f>((H2179-$J$2136)/$I$2136)</f>
        <v/>
      </c>
      <c r="J2179">
        <f>(I2179-IF(I2144&gt;0,I2144,0))</f>
        <v/>
      </c>
      <c r="K2179">
        <f>J2179/R2161*1.1</f>
        <v/>
      </c>
    </row>
    <row r="2180">
      <c r="A2180" s="19" t="n">
        <v>44</v>
      </c>
      <c r="B2180" s="19" t="inlineStr">
        <is>
          <t>K3-4C</t>
        </is>
      </c>
      <c r="D2180" t="n">
        <v>15.06</v>
      </c>
      <c r="E2180" t="n">
        <v>29.8</v>
      </c>
      <c r="F2180" t="n">
        <v>36001.512</v>
      </c>
      <c r="G2180" t="n">
        <v>4.382</v>
      </c>
      <c r="H2180">
        <f>E2180/F2180</f>
        <v/>
      </c>
      <c r="I2180">
        <f>((H2180-$J$2136)/$I$2136)</f>
        <v/>
      </c>
      <c r="J2180">
        <f>(I2180-IF(I2144&gt;0,I2144,0))</f>
        <v/>
      </c>
      <c r="K2180">
        <f>J2180/R2162*1.1</f>
        <v/>
      </c>
      <c r="L2180" s="23" t="n"/>
      <c r="M2180" s="23" t="n"/>
      <c r="N2180" s="9" t="n"/>
    </row>
    <row r="2181">
      <c r="A2181" s="19" t="n">
        <v>45</v>
      </c>
      <c r="B2181" s="19" t="inlineStr">
        <is>
          <t>MeOH</t>
        </is>
      </c>
      <c r="L2181" s="23" t="inlineStr">
        <is>
          <t>Average</t>
        </is>
      </c>
      <c r="M2181" s="23" t="inlineStr">
        <is>
          <t>Stdev</t>
        </is>
      </c>
      <c r="N2181" s="9" t="inlineStr">
        <is>
          <t>Combined</t>
        </is>
      </c>
    </row>
    <row r="2182">
      <c r="A2182" s="19" t="n">
        <v>46</v>
      </c>
      <c r="B2182" s="19" t="inlineStr">
        <is>
          <t>K3-6A</t>
        </is>
      </c>
      <c r="F2182" t="n">
        <v>33347.133</v>
      </c>
      <c r="H2182">
        <f>E2182/F2182</f>
        <v/>
      </c>
      <c r="I2182">
        <f>((H2182-$J$2136)/$I$2136)</f>
        <v/>
      </c>
      <c r="J2182">
        <f>(I2182-IF(I2144&gt;0,I2144,0))</f>
        <v/>
      </c>
      <c r="K2182">
        <f>J2182/R2163*1.1</f>
        <v/>
      </c>
      <c r="L2182">
        <f>AVERAGE(K2182:K2184)</f>
        <v/>
      </c>
      <c r="M2182">
        <f>STDEV(K2183:K2184)</f>
        <v/>
      </c>
      <c r="N2182">
        <f>_xlfn.CONCAT(ROUND(L2182,1)," ± ",ROUND(M2182,1))</f>
        <v/>
      </c>
    </row>
    <row r="2183">
      <c r="A2183" s="19" t="n">
        <v>47</v>
      </c>
      <c r="B2183" s="19" t="inlineStr">
        <is>
          <t>K3-6B</t>
        </is>
      </c>
      <c r="F2183" t="n">
        <v>25828.426</v>
      </c>
      <c r="H2183">
        <f>E2183/F2183</f>
        <v/>
      </c>
      <c r="I2183">
        <f>((H2183-$J$2136)/$I$2136)</f>
        <v/>
      </c>
      <c r="J2183">
        <f>(I2183-IF(I2144&gt;0,I2144,0))</f>
        <v/>
      </c>
      <c r="K2183">
        <f>J2183/R2164*1.1</f>
        <v/>
      </c>
    </row>
    <row r="2184">
      <c r="A2184" s="19" t="n">
        <v>48</v>
      </c>
      <c r="B2184" s="19" t="inlineStr">
        <is>
          <t>K3-6C</t>
        </is>
      </c>
      <c r="D2184" t="n">
        <v>14.99</v>
      </c>
      <c r="E2184" t="n">
        <v>0.331</v>
      </c>
      <c r="F2184" t="n">
        <v>22605.594</v>
      </c>
      <c r="G2184" t="n">
        <v>3</v>
      </c>
      <c r="H2184">
        <f>E2184/F2184</f>
        <v/>
      </c>
      <c r="I2184">
        <f>((H2184-$J$2136)/$I$2136)</f>
        <v/>
      </c>
      <c r="J2184">
        <f>(I2184-IF(I2144&gt;0,I2144,0))</f>
        <v/>
      </c>
      <c r="K2184">
        <f>J2184/R2165*1.1</f>
        <v/>
      </c>
      <c r="L2184" s="23" t="n"/>
      <c r="M2184" s="23" t="n"/>
      <c r="N2184" s="9" t="n"/>
    </row>
    <row r="2186">
      <c r="A2186" t="inlineStr">
        <is>
          <t>Compound 114:  PFDoDA 1</t>
        </is>
      </c>
    </row>
    <row r="2187">
      <c r="I2187" t="inlineStr">
        <is>
          <t>LINEST</t>
        </is>
      </c>
      <c r="Q2187" t="inlineStr">
        <is>
          <t>Biosolids Masses</t>
        </is>
      </c>
      <c r="R2187" t="inlineStr">
        <is>
          <t>(g)</t>
        </is>
      </c>
    </row>
    <row r="2188">
      <c r="B2188" t="inlineStr">
        <is>
          <t>Sample Text</t>
        </is>
      </c>
      <c r="C2188" t="inlineStr">
        <is>
          <t>Std. Conc</t>
        </is>
      </c>
      <c r="D2188" t="inlineStr">
        <is>
          <t>RT</t>
        </is>
      </c>
      <c r="E2188" t="inlineStr">
        <is>
          <t>Area</t>
        </is>
      </c>
      <c r="F2188" t="inlineStr">
        <is>
          <t>IS Area</t>
        </is>
      </c>
      <c r="G2188" t="inlineStr">
        <is>
          <t>S/N</t>
        </is>
      </c>
      <c r="H2188" t="inlineStr">
        <is>
          <t>ratio</t>
        </is>
      </c>
      <c r="I2188">
        <f t="array" ref="I2188:J2192">LINEST(H2190:H2196,C2190:C2196,1,1)</f>
        <v/>
      </c>
      <c r="J2188" t="n">
        <v>0.04499076063184937</v>
      </c>
      <c r="L2188" s="20" t="inlineStr">
        <is>
          <t>By S/N Ratio</t>
        </is>
      </c>
      <c r="Q2188" t="inlineStr">
        <is>
          <t>SS1</t>
        </is>
      </c>
      <c r="R2188" t="n">
        <v>1.0846</v>
      </c>
    </row>
    <row r="2189">
      <c r="A2189" t="n">
        <v>1</v>
      </c>
      <c r="B2189" t="inlineStr">
        <is>
          <t>EPA1633 &amp; diPAPs Calibration 0 ppb</t>
        </is>
      </c>
      <c r="C2189" t="n">
        <v>0</v>
      </c>
      <c r="D2189" t="n">
        <v>15.51</v>
      </c>
      <c r="E2189" t="n">
        <v>8.455</v>
      </c>
      <c r="F2189" t="n">
        <v>1699.565</v>
      </c>
      <c r="G2189" t="n">
        <v>73</v>
      </c>
      <c r="H2189">
        <f>E2189/F2189</f>
        <v/>
      </c>
      <c r="I2189" t="n">
        <v>0.02399354529410412</v>
      </c>
      <c r="J2189" t="n">
        <v>0.2080216853782206</v>
      </c>
      <c r="K2189" t="inlineStr">
        <is>
          <t>LOD</t>
        </is>
      </c>
      <c r="L2189" s="21">
        <f>IF(G2192&gt;3,C2192,IF(G2193&gt;3,C2193,IF(G2194&gt;3,C2194,IF(G2195&gt;3,C2195,C2196))))</f>
        <v/>
      </c>
      <c r="Q2189" t="inlineStr">
        <is>
          <t>SS2</t>
        </is>
      </c>
      <c r="R2189" t="n">
        <v>1.0726</v>
      </c>
    </row>
    <row r="2190">
      <c r="A2190" t="n">
        <v>2</v>
      </c>
      <c r="B2190" t="inlineStr">
        <is>
          <t>EPA1633 &amp; diPAPs Calibration 0.02 ppb</t>
        </is>
      </c>
      <c r="C2190" s="19" t="n">
        <v>0.02</v>
      </c>
      <c r="D2190" t="n">
        <v>15.56</v>
      </c>
      <c r="E2190" t="n">
        <v>70.995</v>
      </c>
      <c r="F2190" t="n">
        <v>1218.852</v>
      </c>
      <c r="G2190" t="n">
        <v>3.187</v>
      </c>
      <c r="H2190">
        <f>E2190/F2190</f>
        <v/>
      </c>
      <c r="I2190" t="n">
        <v>0.996813833927772</v>
      </c>
      <c r="J2190" t="n">
        <v>0.439573499433232</v>
      </c>
      <c r="K2190" t="inlineStr">
        <is>
          <t>LOQ</t>
        </is>
      </c>
      <c r="L2190" s="22">
        <f>IF(G2192&gt;10,C2192,IF(G2193&gt;10,C2193,IF(G2194&gt;10,C2194,IF(G2195&gt;10,C2195,C2196))))</f>
        <v/>
      </c>
      <c r="Q2190" t="inlineStr">
        <is>
          <t>SS3</t>
        </is>
      </c>
      <c r="R2190" t="n">
        <v>1.1534</v>
      </c>
    </row>
    <row r="2191">
      <c r="A2191" t="n">
        <v>3</v>
      </c>
      <c r="B2191" t="inlineStr">
        <is>
          <t>EPA1633 &amp; diPAPs Calibration 0.1 ppb</t>
        </is>
      </c>
      <c r="C2191" s="19" t="n">
        <v>0.1</v>
      </c>
      <c r="D2191" t="n">
        <v>15.53</v>
      </c>
      <c r="E2191" t="n">
        <v>286.072</v>
      </c>
      <c r="F2191" t="n">
        <v>1578.659</v>
      </c>
      <c r="G2191" t="n">
        <v>2076</v>
      </c>
      <c r="H2191">
        <f>E2191/F2191</f>
        <v/>
      </c>
      <c r="I2191" t="n">
        <v>1564.284176233661</v>
      </c>
      <c r="J2191" t="n">
        <v>5</v>
      </c>
      <c r="Q2191" t="inlineStr">
        <is>
          <t>K4-1A</t>
        </is>
      </c>
      <c r="R2191" t="n">
        <v>1.0267</v>
      </c>
    </row>
    <row r="2192">
      <c r="A2192" t="n">
        <v>4</v>
      </c>
      <c r="B2192" t="inlineStr">
        <is>
          <t>EPA1633 &amp; diPAPs Calibration 0.4 ppb</t>
        </is>
      </c>
      <c r="C2192" s="19" t="n">
        <v>0.4</v>
      </c>
      <c r="D2192" t="n">
        <v>15.54</v>
      </c>
      <c r="E2192" t="n">
        <v>369.68</v>
      </c>
      <c r="F2192" t="n">
        <v>1176.884</v>
      </c>
      <c r="G2192" t="n">
        <v>2570</v>
      </c>
      <c r="H2192">
        <f>E2192/F2192</f>
        <v/>
      </c>
      <c r="I2192" t="n">
        <v>302.2585931491844</v>
      </c>
      <c r="J2192" t="n">
        <v>0.9661243070198882</v>
      </c>
      <c r="Q2192" t="inlineStr">
        <is>
          <t>K4-1B</t>
        </is>
      </c>
      <c r="R2192" t="n">
        <v>1.1481</v>
      </c>
    </row>
    <row r="2193">
      <c r="A2193" t="n">
        <v>5</v>
      </c>
      <c r="B2193" t="inlineStr">
        <is>
          <t>EPA1633 &amp; diPAPs Calibration 1 ppb</t>
        </is>
      </c>
      <c r="C2193" s="19" t="n">
        <v>1</v>
      </c>
      <c r="D2193" t="n">
        <v>15.54</v>
      </c>
      <c r="E2193" t="n">
        <v>954.679</v>
      </c>
      <c r="F2193" t="n">
        <v>1460.092</v>
      </c>
      <c r="G2193" t="n">
        <v>31.668</v>
      </c>
      <c r="H2193">
        <f>E2193/F2193</f>
        <v/>
      </c>
      <c r="Q2193" t="inlineStr">
        <is>
          <t>K4-1C</t>
        </is>
      </c>
      <c r="R2193" t="n">
        <v>1.0402</v>
      </c>
    </row>
    <row r="2194">
      <c r="A2194" t="n">
        <v>6</v>
      </c>
      <c r="B2194" t="inlineStr">
        <is>
          <t>EPA1633 &amp; diPAPs Calibration 5 ppb</t>
        </is>
      </c>
      <c r="C2194" s="19" t="n">
        <v>5</v>
      </c>
      <c r="D2194" t="n">
        <v>15.51</v>
      </c>
      <c r="E2194" t="n">
        <v>4268.414</v>
      </c>
      <c r="F2194" t="n">
        <v>762.21</v>
      </c>
      <c r="G2194" t="n">
        <v>27330</v>
      </c>
      <c r="H2194">
        <f>E2194/F2194</f>
        <v/>
      </c>
      <c r="Q2194" t="inlineStr">
        <is>
          <t>K4-2A</t>
        </is>
      </c>
      <c r="R2194" t="n">
        <v>1.127</v>
      </c>
    </row>
    <row r="2195">
      <c r="A2195" t="n">
        <v>7</v>
      </c>
      <c r="B2195" t="inlineStr">
        <is>
          <t>EPA1633 &amp; diPAPs Calibration 10 ppb</t>
        </is>
      </c>
      <c r="C2195" s="19" t="n">
        <v>10</v>
      </c>
      <c r="D2195" t="n">
        <v>15.53</v>
      </c>
      <c r="E2195" t="n">
        <v>7789.855</v>
      </c>
      <c r="F2195" t="n">
        <v>854.968</v>
      </c>
      <c r="G2195" t="n">
        <v>174.576</v>
      </c>
      <c r="H2195">
        <f>E2195/F2195</f>
        <v/>
      </c>
      <c r="I2195" s="23" t="inlineStr">
        <is>
          <t>Background</t>
        </is>
      </c>
      <c r="J2195" s="23" t="inlineStr">
        <is>
          <t>Spike</t>
        </is>
      </c>
      <c r="K2195" s="9" t="inlineStr">
        <is>
          <t>Old Spike</t>
        </is>
      </c>
      <c r="O2195" s="24" t="inlineStr">
        <is>
          <t>±</t>
        </is>
      </c>
      <c r="Q2195" t="inlineStr">
        <is>
          <t>K4-2B</t>
        </is>
      </c>
      <c r="R2195" t="n">
        <v>1.1154</v>
      </c>
    </row>
    <row r="2196">
      <c r="A2196" t="n">
        <v>8</v>
      </c>
      <c r="B2196" t="inlineStr">
        <is>
          <t>EPA1633 &amp; diPAPs Calibration 20 ppb</t>
        </is>
      </c>
      <c r="C2196" s="19" t="n">
        <v>20</v>
      </c>
      <c r="D2196" t="n">
        <v>15.53</v>
      </c>
      <c r="E2196" t="n">
        <v>16204.569</v>
      </c>
      <c r="F2196" t="n">
        <v>850.52</v>
      </c>
      <c r="G2196" t="n">
        <v>670.13</v>
      </c>
      <c r="H2196">
        <f>E2196/F2196</f>
        <v/>
      </c>
      <c r="I2196">
        <f>AVERAGE(I2199:I2201)</f>
        <v/>
      </c>
      <c r="J2196" t="n">
        <v>11</v>
      </c>
      <c r="Q2196" t="inlineStr">
        <is>
          <t>K4-2C</t>
        </is>
      </c>
      <c r="R2196" t="n">
        <v>1.1711</v>
      </c>
    </row>
    <row r="2197">
      <c r="A2197" t="n">
        <v>9</v>
      </c>
      <c r="B2197" t="inlineStr">
        <is>
          <t>MeOH</t>
        </is>
      </c>
      <c r="D2197" t="n">
        <v>15.2</v>
      </c>
      <c r="E2197" t="n">
        <v>12.849</v>
      </c>
      <c r="G2197" t="n">
        <v>2.832</v>
      </c>
      <c r="I2197" s="23" t="inlineStr">
        <is>
          <t>Conc.In Vial (ppb)</t>
        </is>
      </c>
      <c r="J2197" s="9" t="inlineStr">
        <is>
          <t>Corr. Conc.(ppb)</t>
        </is>
      </c>
      <c r="K2197" s="9" t="inlineStr">
        <is>
          <t>Conc. In soil (ng/g)</t>
        </is>
      </c>
      <c r="Q2197" t="inlineStr">
        <is>
          <t>K4-4A</t>
        </is>
      </c>
      <c r="R2197" t="n">
        <v>1.0932</v>
      </c>
    </row>
    <row r="2198">
      <c r="A2198" t="n">
        <v>10</v>
      </c>
      <c r="B2198" t="inlineStr">
        <is>
          <t>MeOH</t>
        </is>
      </c>
      <c r="L2198" s="23" t="inlineStr">
        <is>
          <t>Average</t>
        </is>
      </c>
      <c r="M2198" s="23" t="inlineStr">
        <is>
          <t>Stdev</t>
        </is>
      </c>
      <c r="N2198" s="9" t="inlineStr">
        <is>
          <t>Combined</t>
        </is>
      </c>
      <c r="O2198" s="9" t="n"/>
      <c r="P2198" s="9" t="n"/>
      <c r="Q2198" t="inlineStr">
        <is>
          <t>K4-4B</t>
        </is>
      </c>
      <c r="R2198" t="n">
        <v>1.15</v>
      </c>
    </row>
    <row r="2199">
      <c r="A2199" t="n">
        <v>11</v>
      </c>
      <c r="B2199" t="inlineStr">
        <is>
          <t>SB1</t>
        </is>
      </c>
      <c r="D2199" t="n">
        <v>15.57</v>
      </c>
      <c r="E2199" t="n">
        <v>28.151</v>
      </c>
      <c r="F2199" t="n">
        <v>280.929</v>
      </c>
      <c r="G2199" t="n">
        <v>7.028</v>
      </c>
      <c r="H2199">
        <f>E2199/F2199</f>
        <v/>
      </c>
      <c r="I2199">
        <f>((H2199-$J$2188)/$I$2188)</f>
        <v/>
      </c>
      <c r="J2199">
        <f>(I2199-IF(I2196&gt;0,I2196,0))</f>
        <v/>
      </c>
      <c r="K2199">
        <f>J2199*1.1</f>
        <v/>
      </c>
      <c r="L2199">
        <f>AVERAGE(K2199:K2201)</f>
        <v/>
      </c>
      <c r="M2199">
        <f>STDEV(K2200:K2201)</f>
        <v/>
      </c>
      <c r="N2199">
        <f>_xlfn.CONCAT(ROUND(L2199,1)," ± ",ROUND(M2199,1))</f>
        <v/>
      </c>
      <c r="Q2199" t="inlineStr">
        <is>
          <t>K4-4C</t>
        </is>
      </c>
      <c r="R2199" t="n">
        <v>1.0482</v>
      </c>
    </row>
    <row r="2200">
      <c r="A2200" t="n">
        <v>12</v>
      </c>
      <c r="B2200" t="inlineStr">
        <is>
          <t>SB2</t>
        </is>
      </c>
      <c r="D2200" t="n">
        <v>15.59</v>
      </c>
      <c r="E2200" t="n">
        <v>35.575</v>
      </c>
      <c r="F2200" t="n">
        <v>232.082</v>
      </c>
      <c r="G2200" t="n">
        <v>12.107</v>
      </c>
      <c r="H2200">
        <f>E2200/F2200</f>
        <v/>
      </c>
      <c r="I2200">
        <f>((H2200-$J$2188)/$I$2188)</f>
        <v/>
      </c>
      <c r="J2200">
        <f>(I2200-IF(I2196&gt;0,I2196,0))</f>
        <v/>
      </c>
      <c r="K2200">
        <f>J2200*1.1</f>
        <v/>
      </c>
      <c r="Q2200" t="inlineStr">
        <is>
          <t>K4-5A</t>
        </is>
      </c>
      <c r="R2200" t="n">
        <v>1.1054</v>
      </c>
    </row>
    <row r="2201">
      <c r="A2201" t="n">
        <v>13</v>
      </c>
      <c r="B2201" t="inlineStr">
        <is>
          <t>SB3</t>
        </is>
      </c>
      <c r="F2201" t="n">
        <v>402.233</v>
      </c>
      <c r="H2201">
        <f>E2201/F2201</f>
        <v/>
      </c>
      <c r="I2201">
        <f>((H2201-$J$2188)/$I$2188)</f>
        <v/>
      </c>
      <c r="J2201">
        <f>(I2201-IF(I2196&gt;0,I2196,0))</f>
        <v/>
      </c>
      <c r="K2201" s="30">
        <f>J2201*1.1</f>
        <v/>
      </c>
      <c r="L2201" s="23" t="inlineStr">
        <is>
          <t>Average</t>
        </is>
      </c>
      <c r="M2201" s="23" t="inlineStr">
        <is>
          <t>Stdev</t>
        </is>
      </c>
      <c r="N2201" s="9" t="inlineStr">
        <is>
          <t>%Recovery</t>
        </is>
      </c>
      <c r="O2201" s="9" t="inlineStr">
        <is>
          <t>Uncertainty</t>
        </is>
      </c>
      <c r="P2201" s="9" t="inlineStr">
        <is>
          <t>Combined</t>
        </is>
      </c>
      <c r="Q2201" t="inlineStr">
        <is>
          <t>K4-5B</t>
        </is>
      </c>
      <c r="R2201" s="10" t="n">
        <v>1.0463</v>
      </c>
    </row>
    <row r="2202">
      <c r="A2202" t="n">
        <v>14</v>
      </c>
      <c r="B2202" t="inlineStr">
        <is>
          <t>SS1</t>
        </is>
      </c>
      <c r="D2202" t="n">
        <v>15.59</v>
      </c>
      <c r="E2202" t="n">
        <v>2810.074</v>
      </c>
      <c r="F2202" t="n">
        <v>226.458</v>
      </c>
      <c r="G2202" t="n">
        <v>18983</v>
      </c>
      <c r="H2202">
        <f>E2202/F2202</f>
        <v/>
      </c>
      <c r="I2202">
        <f>((H2202-$J$2188)/$I$2188)</f>
        <v/>
      </c>
      <c r="J2202">
        <f>(I2202-IF(I2196&gt;0,I2196,0))</f>
        <v/>
      </c>
      <c r="K2202">
        <f>J2202/R2188*1.1</f>
        <v/>
      </c>
      <c r="L2202" s="30">
        <f>AVERAGE(K2202:K2204)</f>
        <v/>
      </c>
      <c r="M2202" s="30">
        <f>STDEV(K2202:K2204)</f>
        <v/>
      </c>
      <c r="N2202" s="31">
        <f>L2202/J2196*100</f>
        <v/>
      </c>
      <c r="O2202">
        <f>M2202/J2199*100</f>
        <v/>
      </c>
      <c r="P2202">
        <f>_xlfn.CONCAT(ROUND(N2202,1)," ± ",ROUND(O2202,1))</f>
        <v/>
      </c>
      <c r="Q2202" t="inlineStr">
        <is>
          <t>K4-5C</t>
        </is>
      </c>
      <c r="R2202" t="n">
        <v>1.1155</v>
      </c>
    </row>
    <row r="2203">
      <c r="A2203" t="n">
        <v>15</v>
      </c>
      <c r="B2203" t="inlineStr">
        <is>
          <t>SS2</t>
        </is>
      </c>
      <c r="D2203" t="n">
        <v>15.61</v>
      </c>
      <c r="E2203" t="n">
        <v>2270.172</v>
      </c>
      <c r="F2203" t="n">
        <v>147.337</v>
      </c>
      <c r="G2203" t="n">
        <v>15624</v>
      </c>
      <c r="H2203">
        <f>E2203/F2203</f>
        <v/>
      </c>
      <c r="I2203">
        <f>((H2203-$J$2188)/$I$2188)</f>
        <v/>
      </c>
      <c r="J2203">
        <f>(I2203-IF(I2196&gt;0,I2196,0))</f>
        <v/>
      </c>
      <c r="K2203">
        <f>J2203/R2189*1.1</f>
        <v/>
      </c>
      <c r="Q2203" t="inlineStr">
        <is>
          <t>K3-1A</t>
        </is>
      </c>
      <c r="R2203" t="n">
        <v>1.0874</v>
      </c>
    </row>
    <row r="2204">
      <c r="A2204" t="n">
        <v>16</v>
      </c>
      <c r="B2204" t="inlineStr">
        <is>
          <t>SS3</t>
        </is>
      </c>
      <c r="D2204" t="n">
        <v>15.61</v>
      </c>
      <c r="E2204" t="n">
        <v>2898.737</v>
      </c>
      <c r="F2204" t="n">
        <v>151.755</v>
      </c>
      <c r="G2204" t="n">
        <v>12.781</v>
      </c>
      <c r="H2204">
        <f>E2204/F2204</f>
        <v/>
      </c>
      <c r="I2204">
        <f>((H2204-$J$2188)/$I$2188)</f>
        <v/>
      </c>
      <c r="J2204">
        <f>(I2204-IF(I2196&gt;0,I2196,0))</f>
        <v/>
      </c>
      <c r="K2204" s="30">
        <f>J2204/R2190*1.1</f>
        <v/>
      </c>
      <c r="Q2204" t="inlineStr">
        <is>
          <t>K3-1B</t>
        </is>
      </c>
      <c r="R2204" t="n">
        <v>1.0898</v>
      </c>
    </row>
    <row r="2205">
      <c r="A2205" s="19" t="n">
        <v>17</v>
      </c>
      <c r="B2205" s="19" t="inlineStr">
        <is>
          <t>MeOH</t>
        </is>
      </c>
      <c r="L2205" s="23" t="inlineStr">
        <is>
          <t>Average</t>
        </is>
      </c>
      <c r="M2205" s="23" t="inlineStr">
        <is>
          <t>Stdev</t>
        </is>
      </c>
      <c r="N2205" s="9" t="inlineStr">
        <is>
          <t>Combined</t>
        </is>
      </c>
      <c r="Q2205" t="inlineStr">
        <is>
          <t>K3-1C</t>
        </is>
      </c>
      <c r="R2205" t="n">
        <v>1.0536</v>
      </c>
    </row>
    <row r="2206">
      <c r="A2206" s="19" t="n">
        <v>18</v>
      </c>
      <c r="B2206" s="19" t="inlineStr">
        <is>
          <t>K4-1A</t>
        </is>
      </c>
      <c r="D2206" t="n">
        <v>15.62</v>
      </c>
      <c r="E2206" t="n">
        <v>25.231</v>
      </c>
      <c r="F2206" t="n">
        <v>475.929</v>
      </c>
      <c r="G2206" t="n">
        <v>2.461</v>
      </c>
      <c r="H2206">
        <f>E2206/F2206</f>
        <v/>
      </c>
      <c r="I2206">
        <f>((H2206-$J$2188)/$I$2188)</f>
        <v/>
      </c>
      <c r="J2206">
        <f>(I2206-IF(I2196&gt;0,I2196,0))</f>
        <v/>
      </c>
      <c r="K2206">
        <f>J2206/R2191*1.1</f>
        <v/>
      </c>
      <c r="L2206">
        <f>AVERAGE(K2206:K2208)</f>
        <v/>
      </c>
      <c r="M2206">
        <f>STDEV(K2207:K2208)</f>
        <v/>
      </c>
      <c r="N2206">
        <f>_xlfn.CONCAT(ROUND(L2206,1)," ± ",ROUND(M2206,1))</f>
        <v/>
      </c>
      <c r="Q2206" t="inlineStr">
        <is>
          <t>K3-2A</t>
        </is>
      </c>
      <c r="R2206" s="10" t="n">
        <v>1.1218</v>
      </c>
    </row>
    <row r="2207">
      <c r="A2207" s="19" t="n">
        <v>19</v>
      </c>
      <c r="B2207" s="19" t="inlineStr">
        <is>
          <t>K4-1B</t>
        </is>
      </c>
      <c r="F2207" t="n">
        <v>630.044</v>
      </c>
      <c r="H2207">
        <f>E2207/F2207</f>
        <v/>
      </c>
      <c r="I2207">
        <f>((H2207-$J$2188)/$I$2188)</f>
        <v/>
      </c>
      <c r="J2207">
        <f>(I2207-IF(I2196&gt;0,I2196,0))</f>
        <v/>
      </c>
      <c r="K2207">
        <f>J2207/R2192*1.1</f>
        <v/>
      </c>
      <c r="Q2207" t="inlineStr">
        <is>
          <t>K3-2B</t>
        </is>
      </c>
      <c r="R2207" t="n">
        <v>1.198</v>
      </c>
    </row>
    <row r="2208">
      <c r="A2208" s="19" t="n">
        <v>20</v>
      </c>
      <c r="B2208" s="19" t="inlineStr">
        <is>
          <t>K4-1C</t>
        </is>
      </c>
      <c r="F2208" t="n">
        <v>602.215</v>
      </c>
      <c r="H2208">
        <f>E2208/F2208</f>
        <v/>
      </c>
      <c r="I2208">
        <f>((H2208-$J$2188)/$I$2188)</f>
        <v/>
      </c>
      <c r="J2208">
        <f>(I2208-IF(I2196&gt;0,I2196,0))</f>
        <v/>
      </c>
      <c r="K2208">
        <f>J2208/R2193*1.1</f>
        <v/>
      </c>
      <c r="L2208" s="23" t="inlineStr">
        <is>
          <t>Average</t>
        </is>
      </c>
      <c r="M2208" s="23" t="inlineStr">
        <is>
          <t>Stdev</t>
        </is>
      </c>
      <c r="N2208" s="9" t="inlineStr">
        <is>
          <t>Combined</t>
        </is>
      </c>
      <c r="Q2208" t="inlineStr">
        <is>
          <t>K3-2C</t>
        </is>
      </c>
      <c r="R2208" t="n">
        <v>1.1538</v>
      </c>
    </row>
    <row r="2209">
      <c r="A2209" s="19" t="n">
        <v>21</v>
      </c>
      <c r="B2209" s="19" t="inlineStr">
        <is>
          <t>K4-2A</t>
        </is>
      </c>
      <c r="D2209" t="n">
        <v>15.63</v>
      </c>
      <c r="E2209" t="n">
        <v>71.83199999999999</v>
      </c>
      <c r="F2209" t="n">
        <v>216.774</v>
      </c>
      <c r="G2209" t="n">
        <v>4.326</v>
      </c>
      <c r="H2209">
        <f>E2209/F2209</f>
        <v/>
      </c>
      <c r="I2209">
        <f>((H2209-$J$2188)/$I$2188)</f>
        <v/>
      </c>
      <c r="J2209">
        <f>(I2209-IF(I2196&gt;0,I2196,0))</f>
        <v/>
      </c>
      <c r="K2209">
        <f>J2209/R2194*1.1</f>
        <v/>
      </c>
      <c r="L2209">
        <f>AVERAGE(K2209:K2211)</f>
        <v/>
      </c>
      <c r="M2209">
        <f>STDEV(K2209:K2211)</f>
        <v/>
      </c>
      <c r="N2209">
        <f>_xlfn.CONCAT(ROUND(L2209,1)," ± ",ROUND(M2209,1))</f>
        <v/>
      </c>
      <c r="Q2209" t="inlineStr">
        <is>
          <t>K3-3A</t>
        </is>
      </c>
      <c r="R2209" t="n">
        <v>1.1183</v>
      </c>
    </row>
    <row r="2210">
      <c r="A2210" s="19" t="n">
        <v>22</v>
      </c>
      <c r="B2210" s="19" t="inlineStr">
        <is>
          <t>K4-2B</t>
        </is>
      </c>
      <c r="D2210" t="n">
        <v>15.67</v>
      </c>
      <c r="E2210" t="n">
        <v>23.692</v>
      </c>
      <c r="F2210" t="n">
        <v>492.326</v>
      </c>
      <c r="G2210" t="n">
        <v>155</v>
      </c>
      <c r="H2210">
        <f>E2210/F2210</f>
        <v/>
      </c>
      <c r="I2210">
        <f>((H2210-$J$2188)/$I$2188)</f>
        <v/>
      </c>
      <c r="J2210">
        <f>(I2210-IF(I2196&gt;0,I2196,0))</f>
        <v/>
      </c>
      <c r="K2210">
        <f>J2210/R2195*1.1</f>
        <v/>
      </c>
      <c r="Q2210" t="inlineStr">
        <is>
          <t>K3-3B</t>
        </is>
      </c>
      <c r="R2210" t="n">
        <v>1.1448</v>
      </c>
    </row>
    <row r="2211">
      <c r="A2211" s="19" t="n">
        <v>23</v>
      </c>
      <c r="B2211" s="19" t="inlineStr">
        <is>
          <t>K4-2C</t>
        </is>
      </c>
      <c r="D2211" t="n">
        <v>15.64</v>
      </c>
      <c r="E2211" t="n">
        <v>115.103</v>
      </c>
      <c r="F2211" t="n">
        <v>145.292</v>
      </c>
      <c r="G2211" t="n">
        <v>972</v>
      </c>
      <c r="H2211">
        <f>E2211/F2211</f>
        <v/>
      </c>
      <c r="I2211">
        <f>((H2211-$J$2188)/$I$2188)</f>
        <v/>
      </c>
      <c r="J2211">
        <f>(I2211-IF(I2196&gt;0,I2196,0))</f>
        <v/>
      </c>
      <c r="K2211">
        <f>J2211/R2196*1.1</f>
        <v/>
      </c>
      <c r="L2211" s="23" t="n"/>
      <c r="M2211" s="23" t="n"/>
      <c r="N2211" s="9" t="n"/>
      <c r="Q2211" t="inlineStr">
        <is>
          <t>K3-3C</t>
        </is>
      </c>
      <c r="R2211" t="n">
        <v>1.0493</v>
      </c>
    </row>
    <row r="2212">
      <c r="A2212" s="19" t="n">
        <v>24</v>
      </c>
      <c r="B2212" s="19" t="inlineStr">
        <is>
          <t>MeOH</t>
        </is>
      </c>
      <c r="L2212" s="23" t="inlineStr">
        <is>
          <t>Average</t>
        </is>
      </c>
      <c r="M2212" s="23" t="inlineStr">
        <is>
          <t>Stdev</t>
        </is>
      </c>
      <c r="N2212" s="9" t="inlineStr">
        <is>
          <t>Combined</t>
        </is>
      </c>
      <c r="Q2212" t="inlineStr">
        <is>
          <t>K3-4A</t>
        </is>
      </c>
      <c r="R2212" t="n">
        <v>1.0704</v>
      </c>
    </row>
    <row r="2213">
      <c r="A2213" s="19" t="n">
        <v>25</v>
      </c>
      <c r="B2213" s="19" t="inlineStr">
        <is>
          <t>K4-4A</t>
        </is>
      </c>
      <c r="D2213" t="n">
        <v>15.27</v>
      </c>
      <c r="E2213" t="n">
        <v>3.534</v>
      </c>
      <c r="F2213" t="n">
        <v>255.18</v>
      </c>
      <c r="G2213" t="n">
        <v>29</v>
      </c>
      <c r="H2213">
        <f>E2213/F2213</f>
        <v/>
      </c>
      <c r="I2213">
        <f>((H2213-$J$2188)/$I$2188)</f>
        <v/>
      </c>
      <c r="J2213">
        <f>(I2213-IF(I2196&gt;0,I2196,0))</f>
        <v/>
      </c>
      <c r="K2213">
        <f>J2213/R2197*1.1</f>
        <v/>
      </c>
      <c r="L2213">
        <f>AVERAGE(K2213:K2215)</f>
        <v/>
      </c>
      <c r="M2213">
        <f>STDEV(K2214:K2215)</f>
        <v/>
      </c>
      <c r="N2213">
        <f>_xlfn.CONCAT(ROUND(L2213,1)," ± ",ROUND(M2213,1))</f>
        <v/>
      </c>
      <c r="Q2213" t="inlineStr">
        <is>
          <t>K3-4B</t>
        </is>
      </c>
      <c r="R2213" t="n">
        <v>1.1589</v>
      </c>
    </row>
    <row r="2214">
      <c r="A2214" s="19" t="n">
        <v>26</v>
      </c>
      <c r="B2214" s="19" t="inlineStr">
        <is>
          <t>K4-4B</t>
        </is>
      </c>
      <c r="D2214" t="n">
        <v>15.65</v>
      </c>
      <c r="E2214" t="n">
        <v>26.854</v>
      </c>
      <c r="F2214" t="n">
        <v>423.729</v>
      </c>
      <c r="G2214" t="n">
        <v>234</v>
      </c>
      <c r="H2214">
        <f>E2214/F2214</f>
        <v/>
      </c>
      <c r="I2214">
        <f>((H2214-$J$2188)/$I$2188)</f>
        <v/>
      </c>
      <c r="J2214">
        <f>(I2214-IF(I2196&gt;0,I2196,0))</f>
        <v/>
      </c>
      <c r="K2214">
        <f>J2214/R2198*1.1</f>
        <v/>
      </c>
      <c r="Q2214" t="inlineStr">
        <is>
          <t>K3-4C</t>
        </is>
      </c>
      <c r="R2214" t="n">
        <v>1.0206</v>
      </c>
    </row>
    <row r="2215">
      <c r="A2215" s="19" t="n">
        <v>27</v>
      </c>
      <c r="B2215" s="19" t="inlineStr">
        <is>
          <t>K4-4C</t>
        </is>
      </c>
      <c r="D2215" t="n">
        <v>16.03</v>
      </c>
      <c r="E2215" t="n">
        <v>16.43</v>
      </c>
      <c r="F2215" t="n">
        <v>428.353</v>
      </c>
      <c r="G2215" t="n">
        <v>158</v>
      </c>
      <c r="H2215">
        <f>E2215/F2215</f>
        <v/>
      </c>
      <c r="I2215">
        <f>((H2215-$J$2188)/$I$2188)</f>
        <v/>
      </c>
      <c r="J2215">
        <f>(I2215-IF(I2196&gt;0,I2196,0))</f>
        <v/>
      </c>
      <c r="K2215">
        <f>J2215/R2199*1.1</f>
        <v/>
      </c>
      <c r="L2215" s="23" t="inlineStr">
        <is>
          <t>Average</t>
        </is>
      </c>
      <c r="M2215" s="23" t="inlineStr">
        <is>
          <t>Stdev</t>
        </is>
      </c>
      <c r="N2215" s="9" t="inlineStr">
        <is>
          <t>Combined</t>
        </is>
      </c>
      <c r="Q2215" t="inlineStr">
        <is>
          <t>K3-6A</t>
        </is>
      </c>
      <c r="R2215" t="n">
        <v>1.1289</v>
      </c>
    </row>
    <row r="2216">
      <c r="A2216" s="19" t="n">
        <v>28</v>
      </c>
      <c r="B2216" s="19" t="inlineStr">
        <is>
          <t>K4-5A</t>
        </is>
      </c>
      <c r="D2216" t="n">
        <v>15.64</v>
      </c>
      <c r="E2216" t="n">
        <v>6.277</v>
      </c>
      <c r="F2216" t="n">
        <v>314.929</v>
      </c>
      <c r="G2216" t="n">
        <v>52</v>
      </c>
      <c r="H2216">
        <f>E2216/F2216</f>
        <v/>
      </c>
      <c r="I2216">
        <f>((H2216-$J$2188)/$I$2188)</f>
        <v/>
      </c>
      <c r="J2216">
        <f>(I2216-IF(I2196&gt;0,I2196,0))</f>
        <v/>
      </c>
      <c r="K2216">
        <f>J2216/R2200*1.1</f>
        <v/>
      </c>
      <c r="L2216">
        <f>AVERAGE(K2216:K2218)</f>
        <v/>
      </c>
      <c r="M2216">
        <f>STDEV(K2216:K2218)</f>
        <v/>
      </c>
      <c r="N2216">
        <f>_xlfn.CONCAT(ROUND(L2216,1)," ± ",ROUND(M2216,1))</f>
        <v/>
      </c>
      <c r="Q2216" t="inlineStr">
        <is>
          <t>K3-6B</t>
        </is>
      </c>
      <c r="R2216" t="n">
        <v>1.195</v>
      </c>
    </row>
    <row r="2217">
      <c r="A2217" s="19" t="n">
        <v>29</v>
      </c>
      <c r="B2217" s="19" t="inlineStr">
        <is>
          <t>K4-5B</t>
        </is>
      </c>
      <c r="F2217" t="n">
        <v>115.724</v>
      </c>
      <c r="H2217">
        <f>E2217/F2217</f>
        <v/>
      </c>
      <c r="I2217">
        <f>((H2217-$J$2188)/$I$2188)</f>
        <v/>
      </c>
      <c r="J2217">
        <f>(I2217-IF(I2196&gt;0,I2196,0))</f>
        <v/>
      </c>
      <c r="K2217">
        <f>J2217/R2201*1.1</f>
        <v/>
      </c>
      <c r="Q2217" t="inlineStr">
        <is>
          <t>K3-6C</t>
        </is>
      </c>
      <c r="R2217" t="n">
        <v>1.1716</v>
      </c>
    </row>
    <row r="2218">
      <c r="A2218" s="19" t="n">
        <v>30</v>
      </c>
      <c r="B2218" s="19" t="inlineStr">
        <is>
          <t>K4-5C</t>
        </is>
      </c>
      <c r="D2218" t="n">
        <v>15.61</v>
      </c>
      <c r="E2218" t="n">
        <v>10.095</v>
      </c>
      <c r="F2218" t="n">
        <v>225.611</v>
      </c>
      <c r="G2218" t="n">
        <v>80</v>
      </c>
      <c r="H2218">
        <f>E2218/F2218</f>
        <v/>
      </c>
      <c r="I2218">
        <f>((H2218-$J$2188)/$I$2188)</f>
        <v/>
      </c>
      <c r="J2218">
        <f>(I2218-IF(I2196&gt;0,I2196,0))</f>
        <v/>
      </c>
      <c r="K2218">
        <f>J2218/R2202*1.1</f>
        <v/>
      </c>
      <c r="L2218" s="23" t="n"/>
      <c r="M2218" s="23" t="n"/>
      <c r="N2218" s="9" t="n"/>
    </row>
    <row r="2219">
      <c r="A2219" s="19" t="n">
        <v>31</v>
      </c>
      <c r="B2219" s="19" t="inlineStr">
        <is>
          <t>MeOH</t>
        </is>
      </c>
      <c r="L2219" s="23" t="inlineStr">
        <is>
          <t>Average</t>
        </is>
      </c>
      <c r="M2219" s="23" t="inlineStr">
        <is>
          <t>Stdev</t>
        </is>
      </c>
      <c r="N2219" s="9" t="inlineStr">
        <is>
          <t>Combined</t>
        </is>
      </c>
    </row>
    <row r="2220">
      <c r="A2220" s="19" t="n">
        <v>32</v>
      </c>
      <c r="B2220" s="19" t="inlineStr">
        <is>
          <t>K3-1A</t>
        </is>
      </c>
      <c r="D2220" t="n">
        <v>15.58</v>
      </c>
      <c r="E2220" t="n">
        <v>24.936</v>
      </c>
      <c r="F2220" t="n">
        <v>432.168</v>
      </c>
      <c r="G2220" t="n">
        <v>17.647</v>
      </c>
      <c r="H2220">
        <f>E2220/F2220</f>
        <v/>
      </c>
      <c r="I2220">
        <f>((H2220-$J$2188)/$I$2188)</f>
        <v/>
      </c>
      <c r="J2220">
        <f>(I2220-IF(I2196&gt;0,I2196,0))</f>
        <v/>
      </c>
      <c r="K2220">
        <f>J2220/R2203*1.1</f>
        <v/>
      </c>
      <c r="L2220">
        <f>AVERAGE(K2220:K2222)</f>
        <v/>
      </c>
      <c r="M2220">
        <f>STDEV(K2221:K2222)</f>
        <v/>
      </c>
      <c r="N2220">
        <f>_xlfn.CONCAT(ROUND(L2220,1)," ± ",ROUND(M2220,1))</f>
        <v/>
      </c>
    </row>
    <row r="2221">
      <c r="A2221" s="19" t="n">
        <v>33</v>
      </c>
      <c r="B2221" s="19" t="inlineStr">
        <is>
          <t>K3-1B</t>
        </is>
      </c>
      <c r="D2221" t="n">
        <v>15.59</v>
      </c>
      <c r="E2221" t="n">
        <v>59.812</v>
      </c>
      <c r="F2221" t="n">
        <v>439.829</v>
      </c>
      <c r="G2221" t="n">
        <v>451</v>
      </c>
      <c r="H2221">
        <f>E2221/F2221</f>
        <v/>
      </c>
      <c r="I2221">
        <f>((H2221-$J$2188)/$I$2188)</f>
        <v/>
      </c>
      <c r="J2221">
        <f>(I2221-IF(I2196&gt;0,I2196,0))</f>
        <v/>
      </c>
      <c r="K2221">
        <f>J2221/R2204*1.1</f>
        <v/>
      </c>
    </row>
    <row r="2222">
      <c r="A2222" s="19" t="n">
        <v>34</v>
      </c>
      <c r="B2222" s="19" t="inlineStr">
        <is>
          <t>K3-1C</t>
        </is>
      </c>
      <c r="D2222" t="n">
        <v>15.61</v>
      </c>
      <c r="E2222" t="n">
        <v>111.836</v>
      </c>
      <c r="F2222" t="n">
        <v>313.795</v>
      </c>
      <c r="G2222" t="n">
        <v>3.236</v>
      </c>
      <c r="H2222">
        <f>E2222/F2222</f>
        <v/>
      </c>
      <c r="I2222">
        <f>((H2222-$J$2188)/$I$2188)</f>
        <v/>
      </c>
      <c r="J2222">
        <f>(I2222-IF(I2196&gt;0,I2196,0))</f>
        <v/>
      </c>
      <c r="K2222">
        <f>J2222/R2205*1.1</f>
        <v/>
      </c>
      <c r="L2222" s="23" t="inlineStr">
        <is>
          <t>Average</t>
        </is>
      </c>
      <c r="M2222" s="23" t="inlineStr">
        <is>
          <t>Stdev</t>
        </is>
      </c>
      <c r="N2222" s="9" t="inlineStr">
        <is>
          <t>Combined</t>
        </is>
      </c>
    </row>
    <row r="2223">
      <c r="A2223" s="19" t="n">
        <v>35</v>
      </c>
      <c r="B2223" s="19" t="inlineStr">
        <is>
          <t>K3-2A</t>
        </is>
      </c>
      <c r="D2223" t="n">
        <v>15.65</v>
      </c>
      <c r="E2223" t="n">
        <v>50.931</v>
      </c>
      <c r="F2223" t="n">
        <v>420.878</v>
      </c>
      <c r="G2223" t="n">
        <v>2.033</v>
      </c>
      <c r="H2223">
        <f>E2223/F2223</f>
        <v/>
      </c>
      <c r="I2223">
        <f>((H2223-$J$2188)/$I$2188)</f>
        <v/>
      </c>
      <c r="J2223">
        <f>(I2223-IF(I2196&gt;0,I2196,0))</f>
        <v/>
      </c>
      <c r="K2223">
        <f>J2223/R2206*1.1</f>
        <v/>
      </c>
      <c r="L2223">
        <f>AVERAGE(K2223:K2225)</f>
        <v/>
      </c>
      <c r="M2223">
        <f>STDEV(K2223:K2225)</f>
        <v/>
      </c>
      <c r="N2223">
        <f>_xlfn.CONCAT(ROUND(L2223,1)," ± ",ROUND(M2223,1))</f>
        <v/>
      </c>
    </row>
    <row r="2224">
      <c r="A2224" s="19" t="n">
        <v>36</v>
      </c>
      <c r="B2224" s="19" t="inlineStr">
        <is>
          <t>K3-2B</t>
        </is>
      </c>
      <c r="D2224" t="n">
        <v>15.56</v>
      </c>
      <c r="E2224" t="n">
        <v>17.257</v>
      </c>
      <c r="F2224" t="n">
        <v>830.495</v>
      </c>
      <c r="G2224" t="n">
        <v>127</v>
      </c>
      <c r="H2224">
        <f>E2224/F2224</f>
        <v/>
      </c>
      <c r="I2224">
        <f>((H2224-$J$2188)/$I$2188)</f>
        <v/>
      </c>
      <c r="J2224">
        <f>(I2224-IF(I2196&gt;0,I2196,0))</f>
        <v/>
      </c>
      <c r="K2224">
        <f>J2224/R2207*1.1</f>
        <v/>
      </c>
    </row>
    <row r="2225">
      <c r="A2225" s="19" t="n">
        <v>37</v>
      </c>
      <c r="B2225" s="19" t="inlineStr">
        <is>
          <t>K3-2C</t>
        </is>
      </c>
      <c r="D2225" t="n">
        <v>15.65</v>
      </c>
      <c r="E2225" t="n">
        <v>0.323</v>
      </c>
      <c r="F2225" t="n">
        <v>343.52</v>
      </c>
      <c r="G2225" t="n">
        <v>3</v>
      </c>
      <c r="H2225">
        <f>E2225/F2225</f>
        <v/>
      </c>
      <c r="I2225">
        <f>((H2225-$J$2188)/$I$2188)</f>
        <v/>
      </c>
      <c r="J2225">
        <f>(I2225-IF(I2196&gt;0,I2196,0))</f>
        <v/>
      </c>
      <c r="K2225">
        <f>J2225/R2208*1.1</f>
        <v/>
      </c>
      <c r="L2225" s="23" t="n"/>
      <c r="M2225" s="23" t="n"/>
      <c r="N2225" s="9" t="n"/>
    </row>
    <row r="2226">
      <c r="A2226" s="19" t="n">
        <v>38</v>
      </c>
      <c r="B2226" s="19" t="inlineStr">
        <is>
          <t>MeOH</t>
        </is>
      </c>
      <c r="L2226" s="23" t="inlineStr">
        <is>
          <t>Average</t>
        </is>
      </c>
      <c r="M2226" s="23" t="inlineStr">
        <is>
          <t>Stdev</t>
        </is>
      </c>
      <c r="N2226" s="9" t="inlineStr">
        <is>
          <t>Combined</t>
        </is>
      </c>
    </row>
    <row r="2227">
      <c r="A2227" s="19" t="n">
        <v>39</v>
      </c>
      <c r="B2227" s="19" t="inlineStr">
        <is>
          <t>K3-3A</t>
        </is>
      </c>
      <c r="D2227" t="n">
        <v>15.7</v>
      </c>
      <c r="E2227" t="n">
        <v>4.524</v>
      </c>
      <c r="F2227" t="n">
        <v>376.834</v>
      </c>
      <c r="G2227" t="n">
        <v>40</v>
      </c>
      <c r="H2227">
        <f>E2227/F2227</f>
        <v/>
      </c>
      <c r="I2227">
        <f>((H2227-$J$2188)/$I$2188)</f>
        <v/>
      </c>
      <c r="J2227">
        <f>(I2227-IF(I2196&gt;0,I2196,0))</f>
        <v/>
      </c>
      <c r="K2227">
        <f>J2227/R2209*1.1</f>
        <v/>
      </c>
      <c r="L2227">
        <f>AVERAGE(K2227:K2229)</f>
        <v/>
      </c>
      <c r="M2227">
        <f>STDEV(K2228:K2229)</f>
        <v/>
      </c>
      <c r="N2227">
        <f>_xlfn.CONCAT(ROUND(L2227,1)," ± ",ROUND(M2227,1))</f>
        <v/>
      </c>
    </row>
    <row r="2228">
      <c r="A2228" s="19" t="n">
        <v>40</v>
      </c>
      <c r="B2228" s="19" t="inlineStr">
        <is>
          <t>K3-3B</t>
        </is>
      </c>
      <c r="D2228" t="n">
        <v>15.71</v>
      </c>
      <c r="E2228" t="n">
        <v>80.789</v>
      </c>
      <c r="F2228" t="n">
        <v>559.133</v>
      </c>
      <c r="G2228" t="n">
        <v>2.75</v>
      </c>
      <c r="H2228">
        <f>E2228/F2228</f>
        <v/>
      </c>
      <c r="I2228">
        <f>((H2228-$J$2188)/$I$2188)</f>
        <v/>
      </c>
      <c r="J2228">
        <f>(I2228-IF(I2196&gt;0,I2196,0))</f>
        <v/>
      </c>
      <c r="K2228">
        <f>J2228/R2210*1.1</f>
        <v/>
      </c>
    </row>
    <row r="2229">
      <c r="A2229" s="19" t="n">
        <v>41</v>
      </c>
      <c r="B2229" s="19" t="inlineStr">
        <is>
          <t>K3-3C</t>
        </is>
      </c>
      <c r="F2229" t="n">
        <v>435.036</v>
      </c>
      <c r="H2229">
        <f>E2229/F2229</f>
        <v/>
      </c>
      <c r="I2229">
        <f>((H2229-$J$2188)/$I$2188)</f>
        <v/>
      </c>
      <c r="J2229">
        <f>(I2229-IF(I2196&gt;0,I2196,0))</f>
        <v/>
      </c>
      <c r="K2229">
        <f>J2229/R2211*1.1</f>
        <v/>
      </c>
      <c r="L2229" s="23" t="inlineStr">
        <is>
          <t>Average</t>
        </is>
      </c>
      <c r="M2229" s="23" t="inlineStr">
        <is>
          <t>Stdev</t>
        </is>
      </c>
      <c r="N2229" s="9" t="inlineStr">
        <is>
          <t>Combined</t>
        </is>
      </c>
    </row>
    <row r="2230">
      <c r="A2230" s="19" t="n">
        <v>42</v>
      </c>
      <c r="B2230" s="19" t="inlineStr">
        <is>
          <t>K3-4A</t>
        </is>
      </c>
      <c r="D2230" t="n">
        <v>15.67</v>
      </c>
      <c r="E2230" t="n">
        <v>27.5</v>
      </c>
      <c r="F2230" t="n">
        <v>337.222</v>
      </c>
      <c r="G2230" t="n">
        <v>2.401</v>
      </c>
      <c r="H2230">
        <f>E2230/F2230</f>
        <v/>
      </c>
      <c r="I2230">
        <f>((H2230-$J$2188)/$I$2188)</f>
        <v/>
      </c>
      <c r="J2230">
        <f>(I2230-IF(I2196&gt;0,I2196,0))</f>
        <v/>
      </c>
      <c r="K2230">
        <f>J2230/R2212*1.1</f>
        <v/>
      </c>
      <c r="L2230">
        <f>AVERAGE(K2230:K2232)</f>
        <v/>
      </c>
      <c r="M2230">
        <f>STDEV(K2230:K2232)</f>
        <v/>
      </c>
      <c r="N2230">
        <f>_xlfn.CONCAT(ROUND(L2230,1)," ± ",ROUND(M2230,1))</f>
        <v/>
      </c>
    </row>
    <row r="2231">
      <c r="A2231" s="19" t="n">
        <v>43</v>
      </c>
      <c r="B2231" s="19" t="inlineStr">
        <is>
          <t>K3-4B</t>
        </is>
      </c>
      <c r="D2231" t="n">
        <v>15.67</v>
      </c>
      <c r="E2231" t="n">
        <v>19.319</v>
      </c>
      <c r="F2231" t="n">
        <v>758.223</v>
      </c>
      <c r="G2231" t="n">
        <v>146</v>
      </c>
      <c r="H2231">
        <f>E2231/F2231</f>
        <v/>
      </c>
      <c r="I2231">
        <f>((H2231-$J$2188)/$I$2188)</f>
        <v/>
      </c>
      <c r="J2231">
        <f>(I2231-IF(I2196&gt;0,I2196,0))</f>
        <v/>
      </c>
      <c r="K2231">
        <f>J2231/R2213*1.1</f>
        <v/>
      </c>
    </row>
    <row r="2232">
      <c r="A2232" s="19" t="n">
        <v>44</v>
      </c>
      <c r="B2232" s="19" t="inlineStr">
        <is>
          <t>K3-4C</t>
        </is>
      </c>
      <c r="D2232" t="n">
        <v>15.76</v>
      </c>
      <c r="E2232" t="n">
        <v>151.365</v>
      </c>
      <c r="F2232" t="n">
        <v>427.126</v>
      </c>
      <c r="G2232" t="n">
        <v>3.369</v>
      </c>
      <c r="H2232">
        <f>E2232/F2232</f>
        <v/>
      </c>
      <c r="I2232">
        <f>((H2232-$J$2188)/$I$2188)</f>
        <v/>
      </c>
      <c r="J2232">
        <f>(I2232-IF(I2196&gt;0,I2196,0))</f>
        <v/>
      </c>
      <c r="K2232">
        <f>J2232/R2214*1.1</f>
        <v/>
      </c>
      <c r="L2232" s="23" t="n"/>
      <c r="M2232" s="23" t="n"/>
      <c r="N2232" s="9" t="n"/>
    </row>
    <row r="2233">
      <c r="A2233" s="19" t="n">
        <v>45</v>
      </c>
      <c r="B2233" s="19" t="inlineStr">
        <is>
          <t>MeOH</t>
        </is>
      </c>
      <c r="L2233" s="23" t="inlineStr">
        <is>
          <t>Average</t>
        </is>
      </c>
      <c r="M2233" s="23" t="inlineStr">
        <is>
          <t>Stdev</t>
        </is>
      </c>
      <c r="N2233" s="9" t="inlineStr">
        <is>
          <t>Combined</t>
        </is>
      </c>
    </row>
    <row r="2234">
      <c r="A2234" s="19" t="n">
        <v>46</v>
      </c>
      <c r="B2234" s="19" t="inlineStr">
        <is>
          <t>K3-6A</t>
        </is>
      </c>
      <c r="D2234" t="n">
        <v>15.71</v>
      </c>
      <c r="E2234" t="n">
        <v>168.934</v>
      </c>
      <c r="F2234" t="n">
        <v>793.353</v>
      </c>
      <c r="G2234" t="n">
        <v>816</v>
      </c>
      <c r="H2234">
        <f>E2234/F2234</f>
        <v/>
      </c>
      <c r="I2234">
        <f>((H2234-$J$2188)/$I$2188)</f>
        <v/>
      </c>
      <c r="J2234">
        <f>(I2234-IF(I2196&gt;0,I2196,0))</f>
        <v/>
      </c>
      <c r="K2234">
        <f>J2234/R2215*1.1</f>
        <v/>
      </c>
      <c r="L2234">
        <f>AVERAGE(K2234:K2236)</f>
        <v/>
      </c>
      <c r="M2234">
        <f>STDEV(K2235:K2236)</f>
        <v/>
      </c>
      <c r="N2234">
        <f>_xlfn.CONCAT(ROUND(L2234,1)," ± ",ROUND(M2234,1))</f>
        <v/>
      </c>
    </row>
    <row r="2235">
      <c r="A2235" s="19" t="n">
        <v>47</v>
      </c>
      <c r="B2235" s="19" t="inlineStr">
        <is>
          <t>K3-6B</t>
        </is>
      </c>
      <c r="D2235" t="n">
        <v>15.71</v>
      </c>
      <c r="E2235" t="n">
        <v>137.038</v>
      </c>
      <c r="F2235" t="n">
        <v>501.186</v>
      </c>
      <c r="G2235" t="n">
        <v>894</v>
      </c>
      <c r="H2235">
        <f>E2235/F2235</f>
        <v/>
      </c>
      <c r="I2235">
        <f>((H2235-$J$2188)/$I$2188)</f>
        <v/>
      </c>
      <c r="J2235">
        <f>(I2235-IF(I2196&gt;0,I2196,0))</f>
        <v/>
      </c>
      <c r="K2235">
        <f>J2235/R2216*1.1</f>
        <v/>
      </c>
    </row>
    <row r="2236">
      <c r="A2236" s="19" t="n">
        <v>48</v>
      </c>
      <c r="B2236" s="19" t="inlineStr">
        <is>
          <t>K3-6C</t>
        </is>
      </c>
      <c r="D2236" t="n">
        <v>15.7</v>
      </c>
      <c r="E2236" t="n">
        <v>45.067</v>
      </c>
      <c r="F2236" t="n">
        <v>295.29</v>
      </c>
      <c r="G2236" t="n">
        <v>3.848</v>
      </c>
      <c r="H2236">
        <f>E2236/F2236</f>
        <v/>
      </c>
      <c r="I2236">
        <f>((H2236-$J$2188)/$I$2188)</f>
        <v/>
      </c>
      <c r="J2236">
        <f>(I2236-IF(I2196&gt;0,I2196,0))</f>
        <v/>
      </c>
      <c r="K2236">
        <f>J2236/R2217*1.1</f>
        <v/>
      </c>
      <c r="L2236" s="23" t="n"/>
      <c r="M2236" s="23" t="n"/>
      <c r="N2236" s="9" t="n"/>
    </row>
    <row r="2238">
      <c r="A2238" s="15" t="inlineStr">
        <is>
          <t>Compound 118:  11Cl-PF3OUdS 1</t>
        </is>
      </c>
      <c r="B2238" s="15" t="n"/>
    </row>
    <row r="2239">
      <c r="I2239" t="inlineStr">
        <is>
          <t>LINEST</t>
        </is>
      </c>
      <c r="Q2239" t="inlineStr">
        <is>
          <t>Biosolids Masses</t>
        </is>
      </c>
      <c r="R2239" t="inlineStr">
        <is>
          <t>(g)</t>
        </is>
      </c>
    </row>
    <row r="2240">
      <c r="B2240" t="inlineStr">
        <is>
          <t>Sample Text</t>
        </is>
      </c>
      <c r="C2240" t="inlineStr">
        <is>
          <t>Std. Conc</t>
        </is>
      </c>
      <c r="D2240" t="inlineStr">
        <is>
          <t>RT</t>
        </is>
      </c>
      <c r="E2240" t="inlineStr">
        <is>
          <t>Area</t>
        </is>
      </c>
      <c r="F2240" t="inlineStr">
        <is>
          <t>IS Area</t>
        </is>
      </c>
      <c r="G2240" t="inlineStr">
        <is>
          <t>S/N</t>
        </is>
      </c>
      <c r="H2240" t="inlineStr">
        <is>
          <t>ratio</t>
        </is>
      </c>
      <c r="I2240">
        <f t="array" ref="I2240:J2244">LINEST(H2241:H2248,C2241:C2248,1,1)</f>
        <v/>
      </c>
      <c r="J2240" t="n">
        <v>7.54898667340413</v>
      </c>
      <c r="L2240" s="20" t="inlineStr">
        <is>
          <t>By S/N Ratio</t>
        </is>
      </c>
      <c r="Q2240" t="inlineStr">
        <is>
          <t>SS1</t>
        </is>
      </c>
      <c r="R2240" t="n">
        <v>1.0846</v>
      </c>
    </row>
    <row r="2241">
      <c r="A2241" t="n">
        <v>1</v>
      </c>
      <c r="B2241" t="inlineStr">
        <is>
          <t>EPA1633 &amp; diPAPs Calibration 0 ppb</t>
        </is>
      </c>
      <c r="C2241" t="n">
        <v>0</v>
      </c>
      <c r="D2241" t="n">
        <v>15.17</v>
      </c>
      <c r="E2241" t="n">
        <v>3736.617</v>
      </c>
      <c r="F2241" t="n">
        <v>1699.565</v>
      </c>
      <c r="G2241" t="n">
        <v>292.255</v>
      </c>
      <c r="H2241">
        <f>E2241/F2241</f>
        <v/>
      </c>
      <c r="I2241" t="n">
        <v>0.3047956488435327</v>
      </c>
      <c r="J2241" t="n">
        <v>9.887510715990848</v>
      </c>
      <c r="K2241" t="inlineStr">
        <is>
          <t>LOD</t>
        </is>
      </c>
      <c r="L2241" s="21">
        <f>IF(G2244&gt;3,C2244,IF(G2245&gt;3,C2245,IF(G2246&gt;3,C2246,IF(G2247&gt;3,C2247,C2248))))</f>
        <v/>
      </c>
      <c r="Q2241" t="inlineStr">
        <is>
          <t>SS2</t>
        </is>
      </c>
      <c r="R2241" t="n">
        <v>1.0726</v>
      </c>
    </row>
    <row r="2242">
      <c r="A2242" t="n">
        <v>2</v>
      </c>
      <c r="B2242" t="inlineStr">
        <is>
          <t>EPA1633 &amp; diPAPs Calibration 0.02 ppb</t>
        </is>
      </c>
      <c r="C2242" t="n">
        <v>0.08</v>
      </c>
      <c r="D2242" t="n">
        <v>15.19</v>
      </c>
      <c r="E2242" t="n">
        <v>4584.715</v>
      </c>
      <c r="F2242" t="n">
        <v>1218.852</v>
      </c>
      <c r="G2242" t="n">
        <v>32503</v>
      </c>
      <c r="H2242">
        <f>E2242/F2242</f>
        <v/>
      </c>
      <c r="I2242" t="n">
        <v>0.9951067980116699</v>
      </c>
      <c r="J2242" t="n">
        <v>23.1148982083245</v>
      </c>
      <c r="K2242" t="inlineStr">
        <is>
          <t>LOQ</t>
        </is>
      </c>
      <c r="L2242" s="22">
        <f>IF(G2244&gt;10,C2244,IF(G2245&gt;10,C2245,IF(G2246&gt;10,C2246,IF(G2247&gt;10,C2247,C2248))))</f>
        <v/>
      </c>
      <c r="Q2242" t="inlineStr">
        <is>
          <t>SS3</t>
        </is>
      </c>
      <c r="R2242" t="n">
        <v>1.1534</v>
      </c>
    </row>
    <row r="2243">
      <c r="A2243" t="n">
        <v>3</v>
      </c>
      <c r="B2243" t="inlineStr">
        <is>
          <t>EPA1633 &amp; diPAPs Calibration 0.1 ppb</t>
        </is>
      </c>
      <c r="C2243" t="n">
        <v>0.4</v>
      </c>
      <c r="D2243" t="n">
        <v>15.19</v>
      </c>
      <c r="E2243" t="n">
        <v>9262.210999999999</v>
      </c>
      <c r="F2243" t="n">
        <v>1578.659</v>
      </c>
      <c r="G2243" t="n">
        <v>66728</v>
      </c>
      <c r="H2243">
        <f>E2243/F2243</f>
        <v/>
      </c>
      <c r="I2243" t="n">
        <v>1220.190951101051</v>
      </c>
      <c r="J2243" t="n">
        <v>6</v>
      </c>
      <c r="Q2243" t="inlineStr">
        <is>
          <t>K4-1A</t>
        </is>
      </c>
      <c r="R2243" t="n">
        <v>1.0267</v>
      </c>
    </row>
    <row r="2244">
      <c r="A2244" t="n">
        <v>4</v>
      </c>
      <c r="B2244" t="inlineStr">
        <is>
          <t>EPA1633 &amp; diPAPs Calibration 0.4 ppb</t>
        </is>
      </c>
      <c r="C2244" t="n">
        <v>1.6</v>
      </c>
      <c r="D2244" t="n">
        <v>15.2</v>
      </c>
      <c r="E2244" t="n">
        <v>27300.711</v>
      </c>
      <c r="F2244" t="n">
        <v>1176.884</v>
      </c>
      <c r="G2244" t="n">
        <v>1288.806</v>
      </c>
      <c r="H2244">
        <f>E2244/F2244</f>
        <v/>
      </c>
      <c r="I2244" t="n">
        <v>651946.2182915955</v>
      </c>
      <c r="J2244" t="n">
        <v>3205.79111508722</v>
      </c>
      <c r="Q2244" t="inlineStr">
        <is>
          <t>K4-1B</t>
        </is>
      </c>
      <c r="R2244" t="n">
        <v>1.1481</v>
      </c>
    </row>
    <row r="2245">
      <c r="A2245" t="n">
        <v>5</v>
      </c>
      <c r="B2245" t="inlineStr">
        <is>
          <t>EPA1633 &amp; diPAPs Calibration 1 ppb</t>
        </is>
      </c>
      <c r="C2245" t="n">
        <v>4</v>
      </c>
      <c r="D2245" t="n">
        <v>15.17</v>
      </c>
      <c r="E2245" t="n">
        <v>46589.152</v>
      </c>
      <c r="F2245" t="n">
        <v>1460.092</v>
      </c>
      <c r="G2245" t="n">
        <v>529.104</v>
      </c>
      <c r="H2245">
        <f>E2245/F2245</f>
        <v/>
      </c>
      <c r="Q2245" t="inlineStr">
        <is>
          <t>K4-1C</t>
        </is>
      </c>
      <c r="R2245" t="n">
        <v>1.0402</v>
      </c>
    </row>
    <row r="2246">
      <c r="A2246" t="n">
        <v>6</v>
      </c>
      <c r="B2246" t="inlineStr">
        <is>
          <t>EPA1633 &amp; diPAPs Calibration 5 ppb</t>
        </is>
      </c>
      <c r="C2246" t="n">
        <v>20</v>
      </c>
      <c r="D2246" t="n">
        <v>15.14</v>
      </c>
      <c r="E2246" t="n">
        <v>207353.031</v>
      </c>
      <c r="F2246" t="n">
        <v>762.21</v>
      </c>
      <c r="G2246" t="n">
        <v>5015.203</v>
      </c>
      <c r="H2246">
        <f>E2246/F2246</f>
        <v/>
      </c>
      <c r="Q2246" t="inlineStr">
        <is>
          <t>K4-2A</t>
        </is>
      </c>
      <c r="R2246" t="n">
        <v>1.127</v>
      </c>
    </row>
    <row r="2247">
      <c r="A2247" t="n">
        <v>7</v>
      </c>
      <c r="B2247" t="inlineStr">
        <is>
          <t>EPA1633 &amp; diPAPs Calibration 10 ppb</t>
        </is>
      </c>
      <c r="C2247" t="n">
        <v>40</v>
      </c>
      <c r="D2247" t="n">
        <v>15.16</v>
      </c>
      <c r="E2247" t="n">
        <v>363562.125</v>
      </c>
      <c r="F2247" t="n">
        <v>854.968</v>
      </c>
      <c r="G2247" t="n">
        <v>6343.298</v>
      </c>
      <c r="H2247">
        <f>E2247/F2247</f>
        <v/>
      </c>
      <c r="I2247" s="23" t="inlineStr">
        <is>
          <t>Background</t>
        </is>
      </c>
      <c r="J2247" s="23" t="inlineStr">
        <is>
          <t>Spike</t>
        </is>
      </c>
      <c r="K2247" s="9" t="inlineStr">
        <is>
          <t>Old Spike</t>
        </is>
      </c>
      <c r="O2247" s="24" t="inlineStr">
        <is>
          <t>±</t>
        </is>
      </c>
      <c r="Q2247" t="inlineStr">
        <is>
          <t>K4-2B</t>
        </is>
      </c>
      <c r="R2247" t="n">
        <v>1.1154</v>
      </c>
    </row>
    <row r="2248">
      <c r="A2248" t="n">
        <v>8</v>
      </c>
      <c r="B2248" t="inlineStr">
        <is>
          <t>EPA1633 &amp; diPAPs Calibration 20 ppb</t>
        </is>
      </c>
      <c r="C2248" t="n">
        <v>80</v>
      </c>
      <c r="D2248" t="n">
        <v>15.17</v>
      </c>
      <c r="E2248" t="n">
        <v>724200.375</v>
      </c>
      <c r="F2248" t="n">
        <v>850.52</v>
      </c>
      <c r="G2248" t="n">
        <v>4563.527</v>
      </c>
      <c r="H2248">
        <f>E2248/F2248</f>
        <v/>
      </c>
      <c r="I2248">
        <f>AVERAGE(I2251:I2253)</f>
        <v/>
      </c>
      <c r="J2248" t="n">
        <v>44</v>
      </c>
      <c r="Q2248" t="inlineStr">
        <is>
          <t>K4-2C</t>
        </is>
      </c>
      <c r="R2248" t="n">
        <v>1.1711</v>
      </c>
    </row>
    <row r="2249">
      <c r="A2249" t="n">
        <v>9</v>
      </c>
      <c r="B2249" t="inlineStr">
        <is>
          <t>MeOH</t>
        </is>
      </c>
      <c r="D2249" t="n">
        <v>15.19</v>
      </c>
      <c r="E2249" t="n">
        <v>2195.667</v>
      </c>
      <c r="G2249" t="n">
        <v>102.893</v>
      </c>
      <c r="I2249" s="23" t="inlineStr">
        <is>
          <t>Conc.In Vial (ppb)</t>
        </is>
      </c>
      <c r="J2249" s="9" t="inlineStr">
        <is>
          <t>Corr. Conc.(ppb)</t>
        </is>
      </c>
      <c r="K2249" s="9" t="inlineStr">
        <is>
          <t>Conc. In soil (ng/g)</t>
        </is>
      </c>
      <c r="Q2249" t="inlineStr">
        <is>
          <t>K4-4A</t>
        </is>
      </c>
      <c r="R2249" t="n">
        <v>1.0932</v>
      </c>
    </row>
    <row r="2250">
      <c r="A2250" t="n">
        <v>10</v>
      </c>
      <c r="B2250" t="inlineStr">
        <is>
          <t>MeOH</t>
        </is>
      </c>
      <c r="D2250" t="n">
        <v>15.2</v>
      </c>
      <c r="E2250" t="n">
        <v>1325.172</v>
      </c>
      <c r="G2250" t="n">
        <v>342.395</v>
      </c>
      <c r="L2250" s="23" t="inlineStr">
        <is>
          <t>Average</t>
        </is>
      </c>
      <c r="M2250" s="23" t="inlineStr">
        <is>
          <t>Stdev</t>
        </is>
      </c>
      <c r="N2250" s="9" t="inlineStr">
        <is>
          <t>Combined</t>
        </is>
      </c>
      <c r="O2250" s="9" t="n"/>
      <c r="P2250" s="9" t="n"/>
      <c r="Q2250" t="inlineStr">
        <is>
          <t>K4-4B</t>
        </is>
      </c>
      <c r="R2250" t="n">
        <v>1.15</v>
      </c>
    </row>
    <row r="2251">
      <c r="A2251" t="n">
        <v>11</v>
      </c>
      <c r="B2251" t="inlineStr">
        <is>
          <t>SB1</t>
        </is>
      </c>
      <c r="D2251" t="n">
        <v>15.2</v>
      </c>
      <c r="E2251" t="n">
        <v>587.954</v>
      </c>
      <c r="F2251" t="n">
        <v>280.929</v>
      </c>
      <c r="G2251" t="n">
        <v>4367</v>
      </c>
      <c r="H2251">
        <f>E2251/F2251</f>
        <v/>
      </c>
      <c r="I2251">
        <f>((H2251-$J$2240)/$I$2240)</f>
        <v/>
      </c>
      <c r="J2251">
        <f>(I2251-IF(I2248&gt;0,I2248,0))</f>
        <v/>
      </c>
      <c r="K2251">
        <f>J2251*1.1</f>
        <v/>
      </c>
      <c r="L2251">
        <f>AVERAGE(K2251:K2253)</f>
        <v/>
      </c>
      <c r="M2251">
        <f>STDEV(K2252:K2253)</f>
        <v/>
      </c>
      <c r="N2251">
        <f>_xlfn.CONCAT(ROUND(L2251,1)," ± ",ROUND(M2251,1))</f>
        <v/>
      </c>
      <c r="Q2251" t="inlineStr">
        <is>
          <t>K4-4C</t>
        </is>
      </c>
      <c r="R2251" t="n">
        <v>1.0482</v>
      </c>
    </row>
    <row r="2252">
      <c r="A2252" t="n">
        <v>12</v>
      </c>
      <c r="B2252" t="inlineStr">
        <is>
          <t>SB2</t>
        </is>
      </c>
      <c r="D2252" t="n">
        <v>15.23</v>
      </c>
      <c r="E2252" t="n">
        <v>184.002</v>
      </c>
      <c r="F2252" t="n">
        <v>232.082</v>
      </c>
      <c r="G2252" t="n">
        <v>1458</v>
      </c>
      <c r="H2252">
        <f>E2252/F2252</f>
        <v/>
      </c>
      <c r="I2252">
        <f>((H2252-$J$2240)/$I$2240)</f>
        <v/>
      </c>
      <c r="J2252">
        <f>(I2252-IF(I2248&gt;0,I2248,0))</f>
        <v/>
      </c>
      <c r="K2252">
        <f>J2252*1.1</f>
        <v/>
      </c>
      <c r="Q2252" t="inlineStr">
        <is>
          <t>K4-5A</t>
        </is>
      </c>
      <c r="R2252" t="n">
        <v>1.1054</v>
      </c>
    </row>
    <row r="2253">
      <c r="A2253" t="n">
        <v>13</v>
      </c>
      <c r="B2253" t="inlineStr">
        <is>
          <t>SB3</t>
        </is>
      </c>
      <c r="D2253" t="n">
        <v>15.22</v>
      </c>
      <c r="E2253" t="n">
        <v>68.619</v>
      </c>
      <c r="F2253" t="n">
        <v>402.233</v>
      </c>
      <c r="G2253" t="n">
        <v>1.77</v>
      </c>
      <c r="H2253">
        <f>E2253/F2253</f>
        <v/>
      </c>
      <c r="I2253">
        <f>((H2253-$J$2240)/$I$2240)</f>
        <v/>
      </c>
      <c r="J2253">
        <f>(I2253-IF(I2248&gt;0,I2248,0))</f>
        <v/>
      </c>
      <c r="K2253" s="30">
        <f>J2253*1.1</f>
        <v/>
      </c>
      <c r="L2253" s="25" t="inlineStr">
        <is>
          <t>Average</t>
        </is>
      </c>
      <c r="M2253" s="25" t="inlineStr">
        <is>
          <t>Stdev</t>
        </is>
      </c>
      <c r="N2253" s="26" t="inlineStr">
        <is>
          <t>%Recovery</t>
        </is>
      </c>
      <c r="O2253" s="26" t="inlineStr">
        <is>
          <t>Uncertainty</t>
        </is>
      </c>
      <c r="P2253" s="26" t="inlineStr">
        <is>
          <t>Combined</t>
        </is>
      </c>
      <c r="Q2253" t="inlineStr">
        <is>
          <t>K4-5B</t>
        </is>
      </c>
      <c r="R2253" s="10" t="n">
        <v>1.0463</v>
      </c>
    </row>
    <row r="2254">
      <c r="A2254" t="n">
        <v>14</v>
      </c>
      <c r="B2254" t="inlineStr">
        <is>
          <t>SS1</t>
        </is>
      </c>
      <c r="D2254" t="n">
        <v>15.23</v>
      </c>
      <c r="E2254" t="n">
        <v>136825.422</v>
      </c>
      <c r="F2254" t="n">
        <v>226.458</v>
      </c>
      <c r="G2254" t="n">
        <v>928930</v>
      </c>
      <c r="H2254">
        <f>E2254/F2254</f>
        <v/>
      </c>
      <c r="I2254">
        <f>((H2254-$J$2240)/$I$2240)</f>
        <v/>
      </c>
      <c r="J2254">
        <f>(I2254-IF(I2248&gt;0,I2248,0))</f>
        <v/>
      </c>
      <c r="K2254">
        <f>J2254/R2240*1.1</f>
        <v/>
      </c>
      <c r="L2254" s="27">
        <f>AVERAGE(K2254:K2256)</f>
        <v/>
      </c>
      <c r="M2254" s="27">
        <f>STDEV(K2254:K2256)</f>
        <v/>
      </c>
      <c r="N2254" s="28">
        <f>L2254/J2248*100</f>
        <v/>
      </c>
      <c r="O2254" s="29">
        <f>M2254/J2251*100</f>
        <v/>
      </c>
      <c r="P2254" s="29">
        <f>_xlfn.CONCAT(ROUND(N2254,1)," ± ",ROUND(O2254,1))</f>
        <v/>
      </c>
      <c r="Q2254" t="inlineStr">
        <is>
          <t>K4-5C</t>
        </is>
      </c>
      <c r="R2254" t="n">
        <v>1.1155</v>
      </c>
    </row>
    <row r="2255">
      <c r="A2255" t="n">
        <v>15</v>
      </c>
      <c r="B2255" t="inlineStr">
        <is>
          <t>SS2</t>
        </is>
      </c>
      <c r="D2255" t="n">
        <v>15.25</v>
      </c>
      <c r="E2255" t="n">
        <v>140776.094</v>
      </c>
      <c r="F2255" t="n">
        <v>147.337</v>
      </c>
      <c r="G2255" t="n">
        <v>1392.415</v>
      </c>
      <c r="H2255">
        <f>E2255/F2255</f>
        <v/>
      </c>
      <c r="I2255">
        <f>((H2255-$J$2240)/$I$2240)</f>
        <v/>
      </c>
      <c r="J2255">
        <f>(I2255-IF(I2248&gt;0,I2248,0))</f>
        <v/>
      </c>
      <c r="K2255">
        <f>J2255/R2241*1.1</f>
        <v/>
      </c>
      <c r="Q2255" t="inlineStr">
        <is>
          <t>K3-1A</t>
        </is>
      </c>
      <c r="R2255" t="n">
        <v>1.0874</v>
      </c>
    </row>
    <row r="2256">
      <c r="A2256" t="n">
        <v>16</v>
      </c>
      <c r="B2256" t="inlineStr">
        <is>
          <t>SS3</t>
        </is>
      </c>
      <c r="D2256" t="n">
        <v>15.25</v>
      </c>
      <c r="E2256" t="n">
        <v>134448.844</v>
      </c>
      <c r="F2256" t="n">
        <v>151.755</v>
      </c>
      <c r="G2256" t="n">
        <v>2702.157</v>
      </c>
      <c r="H2256">
        <f>E2256/F2256</f>
        <v/>
      </c>
      <c r="I2256">
        <f>((H2256-$J$2240)/$I$2240)</f>
        <v/>
      </c>
      <c r="J2256">
        <f>(I2256-IF(I2248&gt;0,I2248,0))</f>
        <v/>
      </c>
      <c r="K2256" s="30">
        <f>J2256/R2242*1.1</f>
        <v/>
      </c>
      <c r="Q2256" t="inlineStr">
        <is>
          <t>K3-1B</t>
        </is>
      </c>
      <c r="R2256" t="n">
        <v>1.0898</v>
      </c>
    </row>
    <row r="2257">
      <c r="A2257" s="19" t="n">
        <v>17</v>
      </c>
      <c r="B2257" s="19" t="inlineStr">
        <is>
          <t>MeOH</t>
        </is>
      </c>
      <c r="L2257" s="23" t="inlineStr">
        <is>
          <t>Average</t>
        </is>
      </c>
      <c r="M2257" s="23" t="inlineStr">
        <is>
          <t>Stdev</t>
        </is>
      </c>
      <c r="N2257" s="9" t="inlineStr">
        <is>
          <t>Combined</t>
        </is>
      </c>
      <c r="Q2257" t="inlineStr">
        <is>
          <t>K3-1C</t>
        </is>
      </c>
      <c r="R2257" t="n">
        <v>1.0536</v>
      </c>
    </row>
    <row r="2258">
      <c r="A2258" s="19" t="n">
        <v>18</v>
      </c>
      <c r="B2258" s="19" t="inlineStr">
        <is>
          <t>K4-1A</t>
        </is>
      </c>
      <c r="D2258" t="n">
        <v>15.26</v>
      </c>
      <c r="E2258" t="n">
        <v>252.006</v>
      </c>
      <c r="F2258" t="n">
        <v>475.929</v>
      </c>
      <c r="G2258" t="n">
        <v>1802</v>
      </c>
      <c r="H2258">
        <f>E2258/F2258</f>
        <v/>
      </c>
      <c r="I2258">
        <f>((H2258-$J$2240)/$I$2240)</f>
        <v/>
      </c>
      <c r="J2258">
        <f>(I2258-IF(I2248&gt;0,I2248,0))</f>
        <v/>
      </c>
      <c r="K2258">
        <f>J2258/R2243*1.1</f>
        <v/>
      </c>
      <c r="L2258">
        <f>AVERAGE(K2258:K2260)</f>
        <v/>
      </c>
      <c r="M2258">
        <f>STDEV(K2259:K2260)</f>
        <v/>
      </c>
      <c r="N2258">
        <f>_xlfn.CONCAT(ROUND(L2258,1)," ± ",ROUND(M2258,1))</f>
        <v/>
      </c>
      <c r="Q2258" t="inlineStr">
        <is>
          <t>K3-2A</t>
        </is>
      </c>
      <c r="R2258" s="10" t="n">
        <v>1.1218</v>
      </c>
    </row>
    <row r="2259">
      <c r="A2259" s="19" t="n">
        <v>19</v>
      </c>
      <c r="B2259" s="19" t="inlineStr">
        <is>
          <t>K4-1B</t>
        </is>
      </c>
      <c r="D2259" t="n">
        <v>15.25</v>
      </c>
      <c r="E2259" t="n">
        <v>109.001</v>
      </c>
      <c r="F2259" t="n">
        <v>630.044</v>
      </c>
      <c r="G2259" t="n">
        <v>704</v>
      </c>
      <c r="H2259">
        <f>E2259/F2259</f>
        <v/>
      </c>
      <c r="I2259">
        <f>((H2259-$J$2240)/$I$2240)</f>
        <v/>
      </c>
      <c r="J2259">
        <f>(I2259-IF(I2248&gt;0,I2248,0))</f>
        <v/>
      </c>
      <c r="K2259">
        <f>J2259/R2244*1.1</f>
        <v/>
      </c>
      <c r="Q2259" t="inlineStr">
        <is>
          <t>K3-2B</t>
        </is>
      </c>
      <c r="R2259" t="n">
        <v>1.198</v>
      </c>
    </row>
    <row r="2260">
      <c r="A2260" s="19" t="n">
        <v>20</v>
      </c>
      <c r="B2260" s="19" t="inlineStr">
        <is>
          <t>K4-1C</t>
        </is>
      </c>
      <c r="D2260" t="n">
        <v>15.27</v>
      </c>
      <c r="E2260" t="n">
        <v>9.635999999999999</v>
      </c>
      <c r="F2260" t="n">
        <v>602.215</v>
      </c>
      <c r="G2260" t="n">
        <v>2.922</v>
      </c>
      <c r="H2260">
        <f>E2260/F2260</f>
        <v/>
      </c>
      <c r="I2260">
        <f>((H2260-$J$2240)/$I$2240)</f>
        <v/>
      </c>
      <c r="J2260">
        <f>(I2260-IF(I2248&gt;0,I2248,0))</f>
        <v/>
      </c>
      <c r="K2260">
        <f>J2260/R2245*1.1</f>
        <v/>
      </c>
      <c r="L2260" s="23" t="inlineStr">
        <is>
          <t>Average</t>
        </is>
      </c>
      <c r="M2260" s="23" t="inlineStr">
        <is>
          <t>Stdev</t>
        </is>
      </c>
      <c r="N2260" s="9" t="inlineStr">
        <is>
          <t>Combined</t>
        </is>
      </c>
      <c r="Q2260" t="inlineStr">
        <is>
          <t>K3-2C</t>
        </is>
      </c>
      <c r="R2260" t="n">
        <v>1.1538</v>
      </c>
    </row>
    <row r="2261">
      <c r="A2261" s="19" t="n">
        <v>21</v>
      </c>
      <c r="B2261" s="19" t="inlineStr">
        <is>
          <t>K4-2A</t>
        </is>
      </c>
      <c r="F2261" t="n">
        <v>216.774</v>
      </c>
      <c r="H2261">
        <f>E2261/F2261</f>
        <v/>
      </c>
      <c r="I2261">
        <f>((H2261-$J$2240)/$I$2240)</f>
        <v/>
      </c>
      <c r="J2261">
        <f>(I2261-IF(I2248&gt;0,I2248,0))</f>
        <v/>
      </c>
      <c r="K2261">
        <f>J2261/R2246*1.1</f>
        <v/>
      </c>
      <c r="L2261">
        <f>AVERAGE(K2261:K2263)</f>
        <v/>
      </c>
      <c r="M2261">
        <f>STDEV(K2261:K2263)</f>
        <v/>
      </c>
      <c r="N2261">
        <f>_xlfn.CONCAT(ROUND(L2261,1)," ± ",ROUND(M2261,1))</f>
        <v/>
      </c>
      <c r="Q2261" t="inlineStr">
        <is>
          <t>K3-3A</t>
        </is>
      </c>
      <c r="R2261" t="n">
        <v>1.1183</v>
      </c>
    </row>
    <row r="2262">
      <c r="A2262" s="19" t="n">
        <v>22</v>
      </c>
      <c r="B2262" s="19" t="inlineStr">
        <is>
          <t>K4-2B</t>
        </is>
      </c>
      <c r="F2262" t="n">
        <v>492.326</v>
      </c>
      <c r="H2262">
        <f>E2262/F2262</f>
        <v/>
      </c>
      <c r="I2262">
        <f>((H2262-$J$2240)/$I$2240)</f>
        <v/>
      </c>
      <c r="J2262">
        <f>(I2262-IF(I2248&gt;0,I2248,0))</f>
        <v/>
      </c>
      <c r="K2262">
        <f>J2262/R2247*1.1</f>
        <v/>
      </c>
      <c r="Q2262" t="inlineStr">
        <is>
          <t>K3-3B</t>
        </is>
      </c>
      <c r="R2262" t="n">
        <v>1.1448</v>
      </c>
    </row>
    <row r="2263">
      <c r="A2263" s="19" t="n">
        <v>23</v>
      </c>
      <c r="B2263" s="19" t="inlineStr">
        <is>
          <t>K4-2C</t>
        </is>
      </c>
      <c r="F2263" t="n">
        <v>145.292</v>
      </c>
      <c r="H2263">
        <f>E2263/F2263</f>
        <v/>
      </c>
      <c r="I2263">
        <f>((H2263-$J$2240)/$I$2240)</f>
        <v/>
      </c>
      <c r="J2263">
        <f>(I2263-IF(I2248&gt;0,I2248,0))</f>
        <v/>
      </c>
      <c r="K2263">
        <f>J2263/R2248*1.1</f>
        <v/>
      </c>
      <c r="L2263" s="23" t="n"/>
      <c r="M2263" s="23" t="n"/>
      <c r="N2263" s="9" t="n"/>
      <c r="Q2263" t="inlineStr">
        <is>
          <t>K3-3C</t>
        </is>
      </c>
      <c r="R2263" t="n">
        <v>1.0493</v>
      </c>
    </row>
    <row r="2264">
      <c r="A2264" s="19" t="n">
        <v>24</v>
      </c>
      <c r="B2264" s="19" t="inlineStr">
        <is>
          <t>MeOH</t>
        </is>
      </c>
      <c r="L2264" s="23" t="inlineStr">
        <is>
          <t>Average</t>
        </is>
      </c>
      <c r="M2264" s="23" t="inlineStr">
        <is>
          <t>Stdev</t>
        </is>
      </c>
      <c r="N2264" s="9" t="inlineStr">
        <is>
          <t>Combined</t>
        </is>
      </c>
      <c r="Q2264" t="inlineStr">
        <is>
          <t>K3-4A</t>
        </is>
      </c>
      <c r="R2264" t="n">
        <v>1.0704</v>
      </c>
    </row>
    <row r="2265">
      <c r="A2265" s="19" t="n">
        <v>25</v>
      </c>
      <c r="B2265" s="19" t="inlineStr">
        <is>
          <t>K4-4A</t>
        </is>
      </c>
      <c r="F2265" t="n">
        <v>255.18</v>
      </c>
      <c r="H2265">
        <f>E2265/F2265</f>
        <v/>
      </c>
      <c r="I2265">
        <f>((H2265-$J$2240)/$I$2240)</f>
        <v/>
      </c>
      <c r="J2265">
        <f>(I2265-IF(I2248&gt;0,I2248,0))</f>
        <v/>
      </c>
      <c r="K2265">
        <f>J2265/R2249*1.1</f>
        <v/>
      </c>
      <c r="L2265">
        <f>AVERAGE(K2265:K2267)</f>
        <v/>
      </c>
      <c r="M2265">
        <f>STDEV(K2266:K2267)</f>
        <v/>
      </c>
      <c r="N2265">
        <f>_xlfn.CONCAT(ROUND(L2265,1)," ± ",ROUND(M2265,1))</f>
        <v/>
      </c>
      <c r="Q2265" t="inlineStr">
        <is>
          <t>K3-4B</t>
        </is>
      </c>
      <c r="R2265" t="n">
        <v>1.1589</v>
      </c>
    </row>
    <row r="2266">
      <c r="A2266" s="19" t="n">
        <v>26</v>
      </c>
      <c r="B2266" s="19" t="inlineStr">
        <is>
          <t>K4-4B</t>
        </is>
      </c>
      <c r="D2266" t="n">
        <v>15.32</v>
      </c>
      <c r="E2266" t="n">
        <v>4.829</v>
      </c>
      <c r="F2266" t="n">
        <v>423.729</v>
      </c>
      <c r="G2266" t="n">
        <v>39</v>
      </c>
      <c r="H2266">
        <f>E2266/F2266</f>
        <v/>
      </c>
      <c r="I2266">
        <f>((H2266-$J$2240)/$I$2240)</f>
        <v/>
      </c>
      <c r="J2266">
        <f>(I2266-IF(I2248&gt;0,I2248,0))</f>
        <v/>
      </c>
      <c r="K2266">
        <f>J2266/R2250*1.1</f>
        <v/>
      </c>
      <c r="Q2266" t="inlineStr">
        <is>
          <t>K3-4C</t>
        </is>
      </c>
      <c r="R2266" t="n">
        <v>1.0206</v>
      </c>
    </row>
    <row r="2267">
      <c r="A2267" s="19" t="n">
        <v>27</v>
      </c>
      <c r="B2267" s="19" t="inlineStr">
        <is>
          <t>K4-4C</t>
        </is>
      </c>
      <c r="D2267" t="n">
        <v>15.28</v>
      </c>
      <c r="E2267" t="n">
        <v>27.681</v>
      </c>
      <c r="F2267" t="n">
        <v>428.353</v>
      </c>
      <c r="G2267" t="n">
        <v>213</v>
      </c>
      <c r="H2267">
        <f>E2267/F2267</f>
        <v/>
      </c>
      <c r="I2267">
        <f>((H2267-$J$2240)/$I$2240)</f>
        <v/>
      </c>
      <c r="J2267">
        <f>(I2267-IF(I2248&gt;0,I2248,0))</f>
        <v/>
      </c>
      <c r="K2267">
        <f>J2267/R2251*1.1</f>
        <v/>
      </c>
      <c r="L2267" s="23" t="inlineStr">
        <is>
          <t>Average</t>
        </is>
      </c>
      <c r="M2267" s="23" t="inlineStr">
        <is>
          <t>Stdev</t>
        </is>
      </c>
      <c r="N2267" s="9" t="inlineStr">
        <is>
          <t>Combined</t>
        </is>
      </c>
      <c r="Q2267" t="inlineStr">
        <is>
          <t>K3-6A</t>
        </is>
      </c>
      <c r="R2267" t="n">
        <v>1.1289</v>
      </c>
    </row>
    <row r="2268">
      <c r="A2268" s="19" t="n">
        <v>28</v>
      </c>
      <c r="B2268" s="19" t="inlineStr">
        <is>
          <t>K4-5A</t>
        </is>
      </c>
      <c r="D2268" t="n">
        <v>15.28</v>
      </c>
      <c r="E2268" t="n">
        <v>55.259</v>
      </c>
      <c r="F2268" t="n">
        <v>314.929</v>
      </c>
      <c r="G2268" t="n">
        <v>2.898</v>
      </c>
      <c r="H2268">
        <f>E2268/F2268</f>
        <v/>
      </c>
      <c r="I2268">
        <f>((H2268-$J$2240)/$I$2240)</f>
        <v/>
      </c>
      <c r="J2268">
        <f>(I2268-IF(I2248&gt;0,I2248,0))</f>
        <v/>
      </c>
      <c r="K2268">
        <f>J2268/R2252*1.1</f>
        <v/>
      </c>
      <c r="L2268">
        <f>AVERAGE(K2268:K2270)</f>
        <v/>
      </c>
      <c r="M2268">
        <f>STDEV(K2268:K2270)</f>
        <v/>
      </c>
      <c r="N2268">
        <f>_xlfn.CONCAT(ROUND(L2268,1)," ± ",ROUND(M2268,1))</f>
        <v/>
      </c>
      <c r="Q2268" t="inlineStr">
        <is>
          <t>K3-6B</t>
        </is>
      </c>
      <c r="R2268" t="n">
        <v>1.195</v>
      </c>
    </row>
    <row r="2269">
      <c r="A2269" s="19" t="n">
        <v>29</v>
      </c>
      <c r="B2269" s="19" t="inlineStr">
        <is>
          <t>K4-5B</t>
        </is>
      </c>
      <c r="F2269" t="n">
        <v>115.724</v>
      </c>
      <c r="H2269">
        <f>E2269/F2269</f>
        <v/>
      </c>
      <c r="I2269">
        <f>((H2269-$J$2240)/$I$2240)</f>
        <v/>
      </c>
      <c r="J2269">
        <f>(I2269-IF(I2248&gt;0,I2248,0))</f>
        <v/>
      </c>
      <c r="K2269">
        <f>J2269/R2253*1.1</f>
        <v/>
      </c>
      <c r="Q2269" t="inlineStr">
        <is>
          <t>K3-6C</t>
        </is>
      </c>
      <c r="R2269" t="n">
        <v>1.1716</v>
      </c>
    </row>
    <row r="2270">
      <c r="A2270" s="19" t="n">
        <v>30</v>
      </c>
      <c r="B2270" s="19" t="inlineStr">
        <is>
          <t>K4-5C</t>
        </is>
      </c>
      <c r="F2270" t="n">
        <v>225.611</v>
      </c>
      <c r="H2270">
        <f>E2270/F2270</f>
        <v/>
      </c>
      <c r="I2270">
        <f>((H2270-$J$2240)/$I$2240)</f>
        <v/>
      </c>
      <c r="J2270">
        <f>(I2270-IF(I2248&gt;0,I2248,0))</f>
        <v/>
      </c>
      <c r="K2270">
        <f>J2270/R2254*1.1</f>
        <v/>
      </c>
      <c r="L2270" s="23" t="n"/>
      <c r="M2270" s="23" t="n"/>
      <c r="N2270" s="9" t="n"/>
    </row>
    <row r="2271">
      <c r="A2271" s="19" t="n">
        <v>31</v>
      </c>
      <c r="B2271" s="19" t="inlineStr">
        <is>
          <t>MeOH</t>
        </is>
      </c>
      <c r="L2271" s="23" t="inlineStr">
        <is>
          <t>Average</t>
        </is>
      </c>
      <c r="M2271" s="23" t="inlineStr">
        <is>
          <t>Stdev</t>
        </is>
      </c>
      <c r="N2271" s="9" t="inlineStr">
        <is>
          <t>Combined</t>
        </is>
      </c>
    </row>
    <row r="2272">
      <c r="A2272" s="19" t="n">
        <v>32</v>
      </c>
      <c r="B2272" s="19" t="inlineStr">
        <is>
          <t>K3-1A</t>
        </is>
      </c>
      <c r="F2272" t="n">
        <v>432.168</v>
      </c>
      <c r="H2272">
        <f>E2272/F2272</f>
        <v/>
      </c>
      <c r="I2272">
        <f>((H2272-$J$2240)/$I$2240)</f>
        <v/>
      </c>
      <c r="J2272">
        <f>(I2272-IF(I2248&gt;0,I2248,0))</f>
        <v/>
      </c>
      <c r="K2272">
        <f>J2272/R2255*1.1</f>
        <v/>
      </c>
      <c r="L2272">
        <f>AVERAGE(K2272:K2274)</f>
        <v/>
      </c>
      <c r="M2272">
        <f>STDEV(K2273:K2274)</f>
        <v/>
      </c>
      <c r="N2272">
        <f>_xlfn.CONCAT(ROUND(L2272,1)," ± ",ROUND(M2272,1))</f>
        <v/>
      </c>
    </row>
    <row r="2273">
      <c r="A2273" s="19" t="n">
        <v>33</v>
      </c>
      <c r="B2273" s="19" t="inlineStr">
        <is>
          <t>K3-1B</t>
        </is>
      </c>
      <c r="F2273" t="n">
        <v>439.829</v>
      </c>
      <c r="H2273">
        <f>E2273/F2273</f>
        <v/>
      </c>
      <c r="I2273">
        <f>((H2273-$J$2240)/$I$2240)</f>
        <v/>
      </c>
      <c r="J2273">
        <f>(I2273-IF(I2248&gt;0,I2248,0))</f>
        <v/>
      </c>
      <c r="K2273">
        <f>J2273/R2256*1.1</f>
        <v/>
      </c>
    </row>
    <row r="2274">
      <c r="A2274" s="19" t="n">
        <v>34</v>
      </c>
      <c r="B2274" s="19" t="inlineStr">
        <is>
          <t>K3-1C</t>
        </is>
      </c>
      <c r="D2274" t="n">
        <v>15.05</v>
      </c>
      <c r="E2274" t="n">
        <v>12.067</v>
      </c>
      <c r="F2274" t="n">
        <v>313.795</v>
      </c>
      <c r="G2274" t="n">
        <v>112</v>
      </c>
      <c r="H2274">
        <f>E2274/F2274</f>
        <v/>
      </c>
      <c r="I2274">
        <f>((H2274-$J$2240)/$I$2240)</f>
        <v/>
      </c>
      <c r="J2274">
        <f>(I2274-IF(I2248&gt;0,I2248,0))</f>
        <v/>
      </c>
      <c r="K2274">
        <f>J2274/R2257*1.1</f>
        <v/>
      </c>
      <c r="L2274" s="23" t="inlineStr">
        <is>
          <t>Average</t>
        </is>
      </c>
      <c r="M2274" s="23" t="inlineStr">
        <is>
          <t>Stdev</t>
        </is>
      </c>
      <c r="N2274" s="9" t="inlineStr">
        <is>
          <t>Combined</t>
        </is>
      </c>
    </row>
    <row r="2275">
      <c r="A2275" s="19" t="n">
        <v>35</v>
      </c>
      <c r="B2275" s="19" t="inlineStr">
        <is>
          <t>K3-2A</t>
        </is>
      </c>
      <c r="D2275" t="n">
        <v>15.33</v>
      </c>
      <c r="E2275" t="n">
        <v>24.779</v>
      </c>
      <c r="F2275" t="n">
        <v>420.878</v>
      </c>
      <c r="G2275" t="n">
        <v>198</v>
      </c>
      <c r="H2275">
        <f>E2275/F2275</f>
        <v/>
      </c>
      <c r="I2275">
        <f>((H2275-$J$2240)/$I$2240)</f>
        <v/>
      </c>
      <c r="J2275">
        <f>(I2275-IF(I2248&gt;0,I2248,0))</f>
        <v/>
      </c>
      <c r="K2275">
        <f>J2275/R2258*1.1</f>
        <v/>
      </c>
      <c r="L2275">
        <f>AVERAGE(K2275:K2277)</f>
        <v/>
      </c>
      <c r="M2275">
        <f>STDEV(K2275:K2277)</f>
        <v/>
      </c>
      <c r="N2275">
        <f>_xlfn.CONCAT(ROUND(L2275,1)," ± ",ROUND(M2275,1))</f>
        <v/>
      </c>
    </row>
    <row r="2276">
      <c r="A2276" s="19" t="n">
        <v>36</v>
      </c>
      <c r="B2276" s="19" t="inlineStr">
        <is>
          <t>K3-2B</t>
        </is>
      </c>
      <c r="F2276" t="n">
        <v>830.495</v>
      </c>
      <c r="H2276">
        <f>E2276/F2276</f>
        <v/>
      </c>
      <c r="I2276">
        <f>((H2276-$J$2240)/$I$2240)</f>
        <v/>
      </c>
      <c r="J2276">
        <f>(I2276-IF(I2248&gt;0,I2248,0))</f>
        <v/>
      </c>
      <c r="K2276">
        <f>J2276/R2259*1.1</f>
        <v/>
      </c>
    </row>
    <row r="2277">
      <c r="A2277" s="19" t="n">
        <v>37</v>
      </c>
      <c r="B2277" s="19" t="inlineStr">
        <is>
          <t>K3-2C</t>
        </is>
      </c>
      <c r="F2277" t="n">
        <v>343.52</v>
      </c>
      <c r="H2277">
        <f>E2277/F2277</f>
        <v/>
      </c>
      <c r="I2277">
        <f>((H2277-$J$2240)/$I$2240)</f>
        <v/>
      </c>
      <c r="J2277">
        <f>(I2277-IF(I2248&gt;0,I2248,0))</f>
        <v/>
      </c>
      <c r="K2277">
        <f>J2277/R2260*1.1</f>
        <v/>
      </c>
      <c r="L2277" s="23" t="n"/>
      <c r="M2277" s="23" t="n"/>
      <c r="N2277" s="9" t="n"/>
    </row>
    <row r="2278">
      <c r="A2278" s="19" t="n">
        <v>38</v>
      </c>
      <c r="B2278" s="19" t="inlineStr">
        <is>
          <t>MeOH</t>
        </is>
      </c>
      <c r="D2278" t="n">
        <v>15.28</v>
      </c>
      <c r="E2278" t="n">
        <v>614.524</v>
      </c>
      <c r="G2278" t="n">
        <v>4074</v>
      </c>
      <c r="L2278" s="23" t="inlineStr">
        <is>
          <t>Average</t>
        </is>
      </c>
      <c r="M2278" s="23" t="inlineStr">
        <is>
          <t>Stdev</t>
        </is>
      </c>
      <c r="N2278" s="9" t="inlineStr">
        <is>
          <t>Combined</t>
        </is>
      </c>
    </row>
    <row r="2279">
      <c r="A2279" s="19" t="n">
        <v>39</v>
      </c>
      <c r="B2279" s="19" t="inlineStr">
        <is>
          <t>K3-3A</t>
        </is>
      </c>
      <c r="D2279" t="n">
        <v>15.25</v>
      </c>
      <c r="E2279" t="n">
        <v>16.111</v>
      </c>
      <c r="F2279" t="n">
        <v>376.834</v>
      </c>
      <c r="G2279" t="n">
        <v>1.154</v>
      </c>
      <c r="H2279">
        <f>E2279/F2279</f>
        <v/>
      </c>
      <c r="I2279">
        <f>((H2279-$J$2240)/$I$2240)</f>
        <v/>
      </c>
      <c r="J2279">
        <f>(I2279-IF(I2248&gt;0,I2248,0))</f>
        <v/>
      </c>
      <c r="K2279">
        <f>J2279/R2261*1.1</f>
        <v/>
      </c>
      <c r="L2279">
        <f>AVERAGE(K2279:K2281)</f>
        <v/>
      </c>
      <c r="M2279">
        <f>STDEV(K2280:K2281)</f>
        <v/>
      </c>
      <c r="N2279">
        <f>_xlfn.CONCAT(ROUND(L2279,1)," ± ",ROUND(M2279,1))</f>
        <v/>
      </c>
    </row>
    <row r="2280">
      <c r="A2280" s="19" t="n">
        <v>40</v>
      </c>
      <c r="B2280" s="19" t="inlineStr">
        <is>
          <t>K3-3B</t>
        </is>
      </c>
      <c r="D2280" t="n">
        <v>15.25</v>
      </c>
      <c r="E2280" t="n">
        <v>14.238</v>
      </c>
      <c r="F2280" t="n">
        <v>559.133</v>
      </c>
      <c r="G2280" t="n">
        <v>119</v>
      </c>
      <c r="H2280">
        <f>E2280/F2280</f>
        <v/>
      </c>
      <c r="I2280">
        <f>((H2280-$J$2240)/$I$2240)</f>
        <v/>
      </c>
      <c r="J2280">
        <f>(I2280-IF(I2248&gt;0,I2248,0))</f>
        <v/>
      </c>
      <c r="K2280">
        <f>J2280/R2262*1.1</f>
        <v/>
      </c>
    </row>
    <row r="2281">
      <c r="A2281" s="19" t="n">
        <v>41</v>
      </c>
      <c r="B2281" s="19" t="inlineStr">
        <is>
          <t>K3-3C</t>
        </is>
      </c>
      <c r="D2281" t="n">
        <v>15.25</v>
      </c>
      <c r="E2281" t="n">
        <v>9.055</v>
      </c>
      <c r="F2281" t="n">
        <v>435.036</v>
      </c>
      <c r="G2281" t="n">
        <v>74</v>
      </c>
      <c r="H2281">
        <f>E2281/F2281</f>
        <v/>
      </c>
      <c r="I2281">
        <f>((H2281-$J$2240)/$I$2240)</f>
        <v/>
      </c>
      <c r="J2281">
        <f>(I2281-IF(I2248&gt;0,I2248,0))</f>
        <v/>
      </c>
      <c r="K2281">
        <f>J2281/R2263*1.1</f>
        <v/>
      </c>
      <c r="L2281" s="23" t="inlineStr">
        <is>
          <t>Average</t>
        </is>
      </c>
      <c r="M2281" s="23" t="inlineStr">
        <is>
          <t>Stdev</t>
        </is>
      </c>
      <c r="N2281" s="9" t="inlineStr">
        <is>
          <t>Combined</t>
        </is>
      </c>
    </row>
    <row r="2282">
      <c r="A2282" s="19" t="n">
        <v>42</v>
      </c>
      <c r="B2282" s="19" t="inlineStr">
        <is>
          <t>K3-4A</t>
        </is>
      </c>
      <c r="F2282" t="n">
        <v>337.222</v>
      </c>
      <c r="H2282">
        <f>E2282/F2282</f>
        <v/>
      </c>
      <c r="I2282">
        <f>((H2282-$J$2240)/$I$2240)</f>
        <v/>
      </c>
      <c r="J2282">
        <f>(I2282-IF(I2248&gt;0,I2248,0))</f>
        <v/>
      </c>
      <c r="K2282">
        <f>J2282/R2264*1.1</f>
        <v/>
      </c>
      <c r="L2282">
        <f>AVERAGE(K2282:K2284)</f>
        <v/>
      </c>
      <c r="M2282">
        <f>STDEV(K2282:K2284)</f>
        <v/>
      </c>
      <c r="N2282">
        <f>_xlfn.CONCAT(ROUND(L2282,1)," ± ",ROUND(M2282,1))</f>
        <v/>
      </c>
    </row>
    <row r="2283">
      <c r="A2283" s="19" t="n">
        <v>43</v>
      </c>
      <c r="B2283" s="19" t="inlineStr">
        <is>
          <t>K3-4B</t>
        </is>
      </c>
      <c r="D2283" t="n">
        <v>15.32</v>
      </c>
      <c r="E2283" t="n">
        <v>9.506</v>
      </c>
      <c r="F2283" t="n">
        <v>758.223</v>
      </c>
      <c r="G2283" t="n">
        <v>76</v>
      </c>
      <c r="H2283">
        <f>E2283/F2283</f>
        <v/>
      </c>
      <c r="I2283">
        <f>((H2283-$J$2240)/$I$2240)</f>
        <v/>
      </c>
      <c r="J2283">
        <f>(I2283-IF(I2248&gt;0,I2248,0))</f>
        <v/>
      </c>
      <c r="K2283">
        <f>J2283/R2265*1.1</f>
        <v/>
      </c>
    </row>
    <row r="2284">
      <c r="A2284" s="19" t="n">
        <v>44</v>
      </c>
      <c r="B2284" s="19" t="inlineStr">
        <is>
          <t>K3-4C</t>
        </is>
      </c>
      <c r="D2284" t="n">
        <v>15.67</v>
      </c>
      <c r="E2284" t="n">
        <v>5.539</v>
      </c>
      <c r="F2284" t="n">
        <v>427.126</v>
      </c>
      <c r="G2284" t="n">
        <v>49</v>
      </c>
      <c r="H2284">
        <f>E2284/F2284</f>
        <v/>
      </c>
      <c r="I2284">
        <f>((H2284-$J$2240)/$I$2240)</f>
        <v/>
      </c>
      <c r="J2284">
        <f>(I2284-IF(I2248&gt;0,I2248,0))</f>
        <v/>
      </c>
      <c r="K2284">
        <f>J2284/R2266*1.1</f>
        <v/>
      </c>
      <c r="L2284" s="23" t="n"/>
      <c r="M2284" s="23" t="n"/>
      <c r="N2284" s="9" t="n"/>
    </row>
    <row r="2285">
      <c r="A2285" s="19" t="n">
        <v>45</v>
      </c>
      <c r="B2285" s="19" t="inlineStr">
        <is>
          <t>MeOH</t>
        </is>
      </c>
      <c r="D2285" t="n">
        <v>15.35</v>
      </c>
      <c r="E2285" t="n">
        <v>637.154</v>
      </c>
      <c r="G2285" t="n">
        <v>4515</v>
      </c>
      <c r="L2285" s="23" t="inlineStr">
        <is>
          <t>Average</t>
        </is>
      </c>
      <c r="M2285" s="23" t="inlineStr">
        <is>
          <t>Stdev</t>
        </is>
      </c>
      <c r="N2285" s="9" t="inlineStr">
        <is>
          <t>Combined</t>
        </is>
      </c>
    </row>
    <row r="2286">
      <c r="A2286" s="19" t="n">
        <v>46</v>
      </c>
      <c r="B2286" s="19" t="inlineStr">
        <is>
          <t>K3-6A</t>
        </is>
      </c>
      <c r="D2286" t="n">
        <v>15.32</v>
      </c>
      <c r="E2286" t="n">
        <v>27.203</v>
      </c>
      <c r="F2286" t="n">
        <v>793.353</v>
      </c>
      <c r="G2286" t="n">
        <v>210</v>
      </c>
      <c r="H2286">
        <f>E2286/F2286</f>
        <v/>
      </c>
      <c r="I2286">
        <f>((H2286-$J$2240)/$I$2240)</f>
        <v/>
      </c>
      <c r="J2286">
        <f>(I2286-IF(I2248&gt;0,I2248,0))</f>
        <v/>
      </c>
      <c r="K2286">
        <f>J2286/R2267*1.1</f>
        <v/>
      </c>
      <c r="L2286">
        <f>AVERAGE(K2286:K2288)</f>
        <v/>
      </c>
      <c r="M2286">
        <f>STDEV(K2287:K2288)</f>
        <v/>
      </c>
      <c r="N2286">
        <f>_xlfn.CONCAT(ROUND(L2286,1)," ± ",ROUND(M2286,1))</f>
        <v/>
      </c>
    </row>
    <row r="2287">
      <c r="A2287" s="19" t="n">
        <v>47</v>
      </c>
      <c r="B2287" s="19" t="inlineStr">
        <is>
          <t>K3-6B</t>
        </is>
      </c>
      <c r="D2287" t="n">
        <v>15.38</v>
      </c>
      <c r="E2287" t="n">
        <v>73.129</v>
      </c>
      <c r="F2287" t="n">
        <v>501.186</v>
      </c>
      <c r="G2287" t="n">
        <v>2.907</v>
      </c>
      <c r="H2287">
        <f>E2287/F2287</f>
        <v/>
      </c>
      <c r="I2287">
        <f>((H2287-$J$2240)/$I$2240)</f>
        <v/>
      </c>
      <c r="J2287">
        <f>(I2287-IF(I2248&gt;0,I2248,0))</f>
        <v/>
      </c>
      <c r="K2287">
        <f>J2287/R2268*1.1</f>
        <v/>
      </c>
    </row>
    <row r="2288">
      <c r="A2288" s="19" t="n">
        <v>48</v>
      </c>
      <c r="B2288" s="19" t="inlineStr">
        <is>
          <t>K3-6C</t>
        </is>
      </c>
      <c r="F2288" t="n">
        <v>295.29</v>
      </c>
      <c r="H2288">
        <f>E2288/F2288</f>
        <v/>
      </c>
      <c r="I2288">
        <f>((H2288-$J$2240)/$I$2240)</f>
        <v/>
      </c>
      <c r="J2288">
        <f>(I2288-IF(I2248&gt;0,I2248,0))</f>
        <v/>
      </c>
      <c r="K2288">
        <f>J2288/R2269*1.1</f>
        <v/>
      </c>
      <c r="L2288" s="23" t="n"/>
      <c r="M2288" s="23" t="n"/>
      <c r="N2288" s="9" t="n"/>
    </row>
    <row r="2290">
      <c r="A2290" s="15" t="inlineStr">
        <is>
          <t>Compound 120:  PFTrDA 1</t>
        </is>
      </c>
      <c r="B2290" s="15" t="n"/>
    </row>
    <row r="2291">
      <c r="I2291" t="inlineStr">
        <is>
          <t>LINEST</t>
        </is>
      </c>
      <c r="Q2291" t="inlineStr">
        <is>
          <t>Biosolids Masses</t>
        </is>
      </c>
      <c r="R2291" t="inlineStr">
        <is>
          <t>(g)</t>
        </is>
      </c>
    </row>
    <row r="2292">
      <c r="B2292" t="inlineStr">
        <is>
          <t>Sample Text</t>
        </is>
      </c>
      <c r="C2292" t="inlineStr">
        <is>
          <t>Std. Conc</t>
        </is>
      </c>
      <c r="D2292" t="inlineStr">
        <is>
          <t>RT</t>
        </is>
      </c>
      <c r="E2292" t="inlineStr">
        <is>
          <t>Area</t>
        </is>
      </c>
      <c r="F2292" t="inlineStr">
        <is>
          <t>IS Area</t>
        </is>
      </c>
      <c r="G2292" t="inlineStr">
        <is>
          <t>S/N</t>
        </is>
      </c>
      <c r="H2292" t="inlineStr">
        <is>
          <t>ratio</t>
        </is>
      </c>
      <c r="I2292">
        <f t="array" ref="I2292:J2296">LINEST(H2294:H2299,C2294:C2299,1,1)</f>
        <v/>
      </c>
      <c r="J2292" t="n">
        <v>-0.02872984879661167</v>
      </c>
      <c r="L2292" s="20" t="inlineStr">
        <is>
          <t>By S/N Ratio</t>
        </is>
      </c>
      <c r="Q2292" t="inlineStr">
        <is>
          <t>SS1</t>
        </is>
      </c>
      <c r="R2292" t="n">
        <v>1.0846</v>
      </c>
    </row>
    <row r="2293">
      <c r="A2293" t="n">
        <v>1</v>
      </c>
      <c r="B2293" t="inlineStr">
        <is>
          <t>EPA1633 &amp; diPAPs Calibration 0 ppb</t>
        </is>
      </c>
      <c r="C2293" t="n">
        <v>0</v>
      </c>
      <c r="D2293" t="n">
        <v>16.17</v>
      </c>
      <c r="E2293" t="n">
        <v>85.76600000000001</v>
      </c>
      <c r="F2293" t="n">
        <v>1320.569</v>
      </c>
      <c r="G2293" t="n">
        <v>788</v>
      </c>
      <c r="H2293">
        <f>E2293/F2293</f>
        <v/>
      </c>
      <c r="I2293" t="n">
        <v>0.01334901647106867</v>
      </c>
      <c r="J2293" t="n">
        <v>0.06121422897398342</v>
      </c>
      <c r="K2293" t="inlineStr">
        <is>
          <t>LOD</t>
        </is>
      </c>
      <c r="L2293" s="21">
        <f>IF(G2296&gt;3,C2296,IF(G2297&gt;3,C2297,IF(G2298&gt;3,C2298,IF(G2299&gt;3,C2299,C2300))))</f>
        <v/>
      </c>
      <c r="Q2293" t="inlineStr">
        <is>
          <t>SS2</t>
        </is>
      </c>
      <c r="R2293" t="n">
        <v>1.0726</v>
      </c>
    </row>
    <row r="2294">
      <c r="A2294" t="n">
        <v>2</v>
      </c>
      <c r="B2294" t="inlineStr">
        <is>
          <t>EPA1633 &amp; diPAPs Calibration 0.02 ppb</t>
        </is>
      </c>
      <c r="C2294" t="n">
        <v>0.02</v>
      </c>
      <c r="D2294" t="n">
        <v>16.38</v>
      </c>
      <c r="E2294" t="n">
        <v>18.232</v>
      </c>
      <c r="F2294" t="n">
        <v>1092.248</v>
      </c>
      <c r="G2294" t="n">
        <v>103</v>
      </c>
      <c r="H2294">
        <f>E2294/F2294</f>
        <v/>
      </c>
      <c r="I2294" t="n">
        <v>0.9973302141642945</v>
      </c>
      <c r="J2294" t="n">
        <v>0.1199075605758292</v>
      </c>
      <c r="K2294" t="inlineStr">
        <is>
          <t>LOQ</t>
        </is>
      </c>
      <c r="L2294" s="22">
        <f>IF(G2296&gt;10,C2296,IF(G2297&gt;10,C2297,IF(G2298&gt;10,C2298,IF(G2299&gt;10,C2299,C2300))))</f>
        <v/>
      </c>
      <c r="Q2294" t="inlineStr">
        <is>
          <t>SS3</t>
        </is>
      </c>
      <c r="R2294" t="n">
        <v>1.1534</v>
      </c>
    </row>
    <row r="2295">
      <c r="A2295" t="n">
        <v>3</v>
      </c>
      <c r="B2295" t="inlineStr">
        <is>
          <t>EPA1633 &amp; diPAPs Calibration 0.1 ppb</t>
        </is>
      </c>
      <c r="C2295" t="n">
        <v>0.1</v>
      </c>
      <c r="D2295" t="n">
        <v>16.25</v>
      </c>
      <c r="E2295" t="n">
        <v>78.97799999999999</v>
      </c>
      <c r="F2295" t="n">
        <v>1259.575</v>
      </c>
      <c r="G2295" t="n">
        <v>5.178</v>
      </c>
      <c r="H2295">
        <f>E2295/F2295</f>
        <v/>
      </c>
      <c r="I2295" t="n">
        <v>1494.24751727437</v>
      </c>
      <c r="J2295" t="n">
        <v>4</v>
      </c>
      <c r="Q2295" t="inlineStr">
        <is>
          <t>K4-1A</t>
        </is>
      </c>
      <c r="R2295" t="n">
        <v>1.0267</v>
      </c>
    </row>
    <row r="2296">
      <c r="A2296" t="n">
        <v>4</v>
      </c>
      <c r="B2296" t="inlineStr">
        <is>
          <t>EPA1633 &amp; diPAPs Calibration 0.4 ppb</t>
        </is>
      </c>
      <c r="C2296" t="n">
        <v>0.4</v>
      </c>
      <c r="D2296" t="n">
        <v>16.2</v>
      </c>
      <c r="E2296" t="n">
        <v>272.043</v>
      </c>
      <c r="F2296" t="n">
        <v>1040.151</v>
      </c>
      <c r="G2296" t="n">
        <v>2283</v>
      </c>
      <c r="H2296">
        <f>E2296/F2296</f>
        <v/>
      </c>
      <c r="I2296" t="n">
        <v>21.4840264459507</v>
      </c>
      <c r="J2296" t="n">
        <v>0.05751129233298463</v>
      </c>
      <c r="Q2296" t="inlineStr">
        <is>
          <t>K4-1B</t>
        </is>
      </c>
      <c r="R2296" t="n">
        <v>1.1481</v>
      </c>
    </row>
    <row r="2297">
      <c r="A2297" t="n">
        <v>5</v>
      </c>
      <c r="B2297" t="inlineStr">
        <is>
          <t>EPA1633 &amp; diPAPs Calibration 1 ppb</t>
        </is>
      </c>
      <c r="C2297" t="n">
        <v>1</v>
      </c>
      <c r="D2297" t="n">
        <v>16.17</v>
      </c>
      <c r="E2297" t="n">
        <v>586.314</v>
      </c>
      <c r="F2297" t="n">
        <v>1405.741</v>
      </c>
      <c r="G2297" t="n">
        <v>17.031</v>
      </c>
      <c r="H2297">
        <f>E2297/F2297</f>
        <v/>
      </c>
      <c r="Q2297" t="inlineStr">
        <is>
          <t>K4-1C</t>
        </is>
      </c>
      <c r="R2297" t="n">
        <v>1.0402</v>
      </c>
    </row>
    <row r="2298">
      <c r="A2298" t="n">
        <v>6</v>
      </c>
      <c r="B2298" t="inlineStr">
        <is>
          <t>EPA1633 &amp; diPAPs Calibration 5 ppb</t>
        </is>
      </c>
      <c r="C2298" t="n">
        <v>5</v>
      </c>
      <c r="D2298" t="n">
        <v>16.17</v>
      </c>
      <c r="E2298" t="n">
        <v>2975.059</v>
      </c>
      <c r="F2298" t="n">
        <v>1256.498</v>
      </c>
      <c r="G2298" t="n">
        <v>131.305</v>
      </c>
      <c r="H2298">
        <f>E2298/F2298</f>
        <v/>
      </c>
      <c r="Q2298" t="inlineStr">
        <is>
          <t>K4-2A</t>
        </is>
      </c>
      <c r="R2298" t="n">
        <v>1.127</v>
      </c>
    </row>
    <row r="2299">
      <c r="A2299" t="n">
        <v>7</v>
      </c>
      <c r="B2299" t="inlineStr">
        <is>
          <t>EPA1633 &amp; diPAPs Calibration 10 ppb</t>
        </is>
      </c>
      <c r="C2299" t="n">
        <v>10</v>
      </c>
      <c r="D2299" t="n">
        <v>16.17</v>
      </c>
      <c r="E2299" t="n">
        <v>5041.954</v>
      </c>
      <c r="F2299" t="n">
        <v>964.71</v>
      </c>
      <c r="G2299" t="n">
        <v>36707</v>
      </c>
      <c r="H2299">
        <f>E2299/F2299</f>
        <v/>
      </c>
      <c r="I2299" s="23" t="inlineStr">
        <is>
          <t>Background</t>
        </is>
      </c>
      <c r="J2299" s="23" t="inlineStr">
        <is>
          <t>Spike</t>
        </is>
      </c>
      <c r="K2299" s="9" t="inlineStr">
        <is>
          <t>Old Spike</t>
        </is>
      </c>
      <c r="O2299" s="24" t="inlineStr">
        <is>
          <t>±</t>
        </is>
      </c>
      <c r="Q2299" t="inlineStr">
        <is>
          <t>K4-2B</t>
        </is>
      </c>
      <c r="R2299" t="n">
        <v>1.1154</v>
      </c>
    </row>
    <row r="2300">
      <c r="A2300" t="n">
        <v>8</v>
      </c>
      <c r="B2300" t="inlineStr">
        <is>
          <t>EPA1633 &amp; diPAPs Calibration 20 ppb</t>
        </is>
      </c>
      <c r="C2300" t="n">
        <v>20</v>
      </c>
      <c r="D2300" t="n">
        <v>16.19</v>
      </c>
      <c r="E2300" t="n">
        <v>11849.252</v>
      </c>
      <c r="F2300" t="n">
        <v>1026.499</v>
      </c>
      <c r="G2300" t="n">
        <v>174.353</v>
      </c>
      <c r="H2300">
        <f>E2300/F2300</f>
        <v/>
      </c>
      <c r="I2300">
        <f>AVERAGE(I2303:I2305)</f>
        <v/>
      </c>
      <c r="J2300" t="n">
        <v>11</v>
      </c>
      <c r="Q2300" t="inlineStr">
        <is>
          <t>K4-2C</t>
        </is>
      </c>
      <c r="R2300" t="n">
        <v>1.1711</v>
      </c>
    </row>
    <row r="2301">
      <c r="A2301" t="n">
        <v>9</v>
      </c>
      <c r="B2301" t="inlineStr">
        <is>
          <t>MeOH</t>
        </is>
      </c>
      <c r="D2301" t="n">
        <v>16.11</v>
      </c>
      <c r="E2301" t="n">
        <v>7.078</v>
      </c>
      <c r="F2301" t="n">
        <v>11.688</v>
      </c>
      <c r="G2301" t="n">
        <v>67</v>
      </c>
      <c r="I2301" s="23" t="inlineStr">
        <is>
          <t>Conc.In Vial (ppb)</t>
        </is>
      </c>
      <c r="J2301" s="9" t="inlineStr">
        <is>
          <t>Corr. Conc.(ppb)</t>
        </is>
      </c>
      <c r="K2301" s="9" t="inlineStr">
        <is>
          <t>Conc. In soil (ng/g)</t>
        </is>
      </c>
      <c r="Q2301" t="inlineStr">
        <is>
          <t>K4-4A</t>
        </is>
      </c>
      <c r="R2301" t="n">
        <v>1.0932</v>
      </c>
    </row>
    <row r="2302">
      <c r="A2302" t="n">
        <v>10</v>
      </c>
      <c r="B2302" t="inlineStr">
        <is>
          <t>MeOH</t>
        </is>
      </c>
      <c r="F2302" t="n">
        <v>3.639</v>
      </c>
      <c r="L2302" s="23" t="inlineStr">
        <is>
          <t>Average</t>
        </is>
      </c>
      <c r="M2302" s="23" t="inlineStr">
        <is>
          <t>Stdev</t>
        </is>
      </c>
      <c r="N2302" s="9" t="inlineStr">
        <is>
          <t>Combined</t>
        </is>
      </c>
      <c r="O2302" s="9" t="n"/>
      <c r="P2302" s="9" t="n"/>
      <c r="Q2302" t="inlineStr">
        <is>
          <t>K4-4B</t>
        </is>
      </c>
      <c r="R2302" t="n">
        <v>1.15</v>
      </c>
    </row>
    <row r="2303">
      <c r="A2303" t="n">
        <v>11</v>
      </c>
      <c r="B2303" t="inlineStr">
        <is>
          <t>SB1</t>
        </is>
      </c>
      <c r="D2303" t="n">
        <v>16.22</v>
      </c>
      <c r="E2303" t="n">
        <v>374.72</v>
      </c>
      <c r="F2303" t="n">
        <v>414.528</v>
      </c>
      <c r="G2303" t="n">
        <v>10.906</v>
      </c>
      <c r="H2303">
        <f>E2303/F2303</f>
        <v/>
      </c>
      <c r="I2303">
        <f>((H2303-$J$2292)/$I$2292)</f>
        <v/>
      </c>
      <c r="J2303">
        <f>(I2303-IF(I2300&gt;0,I2300,0))</f>
        <v/>
      </c>
      <c r="K2303">
        <f>J2303*1.1</f>
        <v/>
      </c>
      <c r="L2303">
        <f>AVERAGE(K2303:K2305)</f>
        <v/>
      </c>
      <c r="M2303">
        <f>STDEV(K2304:K2305)</f>
        <v/>
      </c>
      <c r="N2303">
        <f>_xlfn.CONCAT(ROUND(L2303,1)," ± ",ROUND(M2303,1))</f>
        <v/>
      </c>
      <c r="Q2303" t="inlineStr">
        <is>
          <t>K4-4C</t>
        </is>
      </c>
      <c r="R2303" t="n">
        <v>1.0482</v>
      </c>
    </row>
    <row r="2304">
      <c r="A2304" t="n">
        <v>12</v>
      </c>
      <c r="B2304" t="inlineStr">
        <is>
          <t>SB2</t>
        </is>
      </c>
      <c r="F2304" t="n">
        <v>503.01</v>
      </c>
      <c r="H2304">
        <f>E2304/F2304</f>
        <v/>
      </c>
      <c r="I2304">
        <f>((H2304-$J$2292)/$I$2292)</f>
        <v/>
      </c>
      <c r="J2304">
        <f>(I2304-IF(I2300&gt;0,I2300,0))</f>
        <v/>
      </c>
      <c r="K2304">
        <f>J2304*1.1</f>
        <v/>
      </c>
      <c r="Q2304" t="inlineStr">
        <is>
          <t>K4-5A</t>
        </is>
      </c>
      <c r="R2304" t="n">
        <v>1.1054</v>
      </c>
    </row>
    <row r="2305">
      <c r="A2305" t="n">
        <v>13</v>
      </c>
      <c r="B2305" t="inlineStr">
        <is>
          <t>SB3</t>
        </is>
      </c>
      <c r="F2305" t="n">
        <v>431.257</v>
      </c>
      <c r="H2305">
        <f>E2305/F2305</f>
        <v/>
      </c>
      <c r="I2305">
        <f>((H2305-$J$2292)/$I$2292)</f>
        <v/>
      </c>
      <c r="J2305">
        <f>(I2305-IF(I2300&gt;0,I2300,0))</f>
        <v/>
      </c>
      <c r="K2305" s="30">
        <f>J2305*1.1</f>
        <v/>
      </c>
      <c r="L2305" s="25" t="inlineStr">
        <is>
          <t>Average</t>
        </is>
      </c>
      <c r="M2305" s="25" t="inlineStr">
        <is>
          <t>Stdev</t>
        </is>
      </c>
      <c r="N2305" s="26" t="inlineStr">
        <is>
          <t>%Recovery</t>
        </is>
      </c>
      <c r="O2305" s="26" t="inlineStr">
        <is>
          <t>Uncertainty</t>
        </is>
      </c>
      <c r="P2305" s="26" t="inlineStr">
        <is>
          <t>Combined</t>
        </is>
      </c>
      <c r="Q2305" t="inlineStr">
        <is>
          <t>K4-5B</t>
        </is>
      </c>
      <c r="R2305" s="10" t="n">
        <v>1.0463</v>
      </c>
    </row>
    <row r="2306">
      <c r="A2306" t="n">
        <v>14</v>
      </c>
      <c r="B2306" t="inlineStr">
        <is>
          <t>SS1</t>
        </is>
      </c>
      <c r="D2306" t="n">
        <v>16.24</v>
      </c>
      <c r="E2306" t="n">
        <v>1873.128</v>
      </c>
      <c r="F2306" t="n">
        <v>427.401</v>
      </c>
      <c r="G2306" t="n">
        <v>191.519</v>
      </c>
      <c r="H2306">
        <f>E2306/F2306</f>
        <v/>
      </c>
      <c r="I2306">
        <f>((H2306-$J$2292)/$I$2292)</f>
        <v/>
      </c>
      <c r="J2306">
        <f>(I2306-IF(I2300&gt;0,I2300,0))</f>
        <v/>
      </c>
      <c r="K2306">
        <f>J2306/R2292*1.1</f>
        <v/>
      </c>
      <c r="L2306" s="27">
        <f>AVERAGE(K2306:K2308)</f>
        <v/>
      </c>
      <c r="M2306" s="27">
        <f>STDEV(K2306:K2308)</f>
        <v/>
      </c>
      <c r="N2306" s="28">
        <f>L2306/J2300*100</f>
        <v/>
      </c>
      <c r="O2306" s="29">
        <f>M2306/J2303*100</f>
        <v/>
      </c>
      <c r="P2306" s="29">
        <f>_xlfn.CONCAT(ROUND(N2306,1)," ± ",ROUND(O2306,1))</f>
        <v/>
      </c>
      <c r="Q2306" t="inlineStr">
        <is>
          <t>K4-5C</t>
        </is>
      </c>
      <c r="R2306" t="n">
        <v>1.1155</v>
      </c>
    </row>
    <row r="2307">
      <c r="A2307" t="n">
        <v>15</v>
      </c>
      <c r="B2307" t="inlineStr">
        <is>
          <t>SS2</t>
        </is>
      </c>
      <c r="D2307" t="n">
        <v>16.24</v>
      </c>
      <c r="E2307" t="n">
        <v>1862.518</v>
      </c>
      <c r="F2307" t="n">
        <v>452.262</v>
      </c>
      <c r="G2307" t="n">
        <v>317.99</v>
      </c>
      <c r="H2307">
        <f>E2307/F2307</f>
        <v/>
      </c>
      <c r="I2307">
        <f>((H2307-$J$2292)/$I$2292)</f>
        <v/>
      </c>
      <c r="J2307">
        <f>(I2307-IF(I2300&gt;0,I2300,0))</f>
        <v/>
      </c>
      <c r="K2307">
        <f>J2307/R2293*1.1</f>
        <v/>
      </c>
      <c r="Q2307" t="inlineStr">
        <is>
          <t>K3-1A</t>
        </is>
      </c>
      <c r="R2307" t="n">
        <v>1.0874</v>
      </c>
    </row>
    <row r="2308">
      <c r="A2308" t="n">
        <v>16</v>
      </c>
      <c r="B2308" t="inlineStr">
        <is>
          <t>SS3</t>
        </is>
      </c>
      <c r="D2308" t="n">
        <v>16.25</v>
      </c>
      <c r="E2308" t="n">
        <v>1874.324</v>
      </c>
      <c r="F2308" t="n">
        <v>344.206</v>
      </c>
      <c r="G2308" t="n">
        <v>69.715</v>
      </c>
      <c r="H2308">
        <f>E2308/F2308</f>
        <v/>
      </c>
      <c r="I2308">
        <f>((H2308-$J$2292)/$I$2292)</f>
        <v/>
      </c>
      <c r="J2308">
        <f>(I2308-IF(I2300&gt;0,I2300,0))</f>
        <v/>
      </c>
      <c r="K2308" s="30">
        <f>J2308/R2294*1.1</f>
        <v/>
      </c>
      <c r="Q2308" t="inlineStr">
        <is>
          <t>K3-1B</t>
        </is>
      </c>
      <c r="R2308" t="n">
        <v>1.0898</v>
      </c>
    </row>
    <row r="2309">
      <c r="A2309" s="19" t="n">
        <v>17</v>
      </c>
      <c r="B2309" s="19" t="inlineStr">
        <is>
          <t>MeOH</t>
        </is>
      </c>
      <c r="L2309" s="23" t="inlineStr">
        <is>
          <t>Average</t>
        </is>
      </c>
      <c r="M2309" s="23" t="inlineStr">
        <is>
          <t>Stdev</t>
        </is>
      </c>
      <c r="N2309" s="9" t="inlineStr">
        <is>
          <t>Combined</t>
        </is>
      </c>
      <c r="Q2309" t="inlineStr">
        <is>
          <t>K3-1C</t>
        </is>
      </c>
      <c r="R2309" t="n">
        <v>1.0536</v>
      </c>
    </row>
    <row r="2310">
      <c r="A2310" s="19" t="n">
        <v>18</v>
      </c>
      <c r="B2310" s="19" t="inlineStr">
        <is>
          <t>K4-1A</t>
        </is>
      </c>
      <c r="D2310" t="n">
        <v>16.3</v>
      </c>
      <c r="E2310" t="n">
        <v>15.191</v>
      </c>
      <c r="F2310" t="n">
        <v>435.167</v>
      </c>
      <c r="G2310" t="n">
        <v>165</v>
      </c>
      <c r="H2310">
        <f>E2310/F2310</f>
        <v/>
      </c>
      <c r="I2310">
        <f>((H2310-$J$2292)/$I$2292)</f>
        <v/>
      </c>
      <c r="J2310">
        <f>(I2310-IF(I2300&gt;0,I2300,0))</f>
        <v/>
      </c>
      <c r="K2310">
        <f>J2310/R2295*1.1</f>
        <v/>
      </c>
      <c r="L2310">
        <f>AVERAGE(K2310:K2312)</f>
        <v/>
      </c>
      <c r="M2310">
        <f>STDEV(K2311:K2312)</f>
        <v/>
      </c>
      <c r="N2310">
        <f>_xlfn.CONCAT(ROUND(L2310,1)," ± ",ROUND(M2310,1))</f>
        <v/>
      </c>
      <c r="Q2310" t="inlineStr">
        <is>
          <t>K3-2A</t>
        </is>
      </c>
      <c r="R2310" s="10" t="n">
        <v>1.1218</v>
      </c>
    </row>
    <row r="2311">
      <c r="A2311" s="19" t="n">
        <v>19</v>
      </c>
      <c r="B2311" s="19" t="inlineStr">
        <is>
          <t>K4-1B</t>
        </is>
      </c>
      <c r="F2311" t="n">
        <v>549.792</v>
      </c>
      <c r="H2311">
        <f>E2311/F2311</f>
        <v/>
      </c>
      <c r="I2311">
        <f>((H2311-$J$2292)/$I$2292)</f>
        <v/>
      </c>
      <c r="J2311">
        <f>(I2311-IF(I2300&gt;0,I2300,0))</f>
        <v/>
      </c>
      <c r="K2311">
        <f>J2311/R2296*1.1</f>
        <v/>
      </c>
      <c r="Q2311" t="inlineStr">
        <is>
          <t>K3-2B</t>
        </is>
      </c>
      <c r="R2311" t="n">
        <v>1.198</v>
      </c>
    </row>
    <row r="2312">
      <c r="A2312" s="19" t="n">
        <v>20</v>
      </c>
      <c r="B2312" s="19" t="inlineStr">
        <is>
          <t>K4-1C</t>
        </is>
      </c>
      <c r="D2312" t="n">
        <v>16.31</v>
      </c>
      <c r="E2312" t="n">
        <v>3.219</v>
      </c>
      <c r="F2312" t="n">
        <v>409.212</v>
      </c>
      <c r="G2312" t="n">
        <v>35</v>
      </c>
      <c r="H2312">
        <f>E2312/F2312</f>
        <v/>
      </c>
      <c r="I2312">
        <f>((H2312-$J$2292)/$I$2292)</f>
        <v/>
      </c>
      <c r="J2312">
        <f>(I2312-IF(I2300&gt;0,I2300,0))</f>
        <v/>
      </c>
      <c r="K2312">
        <f>J2312/R2297*1.1</f>
        <v/>
      </c>
      <c r="L2312" s="23" t="inlineStr">
        <is>
          <t>Average</t>
        </is>
      </c>
      <c r="M2312" s="23" t="inlineStr">
        <is>
          <t>Stdev</t>
        </is>
      </c>
      <c r="N2312" s="9" t="inlineStr">
        <is>
          <t>Combined</t>
        </is>
      </c>
      <c r="Q2312" t="inlineStr">
        <is>
          <t>K3-2C</t>
        </is>
      </c>
      <c r="R2312" t="n">
        <v>1.1538</v>
      </c>
    </row>
    <row r="2313">
      <c r="A2313" s="19" t="n">
        <v>21</v>
      </c>
      <c r="B2313" s="19" t="inlineStr">
        <is>
          <t>K4-2A</t>
        </is>
      </c>
      <c r="D2313" t="n">
        <v>16.27</v>
      </c>
      <c r="E2313" t="n">
        <v>37.886</v>
      </c>
      <c r="F2313" t="n">
        <v>458.88</v>
      </c>
      <c r="G2313" t="n">
        <v>5.255</v>
      </c>
      <c r="H2313">
        <f>E2313/F2313</f>
        <v/>
      </c>
      <c r="I2313">
        <f>((H2313-$J$2292)/$I$2292)</f>
        <v/>
      </c>
      <c r="J2313">
        <f>(I2313-IF(I2300&gt;0,I2300,0))</f>
        <v/>
      </c>
      <c r="K2313">
        <f>J2313/R2298*1.1</f>
        <v/>
      </c>
      <c r="L2313">
        <f>AVERAGE(K2313:K2315)</f>
        <v/>
      </c>
      <c r="M2313">
        <f>STDEV(K2313:K2315)</f>
        <v/>
      </c>
      <c r="N2313">
        <f>_xlfn.CONCAT(ROUND(L2313,1)," ± ",ROUND(M2313,1))</f>
        <v/>
      </c>
      <c r="Q2313" t="inlineStr">
        <is>
          <t>K3-3A</t>
        </is>
      </c>
      <c r="R2313" t="n">
        <v>1.1183</v>
      </c>
    </row>
    <row r="2314">
      <c r="A2314" s="19" t="n">
        <v>22</v>
      </c>
      <c r="B2314" s="19" t="inlineStr">
        <is>
          <t>K4-2B</t>
        </is>
      </c>
      <c r="F2314" t="n">
        <v>403.292</v>
      </c>
      <c r="H2314">
        <f>E2314/F2314</f>
        <v/>
      </c>
      <c r="I2314">
        <f>((H2314-$J$2292)/$I$2292)</f>
        <v/>
      </c>
      <c r="J2314">
        <f>(I2314-IF(I2300&gt;0,I2300,0))</f>
        <v/>
      </c>
      <c r="K2314">
        <f>J2314/R2299*1.1</f>
        <v/>
      </c>
      <c r="Q2314" t="inlineStr">
        <is>
          <t>K3-3B</t>
        </is>
      </c>
      <c r="R2314" t="n">
        <v>1.1448</v>
      </c>
    </row>
    <row r="2315">
      <c r="A2315" s="19" t="n">
        <v>23</v>
      </c>
      <c r="B2315" s="19" t="inlineStr">
        <is>
          <t>K4-2C</t>
        </is>
      </c>
      <c r="D2315" t="n">
        <v>16.3</v>
      </c>
      <c r="E2315" t="n">
        <v>11.893</v>
      </c>
      <c r="F2315" t="n">
        <v>349.79</v>
      </c>
      <c r="G2315" t="n">
        <v>129</v>
      </c>
      <c r="H2315">
        <f>E2315/F2315</f>
        <v/>
      </c>
      <c r="I2315">
        <f>((H2315-$J$2292)/$I$2292)</f>
        <v/>
      </c>
      <c r="J2315">
        <f>(I2315-IF(I2300&gt;0,I2300,0))</f>
        <v/>
      </c>
      <c r="K2315">
        <f>J2315/R2300*1.1</f>
        <v/>
      </c>
      <c r="L2315" s="23" t="n"/>
      <c r="M2315" s="23" t="n"/>
      <c r="N2315" s="9" t="n"/>
      <c r="Q2315" t="inlineStr">
        <is>
          <t>K3-3C</t>
        </is>
      </c>
      <c r="R2315" t="n">
        <v>1.0493</v>
      </c>
    </row>
    <row r="2316">
      <c r="A2316" s="19" t="n">
        <v>24</v>
      </c>
      <c r="B2316" s="19" t="inlineStr">
        <is>
          <t>MeOH</t>
        </is>
      </c>
      <c r="L2316" s="23" t="inlineStr">
        <is>
          <t>Average</t>
        </is>
      </c>
      <c r="M2316" s="23" t="inlineStr">
        <is>
          <t>Stdev</t>
        </is>
      </c>
      <c r="N2316" s="9" t="inlineStr">
        <is>
          <t>Combined</t>
        </is>
      </c>
      <c r="Q2316" t="inlineStr">
        <is>
          <t>K3-4A</t>
        </is>
      </c>
      <c r="R2316" t="n">
        <v>1.0704</v>
      </c>
    </row>
    <row r="2317">
      <c r="A2317" s="19" t="n">
        <v>25</v>
      </c>
      <c r="B2317" s="19" t="inlineStr">
        <is>
          <t>K4-4A</t>
        </is>
      </c>
      <c r="D2317" t="n">
        <v>16.31</v>
      </c>
      <c r="E2317" t="n">
        <v>3.157</v>
      </c>
      <c r="F2317" t="n">
        <v>438.197</v>
      </c>
      <c r="G2317" t="n">
        <v>34</v>
      </c>
      <c r="H2317">
        <f>E2317/F2317</f>
        <v/>
      </c>
      <c r="I2317">
        <f>((H2317-$J$2292)/$I$2292)</f>
        <v/>
      </c>
      <c r="J2317">
        <f>(I2317-IF(I2300&gt;0,I2300,0))</f>
        <v/>
      </c>
      <c r="K2317">
        <f>J2317/R2301*1.1</f>
        <v/>
      </c>
      <c r="L2317">
        <f>AVERAGE(K2317:K2319)</f>
        <v/>
      </c>
      <c r="M2317">
        <f>STDEV(K2318:K2319)</f>
        <v/>
      </c>
      <c r="N2317">
        <f>_xlfn.CONCAT(ROUND(L2317,1)," ± ",ROUND(M2317,1))</f>
        <v/>
      </c>
      <c r="Q2317" t="inlineStr">
        <is>
          <t>K3-4B</t>
        </is>
      </c>
      <c r="R2317" t="n">
        <v>1.1589</v>
      </c>
    </row>
    <row r="2318">
      <c r="A2318" s="19" t="n">
        <v>26</v>
      </c>
      <c r="B2318" s="19" t="inlineStr">
        <is>
          <t>K4-4B</t>
        </is>
      </c>
      <c r="D2318" t="n">
        <v>16.31</v>
      </c>
      <c r="E2318" t="n">
        <v>18.41</v>
      </c>
      <c r="F2318" t="n">
        <v>453.67</v>
      </c>
      <c r="G2318" t="n">
        <v>195</v>
      </c>
      <c r="H2318">
        <f>E2318/F2318</f>
        <v/>
      </c>
      <c r="I2318">
        <f>((H2318-$J$2292)/$I$2292)</f>
        <v/>
      </c>
      <c r="J2318">
        <f>(I2318-IF(I2300&gt;0,I2300,0))</f>
        <v/>
      </c>
      <c r="K2318">
        <f>J2318/R2302*1.1</f>
        <v/>
      </c>
      <c r="Q2318" t="inlineStr">
        <is>
          <t>K3-4C</t>
        </is>
      </c>
      <c r="R2318" t="n">
        <v>1.0206</v>
      </c>
    </row>
    <row r="2319">
      <c r="A2319" s="19" t="n">
        <v>27</v>
      </c>
      <c r="B2319" s="19" t="inlineStr">
        <is>
          <t>K4-4C</t>
        </is>
      </c>
      <c r="D2319" t="n">
        <v>16.29</v>
      </c>
      <c r="E2319" t="n">
        <v>1.7</v>
      </c>
      <c r="F2319" t="n">
        <v>468.581</v>
      </c>
      <c r="G2319" t="n">
        <v>18</v>
      </c>
      <c r="H2319">
        <f>E2319/F2319</f>
        <v/>
      </c>
      <c r="I2319">
        <f>((H2319-$J$2292)/$I$2292)</f>
        <v/>
      </c>
      <c r="J2319">
        <f>(I2319-IF(I2300&gt;0,I2300,0))</f>
        <v/>
      </c>
      <c r="K2319">
        <f>J2319/R2303*1.1</f>
        <v/>
      </c>
      <c r="L2319" s="23" t="inlineStr">
        <is>
          <t>Average</t>
        </is>
      </c>
      <c r="M2319" s="23" t="inlineStr">
        <is>
          <t>Stdev</t>
        </is>
      </c>
      <c r="N2319" s="9" t="inlineStr">
        <is>
          <t>Combined</t>
        </is>
      </c>
      <c r="Q2319" t="inlineStr">
        <is>
          <t>K3-6A</t>
        </is>
      </c>
      <c r="R2319" t="n">
        <v>1.1289</v>
      </c>
    </row>
    <row r="2320">
      <c r="A2320" s="19" t="n">
        <v>28</v>
      </c>
      <c r="B2320" s="19" t="inlineStr">
        <is>
          <t>K4-5A</t>
        </is>
      </c>
      <c r="D2320" t="n">
        <v>16.28</v>
      </c>
      <c r="E2320" t="n">
        <v>26.528</v>
      </c>
      <c r="F2320" t="n">
        <v>381.594</v>
      </c>
      <c r="G2320" t="n">
        <v>243</v>
      </c>
      <c r="H2320">
        <f>E2320/F2320</f>
        <v/>
      </c>
      <c r="I2320">
        <f>((H2320-$J$2292)/$I$2292)</f>
        <v/>
      </c>
      <c r="J2320">
        <f>(I2320-IF(I2300&gt;0,I2300,0))</f>
        <v/>
      </c>
      <c r="K2320">
        <f>J2320/R2304*1.1</f>
        <v/>
      </c>
      <c r="L2320">
        <f>AVERAGE(K2320:K2322)</f>
        <v/>
      </c>
      <c r="M2320">
        <f>STDEV(K2320:K2322)</f>
        <v/>
      </c>
      <c r="N2320">
        <f>_xlfn.CONCAT(ROUND(L2320,1)," ± ",ROUND(M2320,1))</f>
        <v/>
      </c>
      <c r="Q2320" t="inlineStr">
        <is>
          <t>K3-6B</t>
        </is>
      </c>
      <c r="R2320" t="n">
        <v>1.195</v>
      </c>
    </row>
    <row r="2321">
      <c r="A2321" s="19" t="n">
        <v>29</v>
      </c>
      <c r="B2321" s="19" t="inlineStr">
        <is>
          <t>K4-5B</t>
        </is>
      </c>
      <c r="D2321" t="n">
        <v>16.29</v>
      </c>
      <c r="E2321" t="n">
        <v>37.595</v>
      </c>
      <c r="F2321" t="n">
        <v>405.711</v>
      </c>
      <c r="G2321" t="n">
        <v>358</v>
      </c>
      <c r="H2321">
        <f>E2321/F2321</f>
        <v/>
      </c>
      <c r="I2321">
        <f>((H2321-$J$2292)/$I$2292)</f>
        <v/>
      </c>
      <c r="J2321">
        <f>(I2321-IF(I2300&gt;0,I2300,0))</f>
        <v/>
      </c>
      <c r="K2321">
        <f>J2321/R2305*1.1</f>
        <v/>
      </c>
      <c r="Q2321" t="inlineStr">
        <is>
          <t>K3-6C</t>
        </is>
      </c>
      <c r="R2321" t="n">
        <v>1.1716</v>
      </c>
    </row>
    <row r="2322">
      <c r="A2322" s="19" t="n">
        <v>30</v>
      </c>
      <c r="B2322" s="19" t="inlineStr">
        <is>
          <t>K4-5C</t>
        </is>
      </c>
      <c r="D2322" t="n">
        <v>16.47</v>
      </c>
      <c r="E2322" t="n">
        <v>22.393</v>
      </c>
      <c r="F2322" t="n">
        <v>367.483</v>
      </c>
      <c r="G2322" t="n">
        <v>7.387</v>
      </c>
      <c r="H2322">
        <f>E2322/F2322</f>
        <v/>
      </c>
      <c r="I2322">
        <f>((H2322-$J$2292)/$I$2292)</f>
        <v/>
      </c>
      <c r="J2322">
        <f>(I2322-IF(I2300&gt;0,I2300,0))</f>
        <v/>
      </c>
      <c r="K2322">
        <f>J2322/R2306*1.1</f>
        <v/>
      </c>
      <c r="L2322" s="23" t="n"/>
      <c r="M2322" s="23" t="n"/>
      <c r="N2322" s="9" t="n"/>
    </row>
    <row r="2323">
      <c r="A2323" s="19" t="n">
        <v>31</v>
      </c>
      <c r="B2323" s="19" t="inlineStr">
        <is>
          <t>MeOH</t>
        </is>
      </c>
      <c r="D2323" t="n">
        <v>16.21</v>
      </c>
      <c r="E2323" t="n">
        <v>29.531</v>
      </c>
      <c r="G2323" t="n">
        <v>303</v>
      </c>
      <c r="L2323" s="23" t="inlineStr">
        <is>
          <t>Average</t>
        </is>
      </c>
      <c r="M2323" s="23" t="inlineStr">
        <is>
          <t>Stdev</t>
        </is>
      </c>
      <c r="N2323" s="9" t="inlineStr">
        <is>
          <t>Combined</t>
        </is>
      </c>
    </row>
    <row r="2324">
      <c r="A2324" s="19" t="n">
        <v>32</v>
      </c>
      <c r="B2324" s="19" t="inlineStr">
        <is>
          <t>K3-1A</t>
        </is>
      </c>
      <c r="D2324" t="n">
        <v>16.2</v>
      </c>
      <c r="E2324" t="n">
        <v>301.494</v>
      </c>
      <c r="F2324" t="n">
        <v>519.807</v>
      </c>
      <c r="G2324" t="n">
        <v>2697</v>
      </c>
      <c r="H2324">
        <f>E2324/F2324</f>
        <v/>
      </c>
      <c r="I2324">
        <f>((H2324-$J$2292)/$I$2292)</f>
        <v/>
      </c>
      <c r="J2324">
        <f>(I2324-IF(I2300&gt;0,I2300,0))</f>
        <v/>
      </c>
      <c r="K2324">
        <f>J2324/R2307*1.1</f>
        <v/>
      </c>
      <c r="L2324">
        <f>AVERAGE(K2324:K2326)</f>
        <v/>
      </c>
      <c r="M2324">
        <f>STDEV(K2325:K2326)</f>
        <v/>
      </c>
      <c r="N2324">
        <f>_xlfn.CONCAT(ROUND(L2324,1)," ± ",ROUND(M2324,1))</f>
        <v/>
      </c>
    </row>
    <row r="2325">
      <c r="A2325" s="19" t="n">
        <v>33</v>
      </c>
      <c r="B2325" s="19" t="inlineStr">
        <is>
          <t>K3-1B</t>
        </is>
      </c>
      <c r="F2325" t="n">
        <v>456.552</v>
      </c>
      <c r="H2325">
        <f>E2325/F2325</f>
        <v/>
      </c>
      <c r="I2325">
        <f>((H2325-$J$2292)/$I$2292)</f>
        <v/>
      </c>
      <c r="J2325">
        <f>(I2325-IF(I2300&gt;0,I2300,0))</f>
        <v/>
      </c>
      <c r="K2325">
        <f>J2325/R2308*1.1</f>
        <v/>
      </c>
    </row>
    <row r="2326">
      <c r="A2326" s="19" t="n">
        <v>34</v>
      </c>
      <c r="B2326" s="19" t="inlineStr">
        <is>
          <t>K3-1C</t>
        </is>
      </c>
      <c r="D2326" t="n">
        <v>16.26</v>
      </c>
      <c r="E2326" t="n">
        <v>39.856</v>
      </c>
      <c r="F2326" t="n">
        <v>556.412</v>
      </c>
      <c r="G2326" t="n">
        <v>418</v>
      </c>
      <c r="H2326">
        <f>E2326/F2326</f>
        <v/>
      </c>
      <c r="I2326">
        <f>((H2326-$J$2292)/$I$2292)</f>
        <v/>
      </c>
      <c r="J2326">
        <f>(I2326-IF(I2300&gt;0,I2300,0))</f>
        <v/>
      </c>
      <c r="K2326">
        <f>J2326/R2309*1.1</f>
        <v/>
      </c>
      <c r="L2326" s="23" t="inlineStr">
        <is>
          <t>Average</t>
        </is>
      </c>
      <c r="M2326" s="23" t="inlineStr">
        <is>
          <t>Stdev</t>
        </is>
      </c>
      <c r="N2326" s="9" t="inlineStr">
        <is>
          <t>Combined</t>
        </is>
      </c>
    </row>
    <row r="2327">
      <c r="A2327" s="19" t="n">
        <v>35</v>
      </c>
      <c r="B2327" s="19" t="inlineStr">
        <is>
          <t>K3-2A</t>
        </is>
      </c>
      <c r="F2327" t="n">
        <v>520.705</v>
      </c>
      <c r="H2327">
        <f>E2327/F2327</f>
        <v/>
      </c>
      <c r="I2327">
        <f>((H2327-$J$2292)/$I$2292)</f>
        <v/>
      </c>
      <c r="J2327">
        <f>(I2327-IF(I2300&gt;0,I2300,0))</f>
        <v/>
      </c>
      <c r="K2327">
        <f>J2327/R2310*1.1</f>
        <v/>
      </c>
      <c r="L2327">
        <f>AVERAGE(K2327:K2329)</f>
        <v/>
      </c>
      <c r="M2327">
        <f>STDEV(K2327:K2329)</f>
        <v/>
      </c>
      <c r="N2327">
        <f>_xlfn.CONCAT(ROUND(L2327,1)," ± ",ROUND(M2327,1))</f>
        <v/>
      </c>
    </row>
    <row r="2328">
      <c r="A2328" s="19" t="n">
        <v>36</v>
      </c>
      <c r="B2328" s="19" t="inlineStr">
        <is>
          <t>K3-2B</t>
        </is>
      </c>
      <c r="D2328" t="n">
        <v>16.31</v>
      </c>
      <c r="E2328" t="n">
        <v>22.04</v>
      </c>
      <c r="F2328" t="n">
        <v>697.726</v>
      </c>
      <c r="G2328" t="n">
        <v>158</v>
      </c>
      <c r="H2328">
        <f>E2328/F2328</f>
        <v/>
      </c>
      <c r="I2328">
        <f>((H2328-$J$2292)/$I$2292)</f>
        <v/>
      </c>
      <c r="J2328">
        <f>(I2328-IF(I2300&gt;0,I2300,0))</f>
        <v/>
      </c>
      <c r="K2328">
        <f>J2328/R2311*1.1</f>
        <v/>
      </c>
    </row>
    <row r="2329">
      <c r="A2329" s="19" t="n">
        <v>37</v>
      </c>
      <c r="B2329" s="19" t="inlineStr">
        <is>
          <t>K3-2C</t>
        </is>
      </c>
      <c r="D2329" t="n">
        <v>16.21</v>
      </c>
      <c r="E2329" t="n">
        <v>11.837</v>
      </c>
      <c r="F2329" t="n">
        <v>515.652</v>
      </c>
      <c r="G2329" t="n">
        <v>126</v>
      </c>
      <c r="H2329">
        <f>E2329/F2329</f>
        <v/>
      </c>
      <c r="I2329">
        <f>((H2329-$J$2292)/$I$2292)</f>
        <v/>
      </c>
      <c r="J2329">
        <f>(I2329-IF(I2300&gt;0,I2300,0))</f>
        <v/>
      </c>
      <c r="K2329">
        <f>J2329/R2312*1.1</f>
        <v/>
      </c>
      <c r="L2329" s="23" t="n"/>
      <c r="M2329" s="23" t="n"/>
      <c r="N2329" s="9" t="n"/>
    </row>
    <row r="2330">
      <c r="A2330" s="19" t="n">
        <v>38</v>
      </c>
      <c r="B2330" s="19" t="inlineStr">
        <is>
          <t>MeOH</t>
        </is>
      </c>
      <c r="L2330" s="23" t="inlineStr">
        <is>
          <t>Average</t>
        </is>
      </c>
      <c r="M2330" s="23" t="inlineStr">
        <is>
          <t>Stdev</t>
        </is>
      </c>
      <c r="N2330" s="9" t="inlineStr">
        <is>
          <t>Combined</t>
        </is>
      </c>
    </row>
    <row r="2331">
      <c r="A2331" s="19" t="n">
        <v>39</v>
      </c>
      <c r="B2331" s="19" t="inlineStr">
        <is>
          <t>K3-3A</t>
        </is>
      </c>
      <c r="D2331" t="n">
        <v>16.24</v>
      </c>
      <c r="E2331" t="n">
        <v>25.276</v>
      </c>
      <c r="F2331" t="n">
        <v>442.761</v>
      </c>
      <c r="G2331" t="n">
        <v>3.718</v>
      </c>
      <c r="H2331">
        <f>E2331/F2331</f>
        <v/>
      </c>
      <c r="I2331">
        <f>((H2331-$J$2292)/$I$2292)</f>
        <v/>
      </c>
      <c r="J2331">
        <f>(I2331-IF(I2300&gt;0,I2300,0))</f>
        <v/>
      </c>
      <c r="K2331">
        <f>J2331/R2313*1.1</f>
        <v/>
      </c>
      <c r="L2331">
        <f>AVERAGE(K2331:K2333)</f>
        <v/>
      </c>
      <c r="M2331">
        <f>STDEV(K2332:K2333)</f>
        <v/>
      </c>
      <c r="N2331">
        <f>_xlfn.CONCAT(ROUND(L2331,1)," ± ",ROUND(M2331,1))</f>
        <v/>
      </c>
    </row>
    <row r="2332">
      <c r="A2332" s="19" t="n">
        <v>40</v>
      </c>
      <c r="B2332" s="19" t="inlineStr">
        <is>
          <t>K3-3B</t>
        </is>
      </c>
      <c r="D2332" t="n">
        <v>16.28</v>
      </c>
      <c r="E2332" t="n">
        <v>9.709</v>
      </c>
      <c r="F2332" t="n">
        <v>392.975</v>
      </c>
      <c r="G2332" t="n">
        <v>104</v>
      </c>
      <c r="H2332">
        <f>E2332/F2332</f>
        <v/>
      </c>
      <c r="I2332">
        <f>((H2332-$J$2292)/$I$2292)</f>
        <v/>
      </c>
      <c r="J2332">
        <f>(I2332-IF(I2300&gt;0,I2300,0))</f>
        <v/>
      </c>
      <c r="K2332">
        <f>J2332/R2314*1.1</f>
        <v/>
      </c>
    </row>
    <row r="2333">
      <c r="A2333" s="19" t="n">
        <v>41</v>
      </c>
      <c r="B2333" s="19" t="inlineStr">
        <is>
          <t>K3-3C</t>
        </is>
      </c>
      <c r="D2333" t="n">
        <v>16.26</v>
      </c>
      <c r="E2333" t="n">
        <v>7.014</v>
      </c>
      <c r="F2333" t="n">
        <v>533.34</v>
      </c>
      <c r="G2333" t="n">
        <v>75</v>
      </c>
      <c r="H2333">
        <f>E2333/F2333</f>
        <v/>
      </c>
      <c r="I2333">
        <f>((H2333-$J$2292)/$I$2292)</f>
        <v/>
      </c>
      <c r="J2333">
        <f>(I2333-IF(I2300&gt;0,I2300,0))</f>
        <v/>
      </c>
      <c r="K2333">
        <f>J2333/R2315*1.1</f>
        <v/>
      </c>
      <c r="L2333" s="23" t="inlineStr">
        <is>
          <t>Average</t>
        </is>
      </c>
      <c r="M2333" s="23" t="inlineStr">
        <is>
          <t>Stdev</t>
        </is>
      </c>
      <c r="N2333" s="9" t="inlineStr">
        <is>
          <t>Combined</t>
        </is>
      </c>
    </row>
    <row r="2334">
      <c r="A2334" s="19" t="n">
        <v>42</v>
      </c>
      <c r="B2334" s="19" t="inlineStr">
        <is>
          <t>K3-4A</t>
        </is>
      </c>
      <c r="F2334" t="n">
        <v>579.684</v>
      </c>
      <c r="H2334">
        <f>E2334/F2334</f>
        <v/>
      </c>
      <c r="I2334">
        <f>((H2334-$J$2292)/$I$2292)</f>
        <v/>
      </c>
      <c r="J2334">
        <f>(I2334-IF(I2300&gt;0,I2300,0))</f>
        <v/>
      </c>
      <c r="K2334">
        <f>J2334/R2316*1.1</f>
        <v/>
      </c>
      <c r="L2334">
        <f>AVERAGE(K2334:K2336)</f>
        <v/>
      </c>
      <c r="M2334">
        <f>STDEV(K2334:K2336)</f>
        <v/>
      </c>
      <c r="N2334">
        <f>_xlfn.CONCAT(ROUND(L2334,1)," ± ",ROUND(M2334,1))</f>
        <v/>
      </c>
    </row>
    <row r="2335">
      <c r="A2335" s="19" t="n">
        <v>43</v>
      </c>
      <c r="B2335" s="19" t="inlineStr">
        <is>
          <t>K3-4B</t>
        </is>
      </c>
      <c r="D2335" t="n">
        <v>16.38</v>
      </c>
      <c r="E2335" t="n">
        <v>38.917</v>
      </c>
      <c r="F2335" t="n">
        <v>398.943</v>
      </c>
      <c r="G2335" t="n">
        <v>349</v>
      </c>
      <c r="H2335">
        <f>E2335/F2335</f>
        <v/>
      </c>
      <c r="I2335">
        <f>((H2335-$J$2292)/$I$2292)</f>
        <v/>
      </c>
      <c r="J2335">
        <f>(I2335-IF(I2300&gt;0,I2300,0))</f>
        <v/>
      </c>
      <c r="K2335">
        <f>J2335/R2317*1.1</f>
        <v/>
      </c>
    </row>
    <row r="2336">
      <c r="A2336" s="19" t="n">
        <v>44</v>
      </c>
      <c r="B2336" s="19" t="inlineStr">
        <is>
          <t>K3-4C</t>
        </is>
      </c>
      <c r="D2336" t="n">
        <v>16.38</v>
      </c>
      <c r="E2336" t="n">
        <v>9.039999999999999</v>
      </c>
      <c r="F2336" t="n">
        <v>556.154</v>
      </c>
      <c r="G2336" t="n">
        <v>79</v>
      </c>
      <c r="H2336">
        <f>E2336/F2336</f>
        <v/>
      </c>
      <c r="I2336">
        <f>((H2336-$J$2292)/$I$2292)</f>
        <v/>
      </c>
      <c r="J2336">
        <f>(I2336-IF(I2300&gt;0,I2300,0))</f>
        <v/>
      </c>
      <c r="K2336">
        <f>J2336/R2318*1.1</f>
        <v/>
      </c>
      <c r="L2336" s="23" t="n"/>
      <c r="M2336" s="23" t="n"/>
      <c r="N2336" s="9" t="n"/>
    </row>
    <row r="2337">
      <c r="A2337" s="19" t="n">
        <v>45</v>
      </c>
      <c r="B2337" s="19" t="inlineStr">
        <is>
          <t>MeOH</t>
        </is>
      </c>
      <c r="L2337" s="23" t="inlineStr">
        <is>
          <t>Average</t>
        </is>
      </c>
      <c r="M2337" s="23" t="inlineStr">
        <is>
          <t>Stdev</t>
        </is>
      </c>
      <c r="N2337" s="9" t="inlineStr">
        <is>
          <t>Combined</t>
        </is>
      </c>
    </row>
    <row r="2338">
      <c r="A2338" s="19" t="n">
        <v>46</v>
      </c>
      <c r="B2338" s="19" t="inlineStr">
        <is>
          <t>K3-6A</t>
        </is>
      </c>
      <c r="F2338" t="n">
        <v>543.972</v>
      </c>
      <c r="H2338">
        <f>E2338/F2338</f>
        <v/>
      </c>
      <c r="I2338">
        <f>((H2338-$J$2292)/$I$2292)</f>
        <v/>
      </c>
      <c r="J2338">
        <f>(I2338-IF(I2300&gt;0,I2300,0))</f>
        <v/>
      </c>
      <c r="K2338">
        <f>J2338/R2319*1.1</f>
        <v/>
      </c>
      <c r="L2338">
        <f>AVERAGE(K2338:K2340)</f>
        <v/>
      </c>
      <c r="M2338">
        <f>STDEV(K2339:K2340)</f>
        <v/>
      </c>
      <c r="N2338">
        <f>_xlfn.CONCAT(ROUND(L2338,1)," ± ",ROUND(M2338,1))</f>
        <v/>
      </c>
    </row>
    <row r="2339">
      <c r="A2339" s="19" t="n">
        <v>47</v>
      </c>
      <c r="B2339" s="19" t="inlineStr">
        <is>
          <t>K3-6B</t>
        </is>
      </c>
      <c r="F2339" t="n">
        <v>411.323</v>
      </c>
      <c r="H2339">
        <f>E2339/F2339</f>
        <v/>
      </c>
      <c r="I2339">
        <f>((H2339-$J$2292)/$I$2292)</f>
        <v/>
      </c>
      <c r="J2339">
        <f>(I2339-IF(I2300&gt;0,I2300,0))</f>
        <v/>
      </c>
      <c r="K2339">
        <f>J2339/R2320*1.1</f>
        <v/>
      </c>
    </row>
    <row r="2340">
      <c r="A2340" s="19" t="n">
        <v>48</v>
      </c>
      <c r="B2340" s="19" t="inlineStr">
        <is>
          <t>K3-6C</t>
        </is>
      </c>
      <c r="D2340" t="n">
        <v>16.29</v>
      </c>
      <c r="E2340" t="n">
        <v>11.496</v>
      </c>
      <c r="F2340" t="n">
        <v>451.372</v>
      </c>
      <c r="G2340" t="n">
        <v>124</v>
      </c>
      <c r="H2340">
        <f>E2340/F2340</f>
        <v/>
      </c>
      <c r="I2340">
        <f>((H2340-$J$2292)/$I$2292)</f>
        <v/>
      </c>
      <c r="J2340">
        <f>(I2340-IF(I2300&gt;0,I2300,0))</f>
        <v/>
      </c>
      <c r="K2340">
        <f>J2340/R2321*1.1</f>
        <v/>
      </c>
      <c r="L2340" s="23" t="n"/>
      <c r="M2340" s="23" t="n"/>
      <c r="N2340" s="9" t="n"/>
    </row>
    <row r="2342">
      <c r="A2342" s="15" t="inlineStr">
        <is>
          <t>Compound 122:  PFTeDA 1</t>
        </is>
      </c>
      <c r="B2342" s="15" t="n"/>
    </row>
    <row r="2343">
      <c r="I2343" t="inlineStr">
        <is>
          <t>LINEST</t>
        </is>
      </c>
      <c r="Q2343" t="inlineStr">
        <is>
          <t>Biosolids Masses</t>
        </is>
      </c>
      <c r="R2343" t="inlineStr">
        <is>
          <t>(g)</t>
        </is>
      </c>
    </row>
    <row r="2344">
      <c r="B2344" t="inlineStr">
        <is>
          <t>Sample Text</t>
        </is>
      </c>
      <c r="C2344" t="inlineStr">
        <is>
          <t>Std. Conc</t>
        </is>
      </c>
      <c r="D2344" t="inlineStr">
        <is>
          <t>RT</t>
        </is>
      </c>
      <c r="E2344" t="inlineStr">
        <is>
          <t>Area</t>
        </is>
      </c>
      <c r="F2344" t="inlineStr">
        <is>
          <t>IS Area</t>
        </is>
      </c>
      <c r="G2344" t="inlineStr">
        <is>
          <t>S/N</t>
        </is>
      </c>
      <c r="H2344" t="inlineStr">
        <is>
          <t>ratio</t>
        </is>
      </c>
      <c r="I2344">
        <f t="array" ref="I2344:J2348">LINEST(H2346:H2352,C2346:C2352,1,1)</f>
        <v/>
      </c>
      <c r="J2344" t="n">
        <v>0.1309458367159033</v>
      </c>
      <c r="L2344" s="20" t="inlineStr">
        <is>
          <t>By S/N Ratio</t>
        </is>
      </c>
      <c r="Q2344" t="inlineStr">
        <is>
          <t>SS1</t>
        </is>
      </c>
      <c r="R2344" t="n">
        <v>1.0846</v>
      </c>
    </row>
    <row r="2345">
      <c r="A2345" t="n">
        <v>1</v>
      </c>
      <c r="B2345" t="inlineStr">
        <is>
          <t>EPA1633 &amp; diPAPs Calibration 0 ppb</t>
        </is>
      </c>
      <c r="C2345" t="n">
        <v>0</v>
      </c>
      <c r="D2345" t="n">
        <v>16.76</v>
      </c>
      <c r="E2345" t="n">
        <v>70.06</v>
      </c>
      <c r="F2345" t="n">
        <v>1320.569</v>
      </c>
      <c r="G2345" t="n">
        <v>4.506</v>
      </c>
      <c r="H2345">
        <f>E2345/F2345</f>
        <v/>
      </c>
      <c r="I2345" t="n">
        <v>0.01001226548443813</v>
      </c>
      <c r="J2345" t="n">
        <v>0.08680536014987329</v>
      </c>
      <c r="K2345" t="inlineStr">
        <is>
          <t>LOD</t>
        </is>
      </c>
      <c r="L2345" s="21">
        <f>IF(G2348&gt;3,C2348,IF(G2349&gt;3,C2349,IF(G2350&gt;3,C2350,IF(G2351&gt;3,C2351,C2352))))</f>
        <v/>
      </c>
      <c r="Q2345" t="inlineStr">
        <is>
          <t>SS2</t>
        </is>
      </c>
      <c r="R2345" t="n">
        <v>1.0726</v>
      </c>
    </row>
    <row r="2346">
      <c r="A2346" t="n">
        <v>2</v>
      </c>
      <c r="B2346" t="inlineStr">
        <is>
          <t>EPA1633 &amp; diPAPs Calibration 0.02 ppb</t>
        </is>
      </c>
      <c r="C2346" t="n">
        <v>0.02</v>
      </c>
      <c r="D2346" t="n">
        <v>16.77</v>
      </c>
      <c r="E2346" t="n">
        <v>250.588</v>
      </c>
      <c r="F2346" t="n">
        <v>1092.248</v>
      </c>
      <c r="G2346" t="n">
        <v>12.074</v>
      </c>
      <c r="H2346">
        <f>E2346/F2346</f>
        <v/>
      </c>
      <c r="I2346" t="n">
        <v>0.9992254073363263</v>
      </c>
      <c r="J2346" t="n">
        <v>0.1834296066838655</v>
      </c>
      <c r="K2346" t="inlineStr">
        <is>
          <t>LOQ</t>
        </is>
      </c>
      <c r="L2346" s="22">
        <f>IF(G2348&gt;10,C2348,IF(G2349&gt;10,C2349,IF(G2350&gt;10,C2350,IF(G2351&gt;10,C2351,C2352))))</f>
        <v/>
      </c>
      <c r="Q2346" t="inlineStr">
        <is>
          <t>SS3</t>
        </is>
      </c>
      <c r="R2346" t="n">
        <v>1.1534</v>
      </c>
    </row>
    <row r="2347">
      <c r="A2347" t="n">
        <v>3</v>
      </c>
      <c r="B2347" t="inlineStr">
        <is>
          <t>EPA1633 &amp; diPAPs Calibration 0.1 ppb</t>
        </is>
      </c>
      <c r="C2347" t="n">
        <v>0.1</v>
      </c>
      <c r="D2347" t="n">
        <v>16.77</v>
      </c>
      <c r="E2347" t="n">
        <v>331.607</v>
      </c>
      <c r="F2347" t="n">
        <v>1259.575</v>
      </c>
      <c r="G2347" t="n">
        <v>38.789</v>
      </c>
      <c r="H2347">
        <f>E2347/F2347</f>
        <v/>
      </c>
      <c r="I2347" t="n">
        <v>6450.005623583071</v>
      </c>
      <c r="J2347" t="n">
        <v>5</v>
      </c>
      <c r="Q2347" t="inlineStr">
        <is>
          <t>K4-1A</t>
        </is>
      </c>
      <c r="R2347" t="n">
        <v>1.0267</v>
      </c>
    </row>
    <row r="2348">
      <c r="A2348" t="n">
        <v>4</v>
      </c>
      <c r="B2348" t="inlineStr">
        <is>
          <t>EPA1633 &amp; diPAPs Calibration 0.4 ppb</t>
        </is>
      </c>
      <c r="C2348" t="n">
        <v>0.4</v>
      </c>
      <c r="D2348" t="n">
        <v>16.78</v>
      </c>
      <c r="E2348" t="n">
        <v>672.612</v>
      </c>
      <c r="F2348" t="n">
        <v>1040.151</v>
      </c>
      <c r="G2348" t="n">
        <v>1273.736</v>
      </c>
      <c r="H2348">
        <f>E2348/F2348</f>
        <v/>
      </c>
      <c r="I2348" t="n">
        <v>217.0196021363159</v>
      </c>
      <c r="J2348" t="n">
        <v>0.168232103040988</v>
      </c>
      <c r="Q2348" t="inlineStr">
        <is>
          <t>K4-1B</t>
        </is>
      </c>
      <c r="R2348" t="n">
        <v>1.1481</v>
      </c>
    </row>
    <row r="2349">
      <c r="A2349" t="n">
        <v>5</v>
      </c>
      <c r="B2349" t="inlineStr">
        <is>
          <t>EPA1633 &amp; diPAPs Calibration 1 ppb</t>
        </is>
      </c>
      <c r="C2349" t="n">
        <v>1</v>
      </c>
      <c r="D2349" t="n">
        <v>16.74</v>
      </c>
      <c r="E2349" t="n">
        <v>1250.665</v>
      </c>
      <c r="F2349" t="n">
        <v>1405.741</v>
      </c>
      <c r="G2349" t="n">
        <v>431.178</v>
      </c>
      <c r="H2349">
        <f>E2349/F2349</f>
        <v/>
      </c>
      <c r="Q2349" t="inlineStr">
        <is>
          <t>K4-1C</t>
        </is>
      </c>
      <c r="R2349" t="n">
        <v>1.0402</v>
      </c>
    </row>
    <row r="2350">
      <c r="A2350" t="n">
        <v>6</v>
      </c>
      <c r="B2350" t="inlineStr">
        <is>
          <t>EPA1633 &amp; diPAPs Calibration 5 ppb</t>
        </is>
      </c>
      <c r="C2350" t="n">
        <v>5</v>
      </c>
      <c r="D2350" t="n">
        <v>16.75</v>
      </c>
      <c r="E2350" t="n">
        <v>4841.312</v>
      </c>
      <c r="F2350" t="n">
        <v>1256.498</v>
      </c>
      <c r="G2350" t="n">
        <v>128.388</v>
      </c>
      <c r="H2350">
        <f>E2350/F2350</f>
        <v/>
      </c>
      <c r="Q2350" t="inlineStr">
        <is>
          <t>K4-2A</t>
        </is>
      </c>
      <c r="R2350" t="n">
        <v>1.127</v>
      </c>
    </row>
    <row r="2351">
      <c r="A2351" t="n">
        <v>7</v>
      </c>
      <c r="B2351" t="inlineStr">
        <is>
          <t>EPA1633 &amp; diPAPs Calibration 10 ppb</t>
        </is>
      </c>
      <c r="C2351" t="n">
        <v>10</v>
      </c>
      <c r="D2351" t="n">
        <v>16.75</v>
      </c>
      <c r="E2351" t="n">
        <v>7773.212</v>
      </c>
      <c r="F2351" t="n">
        <v>964.71</v>
      </c>
      <c r="G2351" t="n">
        <v>868.002</v>
      </c>
      <c r="H2351">
        <f>E2351/F2351</f>
        <v/>
      </c>
      <c r="I2351" s="23" t="inlineStr">
        <is>
          <t>Background</t>
        </is>
      </c>
      <c r="J2351" s="23" t="inlineStr">
        <is>
          <t>Spike</t>
        </is>
      </c>
      <c r="K2351" s="9" t="inlineStr">
        <is>
          <t>Old Spike</t>
        </is>
      </c>
      <c r="O2351" s="24" t="inlineStr">
        <is>
          <t>±</t>
        </is>
      </c>
      <c r="Q2351" t="inlineStr">
        <is>
          <t>K4-2B</t>
        </is>
      </c>
      <c r="R2351" t="n">
        <v>1.1154</v>
      </c>
    </row>
    <row r="2352">
      <c r="A2352" t="n">
        <v>8</v>
      </c>
      <c r="B2352" t="inlineStr">
        <is>
          <t>EPA1633 &amp; diPAPs Calibration 20 ppb</t>
        </is>
      </c>
      <c r="C2352" t="n">
        <v>20</v>
      </c>
      <c r="D2352" t="n">
        <v>16.76</v>
      </c>
      <c r="E2352" t="n">
        <v>16775.973</v>
      </c>
      <c r="F2352" t="n">
        <v>1026.499</v>
      </c>
      <c r="G2352" t="n">
        <v>910.854</v>
      </c>
      <c r="H2352">
        <f>E2352/F2352</f>
        <v/>
      </c>
      <c r="I2352">
        <f>AVERAGE(I2355:I2357)</f>
        <v/>
      </c>
      <c r="J2352" t="n">
        <v>11</v>
      </c>
      <c r="Q2352" t="inlineStr">
        <is>
          <t>K4-2C</t>
        </is>
      </c>
      <c r="R2352" t="n">
        <v>1.1711</v>
      </c>
    </row>
    <row r="2353">
      <c r="A2353" t="n">
        <v>9</v>
      </c>
      <c r="B2353" t="inlineStr">
        <is>
          <t>MeOH</t>
        </is>
      </c>
      <c r="D2353" t="n">
        <v>16.75</v>
      </c>
      <c r="E2353" t="n">
        <v>154.504</v>
      </c>
      <c r="F2353" t="n">
        <v>11.688</v>
      </c>
      <c r="G2353" t="n">
        <v>20.754</v>
      </c>
      <c r="I2353" s="23" t="inlineStr">
        <is>
          <t>Conc.In Vial (ppb)</t>
        </is>
      </c>
      <c r="J2353" s="9" t="inlineStr">
        <is>
          <t>Corr. Conc.(ppb)</t>
        </is>
      </c>
      <c r="K2353" s="9" t="inlineStr">
        <is>
          <t>Conc. In soil (ng/g)</t>
        </is>
      </c>
      <c r="Q2353" t="inlineStr">
        <is>
          <t>K4-4A</t>
        </is>
      </c>
      <c r="R2353" t="n">
        <v>1.0932</v>
      </c>
    </row>
    <row r="2354">
      <c r="A2354" t="n">
        <v>10</v>
      </c>
      <c r="B2354" t="inlineStr">
        <is>
          <t>MeOH</t>
        </is>
      </c>
      <c r="D2354" t="n">
        <v>16.79</v>
      </c>
      <c r="E2354" t="n">
        <v>41.798</v>
      </c>
      <c r="F2354" t="n">
        <v>3.639</v>
      </c>
      <c r="G2354" t="n">
        <v>9.388999999999999</v>
      </c>
      <c r="L2354" s="23" t="inlineStr">
        <is>
          <t>Average</t>
        </is>
      </c>
      <c r="M2354" s="23" t="inlineStr">
        <is>
          <t>Stdev</t>
        </is>
      </c>
      <c r="N2354" s="9" t="inlineStr">
        <is>
          <t>Combined</t>
        </is>
      </c>
      <c r="O2354" s="9" t="n"/>
      <c r="P2354" s="9" t="n"/>
      <c r="Q2354" t="inlineStr">
        <is>
          <t>K4-4B</t>
        </is>
      </c>
      <c r="R2354" t="n">
        <v>1.15</v>
      </c>
    </row>
    <row r="2355">
      <c r="A2355" t="n">
        <v>11</v>
      </c>
      <c r="B2355" t="inlineStr">
        <is>
          <t>SB1</t>
        </is>
      </c>
      <c r="D2355" t="n">
        <v>16.79</v>
      </c>
      <c r="E2355" t="n">
        <v>112.26</v>
      </c>
      <c r="F2355" t="n">
        <v>414.528</v>
      </c>
      <c r="G2355" t="n">
        <v>51.663</v>
      </c>
      <c r="H2355">
        <f>E2355/F2355</f>
        <v/>
      </c>
      <c r="I2355">
        <f>((H2355-$J$2344)/$I$2344)</f>
        <v/>
      </c>
      <c r="J2355">
        <f>(I2355-IF(I2352&gt;0,I2352,0))</f>
        <v/>
      </c>
      <c r="K2355">
        <f>J2355*1.1</f>
        <v/>
      </c>
      <c r="L2355">
        <f>AVERAGE(K2355:K2357)</f>
        <v/>
      </c>
      <c r="M2355">
        <f>STDEV(K2356:K2357)</f>
        <v/>
      </c>
      <c r="N2355">
        <f>_xlfn.CONCAT(ROUND(L2355,1)," ± ",ROUND(M2355,1))</f>
        <v/>
      </c>
      <c r="Q2355" t="inlineStr">
        <is>
          <t>K4-4C</t>
        </is>
      </c>
      <c r="R2355" t="n">
        <v>1.0482</v>
      </c>
    </row>
    <row r="2356">
      <c r="A2356" t="n">
        <v>12</v>
      </c>
      <c r="B2356" t="inlineStr">
        <is>
          <t>SB2</t>
        </is>
      </c>
      <c r="D2356" t="n">
        <v>16.82</v>
      </c>
      <c r="E2356" t="n">
        <v>51.199</v>
      </c>
      <c r="F2356" t="n">
        <v>503.01</v>
      </c>
      <c r="G2356" t="n">
        <v>10.923</v>
      </c>
      <c r="H2356">
        <f>E2356/F2356</f>
        <v/>
      </c>
      <c r="I2356">
        <f>((H2356-$J$2344)/$I$2344)</f>
        <v/>
      </c>
      <c r="J2356">
        <f>(I2356-IF(I2352&gt;0,I2352,0))</f>
        <v/>
      </c>
      <c r="K2356">
        <f>J2356*1.1</f>
        <v/>
      </c>
      <c r="Q2356" t="inlineStr">
        <is>
          <t>K4-5A</t>
        </is>
      </c>
      <c r="R2356" t="n">
        <v>1.1054</v>
      </c>
    </row>
    <row r="2357">
      <c r="A2357" t="n">
        <v>13</v>
      </c>
      <c r="B2357" t="inlineStr">
        <is>
          <t>SB3</t>
        </is>
      </c>
      <c r="D2357" t="n">
        <v>16.92</v>
      </c>
      <c r="E2357" t="n">
        <v>28.77</v>
      </c>
      <c r="F2357" t="n">
        <v>431.257</v>
      </c>
      <c r="G2357" t="n">
        <v>1.432</v>
      </c>
      <c r="H2357">
        <f>E2357/F2357</f>
        <v/>
      </c>
      <c r="I2357">
        <f>((H2357-$J$2344)/$I$2344)</f>
        <v/>
      </c>
      <c r="J2357">
        <f>(I2357-IF(I2352&gt;0,I2352,0))</f>
        <v/>
      </c>
      <c r="K2357" s="30">
        <f>J2357*1.1</f>
        <v/>
      </c>
      <c r="L2357" s="25" t="inlineStr">
        <is>
          <t>Average</t>
        </is>
      </c>
      <c r="M2357" s="25" t="inlineStr">
        <is>
          <t>Stdev</t>
        </is>
      </c>
      <c r="N2357" s="26" t="inlineStr">
        <is>
          <t>%Recovery</t>
        </is>
      </c>
      <c r="O2357" s="26" t="inlineStr">
        <is>
          <t>Uncertainty</t>
        </is>
      </c>
      <c r="P2357" s="26" t="inlineStr">
        <is>
          <t>Combined</t>
        </is>
      </c>
      <c r="Q2357" t="inlineStr">
        <is>
          <t>K4-5B</t>
        </is>
      </c>
      <c r="R2357" s="10" t="n">
        <v>1.0463</v>
      </c>
    </row>
    <row r="2358">
      <c r="A2358" t="n">
        <v>14</v>
      </c>
      <c r="B2358" t="inlineStr">
        <is>
          <t>SS1</t>
        </is>
      </c>
      <c r="D2358" t="n">
        <v>16.8</v>
      </c>
      <c r="E2358" t="n">
        <v>2840.091</v>
      </c>
      <c r="F2358" t="n">
        <v>427.401</v>
      </c>
      <c r="G2358" t="n">
        <v>190.577</v>
      </c>
      <c r="H2358">
        <f>E2358/F2358</f>
        <v/>
      </c>
      <c r="I2358">
        <f>((H2358-$J$2344)/$I$2344)</f>
        <v/>
      </c>
      <c r="J2358">
        <f>(I2358-IF(I2352&gt;0,I2352,0))</f>
        <v/>
      </c>
      <c r="K2358">
        <f>J2358/R2344*1.1</f>
        <v/>
      </c>
      <c r="L2358" s="27">
        <f>AVERAGE(K2358:K2360)</f>
        <v/>
      </c>
      <c r="M2358" s="27">
        <f>STDEV(K2358:K2360)</f>
        <v/>
      </c>
      <c r="N2358" s="28">
        <f>L2358/J2352*100</f>
        <v/>
      </c>
      <c r="O2358" s="29">
        <f>M2358/J2355*100</f>
        <v/>
      </c>
      <c r="P2358" s="29">
        <f>_xlfn.CONCAT(ROUND(N2358,1)," ± ",ROUND(O2358,1))</f>
        <v/>
      </c>
      <c r="Q2358" t="inlineStr">
        <is>
          <t>K4-5C</t>
        </is>
      </c>
      <c r="R2358" t="n">
        <v>1.1155</v>
      </c>
    </row>
    <row r="2359">
      <c r="A2359" t="n">
        <v>15</v>
      </c>
      <c r="B2359" t="inlineStr">
        <is>
          <t>SS2</t>
        </is>
      </c>
      <c r="D2359" t="n">
        <v>16.8</v>
      </c>
      <c r="E2359" t="n">
        <v>2903.208</v>
      </c>
      <c r="F2359" t="n">
        <v>452.262</v>
      </c>
      <c r="G2359" t="n">
        <v>203.512</v>
      </c>
      <c r="H2359">
        <f>E2359/F2359</f>
        <v/>
      </c>
      <c r="I2359">
        <f>((H2359-$J$2344)/$I$2344)</f>
        <v/>
      </c>
      <c r="J2359">
        <f>(I2359-IF(I2352&gt;0,I2352,0))</f>
        <v/>
      </c>
      <c r="K2359">
        <f>J2359/R2345*1.1</f>
        <v/>
      </c>
      <c r="Q2359" t="inlineStr">
        <is>
          <t>K3-1A</t>
        </is>
      </c>
      <c r="R2359" t="n">
        <v>1.0874</v>
      </c>
    </row>
    <row r="2360">
      <c r="A2360" t="n">
        <v>16</v>
      </c>
      <c r="B2360" t="inlineStr">
        <is>
          <t>SS3</t>
        </is>
      </c>
      <c r="D2360" t="n">
        <v>16.82</v>
      </c>
      <c r="E2360" t="n">
        <v>2867.345</v>
      </c>
      <c r="F2360" t="n">
        <v>344.206</v>
      </c>
      <c r="G2360" t="n">
        <v>705.468</v>
      </c>
      <c r="H2360">
        <f>E2360/F2360</f>
        <v/>
      </c>
      <c r="I2360">
        <f>((H2360-$J$2344)/$I$2344)</f>
        <v/>
      </c>
      <c r="J2360">
        <f>(I2360-IF(I2352&gt;0,I2352,0))</f>
        <v/>
      </c>
      <c r="K2360" s="30">
        <f>J2360/R2346*1.1</f>
        <v/>
      </c>
      <c r="Q2360" t="inlineStr">
        <is>
          <t>K3-1B</t>
        </is>
      </c>
      <c r="R2360" t="n">
        <v>1.0898</v>
      </c>
    </row>
    <row r="2361">
      <c r="A2361" s="19" t="n">
        <v>17</v>
      </c>
      <c r="B2361" s="19" t="inlineStr">
        <is>
          <t>MeOH</t>
        </is>
      </c>
      <c r="L2361" s="23" t="inlineStr">
        <is>
          <t>Average</t>
        </is>
      </c>
      <c r="M2361" s="23" t="inlineStr">
        <is>
          <t>Stdev</t>
        </is>
      </c>
      <c r="N2361" s="9" t="inlineStr">
        <is>
          <t>Combined</t>
        </is>
      </c>
      <c r="Q2361" t="inlineStr">
        <is>
          <t>K3-1C</t>
        </is>
      </c>
      <c r="R2361" t="n">
        <v>1.0536</v>
      </c>
    </row>
    <row r="2362">
      <c r="A2362" s="19" t="n">
        <v>18</v>
      </c>
      <c r="B2362" s="19" t="inlineStr">
        <is>
          <t>K4-1A</t>
        </is>
      </c>
      <c r="D2362" t="n">
        <v>16.83</v>
      </c>
      <c r="E2362" t="n">
        <v>85.001</v>
      </c>
      <c r="F2362" t="n">
        <v>435.167</v>
      </c>
      <c r="G2362" t="n">
        <v>77.616</v>
      </c>
      <c r="H2362">
        <f>E2362/F2362</f>
        <v/>
      </c>
      <c r="I2362">
        <f>((H2362-$J$2344)/$I$2344)</f>
        <v/>
      </c>
      <c r="J2362">
        <f>(I2362-IF(I2352&gt;0,I2352,0))</f>
        <v/>
      </c>
      <c r="K2362">
        <f>J2362/R2347*1.1</f>
        <v/>
      </c>
      <c r="L2362">
        <f>AVERAGE(K2362:K2364)</f>
        <v/>
      </c>
      <c r="M2362">
        <f>STDEV(K2363:K2364)</f>
        <v/>
      </c>
      <c r="N2362">
        <f>_xlfn.CONCAT(ROUND(L2362,1)," ± ",ROUND(M2362,1))</f>
        <v/>
      </c>
      <c r="Q2362" t="inlineStr">
        <is>
          <t>K3-2A</t>
        </is>
      </c>
      <c r="R2362" s="10" t="n">
        <v>1.1218</v>
      </c>
    </row>
    <row r="2363">
      <c r="A2363" s="19" t="n">
        <v>19</v>
      </c>
      <c r="B2363" s="19" t="inlineStr">
        <is>
          <t>K4-1B</t>
        </is>
      </c>
      <c r="D2363" t="n">
        <v>16.83</v>
      </c>
      <c r="E2363" t="n">
        <v>15.983</v>
      </c>
      <c r="F2363" t="n">
        <v>549.792</v>
      </c>
      <c r="G2363" t="n">
        <v>2.288</v>
      </c>
      <c r="H2363">
        <f>E2363/F2363</f>
        <v/>
      </c>
      <c r="I2363">
        <f>((H2363-$J$2344)/$I$2344)</f>
        <v/>
      </c>
      <c r="J2363">
        <f>(I2363-IF(I2352&gt;0,I2352,0))</f>
        <v/>
      </c>
      <c r="K2363">
        <f>J2363/R2348*1.1</f>
        <v/>
      </c>
      <c r="Q2363" t="inlineStr">
        <is>
          <t>K3-2B</t>
        </is>
      </c>
      <c r="R2363" t="n">
        <v>1.198</v>
      </c>
    </row>
    <row r="2364">
      <c r="A2364" s="19" t="n">
        <v>20</v>
      </c>
      <c r="B2364" s="19" t="inlineStr">
        <is>
          <t>K4-1C</t>
        </is>
      </c>
      <c r="D2364" t="n">
        <v>17.07</v>
      </c>
      <c r="E2364" t="n">
        <v>28.083</v>
      </c>
      <c r="F2364" t="n">
        <v>409.212</v>
      </c>
      <c r="G2364" t="n">
        <v>279</v>
      </c>
      <c r="H2364">
        <f>E2364/F2364</f>
        <v/>
      </c>
      <c r="I2364">
        <f>((H2364-$J$2344)/$I$2344)</f>
        <v/>
      </c>
      <c r="J2364">
        <f>(I2364-IF(I2352&gt;0,I2352,0))</f>
        <v/>
      </c>
      <c r="K2364">
        <f>J2364/R2349*1.1</f>
        <v/>
      </c>
      <c r="L2364" s="23" t="inlineStr">
        <is>
          <t>Average</t>
        </is>
      </c>
      <c r="M2364" s="23" t="inlineStr">
        <is>
          <t>Stdev</t>
        </is>
      </c>
      <c r="N2364" s="9" t="inlineStr">
        <is>
          <t>Combined</t>
        </is>
      </c>
      <c r="Q2364" t="inlineStr">
        <is>
          <t>K3-2C</t>
        </is>
      </c>
      <c r="R2364" t="n">
        <v>1.1538</v>
      </c>
    </row>
    <row r="2365">
      <c r="A2365" s="19" t="n">
        <v>21</v>
      </c>
      <c r="B2365" s="19" t="inlineStr">
        <is>
          <t>K4-2A</t>
        </is>
      </c>
      <c r="D2365" t="n">
        <v>16.82</v>
      </c>
      <c r="E2365" t="n">
        <v>16.483</v>
      </c>
      <c r="F2365" t="n">
        <v>458.88</v>
      </c>
      <c r="G2365" t="n">
        <v>8.266</v>
      </c>
      <c r="H2365">
        <f>E2365/F2365</f>
        <v/>
      </c>
      <c r="I2365">
        <f>((H2365-$J$2344)/$I$2344)</f>
        <v/>
      </c>
      <c r="J2365">
        <f>(I2365-IF(I2352&gt;0,I2352,0))</f>
        <v/>
      </c>
      <c r="K2365">
        <f>J2365/R2350*1.1</f>
        <v/>
      </c>
      <c r="L2365">
        <f>AVERAGE(K2365:K2367)</f>
        <v/>
      </c>
      <c r="M2365">
        <f>STDEV(K2365:K2367)</f>
        <v/>
      </c>
      <c r="N2365">
        <f>_xlfn.CONCAT(ROUND(L2365,1)," ± ",ROUND(M2365,1))</f>
        <v/>
      </c>
      <c r="Q2365" t="inlineStr">
        <is>
          <t>K3-3A</t>
        </is>
      </c>
      <c r="R2365" t="n">
        <v>1.1183</v>
      </c>
    </row>
    <row r="2366">
      <c r="A2366" s="19" t="n">
        <v>22</v>
      </c>
      <c r="B2366" s="19" t="inlineStr">
        <is>
          <t>K4-2B</t>
        </is>
      </c>
      <c r="D2366" t="n">
        <v>16.83</v>
      </c>
      <c r="E2366" t="n">
        <v>28.114</v>
      </c>
      <c r="F2366" t="n">
        <v>403.292</v>
      </c>
      <c r="G2366" t="n">
        <v>2.843</v>
      </c>
      <c r="H2366">
        <f>E2366/F2366</f>
        <v/>
      </c>
      <c r="I2366">
        <f>((H2366-$J$2344)/$I$2344)</f>
        <v/>
      </c>
      <c r="J2366">
        <f>(I2366-IF(I2352&gt;0,I2352,0))</f>
        <v/>
      </c>
      <c r="K2366">
        <f>J2366/R2351*1.1</f>
        <v/>
      </c>
      <c r="Q2366" t="inlineStr">
        <is>
          <t>K3-3B</t>
        </is>
      </c>
      <c r="R2366" t="n">
        <v>1.1448</v>
      </c>
    </row>
    <row r="2367">
      <c r="A2367" s="19" t="n">
        <v>23</v>
      </c>
      <c r="B2367" s="19" t="inlineStr">
        <is>
          <t>K4-2C</t>
        </is>
      </c>
      <c r="D2367" t="n">
        <v>17</v>
      </c>
      <c r="E2367" t="n">
        <v>1.809</v>
      </c>
      <c r="F2367" t="n">
        <v>349.79</v>
      </c>
      <c r="G2367" t="n">
        <v>3.386</v>
      </c>
      <c r="H2367">
        <f>E2367/F2367</f>
        <v/>
      </c>
      <c r="I2367">
        <f>((H2367-$J$2344)/$I$2344)</f>
        <v/>
      </c>
      <c r="J2367">
        <f>(I2367-IF(I2352&gt;0,I2352,0))</f>
        <v/>
      </c>
      <c r="K2367">
        <f>J2367/R2352*1.1</f>
        <v/>
      </c>
      <c r="L2367" s="23" t="n"/>
      <c r="M2367" s="23" t="n"/>
      <c r="N2367" s="9" t="n"/>
      <c r="Q2367" t="inlineStr">
        <is>
          <t>K3-3C</t>
        </is>
      </c>
      <c r="R2367" t="n">
        <v>1.0493</v>
      </c>
    </row>
    <row r="2368">
      <c r="A2368" s="19" t="n">
        <v>24</v>
      </c>
      <c r="B2368" s="19" t="inlineStr">
        <is>
          <t>MeOH</t>
        </is>
      </c>
      <c r="L2368" s="23" t="inlineStr">
        <is>
          <t>Average</t>
        </is>
      </c>
      <c r="M2368" s="23" t="inlineStr">
        <is>
          <t>Stdev</t>
        </is>
      </c>
      <c r="N2368" s="9" t="inlineStr">
        <is>
          <t>Combined</t>
        </is>
      </c>
      <c r="Q2368" t="inlineStr">
        <is>
          <t>K3-4A</t>
        </is>
      </c>
      <c r="R2368" t="n">
        <v>1.0704</v>
      </c>
    </row>
    <row r="2369">
      <c r="A2369" s="19" t="n">
        <v>25</v>
      </c>
      <c r="B2369" s="19" t="inlineStr">
        <is>
          <t>K4-4A</t>
        </is>
      </c>
      <c r="D2369" t="n">
        <v>17</v>
      </c>
      <c r="E2369" t="n">
        <v>22.909</v>
      </c>
      <c r="F2369" t="n">
        <v>438.197</v>
      </c>
      <c r="G2369" t="n">
        <v>24.768</v>
      </c>
      <c r="H2369">
        <f>E2369/F2369</f>
        <v/>
      </c>
      <c r="I2369">
        <f>((H2369-$J$2344)/$I$2344)</f>
        <v/>
      </c>
      <c r="J2369">
        <f>(I2369-IF(I2352&gt;0,I2352,0))</f>
        <v/>
      </c>
      <c r="K2369">
        <f>J2369/R2353*1.1</f>
        <v/>
      </c>
      <c r="L2369">
        <f>AVERAGE(K2369:K2371)</f>
        <v/>
      </c>
      <c r="M2369">
        <f>STDEV(K2370:K2371)</f>
        <v/>
      </c>
      <c r="N2369">
        <f>_xlfn.CONCAT(ROUND(L2369,1)," ± ",ROUND(M2369,1))</f>
        <v/>
      </c>
      <c r="Q2369" t="inlineStr">
        <is>
          <t>K3-4B</t>
        </is>
      </c>
      <c r="R2369" t="n">
        <v>1.1589</v>
      </c>
    </row>
    <row r="2370">
      <c r="A2370" s="19" t="n">
        <v>26</v>
      </c>
      <c r="B2370" s="19" t="inlineStr">
        <is>
          <t>K4-4B</t>
        </is>
      </c>
      <c r="D2370" t="n">
        <v>16.93</v>
      </c>
      <c r="E2370" t="n">
        <v>26.798</v>
      </c>
      <c r="F2370" t="n">
        <v>453.67</v>
      </c>
      <c r="G2370" t="n">
        <v>2.5</v>
      </c>
      <c r="H2370">
        <f>E2370/F2370</f>
        <v/>
      </c>
      <c r="I2370">
        <f>((H2370-$J$2344)/$I$2344)</f>
        <v/>
      </c>
      <c r="J2370">
        <f>(I2370-IF(I2352&gt;0,I2352,0))</f>
        <v/>
      </c>
      <c r="K2370">
        <f>J2370/R2354*1.1</f>
        <v/>
      </c>
      <c r="Q2370" t="inlineStr">
        <is>
          <t>K3-4C</t>
        </is>
      </c>
      <c r="R2370" t="n">
        <v>1.0206</v>
      </c>
    </row>
    <row r="2371">
      <c r="A2371" s="19" t="n">
        <v>27</v>
      </c>
      <c r="B2371" s="19" t="inlineStr">
        <is>
          <t>K4-4C</t>
        </is>
      </c>
      <c r="D2371" t="n">
        <v>16.87</v>
      </c>
      <c r="E2371" t="n">
        <v>20.063</v>
      </c>
      <c r="F2371" t="n">
        <v>468.581</v>
      </c>
      <c r="G2371" t="n">
        <v>9.965999999999999</v>
      </c>
      <c r="H2371">
        <f>E2371/F2371</f>
        <v/>
      </c>
      <c r="I2371">
        <f>((H2371-$J$2344)/$I$2344)</f>
        <v/>
      </c>
      <c r="J2371">
        <f>(I2371-IF(I2352&gt;0,I2352,0))</f>
        <v/>
      </c>
      <c r="K2371">
        <f>J2371/R2355*1.1</f>
        <v/>
      </c>
      <c r="L2371" s="23" t="inlineStr">
        <is>
          <t>Average</t>
        </is>
      </c>
      <c r="M2371" s="23" t="inlineStr">
        <is>
          <t>Stdev</t>
        </is>
      </c>
      <c r="N2371" s="9" t="inlineStr">
        <is>
          <t>Combined</t>
        </is>
      </c>
      <c r="Q2371" t="inlineStr">
        <is>
          <t>K3-6A</t>
        </is>
      </c>
      <c r="R2371" t="n">
        <v>1.1289</v>
      </c>
    </row>
    <row r="2372">
      <c r="A2372" s="19" t="n">
        <v>28</v>
      </c>
      <c r="B2372" s="19" t="inlineStr">
        <is>
          <t>K4-5A</t>
        </is>
      </c>
      <c r="D2372" t="n">
        <v>16.88</v>
      </c>
      <c r="E2372" t="n">
        <v>19.055</v>
      </c>
      <c r="F2372" t="n">
        <v>381.594</v>
      </c>
      <c r="G2372" t="n">
        <v>146</v>
      </c>
      <c r="H2372">
        <f>E2372/F2372</f>
        <v/>
      </c>
      <c r="I2372">
        <f>((H2372-$J$2344)/$I$2344)</f>
        <v/>
      </c>
      <c r="J2372">
        <f>(I2372-IF(I2352&gt;0,I2352,0))</f>
        <v/>
      </c>
      <c r="K2372">
        <f>J2372/R2356*1.1</f>
        <v/>
      </c>
      <c r="L2372">
        <f>AVERAGE(K2372:K2374)</f>
        <v/>
      </c>
      <c r="M2372">
        <f>STDEV(K2372:K2374)</f>
        <v/>
      </c>
      <c r="N2372">
        <f>_xlfn.CONCAT(ROUND(L2372,1)," ± ",ROUND(M2372,1))</f>
        <v/>
      </c>
      <c r="Q2372" t="inlineStr">
        <is>
          <t>K3-6B</t>
        </is>
      </c>
      <c r="R2372" t="n">
        <v>1.195</v>
      </c>
    </row>
    <row r="2373">
      <c r="A2373" s="19" t="n">
        <v>29</v>
      </c>
      <c r="B2373" s="19" t="inlineStr">
        <is>
          <t>K4-5B</t>
        </is>
      </c>
      <c r="D2373" t="n">
        <v>16.9</v>
      </c>
      <c r="E2373" t="n">
        <v>9.997999999999999</v>
      </c>
      <c r="F2373" t="n">
        <v>405.711</v>
      </c>
      <c r="G2373" t="n">
        <v>1.253</v>
      </c>
      <c r="H2373">
        <f>E2373/F2373</f>
        <v/>
      </c>
      <c r="I2373">
        <f>((H2373-$J$2344)/$I$2344)</f>
        <v/>
      </c>
      <c r="J2373">
        <f>(I2373-IF(I2352&gt;0,I2352,0))</f>
        <v/>
      </c>
      <c r="K2373">
        <f>J2373/R2357*1.1</f>
        <v/>
      </c>
      <c r="Q2373" t="inlineStr">
        <is>
          <t>K3-6C</t>
        </is>
      </c>
      <c r="R2373" t="n">
        <v>1.1716</v>
      </c>
    </row>
    <row r="2374">
      <c r="A2374" s="19" t="n">
        <v>30</v>
      </c>
      <c r="B2374" s="19" t="inlineStr">
        <is>
          <t>K4-5C</t>
        </is>
      </c>
      <c r="D2374" t="n">
        <v>16.83</v>
      </c>
      <c r="E2374" t="n">
        <v>30.106</v>
      </c>
      <c r="F2374" t="n">
        <v>367.483</v>
      </c>
      <c r="G2374" t="n">
        <v>4.855</v>
      </c>
      <c r="H2374">
        <f>E2374/F2374</f>
        <v/>
      </c>
      <c r="I2374">
        <f>((H2374-$J$2344)/$I$2344)</f>
        <v/>
      </c>
      <c r="J2374">
        <f>(I2374-IF(I2352&gt;0,I2352,0))</f>
        <v/>
      </c>
      <c r="K2374">
        <f>J2374/R2358*1.1</f>
        <v/>
      </c>
      <c r="L2374" s="23" t="n"/>
      <c r="M2374" s="23" t="n"/>
      <c r="N2374" s="9" t="n"/>
    </row>
    <row r="2375">
      <c r="A2375" s="19" t="n">
        <v>31</v>
      </c>
      <c r="B2375" s="19" t="inlineStr">
        <is>
          <t>MeOH</t>
        </is>
      </c>
      <c r="L2375" s="23" t="inlineStr">
        <is>
          <t>Average</t>
        </is>
      </c>
      <c r="M2375" s="23" t="inlineStr">
        <is>
          <t>Stdev</t>
        </is>
      </c>
      <c r="N2375" s="9" t="inlineStr">
        <is>
          <t>Combined</t>
        </is>
      </c>
    </row>
    <row r="2376">
      <c r="A2376" s="19" t="n">
        <v>32</v>
      </c>
      <c r="B2376" s="19" t="inlineStr">
        <is>
          <t>K3-1A</t>
        </is>
      </c>
      <c r="D2376" t="n">
        <v>16.8</v>
      </c>
      <c r="E2376" t="n">
        <v>68.962</v>
      </c>
      <c r="F2376" t="n">
        <v>519.807</v>
      </c>
      <c r="G2376" t="n">
        <v>6.837</v>
      </c>
      <c r="H2376">
        <f>E2376/F2376</f>
        <v/>
      </c>
      <c r="I2376">
        <f>((H2376-$J$2344)/$I$2344)</f>
        <v/>
      </c>
      <c r="J2376">
        <f>(I2376-IF(I2352&gt;0,I2352,0))</f>
        <v/>
      </c>
      <c r="K2376">
        <f>J2376/R2359*1.1</f>
        <v/>
      </c>
      <c r="L2376">
        <f>AVERAGE(K2376:K2378)</f>
        <v/>
      </c>
      <c r="M2376">
        <f>STDEV(K2377:K2378)</f>
        <v/>
      </c>
      <c r="N2376">
        <f>_xlfn.CONCAT(ROUND(L2376,1)," ± ",ROUND(M2376,1))</f>
        <v/>
      </c>
    </row>
    <row r="2377">
      <c r="A2377" s="19" t="n">
        <v>33</v>
      </c>
      <c r="B2377" s="19" t="inlineStr">
        <is>
          <t>K3-1B</t>
        </is>
      </c>
      <c r="D2377" t="n">
        <v>16.77</v>
      </c>
      <c r="E2377" t="n">
        <v>25.758</v>
      </c>
      <c r="F2377" t="n">
        <v>456.552</v>
      </c>
      <c r="G2377" t="n">
        <v>4.879</v>
      </c>
      <c r="H2377">
        <f>E2377/F2377</f>
        <v/>
      </c>
      <c r="I2377">
        <f>((H2377-$J$2344)/$I$2344)</f>
        <v/>
      </c>
      <c r="J2377">
        <f>(I2377-IF(I2352&gt;0,I2352,0))</f>
        <v/>
      </c>
      <c r="K2377">
        <f>J2377/R2360*1.1</f>
        <v/>
      </c>
    </row>
    <row r="2378">
      <c r="A2378" s="19" t="n">
        <v>34</v>
      </c>
      <c r="B2378" s="19" t="inlineStr">
        <is>
          <t>K3-1C</t>
        </is>
      </c>
      <c r="D2378" t="n">
        <v>16.85</v>
      </c>
      <c r="E2378" t="n">
        <v>17.981</v>
      </c>
      <c r="F2378" t="n">
        <v>556.412</v>
      </c>
      <c r="G2378" t="n">
        <v>122</v>
      </c>
      <c r="H2378">
        <f>E2378/F2378</f>
        <v/>
      </c>
      <c r="I2378">
        <f>((H2378-$J$2344)/$I$2344)</f>
        <v/>
      </c>
      <c r="J2378">
        <f>(I2378-IF(I2352&gt;0,I2352,0))</f>
        <v/>
      </c>
      <c r="K2378">
        <f>J2378/R2361*1.1</f>
        <v/>
      </c>
      <c r="L2378" s="23" t="inlineStr">
        <is>
          <t>Average</t>
        </is>
      </c>
      <c r="M2378" s="23" t="inlineStr">
        <is>
          <t>Stdev</t>
        </is>
      </c>
      <c r="N2378" s="9" t="inlineStr">
        <is>
          <t>Combined</t>
        </is>
      </c>
    </row>
    <row r="2379">
      <c r="A2379" s="19" t="n">
        <v>35</v>
      </c>
      <c r="B2379" s="19" t="inlineStr">
        <is>
          <t>K3-2A</t>
        </is>
      </c>
      <c r="D2379" t="n">
        <v>16.87</v>
      </c>
      <c r="E2379" t="n">
        <v>50.736</v>
      </c>
      <c r="F2379" t="n">
        <v>520.705</v>
      </c>
      <c r="G2379" t="n">
        <v>2.954</v>
      </c>
      <c r="H2379">
        <f>E2379/F2379</f>
        <v/>
      </c>
      <c r="I2379">
        <f>((H2379-$J$2344)/$I$2344)</f>
        <v/>
      </c>
      <c r="J2379">
        <f>(I2379-IF(I2352&gt;0,I2352,0))</f>
        <v/>
      </c>
      <c r="K2379">
        <f>J2379/R2362*1.1</f>
        <v/>
      </c>
      <c r="L2379">
        <f>AVERAGE(K2379:K2381)</f>
        <v/>
      </c>
      <c r="M2379">
        <f>STDEV(K2379:K2381)</f>
        <v/>
      </c>
      <c r="N2379">
        <f>_xlfn.CONCAT(ROUND(L2379,1)," ± ",ROUND(M2379,1))</f>
        <v/>
      </c>
    </row>
    <row r="2380">
      <c r="A2380" s="19" t="n">
        <v>36</v>
      </c>
      <c r="B2380" s="19" t="inlineStr">
        <is>
          <t>K3-2B</t>
        </is>
      </c>
      <c r="D2380" t="n">
        <v>16.82</v>
      </c>
      <c r="E2380" t="n">
        <v>36.611</v>
      </c>
      <c r="F2380" t="n">
        <v>697.726</v>
      </c>
      <c r="G2380" t="n">
        <v>3.64</v>
      </c>
      <c r="H2380">
        <f>E2380/F2380</f>
        <v/>
      </c>
      <c r="I2380">
        <f>((H2380-$J$2344)/$I$2344)</f>
        <v/>
      </c>
      <c r="J2380">
        <f>(I2380-IF(I2352&gt;0,I2352,0))</f>
        <v/>
      </c>
      <c r="K2380">
        <f>J2380/R2363*1.1</f>
        <v/>
      </c>
    </row>
    <row r="2381">
      <c r="A2381" s="19" t="n">
        <v>37</v>
      </c>
      <c r="B2381" s="19" t="inlineStr">
        <is>
          <t>K3-2C</t>
        </is>
      </c>
      <c r="D2381" t="n">
        <v>16.83</v>
      </c>
      <c r="E2381" t="n">
        <v>29.151</v>
      </c>
      <c r="F2381" t="n">
        <v>515.652</v>
      </c>
      <c r="G2381" t="n">
        <v>242</v>
      </c>
      <c r="H2381">
        <f>E2381/F2381</f>
        <v/>
      </c>
      <c r="I2381">
        <f>((H2381-$J$2344)/$I$2344)</f>
        <v/>
      </c>
      <c r="J2381">
        <f>(I2381-IF(I2352&gt;0,I2352,0))</f>
        <v/>
      </c>
      <c r="K2381">
        <f>J2381/R2364*1.1</f>
        <v/>
      </c>
      <c r="L2381" s="23" t="n"/>
      <c r="M2381" s="23" t="n"/>
      <c r="N2381" s="9" t="n"/>
    </row>
    <row r="2382">
      <c r="A2382" s="19" t="n">
        <v>38</v>
      </c>
      <c r="B2382" s="19" t="inlineStr">
        <is>
          <t>MeOH</t>
        </is>
      </c>
      <c r="L2382" s="23" t="inlineStr">
        <is>
          <t>Average</t>
        </is>
      </c>
      <c r="M2382" s="23" t="inlineStr">
        <is>
          <t>Stdev</t>
        </is>
      </c>
      <c r="N2382" s="9" t="inlineStr">
        <is>
          <t>Combined</t>
        </is>
      </c>
    </row>
    <row r="2383">
      <c r="A2383" s="19" t="n">
        <v>39</v>
      </c>
      <c r="B2383" s="19" t="inlineStr">
        <is>
          <t>K3-3A</t>
        </is>
      </c>
      <c r="D2383" t="n">
        <v>16.88</v>
      </c>
      <c r="E2383" t="n">
        <v>24.154</v>
      </c>
      <c r="F2383" t="n">
        <v>442.761</v>
      </c>
      <c r="G2383" t="n">
        <v>2.358</v>
      </c>
      <c r="H2383">
        <f>E2383/F2383</f>
        <v/>
      </c>
      <c r="I2383">
        <f>((H2383-$J$2344)/$I$2344)</f>
        <v/>
      </c>
      <c r="J2383">
        <f>(I2383-IF(I2352&gt;0,I2352,0))</f>
        <v/>
      </c>
      <c r="K2383">
        <f>J2383/R2365*1.1</f>
        <v/>
      </c>
      <c r="L2383">
        <f>AVERAGE(K2383:K2385)</f>
        <v/>
      </c>
      <c r="M2383">
        <f>STDEV(K2384:K2385)</f>
        <v/>
      </c>
      <c r="N2383">
        <f>_xlfn.CONCAT(ROUND(L2383,1)," ± ",ROUND(M2383,1))</f>
        <v/>
      </c>
    </row>
    <row r="2384">
      <c r="A2384" s="19" t="n">
        <v>40</v>
      </c>
      <c r="B2384" s="19" t="inlineStr">
        <is>
          <t>K3-3B</t>
        </is>
      </c>
      <c r="D2384" t="n">
        <v>16.87</v>
      </c>
      <c r="E2384" t="n">
        <v>16.434</v>
      </c>
      <c r="F2384" t="n">
        <v>392.975</v>
      </c>
      <c r="G2384" t="n">
        <v>118</v>
      </c>
      <c r="H2384">
        <f>E2384/F2384</f>
        <v/>
      </c>
      <c r="I2384">
        <f>((H2384-$J$2344)/$I$2344)</f>
        <v/>
      </c>
      <c r="J2384">
        <f>(I2384-IF(I2352&gt;0,I2352,0))</f>
        <v/>
      </c>
      <c r="K2384">
        <f>J2384/R2366*1.1</f>
        <v/>
      </c>
    </row>
    <row r="2385">
      <c r="A2385" s="19" t="n">
        <v>41</v>
      </c>
      <c r="B2385" s="19" t="inlineStr">
        <is>
          <t>K3-3C</t>
        </is>
      </c>
      <c r="D2385" t="n">
        <v>16.9</v>
      </c>
      <c r="E2385" t="n">
        <v>17.143</v>
      </c>
      <c r="F2385" t="n">
        <v>533.34</v>
      </c>
      <c r="G2385" t="n">
        <v>2.383</v>
      </c>
      <c r="H2385">
        <f>E2385/F2385</f>
        <v/>
      </c>
      <c r="I2385">
        <f>((H2385-$J$2344)/$I$2344)</f>
        <v/>
      </c>
      <c r="J2385">
        <f>(I2385-IF(I2352&gt;0,I2352,0))</f>
        <v/>
      </c>
      <c r="K2385">
        <f>J2385/R2367*1.1</f>
        <v/>
      </c>
      <c r="L2385" s="23" t="inlineStr">
        <is>
          <t>Average</t>
        </is>
      </c>
      <c r="M2385" s="23" t="inlineStr">
        <is>
          <t>Stdev</t>
        </is>
      </c>
      <c r="N2385" s="9" t="inlineStr">
        <is>
          <t>Combined</t>
        </is>
      </c>
    </row>
    <row r="2386">
      <c r="A2386" s="19" t="n">
        <v>42</v>
      </c>
      <c r="B2386" s="19" t="inlineStr">
        <is>
          <t>K3-4A</t>
        </is>
      </c>
      <c r="D2386" t="n">
        <v>16.93</v>
      </c>
      <c r="E2386" t="n">
        <v>57.838</v>
      </c>
      <c r="F2386" t="n">
        <v>579.684</v>
      </c>
      <c r="G2386" t="n">
        <v>6.853</v>
      </c>
      <c r="H2386">
        <f>E2386/F2386</f>
        <v/>
      </c>
      <c r="I2386">
        <f>((H2386-$J$2344)/$I$2344)</f>
        <v/>
      </c>
      <c r="J2386">
        <f>(I2386-IF(I2352&gt;0,I2352,0))</f>
        <v/>
      </c>
      <c r="K2386">
        <f>J2386/R2368*1.1</f>
        <v/>
      </c>
      <c r="L2386">
        <f>AVERAGE(K2386:K2388)</f>
        <v/>
      </c>
      <c r="M2386">
        <f>STDEV(K2386:K2388)</f>
        <v/>
      </c>
      <c r="N2386">
        <f>_xlfn.CONCAT(ROUND(L2386,1)," ± ",ROUND(M2386,1))</f>
        <v/>
      </c>
    </row>
    <row r="2387">
      <c r="A2387" s="19" t="n">
        <v>43</v>
      </c>
      <c r="B2387" s="19" t="inlineStr">
        <is>
          <t>K3-4B</t>
        </is>
      </c>
      <c r="D2387" t="n">
        <v>16.92</v>
      </c>
      <c r="E2387" t="n">
        <v>95.411</v>
      </c>
      <c r="F2387" t="n">
        <v>398.943</v>
      </c>
      <c r="G2387" t="n">
        <v>4.154</v>
      </c>
      <c r="H2387">
        <f>E2387/F2387</f>
        <v/>
      </c>
      <c r="I2387">
        <f>((H2387-$J$2344)/$I$2344)</f>
        <v/>
      </c>
      <c r="J2387">
        <f>(I2387-IF(I2352&gt;0,I2352,0))</f>
        <v/>
      </c>
      <c r="K2387">
        <f>J2387/R2369*1.1</f>
        <v/>
      </c>
    </row>
    <row r="2388">
      <c r="A2388" s="19" t="n">
        <v>44</v>
      </c>
      <c r="B2388" s="19" t="inlineStr">
        <is>
          <t>K3-4C</t>
        </is>
      </c>
      <c r="D2388" t="n">
        <v>16.93</v>
      </c>
      <c r="E2388" t="n">
        <v>12.865</v>
      </c>
      <c r="F2388" t="n">
        <v>556.154</v>
      </c>
      <c r="G2388" t="n">
        <v>3.292</v>
      </c>
      <c r="H2388">
        <f>E2388/F2388</f>
        <v/>
      </c>
      <c r="I2388">
        <f>((H2388-$J$2344)/$I$2344)</f>
        <v/>
      </c>
      <c r="J2388">
        <f>(I2388-IF(I2352&gt;0,I2352,0))</f>
        <v/>
      </c>
      <c r="K2388">
        <f>J2388/R2370*1.1</f>
        <v/>
      </c>
      <c r="L2388" s="23" t="n"/>
      <c r="M2388" s="23" t="n"/>
      <c r="N2388" s="9" t="n"/>
    </row>
    <row r="2389">
      <c r="A2389" s="19" t="n">
        <v>45</v>
      </c>
      <c r="B2389" s="19" t="inlineStr">
        <is>
          <t>MeOH</t>
        </is>
      </c>
      <c r="L2389" s="23" t="inlineStr">
        <is>
          <t>Average</t>
        </is>
      </c>
      <c r="M2389" s="23" t="inlineStr">
        <is>
          <t>Stdev</t>
        </is>
      </c>
      <c r="N2389" s="9" t="inlineStr">
        <is>
          <t>Combined</t>
        </is>
      </c>
    </row>
    <row r="2390">
      <c r="A2390" s="19" t="n">
        <v>46</v>
      </c>
      <c r="B2390" s="19" t="inlineStr">
        <is>
          <t>K3-6A</t>
        </is>
      </c>
      <c r="D2390" t="n">
        <v>16.98</v>
      </c>
      <c r="E2390" t="n">
        <v>43.701</v>
      </c>
      <c r="F2390" t="n">
        <v>543.972</v>
      </c>
      <c r="G2390" t="n">
        <v>37.447</v>
      </c>
      <c r="H2390">
        <f>E2390/F2390</f>
        <v/>
      </c>
      <c r="I2390">
        <f>((H2390-$J$2344)/$I$2344)</f>
        <v/>
      </c>
      <c r="J2390">
        <f>(I2390-IF(I2352&gt;0,I2352,0))</f>
        <v/>
      </c>
      <c r="K2390">
        <f>J2390/R2371*1.1</f>
        <v/>
      </c>
      <c r="L2390">
        <f>AVERAGE(K2390:K2392)</f>
        <v/>
      </c>
      <c r="M2390">
        <f>STDEV(K2391:K2392)</f>
        <v/>
      </c>
      <c r="N2390">
        <f>_xlfn.CONCAT(ROUND(L2390,1)," ± ",ROUND(M2390,1))</f>
        <v/>
      </c>
    </row>
    <row r="2391">
      <c r="A2391" s="19" t="n">
        <v>47</v>
      </c>
      <c r="B2391" s="19" t="inlineStr">
        <is>
          <t>K3-6B</t>
        </is>
      </c>
      <c r="D2391" t="n">
        <v>17.05</v>
      </c>
      <c r="E2391" t="n">
        <v>53.608</v>
      </c>
      <c r="F2391" t="n">
        <v>411.323</v>
      </c>
      <c r="G2391" t="n">
        <v>12.228</v>
      </c>
      <c r="H2391">
        <f>E2391/F2391</f>
        <v/>
      </c>
      <c r="I2391">
        <f>((H2391-$J$2344)/$I$2344)</f>
        <v/>
      </c>
      <c r="J2391">
        <f>(I2391-IF(I2352&gt;0,I2352,0))</f>
        <v/>
      </c>
      <c r="K2391">
        <f>J2391/R2372*1.1</f>
        <v/>
      </c>
    </row>
    <row r="2392">
      <c r="A2392" s="19" t="n">
        <v>48</v>
      </c>
      <c r="B2392" s="19" t="inlineStr">
        <is>
          <t>K3-6C</t>
        </is>
      </c>
      <c r="D2392" t="n">
        <v>16.93</v>
      </c>
      <c r="E2392" t="n">
        <v>24.219</v>
      </c>
      <c r="F2392" t="n">
        <v>451.372</v>
      </c>
      <c r="G2392" t="n">
        <v>171</v>
      </c>
      <c r="H2392">
        <f>E2392/F2392</f>
        <v/>
      </c>
      <c r="I2392">
        <f>((H2392-$J$2344)/$I$2344)</f>
        <v/>
      </c>
      <c r="J2392">
        <f>(I2392-IF(I2352&gt;0,I2352,0))</f>
        <v/>
      </c>
      <c r="K2392">
        <f>J2392/R2373*1.1</f>
        <v/>
      </c>
      <c r="L2392" s="23" t="n"/>
      <c r="M2392" s="23" t="n"/>
      <c r="N2392" s="9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867"/>
  <sheetViews>
    <sheetView tabSelected="1" zoomScale="80" zoomScaleNormal="80" workbookViewId="0">
      <selection activeCell="A161" sqref="A161"/>
    </sheetView>
  </sheetViews>
  <sheetFormatPr baseColWidth="8" defaultColWidth="8.6640625" defaultRowHeight="14.5"/>
  <cols>
    <col width="8.6640625" customWidth="1" style="32" min="1" max="16384"/>
  </cols>
  <sheetData>
    <row r="1">
      <c r="A1" s="32" t="inlineStr">
        <is>
          <t xml:space="preserve">Quantify Compound Summary Report </t>
        </is>
      </c>
    </row>
    <row r="3">
      <c r="A3" s="32" t="inlineStr">
        <is>
          <t>Printed Sun Jun 29 01:04:25 2025</t>
        </is>
      </c>
    </row>
    <row r="5">
      <c r="A5" s="32" t="inlineStr">
        <is>
          <t>Compound 1:  TFA 1</t>
        </is>
      </c>
    </row>
    <row r="6" ht="16" customHeight="1">
      <c r="I6" t="inlineStr">
        <is>
          <t>LINEST</t>
        </is>
      </c>
      <c r="Q6" t="inlineStr">
        <is>
          <t>Biosolids Masses</t>
        </is>
      </c>
      <c r="R6" t="inlineStr">
        <is>
          <t>(g)</t>
        </is>
      </c>
    </row>
    <row r="7" ht="16" customHeight="1">
      <c r="B7" s="32" t="inlineStr">
        <is>
          <t>Sample Text</t>
        </is>
      </c>
      <c r="C7" s="32" t="inlineStr">
        <is>
          <t>Std. Conc</t>
        </is>
      </c>
      <c r="D7" s="32" t="inlineStr">
        <is>
          <t>RT</t>
        </is>
      </c>
      <c r="E7" s="32" t="inlineStr">
        <is>
          <t>Area</t>
        </is>
      </c>
      <c r="F7" s="32" t="inlineStr">
        <is>
          <t>IS Area</t>
        </is>
      </c>
      <c r="G7" s="32" t="inlineStr">
        <is>
          <t>S/N</t>
        </is>
      </c>
      <c r="H7" t="inlineStr">
        <is>
          <t>ratio</t>
        </is>
      </c>
      <c r="I7">
        <f t="array" ref="I7:J11">LINEST(H11:H15,C11:C15,1,1)</f>
        <v/>
      </c>
      <c r="J7" t="n">
        <v>-0.0001989100474946352</v>
      </c>
      <c r="L7" s="20" t="inlineStr">
        <is>
          <t>By S/N Ratio</t>
        </is>
      </c>
      <c r="Q7" t="inlineStr">
        <is>
          <t>SS1</t>
        </is>
      </c>
      <c r="R7" t="n">
        <v>1.0846</v>
      </c>
    </row>
    <row r="8" ht="16" customHeight="1">
      <c r="A8" s="32" t="n">
        <v>1</v>
      </c>
      <c r="B8" s="32" t="inlineStr">
        <is>
          <t>EPA1633 &amp; diPAPs Calibration 0 ppb</t>
        </is>
      </c>
      <c r="C8" t="n">
        <v>0</v>
      </c>
      <c r="D8" s="32" t="n">
        <v>2.21</v>
      </c>
      <c r="E8" s="32" t="n">
        <v>0.505</v>
      </c>
      <c r="F8" s="32" t="n">
        <v>7551.013</v>
      </c>
      <c r="G8" s="32" t="n">
        <v>3</v>
      </c>
      <c r="H8">
        <f>E8/F8</f>
        <v/>
      </c>
      <c r="I8" t="n">
        <v>4.831182873176476e-06</v>
      </c>
      <c r="J8" t="n">
        <v>0.0001982382159428634</v>
      </c>
      <c r="K8" t="inlineStr">
        <is>
          <t>LOD</t>
        </is>
      </c>
      <c r="L8" s="21">
        <f>IF(G11&gt;3,C11,IF(G12&gt;3,C12,IF(G13&gt;3,C13,IF(G14&gt;3,C14,C15))))</f>
        <v/>
      </c>
      <c r="Q8" t="inlineStr">
        <is>
          <t>SS2</t>
        </is>
      </c>
      <c r="R8" t="n">
        <v>1.0726</v>
      </c>
    </row>
    <row r="9" ht="16" customHeight="1">
      <c r="A9" s="32" t="n">
        <v>2</v>
      </c>
      <c r="B9" s="32" t="inlineStr">
        <is>
          <t>EPA1633 &amp; diPAPs Calibration 0.02 ppb</t>
        </is>
      </c>
      <c r="C9" t="n">
        <v>0.08</v>
      </c>
      <c r="D9" s="32" t="n">
        <v>1.1</v>
      </c>
      <c r="E9" s="32" t="n">
        <v>0.307</v>
      </c>
      <c r="F9" s="32" t="n">
        <v>6696.725</v>
      </c>
      <c r="G9" s="32" t="n">
        <v>2.202</v>
      </c>
      <c r="H9">
        <f>E9/F9</f>
        <v/>
      </c>
      <c r="I9" t="n">
        <v>0.9057101455831915</v>
      </c>
      <c r="J9" t="n">
        <v>0.0003123010540131947</v>
      </c>
      <c r="K9" t="inlineStr">
        <is>
          <t>LOQ</t>
        </is>
      </c>
      <c r="L9" s="22">
        <f>IF(G11&gt;10,C11,IF(G12&gt;10,C12,IF(G13&gt;10,C13,IF(G14&gt;10,C14,C15))))</f>
        <v/>
      </c>
      <c r="Q9" t="inlineStr">
        <is>
          <t>SS3</t>
        </is>
      </c>
      <c r="R9" t="n">
        <v>1.1534</v>
      </c>
    </row>
    <row r="10" ht="16" customHeight="1">
      <c r="A10" s="32" t="n">
        <v>3</v>
      </c>
      <c r="B10" s="32" t="inlineStr">
        <is>
          <t>EPA1633 &amp; diPAPs Calibration 0.1 ppb</t>
        </is>
      </c>
      <c r="C10" t="n">
        <v>0.4</v>
      </c>
      <c r="D10" s="32" t="n">
        <v>2.01</v>
      </c>
      <c r="E10" s="32" t="n">
        <v>0.204</v>
      </c>
      <c r="F10" s="32" t="n">
        <v>7209.583</v>
      </c>
      <c r="G10" s="32" t="n">
        <v>1</v>
      </c>
      <c r="H10">
        <f>E10/F10</f>
        <v/>
      </c>
      <c r="I10" t="n">
        <v>28.81678472785093</v>
      </c>
      <c r="J10" t="n">
        <v>3</v>
      </c>
      <c r="Q10" t="inlineStr">
        <is>
          <t>K4-1A</t>
        </is>
      </c>
      <c r="R10" t="n">
        <v>1.0267</v>
      </c>
    </row>
    <row r="11" ht="16" customHeight="1">
      <c r="A11" s="32" t="n">
        <v>4</v>
      </c>
      <c r="B11" s="32" t="inlineStr">
        <is>
          <t>EPA1633 &amp; diPAPs Calibration 0.4 ppb</t>
        </is>
      </c>
      <c r="C11" t="n">
        <v>1.6</v>
      </c>
      <c r="D11" s="32" t="n">
        <v>2.15</v>
      </c>
      <c r="E11" s="32" t="n">
        <v>0.215</v>
      </c>
      <c r="F11" s="32" t="n">
        <v>7013.762</v>
      </c>
      <c r="G11" s="32" t="n">
        <v>1.405</v>
      </c>
      <c r="H11">
        <f>E11/F11</f>
        <v/>
      </c>
      <c r="I11" t="n">
        <v>2.810557159336888e-06</v>
      </c>
      <c r="J11" t="n">
        <v>2.92595845013257e-07</v>
      </c>
      <c r="Q11" t="inlineStr">
        <is>
          <t>K4-1B</t>
        </is>
      </c>
      <c r="R11" t="n">
        <v>1.1481</v>
      </c>
    </row>
    <row r="12" ht="16" customHeight="1">
      <c r="A12" s="32" t="n">
        <v>5</v>
      </c>
      <c r="B12" s="32" t="inlineStr">
        <is>
          <t>EPA1633 &amp; diPAPs Calibration 1 ppb</t>
        </is>
      </c>
      <c r="C12" t="n">
        <v>4</v>
      </c>
      <c r="D12" s="32" t="n">
        <v>2.53</v>
      </c>
      <c r="E12" s="32" t="n">
        <v>0.604</v>
      </c>
      <c r="F12" s="32" t="n">
        <v>8048.652</v>
      </c>
      <c r="G12" s="32" t="n">
        <v>1.439</v>
      </c>
      <c r="H12">
        <f>E12/F12</f>
        <v/>
      </c>
      <c r="Q12" t="inlineStr">
        <is>
          <t>K4-1C</t>
        </is>
      </c>
      <c r="R12" t="n">
        <v>1.0402</v>
      </c>
    </row>
    <row r="13" ht="16" customHeight="1">
      <c r="A13" s="32" t="n">
        <v>6</v>
      </c>
      <c r="B13" s="32" t="inlineStr">
        <is>
          <t>EPA1633 &amp; diPAPs Calibration 5 ppb</t>
        </is>
      </c>
      <c r="C13" t="n">
        <v>20</v>
      </c>
      <c r="D13" s="32" t="n">
        <v>1.02</v>
      </c>
      <c r="E13" s="32" t="n">
        <v>0.709</v>
      </c>
      <c r="F13" s="32" t="n">
        <v>7211.955</v>
      </c>
      <c r="G13" s="32" t="n">
        <v>8</v>
      </c>
      <c r="H13">
        <f>E13/F13</f>
        <v/>
      </c>
      <c r="Q13" t="inlineStr">
        <is>
          <t>K4-2A</t>
        </is>
      </c>
      <c r="R13" t="n">
        <v>1.127</v>
      </c>
    </row>
    <row r="14" ht="16" customHeight="1">
      <c r="A14" s="32" t="n">
        <v>7</v>
      </c>
      <c r="B14" s="32" t="inlineStr">
        <is>
          <t>EPA1633 &amp; diPAPs Calibration 10 ppb</t>
        </is>
      </c>
      <c r="C14" t="n">
        <v>40</v>
      </c>
      <c r="D14" s="32" t="n">
        <v>1.02</v>
      </c>
      <c r="E14" s="32" t="n">
        <v>2.722</v>
      </c>
      <c r="F14" s="32" t="n">
        <v>5686.902</v>
      </c>
      <c r="G14" s="32" t="n">
        <v>17.093</v>
      </c>
      <c r="H14">
        <f>E14/F14</f>
        <v/>
      </c>
      <c r="I14" s="23" t="inlineStr">
        <is>
          <t>Background</t>
        </is>
      </c>
      <c r="J14" s="23" t="inlineStr">
        <is>
          <t>Spike</t>
        </is>
      </c>
      <c r="K14" s="9" t="inlineStr">
        <is>
          <t>Old Spike</t>
        </is>
      </c>
      <c r="O14" s="24" t="inlineStr">
        <is>
          <t>±</t>
        </is>
      </c>
      <c r="Q14" t="inlineStr">
        <is>
          <t>K4-2B</t>
        </is>
      </c>
      <c r="R14" t="n">
        <v>1.1154</v>
      </c>
    </row>
    <row r="15" ht="16" customHeight="1">
      <c r="A15" s="32" t="n">
        <v>8</v>
      </c>
      <c r="B15" s="32" t="inlineStr">
        <is>
          <t>EPA1633 &amp; diPAPs Calibration 20 ppb</t>
        </is>
      </c>
      <c r="C15" t="n">
        <v>80</v>
      </c>
      <c r="D15" s="32" t="n">
        <v>0.97</v>
      </c>
      <c r="E15" s="32" t="n">
        <v>12.969</v>
      </c>
      <c r="F15" s="32" t="n">
        <v>6179.103</v>
      </c>
      <c r="G15" s="32" t="n">
        <v>106.223</v>
      </c>
      <c r="H15">
        <f>E15/F15</f>
        <v/>
      </c>
      <c r="I15">
        <f>AVERAGE(I18:I20)</f>
        <v/>
      </c>
      <c r="J15" t="n">
        <v>44</v>
      </c>
      <c r="Q15" t="inlineStr">
        <is>
          <t>K4-2C</t>
        </is>
      </c>
      <c r="R15" t="n">
        <v>1.1711</v>
      </c>
    </row>
    <row r="16" ht="16" customHeight="1">
      <c r="A16" s="32" t="n">
        <v>9</v>
      </c>
      <c r="B16" s="32" t="inlineStr">
        <is>
          <t>MeOH</t>
        </is>
      </c>
      <c r="D16" s="32" t="n">
        <v>1.83</v>
      </c>
      <c r="E16" s="32" t="n">
        <v>0.215</v>
      </c>
      <c r="G16" s="32" t="n">
        <v>2</v>
      </c>
      <c r="I16" s="23" t="inlineStr">
        <is>
          <t>Conc.In Vial (ppb)</t>
        </is>
      </c>
      <c r="J16" s="9" t="inlineStr">
        <is>
          <t>Corr. Conc.(ppb)</t>
        </is>
      </c>
      <c r="K16" s="9" t="inlineStr">
        <is>
          <t>Conc. In soil (ng/g)</t>
        </is>
      </c>
      <c r="Q16" t="inlineStr">
        <is>
          <t>K4-4A</t>
        </is>
      </c>
      <c r="R16" t="n">
        <v>1.0932</v>
      </c>
    </row>
    <row r="17" ht="16" customHeight="1">
      <c r="A17" s="32" t="n">
        <v>10</v>
      </c>
      <c r="B17" s="32" t="inlineStr">
        <is>
          <t>MeOH</t>
        </is>
      </c>
      <c r="D17" s="32" t="n">
        <v>1.47</v>
      </c>
      <c r="E17" s="32" t="n">
        <v>0.129</v>
      </c>
      <c r="G17" s="32" t="n">
        <v>1</v>
      </c>
      <c r="L17" s="23" t="inlineStr">
        <is>
          <t>Average</t>
        </is>
      </c>
      <c r="M17" s="23" t="inlineStr">
        <is>
          <t>Stdev</t>
        </is>
      </c>
      <c r="N17" s="9" t="inlineStr">
        <is>
          <t>Combined</t>
        </is>
      </c>
      <c r="O17" s="9" t="n"/>
      <c r="P17" s="9" t="n"/>
      <c r="Q17" t="inlineStr">
        <is>
          <t>K4-4B</t>
        </is>
      </c>
      <c r="R17" t="n">
        <v>1.15</v>
      </c>
    </row>
    <row r="18" ht="16" customHeight="1">
      <c r="A18" s="32" t="n">
        <v>11</v>
      </c>
      <c r="B18" s="32" t="inlineStr">
        <is>
          <t>SB1</t>
        </is>
      </c>
      <c r="D18" s="32" t="n">
        <v>1.63</v>
      </c>
      <c r="E18" s="32" t="n">
        <v>2.019</v>
      </c>
      <c r="F18" s="32" t="n">
        <v>3649.542</v>
      </c>
      <c r="G18" s="32" t="n">
        <v>25</v>
      </c>
      <c r="H18">
        <f>E18/F18</f>
        <v/>
      </c>
      <c r="I18">
        <f>((H18-$J$7)/$I$7)</f>
        <v/>
      </c>
      <c r="J18">
        <f>(I18-IF(I15&gt;0,I15,0))</f>
        <v/>
      </c>
      <c r="K18">
        <f>J18*1.1</f>
        <v/>
      </c>
      <c r="L18">
        <f>AVERAGE(K18:K20)</f>
        <v/>
      </c>
      <c r="M18">
        <f>STDEV(K19:K20)</f>
        <v/>
      </c>
      <c r="N18">
        <f>_xlfn.CONCAT(ROUND(L18,1)," ± ",ROUND(M18,1))</f>
        <v/>
      </c>
      <c r="Q18" t="inlineStr">
        <is>
          <t>K4-4C</t>
        </is>
      </c>
      <c r="R18" t="n">
        <v>1.0482</v>
      </c>
    </row>
    <row r="19" ht="16" customHeight="1">
      <c r="A19" s="32" t="n">
        <v>12</v>
      </c>
      <c r="B19" s="32" t="inlineStr">
        <is>
          <t>SB2</t>
        </is>
      </c>
      <c r="D19" s="32" t="n">
        <v>2.51</v>
      </c>
      <c r="E19" s="32" t="n">
        <v>0.329</v>
      </c>
      <c r="F19" s="32" t="n">
        <v>3370.738</v>
      </c>
      <c r="G19" s="32" t="n">
        <v>3</v>
      </c>
      <c r="H19">
        <f>E19/F19</f>
        <v/>
      </c>
      <c r="I19">
        <f>((H19-$J$7)/$I$7)</f>
        <v/>
      </c>
      <c r="J19">
        <f>(I19-IF(I15&gt;0,I15,0))</f>
        <v/>
      </c>
      <c r="K19">
        <f>J19*1.1</f>
        <v/>
      </c>
      <c r="Q19" t="inlineStr">
        <is>
          <t>K4-5A</t>
        </is>
      </c>
      <c r="R19" t="n">
        <v>1.1054</v>
      </c>
    </row>
    <row r="20" ht="16" customHeight="1">
      <c r="A20" s="32" t="n">
        <v>13</v>
      </c>
      <c r="B20" s="32" t="inlineStr">
        <is>
          <t>SB3</t>
        </is>
      </c>
      <c r="D20" s="32" t="n">
        <v>1.57</v>
      </c>
      <c r="E20" s="32" t="n">
        <v>0.301</v>
      </c>
      <c r="F20" s="32" t="n">
        <v>3095.617</v>
      </c>
      <c r="G20" s="32" t="n">
        <v>4</v>
      </c>
      <c r="H20">
        <f>E20/F20</f>
        <v/>
      </c>
      <c r="I20">
        <f>((H20-$J$7)/$I$7)</f>
        <v/>
      </c>
      <c r="J20">
        <f>(I20-IF(I15&gt;0,I15,0))</f>
        <v/>
      </c>
      <c r="K20" s="30">
        <f>J20*1.1</f>
        <v/>
      </c>
      <c r="L20" s="25" t="inlineStr">
        <is>
          <t>Average</t>
        </is>
      </c>
      <c r="M20" s="25" t="inlineStr">
        <is>
          <t>Stdev</t>
        </is>
      </c>
      <c r="N20" s="26" t="inlineStr">
        <is>
          <t>%Recovery</t>
        </is>
      </c>
      <c r="O20" s="26" t="inlineStr">
        <is>
          <t>Uncertainty</t>
        </is>
      </c>
      <c r="P20" s="26" t="inlineStr">
        <is>
          <t>Combined</t>
        </is>
      </c>
      <c r="Q20" t="inlineStr">
        <is>
          <t>K4-5B</t>
        </is>
      </c>
      <c r="R20" s="10" t="n">
        <v>1.0463</v>
      </c>
    </row>
    <row r="21" ht="16" customHeight="1">
      <c r="A21" s="32" t="n">
        <v>14</v>
      </c>
      <c r="B21" s="32" t="inlineStr">
        <is>
          <t>SS1</t>
        </is>
      </c>
      <c r="D21" s="32" t="n">
        <v>1.2</v>
      </c>
      <c r="E21" s="32" t="n">
        <v>3.581</v>
      </c>
      <c r="F21" s="32" t="n">
        <v>3490.645</v>
      </c>
      <c r="G21" s="32" t="n">
        <v>29.547</v>
      </c>
      <c r="H21">
        <f>E21/F21</f>
        <v/>
      </c>
      <c r="I21">
        <f>((H21-$J$7)/$I$7)</f>
        <v/>
      </c>
      <c r="J21">
        <f>(I21-IF($I$15&gt;0,$I$15,0))</f>
        <v/>
      </c>
      <c r="K21">
        <f>J21/R7*1.1</f>
        <v/>
      </c>
      <c r="L21" s="27">
        <f>AVERAGE(K21:K23)</f>
        <v/>
      </c>
      <c r="M21" s="27">
        <f>STDEV(K21:K23)</f>
        <v/>
      </c>
      <c r="N21" s="28">
        <f>L21/J15*100</f>
        <v/>
      </c>
      <c r="O21" s="29">
        <f>M21/J15*100</f>
        <v/>
      </c>
      <c r="P21" s="29">
        <f>_xlfn.CONCAT(ROUND(N21,1)," ± ",ROUND(O21,1))</f>
        <v/>
      </c>
      <c r="Q21" t="inlineStr">
        <is>
          <t>K4-5C</t>
        </is>
      </c>
      <c r="R21" t="n">
        <v>1.1155</v>
      </c>
    </row>
    <row r="22" ht="16" customHeight="1">
      <c r="A22" s="32" t="n">
        <v>15</v>
      </c>
      <c r="B22" s="32" t="inlineStr">
        <is>
          <t>SS2</t>
        </is>
      </c>
      <c r="D22" s="32" t="n">
        <v>1.66</v>
      </c>
      <c r="E22" s="32" t="n">
        <v>9.140000000000001</v>
      </c>
      <c r="F22" s="32" t="n">
        <v>3699.493</v>
      </c>
      <c r="G22" s="32" t="n">
        <v>95.83499999999999</v>
      </c>
      <c r="H22">
        <f>E22/F22</f>
        <v/>
      </c>
      <c r="I22">
        <f>((H22-$J$7)/$I$7)</f>
        <v/>
      </c>
      <c r="J22">
        <f>(I22-IF($I$15&gt;0,$I$15,0))</f>
        <v/>
      </c>
      <c r="K22">
        <f>J22/R8*1.1</f>
        <v/>
      </c>
      <c r="Q22" t="inlineStr">
        <is>
          <t>K3-1A</t>
        </is>
      </c>
      <c r="R22" t="n">
        <v>1.0874</v>
      </c>
    </row>
    <row r="23" ht="16" customHeight="1">
      <c r="A23" s="32" t="n">
        <v>16</v>
      </c>
      <c r="B23" s="32" t="inlineStr">
        <is>
          <t>SS3</t>
        </is>
      </c>
      <c r="D23" s="32" t="n">
        <v>1.61</v>
      </c>
      <c r="E23" s="32" t="n">
        <v>4.563</v>
      </c>
      <c r="F23" s="32" t="n">
        <v>3352.055</v>
      </c>
      <c r="G23" s="32" t="n">
        <v>49</v>
      </c>
      <c r="H23">
        <f>E23/F23</f>
        <v/>
      </c>
      <c r="I23">
        <f>((H23-$J$7)/$I$7)</f>
        <v/>
      </c>
      <c r="J23">
        <f>(I23-IF($I$15&gt;0,$I$15,0))</f>
        <v/>
      </c>
      <c r="K23" s="30">
        <f>J23/R9*1.1</f>
        <v/>
      </c>
      <c r="Q23" t="inlineStr">
        <is>
          <t>K3-1B</t>
        </is>
      </c>
      <c r="R23" t="n">
        <v>1.0898</v>
      </c>
    </row>
    <row r="24" ht="16" customHeight="1">
      <c r="A24" s="32" t="n">
        <v>17</v>
      </c>
      <c r="B24" s="32" t="inlineStr">
        <is>
          <t>MeOH</t>
        </is>
      </c>
      <c r="L24" s="23" t="inlineStr">
        <is>
          <t>Average</t>
        </is>
      </c>
      <c r="M24" s="23" t="inlineStr">
        <is>
          <t>Stdev</t>
        </is>
      </c>
      <c r="N24" s="9" t="inlineStr">
        <is>
          <t>Combined</t>
        </is>
      </c>
      <c r="Q24" t="inlineStr">
        <is>
          <t>K3-1C</t>
        </is>
      </c>
      <c r="R24" t="n">
        <v>1.0536</v>
      </c>
    </row>
    <row r="25" ht="16" customHeight="1">
      <c r="A25" s="32" t="n">
        <v>18</v>
      </c>
      <c r="B25" s="32" t="inlineStr">
        <is>
          <t>K4-1A</t>
        </is>
      </c>
      <c r="D25" s="32" t="n">
        <v>1.2</v>
      </c>
      <c r="E25" s="32" t="n">
        <v>12.745</v>
      </c>
      <c r="F25" s="32" t="n">
        <v>3889.819</v>
      </c>
      <c r="G25" s="32" t="n">
        <v>4.346</v>
      </c>
      <c r="H25">
        <f>E25/F25</f>
        <v/>
      </c>
      <c r="I25">
        <f>((H25-$J$7)/$I$7)</f>
        <v/>
      </c>
      <c r="J25">
        <f>(I25-IF($I$15&gt;0,$I$15,0))</f>
        <v/>
      </c>
      <c r="K25">
        <f>J25/R10*1.1</f>
        <v/>
      </c>
      <c r="L25">
        <f>AVERAGE(K25:K27)</f>
        <v/>
      </c>
      <c r="M25">
        <f>STDEV(K26:K27)</f>
        <v/>
      </c>
      <c r="N25">
        <f>_xlfn.CONCAT(ROUND(L25,1)," ± ",ROUND(M25,1))</f>
        <v/>
      </c>
      <c r="Q25" t="inlineStr">
        <is>
          <t>K3-2A</t>
        </is>
      </c>
      <c r="R25" s="10" t="n">
        <v>1.1218</v>
      </c>
    </row>
    <row r="26" ht="16" customHeight="1">
      <c r="A26" s="32" t="n">
        <v>19</v>
      </c>
      <c r="B26" s="32" t="inlineStr">
        <is>
          <t>K4-1B</t>
        </is>
      </c>
      <c r="D26" s="32" t="n">
        <v>1.18</v>
      </c>
      <c r="E26" s="32" t="n">
        <v>0.6909999999999999</v>
      </c>
      <c r="F26" s="32" t="n">
        <v>3657.858</v>
      </c>
      <c r="G26" s="32" t="n">
        <v>7</v>
      </c>
      <c r="H26">
        <f>E26/F26</f>
        <v/>
      </c>
      <c r="I26">
        <f>((H26-$J$7)/$I$7)</f>
        <v/>
      </c>
      <c r="J26">
        <f>(I26-IF($I$15&gt;0,$I$15,0))</f>
        <v/>
      </c>
      <c r="K26">
        <f>J26/R11*1.1</f>
        <v/>
      </c>
      <c r="Q26" t="inlineStr">
        <is>
          <t>K3-2B</t>
        </is>
      </c>
      <c r="R26" t="n">
        <v>1.198</v>
      </c>
    </row>
    <row r="27" ht="16" customHeight="1">
      <c r="A27" s="32" t="n">
        <v>20</v>
      </c>
      <c r="B27" s="32" t="inlineStr">
        <is>
          <t>K4-1C</t>
        </is>
      </c>
      <c r="D27" s="32" t="n">
        <v>1.2</v>
      </c>
      <c r="E27" s="32" t="n">
        <v>2.919</v>
      </c>
      <c r="F27" s="32" t="n">
        <v>3596.392</v>
      </c>
      <c r="G27" s="32" t="n">
        <v>37</v>
      </c>
      <c r="H27">
        <f>E27/F27</f>
        <v/>
      </c>
      <c r="I27">
        <f>((H27-$J$7)/$I$7)</f>
        <v/>
      </c>
      <c r="J27">
        <f>(I27-IF($I$15&gt;0,$I$15,0))</f>
        <v/>
      </c>
      <c r="K27">
        <f>J27/R12*1.1</f>
        <v/>
      </c>
      <c r="L27" s="23" t="inlineStr">
        <is>
          <t>Average</t>
        </is>
      </c>
      <c r="M27" s="23" t="inlineStr">
        <is>
          <t>Stdev</t>
        </is>
      </c>
      <c r="N27" s="9" t="inlineStr">
        <is>
          <t>Combined</t>
        </is>
      </c>
      <c r="Q27" t="inlineStr">
        <is>
          <t>K3-2C</t>
        </is>
      </c>
      <c r="R27" t="n">
        <v>1.1538</v>
      </c>
    </row>
    <row r="28" ht="16" customHeight="1">
      <c r="A28" s="32" t="n">
        <v>21</v>
      </c>
      <c r="B28" s="32" t="inlineStr">
        <is>
          <t>K4-2A</t>
        </is>
      </c>
      <c r="D28" s="32" t="n">
        <v>1.53</v>
      </c>
      <c r="E28" s="32" t="n">
        <v>0.29</v>
      </c>
      <c r="F28" s="32" t="n">
        <v>3827.847</v>
      </c>
      <c r="G28" s="32" t="n">
        <v>4</v>
      </c>
      <c r="H28">
        <f>E28/F28</f>
        <v/>
      </c>
      <c r="I28">
        <f>((H28-$J$7)/$I$7)</f>
        <v/>
      </c>
      <c r="J28">
        <f>(I28-IF($I$15&gt;0,$I$15,0))</f>
        <v/>
      </c>
      <c r="K28">
        <f>J28/R13*1.1</f>
        <v/>
      </c>
      <c r="L28">
        <f>AVERAGE(K28:K30)</f>
        <v/>
      </c>
      <c r="M28">
        <f>STDEV(K28:K30)</f>
        <v/>
      </c>
      <c r="N28">
        <f>_xlfn.CONCAT(ROUND(L28,1)," ± ",ROUND(M28,1))</f>
        <v/>
      </c>
      <c r="Q28" t="inlineStr">
        <is>
          <t>K3-3A</t>
        </is>
      </c>
      <c r="R28" t="n">
        <v>1.1183</v>
      </c>
    </row>
    <row r="29" ht="16" customHeight="1">
      <c r="A29" s="32" t="n">
        <v>22</v>
      </c>
      <c r="B29" s="32" t="inlineStr">
        <is>
          <t>K4-2B</t>
        </is>
      </c>
      <c r="D29" s="32" t="n">
        <v>1.54</v>
      </c>
      <c r="E29" s="32" t="n">
        <v>0.204</v>
      </c>
      <c r="F29" s="32" t="n">
        <v>3623.222</v>
      </c>
      <c r="G29" s="32" t="n">
        <v>2</v>
      </c>
      <c r="H29">
        <f>E29/F29</f>
        <v/>
      </c>
      <c r="I29">
        <f>((H29-$J$7)/$I$7)</f>
        <v/>
      </c>
      <c r="J29">
        <f>(I29-IF($I$15&gt;0,$I$15,0))</f>
        <v/>
      </c>
      <c r="K29">
        <f>J29/R14*1.1</f>
        <v/>
      </c>
      <c r="Q29" t="inlineStr">
        <is>
          <t>K3-3B</t>
        </is>
      </c>
      <c r="R29" t="n">
        <v>1.1448</v>
      </c>
    </row>
    <row r="30" ht="16" customHeight="1">
      <c r="A30" s="32" t="n">
        <v>23</v>
      </c>
      <c r="B30" s="32" t="inlineStr">
        <is>
          <t>K4-2C</t>
        </is>
      </c>
      <c r="D30" s="32" t="n">
        <v>1.45</v>
      </c>
      <c r="E30" s="32" t="n">
        <v>4.738</v>
      </c>
      <c r="F30" s="32" t="n">
        <v>3093.041</v>
      </c>
      <c r="G30" s="32" t="n">
        <v>57</v>
      </c>
      <c r="H30">
        <f>E30/F30</f>
        <v/>
      </c>
      <c r="I30">
        <f>((H30-$J$7)/$I$7)</f>
        <v/>
      </c>
      <c r="J30">
        <f>(I30-IF($I$15&gt;0,$I$15,0))</f>
        <v/>
      </c>
      <c r="K30">
        <f>J30/R15*1.1</f>
        <v/>
      </c>
      <c r="L30" s="23" t="n"/>
      <c r="M30" s="23" t="n"/>
      <c r="N30" s="9" t="n"/>
      <c r="Q30" t="inlineStr">
        <is>
          <t>K3-3C</t>
        </is>
      </c>
      <c r="R30" t="n">
        <v>1.0493</v>
      </c>
    </row>
    <row r="31" ht="16" customHeight="1">
      <c r="A31" s="32" t="n">
        <v>24</v>
      </c>
      <c r="B31" s="32" t="inlineStr">
        <is>
          <t>MeOH</t>
        </is>
      </c>
      <c r="L31" s="23" t="inlineStr">
        <is>
          <t>Average</t>
        </is>
      </c>
      <c r="M31" s="23" t="inlineStr">
        <is>
          <t>Stdev</t>
        </is>
      </c>
      <c r="N31" s="9" t="inlineStr">
        <is>
          <t>Combined</t>
        </is>
      </c>
      <c r="Q31" t="inlineStr">
        <is>
          <t>K3-4A</t>
        </is>
      </c>
      <c r="R31" t="n">
        <v>1.0704</v>
      </c>
    </row>
    <row r="32" ht="16" customHeight="1">
      <c r="A32" s="32" t="n">
        <v>25</v>
      </c>
      <c r="B32" s="32" t="inlineStr">
        <is>
          <t>K4-4A</t>
        </is>
      </c>
      <c r="D32" s="32" t="n">
        <v>1.52</v>
      </c>
      <c r="E32" s="32" t="n">
        <v>0.043</v>
      </c>
      <c r="F32" s="32" t="n">
        <v>3907.045</v>
      </c>
      <c r="G32" s="32" t="n">
        <v>1</v>
      </c>
      <c r="H32">
        <f>E32/F32</f>
        <v/>
      </c>
      <c r="I32">
        <f>((H32-$J$7)/$I$7)</f>
        <v/>
      </c>
      <c r="J32">
        <f>(I32-IF($I$15&gt;0,$I$15,0))</f>
        <v/>
      </c>
      <c r="K32">
        <f>J32/R16*1.1</f>
        <v/>
      </c>
      <c r="L32">
        <f>AVERAGE(K32:K34)</f>
        <v/>
      </c>
      <c r="M32">
        <f>STDEV(K33:K34)</f>
        <v/>
      </c>
      <c r="N32">
        <f>_xlfn.CONCAT(ROUND(L32,1)," ± ",ROUND(M32,1))</f>
        <v/>
      </c>
      <c r="Q32" t="inlineStr">
        <is>
          <t>K3-4B</t>
        </is>
      </c>
      <c r="R32" t="n">
        <v>1.1589</v>
      </c>
    </row>
    <row r="33" ht="16" customHeight="1">
      <c r="A33" s="32" t="n">
        <v>26</v>
      </c>
      <c r="B33" s="32" t="inlineStr">
        <is>
          <t>K4-4B</t>
        </is>
      </c>
      <c r="D33" s="32" t="n">
        <v>1.53</v>
      </c>
      <c r="E33" s="32" t="n">
        <v>4.547</v>
      </c>
      <c r="F33" s="32" t="n">
        <v>3594.542</v>
      </c>
      <c r="G33" s="32" t="n">
        <v>27.271</v>
      </c>
      <c r="H33">
        <f>E33/F33</f>
        <v/>
      </c>
      <c r="I33">
        <f>((H33-$J$7)/$I$7)</f>
        <v/>
      </c>
      <c r="J33">
        <f>(I33-IF($I$15&gt;0,$I$15,0))</f>
        <v/>
      </c>
      <c r="K33">
        <f>J33/R17*1.1</f>
        <v/>
      </c>
      <c r="Q33" t="inlineStr">
        <is>
          <t>K3-4C</t>
        </is>
      </c>
      <c r="R33" t="n">
        <v>1.0206</v>
      </c>
    </row>
    <row r="34" ht="16" customHeight="1">
      <c r="A34" s="32" t="n">
        <v>27</v>
      </c>
      <c r="B34" s="32" t="inlineStr">
        <is>
          <t>K4-4C</t>
        </is>
      </c>
      <c r="D34" s="32" t="n">
        <v>1.12</v>
      </c>
      <c r="E34" s="32" t="n">
        <v>1.561</v>
      </c>
      <c r="F34" s="32" t="n">
        <v>3586.092</v>
      </c>
      <c r="G34" s="32" t="n">
        <v>12</v>
      </c>
      <c r="H34">
        <f>E34/F34</f>
        <v/>
      </c>
      <c r="I34">
        <f>((H34-$J$7)/$I$7)</f>
        <v/>
      </c>
      <c r="J34">
        <f>(I34-IF($I$15&gt;0,$I$15,0))</f>
        <v/>
      </c>
      <c r="K34">
        <f>J34/R18*1.1</f>
        <v/>
      </c>
      <c r="L34" s="23" t="inlineStr">
        <is>
          <t>Average</t>
        </is>
      </c>
      <c r="M34" s="23" t="inlineStr">
        <is>
          <t>Stdev</t>
        </is>
      </c>
      <c r="N34" s="9" t="inlineStr">
        <is>
          <t>Combined</t>
        </is>
      </c>
      <c r="Q34" t="inlineStr">
        <is>
          <t>K3-6A</t>
        </is>
      </c>
      <c r="R34" t="n">
        <v>1.1289</v>
      </c>
    </row>
    <row r="35" ht="16" customHeight="1">
      <c r="A35" s="32" t="n">
        <v>28</v>
      </c>
      <c r="B35" s="32" t="inlineStr">
        <is>
          <t>K4-5A</t>
        </is>
      </c>
      <c r="D35" s="32" t="n">
        <v>1.54</v>
      </c>
      <c r="E35" s="32" t="n">
        <v>0.655</v>
      </c>
      <c r="F35" s="32" t="n">
        <v>3387.509</v>
      </c>
      <c r="G35" s="32" t="n">
        <v>7</v>
      </c>
      <c r="H35">
        <f>E35/F35</f>
        <v/>
      </c>
      <c r="I35">
        <f>((H35-$J$7)/$I$7)</f>
        <v/>
      </c>
      <c r="J35">
        <f>(I35-IF($I$15&gt;0,$I$15,0))</f>
        <v/>
      </c>
      <c r="K35">
        <f>J35/R19*1.1</f>
        <v/>
      </c>
      <c r="L35">
        <f>AVERAGE(K35:K37)</f>
        <v/>
      </c>
      <c r="M35">
        <f>STDEV(K35:K37)</f>
        <v/>
      </c>
      <c r="N35">
        <f>_xlfn.CONCAT(ROUND(L35,1)," ± ",ROUND(M35,1))</f>
        <v/>
      </c>
      <c r="Q35" t="inlineStr">
        <is>
          <t>K3-6B</t>
        </is>
      </c>
      <c r="R35" t="n">
        <v>1.195</v>
      </c>
    </row>
    <row r="36" ht="16" customHeight="1">
      <c r="A36" s="32" t="n">
        <v>29</v>
      </c>
      <c r="B36" s="32" t="inlineStr">
        <is>
          <t>K4-5B</t>
        </is>
      </c>
      <c r="D36" s="32" t="n">
        <v>1.15</v>
      </c>
      <c r="E36" s="32" t="n">
        <v>0.923</v>
      </c>
      <c r="F36" s="32" t="n">
        <v>3401.243</v>
      </c>
      <c r="G36" s="32" t="n">
        <v>1.495</v>
      </c>
      <c r="H36">
        <f>E36/F36</f>
        <v/>
      </c>
      <c r="I36">
        <f>((H36-$J$7)/$I$7)</f>
        <v/>
      </c>
      <c r="J36">
        <f>(I36-IF($I$15&gt;0,$I$15,0))</f>
        <v/>
      </c>
      <c r="K36">
        <f>J36/R20*1.1</f>
        <v/>
      </c>
      <c r="Q36" t="inlineStr">
        <is>
          <t>K3-6C</t>
        </is>
      </c>
      <c r="R36" t="n">
        <v>1.1716</v>
      </c>
    </row>
    <row r="37" ht="16" customHeight="1">
      <c r="A37" s="32" t="n">
        <v>30</v>
      </c>
      <c r="B37" s="32" t="inlineStr">
        <is>
          <t>K4-5C</t>
        </is>
      </c>
      <c r="D37" s="32" t="n">
        <v>1.12</v>
      </c>
      <c r="E37" s="32" t="n">
        <v>1.23</v>
      </c>
      <c r="F37" s="32" t="n">
        <v>3767.266</v>
      </c>
      <c r="G37" s="32" t="n">
        <v>13</v>
      </c>
      <c r="H37">
        <f>E37/F37</f>
        <v/>
      </c>
      <c r="I37">
        <f>((H37-$J$7)/$I$7)</f>
        <v/>
      </c>
      <c r="J37">
        <f>(I37-IF($I$15&gt;0,$I$15,0))</f>
        <v/>
      </c>
      <c r="K37">
        <f>J37/R21*1.1</f>
        <v/>
      </c>
      <c r="L37" s="23" t="n"/>
      <c r="M37" s="23" t="n"/>
      <c r="N37" s="9" t="n"/>
    </row>
    <row r="38" ht="16" customHeight="1">
      <c r="A38" s="32" t="n">
        <v>31</v>
      </c>
      <c r="B38" s="32" t="inlineStr">
        <is>
          <t>MeOH</t>
        </is>
      </c>
      <c r="L38" s="23" t="inlineStr">
        <is>
          <t>Average</t>
        </is>
      </c>
      <c r="M38" s="23" t="inlineStr">
        <is>
          <t>Stdev</t>
        </is>
      </c>
      <c r="N38" s="9" t="inlineStr">
        <is>
          <t>Combined</t>
        </is>
      </c>
    </row>
    <row r="39" ht="16" customHeight="1">
      <c r="A39" s="32" t="n">
        <v>32</v>
      </c>
      <c r="B39" s="32" t="inlineStr">
        <is>
          <t>K3-1A</t>
        </is>
      </c>
      <c r="D39" s="32" t="n">
        <v>1.2</v>
      </c>
      <c r="E39" s="32" t="n">
        <v>2.504</v>
      </c>
      <c r="F39" s="32" t="n">
        <v>3791.804</v>
      </c>
      <c r="G39" s="32" t="n">
        <v>26</v>
      </c>
      <c r="H39">
        <f>E39/F39</f>
        <v/>
      </c>
      <c r="I39">
        <f>((H39-$J$7)/$I$7)</f>
        <v/>
      </c>
      <c r="J39">
        <f>(I39-IF($I$15&gt;0,$I$15,0))</f>
        <v/>
      </c>
      <c r="K39">
        <f>J39/R22*1.1</f>
        <v/>
      </c>
      <c r="L39">
        <f>AVERAGE(K39:K41)</f>
        <v/>
      </c>
      <c r="M39">
        <f>STDEV(K40:K41)</f>
        <v/>
      </c>
      <c r="N39">
        <f>_xlfn.CONCAT(ROUND(L39,1)," ± ",ROUND(M39,1))</f>
        <v/>
      </c>
    </row>
    <row r="40" ht="16" customHeight="1">
      <c r="A40" s="32" t="n">
        <v>33</v>
      </c>
      <c r="B40" s="32" t="inlineStr">
        <is>
          <t>K3-1B</t>
        </is>
      </c>
      <c r="D40" s="32" t="n">
        <v>1.18</v>
      </c>
      <c r="E40" s="32" t="n">
        <v>4.823</v>
      </c>
      <c r="F40" s="32" t="n">
        <v>3719.279</v>
      </c>
      <c r="G40" s="32" t="n">
        <v>64</v>
      </c>
      <c r="H40">
        <f>E40/F40</f>
        <v/>
      </c>
      <c r="I40">
        <f>((H40-$J$7)/$I$7)</f>
        <v/>
      </c>
      <c r="J40">
        <f>(I40-IF($I$15&gt;0,$I$15,0))</f>
        <v/>
      </c>
      <c r="K40">
        <f>J40/R23*1.1</f>
        <v/>
      </c>
    </row>
    <row r="41" ht="16" customHeight="1">
      <c r="A41" s="32" t="n">
        <v>34</v>
      </c>
      <c r="B41" s="32" t="inlineStr">
        <is>
          <t>K3-1C</t>
        </is>
      </c>
      <c r="D41" s="32" t="n">
        <v>1.23</v>
      </c>
      <c r="E41" s="32" t="n">
        <v>4.461</v>
      </c>
      <c r="F41" s="32" t="n">
        <v>4814.875</v>
      </c>
      <c r="G41" s="32" t="n">
        <v>39</v>
      </c>
      <c r="H41">
        <f>E41/F41</f>
        <v/>
      </c>
      <c r="I41">
        <f>((H41-$J$7)/$I$7)</f>
        <v/>
      </c>
      <c r="J41">
        <f>(I41-IF($I$15&gt;0,$I$15,0))</f>
        <v/>
      </c>
      <c r="K41">
        <f>J41/R24*1.1</f>
        <v/>
      </c>
      <c r="L41" s="23" t="inlineStr">
        <is>
          <t>Average</t>
        </is>
      </c>
      <c r="M41" s="23" t="inlineStr">
        <is>
          <t>Stdev</t>
        </is>
      </c>
      <c r="N41" s="9" t="inlineStr">
        <is>
          <t>Combined</t>
        </is>
      </c>
    </row>
    <row r="42" ht="16" customHeight="1">
      <c r="A42" s="32" t="n">
        <v>35</v>
      </c>
      <c r="B42" s="32" t="inlineStr">
        <is>
          <t>K3-2A</t>
        </is>
      </c>
      <c r="D42" s="32" t="n">
        <v>1.22</v>
      </c>
      <c r="E42" s="32" t="n">
        <v>4.253</v>
      </c>
      <c r="F42" s="32" t="n">
        <v>4565.734</v>
      </c>
      <c r="G42" s="32" t="n">
        <v>4.334</v>
      </c>
      <c r="H42">
        <f>E42/F42</f>
        <v/>
      </c>
      <c r="I42">
        <f>((H42-$J$7)/$I$7)</f>
        <v/>
      </c>
      <c r="J42">
        <f>(I42-IF($I$15&gt;0,$I$15,0))</f>
        <v/>
      </c>
      <c r="K42">
        <f>J42/R25*1.1</f>
        <v/>
      </c>
      <c r="L42">
        <f>AVERAGE(K42:K44)</f>
        <v/>
      </c>
      <c r="M42">
        <f>STDEV(K42:K44)</f>
        <v/>
      </c>
      <c r="N42">
        <f>_xlfn.CONCAT(ROUND(L42,1)," ± ",ROUND(M42,1))</f>
        <v/>
      </c>
    </row>
    <row r="43" ht="16" customHeight="1">
      <c r="A43" s="32" t="n">
        <v>36</v>
      </c>
      <c r="B43" s="32" t="inlineStr">
        <is>
          <t>K3-2B</t>
        </is>
      </c>
      <c r="D43" s="32" t="n">
        <v>1.21</v>
      </c>
      <c r="E43" s="32" t="n">
        <v>5.327</v>
      </c>
      <c r="F43" s="32" t="n">
        <v>4775.06</v>
      </c>
      <c r="G43" s="32" t="n">
        <v>7.381</v>
      </c>
      <c r="H43">
        <f>E43/F43</f>
        <v/>
      </c>
      <c r="I43">
        <f>((H43-$J$7)/$I$7)</f>
        <v/>
      </c>
      <c r="J43">
        <f>(I43-IF($I$15&gt;0,$I$15,0))</f>
        <v/>
      </c>
      <c r="K43">
        <f>J43/R26*1.1</f>
        <v/>
      </c>
    </row>
    <row r="44" ht="16" customHeight="1">
      <c r="A44" s="32" t="n">
        <v>37</v>
      </c>
      <c r="B44" s="32" t="inlineStr">
        <is>
          <t>K3-2C</t>
        </is>
      </c>
      <c r="D44" s="32" t="n">
        <v>1.18</v>
      </c>
      <c r="E44" s="32" t="n">
        <v>4.611</v>
      </c>
      <c r="F44" s="32" t="n">
        <v>4192.287</v>
      </c>
      <c r="G44" s="32" t="n">
        <v>2.896</v>
      </c>
      <c r="H44">
        <f>E44/F44</f>
        <v/>
      </c>
      <c r="I44">
        <f>((H44-$J$7)/$I$7)</f>
        <v/>
      </c>
      <c r="J44">
        <f>(I44-IF($I$15&gt;0,$I$15,0))</f>
        <v/>
      </c>
      <c r="K44">
        <f>J44/R27*1.1</f>
        <v/>
      </c>
      <c r="L44" s="23" t="n"/>
      <c r="M44" s="23" t="n"/>
      <c r="N44" s="9" t="n"/>
    </row>
    <row r="45" ht="16" customHeight="1">
      <c r="A45" s="32" t="n">
        <v>38</v>
      </c>
      <c r="B45" s="32" t="inlineStr">
        <is>
          <t>MeOH</t>
        </is>
      </c>
      <c r="L45" s="23" t="inlineStr">
        <is>
          <t>Average</t>
        </is>
      </c>
      <c r="M45" s="23" t="inlineStr">
        <is>
          <t>Stdev</t>
        </is>
      </c>
      <c r="N45" s="9" t="inlineStr">
        <is>
          <t>Combined</t>
        </is>
      </c>
    </row>
    <row r="46" ht="16" customHeight="1">
      <c r="A46" s="32" t="n">
        <v>39</v>
      </c>
      <c r="B46" s="32" t="inlineStr">
        <is>
          <t>K3-3A</t>
        </is>
      </c>
      <c r="D46" s="32" t="n">
        <v>1.56</v>
      </c>
      <c r="E46" s="32" t="n">
        <v>3.824</v>
      </c>
      <c r="F46" s="32" t="n">
        <v>3883.396</v>
      </c>
      <c r="G46" s="32" t="n">
        <v>5.338</v>
      </c>
      <c r="H46">
        <f>E46/F46</f>
        <v/>
      </c>
      <c r="I46">
        <f>((H46-$J$7)/$I$7)</f>
        <v/>
      </c>
      <c r="J46">
        <f>(I46-IF($I$15&gt;0,$I$15,0))</f>
        <v/>
      </c>
      <c r="K46">
        <f>J46/R28*1.1</f>
        <v/>
      </c>
      <c r="L46">
        <f>AVERAGE(K46:K48)</f>
        <v/>
      </c>
      <c r="M46">
        <f>STDEV(K47:K48)</f>
        <v/>
      </c>
      <c r="N46">
        <f>_xlfn.CONCAT(ROUND(L46,1)," ± ",ROUND(M46,1))</f>
        <v/>
      </c>
    </row>
    <row r="47" ht="16" customHeight="1">
      <c r="A47" s="32" t="n">
        <v>40</v>
      </c>
      <c r="B47" s="32" t="inlineStr">
        <is>
          <t>K3-3B</t>
        </is>
      </c>
      <c r="D47" s="32" t="n">
        <v>1.55</v>
      </c>
      <c r="E47" s="32" t="n">
        <v>3.526</v>
      </c>
      <c r="F47" s="32" t="n">
        <v>4786.087</v>
      </c>
      <c r="G47" s="32" t="n">
        <v>35</v>
      </c>
      <c r="H47">
        <f>E47/F47</f>
        <v/>
      </c>
      <c r="I47">
        <f>((H47-$J$7)/$I$7)</f>
        <v/>
      </c>
      <c r="J47">
        <f>(I47-IF($I$15&gt;0,$I$15,0))</f>
        <v/>
      </c>
      <c r="K47">
        <f>J47/R29*1.1</f>
        <v/>
      </c>
    </row>
    <row r="48" ht="16" customHeight="1">
      <c r="A48" s="32" t="n">
        <v>41</v>
      </c>
      <c r="B48" s="32" t="inlineStr">
        <is>
          <t>K3-3C</t>
        </is>
      </c>
      <c r="D48" s="32" t="n">
        <v>1.57</v>
      </c>
      <c r="E48" s="32" t="n">
        <v>9.609999999999999</v>
      </c>
      <c r="F48" s="32" t="n">
        <v>5066.448</v>
      </c>
      <c r="G48" s="32" t="n">
        <v>4.686</v>
      </c>
      <c r="H48">
        <f>E48/F48</f>
        <v/>
      </c>
      <c r="I48">
        <f>((H48-$J$7)/$I$7)</f>
        <v/>
      </c>
      <c r="J48">
        <f>(I48-IF($I$15&gt;0,$I$15,0))</f>
        <v/>
      </c>
      <c r="K48">
        <f>J48/R30*1.1</f>
        <v/>
      </c>
      <c r="L48" s="23" t="inlineStr">
        <is>
          <t>Average</t>
        </is>
      </c>
      <c r="M48" s="23" t="inlineStr">
        <is>
          <t>Stdev</t>
        </is>
      </c>
      <c r="N48" s="9" t="inlineStr">
        <is>
          <t>Combined</t>
        </is>
      </c>
    </row>
    <row r="49" ht="16" customHeight="1">
      <c r="A49" s="32" t="n">
        <v>42</v>
      </c>
      <c r="B49" s="32" t="inlineStr">
        <is>
          <t>K3-4A</t>
        </is>
      </c>
      <c r="D49" s="32" t="n">
        <v>1.59</v>
      </c>
      <c r="E49" s="32" t="n">
        <v>5.966</v>
      </c>
      <c r="F49" s="32" t="n">
        <v>5114.056</v>
      </c>
      <c r="G49" s="32" t="n">
        <v>3.417</v>
      </c>
      <c r="H49">
        <f>E49/F49</f>
        <v/>
      </c>
      <c r="I49">
        <f>((H49-$J$7)/$I$7)</f>
        <v/>
      </c>
      <c r="J49">
        <f>(I49-IF($I$15&gt;0,$I$15,0))</f>
        <v/>
      </c>
      <c r="K49">
        <f>J49/R31*1.1</f>
        <v/>
      </c>
      <c r="L49">
        <f>AVERAGE(K49:K51)</f>
        <v/>
      </c>
      <c r="M49">
        <f>STDEV(K49:K51)</f>
        <v/>
      </c>
      <c r="N49">
        <f>_xlfn.CONCAT(ROUND(L49,1)," ± ",ROUND(M49,1))</f>
        <v/>
      </c>
    </row>
    <row r="50" ht="16" customHeight="1">
      <c r="A50" s="32" t="n">
        <v>43</v>
      </c>
      <c r="B50" s="32" t="inlineStr">
        <is>
          <t>K3-4B</t>
        </is>
      </c>
      <c r="D50" s="32" t="n">
        <v>1.55</v>
      </c>
      <c r="E50" s="32" t="n">
        <v>5.617</v>
      </c>
      <c r="F50" s="32" t="n">
        <v>4902.364</v>
      </c>
      <c r="G50" s="32" t="n">
        <v>8.117000000000001</v>
      </c>
      <c r="H50">
        <f>E50/F50</f>
        <v/>
      </c>
      <c r="I50">
        <f>((H50-$J$7)/$I$7)</f>
        <v/>
      </c>
      <c r="J50">
        <f>(I50-IF($I$15&gt;0,$I$15,0))</f>
        <v/>
      </c>
      <c r="K50">
        <f>J50/R32*1.1</f>
        <v/>
      </c>
    </row>
    <row r="51" ht="16" customHeight="1">
      <c r="A51" s="32" t="n">
        <v>44</v>
      </c>
      <c r="B51" s="32" t="inlineStr">
        <is>
          <t>K3-4C</t>
        </is>
      </c>
      <c r="D51" s="32" t="n">
        <v>1.61</v>
      </c>
      <c r="E51" s="32" t="n">
        <v>12.728</v>
      </c>
      <c r="F51" s="32" t="n">
        <v>5366.199</v>
      </c>
      <c r="G51" s="32" t="n">
        <v>4.726</v>
      </c>
      <c r="H51">
        <f>E51/F51</f>
        <v/>
      </c>
      <c r="I51">
        <f>((H51-$J$7)/$I$7)</f>
        <v/>
      </c>
      <c r="J51">
        <f>(I51-IF($I$15&gt;0,$I$15,0))</f>
        <v/>
      </c>
      <c r="K51">
        <f>J51/R33*1.1</f>
        <v/>
      </c>
      <c r="L51" s="23" t="n"/>
      <c r="M51" s="23" t="n"/>
      <c r="N51" s="9" t="n"/>
    </row>
    <row r="52" ht="16" customHeight="1">
      <c r="A52" s="32" t="n">
        <v>45</v>
      </c>
      <c r="B52" s="32" t="inlineStr">
        <is>
          <t>MeOH</t>
        </is>
      </c>
      <c r="D52" s="32" t="n">
        <v>1.02</v>
      </c>
      <c r="E52" s="32" t="n">
        <v>0.531</v>
      </c>
      <c r="G52" s="32" t="n">
        <v>8</v>
      </c>
      <c r="L52" s="23" t="inlineStr">
        <is>
          <t>Average</t>
        </is>
      </c>
      <c r="M52" s="23" t="inlineStr">
        <is>
          <t>Stdev</t>
        </is>
      </c>
      <c r="N52" s="9" t="inlineStr">
        <is>
          <t>Combined</t>
        </is>
      </c>
    </row>
    <row r="53" ht="16" customHeight="1">
      <c r="A53" s="32" t="n">
        <v>46</v>
      </c>
      <c r="B53" s="32" t="inlineStr">
        <is>
          <t>K3-6A</t>
        </is>
      </c>
      <c r="D53" s="32" t="n">
        <v>1.21</v>
      </c>
      <c r="E53" s="32" t="n">
        <v>10.844</v>
      </c>
      <c r="F53" s="32" t="n">
        <v>5428.197</v>
      </c>
      <c r="G53" s="32" t="n">
        <v>26.383</v>
      </c>
      <c r="H53">
        <f>E53/F53</f>
        <v/>
      </c>
      <c r="I53">
        <f>((H53-$J$7)/$I$7)</f>
        <v/>
      </c>
      <c r="J53">
        <f>(I53-IF($I$15&gt;0,$I$15,0))</f>
        <v/>
      </c>
      <c r="K53">
        <f>J53/R34*1.1</f>
        <v/>
      </c>
      <c r="L53">
        <f>AVERAGE(K53:K55)</f>
        <v/>
      </c>
      <c r="M53">
        <f>STDEV(K54:K55)</f>
        <v/>
      </c>
      <c r="N53">
        <f>_xlfn.CONCAT(ROUND(L53,1)," ± ",ROUND(M53,1))</f>
        <v/>
      </c>
    </row>
    <row r="54" ht="16" customHeight="1">
      <c r="A54" s="32" t="n">
        <v>47</v>
      </c>
      <c r="B54" s="32" t="inlineStr">
        <is>
          <t>K3-6B</t>
        </is>
      </c>
      <c r="D54" s="32" t="n">
        <v>1.51</v>
      </c>
      <c r="E54" s="32" t="n">
        <v>7.304</v>
      </c>
      <c r="F54" s="32" t="n">
        <v>4501.771</v>
      </c>
      <c r="G54" s="32" t="n">
        <v>32.003</v>
      </c>
      <c r="H54">
        <f>E54/F54</f>
        <v/>
      </c>
      <c r="I54">
        <f>((H54-$J$7)/$I$7)</f>
        <v/>
      </c>
      <c r="J54">
        <f>(I54-IF($I$15&gt;0,$I$15,0))</f>
        <v/>
      </c>
      <c r="K54">
        <f>J54/R35*1.1</f>
        <v/>
      </c>
    </row>
    <row r="55" ht="16" customHeight="1">
      <c r="A55" s="32" t="n">
        <v>48</v>
      </c>
      <c r="B55" s="32" t="inlineStr">
        <is>
          <t>K3-6C</t>
        </is>
      </c>
      <c r="D55" s="32" t="n">
        <v>1.52</v>
      </c>
      <c r="E55" s="32" t="n">
        <v>10.901</v>
      </c>
      <c r="F55" s="32" t="n">
        <v>4806.024</v>
      </c>
      <c r="G55" s="32" t="n">
        <v>9.58</v>
      </c>
      <c r="H55">
        <f>E55/F55</f>
        <v/>
      </c>
      <c r="I55">
        <f>((H55-$J$7)/$I$7)</f>
        <v/>
      </c>
      <c r="J55">
        <f>(I55-IF($I$15&gt;0,$I$15,0))</f>
        <v/>
      </c>
      <c r="K55">
        <f>J55/R36*1.1</f>
        <v/>
      </c>
      <c r="L55" s="23" t="n"/>
      <c r="M55" s="23" t="n"/>
      <c r="N55" s="9" t="n"/>
    </row>
    <row r="57">
      <c r="A57" s="32" t="inlineStr">
        <is>
          <t>Compound 2:  PFMeS 1</t>
        </is>
      </c>
    </row>
    <row r="58" ht="16" customHeight="1">
      <c r="I58" t="inlineStr">
        <is>
          <t>LINEST</t>
        </is>
      </c>
      <c r="Q58" t="inlineStr">
        <is>
          <t>Biosolids Masses</t>
        </is>
      </c>
      <c r="R58" t="inlineStr">
        <is>
          <t>(g)</t>
        </is>
      </c>
    </row>
    <row r="59" ht="16" customHeight="1">
      <c r="B59" s="32" t="inlineStr">
        <is>
          <t>Sample Text</t>
        </is>
      </c>
      <c r="C59" s="32" t="inlineStr">
        <is>
          <t>Std. Conc</t>
        </is>
      </c>
      <c r="D59" s="32" t="inlineStr">
        <is>
          <t>RT</t>
        </is>
      </c>
      <c r="E59" s="32" t="inlineStr">
        <is>
          <t>Area</t>
        </is>
      </c>
      <c r="F59" s="32" t="inlineStr">
        <is>
          <t>IS Area</t>
        </is>
      </c>
      <c r="G59" s="32" t="inlineStr">
        <is>
          <t>S/N</t>
        </is>
      </c>
      <c r="H59" t="inlineStr">
        <is>
          <t>ratio</t>
        </is>
      </c>
      <c r="I59">
        <f t="array" ref="I59:J63">LINEST(H63:H67,C63:C67,1,1)</f>
        <v/>
      </c>
      <c r="J59" t="n">
        <v>-0.00140015011017486</v>
      </c>
      <c r="L59" s="20" t="inlineStr">
        <is>
          <t>By S/N Ratio</t>
        </is>
      </c>
      <c r="Q59" t="inlineStr">
        <is>
          <t>SS1</t>
        </is>
      </c>
      <c r="R59" t="n">
        <v>1.0846</v>
      </c>
    </row>
    <row r="60" ht="16" customHeight="1">
      <c r="A60" s="32" t="n">
        <v>1</v>
      </c>
      <c r="B60" s="32" t="inlineStr">
        <is>
          <t>EPA1633 &amp; diPAPs Calibration 0 ppb</t>
        </is>
      </c>
      <c r="C60" t="n">
        <v>0</v>
      </c>
      <c r="D60" s="32" t="n">
        <v>1.47</v>
      </c>
      <c r="E60" s="32" t="n">
        <v>0.054</v>
      </c>
      <c r="F60" s="32" t="n">
        <v>7551.013</v>
      </c>
      <c r="G60" s="32" t="n">
        <v>1</v>
      </c>
      <c r="H60">
        <f>E60/F60</f>
        <v/>
      </c>
      <c r="I60" t="n">
        <v>3.181941524521947e-05</v>
      </c>
      <c r="J60" t="n">
        <v>0.001305647969895641</v>
      </c>
      <c r="K60" t="inlineStr">
        <is>
          <t>LOD</t>
        </is>
      </c>
      <c r="L60" s="21">
        <f>IF(G63&gt;3,C63,IF(G64&gt;3,C64,IF(G65&gt;3,C65,IF(G66&gt;3,C66,C67))))</f>
        <v/>
      </c>
      <c r="Q60" t="inlineStr">
        <is>
          <t>SS2</t>
        </is>
      </c>
      <c r="R60" t="n">
        <v>1.0726</v>
      </c>
    </row>
    <row r="61" ht="16" customHeight="1">
      <c r="A61" s="32" t="n">
        <v>2</v>
      </c>
      <c r="B61" s="32" t="inlineStr">
        <is>
          <t>EPA1633 &amp; diPAPs Calibration 0.02 ppb</t>
        </is>
      </c>
      <c r="C61" t="n">
        <v>0.08</v>
      </c>
      <c r="D61" s="32" t="n">
        <v>1.04</v>
      </c>
      <c r="E61" s="32" t="n">
        <v>2.102</v>
      </c>
      <c r="F61" s="32" t="n">
        <v>6696.725</v>
      </c>
      <c r="G61" s="32" t="n">
        <v>23</v>
      </c>
      <c r="H61">
        <f>E61/F61</f>
        <v/>
      </c>
      <c r="I61" t="n">
        <v>0.987146117013917</v>
      </c>
      <c r="J61" t="n">
        <v>0.00205689521179973</v>
      </c>
      <c r="K61" t="inlineStr">
        <is>
          <t>LOQ</t>
        </is>
      </c>
      <c r="L61" s="22">
        <f>IF(G63&gt;10,C63,IF(G64&gt;10,C64,IF(G65&gt;10,C65,IF(G66&gt;10,C66,C67))))</f>
        <v/>
      </c>
      <c r="Q61" t="inlineStr">
        <is>
          <t>SS3</t>
        </is>
      </c>
      <c r="R61" t="n">
        <v>1.1534</v>
      </c>
    </row>
    <row r="62" ht="16" customHeight="1">
      <c r="A62" s="32" t="n">
        <v>3</v>
      </c>
      <c r="B62" s="32" t="inlineStr">
        <is>
          <t>EPA1633 &amp; diPAPs Calibration 0.1 ppb</t>
        </is>
      </c>
      <c r="C62" t="n">
        <v>0.4</v>
      </c>
      <c r="D62" s="32" t="n">
        <v>1.71</v>
      </c>
      <c r="E62" s="32" t="n">
        <v>0.043</v>
      </c>
      <c r="F62" s="32" t="n">
        <v>7209.583</v>
      </c>
      <c r="G62" s="32" t="n">
        <v>1</v>
      </c>
      <c r="H62">
        <f>E62/F62</f>
        <v/>
      </c>
      <c r="I62" t="n">
        <v>230.3925089599869</v>
      </c>
      <c r="J62" t="n">
        <v>3</v>
      </c>
      <c r="Q62" t="inlineStr">
        <is>
          <t>K4-1A</t>
        </is>
      </c>
      <c r="R62" t="n">
        <v>1.0267</v>
      </c>
    </row>
    <row r="63" ht="16" customHeight="1">
      <c r="A63" s="32" t="n">
        <v>4</v>
      </c>
      <c r="B63" s="32" t="inlineStr">
        <is>
          <t>EPA1633 &amp; diPAPs Calibration 0.4 ppb</t>
        </is>
      </c>
      <c r="C63" t="n">
        <v>1.6</v>
      </c>
      <c r="D63" s="32" t="n">
        <v>1.06</v>
      </c>
      <c r="E63" s="32" t="n">
        <v>2.947</v>
      </c>
      <c r="F63" s="32" t="n">
        <v>7013.762</v>
      </c>
      <c r="G63" s="32" t="n">
        <v>41</v>
      </c>
      <c r="H63">
        <f>E63/F63</f>
        <v/>
      </c>
      <c r="I63" t="n">
        <v>0.0009747487537733317</v>
      </c>
      <c r="J63" t="n">
        <v>1.269245373697397e-05</v>
      </c>
      <c r="Q63" t="inlineStr">
        <is>
          <t>K4-1B</t>
        </is>
      </c>
      <c r="R63" t="n">
        <v>1.1481</v>
      </c>
    </row>
    <row r="64" ht="16" customHeight="1">
      <c r="A64" s="32" t="n">
        <v>5</v>
      </c>
      <c r="B64" s="32" t="inlineStr">
        <is>
          <t>EPA1633 &amp; diPAPs Calibration 1 ppb</t>
        </is>
      </c>
      <c r="C64" t="n">
        <v>4</v>
      </c>
      <c r="D64" s="32" t="n">
        <v>1.08</v>
      </c>
      <c r="E64" s="32" t="n">
        <v>2.437</v>
      </c>
      <c r="F64" s="32" t="n">
        <v>8048.652</v>
      </c>
      <c r="G64" s="32" t="n">
        <v>36</v>
      </c>
      <c r="H64">
        <f>E64/F64</f>
        <v/>
      </c>
      <c r="Q64" t="inlineStr">
        <is>
          <t>K4-1C</t>
        </is>
      </c>
      <c r="R64" t="n">
        <v>1.0402</v>
      </c>
    </row>
    <row r="65" ht="16" customHeight="1">
      <c r="A65" s="32" t="n">
        <v>6</v>
      </c>
      <c r="B65" s="32" t="inlineStr">
        <is>
          <t>EPA1633 &amp; diPAPs Calibration 5 ppb</t>
        </is>
      </c>
      <c r="C65" t="n">
        <v>20</v>
      </c>
      <c r="D65" s="32" t="n">
        <v>1.05</v>
      </c>
      <c r="E65" s="32" t="n">
        <v>41.209</v>
      </c>
      <c r="F65" s="32" t="n">
        <v>7211.955</v>
      </c>
      <c r="G65" s="32" t="n">
        <v>28.439</v>
      </c>
      <c r="H65">
        <f>E65/F65</f>
        <v/>
      </c>
      <c r="Q65" t="inlineStr">
        <is>
          <t>K4-2A</t>
        </is>
      </c>
      <c r="R65" t="n">
        <v>1.127</v>
      </c>
    </row>
    <row r="66" ht="16" customHeight="1">
      <c r="A66" s="32" t="n">
        <v>7</v>
      </c>
      <c r="B66" s="32" t="inlineStr">
        <is>
          <t>EPA1633 &amp; diPAPs Calibration 10 ppb</t>
        </is>
      </c>
      <c r="C66" t="n">
        <v>40</v>
      </c>
      <c r="D66" s="32" t="n">
        <v>1.05</v>
      </c>
      <c r="E66" s="32" t="n">
        <v>114.414</v>
      </c>
      <c r="F66" s="32" t="n">
        <v>5686.902</v>
      </c>
      <c r="G66" s="32" t="n">
        <v>311.398</v>
      </c>
      <c r="H66">
        <f>E66/F66</f>
        <v/>
      </c>
      <c r="I66" s="23" t="inlineStr">
        <is>
          <t>Background</t>
        </is>
      </c>
      <c r="J66" s="23" t="inlineStr">
        <is>
          <t>Spike</t>
        </is>
      </c>
      <c r="K66" s="9" t="inlineStr">
        <is>
          <t>Old Spike</t>
        </is>
      </c>
      <c r="O66" s="24" t="inlineStr">
        <is>
          <t>±</t>
        </is>
      </c>
      <c r="Q66" t="inlineStr">
        <is>
          <t>K4-2B</t>
        </is>
      </c>
      <c r="R66" t="n">
        <v>1.1154</v>
      </c>
    </row>
    <row r="67" ht="16" customHeight="1">
      <c r="A67" s="32" t="n">
        <v>8</v>
      </c>
      <c r="B67" s="32" t="inlineStr">
        <is>
          <t>EPA1633 &amp; diPAPs Calibration 20 ppb</t>
        </is>
      </c>
      <c r="C67" t="n">
        <v>80</v>
      </c>
      <c r="D67" s="32" t="n">
        <v>1.06</v>
      </c>
      <c r="E67" s="32" t="n">
        <v>227.174</v>
      </c>
      <c r="F67" s="32" t="n">
        <v>6179.103</v>
      </c>
      <c r="G67" s="32" t="n">
        <v>2071.354</v>
      </c>
      <c r="H67">
        <f>E67/F67</f>
        <v/>
      </c>
      <c r="I67">
        <f>AVERAGE(I70:I72)</f>
        <v/>
      </c>
      <c r="J67" t="n">
        <v>44</v>
      </c>
      <c r="Q67" t="inlineStr">
        <is>
          <t>K4-2C</t>
        </is>
      </c>
      <c r="R67" t="n">
        <v>1.1711</v>
      </c>
    </row>
    <row r="68" ht="16" customHeight="1">
      <c r="A68" s="32" t="n">
        <v>9</v>
      </c>
      <c r="B68" s="32" t="inlineStr">
        <is>
          <t>MeOH</t>
        </is>
      </c>
      <c r="D68" s="32" t="n">
        <v>1.78</v>
      </c>
      <c r="E68" s="32" t="n">
        <v>0.043</v>
      </c>
      <c r="G68" s="32" t="n">
        <v>1</v>
      </c>
      <c r="I68" s="23" t="inlineStr">
        <is>
          <t>Conc.In Vial (ppb)</t>
        </is>
      </c>
      <c r="J68" s="9" t="inlineStr">
        <is>
          <t>Corr. Conc.(ppb)</t>
        </is>
      </c>
      <c r="K68" s="9" t="inlineStr">
        <is>
          <t>Conc. In soil (ng/g)</t>
        </is>
      </c>
      <c r="Q68" t="inlineStr">
        <is>
          <t>K4-4A</t>
        </is>
      </c>
      <c r="R68" t="n">
        <v>1.0932</v>
      </c>
    </row>
    <row r="69" ht="16" customHeight="1">
      <c r="A69" s="32" t="n">
        <v>10</v>
      </c>
      <c r="B69" s="32" t="inlineStr">
        <is>
          <t>MeOH</t>
        </is>
      </c>
      <c r="D69" s="32" t="n">
        <v>1.44</v>
      </c>
      <c r="E69" s="32" t="n">
        <v>0.204</v>
      </c>
      <c r="G69" s="32" t="n">
        <v>2</v>
      </c>
      <c r="L69" s="23" t="inlineStr">
        <is>
          <t>Average</t>
        </is>
      </c>
      <c r="M69" s="23" t="inlineStr">
        <is>
          <t>Stdev</t>
        </is>
      </c>
      <c r="N69" s="9" t="inlineStr">
        <is>
          <t>Combined</t>
        </is>
      </c>
      <c r="O69" s="9" t="n"/>
      <c r="P69" s="9" t="n"/>
      <c r="Q69" t="inlineStr">
        <is>
          <t>K4-4B</t>
        </is>
      </c>
      <c r="R69" t="n">
        <v>1.15</v>
      </c>
    </row>
    <row r="70" ht="16" customHeight="1">
      <c r="A70" s="32" t="n">
        <v>11</v>
      </c>
      <c r="B70" s="32" t="inlineStr">
        <is>
          <t>SB1</t>
        </is>
      </c>
      <c r="D70" s="32" t="n">
        <v>1.69</v>
      </c>
      <c r="E70" s="32" t="n">
        <v>0.236</v>
      </c>
      <c r="F70" s="32" t="n">
        <v>3649.542</v>
      </c>
      <c r="G70" s="32" t="n">
        <v>2.806</v>
      </c>
      <c r="H70">
        <f>E70/F70</f>
        <v/>
      </c>
      <c r="I70">
        <f>((H70-$J$59)/$I$59)</f>
        <v/>
      </c>
      <c r="J70">
        <f>(I70-IF(I67&gt;0,I67,0))</f>
        <v/>
      </c>
      <c r="K70">
        <f>J70*1.1</f>
        <v/>
      </c>
      <c r="L70">
        <f>AVERAGE(K70:K72)</f>
        <v/>
      </c>
      <c r="M70">
        <f>STDEV(K71:K72)</f>
        <v/>
      </c>
      <c r="N70">
        <f>_xlfn.CONCAT(ROUND(L70,1)," ± ",ROUND(M70,1))</f>
        <v/>
      </c>
      <c r="Q70" t="inlineStr">
        <is>
          <t>K4-4C</t>
        </is>
      </c>
      <c r="R70" t="n">
        <v>1.0482</v>
      </c>
    </row>
    <row r="71" ht="16" customHeight="1">
      <c r="A71" s="32" t="n">
        <v>12</v>
      </c>
      <c r="B71" s="32" t="inlineStr">
        <is>
          <t>SB2</t>
        </is>
      </c>
      <c r="D71" s="32" t="n">
        <v>1.72</v>
      </c>
      <c r="E71" s="32" t="n">
        <v>0.097</v>
      </c>
      <c r="F71" s="32" t="n">
        <v>3370.738</v>
      </c>
      <c r="G71" s="32" t="n">
        <v>1</v>
      </c>
      <c r="H71">
        <f>E71/F71</f>
        <v/>
      </c>
      <c r="I71">
        <f>((H71-$J$59)/$I$59)</f>
        <v/>
      </c>
      <c r="J71">
        <f>(I71-IF(I67&gt;0,I67,0))</f>
        <v/>
      </c>
      <c r="K71">
        <f>J71*1.1</f>
        <v/>
      </c>
      <c r="Q71" t="inlineStr">
        <is>
          <t>K4-5A</t>
        </is>
      </c>
      <c r="R71" t="n">
        <v>1.1054</v>
      </c>
    </row>
    <row r="72" ht="16" customHeight="1">
      <c r="A72" s="32" t="n">
        <v>13</v>
      </c>
      <c r="B72" s="32" t="inlineStr">
        <is>
          <t>SB3</t>
        </is>
      </c>
      <c r="D72" s="32" t="n">
        <v>2</v>
      </c>
      <c r="E72" s="32" t="n">
        <v>0.021</v>
      </c>
      <c r="F72" s="32" t="n">
        <v>3095.617</v>
      </c>
      <c r="G72" s="32" t="n">
        <v>0</v>
      </c>
      <c r="H72">
        <f>E72/F72</f>
        <v/>
      </c>
      <c r="I72">
        <f>((H72-$J$59)/$I$59)</f>
        <v/>
      </c>
      <c r="J72">
        <f>(I72-IF(I67&gt;0,I67,0))</f>
        <v/>
      </c>
      <c r="K72" s="30">
        <f>J72*1.1</f>
        <v/>
      </c>
      <c r="L72" s="25" t="inlineStr">
        <is>
          <t>Average</t>
        </is>
      </c>
      <c r="M72" s="25" t="inlineStr">
        <is>
          <t>Stdev</t>
        </is>
      </c>
      <c r="N72" s="26" t="inlineStr">
        <is>
          <t>%Recovery</t>
        </is>
      </c>
      <c r="O72" s="26" t="inlineStr">
        <is>
          <t>Uncertainty</t>
        </is>
      </c>
      <c r="P72" s="26" t="inlineStr">
        <is>
          <t>Combined</t>
        </is>
      </c>
      <c r="Q72" t="inlineStr">
        <is>
          <t>K4-5B</t>
        </is>
      </c>
      <c r="R72" s="10" t="n">
        <v>1.0463</v>
      </c>
    </row>
    <row r="73" ht="16" customHeight="1">
      <c r="A73" s="32" t="n">
        <v>14</v>
      </c>
      <c r="B73" s="32" t="inlineStr">
        <is>
          <t>SS1</t>
        </is>
      </c>
      <c r="D73" s="32" t="n">
        <v>1.71</v>
      </c>
      <c r="E73" s="32" t="n">
        <v>48.665</v>
      </c>
      <c r="F73" s="32" t="n">
        <v>3490.645</v>
      </c>
      <c r="G73" s="32" t="n">
        <v>473</v>
      </c>
      <c r="H73">
        <f>E73/F73</f>
        <v/>
      </c>
      <c r="I73">
        <f>((H73-$J$59)/$I$59)</f>
        <v/>
      </c>
      <c r="J73">
        <f>(I73-IF($I$67&gt;0,$I$67,0))</f>
        <v/>
      </c>
      <c r="K73">
        <f>J73/R59*1.1</f>
        <v/>
      </c>
      <c r="L73" s="27">
        <f>AVERAGE(K73:K75)</f>
        <v/>
      </c>
      <c r="M73" s="27">
        <f>STDEV(K73:K75)</f>
        <v/>
      </c>
      <c r="N73" s="28">
        <f>L73/J67*100</f>
        <v/>
      </c>
      <c r="O73" s="29">
        <f>M73/J67*100</f>
        <v/>
      </c>
      <c r="P73" s="29">
        <f>_xlfn.CONCAT(ROUND(N73,1)," ± ",ROUND(O73,1))</f>
        <v/>
      </c>
      <c r="Q73" t="inlineStr">
        <is>
          <t>K4-5C</t>
        </is>
      </c>
      <c r="R73" t="n">
        <v>1.1155</v>
      </c>
    </row>
    <row r="74" ht="16" customHeight="1">
      <c r="A74" s="32" t="n">
        <v>15</v>
      </c>
      <c r="B74" s="32" t="inlineStr">
        <is>
          <t>SS2</t>
        </is>
      </c>
      <c r="D74" s="32" t="n">
        <v>1.75</v>
      </c>
      <c r="E74" s="32" t="n">
        <v>51.366</v>
      </c>
      <c r="F74" s="32" t="n">
        <v>3699.493</v>
      </c>
      <c r="G74" s="32" t="n">
        <v>141.092</v>
      </c>
      <c r="H74">
        <f>E74/F74</f>
        <v/>
      </c>
      <c r="I74">
        <f>((H74-$J$59)/$I$59)</f>
        <v/>
      </c>
      <c r="J74">
        <f>(I74-IF($I$67&gt;0,$I$67,0))</f>
        <v/>
      </c>
      <c r="K74">
        <f>J74/R60*1.1</f>
        <v/>
      </c>
      <c r="Q74" t="inlineStr">
        <is>
          <t>K3-1A</t>
        </is>
      </c>
      <c r="R74" t="n">
        <v>1.0874</v>
      </c>
    </row>
    <row r="75" ht="16" customHeight="1">
      <c r="A75" s="32" t="n">
        <v>16</v>
      </c>
      <c r="B75" s="32" t="inlineStr">
        <is>
          <t>SS3</t>
        </is>
      </c>
      <c r="D75" s="32" t="n">
        <v>1.71</v>
      </c>
      <c r="E75" s="32" t="n">
        <v>37.488</v>
      </c>
      <c r="F75" s="32" t="n">
        <v>3352.055</v>
      </c>
      <c r="G75" s="32" t="n">
        <v>307.419</v>
      </c>
      <c r="H75">
        <f>E75/F75</f>
        <v/>
      </c>
      <c r="I75">
        <f>((H75-$J$59)/$I$59)</f>
        <v/>
      </c>
      <c r="J75">
        <f>(I75-IF($I$67&gt;0,$I$67,0))</f>
        <v/>
      </c>
      <c r="K75" s="30">
        <f>J75/R61*1.1</f>
        <v/>
      </c>
      <c r="Q75" t="inlineStr">
        <is>
          <t>K3-1B</t>
        </is>
      </c>
      <c r="R75" t="n">
        <v>1.0898</v>
      </c>
    </row>
    <row r="76" ht="16" customHeight="1">
      <c r="A76" s="32" t="n">
        <v>17</v>
      </c>
      <c r="B76" s="32" t="inlineStr">
        <is>
          <t>MeOH</t>
        </is>
      </c>
      <c r="L76" s="23" t="inlineStr">
        <is>
          <t>Average</t>
        </is>
      </c>
      <c r="M76" s="23" t="inlineStr">
        <is>
          <t>Stdev</t>
        </is>
      </c>
      <c r="N76" s="9" t="inlineStr">
        <is>
          <t>Combined</t>
        </is>
      </c>
      <c r="Q76" t="inlineStr">
        <is>
          <t>K3-1C</t>
        </is>
      </c>
      <c r="R76" t="n">
        <v>1.0536</v>
      </c>
    </row>
    <row r="77" ht="16" customHeight="1">
      <c r="A77" s="32" t="n">
        <v>18</v>
      </c>
      <c r="B77" s="32" t="inlineStr">
        <is>
          <t>K4-1A</t>
        </is>
      </c>
      <c r="D77" s="32" t="n">
        <v>1.66</v>
      </c>
      <c r="E77" s="32" t="n">
        <v>14.027</v>
      </c>
      <c r="F77" s="32" t="n">
        <v>3889.819</v>
      </c>
      <c r="G77" s="32" t="n">
        <v>140</v>
      </c>
      <c r="H77">
        <f>E77/F77</f>
        <v/>
      </c>
      <c r="I77">
        <f>((H77-$J$59)/$I$59)</f>
        <v/>
      </c>
      <c r="J77">
        <f>(I77-IF($I$67&gt;0,$I$67,0))</f>
        <v/>
      </c>
      <c r="K77">
        <f>J77/R62*1.1</f>
        <v/>
      </c>
      <c r="L77">
        <f>AVERAGE(K77:K79)</f>
        <v/>
      </c>
      <c r="M77">
        <f>STDEV(K78:K79)</f>
        <v/>
      </c>
      <c r="N77">
        <f>_xlfn.CONCAT(ROUND(L77,1)," ± ",ROUND(M77,1))</f>
        <v/>
      </c>
      <c r="Q77" t="inlineStr">
        <is>
          <t>K3-2A</t>
        </is>
      </c>
      <c r="R77" s="10" t="n">
        <v>1.1218</v>
      </c>
    </row>
    <row r="78" ht="16" customHeight="1">
      <c r="A78" s="32" t="n">
        <v>19</v>
      </c>
      <c r="B78" s="32" t="inlineStr">
        <is>
          <t>K4-1B</t>
        </is>
      </c>
      <c r="D78" s="32" t="n">
        <v>1.6</v>
      </c>
      <c r="E78" s="32" t="n">
        <v>32.681</v>
      </c>
      <c r="F78" s="32" t="n">
        <v>3657.858</v>
      </c>
      <c r="G78" s="32" t="n">
        <v>340</v>
      </c>
      <c r="H78">
        <f>E78/F78</f>
        <v/>
      </c>
      <c r="I78">
        <f>((H78-$J$59)/$I$59)</f>
        <v/>
      </c>
      <c r="J78">
        <f>(I78-IF($I$67&gt;0,$I$67,0))</f>
        <v/>
      </c>
      <c r="K78">
        <f>J78/R63*1.1</f>
        <v/>
      </c>
      <c r="Q78" t="inlineStr">
        <is>
          <t>K3-2B</t>
        </is>
      </c>
      <c r="R78" t="n">
        <v>1.198</v>
      </c>
    </row>
    <row r="79" ht="16" customHeight="1">
      <c r="A79" s="32" t="n">
        <v>20</v>
      </c>
      <c r="B79" s="32" t="inlineStr">
        <is>
          <t>K4-1C</t>
        </is>
      </c>
      <c r="D79" s="32" t="n">
        <v>1.63</v>
      </c>
      <c r="E79" s="32" t="n">
        <v>19.919</v>
      </c>
      <c r="F79" s="32" t="n">
        <v>3596.392</v>
      </c>
      <c r="G79" s="32" t="n">
        <v>22.848</v>
      </c>
      <c r="H79">
        <f>E79/F79</f>
        <v/>
      </c>
      <c r="I79">
        <f>((H79-$J$59)/$I$59)</f>
        <v/>
      </c>
      <c r="J79">
        <f>(I79-IF($I$67&gt;0,$I$67,0))</f>
        <v/>
      </c>
      <c r="K79">
        <f>J79/R64*1.1</f>
        <v/>
      </c>
      <c r="L79" s="23" t="inlineStr">
        <is>
          <t>Average</t>
        </is>
      </c>
      <c r="M79" s="23" t="inlineStr">
        <is>
          <t>Stdev</t>
        </is>
      </c>
      <c r="N79" s="9" t="inlineStr">
        <is>
          <t>Combined</t>
        </is>
      </c>
      <c r="Q79" t="inlineStr">
        <is>
          <t>K3-2C</t>
        </is>
      </c>
      <c r="R79" t="n">
        <v>1.1538</v>
      </c>
    </row>
    <row r="80" ht="16" customHeight="1">
      <c r="A80" s="32" t="n">
        <v>21</v>
      </c>
      <c r="B80" s="32" t="inlineStr">
        <is>
          <t>K4-2A</t>
        </is>
      </c>
      <c r="D80" s="32" t="n">
        <v>1.64</v>
      </c>
      <c r="E80" s="32" t="n">
        <v>39040.527</v>
      </c>
      <c r="F80" s="32" t="n">
        <v>3827.847</v>
      </c>
      <c r="G80" s="32" t="n">
        <v>49219.708</v>
      </c>
      <c r="H80">
        <f>E80/F80</f>
        <v/>
      </c>
      <c r="I80">
        <f>((H80-$J$59)/$I$59)</f>
        <v/>
      </c>
      <c r="J80">
        <f>(I80-IF($I$67&gt;0,$I$67,0))</f>
        <v/>
      </c>
      <c r="K80">
        <f>J80/R65*1.1</f>
        <v/>
      </c>
      <c r="L80">
        <f>AVERAGE(K80:K82)</f>
        <v/>
      </c>
      <c r="M80">
        <f>STDEV(K80:K82)</f>
        <v/>
      </c>
      <c r="N80">
        <f>_xlfn.CONCAT(ROUND(L80,1)," ± ",ROUND(M80,1))</f>
        <v/>
      </c>
      <c r="Q80" t="inlineStr">
        <is>
          <t>K3-3A</t>
        </is>
      </c>
      <c r="R80" t="n">
        <v>1.1183</v>
      </c>
    </row>
    <row r="81" ht="16" customHeight="1">
      <c r="A81" s="32" t="n">
        <v>22</v>
      </c>
      <c r="B81" s="32" t="inlineStr">
        <is>
          <t>K4-2B</t>
        </is>
      </c>
      <c r="D81" s="32" t="n">
        <v>1.63</v>
      </c>
      <c r="E81" s="32" t="n">
        <v>128.793</v>
      </c>
      <c r="F81" s="32" t="n">
        <v>3623.222</v>
      </c>
      <c r="G81" s="32" t="n">
        <v>1370</v>
      </c>
      <c r="H81">
        <f>E81/F81</f>
        <v/>
      </c>
      <c r="I81">
        <f>((H81-$J$59)/$I$59)</f>
        <v/>
      </c>
      <c r="J81">
        <f>(I81-IF($I$67&gt;0,$I$67,0))</f>
        <v/>
      </c>
      <c r="K81">
        <f>J81/R66*1.1</f>
        <v/>
      </c>
      <c r="Q81" t="inlineStr">
        <is>
          <t>K3-3B</t>
        </is>
      </c>
      <c r="R81" t="n">
        <v>1.1448</v>
      </c>
    </row>
    <row r="82" ht="16" customHeight="1">
      <c r="A82" s="32" t="n">
        <v>23</v>
      </c>
      <c r="B82" s="32" t="inlineStr">
        <is>
          <t>K4-2C</t>
        </is>
      </c>
      <c r="D82" s="32" t="n">
        <v>1.58</v>
      </c>
      <c r="E82" s="32" t="n">
        <v>50.4</v>
      </c>
      <c r="F82" s="32" t="n">
        <v>3093.041</v>
      </c>
      <c r="G82" s="32" t="n">
        <v>19.57</v>
      </c>
      <c r="H82">
        <f>E82/F82</f>
        <v/>
      </c>
      <c r="I82">
        <f>((H82-$J$59)/$I$59)</f>
        <v/>
      </c>
      <c r="J82">
        <f>(I82-IF($I$67&gt;0,$I$67,0))</f>
        <v/>
      </c>
      <c r="K82">
        <f>J82/R67*1.1</f>
        <v/>
      </c>
      <c r="L82" s="23" t="n"/>
      <c r="M82" s="23" t="n"/>
      <c r="N82" s="9" t="n"/>
      <c r="Q82" t="inlineStr">
        <is>
          <t>K3-3C</t>
        </is>
      </c>
      <c r="R82" t="n">
        <v>1.0493</v>
      </c>
    </row>
    <row r="83" ht="16" customHeight="1">
      <c r="A83" s="32" t="n">
        <v>24</v>
      </c>
      <c r="B83" s="32" t="inlineStr">
        <is>
          <t>MeOH</t>
        </is>
      </c>
      <c r="L83" s="23" t="inlineStr">
        <is>
          <t>Average</t>
        </is>
      </c>
      <c r="M83" s="23" t="inlineStr">
        <is>
          <t>Stdev</t>
        </is>
      </c>
      <c r="N83" s="9" t="inlineStr">
        <is>
          <t>Combined</t>
        </is>
      </c>
      <c r="Q83" t="inlineStr">
        <is>
          <t>K3-4A</t>
        </is>
      </c>
      <c r="R83" t="n">
        <v>1.0704</v>
      </c>
    </row>
    <row r="84" ht="16" customHeight="1">
      <c r="A84" s="32" t="n">
        <v>25</v>
      </c>
      <c r="B84" s="32" t="inlineStr">
        <is>
          <t>K4-4A</t>
        </is>
      </c>
      <c r="D84" s="32" t="n">
        <v>1.68</v>
      </c>
      <c r="E84" s="32" t="n">
        <v>4.318</v>
      </c>
      <c r="F84" s="32" t="n">
        <v>3907.045</v>
      </c>
      <c r="G84" s="32" t="n">
        <v>49</v>
      </c>
      <c r="H84">
        <f>E84/F84</f>
        <v/>
      </c>
      <c r="I84">
        <f>((H84-$J$59)/$I$59)</f>
        <v/>
      </c>
      <c r="J84">
        <f>(I84-IF($I$67&gt;0,$I$67,0))</f>
        <v/>
      </c>
      <c r="K84">
        <f>J84/R68*1.1</f>
        <v/>
      </c>
      <c r="L84">
        <f>AVERAGE(K84:K86)</f>
        <v/>
      </c>
      <c r="M84">
        <f>STDEV(K85:K86)</f>
        <v/>
      </c>
      <c r="N84">
        <f>_xlfn.CONCAT(ROUND(L84,1)," ± ",ROUND(M84,1))</f>
        <v/>
      </c>
      <c r="Q84" t="inlineStr">
        <is>
          <t>K3-4B</t>
        </is>
      </c>
      <c r="R84" t="n">
        <v>1.1589</v>
      </c>
    </row>
    <row r="85" ht="16" customHeight="1">
      <c r="A85" s="32" t="n">
        <v>26</v>
      </c>
      <c r="B85" s="32" t="inlineStr">
        <is>
          <t>K4-4B</t>
        </is>
      </c>
      <c r="D85" s="32" t="n">
        <v>1.64</v>
      </c>
      <c r="E85" s="32" t="n">
        <v>317.093</v>
      </c>
      <c r="F85" s="32" t="n">
        <v>3594.542</v>
      </c>
      <c r="G85" s="32" t="n">
        <v>229.059</v>
      </c>
      <c r="H85">
        <f>E85/F85</f>
        <v/>
      </c>
      <c r="I85">
        <f>((H85-$J$59)/$I$59)</f>
        <v/>
      </c>
      <c r="J85">
        <f>(I85-IF($I$67&gt;0,$I$67,0))</f>
        <v/>
      </c>
      <c r="K85">
        <f>J85/R69*1.1</f>
        <v/>
      </c>
      <c r="Q85" t="inlineStr">
        <is>
          <t>K3-4C</t>
        </is>
      </c>
      <c r="R85" t="n">
        <v>1.0206</v>
      </c>
    </row>
    <row r="86" ht="16" customHeight="1">
      <c r="A86" s="32" t="n">
        <v>27</v>
      </c>
      <c r="B86" s="32" t="inlineStr">
        <is>
          <t>K4-4C</t>
        </is>
      </c>
      <c r="D86" s="32" t="n">
        <v>1.66</v>
      </c>
      <c r="E86" s="32" t="n">
        <v>20.924</v>
      </c>
      <c r="F86" s="32" t="n">
        <v>3586.092</v>
      </c>
      <c r="G86" s="32" t="n">
        <v>219</v>
      </c>
      <c r="H86">
        <f>E86/F86</f>
        <v/>
      </c>
      <c r="I86">
        <f>((H86-$J$59)/$I$59)</f>
        <v/>
      </c>
      <c r="J86">
        <f>(I86-IF($I$67&gt;0,$I$67,0))</f>
        <v/>
      </c>
      <c r="K86">
        <f>J86/R70*1.1</f>
        <v/>
      </c>
      <c r="L86" s="23" t="inlineStr">
        <is>
          <t>Average</t>
        </is>
      </c>
      <c r="M86" s="23" t="inlineStr">
        <is>
          <t>Stdev</t>
        </is>
      </c>
      <c r="N86" s="9" t="inlineStr">
        <is>
          <t>Combined</t>
        </is>
      </c>
      <c r="Q86" t="inlineStr">
        <is>
          <t>K3-6A</t>
        </is>
      </c>
      <c r="R86" t="n">
        <v>1.1289</v>
      </c>
    </row>
    <row r="87" ht="16" customHeight="1">
      <c r="A87" s="32" t="n">
        <v>28</v>
      </c>
      <c r="B87" s="32" t="inlineStr">
        <is>
          <t>K4-5A</t>
        </is>
      </c>
      <c r="D87" s="32" t="n">
        <v>1.65</v>
      </c>
      <c r="E87" s="32" t="n">
        <v>14.718</v>
      </c>
      <c r="F87" s="32" t="n">
        <v>3387.509</v>
      </c>
      <c r="G87" s="32" t="n">
        <v>34.216</v>
      </c>
      <c r="H87">
        <f>E87/F87</f>
        <v/>
      </c>
      <c r="I87">
        <f>((H87-$J$59)/$I$59)</f>
        <v/>
      </c>
      <c r="J87">
        <f>(I87-IF($I$67&gt;0,$I$67,0))</f>
        <v/>
      </c>
      <c r="K87">
        <f>J87/R71*1.1</f>
        <v/>
      </c>
      <c r="L87">
        <f>AVERAGE(K87:K89)</f>
        <v/>
      </c>
      <c r="M87">
        <f>STDEV(K87:K89)</f>
        <v/>
      </c>
      <c r="N87">
        <f>_xlfn.CONCAT(ROUND(L87,1)," ± ",ROUND(M87,1))</f>
        <v/>
      </c>
      <c r="Q87" t="inlineStr">
        <is>
          <t>K3-6B</t>
        </is>
      </c>
      <c r="R87" t="n">
        <v>1.195</v>
      </c>
    </row>
    <row r="88" ht="16" customHeight="1">
      <c r="A88" s="32" t="n">
        <v>29</v>
      </c>
      <c r="B88" s="32" t="inlineStr">
        <is>
          <t>K4-5B</t>
        </is>
      </c>
      <c r="D88" s="32" t="n">
        <v>1.61</v>
      </c>
      <c r="E88" s="32" t="n">
        <v>24.141</v>
      </c>
      <c r="F88" s="32" t="n">
        <v>3401.243</v>
      </c>
      <c r="G88" s="32" t="n">
        <v>42.391</v>
      </c>
      <c r="H88">
        <f>E88/F88</f>
        <v/>
      </c>
      <c r="I88">
        <f>((H88-$J$59)/$I$59)</f>
        <v/>
      </c>
      <c r="J88">
        <f>(I88-IF($I$67&gt;0,$I$67,0))</f>
        <v/>
      </c>
      <c r="K88">
        <f>J88/R72*1.1</f>
        <v/>
      </c>
      <c r="Q88" t="inlineStr">
        <is>
          <t>K3-6C</t>
        </is>
      </c>
      <c r="R88" t="n">
        <v>1.1716</v>
      </c>
    </row>
    <row r="89" ht="16" customHeight="1">
      <c r="A89" s="32" t="n">
        <v>30</v>
      </c>
      <c r="B89" s="32" t="inlineStr">
        <is>
          <t>K4-5C</t>
        </is>
      </c>
      <c r="D89" s="32" t="n">
        <v>1.66</v>
      </c>
      <c r="E89" s="32" t="n">
        <v>15.505</v>
      </c>
      <c r="F89" s="32" t="n">
        <v>3767.266</v>
      </c>
      <c r="G89" s="32" t="n">
        <v>26.006</v>
      </c>
      <c r="H89">
        <f>E89/F89</f>
        <v/>
      </c>
      <c r="I89">
        <f>((H89-$J$59)/$I$59)</f>
        <v/>
      </c>
      <c r="J89">
        <f>(I89-IF($I$67&gt;0,$I$67,0))</f>
        <v/>
      </c>
      <c r="K89">
        <f>J89/R73*1.1</f>
        <v/>
      </c>
      <c r="L89" s="23" t="n"/>
      <c r="M89" s="23" t="n"/>
      <c r="N89" s="9" t="n"/>
    </row>
    <row r="90" ht="16" customHeight="1">
      <c r="A90" s="32" t="n">
        <v>31</v>
      </c>
      <c r="B90" s="32" t="inlineStr">
        <is>
          <t>MeOH</t>
        </is>
      </c>
      <c r="L90" s="23" t="inlineStr">
        <is>
          <t>Average</t>
        </is>
      </c>
      <c r="M90" s="23" t="inlineStr">
        <is>
          <t>Stdev</t>
        </is>
      </c>
      <c r="N90" s="9" t="inlineStr">
        <is>
          <t>Combined</t>
        </is>
      </c>
    </row>
    <row r="91" ht="16" customHeight="1">
      <c r="A91" s="32" t="n">
        <v>32</v>
      </c>
      <c r="B91" s="32" t="inlineStr">
        <is>
          <t>K3-1A</t>
        </is>
      </c>
      <c r="D91" s="32" t="n">
        <v>1.62</v>
      </c>
      <c r="E91" s="32" t="n">
        <v>8.638999999999999</v>
      </c>
      <c r="F91" s="32" t="n">
        <v>3791.804</v>
      </c>
      <c r="G91" s="32" t="n">
        <v>5.164</v>
      </c>
      <c r="H91">
        <f>E91/F91</f>
        <v/>
      </c>
      <c r="I91">
        <f>((H91-$J$59)/$I$59)</f>
        <v/>
      </c>
      <c r="J91">
        <f>(I91-IF($I$67&gt;0,$I$67,0))</f>
        <v/>
      </c>
      <c r="K91">
        <f>J91/R74*1.1</f>
        <v/>
      </c>
      <c r="L91">
        <f>AVERAGE(K91:K93)</f>
        <v/>
      </c>
      <c r="M91">
        <f>STDEV(K92:K93)</f>
        <v/>
      </c>
      <c r="N91">
        <f>_xlfn.CONCAT(ROUND(L91,1)," ± ",ROUND(M91,1))</f>
        <v/>
      </c>
    </row>
    <row r="92" ht="16" customHeight="1">
      <c r="A92" s="32" t="n">
        <v>33</v>
      </c>
      <c r="B92" s="32" t="inlineStr">
        <is>
          <t>K3-1B</t>
        </is>
      </c>
      <c r="D92" s="32" t="n">
        <v>1.66</v>
      </c>
      <c r="E92" s="32" t="n">
        <v>6.971</v>
      </c>
      <c r="F92" s="32" t="n">
        <v>3719.279</v>
      </c>
      <c r="G92" s="32" t="n">
        <v>45.65</v>
      </c>
      <c r="H92">
        <f>E92/F92</f>
        <v/>
      </c>
      <c r="I92">
        <f>((H92-$J$59)/$I$59)</f>
        <v/>
      </c>
      <c r="J92">
        <f>(I92-IF($I$67&gt;0,$I$67,0))</f>
        <v/>
      </c>
      <c r="K92">
        <f>J92/R75*1.1</f>
        <v/>
      </c>
    </row>
    <row r="93" ht="16" customHeight="1">
      <c r="A93" s="32" t="n">
        <v>34</v>
      </c>
      <c r="B93" s="32" t="inlineStr">
        <is>
          <t>K3-1C</t>
        </is>
      </c>
      <c r="D93" s="32" t="n">
        <v>1.71</v>
      </c>
      <c r="E93" s="32" t="n">
        <v>14.275</v>
      </c>
      <c r="F93" s="32" t="n">
        <v>4814.875</v>
      </c>
      <c r="G93" s="32" t="n">
        <v>103.559</v>
      </c>
      <c r="H93">
        <f>E93/F93</f>
        <v/>
      </c>
      <c r="I93">
        <f>((H93-$J$59)/$I$59)</f>
        <v/>
      </c>
      <c r="J93">
        <f>(I93-IF($I$67&gt;0,$I$67,0))</f>
        <v/>
      </c>
      <c r="K93">
        <f>J93/R76*1.1</f>
        <v/>
      </c>
      <c r="L93" s="23" t="inlineStr">
        <is>
          <t>Average</t>
        </is>
      </c>
      <c r="M93" s="23" t="inlineStr">
        <is>
          <t>Stdev</t>
        </is>
      </c>
      <c r="N93" s="9" t="inlineStr">
        <is>
          <t>Combined</t>
        </is>
      </c>
    </row>
    <row r="94" ht="16" customHeight="1">
      <c r="A94" s="32" t="n">
        <v>35</v>
      </c>
      <c r="B94" s="32" t="inlineStr">
        <is>
          <t>K3-2A</t>
        </is>
      </c>
      <c r="D94" s="32" t="n">
        <v>1.69</v>
      </c>
      <c r="E94" s="32" t="n">
        <v>13.983</v>
      </c>
      <c r="F94" s="32" t="n">
        <v>4565.734</v>
      </c>
      <c r="G94" s="32" t="n">
        <v>74.434</v>
      </c>
      <c r="H94">
        <f>E94/F94</f>
        <v/>
      </c>
      <c r="I94">
        <f>((H94-$J$59)/$I$59)</f>
        <v/>
      </c>
      <c r="J94">
        <f>(I94-IF($I$67&gt;0,$I$67,0))</f>
        <v/>
      </c>
      <c r="K94">
        <f>J94/R77*1.1</f>
        <v/>
      </c>
      <c r="L94">
        <f>AVERAGE(K94:K96)</f>
        <v/>
      </c>
      <c r="M94">
        <f>STDEV(K94:K96)</f>
        <v/>
      </c>
      <c r="N94">
        <f>_xlfn.CONCAT(ROUND(L94,1)," ± ",ROUND(M94,1))</f>
        <v/>
      </c>
    </row>
    <row r="95" ht="16" customHeight="1">
      <c r="A95" s="32" t="n">
        <v>36</v>
      </c>
      <c r="B95" s="32" t="inlineStr">
        <is>
          <t>K3-2B</t>
        </is>
      </c>
      <c r="D95" s="32" t="n">
        <v>1.68</v>
      </c>
      <c r="E95" s="32" t="n">
        <v>12.382</v>
      </c>
      <c r="F95" s="32" t="n">
        <v>4775.06</v>
      </c>
      <c r="G95" s="32" t="n">
        <v>36.02</v>
      </c>
      <c r="H95">
        <f>E95/F95</f>
        <v/>
      </c>
      <c r="I95">
        <f>((H95-$J$59)/$I$59)</f>
        <v/>
      </c>
      <c r="J95">
        <f>(I95-IF($I$67&gt;0,$I$67,0))</f>
        <v/>
      </c>
      <c r="K95">
        <f>J95/R78*1.1</f>
        <v/>
      </c>
    </row>
    <row r="96" ht="16" customHeight="1">
      <c r="A96" s="32" t="n">
        <v>37</v>
      </c>
      <c r="B96" s="32" t="inlineStr">
        <is>
          <t>K3-2C</t>
        </is>
      </c>
      <c r="D96" s="32" t="n">
        <v>1.67</v>
      </c>
      <c r="E96" s="32" t="n">
        <v>8.936</v>
      </c>
      <c r="F96" s="32" t="n">
        <v>4192.287</v>
      </c>
      <c r="G96" s="32" t="n">
        <v>101</v>
      </c>
      <c r="H96">
        <f>E96/F96</f>
        <v/>
      </c>
      <c r="I96">
        <f>((H96-$J$59)/$I$59)</f>
        <v/>
      </c>
      <c r="J96">
        <f>(I96-IF($I$67&gt;0,$I$67,0))</f>
        <v/>
      </c>
      <c r="K96">
        <f>J96/R79*1.1</f>
        <v/>
      </c>
      <c r="L96" s="23" t="n"/>
      <c r="M96" s="23" t="n"/>
      <c r="N96" s="9" t="n"/>
    </row>
    <row r="97" ht="16" customHeight="1">
      <c r="A97" s="32" t="n">
        <v>38</v>
      </c>
      <c r="B97" s="32" t="inlineStr">
        <is>
          <t>MeOH</t>
        </is>
      </c>
      <c r="L97" s="23" t="inlineStr">
        <is>
          <t>Average</t>
        </is>
      </c>
      <c r="M97" s="23" t="inlineStr">
        <is>
          <t>Stdev</t>
        </is>
      </c>
      <c r="N97" s="9" t="inlineStr">
        <is>
          <t>Combined</t>
        </is>
      </c>
    </row>
    <row r="98" ht="16" customHeight="1">
      <c r="A98" s="32" t="n">
        <v>39</v>
      </c>
      <c r="B98" s="32" t="inlineStr">
        <is>
          <t>K3-3A</t>
        </is>
      </c>
      <c r="D98" s="32" t="n">
        <v>1.66</v>
      </c>
      <c r="E98" s="32" t="n">
        <v>42.082</v>
      </c>
      <c r="F98" s="32" t="n">
        <v>3883.396</v>
      </c>
      <c r="G98" s="32" t="n">
        <v>296.988</v>
      </c>
      <c r="H98">
        <f>E98/F98</f>
        <v/>
      </c>
      <c r="I98">
        <f>((H98-$J$59)/$I$59)</f>
        <v/>
      </c>
      <c r="J98">
        <f>(I98-IF($I$67&gt;0,$I$67,0))</f>
        <v/>
      </c>
      <c r="K98">
        <f>J98/R80*1.1</f>
        <v/>
      </c>
      <c r="L98">
        <f>AVERAGE(K98:K100)</f>
        <v/>
      </c>
      <c r="M98">
        <f>STDEV(K99:K100)</f>
        <v/>
      </c>
      <c r="N98">
        <f>_xlfn.CONCAT(ROUND(L98,1)," ± ",ROUND(M98,1))</f>
        <v/>
      </c>
    </row>
    <row r="99" ht="16" customHeight="1">
      <c r="A99" s="32" t="n">
        <v>40</v>
      </c>
      <c r="B99" s="32" t="inlineStr">
        <is>
          <t>K3-3B</t>
        </is>
      </c>
      <c r="D99" s="32" t="n">
        <v>1.66</v>
      </c>
      <c r="E99" s="32" t="n">
        <v>19.116</v>
      </c>
      <c r="F99" s="32" t="n">
        <v>4786.087</v>
      </c>
      <c r="G99" s="32" t="n">
        <v>197</v>
      </c>
      <c r="H99">
        <f>E99/F99</f>
        <v/>
      </c>
      <c r="I99">
        <f>((H99-$J$59)/$I$59)</f>
        <v/>
      </c>
      <c r="J99">
        <f>(I99-IF($I$67&gt;0,$I$67,0))</f>
        <v/>
      </c>
      <c r="K99">
        <f>J99/R81*1.1</f>
        <v/>
      </c>
    </row>
    <row r="100" ht="16" customHeight="1">
      <c r="A100" s="32" t="n">
        <v>41</v>
      </c>
      <c r="B100" s="32" t="inlineStr">
        <is>
          <t>K3-3C</t>
        </is>
      </c>
      <c r="D100" s="32" t="n">
        <v>1.69</v>
      </c>
      <c r="E100" s="32" t="n">
        <v>7.238</v>
      </c>
      <c r="F100" s="32" t="n">
        <v>5066.448</v>
      </c>
      <c r="G100" s="32" t="n">
        <v>9.193</v>
      </c>
      <c r="H100">
        <f>E100/F100</f>
        <v/>
      </c>
      <c r="I100">
        <f>((H100-$J$59)/$I$59)</f>
        <v/>
      </c>
      <c r="J100">
        <f>(I100-IF($I$67&gt;0,$I$67,0))</f>
        <v/>
      </c>
      <c r="K100">
        <f>J100/R82*1.1</f>
        <v/>
      </c>
      <c r="L100" s="23" t="inlineStr">
        <is>
          <t>Average</t>
        </is>
      </c>
      <c r="M100" s="23" t="inlineStr">
        <is>
          <t>Stdev</t>
        </is>
      </c>
      <c r="N100" s="9" t="inlineStr">
        <is>
          <t>Combined</t>
        </is>
      </c>
    </row>
    <row r="101" ht="16" customHeight="1">
      <c r="A101" s="32" t="n">
        <v>42</v>
      </c>
      <c r="B101" s="32" t="inlineStr">
        <is>
          <t>K3-4A</t>
        </is>
      </c>
      <c r="D101" s="32" t="n">
        <v>1.68</v>
      </c>
      <c r="E101" s="32" t="n">
        <v>22.153</v>
      </c>
      <c r="F101" s="32" t="n">
        <v>5114.056</v>
      </c>
      <c r="G101" s="32" t="n">
        <v>231</v>
      </c>
      <c r="H101">
        <f>E101/F101</f>
        <v/>
      </c>
      <c r="I101">
        <f>((H101-$J$59)/$I$59)</f>
        <v/>
      </c>
      <c r="J101">
        <f>(I101-IF($I$67&gt;0,$I$67,0))</f>
        <v/>
      </c>
      <c r="K101">
        <f>J101/R83*1.1</f>
        <v/>
      </c>
      <c r="L101">
        <f>AVERAGE(K101:K103)</f>
        <v/>
      </c>
      <c r="M101">
        <f>STDEV(K101:K103)</f>
        <v/>
      </c>
      <c r="N101">
        <f>_xlfn.CONCAT(ROUND(L101,1)," ± ",ROUND(M101,1))</f>
        <v/>
      </c>
    </row>
    <row r="102" ht="16" customHeight="1">
      <c r="A102" s="32" t="n">
        <v>43</v>
      </c>
      <c r="B102" s="32" t="inlineStr">
        <is>
          <t>K3-4B</t>
        </is>
      </c>
      <c r="D102" s="32" t="n">
        <v>1.63</v>
      </c>
      <c r="E102" s="32" t="n">
        <v>15.112</v>
      </c>
      <c r="F102" s="32" t="n">
        <v>4902.364</v>
      </c>
      <c r="G102" s="32" t="n">
        <v>164</v>
      </c>
      <c r="H102">
        <f>E102/F102</f>
        <v/>
      </c>
      <c r="I102">
        <f>((H102-$J$59)/$I$59)</f>
        <v/>
      </c>
      <c r="J102">
        <f>(I102-IF($I$67&gt;0,$I$67,0))</f>
        <v/>
      </c>
      <c r="K102">
        <f>J102/R84*1.1</f>
        <v/>
      </c>
    </row>
    <row r="103" ht="16" customHeight="1">
      <c r="A103" s="32" t="n">
        <v>44</v>
      </c>
      <c r="B103" s="32" t="inlineStr">
        <is>
          <t>K3-4C</t>
        </is>
      </c>
      <c r="D103" s="32" t="n">
        <v>1.73</v>
      </c>
      <c r="E103" s="32" t="n">
        <v>14.79</v>
      </c>
      <c r="F103" s="32" t="n">
        <v>5366.199</v>
      </c>
      <c r="G103" s="32" t="n">
        <v>165</v>
      </c>
      <c r="H103">
        <f>E103/F103</f>
        <v/>
      </c>
      <c r="I103">
        <f>((H103-$J$59)/$I$59)</f>
        <v/>
      </c>
      <c r="J103">
        <f>(I103-IF($I$67&gt;0,$I$67,0))</f>
        <v/>
      </c>
      <c r="K103">
        <f>J103/R85*1.1</f>
        <v/>
      </c>
      <c r="L103" s="23" t="n"/>
      <c r="M103" s="23" t="n"/>
      <c r="N103" s="9" t="n"/>
    </row>
    <row r="104" ht="16" customHeight="1">
      <c r="A104" s="32" t="n">
        <v>45</v>
      </c>
      <c r="B104" s="32" t="inlineStr">
        <is>
          <t>MeOH</t>
        </is>
      </c>
      <c r="L104" s="23" t="inlineStr">
        <is>
          <t>Average</t>
        </is>
      </c>
      <c r="M104" s="23" t="inlineStr">
        <is>
          <t>Stdev</t>
        </is>
      </c>
      <c r="N104" s="9" t="inlineStr">
        <is>
          <t>Combined</t>
        </is>
      </c>
    </row>
    <row r="105" ht="16" customHeight="1">
      <c r="A105" s="32" t="n">
        <v>46</v>
      </c>
      <c r="B105" s="32" t="inlineStr">
        <is>
          <t>K3-6A</t>
        </is>
      </c>
      <c r="D105" s="32" t="n">
        <v>1.68</v>
      </c>
      <c r="E105" s="32" t="n">
        <v>8.853</v>
      </c>
      <c r="F105" s="32" t="n">
        <v>5428.197</v>
      </c>
      <c r="G105" s="32" t="n">
        <v>99</v>
      </c>
      <c r="H105">
        <f>E105/F105</f>
        <v/>
      </c>
      <c r="I105">
        <f>((H105-$J$59)/$I$59)</f>
        <v/>
      </c>
      <c r="J105">
        <f>(I105-IF($I$67&gt;0,$I$67,0))</f>
        <v/>
      </c>
      <c r="K105">
        <f>J105/R86*1.1</f>
        <v/>
      </c>
      <c r="L105">
        <f>AVERAGE(K105:K107)</f>
        <v/>
      </c>
      <c r="M105">
        <f>STDEV(K106:K107)</f>
        <v/>
      </c>
      <c r="N105">
        <f>_xlfn.CONCAT(ROUND(L105,1)," ± ",ROUND(M105,1))</f>
        <v/>
      </c>
    </row>
    <row r="106" ht="16" customHeight="1">
      <c r="A106" s="32" t="n">
        <v>47</v>
      </c>
      <c r="B106" s="32" t="inlineStr">
        <is>
          <t>K3-6B</t>
        </is>
      </c>
      <c r="D106" s="32" t="n">
        <v>1.62</v>
      </c>
      <c r="E106" s="32" t="n">
        <v>3.392</v>
      </c>
      <c r="F106" s="32" t="n">
        <v>4501.771</v>
      </c>
      <c r="G106" s="32" t="n">
        <v>3.202</v>
      </c>
      <c r="H106">
        <f>E106/F106</f>
        <v/>
      </c>
      <c r="I106">
        <f>((H106-$J$59)/$I$59)</f>
        <v/>
      </c>
      <c r="J106">
        <f>(I106-IF($I$67&gt;0,$I$67,0))</f>
        <v/>
      </c>
      <c r="K106">
        <f>J106/R87*1.1</f>
        <v/>
      </c>
    </row>
    <row r="107" ht="16" customHeight="1">
      <c r="A107" s="32" t="n">
        <v>48</v>
      </c>
      <c r="B107" s="32" t="inlineStr">
        <is>
          <t>K3-6C</t>
        </is>
      </c>
      <c r="D107" s="32" t="n">
        <v>1.62</v>
      </c>
      <c r="E107" s="32" t="n">
        <v>103.159</v>
      </c>
      <c r="F107" s="32" t="n">
        <v>4806.024</v>
      </c>
      <c r="G107" s="32" t="n">
        <v>60.035</v>
      </c>
      <c r="H107">
        <f>E107/F107</f>
        <v/>
      </c>
      <c r="I107">
        <f>((H107-$J$59)/$I$59)</f>
        <v/>
      </c>
      <c r="J107">
        <f>(I107-IF($I$67&gt;0,$I$67,0))</f>
        <v/>
      </c>
      <c r="K107">
        <f>J107/R88*1.1</f>
        <v/>
      </c>
      <c r="L107" s="23" t="n"/>
      <c r="M107" s="23" t="n"/>
      <c r="N107" s="9" t="n"/>
    </row>
    <row r="109">
      <c r="A109" s="32" t="inlineStr">
        <is>
          <t>Compound 3:  PFPrA 1</t>
        </is>
      </c>
    </row>
    <row r="111">
      <c r="B111" s="32" t="inlineStr">
        <is>
          <t>Sample Text</t>
        </is>
      </c>
      <c r="C111" s="32" t="inlineStr">
        <is>
          <t>Std. Conc</t>
        </is>
      </c>
      <c r="D111" s="32" t="inlineStr">
        <is>
          <t>RT</t>
        </is>
      </c>
      <c r="E111" s="32" t="inlineStr">
        <is>
          <t>Area</t>
        </is>
      </c>
      <c r="F111" s="32" t="inlineStr">
        <is>
          <t>IS Area</t>
        </is>
      </c>
      <c r="G111" s="32" t="inlineStr">
        <is>
          <t>S/N</t>
        </is>
      </c>
      <c r="H111" s="32" t="inlineStr">
        <is>
          <t>Primary Flags</t>
        </is>
      </c>
      <c r="I111" s="32" t="inlineStr">
        <is>
          <t>Response</t>
        </is>
      </c>
      <c r="J111" s="32" t="inlineStr">
        <is>
          <t>Conc.</t>
        </is>
      </c>
      <c r="K111" s="32" t="inlineStr">
        <is>
          <t>Name</t>
        </is>
      </c>
    </row>
    <row r="112">
      <c r="A112" s="32" t="n">
        <v>1</v>
      </c>
      <c r="B112" s="32" t="inlineStr">
        <is>
          <t>EPA1633 &amp; diPAPs Calibration 0 ppb</t>
        </is>
      </c>
      <c r="D112" s="32" t="n">
        <v>1.37</v>
      </c>
      <c r="E112" s="32" t="n">
        <v>64.15000000000001</v>
      </c>
      <c r="F112" s="32" t="n">
        <v>7551.013</v>
      </c>
      <c r="G112" s="32" t="n">
        <v>10.822</v>
      </c>
      <c r="H112" s="32" t="inlineStr">
        <is>
          <t>bb</t>
        </is>
      </c>
      <c r="K112" s="32" t="inlineStr">
        <is>
          <t>20250514-12</t>
        </is>
      </c>
    </row>
    <row r="113">
      <c r="A113" s="32" t="n">
        <v>2</v>
      </c>
      <c r="B113" s="32" t="inlineStr">
        <is>
          <t>EPA1633 &amp; diPAPs Calibration 0.02 ppb</t>
        </is>
      </c>
      <c r="D113" s="32" t="n">
        <v>1.35</v>
      </c>
      <c r="E113" s="32" t="n">
        <v>76.06699999999999</v>
      </c>
      <c r="F113" s="32" t="n">
        <v>6696.725</v>
      </c>
      <c r="G113" s="32" t="n">
        <v>11.286</v>
      </c>
      <c r="H113" s="32" t="inlineStr">
        <is>
          <t>bb</t>
        </is>
      </c>
      <c r="K113" s="32" t="inlineStr">
        <is>
          <t>20250514-13</t>
        </is>
      </c>
    </row>
    <row r="114">
      <c r="A114" s="32" t="n">
        <v>3</v>
      </c>
      <c r="B114" s="32" t="inlineStr">
        <is>
          <t>EPA1633 &amp; diPAPs Calibration 0.1 ppb</t>
        </is>
      </c>
      <c r="D114" s="32" t="n">
        <v>1.33</v>
      </c>
      <c r="E114" s="32" t="n">
        <v>96.785</v>
      </c>
      <c r="F114" s="32" t="n">
        <v>7209.583</v>
      </c>
      <c r="G114" s="32" t="n">
        <v>23.421</v>
      </c>
      <c r="H114" s="32" t="inlineStr">
        <is>
          <t>bb</t>
        </is>
      </c>
      <c r="K114" s="32" t="inlineStr">
        <is>
          <t>20250514-14</t>
        </is>
      </c>
    </row>
    <row r="115">
      <c r="A115" s="32" t="n">
        <v>4</v>
      </c>
      <c r="B115" s="32" t="inlineStr">
        <is>
          <t>EPA1633 &amp; diPAPs Calibration 0.4 ppb</t>
        </is>
      </c>
      <c r="D115" s="32" t="n">
        <v>1.36</v>
      </c>
      <c r="E115" s="32" t="n">
        <v>99.337</v>
      </c>
      <c r="F115" s="32" t="n">
        <v>7013.762</v>
      </c>
      <c r="G115" s="32" t="n">
        <v>17.913</v>
      </c>
      <c r="H115" s="32" t="inlineStr">
        <is>
          <t>bb</t>
        </is>
      </c>
      <c r="K115" s="32" t="inlineStr">
        <is>
          <t>20250514-15</t>
        </is>
      </c>
    </row>
    <row r="116">
      <c r="A116" s="32" t="n">
        <v>5</v>
      </c>
      <c r="B116" s="32" t="inlineStr">
        <is>
          <t>EPA1633 &amp; diPAPs Calibration 1 ppb</t>
        </is>
      </c>
      <c r="D116" s="32" t="n">
        <v>1.43</v>
      </c>
      <c r="E116" s="32" t="n">
        <v>133.014</v>
      </c>
      <c r="F116" s="32" t="n">
        <v>8048.652</v>
      </c>
      <c r="G116" s="32" t="n">
        <v>18.811</v>
      </c>
      <c r="H116" s="32" t="inlineStr">
        <is>
          <t>bb</t>
        </is>
      </c>
      <c r="K116" s="32" t="inlineStr">
        <is>
          <t>20250514-16</t>
        </is>
      </c>
    </row>
    <row r="117">
      <c r="A117" s="32" t="n">
        <v>6</v>
      </c>
      <c r="B117" s="32" t="inlineStr">
        <is>
          <t>EPA1633 &amp; diPAPs Calibration 5 ppb</t>
        </is>
      </c>
      <c r="D117" s="32" t="n">
        <v>1.36</v>
      </c>
      <c r="E117" s="32" t="n">
        <v>294.148</v>
      </c>
      <c r="F117" s="32" t="n">
        <v>7211.955</v>
      </c>
      <c r="G117" s="32" t="n">
        <v>114.941</v>
      </c>
      <c r="H117" s="32" t="inlineStr">
        <is>
          <t>bb</t>
        </is>
      </c>
      <c r="K117" s="32" t="inlineStr">
        <is>
          <t>20250514-17</t>
        </is>
      </c>
    </row>
    <row r="118">
      <c r="A118" s="32" t="n">
        <v>7</v>
      </c>
      <c r="B118" s="32" t="inlineStr">
        <is>
          <t>EPA1633 &amp; diPAPs Calibration 10 ppb</t>
        </is>
      </c>
      <c r="D118" s="32" t="n">
        <v>1.39</v>
      </c>
      <c r="E118" s="32" t="n">
        <v>428.395</v>
      </c>
      <c r="F118" s="32" t="n">
        <v>5686.902</v>
      </c>
      <c r="G118" s="32" t="n">
        <v>78.163</v>
      </c>
      <c r="H118" s="32" t="inlineStr">
        <is>
          <t>bb</t>
        </is>
      </c>
      <c r="K118" s="32" t="inlineStr">
        <is>
          <t>20250514-18</t>
        </is>
      </c>
    </row>
    <row r="119">
      <c r="A119" s="32" t="n">
        <v>8</v>
      </c>
      <c r="B119" s="32" t="inlineStr">
        <is>
          <t>EPA1633 &amp; diPAPs Calibration 20 ppb</t>
        </is>
      </c>
      <c r="D119" s="32" t="n">
        <v>1.41</v>
      </c>
      <c r="E119" s="32" t="n">
        <v>790.977</v>
      </c>
      <c r="F119" s="32" t="n">
        <v>6179.103</v>
      </c>
      <c r="G119" s="32" t="n">
        <v>49.266</v>
      </c>
      <c r="H119" s="32" t="inlineStr">
        <is>
          <t>bb</t>
        </is>
      </c>
      <c r="K119" s="32" t="inlineStr">
        <is>
          <t>20250514-19</t>
        </is>
      </c>
    </row>
    <row r="120">
      <c r="A120" s="32" t="n">
        <v>9</v>
      </c>
      <c r="B120" s="32" t="inlineStr">
        <is>
          <t>MeOH</t>
        </is>
      </c>
      <c r="D120" s="32" t="n">
        <v>1.41</v>
      </c>
      <c r="E120" s="32" t="n">
        <v>666.111</v>
      </c>
      <c r="G120" s="32" t="n">
        <v>89.753</v>
      </c>
      <c r="H120" s="32" t="inlineStr">
        <is>
          <t>bb</t>
        </is>
      </c>
      <c r="K120" s="32" t="inlineStr">
        <is>
          <t>20250514-20</t>
        </is>
      </c>
    </row>
    <row r="121">
      <c r="A121" s="32" t="n">
        <v>10</v>
      </c>
      <c r="B121" s="32" t="inlineStr">
        <is>
          <t>MeOH</t>
        </is>
      </c>
      <c r="D121" s="32" t="n">
        <v>1.37</v>
      </c>
      <c r="E121" s="32" t="n">
        <v>637.5</v>
      </c>
      <c r="G121" s="32" t="n">
        <v>138.978</v>
      </c>
      <c r="H121" s="32" t="inlineStr">
        <is>
          <t>bb</t>
        </is>
      </c>
      <c r="K121" s="32" t="inlineStr">
        <is>
          <t>20250514-21</t>
        </is>
      </c>
    </row>
    <row r="122">
      <c r="A122" s="32" t="n">
        <v>11</v>
      </c>
      <c r="B122" s="32" t="inlineStr">
        <is>
          <t>SB1</t>
        </is>
      </c>
      <c r="D122" s="32" t="n">
        <v>1.98</v>
      </c>
      <c r="E122" s="32" t="n">
        <v>1719.552</v>
      </c>
      <c r="F122" s="32" t="n">
        <v>3649.542</v>
      </c>
      <c r="G122" s="32" t="n">
        <v>467.072</v>
      </c>
      <c r="H122" s="32" t="inlineStr">
        <is>
          <t>bb</t>
        </is>
      </c>
      <c r="K122" s="32" t="inlineStr">
        <is>
          <t>20250514-22</t>
        </is>
      </c>
    </row>
    <row r="123">
      <c r="A123" s="32" t="n">
        <v>12</v>
      </c>
      <c r="B123" s="32" t="inlineStr">
        <is>
          <t>SB2</t>
        </is>
      </c>
      <c r="D123" s="32" t="n">
        <v>1.98</v>
      </c>
      <c r="E123" s="32" t="n">
        <v>1343.528</v>
      </c>
      <c r="F123" s="32" t="n">
        <v>3370.738</v>
      </c>
      <c r="G123" s="32" t="n">
        <v>435.873</v>
      </c>
      <c r="H123" s="32" t="inlineStr">
        <is>
          <t>bb</t>
        </is>
      </c>
      <c r="K123" s="32" t="inlineStr">
        <is>
          <t>20250514-23</t>
        </is>
      </c>
    </row>
    <row r="124">
      <c r="A124" s="32" t="n">
        <v>13</v>
      </c>
      <c r="B124" s="32" t="inlineStr">
        <is>
          <t>SB3</t>
        </is>
      </c>
      <c r="D124" s="32" t="n">
        <v>1.97</v>
      </c>
      <c r="E124" s="32" t="n">
        <v>1068.587</v>
      </c>
      <c r="F124" s="32" t="n">
        <v>3095.617</v>
      </c>
      <c r="G124" s="32" t="n">
        <v>797.182</v>
      </c>
      <c r="H124" s="32" t="inlineStr">
        <is>
          <t>bb</t>
        </is>
      </c>
      <c r="K124" s="32" t="inlineStr">
        <is>
          <t>20250514-24</t>
        </is>
      </c>
    </row>
    <row r="125">
      <c r="A125" s="32" t="n">
        <v>14</v>
      </c>
      <c r="B125" s="32" t="inlineStr">
        <is>
          <t>SS1</t>
        </is>
      </c>
      <c r="D125" s="32" t="n">
        <v>1.98</v>
      </c>
      <c r="E125" s="32" t="n">
        <v>905.929</v>
      </c>
      <c r="F125" s="32" t="n">
        <v>3490.645</v>
      </c>
      <c r="G125" s="32" t="n">
        <v>244.241</v>
      </c>
      <c r="H125" s="32" t="inlineStr">
        <is>
          <t>bb</t>
        </is>
      </c>
      <c r="K125" s="32" t="inlineStr">
        <is>
          <t>20250514-25</t>
        </is>
      </c>
    </row>
    <row r="126">
      <c r="A126" s="32" t="n">
        <v>15</v>
      </c>
      <c r="B126" s="32" t="inlineStr">
        <is>
          <t>SS2</t>
        </is>
      </c>
      <c r="D126" s="32" t="n">
        <v>2.02</v>
      </c>
      <c r="E126" s="32" t="n">
        <v>913.579</v>
      </c>
      <c r="F126" s="32" t="n">
        <v>3699.493</v>
      </c>
      <c r="G126" s="32" t="n">
        <v>395.914</v>
      </c>
      <c r="H126" s="32" t="inlineStr">
        <is>
          <t>bb</t>
        </is>
      </c>
      <c r="K126" s="32" t="inlineStr">
        <is>
          <t>20250514-26</t>
        </is>
      </c>
    </row>
    <row r="127">
      <c r="A127" s="32" t="n">
        <v>16</v>
      </c>
      <c r="B127" s="32" t="inlineStr">
        <is>
          <t>SS3</t>
        </is>
      </c>
      <c r="D127" s="32" t="n">
        <v>1.99</v>
      </c>
      <c r="E127" s="32" t="n">
        <v>837.338</v>
      </c>
      <c r="F127" s="32" t="n">
        <v>3352.055</v>
      </c>
      <c r="G127" s="32" t="n">
        <v>247.941</v>
      </c>
      <c r="H127" s="32" t="inlineStr">
        <is>
          <t>bb</t>
        </is>
      </c>
      <c r="K127" s="32" t="inlineStr">
        <is>
          <t>20250514-27</t>
        </is>
      </c>
    </row>
    <row r="128">
      <c r="A128" s="32" t="n">
        <v>17</v>
      </c>
      <c r="B128" s="32" t="inlineStr">
        <is>
          <t>MeOH</t>
        </is>
      </c>
      <c r="H128" s="32" t="inlineStr">
        <is>
          <t>MM-</t>
        </is>
      </c>
      <c r="K128" s="32" t="inlineStr">
        <is>
          <t>20250514-28</t>
        </is>
      </c>
    </row>
    <row r="129">
      <c r="A129" s="32" t="n">
        <v>18</v>
      </c>
      <c r="B129" s="32" t="inlineStr">
        <is>
          <t>K4-1A</t>
        </is>
      </c>
      <c r="D129" s="32" t="n">
        <v>1.94</v>
      </c>
      <c r="E129" s="32" t="n">
        <v>3759.632</v>
      </c>
      <c r="F129" s="32" t="n">
        <v>3889.819</v>
      </c>
      <c r="G129" s="32" t="n">
        <v>962.431</v>
      </c>
      <c r="H129" s="32" t="inlineStr">
        <is>
          <t>bb</t>
        </is>
      </c>
      <c r="K129" s="32" t="inlineStr">
        <is>
          <t>20250514-29</t>
        </is>
      </c>
    </row>
    <row r="130">
      <c r="A130" s="32" t="n">
        <v>19</v>
      </c>
      <c r="B130" s="32" t="inlineStr">
        <is>
          <t>K4-1B</t>
        </is>
      </c>
      <c r="D130" s="32" t="n">
        <v>1.88</v>
      </c>
      <c r="E130" s="32" t="n">
        <v>3657.669</v>
      </c>
      <c r="F130" s="32" t="n">
        <v>3657.858</v>
      </c>
      <c r="G130" s="32" t="n">
        <v>608.746</v>
      </c>
      <c r="H130" s="32" t="inlineStr">
        <is>
          <t>bb</t>
        </is>
      </c>
      <c r="K130" s="32" t="inlineStr">
        <is>
          <t>20250514-30</t>
        </is>
      </c>
    </row>
    <row r="131">
      <c r="A131" s="32" t="n">
        <v>20</v>
      </c>
      <c r="B131" s="32" t="inlineStr">
        <is>
          <t>K4-1C</t>
        </is>
      </c>
      <c r="D131" s="32" t="n">
        <v>1.91</v>
      </c>
      <c r="E131" s="32" t="n">
        <v>3773.115</v>
      </c>
      <c r="F131" s="32" t="n">
        <v>3596.392</v>
      </c>
      <c r="G131" s="32" t="n">
        <v>417.464</v>
      </c>
      <c r="H131" s="32" t="inlineStr">
        <is>
          <t>bb</t>
        </is>
      </c>
      <c r="K131" s="32" t="inlineStr">
        <is>
          <t>20250514-31</t>
        </is>
      </c>
    </row>
    <row r="132">
      <c r="A132" s="32" t="n">
        <v>21</v>
      </c>
      <c r="B132" s="32" t="inlineStr">
        <is>
          <t>K4-2A</t>
        </is>
      </c>
      <c r="D132" s="32" t="n">
        <v>1.92</v>
      </c>
      <c r="E132" s="32" t="n">
        <v>3644.483</v>
      </c>
      <c r="F132" s="32" t="n">
        <v>3827.847</v>
      </c>
      <c r="G132" s="32" t="n">
        <v>951.1180000000001</v>
      </c>
      <c r="H132" s="32" t="inlineStr">
        <is>
          <t>bb</t>
        </is>
      </c>
      <c r="K132" s="32" t="inlineStr">
        <is>
          <t>20250514-32</t>
        </is>
      </c>
    </row>
    <row r="133">
      <c r="A133" s="32" t="n">
        <v>22</v>
      </c>
      <c r="B133" s="32" t="inlineStr">
        <is>
          <t>K4-2B</t>
        </is>
      </c>
      <c r="D133" s="32" t="n">
        <v>1.92</v>
      </c>
      <c r="E133" s="32" t="n">
        <v>2495.76</v>
      </c>
      <c r="F133" s="32" t="n">
        <v>3623.222</v>
      </c>
      <c r="G133" s="32" t="n">
        <v>432.17</v>
      </c>
      <c r="H133" s="32" t="inlineStr">
        <is>
          <t>bb</t>
        </is>
      </c>
      <c r="K133" s="32" t="inlineStr">
        <is>
          <t>20250514-33</t>
        </is>
      </c>
    </row>
    <row r="134">
      <c r="A134" s="32" t="n">
        <v>23</v>
      </c>
      <c r="B134" s="32" t="inlineStr">
        <is>
          <t>K4-2C</t>
        </is>
      </c>
      <c r="D134" s="32" t="n">
        <v>1.87</v>
      </c>
      <c r="E134" s="32" t="n">
        <v>3375.601</v>
      </c>
      <c r="F134" s="32" t="n">
        <v>3093.041</v>
      </c>
      <c r="G134" s="32" t="n">
        <v>459.212</v>
      </c>
      <c r="H134" s="32" t="inlineStr">
        <is>
          <t>bb</t>
        </is>
      </c>
      <c r="K134" s="32" t="inlineStr">
        <is>
          <t>20250514-34</t>
        </is>
      </c>
    </row>
    <row r="135">
      <c r="A135" s="32" t="n">
        <v>24</v>
      </c>
      <c r="B135" s="32" t="inlineStr">
        <is>
          <t>MeOH</t>
        </is>
      </c>
      <c r="H135" s="32" t="inlineStr">
        <is>
          <t>MM-</t>
        </is>
      </c>
      <c r="K135" s="32" t="inlineStr">
        <is>
          <t>20250514-35</t>
        </is>
      </c>
    </row>
    <row r="136">
      <c r="A136" s="32" t="n">
        <v>25</v>
      </c>
      <c r="B136" s="32" t="inlineStr">
        <is>
          <t>K4-4A</t>
        </is>
      </c>
      <c r="D136" s="32" t="n">
        <v>1.97</v>
      </c>
      <c r="E136" s="32" t="n">
        <v>2994.091</v>
      </c>
      <c r="F136" s="32" t="n">
        <v>3907.045</v>
      </c>
      <c r="G136" s="32" t="n">
        <v>856.6079999999999</v>
      </c>
      <c r="H136" s="32" t="inlineStr">
        <is>
          <t>bb</t>
        </is>
      </c>
      <c r="K136" s="32" t="inlineStr">
        <is>
          <t>20250514-36</t>
        </is>
      </c>
    </row>
    <row r="137">
      <c r="A137" s="32" t="n">
        <v>26</v>
      </c>
      <c r="B137" s="32" t="inlineStr">
        <is>
          <t>K4-4B</t>
        </is>
      </c>
      <c r="D137" s="32" t="n">
        <v>1.92</v>
      </c>
      <c r="E137" s="32" t="n">
        <v>3067.412</v>
      </c>
      <c r="F137" s="32" t="n">
        <v>3594.542</v>
      </c>
      <c r="G137" s="32" t="n">
        <v>706.857</v>
      </c>
      <c r="H137" s="32" t="inlineStr">
        <is>
          <t>bb</t>
        </is>
      </c>
      <c r="K137" s="32" t="inlineStr">
        <is>
          <t>20250514-37</t>
        </is>
      </c>
    </row>
    <row r="138">
      <c r="A138" s="32" t="n">
        <v>27</v>
      </c>
      <c r="B138" s="32" t="inlineStr">
        <is>
          <t>K4-4C</t>
        </is>
      </c>
      <c r="D138" s="32" t="n">
        <v>1.94</v>
      </c>
      <c r="E138" s="32" t="n">
        <v>3164.328</v>
      </c>
      <c r="F138" s="32" t="n">
        <v>3586.092</v>
      </c>
      <c r="G138" s="32" t="n">
        <v>870.831</v>
      </c>
      <c r="H138" s="32" t="inlineStr">
        <is>
          <t>bb</t>
        </is>
      </c>
      <c r="K138" s="32" t="inlineStr">
        <is>
          <t>20250514-38</t>
        </is>
      </c>
    </row>
    <row r="139">
      <c r="A139" s="32" t="n">
        <v>28</v>
      </c>
      <c r="B139" s="32" t="inlineStr">
        <is>
          <t>K4-5A</t>
        </is>
      </c>
      <c r="D139" s="32" t="n">
        <v>1.93</v>
      </c>
      <c r="E139" s="32" t="n">
        <v>4097.881</v>
      </c>
      <c r="F139" s="32" t="n">
        <v>3387.509</v>
      </c>
      <c r="G139" s="32" t="n">
        <v>852.587</v>
      </c>
      <c r="H139" s="32" t="inlineStr">
        <is>
          <t>bb</t>
        </is>
      </c>
      <c r="K139" s="32" t="inlineStr">
        <is>
          <t>20250514-39</t>
        </is>
      </c>
    </row>
    <row r="140">
      <c r="A140" s="32" t="n">
        <v>29</v>
      </c>
      <c r="B140" s="32" t="inlineStr">
        <is>
          <t>K4-5B</t>
        </is>
      </c>
      <c r="D140" s="32" t="n">
        <v>1.89</v>
      </c>
      <c r="E140" s="32" t="n">
        <v>4755.82</v>
      </c>
      <c r="F140" s="32" t="n">
        <v>3401.243</v>
      </c>
      <c r="G140" s="32" t="n">
        <v>1189.659</v>
      </c>
      <c r="H140" s="32" t="inlineStr">
        <is>
          <t>bb</t>
        </is>
      </c>
      <c r="K140" s="32" t="inlineStr">
        <is>
          <t>20250514-40</t>
        </is>
      </c>
    </row>
    <row r="141">
      <c r="A141" s="32" t="n">
        <v>30</v>
      </c>
      <c r="B141" s="32" t="inlineStr">
        <is>
          <t>K4-5C</t>
        </is>
      </c>
      <c r="D141" s="32" t="n">
        <v>1.93</v>
      </c>
      <c r="E141" s="32" t="n">
        <v>2980.674</v>
      </c>
      <c r="F141" s="32" t="n">
        <v>3767.266</v>
      </c>
      <c r="G141" s="32" t="n">
        <v>440.602</v>
      </c>
      <c r="H141" s="32" t="inlineStr">
        <is>
          <t>MM</t>
        </is>
      </c>
      <c r="K141" s="32" t="inlineStr">
        <is>
          <t>20250514-41</t>
        </is>
      </c>
    </row>
    <row r="142">
      <c r="A142" s="32" t="n">
        <v>31</v>
      </c>
      <c r="B142" s="32" t="inlineStr">
        <is>
          <t>MeOH</t>
        </is>
      </c>
      <c r="H142" s="32" t="inlineStr">
        <is>
          <t>MM-</t>
        </is>
      </c>
      <c r="K142" s="32" t="inlineStr">
        <is>
          <t>20250514-42</t>
        </is>
      </c>
    </row>
    <row r="143">
      <c r="A143" s="32" t="n">
        <v>32</v>
      </c>
      <c r="B143" s="32" t="inlineStr">
        <is>
          <t>K3-1A</t>
        </is>
      </c>
      <c r="D143" s="32" t="n">
        <v>1.89</v>
      </c>
      <c r="E143" s="32" t="n">
        <v>3059.502</v>
      </c>
      <c r="F143" s="32" t="n">
        <v>3791.804</v>
      </c>
      <c r="G143" s="32" t="n">
        <v>851.651</v>
      </c>
      <c r="H143" s="32" t="inlineStr">
        <is>
          <t>MM</t>
        </is>
      </c>
      <c r="K143" s="32" t="inlineStr">
        <is>
          <t>20250514-43</t>
        </is>
      </c>
    </row>
    <row r="144">
      <c r="A144" s="32" t="n">
        <v>33</v>
      </c>
      <c r="B144" s="32" t="inlineStr">
        <is>
          <t>K3-1B</t>
        </is>
      </c>
      <c r="D144" s="32" t="n">
        <v>1.91</v>
      </c>
      <c r="E144" s="32" t="n">
        <v>2283.489</v>
      </c>
      <c r="F144" s="32" t="n">
        <v>3719.279</v>
      </c>
      <c r="G144" s="32" t="n">
        <v>313.763</v>
      </c>
      <c r="H144" s="32" t="inlineStr">
        <is>
          <t>MM</t>
        </is>
      </c>
      <c r="K144" s="32" t="inlineStr">
        <is>
          <t>20250514-44</t>
        </is>
      </c>
    </row>
    <row r="145">
      <c r="A145" s="32" t="n">
        <v>34</v>
      </c>
      <c r="B145" s="32" t="inlineStr">
        <is>
          <t>K3-1C</t>
        </is>
      </c>
      <c r="D145" s="32" t="n">
        <v>1.98</v>
      </c>
      <c r="E145" s="32" t="n">
        <v>3846.579</v>
      </c>
      <c r="F145" s="32" t="n">
        <v>4814.875</v>
      </c>
      <c r="G145" s="32" t="n">
        <v>1400.656</v>
      </c>
      <c r="H145" s="32" t="inlineStr">
        <is>
          <t>bb</t>
        </is>
      </c>
      <c r="K145" s="32" t="inlineStr">
        <is>
          <t>20250514-45</t>
        </is>
      </c>
    </row>
    <row r="146">
      <c r="A146" s="32" t="n">
        <v>35</v>
      </c>
      <c r="B146" s="32" t="inlineStr">
        <is>
          <t>K3-2A</t>
        </is>
      </c>
      <c r="D146" s="32" t="n">
        <v>1.98</v>
      </c>
      <c r="E146" s="32" t="n">
        <v>4086.992</v>
      </c>
      <c r="F146" s="32" t="n">
        <v>4565.734</v>
      </c>
      <c r="G146" s="32" t="n">
        <v>873.177</v>
      </c>
      <c r="H146" s="32" t="inlineStr">
        <is>
          <t>MM</t>
        </is>
      </c>
      <c r="K146" s="32" t="inlineStr">
        <is>
          <t>20250514-46</t>
        </is>
      </c>
    </row>
    <row r="147">
      <c r="A147" s="32" t="n">
        <v>36</v>
      </c>
      <c r="B147" s="32" t="inlineStr">
        <is>
          <t>K3-2B</t>
        </is>
      </c>
      <c r="D147" s="32" t="n">
        <v>1.97</v>
      </c>
      <c r="E147" s="32" t="n">
        <v>2134.228</v>
      </c>
      <c r="F147" s="32" t="n">
        <v>4775.06</v>
      </c>
      <c r="G147" s="32" t="n">
        <v>251.733</v>
      </c>
      <c r="H147" s="32" t="inlineStr">
        <is>
          <t>MM</t>
        </is>
      </c>
      <c r="K147" s="32" t="inlineStr">
        <is>
          <t>20250514-47</t>
        </is>
      </c>
    </row>
    <row r="148">
      <c r="A148" s="32" t="n">
        <v>37</v>
      </c>
      <c r="B148" s="32" t="inlineStr">
        <is>
          <t>K3-2C</t>
        </is>
      </c>
      <c r="D148" s="32" t="n">
        <v>1.94</v>
      </c>
      <c r="E148" s="32" t="n">
        <v>2272.272</v>
      </c>
      <c r="F148" s="32" t="n">
        <v>4192.287</v>
      </c>
      <c r="G148" s="32" t="n">
        <v>438.416</v>
      </c>
      <c r="H148" s="32" t="inlineStr">
        <is>
          <t>MM</t>
        </is>
      </c>
      <c r="K148" s="32" t="inlineStr">
        <is>
          <t>20250514-48</t>
        </is>
      </c>
    </row>
    <row r="149">
      <c r="A149" s="32" t="n">
        <v>38</v>
      </c>
      <c r="B149" s="32" t="inlineStr">
        <is>
          <t>MeOH</t>
        </is>
      </c>
      <c r="H149" s="32" t="inlineStr">
        <is>
          <t>MM-</t>
        </is>
      </c>
      <c r="K149" s="32" t="inlineStr">
        <is>
          <t>20250514-49</t>
        </is>
      </c>
    </row>
    <row r="150">
      <c r="A150" s="32" t="n">
        <v>39</v>
      </c>
      <c r="B150" s="32" t="inlineStr">
        <is>
          <t>K3-3A</t>
        </is>
      </c>
      <c r="D150" s="32" t="n">
        <v>1.94</v>
      </c>
      <c r="E150" s="32" t="n">
        <v>4056.138</v>
      </c>
      <c r="F150" s="32" t="n">
        <v>3883.396</v>
      </c>
      <c r="G150" s="32" t="n">
        <v>1034.389</v>
      </c>
      <c r="H150" s="32" t="inlineStr">
        <is>
          <t>bb</t>
        </is>
      </c>
      <c r="K150" s="32" t="inlineStr">
        <is>
          <t>20250514-50</t>
        </is>
      </c>
    </row>
    <row r="151">
      <c r="A151" s="32" t="n">
        <v>40</v>
      </c>
      <c r="B151" s="32" t="inlineStr">
        <is>
          <t>K3-3B</t>
        </is>
      </c>
      <c r="D151" s="32" t="n">
        <v>1.94</v>
      </c>
      <c r="E151" s="32" t="n">
        <v>2971.076</v>
      </c>
      <c r="F151" s="32" t="n">
        <v>4786.087</v>
      </c>
      <c r="G151" s="32" t="n">
        <v>459.169</v>
      </c>
      <c r="H151" s="32" t="inlineStr">
        <is>
          <t>bb</t>
        </is>
      </c>
      <c r="K151" s="32" t="inlineStr">
        <is>
          <t>20250514-51</t>
        </is>
      </c>
    </row>
    <row r="152">
      <c r="A152" s="32" t="n">
        <v>41</v>
      </c>
      <c r="B152" s="32" t="inlineStr">
        <is>
          <t>K3-3C</t>
        </is>
      </c>
      <c r="D152" s="32" t="n">
        <v>1.98</v>
      </c>
      <c r="E152" s="32" t="n">
        <v>3241.352</v>
      </c>
      <c r="F152" s="32" t="n">
        <v>5066.448</v>
      </c>
      <c r="G152" s="32" t="n">
        <v>647.297</v>
      </c>
      <c r="H152" s="32" t="inlineStr">
        <is>
          <t>db</t>
        </is>
      </c>
      <c r="K152" s="32" t="inlineStr">
        <is>
          <t>20250514-52</t>
        </is>
      </c>
    </row>
    <row r="153">
      <c r="A153" s="32" t="n">
        <v>42</v>
      </c>
      <c r="B153" s="32" t="inlineStr">
        <is>
          <t>K3-4A</t>
        </is>
      </c>
      <c r="D153" s="32" t="n">
        <v>1.97</v>
      </c>
      <c r="E153" s="32" t="n">
        <v>3779.837</v>
      </c>
      <c r="F153" s="32" t="n">
        <v>5114.056</v>
      </c>
      <c r="G153" s="32" t="n">
        <v>965.121</v>
      </c>
      <c r="H153" s="32" t="inlineStr">
        <is>
          <t>bb</t>
        </is>
      </c>
      <c r="K153" s="32" t="inlineStr">
        <is>
          <t>20250514-53</t>
        </is>
      </c>
    </row>
    <row r="154">
      <c r="A154" s="32" t="n">
        <v>43</v>
      </c>
      <c r="B154" s="32" t="inlineStr">
        <is>
          <t>K3-4B</t>
        </is>
      </c>
      <c r="D154" s="32" t="n">
        <v>1.92</v>
      </c>
      <c r="E154" s="32" t="n">
        <v>3861.823</v>
      </c>
      <c r="F154" s="32" t="n">
        <v>4902.364</v>
      </c>
      <c r="G154" s="32" t="n">
        <v>731.163</v>
      </c>
      <c r="H154" s="32" t="inlineStr">
        <is>
          <t>bb</t>
        </is>
      </c>
      <c r="K154" s="32" t="inlineStr">
        <is>
          <t>20250514-54</t>
        </is>
      </c>
    </row>
    <row r="155">
      <c r="A155" s="32" t="n">
        <v>44</v>
      </c>
      <c r="B155" s="32" t="inlineStr">
        <is>
          <t>K3-4C</t>
        </is>
      </c>
      <c r="D155" s="32" t="n">
        <v>1.99</v>
      </c>
      <c r="E155" s="32" t="n">
        <v>4528.584</v>
      </c>
      <c r="F155" s="32" t="n">
        <v>5366.199</v>
      </c>
      <c r="G155" s="32" t="n">
        <v>549.407</v>
      </c>
      <c r="H155" s="32" t="inlineStr">
        <is>
          <t>bb</t>
        </is>
      </c>
      <c r="K155" s="32" t="inlineStr">
        <is>
          <t>20250514-55</t>
        </is>
      </c>
    </row>
    <row r="156">
      <c r="A156" s="32" t="n">
        <v>45</v>
      </c>
      <c r="B156" s="32" t="inlineStr">
        <is>
          <t>MeOH</t>
        </is>
      </c>
      <c r="H156" s="32" t="inlineStr">
        <is>
          <t>MM-</t>
        </is>
      </c>
      <c r="K156" s="32" t="inlineStr">
        <is>
          <t>20250514-56</t>
        </is>
      </c>
    </row>
    <row r="157">
      <c r="A157" s="32" t="n">
        <v>46</v>
      </c>
      <c r="B157" s="32" t="inlineStr">
        <is>
          <t>K3-6A</t>
        </is>
      </c>
      <c r="D157" s="32" t="n">
        <v>1.98</v>
      </c>
      <c r="E157" s="32" t="n">
        <v>3654.216</v>
      </c>
      <c r="F157" s="32" t="n">
        <v>5428.197</v>
      </c>
      <c r="G157" s="32" t="n">
        <v>942.446</v>
      </c>
      <c r="H157" s="32" t="inlineStr">
        <is>
          <t>MM</t>
        </is>
      </c>
      <c r="K157" s="32" t="inlineStr">
        <is>
          <t>20250514-57</t>
        </is>
      </c>
    </row>
    <row r="158">
      <c r="A158" s="32" t="n">
        <v>47</v>
      </c>
      <c r="B158" s="32" t="inlineStr">
        <is>
          <t>K3-6B</t>
        </is>
      </c>
      <c r="D158" s="32" t="n">
        <v>1.92</v>
      </c>
      <c r="E158" s="32" t="n">
        <v>3559.967</v>
      </c>
      <c r="F158" s="32" t="n">
        <v>4501.771</v>
      </c>
      <c r="G158" s="32" t="n">
        <v>274.338</v>
      </c>
      <c r="H158" s="32" t="inlineStr">
        <is>
          <t>MM</t>
        </is>
      </c>
      <c r="K158" s="32" t="inlineStr">
        <is>
          <t>20250514-58</t>
        </is>
      </c>
    </row>
    <row r="159">
      <c r="A159" s="32" t="n">
        <v>48</v>
      </c>
      <c r="B159" s="32" t="inlineStr">
        <is>
          <t>K3-6C</t>
        </is>
      </c>
      <c r="D159" s="32" t="n">
        <v>1.91</v>
      </c>
      <c r="E159" s="32" t="n">
        <v>3980.31</v>
      </c>
      <c r="F159" s="32" t="n">
        <v>4806.024</v>
      </c>
      <c r="G159" s="32" t="n">
        <v>982.046</v>
      </c>
      <c r="H159" s="32" t="inlineStr">
        <is>
          <t>bb</t>
        </is>
      </c>
      <c r="K159" s="32" t="inlineStr">
        <is>
          <t>20250514-59</t>
        </is>
      </c>
    </row>
    <row r="161">
      <c r="A161" s="32" t="inlineStr">
        <is>
          <t>Compound 4:  PFEtS 1</t>
        </is>
      </c>
    </row>
    <row r="163">
      <c r="B163" s="32" t="inlineStr">
        <is>
          <t>Sample Text</t>
        </is>
      </c>
      <c r="C163" s="32" t="inlineStr">
        <is>
          <t>Std. Conc</t>
        </is>
      </c>
      <c r="D163" s="32" t="inlineStr">
        <is>
          <t>RT</t>
        </is>
      </c>
      <c r="E163" s="32" t="inlineStr">
        <is>
          <t>Area</t>
        </is>
      </c>
      <c r="F163" s="32" t="inlineStr">
        <is>
          <t>IS Area</t>
        </is>
      </c>
      <c r="G163" s="32" t="inlineStr">
        <is>
          <t>S/N</t>
        </is>
      </c>
      <c r="H163" s="32" t="inlineStr">
        <is>
          <t>Primary Flags</t>
        </is>
      </c>
      <c r="I163" s="32" t="inlineStr">
        <is>
          <t>Response</t>
        </is>
      </c>
      <c r="J163" s="32" t="inlineStr">
        <is>
          <t>Conc.</t>
        </is>
      </c>
      <c r="K163" s="32" t="inlineStr">
        <is>
          <t>Name</t>
        </is>
      </c>
    </row>
    <row r="164">
      <c r="A164" s="32" t="n">
        <v>1</v>
      </c>
      <c r="B164" s="32" t="inlineStr">
        <is>
          <t>EPA1633 &amp; diPAPs Calibration 0 ppb</t>
        </is>
      </c>
      <c r="D164" s="32" t="n">
        <v>1.75</v>
      </c>
      <c r="E164" s="32" t="n">
        <v>11.451</v>
      </c>
      <c r="F164" s="32" t="n">
        <v>7551.013</v>
      </c>
      <c r="G164" s="32" t="n">
        <v>17.308</v>
      </c>
      <c r="H164" s="32" t="inlineStr">
        <is>
          <t>bb</t>
        </is>
      </c>
      <c r="K164" s="32" t="inlineStr">
        <is>
          <t>20250514-12</t>
        </is>
      </c>
    </row>
    <row r="165">
      <c r="A165" s="32" t="n">
        <v>2</v>
      </c>
      <c r="B165" s="32" t="inlineStr">
        <is>
          <t>EPA1633 &amp; diPAPs Calibration 0.02 ppb</t>
        </is>
      </c>
      <c r="D165" s="32" t="n">
        <v>1.69</v>
      </c>
      <c r="E165" s="32" t="n">
        <v>68.432</v>
      </c>
      <c r="F165" s="32" t="n">
        <v>6696.725</v>
      </c>
      <c r="G165" s="32" t="n">
        <v>169.458</v>
      </c>
      <c r="H165" s="32" t="inlineStr">
        <is>
          <t>bb</t>
        </is>
      </c>
      <c r="K165" s="32" t="inlineStr">
        <is>
          <t>20250514-13</t>
        </is>
      </c>
    </row>
    <row r="166">
      <c r="A166" s="32" t="n">
        <v>3</v>
      </c>
      <c r="B166" s="32" t="inlineStr">
        <is>
          <t>EPA1633 &amp; diPAPs Calibration 0.1 ppb</t>
        </is>
      </c>
      <c r="D166" s="32" t="n">
        <v>1.63</v>
      </c>
      <c r="E166" s="32" t="n">
        <v>75.68300000000001</v>
      </c>
      <c r="F166" s="32" t="n">
        <v>7209.583</v>
      </c>
      <c r="G166" s="32" t="n">
        <v>40.199</v>
      </c>
      <c r="H166" s="32" t="inlineStr">
        <is>
          <t>bb</t>
        </is>
      </c>
      <c r="K166" s="32" t="inlineStr">
        <is>
          <t>20250514-14</t>
        </is>
      </c>
    </row>
    <row r="167">
      <c r="A167" s="32" t="n">
        <v>4</v>
      </c>
      <c r="B167" s="32" t="inlineStr">
        <is>
          <t>EPA1633 &amp; diPAPs Calibration 0.4 ppb</t>
        </is>
      </c>
      <c r="D167" s="32" t="n">
        <v>1.69</v>
      </c>
      <c r="E167" s="32" t="n">
        <v>248.756</v>
      </c>
      <c r="F167" s="32" t="n">
        <v>7013.762</v>
      </c>
      <c r="G167" s="32" t="n">
        <v>67.477</v>
      </c>
      <c r="H167" s="32" t="inlineStr">
        <is>
          <t>bb</t>
        </is>
      </c>
      <c r="K167" s="32" t="inlineStr">
        <is>
          <t>20250514-15</t>
        </is>
      </c>
    </row>
    <row r="168">
      <c r="A168" s="32" t="n">
        <v>5</v>
      </c>
      <c r="B168" s="32" t="inlineStr">
        <is>
          <t>EPA1633 &amp; diPAPs Calibration 1 ppb</t>
        </is>
      </c>
      <c r="D168" s="32" t="n">
        <v>1.67</v>
      </c>
      <c r="E168" s="32" t="n">
        <v>455.474</v>
      </c>
      <c r="F168" s="32" t="n">
        <v>8048.652</v>
      </c>
      <c r="G168" s="32" t="n">
        <v>30.235</v>
      </c>
      <c r="H168" s="32" t="inlineStr">
        <is>
          <t>bb</t>
        </is>
      </c>
      <c r="K168" s="32" t="inlineStr">
        <is>
          <t>20250514-16</t>
        </is>
      </c>
    </row>
    <row r="169">
      <c r="A169" s="32" t="n">
        <v>6</v>
      </c>
      <c r="B169" s="32" t="inlineStr">
        <is>
          <t>EPA1633 &amp; diPAPs Calibration 5 ppb</t>
        </is>
      </c>
      <c r="D169" s="32" t="n">
        <v>1.62</v>
      </c>
      <c r="E169" s="32" t="n">
        <v>2167.931</v>
      </c>
      <c r="F169" s="32" t="n">
        <v>7211.955</v>
      </c>
      <c r="G169" s="32" t="n">
        <v>943.947</v>
      </c>
      <c r="H169" s="32" t="inlineStr">
        <is>
          <t>bb</t>
        </is>
      </c>
      <c r="K169" s="32" t="inlineStr">
        <is>
          <t>20250514-17</t>
        </is>
      </c>
    </row>
    <row r="170">
      <c r="A170" s="32" t="n">
        <v>7</v>
      </c>
      <c r="B170" s="32" t="inlineStr">
        <is>
          <t>EPA1633 &amp; diPAPs Calibration 10 ppb</t>
        </is>
      </c>
      <c r="D170" s="32" t="n">
        <v>1.65</v>
      </c>
      <c r="E170" s="32" t="n">
        <v>4487.48</v>
      </c>
      <c r="F170" s="32" t="n">
        <v>5686.902</v>
      </c>
      <c r="G170" s="32" t="n">
        <v>12825.314</v>
      </c>
      <c r="H170" s="32" t="inlineStr">
        <is>
          <t>bb</t>
        </is>
      </c>
      <c r="K170" s="32" t="inlineStr">
        <is>
          <t>20250514-18</t>
        </is>
      </c>
    </row>
    <row r="171">
      <c r="A171" s="32" t="n">
        <v>8</v>
      </c>
      <c r="B171" s="32" t="inlineStr">
        <is>
          <t>EPA1633 &amp; diPAPs Calibration 20 ppb</t>
        </is>
      </c>
      <c r="D171" s="32" t="n">
        <v>1.66</v>
      </c>
      <c r="E171" s="32" t="n">
        <v>9262.474</v>
      </c>
      <c r="F171" s="32" t="n">
        <v>6179.103</v>
      </c>
      <c r="G171" s="32" t="n">
        <v>9590.044</v>
      </c>
      <c r="H171" s="32" t="inlineStr">
        <is>
          <t>bb</t>
        </is>
      </c>
      <c r="K171" s="32" t="inlineStr">
        <is>
          <t>20250514-19</t>
        </is>
      </c>
    </row>
    <row r="172">
      <c r="A172" s="32" t="n">
        <v>9</v>
      </c>
      <c r="B172" s="32" t="inlineStr">
        <is>
          <t>MeOH</t>
        </is>
      </c>
      <c r="D172" s="32" t="n">
        <v>1.62</v>
      </c>
      <c r="E172" s="32" t="n">
        <v>6.81</v>
      </c>
      <c r="G172" s="32" t="n">
        <v>37</v>
      </c>
      <c r="H172" s="32" t="inlineStr">
        <is>
          <t>bb</t>
        </is>
      </c>
      <c r="K172" s="32" t="inlineStr">
        <is>
          <t>20250514-20</t>
        </is>
      </c>
    </row>
    <row r="173">
      <c r="A173" s="32" t="n">
        <v>10</v>
      </c>
      <c r="B173" s="32" t="inlineStr">
        <is>
          <t>MeOH</t>
        </is>
      </c>
      <c r="D173" s="32" t="n">
        <v>1.61</v>
      </c>
      <c r="E173" s="32" t="n">
        <v>5.359</v>
      </c>
      <c r="G173" s="32" t="n">
        <v>6.537</v>
      </c>
      <c r="H173" s="32" t="inlineStr">
        <is>
          <t>bb</t>
        </is>
      </c>
      <c r="K173" s="32" t="inlineStr">
        <is>
          <t>20250514-21</t>
        </is>
      </c>
    </row>
    <row r="174">
      <c r="A174" s="32" t="n">
        <v>11</v>
      </c>
      <c r="B174" s="32" t="inlineStr">
        <is>
          <t>SB1</t>
        </is>
      </c>
      <c r="D174" s="32" t="n">
        <v>2.11</v>
      </c>
      <c r="E174" s="32" t="n">
        <v>14.951</v>
      </c>
      <c r="F174" s="32" t="n">
        <v>3649.542</v>
      </c>
      <c r="G174" s="32" t="n">
        <v>166</v>
      </c>
      <c r="H174" s="32" t="inlineStr">
        <is>
          <t>bb</t>
        </is>
      </c>
      <c r="K174" s="32" t="inlineStr">
        <is>
          <t>20250514-22</t>
        </is>
      </c>
    </row>
    <row r="175">
      <c r="A175" s="32" t="n">
        <v>12</v>
      </c>
      <c r="B175" s="32" t="inlineStr">
        <is>
          <t>SB2</t>
        </is>
      </c>
      <c r="D175" s="32" t="n">
        <v>2.1</v>
      </c>
      <c r="E175" s="32" t="n">
        <v>0.386</v>
      </c>
      <c r="F175" s="32" t="n">
        <v>3370.738</v>
      </c>
      <c r="G175" s="32" t="n">
        <v>5</v>
      </c>
      <c r="H175" s="32" t="inlineStr">
        <is>
          <t>MM</t>
        </is>
      </c>
      <c r="K175" s="32" t="inlineStr">
        <is>
          <t>20250514-23</t>
        </is>
      </c>
    </row>
    <row r="176">
      <c r="A176" s="32" t="n">
        <v>13</v>
      </c>
      <c r="B176" s="32" t="inlineStr">
        <is>
          <t>SB3</t>
        </is>
      </c>
      <c r="D176" s="32" t="n">
        <v>2.09</v>
      </c>
      <c r="E176" s="32" t="n">
        <v>1.418</v>
      </c>
      <c r="F176" s="32" t="n">
        <v>3095.617</v>
      </c>
      <c r="G176" s="32" t="n">
        <v>18</v>
      </c>
      <c r="H176" s="32" t="inlineStr">
        <is>
          <t>bb</t>
        </is>
      </c>
      <c r="K176" s="32" t="inlineStr">
        <is>
          <t>20250514-24</t>
        </is>
      </c>
    </row>
    <row r="177">
      <c r="A177" s="32" t="n">
        <v>14</v>
      </c>
      <c r="B177" s="32" t="inlineStr">
        <is>
          <t>SS1</t>
        </is>
      </c>
      <c r="D177" s="32" t="n">
        <v>2.1</v>
      </c>
      <c r="E177" s="32" t="n">
        <v>2409.753</v>
      </c>
      <c r="F177" s="32" t="n">
        <v>3490.645</v>
      </c>
      <c r="G177" s="32" t="n">
        <v>4842.57</v>
      </c>
      <c r="H177" s="32" t="inlineStr">
        <is>
          <t>bb</t>
        </is>
      </c>
      <c r="K177" s="32" t="inlineStr">
        <is>
          <t>20250514-25</t>
        </is>
      </c>
    </row>
    <row r="178">
      <c r="A178" s="32" t="n">
        <v>15</v>
      </c>
      <c r="B178" s="32" t="inlineStr">
        <is>
          <t>SS2</t>
        </is>
      </c>
      <c r="D178" s="32" t="n">
        <v>2.14</v>
      </c>
      <c r="E178" s="32" t="n">
        <v>2461.133</v>
      </c>
      <c r="F178" s="32" t="n">
        <v>3699.493</v>
      </c>
      <c r="G178" s="32" t="n">
        <v>1104.73</v>
      </c>
      <c r="H178" s="32" t="inlineStr">
        <is>
          <t>bb</t>
        </is>
      </c>
      <c r="K178" s="32" t="inlineStr">
        <is>
          <t>20250514-26</t>
        </is>
      </c>
    </row>
    <row r="179">
      <c r="A179" s="32" t="n">
        <v>16</v>
      </c>
      <c r="B179" s="32" t="inlineStr">
        <is>
          <t>SS3</t>
        </is>
      </c>
      <c r="D179" s="32" t="n">
        <v>2.11</v>
      </c>
      <c r="E179" s="32" t="n">
        <v>2407.323</v>
      </c>
      <c r="F179" s="32" t="n">
        <v>3352.055</v>
      </c>
      <c r="G179" s="32" t="n">
        <v>3253.204</v>
      </c>
      <c r="H179" s="32" t="inlineStr">
        <is>
          <t>bb</t>
        </is>
      </c>
      <c r="K179" s="32" t="inlineStr">
        <is>
          <t>20250514-27</t>
        </is>
      </c>
    </row>
    <row r="180">
      <c r="A180" s="32" t="n">
        <v>17</v>
      </c>
      <c r="B180" s="32" t="inlineStr">
        <is>
          <t>MeOH</t>
        </is>
      </c>
      <c r="H180" s="32" t="inlineStr">
        <is>
          <t>MM-</t>
        </is>
      </c>
      <c r="K180" s="32" t="inlineStr">
        <is>
          <t>20250514-28</t>
        </is>
      </c>
    </row>
    <row r="181">
      <c r="A181" s="32" t="n">
        <v>18</v>
      </c>
      <c r="B181" s="32" t="inlineStr">
        <is>
          <t>K4-1A</t>
        </is>
      </c>
      <c r="D181" s="32" t="n">
        <v>1.78</v>
      </c>
      <c r="E181" s="32" t="n">
        <v>5.586</v>
      </c>
      <c r="F181" s="32" t="n">
        <v>3889.819</v>
      </c>
      <c r="G181" s="32" t="n">
        <v>25.762</v>
      </c>
      <c r="H181" s="32" t="inlineStr">
        <is>
          <t>bb</t>
        </is>
      </c>
      <c r="K181" s="32" t="inlineStr">
        <is>
          <t>20250514-29</t>
        </is>
      </c>
    </row>
    <row r="182">
      <c r="A182" s="32" t="n">
        <v>19</v>
      </c>
      <c r="B182" s="32" t="inlineStr">
        <is>
          <t>K4-1B</t>
        </is>
      </c>
      <c r="D182" s="32" t="n">
        <v>1.65</v>
      </c>
      <c r="E182" s="32" t="n">
        <v>10.458</v>
      </c>
      <c r="F182" s="32" t="n">
        <v>3657.858</v>
      </c>
      <c r="G182" s="32" t="n">
        <v>47.479</v>
      </c>
      <c r="H182" s="32" t="inlineStr">
        <is>
          <t>MM</t>
        </is>
      </c>
      <c r="K182" s="32" t="inlineStr">
        <is>
          <t>20250514-30</t>
        </is>
      </c>
    </row>
    <row r="183">
      <c r="A183" s="32" t="n">
        <v>20</v>
      </c>
      <c r="B183" s="32" t="inlineStr">
        <is>
          <t>K4-1C</t>
        </is>
      </c>
      <c r="D183" s="32" t="n">
        <v>1.75</v>
      </c>
      <c r="E183" s="32" t="n">
        <v>6.111</v>
      </c>
      <c r="F183" s="32" t="n">
        <v>3596.392</v>
      </c>
      <c r="G183" s="32" t="n">
        <v>3.435</v>
      </c>
      <c r="H183" s="32" t="inlineStr">
        <is>
          <t>bb</t>
        </is>
      </c>
      <c r="K183" s="32" t="inlineStr">
        <is>
          <t>20250514-31</t>
        </is>
      </c>
    </row>
    <row r="184">
      <c r="A184" s="32" t="n">
        <v>21</v>
      </c>
      <c r="B184" s="32" t="inlineStr">
        <is>
          <t>K4-2A</t>
        </is>
      </c>
      <c r="D184" s="32" t="n">
        <v>1.75</v>
      </c>
      <c r="E184" s="32" t="n">
        <v>2.76</v>
      </c>
      <c r="F184" s="32" t="n">
        <v>3827.847</v>
      </c>
      <c r="G184" s="32" t="n">
        <v>1.926</v>
      </c>
      <c r="H184" s="32" t="inlineStr">
        <is>
          <t>MM</t>
        </is>
      </c>
      <c r="K184" s="32" t="inlineStr">
        <is>
          <t>20250514-32</t>
        </is>
      </c>
    </row>
    <row r="185">
      <c r="A185" s="32" t="n">
        <v>22</v>
      </c>
      <c r="B185" s="32" t="inlineStr">
        <is>
          <t>K4-2B</t>
        </is>
      </c>
      <c r="D185" s="32" t="n">
        <v>1.75</v>
      </c>
      <c r="E185" s="32" t="n">
        <v>1.21</v>
      </c>
      <c r="F185" s="32" t="n">
        <v>3623.222</v>
      </c>
      <c r="G185" s="32" t="n">
        <v>2.097</v>
      </c>
      <c r="H185" s="32" t="inlineStr">
        <is>
          <t>MM</t>
        </is>
      </c>
      <c r="K185" s="32" t="inlineStr">
        <is>
          <t>20250514-33</t>
        </is>
      </c>
    </row>
    <row r="186">
      <c r="A186" s="32" t="n">
        <v>23</v>
      </c>
      <c r="B186" s="32" t="inlineStr">
        <is>
          <t>K4-2C</t>
        </is>
      </c>
      <c r="D186" s="32" t="n">
        <v>1.72</v>
      </c>
      <c r="E186" s="32" t="n">
        <v>4.49</v>
      </c>
      <c r="F186" s="32" t="n">
        <v>3093.041</v>
      </c>
      <c r="G186" s="32" t="n">
        <v>28</v>
      </c>
      <c r="H186" s="32" t="inlineStr">
        <is>
          <t>bb</t>
        </is>
      </c>
      <c r="K186" s="32" t="inlineStr">
        <is>
          <t>20250514-34</t>
        </is>
      </c>
    </row>
    <row r="187">
      <c r="A187" s="32" t="n">
        <v>24</v>
      </c>
      <c r="B187" s="32" t="inlineStr">
        <is>
          <t>MeOH</t>
        </is>
      </c>
      <c r="H187" s="32" t="inlineStr">
        <is>
          <t>MM-</t>
        </is>
      </c>
      <c r="K187" s="32" t="inlineStr">
        <is>
          <t>20250514-35</t>
        </is>
      </c>
    </row>
    <row r="188">
      <c r="A188" s="32" t="n">
        <v>25</v>
      </c>
      <c r="B188" s="32" t="inlineStr">
        <is>
          <t>K4-4A</t>
        </is>
      </c>
      <c r="D188" s="32" t="n">
        <v>1.73</v>
      </c>
      <c r="E188" s="32" t="n">
        <v>3.211</v>
      </c>
      <c r="F188" s="32" t="n">
        <v>3907.045</v>
      </c>
      <c r="G188" s="32" t="n">
        <v>26</v>
      </c>
      <c r="H188" s="32" t="inlineStr">
        <is>
          <t>bb</t>
        </is>
      </c>
      <c r="K188" s="32" t="inlineStr">
        <is>
          <t>20250514-36</t>
        </is>
      </c>
    </row>
    <row r="189">
      <c r="A189" s="32" t="n">
        <v>26</v>
      </c>
      <c r="B189" s="32" t="inlineStr">
        <is>
          <t>K4-4B</t>
        </is>
      </c>
      <c r="D189" s="32" t="n">
        <v>1.77</v>
      </c>
      <c r="E189" s="32" t="n">
        <v>9.965999999999999</v>
      </c>
      <c r="F189" s="32" t="n">
        <v>3594.542</v>
      </c>
      <c r="G189" s="32" t="n">
        <v>61.408</v>
      </c>
      <c r="H189" s="32" t="inlineStr">
        <is>
          <t>bb</t>
        </is>
      </c>
      <c r="K189" s="32" t="inlineStr">
        <is>
          <t>20250514-37</t>
        </is>
      </c>
    </row>
    <row r="190">
      <c r="A190" s="32" t="n">
        <v>27</v>
      </c>
      <c r="B190" s="32" t="inlineStr">
        <is>
          <t>K4-4C</t>
        </is>
      </c>
      <c r="D190" s="32" t="n">
        <v>1.76</v>
      </c>
      <c r="E190" s="32" t="n">
        <v>13.692</v>
      </c>
      <c r="F190" s="32" t="n">
        <v>3586.092</v>
      </c>
      <c r="G190" s="32" t="n">
        <v>2.708</v>
      </c>
      <c r="H190" s="32" t="inlineStr">
        <is>
          <t>bb</t>
        </is>
      </c>
      <c r="K190" s="32" t="inlineStr">
        <is>
          <t>20250514-38</t>
        </is>
      </c>
    </row>
    <row r="191">
      <c r="A191" s="32" t="n">
        <v>28</v>
      </c>
      <c r="B191" s="32" t="inlineStr">
        <is>
          <t>K4-5A</t>
        </is>
      </c>
      <c r="D191" s="32" t="n">
        <v>1.71</v>
      </c>
      <c r="E191" s="32" t="n">
        <v>1.797</v>
      </c>
      <c r="F191" s="32" t="n">
        <v>3387.509</v>
      </c>
      <c r="G191" s="32" t="n">
        <v>20</v>
      </c>
      <c r="H191" s="32" t="inlineStr">
        <is>
          <t>bb</t>
        </is>
      </c>
      <c r="K191" s="32" t="inlineStr">
        <is>
          <t>20250514-39</t>
        </is>
      </c>
    </row>
    <row r="192">
      <c r="A192" s="32" t="n">
        <v>29</v>
      </c>
      <c r="B192" s="32" t="inlineStr">
        <is>
          <t>K4-5B</t>
        </is>
      </c>
      <c r="D192" s="32" t="n">
        <v>1.73</v>
      </c>
      <c r="E192" s="32" t="n">
        <v>1.983</v>
      </c>
      <c r="F192" s="32" t="n">
        <v>3401.243</v>
      </c>
      <c r="G192" s="32" t="n">
        <v>23</v>
      </c>
      <c r="H192" s="32" t="inlineStr">
        <is>
          <t>bb</t>
        </is>
      </c>
      <c r="K192" s="32" t="inlineStr">
        <is>
          <t>20250514-40</t>
        </is>
      </c>
    </row>
    <row r="193">
      <c r="A193" s="32" t="n">
        <v>30</v>
      </c>
      <c r="B193" s="32" t="inlineStr">
        <is>
          <t>K4-5C</t>
        </is>
      </c>
      <c r="D193" s="32" t="n">
        <v>1.34</v>
      </c>
      <c r="E193" s="32" t="n">
        <v>1.731</v>
      </c>
      <c r="F193" s="32" t="n">
        <v>3767.266</v>
      </c>
      <c r="G193" s="32" t="n">
        <v>3.333</v>
      </c>
      <c r="H193" s="32" t="inlineStr">
        <is>
          <t>MM</t>
        </is>
      </c>
      <c r="K193" s="32" t="inlineStr">
        <is>
          <t>20250514-41</t>
        </is>
      </c>
    </row>
    <row r="194">
      <c r="A194" s="32" t="n">
        <v>31</v>
      </c>
      <c r="B194" s="32" t="inlineStr">
        <is>
          <t>MeOH</t>
        </is>
      </c>
      <c r="H194" s="32" t="inlineStr">
        <is>
          <t>MM-</t>
        </is>
      </c>
      <c r="K194" s="32" t="inlineStr">
        <is>
          <t>20250514-42</t>
        </is>
      </c>
    </row>
    <row r="195">
      <c r="A195" s="32" t="n">
        <v>32</v>
      </c>
      <c r="B195" s="32" t="inlineStr">
        <is>
          <t>K3-1A</t>
        </is>
      </c>
      <c r="D195" s="32" t="n">
        <v>1.69</v>
      </c>
      <c r="E195" s="32" t="n">
        <v>2.535</v>
      </c>
      <c r="F195" s="32" t="n">
        <v>3791.804</v>
      </c>
      <c r="G195" s="32" t="n">
        <v>3.98</v>
      </c>
      <c r="H195" s="32" t="inlineStr">
        <is>
          <t>bb</t>
        </is>
      </c>
      <c r="K195" s="32" t="inlineStr">
        <is>
          <t>20250514-43</t>
        </is>
      </c>
    </row>
    <row r="196">
      <c r="A196" s="32" t="n">
        <v>33</v>
      </c>
      <c r="B196" s="32" t="inlineStr">
        <is>
          <t>K3-1B</t>
        </is>
      </c>
      <c r="D196" s="32" t="n">
        <v>2.23</v>
      </c>
      <c r="E196" s="32" t="n">
        <v>1.672</v>
      </c>
      <c r="F196" s="32" t="n">
        <v>3719.279</v>
      </c>
      <c r="G196" s="32" t="n">
        <v>6.995</v>
      </c>
      <c r="H196" s="32" t="inlineStr">
        <is>
          <t>bb</t>
        </is>
      </c>
      <c r="K196" s="32" t="inlineStr">
        <is>
          <t>20250514-44</t>
        </is>
      </c>
    </row>
    <row r="197">
      <c r="A197" s="32" t="n">
        <v>34</v>
      </c>
      <c r="B197" s="32" t="inlineStr">
        <is>
          <t>K3-1C</t>
        </is>
      </c>
      <c r="D197" s="32" t="n">
        <v>1.82</v>
      </c>
      <c r="E197" s="32" t="n">
        <v>1.357</v>
      </c>
      <c r="F197" s="32" t="n">
        <v>4814.875</v>
      </c>
      <c r="G197" s="32" t="n">
        <v>2.669</v>
      </c>
      <c r="H197" s="32" t="inlineStr">
        <is>
          <t>bb</t>
        </is>
      </c>
      <c r="K197" s="32" t="inlineStr">
        <is>
          <t>20250514-45</t>
        </is>
      </c>
    </row>
    <row r="198">
      <c r="A198" s="32" t="n">
        <v>35</v>
      </c>
      <c r="B198" s="32" t="inlineStr">
        <is>
          <t>K3-2A</t>
        </is>
      </c>
      <c r="D198" s="32" t="n">
        <v>1.85</v>
      </c>
      <c r="E198" s="32" t="n">
        <v>3.486</v>
      </c>
      <c r="F198" s="32" t="n">
        <v>4565.734</v>
      </c>
      <c r="G198" s="32" t="n">
        <v>3.909</v>
      </c>
      <c r="H198" s="32" t="inlineStr">
        <is>
          <t>MM</t>
        </is>
      </c>
      <c r="K198" s="32" t="inlineStr">
        <is>
          <t>20250514-46</t>
        </is>
      </c>
    </row>
    <row r="199">
      <c r="A199" s="32" t="n">
        <v>36</v>
      </c>
      <c r="B199" s="32" t="inlineStr">
        <is>
          <t>K3-2B</t>
        </is>
      </c>
      <c r="D199" s="32" t="n">
        <v>1.78</v>
      </c>
      <c r="E199" s="32" t="n">
        <v>1.49</v>
      </c>
      <c r="F199" s="32" t="n">
        <v>4775.06</v>
      </c>
      <c r="G199" s="32" t="n">
        <v>4.848</v>
      </c>
      <c r="H199" s="32" t="inlineStr">
        <is>
          <t>MM</t>
        </is>
      </c>
      <c r="K199" s="32" t="inlineStr">
        <is>
          <t>20250514-47</t>
        </is>
      </c>
    </row>
    <row r="200">
      <c r="A200" s="32" t="n">
        <v>37</v>
      </c>
      <c r="B200" s="32" t="inlineStr">
        <is>
          <t>K3-2C</t>
        </is>
      </c>
      <c r="D200" s="32" t="n">
        <v>1.8</v>
      </c>
      <c r="E200" s="32" t="n">
        <v>6.631</v>
      </c>
      <c r="F200" s="32" t="n">
        <v>4192.287</v>
      </c>
      <c r="G200" s="32" t="n">
        <v>5.162</v>
      </c>
      <c r="H200" s="32" t="inlineStr">
        <is>
          <t>bb</t>
        </is>
      </c>
      <c r="K200" s="32" t="inlineStr">
        <is>
          <t>20250514-48</t>
        </is>
      </c>
    </row>
    <row r="201">
      <c r="A201" s="32" t="n">
        <v>38</v>
      </c>
      <c r="B201" s="32" t="inlineStr">
        <is>
          <t>MeOH</t>
        </is>
      </c>
      <c r="H201" s="32" t="inlineStr">
        <is>
          <t>MM-</t>
        </is>
      </c>
      <c r="K201" s="32" t="inlineStr">
        <is>
          <t>20250514-49</t>
        </is>
      </c>
    </row>
    <row r="202">
      <c r="A202" s="32" t="n">
        <v>39</v>
      </c>
      <c r="B202" s="32" t="inlineStr">
        <is>
          <t>K3-3A</t>
        </is>
      </c>
      <c r="D202" s="32" t="n">
        <v>1.7</v>
      </c>
      <c r="E202" s="32" t="n">
        <v>9.609999999999999</v>
      </c>
      <c r="F202" s="32" t="n">
        <v>3883.396</v>
      </c>
      <c r="G202" s="32" t="n">
        <v>10.364</v>
      </c>
      <c r="H202" s="32" t="inlineStr">
        <is>
          <t>bb</t>
        </is>
      </c>
      <c r="K202" s="32" t="inlineStr">
        <is>
          <t>20250514-50</t>
        </is>
      </c>
    </row>
    <row r="203">
      <c r="A203" s="32" t="n">
        <v>40</v>
      </c>
      <c r="B203" s="32" t="inlineStr">
        <is>
          <t>K3-3B</t>
        </is>
      </c>
      <c r="D203" s="32" t="n">
        <v>1.74</v>
      </c>
      <c r="E203" s="32" t="n">
        <v>5.014</v>
      </c>
      <c r="F203" s="32" t="n">
        <v>4786.087</v>
      </c>
      <c r="G203" s="32" t="n">
        <v>44</v>
      </c>
      <c r="H203" s="32" t="inlineStr">
        <is>
          <t>MM</t>
        </is>
      </c>
      <c r="K203" s="32" t="inlineStr">
        <is>
          <t>20250514-51</t>
        </is>
      </c>
    </row>
    <row r="204">
      <c r="A204" s="32" t="n">
        <v>41</v>
      </c>
      <c r="B204" s="32" t="inlineStr">
        <is>
          <t>K3-3C</t>
        </is>
      </c>
      <c r="D204" s="32" t="n">
        <v>1.81</v>
      </c>
      <c r="E204" s="32" t="n">
        <v>2.603</v>
      </c>
      <c r="F204" s="32" t="n">
        <v>5066.448</v>
      </c>
      <c r="G204" s="32" t="n">
        <v>25</v>
      </c>
      <c r="H204" s="32" t="inlineStr">
        <is>
          <t>bb</t>
        </is>
      </c>
      <c r="K204" s="32" t="inlineStr">
        <is>
          <t>20250514-52</t>
        </is>
      </c>
    </row>
    <row r="205">
      <c r="A205" s="32" t="n">
        <v>42</v>
      </c>
      <c r="B205" s="32" t="inlineStr">
        <is>
          <t>K3-4A</t>
        </is>
      </c>
      <c r="D205" s="32" t="n">
        <v>1.8</v>
      </c>
      <c r="E205" s="32" t="n">
        <v>5.879</v>
      </c>
      <c r="F205" s="32" t="n">
        <v>5114.056</v>
      </c>
      <c r="G205" s="32" t="n">
        <v>3.752</v>
      </c>
      <c r="H205" s="32" t="inlineStr">
        <is>
          <t>bb</t>
        </is>
      </c>
      <c r="K205" s="32" t="inlineStr">
        <is>
          <t>20250514-53</t>
        </is>
      </c>
    </row>
    <row r="206">
      <c r="A206" s="32" t="n">
        <v>43</v>
      </c>
      <c r="B206" s="32" t="inlineStr">
        <is>
          <t>K3-4B</t>
        </is>
      </c>
      <c r="D206" s="32" t="n">
        <v>1.74</v>
      </c>
      <c r="E206" s="32" t="n">
        <v>2.614</v>
      </c>
      <c r="F206" s="32" t="n">
        <v>4902.364</v>
      </c>
      <c r="G206" s="32" t="n">
        <v>1.108</v>
      </c>
      <c r="H206" s="32" t="inlineStr">
        <is>
          <t>MM</t>
        </is>
      </c>
      <c r="K206" s="32" t="inlineStr">
        <is>
          <t>20250514-54</t>
        </is>
      </c>
    </row>
    <row r="207">
      <c r="A207" s="32" t="n">
        <v>44</v>
      </c>
      <c r="B207" s="32" t="inlineStr">
        <is>
          <t>K3-4C</t>
        </is>
      </c>
      <c r="D207" s="32" t="n">
        <v>1.47</v>
      </c>
      <c r="E207" s="32" t="n">
        <v>2.571</v>
      </c>
      <c r="F207" s="32" t="n">
        <v>5366.199</v>
      </c>
      <c r="G207" s="32" t="n">
        <v>7.936</v>
      </c>
      <c r="H207" s="32" t="inlineStr">
        <is>
          <t>bb</t>
        </is>
      </c>
      <c r="K207" s="32" t="inlineStr">
        <is>
          <t>20250514-55</t>
        </is>
      </c>
    </row>
    <row r="208">
      <c r="A208" s="32" t="n">
        <v>45</v>
      </c>
      <c r="B208" s="32" t="inlineStr">
        <is>
          <t>MeOH</t>
        </is>
      </c>
      <c r="D208" s="32" t="n">
        <v>1.71</v>
      </c>
      <c r="E208" s="32" t="n">
        <v>9.140000000000001</v>
      </c>
      <c r="G208" s="32" t="n">
        <v>4.366</v>
      </c>
      <c r="H208" s="32" t="inlineStr">
        <is>
          <t>bb</t>
        </is>
      </c>
      <c r="K208" s="32" t="inlineStr">
        <is>
          <t>20250514-56</t>
        </is>
      </c>
    </row>
    <row r="209">
      <c r="A209" s="32" t="n">
        <v>46</v>
      </c>
      <c r="B209" s="32" t="inlineStr">
        <is>
          <t>K3-6A</t>
        </is>
      </c>
      <c r="D209" s="32" t="n">
        <v>1.75</v>
      </c>
      <c r="E209" s="32" t="n">
        <v>2.383</v>
      </c>
      <c r="F209" s="32" t="n">
        <v>5428.197</v>
      </c>
      <c r="G209" s="32" t="n">
        <v>21</v>
      </c>
      <c r="H209" s="32" t="inlineStr">
        <is>
          <t>MM</t>
        </is>
      </c>
      <c r="K209" s="32" t="inlineStr">
        <is>
          <t>20250514-57</t>
        </is>
      </c>
    </row>
    <row r="210">
      <c r="A210" s="32" t="n">
        <v>47</v>
      </c>
      <c r="B210" s="32" t="inlineStr">
        <is>
          <t>K3-6B</t>
        </is>
      </c>
      <c r="D210" s="32" t="n">
        <v>1.68</v>
      </c>
      <c r="E210" s="32" t="n">
        <v>6.616</v>
      </c>
      <c r="F210" s="32" t="n">
        <v>4501.771</v>
      </c>
      <c r="G210" s="32" t="n">
        <v>8.715</v>
      </c>
      <c r="H210" s="32" t="inlineStr">
        <is>
          <t>bb</t>
        </is>
      </c>
      <c r="K210" s="32" t="inlineStr">
        <is>
          <t>20250514-58</t>
        </is>
      </c>
    </row>
    <row r="211">
      <c r="A211" s="32" t="n">
        <v>48</v>
      </c>
      <c r="B211" s="32" t="inlineStr">
        <is>
          <t>K3-6C</t>
        </is>
      </c>
      <c r="D211" s="32" t="n">
        <v>1.95</v>
      </c>
      <c r="E211" s="32" t="n">
        <v>3.942</v>
      </c>
      <c r="F211" s="32" t="n">
        <v>4806.024</v>
      </c>
      <c r="G211" s="32" t="n">
        <v>7.788</v>
      </c>
      <c r="H211" s="32" t="inlineStr">
        <is>
          <t>db</t>
        </is>
      </c>
      <c r="K211" s="32" t="inlineStr">
        <is>
          <t>20250514-59</t>
        </is>
      </c>
    </row>
    <row r="213">
      <c r="A213" s="32" t="inlineStr">
        <is>
          <t>Compound 5:  PFBA 1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>
        <is>
          <t>LINEST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Biosolids Masses</t>
        </is>
      </c>
      <c r="R214" t="inlineStr">
        <is>
          <t>(g)</t>
        </is>
      </c>
    </row>
    <row r="215">
      <c r="A215" t="inlineStr"/>
      <c r="B215" s="32" t="inlineStr">
        <is>
          <t>Sample Text</t>
        </is>
      </c>
      <c r="C215" s="32" t="inlineStr">
        <is>
          <t>Std. Conc</t>
        </is>
      </c>
      <c r="D215" s="32" t="inlineStr">
        <is>
          <t>RT</t>
        </is>
      </c>
      <c r="E215" s="32" t="inlineStr">
        <is>
          <t>Area</t>
        </is>
      </c>
      <c r="F215" s="32" t="inlineStr">
        <is>
          <t>IS Area</t>
        </is>
      </c>
      <c r="G215" s="32" t="inlineStr">
        <is>
          <t>S/N</t>
        </is>
      </c>
      <c r="H215" s="32" t="inlineStr">
        <is>
          <t>ratio</t>
        </is>
      </c>
      <c r="I215" s="32" t="n">
        <v>0.04313055112747589</v>
      </c>
      <c r="J215" s="32" t="n">
        <v>0.02935950723391745</v>
      </c>
      <c r="K215" s="32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s="32" t="n">
        <v>1</v>
      </c>
      <c r="B216" s="32" t="inlineStr">
        <is>
          <t>EPA1633 &amp; diPAPs Calibration 0 ppb</t>
        </is>
      </c>
      <c r="C216" t="inlineStr">
        <is>
          <t>0</t>
        </is>
      </c>
      <c r="D216" s="32" t="n">
        <v>2.66</v>
      </c>
      <c r="E216" s="32" t="n">
        <v>61.788</v>
      </c>
      <c r="F216" s="32" t="n">
        <v>7551.013</v>
      </c>
      <c r="G216" s="32" t="n">
        <v>2.576</v>
      </c>
      <c r="H216" s="32" t="n">
        <v>0.008182743163069644</v>
      </c>
      <c r="I216" t="n">
        <v>0.001286056417661527</v>
      </c>
      <c r="J216" t="n">
        <v>0.05277082994614105</v>
      </c>
      <c r="K216" s="32" t="inlineStr"/>
      <c r="L216" t="inlineStr"/>
      <c r="M216" t="inlineStr"/>
      <c r="N216" t="inlineStr"/>
      <c r="O216" t="inlineStr"/>
      <c r="P216" t="inlineStr"/>
      <c r="Q216" t="inlineStr">
        <is>
          <t>SS1</t>
        </is>
      </c>
      <c r="R216" t="n">
        <v>1.0846</v>
      </c>
    </row>
    <row r="217">
      <c r="A217" s="32" t="n">
        <v>2</v>
      </c>
      <c r="B217" s="32" t="inlineStr">
        <is>
          <t>EPA1633 &amp; diPAPs Calibration 0.02 ppb</t>
        </is>
      </c>
      <c r="C217" t="inlineStr">
        <is>
          <t>0.08</t>
        </is>
      </c>
      <c r="D217" s="32" t="n">
        <v>2.71</v>
      </c>
      <c r="E217" s="32" t="n">
        <v>240.411</v>
      </c>
      <c r="F217" s="32" t="n">
        <v>6696.725</v>
      </c>
      <c r="G217" s="32" t="n">
        <v>5.837</v>
      </c>
      <c r="H217" s="32" t="n">
        <v>0.03589978683610272</v>
      </c>
      <c r="I217" t="n">
        <v>0.9973397991287665</v>
      </c>
      <c r="J217" t="n">
        <v>0.08313425206611481</v>
      </c>
      <c r="K217" s="32" t="inlineStr"/>
      <c r="L217" t="inlineStr"/>
      <c r="M217" t="inlineStr"/>
      <c r="N217" t="inlineStr"/>
      <c r="O217" t="inlineStr"/>
      <c r="P217" t="inlineStr"/>
      <c r="Q217" t="inlineStr">
        <is>
          <t>SS2</t>
        </is>
      </c>
      <c r="R217" t="n">
        <v>1.0726</v>
      </c>
    </row>
    <row r="218">
      <c r="A218" s="32" t="n">
        <v>3</v>
      </c>
      <c r="B218" s="32" t="inlineStr">
        <is>
          <t>EPA1633 &amp; diPAPs Calibration 0.1 ppb</t>
        </is>
      </c>
      <c r="C218" t="inlineStr">
        <is>
          <t>0.4</t>
        </is>
      </c>
      <c r="D218" s="32" t="n">
        <v>2.75</v>
      </c>
      <c r="E218" s="32" t="n">
        <v>215.509</v>
      </c>
      <c r="F218" s="32" t="n">
        <v>7209.583</v>
      </c>
      <c r="G218" s="32" t="n">
        <v>9.124000000000001</v>
      </c>
      <c r="H218" s="32" t="n">
        <v>0.02989202010712686</v>
      </c>
      <c r="I218" t="n">
        <v>1124.734387444426</v>
      </c>
      <c r="J218" t="n">
        <v>3</v>
      </c>
      <c r="K218" s="32" t="inlineStr"/>
      <c r="L218" t="inlineStr"/>
      <c r="M218" t="inlineStr"/>
      <c r="N218" t="inlineStr"/>
      <c r="O218" t="inlineStr"/>
      <c r="P218" t="inlineStr"/>
      <c r="Q218" t="inlineStr">
        <is>
          <t>SS3</t>
        </is>
      </c>
      <c r="R218" t="n">
        <v>1.1534</v>
      </c>
    </row>
    <row r="219">
      <c r="A219" s="32" t="n">
        <v>4</v>
      </c>
      <c r="B219" s="32" t="inlineStr">
        <is>
          <t>EPA1633 &amp; diPAPs Calibration 0.4 ppb</t>
        </is>
      </c>
      <c r="C219" t="inlineStr">
        <is>
          <t>1.6</t>
        </is>
      </c>
      <c r="D219" s="32" t="n">
        <v>2.75</v>
      </c>
      <c r="E219" s="32" t="n">
        <v>829.422</v>
      </c>
      <c r="F219" s="32" t="n">
        <v>7013.762</v>
      </c>
      <c r="G219" s="32" t="n">
        <v>49.589</v>
      </c>
      <c r="H219" s="32" t="n">
        <v>0.1182563651290135</v>
      </c>
      <c r="I219" t="n">
        <v>7.773381120834001</v>
      </c>
      <c r="J219" t="n">
        <v>0.02073391159977695</v>
      </c>
      <c r="K219" s="32" t="inlineStr"/>
      <c r="L219" t="inlineStr"/>
      <c r="M219" t="inlineStr"/>
      <c r="N219" t="inlineStr"/>
      <c r="O219" t="inlineStr"/>
      <c r="P219" t="inlineStr"/>
      <c r="Q219" t="inlineStr">
        <is>
          <t>K4-1A</t>
        </is>
      </c>
      <c r="R219" t="n">
        <v>1.0267</v>
      </c>
    </row>
    <row r="220">
      <c r="A220" s="32" t="n">
        <v>5</v>
      </c>
      <c r="B220" s="32" t="inlineStr">
        <is>
          <t>EPA1633 &amp; diPAPs Calibration 1 ppb</t>
        </is>
      </c>
      <c r="C220" t="inlineStr">
        <is>
          <t>4</t>
        </is>
      </c>
      <c r="D220" s="32" t="n">
        <v>2.77</v>
      </c>
      <c r="E220" s="32" t="n">
        <v>1249.757</v>
      </c>
      <c r="F220" s="32" t="n">
        <v>8048.652</v>
      </c>
      <c r="G220" s="32" t="n">
        <v>62.749</v>
      </c>
      <c r="H220" s="32" t="n">
        <v>0.1552753181526546</v>
      </c>
      <c r="I220" t="inlineStr"/>
      <c r="J220" t="inlineStr"/>
      <c r="K220" s="32" t="inlineStr"/>
      <c r="L220" t="inlineStr"/>
      <c r="M220" t="inlineStr"/>
      <c r="N220" t="inlineStr"/>
      <c r="O220" t="inlineStr"/>
      <c r="P220" t="inlineStr"/>
      <c r="Q220" t="inlineStr">
        <is>
          <t>K4-1B</t>
        </is>
      </c>
      <c r="R220" t="n">
        <v>1.1481</v>
      </c>
    </row>
    <row r="221">
      <c r="A221" s="32" t="n">
        <v>6</v>
      </c>
      <c r="B221" s="32" t="inlineStr">
        <is>
          <t>EPA1633 &amp; diPAPs Calibration 5 ppb</t>
        </is>
      </c>
      <c r="C221" t="inlineStr">
        <is>
          <t>20</t>
        </is>
      </c>
      <c r="D221" s="32" t="n">
        <v>2.61</v>
      </c>
      <c r="E221" s="32" t="n">
        <v>6102.734</v>
      </c>
      <c r="F221" s="32" t="n">
        <v>7211.955</v>
      </c>
      <c r="G221" s="32" t="n">
        <v>261.334</v>
      </c>
      <c r="H221" s="32" t="n">
        <v>0.8461969050001006</v>
      </c>
      <c r="I221" t="inlineStr"/>
      <c r="J221" t="inlineStr"/>
      <c r="K221" s="32" t="inlineStr"/>
      <c r="L221" t="inlineStr"/>
      <c r="M221" t="inlineStr"/>
      <c r="N221" t="inlineStr"/>
      <c r="O221" t="inlineStr"/>
      <c r="P221" t="inlineStr"/>
      <c r="Q221" t="inlineStr">
        <is>
          <t>K4-1C</t>
        </is>
      </c>
      <c r="R221" t="n">
        <v>1.0402</v>
      </c>
    </row>
    <row r="222">
      <c r="A222" s="32" t="n">
        <v>7</v>
      </c>
      <c r="B222" s="32" t="inlineStr">
        <is>
          <t>EPA1633 &amp; diPAPs Calibration 10 ppb</t>
        </is>
      </c>
      <c r="C222" t="inlineStr">
        <is>
          <t>40</t>
        </is>
      </c>
      <c r="D222" s="32" t="n">
        <v>2.66</v>
      </c>
      <c r="E222" s="32" t="n">
        <v>10650.508</v>
      </c>
      <c r="F222" s="32" t="n">
        <v>5686.902</v>
      </c>
      <c r="G222" s="32" t="n">
        <v>343.349</v>
      </c>
      <c r="H222" s="32" t="n">
        <v>1.872813704192546</v>
      </c>
      <c r="I222" t="inlineStr">
        <is>
          <t>Background</t>
        </is>
      </c>
      <c r="J222" t="inlineStr"/>
      <c r="K222" s="32" t="inlineStr"/>
      <c r="L222" t="inlineStr"/>
      <c r="M222" t="inlineStr"/>
      <c r="N222" t="inlineStr"/>
      <c r="O222" t="inlineStr"/>
      <c r="P222" t="inlineStr"/>
      <c r="Q222" t="inlineStr">
        <is>
          <t>K4-2A</t>
        </is>
      </c>
      <c r="R222" t="n">
        <v>1.127</v>
      </c>
    </row>
    <row r="223">
      <c r="A223" s="32" t="n">
        <v>8</v>
      </c>
      <c r="B223" s="32" t="inlineStr">
        <is>
          <t>EPA1633 &amp; diPAPs Calibration 20 ppb</t>
        </is>
      </c>
      <c r="C223" t="inlineStr">
        <is>
          <t>80</t>
        </is>
      </c>
      <c r="D223" s="32" t="n">
        <v>2.7</v>
      </c>
      <c r="E223" s="32" t="n">
        <v>21219.432</v>
      </c>
      <c r="F223" s="32" t="n">
        <v>6179.103</v>
      </c>
      <c r="G223" s="32" t="n">
        <v>922.684</v>
      </c>
      <c r="H223" s="32" t="n">
        <v>3.434063487855762</v>
      </c>
      <c r="I223" t="n">
        <v>3.47673730011264</v>
      </c>
      <c r="J223" t="inlineStr"/>
      <c r="K223" s="32" t="inlineStr"/>
      <c r="L223" t="inlineStr"/>
      <c r="M223" t="inlineStr"/>
      <c r="N223" t="inlineStr"/>
      <c r="O223" t="inlineStr"/>
      <c r="P223" t="inlineStr"/>
      <c r="Q223" t="inlineStr">
        <is>
          <t>K4-2B</t>
        </is>
      </c>
      <c r="R223" t="n">
        <v>1.1154</v>
      </c>
    </row>
    <row r="224">
      <c r="A224" s="32" t="n">
        <v>9</v>
      </c>
      <c r="B224" s="32" t="inlineStr">
        <is>
          <t>MeOH</t>
        </is>
      </c>
      <c r="C224" t="inlineStr"/>
      <c r="D224" s="32" t="n">
        <v>2.71</v>
      </c>
      <c r="E224" s="32" t="n">
        <v>794</v>
      </c>
      <c r="F224" t="inlineStr"/>
      <c r="G224" s="32" t="n">
        <v>31.55</v>
      </c>
      <c r="H224" s="32" t="inlineStr"/>
      <c r="I224" t="inlineStr">
        <is>
          <t>Conc.In Vial (ppb)</t>
        </is>
      </c>
      <c r="J224" t="inlineStr">
        <is>
          <t>Corr. Conc.(ppb)</t>
        </is>
      </c>
      <c r="K224" s="32" t="inlineStr">
        <is>
          <t>Conc. In soil (ng/g)</t>
        </is>
      </c>
      <c r="L224" t="inlineStr"/>
      <c r="M224" t="inlineStr"/>
      <c r="N224" t="inlineStr"/>
      <c r="O224" t="inlineStr"/>
      <c r="P224" t="inlineStr"/>
      <c r="Q224" t="inlineStr">
        <is>
          <t>K4-2C</t>
        </is>
      </c>
      <c r="R224" t="n">
        <v>1.1711</v>
      </c>
    </row>
    <row r="225">
      <c r="A225" s="32" t="n">
        <v>10</v>
      </c>
      <c r="B225" s="32" t="inlineStr">
        <is>
          <t>MeOH</t>
        </is>
      </c>
      <c r="C225" t="inlineStr"/>
      <c r="D225" s="32" t="n">
        <v>2.73</v>
      </c>
      <c r="E225" s="32" t="n">
        <v>740.602</v>
      </c>
      <c r="F225" t="inlineStr"/>
      <c r="G225" s="32" t="n">
        <v>44.405</v>
      </c>
      <c r="H225" s="32" t="inlineStr"/>
      <c r="I225" t="inlineStr"/>
      <c r="J225" t="inlineStr"/>
      <c r="K225" s="32" t="inlineStr"/>
      <c r="L225" t="inlineStr">
        <is>
          <t>Conc. In soil (ng/g)</t>
        </is>
      </c>
      <c r="M225" t="inlineStr">
        <is>
          <t>Stdev</t>
        </is>
      </c>
      <c r="N225" t="inlineStr">
        <is>
          <t>Combined</t>
        </is>
      </c>
      <c r="O225" t="inlineStr"/>
      <c r="P225" t="inlineStr"/>
      <c r="Q225" t="inlineStr">
        <is>
          <t>K4-4A</t>
        </is>
      </c>
      <c r="R225" t="n">
        <v>1.0932</v>
      </c>
    </row>
    <row r="226">
      <c r="A226" s="32" t="n">
        <v>11</v>
      </c>
      <c r="B226" s="32" t="inlineStr">
        <is>
          <t>SB1</t>
        </is>
      </c>
      <c r="C226" t="inlineStr"/>
      <c r="D226" s="32" t="n">
        <v>2.96</v>
      </c>
      <c r="E226" s="32" t="n">
        <v>702.516</v>
      </c>
      <c r="F226" s="32" t="n">
        <v>3649.542</v>
      </c>
      <c r="G226" s="32" t="n">
        <v>37.956</v>
      </c>
      <c r="H226" s="32" t="n">
        <v>0.1924942910644678</v>
      </c>
      <c r="I226" t="n">
        <v>3.782348696365879</v>
      </c>
      <c r="J226" t="n">
        <v>0.3056113962532394</v>
      </c>
      <c r="K226" s="32" t="n">
        <v>0.3361725358785634</v>
      </c>
      <c r="L226" t="n">
        <v>-6.56881956236551e-16</v>
      </c>
      <c r="M226" t="n">
        <v>0.3963367490818615</v>
      </c>
      <c r="N226" t="inlineStr">
        <is>
          <t>0.3 ± -0.0</t>
        </is>
      </c>
      <c r="O226" t="inlineStr"/>
      <c r="P226" t="inlineStr"/>
      <c r="Q226" t="inlineStr">
        <is>
          <t>K4-4B</t>
        </is>
      </c>
      <c r="R226" t="n">
        <v>1.15</v>
      </c>
    </row>
    <row r="227">
      <c r="A227" s="32" t="n">
        <v>12</v>
      </c>
      <c r="B227" s="32" t="inlineStr">
        <is>
          <t>SB2</t>
        </is>
      </c>
      <c r="C227" t="inlineStr"/>
      <c r="D227" s="32" t="n">
        <v>2.94</v>
      </c>
      <c r="E227" s="32" t="n">
        <v>546.659</v>
      </c>
      <c r="F227" s="32" t="n">
        <v>3370.738</v>
      </c>
      <c r="G227" s="32" t="n">
        <v>33.434</v>
      </c>
      <c r="H227" s="32" t="n">
        <v>0.1621778376130094</v>
      </c>
      <c r="I227" t="n">
        <v>3.079448949922676</v>
      </c>
      <c r="J227" t="n">
        <v>-0.3972883501899638</v>
      </c>
      <c r="K227" s="32" t="n">
        <v>-0.4370171852089602</v>
      </c>
      <c r="L227" t="inlineStr"/>
      <c r="M227" t="inlineStr"/>
      <c r="N227" t="inlineStr"/>
      <c r="O227" t="inlineStr"/>
      <c r="P227" t="inlineStr"/>
      <c r="Q227" t="inlineStr">
        <is>
          <t>K4-4C</t>
        </is>
      </c>
      <c r="R227" t="n">
        <v>1.0482</v>
      </c>
    </row>
    <row r="228">
      <c r="A228" s="32" t="n">
        <v>13</v>
      </c>
      <c r="B228" s="32" t="inlineStr">
        <is>
          <t>SB3</t>
        </is>
      </c>
      <c r="C228" t="inlineStr"/>
      <c r="D228" s="32" t="n">
        <v>2.95</v>
      </c>
      <c r="E228" s="32" t="n">
        <v>567.325</v>
      </c>
      <c r="F228" s="32" t="n">
        <v>3095.617</v>
      </c>
      <c r="G228" s="32" t="n">
        <v>28.39</v>
      </c>
      <c r="H228" s="32" t="n">
        <v>0.1832671806622072</v>
      </c>
      <c r="I228" t="n">
        <v>3.568414254049363</v>
      </c>
      <c r="J228" t="n">
        <v>0.09167695393672259</v>
      </c>
      <c r="K228" s="32" t="n">
        <v>0.1008446493303949</v>
      </c>
      <c r="L228" t="inlineStr">
        <is>
          <t>Conc. In soil (ng/g)</t>
        </is>
      </c>
      <c r="M228" t="inlineStr">
        <is>
          <t>Stdev</t>
        </is>
      </c>
      <c r="N228" t="inlineStr">
        <is>
          <t>Combined</t>
        </is>
      </c>
      <c r="O228" t="inlineStr"/>
      <c r="P228" t="inlineStr"/>
      <c r="Q228" t="inlineStr">
        <is>
          <t>K4-5A</t>
        </is>
      </c>
      <c r="R228" t="n">
        <v>1.1054</v>
      </c>
    </row>
    <row r="229">
      <c r="A229" s="32" t="n">
        <v>14</v>
      </c>
      <c r="B229" s="32" t="inlineStr">
        <is>
          <t>SS1</t>
        </is>
      </c>
      <c r="C229" t="inlineStr"/>
      <c r="D229" s="32" t="n">
        <v>2.99</v>
      </c>
      <c r="E229" s="32" t="n">
        <v>5369.209</v>
      </c>
      <c r="F229" s="32" t="n">
        <v>3490.645</v>
      </c>
      <c r="G229" s="32" t="n">
        <v>306.756</v>
      </c>
      <c r="H229" s="32" t="n">
        <v>1.538171025698689</v>
      </c>
      <c r="I229" t="n">
        <v>34.98243076016708</v>
      </c>
      <c r="J229" t="n">
        <v>31.50569346005444</v>
      </c>
      <c r="K229" s="32" t="n">
        <v>31.95303596354406</v>
      </c>
      <c r="L229" t="n">
        <v>30.91038241556172</v>
      </c>
      <c r="M229" t="n">
        <v>2.050286804411462</v>
      </c>
      <c r="N229" t="inlineStr">
        <is>
          <t>32.0 ± 30.9</t>
        </is>
      </c>
      <c r="O229" t="inlineStr"/>
      <c r="P229" t="inlineStr"/>
      <c r="Q229" t="inlineStr">
        <is>
          <t>K4-5B</t>
        </is>
      </c>
      <c r="R229" t="n">
        <v>1.0463</v>
      </c>
    </row>
    <row r="230">
      <c r="A230" s="32" t="n">
        <v>15</v>
      </c>
      <c r="B230" s="32" t="inlineStr">
        <is>
          <t>SS2</t>
        </is>
      </c>
      <c r="C230" t="inlineStr"/>
      <c r="D230" s="32" t="n">
        <v>3.01</v>
      </c>
      <c r="E230" s="32" t="n">
        <v>5105.104</v>
      </c>
      <c r="F230" s="32" t="n">
        <v>3699.493</v>
      </c>
      <c r="G230" s="32" t="n">
        <v>234.23</v>
      </c>
      <c r="H230" s="32" t="n">
        <v>1.379946927862818</v>
      </c>
      <c r="I230" t="n">
        <v>31.31393838759742</v>
      </c>
      <c r="J230" t="n">
        <v>27.83720108748478</v>
      </c>
      <c r="K230" s="32" t="n">
        <v>28.54831362691895</v>
      </c>
      <c r="L230" t="inlineStr"/>
      <c r="M230" t="inlineStr"/>
      <c r="N230" t="inlineStr"/>
      <c r="O230" t="inlineStr"/>
      <c r="P230" t="inlineStr"/>
      <c r="Q230" t="inlineStr">
        <is>
          <t>K4-5C</t>
        </is>
      </c>
      <c r="R230" t="n">
        <v>1.1155</v>
      </c>
    </row>
    <row r="231">
      <c r="A231" s="32" t="n">
        <v>16</v>
      </c>
      <c r="B231" s="32" t="inlineStr">
        <is>
          <t>SS3</t>
        </is>
      </c>
      <c r="C231" t="inlineStr"/>
      <c r="D231" s="32" t="n">
        <v>3.01</v>
      </c>
      <c r="E231" s="32" t="n">
        <v>5486.927</v>
      </c>
      <c r="F231" s="32" t="n">
        <v>3352.055</v>
      </c>
      <c r="G231" s="32" t="n">
        <v>201.44</v>
      </c>
      <c r="H231" s="32" t="n">
        <v>1.636884537992366</v>
      </c>
      <c r="I231" t="n">
        <v>37.27114513346412</v>
      </c>
      <c r="J231" t="n">
        <v>33.79440783335148</v>
      </c>
      <c r="K231" s="32" t="n">
        <v>32.22979765622215</v>
      </c>
      <c r="L231" t="inlineStr"/>
      <c r="M231" t="inlineStr"/>
      <c r="N231" t="inlineStr"/>
      <c r="O231" t="inlineStr"/>
      <c r="P231" t="inlineStr"/>
      <c r="Q231" t="inlineStr">
        <is>
          <t>K3-1A</t>
        </is>
      </c>
      <c r="R231" t="n">
        <v>1.0874</v>
      </c>
    </row>
    <row r="232">
      <c r="A232" s="32" t="n">
        <v>17</v>
      </c>
      <c r="B232" s="32" t="inlineStr">
        <is>
          <t>MeOH</t>
        </is>
      </c>
      <c r="C232" t="inlineStr"/>
      <c r="D232" t="inlineStr"/>
      <c r="E232" t="inlineStr"/>
      <c r="F232" t="inlineStr"/>
      <c r="G232" t="inlineStr"/>
      <c r="H232" s="32" t="inlineStr"/>
      <c r="I232" t="inlineStr"/>
      <c r="J232" t="inlineStr"/>
      <c r="K232" s="32" t="inlineStr"/>
      <c r="L232" t="inlineStr">
        <is>
          <t>Conc. In soil (ng/g)</t>
        </is>
      </c>
      <c r="M232" t="inlineStr">
        <is>
          <t>Stdev</t>
        </is>
      </c>
      <c r="N232" t="inlineStr">
        <is>
          <t>Combined</t>
        </is>
      </c>
      <c r="O232" t="inlineStr"/>
      <c r="P232" t="inlineStr"/>
      <c r="Q232" t="inlineStr">
        <is>
          <t>K3-1B</t>
        </is>
      </c>
      <c r="R232" t="n">
        <v>1.0898</v>
      </c>
    </row>
    <row r="233">
      <c r="A233" s="32" t="n">
        <v>18</v>
      </c>
      <c r="B233" s="32" t="inlineStr">
        <is>
          <t>K4-1A</t>
        </is>
      </c>
      <c r="C233" t="inlineStr"/>
      <c r="D233" s="32" t="n">
        <v>3</v>
      </c>
      <c r="E233" s="32" t="n">
        <v>519.145</v>
      </c>
      <c r="F233" s="32" t="n">
        <v>3889.819</v>
      </c>
      <c r="G233" s="32" t="n">
        <v>25.168</v>
      </c>
      <c r="H233" s="32" t="n">
        <v>0.1334625081526929</v>
      </c>
      <c r="I233" t="n">
        <v>2.413671937812492</v>
      </c>
      <c r="J233" t="n">
        <v>-1.063065362300148</v>
      </c>
      <c r="K233" s="32" t="n">
        <v>-1.138961623190964</v>
      </c>
      <c r="L233" t="n">
        <v>-1.394882582614082</v>
      </c>
      <c r="M233" t="n">
        <v>0.3380529679371652</v>
      </c>
      <c r="N233" t="inlineStr">
        <is>
          <t>-1.1 ± -1.4</t>
        </is>
      </c>
      <c r="O233" t="inlineStr"/>
      <c r="P233" t="inlineStr"/>
      <c r="Q233" t="inlineStr">
        <is>
          <t>K3-1C</t>
        </is>
      </c>
      <c r="R233" t="n">
        <v>1.0536</v>
      </c>
    </row>
    <row r="234">
      <c r="A234" s="32" t="n">
        <v>19</v>
      </c>
      <c r="B234" s="32" t="inlineStr">
        <is>
          <t>K4-1B</t>
        </is>
      </c>
      <c r="C234" t="inlineStr"/>
      <c r="D234" s="32" t="n">
        <v>2.96</v>
      </c>
      <c r="E234" s="32" t="n">
        <v>363.112</v>
      </c>
      <c r="F234" s="32" t="n">
        <v>3657.858</v>
      </c>
      <c r="G234" s="32" t="n">
        <v>22.371</v>
      </c>
      <c r="H234" s="32" t="n">
        <v>0.09926902575222986</v>
      </c>
      <c r="I234" t="n">
        <v>1.620881641685706</v>
      </c>
      <c r="J234" t="n">
        <v>-1.855855658426934</v>
      </c>
      <c r="K234" s="32" t="n">
        <v>-1.778104019048539</v>
      </c>
      <c r="L234" t="inlineStr"/>
      <c r="M234" t="inlineStr"/>
      <c r="N234" t="inlineStr"/>
      <c r="O234" t="inlineStr"/>
      <c r="P234" t="inlineStr"/>
      <c r="Q234" t="inlineStr">
        <is>
          <t>K3-2A</t>
        </is>
      </c>
      <c r="R234" t="n">
        <v>1.1218</v>
      </c>
    </row>
    <row r="235">
      <c r="A235" s="32" t="n">
        <v>20</v>
      </c>
      <c r="B235" s="32" t="inlineStr">
        <is>
          <t>K4-1C</t>
        </is>
      </c>
      <c r="C235" t="inlineStr"/>
      <c r="D235" s="32" t="n">
        <v>2.99</v>
      </c>
      <c r="E235" s="32" t="n">
        <v>458.949</v>
      </c>
      <c r="F235" s="32" t="n">
        <v>3596.392</v>
      </c>
      <c r="G235" s="32" t="n">
        <v>29.98</v>
      </c>
      <c r="H235" s="32" t="n">
        <v>0.1276137306500515</v>
      </c>
      <c r="I235" t="n">
        <v>2.278065567159937</v>
      </c>
      <c r="J235" t="n">
        <v>-1.198671732952703</v>
      </c>
      <c r="K235" s="32" t="n">
        <v>-1.267582105602743</v>
      </c>
      <c r="L235" t="inlineStr">
        <is>
          <t>Conc. In soil (ng/g)</t>
        </is>
      </c>
      <c r="M235" t="inlineStr">
        <is>
          <t>Stdev</t>
        </is>
      </c>
      <c r="N235" t="inlineStr">
        <is>
          <t>Combined</t>
        </is>
      </c>
      <c r="O235" t="inlineStr"/>
      <c r="P235" t="inlineStr"/>
      <c r="Q235" t="inlineStr">
        <is>
          <t>K3-2B</t>
        </is>
      </c>
      <c r="R235" t="n">
        <v>1.198</v>
      </c>
    </row>
    <row r="236">
      <c r="A236" s="32" t="n">
        <v>21</v>
      </c>
      <c r="B236" s="32" t="inlineStr">
        <is>
          <t>K4-2A</t>
        </is>
      </c>
      <c r="C236" t="inlineStr"/>
      <c r="D236" s="32" t="n">
        <v>3.01</v>
      </c>
      <c r="E236" s="32" t="n">
        <v>570.948</v>
      </c>
      <c r="F236" s="32" t="n">
        <v>3827.847</v>
      </c>
      <c r="G236" s="32" t="n">
        <v>31.656</v>
      </c>
      <c r="H236" s="32" t="n">
        <v>0.1491564318009576</v>
      </c>
      <c r="I236" t="n">
        <v>2.777542169887198</v>
      </c>
      <c r="J236" t="n">
        <v>-0.6991951302254424</v>
      </c>
      <c r="K236" s="32" t="n">
        <v>-0.6824442264844603</v>
      </c>
      <c r="L236" t="n">
        <v>-1.186539113515344</v>
      </c>
      <c r="M236" t="n">
        <v>0.4376557586063085</v>
      </c>
      <c r="N236" t="inlineStr">
        <is>
          <t>-0.7 ± -1.2</t>
        </is>
      </c>
      <c r="O236" t="inlineStr"/>
      <c r="P236" t="inlineStr"/>
      <c r="Q236" t="inlineStr">
        <is>
          <t>K3-2C</t>
        </is>
      </c>
      <c r="R236" t="n">
        <v>1.1538</v>
      </c>
    </row>
    <row r="237">
      <c r="A237" s="32" t="n">
        <v>22</v>
      </c>
      <c r="B237" s="32" t="inlineStr">
        <is>
          <t>K4-2B</t>
        </is>
      </c>
      <c r="C237" t="inlineStr"/>
      <c r="D237" s="32" t="n">
        <v>3.01</v>
      </c>
      <c r="E237" s="32" t="n">
        <v>416.827</v>
      </c>
      <c r="F237" s="32" t="n">
        <v>3623.222</v>
      </c>
      <c r="G237" s="32" t="n">
        <v>33.291</v>
      </c>
      <c r="H237" s="32" t="n">
        <v>0.1150431853195857</v>
      </c>
      <c r="I237" t="n">
        <v>1.986612177350183</v>
      </c>
      <c r="J237" t="n">
        <v>-1.490125122762457</v>
      </c>
      <c r="K237" s="32" t="n">
        <v>-1.469551403118794</v>
      </c>
      <c r="L237" t="inlineStr"/>
      <c r="M237" t="inlineStr"/>
      <c r="N237" t="inlineStr"/>
      <c r="O237" t="inlineStr"/>
      <c r="P237" t="inlineStr"/>
      <c r="Q237" t="inlineStr">
        <is>
          <t>K3-3A</t>
        </is>
      </c>
      <c r="R237" t="n">
        <v>1.1183</v>
      </c>
    </row>
    <row r="238">
      <c r="A238" s="32" t="n">
        <v>23</v>
      </c>
      <c r="B238" s="32" t="inlineStr">
        <is>
          <t>K4-2C</t>
        </is>
      </c>
      <c r="C238" t="inlineStr"/>
      <c r="D238" s="32" t="n">
        <v>2.99</v>
      </c>
      <c r="E238" s="32" t="n">
        <v>354.702</v>
      </c>
      <c r="F238" s="32" t="n">
        <v>3093.041</v>
      </c>
      <c r="G238" s="32" t="n">
        <v>21.019</v>
      </c>
      <c r="H238" s="32" t="n">
        <v>0.1146774323392415</v>
      </c>
      <c r="I238" t="n">
        <v>1.978132040398926</v>
      </c>
      <c r="J238" t="n">
        <v>-1.498605259713714</v>
      </c>
      <c r="K238" s="32" t="n">
        <v>-1.407621710942777</v>
      </c>
      <c r="L238" t="inlineStr"/>
      <c r="M238" t="inlineStr"/>
      <c r="N238" t="inlineStr"/>
      <c r="O238" t="inlineStr"/>
      <c r="P238" t="inlineStr"/>
      <c r="Q238" t="inlineStr">
        <is>
          <t>K3-3B</t>
        </is>
      </c>
      <c r="R238" t="n">
        <v>1.1448</v>
      </c>
    </row>
    <row r="239">
      <c r="A239" s="32" t="n">
        <v>24</v>
      </c>
      <c r="B239" s="32" t="inlineStr">
        <is>
          <t>MeOH</t>
        </is>
      </c>
      <c r="C239" t="inlineStr"/>
      <c r="D239" t="inlineStr"/>
      <c r="E239" t="inlineStr"/>
      <c r="F239" t="inlineStr"/>
      <c r="G239" t="inlineStr"/>
      <c r="H239" s="32" t="inlineStr"/>
      <c r="I239" t="inlineStr"/>
      <c r="J239" t="inlineStr"/>
      <c r="K239" s="32" t="inlineStr"/>
      <c r="L239" t="inlineStr">
        <is>
          <t>Conc. In soil (ng/g)</t>
        </is>
      </c>
      <c r="M239" t="inlineStr">
        <is>
          <t>Stdev</t>
        </is>
      </c>
      <c r="N239" t="inlineStr">
        <is>
          <t>Combined</t>
        </is>
      </c>
      <c r="O239" t="inlineStr"/>
      <c r="P239" t="inlineStr"/>
      <c r="Q239" t="inlineStr">
        <is>
          <t>K3-3C</t>
        </is>
      </c>
      <c r="R239" t="n">
        <v>1.0493</v>
      </c>
    </row>
    <row r="240">
      <c r="A240" s="32" t="n">
        <v>25</v>
      </c>
      <c r="B240" s="32" t="inlineStr">
        <is>
          <t>K4-4A</t>
        </is>
      </c>
      <c r="C240" t="inlineStr"/>
      <c r="D240" s="32" t="n">
        <v>3.02</v>
      </c>
      <c r="E240" s="32" t="n">
        <v>461.101</v>
      </c>
      <c r="F240" s="32" t="n">
        <v>3907.045</v>
      </c>
      <c r="G240" s="32" t="n">
        <v>21.735</v>
      </c>
      <c r="H240" s="32" t="n">
        <v>0.1180178370098118</v>
      </c>
      <c r="I240" t="n">
        <v>2.055580730092164</v>
      </c>
      <c r="J240" t="n">
        <v>-1.421156570020476</v>
      </c>
      <c r="K240" s="32" t="n">
        <v>-1.429996548685075</v>
      </c>
      <c r="L240" t="n">
        <v>-1.411968571833012</v>
      </c>
      <c r="M240" t="n">
        <v>0.2884096285719215</v>
      </c>
      <c r="N240" t="inlineStr">
        <is>
          <t>-1.4 ± -1.4</t>
        </is>
      </c>
      <c r="O240" t="inlineStr"/>
      <c r="P240" t="inlineStr"/>
      <c r="Q240" t="inlineStr">
        <is>
          <t>K3-4A</t>
        </is>
      </c>
      <c r="R240" t="n">
        <v>1.0704</v>
      </c>
    </row>
    <row r="241">
      <c r="A241" s="32" t="n">
        <v>26</v>
      </c>
      <c r="B241" s="32" t="inlineStr">
        <is>
          <t>K4-4B</t>
        </is>
      </c>
      <c r="C241" t="inlineStr"/>
      <c r="D241" s="32" t="n">
        <v>3.01</v>
      </c>
      <c r="E241" s="32" t="n">
        <v>370.478</v>
      </c>
      <c r="F241" s="32" t="n">
        <v>3594.542</v>
      </c>
      <c r="G241" s="32" t="n">
        <v>19.372</v>
      </c>
      <c r="H241" s="32" t="n">
        <v>0.1030668163009363</v>
      </c>
      <c r="I241" t="n">
        <v>1.708935015673015</v>
      </c>
      <c r="J241" t="n">
        <v>-1.767802284439625</v>
      </c>
      <c r="K241" s="32" t="n">
        <v>-1.690941315550946</v>
      </c>
      <c r="L241" t="inlineStr"/>
      <c r="M241" t="inlineStr"/>
      <c r="N241" t="inlineStr"/>
      <c r="O241" t="inlineStr"/>
      <c r="P241" t="inlineStr"/>
      <c r="Q241" t="inlineStr">
        <is>
          <t>K3-4B</t>
        </is>
      </c>
      <c r="R241" t="n">
        <v>1.1589</v>
      </c>
    </row>
    <row r="242">
      <c r="A242" s="32" t="n">
        <v>27</v>
      </c>
      <c r="B242" s="32" t="inlineStr">
        <is>
          <t>K4-4C</t>
        </is>
      </c>
      <c r="C242" t="inlineStr"/>
      <c r="D242" s="32" t="n">
        <v>3.01</v>
      </c>
      <c r="E242" s="32" t="n">
        <v>478.702</v>
      </c>
      <c r="F242" s="32" t="n">
        <v>3586.092</v>
      </c>
      <c r="G242" s="32" t="n">
        <v>28.54</v>
      </c>
      <c r="H242" s="32" t="n">
        <v>0.1334884883042599</v>
      </c>
      <c r="I242" t="n">
        <v>2.414274298572737</v>
      </c>
      <c r="J242" t="n">
        <v>-1.062463001539903</v>
      </c>
      <c r="K242" s="32" t="n">
        <v>-1.114967851263016</v>
      </c>
      <c r="L242" t="inlineStr">
        <is>
          <t>Conc. In soil (ng/g)</t>
        </is>
      </c>
      <c r="M242" t="inlineStr">
        <is>
          <t>Stdev</t>
        </is>
      </c>
      <c r="N242" t="inlineStr">
        <is>
          <t>Combined</t>
        </is>
      </c>
      <c r="O242" t="inlineStr"/>
      <c r="P242" t="inlineStr"/>
      <c r="Q242" t="inlineStr">
        <is>
          <t>K3-4C</t>
        </is>
      </c>
      <c r="R242" t="n">
        <v>1.0206</v>
      </c>
    </row>
    <row r="243">
      <c r="A243" s="32" t="n">
        <v>28</v>
      </c>
      <c r="B243" s="32" t="inlineStr">
        <is>
          <t>K4-5A</t>
        </is>
      </c>
      <c r="C243" t="inlineStr"/>
      <c r="D243" s="32" t="n">
        <v>2.99</v>
      </c>
      <c r="E243" s="32" t="n">
        <v>559.438</v>
      </c>
      <c r="F243" s="32" t="n">
        <v>3387.509</v>
      </c>
      <c r="G243" s="32" t="n">
        <v>47.508</v>
      </c>
      <c r="H243" s="32" t="n">
        <v>0.1651473103097291</v>
      </c>
      <c r="I243" t="n">
        <v>3.148297425518157</v>
      </c>
      <c r="J243" t="n">
        <v>-0.3284398745944825</v>
      </c>
      <c r="K243" s="32" t="n">
        <v>-0.3268354098551934</v>
      </c>
      <c r="L243" t="n">
        <v>-0.6949345670087718</v>
      </c>
      <c r="M243" t="n">
        <v>0.4382028300520538</v>
      </c>
      <c r="N243" t="inlineStr">
        <is>
          <t>-0.3 ± -0.7</t>
        </is>
      </c>
      <c r="O243" t="inlineStr"/>
      <c r="P243" t="inlineStr"/>
      <c r="Q243" t="inlineStr">
        <is>
          <t>K3-6A</t>
        </is>
      </c>
      <c r="R243" t="n">
        <v>1.1289</v>
      </c>
    </row>
    <row r="244">
      <c r="A244" s="32" t="n">
        <v>29</v>
      </c>
      <c r="B244" s="32" t="inlineStr">
        <is>
          <t>K4-5B</t>
        </is>
      </c>
      <c r="C244" t="inlineStr"/>
      <c r="D244" s="32" t="n">
        <v>2.94</v>
      </c>
      <c r="E244" s="32" t="n">
        <v>529.191</v>
      </c>
      <c r="F244" s="32" t="n">
        <v>3401.243</v>
      </c>
      <c r="G244" s="32" t="n">
        <v>19.822</v>
      </c>
      <c r="H244" s="32" t="n">
        <v>0.1555875307938892</v>
      </c>
      <c r="I244" t="n">
        <v>2.926649909640487</v>
      </c>
      <c r="J244" t="n">
        <v>-0.5500873904721528</v>
      </c>
      <c r="K244" s="32" t="n">
        <v>-0.5783199173462373</v>
      </c>
      <c r="L244" t="inlineStr"/>
      <c r="M244" t="inlineStr"/>
      <c r="N244" t="inlineStr"/>
      <c r="O244" t="inlineStr"/>
      <c r="P244" t="inlineStr"/>
      <c r="Q244" t="inlineStr">
        <is>
          <t>K3-6B</t>
        </is>
      </c>
      <c r="R244" t="n">
        <v>1.195</v>
      </c>
    </row>
    <row r="245">
      <c r="A245" s="32" t="n">
        <v>30</v>
      </c>
      <c r="B245" s="32" t="inlineStr">
        <is>
          <t>K4-5C</t>
        </is>
      </c>
      <c r="C245" t="inlineStr"/>
      <c r="D245" s="32" t="n">
        <v>2.91</v>
      </c>
      <c r="E245" s="32" t="n">
        <v>481.145</v>
      </c>
      <c r="F245" s="32" t="n">
        <v>3767.266</v>
      </c>
      <c r="G245" s="32" t="n">
        <v>28.258</v>
      </c>
      <c r="H245" s="32" t="n">
        <v>0.1277172888773981</v>
      </c>
      <c r="I245" t="n">
        <v>2.28046660829295</v>
      </c>
      <c r="J245" t="n">
        <v>-1.19627069181969</v>
      </c>
      <c r="K245" s="32" t="n">
        <v>-1.179648373824885</v>
      </c>
      <c r="L245" t="inlineStr"/>
      <c r="M245" t="inlineStr"/>
      <c r="N245" t="inlineStr"/>
      <c r="O245" t="inlineStr"/>
      <c r="P245" t="inlineStr"/>
      <c r="Q245" t="inlineStr">
        <is>
          <t>K3-6C</t>
        </is>
      </c>
      <c r="R245" t="n">
        <v>1.1716</v>
      </c>
    </row>
    <row r="246">
      <c r="A246" s="32" t="n">
        <v>31</v>
      </c>
      <c r="B246" s="32" t="inlineStr">
        <is>
          <t>MeOH</t>
        </is>
      </c>
      <c r="C246" t="inlineStr"/>
      <c r="D246" t="inlineStr"/>
      <c r="E246" t="inlineStr"/>
      <c r="F246" t="inlineStr"/>
      <c r="G246" t="inlineStr"/>
      <c r="H246" s="32" t="inlineStr"/>
      <c r="I246" t="inlineStr"/>
      <c r="J246" t="inlineStr"/>
      <c r="K246" s="32" t="inlineStr"/>
      <c r="L246" t="inlineStr">
        <is>
          <t>Conc. In soil (ng/g)</t>
        </is>
      </c>
      <c r="M246" t="inlineStr">
        <is>
          <t>Stdev</t>
        </is>
      </c>
      <c r="N246" t="inlineStr">
        <is>
          <t>Combined</t>
        </is>
      </c>
      <c r="O246" t="inlineStr"/>
      <c r="P246" t="inlineStr"/>
      <c r="Q246" t="inlineStr"/>
      <c r="R246" t="inlineStr"/>
    </row>
    <row r="247">
      <c r="A247" s="32" t="n">
        <v>32</v>
      </c>
      <c r="B247" s="32" t="inlineStr">
        <is>
          <t>K3-1A</t>
        </is>
      </c>
      <c r="C247" t="inlineStr"/>
      <c r="D247" s="32" t="n">
        <v>2.79</v>
      </c>
      <c r="E247" s="32" t="n">
        <v>512.687</v>
      </c>
      <c r="F247" s="32" t="n">
        <v>3791.804</v>
      </c>
      <c r="G247" s="32" t="n">
        <v>25.548</v>
      </c>
      <c r="H247" s="32" t="n">
        <v>0.1352092565965962</v>
      </c>
      <c r="I247" t="n">
        <v>2.454171036438443</v>
      </c>
      <c r="J247" t="n">
        <v>-1.022566263674197</v>
      </c>
      <c r="K247" s="32" t="n">
        <v>-1.034415017511143</v>
      </c>
      <c r="L247" t="n">
        <v>-1.733818565777861</v>
      </c>
      <c r="M247" t="n">
        <v>0.629635721438242</v>
      </c>
      <c r="N247" t="inlineStr">
        <is>
          <t>-1.0 ± -1.7</t>
        </is>
      </c>
      <c r="O247" t="inlineStr"/>
      <c r="P247" t="inlineStr"/>
      <c r="Q247" t="inlineStr"/>
      <c r="R247" t="inlineStr"/>
    </row>
    <row r="248">
      <c r="A248" s="32" t="n">
        <v>33</v>
      </c>
      <c r="B248" s="32" t="inlineStr">
        <is>
          <t>K3-1B</t>
        </is>
      </c>
      <c r="C248" t="inlineStr"/>
      <c r="D248" s="32" t="n">
        <v>2.85</v>
      </c>
      <c r="E248" s="32" t="n">
        <v>308.46</v>
      </c>
      <c r="F248" s="32" t="n">
        <v>3719.279</v>
      </c>
      <c r="G248" s="32" t="n">
        <v>13.311</v>
      </c>
      <c r="H248" s="32" t="n">
        <v>0.08293542915172537</v>
      </c>
      <c r="I248" t="n">
        <v>1.242180322701184</v>
      </c>
      <c r="J248" t="n">
        <v>-2.234556977411456</v>
      </c>
      <c r="K248" s="32" t="n">
        <v>-2.25547134809378</v>
      </c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s="32" t="n">
        <v>34</v>
      </c>
      <c r="B249" s="32" t="inlineStr">
        <is>
          <t>K3-1C</t>
        </is>
      </c>
      <c r="C249" t="inlineStr"/>
      <c r="D249" s="32" t="n">
        <v>2.88</v>
      </c>
      <c r="E249" s="32" t="n">
        <v>483.143</v>
      </c>
      <c r="F249" s="32" t="n">
        <v>4814.875</v>
      </c>
      <c r="G249" s="32" t="n">
        <v>21.931</v>
      </c>
      <c r="H249" s="32" t="n">
        <v>0.1003438303175056</v>
      </c>
      <c r="I249" t="n">
        <v>1.645801438376899</v>
      </c>
      <c r="J249" t="n">
        <v>-1.830935861735741</v>
      </c>
      <c r="K249" s="32" t="n">
        <v>-1.911569331728659</v>
      </c>
      <c r="L249" t="inlineStr">
        <is>
          <t>Conc. In soil (ng/g)</t>
        </is>
      </c>
      <c r="M249" t="inlineStr">
        <is>
          <t>Stdev</t>
        </is>
      </c>
      <c r="N249" t="inlineStr">
        <is>
          <t>Combined</t>
        </is>
      </c>
      <c r="O249" t="inlineStr"/>
      <c r="P249" t="inlineStr"/>
      <c r="Q249" t="inlineStr"/>
      <c r="R249" t="inlineStr"/>
    </row>
    <row r="250">
      <c r="A250" s="32" t="n">
        <v>35</v>
      </c>
      <c r="B250" s="32" t="inlineStr">
        <is>
          <t>K3-2A</t>
        </is>
      </c>
      <c r="C250" t="inlineStr"/>
      <c r="D250" s="32" t="n">
        <v>2.91</v>
      </c>
      <c r="E250" s="32" t="n">
        <v>696.649</v>
      </c>
      <c r="F250" s="32" t="n">
        <v>4565.734</v>
      </c>
      <c r="G250" s="32" t="n">
        <v>41.02</v>
      </c>
      <c r="H250" s="32" t="n">
        <v>0.1525820382878196</v>
      </c>
      <c r="I250" t="n">
        <v>2.856966299589074</v>
      </c>
      <c r="J250" t="n">
        <v>-0.6197710005235657</v>
      </c>
      <c r="K250" s="32" t="n">
        <v>-0.6077269571901608</v>
      </c>
      <c r="L250" t="n">
        <v>-1.706443427090458</v>
      </c>
      <c r="M250" t="n">
        <v>0.9766224924692752</v>
      </c>
      <c r="N250" t="inlineStr">
        <is>
          <t>-0.6 ± -1.7</t>
        </is>
      </c>
      <c r="O250" t="inlineStr"/>
      <c r="P250" t="inlineStr"/>
      <c r="Q250" t="inlineStr"/>
      <c r="R250" t="inlineStr"/>
    </row>
    <row r="251">
      <c r="A251" s="32" t="n">
        <v>36</v>
      </c>
      <c r="B251" s="32" t="inlineStr">
        <is>
          <t>K3-2B</t>
        </is>
      </c>
      <c r="C251" t="inlineStr"/>
      <c r="D251" s="32" t="n">
        <v>2.91</v>
      </c>
      <c r="E251" s="32" t="n">
        <v>399.606</v>
      </c>
      <c r="F251" s="32" t="n">
        <v>4775.06</v>
      </c>
      <c r="G251" s="32" t="n">
        <v>20.386</v>
      </c>
      <c r="H251" s="32" t="n">
        <v>0.08368606886615036</v>
      </c>
      <c r="I251" t="n">
        <v>1.259584220745668</v>
      </c>
      <c r="J251" t="n">
        <v>-2.217153079366972</v>
      </c>
      <c r="K251" s="32" t="n">
        <v>-2.035783294911243</v>
      </c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s="32" t="n">
        <v>37</v>
      </c>
      <c r="B252" s="32" t="inlineStr">
        <is>
          <t>K3-2C</t>
        </is>
      </c>
      <c r="C252" t="inlineStr"/>
      <c r="D252" s="32" t="n">
        <v>2.93</v>
      </c>
      <c r="E252" s="32" t="n">
        <v>282.17</v>
      </c>
      <c r="F252" s="32" t="n">
        <v>4192.287</v>
      </c>
      <c r="G252" s="32" t="n">
        <v>10.632</v>
      </c>
      <c r="H252" s="32" t="n">
        <v>0.06730693771681184</v>
      </c>
      <c r="I252" t="n">
        <v>0.8798271640614478</v>
      </c>
      <c r="J252" t="n">
        <v>-2.596910136051192</v>
      </c>
      <c r="K252" s="32" t="n">
        <v>-2.47582002916997</v>
      </c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s="32" t="n">
        <v>38</v>
      </c>
      <c r="B253" s="32" t="inlineStr">
        <is>
          <t>MeOH</t>
        </is>
      </c>
      <c r="C253" t="inlineStr"/>
      <c r="D253" t="inlineStr"/>
      <c r="E253" t="inlineStr"/>
      <c r="F253" t="inlineStr"/>
      <c r="G253" t="inlineStr"/>
      <c r="H253" s="32" t="inlineStr"/>
      <c r="I253" t="inlineStr"/>
      <c r="J253" t="inlineStr"/>
      <c r="K253" s="32" t="inlineStr"/>
      <c r="L253" t="inlineStr">
        <is>
          <t>Conc. In soil (ng/g)</t>
        </is>
      </c>
      <c r="M253" t="inlineStr">
        <is>
          <t>Stdev</t>
        </is>
      </c>
      <c r="N253" t="inlineStr">
        <is>
          <t>Combined</t>
        </is>
      </c>
      <c r="O253" t="inlineStr"/>
      <c r="P253" t="inlineStr"/>
      <c r="Q253" t="inlineStr"/>
      <c r="R253" t="inlineStr"/>
    </row>
    <row r="254">
      <c r="A254" s="32" t="n">
        <v>39</v>
      </c>
      <c r="B254" s="32" t="inlineStr">
        <is>
          <t>K3-3A</t>
        </is>
      </c>
      <c r="C254" t="inlineStr"/>
      <c r="D254" s="32" t="n">
        <v>2.93</v>
      </c>
      <c r="E254" s="32" t="n">
        <v>633.702</v>
      </c>
      <c r="F254" s="32" t="n">
        <v>3883.396</v>
      </c>
      <c r="G254" s="32" t="n">
        <v>27.09</v>
      </c>
      <c r="H254" s="32" t="n">
        <v>0.1631824310474646</v>
      </c>
      <c r="I254" t="n">
        <v>3.102740871963878</v>
      </c>
      <c r="J254" t="n">
        <v>-0.3739964281487618</v>
      </c>
      <c r="K254" s="32" t="n">
        <v>-0.3678763041792345</v>
      </c>
      <c r="L254" t="n">
        <v>-1.587549211008293</v>
      </c>
      <c r="M254" t="n">
        <v>1.073860564085033</v>
      </c>
      <c r="N254" t="inlineStr">
        <is>
          <t>-0.4 ± -1.6</t>
        </is>
      </c>
      <c r="O254" t="inlineStr"/>
      <c r="P254" t="inlineStr"/>
      <c r="Q254" t="inlineStr"/>
      <c r="R254" t="inlineStr"/>
    </row>
    <row r="255">
      <c r="A255" s="32" t="n">
        <v>40</v>
      </c>
      <c r="B255" s="32" t="inlineStr">
        <is>
          <t>K3-3B</t>
        </is>
      </c>
      <c r="C255" t="inlineStr"/>
      <c r="D255" s="32" t="n">
        <v>2.93</v>
      </c>
      <c r="E255" s="32" t="n">
        <v>427.724</v>
      </c>
      <c r="F255" s="32" t="n">
        <v>4786.087</v>
      </c>
      <c r="G255" s="32" t="n">
        <v>20.313</v>
      </c>
      <c r="H255" s="32" t="n">
        <v>0.08936820413001267</v>
      </c>
      <c r="I255" t="n">
        <v>1.391326920881085</v>
      </c>
      <c r="J255" t="n">
        <v>-2.085410379231555</v>
      </c>
      <c r="K255" s="32" t="n">
        <v>-2.003801028262326</v>
      </c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s="32" t="n">
        <v>41</v>
      </c>
      <c r="B256" s="32" t="inlineStr">
        <is>
          <t>K3-3C</t>
        </is>
      </c>
      <c r="C256" t="inlineStr"/>
      <c r="D256" s="32" t="n">
        <v>2.96</v>
      </c>
      <c r="E256" s="32" t="n">
        <v>410.09</v>
      </c>
      <c r="F256" s="32" t="n">
        <v>5066.448</v>
      </c>
      <c r="G256" s="32" t="n">
        <v>16.683</v>
      </c>
      <c r="H256" s="32" t="n">
        <v>0.0809423090891291</v>
      </c>
      <c r="I256" t="n">
        <v>1.195968994292571</v>
      </c>
      <c r="J256" t="n">
        <v>-2.280768305820069</v>
      </c>
      <c r="K256" s="32" t="n">
        <v>-2.390970300583318</v>
      </c>
      <c r="L256" t="inlineStr">
        <is>
          <t>Conc. In soil (ng/g)</t>
        </is>
      </c>
      <c r="M256" t="inlineStr">
        <is>
          <t>Stdev</t>
        </is>
      </c>
      <c r="N256" t="inlineStr">
        <is>
          <t>Combined</t>
        </is>
      </c>
      <c r="O256" t="inlineStr"/>
      <c r="P256" t="inlineStr"/>
      <c r="Q256" t="inlineStr"/>
      <c r="R256" t="inlineStr"/>
    </row>
    <row r="257">
      <c r="A257" s="32" t="n">
        <v>42</v>
      </c>
      <c r="B257" s="32" t="inlineStr">
        <is>
          <t>K3-4A</t>
        </is>
      </c>
      <c r="C257" t="inlineStr"/>
      <c r="D257" s="32" t="n">
        <v>2.95</v>
      </c>
      <c r="E257" s="32" t="n">
        <v>530.728</v>
      </c>
      <c r="F257" s="32" t="n">
        <v>5114.056</v>
      </c>
      <c r="G257" s="32" t="n">
        <v>29.772</v>
      </c>
      <c r="H257" s="32" t="n">
        <v>0.1037782926115788</v>
      </c>
      <c r="I257" t="n">
        <v>1.725430893700163</v>
      </c>
      <c r="J257" t="n">
        <v>-1.751306406412477</v>
      </c>
      <c r="K257" s="32" t="n">
        <v>-1.799735656814018</v>
      </c>
      <c r="L257" t="n">
        <v>-1.750941921842174</v>
      </c>
      <c r="M257" t="n">
        <v>0.0459646589819617</v>
      </c>
      <c r="N257" t="inlineStr">
        <is>
          <t>-1.8 ± -1.8</t>
        </is>
      </c>
      <c r="O257" t="inlineStr"/>
      <c r="P257" t="inlineStr"/>
      <c r="Q257" t="inlineStr"/>
      <c r="R257" t="inlineStr"/>
    </row>
    <row r="258">
      <c r="A258" s="32" t="n">
        <v>43</v>
      </c>
      <c r="B258" s="32" t="inlineStr">
        <is>
          <t>K3-4B</t>
        </is>
      </c>
      <c r="C258" t="inlineStr"/>
      <c r="D258" s="32" t="n">
        <v>2.94</v>
      </c>
      <c r="E258" s="32" t="n">
        <v>490.418</v>
      </c>
      <c r="F258" s="32" t="n">
        <v>4902.364</v>
      </c>
      <c r="G258" s="32" t="n">
        <v>19.29</v>
      </c>
      <c r="H258" s="32" t="n">
        <v>0.100037043352962</v>
      </c>
      <c r="I258" t="n">
        <v>1.638688453346011</v>
      </c>
      <c r="J258" t="n">
        <v>-1.838048846766629</v>
      </c>
      <c r="K258" s="32" t="n">
        <v>-1.744631746866245</v>
      </c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s="32" t="n">
        <v>44</v>
      </c>
      <c r="B259" s="32" t="inlineStr">
        <is>
          <t>K3-4C</t>
        </is>
      </c>
      <c r="C259" t="inlineStr"/>
      <c r="D259" s="32" t="n">
        <v>2.99</v>
      </c>
      <c r="E259" s="32" t="n">
        <v>595.354</v>
      </c>
      <c r="F259" s="32" t="n">
        <v>5366.199</v>
      </c>
      <c r="G259" s="32" t="n">
        <v>27.511</v>
      </c>
      <c r="H259" s="32" t="n">
        <v>0.110945196031679</v>
      </c>
      <c r="I259" t="n">
        <v>1.891598569112376</v>
      </c>
      <c r="J259" t="n">
        <v>-1.585138731000264</v>
      </c>
      <c r="K259" s="32" t="n">
        <v>-1.708458361846257</v>
      </c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s="32" t="n">
        <v>45</v>
      </c>
      <c r="B260" s="32" t="inlineStr">
        <is>
          <t>MeOH</t>
        </is>
      </c>
      <c r="C260" t="inlineStr"/>
      <c r="D260" t="inlineStr"/>
      <c r="E260" t="inlineStr"/>
      <c r="F260" t="inlineStr"/>
      <c r="G260" t="inlineStr"/>
      <c r="H260" s="32" t="inlineStr"/>
      <c r="I260" t="inlineStr"/>
      <c r="J260" t="inlineStr"/>
      <c r="K260" s="32" t="inlineStr"/>
      <c r="L260" t="inlineStr">
        <is>
          <t>Conc. In soil (ng/g)</t>
        </is>
      </c>
      <c r="M260" t="inlineStr">
        <is>
          <t>Stdev</t>
        </is>
      </c>
      <c r="N260" t="inlineStr">
        <is>
          <t>Combined</t>
        </is>
      </c>
      <c r="O260" t="inlineStr"/>
      <c r="P260" t="inlineStr"/>
      <c r="Q260" t="inlineStr"/>
      <c r="R260" t="inlineStr"/>
    </row>
    <row r="261">
      <c r="A261" s="32" t="n">
        <v>46</v>
      </c>
      <c r="B261" s="32" t="inlineStr">
        <is>
          <t>K3-6A</t>
        </is>
      </c>
      <c r="C261" t="inlineStr"/>
      <c r="D261" s="32" t="n">
        <v>3.03</v>
      </c>
      <c r="E261" s="32" t="n">
        <v>451.328</v>
      </c>
      <c r="F261" s="32" t="n">
        <v>5428.197</v>
      </c>
      <c r="G261" s="32" t="n">
        <v>17.69</v>
      </c>
      <c r="H261" s="32" t="n">
        <v>0.08314510324514751</v>
      </c>
      <c r="I261" t="n">
        <v>1.247041704898746</v>
      </c>
      <c r="J261" t="n">
        <v>-2.229695595213894</v>
      </c>
      <c r="K261" s="32" t="n">
        <v>-2.172615071959681</v>
      </c>
      <c r="L261" t="n">
        <v>-2.189810221956501</v>
      </c>
      <c r="M261" t="n">
        <v>0.09960244008357241</v>
      </c>
      <c r="N261" t="inlineStr">
        <is>
          <t>-2.2 ± -2.2</t>
        </is>
      </c>
      <c r="O261" t="inlineStr"/>
      <c r="P261" t="inlineStr"/>
      <c r="Q261" t="inlineStr"/>
      <c r="R261" t="inlineStr"/>
    </row>
    <row r="262">
      <c r="A262" s="32" t="n">
        <v>47</v>
      </c>
      <c r="B262" s="32" t="inlineStr">
        <is>
          <t>K3-6B</t>
        </is>
      </c>
      <c r="C262" t="inlineStr"/>
      <c r="D262" s="32" t="n">
        <v>3</v>
      </c>
      <c r="E262" s="32" t="n">
        <v>364.284</v>
      </c>
      <c r="F262" s="32" t="n">
        <v>4501.771</v>
      </c>
      <c r="G262" s="32" t="n">
        <v>17.488</v>
      </c>
      <c r="H262" s="32" t="n">
        <v>0.08092015342406356</v>
      </c>
      <c r="I262" t="n">
        <v>1.195455305863224</v>
      </c>
      <c r="J262" t="n">
        <v>-2.281281994249416</v>
      </c>
      <c r="K262" s="32" t="n">
        <v>-2.099924848263061</v>
      </c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s="32" t="n">
        <v>48</v>
      </c>
      <c r="B263" s="32" t="inlineStr">
        <is>
          <t>K3-6C</t>
        </is>
      </c>
      <c r="C263" t="inlineStr"/>
      <c r="D263" s="32" t="n">
        <v>2.97</v>
      </c>
      <c r="E263" s="32" t="n">
        <v>354.678</v>
      </c>
      <c r="F263" s="32" t="n">
        <v>4806.024</v>
      </c>
      <c r="G263" s="32" t="n">
        <v>13.382</v>
      </c>
      <c r="H263" s="32" t="n">
        <v>0.07379863271594149</v>
      </c>
      <c r="I263" t="n">
        <v>1.030339847749233</v>
      </c>
      <c r="J263" t="n">
        <v>-2.446397452363406</v>
      </c>
      <c r="K263" s="32" t="n">
        <v>-2.296890745646763</v>
      </c>
      <c r="L263" t="inlineStr"/>
      <c r="M263" t="inlineStr"/>
      <c r="N263" t="inlineStr"/>
      <c r="O263" t="inlineStr"/>
      <c r="P263" t="inlineStr"/>
      <c r="Q263" t="inlineStr"/>
      <c r="R263" t="inlineStr"/>
    </row>
    <row r="265">
      <c r="A265" s="32" t="inlineStr">
        <is>
          <t>Compound 6:  m3 PFBA</t>
        </is>
      </c>
    </row>
    <row r="267">
      <c r="B267" s="32" t="inlineStr">
        <is>
          <t>Sample Text</t>
        </is>
      </c>
      <c r="C267" s="32" t="inlineStr">
        <is>
          <t>Std. Conc</t>
        </is>
      </c>
      <c r="D267" s="32" t="inlineStr">
        <is>
          <t>RT</t>
        </is>
      </c>
      <c r="E267" s="32" t="inlineStr">
        <is>
          <t>Area</t>
        </is>
      </c>
      <c r="F267" s="32" t="inlineStr">
        <is>
          <t>IS Area</t>
        </is>
      </c>
      <c r="G267" s="32" t="inlineStr">
        <is>
          <t>S/N</t>
        </is>
      </c>
      <c r="H267" s="32" t="inlineStr">
        <is>
          <t>Primary Flags</t>
        </is>
      </c>
      <c r="I267" s="32" t="inlineStr">
        <is>
          <t>Response</t>
        </is>
      </c>
      <c r="J267" s="32" t="inlineStr">
        <is>
          <t>Conc.</t>
        </is>
      </c>
      <c r="K267" s="32" t="inlineStr">
        <is>
          <t>Name</t>
        </is>
      </c>
    </row>
    <row r="268">
      <c r="A268" s="32" t="n">
        <v>1</v>
      </c>
      <c r="F268" s="32" t="n">
        <v>7551.013</v>
      </c>
      <c r="K268" s="32" t="inlineStr">
        <is>
          <t>20250514-12</t>
        </is>
      </c>
    </row>
    <row r="269">
      <c r="A269" s="32" t="n">
        <v>2</v>
      </c>
      <c r="F269" s="32" t="n">
        <v>6696.725</v>
      </c>
      <c r="K269" s="32" t="inlineStr">
        <is>
          <t>20250514-13</t>
        </is>
      </c>
    </row>
    <row r="270">
      <c r="A270" s="32" t="n">
        <v>3</v>
      </c>
      <c r="F270" s="32" t="n">
        <v>7209.583</v>
      </c>
      <c r="K270" s="32" t="inlineStr">
        <is>
          <t>20250514-14</t>
        </is>
      </c>
    </row>
    <row r="271">
      <c r="A271" s="32" t="n">
        <v>4</v>
      </c>
      <c r="F271" s="32" t="n">
        <v>7013.762</v>
      </c>
      <c r="K271" s="32" t="inlineStr">
        <is>
          <t>20250514-15</t>
        </is>
      </c>
    </row>
    <row r="272">
      <c r="A272" s="32" t="n">
        <v>5</v>
      </c>
      <c r="F272" s="32" t="n">
        <v>8048.652</v>
      </c>
      <c r="K272" s="32" t="inlineStr">
        <is>
          <t>20250514-16</t>
        </is>
      </c>
    </row>
    <row r="273">
      <c r="A273" s="32" t="n">
        <v>6</v>
      </c>
      <c r="F273" s="32" t="n">
        <v>7211.955</v>
      </c>
      <c r="K273" s="32" t="inlineStr">
        <is>
          <t>20250514-17</t>
        </is>
      </c>
    </row>
    <row r="274">
      <c r="A274" s="32" t="n">
        <v>7</v>
      </c>
      <c r="F274" s="32" t="n">
        <v>5686.902</v>
      </c>
      <c r="K274" s="32" t="inlineStr">
        <is>
          <t>20250514-18</t>
        </is>
      </c>
    </row>
    <row r="275">
      <c r="A275" s="32" t="n">
        <v>8</v>
      </c>
      <c r="F275" s="32" t="n">
        <v>6179.103</v>
      </c>
      <c r="K275" s="32" t="inlineStr">
        <is>
          <t>20250514-19</t>
        </is>
      </c>
    </row>
    <row r="276">
      <c r="A276" s="32" t="n">
        <v>9</v>
      </c>
      <c r="K276" s="32" t="inlineStr">
        <is>
          <t>20250514-20</t>
        </is>
      </c>
    </row>
    <row r="277">
      <c r="A277" s="32" t="n">
        <v>10</v>
      </c>
      <c r="K277" s="32" t="inlineStr">
        <is>
          <t>20250514-21</t>
        </is>
      </c>
    </row>
    <row r="278">
      <c r="A278" s="32" t="n">
        <v>11</v>
      </c>
      <c r="F278" s="32" t="n">
        <v>3649.542</v>
      </c>
      <c r="K278" s="32" t="inlineStr">
        <is>
          <t>20250514-22</t>
        </is>
      </c>
    </row>
    <row r="279">
      <c r="A279" s="32" t="n">
        <v>12</v>
      </c>
      <c r="F279" s="32" t="n">
        <v>3370.738</v>
      </c>
      <c r="K279" s="32" t="inlineStr">
        <is>
          <t>20250514-23</t>
        </is>
      </c>
    </row>
    <row r="280">
      <c r="A280" s="32" t="n">
        <v>13</v>
      </c>
      <c r="F280" s="32" t="n">
        <v>3095.617</v>
      </c>
      <c r="K280" s="32" t="inlineStr">
        <is>
          <t>20250514-24</t>
        </is>
      </c>
    </row>
    <row r="281">
      <c r="A281" s="32" t="n">
        <v>14</v>
      </c>
      <c r="F281" s="32" t="n">
        <v>3490.645</v>
      </c>
      <c r="K281" s="32" t="inlineStr">
        <is>
          <t>20250514-25</t>
        </is>
      </c>
    </row>
    <row r="282">
      <c r="A282" s="32" t="n">
        <v>15</v>
      </c>
      <c r="F282" s="32" t="n">
        <v>3699.493</v>
      </c>
      <c r="K282" s="32" t="inlineStr">
        <is>
          <t>20250514-26</t>
        </is>
      </c>
    </row>
    <row r="283">
      <c r="A283" s="32" t="n">
        <v>16</v>
      </c>
      <c r="F283" s="32" t="n">
        <v>3352.055</v>
      </c>
      <c r="K283" s="32" t="inlineStr">
        <is>
          <t>20250514-27</t>
        </is>
      </c>
    </row>
    <row r="284">
      <c r="A284" s="32" t="n">
        <v>17</v>
      </c>
      <c r="K284" s="32" t="inlineStr">
        <is>
          <t>20250514-28</t>
        </is>
      </c>
    </row>
    <row r="285">
      <c r="A285" s="32" t="n">
        <v>18</v>
      </c>
      <c r="F285" s="32" t="n">
        <v>3889.819</v>
      </c>
      <c r="K285" s="32" t="inlineStr">
        <is>
          <t>20250514-29</t>
        </is>
      </c>
    </row>
    <row r="286">
      <c r="A286" s="32" t="n">
        <v>19</v>
      </c>
      <c r="F286" s="32" t="n">
        <v>3657.858</v>
      </c>
      <c r="K286" s="32" t="inlineStr">
        <is>
          <t>20250514-30</t>
        </is>
      </c>
    </row>
    <row r="287">
      <c r="A287" s="32" t="n">
        <v>20</v>
      </c>
      <c r="F287" s="32" t="n">
        <v>3596.392</v>
      </c>
      <c r="K287" s="32" t="inlineStr">
        <is>
          <t>20250514-31</t>
        </is>
      </c>
    </row>
    <row r="288">
      <c r="A288" s="32" t="n">
        <v>21</v>
      </c>
      <c r="F288" s="32" t="n">
        <v>3827.847</v>
      </c>
      <c r="K288" s="32" t="inlineStr">
        <is>
          <t>20250514-32</t>
        </is>
      </c>
    </row>
    <row r="289">
      <c r="A289" s="32" t="n">
        <v>22</v>
      </c>
      <c r="F289" s="32" t="n">
        <v>3623.222</v>
      </c>
      <c r="K289" s="32" t="inlineStr">
        <is>
          <t>20250514-33</t>
        </is>
      </c>
    </row>
    <row r="290">
      <c r="A290" s="32" t="n">
        <v>23</v>
      </c>
      <c r="F290" s="32" t="n">
        <v>3093.041</v>
      </c>
      <c r="K290" s="32" t="inlineStr">
        <is>
          <t>20250514-34</t>
        </is>
      </c>
    </row>
    <row r="291">
      <c r="A291" s="32" t="n">
        <v>24</v>
      </c>
      <c r="K291" s="32" t="inlineStr">
        <is>
          <t>20250514-35</t>
        </is>
      </c>
    </row>
    <row r="292">
      <c r="A292" s="32" t="n">
        <v>25</v>
      </c>
      <c r="F292" s="32" t="n">
        <v>3907.045</v>
      </c>
      <c r="K292" s="32" t="inlineStr">
        <is>
          <t>20250514-36</t>
        </is>
      </c>
    </row>
    <row r="293">
      <c r="A293" s="32" t="n">
        <v>26</v>
      </c>
      <c r="F293" s="32" t="n">
        <v>3594.542</v>
      </c>
      <c r="K293" s="32" t="inlineStr">
        <is>
          <t>20250514-37</t>
        </is>
      </c>
    </row>
    <row r="294">
      <c r="A294" s="32" t="n">
        <v>27</v>
      </c>
      <c r="F294" s="32" t="n">
        <v>3586.092</v>
      </c>
      <c r="K294" s="32" t="inlineStr">
        <is>
          <t>20250514-38</t>
        </is>
      </c>
    </row>
    <row r="295">
      <c r="A295" s="32" t="n">
        <v>28</v>
      </c>
      <c r="F295" s="32" t="n">
        <v>3387.509</v>
      </c>
      <c r="K295" s="32" t="inlineStr">
        <is>
          <t>20250514-39</t>
        </is>
      </c>
    </row>
    <row r="296">
      <c r="A296" s="32" t="n">
        <v>29</v>
      </c>
      <c r="F296" s="32" t="n">
        <v>3401.243</v>
      </c>
      <c r="K296" s="32" t="inlineStr">
        <is>
          <t>20250514-40</t>
        </is>
      </c>
    </row>
    <row r="297">
      <c r="A297" s="32" t="n">
        <v>30</v>
      </c>
      <c r="F297" s="32" t="n">
        <v>3767.266</v>
      </c>
      <c r="K297" s="32" t="inlineStr">
        <is>
          <t>20250514-41</t>
        </is>
      </c>
    </row>
    <row r="298">
      <c r="A298" s="32" t="n">
        <v>31</v>
      </c>
      <c r="K298" s="32" t="inlineStr">
        <is>
          <t>20250514-42</t>
        </is>
      </c>
    </row>
    <row r="299">
      <c r="A299" s="32" t="n">
        <v>32</v>
      </c>
      <c r="F299" s="32" t="n">
        <v>3791.804</v>
      </c>
      <c r="K299" s="32" t="inlineStr">
        <is>
          <t>20250514-43</t>
        </is>
      </c>
    </row>
    <row r="300">
      <c r="A300" s="32" t="n">
        <v>33</v>
      </c>
      <c r="F300" s="32" t="n">
        <v>3719.279</v>
      </c>
      <c r="K300" s="32" t="inlineStr">
        <is>
          <t>20250514-44</t>
        </is>
      </c>
    </row>
    <row r="301">
      <c r="A301" s="32" t="n">
        <v>34</v>
      </c>
      <c r="F301" s="32" t="n">
        <v>4814.875</v>
      </c>
      <c r="K301" s="32" t="inlineStr">
        <is>
          <t>20250514-45</t>
        </is>
      </c>
    </row>
    <row r="302">
      <c r="A302" s="32" t="n">
        <v>35</v>
      </c>
      <c r="F302" s="32" t="n">
        <v>4565.734</v>
      </c>
      <c r="K302" s="32" t="inlineStr">
        <is>
          <t>20250514-46</t>
        </is>
      </c>
    </row>
    <row r="303">
      <c r="A303" s="32" t="n">
        <v>36</v>
      </c>
      <c r="F303" s="32" t="n">
        <v>4775.06</v>
      </c>
      <c r="K303" s="32" t="inlineStr">
        <is>
          <t>20250514-47</t>
        </is>
      </c>
    </row>
    <row r="304">
      <c r="A304" s="32" t="n">
        <v>37</v>
      </c>
      <c r="F304" s="32" t="n">
        <v>4192.287</v>
      </c>
      <c r="K304" s="32" t="inlineStr">
        <is>
          <t>20250514-48</t>
        </is>
      </c>
    </row>
    <row r="305">
      <c r="A305" s="32" t="n">
        <v>38</v>
      </c>
      <c r="K305" s="32" t="inlineStr">
        <is>
          <t>20250514-49</t>
        </is>
      </c>
    </row>
    <row r="306">
      <c r="A306" s="32" t="n">
        <v>39</v>
      </c>
      <c r="F306" s="32" t="n">
        <v>3883.396</v>
      </c>
      <c r="K306" s="32" t="inlineStr">
        <is>
          <t>20250514-50</t>
        </is>
      </c>
    </row>
    <row r="307">
      <c r="A307" s="32" t="n">
        <v>40</v>
      </c>
      <c r="F307" s="32" t="n">
        <v>4786.087</v>
      </c>
      <c r="K307" s="32" t="inlineStr">
        <is>
          <t>20250514-51</t>
        </is>
      </c>
    </row>
    <row r="308">
      <c r="A308" s="32" t="n">
        <v>41</v>
      </c>
      <c r="F308" s="32" t="n">
        <v>5066.448</v>
      </c>
      <c r="K308" s="32" t="inlineStr">
        <is>
          <t>20250514-52</t>
        </is>
      </c>
    </row>
    <row r="309">
      <c r="A309" s="32" t="n">
        <v>42</v>
      </c>
      <c r="F309" s="32" t="n">
        <v>5114.056</v>
      </c>
      <c r="K309" s="32" t="inlineStr">
        <is>
          <t>20250514-53</t>
        </is>
      </c>
    </row>
    <row r="310">
      <c r="A310" s="32" t="n">
        <v>43</v>
      </c>
      <c r="F310" s="32" t="n">
        <v>4902.364</v>
      </c>
      <c r="K310" s="32" t="inlineStr">
        <is>
          <t>20250514-54</t>
        </is>
      </c>
    </row>
    <row r="311">
      <c r="A311" s="32" t="n">
        <v>44</v>
      </c>
      <c r="F311" s="32" t="n">
        <v>5366.199</v>
      </c>
      <c r="K311" s="32" t="inlineStr">
        <is>
          <t>20250514-55</t>
        </is>
      </c>
    </row>
    <row r="312">
      <c r="A312" s="32" t="n">
        <v>45</v>
      </c>
      <c r="K312" s="32" t="inlineStr">
        <is>
          <t>20250514-56</t>
        </is>
      </c>
    </row>
    <row r="313">
      <c r="A313" s="32" t="n">
        <v>46</v>
      </c>
      <c r="F313" s="32" t="n">
        <v>5428.197</v>
      </c>
      <c r="K313" s="32" t="inlineStr">
        <is>
          <t>20250514-57</t>
        </is>
      </c>
    </row>
    <row r="314">
      <c r="A314" s="32" t="n">
        <v>47</v>
      </c>
      <c r="F314" s="32" t="n">
        <v>4501.771</v>
      </c>
      <c r="K314" s="32" t="inlineStr">
        <is>
          <t>20250514-58</t>
        </is>
      </c>
    </row>
    <row r="315">
      <c r="A315" s="32" t="n">
        <v>48</v>
      </c>
      <c r="F315" s="32" t="n">
        <v>4806.024</v>
      </c>
      <c r="K315" s="32" t="inlineStr">
        <is>
          <t>20250514-59</t>
        </is>
      </c>
    </row>
    <row r="317">
      <c r="A317" s="32" t="inlineStr">
        <is>
          <t>Compound 7:  m4 PFBA 1</t>
        </is>
      </c>
    </row>
    <row r="319">
      <c r="B319" s="32" t="inlineStr">
        <is>
          <t>Sample Text</t>
        </is>
      </c>
      <c r="C319" s="32" t="inlineStr">
        <is>
          <t>Std. Conc</t>
        </is>
      </c>
      <c r="D319" s="32" t="inlineStr">
        <is>
          <t>RT</t>
        </is>
      </c>
      <c r="E319" s="32" t="inlineStr">
        <is>
          <t>Area</t>
        </is>
      </c>
      <c r="F319" s="32" t="inlineStr">
        <is>
          <t>IS Area</t>
        </is>
      </c>
      <c r="G319" s="32" t="inlineStr">
        <is>
          <t>S/N</t>
        </is>
      </c>
      <c r="H319" s="32" t="inlineStr">
        <is>
          <t>Primary Flags</t>
        </is>
      </c>
      <c r="I319" s="32" t="inlineStr">
        <is>
          <t>Response</t>
        </is>
      </c>
      <c r="J319" s="32" t="inlineStr">
        <is>
          <t>Conc.</t>
        </is>
      </c>
      <c r="K319" s="32" t="inlineStr">
        <is>
          <t>Name</t>
        </is>
      </c>
    </row>
    <row r="320">
      <c r="A320" s="32" t="n">
        <v>1</v>
      </c>
      <c r="B320" s="32" t="inlineStr">
        <is>
          <t>EPA1633 &amp; diPAPs Calibration 0 ppb</t>
        </is>
      </c>
      <c r="D320" s="32" t="n">
        <v>2.69</v>
      </c>
      <c r="E320" s="32" t="n">
        <v>7551.013</v>
      </c>
      <c r="G320" s="32" t="n">
        <v>6454.153</v>
      </c>
      <c r="H320" s="32" t="inlineStr">
        <is>
          <t>MM</t>
        </is>
      </c>
      <c r="I320" s="32" t="n">
        <v>7551.013</v>
      </c>
      <c r="K320" s="32" t="inlineStr">
        <is>
          <t>20250514-12</t>
        </is>
      </c>
    </row>
    <row r="321">
      <c r="A321" s="32" t="n">
        <v>2</v>
      </c>
      <c r="B321" s="32" t="inlineStr">
        <is>
          <t>EPA1633 &amp; diPAPs Calibration 0.02 ppb</t>
        </is>
      </c>
      <c r="D321" s="32" t="n">
        <v>2.75</v>
      </c>
      <c r="E321" s="32" t="n">
        <v>6696.725</v>
      </c>
      <c r="G321" s="32" t="n">
        <v>4577.277</v>
      </c>
      <c r="H321" s="32" t="inlineStr">
        <is>
          <t>MM</t>
        </is>
      </c>
      <c r="I321" s="32" t="n">
        <v>6696.725</v>
      </c>
      <c r="K321" s="32" t="inlineStr">
        <is>
          <t>20250514-13</t>
        </is>
      </c>
    </row>
    <row r="322">
      <c r="A322" s="32" t="n">
        <v>3</v>
      </c>
      <c r="B322" s="32" t="inlineStr">
        <is>
          <t>EPA1633 &amp; diPAPs Calibration 0.1 ppb</t>
        </is>
      </c>
      <c r="D322" s="32" t="n">
        <v>2.74</v>
      </c>
      <c r="E322" s="32" t="n">
        <v>7209.583</v>
      </c>
      <c r="G322" s="32" t="n">
        <v>5993.614</v>
      </c>
      <c r="H322" s="32" t="inlineStr">
        <is>
          <t>MM</t>
        </is>
      </c>
      <c r="I322" s="32" t="n">
        <v>7209.583</v>
      </c>
      <c r="K322" s="32" t="inlineStr">
        <is>
          <t>20250514-14</t>
        </is>
      </c>
    </row>
    <row r="323">
      <c r="A323" s="32" t="n">
        <v>4</v>
      </c>
      <c r="B323" s="32" t="inlineStr">
        <is>
          <t>EPA1633 &amp; diPAPs Calibration 0.4 ppb</t>
        </is>
      </c>
      <c r="D323" s="32" t="n">
        <v>2.75</v>
      </c>
      <c r="E323" s="32" t="n">
        <v>7013.762</v>
      </c>
      <c r="G323" s="32" t="n">
        <v>342.826</v>
      </c>
      <c r="H323" s="32" t="inlineStr">
        <is>
          <t>MM</t>
        </is>
      </c>
      <c r="I323" s="32" t="n">
        <v>7013.762</v>
      </c>
      <c r="K323" s="32" t="inlineStr">
        <is>
          <t>20250514-15</t>
        </is>
      </c>
    </row>
    <row r="324">
      <c r="A324" s="32" t="n">
        <v>5</v>
      </c>
      <c r="B324" s="32" t="inlineStr">
        <is>
          <t>EPA1633 &amp; diPAPs Calibration 1 ppb</t>
        </is>
      </c>
      <c r="D324" s="32" t="n">
        <v>2.76</v>
      </c>
      <c r="E324" s="32" t="n">
        <v>8048.652</v>
      </c>
      <c r="G324" s="32" t="n">
        <v>4974.537</v>
      </c>
      <c r="H324" s="32" t="inlineStr">
        <is>
          <t>MM</t>
        </is>
      </c>
      <c r="I324" s="32" t="n">
        <v>8048.652</v>
      </c>
      <c r="K324" s="32" t="inlineStr">
        <is>
          <t>20250514-16</t>
        </is>
      </c>
    </row>
    <row r="325">
      <c r="A325" s="32" t="n">
        <v>6</v>
      </c>
      <c r="B325" s="32" t="inlineStr">
        <is>
          <t>EPA1633 &amp; diPAPs Calibration 5 ppb</t>
        </is>
      </c>
      <c r="D325" s="32" t="n">
        <v>2.62</v>
      </c>
      <c r="E325" s="32" t="n">
        <v>7211.955</v>
      </c>
      <c r="G325" s="32" t="n">
        <v>3210.541</v>
      </c>
      <c r="H325" s="32" t="inlineStr">
        <is>
          <t>MM</t>
        </is>
      </c>
      <c r="I325" s="32" t="n">
        <v>7211.955</v>
      </c>
      <c r="K325" s="32" t="inlineStr">
        <is>
          <t>20250514-17</t>
        </is>
      </c>
    </row>
    <row r="326">
      <c r="A326" s="32" t="n">
        <v>7</v>
      </c>
      <c r="B326" s="32" t="inlineStr">
        <is>
          <t>EPA1633 &amp; diPAPs Calibration 10 ppb</t>
        </is>
      </c>
      <c r="D326" s="32" t="n">
        <v>2.66</v>
      </c>
      <c r="E326" s="32" t="n">
        <v>5686.902</v>
      </c>
      <c r="G326" s="32" t="n">
        <v>472.826</v>
      </c>
      <c r="H326" s="32" t="inlineStr">
        <is>
          <t>MM</t>
        </is>
      </c>
      <c r="I326" s="32" t="n">
        <v>5686.902</v>
      </c>
      <c r="K326" s="32" t="inlineStr">
        <is>
          <t>20250514-18</t>
        </is>
      </c>
    </row>
    <row r="327">
      <c r="A327" s="32" t="n">
        <v>8</v>
      </c>
      <c r="B327" s="32" t="inlineStr">
        <is>
          <t>EPA1633 &amp; diPAPs Calibration 20 ppb</t>
        </is>
      </c>
      <c r="D327" s="32" t="n">
        <v>2.7</v>
      </c>
      <c r="E327" s="32" t="n">
        <v>6179.103</v>
      </c>
      <c r="G327" s="32" t="n">
        <v>1188.897</v>
      </c>
      <c r="H327" s="32" t="inlineStr">
        <is>
          <t>MM</t>
        </is>
      </c>
      <c r="I327" s="32" t="n">
        <v>6179.103</v>
      </c>
      <c r="K327" s="32" t="inlineStr">
        <is>
          <t>20250514-19</t>
        </is>
      </c>
    </row>
    <row r="328">
      <c r="A328" s="32" t="n">
        <v>9</v>
      </c>
      <c r="B328" s="32" t="inlineStr">
        <is>
          <t>MeOH</t>
        </is>
      </c>
      <c r="K328" s="32" t="inlineStr">
        <is>
          <t>20250514-20</t>
        </is>
      </c>
    </row>
    <row r="329">
      <c r="A329" s="32" t="n">
        <v>10</v>
      </c>
      <c r="B329" s="32" t="inlineStr">
        <is>
          <t>MeOH</t>
        </is>
      </c>
      <c r="K329" s="32" t="inlineStr">
        <is>
          <t>20250514-21</t>
        </is>
      </c>
    </row>
    <row r="330">
      <c r="A330" s="32" t="n">
        <v>11</v>
      </c>
      <c r="B330" s="32" t="inlineStr">
        <is>
          <t>SB1</t>
        </is>
      </c>
      <c r="D330" s="32" t="n">
        <v>2.95</v>
      </c>
      <c r="E330" s="32" t="n">
        <v>3649.542</v>
      </c>
      <c r="G330" s="32" t="n">
        <v>805.299</v>
      </c>
      <c r="H330" s="32" t="inlineStr">
        <is>
          <t>MM</t>
        </is>
      </c>
      <c r="I330" s="32" t="n">
        <v>3649.542</v>
      </c>
      <c r="K330" s="32" t="inlineStr">
        <is>
          <t>20250514-22</t>
        </is>
      </c>
    </row>
    <row r="331">
      <c r="A331" s="32" t="n">
        <v>12</v>
      </c>
      <c r="B331" s="32" t="inlineStr">
        <is>
          <t>SB2</t>
        </is>
      </c>
      <c r="D331" s="32" t="n">
        <v>2.93</v>
      </c>
      <c r="E331" s="32" t="n">
        <v>3370.738</v>
      </c>
      <c r="G331" s="32" t="n">
        <v>219.168</v>
      </c>
      <c r="H331" s="32" t="inlineStr">
        <is>
          <t>MM</t>
        </is>
      </c>
      <c r="I331" s="32" t="n">
        <v>3370.738</v>
      </c>
      <c r="K331" s="32" t="inlineStr">
        <is>
          <t>20250514-23</t>
        </is>
      </c>
    </row>
    <row r="332">
      <c r="A332" s="32" t="n">
        <v>13</v>
      </c>
      <c r="B332" s="32" t="inlineStr">
        <is>
          <t>SB3</t>
        </is>
      </c>
      <c r="D332" s="32" t="n">
        <v>2.95</v>
      </c>
      <c r="E332" s="32" t="n">
        <v>3095.617</v>
      </c>
      <c r="G332" s="32" t="n">
        <v>711.597</v>
      </c>
      <c r="H332" s="32" t="inlineStr">
        <is>
          <t>MM</t>
        </is>
      </c>
      <c r="I332" s="32" t="n">
        <v>3095.617</v>
      </c>
      <c r="K332" s="32" t="inlineStr">
        <is>
          <t>20250514-24</t>
        </is>
      </c>
    </row>
    <row r="333">
      <c r="A333" s="32" t="n">
        <v>14</v>
      </c>
      <c r="B333" s="32" t="inlineStr">
        <is>
          <t>SS1</t>
        </is>
      </c>
      <c r="D333" s="32" t="n">
        <v>2.99</v>
      </c>
      <c r="E333" s="32" t="n">
        <v>3490.645</v>
      </c>
      <c r="G333" s="32" t="n">
        <v>6686.16</v>
      </c>
      <c r="H333" s="32" t="inlineStr">
        <is>
          <t>MM</t>
        </is>
      </c>
      <c r="I333" s="32" t="n">
        <v>3490.645</v>
      </c>
      <c r="K333" s="32" t="inlineStr">
        <is>
          <t>20250514-25</t>
        </is>
      </c>
    </row>
    <row r="334">
      <c r="A334" s="32" t="n">
        <v>15</v>
      </c>
      <c r="B334" s="32" t="inlineStr">
        <is>
          <t>SS2</t>
        </is>
      </c>
      <c r="D334" s="32" t="n">
        <v>3.01</v>
      </c>
      <c r="E334" s="32" t="n">
        <v>3699.493</v>
      </c>
      <c r="G334" s="32" t="n">
        <v>1192.322</v>
      </c>
      <c r="H334" s="32" t="inlineStr">
        <is>
          <t>MM</t>
        </is>
      </c>
      <c r="I334" s="32" t="n">
        <v>3699.493</v>
      </c>
      <c r="K334" s="32" t="inlineStr">
        <is>
          <t>20250514-26</t>
        </is>
      </c>
    </row>
    <row r="335">
      <c r="A335" s="32" t="n">
        <v>16</v>
      </c>
      <c r="B335" s="32" t="inlineStr">
        <is>
          <t>SS3</t>
        </is>
      </c>
      <c r="D335" s="32" t="n">
        <v>3</v>
      </c>
      <c r="E335" s="32" t="n">
        <v>3352.055</v>
      </c>
      <c r="G335" s="32" t="n">
        <v>402.704</v>
      </c>
      <c r="H335" s="32" t="inlineStr">
        <is>
          <t>MM</t>
        </is>
      </c>
      <c r="I335" s="32" t="n">
        <v>3352.055</v>
      </c>
      <c r="K335" s="32" t="inlineStr">
        <is>
          <t>20250514-27</t>
        </is>
      </c>
    </row>
    <row r="336">
      <c r="A336" s="32" t="n">
        <v>17</v>
      </c>
      <c r="B336" s="32" t="inlineStr">
        <is>
          <t>MeOH</t>
        </is>
      </c>
      <c r="K336" s="32" t="inlineStr">
        <is>
          <t>20250514-28</t>
        </is>
      </c>
    </row>
    <row r="337">
      <c r="A337" s="32" t="n">
        <v>18</v>
      </c>
      <c r="B337" s="32" t="inlineStr">
        <is>
          <t>K4-1A</t>
        </is>
      </c>
      <c r="D337" s="32" t="n">
        <v>2.99</v>
      </c>
      <c r="E337" s="32" t="n">
        <v>3889.819</v>
      </c>
      <c r="G337" s="32" t="n">
        <v>1249.264</v>
      </c>
      <c r="H337" s="32" t="inlineStr">
        <is>
          <t>MM</t>
        </is>
      </c>
      <c r="I337" s="32" t="n">
        <v>3889.819</v>
      </c>
      <c r="K337" s="32" t="inlineStr">
        <is>
          <t>20250514-29</t>
        </is>
      </c>
    </row>
    <row r="338">
      <c r="A338" s="32" t="n">
        <v>19</v>
      </c>
      <c r="B338" s="32" t="inlineStr">
        <is>
          <t>K4-1B</t>
        </is>
      </c>
      <c r="D338" s="32" t="n">
        <v>2.96</v>
      </c>
      <c r="E338" s="32" t="n">
        <v>3657.858</v>
      </c>
      <c r="G338" s="32" t="n">
        <v>898.871</v>
      </c>
      <c r="H338" s="32" t="inlineStr">
        <is>
          <t>MM</t>
        </is>
      </c>
      <c r="I338" s="32" t="n">
        <v>3657.858</v>
      </c>
      <c r="K338" s="32" t="inlineStr">
        <is>
          <t>20250514-30</t>
        </is>
      </c>
    </row>
    <row r="339">
      <c r="A339" s="32" t="n">
        <v>20</v>
      </c>
      <c r="B339" s="32" t="inlineStr">
        <is>
          <t>K4-1C</t>
        </is>
      </c>
      <c r="D339" s="32" t="n">
        <v>2.99</v>
      </c>
      <c r="E339" s="32" t="n">
        <v>3596.392</v>
      </c>
      <c r="G339" s="32" t="n">
        <v>703.165</v>
      </c>
      <c r="H339" s="32" t="inlineStr">
        <is>
          <t>MM</t>
        </is>
      </c>
      <c r="I339" s="32" t="n">
        <v>3596.392</v>
      </c>
      <c r="K339" s="32" t="inlineStr">
        <is>
          <t>20250514-31</t>
        </is>
      </c>
    </row>
    <row r="340">
      <c r="A340" s="32" t="n">
        <v>21</v>
      </c>
      <c r="B340" s="32" t="inlineStr">
        <is>
          <t>K4-2A</t>
        </is>
      </c>
      <c r="D340" s="32" t="n">
        <v>3</v>
      </c>
      <c r="E340" s="32" t="n">
        <v>3827.847</v>
      </c>
      <c r="G340" s="32" t="n">
        <v>1251.309</v>
      </c>
      <c r="H340" s="32" t="inlineStr">
        <is>
          <t>MM</t>
        </is>
      </c>
      <c r="I340" s="32" t="n">
        <v>3827.847</v>
      </c>
      <c r="K340" s="32" t="inlineStr">
        <is>
          <t>20250514-32</t>
        </is>
      </c>
    </row>
    <row r="341">
      <c r="A341" s="32" t="n">
        <v>22</v>
      </c>
      <c r="B341" s="32" t="inlineStr">
        <is>
          <t>K4-2B</t>
        </is>
      </c>
      <c r="D341" s="32" t="n">
        <v>3</v>
      </c>
      <c r="E341" s="32" t="n">
        <v>3623.222</v>
      </c>
      <c r="G341" s="32" t="n">
        <v>3861.498</v>
      </c>
      <c r="H341" s="32" t="inlineStr">
        <is>
          <t>MM</t>
        </is>
      </c>
      <c r="I341" s="32" t="n">
        <v>3623.222</v>
      </c>
      <c r="K341" s="32" t="inlineStr">
        <is>
          <t>20250514-33</t>
        </is>
      </c>
    </row>
    <row r="342">
      <c r="A342" s="32" t="n">
        <v>23</v>
      </c>
      <c r="B342" s="32" t="inlineStr">
        <is>
          <t>K4-2C</t>
        </is>
      </c>
      <c r="D342" s="32" t="n">
        <v>2.99</v>
      </c>
      <c r="E342" s="32" t="n">
        <v>3093.041</v>
      </c>
      <c r="G342" s="32" t="n">
        <v>2435.425</v>
      </c>
      <c r="H342" s="32" t="inlineStr">
        <is>
          <t>MM</t>
        </is>
      </c>
      <c r="I342" s="32" t="n">
        <v>3093.041</v>
      </c>
      <c r="K342" s="32" t="inlineStr">
        <is>
          <t>20250514-34</t>
        </is>
      </c>
    </row>
    <row r="343">
      <c r="A343" s="32" t="n">
        <v>24</v>
      </c>
      <c r="B343" s="32" t="inlineStr">
        <is>
          <t>MeOH</t>
        </is>
      </c>
      <c r="K343" s="32" t="inlineStr">
        <is>
          <t>20250514-35</t>
        </is>
      </c>
    </row>
    <row r="344">
      <c r="A344" s="32" t="n">
        <v>25</v>
      </c>
      <c r="B344" s="32" t="inlineStr">
        <is>
          <t>K4-4A</t>
        </is>
      </c>
      <c r="D344" s="32" t="n">
        <v>3.02</v>
      </c>
      <c r="E344" s="32" t="n">
        <v>3907.045</v>
      </c>
      <c r="G344" s="32" t="n">
        <v>4002.525</v>
      </c>
      <c r="H344" s="32" t="inlineStr">
        <is>
          <t>MM</t>
        </is>
      </c>
      <c r="I344" s="32" t="n">
        <v>3907.045</v>
      </c>
      <c r="K344" s="32" t="inlineStr">
        <is>
          <t>20250514-36</t>
        </is>
      </c>
    </row>
    <row r="345">
      <c r="A345" s="32" t="n">
        <v>26</v>
      </c>
      <c r="B345" s="32" t="inlineStr">
        <is>
          <t>K4-4B</t>
        </is>
      </c>
      <c r="D345" s="32" t="n">
        <v>3</v>
      </c>
      <c r="E345" s="32" t="n">
        <v>3594.542</v>
      </c>
      <c r="G345" s="32" t="n">
        <v>342.742</v>
      </c>
      <c r="H345" s="32" t="inlineStr">
        <is>
          <t>MM</t>
        </is>
      </c>
      <c r="I345" s="32" t="n">
        <v>3594.542</v>
      </c>
      <c r="K345" s="32" t="inlineStr">
        <is>
          <t>20250514-37</t>
        </is>
      </c>
    </row>
    <row r="346">
      <c r="A346" s="32" t="n">
        <v>27</v>
      </c>
      <c r="B346" s="32" t="inlineStr">
        <is>
          <t>K4-4C</t>
        </is>
      </c>
      <c r="D346" s="32" t="n">
        <v>3.01</v>
      </c>
      <c r="E346" s="32" t="n">
        <v>3586.092</v>
      </c>
      <c r="G346" s="32" t="n">
        <v>1232.479</v>
      </c>
      <c r="H346" s="32" t="inlineStr">
        <is>
          <t>MM</t>
        </is>
      </c>
      <c r="I346" s="32" t="n">
        <v>3586.092</v>
      </c>
      <c r="K346" s="32" t="inlineStr">
        <is>
          <t>20250514-38</t>
        </is>
      </c>
    </row>
    <row r="347">
      <c r="A347" s="32" t="n">
        <v>28</v>
      </c>
      <c r="B347" s="32" t="inlineStr">
        <is>
          <t>K4-5A</t>
        </is>
      </c>
      <c r="D347" s="32" t="n">
        <v>2.98</v>
      </c>
      <c r="E347" s="32" t="n">
        <v>3387.509</v>
      </c>
      <c r="G347" s="32" t="n">
        <v>484.88</v>
      </c>
      <c r="H347" s="32" t="inlineStr">
        <is>
          <t>MM</t>
        </is>
      </c>
      <c r="I347" s="32" t="n">
        <v>3387.509</v>
      </c>
      <c r="K347" s="32" t="inlineStr">
        <is>
          <t>20250514-39</t>
        </is>
      </c>
    </row>
    <row r="348">
      <c r="A348" s="32" t="n">
        <v>29</v>
      </c>
      <c r="B348" s="32" t="inlineStr">
        <is>
          <t>K4-5B</t>
        </is>
      </c>
      <c r="D348" s="32" t="n">
        <v>2.94</v>
      </c>
      <c r="E348" s="32" t="n">
        <v>3401.243</v>
      </c>
      <c r="G348" s="32" t="n">
        <v>1532.392</v>
      </c>
      <c r="H348" s="32" t="inlineStr">
        <is>
          <t>MM</t>
        </is>
      </c>
      <c r="I348" s="32" t="n">
        <v>3401.243</v>
      </c>
      <c r="K348" s="32" t="inlineStr">
        <is>
          <t>20250514-40</t>
        </is>
      </c>
    </row>
    <row r="349">
      <c r="A349" s="32" t="n">
        <v>30</v>
      </c>
      <c r="B349" s="32" t="inlineStr">
        <is>
          <t>K4-5C</t>
        </is>
      </c>
      <c r="D349" s="32" t="n">
        <v>2.92</v>
      </c>
      <c r="E349" s="32" t="n">
        <v>3767.266</v>
      </c>
      <c r="G349" s="32" t="n">
        <v>1967.225</v>
      </c>
      <c r="H349" s="32" t="inlineStr">
        <is>
          <t>MM</t>
        </is>
      </c>
      <c r="I349" s="32" t="n">
        <v>3767.266</v>
      </c>
      <c r="K349" s="32" t="inlineStr">
        <is>
          <t>20250514-41</t>
        </is>
      </c>
    </row>
    <row r="350">
      <c r="A350" s="32" t="n">
        <v>31</v>
      </c>
      <c r="B350" s="32" t="inlineStr">
        <is>
          <t>MeOH</t>
        </is>
      </c>
      <c r="K350" s="32" t="inlineStr">
        <is>
          <t>20250514-42</t>
        </is>
      </c>
    </row>
    <row r="351">
      <c r="A351" s="32" t="n">
        <v>32</v>
      </c>
      <c r="B351" s="32" t="inlineStr">
        <is>
          <t>K3-1A</t>
        </is>
      </c>
      <c r="D351" s="32" t="n">
        <v>2.8</v>
      </c>
      <c r="E351" s="32" t="n">
        <v>3791.804</v>
      </c>
      <c r="G351" s="32" t="n">
        <v>1598.871</v>
      </c>
      <c r="H351" s="32" t="inlineStr">
        <is>
          <t>MM</t>
        </is>
      </c>
      <c r="I351" s="32" t="n">
        <v>3791.804</v>
      </c>
      <c r="K351" s="32" t="inlineStr">
        <is>
          <t>20250514-43</t>
        </is>
      </c>
    </row>
    <row r="352">
      <c r="A352" s="32" t="n">
        <v>33</v>
      </c>
      <c r="B352" s="32" t="inlineStr">
        <is>
          <t>K3-1B</t>
        </is>
      </c>
      <c r="D352" s="32" t="n">
        <v>2.84</v>
      </c>
      <c r="E352" s="32" t="n">
        <v>3719.279</v>
      </c>
      <c r="G352" s="32" t="n">
        <v>7976.564</v>
      </c>
      <c r="H352" s="32" t="inlineStr">
        <is>
          <t>MM</t>
        </is>
      </c>
      <c r="I352" s="32" t="n">
        <v>3719.279</v>
      </c>
      <c r="K352" s="32" t="inlineStr">
        <is>
          <t>20250514-44</t>
        </is>
      </c>
    </row>
    <row r="353">
      <c r="A353" s="32" t="n">
        <v>34</v>
      </c>
      <c r="B353" s="32" t="inlineStr">
        <is>
          <t>K3-1C</t>
        </is>
      </c>
      <c r="D353" s="32" t="n">
        <v>2.88</v>
      </c>
      <c r="E353" s="32" t="n">
        <v>4814.875</v>
      </c>
      <c r="G353" s="32" t="n">
        <v>1582.109</v>
      </c>
      <c r="H353" s="32" t="inlineStr">
        <is>
          <t>MM</t>
        </is>
      </c>
      <c r="I353" s="32" t="n">
        <v>4814.875</v>
      </c>
      <c r="K353" s="32" t="inlineStr">
        <is>
          <t>20250514-45</t>
        </is>
      </c>
    </row>
    <row r="354">
      <c r="A354" s="32" t="n">
        <v>35</v>
      </c>
      <c r="B354" s="32" t="inlineStr">
        <is>
          <t>K3-2A</t>
        </is>
      </c>
      <c r="D354" s="32" t="n">
        <v>2.9</v>
      </c>
      <c r="E354" s="32" t="n">
        <v>4565.734</v>
      </c>
      <c r="G354" s="32" t="n">
        <v>2638.555</v>
      </c>
      <c r="H354" s="32" t="inlineStr">
        <is>
          <t>MM</t>
        </is>
      </c>
      <c r="I354" s="32" t="n">
        <v>4565.734</v>
      </c>
      <c r="K354" s="32" t="inlineStr">
        <is>
          <t>20250514-46</t>
        </is>
      </c>
    </row>
    <row r="355">
      <c r="A355" s="32" t="n">
        <v>36</v>
      </c>
      <c r="B355" s="32" t="inlineStr">
        <is>
          <t>K3-2B</t>
        </is>
      </c>
      <c r="D355" s="32" t="n">
        <v>2.92</v>
      </c>
      <c r="E355" s="32" t="n">
        <v>4775.06</v>
      </c>
      <c r="G355" s="32" t="n">
        <v>1511.007</v>
      </c>
      <c r="H355" s="32" t="inlineStr">
        <is>
          <t>MM</t>
        </is>
      </c>
      <c r="I355" s="32" t="n">
        <v>4775.06</v>
      </c>
      <c r="K355" s="32" t="inlineStr">
        <is>
          <t>20250514-47</t>
        </is>
      </c>
    </row>
    <row r="356">
      <c r="A356" s="32" t="n">
        <v>37</v>
      </c>
      <c r="B356" s="32" t="inlineStr">
        <is>
          <t>K3-2C</t>
        </is>
      </c>
      <c r="D356" s="32" t="n">
        <v>2.92</v>
      </c>
      <c r="E356" s="32" t="n">
        <v>4192.287</v>
      </c>
      <c r="G356" s="32" t="n">
        <v>974.114</v>
      </c>
      <c r="H356" s="32" t="inlineStr">
        <is>
          <t>MM</t>
        </is>
      </c>
      <c r="I356" s="32" t="n">
        <v>4192.287</v>
      </c>
      <c r="K356" s="32" t="inlineStr">
        <is>
          <t>20250514-48</t>
        </is>
      </c>
    </row>
    <row r="357">
      <c r="A357" s="32" t="n">
        <v>38</v>
      </c>
      <c r="B357" s="32" t="inlineStr">
        <is>
          <t>MeOH</t>
        </is>
      </c>
      <c r="K357" s="32" t="inlineStr">
        <is>
          <t>20250514-49</t>
        </is>
      </c>
    </row>
    <row r="358">
      <c r="A358" s="32" t="n">
        <v>39</v>
      </c>
      <c r="B358" s="32" t="inlineStr">
        <is>
          <t>K3-3A</t>
        </is>
      </c>
      <c r="D358" s="32" t="n">
        <v>2.93</v>
      </c>
      <c r="E358" s="32" t="n">
        <v>3883.396</v>
      </c>
      <c r="G358" s="32" t="n">
        <v>2126.862</v>
      </c>
      <c r="H358" s="32" t="inlineStr">
        <is>
          <t>MM</t>
        </is>
      </c>
      <c r="I358" s="32" t="n">
        <v>3883.396</v>
      </c>
      <c r="K358" s="32" t="inlineStr">
        <is>
          <t>20250514-50</t>
        </is>
      </c>
    </row>
    <row r="359">
      <c r="A359" s="32" t="n">
        <v>40</v>
      </c>
      <c r="B359" s="32" t="inlineStr">
        <is>
          <t>K3-3B</t>
        </is>
      </c>
      <c r="D359" s="32" t="n">
        <v>2.93</v>
      </c>
      <c r="E359" s="32" t="n">
        <v>4786.087</v>
      </c>
      <c r="G359" s="32" t="n">
        <v>4222.905</v>
      </c>
      <c r="H359" s="32" t="inlineStr">
        <is>
          <t>MM</t>
        </is>
      </c>
      <c r="I359" s="32" t="n">
        <v>4786.087</v>
      </c>
      <c r="K359" s="32" t="inlineStr">
        <is>
          <t>20250514-51</t>
        </is>
      </c>
    </row>
    <row r="360">
      <c r="A360" s="32" t="n">
        <v>41</v>
      </c>
      <c r="B360" s="32" t="inlineStr">
        <is>
          <t>K3-3C</t>
        </is>
      </c>
      <c r="D360" s="32" t="n">
        <v>2.95</v>
      </c>
      <c r="E360" s="32" t="n">
        <v>5066.448</v>
      </c>
      <c r="G360" s="32" t="n">
        <v>1927.121</v>
      </c>
      <c r="H360" s="32" t="inlineStr">
        <is>
          <t>MM</t>
        </is>
      </c>
      <c r="I360" s="32" t="n">
        <v>5066.448</v>
      </c>
      <c r="K360" s="32" t="inlineStr">
        <is>
          <t>20250514-52</t>
        </is>
      </c>
    </row>
    <row r="361">
      <c r="A361" s="32" t="n">
        <v>42</v>
      </c>
      <c r="B361" s="32" t="inlineStr">
        <is>
          <t>K3-4A</t>
        </is>
      </c>
      <c r="D361" s="32" t="n">
        <v>2.95</v>
      </c>
      <c r="E361" s="32" t="n">
        <v>5114.056</v>
      </c>
      <c r="G361" s="32" t="n">
        <v>2018.138</v>
      </c>
      <c r="H361" s="32" t="inlineStr">
        <is>
          <t>MM</t>
        </is>
      </c>
      <c r="I361" s="32" t="n">
        <v>5114.056</v>
      </c>
      <c r="K361" s="32" t="inlineStr">
        <is>
          <t>20250514-53</t>
        </is>
      </c>
    </row>
    <row r="362">
      <c r="A362" s="32" t="n">
        <v>43</v>
      </c>
      <c r="B362" s="32" t="inlineStr">
        <is>
          <t>K3-4B</t>
        </is>
      </c>
      <c r="D362" s="32" t="n">
        <v>2.94</v>
      </c>
      <c r="E362" s="32" t="n">
        <v>4902.364</v>
      </c>
      <c r="G362" s="32" t="n">
        <v>5948.335</v>
      </c>
      <c r="H362" s="32" t="inlineStr">
        <is>
          <t>MM</t>
        </is>
      </c>
      <c r="I362" s="32" t="n">
        <v>4902.364</v>
      </c>
      <c r="K362" s="32" t="inlineStr">
        <is>
          <t>20250514-54</t>
        </is>
      </c>
    </row>
    <row r="363">
      <c r="A363" s="32" t="n">
        <v>44</v>
      </c>
      <c r="B363" s="32" t="inlineStr">
        <is>
          <t>K3-4C</t>
        </is>
      </c>
      <c r="D363" s="32" t="n">
        <v>2.98</v>
      </c>
      <c r="E363" s="32" t="n">
        <v>5366.199</v>
      </c>
      <c r="G363" s="32" t="n">
        <v>1942.349</v>
      </c>
      <c r="H363" s="32" t="inlineStr">
        <is>
          <t>MM</t>
        </is>
      </c>
      <c r="I363" s="32" t="n">
        <v>5366.199</v>
      </c>
      <c r="K363" s="32" t="inlineStr">
        <is>
          <t>20250514-55</t>
        </is>
      </c>
    </row>
    <row r="364">
      <c r="A364" s="32" t="n">
        <v>45</v>
      </c>
      <c r="B364" s="32" t="inlineStr">
        <is>
          <t>MeOH</t>
        </is>
      </c>
      <c r="K364" s="32" t="inlineStr">
        <is>
          <t>20250514-56</t>
        </is>
      </c>
    </row>
    <row r="365">
      <c r="A365" s="32" t="n">
        <v>46</v>
      </c>
      <c r="B365" s="32" t="inlineStr">
        <is>
          <t>K3-6A</t>
        </is>
      </c>
      <c r="D365" s="32" t="n">
        <v>3.03</v>
      </c>
      <c r="E365" s="32" t="n">
        <v>5428.197</v>
      </c>
      <c r="G365" s="32" t="n">
        <v>983.095</v>
      </c>
      <c r="H365" s="32" t="inlineStr">
        <is>
          <t>MM</t>
        </is>
      </c>
      <c r="I365" s="32" t="n">
        <v>5428.197</v>
      </c>
      <c r="K365" s="32" t="inlineStr">
        <is>
          <t>20250514-57</t>
        </is>
      </c>
    </row>
    <row r="366">
      <c r="A366" s="32" t="n">
        <v>47</v>
      </c>
      <c r="B366" s="32" t="inlineStr">
        <is>
          <t>K3-6B</t>
        </is>
      </c>
      <c r="D366" s="32" t="n">
        <v>3</v>
      </c>
      <c r="E366" s="32" t="n">
        <v>4501.771</v>
      </c>
      <c r="G366" s="32" t="n">
        <v>2260.343</v>
      </c>
      <c r="H366" s="32" t="inlineStr">
        <is>
          <t>MM</t>
        </is>
      </c>
      <c r="I366" s="32" t="n">
        <v>4501.771</v>
      </c>
      <c r="K366" s="32" t="inlineStr">
        <is>
          <t>20250514-58</t>
        </is>
      </c>
    </row>
    <row r="367">
      <c r="A367" s="32" t="n">
        <v>48</v>
      </c>
      <c r="B367" s="32" t="inlineStr">
        <is>
          <t>K3-6C</t>
        </is>
      </c>
      <c r="D367" s="32" t="n">
        <v>2.98</v>
      </c>
      <c r="E367" s="32" t="n">
        <v>4806.024</v>
      </c>
      <c r="G367" s="32" t="n">
        <v>612.1079999999999</v>
      </c>
      <c r="H367" s="32" t="inlineStr">
        <is>
          <t>MM</t>
        </is>
      </c>
      <c r="I367" s="32" t="n">
        <v>4806.024</v>
      </c>
      <c r="K367" s="32" t="inlineStr">
        <is>
          <t>20250514-59</t>
        </is>
      </c>
    </row>
    <row r="369">
      <c r="A369" s="32" t="inlineStr">
        <is>
          <t>Compound 8:  PFO4PeA 1</t>
        </is>
      </c>
    </row>
    <row r="371">
      <c r="B371" s="32" t="inlineStr">
        <is>
          <t>Sample Text</t>
        </is>
      </c>
      <c r="C371" s="32" t="inlineStr">
        <is>
          <t>Std. Conc</t>
        </is>
      </c>
      <c r="D371" s="32" t="inlineStr">
        <is>
          <t>RT</t>
        </is>
      </c>
      <c r="E371" s="32" t="inlineStr">
        <is>
          <t>Area</t>
        </is>
      </c>
      <c r="F371" s="32" t="inlineStr">
        <is>
          <t>IS Area</t>
        </is>
      </c>
      <c r="G371" s="32" t="inlineStr">
        <is>
          <t>S/N</t>
        </is>
      </c>
      <c r="H371" s="32" t="inlineStr">
        <is>
          <t>Primary Flags</t>
        </is>
      </c>
      <c r="I371" s="32" t="inlineStr">
        <is>
          <t>Response</t>
        </is>
      </c>
      <c r="J371" s="32" t="inlineStr">
        <is>
          <t>Conc.</t>
        </is>
      </c>
      <c r="K371" s="32" t="inlineStr">
        <is>
          <t>Name</t>
        </is>
      </c>
    </row>
    <row r="372">
      <c r="A372" s="32" t="n">
        <v>1</v>
      </c>
      <c r="B372" s="32" t="inlineStr">
        <is>
          <t>EPA1633 &amp; diPAPs Calibration 0 ppb</t>
        </is>
      </c>
      <c r="D372" s="32" t="n">
        <v>4.36</v>
      </c>
      <c r="E372" s="32" t="n">
        <v>3.865</v>
      </c>
      <c r="F372" s="32" t="n">
        <v>2771.78</v>
      </c>
      <c r="G372" s="32" t="n">
        <v>10.58</v>
      </c>
      <c r="H372" s="32" t="inlineStr">
        <is>
          <t>bb</t>
        </is>
      </c>
      <c r="K372" s="32" t="inlineStr">
        <is>
          <t>20250514-12</t>
        </is>
      </c>
    </row>
    <row r="373">
      <c r="A373" s="32" t="n">
        <v>2</v>
      </c>
      <c r="B373" s="32" t="inlineStr">
        <is>
          <t>EPA1633 &amp; diPAPs Calibration 0.02 ppb</t>
        </is>
      </c>
      <c r="D373" s="32" t="n">
        <v>3.95</v>
      </c>
      <c r="E373" s="32" t="n">
        <v>33.153</v>
      </c>
      <c r="F373" s="32" t="n">
        <v>2613.678</v>
      </c>
      <c r="G373" s="32" t="n">
        <v>21.584</v>
      </c>
      <c r="H373" s="32" t="inlineStr">
        <is>
          <t>MM</t>
        </is>
      </c>
      <c r="K373" s="32" t="inlineStr">
        <is>
          <t>20250514-13</t>
        </is>
      </c>
    </row>
    <row r="374">
      <c r="A374" s="32" t="n">
        <v>3</v>
      </c>
      <c r="B374" s="32" t="inlineStr">
        <is>
          <t>EPA1633 &amp; diPAPs Calibration 0.1 ppb</t>
        </is>
      </c>
      <c r="D374" s="32" t="n">
        <v>3.96</v>
      </c>
      <c r="E374" s="32" t="n">
        <v>27.823</v>
      </c>
      <c r="F374" s="32" t="n">
        <v>2704.411</v>
      </c>
      <c r="G374" s="32" t="n">
        <v>25.219</v>
      </c>
      <c r="H374" s="32" t="inlineStr">
        <is>
          <t>bb</t>
        </is>
      </c>
      <c r="K374" s="32" t="inlineStr">
        <is>
          <t>20250514-14</t>
        </is>
      </c>
    </row>
    <row r="375">
      <c r="A375" s="32" t="n">
        <v>4</v>
      </c>
      <c r="B375" s="32" t="inlineStr">
        <is>
          <t>EPA1633 &amp; diPAPs Calibration 0.4 ppb</t>
        </is>
      </c>
      <c r="D375" s="32" t="n">
        <v>4.01</v>
      </c>
      <c r="E375" s="32" t="n">
        <v>102.274</v>
      </c>
      <c r="F375" s="32" t="n">
        <v>2633.712</v>
      </c>
      <c r="G375" s="32" t="n">
        <v>15.011</v>
      </c>
      <c r="H375" s="32" t="inlineStr">
        <is>
          <t>bb</t>
        </is>
      </c>
      <c r="K375" s="32" t="inlineStr">
        <is>
          <t>20250514-15</t>
        </is>
      </c>
    </row>
    <row r="376">
      <c r="A376" s="32" t="n">
        <v>5</v>
      </c>
      <c r="B376" s="32" t="inlineStr">
        <is>
          <t>EPA1633 &amp; diPAPs Calibration 1 ppb</t>
        </is>
      </c>
      <c r="D376" s="32" t="n">
        <v>4.01</v>
      </c>
      <c r="E376" s="32" t="n">
        <v>181.639</v>
      </c>
      <c r="F376" s="32" t="n">
        <v>2798.003</v>
      </c>
      <c r="G376" s="32" t="n">
        <v>51.583</v>
      </c>
      <c r="H376" s="32" t="inlineStr">
        <is>
          <t>bb</t>
        </is>
      </c>
      <c r="K376" s="32" t="inlineStr">
        <is>
          <t>20250514-16</t>
        </is>
      </c>
    </row>
    <row r="377">
      <c r="A377" s="32" t="n">
        <v>6</v>
      </c>
      <c r="B377" s="32" t="inlineStr">
        <is>
          <t>EPA1633 &amp; diPAPs Calibration 5 ppb</t>
        </is>
      </c>
      <c r="D377" s="32" t="n">
        <v>3.76</v>
      </c>
      <c r="E377" s="32" t="n">
        <v>1061.191</v>
      </c>
      <c r="F377" s="32" t="n">
        <v>2309.18</v>
      </c>
      <c r="G377" s="32" t="n">
        <v>199.208</v>
      </c>
      <c r="H377" s="32" t="inlineStr">
        <is>
          <t>bb</t>
        </is>
      </c>
      <c r="K377" s="32" t="inlineStr">
        <is>
          <t>20250514-17</t>
        </is>
      </c>
    </row>
    <row r="378">
      <c r="A378" s="32" t="n">
        <v>7</v>
      </c>
      <c r="B378" s="32" t="inlineStr">
        <is>
          <t>EPA1633 &amp; diPAPs Calibration 10 ppb</t>
        </is>
      </c>
      <c r="D378" s="32" t="n">
        <v>3.84</v>
      </c>
      <c r="E378" s="32" t="n">
        <v>2006.837</v>
      </c>
      <c r="F378" s="32" t="n">
        <v>2072.812</v>
      </c>
      <c r="G378" s="32" t="n">
        <v>1276.376</v>
      </c>
      <c r="H378" s="32" t="inlineStr">
        <is>
          <t>bb</t>
        </is>
      </c>
      <c r="K378" s="32" t="inlineStr">
        <is>
          <t>20250514-18</t>
        </is>
      </c>
    </row>
    <row r="379">
      <c r="A379" s="32" t="n">
        <v>8</v>
      </c>
      <c r="B379" s="32" t="inlineStr">
        <is>
          <t>EPA1633 &amp; diPAPs Calibration 20 ppb</t>
        </is>
      </c>
      <c r="D379" s="32" t="n">
        <v>3.92</v>
      </c>
      <c r="E379" s="32" t="n">
        <v>4301.419</v>
      </c>
      <c r="F379" s="32" t="n">
        <v>1703.301</v>
      </c>
      <c r="G379" s="32" t="n">
        <v>188.247</v>
      </c>
      <c r="H379" s="32" t="inlineStr">
        <is>
          <t>bb</t>
        </is>
      </c>
      <c r="K379" s="32" t="inlineStr">
        <is>
          <t>20250514-19</t>
        </is>
      </c>
    </row>
    <row r="380">
      <c r="A380" s="32" t="n">
        <v>9</v>
      </c>
      <c r="B380" s="32" t="inlineStr">
        <is>
          <t>MeOH</t>
        </is>
      </c>
      <c r="D380" s="32" t="n">
        <v>3.73</v>
      </c>
      <c r="E380" s="32" t="n">
        <v>4.982</v>
      </c>
      <c r="G380" s="32" t="n">
        <v>2.584</v>
      </c>
      <c r="H380" s="32" t="inlineStr">
        <is>
          <t>bb</t>
        </is>
      </c>
      <c r="K380" s="32" t="inlineStr">
        <is>
          <t>20250514-20</t>
        </is>
      </c>
    </row>
    <row r="381">
      <c r="A381" s="32" t="n">
        <v>10</v>
      </c>
      <c r="B381" s="32" t="inlineStr">
        <is>
          <t>MeOH</t>
        </is>
      </c>
      <c r="D381" s="32" t="n">
        <v>4.01</v>
      </c>
      <c r="E381" s="32" t="n">
        <v>11.974</v>
      </c>
      <c r="G381" s="32" t="n">
        <v>4.98</v>
      </c>
      <c r="H381" s="32" t="inlineStr">
        <is>
          <t>bb</t>
        </is>
      </c>
      <c r="K381" s="32" t="inlineStr">
        <is>
          <t>20250514-21</t>
        </is>
      </c>
    </row>
    <row r="382">
      <c r="A382" s="32" t="n">
        <v>11</v>
      </c>
      <c r="B382" s="32" t="inlineStr">
        <is>
          <t>SB1</t>
        </is>
      </c>
      <c r="D382" s="32" t="n">
        <v>4.13</v>
      </c>
      <c r="E382" s="32" t="n">
        <v>18.683</v>
      </c>
      <c r="F382" s="32" t="n">
        <v>802.6180000000001</v>
      </c>
      <c r="G382" s="32" t="n">
        <v>5.492</v>
      </c>
      <c r="H382" s="32" t="inlineStr">
        <is>
          <t>MM</t>
        </is>
      </c>
      <c r="K382" s="32" t="inlineStr">
        <is>
          <t>20250514-22</t>
        </is>
      </c>
    </row>
    <row r="383">
      <c r="A383" s="32" t="n">
        <v>12</v>
      </c>
      <c r="B383" s="32" t="inlineStr">
        <is>
          <t>SB2</t>
        </is>
      </c>
      <c r="D383" s="32" t="n">
        <v>4.09</v>
      </c>
      <c r="E383" s="32" t="n">
        <v>16.259</v>
      </c>
      <c r="F383" s="32" t="n">
        <v>1039.268</v>
      </c>
      <c r="G383" s="32" t="n">
        <v>5.317</v>
      </c>
      <c r="H383" s="32" t="inlineStr">
        <is>
          <t>bb</t>
        </is>
      </c>
      <c r="K383" s="32" t="inlineStr">
        <is>
          <t>20250514-23</t>
        </is>
      </c>
    </row>
    <row r="384">
      <c r="A384" s="32" t="n">
        <v>13</v>
      </c>
      <c r="B384" s="32" t="inlineStr">
        <is>
          <t>SB3</t>
        </is>
      </c>
      <c r="D384" s="32" t="n">
        <v>4.16</v>
      </c>
      <c r="E384" s="32" t="n">
        <v>12.571</v>
      </c>
      <c r="F384" s="32" t="n">
        <v>1005.736</v>
      </c>
      <c r="G384" s="32" t="n">
        <v>4.729</v>
      </c>
      <c r="H384" s="32" t="inlineStr">
        <is>
          <t>MM</t>
        </is>
      </c>
      <c r="K384" s="32" t="inlineStr">
        <is>
          <t>20250514-24</t>
        </is>
      </c>
    </row>
    <row r="385">
      <c r="A385" s="32" t="n">
        <v>14</v>
      </c>
      <c r="B385" s="32" t="inlineStr">
        <is>
          <t>SS1</t>
        </is>
      </c>
      <c r="D385" s="32" t="n">
        <v>4.2</v>
      </c>
      <c r="E385" s="32" t="n">
        <v>735.501</v>
      </c>
      <c r="F385" s="32" t="n">
        <v>860.02</v>
      </c>
      <c r="G385" s="32" t="n">
        <v>148.767</v>
      </c>
      <c r="H385" s="32" t="inlineStr">
        <is>
          <t>bb</t>
        </is>
      </c>
      <c r="K385" s="32" t="inlineStr">
        <is>
          <t>20250514-25</t>
        </is>
      </c>
    </row>
    <row r="386">
      <c r="A386" s="32" t="n">
        <v>15</v>
      </c>
      <c r="B386" s="32" t="inlineStr">
        <is>
          <t>SS2</t>
        </is>
      </c>
      <c r="D386" s="32" t="n">
        <v>4.23</v>
      </c>
      <c r="E386" s="32" t="n">
        <v>849.178</v>
      </c>
      <c r="F386" s="32" t="n">
        <v>1205.224</v>
      </c>
      <c r="G386" s="32" t="n">
        <v>308.315</v>
      </c>
      <c r="H386" s="32" t="inlineStr">
        <is>
          <t>bb</t>
        </is>
      </c>
      <c r="K386" s="32" t="inlineStr">
        <is>
          <t>20250514-26</t>
        </is>
      </c>
    </row>
    <row r="387">
      <c r="A387" s="32" t="n">
        <v>16</v>
      </c>
      <c r="B387" s="32" t="inlineStr">
        <is>
          <t>SS3</t>
        </is>
      </c>
      <c r="D387" s="32" t="n">
        <v>4.23</v>
      </c>
      <c r="E387" s="32" t="n">
        <v>818.896</v>
      </c>
      <c r="F387" s="32" t="n">
        <v>953.783</v>
      </c>
      <c r="G387" s="32" t="n">
        <v>120.537</v>
      </c>
      <c r="H387" s="32" t="inlineStr">
        <is>
          <t>bd</t>
        </is>
      </c>
      <c r="K387" s="32" t="inlineStr">
        <is>
          <t>20250514-27</t>
        </is>
      </c>
    </row>
    <row r="388">
      <c r="A388" s="32" t="n">
        <v>17</v>
      </c>
      <c r="B388" s="32" t="inlineStr">
        <is>
          <t>MeOH</t>
        </is>
      </c>
      <c r="H388" s="32" t="inlineStr">
        <is>
          <t>MM-</t>
        </is>
      </c>
      <c r="K388" s="32" t="inlineStr">
        <is>
          <t>20250514-28</t>
        </is>
      </c>
    </row>
    <row r="389">
      <c r="A389" s="32" t="n">
        <v>18</v>
      </c>
      <c r="B389" s="32" t="inlineStr">
        <is>
          <t>K4-1A</t>
        </is>
      </c>
      <c r="D389" s="32" t="n">
        <v>4.23</v>
      </c>
      <c r="E389" s="32" t="n">
        <v>14.123</v>
      </c>
      <c r="F389" s="32" t="n">
        <v>1575.246</v>
      </c>
      <c r="G389" s="32" t="n">
        <v>2.913</v>
      </c>
      <c r="H389" s="32" t="inlineStr">
        <is>
          <t>bb</t>
        </is>
      </c>
      <c r="K389" s="32" t="inlineStr">
        <is>
          <t>20250514-29</t>
        </is>
      </c>
    </row>
    <row r="390">
      <c r="A390" s="32" t="n">
        <v>19</v>
      </c>
      <c r="B390" s="32" t="inlineStr">
        <is>
          <t>K4-1B</t>
        </is>
      </c>
      <c r="D390" s="32" t="n">
        <v>4.22</v>
      </c>
      <c r="E390" s="32" t="n">
        <v>11.391</v>
      </c>
      <c r="F390" s="32" t="n">
        <v>1550.869</v>
      </c>
      <c r="G390" s="32" t="n">
        <v>2.766</v>
      </c>
      <c r="H390" s="32" t="inlineStr">
        <is>
          <t>bb</t>
        </is>
      </c>
      <c r="K390" s="32" t="inlineStr">
        <is>
          <t>20250514-30</t>
        </is>
      </c>
    </row>
    <row r="391">
      <c r="A391" s="32" t="n">
        <v>20</v>
      </c>
      <c r="B391" s="32" t="inlineStr">
        <is>
          <t>K4-1C</t>
        </is>
      </c>
      <c r="D391" s="32" t="n">
        <v>4.25</v>
      </c>
      <c r="E391" s="32" t="n">
        <v>15.068</v>
      </c>
      <c r="F391" s="32" t="n">
        <v>1163.846</v>
      </c>
      <c r="G391" s="32" t="n">
        <v>3.906</v>
      </c>
      <c r="H391" s="32" t="inlineStr">
        <is>
          <t>MM</t>
        </is>
      </c>
      <c r="K391" s="32" t="inlineStr">
        <is>
          <t>20250514-31</t>
        </is>
      </c>
    </row>
    <row r="392">
      <c r="A392" s="32" t="n">
        <v>21</v>
      </c>
      <c r="B392" s="32" t="inlineStr">
        <is>
          <t>K4-2A</t>
        </is>
      </c>
      <c r="D392" s="32" t="n">
        <v>4.28</v>
      </c>
      <c r="E392" s="32" t="n">
        <v>27.969</v>
      </c>
      <c r="F392" s="32" t="n">
        <v>1084.067</v>
      </c>
      <c r="G392" s="32" t="n">
        <v>5.6</v>
      </c>
      <c r="H392" s="32" t="inlineStr">
        <is>
          <t>bb</t>
        </is>
      </c>
      <c r="K392" s="32" t="inlineStr">
        <is>
          <t>20250514-32</t>
        </is>
      </c>
    </row>
    <row r="393">
      <c r="A393" s="32" t="n">
        <v>22</v>
      </c>
      <c r="B393" s="32" t="inlineStr">
        <is>
          <t>K4-2B</t>
        </is>
      </c>
      <c r="D393" s="32" t="n">
        <v>4.39</v>
      </c>
      <c r="E393" s="32" t="n">
        <v>4.3</v>
      </c>
      <c r="F393" s="32" t="n">
        <v>1044.51</v>
      </c>
      <c r="G393" s="32" t="n">
        <v>1.632</v>
      </c>
      <c r="H393" s="32" t="inlineStr">
        <is>
          <t>bb</t>
        </is>
      </c>
      <c r="K393" s="32" t="inlineStr">
        <is>
          <t>20250514-33</t>
        </is>
      </c>
    </row>
    <row r="394">
      <c r="A394" s="32" t="n">
        <v>23</v>
      </c>
      <c r="B394" s="32" t="inlineStr">
        <is>
          <t>K4-2C</t>
        </is>
      </c>
      <c r="D394" s="32" t="n">
        <v>4.24</v>
      </c>
      <c r="E394" s="32" t="n">
        <v>7.604</v>
      </c>
      <c r="F394" s="32" t="n">
        <v>1020.096</v>
      </c>
      <c r="G394" s="32" t="n">
        <v>2.383</v>
      </c>
      <c r="H394" s="32" t="inlineStr">
        <is>
          <t>bb</t>
        </is>
      </c>
      <c r="K394" s="32" t="inlineStr">
        <is>
          <t>20250514-34</t>
        </is>
      </c>
    </row>
    <row r="395">
      <c r="A395" s="32" t="n">
        <v>24</v>
      </c>
      <c r="B395" s="32" t="inlineStr">
        <is>
          <t>MeOH</t>
        </is>
      </c>
      <c r="H395" s="32" t="inlineStr">
        <is>
          <t>MM-</t>
        </is>
      </c>
      <c r="K395" s="32" t="inlineStr">
        <is>
          <t>20250514-35</t>
        </is>
      </c>
    </row>
    <row r="396">
      <c r="A396" s="32" t="n">
        <v>25</v>
      </c>
      <c r="B396" s="32" t="inlineStr">
        <is>
          <t>K4-4A</t>
        </is>
      </c>
      <c r="D396" s="32" t="n">
        <v>4.23</v>
      </c>
      <c r="E396" s="32" t="n">
        <v>16.224</v>
      </c>
      <c r="F396" s="32" t="n">
        <v>1051.351</v>
      </c>
      <c r="G396" s="32" t="n">
        <v>2.793</v>
      </c>
      <c r="H396" s="32" t="inlineStr">
        <is>
          <t>bb</t>
        </is>
      </c>
      <c r="K396" s="32" t="inlineStr">
        <is>
          <t>20250514-36</t>
        </is>
      </c>
    </row>
    <row r="397">
      <c r="A397" s="32" t="n">
        <v>26</v>
      </c>
      <c r="B397" s="32" t="inlineStr">
        <is>
          <t>K4-4B</t>
        </is>
      </c>
      <c r="D397" s="32" t="n">
        <v>4.25</v>
      </c>
      <c r="E397" s="32" t="n">
        <v>21.336</v>
      </c>
      <c r="F397" s="32" t="n">
        <v>1035.151</v>
      </c>
      <c r="G397" s="32" t="n">
        <v>15.61</v>
      </c>
      <c r="H397" s="32" t="inlineStr">
        <is>
          <t>bb</t>
        </is>
      </c>
      <c r="K397" s="32" t="inlineStr">
        <is>
          <t>20250514-37</t>
        </is>
      </c>
    </row>
    <row r="398">
      <c r="A398" s="32" t="n">
        <v>27</v>
      </c>
      <c r="B398" s="32" t="inlineStr">
        <is>
          <t>K4-4C</t>
        </is>
      </c>
      <c r="D398" s="32" t="n">
        <v>4.25</v>
      </c>
      <c r="E398" s="32" t="n">
        <v>22.314</v>
      </c>
      <c r="F398" s="32" t="n">
        <v>822.99</v>
      </c>
      <c r="G398" s="32" t="n">
        <v>5.204</v>
      </c>
      <c r="H398" s="32" t="inlineStr">
        <is>
          <t>bb</t>
        </is>
      </c>
      <c r="K398" s="32" t="inlineStr">
        <is>
          <t>20250514-38</t>
        </is>
      </c>
    </row>
    <row r="399">
      <c r="A399" s="32" t="n">
        <v>28</v>
      </c>
      <c r="B399" s="32" t="inlineStr">
        <is>
          <t>K4-5A</t>
        </is>
      </c>
      <c r="D399" s="32" t="n">
        <v>4.23</v>
      </c>
      <c r="E399" s="32" t="n">
        <v>33.036</v>
      </c>
      <c r="F399" s="32" t="n">
        <v>985.0170000000001</v>
      </c>
      <c r="G399" s="32" t="n">
        <v>18.12</v>
      </c>
      <c r="H399" s="32" t="inlineStr">
        <is>
          <t>bb</t>
        </is>
      </c>
      <c r="K399" s="32" t="inlineStr">
        <is>
          <t>20250514-39</t>
        </is>
      </c>
    </row>
    <row r="400">
      <c r="A400" s="32" t="n">
        <v>29</v>
      </c>
      <c r="B400" s="32" t="inlineStr">
        <is>
          <t>K4-5B</t>
        </is>
      </c>
      <c r="D400" s="32" t="n">
        <v>4.2</v>
      </c>
      <c r="E400" s="32" t="n">
        <v>17.593</v>
      </c>
      <c r="F400" s="32" t="n">
        <v>1024.411</v>
      </c>
      <c r="G400" s="32" t="n">
        <v>1.651</v>
      </c>
      <c r="H400" s="32" t="inlineStr">
        <is>
          <t>bb</t>
        </is>
      </c>
      <c r="K400" s="32" t="inlineStr">
        <is>
          <t>20250514-40</t>
        </is>
      </c>
    </row>
    <row r="401">
      <c r="A401" s="32" t="n">
        <v>30</v>
      </c>
      <c r="B401" s="32" t="inlineStr">
        <is>
          <t>K4-5C</t>
        </is>
      </c>
      <c r="D401" s="32" t="n">
        <v>4.17</v>
      </c>
      <c r="E401" s="32" t="n">
        <v>12.384</v>
      </c>
      <c r="F401" s="32" t="n">
        <v>1313.31</v>
      </c>
      <c r="G401" s="32" t="n">
        <v>1.766</v>
      </c>
      <c r="H401" s="32" t="inlineStr">
        <is>
          <t>bb</t>
        </is>
      </c>
      <c r="K401" s="32" t="inlineStr">
        <is>
          <t>20250514-41</t>
        </is>
      </c>
    </row>
    <row r="402">
      <c r="A402" s="32" t="n">
        <v>31</v>
      </c>
      <c r="B402" s="32" t="inlineStr">
        <is>
          <t>MeOH</t>
        </is>
      </c>
      <c r="H402" s="32" t="inlineStr">
        <is>
          <t>MM-</t>
        </is>
      </c>
      <c r="K402" s="32" t="inlineStr">
        <is>
          <t>20250514-42</t>
        </is>
      </c>
    </row>
    <row r="403">
      <c r="A403" s="32" t="n">
        <v>32</v>
      </c>
      <c r="B403" s="32" t="inlineStr">
        <is>
          <t>K3-1A</t>
        </is>
      </c>
      <c r="D403" s="32" t="n">
        <v>4.2</v>
      </c>
      <c r="E403" s="32" t="n">
        <v>7.371</v>
      </c>
      <c r="F403" s="32" t="n">
        <v>1115.547</v>
      </c>
      <c r="G403" s="32" t="n">
        <v>2.428</v>
      </c>
      <c r="H403" s="32" t="inlineStr">
        <is>
          <t>bb</t>
        </is>
      </c>
      <c r="K403" s="32" t="inlineStr">
        <is>
          <t>20250514-43</t>
        </is>
      </c>
    </row>
    <row r="404">
      <c r="A404" s="32" t="n">
        <v>33</v>
      </c>
      <c r="B404" s="32" t="inlineStr">
        <is>
          <t>K3-1B</t>
        </is>
      </c>
      <c r="D404" s="32" t="n">
        <v>3.97</v>
      </c>
      <c r="E404" s="32" t="n">
        <v>17.072</v>
      </c>
      <c r="F404" s="32" t="n">
        <v>868.492</v>
      </c>
      <c r="G404" s="32" t="n">
        <v>8.59</v>
      </c>
      <c r="H404" s="32" t="inlineStr">
        <is>
          <t>bb</t>
        </is>
      </c>
      <c r="K404" s="32" t="inlineStr">
        <is>
          <t>20250514-44</t>
        </is>
      </c>
    </row>
    <row r="405">
      <c r="A405" s="32" t="n">
        <v>34</v>
      </c>
      <c r="B405" s="32" t="inlineStr">
        <is>
          <t>K3-1C</t>
        </is>
      </c>
      <c r="D405" s="32" t="n">
        <v>4.25</v>
      </c>
      <c r="E405" s="32" t="n">
        <v>5.644</v>
      </c>
      <c r="F405" s="32" t="n">
        <v>1891.713</v>
      </c>
      <c r="G405" s="32" t="n">
        <v>2.268</v>
      </c>
      <c r="H405" s="32" t="inlineStr">
        <is>
          <t>bb</t>
        </is>
      </c>
      <c r="K405" s="32" t="inlineStr">
        <is>
          <t>20250514-45</t>
        </is>
      </c>
    </row>
    <row r="406">
      <c r="A406" s="32" t="n">
        <v>35</v>
      </c>
      <c r="B406" s="32" t="inlineStr">
        <is>
          <t>K3-2A</t>
        </is>
      </c>
      <c r="D406" s="32" t="n">
        <v>4.02</v>
      </c>
      <c r="E406" s="32" t="n">
        <v>20.882</v>
      </c>
      <c r="F406" s="32" t="n">
        <v>1176.041</v>
      </c>
      <c r="G406" s="32" t="n">
        <v>5.481</v>
      </c>
      <c r="H406" s="32" t="inlineStr">
        <is>
          <t>bb</t>
        </is>
      </c>
      <c r="K406" s="32" t="inlineStr">
        <is>
          <t>20250514-46</t>
        </is>
      </c>
    </row>
    <row r="407">
      <c r="A407" s="32" t="n">
        <v>36</v>
      </c>
      <c r="B407" s="32" t="inlineStr">
        <is>
          <t>K3-2B</t>
        </is>
      </c>
      <c r="D407" s="32" t="n">
        <v>4.43</v>
      </c>
      <c r="E407" s="32" t="n">
        <v>1.825</v>
      </c>
      <c r="F407" s="32" t="n">
        <v>1321.349</v>
      </c>
      <c r="G407" s="32" t="n">
        <v>1.675</v>
      </c>
      <c r="H407" s="32" t="inlineStr">
        <is>
          <t>bb</t>
        </is>
      </c>
      <c r="K407" s="32" t="inlineStr">
        <is>
          <t>20250514-47</t>
        </is>
      </c>
    </row>
    <row r="408">
      <c r="A408" s="32" t="n">
        <v>37</v>
      </c>
      <c r="B408" s="32" t="inlineStr">
        <is>
          <t>K3-2C</t>
        </is>
      </c>
      <c r="D408" s="32" t="n">
        <v>4.1</v>
      </c>
      <c r="E408" s="32" t="n">
        <v>16.823</v>
      </c>
      <c r="F408" s="32" t="n">
        <v>1479.533</v>
      </c>
      <c r="G408" s="32" t="n">
        <v>5.999</v>
      </c>
      <c r="H408" s="32" t="inlineStr">
        <is>
          <t>bb</t>
        </is>
      </c>
      <c r="K408" s="32" t="inlineStr">
        <is>
          <t>20250514-48</t>
        </is>
      </c>
    </row>
    <row r="409">
      <c r="A409" s="32" t="n">
        <v>38</v>
      </c>
      <c r="B409" s="32" t="inlineStr">
        <is>
          <t>MeOH</t>
        </is>
      </c>
      <c r="H409" s="32" t="inlineStr">
        <is>
          <t>MM-</t>
        </is>
      </c>
      <c r="K409" s="32" t="inlineStr">
        <is>
          <t>20250514-49</t>
        </is>
      </c>
    </row>
    <row r="410">
      <c r="A410" s="32" t="n">
        <v>39</v>
      </c>
      <c r="B410" s="32" t="inlineStr">
        <is>
          <t>K3-3A</t>
        </is>
      </c>
      <c r="D410" s="32" t="n">
        <v>4.1</v>
      </c>
      <c r="E410" s="32" t="n">
        <v>15.278</v>
      </c>
      <c r="F410" s="32" t="n">
        <v>1517.701</v>
      </c>
      <c r="G410" s="32" t="n">
        <v>4.105</v>
      </c>
      <c r="H410" s="32" t="inlineStr">
        <is>
          <t>bb</t>
        </is>
      </c>
      <c r="K410" s="32" t="inlineStr">
        <is>
          <t>20250514-50</t>
        </is>
      </c>
    </row>
    <row r="411">
      <c r="A411" s="32" t="n">
        <v>40</v>
      </c>
      <c r="B411" s="32" t="inlineStr">
        <is>
          <t>K3-3B</t>
        </is>
      </c>
      <c r="D411" s="32" t="n">
        <v>4.11</v>
      </c>
      <c r="E411" s="32" t="n">
        <v>7.775</v>
      </c>
      <c r="F411" s="32" t="n">
        <v>1453.885</v>
      </c>
      <c r="G411" s="32" t="n">
        <v>1.982</v>
      </c>
      <c r="H411" s="32" t="inlineStr">
        <is>
          <t>bb</t>
        </is>
      </c>
      <c r="K411" s="32" t="inlineStr">
        <is>
          <t>20250514-51</t>
        </is>
      </c>
    </row>
    <row r="412">
      <c r="A412" s="32" t="n">
        <v>41</v>
      </c>
      <c r="B412" s="32" t="inlineStr">
        <is>
          <t>K3-3C</t>
        </is>
      </c>
      <c r="D412" s="32" t="n">
        <v>4.15</v>
      </c>
      <c r="E412" s="32" t="n">
        <v>11.061</v>
      </c>
      <c r="F412" s="32" t="n">
        <v>1930.228</v>
      </c>
      <c r="G412" s="32" t="n">
        <v>3.459</v>
      </c>
      <c r="H412" s="32" t="inlineStr">
        <is>
          <t>bb</t>
        </is>
      </c>
      <c r="K412" s="32" t="inlineStr">
        <is>
          <t>20250514-52</t>
        </is>
      </c>
    </row>
    <row r="413">
      <c r="A413" s="32" t="n">
        <v>42</v>
      </c>
      <c r="B413" s="32" t="inlineStr">
        <is>
          <t>K3-4A</t>
        </is>
      </c>
      <c r="D413" s="32" t="n">
        <v>4.17</v>
      </c>
      <c r="E413" s="32" t="n">
        <v>20.517</v>
      </c>
      <c r="F413" s="32" t="n">
        <v>2454.78</v>
      </c>
      <c r="G413" s="32" t="n">
        <v>16.517</v>
      </c>
      <c r="H413" s="32" t="inlineStr">
        <is>
          <t>bb</t>
        </is>
      </c>
      <c r="K413" s="32" t="inlineStr">
        <is>
          <t>20250514-53</t>
        </is>
      </c>
    </row>
    <row r="414">
      <c r="A414" s="32" t="n">
        <v>43</v>
      </c>
      <c r="B414" s="32" t="inlineStr">
        <is>
          <t>K3-4B</t>
        </is>
      </c>
      <c r="D414" s="32" t="n">
        <v>4.18</v>
      </c>
      <c r="E414" s="32" t="n">
        <v>14.491</v>
      </c>
      <c r="F414" s="32" t="n">
        <v>2046.805</v>
      </c>
      <c r="G414" s="32" t="n">
        <v>8.365</v>
      </c>
      <c r="H414" s="32" t="inlineStr">
        <is>
          <t>bb</t>
        </is>
      </c>
      <c r="K414" s="32" t="inlineStr">
        <is>
          <t>20250514-54</t>
        </is>
      </c>
    </row>
    <row r="415">
      <c r="A415" s="32" t="n">
        <v>44</v>
      </c>
      <c r="B415" s="32" t="inlineStr">
        <is>
          <t>K3-4C</t>
        </is>
      </c>
      <c r="D415" s="32" t="n">
        <v>4.21</v>
      </c>
      <c r="E415" s="32" t="n">
        <v>23.93</v>
      </c>
      <c r="F415" s="32" t="n">
        <v>1963.707</v>
      </c>
      <c r="G415" s="32" t="n">
        <v>4.559</v>
      </c>
      <c r="H415" s="32" t="inlineStr">
        <is>
          <t>bb</t>
        </is>
      </c>
      <c r="K415" s="32" t="inlineStr">
        <is>
          <t>20250514-55</t>
        </is>
      </c>
    </row>
    <row r="416">
      <c r="A416" s="32" t="n">
        <v>45</v>
      </c>
      <c r="B416" s="32" t="inlineStr">
        <is>
          <t>MeOH</t>
        </is>
      </c>
      <c r="H416" s="32" t="inlineStr">
        <is>
          <t>MM-</t>
        </is>
      </c>
      <c r="K416" s="32" t="inlineStr">
        <is>
          <t>20250514-56</t>
        </is>
      </c>
    </row>
    <row r="417">
      <c r="A417" s="32" t="n">
        <v>46</v>
      </c>
      <c r="B417" s="32" t="inlineStr">
        <is>
          <t>K3-6A</t>
        </is>
      </c>
      <c r="D417" s="32" t="n">
        <v>4.28</v>
      </c>
      <c r="E417" s="32" t="n">
        <v>10.809</v>
      </c>
      <c r="F417" s="32" t="n">
        <v>2063.159</v>
      </c>
      <c r="G417" s="32" t="n">
        <v>3.302</v>
      </c>
      <c r="H417" s="32" t="inlineStr">
        <is>
          <t>bb</t>
        </is>
      </c>
      <c r="K417" s="32" t="inlineStr">
        <is>
          <t>20250514-57</t>
        </is>
      </c>
    </row>
    <row r="418">
      <c r="A418" s="32" t="n">
        <v>47</v>
      </c>
      <c r="B418" s="32" t="inlineStr">
        <is>
          <t>K3-6B</t>
        </is>
      </c>
      <c r="D418" s="32" t="n">
        <v>4.26</v>
      </c>
      <c r="E418" s="32" t="n">
        <v>5.635</v>
      </c>
      <c r="F418" s="32" t="n">
        <v>1701.403</v>
      </c>
      <c r="G418" s="32" t="n">
        <v>2.96</v>
      </c>
      <c r="H418" s="32" t="inlineStr">
        <is>
          <t>bb</t>
        </is>
      </c>
      <c r="K418" s="32" t="inlineStr">
        <is>
          <t>20250514-58</t>
        </is>
      </c>
    </row>
    <row r="419">
      <c r="A419" s="32" t="n">
        <v>48</v>
      </c>
      <c r="B419" s="32" t="inlineStr">
        <is>
          <t>K3-6C</t>
        </is>
      </c>
      <c r="D419" s="32" t="n">
        <v>4.24</v>
      </c>
      <c r="E419" s="32" t="n">
        <v>14.915</v>
      </c>
      <c r="F419" s="32" t="n">
        <v>1921.069</v>
      </c>
      <c r="G419" s="32" t="n">
        <v>3.12</v>
      </c>
      <c r="H419" s="32" t="inlineStr">
        <is>
          <t>bb</t>
        </is>
      </c>
      <c r="K419" s="32" t="inlineStr">
        <is>
          <t>20250514-59</t>
        </is>
      </c>
    </row>
    <row r="421">
      <c r="A421" s="32" t="inlineStr">
        <is>
          <t>Compound 9:  3:3 FTCA</t>
        </is>
      </c>
    </row>
    <row r="423">
      <c r="B423" s="32" t="inlineStr">
        <is>
          <t>Sample Text</t>
        </is>
      </c>
      <c r="C423" s="32" t="inlineStr">
        <is>
          <t>Std. Conc</t>
        </is>
      </c>
      <c r="D423" s="32" t="inlineStr">
        <is>
          <t>RT</t>
        </is>
      </c>
      <c r="E423" s="32" t="inlineStr">
        <is>
          <t>Area</t>
        </is>
      </c>
      <c r="F423" s="32" t="inlineStr">
        <is>
          <t>IS Area</t>
        </is>
      </c>
      <c r="G423" s="32" t="inlineStr">
        <is>
          <t>S/N</t>
        </is>
      </c>
      <c r="H423" s="32" t="inlineStr">
        <is>
          <t>Primary Flags</t>
        </is>
      </c>
      <c r="I423" s="32" t="inlineStr">
        <is>
          <t>Response</t>
        </is>
      </c>
      <c r="J423" s="32" t="inlineStr">
        <is>
          <t>Conc.</t>
        </is>
      </c>
      <c r="K423" s="32" t="inlineStr">
        <is>
          <t>Name</t>
        </is>
      </c>
    </row>
    <row r="424">
      <c r="A424" s="32" t="n">
        <v>1</v>
      </c>
      <c r="B424" s="32" t="inlineStr">
        <is>
          <t>EPA1633 &amp; diPAPs Calibration 0 ppb</t>
        </is>
      </c>
      <c r="D424" s="32" t="n">
        <v>5.51</v>
      </c>
      <c r="E424" s="32" t="n">
        <v>277.704</v>
      </c>
      <c r="F424" s="32" t="n">
        <v>2771.78</v>
      </c>
      <c r="G424" s="32" t="n">
        <v>2.684</v>
      </c>
      <c r="H424" s="32" t="inlineStr">
        <is>
          <t>MM</t>
        </is>
      </c>
      <c r="K424" s="32" t="inlineStr">
        <is>
          <t>20250514-12</t>
        </is>
      </c>
    </row>
    <row r="425">
      <c r="A425" s="32" t="n">
        <v>2</v>
      </c>
      <c r="B425" s="32" t="inlineStr">
        <is>
          <t>EPA1633 &amp; diPAPs Calibration 0.02 ppb</t>
        </is>
      </c>
      <c r="D425" s="32" t="n">
        <v>5.2</v>
      </c>
      <c r="E425" s="32" t="n">
        <v>229.144</v>
      </c>
      <c r="F425" s="32" t="n">
        <v>2613.678</v>
      </c>
      <c r="G425" s="32" t="n">
        <v>3.321</v>
      </c>
      <c r="H425" s="32" t="inlineStr">
        <is>
          <t>MM</t>
        </is>
      </c>
      <c r="K425" s="32" t="inlineStr">
        <is>
          <t>20250514-13</t>
        </is>
      </c>
    </row>
    <row r="426">
      <c r="A426" s="32" t="n">
        <v>3</v>
      </c>
      <c r="B426" s="32" t="inlineStr">
        <is>
          <t>EPA1633 &amp; diPAPs Calibration 0.1 ppb</t>
        </is>
      </c>
      <c r="D426" s="32" t="n">
        <v>5.26</v>
      </c>
      <c r="E426" s="32" t="n">
        <v>302.279</v>
      </c>
      <c r="F426" s="32" t="n">
        <v>2704.411</v>
      </c>
      <c r="G426" s="32" t="n">
        <v>5.047</v>
      </c>
      <c r="H426" s="32" t="inlineStr">
        <is>
          <t>MM</t>
        </is>
      </c>
      <c r="K426" s="32" t="inlineStr">
        <is>
          <t>20250514-14</t>
        </is>
      </c>
    </row>
    <row r="427">
      <c r="A427" s="32" t="n">
        <v>4</v>
      </c>
      <c r="B427" s="32" t="inlineStr">
        <is>
          <t>EPA1633 &amp; diPAPs Calibration 0.4 ppb</t>
        </is>
      </c>
      <c r="D427" s="32" t="n">
        <v>5.22</v>
      </c>
      <c r="E427" s="32" t="n">
        <v>166.261</v>
      </c>
      <c r="F427" s="32" t="n">
        <v>2633.712</v>
      </c>
      <c r="G427" s="32" t="n">
        <v>5.733</v>
      </c>
      <c r="H427" s="32" t="inlineStr">
        <is>
          <t>MM</t>
        </is>
      </c>
      <c r="K427" s="32" t="inlineStr">
        <is>
          <t>20250514-15</t>
        </is>
      </c>
    </row>
    <row r="428">
      <c r="A428" s="32" t="n">
        <v>5</v>
      </c>
      <c r="B428" s="32" t="inlineStr">
        <is>
          <t>EPA1633 &amp; diPAPs Calibration 1 ppb</t>
        </is>
      </c>
      <c r="D428" s="32" t="n">
        <v>5.46</v>
      </c>
      <c r="E428" s="32" t="n">
        <v>201.147</v>
      </c>
      <c r="F428" s="32" t="n">
        <v>2798.003</v>
      </c>
      <c r="G428" s="32" t="n">
        <v>7.164</v>
      </c>
      <c r="H428" s="32" t="inlineStr">
        <is>
          <t>MM</t>
        </is>
      </c>
      <c r="K428" s="32" t="inlineStr">
        <is>
          <t>20250514-16</t>
        </is>
      </c>
    </row>
    <row r="429">
      <c r="A429" s="32" t="n">
        <v>6</v>
      </c>
      <c r="B429" s="32" t="inlineStr">
        <is>
          <t>EPA1633 &amp; diPAPs Calibration 5 ppb</t>
        </is>
      </c>
      <c r="D429" s="32" t="n">
        <v>5.84</v>
      </c>
      <c r="E429" s="32" t="n">
        <v>266.677</v>
      </c>
      <c r="F429" s="32" t="n">
        <v>2309.18</v>
      </c>
      <c r="G429" s="32" t="n">
        <v>4.413</v>
      </c>
      <c r="H429" s="32" t="inlineStr">
        <is>
          <t>MM</t>
        </is>
      </c>
      <c r="K429" s="32" t="inlineStr">
        <is>
          <t>20250514-17</t>
        </is>
      </c>
    </row>
    <row r="430">
      <c r="A430" s="32" t="n">
        <v>7</v>
      </c>
      <c r="B430" s="32" t="inlineStr">
        <is>
          <t>EPA1633 &amp; diPAPs Calibration 10 ppb</t>
        </is>
      </c>
      <c r="D430" s="32" t="n">
        <v>5.71</v>
      </c>
      <c r="E430" s="32" t="n">
        <v>439.25</v>
      </c>
      <c r="F430" s="32" t="n">
        <v>2072.812</v>
      </c>
      <c r="G430" s="32" t="n">
        <v>2.785</v>
      </c>
      <c r="H430" s="32" t="inlineStr">
        <is>
          <t>bb</t>
        </is>
      </c>
      <c r="K430" s="32" t="inlineStr">
        <is>
          <t>20250514-18</t>
        </is>
      </c>
    </row>
    <row r="431">
      <c r="A431" s="32" t="n">
        <v>8</v>
      </c>
      <c r="B431" s="32" t="inlineStr">
        <is>
          <t>EPA1633 &amp; diPAPs Calibration 20 ppb</t>
        </is>
      </c>
      <c r="D431" s="32" t="n">
        <v>5.62</v>
      </c>
      <c r="E431" s="32" t="n">
        <v>421.12</v>
      </c>
      <c r="F431" s="32" t="n">
        <v>1703.301</v>
      </c>
      <c r="G431" s="32" t="n">
        <v>2.887</v>
      </c>
      <c r="H431" s="32" t="inlineStr">
        <is>
          <t>bb</t>
        </is>
      </c>
      <c r="K431" s="32" t="inlineStr">
        <is>
          <t>20250514-19</t>
        </is>
      </c>
    </row>
    <row r="432">
      <c r="A432" s="32" t="n">
        <v>9</v>
      </c>
      <c r="B432" s="32" t="inlineStr">
        <is>
          <t>MeOH</t>
        </is>
      </c>
      <c r="D432" s="32" t="n">
        <v>5.3</v>
      </c>
      <c r="E432" s="32" t="n">
        <v>363.991</v>
      </c>
      <c r="G432" s="32" t="n">
        <v>3.633</v>
      </c>
      <c r="H432" s="32" t="inlineStr">
        <is>
          <t>bb</t>
        </is>
      </c>
      <c r="K432" s="32" t="inlineStr">
        <is>
          <t>20250514-20</t>
        </is>
      </c>
    </row>
    <row r="433">
      <c r="A433" s="32" t="n">
        <v>10</v>
      </c>
      <c r="B433" s="32" t="inlineStr">
        <is>
          <t>MeOH</t>
        </is>
      </c>
      <c r="D433" s="32" t="n">
        <v>5.89</v>
      </c>
      <c r="E433" s="32" t="n">
        <v>754.705</v>
      </c>
      <c r="G433" s="32" t="n">
        <v>3.498</v>
      </c>
      <c r="H433" s="32" t="inlineStr">
        <is>
          <t>bb</t>
        </is>
      </c>
      <c r="K433" s="32" t="inlineStr">
        <is>
          <t>20250514-21</t>
        </is>
      </c>
    </row>
    <row r="434">
      <c r="A434" s="32" t="n">
        <v>11</v>
      </c>
      <c r="B434" s="32" t="inlineStr">
        <is>
          <t>SB1</t>
        </is>
      </c>
      <c r="D434" s="32" t="n">
        <v>5.84</v>
      </c>
      <c r="E434" s="32" t="n">
        <v>565.576</v>
      </c>
      <c r="F434" s="32" t="n">
        <v>802.6180000000001</v>
      </c>
      <c r="G434" s="32" t="n">
        <v>5.249</v>
      </c>
      <c r="H434" s="32" t="inlineStr">
        <is>
          <t>bd</t>
        </is>
      </c>
      <c r="K434" s="32" t="inlineStr">
        <is>
          <t>20250514-22</t>
        </is>
      </c>
    </row>
    <row r="435">
      <c r="A435" s="32" t="n">
        <v>12</v>
      </c>
      <c r="B435" s="32" t="inlineStr">
        <is>
          <t>SB2</t>
        </is>
      </c>
      <c r="D435" s="32" t="n">
        <v>5.76</v>
      </c>
      <c r="E435" s="32" t="n">
        <v>386.2</v>
      </c>
      <c r="F435" s="32" t="n">
        <v>1039.268</v>
      </c>
      <c r="G435" s="32" t="n">
        <v>4.897</v>
      </c>
      <c r="H435" s="32" t="inlineStr">
        <is>
          <t>bb</t>
        </is>
      </c>
      <c r="K435" s="32" t="inlineStr">
        <is>
          <t>20250514-23</t>
        </is>
      </c>
    </row>
    <row r="436">
      <c r="A436" s="32" t="n">
        <v>13</v>
      </c>
      <c r="B436" s="32" t="inlineStr">
        <is>
          <t>SB3</t>
        </is>
      </c>
      <c r="D436" s="32" t="n">
        <v>5.7</v>
      </c>
      <c r="E436" s="32" t="n">
        <v>282.639</v>
      </c>
      <c r="F436" s="32" t="n">
        <v>1005.736</v>
      </c>
      <c r="G436" s="32" t="n">
        <v>2.831</v>
      </c>
      <c r="H436" s="32" t="inlineStr">
        <is>
          <t>bb</t>
        </is>
      </c>
      <c r="K436" s="32" t="inlineStr">
        <is>
          <t>20250514-24</t>
        </is>
      </c>
    </row>
    <row r="437">
      <c r="A437" s="32" t="n">
        <v>14</v>
      </c>
      <c r="B437" s="32" t="inlineStr">
        <is>
          <t>SS1</t>
        </is>
      </c>
      <c r="D437" s="32" t="n">
        <v>5.65</v>
      </c>
      <c r="E437" s="32" t="n">
        <v>2231.716</v>
      </c>
      <c r="F437" s="32" t="n">
        <v>860.02</v>
      </c>
      <c r="G437" s="32" t="n">
        <v>6.298</v>
      </c>
      <c r="H437" s="32" t="inlineStr">
        <is>
          <t>bb</t>
        </is>
      </c>
      <c r="K437" s="32" t="inlineStr">
        <is>
          <t>20250514-25</t>
        </is>
      </c>
    </row>
    <row r="438">
      <c r="A438" s="32" t="n">
        <v>15</v>
      </c>
      <c r="B438" s="32" t="inlineStr">
        <is>
          <t>SS2</t>
        </is>
      </c>
      <c r="D438" s="32" t="n">
        <v>6.03</v>
      </c>
      <c r="E438" s="32" t="n">
        <v>642.471</v>
      </c>
      <c r="F438" s="32" t="n">
        <v>1205.224</v>
      </c>
      <c r="G438" s="32" t="n">
        <v>4.186</v>
      </c>
      <c r="H438" s="32" t="inlineStr">
        <is>
          <t>bb</t>
        </is>
      </c>
      <c r="K438" s="32" t="inlineStr">
        <is>
          <t>20250514-26</t>
        </is>
      </c>
    </row>
    <row r="439">
      <c r="A439" s="32" t="n">
        <v>16</v>
      </c>
      <c r="B439" s="32" t="inlineStr">
        <is>
          <t>SS3</t>
        </is>
      </c>
      <c r="D439" s="32" t="n">
        <v>5.97</v>
      </c>
      <c r="E439" s="32" t="n">
        <v>279.42</v>
      </c>
      <c r="F439" s="32" t="n">
        <v>953.783</v>
      </c>
      <c r="G439" s="32" t="n">
        <v>3.113</v>
      </c>
      <c r="H439" s="32" t="inlineStr">
        <is>
          <t>bb</t>
        </is>
      </c>
      <c r="K439" s="32" t="inlineStr">
        <is>
          <t>20250514-27</t>
        </is>
      </c>
    </row>
    <row r="440">
      <c r="A440" s="32" t="n">
        <v>17</v>
      </c>
      <c r="B440" s="32" t="inlineStr">
        <is>
          <t>MeOH</t>
        </is>
      </c>
      <c r="D440" s="32" t="n">
        <v>5.47</v>
      </c>
      <c r="E440" s="32" t="n">
        <v>533.162</v>
      </c>
      <c r="G440" s="32" t="n">
        <v>3.678</v>
      </c>
      <c r="H440" s="32" t="inlineStr">
        <is>
          <t>bb</t>
        </is>
      </c>
      <c r="K440" s="32" t="inlineStr">
        <is>
          <t>20250514-28</t>
        </is>
      </c>
    </row>
    <row r="441">
      <c r="A441" s="32" t="n">
        <v>18</v>
      </c>
      <c r="B441" s="32" t="inlineStr">
        <is>
          <t>K4-1A</t>
        </is>
      </c>
      <c r="D441" s="32" t="n">
        <v>5.46</v>
      </c>
      <c r="E441" s="32" t="n">
        <v>1920.567</v>
      </c>
      <c r="F441" s="32" t="n">
        <v>1575.246</v>
      </c>
      <c r="G441" s="32" t="n">
        <v>6.004</v>
      </c>
      <c r="H441" s="32" t="inlineStr">
        <is>
          <t>bb</t>
        </is>
      </c>
      <c r="K441" s="32" t="inlineStr">
        <is>
          <t>20250514-29</t>
        </is>
      </c>
    </row>
    <row r="442">
      <c r="A442" s="32" t="n">
        <v>19</v>
      </c>
      <c r="B442" s="32" t="inlineStr">
        <is>
          <t>K4-1B</t>
        </is>
      </c>
      <c r="D442" s="32" t="n">
        <v>5.53</v>
      </c>
      <c r="E442" s="32" t="n">
        <v>467.66</v>
      </c>
      <c r="F442" s="32" t="n">
        <v>1550.869</v>
      </c>
      <c r="G442" s="32" t="n">
        <v>3.407</v>
      </c>
      <c r="H442" s="32" t="inlineStr">
        <is>
          <t>bb</t>
        </is>
      </c>
      <c r="K442" s="32" t="inlineStr">
        <is>
          <t>20250514-30</t>
        </is>
      </c>
    </row>
    <row r="443">
      <c r="A443" s="32" t="n">
        <v>20</v>
      </c>
      <c r="B443" s="32" t="inlineStr">
        <is>
          <t>K4-1C</t>
        </is>
      </c>
      <c r="D443" s="32" t="n">
        <v>5.78</v>
      </c>
      <c r="E443" s="32" t="n">
        <v>2593.044</v>
      </c>
      <c r="F443" s="32" t="n">
        <v>1163.846</v>
      </c>
      <c r="G443" s="32" t="n">
        <v>4.869</v>
      </c>
      <c r="H443" s="32" t="inlineStr">
        <is>
          <t>bd</t>
        </is>
      </c>
      <c r="K443" s="32" t="inlineStr">
        <is>
          <t>20250514-31</t>
        </is>
      </c>
    </row>
    <row r="444">
      <c r="A444" s="32" t="n">
        <v>21</v>
      </c>
      <c r="B444" s="32" t="inlineStr">
        <is>
          <t>K4-2A</t>
        </is>
      </c>
      <c r="D444" s="32" t="n">
        <v>5.63</v>
      </c>
      <c r="E444" s="32" t="n">
        <v>4024.259</v>
      </c>
      <c r="F444" s="32" t="n">
        <v>1084.067</v>
      </c>
      <c r="G444" s="32" t="n">
        <v>8.871</v>
      </c>
      <c r="H444" s="32" t="inlineStr">
        <is>
          <t>db</t>
        </is>
      </c>
      <c r="K444" s="32" t="inlineStr">
        <is>
          <t>20250514-32</t>
        </is>
      </c>
    </row>
    <row r="445">
      <c r="A445" s="32" t="n">
        <v>22</v>
      </c>
      <c r="B445" s="32" t="inlineStr">
        <is>
          <t>K4-2B</t>
        </is>
      </c>
      <c r="D445" s="32" t="n">
        <v>6.02</v>
      </c>
      <c r="E445" s="32" t="n">
        <v>678.792</v>
      </c>
      <c r="F445" s="32" t="n">
        <v>1044.51</v>
      </c>
      <c r="G445" s="32" t="n">
        <v>4.132</v>
      </c>
      <c r="H445" s="32" t="inlineStr">
        <is>
          <t>bb</t>
        </is>
      </c>
      <c r="K445" s="32" t="inlineStr">
        <is>
          <t>20250514-33</t>
        </is>
      </c>
    </row>
    <row r="446">
      <c r="A446" s="32" t="n">
        <v>23</v>
      </c>
      <c r="B446" s="32" t="inlineStr">
        <is>
          <t>K4-2C</t>
        </is>
      </c>
      <c r="D446" s="32" t="n">
        <v>6.14</v>
      </c>
      <c r="E446" s="32" t="n">
        <v>755.244</v>
      </c>
      <c r="F446" s="32" t="n">
        <v>1020.096</v>
      </c>
      <c r="G446" s="32" t="n">
        <v>2.933</v>
      </c>
      <c r="H446" s="32" t="inlineStr">
        <is>
          <t>bb</t>
        </is>
      </c>
      <c r="K446" s="32" t="inlineStr">
        <is>
          <t>20250514-34</t>
        </is>
      </c>
    </row>
    <row r="447">
      <c r="A447" s="32" t="n">
        <v>24</v>
      </c>
      <c r="B447" s="32" t="inlineStr">
        <is>
          <t>MeOH</t>
        </is>
      </c>
      <c r="D447" s="32" t="n">
        <v>5.66</v>
      </c>
      <c r="E447" s="32" t="n">
        <v>826.845</v>
      </c>
      <c r="G447" s="32" t="n">
        <v>6.273</v>
      </c>
      <c r="H447" s="32" t="inlineStr">
        <is>
          <t>bd</t>
        </is>
      </c>
      <c r="K447" s="32" t="inlineStr">
        <is>
          <t>20250514-35</t>
        </is>
      </c>
    </row>
    <row r="448">
      <c r="A448" s="32" t="n">
        <v>25</v>
      </c>
      <c r="B448" s="32" t="inlineStr">
        <is>
          <t>K4-4A</t>
        </is>
      </c>
      <c r="D448" s="32" t="n">
        <v>5.49</v>
      </c>
      <c r="E448" s="32" t="n">
        <v>1925.56</v>
      </c>
      <c r="F448" s="32" t="n">
        <v>1051.351</v>
      </c>
      <c r="G448" s="32" t="n">
        <v>5.485</v>
      </c>
      <c r="H448" s="32" t="inlineStr">
        <is>
          <t>bb</t>
        </is>
      </c>
      <c r="K448" s="32" t="inlineStr">
        <is>
          <t>20250514-36</t>
        </is>
      </c>
    </row>
    <row r="449">
      <c r="A449" s="32" t="n">
        <v>26</v>
      </c>
      <c r="B449" s="32" t="inlineStr">
        <is>
          <t>K4-4B</t>
        </is>
      </c>
      <c r="D449" s="32" t="n">
        <v>5.79</v>
      </c>
      <c r="E449" s="32" t="n">
        <v>1302.79</v>
      </c>
      <c r="F449" s="32" t="n">
        <v>1035.151</v>
      </c>
      <c r="G449" s="32" t="n">
        <v>5.317</v>
      </c>
      <c r="H449" s="32" t="inlineStr">
        <is>
          <t>bb</t>
        </is>
      </c>
      <c r="K449" s="32" t="inlineStr">
        <is>
          <t>20250514-37</t>
        </is>
      </c>
    </row>
    <row r="450">
      <c r="A450" s="32" t="n">
        <v>27</v>
      </c>
      <c r="B450" s="32" t="inlineStr">
        <is>
          <t>K4-4C</t>
        </is>
      </c>
      <c r="D450" s="32" t="n">
        <v>6.43</v>
      </c>
      <c r="E450" s="32" t="n">
        <v>239.072</v>
      </c>
      <c r="F450" s="32" t="n">
        <v>822.99</v>
      </c>
      <c r="G450" s="32" t="n">
        <v>3.375</v>
      </c>
      <c r="H450" s="32" t="inlineStr">
        <is>
          <t>bb</t>
        </is>
      </c>
      <c r="K450" s="32" t="inlineStr">
        <is>
          <t>20250514-38</t>
        </is>
      </c>
    </row>
    <row r="451">
      <c r="A451" s="32" t="n">
        <v>28</v>
      </c>
      <c r="B451" s="32" t="inlineStr">
        <is>
          <t>K4-5A</t>
        </is>
      </c>
      <c r="D451" s="32" t="n">
        <v>5.81</v>
      </c>
      <c r="E451" s="32" t="n">
        <v>1039.665</v>
      </c>
      <c r="F451" s="32" t="n">
        <v>985.0170000000001</v>
      </c>
      <c r="G451" s="32" t="n">
        <v>6.415</v>
      </c>
      <c r="H451" s="32" t="inlineStr">
        <is>
          <t>bb</t>
        </is>
      </c>
      <c r="K451" s="32" t="inlineStr">
        <is>
          <t>20250514-39</t>
        </is>
      </c>
    </row>
    <row r="452">
      <c r="A452" s="32" t="n">
        <v>29</v>
      </c>
      <c r="B452" s="32" t="inlineStr">
        <is>
          <t>K4-5B</t>
        </is>
      </c>
      <c r="D452" s="32" t="n">
        <v>5.31</v>
      </c>
      <c r="E452" s="32" t="n">
        <v>193.742</v>
      </c>
      <c r="F452" s="32" t="n">
        <v>1024.411</v>
      </c>
      <c r="G452" s="32" t="n">
        <v>3.918</v>
      </c>
      <c r="H452" s="32" t="inlineStr">
        <is>
          <t>bb</t>
        </is>
      </c>
      <c r="K452" s="32" t="inlineStr">
        <is>
          <t>20250514-40</t>
        </is>
      </c>
    </row>
    <row r="453">
      <c r="A453" s="32" t="n">
        <v>30</v>
      </c>
      <c r="B453" s="32" t="inlineStr">
        <is>
          <t>K4-5C</t>
        </is>
      </c>
      <c r="D453" s="32" t="n">
        <v>5.67</v>
      </c>
      <c r="E453" s="32" t="n">
        <v>1593.532</v>
      </c>
      <c r="F453" s="32" t="n">
        <v>1313.31</v>
      </c>
      <c r="G453" s="32" t="n">
        <v>7.496</v>
      </c>
      <c r="H453" s="32" t="inlineStr">
        <is>
          <t>bb</t>
        </is>
      </c>
      <c r="K453" s="32" t="inlineStr">
        <is>
          <t>20250514-41</t>
        </is>
      </c>
    </row>
    <row r="454">
      <c r="A454" s="32" t="n">
        <v>31</v>
      </c>
      <c r="B454" s="32" t="inlineStr">
        <is>
          <t>MeOH</t>
        </is>
      </c>
      <c r="D454" s="32" t="n">
        <v>6.26</v>
      </c>
      <c r="E454" s="32" t="n">
        <v>1951.191</v>
      </c>
      <c r="G454" s="32" t="n">
        <v>5.563</v>
      </c>
      <c r="H454" s="32" t="inlineStr">
        <is>
          <t>bb</t>
        </is>
      </c>
      <c r="K454" s="32" t="inlineStr">
        <is>
          <t>20250514-42</t>
        </is>
      </c>
    </row>
    <row r="455">
      <c r="A455" s="32" t="n">
        <v>32</v>
      </c>
      <c r="B455" s="32" t="inlineStr">
        <is>
          <t>K3-1A</t>
        </is>
      </c>
      <c r="D455" s="32" t="n">
        <v>5.65</v>
      </c>
      <c r="E455" s="32" t="n">
        <v>235.592</v>
      </c>
      <c r="F455" s="32" t="n">
        <v>1115.547</v>
      </c>
      <c r="G455" s="32" t="n">
        <v>5.631</v>
      </c>
      <c r="H455" s="32" t="inlineStr">
        <is>
          <t>bd</t>
        </is>
      </c>
      <c r="K455" s="32" t="inlineStr">
        <is>
          <t>20250514-43</t>
        </is>
      </c>
    </row>
    <row r="456">
      <c r="A456" s="32" t="n">
        <v>33</v>
      </c>
      <c r="B456" s="32" t="inlineStr">
        <is>
          <t>K3-1B</t>
        </is>
      </c>
      <c r="D456" s="32" t="n">
        <v>6.14</v>
      </c>
      <c r="E456" s="32" t="n">
        <v>1478.118</v>
      </c>
      <c r="F456" s="32" t="n">
        <v>868.492</v>
      </c>
      <c r="G456" s="32" t="n">
        <v>7.988</v>
      </c>
      <c r="H456" s="32" t="inlineStr">
        <is>
          <t>db</t>
        </is>
      </c>
      <c r="K456" s="32" t="inlineStr">
        <is>
          <t>20250514-44</t>
        </is>
      </c>
    </row>
    <row r="457">
      <c r="A457" s="32" t="n">
        <v>34</v>
      </c>
      <c r="B457" s="32" t="inlineStr">
        <is>
          <t>K3-1C</t>
        </is>
      </c>
      <c r="D457" s="32" t="n">
        <v>5.27</v>
      </c>
      <c r="E457" s="32" t="n">
        <v>295.176</v>
      </c>
      <c r="F457" s="32" t="n">
        <v>1891.713</v>
      </c>
      <c r="G457" s="32" t="n">
        <v>2.662</v>
      </c>
      <c r="H457" s="32" t="inlineStr">
        <is>
          <t>bb</t>
        </is>
      </c>
      <c r="K457" s="32" t="inlineStr">
        <is>
          <t>20250514-45</t>
        </is>
      </c>
    </row>
    <row r="458">
      <c r="A458" s="32" t="n">
        <v>35</v>
      </c>
      <c r="B458" s="32" t="inlineStr">
        <is>
          <t>K3-2A</t>
        </is>
      </c>
      <c r="D458" s="32" t="n">
        <v>5.86</v>
      </c>
      <c r="E458" s="32" t="n">
        <v>2866.479</v>
      </c>
      <c r="F458" s="32" t="n">
        <v>1176.041</v>
      </c>
      <c r="G458" s="32" t="n">
        <v>6.056</v>
      </c>
      <c r="H458" s="32" t="inlineStr">
        <is>
          <t>bb</t>
        </is>
      </c>
      <c r="K458" s="32" t="inlineStr">
        <is>
          <t>20250514-46</t>
        </is>
      </c>
    </row>
    <row r="459">
      <c r="A459" s="32" t="n">
        <v>36</v>
      </c>
      <c r="B459" s="32" t="inlineStr">
        <is>
          <t>K3-2B</t>
        </is>
      </c>
      <c r="D459" s="32" t="n">
        <v>5.77</v>
      </c>
      <c r="E459" s="32" t="n">
        <v>1810.673</v>
      </c>
      <c r="F459" s="32" t="n">
        <v>1321.349</v>
      </c>
      <c r="G459" s="32" t="n">
        <v>5.459</v>
      </c>
      <c r="H459" s="32" t="inlineStr">
        <is>
          <t>bb</t>
        </is>
      </c>
      <c r="K459" s="32" t="inlineStr">
        <is>
          <t>20250514-47</t>
        </is>
      </c>
    </row>
    <row r="460">
      <c r="A460" s="32" t="n">
        <v>37</v>
      </c>
      <c r="B460" s="32" t="inlineStr">
        <is>
          <t>K3-2C</t>
        </is>
      </c>
      <c r="D460" s="32" t="n">
        <v>6.17</v>
      </c>
      <c r="E460" s="32" t="n">
        <v>139.268</v>
      </c>
      <c r="F460" s="32" t="n">
        <v>1479.533</v>
      </c>
      <c r="G460" s="32" t="n">
        <v>3.709</v>
      </c>
      <c r="H460" s="32" t="inlineStr">
        <is>
          <t>bb</t>
        </is>
      </c>
      <c r="K460" s="32" t="inlineStr">
        <is>
          <t>20250514-48</t>
        </is>
      </c>
    </row>
    <row r="461">
      <c r="A461" s="32" t="n">
        <v>38</v>
      </c>
      <c r="B461" s="32" t="inlineStr">
        <is>
          <t>MeOH</t>
        </is>
      </c>
      <c r="D461" s="32" t="n">
        <v>6.37</v>
      </c>
      <c r="E461" s="32" t="n">
        <v>366.742</v>
      </c>
      <c r="G461" s="32" t="n">
        <v>4.463</v>
      </c>
      <c r="H461" s="32" t="inlineStr">
        <is>
          <t>bb</t>
        </is>
      </c>
      <c r="K461" s="32" t="inlineStr">
        <is>
          <t>20250514-49</t>
        </is>
      </c>
    </row>
    <row r="462">
      <c r="A462" s="32" t="n">
        <v>39</v>
      </c>
      <c r="B462" s="32" t="inlineStr">
        <is>
          <t>K3-3A</t>
        </is>
      </c>
      <c r="D462" s="32" t="n">
        <v>5.92</v>
      </c>
      <c r="E462" s="32" t="n">
        <v>1864.422</v>
      </c>
      <c r="F462" s="32" t="n">
        <v>1517.701</v>
      </c>
      <c r="G462" s="32" t="n">
        <v>6.766</v>
      </c>
      <c r="H462" s="32" t="inlineStr">
        <is>
          <t>bb</t>
        </is>
      </c>
      <c r="K462" s="32" t="inlineStr">
        <is>
          <t>20250514-50</t>
        </is>
      </c>
    </row>
    <row r="463">
      <c r="A463" s="32" t="n">
        <v>40</v>
      </c>
      <c r="B463" s="32" t="inlineStr">
        <is>
          <t>K3-3B</t>
        </is>
      </c>
      <c r="D463" s="32" t="n">
        <v>5.79</v>
      </c>
      <c r="E463" s="32" t="n">
        <v>1296.338</v>
      </c>
      <c r="F463" s="32" t="n">
        <v>1453.885</v>
      </c>
      <c r="G463" s="32" t="n">
        <v>4.592</v>
      </c>
      <c r="H463" s="32" t="inlineStr">
        <is>
          <t>db</t>
        </is>
      </c>
      <c r="K463" s="32" t="inlineStr">
        <is>
          <t>20250514-51</t>
        </is>
      </c>
    </row>
    <row r="464">
      <c r="A464" s="32" t="n">
        <v>41</v>
      </c>
      <c r="B464" s="32" t="inlineStr">
        <is>
          <t>K3-3C</t>
        </is>
      </c>
      <c r="D464" s="32" t="n">
        <v>5.53</v>
      </c>
      <c r="E464" s="32" t="n">
        <v>1438.564</v>
      </c>
      <c r="F464" s="32" t="n">
        <v>1930.228</v>
      </c>
      <c r="G464" s="32" t="n">
        <v>4.72</v>
      </c>
      <c r="H464" s="32" t="inlineStr">
        <is>
          <t>bb</t>
        </is>
      </c>
      <c r="K464" s="32" t="inlineStr">
        <is>
          <t>20250514-52</t>
        </is>
      </c>
    </row>
    <row r="465">
      <c r="A465" s="32" t="n">
        <v>42</v>
      </c>
      <c r="B465" s="32" t="inlineStr">
        <is>
          <t>K3-4A</t>
        </is>
      </c>
      <c r="D465" s="32" t="n">
        <v>5.74</v>
      </c>
      <c r="E465" s="32" t="n">
        <v>347.01</v>
      </c>
      <c r="F465" s="32" t="n">
        <v>2454.78</v>
      </c>
      <c r="G465" s="32" t="n">
        <v>6.076</v>
      </c>
      <c r="H465" s="32" t="inlineStr">
        <is>
          <t>bd</t>
        </is>
      </c>
      <c r="K465" s="32" t="inlineStr">
        <is>
          <t>20250514-53</t>
        </is>
      </c>
    </row>
    <row r="466">
      <c r="A466" s="32" t="n">
        <v>43</v>
      </c>
      <c r="B466" s="32" t="inlineStr">
        <is>
          <t>K3-4B</t>
        </is>
      </c>
      <c r="D466" s="32" t="n">
        <v>5.22</v>
      </c>
      <c r="E466" s="32" t="n">
        <v>859.34</v>
      </c>
      <c r="F466" s="32" t="n">
        <v>2046.805</v>
      </c>
      <c r="G466" s="32" t="n">
        <v>4.592</v>
      </c>
      <c r="H466" s="32" t="inlineStr">
        <is>
          <t>bd</t>
        </is>
      </c>
      <c r="K466" s="32" t="inlineStr">
        <is>
          <t>20250514-54</t>
        </is>
      </c>
    </row>
    <row r="467">
      <c r="A467" s="32" t="n">
        <v>44</v>
      </c>
      <c r="B467" s="32" t="inlineStr">
        <is>
          <t>K3-4C</t>
        </is>
      </c>
      <c r="D467" s="32" t="n">
        <v>5.92</v>
      </c>
      <c r="E467" s="32" t="n">
        <v>2588.242</v>
      </c>
      <c r="F467" s="32" t="n">
        <v>1963.707</v>
      </c>
      <c r="G467" s="32" t="n">
        <v>8.231</v>
      </c>
      <c r="H467" s="32" t="inlineStr">
        <is>
          <t>bb</t>
        </is>
      </c>
      <c r="K467" s="32" t="inlineStr">
        <is>
          <t>20250514-55</t>
        </is>
      </c>
    </row>
    <row r="468">
      <c r="A468" s="32" t="n">
        <v>45</v>
      </c>
      <c r="B468" s="32" t="inlineStr">
        <is>
          <t>MeOH</t>
        </is>
      </c>
      <c r="D468" s="32" t="n">
        <v>5.22</v>
      </c>
      <c r="E468" s="32" t="n">
        <v>344.721</v>
      </c>
      <c r="G468" s="32" t="n">
        <v>3.908</v>
      </c>
      <c r="H468" s="32" t="inlineStr">
        <is>
          <t>bb</t>
        </is>
      </c>
      <c r="K468" s="32" t="inlineStr">
        <is>
          <t>20250514-56</t>
        </is>
      </c>
    </row>
    <row r="469">
      <c r="A469" s="32" t="n">
        <v>46</v>
      </c>
      <c r="B469" s="32" t="inlineStr">
        <is>
          <t>K3-6A</t>
        </is>
      </c>
      <c r="D469" s="32" t="n">
        <v>5.96</v>
      </c>
      <c r="E469" s="32" t="n">
        <v>744.0599999999999</v>
      </c>
      <c r="F469" s="32" t="n">
        <v>2063.159</v>
      </c>
      <c r="G469" s="32" t="n">
        <v>4.903</v>
      </c>
      <c r="H469" s="32" t="inlineStr">
        <is>
          <t>bb</t>
        </is>
      </c>
      <c r="K469" s="32" t="inlineStr">
        <is>
          <t>20250514-57</t>
        </is>
      </c>
    </row>
    <row r="470">
      <c r="A470" s="32" t="n">
        <v>47</v>
      </c>
      <c r="B470" s="32" t="inlineStr">
        <is>
          <t>K3-6B</t>
        </is>
      </c>
      <c r="D470" s="32" t="n">
        <v>6.54</v>
      </c>
      <c r="E470" s="32" t="n">
        <v>1357.818</v>
      </c>
      <c r="F470" s="32" t="n">
        <v>1701.403</v>
      </c>
      <c r="G470" s="32" t="n">
        <v>5.065</v>
      </c>
      <c r="H470" s="32" t="inlineStr">
        <is>
          <t>bb</t>
        </is>
      </c>
      <c r="K470" s="32" t="inlineStr">
        <is>
          <t>20250514-58</t>
        </is>
      </c>
    </row>
    <row r="471">
      <c r="A471" s="32" t="n">
        <v>48</v>
      </c>
      <c r="B471" s="32" t="inlineStr">
        <is>
          <t>K3-6C</t>
        </is>
      </c>
      <c r="D471" s="32" t="n">
        <v>5.58</v>
      </c>
      <c r="E471" s="32" t="n">
        <v>1493.406</v>
      </c>
      <c r="F471" s="32" t="n">
        <v>1921.069</v>
      </c>
      <c r="G471" s="32" t="n">
        <v>3.822</v>
      </c>
      <c r="H471" s="32" t="inlineStr">
        <is>
          <t>bb</t>
        </is>
      </c>
      <c r="K471" s="32" t="inlineStr">
        <is>
          <t>20250514-59</t>
        </is>
      </c>
    </row>
    <row r="473">
      <c r="A473" s="32" t="inlineStr">
        <is>
          <t>Compound 10:  PFPeA 1</t>
        </is>
      </c>
    </row>
    <row r="475">
      <c r="B475" s="32" t="inlineStr">
        <is>
          <t>Sample Text</t>
        </is>
      </c>
      <c r="C475" s="32" t="inlineStr">
        <is>
          <t>Std. Conc</t>
        </is>
      </c>
      <c r="D475" s="32" t="inlineStr">
        <is>
          <t>RT</t>
        </is>
      </c>
      <c r="E475" s="32" t="inlineStr">
        <is>
          <t>Area</t>
        </is>
      </c>
      <c r="F475" s="32" t="inlineStr">
        <is>
          <t>IS Area</t>
        </is>
      </c>
      <c r="G475" s="32" t="inlineStr">
        <is>
          <t>S/N</t>
        </is>
      </c>
      <c r="H475" s="32" t="inlineStr">
        <is>
          <t>Primary Flags</t>
        </is>
      </c>
      <c r="I475" s="32" t="inlineStr">
        <is>
          <t>Response</t>
        </is>
      </c>
      <c r="J475" s="32" t="inlineStr">
        <is>
          <t>Conc.</t>
        </is>
      </c>
      <c r="K475" s="32" t="inlineStr">
        <is>
          <t>Name</t>
        </is>
      </c>
    </row>
    <row r="476">
      <c r="A476" s="32" t="n">
        <v>1</v>
      </c>
      <c r="B476" s="32" t="inlineStr">
        <is>
          <t>EPA1633 &amp; diPAPs Calibration 0 ppb</t>
        </is>
      </c>
      <c r="D476" s="32" t="n">
        <v>6.25</v>
      </c>
      <c r="E476" s="32" t="n">
        <v>0.964</v>
      </c>
      <c r="F476" s="32" t="n">
        <v>1566.984</v>
      </c>
      <c r="G476" s="32" t="n">
        <v>0.205</v>
      </c>
      <c r="H476" s="32" t="inlineStr">
        <is>
          <t>MM</t>
        </is>
      </c>
      <c r="K476" s="32" t="inlineStr">
        <is>
          <t>20250514-12</t>
        </is>
      </c>
    </row>
    <row r="477">
      <c r="A477" s="32" t="n">
        <v>2</v>
      </c>
      <c r="B477" s="32" t="inlineStr">
        <is>
          <t>EPA1633 &amp; diPAPs Calibration 0.02 ppb</t>
        </is>
      </c>
      <c r="D477" s="32" t="n">
        <v>6.33</v>
      </c>
      <c r="E477" s="32" t="n">
        <v>24.435</v>
      </c>
      <c r="F477" s="32" t="n">
        <v>1104.988</v>
      </c>
      <c r="G477" s="32" t="n">
        <v>1.144</v>
      </c>
      <c r="H477" s="32" t="inlineStr">
        <is>
          <t>bb</t>
        </is>
      </c>
      <c r="K477" s="32" t="inlineStr">
        <is>
          <t>20250514-13</t>
        </is>
      </c>
    </row>
    <row r="478">
      <c r="A478" s="32" t="n">
        <v>3</v>
      </c>
      <c r="B478" s="32" t="inlineStr">
        <is>
          <t>EPA1633 &amp; diPAPs Calibration 0.1 ppb</t>
        </is>
      </c>
      <c r="D478" s="32" t="n">
        <v>6.33</v>
      </c>
      <c r="E478" s="32" t="n">
        <v>23.624</v>
      </c>
      <c r="F478" s="32" t="n">
        <v>1061.587</v>
      </c>
      <c r="G478" s="32" t="n">
        <v>2.022</v>
      </c>
      <c r="H478" s="32" t="inlineStr">
        <is>
          <t>MM</t>
        </is>
      </c>
      <c r="K478" s="32" t="inlineStr">
        <is>
          <t>20250514-14</t>
        </is>
      </c>
    </row>
    <row r="479">
      <c r="A479" s="32" t="n">
        <v>4</v>
      </c>
      <c r="B479" s="32" t="inlineStr">
        <is>
          <t>EPA1633 &amp; diPAPs Calibration 0.4 ppb</t>
        </is>
      </c>
      <c r="D479" s="32" t="n">
        <v>6.37</v>
      </c>
      <c r="E479" s="32" t="n">
        <v>56.886</v>
      </c>
      <c r="F479" s="32" t="n">
        <v>1027.635</v>
      </c>
      <c r="G479" s="32" t="n">
        <v>5.843</v>
      </c>
      <c r="H479" s="32" t="inlineStr">
        <is>
          <t>bb</t>
        </is>
      </c>
      <c r="K479" s="32" t="inlineStr">
        <is>
          <t>20250514-15</t>
        </is>
      </c>
    </row>
    <row r="480">
      <c r="A480" s="32" t="n">
        <v>5</v>
      </c>
      <c r="B480" s="32" t="inlineStr">
        <is>
          <t>EPA1633 &amp; diPAPs Calibration 1 ppb</t>
        </is>
      </c>
      <c r="D480" s="32" t="n">
        <v>6.4</v>
      </c>
      <c r="E480" s="32" t="n">
        <v>148.482</v>
      </c>
      <c r="F480" s="32" t="n">
        <v>1290.294</v>
      </c>
      <c r="G480" s="32" t="n">
        <v>8.295</v>
      </c>
      <c r="H480" s="32" t="inlineStr">
        <is>
          <t>bb</t>
        </is>
      </c>
      <c r="K480" s="32" t="inlineStr">
        <is>
          <t>20250514-16</t>
        </is>
      </c>
    </row>
    <row r="481">
      <c r="A481" s="32" t="n">
        <v>6</v>
      </c>
      <c r="B481" s="32" t="inlineStr">
        <is>
          <t>EPA1633 &amp; diPAPs Calibration 5 ppb</t>
        </is>
      </c>
      <c r="D481" s="32" t="n">
        <v>6.16</v>
      </c>
      <c r="E481" s="32" t="n">
        <v>693.9</v>
      </c>
      <c r="F481" s="32" t="n">
        <v>1018.312</v>
      </c>
      <c r="G481" s="32" t="n">
        <v>41.605</v>
      </c>
      <c r="H481" s="32" t="inlineStr">
        <is>
          <t>bb</t>
        </is>
      </c>
      <c r="K481" s="32" t="inlineStr">
        <is>
          <t>20250514-17</t>
        </is>
      </c>
    </row>
    <row r="482">
      <c r="A482" s="32" t="n">
        <v>7</v>
      </c>
      <c r="B482" s="32" t="inlineStr">
        <is>
          <t>EPA1633 &amp; diPAPs Calibration 10 ppb</t>
        </is>
      </c>
      <c r="D482" s="32" t="n">
        <v>6.22</v>
      </c>
      <c r="E482" s="32" t="n">
        <v>1254.871</v>
      </c>
      <c r="F482" s="32" t="n">
        <v>949.73</v>
      </c>
      <c r="G482" s="32" t="n">
        <v>85.598</v>
      </c>
      <c r="H482" s="32" t="inlineStr">
        <is>
          <t>bb</t>
        </is>
      </c>
      <c r="K482" s="32" t="inlineStr">
        <is>
          <t>20250514-18</t>
        </is>
      </c>
    </row>
    <row r="483">
      <c r="A483" s="32" t="n">
        <v>8</v>
      </c>
      <c r="B483" s="32" t="inlineStr">
        <is>
          <t>EPA1633 &amp; diPAPs Calibration 20 ppb</t>
        </is>
      </c>
      <c r="D483" s="32" t="n">
        <v>6.3</v>
      </c>
      <c r="E483" s="32" t="n">
        <v>2555.679</v>
      </c>
      <c r="F483" s="32" t="n">
        <v>877.6900000000001</v>
      </c>
      <c r="G483" s="32" t="n">
        <v>153.788</v>
      </c>
      <c r="H483" s="32" t="inlineStr">
        <is>
          <t>bb</t>
        </is>
      </c>
      <c r="K483" s="32" t="inlineStr">
        <is>
          <t>20250514-19</t>
        </is>
      </c>
    </row>
    <row r="484">
      <c r="A484" s="32" t="n">
        <v>9</v>
      </c>
      <c r="B484" s="32" t="inlineStr">
        <is>
          <t>MeOH</t>
        </is>
      </c>
      <c r="D484" s="32" t="n">
        <v>6.38</v>
      </c>
      <c r="E484" s="32" t="n">
        <v>22.468</v>
      </c>
      <c r="G484" s="32" t="n">
        <v>2.079</v>
      </c>
      <c r="H484" s="32" t="inlineStr">
        <is>
          <t>bb</t>
        </is>
      </c>
      <c r="K484" s="32" t="inlineStr">
        <is>
          <t>20250514-20</t>
        </is>
      </c>
    </row>
    <row r="485">
      <c r="A485" s="32" t="n">
        <v>10</v>
      </c>
      <c r="B485" s="32" t="inlineStr">
        <is>
          <t>MeOH</t>
        </is>
      </c>
      <c r="D485" s="32" t="n">
        <v>5.98</v>
      </c>
      <c r="E485" s="32" t="n">
        <v>3.624</v>
      </c>
      <c r="G485" s="32" t="n">
        <v>0.604</v>
      </c>
      <c r="H485" s="32" t="inlineStr">
        <is>
          <t>bb</t>
        </is>
      </c>
      <c r="K485" s="32" t="inlineStr">
        <is>
          <t>20250514-21</t>
        </is>
      </c>
    </row>
    <row r="486">
      <c r="A486" s="32" t="n">
        <v>11</v>
      </c>
      <c r="B486" s="32" t="inlineStr">
        <is>
          <t>SB1</t>
        </is>
      </c>
      <c r="D486" s="32" t="n">
        <v>6.18</v>
      </c>
      <c r="E486" s="32" t="n">
        <v>7.696</v>
      </c>
      <c r="F486" s="32" t="n">
        <v>445.96</v>
      </c>
      <c r="G486" s="32" t="n">
        <v>119</v>
      </c>
      <c r="H486" s="32" t="inlineStr">
        <is>
          <t>bb</t>
        </is>
      </c>
      <c r="K486" s="32" t="inlineStr">
        <is>
          <t>20250514-22</t>
        </is>
      </c>
    </row>
    <row r="487">
      <c r="A487" s="32" t="n">
        <v>12</v>
      </c>
      <c r="B487" s="32" t="inlineStr">
        <is>
          <t>SB2</t>
        </is>
      </c>
      <c r="D487" s="32" t="n">
        <v>5.96</v>
      </c>
      <c r="E487" s="32" t="n">
        <v>10.095</v>
      </c>
      <c r="F487" s="32" t="n">
        <v>600.391</v>
      </c>
      <c r="G487" s="32" t="n">
        <v>4.763</v>
      </c>
      <c r="H487" s="32" t="inlineStr">
        <is>
          <t>bb</t>
        </is>
      </c>
      <c r="K487" s="32" t="inlineStr">
        <is>
          <t>20250514-23</t>
        </is>
      </c>
    </row>
    <row r="488">
      <c r="A488" s="32" t="n">
        <v>13</v>
      </c>
      <c r="B488" s="32" t="inlineStr">
        <is>
          <t>SB3</t>
        </is>
      </c>
      <c r="D488" s="32" t="n">
        <v>6.18</v>
      </c>
      <c r="E488" s="32" t="n">
        <v>5.867</v>
      </c>
      <c r="F488" s="32" t="n">
        <v>377.781</v>
      </c>
      <c r="G488" s="32" t="n">
        <v>0.749</v>
      </c>
      <c r="H488" s="32" t="inlineStr">
        <is>
          <t>bb</t>
        </is>
      </c>
      <c r="K488" s="32" t="inlineStr">
        <is>
          <t>20250514-24</t>
        </is>
      </c>
    </row>
    <row r="489">
      <c r="A489" s="32" t="n">
        <v>14</v>
      </c>
      <c r="B489" s="32" t="inlineStr">
        <is>
          <t>SS1</t>
        </is>
      </c>
      <c r="D489" s="32" t="n">
        <v>6.46</v>
      </c>
      <c r="E489" s="32" t="n">
        <v>398.813</v>
      </c>
      <c r="F489" s="32" t="n">
        <v>467.984</v>
      </c>
      <c r="G489" s="32" t="n">
        <v>86.262</v>
      </c>
      <c r="H489" s="32" t="inlineStr">
        <is>
          <t>bb</t>
        </is>
      </c>
      <c r="K489" s="32" t="inlineStr">
        <is>
          <t>20250514-25</t>
        </is>
      </c>
    </row>
    <row r="490">
      <c r="A490" s="32" t="n">
        <v>15</v>
      </c>
      <c r="B490" s="32" t="inlineStr">
        <is>
          <t>SS2</t>
        </is>
      </c>
      <c r="D490" s="32" t="n">
        <v>6.49</v>
      </c>
      <c r="E490" s="32" t="n">
        <v>506.692</v>
      </c>
      <c r="F490" s="32" t="n">
        <v>435.7</v>
      </c>
      <c r="G490" s="32" t="n">
        <v>39.811</v>
      </c>
      <c r="H490" s="32" t="inlineStr">
        <is>
          <t>bb</t>
        </is>
      </c>
      <c r="K490" s="32" t="inlineStr">
        <is>
          <t>20250514-26</t>
        </is>
      </c>
    </row>
    <row r="491">
      <c r="A491" s="32" t="n">
        <v>16</v>
      </c>
      <c r="B491" s="32" t="inlineStr">
        <is>
          <t>SS3</t>
        </is>
      </c>
      <c r="D491" s="32" t="n">
        <v>6.49</v>
      </c>
      <c r="E491" s="32" t="n">
        <v>403.093</v>
      </c>
      <c r="F491" s="32" t="n">
        <v>448.247</v>
      </c>
      <c r="G491" s="32" t="n">
        <v>34.806</v>
      </c>
      <c r="H491" s="32" t="inlineStr">
        <is>
          <t>bb</t>
        </is>
      </c>
      <c r="K491" s="32" t="inlineStr">
        <is>
          <t>20250514-27</t>
        </is>
      </c>
    </row>
    <row r="492">
      <c r="A492" s="32" t="n">
        <v>17</v>
      </c>
      <c r="B492" s="32" t="inlineStr">
        <is>
          <t>MeOH</t>
        </is>
      </c>
      <c r="H492" s="32" t="inlineStr">
        <is>
          <t>MM-</t>
        </is>
      </c>
      <c r="K492" s="32" t="inlineStr">
        <is>
          <t>20250514-28</t>
        </is>
      </c>
    </row>
    <row r="493">
      <c r="A493" s="32" t="n">
        <v>18</v>
      </c>
      <c r="B493" s="32" t="inlineStr">
        <is>
          <t>K4-1A</t>
        </is>
      </c>
      <c r="D493" s="32" t="n">
        <v>6.53</v>
      </c>
      <c r="E493" s="32" t="n">
        <v>14.785</v>
      </c>
      <c r="F493" s="32" t="n">
        <v>563.42</v>
      </c>
      <c r="G493" s="32" t="n">
        <v>1.736</v>
      </c>
      <c r="H493" s="32" t="inlineStr">
        <is>
          <t>bd</t>
        </is>
      </c>
      <c r="K493" s="32" t="inlineStr">
        <is>
          <t>20250514-29</t>
        </is>
      </c>
    </row>
    <row r="494">
      <c r="A494" s="32" t="n">
        <v>19</v>
      </c>
      <c r="B494" s="32" t="inlineStr">
        <is>
          <t>K4-1B</t>
        </is>
      </c>
      <c r="D494" s="32" t="n">
        <v>6.51</v>
      </c>
      <c r="E494" s="32" t="n">
        <v>5.556</v>
      </c>
      <c r="F494" s="32" t="n">
        <v>700.124</v>
      </c>
      <c r="G494" s="32" t="n">
        <v>0.772</v>
      </c>
      <c r="H494" s="32" t="inlineStr">
        <is>
          <t>MM</t>
        </is>
      </c>
      <c r="K494" s="32" t="inlineStr">
        <is>
          <t>20250514-30</t>
        </is>
      </c>
    </row>
    <row r="495">
      <c r="A495" s="32" t="n">
        <v>20</v>
      </c>
      <c r="B495" s="32" t="inlineStr">
        <is>
          <t>K4-1C</t>
        </is>
      </c>
      <c r="D495" s="32" t="n">
        <v>6.51</v>
      </c>
      <c r="E495" s="32" t="n">
        <v>24.276</v>
      </c>
      <c r="F495" s="32" t="n">
        <v>801.362</v>
      </c>
      <c r="G495" s="32" t="n">
        <v>2.481</v>
      </c>
      <c r="H495" s="32" t="inlineStr">
        <is>
          <t>bb</t>
        </is>
      </c>
      <c r="K495" s="32" t="inlineStr">
        <is>
          <t>20250514-31</t>
        </is>
      </c>
    </row>
    <row r="496">
      <c r="A496" s="32" t="n">
        <v>21</v>
      </c>
      <c r="B496" s="32" t="inlineStr">
        <is>
          <t>K4-2A</t>
        </is>
      </c>
      <c r="D496" s="32" t="n">
        <v>6.63</v>
      </c>
      <c r="E496" s="32" t="n">
        <v>7.782</v>
      </c>
      <c r="F496" s="32" t="n">
        <v>625.455</v>
      </c>
      <c r="G496" s="32" t="n">
        <v>1.721</v>
      </c>
      <c r="H496" s="32" t="inlineStr">
        <is>
          <t>bb</t>
        </is>
      </c>
      <c r="K496" s="32" t="inlineStr">
        <is>
          <t>20250514-32</t>
        </is>
      </c>
    </row>
    <row r="497">
      <c r="A497" s="32" t="n">
        <v>22</v>
      </c>
      <c r="B497" s="32" t="inlineStr">
        <is>
          <t>K4-2B</t>
        </is>
      </c>
      <c r="D497" s="32" t="n">
        <v>6.53</v>
      </c>
      <c r="E497" s="32" t="n">
        <v>30.589</v>
      </c>
      <c r="F497" s="32" t="n">
        <v>753.798</v>
      </c>
      <c r="G497" s="32" t="n">
        <v>3.138</v>
      </c>
      <c r="H497" s="32" t="inlineStr">
        <is>
          <t>MM</t>
        </is>
      </c>
      <c r="K497" s="32" t="inlineStr">
        <is>
          <t>20250514-33</t>
        </is>
      </c>
    </row>
    <row r="498">
      <c r="A498" s="32" t="n">
        <v>23</v>
      </c>
      <c r="B498" s="32" t="inlineStr">
        <is>
          <t>K4-2C</t>
        </is>
      </c>
      <c r="D498" s="32" t="n">
        <v>6.57</v>
      </c>
      <c r="E498" s="32" t="n">
        <v>21.925</v>
      </c>
      <c r="F498" s="32" t="n">
        <v>571.371</v>
      </c>
      <c r="G498" s="32" t="n">
        <v>2.236</v>
      </c>
      <c r="H498" s="32" t="inlineStr">
        <is>
          <t>bb</t>
        </is>
      </c>
      <c r="K498" s="32" t="inlineStr">
        <is>
          <t>20250514-34</t>
        </is>
      </c>
    </row>
    <row r="499">
      <c r="A499" s="32" t="n">
        <v>24</v>
      </c>
      <c r="B499" s="32" t="inlineStr">
        <is>
          <t>MeOH</t>
        </is>
      </c>
      <c r="H499" s="32" t="inlineStr">
        <is>
          <t>MM-</t>
        </is>
      </c>
      <c r="K499" s="32" t="inlineStr">
        <is>
          <t>20250514-35</t>
        </is>
      </c>
    </row>
    <row r="500">
      <c r="A500" s="32" t="n">
        <v>25</v>
      </c>
      <c r="B500" s="32" t="inlineStr">
        <is>
          <t>K4-4A</t>
        </is>
      </c>
      <c r="D500" s="32" t="n">
        <v>6.54</v>
      </c>
      <c r="E500" s="32" t="n">
        <v>7.12</v>
      </c>
      <c r="F500" s="32" t="n">
        <v>708.6559999999999</v>
      </c>
      <c r="G500" s="32" t="n">
        <v>0.8</v>
      </c>
      <c r="H500" s="32" t="inlineStr">
        <is>
          <t>MM</t>
        </is>
      </c>
      <c r="K500" s="32" t="inlineStr">
        <is>
          <t>20250514-36</t>
        </is>
      </c>
    </row>
    <row r="501">
      <c r="A501" s="32" t="n">
        <v>26</v>
      </c>
      <c r="B501" s="32" t="inlineStr">
        <is>
          <t>K4-4B</t>
        </is>
      </c>
      <c r="D501" s="32" t="n">
        <v>6.35</v>
      </c>
      <c r="E501" s="32" t="n">
        <v>29.915</v>
      </c>
      <c r="F501" s="32" t="n">
        <v>653.003</v>
      </c>
      <c r="G501" s="32" t="n">
        <v>8.628</v>
      </c>
      <c r="H501" s="32" t="inlineStr">
        <is>
          <t>bb</t>
        </is>
      </c>
      <c r="K501" s="32" t="inlineStr">
        <is>
          <t>20250514-37</t>
        </is>
      </c>
    </row>
    <row r="502">
      <c r="A502" s="32" t="n">
        <v>27</v>
      </c>
      <c r="B502" s="32" t="inlineStr">
        <is>
          <t>K4-4C</t>
        </is>
      </c>
      <c r="D502" s="32" t="n">
        <v>6.66</v>
      </c>
      <c r="E502" s="32" t="n">
        <v>9.811999999999999</v>
      </c>
      <c r="F502" s="32" t="n">
        <v>688.335</v>
      </c>
      <c r="G502" s="32" t="n">
        <v>2.835</v>
      </c>
      <c r="H502" s="32" t="inlineStr">
        <is>
          <t>bb</t>
        </is>
      </c>
      <c r="K502" s="32" t="inlineStr">
        <is>
          <t>20250514-38</t>
        </is>
      </c>
    </row>
    <row r="503">
      <c r="A503" s="32" t="n">
        <v>28</v>
      </c>
      <c r="B503" s="32" t="inlineStr">
        <is>
          <t>K4-5A</t>
        </is>
      </c>
      <c r="D503" s="32" t="n">
        <v>6.53</v>
      </c>
      <c r="E503" s="32" t="n">
        <v>12.364</v>
      </c>
      <c r="F503" s="32" t="n">
        <v>633.821</v>
      </c>
      <c r="G503" s="32" t="n">
        <v>3.181</v>
      </c>
      <c r="H503" s="32" t="inlineStr">
        <is>
          <t>bb</t>
        </is>
      </c>
      <c r="K503" s="32" t="inlineStr">
        <is>
          <t>20250514-39</t>
        </is>
      </c>
    </row>
    <row r="504">
      <c r="A504" s="32" t="n">
        <v>29</v>
      </c>
      <c r="B504" s="32" t="inlineStr">
        <is>
          <t>K4-5B</t>
        </is>
      </c>
      <c r="D504" s="32" t="n">
        <v>6.49</v>
      </c>
      <c r="E504" s="32" t="n">
        <v>14.446</v>
      </c>
      <c r="F504" s="32" t="n">
        <v>702.6079999999999</v>
      </c>
      <c r="G504" s="32" t="n">
        <v>2.902</v>
      </c>
      <c r="H504" s="32" t="inlineStr">
        <is>
          <t>bb</t>
        </is>
      </c>
      <c r="K504" s="32" t="inlineStr">
        <is>
          <t>20250514-40</t>
        </is>
      </c>
    </row>
    <row r="505">
      <c r="A505" s="32" t="n">
        <v>30</v>
      </c>
      <c r="B505" s="32" t="inlineStr">
        <is>
          <t>K4-5C</t>
        </is>
      </c>
      <c r="D505" s="32" t="n">
        <v>6.35</v>
      </c>
      <c r="E505" s="32" t="n">
        <v>23.316</v>
      </c>
      <c r="F505" s="32" t="n">
        <v>986.377</v>
      </c>
      <c r="G505" s="32" t="n">
        <v>2.208</v>
      </c>
      <c r="H505" s="32" t="inlineStr">
        <is>
          <t>bb</t>
        </is>
      </c>
      <c r="K505" s="32" t="inlineStr">
        <is>
          <t>20250514-41</t>
        </is>
      </c>
    </row>
    <row r="506">
      <c r="A506" s="32" t="n">
        <v>31</v>
      </c>
      <c r="B506" s="32" t="inlineStr">
        <is>
          <t>MeOH</t>
        </is>
      </c>
      <c r="H506" s="32" t="inlineStr">
        <is>
          <t>MM-</t>
        </is>
      </c>
      <c r="K506" s="32" t="inlineStr">
        <is>
          <t>20250514-42</t>
        </is>
      </c>
    </row>
    <row r="507">
      <c r="A507" s="32" t="n">
        <v>32</v>
      </c>
      <c r="B507" s="32" t="inlineStr">
        <is>
          <t>K3-1A</t>
        </is>
      </c>
      <c r="D507" s="32" t="n">
        <v>6.16</v>
      </c>
      <c r="E507" s="32" t="n">
        <v>14.79</v>
      </c>
      <c r="F507" s="32" t="n">
        <v>900.0069999999999</v>
      </c>
      <c r="G507" s="32" t="n">
        <v>1.396</v>
      </c>
      <c r="H507" s="32" t="inlineStr">
        <is>
          <t>MM</t>
        </is>
      </c>
      <c r="K507" s="32" t="inlineStr">
        <is>
          <t>20250514-43</t>
        </is>
      </c>
    </row>
    <row r="508">
      <c r="A508" s="32" t="n">
        <v>33</v>
      </c>
      <c r="B508" s="32" t="inlineStr">
        <is>
          <t>K3-1B</t>
        </is>
      </c>
      <c r="D508" s="32" t="n">
        <v>6.24</v>
      </c>
      <c r="E508" s="32" t="n">
        <v>3.346</v>
      </c>
      <c r="F508" s="32" t="n">
        <v>676.23</v>
      </c>
      <c r="G508" s="32" t="n">
        <v>0.619</v>
      </c>
      <c r="H508" s="32" t="inlineStr">
        <is>
          <t>bb</t>
        </is>
      </c>
      <c r="K508" s="32" t="inlineStr">
        <is>
          <t>20250514-44</t>
        </is>
      </c>
    </row>
    <row r="509">
      <c r="A509" s="32" t="n">
        <v>34</v>
      </c>
      <c r="B509" s="32" t="inlineStr">
        <is>
          <t>K3-1C</t>
        </is>
      </c>
      <c r="D509" s="32" t="n">
        <v>6.3</v>
      </c>
      <c r="E509" s="32" t="n">
        <v>26.006</v>
      </c>
      <c r="F509" s="32" t="n">
        <v>821.191</v>
      </c>
      <c r="G509" s="32" t="n">
        <v>4.323</v>
      </c>
      <c r="H509" s="32" t="inlineStr">
        <is>
          <t>bb</t>
        </is>
      </c>
      <c r="K509" s="32" t="inlineStr">
        <is>
          <t>20250514-45</t>
        </is>
      </c>
    </row>
    <row r="510">
      <c r="A510" s="32" t="n">
        <v>35</v>
      </c>
      <c r="B510" s="32" t="inlineStr">
        <is>
          <t>K3-2A</t>
        </is>
      </c>
      <c r="D510" s="32" t="n">
        <v>6.33</v>
      </c>
      <c r="E510" s="32" t="n">
        <v>4.054</v>
      </c>
      <c r="F510" s="32" t="n">
        <v>747.972</v>
      </c>
      <c r="G510" s="32" t="n">
        <v>0.724</v>
      </c>
      <c r="H510" s="32" t="inlineStr">
        <is>
          <t>MM</t>
        </is>
      </c>
      <c r="K510" s="32" t="inlineStr">
        <is>
          <t>20250514-46</t>
        </is>
      </c>
    </row>
    <row r="511">
      <c r="A511" s="32" t="n">
        <v>36</v>
      </c>
      <c r="B511" s="32" t="inlineStr">
        <is>
          <t>K3-2B</t>
        </is>
      </c>
      <c r="D511" s="32" t="n">
        <v>6.36</v>
      </c>
      <c r="E511" s="32" t="n">
        <v>9.35</v>
      </c>
      <c r="F511" s="32" t="n">
        <v>963.821</v>
      </c>
      <c r="G511" s="32" t="n">
        <v>0.898</v>
      </c>
      <c r="H511" s="32" t="inlineStr">
        <is>
          <t>MM</t>
        </is>
      </c>
      <c r="K511" s="32" t="inlineStr">
        <is>
          <t>20250514-47</t>
        </is>
      </c>
    </row>
    <row r="512">
      <c r="A512" s="32" t="n">
        <v>37</v>
      </c>
      <c r="B512" s="32" t="inlineStr">
        <is>
          <t>K3-2C</t>
        </is>
      </c>
      <c r="D512" s="32" t="n">
        <v>6.42</v>
      </c>
      <c r="E512" s="32" t="n">
        <v>20.508</v>
      </c>
      <c r="F512" s="32" t="n">
        <v>766.044</v>
      </c>
      <c r="G512" s="32" t="n">
        <v>2.446</v>
      </c>
      <c r="H512" s="32" t="inlineStr">
        <is>
          <t>bb</t>
        </is>
      </c>
      <c r="K512" s="32" t="inlineStr">
        <is>
          <t>20250514-48</t>
        </is>
      </c>
    </row>
    <row r="513">
      <c r="A513" s="32" t="n">
        <v>38</v>
      </c>
      <c r="B513" s="32" t="inlineStr">
        <is>
          <t>MeOH</t>
        </is>
      </c>
      <c r="H513" s="32" t="inlineStr">
        <is>
          <t>MM-</t>
        </is>
      </c>
      <c r="K513" s="32" t="inlineStr">
        <is>
          <t>20250514-49</t>
        </is>
      </c>
    </row>
    <row r="514">
      <c r="A514" s="32" t="n">
        <v>39</v>
      </c>
      <c r="B514" s="32" t="inlineStr">
        <is>
          <t>K3-3A</t>
        </is>
      </c>
      <c r="D514" s="32" t="n">
        <v>6.41</v>
      </c>
      <c r="E514" s="32" t="n">
        <v>67.877</v>
      </c>
      <c r="F514" s="32" t="n">
        <v>820.27</v>
      </c>
      <c r="G514" s="32" t="n">
        <v>8.901999999999999</v>
      </c>
      <c r="H514" s="32" t="inlineStr">
        <is>
          <t>bb</t>
        </is>
      </c>
      <c r="K514" s="32" t="inlineStr">
        <is>
          <t>20250514-50</t>
        </is>
      </c>
    </row>
    <row r="515">
      <c r="A515" s="32" t="n">
        <v>40</v>
      </c>
      <c r="B515" s="32" t="inlineStr">
        <is>
          <t>K3-3B</t>
        </is>
      </c>
      <c r="D515" s="32" t="n">
        <v>6.39</v>
      </c>
      <c r="E515" s="32" t="n">
        <v>43.46</v>
      </c>
      <c r="F515" s="32" t="n">
        <v>953.821</v>
      </c>
      <c r="G515" s="32" t="n">
        <v>1.94</v>
      </c>
      <c r="H515" s="32" t="inlineStr">
        <is>
          <t>bb</t>
        </is>
      </c>
      <c r="K515" s="32" t="inlineStr">
        <is>
          <t>20250514-51</t>
        </is>
      </c>
    </row>
    <row r="516">
      <c r="A516" s="32" t="n">
        <v>41</v>
      </c>
      <c r="B516" s="32" t="inlineStr">
        <is>
          <t>K3-3C</t>
        </is>
      </c>
      <c r="D516" s="32" t="n">
        <v>6.44</v>
      </c>
      <c r="E516" s="32" t="n">
        <v>27.033</v>
      </c>
      <c r="F516" s="32" t="n">
        <v>897.914</v>
      </c>
      <c r="G516" s="32" t="n">
        <v>3.211</v>
      </c>
      <c r="H516" s="32" t="inlineStr">
        <is>
          <t>bb</t>
        </is>
      </c>
      <c r="K516" s="32" t="inlineStr">
        <is>
          <t>20250514-52</t>
        </is>
      </c>
    </row>
    <row r="517">
      <c r="A517" s="32" t="n">
        <v>42</v>
      </c>
      <c r="B517" s="32" t="inlineStr">
        <is>
          <t>K3-4A</t>
        </is>
      </c>
      <c r="D517" s="32" t="n">
        <v>6.54</v>
      </c>
      <c r="E517" s="32" t="n">
        <v>17.688</v>
      </c>
      <c r="F517" s="32" t="n">
        <v>908.869</v>
      </c>
      <c r="G517" s="32" t="n">
        <v>1.67</v>
      </c>
      <c r="H517" s="32" t="inlineStr">
        <is>
          <t>MM</t>
        </is>
      </c>
      <c r="K517" s="32" t="inlineStr">
        <is>
          <t>20250514-53</t>
        </is>
      </c>
    </row>
    <row r="518">
      <c r="A518" s="32" t="n">
        <v>43</v>
      </c>
      <c r="B518" s="32" t="inlineStr">
        <is>
          <t>K3-4B</t>
        </is>
      </c>
      <c r="D518" s="32" t="n">
        <v>6.44</v>
      </c>
      <c r="E518" s="32" t="n">
        <v>55.561</v>
      </c>
      <c r="F518" s="32" t="n">
        <v>864.466</v>
      </c>
      <c r="G518" s="32" t="n">
        <v>6.241</v>
      </c>
      <c r="H518" s="32" t="inlineStr">
        <is>
          <t>bb</t>
        </is>
      </c>
      <c r="K518" s="32" t="inlineStr">
        <is>
          <t>20250514-54</t>
        </is>
      </c>
    </row>
    <row r="519">
      <c r="A519" s="32" t="n">
        <v>44</v>
      </c>
      <c r="B519" s="32" t="inlineStr">
        <is>
          <t>K3-4C</t>
        </is>
      </c>
      <c r="D519" s="32" t="n">
        <v>6.44</v>
      </c>
      <c r="E519" s="32" t="n">
        <v>67.018</v>
      </c>
      <c r="F519" s="32" t="n">
        <v>1021.648</v>
      </c>
      <c r="G519" s="32" t="n">
        <v>2.955</v>
      </c>
      <c r="H519" s="32" t="inlineStr">
        <is>
          <t>bb</t>
        </is>
      </c>
      <c r="K519" s="32" t="inlineStr">
        <is>
          <t>20250514-55</t>
        </is>
      </c>
    </row>
    <row r="520">
      <c r="A520" s="32" t="n">
        <v>45</v>
      </c>
      <c r="B520" s="32" t="inlineStr">
        <is>
          <t>MeOH</t>
        </is>
      </c>
      <c r="H520" s="32" t="inlineStr">
        <is>
          <t>MM-</t>
        </is>
      </c>
      <c r="K520" s="32" t="inlineStr">
        <is>
          <t>20250514-56</t>
        </is>
      </c>
    </row>
    <row r="521">
      <c r="A521" s="32" t="n">
        <v>46</v>
      </c>
      <c r="B521" s="32" t="inlineStr">
        <is>
          <t>K3-6A</t>
        </is>
      </c>
      <c r="D521" s="32" t="n">
        <v>6.58</v>
      </c>
      <c r="E521" s="32" t="n">
        <v>25.657</v>
      </c>
      <c r="F521" s="32" t="n">
        <v>688.995</v>
      </c>
      <c r="G521" s="32" t="n">
        <v>2.696</v>
      </c>
      <c r="H521" s="32" t="inlineStr">
        <is>
          <t>bb</t>
        </is>
      </c>
      <c r="K521" s="32" t="inlineStr">
        <is>
          <t>20250514-57</t>
        </is>
      </c>
    </row>
    <row r="522">
      <c r="A522" s="32" t="n">
        <v>47</v>
      </c>
      <c r="B522" s="32" t="inlineStr">
        <is>
          <t>K3-6B</t>
        </is>
      </c>
      <c r="D522" s="32" t="n">
        <v>6.58</v>
      </c>
      <c r="E522" s="32" t="n">
        <v>31.246</v>
      </c>
      <c r="F522" s="32" t="n">
        <v>917.0549999999999</v>
      </c>
      <c r="G522" s="32" t="n">
        <v>1.788</v>
      </c>
      <c r="H522" s="32" t="inlineStr">
        <is>
          <t>MM</t>
        </is>
      </c>
      <c r="K522" s="32" t="inlineStr">
        <is>
          <t>20250514-58</t>
        </is>
      </c>
    </row>
    <row r="523">
      <c r="A523" s="32" t="n">
        <v>48</v>
      </c>
      <c r="B523" s="32" t="inlineStr">
        <is>
          <t>K3-6C</t>
        </is>
      </c>
      <c r="D523" s="32" t="n">
        <v>6.49</v>
      </c>
      <c r="E523" s="32" t="n">
        <v>37.044</v>
      </c>
      <c r="F523" s="32" t="n">
        <v>939.455</v>
      </c>
      <c r="G523" s="32" t="n">
        <v>6.731</v>
      </c>
      <c r="H523" s="32" t="inlineStr">
        <is>
          <t>MM</t>
        </is>
      </c>
      <c r="K523" s="32" t="inlineStr">
        <is>
          <t>20250514-59</t>
        </is>
      </c>
    </row>
    <row r="525">
      <c r="A525" s="32" t="inlineStr">
        <is>
          <t>Compound 11:  m5 PFPeA 1</t>
        </is>
      </c>
    </row>
    <row r="527">
      <c r="B527" s="32" t="inlineStr">
        <is>
          <t>Sample Text</t>
        </is>
      </c>
      <c r="C527" s="32" t="inlineStr">
        <is>
          <t>Std. Conc</t>
        </is>
      </c>
      <c r="D527" s="32" t="inlineStr">
        <is>
          <t>RT</t>
        </is>
      </c>
      <c r="E527" s="32" t="inlineStr">
        <is>
          <t>Area</t>
        </is>
      </c>
      <c r="F527" s="32" t="inlineStr">
        <is>
          <t>IS Area</t>
        </is>
      </c>
      <c r="G527" s="32" t="inlineStr">
        <is>
          <t>S/N</t>
        </is>
      </c>
      <c r="H527" s="32" t="inlineStr">
        <is>
          <t>Primary Flags</t>
        </is>
      </c>
      <c r="I527" s="32" t="inlineStr">
        <is>
          <t>Response</t>
        </is>
      </c>
      <c r="J527" s="32" t="inlineStr">
        <is>
          <t>Conc.</t>
        </is>
      </c>
      <c r="K527" s="32" t="inlineStr">
        <is>
          <t>Name</t>
        </is>
      </c>
    </row>
    <row r="528">
      <c r="A528" s="32" t="n">
        <v>1</v>
      </c>
      <c r="B528" s="32" t="inlineStr">
        <is>
          <t>EPA1633 &amp; diPAPs Calibration 0 ppb</t>
        </is>
      </c>
      <c r="D528" s="32" t="n">
        <v>6.27</v>
      </c>
      <c r="E528" s="32" t="n">
        <v>1566.984</v>
      </c>
      <c r="G528" s="32" t="n">
        <v>71.607</v>
      </c>
      <c r="H528" s="32" t="inlineStr">
        <is>
          <t>bb</t>
        </is>
      </c>
      <c r="I528" s="32" t="n">
        <v>1566.984</v>
      </c>
      <c r="K528" s="32" t="inlineStr">
        <is>
          <t>20250514-12</t>
        </is>
      </c>
    </row>
    <row r="529">
      <c r="A529" s="32" t="n">
        <v>2</v>
      </c>
      <c r="B529" s="32" t="inlineStr">
        <is>
          <t>EPA1633 &amp; diPAPs Calibration 0.02 ppb</t>
        </is>
      </c>
      <c r="D529" s="32" t="n">
        <v>6.31</v>
      </c>
      <c r="E529" s="32" t="n">
        <v>1104.988</v>
      </c>
      <c r="G529" s="32" t="n">
        <v>6.525</v>
      </c>
      <c r="H529" s="32" t="inlineStr">
        <is>
          <t>bb</t>
        </is>
      </c>
      <c r="I529" s="32" t="n">
        <v>1104.988</v>
      </c>
      <c r="K529" s="32" t="inlineStr">
        <is>
          <t>20250514-13</t>
        </is>
      </c>
    </row>
    <row r="530">
      <c r="A530" s="32" t="n">
        <v>3</v>
      </c>
      <c r="B530" s="32" t="inlineStr">
        <is>
          <t>EPA1633 &amp; diPAPs Calibration 0.1 ppb</t>
        </is>
      </c>
      <c r="D530" s="32" t="n">
        <v>6.34</v>
      </c>
      <c r="E530" s="32" t="n">
        <v>1061.587</v>
      </c>
      <c r="G530" s="32" t="n">
        <v>15.605</v>
      </c>
      <c r="H530" s="32" t="inlineStr">
        <is>
          <t>bb</t>
        </is>
      </c>
      <c r="I530" s="32" t="n">
        <v>1061.587</v>
      </c>
      <c r="K530" s="32" t="inlineStr">
        <is>
          <t>20250514-14</t>
        </is>
      </c>
    </row>
    <row r="531">
      <c r="A531" s="32" t="n">
        <v>4</v>
      </c>
      <c r="B531" s="32" t="inlineStr">
        <is>
          <t>EPA1633 &amp; diPAPs Calibration 0.4 ppb</t>
        </is>
      </c>
      <c r="D531" s="32" t="n">
        <v>6.33</v>
      </c>
      <c r="E531" s="32" t="n">
        <v>1027.635</v>
      </c>
      <c r="G531" s="32" t="n">
        <v>24.582</v>
      </c>
      <c r="H531" s="32" t="inlineStr">
        <is>
          <t>bb</t>
        </is>
      </c>
      <c r="I531" s="32" t="n">
        <v>1027.635</v>
      </c>
      <c r="K531" s="32" t="inlineStr">
        <is>
          <t>20250514-15</t>
        </is>
      </c>
    </row>
    <row r="532">
      <c r="A532" s="32" t="n">
        <v>5</v>
      </c>
      <c r="B532" s="32" t="inlineStr">
        <is>
          <t>EPA1633 &amp; diPAPs Calibration 1 ppb</t>
        </is>
      </c>
      <c r="D532" s="32" t="n">
        <v>6.38</v>
      </c>
      <c r="E532" s="32" t="n">
        <v>1290.294</v>
      </c>
      <c r="G532" s="32" t="n">
        <v>35.261</v>
      </c>
      <c r="H532" s="32" t="inlineStr">
        <is>
          <t>bb</t>
        </is>
      </c>
      <c r="I532" s="32" t="n">
        <v>1290.294</v>
      </c>
      <c r="K532" s="32" t="inlineStr">
        <is>
          <t>20250514-16</t>
        </is>
      </c>
    </row>
    <row r="533">
      <c r="A533" s="32" t="n">
        <v>6</v>
      </c>
      <c r="B533" s="32" t="inlineStr">
        <is>
          <t>EPA1633 &amp; diPAPs Calibration 5 ppb</t>
        </is>
      </c>
      <c r="D533" s="32" t="n">
        <v>6.14</v>
      </c>
      <c r="E533" s="32" t="n">
        <v>1018.312</v>
      </c>
      <c r="G533" s="32" t="n">
        <v>114.756</v>
      </c>
      <c r="H533" s="32" t="inlineStr">
        <is>
          <t>bb</t>
        </is>
      </c>
      <c r="I533" s="32" t="n">
        <v>1018.312</v>
      </c>
      <c r="K533" s="32" t="inlineStr">
        <is>
          <t>20250514-17</t>
        </is>
      </c>
    </row>
    <row r="534">
      <c r="A534" s="32" t="n">
        <v>7</v>
      </c>
      <c r="B534" s="32" t="inlineStr">
        <is>
          <t>EPA1633 &amp; diPAPs Calibration 10 ppb</t>
        </is>
      </c>
      <c r="D534" s="32" t="n">
        <v>6.22</v>
      </c>
      <c r="E534" s="32" t="n">
        <v>949.73</v>
      </c>
      <c r="G534" s="32" t="n">
        <v>15.537</v>
      </c>
      <c r="H534" s="32" t="inlineStr">
        <is>
          <t>bb</t>
        </is>
      </c>
      <c r="I534" s="32" t="n">
        <v>949.73</v>
      </c>
      <c r="K534" s="32" t="inlineStr">
        <is>
          <t>20250514-18</t>
        </is>
      </c>
    </row>
    <row r="535">
      <c r="A535" s="32" t="n">
        <v>8</v>
      </c>
      <c r="B535" s="32" t="inlineStr">
        <is>
          <t>EPA1633 &amp; diPAPs Calibration 20 ppb</t>
        </is>
      </c>
      <c r="D535" s="32" t="n">
        <v>6.29</v>
      </c>
      <c r="E535" s="32" t="n">
        <v>877.6900000000001</v>
      </c>
      <c r="G535" s="32" t="n">
        <v>184.262</v>
      </c>
      <c r="H535" s="32" t="inlineStr">
        <is>
          <t>bb</t>
        </is>
      </c>
      <c r="I535" s="32" t="n">
        <v>877.6900000000001</v>
      </c>
      <c r="K535" s="32" t="inlineStr">
        <is>
          <t>20250514-19</t>
        </is>
      </c>
    </row>
    <row r="536">
      <c r="A536" s="32" t="n">
        <v>9</v>
      </c>
      <c r="B536" s="32" t="inlineStr">
        <is>
          <t>MeOH</t>
        </is>
      </c>
      <c r="K536" s="32" t="inlineStr">
        <is>
          <t>20250514-20</t>
        </is>
      </c>
    </row>
    <row r="537">
      <c r="A537" s="32" t="n">
        <v>10</v>
      </c>
      <c r="B537" s="32" t="inlineStr">
        <is>
          <t>MeOH</t>
        </is>
      </c>
      <c r="K537" s="32" t="inlineStr">
        <is>
          <t>20250514-21</t>
        </is>
      </c>
    </row>
    <row r="538">
      <c r="A538" s="32" t="n">
        <v>11</v>
      </c>
      <c r="B538" s="32" t="inlineStr">
        <is>
          <t>SB1</t>
        </is>
      </c>
      <c r="D538" s="32" t="n">
        <v>6.42</v>
      </c>
      <c r="E538" s="32" t="n">
        <v>445.96</v>
      </c>
      <c r="G538" s="32" t="n">
        <v>35.63</v>
      </c>
      <c r="H538" s="32" t="inlineStr">
        <is>
          <t>bb</t>
        </is>
      </c>
      <c r="I538" s="32" t="n">
        <v>445.96</v>
      </c>
      <c r="K538" s="32" t="inlineStr">
        <is>
          <t>20250514-22</t>
        </is>
      </c>
    </row>
    <row r="539">
      <c r="A539" s="32" t="n">
        <v>12</v>
      </c>
      <c r="B539" s="32" t="inlineStr">
        <is>
          <t>SB2</t>
        </is>
      </c>
      <c r="D539" s="32" t="n">
        <v>6.4</v>
      </c>
      <c r="E539" s="32" t="n">
        <v>600.391</v>
      </c>
      <c r="G539" s="32" t="n">
        <v>693.997</v>
      </c>
      <c r="H539" s="32" t="inlineStr">
        <is>
          <t>bb</t>
        </is>
      </c>
      <c r="I539" s="32" t="n">
        <v>600.391</v>
      </c>
      <c r="K539" s="32" t="inlineStr">
        <is>
          <t>20250514-23</t>
        </is>
      </c>
    </row>
    <row r="540">
      <c r="A540" s="32" t="n">
        <v>13</v>
      </c>
      <c r="B540" s="32" t="inlineStr">
        <is>
          <t>SB3</t>
        </is>
      </c>
      <c r="D540" s="32" t="n">
        <v>6.42</v>
      </c>
      <c r="E540" s="32" t="n">
        <v>377.781</v>
      </c>
      <c r="G540" s="32" t="n">
        <v>82.65600000000001</v>
      </c>
      <c r="H540" s="32" t="inlineStr">
        <is>
          <t>bb</t>
        </is>
      </c>
      <c r="I540" s="32" t="n">
        <v>377.781</v>
      </c>
      <c r="K540" s="32" t="inlineStr">
        <is>
          <t>20250514-24</t>
        </is>
      </c>
    </row>
    <row r="541">
      <c r="A541" s="32" t="n">
        <v>14</v>
      </c>
      <c r="B541" s="32" t="inlineStr">
        <is>
          <t>SS1</t>
        </is>
      </c>
      <c r="D541" s="32" t="n">
        <v>6.47</v>
      </c>
      <c r="E541" s="32" t="n">
        <v>467.984</v>
      </c>
      <c r="G541" s="32" t="n">
        <v>7.916</v>
      </c>
      <c r="H541" s="32" t="inlineStr">
        <is>
          <t>bb</t>
        </is>
      </c>
      <c r="I541" s="32" t="n">
        <v>467.984</v>
      </c>
      <c r="K541" s="32" t="inlineStr">
        <is>
          <t>20250514-25</t>
        </is>
      </c>
    </row>
    <row r="542">
      <c r="A542" s="32" t="n">
        <v>15</v>
      </c>
      <c r="B542" s="32" t="inlineStr">
        <is>
          <t>SS2</t>
        </is>
      </c>
      <c r="D542" s="32" t="n">
        <v>6.49</v>
      </c>
      <c r="E542" s="32" t="n">
        <v>435.7</v>
      </c>
      <c r="G542" s="32" t="n">
        <v>129.601</v>
      </c>
      <c r="H542" s="32" t="inlineStr">
        <is>
          <t>bb</t>
        </is>
      </c>
      <c r="I542" s="32" t="n">
        <v>435.7</v>
      </c>
      <c r="K542" s="32" t="inlineStr">
        <is>
          <t>20250514-26</t>
        </is>
      </c>
    </row>
    <row r="543">
      <c r="A543" s="32" t="n">
        <v>16</v>
      </c>
      <c r="B543" s="32" t="inlineStr">
        <is>
          <t>SS3</t>
        </is>
      </c>
      <c r="D543" s="32" t="n">
        <v>6.5</v>
      </c>
      <c r="E543" s="32" t="n">
        <v>448.247</v>
      </c>
      <c r="G543" s="32" t="n">
        <v>91.8</v>
      </c>
      <c r="H543" s="32" t="inlineStr">
        <is>
          <t>bb</t>
        </is>
      </c>
      <c r="I543" s="32" t="n">
        <v>448.247</v>
      </c>
      <c r="K543" s="32" t="inlineStr">
        <is>
          <t>20250514-27</t>
        </is>
      </c>
    </row>
    <row r="544">
      <c r="A544" s="32" t="n">
        <v>17</v>
      </c>
      <c r="B544" s="32" t="inlineStr">
        <is>
          <t>MeOH</t>
        </is>
      </c>
      <c r="K544" s="32" t="inlineStr">
        <is>
          <t>20250514-28</t>
        </is>
      </c>
    </row>
    <row r="545">
      <c r="A545" s="32" t="n">
        <v>18</v>
      </c>
      <c r="B545" s="32" t="inlineStr">
        <is>
          <t>K4-1A</t>
        </is>
      </c>
      <c r="D545" s="32" t="n">
        <v>6.51</v>
      </c>
      <c r="E545" s="32" t="n">
        <v>563.42</v>
      </c>
      <c r="G545" s="32" t="n">
        <v>3.243</v>
      </c>
      <c r="H545" s="32" t="inlineStr">
        <is>
          <t>bb</t>
        </is>
      </c>
      <c r="I545" s="32" t="n">
        <v>563.42</v>
      </c>
      <c r="K545" s="32" t="inlineStr">
        <is>
          <t>20250514-29</t>
        </is>
      </c>
    </row>
    <row r="546">
      <c r="A546" s="32" t="n">
        <v>19</v>
      </c>
      <c r="B546" s="32" t="inlineStr">
        <is>
          <t>K4-1B</t>
        </is>
      </c>
      <c r="D546" s="32" t="n">
        <v>6.48</v>
      </c>
      <c r="E546" s="32" t="n">
        <v>700.124</v>
      </c>
      <c r="G546" s="32" t="n">
        <v>7167</v>
      </c>
      <c r="H546" s="32" t="inlineStr">
        <is>
          <t>bb</t>
        </is>
      </c>
      <c r="I546" s="32" t="n">
        <v>700.124</v>
      </c>
      <c r="K546" s="32" t="inlineStr">
        <is>
          <t>20250514-30</t>
        </is>
      </c>
    </row>
    <row r="547">
      <c r="A547" s="32" t="n">
        <v>20</v>
      </c>
      <c r="B547" s="32" t="inlineStr">
        <is>
          <t>K4-1C</t>
        </is>
      </c>
      <c r="D547" s="32" t="n">
        <v>6.49</v>
      </c>
      <c r="E547" s="32" t="n">
        <v>801.362</v>
      </c>
      <c r="G547" s="32" t="n">
        <v>27.444</v>
      </c>
      <c r="H547" s="32" t="inlineStr">
        <is>
          <t>bb</t>
        </is>
      </c>
      <c r="I547" s="32" t="n">
        <v>801.362</v>
      </c>
      <c r="K547" s="32" t="inlineStr">
        <is>
          <t>20250514-31</t>
        </is>
      </c>
    </row>
    <row r="548">
      <c r="A548" s="32" t="n">
        <v>21</v>
      </c>
      <c r="B548" s="32" t="inlineStr">
        <is>
          <t>K4-2A</t>
        </is>
      </c>
      <c r="D548" s="32" t="n">
        <v>6.54</v>
      </c>
      <c r="E548" s="32" t="n">
        <v>625.455</v>
      </c>
      <c r="G548" s="32" t="n">
        <v>21.344</v>
      </c>
      <c r="H548" s="32" t="inlineStr">
        <is>
          <t>bb</t>
        </is>
      </c>
      <c r="I548" s="32" t="n">
        <v>625.455</v>
      </c>
      <c r="K548" s="32" t="inlineStr">
        <is>
          <t>20250514-32</t>
        </is>
      </c>
    </row>
    <row r="549">
      <c r="A549" s="32" t="n">
        <v>22</v>
      </c>
      <c r="B549" s="32" t="inlineStr">
        <is>
          <t>K4-2B</t>
        </is>
      </c>
      <c r="D549" s="32" t="n">
        <v>6.5</v>
      </c>
      <c r="E549" s="32" t="n">
        <v>753.798</v>
      </c>
      <c r="G549" s="32" t="n">
        <v>20.292</v>
      </c>
      <c r="H549" s="32" t="inlineStr">
        <is>
          <t>bb</t>
        </is>
      </c>
      <c r="I549" s="32" t="n">
        <v>753.798</v>
      </c>
      <c r="K549" s="32" t="inlineStr">
        <is>
          <t>20250514-33</t>
        </is>
      </c>
    </row>
    <row r="550">
      <c r="A550" s="32" t="n">
        <v>23</v>
      </c>
      <c r="B550" s="32" t="inlineStr">
        <is>
          <t>K4-2C</t>
        </is>
      </c>
      <c r="D550" s="32" t="n">
        <v>6.53</v>
      </c>
      <c r="E550" s="32" t="n">
        <v>571.371</v>
      </c>
      <c r="G550" s="32" t="n">
        <v>17.213</v>
      </c>
      <c r="H550" s="32" t="inlineStr">
        <is>
          <t>bb</t>
        </is>
      </c>
      <c r="I550" s="32" t="n">
        <v>571.371</v>
      </c>
      <c r="K550" s="32" t="inlineStr">
        <is>
          <t>20250514-34</t>
        </is>
      </c>
    </row>
    <row r="551">
      <c r="A551" s="32" t="n">
        <v>24</v>
      </c>
      <c r="B551" s="32" t="inlineStr">
        <is>
          <t>MeOH</t>
        </is>
      </c>
      <c r="K551" s="32" t="inlineStr">
        <is>
          <t>20250514-35</t>
        </is>
      </c>
    </row>
    <row r="552">
      <c r="A552" s="32" t="n">
        <v>25</v>
      </c>
      <c r="B552" s="32" t="inlineStr">
        <is>
          <t>K4-4A</t>
        </is>
      </c>
      <c r="D552" s="32" t="n">
        <v>6.53</v>
      </c>
      <c r="E552" s="32" t="n">
        <v>708.6559999999999</v>
      </c>
      <c r="G552" s="32" t="n">
        <v>6881</v>
      </c>
      <c r="H552" s="32" t="inlineStr">
        <is>
          <t>bb</t>
        </is>
      </c>
      <c r="I552" s="32" t="n">
        <v>708.6559999999999</v>
      </c>
      <c r="K552" s="32" t="inlineStr">
        <is>
          <t>20250514-36</t>
        </is>
      </c>
    </row>
    <row r="553">
      <c r="A553" s="32" t="n">
        <v>26</v>
      </c>
      <c r="B553" s="32" t="inlineStr">
        <is>
          <t>K4-4B</t>
        </is>
      </c>
      <c r="D553" s="32" t="n">
        <v>6.53</v>
      </c>
      <c r="E553" s="32" t="n">
        <v>653.003</v>
      </c>
      <c r="G553" s="32" t="n">
        <v>27.125</v>
      </c>
      <c r="H553" s="32" t="inlineStr">
        <is>
          <t>bb</t>
        </is>
      </c>
      <c r="I553" s="32" t="n">
        <v>653.003</v>
      </c>
      <c r="K553" s="32" t="inlineStr">
        <is>
          <t>20250514-37</t>
        </is>
      </c>
    </row>
    <row r="554">
      <c r="A554" s="32" t="n">
        <v>27</v>
      </c>
      <c r="B554" s="32" t="inlineStr">
        <is>
          <t>K4-4C</t>
        </is>
      </c>
      <c r="D554" s="32" t="n">
        <v>6.53</v>
      </c>
      <c r="E554" s="32" t="n">
        <v>688.335</v>
      </c>
      <c r="G554" s="32" t="n">
        <v>22.847</v>
      </c>
      <c r="H554" s="32" t="inlineStr">
        <is>
          <t>bb</t>
        </is>
      </c>
      <c r="I554" s="32" t="n">
        <v>688.335</v>
      </c>
      <c r="K554" s="32" t="inlineStr">
        <is>
          <t>20250514-38</t>
        </is>
      </c>
    </row>
    <row r="555">
      <c r="A555" s="32" t="n">
        <v>28</v>
      </c>
      <c r="B555" s="32" t="inlineStr">
        <is>
          <t>K4-5A</t>
        </is>
      </c>
      <c r="D555" s="32" t="n">
        <v>6.51</v>
      </c>
      <c r="E555" s="32" t="n">
        <v>633.821</v>
      </c>
      <c r="G555" s="32" t="n">
        <v>32.379</v>
      </c>
      <c r="H555" s="32" t="inlineStr">
        <is>
          <t>bb</t>
        </is>
      </c>
      <c r="I555" s="32" t="n">
        <v>633.821</v>
      </c>
      <c r="K555" s="32" t="inlineStr">
        <is>
          <t>20250514-39</t>
        </is>
      </c>
    </row>
    <row r="556">
      <c r="A556" s="32" t="n">
        <v>29</v>
      </c>
      <c r="B556" s="32" t="inlineStr">
        <is>
          <t>K4-5B</t>
        </is>
      </c>
      <c r="D556" s="32" t="n">
        <v>6.49</v>
      </c>
      <c r="E556" s="32" t="n">
        <v>702.6079999999999</v>
      </c>
      <c r="G556" s="32" t="n">
        <v>36.957</v>
      </c>
      <c r="H556" s="32" t="inlineStr">
        <is>
          <t>bb</t>
        </is>
      </c>
      <c r="I556" s="32" t="n">
        <v>702.6079999999999</v>
      </c>
      <c r="K556" s="32" t="inlineStr">
        <is>
          <t>20250514-40</t>
        </is>
      </c>
    </row>
    <row r="557">
      <c r="A557" s="32" t="n">
        <v>30</v>
      </c>
      <c r="B557" s="32" t="inlineStr">
        <is>
          <t>K4-5C</t>
        </is>
      </c>
      <c r="D557" s="32" t="n">
        <v>6.38</v>
      </c>
      <c r="E557" s="32" t="n">
        <v>986.377</v>
      </c>
      <c r="G557" s="32" t="n">
        <v>26.65</v>
      </c>
      <c r="H557" s="32" t="inlineStr">
        <is>
          <t>bb</t>
        </is>
      </c>
      <c r="I557" s="32" t="n">
        <v>986.377</v>
      </c>
      <c r="K557" s="32" t="inlineStr">
        <is>
          <t>20250514-41</t>
        </is>
      </c>
    </row>
    <row r="558">
      <c r="A558" s="32" t="n">
        <v>31</v>
      </c>
      <c r="B558" s="32" t="inlineStr">
        <is>
          <t>MeOH</t>
        </is>
      </c>
      <c r="K558" s="32" t="inlineStr">
        <is>
          <t>20250514-42</t>
        </is>
      </c>
    </row>
    <row r="559">
      <c r="A559" s="32" t="n">
        <v>32</v>
      </c>
      <c r="B559" s="32" t="inlineStr">
        <is>
          <t>K3-1A</t>
        </is>
      </c>
      <c r="D559" s="32" t="n">
        <v>6.18</v>
      </c>
      <c r="E559" s="32" t="n">
        <v>900.0069999999999</v>
      </c>
      <c r="G559" s="32" t="n">
        <v>117.422</v>
      </c>
      <c r="H559" s="32" t="inlineStr">
        <is>
          <t>bb</t>
        </is>
      </c>
      <c r="I559" s="32" t="n">
        <v>900.0069999999999</v>
      </c>
      <c r="K559" s="32" t="inlineStr">
        <is>
          <t>20250514-43</t>
        </is>
      </c>
    </row>
    <row r="560">
      <c r="A560" s="32" t="n">
        <v>33</v>
      </c>
      <c r="B560" s="32" t="inlineStr">
        <is>
          <t>K3-1B</t>
        </is>
      </c>
      <c r="D560" s="32" t="n">
        <v>6.27</v>
      </c>
      <c r="E560" s="32" t="n">
        <v>676.23</v>
      </c>
      <c r="G560" s="32" t="n">
        <v>290.813</v>
      </c>
      <c r="H560" s="32" t="inlineStr">
        <is>
          <t>bb</t>
        </is>
      </c>
      <c r="I560" s="32" t="n">
        <v>676.23</v>
      </c>
      <c r="K560" s="32" t="inlineStr">
        <is>
          <t>20250514-44</t>
        </is>
      </c>
    </row>
    <row r="561">
      <c r="A561" s="32" t="n">
        <v>34</v>
      </c>
      <c r="B561" s="32" t="inlineStr">
        <is>
          <t>K3-1C</t>
        </is>
      </c>
      <c r="D561" s="32" t="n">
        <v>6.31</v>
      </c>
      <c r="E561" s="32" t="n">
        <v>821.191</v>
      </c>
      <c r="G561" s="32" t="n">
        <v>7883</v>
      </c>
      <c r="H561" s="32" t="inlineStr">
        <is>
          <t>bb</t>
        </is>
      </c>
      <c r="I561" s="32" t="n">
        <v>821.191</v>
      </c>
      <c r="K561" s="32" t="inlineStr">
        <is>
          <t>20250514-45</t>
        </is>
      </c>
    </row>
    <row r="562">
      <c r="A562" s="32" t="n">
        <v>35</v>
      </c>
      <c r="B562" s="32" t="inlineStr">
        <is>
          <t>K3-2A</t>
        </is>
      </c>
      <c r="D562" s="32" t="n">
        <v>6.37</v>
      </c>
      <c r="E562" s="32" t="n">
        <v>747.972</v>
      </c>
      <c r="G562" s="32" t="n">
        <v>207.053</v>
      </c>
      <c r="H562" s="32" t="inlineStr">
        <is>
          <t>bb</t>
        </is>
      </c>
      <c r="I562" s="32" t="n">
        <v>747.972</v>
      </c>
      <c r="K562" s="32" t="inlineStr">
        <is>
          <t>20250514-46</t>
        </is>
      </c>
    </row>
    <row r="563">
      <c r="A563" s="32" t="n">
        <v>36</v>
      </c>
      <c r="B563" s="32" t="inlineStr">
        <is>
          <t>K3-2B</t>
        </is>
      </c>
      <c r="D563" s="32" t="n">
        <v>6.38</v>
      </c>
      <c r="E563" s="32" t="n">
        <v>963.821</v>
      </c>
      <c r="G563" s="32" t="n">
        <v>13.557</v>
      </c>
      <c r="H563" s="32" t="inlineStr">
        <is>
          <t>bb</t>
        </is>
      </c>
      <c r="I563" s="32" t="n">
        <v>963.821</v>
      </c>
      <c r="K563" s="32" t="inlineStr">
        <is>
          <t>20250514-47</t>
        </is>
      </c>
    </row>
    <row r="564">
      <c r="A564" s="32" t="n">
        <v>37</v>
      </c>
      <c r="B564" s="32" t="inlineStr">
        <is>
          <t>K3-2C</t>
        </is>
      </c>
      <c r="D564" s="32" t="n">
        <v>6.39</v>
      </c>
      <c r="E564" s="32" t="n">
        <v>766.044</v>
      </c>
      <c r="G564" s="32" t="n">
        <v>8.209</v>
      </c>
      <c r="H564" s="32" t="inlineStr">
        <is>
          <t>bb</t>
        </is>
      </c>
      <c r="I564" s="32" t="n">
        <v>766.044</v>
      </c>
      <c r="K564" s="32" t="inlineStr">
        <is>
          <t>20250514-48</t>
        </is>
      </c>
    </row>
    <row r="565">
      <c r="A565" s="32" t="n">
        <v>38</v>
      </c>
      <c r="B565" s="32" t="inlineStr">
        <is>
          <t>MeOH</t>
        </is>
      </c>
      <c r="K565" s="32" t="inlineStr">
        <is>
          <t>20250514-49</t>
        </is>
      </c>
    </row>
    <row r="566">
      <c r="A566" s="32" t="n">
        <v>39</v>
      </c>
      <c r="B566" s="32" t="inlineStr">
        <is>
          <t>K3-3A</t>
        </is>
      </c>
      <c r="D566" s="32" t="n">
        <v>6.39</v>
      </c>
      <c r="E566" s="32" t="n">
        <v>820.27</v>
      </c>
      <c r="G566" s="32" t="n">
        <v>24.977</v>
      </c>
      <c r="H566" s="32" t="inlineStr">
        <is>
          <t>bb</t>
        </is>
      </c>
      <c r="I566" s="32" t="n">
        <v>820.27</v>
      </c>
      <c r="K566" s="32" t="inlineStr">
        <is>
          <t>20250514-50</t>
        </is>
      </c>
    </row>
    <row r="567">
      <c r="A567" s="32" t="n">
        <v>40</v>
      </c>
      <c r="B567" s="32" t="inlineStr">
        <is>
          <t>K3-3B</t>
        </is>
      </c>
      <c r="D567" s="32" t="n">
        <v>6.42</v>
      </c>
      <c r="E567" s="32" t="n">
        <v>953.821</v>
      </c>
      <c r="G567" s="32" t="n">
        <v>58.928</v>
      </c>
      <c r="H567" s="32" t="inlineStr">
        <is>
          <t>bb</t>
        </is>
      </c>
      <c r="I567" s="32" t="n">
        <v>953.821</v>
      </c>
      <c r="K567" s="32" t="inlineStr">
        <is>
          <t>20250514-51</t>
        </is>
      </c>
    </row>
    <row r="568">
      <c r="A568" s="32" t="n">
        <v>41</v>
      </c>
      <c r="B568" s="32" t="inlineStr">
        <is>
          <t>K3-3C</t>
        </is>
      </c>
      <c r="D568" s="32" t="n">
        <v>6.42</v>
      </c>
      <c r="E568" s="32" t="n">
        <v>897.914</v>
      </c>
      <c r="G568" s="32" t="n">
        <v>36.554</v>
      </c>
      <c r="H568" s="32" t="inlineStr">
        <is>
          <t>bb</t>
        </is>
      </c>
      <c r="I568" s="32" t="n">
        <v>897.914</v>
      </c>
      <c r="K568" s="32" t="inlineStr">
        <is>
          <t>20250514-52</t>
        </is>
      </c>
    </row>
    <row r="569">
      <c r="A569" s="32" t="n">
        <v>42</v>
      </c>
      <c r="B569" s="32" t="inlineStr">
        <is>
          <t>K3-4A</t>
        </is>
      </c>
      <c r="D569" s="32" t="n">
        <v>6.48</v>
      </c>
      <c r="E569" s="32" t="n">
        <v>908.869</v>
      </c>
      <c r="G569" s="32" t="n">
        <v>53.969</v>
      </c>
      <c r="H569" s="32" t="inlineStr">
        <is>
          <t>bb</t>
        </is>
      </c>
      <c r="I569" s="32" t="n">
        <v>908.869</v>
      </c>
      <c r="K569" s="32" t="inlineStr">
        <is>
          <t>20250514-53</t>
        </is>
      </c>
    </row>
    <row r="570">
      <c r="A570" s="32" t="n">
        <v>43</v>
      </c>
      <c r="B570" s="32" t="inlineStr">
        <is>
          <t>K3-4B</t>
        </is>
      </c>
      <c r="D570" s="32" t="n">
        <v>6.44</v>
      </c>
      <c r="E570" s="32" t="n">
        <v>864.466</v>
      </c>
      <c r="G570" s="32" t="n">
        <v>229.543</v>
      </c>
      <c r="H570" s="32" t="inlineStr">
        <is>
          <t>bb</t>
        </is>
      </c>
      <c r="I570" s="32" t="n">
        <v>864.466</v>
      </c>
      <c r="K570" s="32" t="inlineStr">
        <is>
          <t>20250514-54</t>
        </is>
      </c>
    </row>
    <row r="571">
      <c r="A571" s="32" t="n">
        <v>44</v>
      </c>
      <c r="B571" s="32" t="inlineStr">
        <is>
          <t>K3-4C</t>
        </is>
      </c>
      <c r="D571" s="32" t="n">
        <v>6.49</v>
      </c>
      <c r="E571" s="32" t="n">
        <v>1021.648</v>
      </c>
      <c r="G571" s="32" t="n">
        <v>171.405</v>
      </c>
      <c r="H571" s="32" t="inlineStr">
        <is>
          <t>bb</t>
        </is>
      </c>
      <c r="I571" s="32" t="n">
        <v>1021.648</v>
      </c>
      <c r="K571" s="32" t="inlineStr">
        <is>
          <t>20250514-55</t>
        </is>
      </c>
    </row>
    <row r="572">
      <c r="A572" s="32" t="n">
        <v>45</v>
      </c>
      <c r="B572" s="32" t="inlineStr">
        <is>
          <t>MeOH</t>
        </is>
      </c>
      <c r="K572" s="32" t="inlineStr">
        <is>
          <t>20250514-56</t>
        </is>
      </c>
    </row>
    <row r="573">
      <c r="A573" s="32" t="n">
        <v>46</v>
      </c>
      <c r="B573" s="32" t="inlineStr">
        <is>
          <t>K3-6A</t>
        </is>
      </c>
      <c r="D573" s="32" t="n">
        <v>6.55</v>
      </c>
      <c r="E573" s="32" t="n">
        <v>688.995</v>
      </c>
      <c r="G573" s="32" t="n">
        <v>7745</v>
      </c>
      <c r="H573" s="32" t="inlineStr">
        <is>
          <t>bb</t>
        </is>
      </c>
      <c r="I573" s="32" t="n">
        <v>688.995</v>
      </c>
      <c r="K573" s="32" t="inlineStr">
        <is>
          <t>20250514-57</t>
        </is>
      </c>
    </row>
    <row r="574">
      <c r="A574" s="32" t="n">
        <v>47</v>
      </c>
      <c r="B574" s="32" t="inlineStr">
        <is>
          <t>K3-6B</t>
        </is>
      </c>
      <c r="D574" s="32" t="n">
        <v>6.51</v>
      </c>
      <c r="E574" s="32" t="n">
        <v>917.0549999999999</v>
      </c>
      <c r="G574" s="32" t="n">
        <v>5.56</v>
      </c>
      <c r="H574" s="32" t="inlineStr">
        <is>
          <t>bb</t>
        </is>
      </c>
      <c r="I574" s="32" t="n">
        <v>917.0549999999999</v>
      </c>
      <c r="K574" s="32" t="inlineStr">
        <is>
          <t>20250514-58</t>
        </is>
      </c>
    </row>
    <row r="575">
      <c r="A575" s="32" t="n">
        <v>48</v>
      </c>
      <c r="B575" s="32" t="inlineStr">
        <is>
          <t>K3-6C</t>
        </is>
      </c>
      <c r="D575" s="32" t="n">
        <v>6.5</v>
      </c>
      <c r="E575" s="32" t="n">
        <v>939.455</v>
      </c>
      <c r="G575" s="32" t="n">
        <v>164.558</v>
      </c>
      <c r="H575" s="32" t="inlineStr">
        <is>
          <t>bb</t>
        </is>
      </c>
      <c r="I575" s="32" t="n">
        <v>939.455</v>
      </c>
      <c r="K575" s="32" t="inlineStr">
        <is>
          <t>20250514-59</t>
        </is>
      </c>
    </row>
    <row r="577">
      <c r="A577" s="32" t="inlineStr">
        <is>
          <t>Compound 12:  PFO5HxA</t>
        </is>
      </c>
    </row>
    <row r="579">
      <c r="B579" s="32" t="inlineStr">
        <is>
          <t>Sample Text</t>
        </is>
      </c>
      <c r="C579" s="32" t="inlineStr">
        <is>
          <t>Std. Conc</t>
        </is>
      </c>
      <c r="D579" s="32" t="inlineStr">
        <is>
          <t>RT</t>
        </is>
      </c>
      <c r="E579" s="32" t="inlineStr">
        <is>
          <t>Area</t>
        </is>
      </c>
      <c r="F579" s="32" t="inlineStr">
        <is>
          <t>IS Area</t>
        </is>
      </c>
      <c r="G579" s="32" t="inlineStr">
        <is>
          <t>S/N</t>
        </is>
      </c>
      <c r="H579" s="32" t="inlineStr">
        <is>
          <t>Primary Flags</t>
        </is>
      </c>
      <c r="I579" s="32" t="inlineStr">
        <is>
          <t>Response</t>
        </is>
      </c>
      <c r="J579" s="32" t="inlineStr">
        <is>
          <t>Conc.</t>
        </is>
      </c>
      <c r="K579" s="32" t="inlineStr">
        <is>
          <t>Name</t>
        </is>
      </c>
    </row>
    <row r="580">
      <c r="A580" s="32" t="n">
        <v>1</v>
      </c>
      <c r="B580" s="32" t="inlineStr">
        <is>
          <t>EPA1633 &amp; diPAPs Calibration 0 ppb</t>
        </is>
      </c>
      <c r="D580" s="32" t="n">
        <v>7.31</v>
      </c>
      <c r="E580" s="32" t="n">
        <v>1.061</v>
      </c>
      <c r="F580" s="32" t="n">
        <v>2771.78</v>
      </c>
      <c r="G580" s="32" t="n">
        <v>18</v>
      </c>
      <c r="H580" s="32" t="inlineStr">
        <is>
          <t>bb</t>
        </is>
      </c>
      <c r="K580" s="32" t="inlineStr">
        <is>
          <t>20250514-12</t>
        </is>
      </c>
    </row>
    <row r="581">
      <c r="A581" s="32" t="n">
        <v>2</v>
      </c>
      <c r="B581" s="32" t="inlineStr">
        <is>
          <t>EPA1633 &amp; diPAPs Calibration 0.02 ppb</t>
        </is>
      </c>
      <c r="D581" s="32" t="n">
        <v>7.23</v>
      </c>
      <c r="E581" s="32" t="n">
        <v>9.319000000000001</v>
      </c>
      <c r="F581" s="32" t="n">
        <v>2613.678</v>
      </c>
      <c r="G581" s="32" t="n">
        <v>5.26</v>
      </c>
      <c r="H581" s="32" t="inlineStr">
        <is>
          <t>bb</t>
        </is>
      </c>
      <c r="K581" s="32" t="inlineStr">
        <is>
          <t>20250514-13</t>
        </is>
      </c>
    </row>
    <row r="582">
      <c r="A582" s="32" t="n">
        <v>3</v>
      </c>
      <c r="B582" s="32" t="inlineStr">
        <is>
          <t>EPA1633 &amp; diPAPs Calibration 0.1 ppb</t>
        </is>
      </c>
      <c r="D582" s="32" t="n">
        <v>7.3</v>
      </c>
      <c r="E582" s="32" t="n">
        <v>22.337</v>
      </c>
      <c r="F582" s="32" t="n">
        <v>2704.411</v>
      </c>
      <c r="G582" s="32" t="n">
        <v>3.054</v>
      </c>
      <c r="H582" s="32" t="inlineStr">
        <is>
          <t>bb</t>
        </is>
      </c>
      <c r="K582" s="32" t="inlineStr">
        <is>
          <t>20250514-14</t>
        </is>
      </c>
    </row>
    <row r="583">
      <c r="A583" s="32" t="n">
        <v>4</v>
      </c>
      <c r="B583" s="32" t="inlineStr">
        <is>
          <t>EPA1633 &amp; diPAPs Calibration 0.4 ppb</t>
        </is>
      </c>
      <c r="D583" s="32" t="n">
        <v>7.23</v>
      </c>
      <c r="E583" s="32" t="n">
        <v>102.901</v>
      </c>
      <c r="F583" s="32" t="n">
        <v>2633.712</v>
      </c>
      <c r="G583" s="32" t="n">
        <v>9.334</v>
      </c>
      <c r="H583" s="32" t="inlineStr">
        <is>
          <t>bb</t>
        </is>
      </c>
      <c r="K583" s="32" t="inlineStr">
        <is>
          <t>20250514-15</t>
        </is>
      </c>
    </row>
    <row r="584">
      <c r="A584" s="32" t="n">
        <v>5</v>
      </c>
      <c r="B584" s="32" t="inlineStr">
        <is>
          <t>EPA1633 &amp; diPAPs Calibration 1 ppb</t>
        </is>
      </c>
      <c r="D584" s="32" t="n">
        <v>7.29</v>
      </c>
      <c r="E584" s="32" t="n">
        <v>159.202</v>
      </c>
      <c r="F584" s="32" t="n">
        <v>2798.003</v>
      </c>
      <c r="G584" s="32" t="n">
        <v>3.237</v>
      </c>
      <c r="H584" s="32" t="inlineStr">
        <is>
          <t>bb</t>
        </is>
      </c>
      <c r="K584" s="32" t="inlineStr">
        <is>
          <t>20250514-16</t>
        </is>
      </c>
    </row>
    <row r="585">
      <c r="A585" s="32" t="n">
        <v>6</v>
      </c>
      <c r="B585" s="32" t="inlineStr">
        <is>
          <t>EPA1633 &amp; diPAPs Calibration 5 ppb</t>
        </is>
      </c>
      <c r="D585" s="32" t="n">
        <v>7.07</v>
      </c>
      <c r="E585" s="32" t="n">
        <v>867.3819999999999</v>
      </c>
      <c r="F585" s="32" t="n">
        <v>2309.18</v>
      </c>
      <c r="G585" s="32" t="n">
        <v>150.652</v>
      </c>
      <c r="H585" s="32" t="inlineStr">
        <is>
          <t>bb</t>
        </is>
      </c>
      <c r="K585" s="32" t="inlineStr">
        <is>
          <t>20250514-17</t>
        </is>
      </c>
    </row>
    <row r="586">
      <c r="A586" s="32" t="n">
        <v>7</v>
      </c>
      <c r="B586" s="32" t="inlineStr">
        <is>
          <t>EPA1633 &amp; diPAPs Calibration 10 ppb</t>
        </is>
      </c>
      <c r="D586" s="32" t="n">
        <v>7.14</v>
      </c>
      <c r="E586" s="32" t="n">
        <v>2093.044</v>
      </c>
      <c r="F586" s="32" t="n">
        <v>2072.812</v>
      </c>
      <c r="G586" s="32" t="n">
        <v>102.039</v>
      </c>
      <c r="H586" s="32" t="inlineStr">
        <is>
          <t>bb</t>
        </is>
      </c>
      <c r="K586" s="32" t="inlineStr">
        <is>
          <t>20250514-18</t>
        </is>
      </c>
    </row>
    <row r="587">
      <c r="A587" s="32" t="n">
        <v>8</v>
      </c>
      <c r="B587" s="32" t="inlineStr">
        <is>
          <t>EPA1633 &amp; diPAPs Calibration 20 ppb</t>
        </is>
      </c>
      <c r="D587" s="32" t="n">
        <v>7.21</v>
      </c>
      <c r="E587" s="32" t="n">
        <v>4088.939</v>
      </c>
      <c r="F587" s="32" t="n">
        <v>1703.301</v>
      </c>
      <c r="G587" s="32" t="n">
        <v>136.201</v>
      </c>
      <c r="H587" s="32" t="inlineStr">
        <is>
          <t>bb</t>
        </is>
      </c>
      <c r="K587" s="32" t="inlineStr">
        <is>
          <t>20250514-19</t>
        </is>
      </c>
    </row>
    <row r="588">
      <c r="A588" s="32" t="n">
        <v>9</v>
      </c>
      <c r="B588" s="32" t="inlineStr">
        <is>
          <t>MeOH</t>
        </is>
      </c>
      <c r="K588" s="32" t="inlineStr">
        <is>
          <t>20250514-20</t>
        </is>
      </c>
    </row>
    <row r="589">
      <c r="A589" s="32" t="n">
        <v>10</v>
      </c>
      <c r="B589" s="32" t="inlineStr">
        <is>
          <t>MeOH</t>
        </is>
      </c>
      <c r="K589" s="32" t="inlineStr">
        <is>
          <t>20250514-21</t>
        </is>
      </c>
    </row>
    <row r="590">
      <c r="A590" s="32" t="n">
        <v>11</v>
      </c>
      <c r="B590" s="32" t="inlineStr">
        <is>
          <t>SB1</t>
        </is>
      </c>
      <c r="D590" s="32" t="n">
        <v>7.3</v>
      </c>
      <c r="E590" s="32" t="n">
        <v>0.219</v>
      </c>
      <c r="F590" s="32" t="n">
        <v>802.6180000000001</v>
      </c>
      <c r="G590" s="32" t="n">
        <v>4</v>
      </c>
      <c r="H590" s="32" t="inlineStr">
        <is>
          <t>bb</t>
        </is>
      </c>
      <c r="K590" s="32" t="inlineStr">
        <is>
          <t>20250514-22</t>
        </is>
      </c>
    </row>
    <row r="591">
      <c r="A591" s="32" t="n">
        <v>12</v>
      </c>
      <c r="B591" s="32" t="inlineStr">
        <is>
          <t>SB2</t>
        </is>
      </c>
      <c r="F591" s="32" t="n">
        <v>1039.268</v>
      </c>
      <c r="K591" s="32" t="inlineStr">
        <is>
          <t>20250514-23</t>
        </is>
      </c>
    </row>
    <row r="592">
      <c r="A592" s="32" t="n">
        <v>13</v>
      </c>
      <c r="B592" s="32" t="inlineStr">
        <is>
          <t>SB3</t>
        </is>
      </c>
      <c r="F592" s="32" t="n">
        <v>1005.736</v>
      </c>
      <c r="K592" s="32" t="inlineStr">
        <is>
          <t>20250514-24</t>
        </is>
      </c>
    </row>
    <row r="593">
      <c r="A593" s="32" t="n">
        <v>14</v>
      </c>
      <c r="B593" s="32" t="inlineStr">
        <is>
          <t>SS1</t>
        </is>
      </c>
      <c r="D593" s="32" t="n">
        <v>7.37</v>
      </c>
      <c r="E593" s="32" t="n">
        <v>709.646</v>
      </c>
      <c r="F593" s="32" t="n">
        <v>860.02</v>
      </c>
      <c r="G593" s="32" t="n">
        <v>117.377</v>
      </c>
      <c r="H593" s="32" t="inlineStr">
        <is>
          <t>bb</t>
        </is>
      </c>
      <c r="K593" s="32" t="inlineStr">
        <is>
          <t>20250514-25</t>
        </is>
      </c>
    </row>
    <row r="594">
      <c r="A594" s="32" t="n">
        <v>15</v>
      </c>
      <c r="B594" s="32" t="inlineStr">
        <is>
          <t>SS2</t>
        </is>
      </c>
      <c r="D594" s="32" t="n">
        <v>7.38</v>
      </c>
      <c r="E594" s="32" t="n">
        <v>824.394</v>
      </c>
      <c r="F594" s="32" t="n">
        <v>1205.224</v>
      </c>
      <c r="G594" s="32" t="n">
        <v>46.465</v>
      </c>
      <c r="H594" s="32" t="inlineStr">
        <is>
          <t>bb</t>
        </is>
      </c>
      <c r="K594" s="32" t="inlineStr">
        <is>
          <t>20250514-26</t>
        </is>
      </c>
    </row>
    <row r="595">
      <c r="A595" s="32" t="n">
        <v>16</v>
      </c>
      <c r="B595" s="32" t="inlineStr">
        <is>
          <t>SS3</t>
        </is>
      </c>
      <c r="D595" s="32" t="n">
        <v>7.39</v>
      </c>
      <c r="E595" s="32" t="n">
        <v>753.9589999999999</v>
      </c>
      <c r="F595" s="32" t="n">
        <v>953.783</v>
      </c>
      <c r="G595" s="32" t="n">
        <v>71.462</v>
      </c>
      <c r="H595" s="32" t="inlineStr">
        <is>
          <t>bb</t>
        </is>
      </c>
      <c r="K595" s="32" t="inlineStr">
        <is>
          <t>20250514-27</t>
        </is>
      </c>
    </row>
    <row r="596">
      <c r="A596" s="32" t="n">
        <v>17</v>
      </c>
      <c r="B596" s="32" t="inlineStr">
        <is>
          <t>MeOH</t>
        </is>
      </c>
      <c r="K596" s="32" t="inlineStr">
        <is>
          <t>20250514-28</t>
        </is>
      </c>
    </row>
    <row r="597">
      <c r="A597" s="32" t="n">
        <v>18</v>
      </c>
      <c r="B597" s="32" t="inlineStr">
        <is>
          <t>K4-1A</t>
        </is>
      </c>
      <c r="F597" s="32" t="n">
        <v>1575.246</v>
      </c>
      <c r="K597" s="32" t="inlineStr">
        <is>
          <t>20250514-29</t>
        </is>
      </c>
    </row>
    <row r="598">
      <c r="A598" s="32" t="n">
        <v>19</v>
      </c>
      <c r="B598" s="32" t="inlineStr">
        <is>
          <t>K4-1B</t>
        </is>
      </c>
      <c r="F598" s="32" t="n">
        <v>1550.869</v>
      </c>
      <c r="K598" s="32" t="inlineStr">
        <is>
          <t>20250514-30</t>
        </is>
      </c>
    </row>
    <row r="599">
      <c r="A599" s="32" t="n">
        <v>20</v>
      </c>
      <c r="B599" s="32" t="inlineStr">
        <is>
          <t>K4-1C</t>
        </is>
      </c>
      <c r="F599" s="32" t="n">
        <v>1163.846</v>
      </c>
      <c r="K599" s="32" t="inlineStr">
        <is>
          <t>20250514-31</t>
        </is>
      </c>
    </row>
    <row r="600">
      <c r="A600" s="32" t="n">
        <v>21</v>
      </c>
      <c r="B600" s="32" t="inlineStr">
        <is>
          <t>K4-2A</t>
        </is>
      </c>
      <c r="F600" s="32" t="n">
        <v>1084.067</v>
      </c>
      <c r="K600" s="32" t="inlineStr">
        <is>
          <t>20250514-32</t>
        </is>
      </c>
    </row>
    <row r="601">
      <c r="A601" s="32" t="n">
        <v>22</v>
      </c>
      <c r="B601" s="32" t="inlineStr">
        <is>
          <t>K4-2B</t>
        </is>
      </c>
      <c r="F601" s="32" t="n">
        <v>1044.51</v>
      </c>
      <c r="K601" s="32" t="inlineStr">
        <is>
          <t>20250514-33</t>
        </is>
      </c>
    </row>
    <row r="602">
      <c r="A602" s="32" t="n">
        <v>23</v>
      </c>
      <c r="B602" s="32" t="inlineStr">
        <is>
          <t>K4-2C</t>
        </is>
      </c>
      <c r="F602" s="32" t="n">
        <v>1020.096</v>
      </c>
      <c r="K602" s="32" t="inlineStr">
        <is>
          <t>20250514-34</t>
        </is>
      </c>
    </row>
    <row r="603">
      <c r="A603" s="32" t="n">
        <v>24</v>
      </c>
      <c r="B603" s="32" t="inlineStr">
        <is>
          <t>MeOH</t>
        </is>
      </c>
      <c r="K603" s="32" t="inlineStr">
        <is>
          <t>20250514-35</t>
        </is>
      </c>
    </row>
    <row r="604">
      <c r="A604" s="32" t="n">
        <v>25</v>
      </c>
      <c r="B604" s="32" t="inlineStr">
        <is>
          <t>K4-4A</t>
        </is>
      </c>
      <c r="D604" s="32" t="n">
        <v>7.17</v>
      </c>
      <c r="E604" s="32" t="n">
        <v>0.869</v>
      </c>
      <c r="F604" s="32" t="n">
        <v>1051.351</v>
      </c>
      <c r="G604" s="32" t="n">
        <v>16</v>
      </c>
      <c r="H604" s="32" t="inlineStr">
        <is>
          <t>bb</t>
        </is>
      </c>
      <c r="K604" s="32" t="inlineStr">
        <is>
          <t>20250514-36</t>
        </is>
      </c>
    </row>
    <row r="605">
      <c r="A605" s="32" t="n">
        <v>26</v>
      </c>
      <c r="B605" s="32" t="inlineStr">
        <is>
          <t>K4-4B</t>
        </is>
      </c>
      <c r="D605" s="32" t="n">
        <v>7.44</v>
      </c>
      <c r="E605" s="32" t="n">
        <v>3.621</v>
      </c>
      <c r="F605" s="32" t="n">
        <v>1035.151</v>
      </c>
      <c r="G605" s="32" t="n">
        <v>61</v>
      </c>
      <c r="H605" s="32" t="inlineStr">
        <is>
          <t>bb</t>
        </is>
      </c>
      <c r="K605" s="32" t="inlineStr">
        <is>
          <t>20250514-37</t>
        </is>
      </c>
    </row>
    <row r="606">
      <c r="A606" s="32" t="n">
        <v>27</v>
      </c>
      <c r="B606" s="32" t="inlineStr">
        <is>
          <t>K4-4C</t>
        </is>
      </c>
      <c r="F606" s="32" t="n">
        <v>822.99</v>
      </c>
      <c r="K606" s="32" t="inlineStr">
        <is>
          <t>20250514-38</t>
        </is>
      </c>
    </row>
    <row r="607">
      <c r="A607" s="32" t="n">
        <v>28</v>
      </c>
      <c r="B607" s="32" t="inlineStr">
        <is>
          <t>K4-5A</t>
        </is>
      </c>
      <c r="F607" s="32" t="n">
        <v>985.0170000000001</v>
      </c>
      <c r="K607" s="32" t="inlineStr">
        <is>
          <t>20250514-39</t>
        </is>
      </c>
    </row>
    <row r="608">
      <c r="A608" s="32" t="n">
        <v>29</v>
      </c>
      <c r="B608" s="32" t="inlineStr">
        <is>
          <t>K4-5B</t>
        </is>
      </c>
      <c r="F608" s="32" t="n">
        <v>1024.411</v>
      </c>
      <c r="K608" s="32" t="inlineStr">
        <is>
          <t>20250514-40</t>
        </is>
      </c>
    </row>
    <row r="609">
      <c r="A609" s="32" t="n">
        <v>30</v>
      </c>
      <c r="B609" s="32" t="inlineStr">
        <is>
          <t>K4-5C</t>
        </is>
      </c>
      <c r="F609" s="32" t="n">
        <v>1313.31</v>
      </c>
      <c r="K609" s="32" t="inlineStr">
        <is>
          <t>20250514-41</t>
        </is>
      </c>
    </row>
    <row r="610">
      <c r="A610" s="32" t="n">
        <v>31</v>
      </c>
      <c r="B610" s="32" t="inlineStr">
        <is>
          <t>MeOH</t>
        </is>
      </c>
      <c r="K610" s="32" t="inlineStr">
        <is>
          <t>20250514-42</t>
        </is>
      </c>
    </row>
    <row r="611">
      <c r="A611" s="32" t="n">
        <v>32</v>
      </c>
      <c r="B611" s="32" t="inlineStr">
        <is>
          <t>K3-1A</t>
        </is>
      </c>
      <c r="D611" s="32" t="n">
        <v>8.65</v>
      </c>
      <c r="E611" s="32" t="n">
        <v>0.199</v>
      </c>
      <c r="F611" s="32" t="n">
        <v>1115.547</v>
      </c>
      <c r="G611" s="32" t="n">
        <v>3</v>
      </c>
      <c r="H611" s="32" t="inlineStr">
        <is>
          <t>MM</t>
        </is>
      </c>
      <c r="K611" s="32" t="inlineStr">
        <is>
          <t>20250514-43</t>
        </is>
      </c>
    </row>
    <row r="612">
      <c r="A612" s="32" t="n">
        <v>33</v>
      </c>
      <c r="B612" s="32" t="inlineStr">
        <is>
          <t>K3-1B</t>
        </is>
      </c>
      <c r="F612" s="32" t="n">
        <v>868.492</v>
      </c>
      <c r="K612" s="32" t="inlineStr">
        <is>
          <t>20250514-44</t>
        </is>
      </c>
    </row>
    <row r="613">
      <c r="A613" s="32" t="n">
        <v>34</v>
      </c>
      <c r="B613" s="32" t="inlineStr">
        <is>
          <t>K3-1C</t>
        </is>
      </c>
      <c r="D613" s="32" t="n">
        <v>7.27</v>
      </c>
      <c r="E613" s="32" t="n">
        <v>0.122</v>
      </c>
      <c r="F613" s="32" t="n">
        <v>1891.713</v>
      </c>
      <c r="G613" s="32" t="n">
        <v>2</v>
      </c>
      <c r="H613" s="32" t="inlineStr">
        <is>
          <t>bb</t>
        </is>
      </c>
      <c r="K613" s="32" t="inlineStr">
        <is>
          <t>20250514-45</t>
        </is>
      </c>
    </row>
    <row r="614">
      <c r="A614" s="32" t="n">
        <v>35</v>
      </c>
      <c r="B614" s="32" t="inlineStr">
        <is>
          <t>K3-2A</t>
        </is>
      </c>
      <c r="F614" s="32" t="n">
        <v>1176.041</v>
      </c>
      <c r="K614" s="32" t="inlineStr">
        <is>
          <t>20250514-46</t>
        </is>
      </c>
    </row>
    <row r="615">
      <c r="A615" s="32" t="n">
        <v>36</v>
      </c>
      <c r="B615" s="32" t="inlineStr">
        <is>
          <t>K3-2B</t>
        </is>
      </c>
      <c r="D615" s="32" t="n">
        <v>8.68</v>
      </c>
      <c r="E615" s="32" t="n">
        <v>0.238</v>
      </c>
      <c r="F615" s="32" t="n">
        <v>1321.349</v>
      </c>
      <c r="G615" s="32" t="n">
        <v>3</v>
      </c>
      <c r="H615" s="32" t="inlineStr">
        <is>
          <t>MM</t>
        </is>
      </c>
      <c r="K615" s="32" t="inlineStr">
        <is>
          <t>20250514-47</t>
        </is>
      </c>
    </row>
    <row r="616">
      <c r="A616" s="32" t="n">
        <v>37</v>
      </c>
      <c r="B616" s="32" t="inlineStr">
        <is>
          <t>K3-2C</t>
        </is>
      </c>
      <c r="F616" s="32" t="n">
        <v>1479.533</v>
      </c>
      <c r="K616" s="32" t="inlineStr">
        <is>
          <t>20250514-48</t>
        </is>
      </c>
    </row>
    <row r="617">
      <c r="A617" s="32" t="n">
        <v>38</v>
      </c>
      <c r="B617" s="32" t="inlineStr">
        <is>
          <t>MeOH</t>
        </is>
      </c>
      <c r="K617" s="32" t="inlineStr">
        <is>
          <t>20250514-49</t>
        </is>
      </c>
    </row>
    <row r="618">
      <c r="A618" s="32" t="n">
        <v>39</v>
      </c>
      <c r="B618" s="32" t="inlineStr">
        <is>
          <t>K3-3A</t>
        </is>
      </c>
      <c r="F618" s="32" t="n">
        <v>1517.701</v>
      </c>
      <c r="K618" s="32" t="inlineStr">
        <is>
          <t>20250514-50</t>
        </is>
      </c>
    </row>
    <row r="619">
      <c r="A619" s="32" t="n">
        <v>40</v>
      </c>
      <c r="B619" s="32" t="inlineStr">
        <is>
          <t>K3-3B</t>
        </is>
      </c>
      <c r="D619" s="32" t="n">
        <v>8.470000000000001</v>
      </c>
      <c r="E619" s="32" t="n">
        <v>2.567</v>
      </c>
      <c r="F619" s="32" t="n">
        <v>1453.885</v>
      </c>
      <c r="G619" s="32" t="n">
        <v>41</v>
      </c>
      <c r="H619" s="32" t="inlineStr">
        <is>
          <t>MM</t>
        </is>
      </c>
      <c r="K619" s="32" t="inlineStr">
        <is>
          <t>20250514-51</t>
        </is>
      </c>
    </row>
    <row r="620">
      <c r="A620" s="32" t="n">
        <v>41</v>
      </c>
      <c r="B620" s="32" t="inlineStr">
        <is>
          <t>K3-3C</t>
        </is>
      </c>
      <c r="F620" s="32" t="n">
        <v>1930.228</v>
      </c>
      <c r="K620" s="32" t="inlineStr">
        <is>
          <t>20250514-52</t>
        </is>
      </c>
    </row>
    <row r="621">
      <c r="A621" s="32" t="n">
        <v>42</v>
      </c>
      <c r="B621" s="32" t="inlineStr">
        <is>
          <t>K3-4A</t>
        </is>
      </c>
      <c r="D621" s="32" t="n">
        <v>7.78</v>
      </c>
      <c r="E621" s="32" t="n">
        <v>2.852</v>
      </c>
      <c r="F621" s="32" t="n">
        <v>2454.78</v>
      </c>
      <c r="G621" s="32" t="n">
        <v>57</v>
      </c>
      <c r="H621" s="32" t="inlineStr">
        <is>
          <t>MM</t>
        </is>
      </c>
      <c r="K621" s="32" t="inlineStr">
        <is>
          <t>20250514-53</t>
        </is>
      </c>
    </row>
    <row r="622">
      <c r="A622" s="32" t="n">
        <v>43</v>
      </c>
      <c r="B622" s="32" t="inlineStr">
        <is>
          <t>K3-4B</t>
        </is>
      </c>
      <c r="F622" s="32" t="n">
        <v>2046.805</v>
      </c>
      <c r="K622" s="32" t="inlineStr">
        <is>
          <t>20250514-54</t>
        </is>
      </c>
    </row>
    <row r="623">
      <c r="A623" s="32" t="n">
        <v>44</v>
      </c>
      <c r="B623" s="32" t="inlineStr">
        <is>
          <t>K3-4C</t>
        </is>
      </c>
      <c r="D623" s="32" t="n">
        <v>8.279999999999999</v>
      </c>
      <c r="E623" s="32" t="n">
        <v>0.229</v>
      </c>
      <c r="F623" s="32" t="n">
        <v>1963.707</v>
      </c>
      <c r="G623" s="32" t="n">
        <v>4</v>
      </c>
      <c r="H623" s="32" t="inlineStr">
        <is>
          <t>MM</t>
        </is>
      </c>
      <c r="K623" s="32" t="inlineStr">
        <is>
          <t>20250514-55</t>
        </is>
      </c>
    </row>
    <row r="624">
      <c r="A624" s="32" t="n">
        <v>45</v>
      </c>
      <c r="B624" s="32" t="inlineStr">
        <is>
          <t>MeOH</t>
        </is>
      </c>
      <c r="D624" s="32" t="n">
        <v>7.49</v>
      </c>
      <c r="E624" s="32" t="n">
        <v>11.575</v>
      </c>
      <c r="G624" s="32" t="n">
        <v>182</v>
      </c>
      <c r="H624" s="32" t="inlineStr">
        <is>
          <t>bb</t>
        </is>
      </c>
      <c r="K624" s="32" t="inlineStr">
        <is>
          <t>20250514-56</t>
        </is>
      </c>
    </row>
    <row r="625">
      <c r="A625" s="32" t="n">
        <v>46</v>
      </c>
      <c r="B625" s="32" t="inlineStr">
        <is>
          <t>K3-6A</t>
        </is>
      </c>
      <c r="D625" s="32" t="n">
        <v>8.74</v>
      </c>
      <c r="E625" s="32" t="n">
        <v>0.116</v>
      </c>
      <c r="F625" s="32" t="n">
        <v>2063.159</v>
      </c>
      <c r="G625" s="32" t="n">
        <v>2</v>
      </c>
      <c r="H625" s="32" t="inlineStr">
        <is>
          <t>MM</t>
        </is>
      </c>
      <c r="K625" s="32" t="inlineStr">
        <is>
          <t>20250514-57</t>
        </is>
      </c>
    </row>
    <row r="626">
      <c r="A626" s="32" t="n">
        <v>47</v>
      </c>
      <c r="B626" s="32" t="inlineStr">
        <is>
          <t>K3-6B</t>
        </is>
      </c>
      <c r="F626" s="32" t="n">
        <v>1701.403</v>
      </c>
      <c r="K626" s="32" t="inlineStr">
        <is>
          <t>20250514-58</t>
        </is>
      </c>
    </row>
    <row r="627">
      <c r="A627" s="32" t="n">
        <v>48</v>
      </c>
      <c r="B627" s="32" t="inlineStr">
        <is>
          <t>K3-6C</t>
        </is>
      </c>
      <c r="D627" s="32" t="n">
        <v>6.5</v>
      </c>
      <c r="E627" s="32" t="n">
        <v>0.181</v>
      </c>
      <c r="F627" s="32" t="n">
        <v>1921.069</v>
      </c>
      <c r="G627" s="32" t="n">
        <v>4</v>
      </c>
      <c r="H627" s="32" t="inlineStr">
        <is>
          <t>MM</t>
        </is>
      </c>
      <c r="K627" s="32" t="inlineStr">
        <is>
          <t>20250514-59</t>
        </is>
      </c>
    </row>
    <row r="629">
      <c r="A629" s="32" t="inlineStr">
        <is>
          <t>Compound 13:  HFPO-DA</t>
        </is>
      </c>
    </row>
    <row r="631">
      <c r="B631" s="32" t="inlineStr">
        <is>
          <t>Sample Text</t>
        </is>
      </c>
      <c r="C631" s="32" t="inlineStr">
        <is>
          <t>Std. Conc</t>
        </is>
      </c>
      <c r="D631" s="32" t="inlineStr">
        <is>
          <t>RT</t>
        </is>
      </c>
      <c r="E631" s="32" t="inlineStr">
        <is>
          <t>Area</t>
        </is>
      </c>
      <c r="F631" s="32" t="inlineStr">
        <is>
          <t>IS Area</t>
        </is>
      </c>
      <c r="G631" s="32" t="inlineStr">
        <is>
          <t>S/N</t>
        </is>
      </c>
      <c r="H631" s="32" t="inlineStr">
        <is>
          <t>Primary Flags</t>
        </is>
      </c>
      <c r="I631" s="32" t="inlineStr">
        <is>
          <t>Response</t>
        </is>
      </c>
      <c r="J631" s="32" t="inlineStr">
        <is>
          <t>Conc.</t>
        </is>
      </c>
      <c r="K631" s="32" t="inlineStr">
        <is>
          <t>Name</t>
        </is>
      </c>
    </row>
    <row r="632">
      <c r="A632" s="32" t="n">
        <v>1</v>
      </c>
      <c r="B632" s="32" t="inlineStr">
        <is>
          <t>EPA1633 &amp; diPAPs Calibration 0 ppb</t>
        </is>
      </c>
      <c r="D632" s="32" t="n">
        <v>8.140000000000001</v>
      </c>
      <c r="E632" s="32" t="n">
        <v>4.395</v>
      </c>
      <c r="F632" s="32" t="n">
        <v>14.344</v>
      </c>
      <c r="G632" s="32" t="n">
        <v>73</v>
      </c>
      <c r="H632" s="32" t="inlineStr">
        <is>
          <t>bb</t>
        </is>
      </c>
      <c r="K632" s="32" t="inlineStr">
        <is>
          <t>20250514-12</t>
        </is>
      </c>
    </row>
    <row r="633">
      <c r="A633" s="32" t="n">
        <v>2</v>
      </c>
      <c r="B633" s="32" t="inlineStr">
        <is>
          <t>EPA1633 &amp; diPAPs Calibration 0.02 ppb</t>
        </is>
      </c>
      <c r="F633" s="32" t="n">
        <v>39.073</v>
      </c>
      <c r="K633" s="32" t="inlineStr">
        <is>
          <t>20250514-13</t>
        </is>
      </c>
    </row>
    <row r="634">
      <c r="A634" s="32" t="n">
        <v>3</v>
      </c>
      <c r="B634" s="32" t="inlineStr">
        <is>
          <t>EPA1633 &amp; diPAPs Calibration 0.1 ppb</t>
        </is>
      </c>
      <c r="F634" s="32" t="n">
        <v>51.036</v>
      </c>
      <c r="K634" s="32" t="inlineStr">
        <is>
          <t>20250514-14</t>
        </is>
      </c>
    </row>
    <row r="635">
      <c r="A635" s="32" t="n">
        <v>4</v>
      </c>
      <c r="B635" s="32" t="inlineStr">
        <is>
          <t>EPA1633 &amp; diPAPs Calibration 0.4 ppb</t>
        </is>
      </c>
      <c r="D635" s="32" t="n">
        <v>10.1</v>
      </c>
      <c r="E635" s="32" t="n">
        <v>0.446</v>
      </c>
      <c r="F635" s="32" t="n">
        <v>49.088</v>
      </c>
      <c r="G635" s="32" t="n">
        <v>5</v>
      </c>
      <c r="H635" s="32" t="inlineStr">
        <is>
          <t>bb</t>
        </is>
      </c>
      <c r="K635" s="32" t="inlineStr">
        <is>
          <t>20250514-15</t>
        </is>
      </c>
    </row>
    <row r="636">
      <c r="A636" s="32" t="n">
        <v>5</v>
      </c>
      <c r="B636" s="32" t="inlineStr">
        <is>
          <t>EPA1633 &amp; diPAPs Calibration 1 ppb</t>
        </is>
      </c>
      <c r="F636" s="32" t="n">
        <v>57.708</v>
      </c>
      <c r="K636" s="32" t="inlineStr">
        <is>
          <t>20250514-16</t>
        </is>
      </c>
    </row>
    <row r="637">
      <c r="A637" s="32" t="n">
        <v>6</v>
      </c>
      <c r="B637" s="32" t="inlineStr">
        <is>
          <t>EPA1633 &amp; diPAPs Calibration 5 ppb</t>
        </is>
      </c>
      <c r="D637" s="32" t="n">
        <v>10.75</v>
      </c>
      <c r="E637" s="32" t="n">
        <v>1.52</v>
      </c>
      <c r="F637" s="32" t="n">
        <v>2.152</v>
      </c>
      <c r="G637" s="32" t="n">
        <v>17</v>
      </c>
      <c r="H637" s="32" t="inlineStr">
        <is>
          <t>bb</t>
        </is>
      </c>
      <c r="K637" s="32" t="inlineStr">
        <is>
          <t>20250514-17</t>
        </is>
      </c>
    </row>
    <row r="638">
      <c r="A638" s="32" t="n">
        <v>7</v>
      </c>
      <c r="B638" s="32" t="inlineStr">
        <is>
          <t>EPA1633 &amp; diPAPs Calibration 10 ppb</t>
        </is>
      </c>
      <c r="D638" s="32" t="n">
        <v>9.369999999999999</v>
      </c>
      <c r="E638" s="32" t="n">
        <v>16.462</v>
      </c>
      <c r="F638" s="32" t="n">
        <v>54.435</v>
      </c>
      <c r="G638" s="32" t="n">
        <v>172</v>
      </c>
      <c r="H638" s="32" t="inlineStr">
        <is>
          <t>bb</t>
        </is>
      </c>
      <c r="K638" s="32" t="inlineStr">
        <is>
          <t>20250514-18</t>
        </is>
      </c>
    </row>
    <row r="639">
      <c r="A639" s="32" t="n">
        <v>8</v>
      </c>
      <c r="B639" s="32" t="inlineStr">
        <is>
          <t>EPA1633 &amp; diPAPs Calibration 20 ppb</t>
        </is>
      </c>
      <c r="D639" s="32" t="n">
        <v>9.43</v>
      </c>
      <c r="E639" s="32" t="n">
        <v>139.942</v>
      </c>
      <c r="F639" s="32" t="n">
        <v>26.442</v>
      </c>
      <c r="G639" s="32" t="n">
        <v>1178</v>
      </c>
      <c r="H639" s="32" t="inlineStr">
        <is>
          <t>bb</t>
        </is>
      </c>
      <c r="K639" s="32" t="inlineStr">
        <is>
          <t>20250514-19</t>
        </is>
      </c>
    </row>
    <row r="640">
      <c r="A640" s="32" t="n">
        <v>9</v>
      </c>
      <c r="B640" s="32" t="inlineStr">
        <is>
          <t>MeOH</t>
        </is>
      </c>
      <c r="D640" s="32" t="n">
        <v>8.109999999999999</v>
      </c>
      <c r="E640" s="32" t="n">
        <v>3.218</v>
      </c>
      <c r="G640" s="32" t="n">
        <v>53</v>
      </c>
      <c r="H640" s="32" t="inlineStr">
        <is>
          <t>bb</t>
        </is>
      </c>
      <c r="K640" s="32" t="inlineStr">
        <is>
          <t>20250514-20</t>
        </is>
      </c>
    </row>
    <row r="641">
      <c r="A641" s="32" t="n">
        <v>10</v>
      </c>
      <c r="B641" s="32" t="inlineStr">
        <is>
          <t>MeOH</t>
        </is>
      </c>
      <c r="D641" s="32" t="n">
        <v>9.5</v>
      </c>
      <c r="E641" s="32" t="n">
        <v>10.497</v>
      </c>
      <c r="G641" s="32" t="n">
        <v>119</v>
      </c>
      <c r="H641" s="32" t="inlineStr">
        <is>
          <t>bb</t>
        </is>
      </c>
      <c r="K641" s="32" t="inlineStr">
        <is>
          <t>20250514-21</t>
        </is>
      </c>
    </row>
    <row r="642">
      <c r="A642" s="32" t="n">
        <v>11</v>
      </c>
      <c r="B642" s="32" t="inlineStr">
        <is>
          <t>SB1</t>
        </is>
      </c>
      <c r="F642" s="32" t="n">
        <v>43.519</v>
      </c>
      <c r="K642" s="32" t="inlineStr">
        <is>
          <t>20250514-22</t>
        </is>
      </c>
    </row>
    <row r="643">
      <c r="A643" s="32" t="n">
        <v>12</v>
      </c>
      <c r="B643" s="32" t="inlineStr">
        <is>
          <t>SB2</t>
        </is>
      </c>
      <c r="D643" s="32" t="n">
        <v>10.38</v>
      </c>
      <c r="E643" s="32" t="n">
        <v>0.447</v>
      </c>
      <c r="G643" s="32" t="n">
        <v>5</v>
      </c>
      <c r="H643" s="32" t="inlineStr">
        <is>
          <t>bb</t>
        </is>
      </c>
      <c r="K643" s="32" t="inlineStr">
        <is>
          <t>20250514-23</t>
        </is>
      </c>
    </row>
    <row r="644">
      <c r="A644" s="32" t="n">
        <v>13</v>
      </c>
      <c r="B644" s="32" t="inlineStr">
        <is>
          <t>SB3</t>
        </is>
      </c>
      <c r="K644" s="32" t="inlineStr">
        <is>
          <t>20250514-24</t>
        </is>
      </c>
    </row>
    <row r="645">
      <c r="A645" s="32" t="n">
        <v>14</v>
      </c>
      <c r="B645" s="32" t="inlineStr">
        <is>
          <t>SS1</t>
        </is>
      </c>
      <c r="D645" s="32" t="n">
        <v>9.48</v>
      </c>
      <c r="E645" s="32" t="n">
        <v>2.943</v>
      </c>
      <c r="G645" s="32" t="n">
        <v>35</v>
      </c>
      <c r="H645" s="32" t="inlineStr">
        <is>
          <t>bb</t>
        </is>
      </c>
      <c r="K645" s="32" t="inlineStr">
        <is>
          <t>20250514-25</t>
        </is>
      </c>
    </row>
    <row r="646">
      <c r="A646" s="32" t="n">
        <v>15</v>
      </c>
      <c r="B646" s="32" t="inlineStr">
        <is>
          <t>SS2</t>
        </is>
      </c>
      <c r="F646" s="32" t="n">
        <v>4.194</v>
      </c>
      <c r="K646" s="32" t="inlineStr">
        <is>
          <t>20250514-26</t>
        </is>
      </c>
    </row>
    <row r="647">
      <c r="A647" s="32" t="n">
        <v>16</v>
      </c>
      <c r="B647" s="32" t="inlineStr">
        <is>
          <t>SS3</t>
        </is>
      </c>
      <c r="F647" s="32" t="n">
        <v>0.54</v>
      </c>
      <c r="K647" s="32" t="inlineStr">
        <is>
          <t>20250514-27</t>
        </is>
      </c>
    </row>
    <row r="648">
      <c r="A648" s="32" t="n">
        <v>17</v>
      </c>
      <c r="B648" s="32" t="inlineStr">
        <is>
          <t>MeOH</t>
        </is>
      </c>
      <c r="K648" s="32" t="inlineStr">
        <is>
          <t>20250514-28</t>
        </is>
      </c>
    </row>
    <row r="649">
      <c r="A649" s="32" t="n">
        <v>18</v>
      </c>
      <c r="B649" s="32" t="inlineStr">
        <is>
          <t>K4-1A</t>
        </is>
      </c>
      <c r="F649" s="32" t="n">
        <v>5.439</v>
      </c>
      <c r="K649" s="32" t="inlineStr">
        <is>
          <t>20250514-29</t>
        </is>
      </c>
    </row>
    <row r="650">
      <c r="A650" s="32" t="n">
        <v>19</v>
      </c>
      <c r="B650" s="32" t="inlineStr">
        <is>
          <t>K4-1B</t>
        </is>
      </c>
      <c r="D650" s="32" t="n">
        <v>8.210000000000001</v>
      </c>
      <c r="E650" s="32" t="n">
        <v>2.123</v>
      </c>
      <c r="F650" s="32" t="n">
        <v>0.43</v>
      </c>
      <c r="G650" s="32" t="n">
        <v>35</v>
      </c>
      <c r="H650" s="32" t="inlineStr">
        <is>
          <t>bb</t>
        </is>
      </c>
      <c r="K650" s="32" t="inlineStr">
        <is>
          <t>20250514-30</t>
        </is>
      </c>
    </row>
    <row r="651">
      <c r="A651" s="32" t="n">
        <v>20</v>
      </c>
      <c r="B651" s="32" t="inlineStr">
        <is>
          <t>K4-1C</t>
        </is>
      </c>
      <c r="K651" s="32" t="inlineStr">
        <is>
          <t>20250514-31</t>
        </is>
      </c>
    </row>
    <row r="652">
      <c r="A652" s="32" t="n">
        <v>21</v>
      </c>
      <c r="B652" s="32" t="inlineStr">
        <is>
          <t>K4-2A</t>
        </is>
      </c>
      <c r="K652" s="32" t="inlineStr">
        <is>
          <t>20250514-32</t>
        </is>
      </c>
    </row>
    <row r="653">
      <c r="A653" s="32" t="n">
        <v>22</v>
      </c>
      <c r="B653" s="32" t="inlineStr">
        <is>
          <t>K4-2B</t>
        </is>
      </c>
      <c r="K653" s="32" t="inlineStr">
        <is>
          <t>20250514-33</t>
        </is>
      </c>
    </row>
    <row r="654">
      <c r="A654" s="32" t="n">
        <v>23</v>
      </c>
      <c r="B654" s="32" t="inlineStr">
        <is>
          <t>K4-2C</t>
        </is>
      </c>
      <c r="F654" s="32" t="n">
        <v>1.714</v>
      </c>
      <c r="K654" s="32" t="inlineStr">
        <is>
          <t>20250514-34</t>
        </is>
      </c>
    </row>
    <row r="655">
      <c r="A655" s="32" t="n">
        <v>24</v>
      </c>
      <c r="B655" s="32" t="inlineStr">
        <is>
          <t>MeOH</t>
        </is>
      </c>
      <c r="K655" s="32" t="inlineStr">
        <is>
          <t>20250514-35</t>
        </is>
      </c>
    </row>
    <row r="656">
      <c r="A656" s="32" t="n">
        <v>25</v>
      </c>
      <c r="B656" s="32" t="inlineStr">
        <is>
          <t>K4-4A</t>
        </is>
      </c>
      <c r="D656" s="32" t="n">
        <v>8.32</v>
      </c>
      <c r="E656" s="32" t="n">
        <v>0.155</v>
      </c>
      <c r="G656" s="32" t="n">
        <v>3</v>
      </c>
      <c r="H656" s="32" t="inlineStr">
        <is>
          <t>bb</t>
        </is>
      </c>
      <c r="K656" s="32" t="inlineStr">
        <is>
          <t>20250514-36</t>
        </is>
      </c>
    </row>
    <row r="657">
      <c r="A657" s="32" t="n">
        <v>26</v>
      </c>
      <c r="B657" s="32" t="inlineStr">
        <is>
          <t>K4-4B</t>
        </is>
      </c>
      <c r="D657" s="32" t="n">
        <v>8.81</v>
      </c>
      <c r="E657" s="32" t="n">
        <v>0.193</v>
      </c>
      <c r="G657" s="32" t="n">
        <v>3</v>
      </c>
      <c r="H657" s="32" t="inlineStr">
        <is>
          <t>bb</t>
        </is>
      </c>
      <c r="K657" s="32" t="inlineStr">
        <is>
          <t>20250514-37</t>
        </is>
      </c>
    </row>
    <row r="658">
      <c r="A658" s="32" t="n">
        <v>27</v>
      </c>
      <c r="B658" s="32" t="inlineStr">
        <is>
          <t>K4-4C</t>
        </is>
      </c>
      <c r="F658" s="32" t="n">
        <v>0.65</v>
      </c>
      <c r="K658" s="32" t="inlineStr">
        <is>
          <t>20250514-38</t>
        </is>
      </c>
    </row>
    <row r="659">
      <c r="A659" s="32" t="n">
        <v>28</v>
      </c>
      <c r="B659" s="32" t="inlineStr">
        <is>
          <t>K4-5A</t>
        </is>
      </c>
      <c r="K659" s="32" t="inlineStr">
        <is>
          <t>20250514-39</t>
        </is>
      </c>
    </row>
    <row r="660">
      <c r="A660" s="32" t="n">
        <v>29</v>
      </c>
      <c r="B660" s="32" t="inlineStr">
        <is>
          <t>K4-5B</t>
        </is>
      </c>
      <c r="K660" s="32" t="inlineStr">
        <is>
          <t>20250514-40</t>
        </is>
      </c>
    </row>
    <row r="661">
      <c r="A661" s="32" t="n">
        <v>30</v>
      </c>
      <c r="B661" s="32" t="inlineStr">
        <is>
          <t>K4-5C</t>
        </is>
      </c>
      <c r="D661" s="32" t="n">
        <v>8.869999999999999</v>
      </c>
      <c r="E661" s="32" t="n">
        <v>2.752</v>
      </c>
      <c r="F661" s="32" t="n">
        <v>41.611</v>
      </c>
      <c r="G661" s="32" t="n">
        <v>37</v>
      </c>
      <c r="H661" s="32" t="inlineStr">
        <is>
          <t>bb</t>
        </is>
      </c>
      <c r="K661" s="32" t="inlineStr">
        <is>
          <t>20250514-41</t>
        </is>
      </c>
    </row>
    <row r="662">
      <c r="A662" s="32" t="n">
        <v>31</v>
      </c>
      <c r="B662" s="32" t="inlineStr">
        <is>
          <t>MeOH</t>
        </is>
      </c>
      <c r="K662" s="32" t="inlineStr">
        <is>
          <t>20250514-42</t>
        </is>
      </c>
    </row>
    <row r="663">
      <c r="A663" s="32" t="n">
        <v>32</v>
      </c>
      <c r="B663" s="32" t="inlineStr">
        <is>
          <t>K3-1A</t>
        </is>
      </c>
      <c r="F663" s="32" t="n">
        <v>3.11</v>
      </c>
      <c r="K663" s="32" t="inlineStr">
        <is>
          <t>20250514-43</t>
        </is>
      </c>
    </row>
    <row r="664">
      <c r="A664" s="32" t="n">
        <v>33</v>
      </c>
      <c r="B664" s="32" t="inlineStr">
        <is>
          <t>K3-1B</t>
        </is>
      </c>
      <c r="K664" s="32" t="inlineStr">
        <is>
          <t>20250514-44</t>
        </is>
      </c>
    </row>
    <row r="665">
      <c r="A665" s="32" t="n">
        <v>34</v>
      </c>
      <c r="B665" s="32" t="inlineStr">
        <is>
          <t>K3-1C</t>
        </is>
      </c>
      <c r="D665" s="32" t="n">
        <v>9.890000000000001</v>
      </c>
      <c r="E665" s="32" t="n">
        <v>4.672</v>
      </c>
      <c r="F665" s="32" t="n">
        <v>8.337999999999999</v>
      </c>
      <c r="G665" s="32" t="n">
        <v>52</v>
      </c>
      <c r="H665" s="32" t="inlineStr">
        <is>
          <t>bb</t>
        </is>
      </c>
      <c r="K665" s="32" t="inlineStr">
        <is>
          <t>20250514-45</t>
        </is>
      </c>
    </row>
    <row r="666">
      <c r="A666" s="32" t="n">
        <v>35</v>
      </c>
      <c r="B666" s="32" t="inlineStr">
        <is>
          <t>K3-2A</t>
        </is>
      </c>
      <c r="F666" s="32" t="n">
        <v>4.234</v>
      </c>
      <c r="K666" s="32" t="inlineStr">
        <is>
          <t>20250514-46</t>
        </is>
      </c>
    </row>
    <row r="667">
      <c r="A667" s="32" t="n">
        <v>36</v>
      </c>
      <c r="B667" s="32" t="inlineStr">
        <is>
          <t>K3-2B</t>
        </is>
      </c>
      <c r="F667" s="32" t="n">
        <v>18.982</v>
      </c>
      <c r="K667" s="32" t="inlineStr">
        <is>
          <t>20250514-47</t>
        </is>
      </c>
    </row>
    <row r="668">
      <c r="A668" s="32" t="n">
        <v>37</v>
      </c>
      <c r="B668" s="32" t="inlineStr">
        <is>
          <t>K3-2C</t>
        </is>
      </c>
      <c r="K668" s="32" t="inlineStr">
        <is>
          <t>20250514-48</t>
        </is>
      </c>
    </row>
    <row r="669">
      <c r="A669" s="32" t="n">
        <v>38</v>
      </c>
      <c r="B669" s="32" t="inlineStr">
        <is>
          <t>MeOH</t>
        </is>
      </c>
      <c r="K669" s="32" t="inlineStr">
        <is>
          <t>20250514-49</t>
        </is>
      </c>
    </row>
    <row r="670">
      <c r="A670" s="32" t="n">
        <v>39</v>
      </c>
      <c r="B670" s="32" t="inlineStr">
        <is>
          <t>K3-3A</t>
        </is>
      </c>
      <c r="F670" s="32" t="n">
        <v>3.454</v>
      </c>
      <c r="K670" s="32" t="inlineStr">
        <is>
          <t>20250514-50</t>
        </is>
      </c>
    </row>
    <row r="671">
      <c r="A671" s="32" t="n">
        <v>40</v>
      </c>
      <c r="B671" s="32" t="inlineStr">
        <is>
          <t>K3-3B</t>
        </is>
      </c>
      <c r="F671" s="32" t="n">
        <v>54.989</v>
      </c>
      <c r="K671" s="32" t="inlineStr">
        <is>
          <t>20250514-51</t>
        </is>
      </c>
    </row>
    <row r="672">
      <c r="A672" s="32" t="n">
        <v>41</v>
      </c>
      <c r="B672" s="32" t="inlineStr">
        <is>
          <t>K3-3C</t>
        </is>
      </c>
      <c r="F672" s="32" t="n">
        <v>21.381</v>
      </c>
      <c r="K672" s="32" t="inlineStr">
        <is>
          <t>20250514-52</t>
        </is>
      </c>
    </row>
    <row r="673">
      <c r="A673" s="32" t="n">
        <v>42</v>
      </c>
      <c r="B673" s="32" t="inlineStr">
        <is>
          <t>K3-4A</t>
        </is>
      </c>
      <c r="D673" s="32" t="n">
        <v>8.82</v>
      </c>
      <c r="E673" s="32" t="n">
        <v>0.232</v>
      </c>
      <c r="F673" s="32" t="n">
        <v>24.86</v>
      </c>
      <c r="G673" s="32" t="n">
        <v>3</v>
      </c>
      <c r="H673" s="32" t="inlineStr">
        <is>
          <t>bb</t>
        </is>
      </c>
      <c r="K673" s="32" t="inlineStr">
        <is>
          <t>20250514-53</t>
        </is>
      </c>
    </row>
    <row r="674">
      <c r="A674" s="32" t="n">
        <v>43</v>
      </c>
      <c r="B674" s="32" t="inlineStr">
        <is>
          <t>K3-4B</t>
        </is>
      </c>
      <c r="F674" s="32" t="n">
        <v>21.177</v>
      </c>
      <c r="K674" s="32" t="inlineStr">
        <is>
          <t>20250514-54</t>
        </is>
      </c>
    </row>
    <row r="675">
      <c r="A675" s="32" t="n">
        <v>44</v>
      </c>
      <c r="B675" s="32" t="inlineStr">
        <is>
          <t>K3-4C</t>
        </is>
      </c>
      <c r="F675" s="32" t="n">
        <v>22.158</v>
      </c>
      <c r="K675" s="32" t="inlineStr">
        <is>
          <t>20250514-55</t>
        </is>
      </c>
    </row>
    <row r="676">
      <c r="A676" s="32" t="n">
        <v>45</v>
      </c>
      <c r="B676" s="32" t="inlineStr">
        <is>
          <t>MeOH</t>
        </is>
      </c>
      <c r="F676" s="32" t="n">
        <v>11.389</v>
      </c>
      <c r="K676" s="32" t="inlineStr">
        <is>
          <t>20250514-56</t>
        </is>
      </c>
    </row>
    <row r="677">
      <c r="A677" s="32" t="n">
        <v>46</v>
      </c>
      <c r="B677" s="32" t="inlineStr">
        <is>
          <t>K3-6A</t>
        </is>
      </c>
      <c r="F677" s="32" t="n">
        <v>13.489</v>
      </c>
      <c r="K677" s="32" t="inlineStr">
        <is>
          <t>20250514-57</t>
        </is>
      </c>
    </row>
    <row r="678">
      <c r="A678" s="32" t="n">
        <v>47</v>
      </c>
      <c r="B678" s="32" t="inlineStr">
        <is>
          <t>K3-6B</t>
        </is>
      </c>
      <c r="F678" s="32" t="n">
        <v>8.116</v>
      </c>
      <c r="K678" s="32" t="inlineStr">
        <is>
          <t>20250514-58</t>
        </is>
      </c>
    </row>
    <row r="679">
      <c r="A679" s="32" t="n">
        <v>48</v>
      </c>
      <c r="B679" s="32" t="inlineStr">
        <is>
          <t>K3-6C</t>
        </is>
      </c>
      <c r="K679" s="32" t="inlineStr">
        <is>
          <t>20250514-59</t>
        </is>
      </c>
    </row>
    <row r="681">
      <c r="A681" s="32" t="inlineStr">
        <is>
          <t>Compound 14:  m3 HFPO-DA</t>
        </is>
      </c>
    </row>
    <row r="683">
      <c r="B683" s="32" t="inlineStr">
        <is>
          <t>Sample Text</t>
        </is>
      </c>
      <c r="C683" s="32" t="inlineStr">
        <is>
          <t>Std. Conc</t>
        </is>
      </c>
      <c r="D683" s="32" t="inlineStr">
        <is>
          <t>RT</t>
        </is>
      </c>
      <c r="E683" s="32" t="inlineStr">
        <is>
          <t>Area</t>
        </is>
      </c>
      <c r="F683" s="32" t="inlineStr">
        <is>
          <t>IS Area</t>
        </is>
      </c>
      <c r="G683" s="32" t="inlineStr">
        <is>
          <t>S/N</t>
        </is>
      </c>
      <c r="H683" s="32" t="inlineStr">
        <is>
          <t>Primary Flags</t>
        </is>
      </c>
      <c r="I683" s="32" t="inlineStr">
        <is>
          <t>Response</t>
        </is>
      </c>
      <c r="J683" s="32" t="inlineStr">
        <is>
          <t>Conc.</t>
        </is>
      </c>
      <c r="K683" s="32" t="inlineStr">
        <is>
          <t>Name</t>
        </is>
      </c>
    </row>
    <row r="684">
      <c r="A684" s="32" t="n">
        <v>1</v>
      </c>
      <c r="B684" s="32" t="inlineStr">
        <is>
          <t>EPA1633 &amp; diPAPs Calibration 0 ppb</t>
        </is>
      </c>
      <c r="D684" s="32" t="n">
        <v>9.380000000000001</v>
      </c>
      <c r="E684" s="32" t="n">
        <v>14.344</v>
      </c>
      <c r="G684" s="32" t="n">
        <v>160</v>
      </c>
      <c r="H684" s="32" t="inlineStr">
        <is>
          <t>bb</t>
        </is>
      </c>
      <c r="I684" s="32" t="n">
        <v>14.344</v>
      </c>
      <c r="K684" s="32" t="inlineStr">
        <is>
          <t>20250514-12</t>
        </is>
      </c>
    </row>
    <row r="685">
      <c r="A685" s="32" t="n">
        <v>2</v>
      </c>
      <c r="B685" s="32" t="inlineStr">
        <is>
          <t>EPA1633 &amp; diPAPs Calibration 0.02 ppb</t>
        </is>
      </c>
      <c r="D685" s="32" t="n">
        <v>9.470000000000001</v>
      </c>
      <c r="E685" s="32" t="n">
        <v>39.073</v>
      </c>
      <c r="G685" s="32" t="n">
        <v>394</v>
      </c>
      <c r="H685" s="32" t="inlineStr">
        <is>
          <t>bb</t>
        </is>
      </c>
      <c r="I685" s="32" t="n">
        <v>39.073</v>
      </c>
      <c r="K685" s="32" t="inlineStr">
        <is>
          <t>20250514-13</t>
        </is>
      </c>
    </row>
    <row r="686">
      <c r="A686" s="32" t="n">
        <v>3</v>
      </c>
      <c r="B686" s="32" t="inlineStr">
        <is>
          <t>EPA1633 &amp; diPAPs Calibration 0.1 ppb</t>
        </is>
      </c>
      <c r="D686" s="32" t="n">
        <v>9.41</v>
      </c>
      <c r="E686" s="32" t="n">
        <v>51.036</v>
      </c>
      <c r="G686" s="32" t="n">
        <v>589</v>
      </c>
      <c r="H686" s="32" t="inlineStr">
        <is>
          <t>bb</t>
        </is>
      </c>
      <c r="I686" s="32" t="n">
        <v>51.036</v>
      </c>
      <c r="K686" s="32" t="inlineStr">
        <is>
          <t>20250514-14</t>
        </is>
      </c>
    </row>
    <row r="687">
      <c r="A687" s="32" t="n">
        <v>4</v>
      </c>
      <c r="B687" s="32" t="inlineStr">
        <is>
          <t>EPA1633 &amp; diPAPs Calibration 0.4 ppb</t>
        </is>
      </c>
      <c r="D687" s="32" t="n">
        <v>9.449999999999999</v>
      </c>
      <c r="E687" s="32" t="n">
        <v>49.088</v>
      </c>
      <c r="G687" s="32" t="n">
        <v>483</v>
      </c>
      <c r="H687" s="32" t="inlineStr">
        <is>
          <t>bb</t>
        </is>
      </c>
      <c r="I687" s="32" t="n">
        <v>49.088</v>
      </c>
      <c r="K687" s="32" t="inlineStr">
        <is>
          <t>20250514-15</t>
        </is>
      </c>
    </row>
    <row r="688">
      <c r="A688" s="32" t="n">
        <v>5</v>
      </c>
      <c r="B688" s="32" t="inlineStr">
        <is>
          <t>EPA1633 &amp; diPAPs Calibration 1 ppb</t>
        </is>
      </c>
      <c r="D688" s="32" t="n">
        <v>9.449999999999999</v>
      </c>
      <c r="E688" s="32" t="n">
        <v>57.708</v>
      </c>
      <c r="G688" s="32" t="n">
        <v>672</v>
      </c>
      <c r="H688" s="32" t="inlineStr">
        <is>
          <t>bb</t>
        </is>
      </c>
      <c r="I688" s="32" t="n">
        <v>57.708</v>
      </c>
      <c r="K688" s="32" t="inlineStr">
        <is>
          <t>20250514-16</t>
        </is>
      </c>
    </row>
    <row r="689">
      <c r="A689" s="32" t="n">
        <v>6</v>
      </c>
      <c r="B689" s="32" t="inlineStr">
        <is>
          <t>EPA1633 &amp; diPAPs Calibration 5 ppb</t>
        </is>
      </c>
      <c r="D689" s="32" t="n">
        <v>9.33</v>
      </c>
      <c r="E689" s="32" t="n">
        <v>2.152</v>
      </c>
      <c r="G689" s="32" t="n">
        <v>26</v>
      </c>
      <c r="H689" s="32" t="inlineStr">
        <is>
          <t>bb</t>
        </is>
      </c>
      <c r="I689" s="32" t="n">
        <v>2.152</v>
      </c>
      <c r="K689" s="32" t="inlineStr">
        <is>
          <t>20250514-17</t>
        </is>
      </c>
    </row>
    <row r="690">
      <c r="A690" s="32" t="n">
        <v>7</v>
      </c>
      <c r="B690" s="32" t="inlineStr">
        <is>
          <t>EPA1633 &amp; diPAPs Calibration 10 ppb</t>
        </is>
      </c>
      <c r="D690" s="32" t="n">
        <v>9.34</v>
      </c>
      <c r="E690" s="32" t="n">
        <v>54.435</v>
      </c>
      <c r="G690" s="32" t="n">
        <v>104.281</v>
      </c>
      <c r="H690" s="32" t="inlineStr">
        <is>
          <t>bb</t>
        </is>
      </c>
      <c r="I690" s="32" t="n">
        <v>54.435</v>
      </c>
      <c r="K690" s="32" t="inlineStr">
        <is>
          <t>20250514-18</t>
        </is>
      </c>
    </row>
    <row r="691">
      <c r="A691" s="32" t="n">
        <v>8</v>
      </c>
      <c r="B691" s="32" t="inlineStr">
        <is>
          <t>EPA1633 &amp; diPAPs Calibration 20 ppb</t>
        </is>
      </c>
      <c r="D691" s="32" t="n">
        <v>9.449999999999999</v>
      </c>
      <c r="E691" s="32" t="n">
        <v>26.442</v>
      </c>
      <c r="G691" s="32" t="n">
        <v>3.751</v>
      </c>
      <c r="H691" s="32" t="inlineStr">
        <is>
          <t>bb</t>
        </is>
      </c>
      <c r="I691" s="32" t="n">
        <v>26.442</v>
      </c>
      <c r="K691" s="32" t="inlineStr">
        <is>
          <t>20250514-19</t>
        </is>
      </c>
    </row>
    <row r="692">
      <c r="A692" s="32" t="n">
        <v>9</v>
      </c>
      <c r="B692" s="32" t="inlineStr">
        <is>
          <t>MeOH</t>
        </is>
      </c>
      <c r="K692" s="32" t="inlineStr">
        <is>
          <t>20250514-20</t>
        </is>
      </c>
    </row>
    <row r="693">
      <c r="A693" s="32" t="n">
        <v>10</v>
      </c>
      <c r="B693" s="32" t="inlineStr">
        <is>
          <t>MeOH</t>
        </is>
      </c>
      <c r="K693" s="32" t="inlineStr">
        <is>
          <t>20250514-21</t>
        </is>
      </c>
    </row>
    <row r="694">
      <c r="A694" s="32" t="n">
        <v>11</v>
      </c>
      <c r="B694" s="32" t="inlineStr">
        <is>
          <t>SB1</t>
        </is>
      </c>
      <c r="D694" s="32" t="n">
        <v>9.529999999999999</v>
      </c>
      <c r="E694" s="32" t="n">
        <v>43.519</v>
      </c>
      <c r="G694" s="32" t="n">
        <v>456</v>
      </c>
      <c r="H694" s="32" t="inlineStr">
        <is>
          <t>bb</t>
        </is>
      </c>
      <c r="I694" s="32" t="n">
        <v>43.519</v>
      </c>
      <c r="K694" s="32" t="inlineStr">
        <is>
          <t>20250514-22</t>
        </is>
      </c>
    </row>
    <row r="695">
      <c r="A695" s="32" t="n">
        <v>12</v>
      </c>
      <c r="B695" s="32" t="inlineStr">
        <is>
          <t>SB2</t>
        </is>
      </c>
      <c r="K695" s="32" t="inlineStr">
        <is>
          <t>20250514-23</t>
        </is>
      </c>
    </row>
    <row r="696">
      <c r="A696" s="32" t="n">
        <v>13</v>
      </c>
      <c r="B696" s="32" t="inlineStr">
        <is>
          <t>SB3</t>
        </is>
      </c>
      <c r="K696" s="32" t="inlineStr">
        <is>
          <t>20250514-24</t>
        </is>
      </c>
    </row>
    <row r="697">
      <c r="A697" s="32" t="n">
        <v>14</v>
      </c>
      <c r="B697" s="32" t="inlineStr">
        <is>
          <t>SS1</t>
        </is>
      </c>
      <c r="K697" s="32" t="inlineStr">
        <is>
          <t>20250514-25</t>
        </is>
      </c>
    </row>
    <row r="698">
      <c r="A698" s="32" t="n">
        <v>15</v>
      </c>
      <c r="B698" s="32" t="inlineStr">
        <is>
          <t>SS2</t>
        </is>
      </c>
      <c r="D698" s="32" t="n">
        <v>9.5</v>
      </c>
      <c r="E698" s="32" t="n">
        <v>4.194</v>
      </c>
      <c r="G698" s="32" t="n">
        <v>8.882999999999999</v>
      </c>
      <c r="H698" s="32" t="inlineStr">
        <is>
          <t>bb</t>
        </is>
      </c>
      <c r="I698" s="32" t="n">
        <v>4.194</v>
      </c>
      <c r="K698" s="32" t="inlineStr">
        <is>
          <t>20250514-26</t>
        </is>
      </c>
    </row>
    <row r="699">
      <c r="A699" s="32" t="n">
        <v>16</v>
      </c>
      <c r="B699" s="32" t="inlineStr">
        <is>
          <t>SS3</t>
        </is>
      </c>
      <c r="D699" s="32" t="n">
        <v>9.529999999999999</v>
      </c>
      <c r="E699" s="32" t="n">
        <v>0.54</v>
      </c>
      <c r="G699" s="32" t="n">
        <v>0.518</v>
      </c>
      <c r="H699" s="32" t="inlineStr">
        <is>
          <t>bb</t>
        </is>
      </c>
      <c r="I699" s="32" t="n">
        <v>0.54</v>
      </c>
      <c r="K699" s="32" t="inlineStr">
        <is>
          <t>20250514-27</t>
        </is>
      </c>
    </row>
    <row r="700">
      <c r="A700" s="32" t="n">
        <v>17</v>
      </c>
      <c r="B700" s="32" t="inlineStr">
        <is>
          <t>MeOH</t>
        </is>
      </c>
      <c r="K700" s="32" t="inlineStr">
        <is>
          <t>20250514-28</t>
        </is>
      </c>
    </row>
    <row r="701">
      <c r="A701" s="32" t="n">
        <v>18</v>
      </c>
      <c r="B701" s="32" t="inlineStr">
        <is>
          <t>K4-1A</t>
        </is>
      </c>
      <c r="D701" s="32" t="n">
        <v>9.5</v>
      </c>
      <c r="E701" s="32" t="n">
        <v>5.439</v>
      </c>
      <c r="G701" s="32" t="n">
        <v>63</v>
      </c>
      <c r="H701" s="32" t="inlineStr">
        <is>
          <t>bb</t>
        </is>
      </c>
      <c r="I701" s="32" t="n">
        <v>5.439</v>
      </c>
      <c r="K701" s="32" t="inlineStr">
        <is>
          <t>20250514-29</t>
        </is>
      </c>
    </row>
    <row r="702">
      <c r="A702" s="32" t="n">
        <v>19</v>
      </c>
      <c r="B702" s="32" t="inlineStr">
        <is>
          <t>K4-1B</t>
        </is>
      </c>
      <c r="D702" s="32" t="n">
        <v>9.09</v>
      </c>
      <c r="E702" s="32" t="n">
        <v>0.43</v>
      </c>
      <c r="G702" s="32" t="n">
        <v>5</v>
      </c>
      <c r="H702" s="32" t="inlineStr">
        <is>
          <t>MM</t>
        </is>
      </c>
      <c r="I702" s="32" t="n">
        <v>0.43</v>
      </c>
      <c r="K702" s="32" t="inlineStr">
        <is>
          <t>20250514-30</t>
        </is>
      </c>
    </row>
    <row r="703">
      <c r="A703" s="32" t="n">
        <v>20</v>
      </c>
      <c r="B703" s="32" t="inlineStr">
        <is>
          <t>K4-1C</t>
        </is>
      </c>
      <c r="K703" s="32" t="inlineStr">
        <is>
          <t>20250514-31</t>
        </is>
      </c>
    </row>
    <row r="704">
      <c r="A704" s="32" t="n">
        <v>21</v>
      </c>
      <c r="B704" s="32" t="inlineStr">
        <is>
          <t>K4-2A</t>
        </is>
      </c>
      <c r="K704" s="32" t="inlineStr">
        <is>
          <t>20250514-32</t>
        </is>
      </c>
    </row>
    <row r="705">
      <c r="A705" s="32" t="n">
        <v>22</v>
      </c>
      <c r="B705" s="32" t="inlineStr">
        <is>
          <t>K4-2B</t>
        </is>
      </c>
      <c r="K705" s="32" t="inlineStr">
        <is>
          <t>20250514-33</t>
        </is>
      </c>
    </row>
    <row r="706">
      <c r="A706" s="32" t="n">
        <v>23</v>
      </c>
      <c r="B706" s="32" t="inlineStr">
        <is>
          <t>K4-2C</t>
        </is>
      </c>
      <c r="D706" s="32" t="n">
        <v>9.56</v>
      </c>
      <c r="E706" s="32" t="n">
        <v>1.714</v>
      </c>
      <c r="G706" s="32" t="n">
        <v>19</v>
      </c>
      <c r="H706" s="32" t="inlineStr">
        <is>
          <t>bb</t>
        </is>
      </c>
      <c r="I706" s="32" t="n">
        <v>1.714</v>
      </c>
      <c r="K706" s="32" t="inlineStr">
        <is>
          <t>20250514-34</t>
        </is>
      </c>
    </row>
    <row r="707">
      <c r="A707" s="32" t="n">
        <v>24</v>
      </c>
      <c r="B707" s="32" t="inlineStr">
        <is>
          <t>MeOH</t>
        </is>
      </c>
      <c r="K707" s="32" t="inlineStr">
        <is>
          <t>20250514-35</t>
        </is>
      </c>
    </row>
    <row r="708">
      <c r="A708" s="32" t="n">
        <v>25</v>
      </c>
      <c r="B708" s="32" t="inlineStr">
        <is>
          <t>K4-4A</t>
        </is>
      </c>
      <c r="K708" s="32" t="inlineStr">
        <is>
          <t>20250514-36</t>
        </is>
      </c>
    </row>
    <row r="709">
      <c r="A709" s="32" t="n">
        <v>26</v>
      </c>
      <c r="B709" s="32" t="inlineStr">
        <is>
          <t>K4-4B</t>
        </is>
      </c>
      <c r="K709" s="32" t="inlineStr">
        <is>
          <t>20250514-37</t>
        </is>
      </c>
    </row>
    <row r="710">
      <c r="A710" s="32" t="n">
        <v>27</v>
      </c>
      <c r="B710" s="32" t="inlineStr">
        <is>
          <t>K4-4C</t>
        </is>
      </c>
      <c r="D710" s="32" t="n">
        <v>9.58</v>
      </c>
      <c r="E710" s="32" t="n">
        <v>0.65</v>
      </c>
      <c r="G710" s="32" t="n">
        <v>7</v>
      </c>
      <c r="H710" s="32" t="inlineStr">
        <is>
          <t>bb</t>
        </is>
      </c>
      <c r="I710" s="32" t="n">
        <v>0.65</v>
      </c>
      <c r="K710" s="32" t="inlineStr">
        <is>
          <t>20250514-38</t>
        </is>
      </c>
    </row>
    <row r="711">
      <c r="A711" s="32" t="n">
        <v>28</v>
      </c>
      <c r="B711" s="32" t="inlineStr">
        <is>
          <t>K4-5A</t>
        </is>
      </c>
      <c r="K711" s="32" t="inlineStr">
        <is>
          <t>20250514-39</t>
        </is>
      </c>
    </row>
    <row r="712">
      <c r="A712" s="32" t="n">
        <v>29</v>
      </c>
      <c r="B712" s="32" t="inlineStr">
        <is>
          <t>K4-5B</t>
        </is>
      </c>
      <c r="K712" s="32" t="inlineStr">
        <is>
          <t>20250514-40</t>
        </is>
      </c>
    </row>
    <row r="713">
      <c r="A713" s="32" t="n">
        <v>30</v>
      </c>
      <c r="B713" s="32" t="inlineStr">
        <is>
          <t>K4-5C</t>
        </is>
      </c>
      <c r="D713" s="32" t="n">
        <v>9.449999999999999</v>
      </c>
      <c r="E713" s="32" t="n">
        <v>41.611</v>
      </c>
      <c r="G713" s="32" t="n">
        <v>3.547</v>
      </c>
      <c r="H713" s="32" t="inlineStr">
        <is>
          <t>bb</t>
        </is>
      </c>
      <c r="I713" s="32" t="n">
        <v>41.611</v>
      </c>
      <c r="K713" s="32" t="inlineStr">
        <is>
          <t>20250514-41</t>
        </is>
      </c>
    </row>
    <row r="714">
      <c r="A714" s="32" t="n">
        <v>31</v>
      </c>
      <c r="B714" s="32" t="inlineStr">
        <is>
          <t>MeOH</t>
        </is>
      </c>
      <c r="K714" s="32" t="inlineStr">
        <is>
          <t>20250514-42</t>
        </is>
      </c>
    </row>
    <row r="715">
      <c r="A715" s="32" t="n">
        <v>32</v>
      </c>
      <c r="B715" s="32" t="inlineStr">
        <is>
          <t>K3-1A</t>
        </is>
      </c>
      <c r="D715" s="32" t="n">
        <v>9.359999999999999</v>
      </c>
      <c r="E715" s="32" t="n">
        <v>3.11</v>
      </c>
      <c r="G715" s="32" t="n">
        <v>38</v>
      </c>
      <c r="H715" s="32" t="inlineStr">
        <is>
          <t>bb</t>
        </is>
      </c>
      <c r="I715" s="32" t="n">
        <v>3.11</v>
      </c>
      <c r="K715" s="32" t="inlineStr">
        <is>
          <t>20250514-43</t>
        </is>
      </c>
    </row>
    <row r="716">
      <c r="A716" s="32" t="n">
        <v>33</v>
      </c>
      <c r="B716" s="32" t="inlineStr">
        <is>
          <t>K3-1B</t>
        </is>
      </c>
      <c r="K716" s="32" t="inlineStr">
        <is>
          <t>20250514-44</t>
        </is>
      </c>
    </row>
    <row r="717">
      <c r="A717" s="32" t="n">
        <v>34</v>
      </c>
      <c r="B717" s="32" t="inlineStr">
        <is>
          <t>K3-1C</t>
        </is>
      </c>
      <c r="D717" s="32" t="n">
        <v>9.390000000000001</v>
      </c>
      <c r="E717" s="32" t="n">
        <v>8.337999999999999</v>
      </c>
      <c r="G717" s="32" t="n">
        <v>98</v>
      </c>
      <c r="H717" s="32" t="inlineStr">
        <is>
          <t>bb</t>
        </is>
      </c>
      <c r="I717" s="32" t="n">
        <v>8.337999999999999</v>
      </c>
      <c r="K717" s="32" t="inlineStr">
        <is>
          <t>20250514-45</t>
        </is>
      </c>
    </row>
    <row r="718">
      <c r="A718" s="32" t="n">
        <v>35</v>
      </c>
      <c r="B718" s="32" t="inlineStr">
        <is>
          <t>K3-2A</t>
        </is>
      </c>
      <c r="D718" s="32" t="n">
        <v>9.449999999999999</v>
      </c>
      <c r="E718" s="32" t="n">
        <v>4.234</v>
      </c>
      <c r="G718" s="32" t="n">
        <v>51</v>
      </c>
      <c r="H718" s="32" t="inlineStr">
        <is>
          <t>bb</t>
        </is>
      </c>
      <c r="I718" s="32" t="n">
        <v>4.234</v>
      </c>
      <c r="K718" s="32" t="inlineStr">
        <is>
          <t>20250514-46</t>
        </is>
      </c>
    </row>
    <row r="719">
      <c r="A719" s="32" t="n">
        <v>36</v>
      </c>
      <c r="B719" s="32" t="inlineStr">
        <is>
          <t>K3-2B</t>
        </is>
      </c>
      <c r="D719" s="32" t="n">
        <v>9.449999999999999</v>
      </c>
      <c r="E719" s="32" t="n">
        <v>18.982</v>
      </c>
      <c r="G719" s="32" t="n">
        <v>216</v>
      </c>
      <c r="H719" s="32" t="inlineStr">
        <is>
          <t>bb</t>
        </is>
      </c>
      <c r="I719" s="32" t="n">
        <v>18.982</v>
      </c>
      <c r="K719" s="32" t="inlineStr">
        <is>
          <t>20250514-47</t>
        </is>
      </c>
    </row>
    <row r="720">
      <c r="A720" s="32" t="n">
        <v>37</v>
      </c>
      <c r="B720" s="32" t="inlineStr">
        <is>
          <t>K3-2C</t>
        </is>
      </c>
      <c r="K720" s="32" t="inlineStr">
        <is>
          <t>20250514-48</t>
        </is>
      </c>
    </row>
    <row r="721">
      <c r="A721" s="32" t="n">
        <v>38</v>
      </c>
      <c r="B721" s="32" t="inlineStr">
        <is>
          <t>MeOH</t>
        </is>
      </c>
      <c r="K721" s="32" t="inlineStr">
        <is>
          <t>20250514-49</t>
        </is>
      </c>
    </row>
    <row r="722">
      <c r="A722" s="32" t="n">
        <v>39</v>
      </c>
      <c r="B722" s="32" t="inlineStr">
        <is>
          <t>K3-3A</t>
        </is>
      </c>
      <c r="D722" s="32" t="n">
        <v>9.460000000000001</v>
      </c>
      <c r="E722" s="32" t="n">
        <v>3.454</v>
      </c>
      <c r="G722" s="32" t="n">
        <v>41</v>
      </c>
      <c r="H722" s="32" t="inlineStr">
        <is>
          <t>bb</t>
        </is>
      </c>
      <c r="I722" s="32" t="n">
        <v>3.454</v>
      </c>
      <c r="K722" s="32" t="inlineStr">
        <is>
          <t>20250514-50</t>
        </is>
      </c>
    </row>
    <row r="723">
      <c r="A723" s="32" t="n">
        <v>40</v>
      </c>
      <c r="B723" s="32" t="inlineStr">
        <is>
          <t>K3-3B</t>
        </is>
      </c>
      <c r="D723" s="32" t="n">
        <v>9.49</v>
      </c>
      <c r="E723" s="32" t="n">
        <v>54.989</v>
      </c>
      <c r="G723" s="32" t="n">
        <v>605</v>
      </c>
      <c r="H723" s="32" t="inlineStr">
        <is>
          <t>bb</t>
        </is>
      </c>
      <c r="I723" s="32" t="n">
        <v>54.989</v>
      </c>
      <c r="K723" s="32" t="inlineStr">
        <is>
          <t>20250514-51</t>
        </is>
      </c>
    </row>
    <row r="724">
      <c r="A724" s="32" t="n">
        <v>41</v>
      </c>
      <c r="B724" s="32" t="inlineStr">
        <is>
          <t>K3-3C</t>
        </is>
      </c>
      <c r="D724" s="32" t="n">
        <v>9.539999999999999</v>
      </c>
      <c r="E724" s="32" t="n">
        <v>21.381</v>
      </c>
      <c r="G724" s="32" t="n">
        <v>4.425</v>
      </c>
      <c r="H724" s="32" t="inlineStr">
        <is>
          <t>bb</t>
        </is>
      </c>
      <c r="I724" s="32" t="n">
        <v>21.381</v>
      </c>
      <c r="K724" s="32" t="inlineStr">
        <is>
          <t>20250514-52</t>
        </is>
      </c>
    </row>
    <row r="725">
      <c r="A725" s="32" t="n">
        <v>42</v>
      </c>
      <c r="B725" s="32" t="inlineStr">
        <is>
          <t>K3-4A</t>
        </is>
      </c>
      <c r="D725" s="32" t="n">
        <v>9.56</v>
      </c>
      <c r="E725" s="32" t="n">
        <v>24.86</v>
      </c>
      <c r="G725" s="32" t="n">
        <v>256</v>
      </c>
      <c r="H725" s="32" t="inlineStr">
        <is>
          <t>bb</t>
        </is>
      </c>
      <c r="I725" s="32" t="n">
        <v>24.86</v>
      </c>
      <c r="K725" s="32" t="inlineStr">
        <is>
          <t>20250514-53</t>
        </is>
      </c>
    </row>
    <row r="726">
      <c r="A726" s="32" t="n">
        <v>43</v>
      </c>
      <c r="B726" s="32" t="inlineStr">
        <is>
          <t>K3-4B</t>
        </is>
      </c>
      <c r="D726" s="32" t="n">
        <v>9.51</v>
      </c>
      <c r="E726" s="32" t="n">
        <v>21.177</v>
      </c>
      <c r="G726" s="32" t="n">
        <v>237</v>
      </c>
      <c r="H726" s="32" t="inlineStr">
        <is>
          <t>bb</t>
        </is>
      </c>
      <c r="I726" s="32" t="n">
        <v>21.177</v>
      </c>
      <c r="K726" s="32" t="inlineStr">
        <is>
          <t>20250514-54</t>
        </is>
      </c>
    </row>
    <row r="727">
      <c r="A727" s="32" t="n">
        <v>44</v>
      </c>
      <c r="B727" s="32" t="inlineStr">
        <is>
          <t>K3-4C</t>
        </is>
      </c>
      <c r="D727" s="32" t="n">
        <v>9.59</v>
      </c>
      <c r="E727" s="32" t="n">
        <v>22.158</v>
      </c>
      <c r="G727" s="32" t="n">
        <v>227</v>
      </c>
      <c r="H727" s="32" t="inlineStr">
        <is>
          <t>bb</t>
        </is>
      </c>
      <c r="I727" s="32" t="n">
        <v>22.158</v>
      </c>
      <c r="K727" s="32" t="inlineStr">
        <is>
          <t>20250514-55</t>
        </is>
      </c>
    </row>
    <row r="728">
      <c r="A728" s="32" t="n">
        <v>45</v>
      </c>
      <c r="B728" s="32" t="inlineStr">
        <is>
          <t>MeOH</t>
        </is>
      </c>
      <c r="D728" s="32" t="n">
        <v>9.699999999999999</v>
      </c>
      <c r="E728" s="32" t="n">
        <v>11.389</v>
      </c>
      <c r="G728" s="32" t="n">
        <v>123</v>
      </c>
      <c r="H728" s="32" t="inlineStr">
        <is>
          <t>bb</t>
        </is>
      </c>
      <c r="I728" s="32" t="n">
        <v>11.389</v>
      </c>
      <c r="K728" s="32" t="inlineStr">
        <is>
          <t>20250514-56</t>
        </is>
      </c>
    </row>
    <row r="729">
      <c r="A729" s="32" t="n">
        <v>46</v>
      </c>
      <c r="B729" s="32" t="inlineStr">
        <is>
          <t>K3-6A</t>
        </is>
      </c>
      <c r="D729" s="32" t="n">
        <v>9.6</v>
      </c>
      <c r="E729" s="32" t="n">
        <v>13.489</v>
      </c>
      <c r="G729" s="32" t="n">
        <v>149</v>
      </c>
      <c r="H729" s="32" t="inlineStr">
        <is>
          <t>bb</t>
        </is>
      </c>
      <c r="I729" s="32" t="n">
        <v>13.489</v>
      </c>
      <c r="K729" s="32" t="inlineStr">
        <is>
          <t>20250514-57</t>
        </is>
      </c>
    </row>
    <row r="730">
      <c r="A730" s="32" t="n">
        <v>47</v>
      </c>
      <c r="B730" s="32" t="inlineStr">
        <is>
          <t>K3-6B</t>
        </is>
      </c>
      <c r="D730" s="32" t="n">
        <v>9.56</v>
      </c>
      <c r="E730" s="32" t="n">
        <v>8.116</v>
      </c>
      <c r="G730" s="32" t="n">
        <v>88</v>
      </c>
      <c r="H730" s="32" t="inlineStr">
        <is>
          <t>bb</t>
        </is>
      </c>
      <c r="I730" s="32" t="n">
        <v>8.116</v>
      </c>
      <c r="K730" s="32" t="inlineStr">
        <is>
          <t>20250514-58</t>
        </is>
      </c>
    </row>
    <row r="731">
      <c r="A731" s="32" t="n">
        <v>48</v>
      </c>
      <c r="B731" s="32" t="inlineStr">
        <is>
          <t>K3-6C</t>
        </is>
      </c>
      <c r="K731" s="32" t="inlineStr">
        <is>
          <t>20250514-59</t>
        </is>
      </c>
    </row>
    <row r="733">
      <c r="A733" s="32" t="inlineStr">
        <is>
          <t>Compound 15:  3,6 OPFHpA 1</t>
        </is>
      </c>
    </row>
    <row r="735">
      <c r="B735" s="32" t="inlineStr">
        <is>
          <t>Sample Text</t>
        </is>
      </c>
      <c r="C735" s="32" t="inlineStr">
        <is>
          <t>Std. Conc</t>
        </is>
      </c>
      <c r="D735" s="32" t="inlineStr">
        <is>
          <t>RT</t>
        </is>
      </c>
      <c r="E735" s="32" t="inlineStr">
        <is>
          <t>Area</t>
        </is>
      </c>
      <c r="F735" s="32" t="inlineStr">
        <is>
          <t>IS Area</t>
        </is>
      </c>
      <c r="G735" s="32" t="inlineStr">
        <is>
          <t>S/N</t>
        </is>
      </c>
      <c r="H735" s="32" t="inlineStr">
        <is>
          <t>Primary Flags</t>
        </is>
      </c>
      <c r="I735" s="32" t="inlineStr">
        <is>
          <t>Response</t>
        </is>
      </c>
      <c r="J735" s="32" t="inlineStr">
        <is>
          <t>Conc.</t>
        </is>
      </c>
      <c r="K735" s="32" t="inlineStr">
        <is>
          <t>Name</t>
        </is>
      </c>
    </row>
    <row r="736">
      <c r="A736" s="32" t="n">
        <v>1</v>
      </c>
      <c r="B736" s="32" t="inlineStr">
        <is>
          <t>EPA1633 &amp; diPAPs Calibration 0 ppb</t>
        </is>
      </c>
      <c r="D736" s="32" t="n">
        <v>12.08</v>
      </c>
      <c r="E736" s="32" t="n">
        <v>3.312</v>
      </c>
      <c r="F736" s="32" t="n">
        <v>2771.78</v>
      </c>
      <c r="G736" s="32" t="n">
        <v>29</v>
      </c>
      <c r="H736" s="32" t="inlineStr">
        <is>
          <t>bb</t>
        </is>
      </c>
      <c r="K736" s="32" t="inlineStr">
        <is>
          <t>20250514-12</t>
        </is>
      </c>
    </row>
    <row r="737">
      <c r="A737" s="32" t="n">
        <v>2</v>
      </c>
      <c r="B737" s="32" t="inlineStr">
        <is>
          <t>EPA1633 &amp; diPAPs Calibration 0.02 ppb</t>
        </is>
      </c>
      <c r="F737" s="32" t="n">
        <v>2613.678</v>
      </c>
      <c r="K737" s="32" t="inlineStr">
        <is>
          <t>20250514-13</t>
        </is>
      </c>
    </row>
    <row r="738">
      <c r="A738" s="32" t="n">
        <v>3</v>
      </c>
      <c r="B738" s="32" t="inlineStr">
        <is>
          <t>EPA1633 &amp; diPAPs Calibration 0.1 ppb</t>
        </is>
      </c>
      <c r="F738" s="32" t="n">
        <v>2704.411</v>
      </c>
      <c r="K738" s="32" t="inlineStr">
        <is>
          <t>20250514-14</t>
        </is>
      </c>
    </row>
    <row r="739">
      <c r="A739" s="32" t="n">
        <v>4</v>
      </c>
      <c r="B739" s="32" t="inlineStr">
        <is>
          <t>EPA1633 &amp; diPAPs Calibration 0.4 ppb</t>
        </is>
      </c>
      <c r="F739" s="32" t="n">
        <v>2633.712</v>
      </c>
      <c r="K739" s="32" t="inlineStr">
        <is>
          <t>20250514-15</t>
        </is>
      </c>
    </row>
    <row r="740">
      <c r="A740" s="32" t="n">
        <v>5</v>
      </c>
      <c r="B740" s="32" t="inlineStr">
        <is>
          <t>EPA1633 &amp; diPAPs Calibration 1 ppb</t>
        </is>
      </c>
      <c r="F740" s="32" t="n">
        <v>2798.003</v>
      </c>
      <c r="K740" s="32" t="inlineStr">
        <is>
          <t>20250514-16</t>
        </is>
      </c>
    </row>
    <row r="741">
      <c r="A741" s="32" t="n">
        <v>6</v>
      </c>
      <c r="B741" s="32" t="inlineStr">
        <is>
          <t>EPA1633 &amp; diPAPs Calibration 5 ppb</t>
        </is>
      </c>
      <c r="F741" s="32" t="n">
        <v>2309.18</v>
      </c>
      <c r="K741" s="32" t="inlineStr">
        <is>
          <t>20250514-17</t>
        </is>
      </c>
    </row>
    <row r="742">
      <c r="A742" s="32" t="n">
        <v>7</v>
      </c>
      <c r="B742" s="32" t="inlineStr">
        <is>
          <t>EPA1633 &amp; diPAPs Calibration 10 ppb</t>
        </is>
      </c>
      <c r="F742" s="32" t="n">
        <v>2072.812</v>
      </c>
      <c r="K742" s="32" t="inlineStr">
        <is>
          <t>20250514-18</t>
        </is>
      </c>
    </row>
    <row r="743">
      <c r="A743" s="32" t="n">
        <v>8</v>
      </c>
      <c r="B743" s="32" t="inlineStr">
        <is>
          <t>EPA1633 &amp; diPAPs Calibration 20 ppb</t>
        </is>
      </c>
      <c r="D743" s="32" t="n">
        <v>11.79</v>
      </c>
      <c r="E743" s="32" t="n">
        <v>0.677</v>
      </c>
      <c r="F743" s="32" t="n">
        <v>1703.301</v>
      </c>
      <c r="G743" s="32" t="n">
        <v>7</v>
      </c>
      <c r="H743" s="32" t="inlineStr">
        <is>
          <t>bb</t>
        </is>
      </c>
      <c r="K743" s="32" t="inlineStr">
        <is>
          <t>20250514-19</t>
        </is>
      </c>
    </row>
    <row r="744">
      <c r="A744" s="32" t="n">
        <v>9</v>
      </c>
      <c r="B744" s="32" t="inlineStr">
        <is>
          <t>MeOH</t>
        </is>
      </c>
      <c r="K744" s="32" t="inlineStr">
        <is>
          <t>20250514-20</t>
        </is>
      </c>
    </row>
    <row r="745">
      <c r="A745" s="32" t="n">
        <v>10</v>
      </c>
      <c r="B745" s="32" t="inlineStr">
        <is>
          <t>MeOH</t>
        </is>
      </c>
      <c r="K745" s="32" t="inlineStr">
        <is>
          <t>20250514-21</t>
        </is>
      </c>
    </row>
    <row r="746">
      <c r="A746" s="32" t="n">
        <v>11</v>
      </c>
      <c r="B746" s="32" t="inlineStr">
        <is>
          <t>SB1</t>
        </is>
      </c>
      <c r="F746" s="32" t="n">
        <v>802.6180000000001</v>
      </c>
      <c r="K746" s="32" t="inlineStr">
        <is>
          <t>20250514-22</t>
        </is>
      </c>
    </row>
    <row r="747">
      <c r="A747" s="32" t="n">
        <v>12</v>
      </c>
      <c r="B747" s="32" t="inlineStr">
        <is>
          <t>SB2</t>
        </is>
      </c>
      <c r="F747" s="32" t="n">
        <v>1039.268</v>
      </c>
      <c r="K747" s="32" t="inlineStr">
        <is>
          <t>20250514-23</t>
        </is>
      </c>
    </row>
    <row r="748">
      <c r="A748" s="32" t="n">
        <v>13</v>
      </c>
      <c r="B748" s="32" t="inlineStr">
        <is>
          <t>SB3</t>
        </is>
      </c>
      <c r="F748" s="32" t="n">
        <v>1005.736</v>
      </c>
      <c r="K748" s="32" t="inlineStr">
        <is>
          <t>20250514-24</t>
        </is>
      </c>
    </row>
    <row r="749">
      <c r="A749" s="32" t="n">
        <v>14</v>
      </c>
      <c r="B749" s="32" t="inlineStr">
        <is>
          <t>SS1</t>
        </is>
      </c>
      <c r="F749" s="32" t="n">
        <v>860.02</v>
      </c>
      <c r="K749" s="32" t="inlineStr">
        <is>
          <t>20250514-25</t>
        </is>
      </c>
    </row>
    <row r="750">
      <c r="A750" s="32" t="n">
        <v>15</v>
      </c>
      <c r="B750" s="32" t="inlineStr">
        <is>
          <t>SS2</t>
        </is>
      </c>
      <c r="F750" s="32" t="n">
        <v>1205.224</v>
      </c>
      <c r="K750" s="32" t="inlineStr">
        <is>
          <t>20250514-26</t>
        </is>
      </c>
    </row>
    <row r="751">
      <c r="A751" s="32" t="n">
        <v>16</v>
      </c>
      <c r="B751" s="32" t="inlineStr">
        <is>
          <t>SS3</t>
        </is>
      </c>
      <c r="F751" s="32" t="n">
        <v>953.783</v>
      </c>
      <c r="K751" s="32" t="inlineStr">
        <is>
          <t>20250514-27</t>
        </is>
      </c>
    </row>
    <row r="752">
      <c r="A752" s="32" t="n">
        <v>17</v>
      </c>
      <c r="B752" s="32" t="inlineStr">
        <is>
          <t>MeOH</t>
        </is>
      </c>
      <c r="K752" s="32" t="inlineStr">
        <is>
          <t>20250514-28</t>
        </is>
      </c>
    </row>
    <row r="753">
      <c r="A753" s="32" t="n">
        <v>18</v>
      </c>
      <c r="B753" s="32" t="inlineStr">
        <is>
          <t>K4-1A</t>
        </is>
      </c>
      <c r="F753" s="32" t="n">
        <v>1575.246</v>
      </c>
      <c r="K753" s="32" t="inlineStr">
        <is>
          <t>20250514-29</t>
        </is>
      </c>
    </row>
    <row r="754">
      <c r="A754" s="32" t="n">
        <v>19</v>
      </c>
      <c r="B754" s="32" t="inlineStr">
        <is>
          <t>K4-1B</t>
        </is>
      </c>
      <c r="F754" s="32" t="n">
        <v>1550.869</v>
      </c>
      <c r="K754" s="32" t="inlineStr">
        <is>
          <t>20250514-30</t>
        </is>
      </c>
    </row>
    <row r="755">
      <c r="A755" s="32" t="n">
        <v>20</v>
      </c>
      <c r="B755" s="32" t="inlineStr">
        <is>
          <t>K4-1C</t>
        </is>
      </c>
      <c r="F755" s="32" t="n">
        <v>1163.846</v>
      </c>
      <c r="K755" s="32" t="inlineStr">
        <is>
          <t>20250514-31</t>
        </is>
      </c>
    </row>
    <row r="756">
      <c r="A756" s="32" t="n">
        <v>21</v>
      </c>
      <c r="B756" s="32" t="inlineStr">
        <is>
          <t>K4-2A</t>
        </is>
      </c>
      <c r="F756" s="32" t="n">
        <v>1084.067</v>
      </c>
      <c r="K756" s="32" t="inlineStr">
        <is>
          <t>20250514-32</t>
        </is>
      </c>
    </row>
    <row r="757">
      <c r="A757" s="32" t="n">
        <v>22</v>
      </c>
      <c r="B757" s="32" t="inlineStr">
        <is>
          <t>K4-2B</t>
        </is>
      </c>
      <c r="F757" s="32" t="n">
        <v>1044.51</v>
      </c>
      <c r="K757" s="32" t="inlineStr">
        <is>
          <t>20250514-33</t>
        </is>
      </c>
    </row>
    <row r="758">
      <c r="A758" s="32" t="n">
        <v>23</v>
      </c>
      <c r="B758" s="32" t="inlineStr">
        <is>
          <t>K4-2C</t>
        </is>
      </c>
      <c r="F758" s="32" t="n">
        <v>1020.096</v>
      </c>
      <c r="K758" s="32" t="inlineStr">
        <is>
          <t>20250514-34</t>
        </is>
      </c>
    </row>
    <row r="759">
      <c r="A759" s="32" t="n">
        <v>24</v>
      </c>
      <c r="B759" s="32" t="inlineStr">
        <is>
          <t>MeOH</t>
        </is>
      </c>
      <c r="K759" s="32" t="inlineStr">
        <is>
          <t>20250514-35</t>
        </is>
      </c>
    </row>
    <row r="760">
      <c r="A760" s="32" t="n">
        <v>25</v>
      </c>
      <c r="B760" s="32" t="inlineStr">
        <is>
          <t>K4-4A</t>
        </is>
      </c>
      <c r="F760" s="32" t="n">
        <v>1051.351</v>
      </c>
      <c r="K760" s="32" t="inlineStr">
        <is>
          <t>20250514-36</t>
        </is>
      </c>
    </row>
    <row r="761">
      <c r="A761" s="32" t="n">
        <v>26</v>
      </c>
      <c r="B761" s="32" t="inlineStr">
        <is>
          <t>K4-4B</t>
        </is>
      </c>
      <c r="F761" s="32" t="n">
        <v>1035.151</v>
      </c>
      <c r="K761" s="32" t="inlineStr">
        <is>
          <t>20250514-37</t>
        </is>
      </c>
    </row>
    <row r="762">
      <c r="A762" s="32" t="n">
        <v>27</v>
      </c>
      <c r="B762" s="32" t="inlineStr">
        <is>
          <t>K4-4C</t>
        </is>
      </c>
      <c r="F762" s="32" t="n">
        <v>822.99</v>
      </c>
      <c r="K762" s="32" t="inlineStr">
        <is>
          <t>20250514-38</t>
        </is>
      </c>
    </row>
    <row r="763">
      <c r="A763" s="32" t="n">
        <v>28</v>
      </c>
      <c r="B763" s="32" t="inlineStr">
        <is>
          <t>K4-5A</t>
        </is>
      </c>
      <c r="F763" s="32" t="n">
        <v>985.0170000000001</v>
      </c>
      <c r="K763" s="32" t="inlineStr">
        <is>
          <t>20250514-39</t>
        </is>
      </c>
    </row>
    <row r="764">
      <c r="A764" s="32" t="n">
        <v>29</v>
      </c>
      <c r="B764" s="32" t="inlineStr">
        <is>
          <t>K4-5B</t>
        </is>
      </c>
      <c r="D764" s="32" t="n">
        <v>12.19</v>
      </c>
      <c r="E764" s="32" t="n">
        <v>0.583</v>
      </c>
      <c r="F764" s="32" t="n">
        <v>1024.411</v>
      </c>
      <c r="G764" s="32" t="n">
        <v>5</v>
      </c>
      <c r="H764" s="32" t="inlineStr">
        <is>
          <t>MM</t>
        </is>
      </c>
      <c r="K764" s="32" t="inlineStr">
        <is>
          <t>20250514-40</t>
        </is>
      </c>
    </row>
    <row r="765">
      <c r="A765" s="32" t="n">
        <v>30</v>
      </c>
      <c r="B765" s="32" t="inlineStr">
        <is>
          <t>K4-5C</t>
        </is>
      </c>
      <c r="D765" s="32" t="n">
        <v>12.64</v>
      </c>
      <c r="E765" s="32" t="n">
        <v>0.5610000000000001</v>
      </c>
      <c r="F765" s="32" t="n">
        <v>1313.31</v>
      </c>
      <c r="G765" s="32" t="n">
        <v>5</v>
      </c>
      <c r="H765" s="32" t="inlineStr">
        <is>
          <t>MM</t>
        </is>
      </c>
      <c r="K765" s="32" t="inlineStr">
        <is>
          <t>20250514-41</t>
        </is>
      </c>
    </row>
    <row r="766">
      <c r="A766" s="32" t="n">
        <v>31</v>
      </c>
      <c r="B766" s="32" t="inlineStr">
        <is>
          <t>MeOH</t>
        </is>
      </c>
      <c r="K766" s="32" t="inlineStr">
        <is>
          <t>20250514-42</t>
        </is>
      </c>
    </row>
    <row r="767">
      <c r="A767" s="32" t="n">
        <v>32</v>
      </c>
      <c r="B767" s="32" t="inlineStr">
        <is>
          <t>K3-1A</t>
        </is>
      </c>
      <c r="F767" s="32" t="n">
        <v>1115.547</v>
      </c>
      <c r="K767" s="32" t="inlineStr">
        <is>
          <t>20250514-43</t>
        </is>
      </c>
    </row>
    <row r="768">
      <c r="A768" s="32" t="n">
        <v>33</v>
      </c>
      <c r="B768" s="32" t="inlineStr">
        <is>
          <t>K3-1B</t>
        </is>
      </c>
      <c r="F768" s="32" t="n">
        <v>868.492</v>
      </c>
      <c r="K768" s="32" t="inlineStr">
        <is>
          <t>20250514-44</t>
        </is>
      </c>
    </row>
    <row r="769">
      <c r="A769" s="32" t="n">
        <v>34</v>
      </c>
      <c r="B769" s="32" t="inlineStr">
        <is>
          <t>K3-1C</t>
        </is>
      </c>
      <c r="F769" s="32" t="n">
        <v>1891.713</v>
      </c>
      <c r="K769" s="32" t="inlineStr">
        <is>
          <t>20250514-45</t>
        </is>
      </c>
    </row>
    <row r="770">
      <c r="A770" s="32" t="n">
        <v>35</v>
      </c>
      <c r="B770" s="32" t="inlineStr">
        <is>
          <t>K3-2A</t>
        </is>
      </c>
      <c r="F770" s="32" t="n">
        <v>1176.041</v>
      </c>
      <c r="K770" s="32" t="inlineStr">
        <is>
          <t>20250514-46</t>
        </is>
      </c>
    </row>
    <row r="771">
      <c r="A771" s="32" t="n">
        <v>36</v>
      </c>
      <c r="B771" s="32" t="inlineStr">
        <is>
          <t>K3-2B</t>
        </is>
      </c>
      <c r="F771" s="32" t="n">
        <v>1321.349</v>
      </c>
      <c r="K771" s="32" t="inlineStr">
        <is>
          <t>20250514-47</t>
        </is>
      </c>
    </row>
    <row r="772">
      <c r="A772" s="32" t="n">
        <v>37</v>
      </c>
      <c r="B772" s="32" t="inlineStr">
        <is>
          <t>K3-2C</t>
        </is>
      </c>
      <c r="F772" s="32" t="n">
        <v>1479.533</v>
      </c>
      <c r="K772" s="32" t="inlineStr">
        <is>
          <t>20250514-48</t>
        </is>
      </c>
    </row>
    <row r="773">
      <c r="A773" s="32" t="n">
        <v>38</v>
      </c>
      <c r="B773" s="32" t="inlineStr">
        <is>
          <t>MeOH</t>
        </is>
      </c>
      <c r="K773" s="32" t="inlineStr">
        <is>
          <t>20250514-49</t>
        </is>
      </c>
    </row>
    <row r="774">
      <c r="A774" s="32" t="n">
        <v>39</v>
      </c>
      <c r="B774" s="32" t="inlineStr">
        <is>
          <t>K3-3A</t>
        </is>
      </c>
      <c r="F774" s="32" t="n">
        <v>1517.701</v>
      </c>
      <c r="K774" s="32" t="inlineStr">
        <is>
          <t>20250514-50</t>
        </is>
      </c>
    </row>
    <row r="775">
      <c r="A775" s="32" t="n">
        <v>40</v>
      </c>
      <c r="B775" s="32" t="inlineStr">
        <is>
          <t>K3-3B</t>
        </is>
      </c>
      <c r="F775" s="32" t="n">
        <v>1453.885</v>
      </c>
      <c r="K775" s="32" t="inlineStr">
        <is>
          <t>20250514-51</t>
        </is>
      </c>
    </row>
    <row r="776">
      <c r="A776" s="32" t="n">
        <v>41</v>
      </c>
      <c r="B776" s="32" t="inlineStr">
        <is>
          <t>K3-3C</t>
        </is>
      </c>
      <c r="F776" s="32" t="n">
        <v>1930.228</v>
      </c>
      <c r="K776" s="32" t="inlineStr">
        <is>
          <t>20250514-52</t>
        </is>
      </c>
    </row>
    <row r="777">
      <c r="A777" s="32" t="n">
        <v>42</v>
      </c>
      <c r="B777" s="32" t="inlineStr">
        <is>
          <t>K3-4A</t>
        </is>
      </c>
      <c r="F777" s="32" t="n">
        <v>2454.78</v>
      </c>
      <c r="K777" s="32" t="inlineStr">
        <is>
          <t>20250514-53</t>
        </is>
      </c>
    </row>
    <row r="778">
      <c r="A778" s="32" t="n">
        <v>43</v>
      </c>
      <c r="B778" s="32" t="inlineStr">
        <is>
          <t>K3-4B</t>
        </is>
      </c>
      <c r="D778" s="32" t="n">
        <v>14.03</v>
      </c>
      <c r="E778" s="32" t="n">
        <v>0.336</v>
      </c>
      <c r="F778" s="32" t="n">
        <v>2046.805</v>
      </c>
      <c r="G778" s="32" t="n">
        <v>3</v>
      </c>
      <c r="H778" s="32" t="inlineStr">
        <is>
          <t>MM</t>
        </is>
      </c>
      <c r="K778" s="32" t="inlineStr">
        <is>
          <t>20250514-54</t>
        </is>
      </c>
    </row>
    <row r="779">
      <c r="A779" s="32" t="n">
        <v>44</v>
      </c>
      <c r="B779" s="32" t="inlineStr">
        <is>
          <t>K3-4C</t>
        </is>
      </c>
      <c r="F779" s="32" t="n">
        <v>1963.707</v>
      </c>
      <c r="K779" s="32" t="inlineStr">
        <is>
          <t>20250514-55</t>
        </is>
      </c>
    </row>
    <row r="780">
      <c r="A780" s="32" t="n">
        <v>45</v>
      </c>
      <c r="B780" s="32" t="inlineStr">
        <is>
          <t>MeOH</t>
        </is>
      </c>
      <c r="K780" s="32" t="inlineStr">
        <is>
          <t>20250514-56</t>
        </is>
      </c>
    </row>
    <row r="781">
      <c r="A781" s="32" t="n">
        <v>46</v>
      </c>
      <c r="B781" s="32" t="inlineStr">
        <is>
          <t>K3-6A</t>
        </is>
      </c>
      <c r="F781" s="32" t="n">
        <v>2063.159</v>
      </c>
      <c r="K781" s="32" t="inlineStr">
        <is>
          <t>20250514-57</t>
        </is>
      </c>
    </row>
    <row r="782">
      <c r="A782" s="32" t="n">
        <v>47</v>
      </c>
      <c r="B782" s="32" t="inlineStr">
        <is>
          <t>K3-6B</t>
        </is>
      </c>
      <c r="D782" s="32" t="n">
        <v>12.53</v>
      </c>
      <c r="E782" s="32" t="n">
        <v>1.2</v>
      </c>
      <c r="F782" s="32" t="n">
        <v>1701.403</v>
      </c>
      <c r="G782" s="32" t="n">
        <v>12</v>
      </c>
      <c r="H782" s="32" t="inlineStr">
        <is>
          <t>MM</t>
        </is>
      </c>
      <c r="K782" s="32" t="inlineStr">
        <is>
          <t>20250514-58</t>
        </is>
      </c>
    </row>
    <row r="783">
      <c r="A783" s="32" t="n">
        <v>48</v>
      </c>
      <c r="B783" s="32" t="inlineStr">
        <is>
          <t>K3-6C</t>
        </is>
      </c>
      <c r="D783" s="32" t="n">
        <v>12.58</v>
      </c>
      <c r="E783" s="32" t="n">
        <v>10.922</v>
      </c>
      <c r="F783" s="32" t="n">
        <v>1921.069</v>
      </c>
      <c r="G783" s="32" t="n">
        <v>106</v>
      </c>
      <c r="H783" s="32" t="inlineStr">
        <is>
          <t>MM</t>
        </is>
      </c>
      <c r="K783" s="32" t="inlineStr">
        <is>
          <t>20250514-59</t>
        </is>
      </c>
    </row>
    <row r="785">
      <c r="A785" s="32" t="inlineStr">
        <is>
          <t>Compound 16:  3,6 OPFHpA 2</t>
        </is>
      </c>
    </row>
    <row r="787">
      <c r="B787" s="32" t="inlineStr">
        <is>
          <t>Sample Text</t>
        </is>
      </c>
      <c r="C787" s="32" t="inlineStr">
        <is>
          <t>Std. Conc</t>
        </is>
      </c>
      <c r="D787" s="32" t="inlineStr">
        <is>
          <t>RT</t>
        </is>
      </c>
      <c r="E787" s="32" t="inlineStr">
        <is>
          <t>Area</t>
        </is>
      </c>
      <c r="F787" s="32" t="inlineStr">
        <is>
          <t>IS Area</t>
        </is>
      </c>
      <c r="G787" s="32" t="inlineStr">
        <is>
          <t>S/N</t>
        </is>
      </c>
      <c r="H787" s="32" t="inlineStr">
        <is>
          <t>Primary Flags</t>
        </is>
      </c>
      <c r="I787" s="32" t="inlineStr">
        <is>
          <t>Response</t>
        </is>
      </c>
      <c r="J787" s="32" t="inlineStr">
        <is>
          <t>Conc.</t>
        </is>
      </c>
      <c r="K787" s="32" t="inlineStr">
        <is>
          <t>Name</t>
        </is>
      </c>
    </row>
    <row r="788">
      <c r="A788" s="32" t="n">
        <v>1</v>
      </c>
      <c r="B788" s="32" t="inlineStr">
        <is>
          <t>EPA1633 &amp; diPAPs Calibration 0 ppb</t>
        </is>
      </c>
      <c r="K788" s="32" t="inlineStr">
        <is>
          <t>20250514-12</t>
        </is>
      </c>
    </row>
    <row r="789">
      <c r="A789" s="32" t="n">
        <v>2</v>
      </c>
      <c r="B789" s="32" t="inlineStr">
        <is>
          <t>EPA1633 &amp; diPAPs Calibration 0.02 ppb</t>
        </is>
      </c>
      <c r="K789" s="32" t="inlineStr">
        <is>
          <t>20250514-13</t>
        </is>
      </c>
    </row>
    <row r="790">
      <c r="A790" s="32" t="n">
        <v>3</v>
      </c>
      <c r="B790" s="32" t="inlineStr">
        <is>
          <t>EPA1633 &amp; diPAPs Calibration 0.1 ppb</t>
        </is>
      </c>
      <c r="F790" s="32" t="n">
        <v>0.8080000000000001</v>
      </c>
      <c r="K790" s="32" t="inlineStr">
        <is>
          <t>20250514-14</t>
        </is>
      </c>
    </row>
    <row r="791">
      <c r="A791" s="32" t="n">
        <v>4</v>
      </c>
      <c r="B791" s="32" t="inlineStr">
        <is>
          <t>EPA1633 &amp; diPAPs Calibration 0.4 ppb</t>
        </is>
      </c>
      <c r="K791" s="32" t="inlineStr">
        <is>
          <t>20250514-15</t>
        </is>
      </c>
    </row>
    <row r="792">
      <c r="A792" s="32" t="n">
        <v>5</v>
      </c>
      <c r="B792" s="32" t="inlineStr">
        <is>
          <t>EPA1633 &amp; diPAPs Calibration 1 ppb</t>
        </is>
      </c>
      <c r="F792" s="32" t="n">
        <v>32.061</v>
      </c>
      <c r="K792" s="32" t="inlineStr">
        <is>
          <t>20250514-16</t>
        </is>
      </c>
    </row>
    <row r="793">
      <c r="A793" s="32" t="n">
        <v>6</v>
      </c>
      <c r="B793" s="32" t="inlineStr">
        <is>
          <t>EPA1633 &amp; diPAPs Calibration 5 ppb</t>
        </is>
      </c>
      <c r="F793" s="32" t="n">
        <v>2.482</v>
      </c>
      <c r="K793" s="32" t="inlineStr">
        <is>
          <t>20250514-17</t>
        </is>
      </c>
    </row>
    <row r="794">
      <c r="A794" s="32" t="n">
        <v>7</v>
      </c>
      <c r="B794" s="32" t="inlineStr">
        <is>
          <t>EPA1633 &amp; diPAPs Calibration 10 ppb</t>
        </is>
      </c>
      <c r="F794" s="32" t="n">
        <v>5.974</v>
      </c>
      <c r="K794" s="32" t="inlineStr">
        <is>
          <t>20250514-18</t>
        </is>
      </c>
    </row>
    <row r="795">
      <c r="A795" s="32" t="n">
        <v>8</v>
      </c>
      <c r="B795" s="32" t="inlineStr">
        <is>
          <t>EPA1633 &amp; diPAPs Calibration 20 ppb</t>
        </is>
      </c>
      <c r="D795" s="32" t="n">
        <v>11.73</v>
      </c>
      <c r="E795" s="32" t="n">
        <v>34.655</v>
      </c>
      <c r="F795" s="32" t="n">
        <v>10.827</v>
      </c>
      <c r="G795" s="32" t="n">
        <v>333</v>
      </c>
      <c r="H795" s="32" t="inlineStr">
        <is>
          <t>bb</t>
        </is>
      </c>
      <c r="K795" s="32" t="inlineStr">
        <is>
          <t>20250514-19</t>
        </is>
      </c>
    </row>
    <row r="796">
      <c r="A796" s="32" t="n">
        <v>9</v>
      </c>
      <c r="B796" s="32" t="inlineStr">
        <is>
          <t>MeOH</t>
        </is>
      </c>
      <c r="K796" s="32" t="inlineStr">
        <is>
          <t>20250514-20</t>
        </is>
      </c>
    </row>
    <row r="797">
      <c r="A797" s="32" t="n">
        <v>10</v>
      </c>
      <c r="B797" s="32" t="inlineStr">
        <is>
          <t>MeOH</t>
        </is>
      </c>
      <c r="K797" s="32" t="inlineStr">
        <is>
          <t>20250514-21</t>
        </is>
      </c>
    </row>
    <row r="798">
      <c r="A798" s="32" t="n">
        <v>11</v>
      </c>
      <c r="B798" s="32" t="inlineStr">
        <is>
          <t>SB1</t>
        </is>
      </c>
      <c r="K798" s="32" t="inlineStr">
        <is>
          <t>20250514-22</t>
        </is>
      </c>
    </row>
    <row r="799">
      <c r="A799" s="32" t="n">
        <v>12</v>
      </c>
      <c r="B799" s="32" t="inlineStr">
        <is>
          <t>SB2</t>
        </is>
      </c>
      <c r="K799" s="32" t="inlineStr">
        <is>
          <t>20250514-23</t>
        </is>
      </c>
    </row>
    <row r="800">
      <c r="A800" s="32" t="n">
        <v>13</v>
      </c>
      <c r="B800" s="32" t="inlineStr">
        <is>
          <t>SB3</t>
        </is>
      </c>
      <c r="K800" s="32" t="inlineStr">
        <is>
          <t>20250514-24</t>
        </is>
      </c>
    </row>
    <row r="801">
      <c r="A801" s="32" t="n">
        <v>14</v>
      </c>
      <c r="B801" s="32" t="inlineStr">
        <is>
          <t>SS1</t>
        </is>
      </c>
      <c r="D801" s="32" t="n">
        <v>12</v>
      </c>
      <c r="E801" s="32" t="n">
        <v>0.614</v>
      </c>
      <c r="G801" s="32" t="n">
        <v>6</v>
      </c>
      <c r="H801" s="32" t="inlineStr">
        <is>
          <t>bb</t>
        </is>
      </c>
      <c r="K801" s="32" t="inlineStr">
        <is>
          <t>20250514-25</t>
        </is>
      </c>
    </row>
    <row r="802">
      <c r="A802" s="32" t="n">
        <v>15</v>
      </c>
      <c r="B802" s="32" t="inlineStr">
        <is>
          <t>SS2</t>
        </is>
      </c>
      <c r="F802" s="32" t="n">
        <v>6.07</v>
      </c>
      <c r="K802" s="32" t="inlineStr">
        <is>
          <t>20250514-26</t>
        </is>
      </c>
    </row>
    <row r="803">
      <c r="A803" s="32" t="n">
        <v>16</v>
      </c>
      <c r="B803" s="32" t="inlineStr">
        <is>
          <t>SS3</t>
        </is>
      </c>
      <c r="K803" s="32" t="inlineStr">
        <is>
          <t>20250514-27</t>
        </is>
      </c>
    </row>
    <row r="804">
      <c r="A804" s="32" t="n">
        <v>17</v>
      </c>
      <c r="B804" s="32" t="inlineStr">
        <is>
          <t>MeOH</t>
        </is>
      </c>
      <c r="K804" s="32" t="inlineStr">
        <is>
          <t>20250514-28</t>
        </is>
      </c>
    </row>
    <row r="805">
      <c r="A805" s="32" t="n">
        <v>18</v>
      </c>
      <c r="B805" s="32" t="inlineStr">
        <is>
          <t>K4-1A</t>
        </is>
      </c>
      <c r="K805" s="32" t="inlineStr">
        <is>
          <t>20250514-29</t>
        </is>
      </c>
    </row>
    <row r="806">
      <c r="A806" s="32" t="n">
        <v>19</v>
      </c>
      <c r="B806" s="32" t="inlineStr">
        <is>
          <t>K4-1B</t>
        </is>
      </c>
      <c r="K806" s="32" t="inlineStr">
        <is>
          <t>20250514-30</t>
        </is>
      </c>
    </row>
    <row r="807">
      <c r="A807" s="32" t="n">
        <v>20</v>
      </c>
      <c r="B807" s="32" t="inlineStr">
        <is>
          <t>K4-1C</t>
        </is>
      </c>
      <c r="K807" s="32" t="inlineStr">
        <is>
          <t>20250514-31</t>
        </is>
      </c>
    </row>
    <row r="808">
      <c r="A808" s="32" t="n">
        <v>21</v>
      </c>
      <c r="B808" s="32" t="inlineStr">
        <is>
          <t>K4-2A</t>
        </is>
      </c>
      <c r="F808" s="32" t="n">
        <v>2.638</v>
      </c>
      <c r="K808" s="32" t="inlineStr">
        <is>
          <t>20250514-32</t>
        </is>
      </c>
    </row>
    <row r="809">
      <c r="A809" s="32" t="n">
        <v>22</v>
      </c>
      <c r="B809" s="32" t="inlineStr">
        <is>
          <t>K4-2B</t>
        </is>
      </c>
      <c r="K809" s="32" t="inlineStr">
        <is>
          <t>20250514-33</t>
        </is>
      </c>
    </row>
    <row r="810">
      <c r="A810" s="32" t="n">
        <v>23</v>
      </c>
      <c r="B810" s="32" t="inlineStr">
        <is>
          <t>K4-2C</t>
        </is>
      </c>
      <c r="K810" s="32" t="inlineStr">
        <is>
          <t>20250514-34</t>
        </is>
      </c>
    </row>
    <row r="811">
      <c r="A811" s="32" t="n">
        <v>24</v>
      </c>
      <c r="B811" s="32" t="inlineStr">
        <is>
          <t>MeOH</t>
        </is>
      </c>
      <c r="K811" s="32" t="inlineStr">
        <is>
          <t>20250514-35</t>
        </is>
      </c>
    </row>
    <row r="812">
      <c r="A812" s="32" t="n">
        <v>25</v>
      </c>
      <c r="B812" s="32" t="inlineStr">
        <is>
          <t>K4-4A</t>
        </is>
      </c>
      <c r="K812" s="32" t="inlineStr">
        <is>
          <t>20250514-36</t>
        </is>
      </c>
    </row>
    <row r="813">
      <c r="A813" s="32" t="n">
        <v>26</v>
      </c>
      <c r="B813" s="32" t="inlineStr">
        <is>
          <t>K4-4B</t>
        </is>
      </c>
      <c r="K813" s="32" t="inlineStr">
        <is>
          <t>20250514-37</t>
        </is>
      </c>
    </row>
    <row r="814">
      <c r="A814" s="32" t="n">
        <v>27</v>
      </c>
      <c r="B814" s="32" t="inlineStr">
        <is>
          <t>K4-4C</t>
        </is>
      </c>
      <c r="K814" s="32" t="inlineStr">
        <is>
          <t>20250514-38</t>
        </is>
      </c>
    </row>
    <row r="815">
      <c r="A815" s="32" t="n">
        <v>28</v>
      </c>
      <c r="B815" s="32" t="inlineStr">
        <is>
          <t>K4-5A</t>
        </is>
      </c>
      <c r="K815" s="32" t="inlineStr">
        <is>
          <t>20250514-39</t>
        </is>
      </c>
    </row>
    <row r="816">
      <c r="A816" s="32" t="n">
        <v>29</v>
      </c>
      <c r="B816" s="32" t="inlineStr">
        <is>
          <t>K4-5B</t>
        </is>
      </c>
      <c r="K816" s="32" t="inlineStr">
        <is>
          <t>20250514-40</t>
        </is>
      </c>
    </row>
    <row r="817">
      <c r="A817" s="32" t="n">
        <v>30</v>
      </c>
      <c r="B817" s="32" t="inlineStr">
        <is>
          <t>K4-5C</t>
        </is>
      </c>
      <c r="F817" s="32" t="n">
        <v>0.545</v>
      </c>
      <c r="K817" s="32" t="inlineStr">
        <is>
          <t>20250514-41</t>
        </is>
      </c>
    </row>
    <row r="818">
      <c r="A818" s="32" t="n">
        <v>31</v>
      </c>
      <c r="B818" s="32" t="inlineStr">
        <is>
          <t>MeOH</t>
        </is>
      </c>
      <c r="K818" s="32" t="inlineStr">
        <is>
          <t>20250514-42</t>
        </is>
      </c>
    </row>
    <row r="819">
      <c r="A819" s="32" t="n">
        <v>32</v>
      </c>
      <c r="B819" s="32" t="inlineStr">
        <is>
          <t>K3-1A</t>
        </is>
      </c>
      <c r="K819" s="32" t="inlineStr">
        <is>
          <t>20250514-43</t>
        </is>
      </c>
    </row>
    <row r="820">
      <c r="A820" s="32" t="n">
        <v>33</v>
      </c>
      <c r="B820" s="32" t="inlineStr">
        <is>
          <t>K3-1B</t>
        </is>
      </c>
      <c r="K820" s="32" t="inlineStr">
        <is>
          <t>20250514-44</t>
        </is>
      </c>
    </row>
    <row r="821">
      <c r="A821" s="32" t="n">
        <v>34</v>
      </c>
      <c r="B821" s="32" t="inlineStr">
        <is>
          <t>K3-1C</t>
        </is>
      </c>
      <c r="F821" s="32" t="n">
        <v>8.029</v>
      </c>
      <c r="K821" s="32" t="inlineStr">
        <is>
          <t>20250514-45</t>
        </is>
      </c>
    </row>
    <row r="822">
      <c r="A822" s="32" t="n">
        <v>35</v>
      </c>
      <c r="B822" s="32" t="inlineStr">
        <is>
          <t>K3-2A</t>
        </is>
      </c>
      <c r="K822" s="32" t="inlineStr">
        <is>
          <t>20250514-46</t>
        </is>
      </c>
    </row>
    <row r="823">
      <c r="A823" s="32" t="n">
        <v>36</v>
      </c>
      <c r="B823" s="32" t="inlineStr">
        <is>
          <t>K3-2B</t>
        </is>
      </c>
      <c r="F823" s="32" t="n">
        <v>4.466</v>
      </c>
      <c r="K823" s="32" t="inlineStr">
        <is>
          <t>20250514-47</t>
        </is>
      </c>
    </row>
    <row r="824">
      <c r="A824" s="32" t="n">
        <v>37</v>
      </c>
      <c r="B824" s="32" t="inlineStr">
        <is>
          <t>K3-2C</t>
        </is>
      </c>
      <c r="D824" s="32" t="n">
        <v>11.48</v>
      </c>
      <c r="E824" s="32" t="n">
        <v>1.169</v>
      </c>
      <c r="F824" s="32" t="n">
        <v>28.947</v>
      </c>
      <c r="G824" s="32" t="n">
        <v>12</v>
      </c>
      <c r="H824" s="32" t="inlineStr">
        <is>
          <t>bb</t>
        </is>
      </c>
      <c r="K824" s="32" t="inlineStr">
        <is>
          <t>20250514-48</t>
        </is>
      </c>
    </row>
    <row r="825">
      <c r="A825" s="32" t="n">
        <v>38</v>
      </c>
      <c r="B825" s="32" t="inlineStr">
        <is>
          <t>MeOH</t>
        </is>
      </c>
      <c r="K825" s="32" t="inlineStr">
        <is>
          <t>20250514-49</t>
        </is>
      </c>
    </row>
    <row r="826">
      <c r="A826" s="32" t="n">
        <v>39</v>
      </c>
      <c r="B826" s="32" t="inlineStr">
        <is>
          <t>K3-3A</t>
        </is>
      </c>
      <c r="F826" s="32" t="n">
        <v>0.345</v>
      </c>
      <c r="K826" s="32" t="inlineStr">
        <is>
          <t>20250514-50</t>
        </is>
      </c>
    </row>
    <row r="827">
      <c r="A827" s="32" t="n">
        <v>40</v>
      </c>
      <c r="B827" s="32" t="inlineStr">
        <is>
          <t>K3-3B</t>
        </is>
      </c>
      <c r="D827" s="32" t="n">
        <v>11.5</v>
      </c>
      <c r="E827" s="32" t="n">
        <v>0.288</v>
      </c>
      <c r="G827" s="32" t="n">
        <v>3</v>
      </c>
      <c r="H827" s="32" t="inlineStr">
        <is>
          <t>bb</t>
        </is>
      </c>
      <c r="K827" s="32" t="inlineStr">
        <is>
          <t>20250514-51</t>
        </is>
      </c>
    </row>
    <row r="828">
      <c r="A828" s="32" t="n">
        <v>41</v>
      </c>
      <c r="B828" s="32" t="inlineStr">
        <is>
          <t>K3-3C</t>
        </is>
      </c>
      <c r="F828" s="32" t="n">
        <v>0.44</v>
      </c>
      <c r="K828" s="32" t="inlineStr">
        <is>
          <t>20250514-52</t>
        </is>
      </c>
    </row>
    <row r="829">
      <c r="A829" s="32" t="n">
        <v>42</v>
      </c>
      <c r="B829" s="32" t="inlineStr">
        <is>
          <t>K3-4A</t>
        </is>
      </c>
      <c r="F829" s="32" t="n">
        <v>6.734</v>
      </c>
      <c r="K829" s="32" t="inlineStr">
        <is>
          <t>20250514-53</t>
        </is>
      </c>
    </row>
    <row r="830">
      <c r="A830" s="32" t="n">
        <v>43</v>
      </c>
      <c r="B830" s="32" t="inlineStr">
        <is>
          <t>K3-4B</t>
        </is>
      </c>
      <c r="D830" s="32" t="n">
        <v>11.41</v>
      </c>
      <c r="E830" s="32" t="n">
        <v>1.264</v>
      </c>
      <c r="G830" s="32" t="n">
        <v>12</v>
      </c>
      <c r="H830" s="32" t="inlineStr">
        <is>
          <t>bb</t>
        </is>
      </c>
      <c r="K830" s="32" t="inlineStr">
        <is>
          <t>20250514-54</t>
        </is>
      </c>
    </row>
    <row r="831">
      <c r="A831" s="32" t="n">
        <v>44</v>
      </c>
      <c r="B831" s="32" t="inlineStr">
        <is>
          <t>K3-4C</t>
        </is>
      </c>
      <c r="K831" s="32" t="inlineStr">
        <is>
          <t>20250514-55</t>
        </is>
      </c>
    </row>
    <row r="832">
      <c r="A832" s="32" t="n">
        <v>45</v>
      </c>
      <c r="B832" s="32" t="inlineStr">
        <is>
          <t>MeOH</t>
        </is>
      </c>
      <c r="K832" s="32" t="inlineStr">
        <is>
          <t>20250514-56</t>
        </is>
      </c>
    </row>
    <row r="833">
      <c r="A833" s="32" t="n">
        <v>46</v>
      </c>
      <c r="B833" s="32" t="inlineStr">
        <is>
          <t>K3-6A</t>
        </is>
      </c>
      <c r="D833" s="32" t="n">
        <v>11.6</v>
      </c>
      <c r="E833" s="32" t="n">
        <v>44.854</v>
      </c>
      <c r="F833" s="32" t="n">
        <v>6</v>
      </c>
      <c r="G833" s="32" t="n">
        <v>358</v>
      </c>
      <c r="H833" s="32" t="inlineStr">
        <is>
          <t>bb</t>
        </is>
      </c>
      <c r="K833" s="32" t="inlineStr">
        <is>
          <t>20250514-57</t>
        </is>
      </c>
    </row>
    <row r="834">
      <c r="A834" s="32" t="n">
        <v>47</v>
      </c>
      <c r="B834" s="32" t="inlineStr">
        <is>
          <t>K3-6B</t>
        </is>
      </c>
      <c r="D834" s="32" t="n">
        <v>11.55</v>
      </c>
      <c r="E834" s="32" t="n">
        <v>12.685</v>
      </c>
      <c r="G834" s="32" t="n">
        <v>128</v>
      </c>
      <c r="H834" s="32" t="inlineStr">
        <is>
          <t>bb</t>
        </is>
      </c>
      <c r="K834" s="32" t="inlineStr">
        <is>
          <t>20250514-58</t>
        </is>
      </c>
    </row>
    <row r="835">
      <c r="A835" s="32" t="n">
        <v>48</v>
      </c>
      <c r="B835" s="32" t="inlineStr">
        <is>
          <t>K3-6C</t>
        </is>
      </c>
      <c r="K835" s="32" t="inlineStr">
        <is>
          <t>20250514-59</t>
        </is>
      </c>
    </row>
    <row r="837">
      <c r="A837" s="32" t="inlineStr">
        <is>
          <t>Compound 17:  PFBS 1</t>
        </is>
      </c>
    </row>
    <row r="839">
      <c r="B839" s="32" t="inlineStr">
        <is>
          <t>Sample Text</t>
        </is>
      </c>
      <c r="C839" s="32" t="inlineStr">
        <is>
          <t>Std. Conc</t>
        </is>
      </c>
      <c r="D839" s="32" t="inlineStr">
        <is>
          <t>RT</t>
        </is>
      </c>
      <c r="E839" s="32" t="inlineStr">
        <is>
          <t>Area</t>
        </is>
      </c>
      <c r="F839" s="32" t="inlineStr">
        <is>
          <t>IS Area</t>
        </is>
      </c>
      <c r="G839" s="32" t="inlineStr">
        <is>
          <t>S/N</t>
        </is>
      </c>
      <c r="H839" s="32" t="inlineStr">
        <is>
          <t>Primary Flags</t>
        </is>
      </c>
      <c r="I839" s="32" t="inlineStr">
        <is>
          <t>Response</t>
        </is>
      </c>
      <c r="J839" s="32" t="inlineStr">
        <is>
          <t>Conc.</t>
        </is>
      </c>
      <c r="K839" s="32" t="inlineStr">
        <is>
          <t>Name</t>
        </is>
      </c>
    </row>
    <row r="840">
      <c r="A840" s="32" t="n">
        <v>1</v>
      </c>
      <c r="B840" s="32" t="inlineStr">
        <is>
          <t>EPA1633 &amp; diPAPs Calibration 0 ppb</t>
        </is>
      </c>
      <c r="D840" s="32" t="n">
        <v>7.09</v>
      </c>
      <c r="E840" s="32" t="n">
        <v>19.764</v>
      </c>
      <c r="F840" s="32" t="n">
        <v>2938.249</v>
      </c>
      <c r="G840" s="32" t="n">
        <v>321</v>
      </c>
      <c r="H840" s="32" t="inlineStr">
        <is>
          <t>MM</t>
        </is>
      </c>
      <c r="K840" s="32" t="inlineStr">
        <is>
          <t>20250514-12</t>
        </is>
      </c>
    </row>
    <row r="841">
      <c r="A841" s="32" t="n">
        <v>2</v>
      </c>
      <c r="B841" s="32" t="inlineStr">
        <is>
          <t>EPA1633 &amp; diPAPs Calibration 0.02 ppb</t>
        </is>
      </c>
      <c r="D841" s="32" t="n">
        <v>7.14</v>
      </c>
      <c r="E841" s="32" t="n">
        <v>79.52500000000001</v>
      </c>
      <c r="F841" s="32" t="n">
        <v>2512.521</v>
      </c>
      <c r="G841" s="32" t="n">
        <v>14.713</v>
      </c>
      <c r="H841" s="32" t="inlineStr">
        <is>
          <t>MM</t>
        </is>
      </c>
      <c r="K841" s="32" t="inlineStr">
        <is>
          <t>20250514-13</t>
        </is>
      </c>
    </row>
    <row r="842">
      <c r="A842" s="32" t="n">
        <v>3</v>
      </c>
      <c r="B842" s="32" t="inlineStr">
        <is>
          <t>EPA1633 &amp; diPAPs Calibration 0.1 ppb</t>
        </is>
      </c>
      <c r="D842" s="32" t="n">
        <v>7.17</v>
      </c>
      <c r="E842" s="32" t="n">
        <v>65.32599999999999</v>
      </c>
      <c r="F842" s="32" t="n">
        <v>2908.581</v>
      </c>
      <c r="G842" s="32" t="n">
        <v>729</v>
      </c>
      <c r="H842" s="32" t="inlineStr">
        <is>
          <t>MM</t>
        </is>
      </c>
      <c r="K842" s="32" t="inlineStr">
        <is>
          <t>20250514-14</t>
        </is>
      </c>
    </row>
    <row r="843">
      <c r="A843" s="32" t="n">
        <v>4</v>
      </c>
      <c r="B843" s="32" t="inlineStr">
        <is>
          <t>EPA1633 &amp; diPAPs Calibration 0.4 ppb</t>
        </is>
      </c>
      <c r="D843" s="32" t="n">
        <v>7.17</v>
      </c>
      <c r="E843" s="32" t="n">
        <v>205.975</v>
      </c>
      <c r="F843" s="32" t="n">
        <v>2996.688</v>
      </c>
      <c r="G843" s="32" t="n">
        <v>37.386</v>
      </c>
      <c r="H843" s="32" t="inlineStr">
        <is>
          <t>MM</t>
        </is>
      </c>
      <c r="K843" s="32" t="inlineStr">
        <is>
          <t>20250514-15</t>
        </is>
      </c>
    </row>
    <row r="844">
      <c r="A844" s="32" t="n">
        <v>5</v>
      </c>
      <c r="B844" s="32" t="inlineStr">
        <is>
          <t>EPA1633 &amp; diPAPs Calibration 1 ppb</t>
        </is>
      </c>
      <c r="D844" s="32" t="n">
        <v>7.21</v>
      </c>
      <c r="E844" s="32" t="n">
        <v>443.572</v>
      </c>
      <c r="F844" s="32" t="n">
        <v>3153.645</v>
      </c>
      <c r="G844" s="32" t="n">
        <v>116.638</v>
      </c>
      <c r="H844" s="32" t="inlineStr">
        <is>
          <t>MM</t>
        </is>
      </c>
      <c r="K844" s="32" t="inlineStr">
        <is>
          <t>20250514-16</t>
        </is>
      </c>
    </row>
    <row r="845">
      <c r="A845" s="32" t="n">
        <v>6</v>
      </c>
      <c r="B845" s="32" t="inlineStr">
        <is>
          <t>EPA1633 &amp; diPAPs Calibration 5 ppb</t>
        </is>
      </c>
      <c r="D845" s="32" t="n">
        <v>6.98</v>
      </c>
      <c r="E845" s="32" t="n">
        <v>2353.824</v>
      </c>
      <c r="F845" s="32" t="n">
        <v>2668.511</v>
      </c>
      <c r="G845" s="32" t="n">
        <v>31.922</v>
      </c>
      <c r="H845" s="32" t="inlineStr">
        <is>
          <t>MM</t>
        </is>
      </c>
      <c r="K845" s="32" t="inlineStr">
        <is>
          <t>20250514-17</t>
        </is>
      </c>
    </row>
    <row r="846">
      <c r="A846" s="32" t="n">
        <v>7</v>
      </c>
      <c r="B846" s="32" t="inlineStr">
        <is>
          <t>EPA1633 &amp; diPAPs Calibration 10 ppb</t>
        </is>
      </c>
      <c r="D846" s="32" t="n">
        <v>7.06</v>
      </c>
      <c r="E846" s="32" t="n">
        <v>4345.265</v>
      </c>
      <c r="F846" s="32" t="n">
        <v>2112.954</v>
      </c>
      <c r="G846" s="32" t="n">
        <v>736.215</v>
      </c>
      <c r="H846" s="32" t="inlineStr">
        <is>
          <t>MM</t>
        </is>
      </c>
      <c r="K846" s="32" t="inlineStr">
        <is>
          <t>20250514-18</t>
        </is>
      </c>
    </row>
    <row r="847">
      <c r="A847" s="32" t="n">
        <v>8</v>
      </c>
      <c r="B847" s="32" t="inlineStr">
        <is>
          <t>EPA1633 &amp; diPAPs Calibration 20 ppb</t>
        </is>
      </c>
      <c r="D847" s="32" t="n">
        <v>7.12</v>
      </c>
      <c r="E847" s="32" t="n">
        <v>9042.450000000001</v>
      </c>
      <c r="F847" s="32" t="n">
        <v>2489.734</v>
      </c>
      <c r="G847" s="32" t="n">
        <v>88314</v>
      </c>
      <c r="H847" s="32" t="inlineStr">
        <is>
          <t>MM</t>
        </is>
      </c>
      <c r="K847" s="32" t="inlineStr">
        <is>
          <t>20250514-19</t>
        </is>
      </c>
    </row>
    <row r="848">
      <c r="A848" s="32" t="n">
        <v>9</v>
      </c>
      <c r="B848" s="32" t="inlineStr">
        <is>
          <t>MeOH</t>
        </is>
      </c>
      <c r="F848" s="32" t="n">
        <v>0.383</v>
      </c>
      <c r="K848" s="32" t="inlineStr">
        <is>
          <t>20250514-20</t>
        </is>
      </c>
    </row>
    <row r="849">
      <c r="A849" s="32" t="n">
        <v>10</v>
      </c>
      <c r="B849" s="32" t="inlineStr">
        <is>
          <t>MeOH</t>
        </is>
      </c>
      <c r="F849" s="32" t="n">
        <v>0.987</v>
      </c>
      <c r="K849" s="32" t="inlineStr">
        <is>
          <t>20250514-21</t>
        </is>
      </c>
    </row>
    <row r="850">
      <c r="A850" s="32" t="n">
        <v>11</v>
      </c>
      <c r="B850" s="32" t="inlineStr">
        <is>
          <t>SB1</t>
        </is>
      </c>
      <c r="D850" s="32" t="n">
        <v>7.17</v>
      </c>
      <c r="E850" s="32" t="n">
        <v>0.386</v>
      </c>
      <c r="F850" s="32" t="n">
        <v>1321.243</v>
      </c>
      <c r="G850" s="32" t="n">
        <v>7</v>
      </c>
      <c r="H850" s="32" t="inlineStr">
        <is>
          <t>MM</t>
        </is>
      </c>
      <c r="K850" s="32" t="inlineStr">
        <is>
          <t>20250514-22</t>
        </is>
      </c>
    </row>
    <row r="851">
      <c r="A851" s="32" t="n">
        <v>12</v>
      </c>
      <c r="B851" s="32" t="inlineStr">
        <is>
          <t>SB2</t>
        </is>
      </c>
      <c r="F851" s="32" t="n">
        <v>1146.191</v>
      </c>
      <c r="K851" s="32" t="inlineStr">
        <is>
          <t>20250514-23</t>
        </is>
      </c>
    </row>
    <row r="852">
      <c r="A852" s="32" t="n">
        <v>13</v>
      </c>
      <c r="B852" s="32" t="inlineStr">
        <is>
          <t>SB3</t>
        </is>
      </c>
      <c r="D852" s="32" t="n">
        <v>7.37</v>
      </c>
      <c r="E852" s="32" t="n">
        <v>0.097</v>
      </c>
      <c r="F852" s="32" t="n">
        <v>1275.571</v>
      </c>
      <c r="G852" s="32" t="n">
        <v>2</v>
      </c>
      <c r="H852" s="32" t="inlineStr">
        <is>
          <t>MM</t>
        </is>
      </c>
      <c r="K852" s="32" t="inlineStr">
        <is>
          <t>20250514-24</t>
        </is>
      </c>
    </row>
    <row r="853">
      <c r="A853" s="32" t="n">
        <v>14</v>
      </c>
      <c r="B853" s="32" t="inlineStr">
        <is>
          <t>SS1</t>
        </is>
      </c>
      <c r="D853" s="32" t="n">
        <v>7.27</v>
      </c>
      <c r="E853" s="32" t="n">
        <v>2360.831</v>
      </c>
      <c r="F853" s="32" t="n">
        <v>1534.966</v>
      </c>
      <c r="G853" s="32" t="n">
        <v>7689.78</v>
      </c>
      <c r="H853" s="32" t="inlineStr">
        <is>
          <t>MM</t>
        </is>
      </c>
      <c r="K853" s="32" t="inlineStr">
        <is>
          <t>20250514-25</t>
        </is>
      </c>
    </row>
    <row r="854">
      <c r="A854" s="32" t="n">
        <v>15</v>
      </c>
      <c r="B854" s="32" t="inlineStr">
        <is>
          <t>SS2</t>
        </is>
      </c>
      <c r="D854" s="32" t="n">
        <v>7.29</v>
      </c>
      <c r="E854" s="32" t="n">
        <v>2424.176</v>
      </c>
      <c r="F854" s="32" t="n">
        <v>1654.666</v>
      </c>
      <c r="G854" s="32" t="n">
        <v>22227</v>
      </c>
      <c r="H854" s="32" t="inlineStr">
        <is>
          <t>MM</t>
        </is>
      </c>
      <c r="K854" s="32" t="inlineStr">
        <is>
          <t>20250514-26</t>
        </is>
      </c>
    </row>
    <row r="855">
      <c r="A855" s="32" t="n">
        <v>16</v>
      </c>
      <c r="B855" s="32" t="inlineStr">
        <is>
          <t>SS3</t>
        </is>
      </c>
      <c r="D855" s="32" t="n">
        <v>7.29</v>
      </c>
      <c r="E855" s="32" t="n">
        <v>2302.036</v>
      </c>
      <c r="F855" s="32" t="n">
        <v>1409.177</v>
      </c>
      <c r="G855" s="32" t="n">
        <v>636.686</v>
      </c>
      <c r="H855" s="32" t="inlineStr">
        <is>
          <t>MM</t>
        </is>
      </c>
      <c r="K855" s="32" t="inlineStr">
        <is>
          <t>20250514-27</t>
        </is>
      </c>
    </row>
    <row r="856">
      <c r="A856" s="32" t="n">
        <v>17</v>
      </c>
      <c r="B856" s="32" t="inlineStr">
        <is>
          <t>MeOH</t>
        </is>
      </c>
      <c r="K856" s="32" t="inlineStr">
        <is>
          <t>20250514-28</t>
        </is>
      </c>
    </row>
    <row r="857">
      <c r="A857" s="32" t="n">
        <v>18</v>
      </c>
      <c r="B857" s="32" t="inlineStr">
        <is>
          <t>K4-1A</t>
        </is>
      </c>
      <c r="D857" s="32" t="n">
        <v>7.29</v>
      </c>
      <c r="E857" s="32" t="n">
        <v>1.701</v>
      </c>
      <c r="F857" s="32" t="n">
        <v>2136.637</v>
      </c>
      <c r="G857" s="32" t="n">
        <v>4.101</v>
      </c>
      <c r="H857" s="32" t="inlineStr">
        <is>
          <t>MM</t>
        </is>
      </c>
      <c r="K857" s="32" t="inlineStr">
        <is>
          <t>20250514-29</t>
        </is>
      </c>
    </row>
    <row r="858">
      <c r="A858" s="32" t="n">
        <v>19</v>
      </c>
      <c r="B858" s="32" t="inlineStr">
        <is>
          <t>K4-1B</t>
        </is>
      </c>
      <c r="D858" s="32" t="n">
        <v>7.23</v>
      </c>
      <c r="E858" s="32" t="n">
        <v>12.082</v>
      </c>
      <c r="F858" s="32" t="n">
        <v>2067.104</v>
      </c>
      <c r="G858" s="32" t="n">
        <v>175</v>
      </c>
      <c r="H858" s="32" t="inlineStr">
        <is>
          <t>MM</t>
        </is>
      </c>
      <c r="K858" s="32" t="inlineStr">
        <is>
          <t>20250514-30</t>
        </is>
      </c>
    </row>
    <row r="859">
      <c r="A859" s="32" t="n">
        <v>20</v>
      </c>
      <c r="B859" s="32" t="inlineStr">
        <is>
          <t>K4-1C</t>
        </is>
      </c>
      <c r="D859" s="32" t="n">
        <v>7.31</v>
      </c>
      <c r="E859" s="32" t="n">
        <v>119.609</v>
      </c>
      <c r="F859" s="32" t="n">
        <v>1624.895</v>
      </c>
      <c r="G859" s="32" t="n">
        <v>7.925</v>
      </c>
      <c r="H859" s="32" t="inlineStr">
        <is>
          <t>MM</t>
        </is>
      </c>
      <c r="K859" s="32" t="inlineStr">
        <is>
          <t>20250514-31</t>
        </is>
      </c>
    </row>
    <row r="860">
      <c r="A860" s="32" t="n">
        <v>21</v>
      </c>
      <c r="B860" s="32" t="inlineStr">
        <is>
          <t>K4-2A</t>
        </is>
      </c>
      <c r="D860" s="32" t="n">
        <v>7.32</v>
      </c>
      <c r="E860" s="32" t="n">
        <v>6.405</v>
      </c>
      <c r="F860" s="32" t="n">
        <v>2164.142</v>
      </c>
      <c r="G860" s="32" t="n">
        <v>104</v>
      </c>
      <c r="H860" s="32" t="inlineStr">
        <is>
          <t>MM</t>
        </is>
      </c>
      <c r="K860" s="32" t="inlineStr">
        <is>
          <t>20250514-32</t>
        </is>
      </c>
    </row>
    <row r="861">
      <c r="A861" s="32" t="n">
        <v>22</v>
      </c>
      <c r="B861" s="32" t="inlineStr">
        <is>
          <t>K4-2B</t>
        </is>
      </c>
      <c r="D861" s="32" t="n">
        <v>7.36</v>
      </c>
      <c r="E861" s="32" t="n">
        <v>1.904</v>
      </c>
      <c r="F861" s="32" t="n">
        <v>1849.896</v>
      </c>
      <c r="G861" s="32" t="n">
        <v>32</v>
      </c>
      <c r="H861" s="32" t="inlineStr">
        <is>
          <t>MM</t>
        </is>
      </c>
      <c r="K861" s="32" t="inlineStr">
        <is>
          <t>20250514-33</t>
        </is>
      </c>
    </row>
    <row r="862">
      <c r="A862" s="32" t="n">
        <v>23</v>
      </c>
      <c r="B862" s="32" t="inlineStr">
        <is>
          <t>K4-2C</t>
        </is>
      </c>
      <c r="D862" s="32" t="n">
        <v>7.33</v>
      </c>
      <c r="E862" s="32" t="n">
        <v>42.07</v>
      </c>
      <c r="F862" s="32" t="n">
        <v>1827.576</v>
      </c>
      <c r="G862" s="32" t="n">
        <v>5.4</v>
      </c>
      <c r="H862" s="32" t="inlineStr">
        <is>
          <t>MM</t>
        </is>
      </c>
      <c r="K862" s="32" t="inlineStr">
        <is>
          <t>20250514-34</t>
        </is>
      </c>
    </row>
    <row r="863">
      <c r="A863" s="32" t="n">
        <v>24</v>
      </c>
      <c r="B863" s="32" t="inlineStr">
        <is>
          <t>MeOH</t>
        </is>
      </c>
      <c r="K863" s="32" t="inlineStr">
        <is>
          <t>20250514-35</t>
        </is>
      </c>
    </row>
    <row r="864">
      <c r="A864" s="32" t="n">
        <v>25</v>
      </c>
      <c r="B864" s="32" t="inlineStr">
        <is>
          <t>K4-4A</t>
        </is>
      </c>
      <c r="D864" s="32" t="n">
        <v>7.37</v>
      </c>
      <c r="E864" s="32" t="n">
        <v>2.236</v>
      </c>
      <c r="F864" s="32" t="n">
        <v>1810.147</v>
      </c>
      <c r="G864" s="32" t="n">
        <v>21</v>
      </c>
      <c r="H864" s="32" t="inlineStr">
        <is>
          <t>MM</t>
        </is>
      </c>
      <c r="K864" s="32" t="inlineStr">
        <is>
          <t>20250514-36</t>
        </is>
      </c>
    </row>
    <row r="865">
      <c r="A865" s="32" t="n">
        <v>26</v>
      </c>
      <c r="B865" s="32" t="inlineStr">
        <is>
          <t>K4-4B</t>
        </is>
      </c>
      <c r="D865" s="32" t="n">
        <v>7.33</v>
      </c>
      <c r="E865" s="32" t="n">
        <v>27.223</v>
      </c>
      <c r="F865" s="32" t="n">
        <v>1728.778</v>
      </c>
      <c r="G865" s="32" t="n">
        <v>397</v>
      </c>
      <c r="H865" s="32" t="inlineStr">
        <is>
          <t>MM</t>
        </is>
      </c>
      <c r="K865" s="32" t="inlineStr">
        <is>
          <t>20250514-37</t>
        </is>
      </c>
    </row>
    <row r="866">
      <c r="A866" s="32" t="n">
        <v>27</v>
      </c>
      <c r="B866" s="32" t="inlineStr">
        <is>
          <t>K4-4C</t>
        </is>
      </c>
      <c r="D866" s="32" t="n">
        <v>7.36</v>
      </c>
      <c r="E866" s="32" t="n">
        <v>0.794</v>
      </c>
      <c r="F866" s="32" t="n">
        <v>1776.496</v>
      </c>
      <c r="G866" s="32" t="n">
        <v>13</v>
      </c>
      <c r="H866" s="32" t="inlineStr">
        <is>
          <t>MM</t>
        </is>
      </c>
      <c r="K866" s="32" t="inlineStr">
        <is>
          <t>20250514-38</t>
        </is>
      </c>
    </row>
    <row r="867">
      <c r="A867" s="32" t="n">
        <v>28</v>
      </c>
      <c r="B867" s="32" t="inlineStr">
        <is>
          <t>K4-5A</t>
        </is>
      </c>
      <c r="D867" s="32" t="n">
        <v>7.34</v>
      </c>
      <c r="E867" s="32" t="n">
        <v>20.841</v>
      </c>
      <c r="F867" s="32" t="n">
        <v>1605.44</v>
      </c>
      <c r="G867" s="32" t="n">
        <v>242</v>
      </c>
      <c r="H867" s="32" t="inlineStr">
        <is>
          <t>MM</t>
        </is>
      </c>
      <c r="K867" s="32" t="inlineStr">
        <is>
          <t>20250514-39</t>
        </is>
      </c>
    </row>
    <row r="868">
      <c r="A868" s="32" t="n">
        <v>29</v>
      </c>
      <c r="B868" s="32" t="inlineStr">
        <is>
          <t>K4-5B</t>
        </is>
      </c>
      <c r="F868" s="32" t="n">
        <v>1316.682</v>
      </c>
      <c r="K868" s="32" t="inlineStr">
        <is>
          <t>20250514-40</t>
        </is>
      </c>
    </row>
    <row r="869">
      <c r="A869" s="32" t="n">
        <v>30</v>
      </c>
      <c r="B869" s="32" t="inlineStr">
        <is>
          <t>K4-5C</t>
        </is>
      </c>
      <c r="D869" s="32" t="n">
        <v>7.37</v>
      </c>
      <c r="E869" s="32" t="n">
        <v>0.511</v>
      </c>
      <c r="F869" s="32" t="n">
        <v>1805.932</v>
      </c>
      <c r="G869" s="32" t="n">
        <v>9</v>
      </c>
      <c r="H869" s="32" t="inlineStr">
        <is>
          <t>MM</t>
        </is>
      </c>
      <c r="K869" s="32" t="inlineStr">
        <is>
          <t>20250514-41</t>
        </is>
      </c>
    </row>
    <row r="870">
      <c r="A870" s="32" t="n">
        <v>31</v>
      </c>
      <c r="B870" s="32" t="inlineStr">
        <is>
          <t>MeOH</t>
        </is>
      </c>
      <c r="K870" s="32" t="inlineStr">
        <is>
          <t>20250514-42</t>
        </is>
      </c>
    </row>
    <row r="871">
      <c r="A871" s="32" t="n">
        <v>32</v>
      </c>
      <c r="B871" s="32" t="inlineStr">
        <is>
          <t>K3-1A</t>
        </is>
      </c>
      <c r="D871" s="32" t="n">
        <v>6.99</v>
      </c>
      <c r="E871" s="32" t="n">
        <v>0.822</v>
      </c>
      <c r="F871" s="32" t="n">
        <v>1827.855</v>
      </c>
      <c r="G871" s="32" t="n">
        <v>15</v>
      </c>
      <c r="H871" s="32" t="inlineStr">
        <is>
          <t>MM</t>
        </is>
      </c>
      <c r="K871" s="32" t="inlineStr">
        <is>
          <t>20250514-43</t>
        </is>
      </c>
    </row>
    <row r="872">
      <c r="A872" s="32" t="n">
        <v>33</v>
      </c>
      <c r="B872" s="32" t="inlineStr">
        <is>
          <t>K3-1B</t>
        </is>
      </c>
      <c r="D872" s="32" t="n">
        <v>7.07</v>
      </c>
      <c r="E872" s="32" t="n">
        <v>17.275</v>
      </c>
      <c r="F872" s="32" t="n">
        <v>1472.714</v>
      </c>
      <c r="G872" s="32" t="n">
        <v>47.772</v>
      </c>
      <c r="H872" s="32" t="inlineStr">
        <is>
          <t>MM</t>
        </is>
      </c>
      <c r="K872" s="32" t="inlineStr">
        <is>
          <t>20250514-44</t>
        </is>
      </c>
    </row>
    <row r="873">
      <c r="A873" s="32" t="n">
        <v>34</v>
      </c>
      <c r="B873" s="32" t="inlineStr">
        <is>
          <t>K3-1C</t>
        </is>
      </c>
      <c r="D873" s="32" t="n">
        <v>7.14</v>
      </c>
      <c r="E873" s="32" t="n">
        <v>56.618</v>
      </c>
      <c r="F873" s="32" t="n">
        <v>2054.888</v>
      </c>
      <c r="G873" s="32" t="n">
        <v>7.272</v>
      </c>
      <c r="H873" s="32" t="inlineStr">
        <is>
          <t>MM</t>
        </is>
      </c>
      <c r="K873" s="32" t="inlineStr">
        <is>
          <t>20250514-45</t>
        </is>
      </c>
    </row>
    <row r="874">
      <c r="A874" s="32" t="n">
        <v>35</v>
      </c>
      <c r="B874" s="32" t="inlineStr">
        <is>
          <t>K3-2A</t>
        </is>
      </c>
      <c r="D874" s="32" t="n">
        <v>7.18</v>
      </c>
      <c r="E874" s="32" t="n">
        <v>75.958</v>
      </c>
      <c r="F874" s="32" t="n">
        <v>1852.851</v>
      </c>
      <c r="G874" s="32" t="n">
        <v>8.271000000000001</v>
      </c>
      <c r="H874" s="32" t="inlineStr">
        <is>
          <t>MM</t>
        </is>
      </c>
      <c r="K874" s="32" t="inlineStr">
        <is>
          <t>20250514-46</t>
        </is>
      </c>
    </row>
    <row r="875">
      <c r="A875" s="32" t="n">
        <v>36</v>
      </c>
      <c r="B875" s="32" t="inlineStr">
        <is>
          <t>K3-2B</t>
        </is>
      </c>
      <c r="D875" s="32" t="n">
        <v>7.17</v>
      </c>
      <c r="E875" s="32" t="n">
        <v>31.588</v>
      </c>
      <c r="F875" s="32" t="n">
        <v>2266.61</v>
      </c>
      <c r="G875" s="32" t="n">
        <v>5.516</v>
      </c>
      <c r="H875" s="32" t="inlineStr">
        <is>
          <t>MM</t>
        </is>
      </c>
      <c r="K875" s="32" t="inlineStr">
        <is>
          <t>20250514-47</t>
        </is>
      </c>
    </row>
    <row r="876">
      <c r="A876" s="32" t="n">
        <v>37</v>
      </c>
      <c r="B876" s="32" t="inlineStr">
        <is>
          <t>K3-2C</t>
        </is>
      </c>
      <c r="D876" s="32" t="n">
        <v>7.19</v>
      </c>
      <c r="E876" s="32" t="n">
        <v>81.03</v>
      </c>
      <c r="F876" s="32" t="n">
        <v>2232.974</v>
      </c>
      <c r="G876" s="32" t="n">
        <v>3.179</v>
      </c>
      <c r="H876" s="32" t="inlineStr">
        <is>
          <t>MM</t>
        </is>
      </c>
      <c r="K876" s="32" t="inlineStr">
        <is>
          <t>20250514-48</t>
        </is>
      </c>
    </row>
    <row r="877">
      <c r="A877" s="32" t="n">
        <v>38</v>
      </c>
      <c r="B877" s="32" t="inlineStr">
        <is>
          <t>MeOH</t>
        </is>
      </c>
      <c r="K877" s="32" t="inlineStr">
        <is>
          <t>20250514-49</t>
        </is>
      </c>
    </row>
    <row r="878">
      <c r="A878" s="32" t="n">
        <v>39</v>
      </c>
      <c r="B878" s="32" t="inlineStr">
        <is>
          <t>K3-3A</t>
        </is>
      </c>
      <c r="D878" s="32" t="n">
        <v>7.2</v>
      </c>
      <c r="E878" s="32" t="n">
        <v>65.456</v>
      </c>
      <c r="F878" s="32" t="n">
        <v>2247.504</v>
      </c>
      <c r="G878" s="32" t="n">
        <v>3.338</v>
      </c>
      <c r="H878" s="32" t="inlineStr">
        <is>
          <t>MM</t>
        </is>
      </c>
      <c r="K878" s="32" t="inlineStr">
        <is>
          <t>20250514-50</t>
        </is>
      </c>
    </row>
    <row r="879">
      <c r="A879" s="32" t="n">
        <v>40</v>
      </c>
      <c r="B879" s="32" t="inlineStr">
        <is>
          <t>K3-3B</t>
        </is>
      </c>
      <c r="D879" s="32" t="n">
        <v>7.22</v>
      </c>
      <c r="E879" s="32" t="n">
        <v>181.909</v>
      </c>
      <c r="F879" s="32" t="n">
        <v>2836.518</v>
      </c>
      <c r="G879" s="32" t="n">
        <v>2212</v>
      </c>
      <c r="H879" s="32" t="inlineStr">
        <is>
          <t>MM</t>
        </is>
      </c>
      <c r="K879" s="32" t="inlineStr">
        <is>
          <t>20250514-51</t>
        </is>
      </c>
    </row>
    <row r="880">
      <c r="A880" s="32" t="n">
        <v>41</v>
      </c>
      <c r="B880" s="32" t="inlineStr">
        <is>
          <t>K3-3C</t>
        </is>
      </c>
      <c r="D880" s="32" t="n">
        <v>7.23</v>
      </c>
      <c r="E880" s="32" t="n">
        <v>83.471</v>
      </c>
      <c r="F880" s="32" t="n">
        <v>2784.536</v>
      </c>
      <c r="G880" s="32" t="n">
        <v>15.019</v>
      </c>
      <c r="H880" s="32" t="inlineStr">
        <is>
          <t>MM</t>
        </is>
      </c>
      <c r="K880" s="32" t="inlineStr">
        <is>
          <t>20250514-52</t>
        </is>
      </c>
    </row>
    <row r="881">
      <c r="A881" s="32" t="n">
        <v>42</v>
      </c>
      <c r="B881" s="32" t="inlineStr">
        <is>
          <t>K3-4A</t>
        </is>
      </c>
      <c r="D881" s="32" t="n">
        <v>7.28</v>
      </c>
      <c r="E881" s="32" t="n">
        <v>129.079</v>
      </c>
      <c r="F881" s="32" t="n">
        <v>3315.61</v>
      </c>
      <c r="G881" s="32" t="n">
        <v>9.967000000000001</v>
      </c>
      <c r="H881" s="32" t="inlineStr">
        <is>
          <t>MM</t>
        </is>
      </c>
      <c r="K881" s="32" t="inlineStr">
        <is>
          <t>20250514-53</t>
        </is>
      </c>
    </row>
    <row r="882">
      <c r="A882" s="32" t="n">
        <v>43</v>
      </c>
      <c r="B882" s="32" t="inlineStr">
        <is>
          <t>K3-4B</t>
        </is>
      </c>
      <c r="D882" s="32" t="n">
        <v>7.29</v>
      </c>
      <c r="E882" s="32" t="n">
        <v>66.804</v>
      </c>
      <c r="F882" s="32" t="n">
        <v>2719.03</v>
      </c>
      <c r="G882" s="32" t="n">
        <v>28.259</v>
      </c>
      <c r="H882" s="32" t="inlineStr">
        <is>
          <t>MM</t>
        </is>
      </c>
      <c r="K882" s="32" t="inlineStr">
        <is>
          <t>20250514-54</t>
        </is>
      </c>
    </row>
    <row r="883">
      <c r="A883" s="32" t="n">
        <v>44</v>
      </c>
      <c r="B883" s="32" t="inlineStr">
        <is>
          <t>K3-4C</t>
        </is>
      </c>
      <c r="D883" s="32" t="n">
        <v>7.3</v>
      </c>
      <c r="E883" s="32" t="n">
        <v>88.956</v>
      </c>
      <c r="F883" s="32" t="n">
        <v>3532.196</v>
      </c>
      <c r="G883" s="32" t="n">
        <v>1039</v>
      </c>
      <c r="H883" s="32" t="inlineStr">
        <is>
          <t>MM</t>
        </is>
      </c>
      <c r="K883" s="32" t="inlineStr">
        <is>
          <t>20250514-55</t>
        </is>
      </c>
    </row>
    <row r="884">
      <c r="A884" s="32" t="n">
        <v>45</v>
      </c>
      <c r="B884" s="32" t="inlineStr">
        <is>
          <t>MeOH</t>
        </is>
      </c>
      <c r="K884" s="32" t="inlineStr">
        <is>
          <t>20250514-56</t>
        </is>
      </c>
    </row>
    <row r="885">
      <c r="A885" s="32" t="n">
        <v>46</v>
      </c>
      <c r="B885" s="32" t="inlineStr">
        <is>
          <t>K3-6A</t>
        </is>
      </c>
      <c r="D885" s="32" t="n">
        <v>7.39</v>
      </c>
      <c r="E885" s="32" t="n">
        <v>47.079</v>
      </c>
      <c r="F885" s="32" t="n">
        <v>3285.244</v>
      </c>
      <c r="G885" s="32" t="n">
        <v>24.456</v>
      </c>
      <c r="H885" s="32" t="inlineStr">
        <is>
          <t>MM</t>
        </is>
      </c>
      <c r="K885" s="32" t="inlineStr">
        <is>
          <t>20250514-57</t>
        </is>
      </c>
    </row>
    <row r="886">
      <c r="A886" s="32" t="n">
        <v>47</v>
      </c>
      <c r="B886" s="32" t="inlineStr">
        <is>
          <t>K3-6B</t>
        </is>
      </c>
      <c r="D886" s="32" t="n">
        <v>7.32</v>
      </c>
      <c r="E886" s="32" t="n">
        <v>50.013</v>
      </c>
      <c r="F886" s="32" t="n">
        <v>2954.052</v>
      </c>
      <c r="G886" s="32" t="n">
        <v>638</v>
      </c>
      <c r="H886" s="32" t="inlineStr">
        <is>
          <t>MM</t>
        </is>
      </c>
      <c r="K886" s="32" t="inlineStr">
        <is>
          <t>20250514-58</t>
        </is>
      </c>
    </row>
    <row r="887">
      <c r="A887" s="32" t="n">
        <v>48</v>
      </c>
      <c r="B887" s="32" t="inlineStr">
        <is>
          <t>K3-6C</t>
        </is>
      </c>
      <c r="D887" s="32" t="n">
        <v>7.31</v>
      </c>
      <c r="E887" s="32" t="n">
        <v>158.738</v>
      </c>
      <c r="F887" s="32" t="n">
        <v>3194.859</v>
      </c>
      <c r="G887" s="32" t="n">
        <v>12.846</v>
      </c>
      <c r="H887" s="32" t="inlineStr">
        <is>
          <t>MM</t>
        </is>
      </c>
      <c r="K887" s="32" t="inlineStr">
        <is>
          <t>20250514-59</t>
        </is>
      </c>
    </row>
    <row r="889">
      <c r="A889" s="32" t="inlineStr">
        <is>
          <t>Compound 18:  PFBS 2</t>
        </is>
      </c>
    </row>
    <row r="891">
      <c r="B891" s="32" t="inlineStr">
        <is>
          <t>Sample Text</t>
        </is>
      </c>
      <c r="C891" s="32" t="inlineStr">
        <is>
          <t>Std. Conc</t>
        </is>
      </c>
      <c r="D891" s="32" t="inlineStr">
        <is>
          <t>RT</t>
        </is>
      </c>
      <c r="E891" s="32" t="inlineStr">
        <is>
          <t>Area</t>
        </is>
      </c>
      <c r="F891" s="32" t="inlineStr">
        <is>
          <t>IS Area</t>
        </is>
      </c>
      <c r="G891" s="32" t="inlineStr">
        <is>
          <t>S/N</t>
        </is>
      </c>
      <c r="H891" s="32" t="inlineStr">
        <is>
          <t>Primary Flags</t>
        </is>
      </c>
      <c r="I891" s="32" t="inlineStr">
        <is>
          <t>Response</t>
        </is>
      </c>
      <c r="J891" s="32" t="inlineStr">
        <is>
          <t>Conc.</t>
        </is>
      </c>
      <c r="K891" s="32" t="inlineStr">
        <is>
          <t>Name</t>
        </is>
      </c>
    </row>
    <row r="892">
      <c r="A892" s="32" t="n">
        <v>1</v>
      </c>
      <c r="B892" s="32" t="inlineStr">
        <is>
          <t>EPA1633 &amp; diPAPs Calibration 0 ppb</t>
        </is>
      </c>
      <c r="D892" s="32" t="n">
        <v>7.18</v>
      </c>
      <c r="E892" s="32" t="n">
        <v>8.930999999999999</v>
      </c>
      <c r="F892" s="32" t="n">
        <v>1812.89</v>
      </c>
      <c r="G892" s="32" t="n">
        <v>1.18</v>
      </c>
      <c r="H892" s="32" t="inlineStr">
        <is>
          <t>bb</t>
        </is>
      </c>
      <c r="K892" s="32" t="inlineStr">
        <is>
          <t>20250514-12</t>
        </is>
      </c>
    </row>
    <row r="893">
      <c r="A893" s="32" t="n">
        <v>2</v>
      </c>
      <c r="B893" s="32" t="inlineStr">
        <is>
          <t>EPA1633 &amp; diPAPs Calibration 0.02 ppb</t>
        </is>
      </c>
      <c r="D893" s="32" t="n">
        <v>7.14</v>
      </c>
      <c r="E893" s="32" t="n">
        <v>5.447</v>
      </c>
      <c r="F893" s="32" t="n">
        <v>1750.095</v>
      </c>
      <c r="G893" s="32" t="n">
        <v>4.307</v>
      </c>
      <c r="H893" s="32" t="inlineStr">
        <is>
          <t>MM</t>
        </is>
      </c>
      <c r="K893" s="32" t="inlineStr">
        <is>
          <t>20250514-13</t>
        </is>
      </c>
    </row>
    <row r="894">
      <c r="A894" s="32" t="n">
        <v>3</v>
      </c>
      <c r="B894" s="32" t="inlineStr">
        <is>
          <t>EPA1633 &amp; diPAPs Calibration 0.1 ppb</t>
        </is>
      </c>
      <c r="D894" s="32" t="n">
        <v>7.17</v>
      </c>
      <c r="E894" s="32" t="n">
        <v>60.623</v>
      </c>
      <c r="F894" s="32" t="n">
        <v>1801.795</v>
      </c>
      <c r="G894" s="32" t="n">
        <v>9.627000000000001</v>
      </c>
      <c r="H894" s="32" t="inlineStr">
        <is>
          <t>MM</t>
        </is>
      </c>
      <c r="K894" s="32" t="inlineStr">
        <is>
          <t>20250514-14</t>
        </is>
      </c>
    </row>
    <row r="895">
      <c r="A895" s="32" t="n">
        <v>4</v>
      </c>
      <c r="B895" s="32" t="inlineStr">
        <is>
          <t>EPA1633 &amp; diPAPs Calibration 0.4 ppb</t>
        </is>
      </c>
      <c r="D895" s="32" t="n">
        <v>7.16</v>
      </c>
      <c r="E895" s="32" t="n">
        <v>178.996</v>
      </c>
      <c r="F895" s="32" t="n">
        <v>1537.963</v>
      </c>
      <c r="G895" s="32" t="n">
        <v>17.477</v>
      </c>
      <c r="H895" s="32" t="inlineStr">
        <is>
          <t>bb</t>
        </is>
      </c>
      <c r="K895" s="32" t="inlineStr">
        <is>
          <t>20250514-15</t>
        </is>
      </c>
    </row>
    <row r="896">
      <c r="A896" s="32" t="n">
        <v>5</v>
      </c>
      <c r="B896" s="32" t="inlineStr">
        <is>
          <t>EPA1633 &amp; diPAPs Calibration 1 ppb</t>
        </is>
      </c>
      <c r="D896" s="32" t="n">
        <v>7.19</v>
      </c>
      <c r="E896" s="32" t="n">
        <v>398.357</v>
      </c>
      <c r="F896" s="32" t="n">
        <v>2182.165</v>
      </c>
      <c r="G896" s="32" t="n">
        <v>31.716</v>
      </c>
      <c r="H896" s="32" t="inlineStr">
        <is>
          <t>bb</t>
        </is>
      </c>
      <c r="K896" s="32" t="inlineStr">
        <is>
          <t>20250514-16</t>
        </is>
      </c>
    </row>
    <row r="897">
      <c r="A897" s="32" t="n">
        <v>6</v>
      </c>
      <c r="B897" s="32" t="inlineStr">
        <is>
          <t>EPA1633 &amp; diPAPs Calibration 5 ppb</t>
        </is>
      </c>
      <c r="D897" s="32" t="n">
        <v>6.97</v>
      </c>
      <c r="E897" s="32" t="n">
        <v>1355.376</v>
      </c>
      <c r="F897" s="32" t="n">
        <v>1666.899</v>
      </c>
      <c r="G897" s="32" t="n">
        <v>62.576</v>
      </c>
      <c r="H897" s="32" t="inlineStr">
        <is>
          <t>bb</t>
        </is>
      </c>
      <c r="K897" s="32" t="inlineStr">
        <is>
          <t>20250514-17</t>
        </is>
      </c>
    </row>
    <row r="898">
      <c r="A898" s="32" t="n">
        <v>7</v>
      </c>
      <c r="B898" s="32" t="inlineStr">
        <is>
          <t>EPA1633 &amp; diPAPs Calibration 10 ppb</t>
        </is>
      </c>
      <c r="D898" s="32" t="n">
        <v>7.06</v>
      </c>
      <c r="E898" s="32" t="n">
        <v>2651.605</v>
      </c>
      <c r="F898" s="32" t="n">
        <v>1664.163</v>
      </c>
      <c r="G898" s="32" t="n">
        <v>413.058</v>
      </c>
      <c r="H898" s="32" t="inlineStr">
        <is>
          <t>bb</t>
        </is>
      </c>
      <c r="K898" s="32" t="inlineStr">
        <is>
          <t>20250514-18</t>
        </is>
      </c>
    </row>
    <row r="899">
      <c r="A899" s="32" t="n">
        <v>8</v>
      </c>
      <c r="B899" s="32" t="inlineStr">
        <is>
          <t>EPA1633 &amp; diPAPs Calibration 20 ppb</t>
        </is>
      </c>
      <c r="D899" s="32" t="n">
        <v>7.12</v>
      </c>
      <c r="E899" s="32" t="n">
        <v>5880.059</v>
      </c>
      <c r="F899" s="32" t="n">
        <v>1508.443</v>
      </c>
      <c r="G899" s="32" t="n">
        <v>63.25</v>
      </c>
      <c r="H899" s="32" t="inlineStr">
        <is>
          <t>bb</t>
        </is>
      </c>
      <c r="K899" s="32" t="inlineStr">
        <is>
          <t>20250514-19</t>
        </is>
      </c>
    </row>
    <row r="900">
      <c r="A900" s="32" t="n">
        <v>9</v>
      </c>
      <c r="B900" s="32" t="inlineStr">
        <is>
          <t>MeOH</t>
        </is>
      </c>
      <c r="D900" s="32" t="n">
        <v>7.13</v>
      </c>
      <c r="E900" s="32" t="n">
        <v>3.785</v>
      </c>
      <c r="F900" s="32" t="n">
        <v>0.193</v>
      </c>
      <c r="G900" s="32" t="n">
        <v>60</v>
      </c>
      <c r="H900" s="32" t="inlineStr">
        <is>
          <t>bb</t>
        </is>
      </c>
      <c r="K900" s="32" t="inlineStr">
        <is>
          <t>20250514-20</t>
        </is>
      </c>
    </row>
    <row r="901">
      <c r="A901" s="32" t="n">
        <v>10</v>
      </c>
      <c r="B901" s="32" t="inlineStr">
        <is>
          <t>MeOH</t>
        </is>
      </c>
      <c r="D901" s="32" t="n">
        <v>7.34</v>
      </c>
      <c r="E901" s="32" t="n">
        <v>19.734</v>
      </c>
      <c r="G901" s="32" t="n">
        <v>9.592000000000001</v>
      </c>
      <c r="H901" s="32" t="inlineStr">
        <is>
          <t>bb</t>
        </is>
      </c>
      <c r="K901" s="32" t="inlineStr">
        <is>
          <t>20250514-21</t>
        </is>
      </c>
    </row>
    <row r="902">
      <c r="A902" s="32" t="n">
        <v>11</v>
      </c>
      <c r="B902" s="32" t="inlineStr">
        <is>
          <t>SB1</t>
        </is>
      </c>
      <c r="D902" s="32" t="n">
        <v>7.28</v>
      </c>
      <c r="E902" s="32" t="n">
        <v>13.983</v>
      </c>
      <c r="F902" s="32" t="n">
        <v>821.71</v>
      </c>
      <c r="G902" s="32" t="n">
        <v>9.214</v>
      </c>
      <c r="H902" s="32" t="inlineStr">
        <is>
          <t>bb</t>
        </is>
      </c>
      <c r="K902" s="32" t="inlineStr">
        <is>
          <t>20250514-22</t>
        </is>
      </c>
    </row>
    <row r="903">
      <c r="A903" s="32" t="n">
        <v>12</v>
      </c>
      <c r="B903" s="32" t="inlineStr">
        <is>
          <t>SB2</t>
        </is>
      </c>
      <c r="D903" s="32" t="n">
        <v>7.28</v>
      </c>
      <c r="E903" s="32" t="n">
        <v>0.527</v>
      </c>
      <c r="F903" s="32" t="n">
        <v>781.801</v>
      </c>
      <c r="G903" s="32" t="n">
        <v>9</v>
      </c>
      <c r="H903" s="32" t="inlineStr">
        <is>
          <t>bb</t>
        </is>
      </c>
      <c r="K903" s="32" t="inlineStr">
        <is>
          <t>20250514-23</t>
        </is>
      </c>
    </row>
    <row r="904">
      <c r="A904" s="32" t="n">
        <v>13</v>
      </c>
      <c r="B904" s="32" t="inlineStr">
        <is>
          <t>SB3</t>
        </is>
      </c>
      <c r="D904" s="32" t="n">
        <v>7.69</v>
      </c>
      <c r="E904" s="32" t="n">
        <v>0.845</v>
      </c>
      <c r="F904" s="32" t="n">
        <v>544.835</v>
      </c>
      <c r="G904" s="32" t="n">
        <v>0.293</v>
      </c>
      <c r="H904" s="32" t="inlineStr">
        <is>
          <t>MM</t>
        </is>
      </c>
      <c r="K904" s="32" t="inlineStr">
        <is>
          <t>20250514-24</t>
        </is>
      </c>
    </row>
    <row r="905">
      <c r="A905" s="32" t="n">
        <v>14</v>
      </c>
      <c r="B905" s="32" t="inlineStr">
        <is>
          <t>SS1</t>
        </is>
      </c>
      <c r="D905" s="32" t="n">
        <v>7.27</v>
      </c>
      <c r="E905" s="32" t="n">
        <v>1553.828</v>
      </c>
      <c r="F905" s="32" t="n">
        <v>867.13</v>
      </c>
      <c r="G905" s="32" t="n">
        <v>151.663</v>
      </c>
      <c r="H905" s="32" t="inlineStr">
        <is>
          <t>bb</t>
        </is>
      </c>
      <c r="K905" s="32" t="inlineStr">
        <is>
          <t>20250514-25</t>
        </is>
      </c>
    </row>
    <row r="906">
      <c r="A906" s="32" t="n">
        <v>15</v>
      </c>
      <c r="B906" s="32" t="inlineStr">
        <is>
          <t>SS2</t>
        </is>
      </c>
      <c r="D906" s="32" t="n">
        <v>7.28</v>
      </c>
      <c r="E906" s="32" t="n">
        <v>1411.401</v>
      </c>
      <c r="F906" s="32" t="n">
        <v>719.085</v>
      </c>
      <c r="G906" s="32" t="n">
        <v>127.024</v>
      </c>
      <c r="H906" s="32" t="inlineStr">
        <is>
          <t>bb</t>
        </is>
      </c>
      <c r="K906" s="32" t="inlineStr">
        <is>
          <t>20250514-26</t>
        </is>
      </c>
    </row>
    <row r="907">
      <c r="A907" s="32" t="n">
        <v>16</v>
      </c>
      <c r="B907" s="32" t="inlineStr">
        <is>
          <t>SS3</t>
        </is>
      </c>
      <c r="D907" s="32" t="n">
        <v>7.3</v>
      </c>
      <c r="E907" s="32" t="n">
        <v>1282.811</v>
      </c>
      <c r="F907" s="32" t="n">
        <v>819.293</v>
      </c>
      <c r="G907" s="32" t="n">
        <v>56.47</v>
      </c>
      <c r="H907" s="32" t="inlineStr">
        <is>
          <t>bb</t>
        </is>
      </c>
      <c r="K907" s="32" t="inlineStr">
        <is>
          <t>20250514-27</t>
        </is>
      </c>
    </row>
    <row r="908">
      <c r="A908" s="32" t="n">
        <v>17</v>
      </c>
      <c r="B908" s="32" t="inlineStr">
        <is>
          <t>MeOH</t>
        </is>
      </c>
      <c r="K908" s="32" t="inlineStr">
        <is>
          <t>20250514-28</t>
        </is>
      </c>
    </row>
    <row r="909">
      <c r="A909" s="32" t="n">
        <v>18</v>
      </c>
      <c r="B909" s="32" t="inlineStr">
        <is>
          <t>K4-1A</t>
        </is>
      </c>
      <c r="D909" s="32" t="n">
        <v>7.32</v>
      </c>
      <c r="E909" s="32" t="n">
        <v>4.447</v>
      </c>
      <c r="F909" s="32" t="n">
        <v>1269.057</v>
      </c>
      <c r="G909" s="32" t="n">
        <v>0.845</v>
      </c>
      <c r="H909" s="32" t="inlineStr">
        <is>
          <t>bb</t>
        </is>
      </c>
      <c r="K909" s="32" t="inlineStr">
        <is>
          <t>20250514-29</t>
        </is>
      </c>
    </row>
    <row r="910">
      <c r="A910" s="32" t="n">
        <v>19</v>
      </c>
      <c r="B910" s="32" t="inlineStr">
        <is>
          <t>K4-1B</t>
        </is>
      </c>
      <c r="D910" s="32" t="n">
        <v>7.27</v>
      </c>
      <c r="E910" s="32" t="n">
        <v>46.82</v>
      </c>
      <c r="F910" s="32" t="n">
        <v>1190.098</v>
      </c>
      <c r="G910" s="32" t="n">
        <v>10.635</v>
      </c>
      <c r="H910" s="32" t="inlineStr">
        <is>
          <t>bb</t>
        </is>
      </c>
      <c r="K910" s="32" t="inlineStr">
        <is>
          <t>20250514-30</t>
        </is>
      </c>
    </row>
    <row r="911">
      <c r="A911" s="32" t="n">
        <v>20</v>
      </c>
      <c r="B911" s="32" t="inlineStr">
        <is>
          <t>K4-1C</t>
        </is>
      </c>
      <c r="D911" s="32" t="n">
        <v>7.3</v>
      </c>
      <c r="E911" s="32" t="n">
        <v>71.70999999999999</v>
      </c>
      <c r="F911" s="32" t="n">
        <v>1102.583</v>
      </c>
      <c r="G911" s="32" t="n">
        <v>28.046</v>
      </c>
      <c r="H911" s="32" t="inlineStr">
        <is>
          <t>MM</t>
        </is>
      </c>
      <c r="K911" s="32" t="inlineStr">
        <is>
          <t>20250514-31</t>
        </is>
      </c>
    </row>
    <row r="912">
      <c r="A912" s="32" t="n">
        <v>21</v>
      </c>
      <c r="B912" s="32" t="inlineStr">
        <is>
          <t>K4-2A</t>
        </is>
      </c>
      <c r="D912" s="32" t="n">
        <v>7.36</v>
      </c>
      <c r="E912" s="32" t="n">
        <v>33.501</v>
      </c>
      <c r="F912" s="32" t="n">
        <v>1164.009</v>
      </c>
      <c r="G912" s="32" t="n">
        <v>434</v>
      </c>
      <c r="H912" s="32" t="inlineStr">
        <is>
          <t>bb</t>
        </is>
      </c>
      <c r="K912" s="32" t="inlineStr">
        <is>
          <t>20250514-32</t>
        </is>
      </c>
    </row>
    <row r="913">
      <c r="A913" s="32" t="n">
        <v>22</v>
      </c>
      <c r="B913" s="32" t="inlineStr">
        <is>
          <t>K4-2B</t>
        </is>
      </c>
      <c r="D913" s="32" t="n">
        <v>7.26</v>
      </c>
      <c r="E913" s="32" t="n">
        <v>2.009</v>
      </c>
      <c r="F913" s="32" t="n">
        <v>963.226</v>
      </c>
      <c r="G913" s="32" t="n">
        <v>0.203</v>
      </c>
      <c r="H913" s="32" t="inlineStr">
        <is>
          <t>MM</t>
        </is>
      </c>
      <c r="K913" s="32" t="inlineStr">
        <is>
          <t>20250514-33</t>
        </is>
      </c>
    </row>
    <row r="914">
      <c r="A914" s="32" t="n">
        <v>23</v>
      </c>
      <c r="B914" s="32" t="inlineStr">
        <is>
          <t>K4-2C</t>
        </is>
      </c>
      <c r="D914" s="32" t="n">
        <v>7.33</v>
      </c>
      <c r="E914" s="32" t="n">
        <v>61.82</v>
      </c>
      <c r="F914" s="32" t="n">
        <v>987.529</v>
      </c>
      <c r="G914" s="32" t="n">
        <v>741</v>
      </c>
      <c r="H914" s="32" t="inlineStr">
        <is>
          <t>bb</t>
        </is>
      </c>
      <c r="K914" s="32" t="inlineStr">
        <is>
          <t>20250514-34</t>
        </is>
      </c>
    </row>
    <row r="915">
      <c r="A915" s="32" t="n">
        <v>24</v>
      </c>
      <c r="B915" s="32" t="inlineStr">
        <is>
          <t>MeOH</t>
        </is>
      </c>
      <c r="H915" s="32" t="inlineStr">
        <is>
          <t>MM-</t>
        </is>
      </c>
      <c r="K915" s="32" t="inlineStr">
        <is>
          <t>20250514-35</t>
        </is>
      </c>
    </row>
    <row r="916">
      <c r="A916" s="32" t="n">
        <v>25</v>
      </c>
      <c r="B916" s="32" t="inlineStr">
        <is>
          <t>K4-4A</t>
        </is>
      </c>
      <c r="D916" s="32" t="n">
        <v>7.65</v>
      </c>
      <c r="E916" s="32" t="n">
        <v>1.275</v>
      </c>
      <c r="F916" s="32" t="n">
        <v>1010.575</v>
      </c>
      <c r="G916" s="32" t="n">
        <v>25</v>
      </c>
      <c r="H916" s="32" t="inlineStr">
        <is>
          <t>MM</t>
        </is>
      </c>
      <c r="K916" s="32" t="inlineStr">
        <is>
          <t>20250514-36</t>
        </is>
      </c>
    </row>
    <row r="917">
      <c r="A917" s="32" t="n">
        <v>26</v>
      </c>
      <c r="B917" s="32" t="inlineStr">
        <is>
          <t>K4-4B</t>
        </is>
      </c>
      <c r="D917" s="32" t="n">
        <v>7.05</v>
      </c>
      <c r="E917" s="32" t="n">
        <v>1.098</v>
      </c>
      <c r="F917" s="32" t="n">
        <v>958.828</v>
      </c>
      <c r="G917" s="32" t="n">
        <v>0.714</v>
      </c>
      <c r="H917" s="32" t="inlineStr">
        <is>
          <t>bb</t>
        </is>
      </c>
      <c r="K917" s="32" t="inlineStr">
        <is>
          <t>20250514-37</t>
        </is>
      </c>
    </row>
    <row r="918">
      <c r="A918" s="32" t="n">
        <v>27</v>
      </c>
      <c r="B918" s="32" t="inlineStr">
        <is>
          <t>K4-4C</t>
        </is>
      </c>
      <c r="D918" s="32" t="n">
        <v>7.19</v>
      </c>
      <c r="E918" s="32" t="n">
        <v>0.271</v>
      </c>
      <c r="F918" s="32" t="n">
        <v>1063.871</v>
      </c>
      <c r="G918" s="32" t="n">
        <v>5</v>
      </c>
      <c r="H918" s="32" t="inlineStr">
        <is>
          <t>MM</t>
        </is>
      </c>
      <c r="K918" s="32" t="inlineStr">
        <is>
          <t>20250514-38</t>
        </is>
      </c>
    </row>
    <row r="919">
      <c r="A919" s="32" t="n">
        <v>28</v>
      </c>
      <c r="B919" s="32" t="inlineStr">
        <is>
          <t>K4-5A</t>
        </is>
      </c>
      <c r="D919" s="32" t="n">
        <v>7.36</v>
      </c>
      <c r="E919" s="32" t="n">
        <v>4.011</v>
      </c>
      <c r="F919" s="32" t="n">
        <v>905.402</v>
      </c>
      <c r="G919" s="32" t="n">
        <v>0.867</v>
      </c>
      <c r="H919" s="32" t="inlineStr">
        <is>
          <t>bb</t>
        </is>
      </c>
      <c r="K919" s="32" t="inlineStr">
        <is>
          <t>20250514-39</t>
        </is>
      </c>
    </row>
    <row r="920">
      <c r="A920" s="32" t="n">
        <v>29</v>
      </c>
      <c r="B920" s="32" t="inlineStr">
        <is>
          <t>K4-5B</t>
        </is>
      </c>
      <c r="D920" s="32" t="n">
        <v>7.17</v>
      </c>
      <c r="E920" s="32" t="n">
        <v>1.843</v>
      </c>
      <c r="F920" s="32" t="n">
        <v>818.7089999999999</v>
      </c>
      <c r="G920" s="32" t="n">
        <v>34</v>
      </c>
      <c r="H920" s="32" t="inlineStr">
        <is>
          <t>bb</t>
        </is>
      </c>
      <c r="K920" s="32" t="inlineStr">
        <is>
          <t>20250514-40</t>
        </is>
      </c>
    </row>
    <row r="921">
      <c r="A921" s="32" t="n">
        <v>30</v>
      </c>
      <c r="B921" s="32" t="inlineStr">
        <is>
          <t>K4-5C</t>
        </is>
      </c>
      <c r="D921" s="32" t="n">
        <v>6.94</v>
      </c>
      <c r="E921" s="32" t="n">
        <v>24.05</v>
      </c>
      <c r="F921" s="32" t="n">
        <v>916.855</v>
      </c>
      <c r="G921" s="32" t="n">
        <v>6.476</v>
      </c>
      <c r="H921" s="32" t="inlineStr">
        <is>
          <t>bb</t>
        </is>
      </c>
      <c r="K921" s="32" t="inlineStr">
        <is>
          <t>20250514-41</t>
        </is>
      </c>
    </row>
    <row r="922">
      <c r="A922" s="32" t="n">
        <v>31</v>
      </c>
      <c r="B922" s="32" t="inlineStr">
        <is>
          <t>MeOH</t>
        </is>
      </c>
      <c r="H922" s="32" t="inlineStr">
        <is>
          <t>MM-</t>
        </is>
      </c>
      <c r="K922" s="32" t="inlineStr">
        <is>
          <t>20250514-42</t>
        </is>
      </c>
    </row>
    <row r="923">
      <c r="A923" s="32" t="n">
        <v>32</v>
      </c>
      <c r="B923" s="32" t="inlineStr">
        <is>
          <t>K3-1A</t>
        </is>
      </c>
      <c r="D923" s="32" t="n">
        <v>6.99</v>
      </c>
      <c r="E923" s="32" t="n">
        <v>58.13</v>
      </c>
      <c r="F923" s="32" t="n">
        <v>957.008</v>
      </c>
      <c r="G923" s="32" t="n">
        <v>113.85</v>
      </c>
      <c r="H923" s="32" t="inlineStr">
        <is>
          <t>bb</t>
        </is>
      </c>
      <c r="K923" s="32" t="inlineStr">
        <is>
          <t>20250514-43</t>
        </is>
      </c>
    </row>
    <row r="924">
      <c r="A924" s="32" t="n">
        <v>33</v>
      </c>
      <c r="B924" s="32" t="inlineStr">
        <is>
          <t>K3-1B</t>
        </is>
      </c>
      <c r="D924" s="32" t="n">
        <v>7.04</v>
      </c>
      <c r="E924" s="32" t="n">
        <v>39.664</v>
      </c>
      <c r="F924" s="32" t="n">
        <v>859.682</v>
      </c>
      <c r="G924" s="32" t="n">
        <v>2.915</v>
      </c>
      <c r="H924" s="32" t="inlineStr">
        <is>
          <t>bb</t>
        </is>
      </c>
      <c r="K924" s="32" t="inlineStr">
        <is>
          <t>20250514-44</t>
        </is>
      </c>
    </row>
    <row r="925">
      <c r="A925" s="32" t="n">
        <v>34</v>
      </c>
      <c r="B925" s="32" t="inlineStr">
        <is>
          <t>K3-1C</t>
        </is>
      </c>
      <c r="D925" s="32" t="n">
        <v>7.11</v>
      </c>
      <c r="E925" s="32" t="n">
        <v>36.825</v>
      </c>
      <c r="F925" s="32" t="n">
        <v>1270.221</v>
      </c>
      <c r="G925" s="32" t="n">
        <v>8.669</v>
      </c>
      <c r="H925" s="32" t="inlineStr">
        <is>
          <t>bb</t>
        </is>
      </c>
      <c r="K925" s="32" t="inlineStr">
        <is>
          <t>20250514-45</t>
        </is>
      </c>
    </row>
    <row r="926">
      <c r="A926" s="32" t="n">
        <v>35</v>
      </c>
      <c r="B926" s="32" t="inlineStr">
        <is>
          <t>K3-2A</t>
        </is>
      </c>
      <c r="D926" s="32" t="n">
        <v>7.19</v>
      </c>
      <c r="E926" s="32" t="n">
        <v>11.557</v>
      </c>
      <c r="F926" s="32" t="n">
        <v>1420.763</v>
      </c>
      <c r="G926" s="32" t="n">
        <v>174</v>
      </c>
      <c r="H926" s="32" t="inlineStr">
        <is>
          <t>bb</t>
        </is>
      </c>
      <c r="K926" s="32" t="inlineStr">
        <is>
          <t>20250514-46</t>
        </is>
      </c>
    </row>
    <row r="927">
      <c r="A927" s="32" t="n">
        <v>36</v>
      </c>
      <c r="B927" s="32" t="inlineStr">
        <is>
          <t>K3-2B</t>
        </is>
      </c>
      <c r="D927" s="32" t="n">
        <v>7.23</v>
      </c>
      <c r="E927" s="32" t="n">
        <v>45.829</v>
      </c>
      <c r="F927" s="32" t="n">
        <v>1536.833</v>
      </c>
      <c r="G927" s="32" t="n">
        <v>2.594</v>
      </c>
      <c r="H927" s="32" t="inlineStr">
        <is>
          <t>bb</t>
        </is>
      </c>
      <c r="K927" s="32" t="inlineStr">
        <is>
          <t>20250514-47</t>
        </is>
      </c>
    </row>
    <row r="928">
      <c r="A928" s="32" t="n">
        <v>37</v>
      </c>
      <c r="B928" s="32" t="inlineStr">
        <is>
          <t>K3-2C</t>
        </is>
      </c>
      <c r="D928" s="32" t="n">
        <v>7.14</v>
      </c>
      <c r="E928" s="32" t="n">
        <v>2.31</v>
      </c>
      <c r="F928" s="32" t="n">
        <v>1243.186</v>
      </c>
      <c r="G928" s="32" t="n">
        <v>1.715</v>
      </c>
      <c r="H928" s="32" t="inlineStr">
        <is>
          <t>bb</t>
        </is>
      </c>
      <c r="K928" s="32" t="inlineStr">
        <is>
          <t>20250514-48</t>
        </is>
      </c>
    </row>
    <row r="929">
      <c r="A929" s="32" t="n">
        <v>38</v>
      </c>
      <c r="B929" s="32" t="inlineStr">
        <is>
          <t>MeOH</t>
        </is>
      </c>
      <c r="H929" s="32" t="inlineStr">
        <is>
          <t>MM-</t>
        </is>
      </c>
      <c r="K929" s="32" t="inlineStr">
        <is>
          <t>20250514-49</t>
        </is>
      </c>
    </row>
    <row r="930">
      <c r="A930" s="32" t="n">
        <v>39</v>
      </c>
      <c r="B930" s="32" t="inlineStr">
        <is>
          <t>K3-3A</t>
        </is>
      </c>
      <c r="D930" s="32" t="n">
        <v>7.21</v>
      </c>
      <c r="E930" s="32" t="n">
        <v>95.34699999999999</v>
      </c>
      <c r="F930" s="32" t="n">
        <v>1137.161</v>
      </c>
      <c r="G930" s="32" t="n">
        <v>53.883</v>
      </c>
      <c r="H930" s="32" t="inlineStr">
        <is>
          <t>bb</t>
        </is>
      </c>
      <c r="K930" s="32" t="inlineStr">
        <is>
          <t>20250514-50</t>
        </is>
      </c>
    </row>
    <row r="931">
      <c r="A931" s="32" t="n">
        <v>40</v>
      </c>
      <c r="B931" s="32" t="inlineStr">
        <is>
          <t>K3-3B</t>
        </is>
      </c>
      <c r="D931" s="32" t="n">
        <v>7.23</v>
      </c>
      <c r="E931" s="32" t="n">
        <v>57.163</v>
      </c>
      <c r="F931" s="32" t="n">
        <v>1398.916</v>
      </c>
      <c r="G931" s="32" t="n">
        <v>4.073</v>
      </c>
      <c r="H931" s="32" t="inlineStr">
        <is>
          <t>MM</t>
        </is>
      </c>
      <c r="K931" s="32" t="inlineStr">
        <is>
          <t>20250514-51</t>
        </is>
      </c>
    </row>
    <row r="932">
      <c r="A932" s="32" t="n">
        <v>41</v>
      </c>
      <c r="B932" s="32" t="inlineStr">
        <is>
          <t>K3-3C</t>
        </is>
      </c>
      <c r="D932" s="32" t="n">
        <v>7.25</v>
      </c>
      <c r="E932" s="32" t="n">
        <v>87.41800000000001</v>
      </c>
      <c r="F932" s="32" t="n">
        <v>1741.658</v>
      </c>
      <c r="G932" s="32" t="n">
        <v>9.781000000000001</v>
      </c>
      <c r="H932" s="32" t="inlineStr">
        <is>
          <t>bb</t>
        </is>
      </c>
      <c r="K932" s="32" t="inlineStr">
        <is>
          <t>20250514-52</t>
        </is>
      </c>
    </row>
    <row r="933">
      <c r="A933" s="32" t="n">
        <v>42</v>
      </c>
      <c r="B933" s="32" t="inlineStr">
        <is>
          <t>K3-4A</t>
        </is>
      </c>
      <c r="D933" s="32" t="n">
        <v>7.31</v>
      </c>
      <c r="E933" s="32" t="n">
        <v>26.294</v>
      </c>
      <c r="F933" s="32" t="n">
        <v>1680.472</v>
      </c>
      <c r="G933" s="32" t="n">
        <v>1.011</v>
      </c>
      <c r="H933" s="32" t="inlineStr">
        <is>
          <t>MM</t>
        </is>
      </c>
      <c r="K933" s="32" t="inlineStr">
        <is>
          <t>20250514-53</t>
        </is>
      </c>
    </row>
    <row r="934">
      <c r="A934" s="32" t="n">
        <v>43</v>
      </c>
      <c r="B934" s="32" t="inlineStr">
        <is>
          <t>K3-4B</t>
        </is>
      </c>
      <c r="D934" s="32" t="n">
        <v>7.24</v>
      </c>
      <c r="E934" s="32" t="n">
        <v>37.192</v>
      </c>
      <c r="F934" s="32" t="n">
        <v>1587.348</v>
      </c>
      <c r="G934" s="32" t="n">
        <v>5.073</v>
      </c>
      <c r="H934" s="32" t="inlineStr">
        <is>
          <t>bb</t>
        </is>
      </c>
      <c r="K934" s="32" t="inlineStr">
        <is>
          <t>20250514-54</t>
        </is>
      </c>
    </row>
    <row r="935">
      <c r="A935" s="32" t="n">
        <v>44</v>
      </c>
      <c r="B935" s="32" t="inlineStr">
        <is>
          <t>K3-4C</t>
        </is>
      </c>
      <c r="D935" s="32" t="n">
        <v>7.27</v>
      </c>
      <c r="E935" s="32" t="n">
        <v>37.735</v>
      </c>
      <c r="F935" s="32" t="n">
        <v>2045.376</v>
      </c>
      <c r="G935" s="32" t="n">
        <v>12.039</v>
      </c>
      <c r="H935" s="32" t="inlineStr">
        <is>
          <t>bb</t>
        </is>
      </c>
      <c r="K935" s="32" t="inlineStr">
        <is>
          <t>20250514-55</t>
        </is>
      </c>
    </row>
    <row r="936">
      <c r="A936" s="32" t="n">
        <v>45</v>
      </c>
      <c r="B936" s="32" t="inlineStr">
        <is>
          <t>MeOH</t>
        </is>
      </c>
      <c r="H936" s="32" t="inlineStr">
        <is>
          <t>MM-</t>
        </is>
      </c>
      <c r="K936" s="32" t="inlineStr">
        <is>
          <t>20250514-56</t>
        </is>
      </c>
    </row>
    <row r="937">
      <c r="A937" s="32" t="n">
        <v>46</v>
      </c>
      <c r="B937" s="32" t="inlineStr">
        <is>
          <t>K3-6A</t>
        </is>
      </c>
      <c r="D937" s="32" t="n">
        <v>7.32</v>
      </c>
      <c r="E937" s="32" t="n">
        <v>82.636</v>
      </c>
      <c r="F937" s="32" t="n">
        <v>1709.253</v>
      </c>
      <c r="G937" s="32" t="n">
        <v>3.709</v>
      </c>
      <c r="H937" s="32" t="inlineStr">
        <is>
          <t>bb</t>
        </is>
      </c>
      <c r="K937" s="32" t="inlineStr">
        <is>
          <t>20250514-57</t>
        </is>
      </c>
    </row>
    <row r="938">
      <c r="A938" s="32" t="n">
        <v>47</v>
      </c>
      <c r="B938" s="32" t="inlineStr">
        <is>
          <t>K3-6B</t>
        </is>
      </c>
      <c r="D938" s="32" t="n">
        <v>7.32</v>
      </c>
      <c r="E938" s="32" t="n">
        <v>23.033</v>
      </c>
      <c r="F938" s="32" t="n">
        <v>1829.777</v>
      </c>
      <c r="G938" s="32" t="n">
        <v>3.438</v>
      </c>
      <c r="H938" s="32" t="inlineStr">
        <is>
          <t>MM</t>
        </is>
      </c>
      <c r="K938" s="32" t="inlineStr">
        <is>
          <t>20250514-58</t>
        </is>
      </c>
    </row>
    <row r="939">
      <c r="A939" s="32" t="n">
        <v>48</v>
      </c>
      <c r="B939" s="32" t="inlineStr">
        <is>
          <t>K3-6C</t>
        </is>
      </c>
      <c r="D939" s="32" t="n">
        <v>7.31</v>
      </c>
      <c r="E939" s="32" t="n">
        <v>87.97799999999999</v>
      </c>
      <c r="F939" s="32" t="n">
        <v>1884.642</v>
      </c>
      <c r="G939" s="32" t="n">
        <v>5.083</v>
      </c>
      <c r="H939" s="32" t="inlineStr">
        <is>
          <t>bb</t>
        </is>
      </c>
      <c r="K939" s="32" t="inlineStr">
        <is>
          <t>20250514-59</t>
        </is>
      </c>
    </row>
    <row r="941">
      <c r="A941" s="32" t="inlineStr">
        <is>
          <t>Compound 19:  m3 PFBS 1</t>
        </is>
      </c>
    </row>
    <row r="943">
      <c r="B943" s="32" t="inlineStr">
        <is>
          <t>Sample Text</t>
        </is>
      </c>
      <c r="C943" s="32" t="inlineStr">
        <is>
          <t>Std. Conc</t>
        </is>
      </c>
      <c r="D943" s="32" t="inlineStr">
        <is>
          <t>RT</t>
        </is>
      </c>
      <c r="E943" s="32" t="inlineStr">
        <is>
          <t>Area</t>
        </is>
      </c>
      <c r="F943" s="32" t="inlineStr">
        <is>
          <t>IS Area</t>
        </is>
      </c>
      <c r="G943" s="32" t="inlineStr">
        <is>
          <t>S/N</t>
        </is>
      </c>
      <c r="H943" s="32" t="inlineStr">
        <is>
          <t>Primary Flags</t>
        </is>
      </c>
      <c r="I943" s="32" t="inlineStr">
        <is>
          <t>Response</t>
        </is>
      </c>
      <c r="J943" s="32" t="inlineStr">
        <is>
          <t>Conc.</t>
        </is>
      </c>
      <c r="K943" s="32" t="inlineStr">
        <is>
          <t>Name</t>
        </is>
      </c>
    </row>
    <row r="944">
      <c r="A944" s="32" t="n">
        <v>1</v>
      </c>
      <c r="B944" s="32" t="inlineStr">
        <is>
          <t>EPA1633 &amp; diPAPs Calibration 0 ppb</t>
        </is>
      </c>
      <c r="D944" s="32" t="n">
        <v>7.1</v>
      </c>
      <c r="E944" s="32" t="n">
        <v>2938.249</v>
      </c>
      <c r="G944" s="32" t="n">
        <v>116.127</v>
      </c>
      <c r="H944" s="32" t="inlineStr">
        <is>
          <t>bb</t>
        </is>
      </c>
      <c r="I944" s="32" t="n">
        <v>2938.249</v>
      </c>
      <c r="K944" s="32" t="inlineStr">
        <is>
          <t>20250514-12</t>
        </is>
      </c>
    </row>
    <row r="945">
      <c r="A945" s="32" t="n">
        <v>2</v>
      </c>
      <c r="B945" s="32" t="inlineStr">
        <is>
          <t>EPA1633 &amp; diPAPs Calibration 0.02 ppb</t>
        </is>
      </c>
      <c r="D945" s="32" t="n">
        <v>7.14</v>
      </c>
      <c r="E945" s="32" t="n">
        <v>2512.521</v>
      </c>
      <c r="G945" s="32" t="n">
        <v>131.112</v>
      </c>
      <c r="H945" s="32" t="inlineStr">
        <is>
          <t>bb</t>
        </is>
      </c>
      <c r="I945" s="32" t="n">
        <v>2512.521</v>
      </c>
      <c r="K945" s="32" t="inlineStr">
        <is>
          <t>20250514-13</t>
        </is>
      </c>
    </row>
    <row r="946">
      <c r="A946" s="32" t="n">
        <v>3</v>
      </c>
      <c r="B946" s="32" t="inlineStr">
        <is>
          <t>EPA1633 &amp; diPAPs Calibration 0.1 ppb</t>
        </is>
      </c>
      <c r="D946" s="32" t="n">
        <v>7.16</v>
      </c>
      <c r="E946" s="32" t="n">
        <v>2908.581</v>
      </c>
      <c r="G946" s="32" t="n">
        <v>193.642</v>
      </c>
      <c r="H946" s="32" t="inlineStr">
        <is>
          <t>bb</t>
        </is>
      </c>
      <c r="I946" s="32" t="n">
        <v>2908.581</v>
      </c>
      <c r="K946" s="32" t="inlineStr">
        <is>
          <t>20250514-14</t>
        </is>
      </c>
    </row>
    <row r="947">
      <c r="A947" s="32" t="n">
        <v>4</v>
      </c>
      <c r="B947" s="32" t="inlineStr">
        <is>
          <t>EPA1633 &amp; diPAPs Calibration 0.4 ppb</t>
        </is>
      </c>
      <c r="D947" s="32" t="n">
        <v>7.16</v>
      </c>
      <c r="E947" s="32" t="n">
        <v>2996.688</v>
      </c>
      <c r="G947" s="32" t="n">
        <v>1137.639</v>
      </c>
      <c r="H947" s="32" t="inlineStr">
        <is>
          <t>bb</t>
        </is>
      </c>
      <c r="I947" s="32" t="n">
        <v>2996.688</v>
      </c>
      <c r="K947" s="32" t="inlineStr">
        <is>
          <t>20250514-15</t>
        </is>
      </c>
    </row>
    <row r="948">
      <c r="A948" s="32" t="n">
        <v>5</v>
      </c>
      <c r="B948" s="32" t="inlineStr">
        <is>
          <t>EPA1633 &amp; diPAPs Calibration 1 ppb</t>
        </is>
      </c>
      <c r="D948" s="32" t="n">
        <v>7.19</v>
      </c>
      <c r="E948" s="32" t="n">
        <v>3153.645</v>
      </c>
      <c r="G948" s="32" t="n">
        <v>1105.2</v>
      </c>
      <c r="H948" s="32" t="inlineStr">
        <is>
          <t>bb</t>
        </is>
      </c>
      <c r="I948" s="32" t="n">
        <v>3153.645</v>
      </c>
      <c r="K948" s="32" t="inlineStr">
        <is>
          <t>20250514-16</t>
        </is>
      </c>
    </row>
    <row r="949">
      <c r="A949" s="32" t="n">
        <v>6</v>
      </c>
      <c r="B949" s="32" t="inlineStr">
        <is>
          <t>EPA1633 &amp; diPAPs Calibration 5 ppb</t>
        </is>
      </c>
      <c r="D949" s="32" t="n">
        <v>6.98</v>
      </c>
      <c r="E949" s="32" t="n">
        <v>2668.511</v>
      </c>
      <c r="G949" s="32" t="n">
        <v>9.186999999999999</v>
      </c>
      <c r="H949" s="32" t="inlineStr">
        <is>
          <t>bb</t>
        </is>
      </c>
      <c r="I949" s="32" t="n">
        <v>2668.511</v>
      </c>
      <c r="K949" s="32" t="inlineStr">
        <is>
          <t>20250514-17</t>
        </is>
      </c>
    </row>
    <row r="950">
      <c r="A950" s="32" t="n">
        <v>7</v>
      </c>
      <c r="B950" s="32" t="inlineStr">
        <is>
          <t>EPA1633 &amp; diPAPs Calibration 10 ppb</t>
        </is>
      </c>
      <c r="D950" s="32" t="n">
        <v>7.06</v>
      </c>
      <c r="E950" s="32" t="n">
        <v>2112.954</v>
      </c>
      <c r="G950" s="32" t="n">
        <v>22323</v>
      </c>
      <c r="H950" s="32" t="inlineStr">
        <is>
          <t>bb</t>
        </is>
      </c>
      <c r="I950" s="32" t="n">
        <v>2112.954</v>
      </c>
      <c r="K950" s="32" t="inlineStr">
        <is>
          <t>20250514-18</t>
        </is>
      </c>
    </row>
    <row r="951">
      <c r="A951" s="32" t="n">
        <v>8</v>
      </c>
      <c r="B951" s="32" t="inlineStr">
        <is>
          <t>EPA1633 &amp; diPAPs Calibration 20 ppb</t>
        </is>
      </c>
      <c r="D951" s="32" t="n">
        <v>7.12</v>
      </c>
      <c r="E951" s="32" t="n">
        <v>2489.734</v>
      </c>
      <c r="G951" s="32" t="n">
        <v>145.051</v>
      </c>
      <c r="H951" s="32" t="inlineStr">
        <is>
          <t>bb</t>
        </is>
      </c>
      <c r="I951" s="32" t="n">
        <v>2489.734</v>
      </c>
      <c r="K951" s="32" t="inlineStr">
        <is>
          <t>20250514-19</t>
        </is>
      </c>
    </row>
    <row r="952">
      <c r="A952" s="32" t="n">
        <v>9</v>
      </c>
      <c r="B952" s="32" t="inlineStr">
        <is>
          <t>MeOH</t>
        </is>
      </c>
      <c r="D952" s="32" t="n">
        <v>7.14</v>
      </c>
      <c r="E952" s="32" t="n">
        <v>0.383</v>
      </c>
      <c r="G952" s="32" t="n">
        <v>7</v>
      </c>
      <c r="H952" s="32" t="inlineStr">
        <is>
          <t>bb</t>
        </is>
      </c>
      <c r="I952" s="32" t="n">
        <v>0.383</v>
      </c>
      <c r="K952" s="32" t="inlineStr">
        <is>
          <t>20250514-20</t>
        </is>
      </c>
    </row>
    <row r="953">
      <c r="A953" s="32" t="n">
        <v>10</v>
      </c>
      <c r="B953" s="32" t="inlineStr">
        <is>
          <t>MeOH</t>
        </is>
      </c>
      <c r="D953" s="32" t="n">
        <v>7.17</v>
      </c>
      <c r="E953" s="32" t="n">
        <v>0.987</v>
      </c>
      <c r="G953" s="32" t="n">
        <v>18</v>
      </c>
      <c r="H953" s="32" t="inlineStr">
        <is>
          <t>bb</t>
        </is>
      </c>
      <c r="I953" s="32" t="n">
        <v>0.987</v>
      </c>
      <c r="K953" s="32" t="inlineStr">
        <is>
          <t>20250514-21</t>
        </is>
      </c>
    </row>
    <row r="954">
      <c r="A954" s="32" t="n">
        <v>11</v>
      </c>
      <c r="B954" s="32" t="inlineStr">
        <is>
          <t>SB1</t>
        </is>
      </c>
      <c r="D954" s="32" t="n">
        <v>7.22</v>
      </c>
      <c r="E954" s="32" t="n">
        <v>1321.243</v>
      </c>
      <c r="G954" s="32" t="n">
        <v>79.729</v>
      </c>
      <c r="H954" s="32" t="inlineStr">
        <is>
          <t>bb</t>
        </is>
      </c>
      <c r="I954" s="32" t="n">
        <v>1321.243</v>
      </c>
      <c r="K954" s="32" t="inlineStr">
        <is>
          <t>20250514-22</t>
        </is>
      </c>
    </row>
    <row r="955">
      <c r="A955" s="32" t="n">
        <v>12</v>
      </c>
      <c r="B955" s="32" t="inlineStr">
        <is>
          <t>SB2</t>
        </is>
      </c>
      <c r="D955" s="32" t="n">
        <v>7.2</v>
      </c>
      <c r="E955" s="32" t="n">
        <v>1146.191</v>
      </c>
      <c r="G955" s="32" t="n">
        <v>1653.084</v>
      </c>
      <c r="H955" s="32" t="inlineStr">
        <is>
          <t>bb</t>
        </is>
      </c>
      <c r="I955" s="32" t="n">
        <v>1146.191</v>
      </c>
      <c r="K955" s="32" t="inlineStr">
        <is>
          <t>20250514-23</t>
        </is>
      </c>
    </row>
    <row r="956">
      <c r="A956" s="32" t="n">
        <v>13</v>
      </c>
      <c r="B956" s="32" t="inlineStr">
        <is>
          <t>SB3</t>
        </is>
      </c>
      <c r="D956" s="32" t="n">
        <v>7.23</v>
      </c>
      <c r="E956" s="32" t="n">
        <v>1275.571</v>
      </c>
      <c r="G956" s="32" t="n">
        <v>134.256</v>
      </c>
      <c r="H956" s="32" t="inlineStr">
        <is>
          <t>bb</t>
        </is>
      </c>
      <c r="I956" s="32" t="n">
        <v>1275.571</v>
      </c>
      <c r="K956" s="32" t="inlineStr">
        <is>
          <t>20250514-24</t>
        </is>
      </c>
    </row>
    <row r="957">
      <c r="A957" s="32" t="n">
        <v>14</v>
      </c>
      <c r="B957" s="32" t="inlineStr">
        <is>
          <t>SS1</t>
        </is>
      </c>
      <c r="D957" s="32" t="n">
        <v>7.27</v>
      </c>
      <c r="E957" s="32" t="n">
        <v>1534.966</v>
      </c>
      <c r="G957" s="32" t="n">
        <v>34.623</v>
      </c>
      <c r="H957" s="32" t="inlineStr">
        <is>
          <t>bb</t>
        </is>
      </c>
      <c r="I957" s="32" t="n">
        <v>1534.966</v>
      </c>
      <c r="K957" s="32" t="inlineStr">
        <is>
          <t>20250514-25</t>
        </is>
      </c>
    </row>
    <row r="958">
      <c r="A958" s="32" t="n">
        <v>15</v>
      </c>
      <c r="B958" s="32" t="inlineStr">
        <is>
          <t>SS2</t>
        </is>
      </c>
      <c r="D958" s="32" t="n">
        <v>7.29</v>
      </c>
      <c r="E958" s="32" t="n">
        <v>1654.666</v>
      </c>
      <c r="G958" s="32" t="n">
        <v>647.735</v>
      </c>
      <c r="H958" s="32" t="inlineStr">
        <is>
          <t>bb</t>
        </is>
      </c>
      <c r="I958" s="32" t="n">
        <v>1654.666</v>
      </c>
      <c r="K958" s="32" t="inlineStr">
        <is>
          <t>20250514-26</t>
        </is>
      </c>
    </row>
    <row r="959">
      <c r="A959" s="32" t="n">
        <v>16</v>
      </c>
      <c r="B959" s="32" t="inlineStr">
        <is>
          <t>SS3</t>
        </is>
      </c>
      <c r="D959" s="32" t="n">
        <v>7.3</v>
      </c>
      <c r="E959" s="32" t="n">
        <v>1409.177</v>
      </c>
      <c r="G959" s="32" t="n">
        <v>257.551</v>
      </c>
      <c r="H959" s="32" t="inlineStr">
        <is>
          <t>bb</t>
        </is>
      </c>
      <c r="I959" s="32" t="n">
        <v>1409.177</v>
      </c>
      <c r="K959" s="32" t="inlineStr">
        <is>
          <t>20250514-27</t>
        </is>
      </c>
    </row>
    <row r="960">
      <c r="A960" s="32" t="n">
        <v>17</v>
      </c>
      <c r="B960" s="32" t="inlineStr">
        <is>
          <t>MeOH</t>
        </is>
      </c>
      <c r="K960" s="32" t="inlineStr">
        <is>
          <t>20250514-28</t>
        </is>
      </c>
    </row>
    <row r="961">
      <c r="A961" s="32" t="n">
        <v>18</v>
      </c>
      <c r="B961" s="32" t="inlineStr">
        <is>
          <t>K4-1A</t>
        </is>
      </c>
      <c r="D961" s="32" t="n">
        <v>7.3</v>
      </c>
      <c r="E961" s="32" t="n">
        <v>2136.637</v>
      </c>
      <c r="G961" s="32" t="n">
        <v>20075</v>
      </c>
      <c r="H961" s="32" t="inlineStr">
        <is>
          <t>bb</t>
        </is>
      </c>
      <c r="I961" s="32" t="n">
        <v>2136.637</v>
      </c>
      <c r="K961" s="32" t="inlineStr">
        <is>
          <t>20250514-29</t>
        </is>
      </c>
    </row>
    <row r="962">
      <c r="A962" s="32" t="n">
        <v>19</v>
      </c>
      <c r="B962" s="32" t="inlineStr">
        <is>
          <t>K4-1B</t>
        </is>
      </c>
      <c r="D962" s="32" t="n">
        <v>7.28</v>
      </c>
      <c r="E962" s="32" t="n">
        <v>2067.104</v>
      </c>
      <c r="G962" s="32" t="n">
        <v>65.43600000000001</v>
      </c>
      <c r="H962" s="32" t="inlineStr">
        <is>
          <t>bb</t>
        </is>
      </c>
      <c r="I962" s="32" t="n">
        <v>2067.104</v>
      </c>
      <c r="K962" s="32" t="inlineStr">
        <is>
          <t>20250514-30</t>
        </is>
      </c>
    </row>
    <row r="963">
      <c r="A963" s="32" t="n">
        <v>20</v>
      </c>
      <c r="B963" s="32" t="inlineStr">
        <is>
          <t>K4-1C</t>
        </is>
      </c>
      <c r="D963" s="32" t="n">
        <v>7.3</v>
      </c>
      <c r="E963" s="32" t="n">
        <v>1624.895</v>
      </c>
      <c r="G963" s="32" t="n">
        <v>489.67</v>
      </c>
      <c r="H963" s="32" t="inlineStr">
        <is>
          <t>bb</t>
        </is>
      </c>
      <c r="I963" s="32" t="n">
        <v>1624.895</v>
      </c>
      <c r="K963" s="32" t="inlineStr">
        <is>
          <t>20250514-31</t>
        </is>
      </c>
    </row>
    <row r="964">
      <c r="A964" s="32" t="n">
        <v>21</v>
      </c>
      <c r="B964" s="32" t="inlineStr">
        <is>
          <t>K4-2A</t>
        </is>
      </c>
      <c r="D964" s="32" t="n">
        <v>7.32</v>
      </c>
      <c r="E964" s="32" t="n">
        <v>2164.142</v>
      </c>
      <c r="G964" s="32" t="n">
        <v>1526.657</v>
      </c>
      <c r="H964" s="32" t="inlineStr">
        <is>
          <t>bb</t>
        </is>
      </c>
      <c r="I964" s="32" t="n">
        <v>2164.142</v>
      </c>
      <c r="K964" s="32" t="inlineStr">
        <is>
          <t>20250514-32</t>
        </is>
      </c>
    </row>
    <row r="965">
      <c r="A965" s="32" t="n">
        <v>22</v>
      </c>
      <c r="B965" s="32" t="inlineStr">
        <is>
          <t>K4-2B</t>
        </is>
      </c>
      <c r="D965" s="32" t="n">
        <v>7.32</v>
      </c>
      <c r="E965" s="32" t="n">
        <v>1849.896</v>
      </c>
      <c r="G965" s="32" t="n">
        <v>15.29</v>
      </c>
      <c r="H965" s="32" t="inlineStr">
        <is>
          <t>bb</t>
        </is>
      </c>
      <c r="I965" s="32" t="n">
        <v>1849.896</v>
      </c>
      <c r="K965" s="32" t="inlineStr">
        <is>
          <t>20250514-33</t>
        </is>
      </c>
    </row>
    <row r="966">
      <c r="A966" s="32" t="n">
        <v>23</v>
      </c>
      <c r="B966" s="32" t="inlineStr">
        <is>
          <t>K4-2C</t>
        </is>
      </c>
      <c r="D966" s="32" t="n">
        <v>7.33</v>
      </c>
      <c r="E966" s="32" t="n">
        <v>1827.576</v>
      </c>
      <c r="G966" s="32" t="n">
        <v>31.538</v>
      </c>
      <c r="H966" s="32" t="inlineStr">
        <is>
          <t>bb</t>
        </is>
      </c>
      <c r="I966" s="32" t="n">
        <v>1827.576</v>
      </c>
      <c r="K966" s="32" t="inlineStr">
        <is>
          <t>20250514-34</t>
        </is>
      </c>
    </row>
    <row r="967">
      <c r="A967" s="32" t="n">
        <v>24</v>
      </c>
      <c r="B967" s="32" t="inlineStr">
        <is>
          <t>MeOH</t>
        </is>
      </c>
      <c r="K967" s="32" t="inlineStr">
        <is>
          <t>20250514-35</t>
        </is>
      </c>
    </row>
    <row r="968">
      <c r="A968" s="32" t="n">
        <v>25</v>
      </c>
      <c r="B968" s="32" t="inlineStr">
        <is>
          <t>K4-4A</t>
        </is>
      </c>
      <c r="D968" s="32" t="n">
        <v>7.34</v>
      </c>
      <c r="E968" s="32" t="n">
        <v>1810.147</v>
      </c>
      <c r="G968" s="32" t="n">
        <v>105.241</v>
      </c>
      <c r="H968" s="32" t="inlineStr">
        <is>
          <t>bb</t>
        </is>
      </c>
      <c r="I968" s="32" t="n">
        <v>1810.147</v>
      </c>
      <c r="K968" s="32" t="inlineStr">
        <is>
          <t>20250514-36</t>
        </is>
      </c>
    </row>
    <row r="969">
      <c r="A969" s="32" t="n">
        <v>26</v>
      </c>
      <c r="B969" s="32" t="inlineStr">
        <is>
          <t>K4-4B</t>
        </is>
      </c>
      <c r="D969" s="32" t="n">
        <v>7.33</v>
      </c>
      <c r="E969" s="32" t="n">
        <v>1728.778</v>
      </c>
      <c r="G969" s="32" t="n">
        <v>24.248</v>
      </c>
      <c r="H969" s="32" t="inlineStr">
        <is>
          <t>bb</t>
        </is>
      </c>
      <c r="I969" s="32" t="n">
        <v>1728.778</v>
      </c>
      <c r="K969" s="32" t="inlineStr">
        <is>
          <t>20250514-37</t>
        </is>
      </c>
    </row>
    <row r="970">
      <c r="A970" s="32" t="n">
        <v>27</v>
      </c>
      <c r="B970" s="32" t="inlineStr">
        <is>
          <t>K4-4C</t>
        </is>
      </c>
      <c r="D970" s="32" t="n">
        <v>7.34</v>
      </c>
      <c r="E970" s="32" t="n">
        <v>1776.496</v>
      </c>
      <c r="G970" s="32" t="n">
        <v>3275.661</v>
      </c>
      <c r="H970" s="32" t="inlineStr">
        <is>
          <t>bb</t>
        </is>
      </c>
      <c r="I970" s="32" t="n">
        <v>1776.496</v>
      </c>
      <c r="K970" s="32" t="inlineStr">
        <is>
          <t>20250514-38</t>
        </is>
      </c>
    </row>
    <row r="971">
      <c r="A971" s="32" t="n">
        <v>28</v>
      </c>
      <c r="B971" s="32" t="inlineStr">
        <is>
          <t>K4-5A</t>
        </is>
      </c>
      <c r="D971" s="32" t="n">
        <v>7.32</v>
      </c>
      <c r="E971" s="32" t="n">
        <v>1605.44</v>
      </c>
      <c r="G971" s="32" t="n">
        <v>15868</v>
      </c>
      <c r="H971" s="32" t="inlineStr">
        <is>
          <t>bb</t>
        </is>
      </c>
      <c r="I971" s="32" t="n">
        <v>1605.44</v>
      </c>
      <c r="K971" s="32" t="inlineStr">
        <is>
          <t>20250514-39</t>
        </is>
      </c>
    </row>
    <row r="972">
      <c r="A972" s="32" t="n">
        <v>29</v>
      </c>
      <c r="B972" s="32" t="inlineStr">
        <is>
          <t>K4-5B</t>
        </is>
      </c>
      <c r="D972" s="32" t="n">
        <v>7.29</v>
      </c>
      <c r="E972" s="32" t="n">
        <v>1316.682</v>
      </c>
      <c r="G972" s="32" t="n">
        <v>137.728</v>
      </c>
      <c r="H972" s="32" t="inlineStr">
        <is>
          <t>bb</t>
        </is>
      </c>
      <c r="I972" s="32" t="n">
        <v>1316.682</v>
      </c>
      <c r="K972" s="32" t="inlineStr">
        <is>
          <t>20250514-40</t>
        </is>
      </c>
    </row>
    <row r="973">
      <c r="A973" s="32" t="n">
        <v>30</v>
      </c>
      <c r="B973" s="32" t="inlineStr">
        <is>
          <t>K4-5C</t>
        </is>
      </c>
      <c r="D973" s="32" t="n">
        <v>7.19</v>
      </c>
      <c r="E973" s="32" t="n">
        <v>1805.932</v>
      </c>
      <c r="G973" s="32" t="n">
        <v>61.281</v>
      </c>
      <c r="H973" s="32" t="inlineStr">
        <is>
          <t>bb</t>
        </is>
      </c>
      <c r="I973" s="32" t="n">
        <v>1805.932</v>
      </c>
      <c r="K973" s="32" t="inlineStr">
        <is>
          <t>20250514-41</t>
        </is>
      </c>
    </row>
    <row r="974">
      <c r="A974" s="32" t="n">
        <v>31</v>
      </c>
      <c r="B974" s="32" t="inlineStr">
        <is>
          <t>MeOH</t>
        </is>
      </c>
      <c r="K974" s="32" t="inlineStr">
        <is>
          <t>20250514-42</t>
        </is>
      </c>
    </row>
    <row r="975">
      <c r="A975" s="32" t="n">
        <v>32</v>
      </c>
      <c r="B975" s="32" t="inlineStr">
        <is>
          <t>K3-1A</t>
        </is>
      </c>
      <c r="D975" s="32" t="n">
        <v>7</v>
      </c>
      <c r="E975" s="32" t="n">
        <v>1827.855</v>
      </c>
      <c r="G975" s="32" t="n">
        <v>18196</v>
      </c>
      <c r="H975" s="32" t="inlineStr">
        <is>
          <t>bb</t>
        </is>
      </c>
      <c r="I975" s="32" t="n">
        <v>1827.855</v>
      </c>
      <c r="K975" s="32" t="inlineStr">
        <is>
          <t>20250514-43</t>
        </is>
      </c>
    </row>
    <row r="976">
      <c r="A976" s="32" t="n">
        <v>33</v>
      </c>
      <c r="B976" s="32" t="inlineStr">
        <is>
          <t>K3-1B</t>
        </is>
      </c>
      <c r="D976" s="32" t="n">
        <v>7.07</v>
      </c>
      <c r="E976" s="32" t="n">
        <v>1472.714</v>
      </c>
      <c r="G976" s="32" t="n">
        <v>14880</v>
      </c>
      <c r="H976" s="32" t="inlineStr">
        <is>
          <t>bb</t>
        </is>
      </c>
      <c r="I976" s="32" t="n">
        <v>1472.714</v>
      </c>
      <c r="K976" s="32" t="inlineStr">
        <is>
          <t>20250514-44</t>
        </is>
      </c>
    </row>
    <row r="977">
      <c r="A977" s="32" t="n">
        <v>34</v>
      </c>
      <c r="B977" s="32" t="inlineStr">
        <is>
          <t>K3-1C</t>
        </is>
      </c>
      <c r="D977" s="32" t="n">
        <v>7.11</v>
      </c>
      <c r="E977" s="32" t="n">
        <v>2054.888</v>
      </c>
      <c r="G977" s="32" t="n">
        <v>5.217</v>
      </c>
      <c r="H977" s="32" t="inlineStr">
        <is>
          <t>bb</t>
        </is>
      </c>
      <c r="I977" s="32" t="n">
        <v>2054.888</v>
      </c>
      <c r="K977" s="32" t="inlineStr">
        <is>
          <t>20250514-45</t>
        </is>
      </c>
    </row>
    <row r="978">
      <c r="A978" s="32" t="n">
        <v>35</v>
      </c>
      <c r="B978" s="32" t="inlineStr">
        <is>
          <t>K3-2A</t>
        </is>
      </c>
      <c r="D978" s="32" t="n">
        <v>7.18</v>
      </c>
      <c r="E978" s="32" t="n">
        <v>1852.851</v>
      </c>
      <c r="G978" s="32" t="n">
        <v>478.231</v>
      </c>
      <c r="H978" s="32" t="inlineStr">
        <is>
          <t>bb</t>
        </is>
      </c>
      <c r="I978" s="32" t="n">
        <v>1852.851</v>
      </c>
      <c r="K978" s="32" t="inlineStr">
        <is>
          <t>20250514-46</t>
        </is>
      </c>
    </row>
    <row r="979">
      <c r="A979" s="32" t="n">
        <v>36</v>
      </c>
      <c r="B979" s="32" t="inlineStr">
        <is>
          <t>K3-2B</t>
        </is>
      </c>
      <c r="D979" s="32" t="n">
        <v>7.18</v>
      </c>
      <c r="E979" s="32" t="n">
        <v>2266.61</v>
      </c>
      <c r="G979" s="32" t="n">
        <v>22795</v>
      </c>
      <c r="H979" s="32" t="inlineStr">
        <is>
          <t>bb</t>
        </is>
      </c>
      <c r="I979" s="32" t="n">
        <v>2266.61</v>
      </c>
      <c r="K979" s="32" t="inlineStr">
        <is>
          <t>20250514-47</t>
        </is>
      </c>
    </row>
    <row r="980">
      <c r="A980" s="32" t="n">
        <v>37</v>
      </c>
      <c r="B980" s="32" t="inlineStr">
        <is>
          <t>K3-2C</t>
        </is>
      </c>
      <c r="D980" s="32" t="n">
        <v>7.19</v>
      </c>
      <c r="E980" s="32" t="n">
        <v>2232.974</v>
      </c>
      <c r="G980" s="32" t="n">
        <v>6706.779</v>
      </c>
      <c r="H980" s="32" t="inlineStr">
        <is>
          <t>bb</t>
        </is>
      </c>
      <c r="I980" s="32" t="n">
        <v>2232.974</v>
      </c>
      <c r="K980" s="32" t="inlineStr">
        <is>
          <t>20250514-48</t>
        </is>
      </c>
    </row>
    <row r="981">
      <c r="A981" s="32" t="n">
        <v>38</v>
      </c>
      <c r="B981" s="32" t="inlineStr">
        <is>
          <t>MeOH</t>
        </is>
      </c>
      <c r="K981" s="32" t="inlineStr">
        <is>
          <t>20250514-49</t>
        </is>
      </c>
    </row>
    <row r="982">
      <c r="A982" s="32" t="n">
        <v>39</v>
      </c>
      <c r="B982" s="32" t="inlineStr">
        <is>
          <t>K3-3A</t>
        </is>
      </c>
      <c r="D982" s="32" t="n">
        <v>7.2</v>
      </c>
      <c r="E982" s="32" t="n">
        <v>2247.504</v>
      </c>
      <c r="G982" s="32" t="n">
        <v>505.812</v>
      </c>
      <c r="H982" s="32" t="inlineStr">
        <is>
          <t>bb</t>
        </is>
      </c>
      <c r="I982" s="32" t="n">
        <v>2247.504</v>
      </c>
      <c r="K982" s="32" t="inlineStr">
        <is>
          <t>20250514-50</t>
        </is>
      </c>
    </row>
    <row r="983">
      <c r="A983" s="32" t="n">
        <v>40</v>
      </c>
      <c r="B983" s="32" t="inlineStr">
        <is>
          <t>K3-3B</t>
        </is>
      </c>
      <c r="D983" s="32" t="n">
        <v>7.21</v>
      </c>
      <c r="E983" s="32" t="n">
        <v>2836.518</v>
      </c>
      <c r="G983" s="32" t="n">
        <v>676.6950000000001</v>
      </c>
      <c r="H983" s="32" t="inlineStr">
        <is>
          <t>bb</t>
        </is>
      </c>
      <c r="I983" s="32" t="n">
        <v>2836.518</v>
      </c>
      <c r="K983" s="32" t="inlineStr">
        <is>
          <t>20250514-51</t>
        </is>
      </c>
    </row>
    <row r="984">
      <c r="A984" s="32" t="n">
        <v>41</v>
      </c>
      <c r="B984" s="32" t="inlineStr">
        <is>
          <t>K3-3C</t>
        </is>
      </c>
      <c r="D984" s="32" t="n">
        <v>7.22</v>
      </c>
      <c r="E984" s="32" t="n">
        <v>2784.536</v>
      </c>
      <c r="G984" s="32" t="n">
        <v>340.61</v>
      </c>
      <c r="H984" s="32" t="inlineStr">
        <is>
          <t>bb</t>
        </is>
      </c>
      <c r="I984" s="32" t="n">
        <v>2784.536</v>
      </c>
      <c r="K984" s="32" t="inlineStr">
        <is>
          <t>20250514-52</t>
        </is>
      </c>
    </row>
    <row r="985">
      <c r="A985" s="32" t="n">
        <v>42</v>
      </c>
      <c r="B985" s="32" t="inlineStr">
        <is>
          <t>K3-4A</t>
        </is>
      </c>
      <c r="D985" s="32" t="n">
        <v>7.29</v>
      </c>
      <c r="E985" s="32" t="n">
        <v>3315.61</v>
      </c>
      <c r="G985" s="32" t="n">
        <v>1899.339</v>
      </c>
      <c r="H985" s="32" t="inlineStr">
        <is>
          <t>bb</t>
        </is>
      </c>
      <c r="I985" s="32" t="n">
        <v>3315.61</v>
      </c>
      <c r="K985" s="32" t="inlineStr">
        <is>
          <t>20250514-53</t>
        </is>
      </c>
    </row>
    <row r="986">
      <c r="A986" s="32" t="n">
        <v>43</v>
      </c>
      <c r="B986" s="32" t="inlineStr">
        <is>
          <t>K3-4B</t>
        </is>
      </c>
      <c r="D986" s="32" t="n">
        <v>7.25</v>
      </c>
      <c r="E986" s="32" t="n">
        <v>2719.03</v>
      </c>
      <c r="G986" s="32" t="n">
        <v>26932</v>
      </c>
      <c r="H986" s="32" t="inlineStr">
        <is>
          <t>bb</t>
        </is>
      </c>
      <c r="I986" s="32" t="n">
        <v>2719.03</v>
      </c>
      <c r="K986" s="32" t="inlineStr">
        <is>
          <t>20250514-54</t>
        </is>
      </c>
    </row>
    <row r="987">
      <c r="A987" s="32" t="n">
        <v>44</v>
      </c>
      <c r="B987" s="32" t="inlineStr">
        <is>
          <t>K3-4C</t>
        </is>
      </c>
      <c r="D987" s="32" t="n">
        <v>7.29</v>
      </c>
      <c r="E987" s="32" t="n">
        <v>3532.196</v>
      </c>
      <c r="G987" s="32" t="n">
        <v>1018.906</v>
      </c>
      <c r="H987" s="32" t="inlineStr">
        <is>
          <t>bb</t>
        </is>
      </c>
      <c r="I987" s="32" t="n">
        <v>3532.196</v>
      </c>
      <c r="K987" s="32" t="inlineStr">
        <is>
          <t>20250514-55</t>
        </is>
      </c>
    </row>
    <row r="988">
      <c r="A988" s="32" t="n">
        <v>45</v>
      </c>
      <c r="B988" s="32" t="inlineStr">
        <is>
          <t>MeOH</t>
        </is>
      </c>
      <c r="H988" s="32" t="inlineStr">
        <is>
          <t>MM-</t>
        </is>
      </c>
      <c r="K988" s="32" t="inlineStr">
        <is>
          <t>20250514-56</t>
        </is>
      </c>
    </row>
    <row r="989">
      <c r="A989" s="32" t="n">
        <v>46</v>
      </c>
      <c r="B989" s="32" t="inlineStr">
        <is>
          <t>K3-6A</t>
        </is>
      </c>
      <c r="D989" s="32" t="n">
        <v>7.36</v>
      </c>
      <c r="E989" s="32" t="n">
        <v>3285.244</v>
      </c>
      <c r="G989" s="32" t="n">
        <v>120.958</v>
      </c>
      <c r="H989" s="32" t="inlineStr">
        <is>
          <t>bb</t>
        </is>
      </c>
      <c r="I989" s="32" t="n">
        <v>3285.244</v>
      </c>
      <c r="K989" s="32" t="inlineStr">
        <is>
          <t>20250514-57</t>
        </is>
      </c>
    </row>
    <row r="990">
      <c r="A990" s="32" t="n">
        <v>47</v>
      </c>
      <c r="B990" s="32" t="inlineStr">
        <is>
          <t>K3-6B</t>
        </is>
      </c>
      <c r="D990" s="32" t="n">
        <v>7.32</v>
      </c>
      <c r="E990" s="32" t="n">
        <v>2954.052</v>
      </c>
      <c r="G990" s="32" t="n">
        <v>93.104</v>
      </c>
      <c r="H990" s="32" t="inlineStr">
        <is>
          <t>bb</t>
        </is>
      </c>
      <c r="I990" s="32" t="n">
        <v>2954.052</v>
      </c>
      <c r="K990" s="32" t="inlineStr">
        <is>
          <t>20250514-58</t>
        </is>
      </c>
    </row>
    <row r="991">
      <c r="A991" s="32" t="n">
        <v>48</v>
      </c>
      <c r="B991" s="32" t="inlineStr">
        <is>
          <t>K3-6C</t>
        </is>
      </c>
      <c r="D991" s="32" t="n">
        <v>7.29</v>
      </c>
      <c r="E991" s="32" t="n">
        <v>3194.859</v>
      </c>
      <c r="G991" s="32" t="n">
        <v>433.871</v>
      </c>
      <c r="H991" s="32" t="inlineStr">
        <is>
          <t>bb</t>
        </is>
      </c>
      <c r="I991" s="32" t="n">
        <v>3194.859</v>
      </c>
      <c r="K991" s="32" t="inlineStr">
        <is>
          <t>20250514-59</t>
        </is>
      </c>
    </row>
    <row r="993">
      <c r="A993" s="32" t="inlineStr">
        <is>
          <t>Compound 20:  m3 PFBS 2</t>
        </is>
      </c>
    </row>
    <row r="995">
      <c r="B995" s="32" t="inlineStr">
        <is>
          <t>Sample Text</t>
        </is>
      </c>
      <c r="C995" s="32" t="inlineStr">
        <is>
          <t>Std. Conc</t>
        </is>
      </c>
      <c r="D995" s="32" t="inlineStr">
        <is>
          <t>RT</t>
        </is>
      </c>
      <c r="E995" s="32" t="inlineStr">
        <is>
          <t>Area</t>
        </is>
      </c>
      <c r="F995" s="32" t="inlineStr">
        <is>
          <t>IS Area</t>
        </is>
      </c>
      <c r="G995" s="32" t="inlineStr">
        <is>
          <t>S/N</t>
        </is>
      </c>
      <c r="H995" s="32" t="inlineStr">
        <is>
          <t>Primary Flags</t>
        </is>
      </c>
      <c r="I995" s="32" t="inlineStr">
        <is>
          <t>Response</t>
        </is>
      </c>
      <c r="J995" s="32" t="inlineStr">
        <is>
          <t>Conc.</t>
        </is>
      </c>
      <c r="K995" s="32" t="inlineStr">
        <is>
          <t>Name</t>
        </is>
      </c>
    </row>
    <row r="996">
      <c r="A996" s="32" t="n">
        <v>1</v>
      </c>
      <c r="B996" s="32" t="inlineStr">
        <is>
          <t>EPA1633 &amp; diPAPs Calibration 0 ppb</t>
        </is>
      </c>
      <c r="D996" s="32" t="n">
        <v>7.1</v>
      </c>
      <c r="E996" s="32" t="n">
        <v>1812.89</v>
      </c>
      <c r="G996" s="32" t="n">
        <v>18333</v>
      </c>
      <c r="H996" s="32" t="inlineStr">
        <is>
          <t>bb</t>
        </is>
      </c>
      <c r="I996" s="32" t="n">
        <v>1812.89</v>
      </c>
      <c r="K996" s="32" t="inlineStr">
        <is>
          <t>20250514-12</t>
        </is>
      </c>
    </row>
    <row r="997">
      <c r="A997" s="32" t="n">
        <v>2</v>
      </c>
      <c r="B997" s="32" t="inlineStr">
        <is>
          <t>EPA1633 &amp; diPAPs Calibration 0.02 ppb</t>
        </is>
      </c>
      <c r="D997" s="32" t="n">
        <v>7.14</v>
      </c>
      <c r="E997" s="32" t="n">
        <v>1750.095</v>
      </c>
      <c r="G997" s="32" t="n">
        <v>75.553</v>
      </c>
      <c r="H997" s="32" t="inlineStr">
        <is>
          <t>bb</t>
        </is>
      </c>
      <c r="I997" s="32" t="n">
        <v>1750.095</v>
      </c>
      <c r="K997" s="32" t="inlineStr">
        <is>
          <t>20250514-13</t>
        </is>
      </c>
    </row>
    <row r="998">
      <c r="A998" s="32" t="n">
        <v>3</v>
      </c>
      <c r="B998" s="32" t="inlineStr">
        <is>
          <t>EPA1633 &amp; diPAPs Calibration 0.1 ppb</t>
        </is>
      </c>
      <c r="D998" s="32" t="n">
        <v>7.17</v>
      </c>
      <c r="E998" s="32" t="n">
        <v>1801.795</v>
      </c>
      <c r="G998" s="32" t="n">
        <v>288.265</v>
      </c>
      <c r="H998" s="32" t="inlineStr">
        <is>
          <t>bb</t>
        </is>
      </c>
      <c r="I998" s="32" t="n">
        <v>1801.795</v>
      </c>
      <c r="K998" s="32" t="inlineStr">
        <is>
          <t>20250514-14</t>
        </is>
      </c>
    </row>
    <row r="999">
      <c r="A999" s="32" t="n">
        <v>4</v>
      </c>
      <c r="B999" s="32" t="inlineStr">
        <is>
          <t>EPA1633 &amp; diPAPs Calibration 0.4 ppb</t>
        </is>
      </c>
      <c r="D999" s="32" t="n">
        <v>7.17</v>
      </c>
      <c r="E999" s="32" t="n">
        <v>1537.963</v>
      </c>
      <c r="G999" s="32" t="n">
        <v>179.793</v>
      </c>
      <c r="H999" s="32" t="inlineStr">
        <is>
          <t>bb</t>
        </is>
      </c>
      <c r="I999" s="32" t="n">
        <v>1537.963</v>
      </c>
      <c r="K999" s="32" t="inlineStr">
        <is>
          <t>20250514-15</t>
        </is>
      </c>
    </row>
    <row r="1000">
      <c r="A1000" s="32" t="n">
        <v>5</v>
      </c>
      <c r="B1000" s="32" t="inlineStr">
        <is>
          <t>EPA1633 &amp; diPAPs Calibration 1 ppb</t>
        </is>
      </c>
      <c r="D1000" s="32" t="n">
        <v>7.19</v>
      </c>
      <c r="E1000" s="32" t="n">
        <v>2182.165</v>
      </c>
      <c r="G1000" s="32" t="n">
        <v>180.172</v>
      </c>
      <c r="H1000" s="32" t="inlineStr">
        <is>
          <t>bb</t>
        </is>
      </c>
      <c r="I1000" s="32" t="n">
        <v>2182.165</v>
      </c>
      <c r="K1000" s="32" t="inlineStr">
        <is>
          <t>20250514-16</t>
        </is>
      </c>
    </row>
    <row r="1001">
      <c r="A1001" s="32" t="n">
        <v>6</v>
      </c>
      <c r="B1001" s="32" t="inlineStr">
        <is>
          <t>EPA1633 &amp; diPAPs Calibration 5 ppb</t>
        </is>
      </c>
      <c r="D1001" s="32" t="n">
        <v>6.98</v>
      </c>
      <c r="E1001" s="32" t="n">
        <v>1666.899</v>
      </c>
      <c r="G1001" s="32" t="n">
        <v>17270</v>
      </c>
      <c r="H1001" s="32" t="inlineStr">
        <is>
          <t>bb</t>
        </is>
      </c>
      <c r="I1001" s="32" t="n">
        <v>1666.899</v>
      </c>
      <c r="K1001" s="32" t="inlineStr">
        <is>
          <t>20250514-17</t>
        </is>
      </c>
    </row>
    <row r="1002">
      <c r="A1002" s="32" t="n">
        <v>7</v>
      </c>
      <c r="B1002" s="32" t="inlineStr">
        <is>
          <t>EPA1633 &amp; diPAPs Calibration 10 ppb</t>
        </is>
      </c>
      <c r="D1002" s="32" t="n">
        <v>7.05</v>
      </c>
      <c r="E1002" s="32" t="n">
        <v>1664.163</v>
      </c>
      <c r="G1002" s="32" t="n">
        <v>16939</v>
      </c>
      <c r="H1002" s="32" t="inlineStr">
        <is>
          <t>bb</t>
        </is>
      </c>
      <c r="I1002" s="32" t="n">
        <v>1664.163</v>
      </c>
      <c r="K1002" s="32" t="inlineStr">
        <is>
          <t>20250514-18</t>
        </is>
      </c>
    </row>
    <row r="1003">
      <c r="A1003" s="32" t="n">
        <v>8</v>
      </c>
      <c r="B1003" s="32" t="inlineStr">
        <is>
          <t>EPA1633 &amp; diPAPs Calibration 20 ppb</t>
        </is>
      </c>
      <c r="D1003" s="32" t="n">
        <v>7.12</v>
      </c>
      <c r="E1003" s="32" t="n">
        <v>1508.443</v>
      </c>
      <c r="G1003" s="32" t="n">
        <v>15185</v>
      </c>
      <c r="H1003" s="32" t="inlineStr">
        <is>
          <t>bb</t>
        </is>
      </c>
      <c r="I1003" s="32" t="n">
        <v>1508.443</v>
      </c>
      <c r="K1003" s="32" t="inlineStr">
        <is>
          <t>20250514-19</t>
        </is>
      </c>
    </row>
    <row r="1004">
      <c r="A1004" s="32" t="n">
        <v>9</v>
      </c>
      <c r="B1004" s="32" t="inlineStr">
        <is>
          <t>MeOH</t>
        </is>
      </c>
      <c r="D1004" s="32" t="n">
        <v>7.23</v>
      </c>
      <c r="E1004" s="32" t="n">
        <v>0.193</v>
      </c>
      <c r="G1004" s="32" t="n">
        <v>3</v>
      </c>
      <c r="H1004" s="32" t="inlineStr">
        <is>
          <t>bb</t>
        </is>
      </c>
      <c r="I1004" s="32" t="n">
        <v>0.193</v>
      </c>
      <c r="K1004" s="32" t="inlineStr">
        <is>
          <t>20250514-20</t>
        </is>
      </c>
    </row>
    <row r="1005">
      <c r="A1005" s="32" t="n">
        <v>10</v>
      </c>
      <c r="B1005" s="32" t="inlineStr">
        <is>
          <t>MeOH</t>
        </is>
      </c>
      <c r="K1005" s="32" t="inlineStr">
        <is>
          <t>20250514-21</t>
        </is>
      </c>
    </row>
    <row r="1006">
      <c r="A1006" s="32" t="n">
        <v>11</v>
      </c>
      <c r="B1006" s="32" t="inlineStr">
        <is>
          <t>SB1</t>
        </is>
      </c>
      <c r="D1006" s="32" t="n">
        <v>7.22</v>
      </c>
      <c r="E1006" s="32" t="n">
        <v>821.71</v>
      </c>
      <c r="G1006" s="32" t="n">
        <v>71.84</v>
      </c>
      <c r="H1006" s="32" t="inlineStr">
        <is>
          <t>bb</t>
        </is>
      </c>
      <c r="I1006" s="32" t="n">
        <v>821.71</v>
      </c>
      <c r="K1006" s="32" t="inlineStr">
        <is>
          <t>20250514-22</t>
        </is>
      </c>
    </row>
    <row r="1007">
      <c r="A1007" s="32" t="n">
        <v>12</v>
      </c>
      <c r="B1007" s="32" t="inlineStr">
        <is>
          <t>SB2</t>
        </is>
      </c>
      <c r="D1007" s="32" t="n">
        <v>7.19</v>
      </c>
      <c r="E1007" s="32" t="n">
        <v>781.801</v>
      </c>
      <c r="G1007" s="32" t="n">
        <v>112.496</v>
      </c>
      <c r="H1007" s="32" t="inlineStr">
        <is>
          <t>bb</t>
        </is>
      </c>
      <c r="I1007" s="32" t="n">
        <v>781.801</v>
      </c>
      <c r="K1007" s="32" t="inlineStr">
        <is>
          <t>20250514-23</t>
        </is>
      </c>
    </row>
    <row r="1008">
      <c r="A1008" s="32" t="n">
        <v>13</v>
      </c>
      <c r="B1008" s="32" t="inlineStr">
        <is>
          <t>SB3</t>
        </is>
      </c>
      <c r="D1008" s="32" t="n">
        <v>7.23</v>
      </c>
      <c r="E1008" s="32" t="n">
        <v>544.835</v>
      </c>
      <c r="G1008" s="32" t="n">
        <v>38.878</v>
      </c>
      <c r="H1008" s="32" t="inlineStr">
        <is>
          <t>bb</t>
        </is>
      </c>
      <c r="I1008" s="32" t="n">
        <v>544.835</v>
      </c>
      <c r="K1008" s="32" t="inlineStr">
        <is>
          <t>20250514-24</t>
        </is>
      </c>
    </row>
    <row r="1009">
      <c r="A1009" s="32" t="n">
        <v>14</v>
      </c>
      <c r="B1009" s="32" t="inlineStr">
        <is>
          <t>SS1</t>
        </is>
      </c>
      <c r="D1009" s="32" t="n">
        <v>7.28</v>
      </c>
      <c r="E1009" s="32" t="n">
        <v>867.13</v>
      </c>
      <c r="G1009" s="32" t="n">
        <v>1269.644</v>
      </c>
      <c r="H1009" s="32" t="inlineStr">
        <is>
          <t>bb</t>
        </is>
      </c>
      <c r="I1009" s="32" t="n">
        <v>867.13</v>
      </c>
      <c r="K1009" s="32" t="inlineStr">
        <is>
          <t>20250514-25</t>
        </is>
      </c>
    </row>
    <row r="1010">
      <c r="A1010" s="32" t="n">
        <v>15</v>
      </c>
      <c r="B1010" s="32" t="inlineStr">
        <is>
          <t>SS2</t>
        </is>
      </c>
      <c r="D1010" s="32" t="n">
        <v>7.29</v>
      </c>
      <c r="E1010" s="32" t="n">
        <v>719.085</v>
      </c>
      <c r="G1010" s="32" t="n">
        <v>16.514</v>
      </c>
      <c r="H1010" s="32" t="inlineStr">
        <is>
          <t>bb</t>
        </is>
      </c>
      <c r="I1010" s="32" t="n">
        <v>719.085</v>
      </c>
      <c r="K1010" s="32" t="inlineStr">
        <is>
          <t>20250514-26</t>
        </is>
      </c>
    </row>
    <row r="1011">
      <c r="A1011" s="32" t="n">
        <v>16</v>
      </c>
      <c r="B1011" s="32" t="inlineStr">
        <is>
          <t>SS3</t>
        </is>
      </c>
      <c r="D1011" s="32" t="n">
        <v>7.3</v>
      </c>
      <c r="E1011" s="32" t="n">
        <v>819.293</v>
      </c>
      <c r="G1011" s="32" t="n">
        <v>34.76</v>
      </c>
      <c r="H1011" s="32" t="inlineStr">
        <is>
          <t>bb</t>
        </is>
      </c>
      <c r="I1011" s="32" t="n">
        <v>819.293</v>
      </c>
      <c r="K1011" s="32" t="inlineStr">
        <is>
          <t>20250514-27</t>
        </is>
      </c>
    </row>
    <row r="1012">
      <c r="A1012" s="32" t="n">
        <v>17</v>
      </c>
      <c r="B1012" s="32" t="inlineStr">
        <is>
          <t>MeOH</t>
        </is>
      </c>
      <c r="K1012" s="32" t="inlineStr">
        <is>
          <t>20250514-28</t>
        </is>
      </c>
    </row>
    <row r="1013">
      <c r="A1013" s="32" t="n">
        <v>18</v>
      </c>
      <c r="B1013" s="32" t="inlineStr">
        <is>
          <t>K4-1A</t>
        </is>
      </c>
      <c r="D1013" s="32" t="n">
        <v>7.31</v>
      </c>
      <c r="E1013" s="32" t="n">
        <v>1269.057</v>
      </c>
      <c r="G1013" s="32" t="n">
        <v>5.804</v>
      </c>
      <c r="H1013" s="32" t="inlineStr">
        <is>
          <t>bb</t>
        </is>
      </c>
      <c r="I1013" s="32" t="n">
        <v>1269.057</v>
      </c>
      <c r="K1013" s="32" t="inlineStr">
        <is>
          <t>20250514-29</t>
        </is>
      </c>
    </row>
    <row r="1014">
      <c r="A1014" s="32" t="n">
        <v>19</v>
      </c>
      <c r="B1014" s="32" t="inlineStr">
        <is>
          <t>K4-1B</t>
        </is>
      </c>
      <c r="D1014" s="32" t="n">
        <v>7.28</v>
      </c>
      <c r="E1014" s="32" t="n">
        <v>1190.098</v>
      </c>
      <c r="G1014" s="32" t="n">
        <v>50.716</v>
      </c>
      <c r="H1014" s="32" t="inlineStr">
        <is>
          <t>bb</t>
        </is>
      </c>
      <c r="I1014" s="32" t="n">
        <v>1190.098</v>
      </c>
      <c r="K1014" s="32" t="inlineStr">
        <is>
          <t>20250514-30</t>
        </is>
      </c>
    </row>
    <row r="1015">
      <c r="A1015" s="32" t="n">
        <v>20</v>
      </c>
      <c r="B1015" s="32" t="inlineStr">
        <is>
          <t>K4-1C</t>
        </is>
      </c>
      <c r="D1015" s="32" t="n">
        <v>7.3</v>
      </c>
      <c r="E1015" s="32" t="n">
        <v>1102.583</v>
      </c>
      <c r="G1015" s="32" t="n">
        <v>10.511</v>
      </c>
      <c r="H1015" s="32" t="inlineStr">
        <is>
          <t>bb</t>
        </is>
      </c>
      <c r="I1015" s="32" t="n">
        <v>1102.583</v>
      </c>
      <c r="K1015" s="32" t="inlineStr">
        <is>
          <t>20250514-31</t>
        </is>
      </c>
    </row>
    <row r="1016">
      <c r="A1016" s="32" t="n">
        <v>21</v>
      </c>
      <c r="B1016" s="32" t="inlineStr">
        <is>
          <t>K4-2A</t>
        </is>
      </c>
      <c r="D1016" s="32" t="n">
        <v>7.32</v>
      </c>
      <c r="E1016" s="32" t="n">
        <v>1164.009</v>
      </c>
      <c r="G1016" s="32" t="n">
        <v>46.478</v>
      </c>
      <c r="H1016" s="32" t="inlineStr">
        <is>
          <t>bb</t>
        </is>
      </c>
      <c r="I1016" s="32" t="n">
        <v>1164.009</v>
      </c>
      <c r="K1016" s="32" t="inlineStr">
        <is>
          <t>20250514-32</t>
        </is>
      </c>
    </row>
    <row r="1017">
      <c r="A1017" s="32" t="n">
        <v>22</v>
      </c>
      <c r="B1017" s="32" t="inlineStr">
        <is>
          <t>K4-2B</t>
        </is>
      </c>
      <c r="D1017" s="32" t="n">
        <v>7.32</v>
      </c>
      <c r="E1017" s="32" t="n">
        <v>963.226</v>
      </c>
      <c r="G1017" s="32" t="n">
        <v>922.981</v>
      </c>
      <c r="H1017" s="32" t="inlineStr">
        <is>
          <t>bb</t>
        </is>
      </c>
      <c r="I1017" s="32" t="n">
        <v>963.226</v>
      </c>
      <c r="K1017" s="32" t="inlineStr">
        <is>
          <t>20250514-33</t>
        </is>
      </c>
    </row>
    <row r="1018">
      <c r="A1018" s="32" t="n">
        <v>23</v>
      </c>
      <c r="B1018" s="32" t="inlineStr">
        <is>
          <t>K4-2C</t>
        </is>
      </c>
      <c r="D1018" s="32" t="n">
        <v>7.33</v>
      </c>
      <c r="E1018" s="32" t="n">
        <v>987.529</v>
      </c>
      <c r="G1018" s="32" t="n">
        <v>280.693</v>
      </c>
      <c r="H1018" s="32" t="inlineStr">
        <is>
          <t>bb</t>
        </is>
      </c>
      <c r="I1018" s="32" t="n">
        <v>987.529</v>
      </c>
      <c r="K1018" s="32" t="inlineStr">
        <is>
          <t>20250514-34</t>
        </is>
      </c>
    </row>
    <row r="1019">
      <c r="A1019" s="32" t="n">
        <v>24</v>
      </c>
      <c r="B1019" s="32" t="inlineStr">
        <is>
          <t>MeOH</t>
        </is>
      </c>
      <c r="H1019" s="32" t="inlineStr">
        <is>
          <t>MM-</t>
        </is>
      </c>
      <c r="K1019" s="32" t="inlineStr">
        <is>
          <t>20250514-35</t>
        </is>
      </c>
    </row>
    <row r="1020">
      <c r="A1020" s="32" t="n">
        <v>25</v>
      </c>
      <c r="B1020" s="32" t="inlineStr">
        <is>
          <t>K4-4A</t>
        </is>
      </c>
      <c r="D1020" s="32" t="n">
        <v>7.34</v>
      </c>
      <c r="E1020" s="32" t="n">
        <v>1010.575</v>
      </c>
      <c r="G1020" s="32" t="n">
        <v>9636</v>
      </c>
      <c r="H1020" s="32" t="inlineStr">
        <is>
          <t>bb</t>
        </is>
      </c>
      <c r="I1020" s="32" t="n">
        <v>1010.575</v>
      </c>
      <c r="K1020" s="32" t="inlineStr">
        <is>
          <t>20250514-36</t>
        </is>
      </c>
    </row>
    <row r="1021">
      <c r="A1021" s="32" t="n">
        <v>26</v>
      </c>
      <c r="B1021" s="32" t="inlineStr">
        <is>
          <t>K4-4B</t>
        </is>
      </c>
      <c r="D1021" s="32" t="n">
        <v>7.33</v>
      </c>
      <c r="E1021" s="32" t="n">
        <v>958.828</v>
      </c>
      <c r="G1021" s="32" t="n">
        <v>8862</v>
      </c>
      <c r="H1021" s="32" t="inlineStr">
        <is>
          <t>bb</t>
        </is>
      </c>
      <c r="I1021" s="32" t="n">
        <v>958.828</v>
      </c>
      <c r="K1021" s="32" t="inlineStr">
        <is>
          <t>20250514-37</t>
        </is>
      </c>
    </row>
    <row r="1022">
      <c r="A1022" s="32" t="n">
        <v>27</v>
      </c>
      <c r="B1022" s="32" t="inlineStr">
        <is>
          <t>K4-4C</t>
        </is>
      </c>
      <c r="D1022" s="32" t="n">
        <v>7.33</v>
      </c>
      <c r="E1022" s="32" t="n">
        <v>1063.871</v>
      </c>
      <c r="G1022" s="32" t="n">
        <v>12.666</v>
      </c>
      <c r="H1022" s="32" t="inlineStr">
        <is>
          <t>bb</t>
        </is>
      </c>
      <c r="I1022" s="32" t="n">
        <v>1063.871</v>
      </c>
      <c r="K1022" s="32" t="inlineStr">
        <is>
          <t>20250514-38</t>
        </is>
      </c>
    </row>
    <row r="1023">
      <c r="A1023" s="32" t="n">
        <v>28</v>
      </c>
      <c r="B1023" s="32" t="inlineStr">
        <is>
          <t>K4-5A</t>
        </is>
      </c>
      <c r="D1023" s="32" t="n">
        <v>7.32</v>
      </c>
      <c r="E1023" s="32" t="n">
        <v>905.402</v>
      </c>
      <c r="G1023" s="32" t="n">
        <v>8653</v>
      </c>
      <c r="H1023" s="32" t="inlineStr">
        <is>
          <t>bb</t>
        </is>
      </c>
      <c r="I1023" s="32" t="n">
        <v>905.402</v>
      </c>
      <c r="K1023" s="32" t="inlineStr">
        <is>
          <t>20250514-39</t>
        </is>
      </c>
    </row>
    <row r="1024">
      <c r="A1024" s="32" t="n">
        <v>29</v>
      </c>
      <c r="B1024" s="32" t="inlineStr">
        <is>
          <t>K4-5B</t>
        </is>
      </c>
      <c r="D1024" s="32" t="n">
        <v>7.28</v>
      </c>
      <c r="E1024" s="32" t="n">
        <v>818.7089999999999</v>
      </c>
      <c r="G1024" s="32" t="n">
        <v>23.143</v>
      </c>
      <c r="H1024" s="32" t="inlineStr">
        <is>
          <t>bb</t>
        </is>
      </c>
      <c r="I1024" s="32" t="n">
        <v>818.7089999999999</v>
      </c>
      <c r="K1024" s="32" t="inlineStr">
        <is>
          <t>20250514-40</t>
        </is>
      </c>
    </row>
    <row r="1025">
      <c r="A1025" s="32" t="n">
        <v>30</v>
      </c>
      <c r="B1025" s="32" t="inlineStr">
        <is>
          <t>K4-5C</t>
        </is>
      </c>
      <c r="D1025" s="32" t="n">
        <v>7.2</v>
      </c>
      <c r="E1025" s="32" t="n">
        <v>916.855</v>
      </c>
      <c r="G1025" s="32" t="n">
        <v>2536.909</v>
      </c>
      <c r="H1025" s="32" t="inlineStr">
        <is>
          <t>bb</t>
        </is>
      </c>
      <c r="I1025" s="32" t="n">
        <v>916.855</v>
      </c>
      <c r="K1025" s="32" t="inlineStr">
        <is>
          <t>20250514-41</t>
        </is>
      </c>
    </row>
    <row r="1026">
      <c r="A1026" s="32" t="n">
        <v>31</v>
      </c>
      <c r="B1026" s="32" t="inlineStr">
        <is>
          <t>MeOH</t>
        </is>
      </c>
      <c r="H1026" s="32" t="inlineStr">
        <is>
          <t>MM-</t>
        </is>
      </c>
      <c r="K1026" s="32" t="inlineStr">
        <is>
          <t>20250514-42</t>
        </is>
      </c>
    </row>
    <row r="1027">
      <c r="A1027" s="32" t="n">
        <v>32</v>
      </c>
      <c r="B1027" s="32" t="inlineStr">
        <is>
          <t>K3-1A</t>
        </is>
      </c>
      <c r="D1027" s="32" t="n">
        <v>7</v>
      </c>
      <c r="E1027" s="32" t="n">
        <v>957.008</v>
      </c>
      <c r="G1027" s="32" t="n">
        <v>11.216</v>
      </c>
      <c r="H1027" s="32" t="inlineStr">
        <is>
          <t>bb</t>
        </is>
      </c>
      <c r="I1027" s="32" t="n">
        <v>957.008</v>
      </c>
      <c r="K1027" s="32" t="inlineStr">
        <is>
          <t>20250514-43</t>
        </is>
      </c>
    </row>
    <row r="1028">
      <c r="A1028" s="32" t="n">
        <v>33</v>
      </c>
      <c r="B1028" s="32" t="inlineStr">
        <is>
          <t>K3-1B</t>
        </is>
      </c>
      <c r="D1028" s="32" t="n">
        <v>7.07</v>
      </c>
      <c r="E1028" s="32" t="n">
        <v>859.682</v>
      </c>
      <c r="G1028" s="32" t="n">
        <v>37.851</v>
      </c>
      <c r="H1028" s="32" t="inlineStr">
        <is>
          <t>bb</t>
        </is>
      </c>
      <c r="I1028" s="32" t="n">
        <v>859.682</v>
      </c>
      <c r="K1028" s="32" t="inlineStr">
        <is>
          <t>20250514-44</t>
        </is>
      </c>
    </row>
    <row r="1029">
      <c r="A1029" s="32" t="n">
        <v>34</v>
      </c>
      <c r="B1029" s="32" t="inlineStr">
        <is>
          <t>K3-1C</t>
        </is>
      </c>
      <c r="D1029" s="32" t="n">
        <v>7.11</v>
      </c>
      <c r="E1029" s="32" t="n">
        <v>1270.221</v>
      </c>
      <c r="G1029" s="32" t="n">
        <v>42.613</v>
      </c>
      <c r="H1029" s="32" t="inlineStr">
        <is>
          <t>bb</t>
        </is>
      </c>
      <c r="I1029" s="32" t="n">
        <v>1270.221</v>
      </c>
      <c r="K1029" s="32" t="inlineStr">
        <is>
          <t>20250514-45</t>
        </is>
      </c>
    </row>
    <row r="1030">
      <c r="A1030" s="32" t="n">
        <v>35</v>
      </c>
      <c r="B1030" s="32" t="inlineStr">
        <is>
          <t>K3-2A</t>
        </is>
      </c>
      <c r="D1030" s="32" t="n">
        <v>7.18</v>
      </c>
      <c r="E1030" s="32" t="n">
        <v>1420.763</v>
      </c>
      <c r="G1030" s="32" t="n">
        <v>27.803</v>
      </c>
      <c r="H1030" s="32" t="inlineStr">
        <is>
          <t>bb</t>
        </is>
      </c>
      <c r="I1030" s="32" t="n">
        <v>1420.763</v>
      </c>
      <c r="K1030" s="32" t="inlineStr">
        <is>
          <t>20250514-46</t>
        </is>
      </c>
    </row>
    <row r="1031">
      <c r="A1031" s="32" t="n">
        <v>36</v>
      </c>
      <c r="B1031" s="32" t="inlineStr">
        <is>
          <t>K3-2B</t>
        </is>
      </c>
      <c r="D1031" s="32" t="n">
        <v>7.19</v>
      </c>
      <c r="E1031" s="32" t="n">
        <v>1536.833</v>
      </c>
      <c r="G1031" s="32" t="n">
        <v>89.348</v>
      </c>
      <c r="H1031" s="32" t="inlineStr">
        <is>
          <t>bb</t>
        </is>
      </c>
      <c r="I1031" s="32" t="n">
        <v>1536.833</v>
      </c>
      <c r="K1031" s="32" t="inlineStr">
        <is>
          <t>20250514-47</t>
        </is>
      </c>
    </row>
    <row r="1032">
      <c r="A1032" s="32" t="n">
        <v>37</v>
      </c>
      <c r="B1032" s="32" t="inlineStr">
        <is>
          <t>K3-2C</t>
        </is>
      </c>
      <c r="D1032" s="32" t="n">
        <v>7.19</v>
      </c>
      <c r="E1032" s="32" t="n">
        <v>1243.186</v>
      </c>
      <c r="G1032" s="32" t="n">
        <v>260.442</v>
      </c>
      <c r="H1032" s="32" t="inlineStr">
        <is>
          <t>bb</t>
        </is>
      </c>
      <c r="I1032" s="32" t="n">
        <v>1243.186</v>
      </c>
      <c r="K1032" s="32" t="inlineStr">
        <is>
          <t>20250514-48</t>
        </is>
      </c>
    </row>
    <row r="1033">
      <c r="A1033" s="32" t="n">
        <v>38</v>
      </c>
      <c r="B1033" s="32" t="inlineStr">
        <is>
          <t>MeOH</t>
        </is>
      </c>
      <c r="H1033" s="32" t="inlineStr">
        <is>
          <t>MM-</t>
        </is>
      </c>
      <c r="K1033" s="32" t="inlineStr">
        <is>
          <t>20250514-49</t>
        </is>
      </c>
    </row>
    <row r="1034">
      <c r="A1034" s="32" t="n">
        <v>39</v>
      </c>
      <c r="B1034" s="32" t="inlineStr">
        <is>
          <t>K3-3A</t>
        </is>
      </c>
      <c r="D1034" s="32" t="n">
        <v>7.2</v>
      </c>
      <c r="E1034" s="32" t="n">
        <v>1137.161</v>
      </c>
      <c r="G1034" s="32" t="n">
        <v>28.114</v>
      </c>
      <c r="H1034" s="32" t="inlineStr">
        <is>
          <t>bb</t>
        </is>
      </c>
      <c r="I1034" s="32" t="n">
        <v>1137.161</v>
      </c>
      <c r="K1034" s="32" t="inlineStr">
        <is>
          <t>20250514-50</t>
        </is>
      </c>
    </row>
    <row r="1035">
      <c r="A1035" s="32" t="n">
        <v>40</v>
      </c>
      <c r="B1035" s="32" t="inlineStr">
        <is>
          <t>K3-3B</t>
        </is>
      </c>
      <c r="D1035" s="32" t="n">
        <v>7.21</v>
      </c>
      <c r="E1035" s="32" t="n">
        <v>1398.916</v>
      </c>
      <c r="G1035" s="32" t="n">
        <v>15451</v>
      </c>
      <c r="H1035" s="32" t="inlineStr">
        <is>
          <t>bb</t>
        </is>
      </c>
      <c r="I1035" s="32" t="n">
        <v>1398.916</v>
      </c>
      <c r="K1035" s="32" t="inlineStr">
        <is>
          <t>20250514-51</t>
        </is>
      </c>
    </row>
    <row r="1036">
      <c r="A1036" s="32" t="n">
        <v>41</v>
      </c>
      <c r="B1036" s="32" t="inlineStr">
        <is>
          <t>K3-3C</t>
        </is>
      </c>
      <c r="D1036" s="32" t="n">
        <v>7.23</v>
      </c>
      <c r="E1036" s="32" t="n">
        <v>1741.658</v>
      </c>
      <c r="G1036" s="32" t="n">
        <v>230.248</v>
      </c>
      <c r="H1036" s="32" t="inlineStr">
        <is>
          <t>bb</t>
        </is>
      </c>
      <c r="I1036" s="32" t="n">
        <v>1741.658</v>
      </c>
      <c r="K1036" s="32" t="inlineStr">
        <is>
          <t>20250514-52</t>
        </is>
      </c>
    </row>
    <row r="1037">
      <c r="A1037" s="32" t="n">
        <v>42</v>
      </c>
      <c r="B1037" s="32" t="inlineStr">
        <is>
          <t>K3-4A</t>
        </is>
      </c>
      <c r="D1037" s="32" t="n">
        <v>7.28</v>
      </c>
      <c r="E1037" s="32" t="n">
        <v>1680.472</v>
      </c>
      <c r="G1037" s="32" t="n">
        <v>52.759</v>
      </c>
      <c r="H1037" s="32" t="inlineStr">
        <is>
          <t>bb</t>
        </is>
      </c>
      <c r="I1037" s="32" t="n">
        <v>1680.472</v>
      </c>
      <c r="K1037" s="32" t="inlineStr">
        <is>
          <t>20250514-53</t>
        </is>
      </c>
    </row>
    <row r="1038">
      <c r="A1038" s="32" t="n">
        <v>43</v>
      </c>
      <c r="B1038" s="32" t="inlineStr">
        <is>
          <t>K3-4B</t>
        </is>
      </c>
      <c r="D1038" s="32" t="n">
        <v>7.25</v>
      </c>
      <c r="E1038" s="32" t="n">
        <v>1587.348</v>
      </c>
      <c r="G1038" s="32" t="n">
        <v>170.411</v>
      </c>
      <c r="H1038" s="32" t="inlineStr">
        <is>
          <t>bb</t>
        </is>
      </c>
      <c r="I1038" s="32" t="n">
        <v>1587.348</v>
      </c>
      <c r="K1038" s="32" t="inlineStr">
        <is>
          <t>20250514-54</t>
        </is>
      </c>
    </row>
    <row r="1039">
      <c r="A1039" s="32" t="n">
        <v>44</v>
      </c>
      <c r="B1039" s="32" t="inlineStr">
        <is>
          <t>K3-4C</t>
        </is>
      </c>
      <c r="D1039" s="32" t="n">
        <v>7.28</v>
      </c>
      <c r="E1039" s="32" t="n">
        <v>2045.376</v>
      </c>
      <c r="G1039" s="32" t="n">
        <v>22.661</v>
      </c>
      <c r="H1039" s="32" t="inlineStr">
        <is>
          <t>bb</t>
        </is>
      </c>
      <c r="I1039" s="32" t="n">
        <v>2045.376</v>
      </c>
      <c r="K1039" s="32" t="inlineStr">
        <is>
          <t>20250514-55</t>
        </is>
      </c>
    </row>
    <row r="1040">
      <c r="A1040" s="32" t="n">
        <v>45</v>
      </c>
      <c r="B1040" s="32" t="inlineStr">
        <is>
          <t>MeOH</t>
        </is>
      </c>
      <c r="H1040" s="32" t="inlineStr">
        <is>
          <t>MM-</t>
        </is>
      </c>
      <c r="K1040" s="32" t="inlineStr">
        <is>
          <t>20250514-56</t>
        </is>
      </c>
    </row>
    <row r="1041">
      <c r="A1041" s="32" t="n">
        <v>46</v>
      </c>
      <c r="B1041" s="32" t="inlineStr">
        <is>
          <t>K3-6A</t>
        </is>
      </c>
      <c r="D1041" s="32" t="n">
        <v>7.35</v>
      </c>
      <c r="E1041" s="32" t="n">
        <v>1709.253</v>
      </c>
      <c r="G1041" s="32" t="n">
        <v>150.515</v>
      </c>
      <c r="H1041" s="32" t="inlineStr">
        <is>
          <t>bb</t>
        </is>
      </c>
      <c r="I1041" s="32" t="n">
        <v>1709.253</v>
      </c>
      <c r="K1041" s="32" t="inlineStr">
        <is>
          <t>20250514-57</t>
        </is>
      </c>
    </row>
    <row r="1042">
      <c r="A1042" s="32" t="n">
        <v>47</v>
      </c>
      <c r="B1042" s="32" t="inlineStr">
        <is>
          <t>K3-6B</t>
        </is>
      </c>
      <c r="D1042" s="32" t="n">
        <v>7.32</v>
      </c>
      <c r="E1042" s="32" t="n">
        <v>1829.777</v>
      </c>
      <c r="G1042" s="32" t="n">
        <v>272.795</v>
      </c>
      <c r="H1042" s="32" t="inlineStr">
        <is>
          <t>bb</t>
        </is>
      </c>
      <c r="I1042" s="32" t="n">
        <v>1829.777</v>
      </c>
      <c r="K1042" s="32" t="inlineStr">
        <is>
          <t>20250514-58</t>
        </is>
      </c>
    </row>
    <row r="1043">
      <c r="A1043" s="32" t="n">
        <v>48</v>
      </c>
      <c r="B1043" s="32" t="inlineStr">
        <is>
          <t>K3-6C</t>
        </is>
      </c>
      <c r="D1043" s="32" t="n">
        <v>7.3</v>
      </c>
      <c r="E1043" s="32" t="n">
        <v>1884.642</v>
      </c>
      <c r="G1043" s="32" t="n">
        <v>160.712</v>
      </c>
      <c r="H1043" s="32" t="inlineStr">
        <is>
          <t>bb</t>
        </is>
      </c>
      <c r="I1043" s="32" t="n">
        <v>1884.642</v>
      </c>
      <c r="K1043" s="32" t="inlineStr">
        <is>
          <t>20250514-59</t>
        </is>
      </c>
    </row>
    <row r="1045">
      <c r="A1045" s="32" t="inlineStr">
        <is>
          <t>Compound 21:  PFHxA 1</t>
        </is>
      </c>
    </row>
    <row r="1047">
      <c r="B1047" s="32" t="inlineStr">
        <is>
          <t>Sample Text</t>
        </is>
      </c>
      <c r="C1047" s="32" t="inlineStr">
        <is>
          <t>Std. Conc</t>
        </is>
      </c>
      <c r="D1047" s="32" t="inlineStr">
        <is>
          <t>RT</t>
        </is>
      </c>
      <c r="E1047" s="32" t="inlineStr">
        <is>
          <t>Area</t>
        </is>
      </c>
      <c r="F1047" s="32" t="inlineStr">
        <is>
          <t>IS Area</t>
        </is>
      </c>
      <c r="G1047" s="32" t="inlineStr">
        <is>
          <t>S/N</t>
        </is>
      </c>
      <c r="H1047" s="32" t="inlineStr">
        <is>
          <t>Primary Flags</t>
        </is>
      </c>
      <c r="I1047" s="32" t="inlineStr">
        <is>
          <t>Response</t>
        </is>
      </c>
      <c r="J1047" s="32" t="inlineStr">
        <is>
          <t>Conc.</t>
        </is>
      </c>
      <c r="K1047" s="32" t="inlineStr">
        <is>
          <t>Name</t>
        </is>
      </c>
    </row>
    <row r="1048">
      <c r="A1048" s="32" t="n">
        <v>1</v>
      </c>
      <c r="B1048" s="32" t="inlineStr">
        <is>
          <t>EPA1633 &amp; diPAPs Calibration 0 ppb</t>
        </is>
      </c>
      <c r="D1048" s="32" t="n">
        <v>8.880000000000001</v>
      </c>
      <c r="E1048" s="32" t="n">
        <v>68.696</v>
      </c>
      <c r="F1048" s="32" t="n">
        <v>2771.78</v>
      </c>
      <c r="G1048" s="32" t="n">
        <v>2.268</v>
      </c>
      <c r="H1048" s="32" t="inlineStr">
        <is>
          <t>MM</t>
        </is>
      </c>
      <c r="K1048" s="32" t="inlineStr">
        <is>
          <t>20250514-12</t>
        </is>
      </c>
    </row>
    <row r="1049">
      <c r="A1049" s="32" t="n">
        <v>2</v>
      </c>
      <c r="B1049" s="32" t="inlineStr">
        <is>
          <t>EPA1633 &amp; diPAPs Calibration 0.02 ppb</t>
        </is>
      </c>
      <c r="D1049" s="32" t="n">
        <v>8.84</v>
      </c>
      <c r="E1049" s="32" t="n">
        <v>184.751</v>
      </c>
      <c r="F1049" s="32" t="n">
        <v>2613.678</v>
      </c>
      <c r="G1049" s="32" t="n">
        <v>4.832</v>
      </c>
      <c r="H1049" s="32" t="inlineStr">
        <is>
          <t>MM</t>
        </is>
      </c>
      <c r="K1049" s="32" t="inlineStr">
        <is>
          <t>20250514-13</t>
        </is>
      </c>
    </row>
    <row r="1050">
      <c r="A1050" s="32" t="n">
        <v>3</v>
      </c>
      <c r="B1050" s="32" t="inlineStr">
        <is>
          <t>EPA1633 &amp; diPAPs Calibration 0.1 ppb</t>
        </is>
      </c>
      <c r="D1050" s="32" t="n">
        <v>8.890000000000001</v>
      </c>
      <c r="E1050" s="32" t="n">
        <v>209.153</v>
      </c>
      <c r="F1050" s="32" t="n">
        <v>2704.411</v>
      </c>
      <c r="G1050" s="32" t="n">
        <v>4.641</v>
      </c>
      <c r="H1050" s="32" t="inlineStr">
        <is>
          <t>MM</t>
        </is>
      </c>
      <c r="K1050" s="32" t="inlineStr">
        <is>
          <t>20250514-14</t>
        </is>
      </c>
    </row>
    <row r="1051">
      <c r="A1051" s="32" t="n">
        <v>4</v>
      </c>
      <c r="B1051" s="32" t="inlineStr">
        <is>
          <t>EPA1633 &amp; diPAPs Calibration 0.4 ppb</t>
        </is>
      </c>
      <c r="D1051" s="32" t="n">
        <v>8.890000000000001</v>
      </c>
      <c r="E1051" s="32" t="n">
        <v>298</v>
      </c>
      <c r="F1051" s="32" t="n">
        <v>2633.712</v>
      </c>
      <c r="G1051" s="32" t="n">
        <v>5.646</v>
      </c>
      <c r="H1051" s="32" t="inlineStr">
        <is>
          <t>MM</t>
        </is>
      </c>
      <c r="K1051" s="32" t="inlineStr">
        <is>
          <t>20250514-15</t>
        </is>
      </c>
    </row>
    <row r="1052">
      <c r="A1052" s="32" t="n">
        <v>5</v>
      </c>
      <c r="B1052" s="32" t="inlineStr">
        <is>
          <t>EPA1633 &amp; diPAPs Calibration 1 ppb</t>
        </is>
      </c>
      <c r="D1052" s="32" t="n">
        <v>8.92</v>
      </c>
      <c r="E1052" s="32" t="n">
        <v>713.114</v>
      </c>
      <c r="F1052" s="32" t="n">
        <v>2798.003</v>
      </c>
      <c r="G1052" s="32" t="n">
        <v>25.57</v>
      </c>
      <c r="H1052" s="32" t="inlineStr">
        <is>
          <t>MM</t>
        </is>
      </c>
      <c r="K1052" s="32" t="inlineStr">
        <is>
          <t>20250514-16</t>
        </is>
      </c>
    </row>
    <row r="1053">
      <c r="A1053" s="32" t="n">
        <v>6</v>
      </c>
      <c r="B1053" s="32" t="inlineStr">
        <is>
          <t>EPA1633 &amp; diPAPs Calibration 5 ppb</t>
        </is>
      </c>
      <c r="D1053" s="32" t="n">
        <v>8.75</v>
      </c>
      <c r="E1053" s="32" t="n">
        <v>2046.579</v>
      </c>
      <c r="F1053" s="32" t="n">
        <v>2309.18</v>
      </c>
      <c r="G1053" s="32" t="n">
        <v>48.904</v>
      </c>
      <c r="H1053" s="32" t="inlineStr">
        <is>
          <t>MM</t>
        </is>
      </c>
      <c r="K1053" s="32" t="inlineStr">
        <is>
          <t>20250514-17</t>
        </is>
      </c>
    </row>
    <row r="1054">
      <c r="A1054" s="32" t="n">
        <v>7</v>
      </c>
      <c r="B1054" s="32" t="inlineStr">
        <is>
          <t>EPA1633 &amp; diPAPs Calibration 10 ppb</t>
        </is>
      </c>
      <c r="D1054" s="32" t="n">
        <v>8.81</v>
      </c>
      <c r="E1054" s="32" t="n">
        <v>3434.683</v>
      </c>
      <c r="F1054" s="32" t="n">
        <v>2072.812</v>
      </c>
      <c r="G1054" s="32" t="n">
        <v>101.345</v>
      </c>
      <c r="H1054" s="32" t="inlineStr">
        <is>
          <t>MM</t>
        </is>
      </c>
      <c r="K1054" s="32" t="inlineStr">
        <is>
          <t>20250514-18</t>
        </is>
      </c>
    </row>
    <row r="1055">
      <c r="A1055" s="32" t="n">
        <v>8</v>
      </c>
      <c r="B1055" s="32" t="inlineStr">
        <is>
          <t>EPA1633 &amp; diPAPs Calibration 20 ppb</t>
        </is>
      </c>
      <c r="D1055" s="32" t="n">
        <v>8.859999999999999</v>
      </c>
      <c r="E1055" s="32" t="n">
        <v>6997.643</v>
      </c>
      <c r="F1055" s="32" t="n">
        <v>1703.301</v>
      </c>
      <c r="G1055" s="32" t="n">
        <v>138.422</v>
      </c>
      <c r="H1055" s="32" t="inlineStr">
        <is>
          <t>MM</t>
        </is>
      </c>
      <c r="K1055" s="32" t="inlineStr">
        <is>
          <t>20250514-19</t>
        </is>
      </c>
    </row>
    <row r="1056">
      <c r="A1056" s="32" t="n">
        <v>9</v>
      </c>
      <c r="B1056" s="32" t="inlineStr">
        <is>
          <t>MeOH</t>
        </is>
      </c>
      <c r="K1056" s="32" t="inlineStr">
        <is>
          <t>20250514-20</t>
        </is>
      </c>
    </row>
    <row r="1057">
      <c r="A1057" s="32" t="n">
        <v>10</v>
      </c>
      <c r="B1057" s="32" t="inlineStr">
        <is>
          <t>MeOH</t>
        </is>
      </c>
      <c r="K1057" s="32" t="inlineStr">
        <is>
          <t>20250514-21</t>
        </is>
      </c>
    </row>
    <row r="1058">
      <c r="A1058" s="32" t="n">
        <v>11</v>
      </c>
      <c r="B1058" s="32" t="inlineStr">
        <is>
          <t>SB1</t>
        </is>
      </c>
      <c r="D1058" s="32" t="n">
        <v>8.890000000000001</v>
      </c>
      <c r="E1058" s="32" t="n">
        <v>209.693</v>
      </c>
      <c r="F1058" s="32" t="n">
        <v>802.6180000000001</v>
      </c>
      <c r="G1058" s="32" t="n">
        <v>4.59</v>
      </c>
      <c r="H1058" s="32" t="inlineStr">
        <is>
          <t>MM</t>
        </is>
      </c>
      <c r="K1058" s="32" t="inlineStr">
        <is>
          <t>20250514-22</t>
        </is>
      </c>
    </row>
    <row r="1059">
      <c r="A1059" s="32" t="n">
        <v>12</v>
      </c>
      <c r="B1059" s="32" t="inlineStr">
        <is>
          <t>SB2</t>
        </is>
      </c>
      <c r="D1059" s="32" t="n">
        <v>8.92</v>
      </c>
      <c r="E1059" s="32" t="n">
        <v>114.73</v>
      </c>
      <c r="F1059" s="32" t="n">
        <v>1039.268</v>
      </c>
      <c r="G1059" s="32" t="n">
        <v>2.397</v>
      </c>
      <c r="H1059" s="32" t="inlineStr">
        <is>
          <t>MM</t>
        </is>
      </c>
      <c r="K1059" s="32" t="inlineStr">
        <is>
          <t>20250514-23</t>
        </is>
      </c>
    </row>
    <row r="1060">
      <c r="A1060" s="32" t="n">
        <v>13</v>
      </c>
      <c r="B1060" s="32" t="inlineStr">
        <is>
          <t>SB3</t>
        </is>
      </c>
      <c r="D1060" s="32" t="n">
        <v>8.960000000000001</v>
      </c>
      <c r="E1060" s="32" t="n">
        <v>20.863</v>
      </c>
      <c r="F1060" s="32" t="n">
        <v>1005.736</v>
      </c>
      <c r="G1060" s="32" t="n">
        <v>1.637</v>
      </c>
      <c r="H1060" s="32" t="inlineStr">
        <is>
          <t>MM</t>
        </is>
      </c>
      <c r="K1060" s="32" t="inlineStr">
        <is>
          <t>20250514-24</t>
        </is>
      </c>
    </row>
    <row r="1061">
      <c r="A1061" s="32" t="n">
        <v>14</v>
      </c>
      <c r="B1061" s="32" t="inlineStr">
        <is>
          <t>SS1</t>
        </is>
      </c>
      <c r="D1061" s="32" t="n">
        <v>8.970000000000001</v>
      </c>
      <c r="E1061" s="32" t="n">
        <v>1375.208</v>
      </c>
      <c r="F1061" s="32" t="n">
        <v>860.02</v>
      </c>
      <c r="G1061" s="32" t="n">
        <v>45.393</v>
      </c>
      <c r="H1061" s="32" t="inlineStr">
        <is>
          <t>MM</t>
        </is>
      </c>
      <c r="K1061" s="32" t="inlineStr">
        <is>
          <t>20250514-25</t>
        </is>
      </c>
    </row>
    <row r="1062">
      <c r="A1062" s="32" t="n">
        <v>15</v>
      </c>
      <c r="B1062" s="32" t="inlineStr">
        <is>
          <t>SS2</t>
        </is>
      </c>
      <c r="D1062" s="32" t="n">
        <v>8.99</v>
      </c>
      <c r="E1062" s="32" t="n">
        <v>1455.171</v>
      </c>
      <c r="F1062" s="32" t="n">
        <v>1205.224</v>
      </c>
      <c r="G1062" s="32" t="n">
        <v>45.096</v>
      </c>
      <c r="H1062" s="32" t="inlineStr">
        <is>
          <t>MM</t>
        </is>
      </c>
      <c r="K1062" s="32" t="inlineStr">
        <is>
          <t>20250514-26</t>
        </is>
      </c>
    </row>
    <row r="1063">
      <c r="A1063" s="32" t="n">
        <v>16</v>
      </c>
      <c r="B1063" s="32" t="inlineStr">
        <is>
          <t>SS3</t>
        </is>
      </c>
      <c r="D1063" s="32" t="n">
        <v>8.98</v>
      </c>
      <c r="E1063" s="32" t="n">
        <v>1539.914</v>
      </c>
      <c r="F1063" s="32" t="n">
        <v>953.783</v>
      </c>
      <c r="G1063" s="32" t="n">
        <v>44.252</v>
      </c>
      <c r="H1063" s="32" t="inlineStr">
        <is>
          <t>MM</t>
        </is>
      </c>
      <c r="K1063" s="32" t="inlineStr">
        <is>
          <t>20250514-27</t>
        </is>
      </c>
    </row>
    <row r="1064">
      <c r="A1064" s="32" t="n">
        <v>17</v>
      </c>
      <c r="B1064" s="32" t="inlineStr">
        <is>
          <t>MeOH</t>
        </is>
      </c>
      <c r="K1064" s="32" t="inlineStr">
        <is>
          <t>20250514-28</t>
        </is>
      </c>
    </row>
    <row r="1065">
      <c r="A1065" s="32" t="n">
        <v>18</v>
      </c>
      <c r="B1065" s="32" t="inlineStr">
        <is>
          <t>K4-1A</t>
        </is>
      </c>
      <c r="D1065" s="32" t="n">
        <v>9.06</v>
      </c>
      <c r="E1065" s="32" t="n">
        <v>16.011</v>
      </c>
      <c r="F1065" s="32" t="n">
        <v>1575.246</v>
      </c>
      <c r="G1065" s="32" t="n">
        <v>0.395</v>
      </c>
      <c r="H1065" s="32" t="inlineStr">
        <is>
          <t>MM</t>
        </is>
      </c>
      <c r="K1065" s="32" t="inlineStr">
        <is>
          <t>20250514-29</t>
        </is>
      </c>
    </row>
    <row r="1066">
      <c r="A1066" s="32" t="n">
        <v>19</v>
      </c>
      <c r="B1066" s="32" t="inlineStr">
        <is>
          <t>K4-1B</t>
        </is>
      </c>
      <c r="D1066" s="32" t="n">
        <v>8.94</v>
      </c>
      <c r="E1066" s="32" t="n">
        <v>65.91800000000001</v>
      </c>
      <c r="F1066" s="32" t="n">
        <v>1550.869</v>
      </c>
      <c r="G1066" s="32" t="n">
        <v>0.835</v>
      </c>
      <c r="H1066" s="32" t="inlineStr">
        <is>
          <t>MM</t>
        </is>
      </c>
      <c r="K1066" s="32" t="inlineStr">
        <is>
          <t>20250514-30</t>
        </is>
      </c>
    </row>
    <row r="1067">
      <c r="A1067" s="32" t="n">
        <v>20</v>
      </c>
      <c r="B1067" s="32" t="inlineStr">
        <is>
          <t>K4-1C</t>
        </is>
      </c>
      <c r="D1067" s="32" t="n">
        <v>8.99</v>
      </c>
      <c r="E1067" s="32" t="n">
        <v>83.866</v>
      </c>
      <c r="F1067" s="32" t="n">
        <v>1163.846</v>
      </c>
      <c r="G1067" s="32" t="n">
        <v>3.96</v>
      </c>
      <c r="H1067" s="32" t="inlineStr">
        <is>
          <t>MM</t>
        </is>
      </c>
      <c r="K1067" s="32" t="inlineStr">
        <is>
          <t>20250514-31</t>
        </is>
      </c>
    </row>
    <row r="1068">
      <c r="A1068" s="32" t="n">
        <v>21</v>
      </c>
      <c r="B1068" s="32" t="inlineStr">
        <is>
          <t>K4-2A</t>
        </is>
      </c>
      <c r="D1068" s="32" t="n">
        <v>9</v>
      </c>
      <c r="E1068" s="32" t="n">
        <v>201.887</v>
      </c>
      <c r="F1068" s="32" t="n">
        <v>1084.067</v>
      </c>
      <c r="G1068" s="32" t="n">
        <v>4.183</v>
      </c>
      <c r="H1068" s="32" t="inlineStr">
        <is>
          <t>MM</t>
        </is>
      </c>
      <c r="K1068" s="32" t="inlineStr">
        <is>
          <t>20250514-32</t>
        </is>
      </c>
    </row>
    <row r="1069">
      <c r="A1069" s="32" t="n">
        <v>22</v>
      </c>
      <c r="B1069" s="32" t="inlineStr">
        <is>
          <t>K4-2B</t>
        </is>
      </c>
      <c r="D1069" s="32" t="n">
        <v>8.779999999999999</v>
      </c>
      <c r="E1069" s="32" t="n">
        <v>44.476</v>
      </c>
      <c r="F1069" s="32" t="n">
        <v>1044.51</v>
      </c>
      <c r="G1069" s="32" t="n">
        <v>1.593</v>
      </c>
      <c r="H1069" s="32" t="inlineStr">
        <is>
          <t>MM</t>
        </is>
      </c>
      <c r="K1069" s="32" t="inlineStr">
        <is>
          <t>20250514-33</t>
        </is>
      </c>
    </row>
    <row r="1070">
      <c r="A1070" s="32" t="n">
        <v>23</v>
      </c>
      <c r="B1070" s="32" t="inlineStr">
        <is>
          <t>K4-2C</t>
        </is>
      </c>
      <c r="D1070" s="32" t="n">
        <v>8.99</v>
      </c>
      <c r="E1070" s="32" t="n">
        <v>96.48999999999999</v>
      </c>
      <c r="F1070" s="32" t="n">
        <v>1020.096</v>
      </c>
      <c r="G1070" s="32" t="n">
        <v>3.41</v>
      </c>
      <c r="H1070" s="32" t="inlineStr">
        <is>
          <t>MM</t>
        </is>
      </c>
      <c r="K1070" s="32" t="inlineStr">
        <is>
          <t>20250514-34</t>
        </is>
      </c>
    </row>
    <row r="1071">
      <c r="A1071" s="32" t="n">
        <v>24</v>
      </c>
      <c r="B1071" s="32" t="inlineStr">
        <is>
          <t>MeOH</t>
        </is>
      </c>
      <c r="K1071" s="32" t="inlineStr">
        <is>
          <t>20250514-35</t>
        </is>
      </c>
    </row>
    <row r="1072">
      <c r="A1072" s="32" t="n">
        <v>25</v>
      </c>
      <c r="B1072" s="32" t="inlineStr">
        <is>
          <t>K4-4A</t>
        </is>
      </c>
      <c r="D1072" s="32" t="n">
        <v>8.800000000000001</v>
      </c>
      <c r="E1072" s="32" t="n">
        <v>85.327</v>
      </c>
      <c r="F1072" s="32" t="n">
        <v>1051.351</v>
      </c>
      <c r="G1072" s="32" t="n">
        <v>2.9</v>
      </c>
      <c r="H1072" s="32" t="inlineStr">
        <is>
          <t>MM</t>
        </is>
      </c>
      <c r="K1072" s="32" t="inlineStr">
        <is>
          <t>20250514-36</t>
        </is>
      </c>
    </row>
    <row r="1073">
      <c r="A1073" s="32" t="n">
        <v>26</v>
      </c>
      <c r="B1073" s="32" t="inlineStr">
        <is>
          <t>K4-4B</t>
        </is>
      </c>
      <c r="D1073" s="32" t="n">
        <v>9.029999999999999</v>
      </c>
      <c r="E1073" s="32" t="n">
        <v>67.66200000000001</v>
      </c>
      <c r="F1073" s="32" t="n">
        <v>1035.151</v>
      </c>
      <c r="G1073" s="32" t="n">
        <v>1.538</v>
      </c>
      <c r="H1073" s="32" t="inlineStr">
        <is>
          <t>MM</t>
        </is>
      </c>
      <c r="K1073" s="32" t="inlineStr">
        <is>
          <t>20250514-37</t>
        </is>
      </c>
    </row>
    <row r="1074">
      <c r="A1074" s="32" t="n">
        <v>27</v>
      </c>
      <c r="B1074" s="32" t="inlineStr">
        <is>
          <t>K4-4C</t>
        </is>
      </c>
      <c r="D1074" s="32" t="n">
        <v>9.07</v>
      </c>
      <c r="E1074" s="32" t="n">
        <v>83.173</v>
      </c>
      <c r="F1074" s="32" t="n">
        <v>822.99</v>
      </c>
      <c r="G1074" s="32" t="n">
        <v>2.473</v>
      </c>
      <c r="H1074" s="32" t="inlineStr">
        <is>
          <t>MM</t>
        </is>
      </c>
      <c r="K1074" s="32" t="inlineStr">
        <is>
          <t>20250514-38</t>
        </is>
      </c>
    </row>
    <row r="1075">
      <c r="A1075" s="32" t="n">
        <v>28</v>
      </c>
      <c r="B1075" s="32" t="inlineStr">
        <is>
          <t>K4-5A</t>
        </is>
      </c>
      <c r="D1075" s="32" t="n">
        <v>9.09</v>
      </c>
      <c r="E1075" s="32" t="n">
        <v>67.23</v>
      </c>
      <c r="F1075" s="32" t="n">
        <v>985.0170000000001</v>
      </c>
      <c r="G1075" s="32" t="n">
        <v>1.439</v>
      </c>
      <c r="H1075" s="32" t="inlineStr">
        <is>
          <t>MM</t>
        </is>
      </c>
      <c r="K1075" s="32" t="inlineStr">
        <is>
          <t>20250514-39</t>
        </is>
      </c>
    </row>
    <row r="1076">
      <c r="A1076" s="32" t="n">
        <v>29</v>
      </c>
      <c r="B1076" s="32" t="inlineStr">
        <is>
          <t>K4-5B</t>
        </is>
      </c>
      <c r="D1076" s="32" t="n">
        <v>8.970000000000001</v>
      </c>
      <c r="E1076" s="32" t="n">
        <v>53.018</v>
      </c>
      <c r="F1076" s="32" t="n">
        <v>1024.411</v>
      </c>
      <c r="G1076" s="32" t="n">
        <v>1.824</v>
      </c>
      <c r="H1076" s="32" t="inlineStr">
        <is>
          <t>MM</t>
        </is>
      </c>
      <c r="K1076" s="32" t="inlineStr">
        <is>
          <t>20250514-40</t>
        </is>
      </c>
    </row>
    <row r="1077">
      <c r="A1077" s="32" t="n">
        <v>30</v>
      </c>
      <c r="B1077" s="32" t="inlineStr">
        <is>
          <t>K4-5C</t>
        </is>
      </c>
      <c r="D1077" s="32" t="n">
        <v>8.859999999999999</v>
      </c>
      <c r="E1077" s="32" t="n">
        <v>51.809</v>
      </c>
      <c r="F1077" s="32" t="n">
        <v>1313.31</v>
      </c>
      <c r="G1077" s="32" t="n">
        <v>1.74</v>
      </c>
      <c r="H1077" s="32" t="inlineStr">
        <is>
          <t>MM</t>
        </is>
      </c>
      <c r="K1077" s="32" t="inlineStr">
        <is>
          <t>20250514-41</t>
        </is>
      </c>
    </row>
    <row r="1078">
      <c r="A1078" s="32" t="n">
        <v>31</v>
      </c>
      <c r="B1078" s="32" t="inlineStr">
        <is>
          <t>MeOH</t>
        </is>
      </c>
      <c r="K1078" s="32" t="inlineStr">
        <is>
          <t>20250514-42</t>
        </is>
      </c>
    </row>
    <row r="1079">
      <c r="A1079" s="32" t="n">
        <v>32</v>
      </c>
      <c r="B1079" s="32" t="inlineStr">
        <is>
          <t>K3-1A</t>
        </is>
      </c>
      <c r="D1079" s="32" t="n">
        <v>8.77</v>
      </c>
      <c r="E1079" s="32" t="n">
        <v>75.83799999999999</v>
      </c>
      <c r="F1079" s="32" t="n">
        <v>1115.547</v>
      </c>
      <c r="G1079" s="32" t="n">
        <v>3.22</v>
      </c>
      <c r="H1079" s="32" t="inlineStr">
        <is>
          <t>MM</t>
        </is>
      </c>
      <c r="K1079" s="32" t="inlineStr">
        <is>
          <t>20250514-43</t>
        </is>
      </c>
    </row>
    <row r="1080">
      <c r="A1080" s="32" t="n">
        <v>33</v>
      </c>
      <c r="B1080" s="32" t="inlineStr">
        <is>
          <t>K3-1B</t>
        </is>
      </c>
      <c r="D1080" s="32" t="n">
        <v>8.81</v>
      </c>
      <c r="E1080" s="32" t="n">
        <v>221.532</v>
      </c>
      <c r="F1080" s="32" t="n">
        <v>868.492</v>
      </c>
      <c r="G1080" s="32" t="n">
        <v>8.470000000000001</v>
      </c>
      <c r="H1080" s="32" t="inlineStr">
        <is>
          <t>MM</t>
        </is>
      </c>
      <c r="K1080" s="32" t="inlineStr">
        <is>
          <t>20250514-44</t>
        </is>
      </c>
    </row>
    <row r="1081">
      <c r="A1081" s="32" t="n">
        <v>34</v>
      </c>
      <c r="B1081" s="32" t="inlineStr">
        <is>
          <t>K3-1C</t>
        </is>
      </c>
      <c r="D1081" s="32" t="n">
        <v>8.93</v>
      </c>
      <c r="E1081" s="32" t="n">
        <v>40.416</v>
      </c>
      <c r="F1081" s="32" t="n">
        <v>1891.713</v>
      </c>
      <c r="G1081" s="32" t="n">
        <v>1.333</v>
      </c>
      <c r="H1081" s="32" t="inlineStr">
        <is>
          <t>MM</t>
        </is>
      </c>
      <c r="K1081" s="32" t="inlineStr">
        <is>
          <t>20250514-45</t>
        </is>
      </c>
    </row>
    <row r="1082">
      <c r="A1082" s="32" t="n">
        <v>35</v>
      </c>
      <c r="B1082" s="32" t="inlineStr">
        <is>
          <t>K3-2A</t>
        </is>
      </c>
      <c r="D1082" s="32" t="n">
        <v>8.94</v>
      </c>
      <c r="E1082" s="32" t="n">
        <v>109.398</v>
      </c>
      <c r="F1082" s="32" t="n">
        <v>1176.041</v>
      </c>
      <c r="G1082" s="32" t="n">
        <v>1.481</v>
      </c>
      <c r="H1082" s="32" t="inlineStr">
        <is>
          <t>MM</t>
        </is>
      </c>
      <c r="K1082" s="32" t="inlineStr">
        <is>
          <t>20250514-46</t>
        </is>
      </c>
    </row>
    <row r="1083">
      <c r="A1083" s="32" t="n">
        <v>36</v>
      </c>
      <c r="B1083" s="32" t="inlineStr">
        <is>
          <t>K3-2B</t>
        </is>
      </c>
      <c r="D1083" s="32" t="n">
        <v>8.92</v>
      </c>
      <c r="E1083" s="32" t="n">
        <v>206.711</v>
      </c>
      <c r="F1083" s="32" t="n">
        <v>1321.349</v>
      </c>
      <c r="G1083" s="32" t="n">
        <v>6.581</v>
      </c>
      <c r="H1083" s="32" t="inlineStr">
        <is>
          <t>MM</t>
        </is>
      </c>
      <c r="K1083" s="32" t="inlineStr">
        <is>
          <t>20250514-47</t>
        </is>
      </c>
    </row>
    <row r="1084">
      <c r="A1084" s="32" t="n">
        <v>37</v>
      </c>
      <c r="B1084" s="32" t="inlineStr">
        <is>
          <t>K3-2C</t>
        </is>
      </c>
      <c r="D1084" s="32" t="n">
        <v>8.92</v>
      </c>
      <c r="E1084" s="32" t="n">
        <v>201.821</v>
      </c>
      <c r="F1084" s="32" t="n">
        <v>1479.533</v>
      </c>
      <c r="G1084" s="32" t="n">
        <v>4.617</v>
      </c>
      <c r="H1084" s="32" t="inlineStr">
        <is>
          <t>MM</t>
        </is>
      </c>
      <c r="K1084" s="32" t="inlineStr">
        <is>
          <t>20250514-48</t>
        </is>
      </c>
    </row>
    <row r="1085">
      <c r="A1085" s="32" t="n">
        <v>38</v>
      </c>
      <c r="B1085" s="32" t="inlineStr">
        <is>
          <t>MeOH</t>
        </is>
      </c>
      <c r="K1085" s="32" t="inlineStr">
        <is>
          <t>20250514-49</t>
        </is>
      </c>
    </row>
    <row r="1086">
      <c r="A1086" s="32" t="n">
        <v>39</v>
      </c>
      <c r="B1086" s="32" t="inlineStr">
        <is>
          <t>K3-3A</t>
        </is>
      </c>
      <c r="D1086" s="32" t="n">
        <v>8.93</v>
      </c>
      <c r="E1086" s="32" t="n">
        <v>189.851</v>
      </c>
      <c r="F1086" s="32" t="n">
        <v>1517.701</v>
      </c>
      <c r="G1086" s="32" t="n">
        <v>7.498</v>
      </c>
      <c r="H1086" s="32" t="inlineStr">
        <is>
          <t>MM</t>
        </is>
      </c>
      <c r="K1086" s="32" t="inlineStr">
        <is>
          <t>20250514-50</t>
        </is>
      </c>
    </row>
    <row r="1087">
      <c r="A1087" s="32" t="n">
        <v>40</v>
      </c>
      <c r="B1087" s="32" t="inlineStr">
        <is>
          <t>K3-3B</t>
        </is>
      </c>
      <c r="D1087" s="32" t="n">
        <v>8.92</v>
      </c>
      <c r="E1087" s="32" t="n">
        <v>274.019</v>
      </c>
      <c r="F1087" s="32" t="n">
        <v>1453.885</v>
      </c>
      <c r="G1087" s="32" t="n">
        <v>10.804</v>
      </c>
      <c r="H1087" s="32" t="inlineStr">
        <is>
          <t>MM</t>
        </is>
      </c>
      <c r="K1087" s="32" t="inlineStr">
        <is>
          <t>20250514-51</t>
        </is>
      </c>
    </row>
    <row r="1088">
      <c r="A1088" s="32" t="n">
        <v>41</v>
      </c>
      <c r="B1088" s="32" t="inlineStr">
        <is>
          <t>K3-3C</t>
        </is>
      </c>
      <c r="D1088" s="32" t="n">
        <v>8.949999999999999</v>
      </c>
      <c r="E1088" s="32" t="n">
        <v>261.092</v>
      </c>
      <c r="F1088" s="32" t="n">
        <v>1930.228</v>
      </c>
      <c r="G1088" s="32" t="n">
        <v>7.658</v>
      </c>
      <c r="H1088" s="32" t="inlineStr">
        <is>
          <t>MM</t>
        </is>
      </c>
      <c r="K1088" s="32" t="inlineStr">
        <is>
          <t>20250514-52</t>
        </is>
      </c>
    </row>
    <row r="1089">
      <c r="A1089" s="32" t="n">
        <v>42</v>
      </c>
      <c r="B1089" s="32" t="inlineStr">
        <is>
          <t>K3-4A</t>
        </is>
      </c>
      <c r="D1089" s="32" t="n">
        <v>8.99</v>
      </c>
      <c r="E1089" s="32" t="n">
        <v>206.222</v>
      </c>
      <c r="F1089" s="32" t="n">
        <v>2454.78</v>
      </c>
      <c r="G1089" s="32" t="n">
        <v>6.253</v>
      </c>
      <c r="H1089" s="32" t="inlineStr">
        <is>
          <t>MM</t>
        </is>
      </c>
      <c r="K1089" s="32" t="inlineStr">
        <is>
          <t>20250514-53</t>
        </is>
      </c>
    </row>
    <row r="1090">
      <c r="A1090" s="32" t="n">
        <v>43</v>
      </c>
      <c r="B1090" s="32" t="inlineStr">
        <is>
          <t>K3-4B</t>
        </is>
      </c>
      <c r="D1090" s="32" t="n">
        <v>8.98</v>
      </c>
      <c r="E1090" s="32" t="n">
        <v>114.41</v>
      </c>
      <c r="F1090" s="32" t="n">
        <v>2046.805</v>
      </c>
      <c r="G1090" s="32" t="n">
        <v>2.376</v>
      </c>
      <c r="H1090" s="32" t="inlineStr">
        <is>
          <t>MM</t>
        </is>
      </c>
      <c r="K1090" s="32" t="inlineStr">
        <is>
          <t>20250514-54</t>
        </is>
      </c>
    </row>
    <row r="1091">
      <c r="A1091" s="32" t="n">
        <v>44</v>
      </c>
      <c r="B1091" s="32" t="inlineStr">
        <is>
          <t>K3-4C</t>
        </is>
      </c>
      <c r="D1091" s="32" t="n">
        <v>9.01</v>
      </c>
      <c r="E1091" s="32" t="n">
        <v>121.655</v>
      </c>
      <c r="F1091" s="32" t="n">
        <v>1963.707</v>
      </c>
      <c r="G1091" s="32" t="n">
        <v>2.938</v>
      </c>
      <c r="H1091" s="32" t="inlineStr">
        <is>
          <t>MM</t>
        </is>
      </c>
      <c r="K1091" s="32" t="inlineStr">
        <is>
          <t>20250514-55</t>
        </is>
      </c>
    </row>
    <row r="1092">
      <c r="A1092" s="32" t="n">
        <v>45</v>
      </c>
      <c r="B1092" s="32" t="inlineStr">
        <is>
          <t>MeOH</t>
        </is>
      </c>
      <c r="K1092" s="32" t="inlineStr">
        <is>
          <t>20250514-56</t>
        </is>
      </c>
    </row>
    <row r="1093">
      <c r="A1093" s="32" t="n">
        <v>46</v>
      </c>
      <c r="B1093" s="32" t="inlineStr">
        <is>
          <t>K3-6A</t>
        </is>
      </c>
      <c r="D1093" s="32" t="n">
        <v>9.039999999999999</v>
      </c>
      <c r="E1093" s="32" t="n">
        <v>35.421</v>
      </c>
      <c r="F1093" s="32" t="n">
        <v>2063.159</v>
      </c>
      <c r="G1093" s="32" t="n">
        <v>1.491</v>
      </c>
      <c r="H1093" s="32" t="inlineStr">
        <is>
          <t>MM</t>
        </is>
      </c>
      <c r="K1093" s="32" t="inlineStr">
        <is>
          <t>20250514-57</t>
        </is>
      </c>
    </row>
    <row r="1094">
      <c r="A1094" s="32" t="n">
        <v>47</v>
      </c>
      <c r="B1094" s="32" t="inlineStr">
        <is>
          <t>K3-6B</t>
        </is>
      </c>
      <c r="D1094" s="32" t="n">
        <v>9.08</v>
      </c>
      <c r="E1094" s="32" t="n">
        <v>159.437</v>
      </c>
      <c r="F1094" s="32" t="n">
        <v>1701.403</v>
      </c>
      <c r="G1094" s="32" t="n">
        <v>3.199</v>
      </c>
      <c r="H1094" s="32" t="inlineStr">
        <is>
          <t>MM</t>
        </is>
      </c>
      <c r="K1094" s="32" t="inlineStr">
        <is>
          <t>20250514-58</t>
        </is>
      </c>
    </row>
    <row r="1095">
      <c r="A1095" s="32" t="n">
        <v>48</v>
      </c>
      <c r="B1095" s="32" t="inlineStr">
        <is>
          <t>K3-6C</t>
        </is>
      </c>
      <c r="D1095" s="32" t="n">
        <v>8.99</v>
      </c>
      <c r="E1095" s="32" t="n">
        <v>227.932</v>
      </c>
      <c r="F1095" s="32" t="n">
        <v>1921.069</v>
      </c>
      <c r="G1095" s="32" t="n">
        <v>5.765</v>
      </c>
      <c r="H1095" s="32" t="inlineStr">
        <is>
          <t>MM</t>
        </is>
      </c>
      <c r="K1095" s="32" t="inlineStr">
        <is>
          <t>20250514-59</t>
        </is>
      </c>
    </row>
    <row r="1097">
      <c r="A1097" s="32" t="inlineStr">
        <is>
          <t>Compound 22:  PFHxA 2</t>
        </is>
      </c>
    </row>
    <row r="1099">
      <c r="B1099" s="32" t="inlineStr">
        <is>
          <t>Sample Text</t>
        </is>
      </c>
      <c r="C1099" s="32" t="inlineStr">
        <is>
          <t>Std. Conc</t>
        </is>
      </c>
      <c r="D1099" s="32" t="inlineStr">
        <is>
          <t>RT</t>
        </is>
      </c>
      <c r="E1099" s="32" t="inlineStr">
        <is>
          <t>Area</t>
        </is>
      </c>
      <c r="F1099" s="32" t="inlineStr">
        <is>
          <t>IS Area</t>
        </is>
      </c>
      <c r="G1099" s="32" t="inlineStr">
        <is>
          <t>S/N</t>
        </is>
      </c>
      <c r="H1099" s="32" t="inlineStr">
        <is>
          <t>Primary Flags</t>
        </is>
      </c>
      <c r="I1099" s="32" t="inlineStr">
        <is>
          <t>Response</t>
        </is>
      </c>
      <c r="J1099" s="32" t="inlineStr">
        <is>
          <t>Conc.</t>
        </is>
      </c>
      <c r="K1099" s="32" t="inlineStr">
        <is>
          <t>Name</t>
        </is>
      </c>
    </row>
    <row r="1100">
      <c r="A1100" s="32" t="n">
        <v>1</v>
      </c>
      <c r="B1100" s="32" t="inlineStr">
        <is>
          <t>EPA1633 &amp; diPAPs Calibration 0 ppb</t>
        </is>
      </c>
      <c r="D1100" s="32" t="n">
        <v>8.35</v>
      </c>
      <c r="E1100" s="32" t="n">
        <v>0.27</v>
      </c>
      <c r="F1100" s="32" t="n">
        <v>2771.78</v>
      </c>
      <c r="G1100" s="32" t="n">
        <v>4</v>
      </c>
      <c r="H1100" s="32" t="inlineStr">
        <is>
          <t>bb</t>
        </is>
      </c>
      <c r="K1100" s="32" t="inlineStr">
        <is>
          <t>20250514-12</t>
        </is>
      </c>
    </row>
    <row r="1101">
      <c r="A1101" s="32" t="n">
        <v>2</v>
      </c>
      <c r="B1101" s="32" t="inlineStr">
        <is>
          <t>EPA1633 &amp; diPAPs Calibration 0.02 ppb</t>
        </is>
      </c>
      <c r="D1101" s="32" t="n">
        <v>8.029999999999999</v>
      </c>
      <c r="E1101" s="32" t="n">
        <v>0.287</v>
      </c>
      <c r="F1101" s="32" t="n">
        <v>2613.678</v>
      </c>
      <c r="G1101" s="32" t="n">
        <v>5</v>
      </c>
      <c r="H1101" s="32" t="inlineStr">
        <is>
          <t>MM</t>
        </is>
      </c>
      <c r="K1101" s="32" t="inlineStr">
        <is>
          <t>20250514-13</t>
        </is>
      </c>
    </row>
    <row r="1102">
      <c r="A1102" s="32" t="n">
        <v>3</v>
      </c>
      <c r="B1102" s="32" t="inlineStr">
        <is>
          <t>EPA1633 &amp; diPAPs Calibration 0.1 ppb</t>
        </is>
      </c>
      <c r="F1102" s="32" t="n">
        <v>2704.411</v>
      </c>
      <c r="K1102" s="32" t="inlineStr">
        <is>
          <t>20250514-14</t>
        </is>
      </c>
    </row>
    <row r="1103">
      <c r="A1103" s="32" t="n">
        <v>4</v>
      </c>
      <c r="B1103" s="32" t="inlineStr">
        <is>
          <t>EPA1633 &amp; diPAPs Calibration 0.4 ppb</t>
        </is>
      </c>
      <c r="F1103" s="32" t="n">
        <v>2633.712</v>
      </c>
      <c r="K1103" s="32" t="inlineStr">
        <is>
          <t>20250514-15</t>
        </is>
      </c>
    </row>
    <row r="1104">
      <c r="A1104" s="32" t="n">
        <v>5</v>
      </c>
      <c r="B1104" s="32" t="inlineStr">
        <is>
          <t>EPA1633 &amp; diPAPs Calibration 1 ppb</t>
        </is>
      </c>
      <c r="D1104" s="32" t="n">
        <v>8.9</v>
      </c>
      <c r="E1104" s="32" t="n">
        <v>3.66</v>
      </c>
      <c r="F1104" s="32" t="n">
        <v>2798.003</v>
      </c>
      <c r="G1104" s="32" t="n">
        <v>39</v>
      </c>
      <c r="H1104" s="32" t="inlineStr">
        <is>
          <t>bb</t>
        </is>
      </c>
      <c r="K1104" s="32" t="inlineStr">
        <is>
          <t>20250514-16</t>
        </is>
      </c>
    </row>
    <row r="1105">
      <c r="A1105" s="32" t="n">
        <v>6</v>
      </c>
      <c r="B1105" s="32" t="inlineStr">
        <is>
          <t>EPA1633 &amp; diPAPs Calibration 5 ppb</t>
        </is>
      </c>
      <c r="D1105" s="32" t="n">
        <v>8.720000000000001</v>
      </c>
      <c r="E1105" s="32" t="n">
        <v>26.424</v>
      </c>
      <c r="F1105" s="32" t="n">
        <v>2309.18</v>
      </c>
      <c r="G1105" s="32" t="n">
        <v>334</v>
      </c>
      <c r="H1105" s="32" t="inlineStr">
        <is>
          <t>bb</t>
        </is>
      </c>
      <c r="K1105" s="32" t="inlineStr">
        <is>
          <t>20250514-17</t>
        </is>
      </c>
    </row>
    <row r="1106">
      <c r="A1106" s="32" t="n">
        <v>7</v>
      </c>
      <c r="B1106" s="32" t="inlineStr">
        <is>
          <t>EPA1633 &amp; diPAPs Calibration 10 ppb</t>
        </is>
      </c>
      <c r="D1106" s="32" t="n">
        <v>8.800000000000001</v>
      </c>
      <c r="E1106" s="32" t="n">
        <v>67.629</v>
      </c>
      <c r="F1106" s="32" t="n">
        <v>2072.812</v>
      </c>
      <c r="G1106" s="32" t="n">
        <v>850</v>
      </c>
      <c r="H1106" s="32" t="inlineStr">
        <is>
          <t>bb</t>
        </is>
      </c>
      <c r="K1106" s="32" t="inlineStr">
        <is>
          <t>20250514-18</t>
        </is>
      </c>
    </row>
    <row r="1107">
      <c r="A1107" s="32" t="n">
        <v>8</v>
      </c>
      <c r="B1107" s="32" t="inlineStr">
        <is>
          <t>EPA1633 &amp; diPAPs Calibration 20 ppb</t>
        </is>
      </c>
      <c r="D1107" s="32" t="n">
        <v>8.869999999999999</v>
      </c>
      <c r="E1107" s="32" t="n">
        <v>188.025</v>
      </c>
      <c r="F1107" s="32" t="n">
        <v>1703.301</v>
      </c>
      <c r="G1107" s="32" t="n">
        <v>6.494</v>
      </c>
      <c r="H1107" s="32" t="inlineStr">
        <is>
          <t>bb</t>
        </is>
      </c>
      <c r="K1107" s="32" t="inlineStr">
        <is>
          <t>20250514-19</t>
        </is>
      </c>
    </row>
    <row r="1108">
      <c r="A1108" s="32" t="n">
        <v>9</v>
      </c>
      <c r="B1108" s="32" t="inlineStr">
        <is>
          <t>MeOH</t>
        </is>
      </c>
      <c r="K1108" s="32" t="inlineStr">
        <is>
          <t>20250514-20</t>
        </is>
      </c>
    </row>
    <row r="1109">
      <c r="A1109" s="32" t="n">
        <v>10</v>
      </c>
      <c r="B1109" s="32" t="inlineStr">
        <is>
          <t>MeOH</t>
        </is>
      </c>
      <c r="K1109" s="32" t="inlineStr">
        <is>
          <t>20250514-21</t>
        </is>
      </c>
    </row>
    <row r="1110">
      <c r="A1110" s="32" t="n">
        <v>11</v>
      </c>
      <c r="B1110" s="32" t="inlineStr">
        <is>
          <t>SB1</t>
        </is>
      </c>
      <c r="F1110" s="32" t="n">
        <v>802.6180000000001</v>
      </c>
      <c r="K1110" s="32" t="inlineStr">
        <is>
          <t>20250514-22</t>
        </is>
      </c>
    </row>
    <row r="1111">
      <c r="A1111" s="32" t="n">
        <v>12</v>
      </c>
      <c r="B1111" s="32" t="inlineStr">
        <is>
          <t>SB2</t>
        </is>
      </c>
      <c r="F1111" s="32" t="n">
        <v>1039.268</v>
      </c>
      <c r="K1111" s="32" t="inlineStr">
        <is>
          <t>20250514-23</t>
        </is>
      </c>
    </row>
    <row r="1112">
      <c r="A1112" s="32" t="n">
        <v>13</v>
      </c>
      <c r="B1112" s="32" t="inlineStr">
        <is>
          <t>SB3</t>
        </is>
      </c>
      <c r="F1112" s="32" t="n">
        <v>1005.736</v>
      </c>
      <c r="K1112" s="32" t="inlineStr">
        <is>
          <t>20250514-24</t>
        </is>
      </c>
    </row>
    <row r="1113">
      <c r="A1113" s="32" t="n">
        <v>14</v>
      </c>
      <c r="B1113" s="32" t="inlineStr">
        <is>
          <t>SS1</t>
        </is>
      </c>
      <c r="D1113" s="32" t="n">
        <v>8.970000000000001</v>
      </c>
      <c r="E1113" s="32" t="n">
        <v>25.107</v>
      </c>
      <c r="F1113" s="32" t="n">
        <v>860.02</v>
      </c>
      <c r="G1113" s="32" t="n">
        <v>188</v>
      </c>
      <c r="H1113" s="32" t="inlineStr">
        <is>
          <t>bb</t>
        </is>
      </c>
      <c r="K1113" s="32" t="inlineStr">
        <is>
          <t>20250514-25</t>
        </is>
      </c>
    </row>
    <row r="1114">
      <c r="A1114" s="32" t="n">
        <v>15</v>
      </c>
      <c r="B1114" s="32" t="inlineStr">
        <is>
          <t>SS2</t>
        </is>
      </c>
      <c r="D1114" s="32" t="n">
        <v>9.02</v>
      </c>
      <c r="E1114" s="32" t="n">
        <v>43.204</v>
      </c>
      <c r="F1114" s="32" t="n">
        <v>1205.224</v>
      </c>
      <c r="G1114" s="32" t="n">
        <v>8.984</v>
      </c>
      <c r="H1114" s="32" t="inlineStr">
        <is>
          <t>bb</t>
        </is>
      </c>
      <c r="K1114" s="32" t="inlineStr">
        <is>
          <t>20250514-26</t>
        </is>
      </c>
    </row>
    <row r="1115">
      <c r="A1115" s="32" t="n">
        <v>16</v>
      </c>
      <c r="B1115" s="32" t="inlineStr">
        <is>
          <t>SS3</t>
        </is>
      </c>
      <c r="D1115" s="32" t="n">
        <v>8.99</v>
      </c>
      <c r="E1115" s="32" t="n">
        <v>10.412</v>
      </c>
      <c r="F1115" s="32" t="n">
        <v>953.783</v>
      </c>
      <c r="G1115" s="32" t="n">
        <v>4.848</v>
      </c>
      <c r="H1115" s="32" t="inlineStr">
        <is>
          <t>bb</t>
        </is>
      </c>
      <c r="K1115" s="32" t="inlineStr">
        <is>
          <t>20250514-27</t>
        </is>
      </c>
    </row>
    <row r="1116">
      <c r="A1116" s="32" t="n">
        <v>17</v>
      </c>
      <c r="B1116" s="32" t="inlineStr">
        <is>
          <t>MeOH</t>
        </is>
      </c>
      <c r="K1116" s="32" t="inlineStr">
        <is>
          <t>20250514-28</t>
        </is>
      </c>
    </row>
    <row r="1117">
      <c r="A1117" s="32" t="n">
        <v>18</v>
      </c>
      <c r="B1117" s="32" t="inlineStr">
        <is>
          <t>K4-1A</t>
        </is>
      </c>
      <c r="F1117" s="32" t="n">
        <v>1575.246</v>
      </c>
      <c r="K1117" s="32" t="inlineStr">
        <is>
          <t>20250514-29</t>
        </is>
      </c>
    </row>
    <row r="1118">
      <c r="A1118" s="32" t="n">
        <v>19</v>
      </c>
      <c r="B1118" s="32" t="inlineStr">
        <is>
          <t>K4-1B</t>
        </is>
      </c>
      <c r="D1118" s="32" t="n">
        <v>9.199999999999999</v>
      </c>
      <c r="E1118" s="32" t="n">
        <v>0.663</v>
      </c>
      <c r="F1118" s="32" t="n">
        <v>1550.869</v>
      </c>
      <c r="G1118" s="32" t="n">
        <v>8</v>
      </c>
      <c r="H1118" s="32" t="inlineStr">
        <is>
          <t>bb</t>
        </is>
      </c>
      <c r="K1118" s="32" t="inlineStr">
        <is>
          <t>20250514-30</t>
        </is>
      </c>
    </row>
    <row r="1119">
      <c r="A1119" s="32" t="n">
        <v>20</v>
      </c>
      <c r="B1119" s="32" t="inlineStr">
        <is>
          <t>K4-1C</t>
        </is>
      </c>
      <c r="F1119" s="32" t="n">
        <v>1163.846</v>
      </c>
      <c r="K1119" s="32" t="inlineStr">
        <is>
          <t>20250514-31</t>
        </is>
      </c>
    </row>
    <row r="1120">
      <c r="A1120" s="32" t="n">
        <v>21</v>
      </c>
      <c r="B1120" s="32" t="inlineStr">
        <is>
          <t>K4-2A</t>
        </is>
      </c>
      <c r="F1120" s="32" t="n">
        <v>1084.067</v>
      </c>
      <c r="K1120" s="32" t="inlineStr">
        <is>
          <t>20250514-32</t>
        </is>
      </c>
    </row>
    <row r="1121">
      <c r="A1121" s="32" t="n">
        <v>22</v>
      </c>
      <c r="B1121" s="32" t="inlineStr">
        <is>
          <t>K4-2B</t>
        </is>
      </c>
      <c r="F1121" s="32" t="n">
        <v>1044.51</v>
      </c>
      <c r="K1121" s="32" t="inlineStr">
        <is>
          <t>20250514-33</t>
        </is>
      </c>
    </row>
    <row r="1122">
      <c r="A1122" s="32" t="n">
        <v>23</v>
      </c>
      <c r="B1122" s="32" t="inlineStr">
        <is>
          <t>K4-2C</t>
        </is>
      </c>
      <c r="F1122" s="32" t="n">
        <v>1020.096</v>
      </c>
      <c r="K1122" s="32" t="inlineStr">
        <is>
          <t>20250514-34</t>
        </is>
      </c>
    </row>
    <row r="1123">
      <c r="A1123" s="32" t="n">
        <v>24</v>
      </c>
      <c r="B1123" s="32" t="inlineStr">
        <is>
          <t>MeOH</t>
        </is>
      </c>
      <c r="K1123" s="32" t="inlineStr">
        <is>
          <t>20250514-35</t>
        </is>
      </c>
    </row>
    <row r="1124">
      <c r="A1124" s="32" t="n">
        <v>25</v>
      </c>
      <c r="B1124" s="32" t="inlineStr">
        <is>
          <t>K4-4A</t>
        </is>
      </c>
      <c r="F1124" s="32" t="n">
        <v>1051.351</v>
      </c>
      <c r="K1124" s="32" t="inlineStr">
        <is>
          <t>20250514-36</t>
        </is>
      </c>
    </row>
    <row r="1125">
      <c r="A1125" s="32" t="n">
        <v>26</v>
      </c>
      <c r="B1125" s="32" t="inlineStr">
        <is>
          <t>K4-4B</t>
        </is>
      </c>
      <c r="F1125" s="32" t="n">
        <v>1035.151</v>
      </c>
      <c r="K1125" s="32" t="inlineStr">
        <is>
          <t>20250514-37</t>
        </is>
      </c>
    </row>
    <row r="1126">
      <c r="A1126" s="32" t="n">
        <v>27</v>
      </c>
      <c r="B1126" s="32" t="inlineStr">
        <is>
          <t>K4-4C</t>
        </is>
      </c>
      <c r="F1126" s="32" t="n">
        <v>822.99</v>
      </c>
      <c r="K1126" s="32" t="inlineStr">
        <is>
          <t>20250514-38</t>
        </is>
      </c>
    </row>
    <row r="1127">
      <c r="A1127" s="32" t="n">
        <v>28</v>
      </c>
      <c r="B1127" s="32" t="inlineStr">
        <is>
          <t>K4-5A</t>
        </is>
      </c>
      <c r="F1127" s="32" t="n">
        <v>985.0170000000001</v>
      </c>
      <c r="K1127" s="32" t="inlineStr">
        <is>
          <t>20250514-39</t>
        </is>
      </c>
    </row>
    <row r="1128">
      <c r="A1128" s="32" t="n">
        <v>29</v>
      </c>
      <c r="B1128" s="32" t="inlineStr">
        <is>
          <t>K4-5B</t>
        </is>
      </c>
      <c r="F1128" s="32" t="n">
        <v>1024.411</v>
      </c>
      <c r="K1128" s="32" t="inlineStr">
        <is>
          <t>20250514-40</t>
        </is>
      </c>
    </row>
    <row r="1129">
      <c r="A1129" s="32" t="n">
        <v>30</v>
      </c>
      <c r="B1129" s="32" t="inlineStr">
        <is>
          <t>K4-5C</t>
        </is>
      </c>
      <c r="F1129" s="32" t="n">
        <v>1313.31</v>
      </c>
      <c r="K1129" s="32" t="inlineStr">
        <is>
          <t>20250514-41</t>
        </is>
      </c>
    </row>
    <row r="1130">
      <c r="A1130" s="32" t="n">
        <v>31</v>
      </c>
      <c r="B1130" s="32" t="inlineStr">
        <is>
          <t>MeOH</t>
        </is>
      </c>
      <c r="K1130" s="32" t="inlineStr">
        <is>
          <t>20250514-42</t>
        </is>
      </c>
    </row>
    <row r="1131">
      <c r="A1131" s="32" t="n">
        <v>32</v>
      </c>
      <c r="B1131" s="32" t="inlineStr">
        <is>
          <t>K3-1A</t>
        </is>
      </c>
      <c r="F1131" s="32" t="n">
        <v>1115.547</v>
      </c>
      <c r="K1131" s="32" t="inlineStr">
        <is>
          <t>20250514-43</t>
        </is>
      </c>
    </row>
    <row r="1132">
      <c r="A1132" s="32" t="n">
        <v>33</v>
      </c>
      <c r="B1132" s="32" t="inlineStr">
        <is>
          <t>K3-1B</t>
        </is>
      </c>
      <c r="D1132" s="32" t="n">
        <v>8.550000000000001</v>
      </c>
      <c r="E1132" s="32" t="n">
        <v>0.443</v>
      </c>
      <c r="F1132" s="32" t="n">
        <v>868.492</v>
      </c>
      <c r="G1132" s="32" t="n">
        <v>6</v>
      </c>
      <c r="H1132" s="32" t="inlineStr">
        <is>
          <t>bb</t>
        </is>
      </c>
      <c r="K1132" s="32" t="inlineStr">
        <is>
          <t>20250514-44</t>
        </is>
      </c>
    </row>
    <row r="1133">
      <c r="A1133" s="32" t="n">
        <v>34</v>
      </c>
      <c r="B1133" s="32" t="inlineStr">
        <is>
          <t>K3-1C</t>
        </is>
      </c>
      <c r="F1133" s="32" t="n">
        <v>1891.713</v>
      </c>
      <c r="K1133" s="32" t="inlineStr">
        <is>
          <t>20250514-45</t>
        </is>
      </c>
    </row>
    <row r="1134">
      <c r="A1134" s="32" t="n">
        <v>35</v>
      </c>
      <c r="B1134" s="32" t="inlineStr">
        <is>
          <t>K3-2A</t>
        </is>
      </c>
      <c r="F1134" s="32" t="n">
        <v>1176.041</v>
      </c>
      <c r="K1134" s="32" t="inlineStr">
        <is>
          <t>20250514-46</t>
        </is>
      </c>
    </row>
    <row r="1135">
      <c r="A1135" s="32" t="n">
        <v>36</v>
      </c>
      <c r="B1135" s="32" t="inlineStr">
        <is>
          <t>K3-2B</t>
        </is>
      </c>
      <c r="F1135" s="32" t="n">
        <v>1321.349</v>
      </c>
      <c r="K1135" s="32" t="inlineStr">
        <is>
          <t>20250514-47</t>
        </is>
      </c>
    </row>
    <row r="1136">
      <c r="A1136" s="32" t="n">
        <v>37</v>
      </c>
      <c r="B1136" s="32" t="inlineStr">
        <is>
          <t>K3-2C</t>
        </is>
      </c>
      <c r="F1136" s="32" t="n">
        <v>1479.533</v>
      </c>
      <c r="K1136" s="32" t="inlineStr">
        <is>
          <t>20250514-48</t>
        </is>
      </c>
    </row>
    <row r="1137">
      <c r="A1137" s="32" t="n">
        <v>38</v>
      </c>
      <c r="B1137" s="32" t="inlineStr">
        <is>
          <t>MeOH</t>
        </is>
      </c>
      <c r="K1137" s="32" t="inlineStr">
        <is>
          <t>20250514-49</t>
        </is>
      </c>
    </row>
    <row r="1138">
      <c r="A1138" s="32" t="n">
        <v>39</v>
      </c>
      <c r="B1138" s="32" t="inlineStr">
        <is>
          <t>K3-3A</t>
        </is>
      </c>
      <c r="F1138" s="32" t="n">
        <v>1517.701</v>
      </c>
      <c r="K1138" s="32" t="inlineStr">
        <is>
          <t>20250514-50</t>
        </is>
      </c>
    </row>
    <row r="1139">
      <c r="A1139" s="32" t="n">
        <v>40</v>
      </c>
      <c r="B1139" s="32" t="inlineStr">
        <is>
          <t>K3-3B</t>
        </is>
      </c>
      <c r="F1139" s="32" t="n">
        <v>1453.885</v>
      </c>
      <c r="K1139" s="32" t="inlineStr">
        <is>
          <t>20250514-51</t>
        </is>
      </c>
    </row>
    <row r="1140">
      <c r="A1140" s="32" t="n">
        <v>41</v>
      </c>
      <c r="B1140" s="32" t="inlineStr">
        <is>
          <t>K3-3C</t>
        </is>
      </c>
      <c r="F1140" s="32" t="n">
        <v>1930.228</v>
      </c>
      <c r="K1140" s="32" t="inlineStr">
        <is>
          <t>20250514-52</t>
        </is>
      </c>
    </row>
    <row r="1141">
      <c r="A1141" s="32" t="n">
        <v>42</v>
      </c>
      <c r="B1141" s="32" t="inlineStr">
        <is>
          <t>K3-4A</t>
        </is>
      </c>
      <c r="F1141" s="32" t="n">
        <v>2454.78</v>
      </c>
      <c r="K1141" s="32" t="inlineStr">
        <is>
          <t>20250514-53</t>
        </is>
      </c>
    </row>
    <row r="1142">
      <c r="A1142" s="32" t="n">
        <v>43</v>
      </c>
      <c r="B1142" s="32" t="inlineStr">
        <is>
          <t>K3-4B</t>
        </is>
      </c>
      <c r="F1142" s="32" t="n">
        <v>2046.805</v>
      </c>
      <c r="K1142" s="32" t="inlineStr">
        <is>
          <t>20250514-54</t>
        </is>
      </c>
    </row>
    <row r="1143">
      <c r="A1143" s="32" t="n">
        <v>44</v>
      </c>
      <c r="B1143" s="32" t="inlineStr">
        <is>
          <t>K3-4C</t>
        </is>
      </c>
      <c r="F1143" s="32" t="n">
        <v>1963.707</v>
      </c>
      <c r="K1143" s="32" t="inlineStr">
        <is>
          <t>20250514-55</t>
        </is>
      </c>
    </row>
    <row r="1144">
      <c r="A1144" s="32" t="n">
        <v>45</v>
      </c>
      <c r="B1144" s="32" t="inlineStr">
        <is>
          <t>MeOH</t>
        </is>
      </c>
      <c r="K1144" s="32" t="inlineStr">
        <is>
          <t>20250514-56</t>
        </is>
      </c>
    </row>
    <row r="1145">
      <c r="A1145" s="32" t="n">
        <v>46</v>
      </c>
      <c r="B1145" s="32" t="inlineStr">
        <is>
          <t>K3-6A</t>
        </is>
      </c>
      <c r="F1145" s="32" t="n">
        <v>2063.159</v>
      </c>
      <c r="K1145" s="32" t="inlineStr">
        <is>
          <t>20250514-57</t>
        </is>
      </c>
    </row>
    <row r="1146">
      <c r="A1146" s="32" t="n">
        <v>47</v>
      </c>
      <c r="B1146" s="32" t="inlineStr">
        <is>
          <t>K3-6B</t>
        </is>
      </c>
      <c r="F1146" s="32" t="n">
        <v>1701.403</v>
      </c>
      <c r="K1146" s="32" t="inlineStr">
        <is>
          <t>20250514-58</t>
        </is>
      </c>
    </row>
    <row r="1147">
      <c r="A1147" s="32" t="n">
        <v>48</v>
      </c>
      <c r="B1147" s="32" t="inlineStr">
        <is>
          <t>K3-6C</t>
        </is>
      </c>
      <c r="F1147" s="32" t="n">
        <v>1921.069</v>
      </c>
      <c r="K1147" s="32" t="inlineStr">
        <is>
          <t>20250514-59</t>
        </is>
      </c>
    </row>
    <row r="1149">
      <c r="A1149" s="32" t="inlineStr">
        <is>
          <t>Compound 23:  m2 PFHxA</t>
        </is>
      </c>
    </row>
    <row r="1151">
      <c r="B1151" s="32" t="inlineStr">
        <is>
          <t>Sample Text</t>
        </is>
      </c>
      <c r="C1151" s="32" t="inlineStr">
        <is>
          <t>Std. Conc</t>
        </is>
      </c>
      <c r="D1151" s="32" t="inlineStr">
        <is>
          <t>RT</t>
        </is>
      </c>
      <c r="E1151" s="32" t="inlineStr">
        <is>
          <t>Area</t>
        </is>
      </c>
      <c r="F1151" s="32" t="inlineStr">
        <is>
          <t>IS Area</t>
        </is>
      </c>
      <c r="G1151" s="32" t="inlineStr">
        <is>
          <t>S/N</t>
        </is>
      </c>
      <c r="H1151" s="32" t="inlineStr">
        <is>
          <t>Primary Flags</t>
        </is>
      </c>
      <c r="I1151" s="32" t="inlineStr">
        <is>
          <t>Response</t>
        </is>
      </c>
      <c r="J1151" s="32" t="inlineStr">
        <is>
          <t>Conc.</t>
        </is>
      </c>
      <c r="K1151" s="32" t="inlineStr">
        <is>
          <t>Name</t>
        </is>
      </c>
    </row>
    <row r="1152">
      <c r="A1152" s="32" t="n">
        <v>1</v>
      </c>
      <c r="F1152" s="32" t="n">
        <v>2771.78</v>
      </c>
      <c r="K1152" s="32" t="inlineStr">
        <is>
          <t>20250514-12</t>
        </is>
      </c>
    </row>
    <row r="1153">
      <c r="A1153" s="32" t="n">
        <v>2</v>
      </c>
      <c r="F1153" s="32" t="n">
        <v>2613.678</v>
      </c>
      <c r="K1153" s="32" t="inlineStr">
        <is>
          <t>20250514-13</t>
        </is>
      </c>
    </row>
    <row r="1154">
      <c r="A1154" s="32" t="n">
        <v>3</v>
      </c>
      <c r="F1154" s="32" t="n">
        <v>2704.411</v>
      </c>
      <c r="K1154" s="32" t="inlineStr">
        <is>
          <t>20250514-14</t>
        </is>
      </c>
    </row>
    <row r="1155">
      <c r="A1155" s="32" t="n">
        <v>4</v>
      </c>
      <c r="F1155" s="32" t="n">
        <v>2633.712</v>
      </c>
      <c r="K1155" s="32" t="inlineStr">
        <is>
          <t>20250514-15</t>
        </is>
      </c>
    </row>
    <row r="1156">
      <c r="A1156" s="32" t="n">
        <v>5</v>
      </c>
      <c r="F1156" s="32" t="n">
        <v>2798.003</v>
      </c>
      <c r="K1156" s="32" t="inlineStr">
        <is>
          <t>20250514-16</t>
        </is>
      </c>
    </row>
    <row r="1157">
      <c r="A1157" s="32" t="n">
        <v>6</v>
      </c>
      <c r="F1157" s="32" t="n">
        <v>2309.18</v>
      </c>
      <c r="K1157" s="32" t="inlineStr">
        <is>
          <t>20250514-17</t>
        </is>
      </c>
    </row>
    <row r="1158">
      <c r="A1158" s="32" t="n">
        <v>7</v>
      </c>
      <c r="F1158" s="32" t="n">
        <v>2072.812</v>
      </c>
      <c r="K1158" s="32" t="inlineStr">
        <is>
          <t>20250514-18</t>
        </is>
      </c>
    </row>
    <row r="1159">
      <c r="A1159" s="32" t="n">
        <v>8</v>
      </c>
      <c r="F1159" s="32" t="n">
        <v>1703.301</v>
      </c>
      <c r="K1159" s="32" t="inlineStr">
        <is>
          <t>20250514-19</t>
        </is>
      </c>
    </row>
    <row r="1160">
      <c r="A1160" s="32" t="n">
        <v>9</v>
      </c>
      <c r="K1160" s="32" t="inlineStr">
        <is>
          <t>20250514-20</t>
        </is>
      </c>
    </row>
    <row r="1161">
      <c r="A1161" s="32" t="n">
        <v>10</v>
      </c>
      <c r="K1161" s="32" t="inlineStr">
        <is>
          <t>20250514-21</t>
        </is>
      </c>
    </row>
    <row r="1162">
      <c r="A1162" s="32" t="n">
        <v>11</v>
      </c>
      <c r="F1162" s="32" t="n">
        <v>802.6180000000001</v>
      </c>
      <c r="K1162" s="32" t="inlineStr">
        <is>
          <t>20250514-22</t>
        </is>
      </c>
    </row>
    <row r="1163">
      <c r="A1163" s="32" t="n">
        <v>12</v>
      </c>
      <c r="F1163" s="32" t="n">
        <v>1039.268</v>
      </c>
      <c r="K1163" s="32" t="inlineStr">
        <is>
          <t>20250514-23</t>
        </is>
      </c>
    </row>
    <row r="1164">
      <c r="A1164" s="32" t="n">
        <v>13</v>
      </c>
      <c r="F1164" s="32" t="n">
        <v>1005.736</v>
      </c>
      <c r="K1164" s="32" t="inlineStr">
        <is>
          <t>20250514-24</t>
        </is>
      </c>
    </row>
    <row r="1165">
      <c r="A1165" s="32" t="n">
        <v>14</v>
      </c>
      <c r="F1165" s="32" t="n">
        <v>860.02</v>
      </c>
      <c r="K1165" s="32" t="inlineStr">
        <is>
          <t>20250514-25</t>
        </is>
      </c>
    </row>
    <row r="1166">
      <c r="A1166" s="32" t="n">
        <v>15</v>
      </c>
      <c r="F1166" s="32" t="n">
        <v>1205.224</v>
      </c>
      <c r="K1166" s="32" t="inlineStr">
        <is>
          <t>20250514-26</t>
        </is>
      </c>
    </row>
    <row r="1167">
      <c r="A1167" s="32" t="n">
        <v>16</v>
      </c>
      <c r="F1167" s="32" t="n">
        <v>953.783</v>
      </c>
      <c r="K1167" s="32" t="inlineStr">
        <is>
          <t>20250514-27</t>
        </is>
      </c>
    </row>
    <row r="1168">
      <c r="A1168" s="32" t="n">
        <v>17</v>
      </c>
      <c r="K1168" s="32" t="inlineStr">
        <is>
          <t>20250514-28</t>
        </is>
      </c>
    </row>
    <row r="1169">
      <c r="A1169" s="32" t="n">
        <v>18</v>
      </c>
      <c r="F1169" s="32" t="n">
        <v>1575.246</v>
      </c>
      <c r="K1169" s="32" t="inlineStr">
        <is>
          <t>20250514-29</t>
        </is>
      </c>
    </row>
    <row r="1170">
      <c r="A1170" s="32" t="n">
        <v>19</v>
      </c>
      <c r="F1170" s="32" t="n">
        <v>1550.869</v>
      </c>
      <c r="K1170" s="32" t="inlineStr">
        <is>
          <t>20250514-30</t>
        </is>
      </c>
    </row>
    <row r="1171">
      <c r="A1171" s="32" t="n">
        <v>20</v>
      </c>
      <c r="F1171" s="32" t="n">
        <v>1163.846</v>
      </c>
      <c r="K1171" s="32" t="inlineStr">
        <is>
          <t>20250514-31</t>
        </is>
      </c>
    </row>
    <row r="1172">
      <c r="A1172" s="32" t="n">
        <v>21</v>
      </c>
      <c r="F1172" s="32" t="n">
        <v>1084.067</v>
      </c>
      <c r="K1172" s="32" t="inlineStr">
        <is>
          <t>20250514-32</t>
        </is>
      </c>
    </row>
    <row r="1173">
      <c r="A1173" s="32" t="n">
        <v>22</v>
      </c>
      <c r="F1173" s="32" t="n">
        <v>1044.51</v>
      </c>
      <c r="K1173" s="32" t="inlineStr">
        <is>
          <t>20250514-33</t>
        </is>
      </c>
    </row>
    <row r="1174">
      <c r="A1174" s="32" t="n">
        <v>23</v>
      </c>
      <c r="F1174" s="32" t="n">
        <v>1020.096</v>
      </c>
      <c r="K1174" s="32" t="inlineStr">
        <is>
          <t>20250514-34</t>
        </is>
      </c>
    </row>
    <row r="1175">
      <c r="A1175" s="32" t="n">
        <v>24</v>
      </c>
      <c r="K1175" s="32" t="inlineStr">
        <is>
          <t>20250514-35</t>
        </is>
      </c>
    </row>
    <row r="1176">
      <c r="A1176" s="32" t="n">
        <v>25</v>
      </c>
      <c r="F1176" s="32" t="n">
        <v>1051.351</v>
      </c>
      <c r="K1176" s="32" t="inlineStr">
        <is>
          <t>20250514-36</t>
        </is>
      </c>
    </row>
    <row r="1177">
      <c r="A1177" s="32" t="n">
        <v>26</v>
      </c>
      <c r="F1177" s="32" t="n">
        <v>1035.151</v>
      </c>
      <c r="K1177" s="32" t="inlineStr">
        <is>
          <t>20250514-37</t>
        </is>
      </c>
    </row>
    <row r="1178">
      <c r="A1178" s="32" t="n">
        <v>27</v>
      </c>
      <c r="F1178" s="32" t="n">
        <v>822.99</v>
      </c>
      <c r="K1178" s="32" t="inlineStr">
        <is>
          <t>20250514-38</t>
        </is>
      </c>
    </row>
    <row r="1179">
      <c r="A1179" s="32" t="n">
        <v>28</v>
      </c>
      <c r="F1179" s="32" t="n">
        <v>985.0170000000001</v>
      </c>
      <c r="K1179" s="32" t="inlineStr">
        <is>
          <t>20250514-39</t>
        </is>
      </c>
    </row>
    <row r="1180">
      <c r="A1180" s="32" t="n">
        <v>29</v>
      </c>
      <c r="F1180" s="32" t="n">
        <v>1024.411</v>
      </c>
      <c r="K1180" s="32" t="inlineStr">
        <is>
          <t>20250514-40</t>
        </is>
      </c>
    </row>
    <row r="1181">
      <c r="A1181" s="32" t="n">
        <v>30</v>
      </c>
      <c r="F1181" s="32" t="n">
        <v>1313.31</v>
      </c>
      <c r="K1181" s="32" t="inlineStr">
        <is>
          <t>20250514-41</t>
        </is>
      </c>
    </row>
    <row r="1182">
      <c r="A1182" s="32" t="n">
        <v>31</v>
      </c>
      <c r="K1182" s="32" t="inlineStr">
        <is>
          <t>20250514-42</t>
        </is>
      </c>
    </row>
    <row r="1183">
      <c r="A1183" s="32" t="n">
        <v>32</v>
      </c>
      <c r="F1183" s="32" t="n">
        <v>1115.547</v>
      </c>
      <c r="K1183" s="32" t="inlineStr">
        <is>
          <t>20250514-43</t>
        </is>
      </c>
    </row>
    <row r="1184">
      <c r="A1184" s="32" t="n">
        <v>33</v>
      </c>
      <c r="F1184" s="32" t="n">
        <v>868.492</v>
      </c>
      <c r="K1184" s="32" t="inlineStr">
        <is>
          <t>20250514-44</t>
        </is>
      </c>
    </row>
    <row r="1185">
      <c r="A1185" s="32" t="n">
        <v>34</v>
      </c>
      <c r="F1185" s="32" t="n">
        <v>1891.713</v>
      </c>
      <c r="K1185" s="32" t="inlineStr">
        <is>
          <t>20250514-45</t>
        </is>
      </c>
    </row>
    <row r="1186">
      <c r="A1186" s="32" t="n">
        <v>35</v>
      </c>
      <c r="F1186" s="32" t="n">
        <v>1176.041</v>
      </c>
      <c r="K1186" s="32" t="inlineStr">
        <is>
          <t>20250514-46</t>
        </is>
      </c>
    </row>
    <row r="1187">
      <c r="A1187" s="32" t="n">
        <v>36</v>
      </c>
      <c r="F1187" s="32" t="n">
        <v>1321.349</v>
      </c>
      <c r="K1187" s="32" t="inlineStr">
        <is>
          <t>20250514-47</t>
        </is>
      </c>
    </row>
    <row r="1188">
      <c r="A1188" s="32" t="n">
        <v>37</v>
      </c>
      <c r="F1188" s="32" t="n">
        <v>1479.533</v>
      </c>
      <c r="K1188" s="32" t="inlineStr">
        <is>
          <t>20250514-48</t>
        </is>
      </c>
    </row>
    <row r="1189">
      <c r="A1189" s="32" t="n">
        <v>38</v>
      </c>
      <c r="K1189" s="32" t="inlineStr">
        <is>
          <t>20250514-49</t>
        </is>
      </c>
    </row>
    <row r="1190">
      <c r="A1190" s="32" t="n">
        <v>39</v>
      </c>
      <c r="F1190" s="32" t="n">
        <v>1517.701</v>
      </c>
      <c r="K1190" s="32" t="inlineStr">
        <is>
          <t>20250514-50</t>
        </is>
      </c>
    </row>
    <row r="1191">
      <c r="A1191" s="32" t="n">
        <v>40</v>
      </c>
      <c r="F1191" s="32" t="n">
        <v>1453.885</v>
      </c>
      <c r="K1191" s="32" t="inlineStr">
        <is>
          <t>20250514-51</t>
        </is>
      </c>
    </row>
    <row r="1192">
      <c r="A1192" s="32" t="n">
        <v>41</v>
      </c>
      <c r="F1192" s="32" t="n">
        <v>1930.228</v>
      </c>
      <c r="K1192" s="32" t="inlineStr">
        <is>
          <t>20250514-52</t>
        </is>
      </c>
    </row>
    <row r="1193">
      <c r="A1193" s="32" t="n">
        <v>42</v>
      </c>
      <c r="F1193" s="32" t="n">
        <v>2454.78</v>
      </c>
      <c r="K1193" s="32" t="inlineStr">
        <is>
          <t>20250514-53</t>
        </is>
      </c>
    </row>
    <row r="1194">
      <c r="A1194" s="32" t="n">
        <v>43</v>
      </c>
      <c r="F1194" s="32" t="n">
        <v>2046.805</v>
      </c>
      <c r="K1194" s="32" t="inlineStr">
        <is>
          <t>20250514-54</t>
        </is>
      </c>
    </row>
    <row r="1195">
      <c r="A1195" s="32" t="n">
        <v>44</v>
      </c>
      <c r="F1195" s="32" t="n">
        <v>1963.707</v>
      </c>
      <c r="K1195" s="32" t="inlineStr">
        <is>
          <t>20250514-55</t>
        </is>
      </c>
    </row>
    <row r="1196">
      <c r="A1196" s="32" t="n">
        <v>45</v>
      </c>
      <c r="K1196" s="32" t="inlineStr">
        <is>
          <t>20250514-56</t>
        </is>
      </c>
    </row>
    <row r="1197">
      <c r="A1197" s="32" t="n">
        <v>46</v>
      </c>
      <c r="F1197" s="32" t="n">
        <v>2063.159</v>
      </c>
      <c r="K1197" s="32" t="inlineStr">
        <is>
          <t>20250514-57</t>
        </is>
      </c>
    </row>
    <row r="1198">
      <c r="A1198" s="32" t="n">
        <v>47</v>
      </c>
      <c r="F1198" s="32" t="n">
        <v>1701.403</v>
      </c>
      <c r="K1198" s="32" t="inlineStr">
        <is>
          <t>20250514-58</t>
        </is>
      </c>
    </row>
    <row r="1199">
      <c r="A1199" s="32" t="n">
        <v>48</v>
      </c>
      <c r="F1199" s="32" t="n">
        <v>1921.069</v>
      </c>
      <c r="K1199" s="32" t="inlineStr">
        <is>
          <t>20250514-59</t>
        </is>
      </c>
    </row>
    <row r="1201">
      <c r="A1201" s="32" t="inlineStr">
        <is>
          <t>Compound 24:  PFEESA 1</t>
        </is>
      </c>
    </row>
    <row r="1203">
      <c r="B1203" s="32" t="inlineStr">
        <is>
          <t>Sample Text</t>
        </is>
      </c>
      <c r="C1203" s="32" t="inlineStr">
        <is>
          <t>Std. Conc</t>
        </is>
      </c>
      <c r="D1203" s="32" t="inlineStr">
        <is>
          <t>RT</t>
        </is>
      </c>
      <c r="E1203" s="32" t="inlineStr">
        <is>
          <t>Area</t>
        </is>
      </c>
      <c r="F1203" s="32" t="inlineStr">
        <is>
          <t>IS Area</t>
        </is>
      </c>
      <c r="G1203" s="32" t="inlineStr">
        <is>
          <t>S/N</t>
        </is>
      </c>
      <c r="H1203" s="32" t="inlineStr">
        <is>
          <t>Primary Flags</t>
        </is>
      </c>
      <c r="I1203" s="32" t="inlineStr">
        <is>
          <t>Response</t>
        </is>
      </c>
      <c r="J1203" s="32" t="inlineStr">
        <is>
          <t>Conc.</t>
        </is>
      </c>
      <c r="K1203" s="32" t="inlineStr">
        <is>
          <t>Name</t>
        </is>
      </c>
    </row>
    <row r="1204">
      <c r="A1204" s="32" t="n">
        <v>1</v>
      </c>
      <c r="B1204" s="32" t="inlineStr">
        <is>
          <t>EPA1633 &amp; diPAPs Calibration 0 ppb</t>
        </is>
      </c>
      <c r="D1204" s="32" t="n">
        <v>8.08</v>
      </c>
      <c r="E1204" s="32" t="n">
        <v>239.857</v>
      </c>
      <c r="F1204" s="32" t="n">
        <v>2771.78</v>
      </c>
      <c r="G1204" s="32" t="n">
        <v>160.371</v>
      </c>
      <c r="H1204" s="32" t="inlineStr">
        <is>
          <t>bb</t>
        </is>
      </c>
      <c r="K1204" s="32" t="inlineStr">
        <is>
          <t>20250514-12</t>
        </is>
      </c>
    </row>
    <row r="1205">
      <c r="A1205" s="32" t="n">
        <v>2</v>
      </c>
      <c r="B1205" s="32" t="inlineStr">
        <is>
          <t>EPA1633 &amp; diPAPs Calibration 0.02 ppb</t>
        </is>
      </c>
      <c r="D1205" s="32" t="n">
        <v>8.119999999999999</v>
      </c>
      <c r="E1205" s="32" t="n">
        <v>1839.717</v>
      </c>
      <c r="F1205" s="32" t="n">
        <v>2613.678</v>
      </c>
      <c r="G1205" s="32" t="n">
        <v>2499.08</v>
      </c>
      <c r="H1205" s="32" t="inlineStr">
        <is>
          <t>bb</t>
        </is>
      </c>
      <c r="K1205" s="32" t="inlineStr">
        <is>
          <t>20250514-13</t>
        </is>
      </c>
    </row>
    <row r="1206">
      <c r="A1206" s="32" t="n">
        <v>3</v>
      </c>
      <c r="B1206" s="32" t="inlineStr">
        <is>
          <t>EPA1633 &amp; diPAPs Calibration 0.1 ppb</t>
        </is>
      </c>
      <c r="D1206" s="32" t="n">
        <v>8.130000000000001</v>
      </c>
      <c r="E1206" s="32" t="n">
        <v>1891.586</v>
      </c>
      <c r="F1206" s="32" t="n">
        <v>2704.411</v>
      </c>
      <c r="G1206" s="32" t="n">
        <v>179.954</v>
      </c>
      <c r="H1206" s="32" t="inlineStr">
        <is>
          <t>bb</t>
        </is>
      </c>
      <c r="K1206" s="32" t="inlineStr">
        <is>
          <t>20250514-14</t>
        </is>
      </c>
    </row>
    <row r="1207">
      <c r="A1207" s="32" t="n">
        <v>4</v>
      </c>
      <c r="B1207" s="32" t="inlineStr">
        <is>
          <t>EPA1633 &amp; diPAPs Calibration 0.4 ppb</t>
        </is>
      </c>
      <c r="D1207" s="32" t="n">
        <v>8.140000000000001</v>
      </c>
      <c r="E1207" s="32" t="n">
        <v>6963.074</v>
      </c>
      <c r="F1207" s="32" t="n">
        <v>2633.712</v>
      </c>
      <c r="G1207" s="32" t="n">
        <v>359.374</v>
      </c>
      <c r="H1207" s="32" t="inlineStr">
        <is>
          <t>bb</t>
        </is>
      </c>
      <c r="K1207" s="32" t="inlineStr">
        <is>
          <t>20250514-15</t>
        </is>
      </c>
    </row>
    <row r="1208">
      <c r="A1208" s="32" t="n">
        <v>5</v>
      </c>
      <c r="B1208" s="32" t="inlineStr">
        <is>
          <t>EPA1633 &amp; diPAPs Calibration 1 ppb</t>
        </is>
      </c>
      <c r="D1208" s="32" t="n">
        <v>8.16</v>
      </c>
      <c r="E1208" s="32" t="n">
        <v>11892.697</v>
      </c>
      <c r="F1208" s="32" t="n">
        <v>2798.003</v>
      </c>
      <c r="G1208" s="32" t="n">
        <v>469.113</v>
      </c>
      <c r="H1208" s="32" t="inlineStr">
        <is>
          <t>bb</t>
        </is>
      </c>
      <c r="K1208" s="32" t="inlineStr">
        <is>
          <t>20250514-16</t>
        </is>
      </c>
    </row>
    <row r="1209">
      <c r="A1209" s="32" t="n">
        <v>6</v>
      </c>
      <c r="B1209" s="32" t="inlineStr">
        <is>
          <t>EPA1633 &amp; diPAPs Calibration 5 ppb</t>
        </is>
      </c>
      <c r="D1209" s="32" t="n">
        <v>7.97</v>
      </c>
      <c r="E1209" s="32" t="n">
        <v>55391.828</v>
      </c>
      <c r="F1209" s="32" t="n">
        <v>2309.18</v>
      </c>
      <c r="G1209" s="32" t="n">
        <v>2664.742</v>
      </c>
      <c r="H1209" s="32" t="inlineStr">
        <is>
          <t>bb</t>
        </is>
      </c>
      <c r="K1209" s="32" t="inlineStr">
        <is>
          <t>20250514-17</t>
        </is>
      </c>
    </row>
    <row r="1210">
      <c r="A1210" s="32" t="n">
        <v>7</v>
      </c>
      <c r="B1210" s="32" t="inlineStr">
        <is>
          <t>EPA1633 &amp; diPAPs Calibration 10 ppb</t>
        </is>
      </c>
      <c r="D1210" s="32" t="n">
        <v>8.050000000000001</v>
      </c>
      <c r="E1210" s="32" t="n">
        <v>106763.656</v>
      </c>
      <c r="F1210" s="32" t="n">
        <v>2072.812</v>
      </c>
      <c r="G1210" s="32" t="n">
        <v>2092.782</v>
      </c>
      <c r="H1210" s="32" t="inlineStr">
        <is>
          <t>bb</t>
        </is>
      </c>
      <c r="K1210" s="32" t="inlineStr">
        <is>
          <t>20250514-18</t>
        </is>
      </c>
    </row>
    <row r="1211">
      <c r="A1211" s="32" t="n">
        <v>8</v>
      </c>
      <c r="B1211" s="32" t="inlineStr">
        <is>
          <t>EPA1633 &amp; diPAPs Calibration 20 ppb</t>
        </is>
      </c>
      <c r="D1211" s="32" t="n">
        <v>8.109999999999999</v>
      </c>
      <c r="E1211" s="32" t="n">
        <v>213814.641</v>
      </c>
      <c r="F1211" s="32" t="n">
        <v>1703.301</v>
      </c>
      <c r="G1211" s="32" t="n">
        <v>3625.398</v>
      </c>
      <c r="H1211" s="32" t="inlineStr">
        <is>
          <t>bb</t>
        </is>
      </c>
      <c r="K1211" s="32" t="inlineStr">
        <is>
          <t>20250514-19</t>
        </is>
      </c>
    </row>
    <row r="1212">
      <c r="A1212" s="32" t="n">
        <v>9</v>
      </c>
      <c r="B1212" s="32" t="inlineStr">
        <is>
          <t>MeOH</t>
        </is>
      </c>
      <c r="D1212" s="32" t="n">
        <v>8.15</v>
      </c>
      <c r="E1212" s="32" t="n">
        <v>299.351</v>
      </c>
      <c r="G1212" s="32" t="n">
        <v>36.877</v>
      </c>
      <c r="H1212" s="32" t="inlineStr">
        <is>
          <t>bb</t>
        </is>
      </c>
      <c r="K1212" s="32" t="inlineStr">
        <is>
          <t>20250514-20</t>
        </is>
      </c>
    </row>
    <row r="1213">
      <c r="A1213" s="32" t="n">
        <v>10</v>
      </c>
      <c r="B1213" s="32" t="inlineStr">
        <is>
          <t>MeOH</t>
        </is>
      </c>
      <c r="D1213" s="32" t="n">
        <v>8.15</v>
      </c>
      <c r="E1213" s="32" t="n">
        <v>293.363</v>
      </c>
      <c r="G1213" s="32" t="n">
        <v>11.947</v>
      </c>
      <c r="H1213" s="32" t="inlineStr">
        <is>
          <t>bb</t>
        </is>
      </c>
      <c r="K1213" s="32" t="inlineStr">
        <is>
          <t>20250514-21</t>
        </is>
      </c>
    </row>
    <row r="1214">
      <c r="A1214" s="32" t="n">
        <v>11</v>
      </c>
      <c r="B1214" s="32" t="inlineStr">
        <is>
          <t>SB1</t>
        </is>
      </c>
      <c r="D1214" s="32" t="n">
        <v>8.19</v>
      </c>
      <c r="E1214" s="32" t="n">
        <v>196.756</v>
      </c>
      <c r="F1214" s="32" t="n">
        <v>802.6180000000001</v>
      </c>
      <c r="G1214" s="32" t="n">
        <v>2206</v>
      </c>
      <c r="H1214" s="32" t="inlineStr">
        <is>
          <t>bb</t>
        </is>
      </c>
      <c r="K1214" s="32" t="inlineStr">
        <is>
          <t>20250514-22</t>
        </is>
      </c>
    </row>
    <row r="1215">
      <c r="A1215" s="32" t="n">
        <v>12</v>
      </c>
      <c r="B1215" s="32" t="inlineStr">
        <is>
          <t>SB2</t>
        </is>
      </c>
      <c r="D1215" s="32" t="n">
        <v>8.02</v>
      </c>
      <c r="E1215" s="32" t="n">
        <v>9.933</v>
      </c>
      <c r="F1215" s="32" t="n">
        <v>1039.268</v>
      </c>
      <c r="G1215" s="32" t="n">
        <v>171</v>
      </c>
      <c r="H1215" s="32" t="inlineStr">
        <is>
          <t>bb</t>
        </is>
      </c>
      <c r="K1215" s="32" t="inlineStr">
        <is>
          <t>20250514-23</t>
        </is>
      </c>
    </row>
    <row r="1216">
      <c r="A1216" s="32" t="n">
        <v>13</v>
      </c>
      <c r="B1216" s="32" t="inlineStr">
        <is>
          <t>SB3</t>
        </is>
      </c>
      <c r="D1216" s="32" t="n">
        <v>8.18</v>
      </c>
      <c r="E1216" s="32" t="n">
        <v>57.143</v>
      </c>
      <c r="F1216" s="32" t="n">
        <v>1005.736</v>
      </c>
      <c r="G1216" s="32" t="n">
        <v>611</v>
      </c>
      <c r="H1216" s="32" t="inlineStr">
        <is>
          <t>bb</t>
        </is>
      </c>
      <c r="K1216" s="32" t="inlineStr">
        <is>
          <t>20250514-24</t>
        </is>
      </c>
    </row>
    <row r="1217">
      <c r="A1217" s="32" t="n">
        <v>14</v>
      </c>
      <c r="B1217" s="32" t="inlineStr">
        <is>
          <t>SS1</t>
        </is>
      </c>
      <c r="D1217" s="32" t="n">
        <v>8.23</v>
      </c>
      <c r="E1217" s="32" t="n">
        <v>47035.477</v>
      </c>
      <c r="F1217" s="32" t="n">
        <v>860.02</v>
      </c>
      <c r="G1217" s="32" t="n">
        <v>918.9589999999999</v>
      </c>
      <c r="H1217" s="32" t="inlineStr">
        <is>
          <t>bb</t>
        </is>
      </c>
      <c r="K1217" s="32" t="inlineStr">
        <is>
          <t>20250514-25</t>
        </is>
      </c>
    </row>
    <row r="1218">
      <c r="A1218" s="32" t="n">
        <v>15</v>
      </c>
      <c r="B1218" s="32" t="inlineStr">
        <is>
          <t>SS2</t>
        </is>
      </c>
      <c r="D1218" s="32" t="n">
        <v>8.25</v>
      </c>
      <c r="E1218" s="32" t="n">
        <v>49369.875</v>
      </c>
      <c r="F1218" s="32" t="n">
        <v>1205.224</v>
      </c>
      <c r="G1218" s="32" t="n">
        <v>1856.405</v>
      </c>
      <c r="H1218" s="32" t="inlineStr">
        <is>
          <t>bb</t>
        </is>
      </c>
      <c r="K1218" s="32" t="inlineStr">
        <is>
          <t>20250514-26</t>
        </is>
      </c>
    </row>
    <row r="1219">
      <c r="A1219" s="32" t="n">
        <v>16</v>
      </c>
      <c r="B1219" s="32" t="inlineStr">
        <is>
          <t>SS3</t>
        </is>
      </c>
      <c r="D1219" s="32" t="n">
        <v>8.25</v>
      </c>
      <c r="E1219" s="32" t="n">
        <v>48088.828</v>
      </c>
      <c r="F1219" s="32" t="n">
        <v>953.783</v>
      </c>
      <c r="G1219" s="32" t="n">
        <v>3033.577</v>
      </c>
      <c r="H1219" s="32" t="inlineStr">
        <is>
          <t>bb</t>
        </is>
      </c>
      <c r="K1219" s="32" t="inlineStr">
        <is>
          <t>20250514-27</t>
        </is>
      </c>
    </row>
    <row r="1220">
      <c r="A1220" s="32" t="n">
        <v>17</v>
      </c>
      <c r="B1220" s="32" t="inlineStr">
        <is>
          <t>MeOH</t>
        </is>
      </c>
      <c r="D1220" s="32" t="n">
        <v>8.25</v>
      </c>
      <c r="E1220" s="32" t="n">
        <v>396.542</v>
      </c>
      <c r="G1220" s="32" t="n">
        <v>39.019</v>
      </c>
      <c r="H1220" s="32" t="inlineStr">
        <is>
          <t>bb</t>
        </is>
      </c>
      <c r="K1220" s="32" t="inlineStr">
        <is>
          <t>20250514-28</t>
        </is>
      </c>
    </row>
    <row r="1221">
      <c r="A1221" s="32" t="n">
        <v>18</v>
      </c>
      <c r="B1221" s="32" t="inlineStr">
        <is>
          <t>K4-1A</t>
        </is>
      </c>
      <c r="D1221" s="32" t="n">
        <v>8.300000000000001</v>
      </c>
      <c r="E1221" s="32" t="n">
        <v>52.895</v>
      </c>
      <c r="F1221" s="32" t="n">
        <v>1575.246</v>
      </c>
      <c r="G1221" s="32" t="n">
        <v>4.665</v>
      </c>
      <c r="H1221" s="32" t="inlineStr">
        <is>
          <t>bb</t>
        </is>
      </c>
      <c r="K1221" s="32" t="inlineStr">
        <is>
          <t>20250514-29</t>
        </is>
      </c>
    </row>
    <row r="1222">
      <c r="A1222" s="32" t="n">
        <v>19</v>
      </c>
      <c r="B1222" s="32" t="inlineStr">
        <is>
          <t>K4-1B</t>
        </is>
      </c>
      <c r="D1222" s="32" t="n">
        <v>8.25</v>
      </c>
      <c r="E1222" s="32" t="n">
        <v>77.521</v>
      </c>
      <c r="F1222" s="32" t="n">
        <v>1550.869</v>
      </c>
      <c r="G1222" s="32" t="n">
        <v>4.088</v>
      </c>
      <c r="H1222" s="32" t="inlineStr">
        <is>
          <t>MM</t>
        </is>
      </c>
      <c r="K1222" s="32" t="inlineStr">
        <is>
          <t>20250514-30</t>
        </is>
      </c>
    </row>
    <row r="1223">
      <c r="A1223" s="32" t="n">
        <v>20</v>
      </c>
      <c r="B1223" s="32" t="inlineStr">
        <is>
          <t>K4-1C</t>
        </is>
      </c>
      <c r="D1223" s="32" t="n">
        <v>8.27</v>
      </c>
      <c r="E1223" s="32" t="n">
        <v>31.313</v>
      </c>
      <c r="F1223" s="32" t="n">
        <v>1163.846</v>
      </c>
      <c r="G1223" s="32" t="n">
        <v>3.488</v>
      </c>
      <c r="H1223" s="32" t="inlineStr">
        <is>
          <t>bb</t>
        </is>
      </c>
      <c r="K1223" s="32" t="inlineStr">
        <is>
          <t>20250514-31</t>
        </is>
      </c>
    </row>
    <row r="1224">
      <c r="A1224" s="32" t="n">
        <v>21</v>
      </c>
      <c r="B1224" s="32" t="inlineStr">
        <is>
          <t>K4-2A</t>
        </is>
      </c>
      <c r="D1224" s="32" t="n">
        <v>9.029999999999999</v>
      </c>
      <c r="E1224" s="32" t="n">
        <v>10.386</v>
      </c>
      <c r="F1224" s="32" t="n">
        <v>1084.067</v>
      </c>
      <c r="G1224" s="32" t="n">
        <v>124</v>
      </c>
      <c r="H1224" s="32" t="inlineStr">
        <is>
          <t>MM</t>
        </is>
      </c>
      <c r="K1224" s="32" t="inlineStr">
        <is>
          <t>20250514-32</t>
        </is>
      </c>
    </row>
    <row r="1225">
      <c r="A1225" s="32" t="n">
        <v>22</v>
      </c>
      <c r="B1225" s="32" t="inlineStr">
        <is>
          <t>K4-2B</t>
        </is>
      </c>
      <c r="D1225" s="32" t="n">
        <v>8.26</v>
      </c>
      <c r="E1225" s="32" t="n">
        <v>6.714</v>
      </c>
      <c r="F1225" s="32" t="n">
        <v>1044.51</v>
      </c>
      <c r="G1225" s="32" t="n">
        <v>71</v>
      </c>
      <c r="H1225" s="32" t="inlineStr">
        <is>
          <t>bb</t>
        </is>
      </c>
      <c r="K1225" s="32" t="inlineStr">
        <is>
          <t>20250514-33</t>
        </is>
      </c>
    </row>
    <row r="1226">
      <c r="A1226" s="32" t="n">
        <v>23</v>
      </c>
      <c r="B1226" s="32" t="inlineStr">
        <is>
          <t>K4-2C</t>
        </is>
      </c>
      <c r="D1226" s="32" t="n">
        <v>8.27</v>
      </c>
      <c r="E1226" s="32" t="n">
        <v>4.29</v>
      </c>
      <c r="F1226" s="32" t="n">
        <v>1020.096</v>
      </c>
      <c r="G1226" s="32" t="n">
        <v>71</v>
      </c>
      <c r="H1226" s="32" t="inlineStr">
        <is>
          <t>bb</t>
        </is>
      </c>
      <c r="K1226" s="32" t="inlineStr">
        <is>
          <t>20250514-34</t>
        </is>
      </c>
    </row>
    <row r="1227">
      <c r="A1227" s="32" t="n">
        <v>24</v>
      </c>
      <c r="B1227" s="32" t="inlineStr">
        <is>
          <t>MeOH</t>
        </is>
      </c>
      <c r="D1227" s="32" t="n">
        <v>8.279999999999999</v>
      </c>
      <c r="E1227" s="32" t="n">
        <v>316.063</v>
      </c>
      <c r="G1227" s="32" t="n">
        <v>77.26600000000001</v>
      </c>
      <c r="H1227" s="32" t="inlineStr">
        <is>
          <t>bb</t>
        </is>
      </c>
      <c r="K1227" s="32" t="inlineStr">
        <is>
          <t>20250514-35</t>
        </is>
      </c>
    </row>
    <row r="1228">
      <c r="A1228" s="32" t="n">
        <v>25</v>
      </c>
      <c r="B1228" s="32" t="inlineStr">
        <is>
          <t>K4-4A</t>
        </is>
      </c>
      <c r="F1228" s="32" t="n">
        <v>1051.351</v>
      </c>
      <c r="K1228" s="32" t="inlineStr">
        <is>
          <t>20250514-36</t>
        </is>
      </c>
    </row>
    <row r="1229">
      <c r="A1229" s="32" t="n">
        <v>26</v>
      </c>
      <c r="B1229" s="32" t="inlineStr">
        <is>
          <t>K4-4B</t>
        </is>
      </c>
      <c r="D1229" s="32" t="n">
        <v>9.609999999999999</v>
      </c>
      <c r="E1229" s="32" t="n">
        <v>2.801</v>
      </c>
      <c r="F1229" s="32" t="n">
        <v>1035.151</v>
      </c>
      <c r="G1229" s="32" t="n">
        <v>31</v>
      </c>
      <c r="H1229" s="32" t="inlineStr">
        <is>
          <t>MM</t>
        </is>
      </c>
      <c r="K1229" s="32" t="inlineStr">
        <is>
          <t>20250514-37</t>
        </is>
      </c>
    </row>
    <row r="1230">
      <c r="A1230" s="32" t="n">
        <v>27</v>
      </c>
      <c r="B1230" s="32" t="inlineStr">
        <is>
          <t>K4-4C</t>
        </is>
      </c>
      <c r="D1230" s="32" t="n">
        <v>8.26</v>
      </c>
      <c r="E1230" s="32" t="n">
        <v>10.517</v>
      </c>
      <c r="F1230" s="32" t="n">
        <v>822.99</v>
      </c>
      <c r="G1230" s="32" t="n">
        <v>90</v>
      </c>
      <c r="H1230" s="32" t="inlineStr">
        <is>
          <t>bb</t>
        </is>
      </c>
      <c r="K1230" s="32" t="inlineStr">
        <is>
          <t>20250514-38</t>
        </is>
      </c>
    </row>
    <row r="1231">
      <c r="A1231" s="32" t="n">
        <v>28</v>
      </c>
      <c r="B1231" s="32" t="inlineStr">
        <is>
          <t>K4-5A</t>
        </is>
      </c>
      <c r="F1231" s="32" t="n">
        <v>985.0170000000001</v>
      </c>
      <c r="K1231" s="32" t="inlineStr">
        <is>
          <t>20250514-39</t>
        </is>
      </c>
    </row>
    <row r="1232">
      <c r="A1232" s="32" t="n">
        <v>29</v>
      </c>
      <c r="B1232" s="32" t="inlineStr">
        <is>
          <t>K4-5B</t>
        </is>
      </c>
      <c r="D1232" s="32" t="n">
        <v>8.6</v>
      </c>
      <c r="E1232" s="32" t="n">
        <v>14.591</v>
      </c>
      <c r="F1232" s="32" t="n">
        <v>1024.411</v>
      </c>
      <c r="G1232" s="32" t="n">
        <v>205</v>
      </c>
      <c r="H1232" s="32" t="inlineStr">
        <is>
          <t>MM</t>
        </is>
      </c>
      <c r="K1232" s="32" t="inlineStr">
        <is>
          <t>20250514-40</t>
        </is>
      </c>
    </row>
    <row r="1233">
      <c r="A1233" s="32" t="n">
        <v>30</v>
      </c>
      <c r="B1233" s="32" t="inlineStr">
        <is>
          <t>K4-5C</t>
        </is>
      </c>
      <c r="D1233" s="32" t="n">
        <v>8.18</v>
      </c>
      <c r="E1233" s="32" t="n">
        <v>0.351</v>
      </c>
      <c r="F1233" s="32" t="n">
        <v>1313.31</v>
      </c>
      <c r="G1233" s="32" t="n">
        <v>6</v>
      </c>
      <c r="H1233" s="32" t="inlineStr">
        <is>
          <t>bb</t>
        </is>
      </c>
      <c r="K1233" s="32" t="inlineStr">
        <is>
          <t>20250514-41</t>
        </is>
      </c>
    </row>
    <row r="1234">
      <c r="A1234" s="32" t="n">
        <v>31</v>
      </c>
      <c r="B1234" s="32" t="inlineStr">
        <is>
          <t>MeOH</t>
        </is>
      </c>
      <c r="D1234" s="32" t="n">
        <v>8.18</v>
      </c>
      <c r="E1234" s="32" t="n">
        <v>218.737</v>
      </c>
      <c r="G1234" s="32" t="n">
        <v>14.402</v>
      </c>
      <c r="H1234" s="32" t="inlineStr">
        <is>
          <t>bb</t>
        </is>
      </c>
      <c r="K1234" s="32" t="inlineStr">
        <is>
          <t>20250514-42</t>
        </is>
      </c>
    </row>
    <row r="1235">
      <c r="A1235" s="32" t="n">
        <v>32</v>
      </c>
      <c r="B1235" s="32" t="inlineStr">
        <is>
          <t>K3-1A</t>
        </is>
      </c>
      <c r="D1235" s="32" t="n">
        <v>8.210000000000001</v>
      </c>
      <c r="E1235" s="32" t="n">
        <v>1.462</v>
      </c>
      <c r="F1235" s="32" t="n">
        <v>1115.547</v>
      </c>
      <c r="G1235" s="32" t="n">
        <v>24</v>
      </c>
      <c r="H1235" s="32" t="inlineStr">
        <is>
          <t>bb</t>
        </is>
      </c>
      <c r="K1235" s="32" t="inlineStr">
        <is>
          <t>20250514-43</t>
        </is>
      </c>
    </row>
    <row r="1236">
      <c r="A1236" s="32" t="n">
        <v>33</v>
      </c>
      <c r="B1236" s="32" t="inlineStr">
        <is>
          <t>K3-1B</t>
        </is>
      </c>
      <c r="D1236" s="32" t="n">
        <v>8.039999999999999</v>
      </c>
      <c r="E1236" s="32" t="n">
        <v>59.68</v>
      </c>
      <c r="F1236" s="32" t="n">
        <v>868.492</v>
      </c>
      <c r="G1236" s="32" t="n">
        <v>610</v>
      </c>
      <c r="H1236" s="32" t="inlineStr">
        <is>
          <t>bb</t>
        </is>
      </c>
      <c r="K1236" s="32" t="inlineStr">
        <is>
          <t>20250514-44</t>
        </is>
      </c>
    </row>
    <row r="1237">
      <c r="A1237" s="32" t="n">
        <v>34</v>
      </c>
      <c r="B1237" s="32" t="inlineStr">
        <is>
          <t>K3-1C</t>
        </is>
      </c>
      <c r="D1237" s="32" t="n">
        <v>8.08</v>
      </c>
      <c r="E1237" s="32" t="n">
        <v>5.668</v>
      </c>
      <c r="F1237" s="32" t="n">
        <v>1891.713</v>
      </c>
      <c r="G1237" s="32" t="n">
        <v>10.979</v>
      </c>
      <c r="H1237" s="32" t="inlineStr">
        <is>
          <t>bb</t>
        </is>
      </c>
      <c r="K1237" s="32" t="inlineStr">
        <is>
          <t>20250514-45</t>
        </is>
      </c>
    </row>
    <row r="1238">
      <c r="A1238" s="32" t="n">
        <v>35</v>
      </c>
      <c r="B1238" s="32" t="inlineStr">
        <is>
          <t>K3-2A</t>
        </is>
      </c>
      <c r="D1238" s="32" t="n">
        <v>8.91</v>
      </c>
      <c r="E1238" s="32" t="n">
        <v>19.944</v>
      </c>
      <c r="F1238" s="32" t="n">
        <v>1176.041</v>
      </c>
      <c r="G1238" s="32" t="n">
        <v>228</v>
      </c>
      <c r="H1238" s="32" t="inlineStr">
        <is>
          <t>MM</t>
        </is>
      </c>
      <c r="K1238" s="32" t="inlineStr">
        <is>
          <t>20250514-46</t>
        </is>
      </c>
    </row>
    <row r="1239">
      <c r="A1239" s="32" t="n">
        <v>36</v>
      </c>
      <c r="B1239" s="32" t="inlineStr">
        <is>
          <t>K3-2B</t>
        </is>
      </c>
      <c r="F1239" s="32" t="n">
        <v>1321.349</v>
      </c>
      <c r="K1239" s="32" t="inlineStr">
        <is>
          <t>20250514-47</t>
        </is>
      </c>
    </row>
    <row r="1240">
      <c r="A1240" s="32" t="n">
        <v>37</v>
      </c>
      <c r="B1240" s="32" t="inlineStr">
        <is>
          <t>K3-2C</t>
        </is>
      </c>
      <c r="D1240" s="32" t="n">
        <v>7.94</v>
      </c>
      <c r="E1240" s="32" t="n">
        <v>3.163</v>
      </c>
      <c r="F1240" s="32" t="n">
        <v>1479.533</v>
      </c>
      <c r="G1240" s="32" t="n">
        <v>63</v>
      </c>
      <c r="H1240" s="32" t="inlineStr">
        <is>
          <t>bb</t>
        </is>
      </c>
      <c r="K1240" s="32" t="inlineStr">
        <is>
          <t>20250514-48</t>
        </is>
      </c>
    </row>
    <row r="1241">
      <c r="A1241" s="32" t="n">
        <v>38</v>
      </c>
      <c r="B1241" s="32" t="inlineStr">
        <is>
          <t>MeOH</t>
        </is>
      </c>
      <c r="H1241" s="32" t="inlineStr">
        <is>
          <t>MM-</t>
        </is>
      </c>
      <c r="K1241" s="32" t="inlineStr">
        <is>
          <t>20250514-49</t>
        </is>
      </c>
    </row>
    <row r="1242">
      <c r="A1242" s="32" t="n">
        <v>39</v>
      </c>
      <c r="B1242" s="32" t="inlineStr">
        <is>
          <t>K3-3A</t>
        </is>
      </c>
      <c r="D1242" s="32" t="n">
        <v>8.789999999999999</v>
      </c>
      <c r="E1242" s="32" t="n">
        <v>16.29</v>
      </c>
      <c r="F1242" s="32" t="n">
        <v>1517.701</v>
      </c>
      <c r="G1242" s="32" t="n">
        <v>229</v>
      </c>
      <c r="H1242" s="32" t="inlineStr">
        <is>
          <t>MM</t>
        </is>
      </c>
      <c r="K1242" s="32" t="inlineStr">
        <is>
          <t>20250514-50</t>
        </is>
      </c>
    </row>
    <row r="1243">
      <c r="A1243" s="32" t="n">
        <v>40</v>
      </c>
      <c r="B1243" s="32" t="inlineStr">
        <is>
          <t>K3-3B</t>
        </is>
      </c>
      <c r="D1243" s="32" t="n">
        <v>7.71</v>
      </c>
      <c r="E1243" s="32" t="n">
        <v>1.077</v>
      </c>
      <c r="F1243" s="32" t="n">
        <v>1453.885</v>
      </c>
      <c r="G1243" s="32" t="n">
        <v>21</v>
      </c>
      <c r="H1243" s="32" t="inlineStr">
        <is>
          <t>bb</t>
        </is>
      </c>
      <c r="K1243" s="32" t="inlineStr">
        <is>
          <t>20250514-51</t>
        </is>
      </c>
    </row>
    <row r="1244">
      <c r="A1244" s="32" t="n">
        <v>41</v>
      </c>
      <c r="B1244" s="32" t="inlineStr">
        <is>
          <t>K3-3C</t>
        </is>
      </c>
      <c r="D1244" s="32" t="n">
        <v>9.130000000000001</v>
      </c>
      <c r="E1244" s="32" t="n">
        <v>2.535</v>
      </c>
      <c r="F1244" s="32" t="n">
        <v>1930.228</v>
      </c>
      <c r="G1244" s="32" t="n">
        <v>30</v>
      </c>
      <c r="H1244" s="32" t="inlineStr">
        <is>
          <t>MM</t>
        </is>
      </c>
      <c r="K1244" s="32" t="inlineStr">
        <is>
          <t>20250514-52</t>
        </is>
      </c>
    </row>
    <row r="1245">
      <c r="A1245" s="32" t="n">
        <v>42</v>
      </c>
      <c r="B1245" s="32" t="inlineStr">
        <is>
          <t>K3-4A</t>
        </is>
      </c>
      <c r="D1245" s="32" t="n">
        <v>7.91</v>
      </c>
      <c r="E1245" s="32" t="n">
        <v>0.211</v>
      </c>
      <c r="F1245" s="32" t="n">
        <v>2454.78</v>
      </c>
      <c r="G1245" s="32" t="n">
        <v>4</v>
      </c>
      <c r="H1245" s="32" t="inlineStr">
        <is>
          <t>bb</t>
        </is>
      </c>
      <c r="K1245" s="32" t="inlineStr">
        <is>
          <t>20250514-53</t>
        </is>
      </c>
    </row>
    <row r="1246">
      <c r="A1246" s="32" t="n">
        <v>43</v>
      </c>
      <c r="B1246" s="32" t="inlineStr">
        <is>
          <t>K3-4B</t>
        </is>
      </c>
      <c r="D1246" s="32" t="n">
        <v>8.07</v>
      </c>
      <c r="E1246" s="32" t="n">
        <v>7.899</v>
      </c>
      <c r="F1246" s="32" t="n">
        <v>2046.805</v>
      </c>
      <c r="G1246" s="32" t="n">
        <v>132</v>
      </c>
      <c r="H1246" s="32" t="inlineStr">
        <is>
          <t>bb</t>
        </is>
      </c>
      <c r="K1246" s="32" t="inlineStr">
        <is>
          <t>20250514-54</t>
        </is>
      </c>
    </row>
    <row r="1247">
      <c r="A1247" s="32" t="n">
        <v>44</v>
      </c>
      <c r="B1247" s="32" t="inlineStr">
        <is>
          <t>K3-4C</t>
        </is>
      </c>
      <c r="D1247" s="32" t="n">
        <v>8.300000000000001</v>
      </c>
      <c r="E1247" s="32" t="n">
        <v>13.216</v>
      </c>
      <c r="F1247" s="32" t="n">
        <v>1963.707</v>
      </c>
      <c r="G1247" s="32" t="n">
        <v>216</v>
      </c>
      <c r="H1247" s="32" t="inlineStr">
        <is>
          <t>bb</t>
        </is>
      </c>
      <c r="K1247" s="32" t="inlineStr">
        <is>
          <t>20250514-55</t>
        </is>
      </c>
    </row>
    <row r="1248">
      <c r="A1248" s="32" t="n">
        <v>45</v>
      </c>
      <c r="B1248" s="32" t="inlineStr">
        <is>
          <t>MeOH</t>
        </is>
      </c>
      <c r="D1248" s="32" t="n">
        <v>8.300000000000001</v>
      </c>
      <c r="E1248" s="32" t="n">
        <v>319.027</v>
      </c>
      <c r="G1248" s="32" t="n">
        <v>25.575</v>
      </c>
      <c r="H1248" s="32" t="inlineStr">
        <is>
          <t>bb</t>
        </is>
      </c>
      <c r="K1248" s="32" t="inlineStr">
        <is>
          <t>20250514-56</t>
        </is>
      </c>
    </row>
    <row r="1249">
      <c r="A1249" s="32" t="n">
        <v>46</v>
      </c>
      <c r="B1249" s="32" t="inlineStr">
        <is>
          <t>K3-6A</t>
        </is>
      </c>
      <c r="D1249" s="32" t="n">
        <v>7.93</v>
      </c>
      <c r="E1249" s="32" t="n">
        <v>7.351</v>
      </c>
      <c r="F1249" s="32" t="n">
        <v>2063.159</v>
      </c>
      <c r="G1249" s="32" t="n">
        <v>144</v>
      </c>
      <c r="H1249" s="32" t="inlineStr">
        <is>
          <t>bb</t>
        </is>
      </c>
      <c r="K1249" s="32" t="inlineStr">
        <is>
          <t>20250514-57</t>
        </is>
      </c>
    </row>
    <row r="1250">
      <c r="A1250" s="32" t="n">
        <v>47</v>
      </c>
      <c r="B1250" s="32" t="inlineStr">
        <is>
          <t>K3-6B</t>
        </is>
      </c>
      <c r="D1250" s="32" t="n">
        <v>8.17</v>
      </c>
      <c r="E1250" s="32" t="n">
        <v>4.207</v>
      </c>
      <c r="F1250" s="32" t="n">
        <v>1701.403</v>
      </c>
      <c r="G1250" s="32" t="n">
        <v>70</v>
      </c>
      <c r="H1250" s="32" t="inlineStr">
        <is>
          <t>bb</t>
        </is>
      </c>
      <c r="K1250" s="32" t="inlineStr">
        <is>
          <t>20250514-58</t>
        </is>
      </c>
    </row>
    <row r="1251">
      <c r="A1251" s="32" t="n">
        <v>48</v>
      </c>
      <c r="B1251" s="32" t="inlineStr">
        <is>
          <t>K3-6C</t>
        </is>
      </c>
      <c r="D1251" s="32" t="n">
        <v>8.27</v>
      </c>
      <c r="E1251" s="32" t="n">
        <v>9.449999999999999</v>
      </c>
      <c r="F1251" s="32" t="n">
        <v>1921.069</v>
      </c>
      <c r="G1251" s="32" t="n">
        <v>157</v>
      </c>
      <c r="H1251" s="32" t="inlineStr">
        <is>
          <t>bb</t>
        </is>
      </c>
      <c r="K1251" s="32" t="inlineStr">
        <is>
          <t>20250514-59</t>
        </is>
      </c>
    </row>
    <row r="1253">
      <c r="A1253" s="32" t="inlineStr">
        <is>
          <t>Compound 25:  PFEESA 2</t>
        </is>
      </c>
    </row>
    <row r="1255">
      <c r="B1255" s="32" t="inlineStr">
        <is>
          <t>Sample Text</t>
        </is>
      </c>
      <c r="C1255" s="32" t="inlineStr">
        <is>
          <t>Std. Conc</t>
        </is>
      </c>
      <c r="D1255" s="32" t="inlineStr">
        <is>
          <t>RT</t>
        </is>
      </c>
      <c r="E1255" s="32" t="inlineStr">
        <is>
          <t>Area</t>
        </is>
      </c>
      <c r="F1255" s="32" t="inlineStr">
        <is>
          <t>IS Area</t>
        </is>
      </c>
      <c r="G1255" s="32" t="inlineStr">
        <is>
          <t>S/N</t>
        </is>
      </c>
      <c r="H1255" s="32" t="inlineStr">
        <is>
          <t>Primary Flags</t>
        </is>
      </c>
      <c r="I1255" s="32" t="inlineStr">
        <is>
          <t>Response</t>
        </is>
      </c>
      <c r="J1255" s="32" t="inlineStr">
        <is>
          <t>Conc.</t>
        </is>
      </c>
      <c r="K1255" s="32" t="inlineStr">
        <is>
          <t>Name</t>
        </is>
      </c>
    </row>
    <row r="1256">
      <c r="A1256" s="32" t="n">
        <v>1</v>
      </c>
      <c r="B1256" s="32" t="inlineStr">
        <is>
          <t>EPA1633 &amp; diPAPs Calibration 0 ppb</t>
        </is>
      </c>
      <c r="D1256" s="32" t="n">
        <v>8.34</v>
      </c>
      <c r="E1256" s="32" t="n">
        <v>0.18</v>
      </c>
      <c r="G1256" s="32" t="n">
        <v>3</v>
      </c>
      <c r="H1256" s="32" t="inlineStr">
        <is>
          <t>bb</t>
        </is>
      </c>
      <c r="K1256" s="32" t="inlineStr">
        <is>
          <t>20250514-12</t>
        </is>
      </c>
    </row>
    <row r="1257">
      <c r="A1257" s="32" t="n">
        <v>2</v>
      </c>
      <c r="B1257" s="32" t="inlineStr">
        <is>
          <t>EPA1633 &amp; diPAPs Calibration 0.02 ppb</t>
        </is>
      </c>
      <c r="K1257" s="32" t="inlineStr">
        <is>
          <t>20250514-13</t>
        </is>
      </c>
    </row>
    <row r="1258">
      <c r="A1258" s="32" t="n">
        <v>3</v>
      </c>
      <c r="B1258" s="32" t="inlineStr">
        <is>
          <t>EPA1633 &amp; diPAPs Calibration 0.1 ppb</t>
        </is>
      </c>
      <c r="F1258" s="32" t="n">
        <v>0.8080000000000001</v>
      </c>
      <c r="K1258" s="32" t="inlineStr">
        <is>
          <t>20250514-14</t>
        </is>
      </c>
    </row>
    <row r="1259">
      <c r="A1259" s="32" t="n">
        <v>4</v>
      </c>
      <c r="B1259" s="32" t="inlineStr">
        <is>
          <t>EPA1633 &amp; diPAPs Calibration 0.4 ppb</t>
        </is>
      </c>
      <c r="D1259" s="32" t="n">
        <v>8.16</v>
      </c>
      <c r="E1259" s="32" t="n">
        <v>0.31</v>
      </c>
      <c r="G1259" s="32" t="n">
        <v>5</v>
      </c>
      <c r="H1259" s="32" t="inlineStr">
        <is>
          <t>bb</t>
        </is>
      </c>
      <c r="K1259" s="32" t="inlineStr">
        <is>
          <t>20250514-15</t>
        </is>
      </c>
    </row>
    <row r="1260">
      <c r="A1260" s="32" t="n">
        <v>5</v>
      </c>
      <c r="B1260" s="32" t="inlineStr">
        <is>
          <t>EPA1633 &amp; diPAPs Calibration 1 ppb</t>
        </is>
      </c>
      <c r="F1260" s="32" t="n">
        <v>32.061</v>
      </c>
      <c r="K1260" s="32" t="inlineStr">
        <is>
          <t>20250514-16</t>
        </is>
      </c>
    </row>
    <row r="1261">
      <c r="A1261" s="32" t="n">
        <v>6</v>
      </c>
      <c r="B1261" s="32" t="inlineStr">
        <is>
          <t>EPA1633 &amp; diPAPs Calibration 5 ppb</t>
        </is>
      </c>
      <c r="D1261" s="32" t="n">
        <v>7.97</v>
      </c>
      <c r="E1261" s="32" t="n">
        <v>21.239</v>
      </c>
      <c r="F1261" s="32" t="n">
        <v>2.482</v>
      </c>
      <c r="G1261" s="32" t="n">
        <v>7.014</v>
      </c>
      <c r="H1261" s="32" t="inlineStr">
        <is>
          <t>bb</t>
        </is>
      </c>
      <c r="K1261" s="32" t="inlineStr">
        <is>
          <t>20250514-17</t>
        </is>
      </c>
    </row>
    <row r="1262">
      <c r="A1262" s="32" t="n">
        <v>7</v>
      </c>
      <c r="B1262" s="32" t="inlineStr">
        <is>
          <t>EPA1633 &amp; diPAPs Calibration 10 ppb</t>
        </is>
      </c>
      <c r="D1262" s="32" t="n">
        <v>8.07</v>
      </c>
      <c r="E1262" s="32" t="n">
        <v>103.532</v>
      </c>
      <c r="F1262" s="32" t="n">
        <v>5.974</v>
      </c>
      <c r="G1262" s="32" t="n">
        <v>61.905</v>
      </c>
      <c r="H1262" s="32" t="inlineStr">
        <is>
          <t>bb</t>
        </is>
      </c>
      <c r="K1262" s="32" t="inlineStr">
        <is>
          <t>20250514-18</t>
        </is>
      </c>
    </row>
    <row r="1263">
      <c r="A1263" s="32" t="n">
        <v>8</v>
      </c>
      <c r="B1263" s="32" t="inlineStr">
        <is>
          <t>EPA1633 &amp; diPAPs Calibration 20 ppb</t>
        </is>
      </c>
      <c r="D1263" s="32" t="n">
        <v>8.1</v>
      </c>
      <c r="E1263" s="32" t="n">
        <v>170.36</v>
      </c>
      <c r="F1263" s="32" t="n">
        <v>10.827</v>
      </c>
      <c r="G1263" s="32" t="n">
        <v>7.667</v>
      </c>
      <c r="H1263" s="32" t="inlineStr">
        <is>
          <t>bb</t>
        </is>
      </c>
      <c r="K1263" s="32" t="inlineStr">
        <is>
          <t>20250514-19</t>
        </is>
      </c>
    </row>
    <row r="1264">
      <c r="A1264" s="32" t="n">
        <v>9</v>
      </c>
      <c r="B1264" s="32" t="inlineStr">
        <is>
          <t>MeOH</t>
        </is>
      </c>
      <c r="K1264" s="32" t="inlineStr">
        <is>
          <t>20250514-20</t>
        </is>
      </c>
    </row>
    <row r="1265">
      <c r="A1265" s="32" t="n">
        <v>10</v>
      </c>
      <c r="B1265" s="32" t="inlineStr">
        <is>
          <t>MeOH</t>
        </is>
      </c>
      <c r="D1265" s="32" t="n">
        <v>7.93</v>
      </c>
      <c r="E1265" s="32" t="n">
        <v>0.225</v>
      </c>
      <c r="G1265" s="32" t="n">
        <v>4</v>
      </c>
      <c r="H1265" s="32" t="inlineStr">
        <is>
          <t>bb</t>
        </is>
      </c>
      <c r="K1265" s="32" t="inlineStr">
        <is>
          <t>20250514-21</t>
        </is>
      </c>
    </row>
    <row r="1266">
      <c r="A1266" s="32" t="n">
        <v>11</v>
      </c>
      <c r="B1266" s="32" t="inlineStr">
        <is>
          <t>SB1</t>
        </is>
      </c>
      <c r="K1266" s="32" t="inlineStr">
        <is>
          <t>20250514-22</t>
        </is>
      </c>
    </row>
    <row r="1267">
      <c r="A1267" s="32" t="n">
        <v>12</v>
      </c>
      <c r="B1267" s="32" t="inlineStr">
        <is>
          <t>SB2</t>
        </is>
      </c>
      <c r="K1267" s="32" t="inlineStr">
        <is>
          <t>20250514-23</t>
        </is>
      </c>
    </row>
    <row r="1268">
      <c r="A1268" s="32" t="n">
        <v>13</v>
      </c>
      <c r="B1268" s="32" t="inlineStr">
        <is>
          <t>SB3</t>
        </is>
      </c>
      <c r="K1268" s="32" t="inlineStr">
        <is>
          <t>20250514-24</t>
        </is>
      </c>
    </row>
    <row r="1269">
      <c r="A1269" s="32" t="n">
        <v>14</v>
      </c>
      <c r="B1269" s="32" t="inlineStr">
        <is>
          <t>SS1</t>
        </is>
      </c>
      <c r="D1269" s="32" t="n">
        <v>8.210000000000001</v>
      </c>
      <c r="E1269" s="32" t="n">
        <v>11.466</v>
      </c>
      <c r="G1269" s="32" t="n">
        <v>148</v>
      </c>
      <c r="H1269" s="32" t="inlineStr">
        <is>
          <t>bb</t>
        </is>
      </c>
      <c r="K1269" s="32" t="inlineStr">
        <is>
          <t>20250514-25</t>
        </is>
      </c>
    </row>
    <row r="1270">
      <c r="A1270" s="32" t="n">
        <v>15</v>
      </c>
      <c r="B1270" s="32" t="inlineStr">
        <is>
          <t>SS2</t>
        </is>
      </c>
      <c r="D1270" s="32" t="n">
        <v>8.23</v>
      </c>
      <c r="E1270" s="32" t="n">
        <v>51.389</v>
      </c>
      <c r="F1270" s="32" t="n">
        <v>6.07</v>
      </c>
      <c r="G1270" s="32" t="n">
        <v>3.459</v>
      </c>
      <c r="H1270" s="32" t="inlineStr">
        <is>
          <t>bb</t>
        </is>
      </c>
      <c r="K1270" s="32" t="inlineStr">
        <is>
          <t>20250514-26</t>
        </is>
      </c>
    </row>
    <row r="1271">
      <c r="A1271" s="32" t="n">
        <v>16</v>
      </c>
      <c r="B1271" s="32" t="inlineStr">
        <is>
          <t>SS3</t>
        </is>
      </c>
      <c r="D1271" s="32" t="n">
        <v>8.24</v>
      </c>
      <c r="E1271" s="32" t="n">
        <v>4.1</v>
      </c>
      <c r="G1271" s="32" t="n">
        <v>68</v>
      </c>
      <c r="H1271" s="32" t="inlineStr">
        <is>
          <t>bb</t>
        </is>
      </c>
      <c r="K1271" s="32" t="inlineStr">
        <is>
          <t>20250514-27</t>
        </is>
      </c>
    </row>
    <row r="1272">
      <c r="A1272" s="32" t="n">
        <v>17</v>
      </c>
      <c r="B1272" s="32" t="inlineStr">
        <is>
          <t>MeOH</t>
        </is>
      </c>
      <c r="D1272" s="32" t="n">
        <v>8.26</v>
      </c>
      <c r="E1272" s="32" t="n">
        <v>6.314</v>
      </c>
      <c r="G1272" s="32" t="n">
        <v>105</v>
      </c>
      <c r="H1272" s="32" t="inlineStr">
        <is>
          <t>bb</t>
        </is>
      </c>
      <c r="K1272" s="32" t="inlineStr">
        <is>
          <t>20250514-28</t>
        </is>
      </c>
    </row>
    <row r="1273">
      <c r="A1273" s="32" t="n">
        <v>18</v>
      </c>
      <c r="B1273" s="32" t="inlineStr">
        <is>
          <t>K4-1A</t>
        </is>
      </c>
      <c r="K1273" s="32" t="inlineStr">
        <is>
          <t>20250514-29</t>
        </is>
      </c>
    </row>
    <row r="1274">
      <c r="A1274" s="32" t="n">
        <v>19</v>
      </c>
      <c r="B1274" s="32" t="inlineStr">
        <is>
          <t>K4-1B</t>
        </is>
      </c>
      <c r="K1274" s="32" t="inlineStr">
        <is>
          <t>20250514-30</t>
        </is>
      </c>
    </row>
    <row r="1275">
      <c r="A1275" s="32" t="n">
        <v>20</v>
      </c>
      <c r="B1275" s="32" t="inlineStr">
        <is>
          <t>K4-1C</t>
        </is>
      </c>
      <c r="D1275" s="32" t="n">
        <v>7.64</v>
      </c>
      <c r="E1275" s="32" t="n">
        <v>13.189</v>
      </c>
      <c r="G1275" s="32" t="n">
        <v>259</v>
      </c>
      <c r="H1275" s="32" t="inlineStr">
        <is>
          <t>bb</t>
        </is>
      </c>
      <c r="K1275" s="32" t="inlineStr">
        <is>
          <t>20250514-31</t>
        </is>
      </c>
    </row>
    <row r="1276">
      <c r="A1276" s="32" t="n">
        <v>21</v>
      </c>
      <c r="B1276" s="32" t="inlineStr">
        <is>
          <t>K4-2A</t>
        </is>
      </c>
      <c r="D1276" s="32" t="n">
        <v>7.95</v>
      </c>
      <c r="E1276" s="32" t="n">
        <v>3.845</v>
      </c>
      <c r="F1276" s="32" t="n">
        <v>2.638</v>
      </c>
      <c r="G1276" s="32" t="n">
        <v>77</v>
      </c>
      <c r="H1276" s="32" t="inlineStr">
        <is>
          <t>bb</t>
        </is>
      </c>
      <c r="K1276" s="32" t="inlineStr">
        <is>
          <t>20250514-32</t>
        </is>
      </c>
    </row>
    <row r="1277">
      <c r="A1277" s="32" t="n">
        <v>22</v>
      </c>
      <c r="B1277" s="32" t="inlineStr">
        <is>
          <t>K4-2B</t>
        </is>
      </c>
      <c r="K1277" s="32" t="inlineStr">
        <is>
          <t>20250514-33</t>
        </is>
      </c>
    </row>
    <row r="1278">
      <c r="A1278" s="32" t="n">
        <v>23</v>
      </c>
      <c r="B1278" s="32" t="inlineStr">
        <is>
          <t>K4-2C</t>
        </is>
      </c>
      <c r="D1278" s="32" t="n">
        <v>8.19</v>
      </c>
      <c r="E1278" s="32" t="n">
        <v>1.184</v>
      </c>
      <c r="G1278" s="32" t="n">
        <v>16</v>
      </c>
      <c r="H1278" s="32" t="inlineStr">
        <is>
          <t>bb</t>
        </is>
      </c>
      <c r="K1278" s="32" t="inlineStr">
        <is>
          <t>20250514-34</t>
        </is>
      </c>
    </row>
    <row r="1279">
      <c r="A1279" s="32" t="n">
        <v>24</v>
      </c>
      <c r="B1279" s="32" t="inlineStr">
        <is>
          <t>MeOH</t>
        </is>
      </c>
      <c r="K1279" s="32" t="inlineStr">
        <is>
          <t>20250514-35</t>
        </is>
      </c>
    </row>
    <row r="1280">
      <c r="A1280" s="32" t="n">
        <v>25</v>
      </c>
      <c r="B1280" s="32" t="inlineStr">
        <is>
          <t>K4-4A</t>
        </is>
      </c>
      <c r="D1280" s="32" t="n">
        <v>7.78</v>
      </c>
      <c r="E1280" s="32" t="n">
        <v>0.143</v>
      </c>
      <c r="G1280" s="32" t="n">
        <v>3</v>
      </c>
      <c r="H1280" s="32" t="inlineStr">
        <is>
          <t>bb</t>
        </is>
      </c>
      <c r="K1280" s="32" t="inlineStr">
        <is>
          <t>20250514-36</t>
        </is>
      </c>
    </row>
    <row r="1281">
      <c r="A1281" s="32" t="n">
        <v>26</v>
      </c>
      <c r="B1281" s="32" t="inlineStr">
        <is>
          <t>K4-4B</t>
        </is>
      </c>
      <c r="K1281" s="32" t="inlineStr">
        <is>
          <t>20250514-37</t>
        </is>
      </c>
    </row>
    <row r="1282">
      <c r="A1282" s="32" t="n">
        <v>27</v>
      </c>
      <c r="B1282" s="32" t="inlineStr">
        <is>
          <t>K4-4C</t>
        </is>
      </c>
      <c r="K1282" s="32" t="inlineStr">
        <is>
          <t>20250514-38</t>
        </is>
      </c>
    </row>
    <row r="1283">
      <c r="A1283" s="32" t="n">
        <v>28</v>
      </c>
      <c r="B1283" s="32" t="inlineStr">
        <is>
          <t>K4-5A</t>
        </is>
      </c>
      <c r="K1283" s="32" t="inlineStr">
        <is>
          <t>20250514-39</t>
        </is>
      </c>
    </row>
    <row r="1284">
      <c r="A1284" s="32" t="n">
        <v>29</v>
      </c>
      <c r="B1284" s="32" t="inlineStr">
        <is>
          <t>K4-5B</t>
        </is>
      </c>
      <c r="D1284" s="32" t="n">
        <v>8.289999999999999</v>
      </c>
      <c r="E1284" s="32" t="n">
        <v>0.956</v>
      </c>
      <c r="G1284" s="32" t="n">
        <v>16</v>
      </c>
      <c r="H1284" s="32" t="inlineStr">
        <is>
          <t>bb</t>
        </is>
      </c>
      <c r="K1284" s="32" t="inlineStr">
        <is>
          <t>20250514-40</t>
        </is>
      </c>
    </row>
    <row r="1285">
      <c r="A1285" s="32" t="n">
        <v>30</v>
      </c>
      <c r="B1285" s="32" t="inlineStr">
        <is>
          <t>K4-5C</t>
        </is>
      </c>
      <c r="F1285" s="32" t="n">
        <v>0.545</v>
      </c>
      <c r="K1285" s="32" t="inlineStr">
        <is>
          <t>20250514-41</t>
        </is>
      </c>
    </row>
    <row r="1286">
      <c r="A1286" s="32" t="n">
        <v>31</v>
      </c>
      <c r="B1286" s="32" t="inlineStr">
        <is>
          <t>MeOH</t>
        </is>
      </c>
      <c r="K1286" s="32" t="inlineStr">
        <is>
          <t>20250514-42</t>
        </is>
      </c>
    </row>
    <row r="1287">
      <c r="A1287" s="32" t="n">
        <v>32</v>
      </c>
      <c r="B1287" s="32" t="inlineStr">
        <is>
          <t>K3-1A</t>
        </is>
      </c>
      <c r="K1287" s="32" t="inlineStr">
        <is>
          <t>20250514-43</t>
        </is>
      </c>
    </row>
    <row r="1288">
      <c r="A1288" s="32" t="n">
        <v>33</v>
      </c>
      <c r="B1288" s="32" t="inlineStr">
        <is>
          <t>K3-1B</t>
        </is>
      </c>
      <c r="K1288" s="32" t="inlineStr">
        <is>
          <t>20250514-44</t>
        </is>
      </c>
    </row>
    <row r="1289">
      <c r="A1289" s="32" t="n">
        <v>34</v>
      </c>
      <c r="B1289" s="32" t="inlineStr">
        <is>
          <t>K3-1C</t>
        </is>
      </c>
      <c r="F1289" s="32" t="n">
        <v>8.029</v>
      </c>
      <c r="K1289" s="32" t="inlineStr">
        <is>
          <t>20250514-45</t>
        </is>
      </c>
    </row>
    <row r="1290">
      <c r="A1290" s="32" t="n">
        <v>35</v>
      </c>
      <c r="B1290" s="32" t="inlineStr">
        <is>
          <t>K3-2A</t>
        </is>
      </c>
      <c r="K1290" s="32" t="inlineStr">
        <is>
          <t>20250514-46</t>
        </is>
      </c>
    </row>
    <row r="1291">
      <c r="A1291" s="32" t="n">
        <v>36</v>
      </c>
      <c r="B1291" s="32" t="inlineStr">
        <is>
          <t>K3-2B</t>
        </is>
      </c>
      <c r="D1291" s="32" t="n">
        <v>8.279999999999999</v>
      </c>
      <c r="E1291" s="32" t="n">
        <v>0.253</v>
      </c>
      <c r="F1291" s="32" t="n">
        <v>4.466</v>
      </c>
      <c r="G1291" s="32" t="n">
        <v>4</v>
      </c>
      <c r="H1291" s="32" t="inlineStr">
        <is>
          <t>bb</t>
        </is>
      </c>
      <c r="K1291" s="32" t="inlineStr">
        <is>
          <t>20250514-47</t>
        </is>
      </c>
    </row>
    <row r="1292">
      <c r="A1292" s="32" t="n">
        <v>37</v>
      </c>
      <c r="B1292" s="32" t="inlineStr">
        <is>
          <t>K3-2C</t>
        </is>
      </c>
      <c r="F1292" s="32" t="n">
        <v>28.947</v>
      </c>
      <c r="K1292" s="32" t="inlineStr">
        <is>
          <t>20250514-48</t>
        </is>
      </c>
    </row>
    <row r="1293">
      <c r="A1293" s="32" t="n">
        <v>38</v>
      </c>
      <c r="B1293" s="32" t="inlineStr">
        <is>
          <t>MeOH</t>
        </is>
      </c>
      <c r="K1293" s="32" t="inlineStr">
        <is>
          <t>20250514-49</t>
        </is>
      </c>
    </row>
    <row r="1294">
      <c r="A1294" s="32" t="n">
        <v>39</v>
      </c>
      <c r="B1294" s="32" t="inlineStr">
        <is>
          <t>K3-3A</t>
        </is>
      </c>
      <c r="F1294" s="32" t="n">
        <v>0.345</v>
      </c>
      <c r="K1294" s="32" t="inlineStr">
        <is>
          <t>20250514-50</t>
        </is>
      </c>
    </row>
    <row r="1295">
      <c r="A1295" s="32" t="n">
        <v>40</v>
      </c>
      <c r="B1295" s="32" t="inlineStr">
        <is>
          <t>K3-3B</t>
        </is>
      </c>
      <c r="D1295" s="32" t="n">
        <v>7.67</v>
      </c>
      <c r="E1295" s="32" t="n">
        <v>1.411</v>
      </c>
      <c r="G1295" s="32" t="n">
        <v>28</v>
      </c>
      <c r="H1295" s="32" t="inlineStr">
        <is>
          <t>bb</t>
        </is>
      </c>
      <c r="K1295" s="32" t="inlineStr">
        <is>
          <t>20250514-51</t>
        </is>
      </c>
    </row>
    <row r="1296">
      <c r="A1296" s="32" t="n">
        <v>41</v>
      </c>
      <c r="B1296" s="32" t="inlineStr">
        <is>
          <t>K3-3C</t>
        </is>
      </c>
      <c r="F1296" s="32" t="n">
        <v>0.44</v>
      </c>
      <c r="K1296" s="32" t="inlineStr">
        <is>
          <t>20250514-52</t>
        </is>
      </c>
    </row>
    <row r="1297">
      <c r="A1297" s="32" t="n">
        <v>42</v>
      </c>
      <c r="B1297" s="32" t="inlineStr">
        <is>
          <t>K3-4A</t>
        </is>
      </c>
      <c r="F1297" s="32" t="n">
        <v>6.734</v>
      </c>
      <c r="K1297" s="32" t="inlineStr">
        <is>
          <t>20250514-53</t>
        </is>
      </c>
    </row>
    <row r="1298">
      <c r="A1298" s="32" t="n">
        <v>43</v>
      </c>
      <c r="B1298" s="32" t="inlineStr">
        <is>
          <t>K3-4B</t>
        </is>
      </c>
      <c r="K1298" s="32" t="inlineStr">
        <is>
          <t>20250514-54</t>
        </is>
      </c>
    </row>
    <row r="1299">
      <c r="A1299" s="32" t="n">
        <v>44</v>
      </c>
      <c r="B1299" s="32" t="inlineStr">
        <is>
          <t>K3-4C</t>
        </is>
      </c>
      <c r="D1299" s="32" t="n">
        <v>7.79</v>
      </c>
      <c r="E1299" s="32" t="n">
        <v>1.391</v>
      </c>
      <c r="G1299" s="32" t="n">
        <v>28</v>
      </c>
      <c r="H1299" s="32" t="inlineStr">
        <is>
          <t>bb</t>
        </is>
      </c>
      <c r="K1299" s="32" t="inlineStr">
        <is>
          <t>20250514-55</t>
        </is>
      </c>
    </row>
    <row r="1300">
      <c r="A1300" s="32" t="n">
        <v>45</v>
      </c>
      <c r="B1300" s="32" t="inlineStr">
        <is>
          <t>MeOH</t>
        </is>
      </c>
      <c r="K1300" s="32" t="inlineStr">
        <is>
          <t>20250514-56</t>
        </is>
      </c>
    </row>
    <row r="1301">
      <c r="A1301" s="32" t="n">
        <v>46</v>
      </c>
      <c r="B1301" s="32" t="inlineStr">
        <is>
          <t>K3-6A</t>
        </is>
      </c>
      <c r="F1301" s="32" t="n">
        <v>6</v>
      </c>
      <c r="K1301" s="32" t="inlineStr">
        <is>
          <t>20250514-57</t>
        </is>
      </c>
    </row>
    <row r="1302">
      <c r="A1302" s="32" t="n">
        <v>47</v>
      </c>
      <c r="B1302" s="32" t="inlineStr">
        <is>
          <t>K3-6B</t>
        </is>
      </c>
      <c r="K1302" s="32" t="inlineStr">
        <is>
          <t>20250514-58</t>
        </is>
      </c>
    </row>
    <row r="1303">
      <c r="A1303" s="32" t="n">
        <v>48</v>
      </c>
      <c r="B1303" s="32" t="inlineStr">
        <is>
          <t>K3-6C</t>
        </is>
      </c>
      <c r="K1303" s="32" t="inlineStr">
        <is>
          <t>20250514-59</t>
        </is>
      </c>
    </row>
    <row r="1305">
      <c r="A1305" s="32" t="inlineStr">
        <is>
          <t>Compound 26:  m5 PFHxA 1</t>
        </is>
      </c>
    </row>
    <row r="1307">
      <c r="B1307" s="32" t="inlineStr">
        <is>
          <t>Sample Text</t>
        </is>
      </c>
      <c r="C1307" s="32" t="inlineStr">
        <is>
          <t>Std. Conc</t>
        </is>
      </c>
      <c r="D1307" s="32" t="inlineStr">
        <is>
          <t>RT</t>
        </is>
      </c>
      <c r="E1307" s="32" t="inlineStr">
        <is>
          <t>Area</t>
        </is>
      </c>
      <c r="F1307" s="32" t="inlineStr">
        <is>
          <t>IS Area</t>
        </is>
      </c>
      <c r="G1307" s="32" t="inlineStr">
        <is>
          <t>S/N</t>
        </is>
      </c>
      <c r="H1307" s="32" t="inlineStr">
        <is>
          <t>Primary Flags</t>
        </is>
      </c>
      <c r="I1307" s="32" t="inlineStr">
        <is>
          <t>Response</t>
        </is>
      </c>
      <c r="J1307" s="32" t="inlineStr">
        <is>
          <t>Conc.</t>
        </is>
      </c>
      <c r="K1307" s="32" t="inlineStr">
        <is>
          <t>Name</t>
        </is>
      </c>
    </row>
    <row r="1308">
      <c r="A1308" s="32" t="n">
        <v>1</v>
      </c>
      <c r="B1308" s="32" t="inlineStr">
        <is>
          <t>EPA1633 &amp; diPAPs Calibration 0 ppb</t>
        </is>
      </c>
      <c r="D1308" s="32" t="n">
        <v>8.83</v>
      </c>
      <c r="E1308" s="32" t="n">
        <v>2771.78</v>
      </c>
      <c r="G1308" s="32" t="n">
        <v>156.286</v>
      </c>
      <c r="H1308" s="32" t="inlineStr">
        <is>
          <t>MM</t>
        </is>
      </c>
      <c r="I1308" s="32" t="n">
        <v>2771.78</v>
      </c>
      <c r="K1308" s="32" t="inlineStr">
        <is>
          <t>20250514-12</t>
        </is>
      </c>
    </row>
    <row r="1309">
      <c r="A1309" s="32" t="n">
        <v>2</v>
      </c>
      <c r="B1309" s="32" t="inlineStr">
        <is>
          <t>EPA1633 &amp; diPAPs Calibration 0.02 ppb</t>
        </is>
      </c>
      <c r="D1309" s="32" t="n">
        <v>8.859999999999999</v>
      </c>
      <c r="E1309" s="32" t="n">
        <v>2613.678</v>
      </c>
      <c r="G1309" s="32" t="n">
        <v>93.04000000000001</v>
      </c>
      <c r="H1309" s="32" t="inlineStr">
        <is>
          <t>MM</t>
        </is>
      </c>
      <c r="I1309" s="32" t="n">
        <v>2613.678</v>
      </c>
      <c r="K1309" s="32" t="inlineStr">
        <is>
          <t>20250514-13</t>
        </is>
      </c>
    </row>
    <row r="1310">
      <c r="A1310" s="32" t="n">
        <v>3</v>
      </c>
      <c r="B1310" s="32" t="inlineStr">
        <is>
          <t>EPA1633 &amp; diPAPs Calibration 0.1 ppb</t>
        </is>
      </c>
      <c r="D1310" s="32" t="n">
        <v>8.880000000000001</v>
      </c>
      <c r="E1310" s="32" t="n">
        <v>2704.411</v>
      </c>
      <c r="G1310" s="32" t="n">
        <v>1569.874</v>
      </c>
      <c r="H1310" s="32" t="inlineStr">
        <is>
          <t>MM</t>
        </is>
      </c>
      <c r="I1310" s="32" t="n">
        <v>2704.411</v>
      </c>
      <c r="K1310" s="32" t="inlineStr">
        <is>
          <t>20250514-14</t>
        </is>
      </c>
    </row>
    <row r="1311">
      <c r="A1311" s="32" t="n">
        <v>4</v>
      </c>
      <c r="B1311" s="32" t="inlineStr">
        <is>
          <t>EPA1633 &amp; diPAPs Calibration 0.4 ppb</t>
        </is>
      </c>
      <c r="D1311" s="32" t="n">
        <v>8.890000000000001</v>
      </c>
      <c r="E1311" s="32" t="n">
        <v>2633.712</v>
      </c>
      <c r="G1311" s="32" t="n">
        <v>31.206</v>
      </c>
      <c r="H1311" s="32" t="inlineStr">
        <is>
          <t>MM</t>
        </is>
      </c>
      <c r="I1311" s="32" t="n">
        <v>2633.712</v>
      </c>
      <c r="K1311" s="32" t="inlineStr">
        <is>
          <t>20250514-15</t>
        </is>
      </c>
    </row>
    <row r="1312">
      <c r="A1312" s="32" t="n">
        <v>5</v>
      </c>
      <c r="B1312" s="32" t="inlineStr">
        <is>
          <t>EPA1633 &amp; diPAPs Calibration 1 ppb</t>
        </is>
      </c>
      <c r="D1312" s="32" t="n">
        <v>8.91</v>
      </c>
      <c r="E1312" s="32" t="n">
        <v>2798.003</v>
      </c>
      <c r="G1312" s="32" t="n">
        <v>71.60599999999999</v>
      </c>
      <c r="H1312" s="32" t="inlineStr">
        <is>
          <t>MM</t>
        </is>
      </c>
      <c r="I1312" s="32" t="n">
        <v>2798.003</v>
      </c>
      <c r="K1312" s="32" t="inlineStr">
        <is>
          <t>20250514-16</t>
        </is>
      </c>
    </row>
    <row r="1313">
      <c r="A1313" s="32" t="n">
        <v>6</v>
      </c>
      <c r="B1313" s="32" t="inlineStr">
        <is>
          <t>EPA1633 &amp; diPAPs Calibration 5 ppb</t>
        </is>
      </c>
      <c r="D1313" s="32" t="n">
        <v>8.74</v>
      </c>
      <c r="E1313" s="32" t="n">
        <v>2309.18</v>
      </c>
      <c r="G1313" s="32" t="n">
        <v>9.723000000000001</v>
      </c>
      <c r="H1313" s="32" t="inlineStr">
        <is>
          <t>MM</t>
        </is>
      </c>
      <c r="I1313" s="32" t="n">
        <v>2309.18</v>
      </c>
      <c r="K1313" s="32" t="inlineStr">
        <is>
          <t>20250514-17</t>
        </is>
      </c>
    </row>
    <row r="1314">
      <c r="A1314" s="32" t="n">
        <v>7</v>
      </c>
      <c r="B1314" s="32" t="inlineStr">
        <is>
          <t>EPA1633 &amp; diPAPs Calibration 10 ppb</t>
        </is>
      </c>
      <c r="D1314" s="32" t="n">
        <v>8.81</v>
      </c>
      <c r="E1314" s="32" t="n">
        <v>2072.812</v>
      </c>
      <c r="G1314" s="32" t="n">
        <v>991.276</v>
      </c>
      <c r="H1314" s="32" t="inlineStr">
        <is>
          <t>MM</t>
        </is>
      </c>
      <c r="I1314" s="32" t="n">
        <v>2072.812</v>
      </c>
      <c r="K1314" s="32" t="inlineStr">
        <is>
          <t>20250514-18</t>
        </is>
      </c>
    </row>
    <row r="1315">
      <c r="A1315" s="32" t="n">
        <v>8</v>
      </c>
      <c r="B1315" s="32" t="inlineStr">
        <is>
          <t>EPA1633 &amp; diPAPs Calibration 20 ppb</t>
        </is>
      </c>
      <c r="D1315" s="32" t="n">
        <v>8.859999999999999</v>
      </c>
      <c r="E1315" s="32" t="n">
        <v>1703.301</v>
      </c>
      <c r="G1315" s="32" t="n">
        <v>15370</v>
      </c>
      <c r="H1315" s="32" t="inlineStr">
        <is>
          <t>MM</t>
        </is>
      </c>
      <c r="I1315" s="32" t="n">
        <v>1703.301</v>
      </c>
      <c r="K1315" s="32" t="inlineStr">
        <is>
          <t>20250514-19</t>
        </is>
      </c>
    </row>
    <row r="1316">
      <c r="A1316" s="32" t="n">
        <v>9</v>
      </c>
      <c r="B1316" s="32" t="inlineStr">
        <is>
          <t>MeOH</t>
        </is>
      </c>
      <c r="K1316" s="32" t="inlineStr">
        <is>
          <t>20250514-20</t>
        </is>
      </c>
    </row>
    <row r="1317">
      <c r="A1317" s="32" t="n">
        <v>10</v>
      </c>
      <c r="B1317" s="32" t="inlineStr">
        <is>
          <t>MeOH</t>
        </is>
      </c>
      <c r="K1317" s="32" t="inlineStr">
        <is>
          <t>20250514-21</t>
        </is>
      </c>
    </row>
    <row r="1318">
      <c r="A1318" s="32" t="n">
        <v>11</v>
      </c>
      <c r="B1318" s="32" t="inlineStr">
        <is>
          <t>SB1</t>
        </is>
      </c>
      <c r="D1318" s="32" t="n">
        <v>8.92</v>
      </c>
      <c r="E1318" s="32" t="n">
        <v>802.6180000000001</v>
      </c>
      <c r="G1318" s="32" t="n">
        <v>7297</v>
      </c>
      <c r="H1318" s="32" t="inlineStr">
        <is>
          <t>MM</t>
        </is>
      </c>
      <c r="I1318" s="32" t="n">
        <v>802.6180000000001</v>
      </c>
      <c r="K1318" s="32" t="inlineStr">
        <is>
          <t>20250514-22</t>
        </is>
      </c>
    </row>
    <row r="1319">
      <c r="A1319" s="32" t="n">
        <v>12</v>
      </c>
      <c r="B1319" s="32" t="inlineStr">
        <is>
          <t>SB2</t>
        </is>
      </c>
      <c r="D1319" s="32" t="n">
        <v>8.91</v>
      </c>
      <c r="E1319" s="32" t="n">
        <v>1039.268</v>
      </c>
      <c r="G1319" s="32" t="n">
        <v>36.03</v>
      </c>
      <c r="H1319" s="32" t="inlineStr">
        <is>
          <t>MM</t>
        </is>
      </c>
      <c r="I1319" s="32" t="n">
        <v>1039.268</v>
      </c>
      <c r="K1319" s="32" t="inlineStr">
        <is>
          <t>20250514-23</t>
        </is>
      </c>
    </row>
    <row r="1320">
      <c r="A1320" s="32" t="n">
        <v>13</v>
      </c>
      <c r="B1320" s="32" t="inlineStr">
        <is>
          <t>SB3</t>
        </is>
      </c>
      <c r="D1320" s="32" t="n">
        <v>8.93</v>
      </c>
      <c r="E1320" s="32" t="n">
        <v>1005.736</v>
      </c>
      <c r="G1320" s="32" t="n">
        <v>9.57</v>
      </c>
      <c r="H1320" s="32" t="inlineStr">
        <is>
          <t>MM</t>
        </is>
      </c>
      <c r="I1320" s="32" t="n">
        <v>1005.736</v>
      </c>
      <c r="K1320" s="32" t="inlineStr">
        <is>
          <t>20250514-24</t>
        </is>
      </c>
    </row>
    <row r="1321">
      <c r="A1321" s="32" t="n">
        <v>14</v>
      </c>
      <c r="B1321" s="32" t="inlineStr">
        <is>
          <t>SS1</t>
        </is>
      </c>
      <c r="D1321" s="32" t="n">
        <v>8.98</v>
      </c>
      <c r="E1321" s="32" t="n">
        <v>860.02</v>
      </c>
      <c r="G1321" s="32" t="n">
        <v>16.391</v>
      </c>
      <c r="H1321" s="32" t="inlineStr">
        <is>
          <t>MM</t>
        </is>
      </c>
      <c r="I1321" s="32" t="n">
        <v>860.02</v>
      </c>
      <c r="K1321" s="32" t="inlineStr">
        <is>
          <t>20250514-25</t>
        </is>
      </c>
    </row>
    <row r="1322">
      <c r="A1322" s="32" t="n">
        <v>15</v>
      </c>
      <c r="B1322" s="32" t="inlineStr">
        <is>
          <t>SS2</t>
        </is>
      </c>
      <c r="D1322" s="32" t="n">
        <v>8.99</v>
      </c>
      <c r="E1322" s="32" t="n">
        <v>1205.224</v>
      </c>
      <c r="G1322" s="32" t="n">
        <v>10146</v>
      </c>
      <c r="H1322" s="32" t="inlineStr">
        <is>
          <t>MM</t>
        </is>
      </c>
      <c r="I1322" s="32" t="n">
        <v>1205.224</v>
      </c>
      <c r="K1322" s="32" t="inlineStr">
        <is>
          <t>20250514-26</t>
        </is>
      </c>
    </row>
    <row r="1323">
      <c r="A1323" s="32" t="n">
        <v>16</v>
      </c>
      <c r="B1323" s="32" t="inlineStr">
        <is>
          <t>SS3</t>
        </is>
      </c>
      <c r="D1323" s="32" t="n">
        <v>8.99</v>
      </c>
      <c r="E1323" s="32" t="n">
        <v>953.783</v>
      </c>
      <c r="G1323" s="32" t="n">
        <v>6.999</v>
      </c>
      <c r="H1323" s="32" t="inlineStr">
        <is>
          <t>MM</t>
        </is>
      </c>
      <c r="I1323" s="32" t="n">
        <v>953.783</v>
      </c>
      <c r="K1323" s="32" t="inlineStr">
        <is>
          <t>20250514-27</t>
        </is>
      </c>
    </row>
    <row r="1324">
      <c r="A1324" s="32" t="n">
        <v>17</v>
      </c>
      <c r="B1324" s="32" t="inlineStr">
        <is>
          <t>MeOH</t>
        </is>
      </c>
      <c r="K1324" s="32" t="inlineStr">
        <is>
          <t>20250514-28</t>
        </is>
      </c>
    </row>
    <row r="1325">
      <c r="A1325" s="32" t="n">
        <v>18</v>
      </c>
      <c r="B1325" s="32" t="inlineStr">
        <is>
          <t>K4-1A</t>
        </is>
      </c>
      <c r="D1325" s="32" t="n">
        <v>9</v>
      </c>
      <c r="E1325" s="32" t="n">
        <v>1575.246</v>
      </c>
      <c r="G1325" s="32" t="n">
        <v>287.563</v>
      </c>
      <c r="H1325" s="32" t="inlineStr">
        <is>
          <t>MM</t>
        </is>
      </c>
      <c r="I1325" s="32" t="n">
        <v>1575.246</v>
      </c>
      <c r="K1325" s="32" t="inlineStr">
        <is>
          <t>20250514-29</t>
        </is>
      </c>
    </row>
    <row r="1326">
      <c r="A1326" s="32" t="n">
        <v>19</v>
      </c>
      <c r="B1326" s="32" t="inlineStr">
        <is>
          <t>K4-1B</t>
        </is>
      </c>
      <c r="D1326" s="32" t="n">
        <v>8.98</v>
      </c>
      <c r="E1326" s="32" t="n">
        <v>1550.869</v>
      </c>
      <c r="G1326" s="32" t="n">
        <v>221.437</v>
      </c>
      <c r="H1326" s="32" t="inlineStr">
        <is>
          <t>MM</t>
        </is>
      </c>
      <c r="I1326" s="32" t="n">
        <v>1550.869</v>
      </c>
      <c r="K1326" s="32" t="inlineStr">
        <is>
          <t>20250514-30</t>
        </is>
      </c>
    </row>
    <row r="1327">
      <c r="A1327" s="32" t="n">
        <v>20</v>
      </c>
      <c r="B1327" s="32" t="inlineStr">
        <is>
          <t>K4-1C</t>
        </is>
      </c>
      <c r="D1327" s="32" t="n">
        <v>8.99</v>
      </c>
      <c r="E1327" s="32" t="n">
        <v>1163.846</v>
      </c>
      <c r="G1327" s="32" t="n">
        <v>138.74</v>
      </c>
      <c r="H1327" s="32" t="inlineStr">
        <is>
          <t>MM</t>
        </is>
      </c>
      <c r="I1327" s="32" t="n">
        <v>1163.846</v>
      </c>
      <c r="K1327" s="32" t="inlineStr">
        <is>
          <t>20250514-31</t>
        </is>
      </c>
    </row>
    <row r="1328">
      <c r="A1328" s="32" t="n">
        <v>21</v>
      </c>
      <c r="B1328" s="32" t="inlineStr">
        <is>
          <t>K4-2A</t>
        </is>
      </c>
      <c r="D1328" s="32" t="n">
        <v>9.029999999999999</v>
      </c>
      <c r="E1328" s="32" t="n">
        <v>1084.067</v>
      </c>
      <c r="G1328" s="32" t="n">
        <v>685.83</v>
      </c>
      <c r="H1328" s="32" t="inlineStr">
        <is>
          <t>MM</t>
        </is>
      </c>
      <c r="I1328" s="32" t="n">
        <v>1084.067</v>
      </c>
      <c r="K1328" s="32" t="inlineStr">
        <is>
          <t>20250514-32</t>
        </is>
      </c>
    </row>
    <row r="1329">
      <c r="A1329" s="32" t="n">
        <v>22</v>
      </c>
      <c r="B1329" s="32" t="inlineStr">
        <is>
          <t>K4-2B</t>
        </is>
      </c>
      <c r="D1329" s="32" t="n">
        <v>9.01</v>
      </c>
      <c r="E1329" s="32" t="n">
        <v>1044.51</v>
      </c>
      <c r="G1329" s="32" t="n">
        <v>8288</v>
      </c>
      <c r="H1329" s="32" t="inlineStr">
        <is>
          <t>MM</t>
        </is>
      </c>
      <c r="I1329" s="32" t="n">
        <v>1044.51</v>
      </c>
      <c r="K1329" s="32" t="inlineStr">
        <is>
          <t>20250514-33</t>
        </is>
      </c>
    </row>
    <row r="1330">
      <c r="A1330" s="32" t="n">
        <v>23</v>
      </c>
      <c r="B1330" s="32" t="inlineStr">
        <is>
          <t>K4-2C</t>
        </is>
      </c>
      <c r="D1330" s="32" t="n">
        <v>9.029999999999999</v>
      </c>
      <c r="E1330" s="32" t="n">
        <v>1020.096</v>
      </c>
      <c r="G1330" s="32" t="n">
        <v>8902</v>
      </c>
      <c r="H1330" s="32" t="inlineStr">
        <is>
          <t>MM</t>
        </is>
      </c>
      <c r="I1330" s="32" t="n">
        <v>1020.096</v>
      </c>
      <c r="K1330" s="32" t="inlineStr">
        <is>
          <t>20250514-34</t>
        </is>
      </c>
    </row>
    <row r="1331">
      <c r="A1331" s="32" t="n">
        <v>24</v>
      </c>
      <c r="B1331" s="32" t="inlineStr">
        <is>
          <t>MeOH</t>
        </is>
      </c>
      <c r="K1331" s="32" t="inlineStr">
        <is>
          <t>20250514-35</t>
        </is>
      </c>
    </row>
    <row r="1332">
      <c r="A1332" s="32" t="n">
        <v>25</v>
      </c>
      <c r="B1332" s="32" t="inlineStr">
        <is>
          <t>K4-4A</t>
        </is>
      </c>
      <c r="D1332" s="32" t="n">
        <v>9.029999999999999</v>
      </c>
      <c r="E1332" s="32" t="n">
        <v>1051.351</v>
      </c>
      <c r="G1332" s="32" t="n">
        <v>9242</v>
      </c>
      <c r="H1332" s="32" t="inlineStr">
        <is>
          <t>MM</t>
        </is>
      </c>
      <c r="I1332" s="32" t="n">
        <v>1051.351</v>
      </c>
      <c r="K1332" s="32" t="inlineStr">
        <is>
          <t>20250514-36</t>
        </is>
      </c>
    </row>
    <row r="1333">
      <c r="A1333" s="32" t="n">
        <v>26</v>
      </c>
      <c r="B1333" s="32" t="inlineStr">
        <is>
          <t>K4-4B</t>
        </is>
      </c>
      <c r="D1333" s="32" t="n">
        <v>9.029999999999999</v>
      </c>
      <c r="E1333" s="32" t="n">
        <v>1035.151</v>
      </c>
      <c r="G1333" s="32" t="n">
        <v>83.45</v>
      </c>
      <c r="H1333" s="32" t="inlineStr">
        <is>
          <t>MM</t>
        </is>
      </c>
      <c r="I1333" s="32" t="n">
        <v>1035.151</v>
      </c>
      <c r="K1333" s="32" t="inlineStr">
        <is>
          <t>20250514-37</t>
        </is>
      </c>
    </row>
    <row r="1334">
      <c r="A1334" s="32" t="n">
        <v>27</v>
      </c>
      <c r="B1334" s="32" t="inlineStr">
        <is>
          <t>K4-4C</t>
        </is>
      </c>
      <c r="D1334" s="32" t="n">
        <v>9.050000000000001</v>
      </c>
      <c r="E1334" s="32" t="n">
        <v>822.99</v>
      </c>
      <c r="G1334" s="32" t="n">
        <v>559.434</v>
      </c>
      <c r="H1334" s="32" t="inlineStr">
        <is>
          <t>MM</t>
        </is>
      </c>
      <c r="I1334" s="32" t="n">
        <v>822.99</v>
      </c>
      <c r="K1334" s="32" t="inlineStr">
        <is>
          <t>20250514-38</t>
        </is>
      </c>
    </row>
    <row r="1335">
      <c r="A1335" s="32" t="n">
        <v>28</v>
      </c>
      <c r="B1335" s="32" t="inlineStr">
        <is>
          <t>K4-5A</t>
        </is>
      </c>
      <c r="D1335" s="32" t="n">
        <v>9</v>
      </c>
      <c r="E1335" s="32" t="n">
        <v>985.0170000000001</v>
      </c>
      <c r="G1335" s="32" t="n">
        <v>8949</v>
      </c>
      <c r="H1335" s="32" t="inlineStr">
        <is>
          <t>MM</t>
        </is>
      </c>
      <c r="I1335" s="32" t="n">
        <v>985.0170000000001</v>
      </c>
      <c r="K1335" s="32" t="inlineStr">
        <is>
          <t>20250514-39</t>
        </is>
      </c>
    </row>
    <row r="1336">
      <c r="A1336" s="32" t="n">
        <v>29</v>
      </c>
      <c r="B1336" s="32" t="inlineStr">
        <is>
          <t>K4-5B</t>
        </is>
      </c>
      <c r="D1336" s="32" t="n">
        <v>8.99</v>
      </c>
      <c r="E1336" s="32" t="n">
        <v>1024.411</v>
      </c>
      <c r="G1336" s="32" t="n">
        <v>8147</v>
      </c>
      <c r="H1336" s="32" t="inlineStr">
        <is>
          <t>MM</t>
        </is>
      </c>
      <c r="I1336" s="32" t="n">
        <v>1024.411</v>
      </c>
      <c r="K1336" s="32" t="inlineStr">
        <is>
          <t>20250514-40</t>
        </is>
      </c>
    </row>
    <row r="1337">
      <c r="A1337" s="32" t="n">
        <v>30</v>
      </c>
      <c r="B1337" s="32" t="inlineStr">
        <is>
          <t>K4-5C</t>
        </is>
      </c>
      <c r="D1337" s="32" t="n">
        <v>8.9</v>
      </c>
      <c r="E1337" s="32" t="n">
        <v>1313.31</v>
      </c>
      <c r="G1337" s="32" t="n">
        <v>85.384</v>
      </c>
      <c r="H1337" s="32" t="inlineStr">
        <is>
          <t>MM</t>
        </is>
      </c>
      <c r="I1337" s="32" t="n">
        <v>1313.31</v>
      </c>
      <c r="K1337" s="32" t="inlineStr">
        <is>
          <t>20250514-41</t>
        </is>
      </c>
    </row>
    <row r="1338">
      <c r="A1338" s="32" t="n">
        <v>31</v>
      </c>
      <c r="B1338" s="32" t="inlineStr">
        <is>
          <t>MeOH</t>
        </is>
      </c>
      <c r="K1338" s="32" t="inlineStr">
        <is>
          <t>20250514-42</t>
        </is>
      </c>
    </row>
    <row r="1339">
      <c r="A1339" s="32" t="n">
        <v>32</v>
      </c>
      <c r="B1339" s="32" t="inlineStr">
        <is>
          <t>K3-1A</t>
        </is>
      </c>
      <c r="D1339" s="32" t="n">
        <v>8.76</v>
      </c>
      <c r="E1339" s="32" t="n">
        <v>1115.547</v>
      </c>
      <c r="G1339" s="32" t="n">
        <v>10861</v>
      </c>
      <c r="H1339" s="32" t="inlineStr">
        <is>
          <t>MM</t>
        </is>
      </c>
      <c r="I1339" s="32" t="n">
        <v>1115.547</v>
      </c>
      <c r="K1339" s="32" t="inlineStr">
        <is>
          <t>20250514-43</t>
        </is>
      </c>
    </row>
    <row r="1340">
      <c r="A1340" s="32" t="n">
        <v>33</v>
      </c>
      <c r="B1340" s="32" t="inlineStr">
        <is>
          <t>K3-1B</t>
        </is>
      </c>
      <c r="D1340" s="32" t="n">
        <v>8.81</v>
      </c>
      <c r="E1340" s="32" t="n">
        <v>868.492</v>
      </c>
      <c r="G1340" s="32" t="n">
        <v>67.188</v>
      </c>
      <c r="H1340" s="32" t="inlineStr">
        <is>
          <t>MM</t>
        </is>
      </c>
      <c r="I1340" s="32" t="n">
        <v>868.492</v>
      </c>
      <c r="K1340" s="32" t="inlineStr">
        <is>
          <t>20250514-44</t>
        </is>
      </c>
    </row>
    <row r="1341">
      <c r="A1341" s="32" t="n">
        <v>34</v>
      </c>
      <c r="B1341" s="32" t="inlineStr">
        <is>
          <t>K3-1C</t>
        </is>
      </c>
      <c r="D1341" s="32" t="n">
        <v>8.85</v>
      </c>
      <c r="E1341" s="32" t="n">
        <v>1891.713</v>
      </c>
      <c r="G1341" s="32" t="n">
        <v>16786</v>
      </c>
      <c r="H1341" s="32" t="inlineStr">
        <is>
          <t>MM</t>
        </is>
      </c>
      <c r="I1341" s="32" t="n">
        <v>1891.713</v>
      </c>
      <c r="K1341" s="32" t="inlineStr">
        <is>
          <t>20250514-45</t>
        </is>
      </c>
    </row>
    <row r="1342">
      <c r="A1342" s="32" t="n">
        <v>35</v>
      </c>
      <c r="B1342" s="32" t="inlineStr">
        <is>
          <t>K3-2A</t>
        </is>
      </c>
      <c r="D1342" s="32" t="n">
        <v>8.91</v>
      </c>
      <c r="E1342" s="32" t="n">
        <v>1176.041</v>
      </c>
      <c r="G1342" s="32" t="n">
        <v>80.78100000000001</v>
      </c>
      <c r="H1342" s="32" t="inlineStr">
        <is>
          <t>MM</t>
        </is>
      </c>
      <c r="I1342" s="32" t="n">
        <v>1176.041</v>
      </c>
      <c r="K1342" s="32" t="inlineStr">
        <is>
          <t>20250514-46</t>
        </is>
      </c>
    </row>
    <row r="1343">
      <c r="A1343" s="32" t="n">
        <v>36</v>
      </c>
      <c r="B1343" s="32" t="inlineStr">
        <is>
          <t>K3-2B</t>
        </is>
      </c>
      <c r="D1343" s="32" t="n">
        <v>8.9</v>
      </c>
      <c r="E1343" s="32" t="n">
        <v>1321.349</v>
      </c>
      <c r="G1343" s="32" t="n">
        <v>11865</v>
      </c>
      <c r="H1343" s="32" t="inlineStr">
        <is>
          <t>MM</t>
        </is>
      </c>
      <c r="I1343" s="32" t="n">
        <v>1321.349</v>
      </c>
      <c r="K1343" s="32" t="inlineStr">
        <is>
          <t>20250514-47</t>
        </is>
      </c>
    </row>
    <row r="1344">
      <c r="A1344" s="32" t="n">
        <v>37</v>
      </c>
      <c r="B1344" s="32" t="inlineStr">
        <is>
          <t>K3-2C</t>
        </is>
      </c>
      <c r="D1344" s="32" t="n">
        <v>8.9</v>
      </c>
      <c r="E1344" s="32" t="n">
        <v>1479.533</v>
      </c>
      <c r="G1344" s="32" t="n">
        <v>112.45</v>
      </c>
      <c r="H1344" s="32" t="inlineStr">
        <is>
          <t>MM</t>
        </is>
      </c>
      <c r="I1344" s="32" t="n">
        <v>1479.533</v>
      </c>
      <c r="K1344" s="32" t="inlineStr">
        <is>
          <t>20250514-48</t>
        </is>
      </c>
    </row>
    <row r="1345">
      <c r="A1345" s="32" t="n">
        <v>38</v>
      </c>
      <c r="B1345" s="32" t="inlineStr">
        <is>
          <t>MeOH</t>
        </is>
      </c>
      <c r="K1345" s="32" t="inlineStr">
        <is>
          <t>20250514-49</t>
        </is>
      </c>
    </row>
    <row r="1346">
      <c r="A1346" s="32" t="n">
        <v>39</v>
      </c>
      <c r="B1346" s="32" t="inlineStr">
        <is>
          <t>K3-3A</t>
        </is>
      </c>
      <c r="D1346" s="32" t="n">
        <v>8.93</v>
      </c>
      <c r="E1346" s="32" t="n">
        <v>1517.701</v>
      </c>
      <c r="G1346" s="32" t="n">
        <v>14786</v>
      </c>
      <c r="H1346" s="32" t="inlineStr">
        <is>
          <t>MM</t>
        </is>
      </c>
      <c r="I1346" s="32" t="n">
        <v>1517.701</v>
      </c>
      <c r="K1346" s="32" t="inlineStr">
        <is>
          <t>20250514-50</t>
        </is>
      </c>
    </row>
    <row r="1347">
      <c r="A1347" s="32" t="n">
        <v>40</v>
      </c>
      <c r="B1347" s="32" t="inlineStr">
        <is>
          <t>K3-3B</t>
        </is>
      </c>
      <c r="D1347" s="32" t="n">
        <v>8.94</v>
      </c>
      <c r="E1347" s="32" t="n">
        <v>1453.885</v>
      </c>
      <c r="G1347" s="32" t="n">
        <v>13016</v>
      </c>
      <c r="H1347" s="32" t="inlineStr">
        <is>
          <t>MM</t>
        </is>
      </c>
      <c r="I1347" s="32" t="n">
        <v>1453.885</v>
      </c>
      <c r="K1347" s="32" t="inlineStr">
        <is>
          <t>20250514-51</t>
        </is>
      </c>
    </row>
    <row r="1348">
      <c r="A1348" s="32" t="n">
        <v>41</v>
      </c>
      <c r="B1348" s="32" t="inlineStr">
        <is>
          <t>K3-3C</t>
        </is>
      </c>
      <c r="D1348" s="32" t="n">
        <v>8.94</v>
      </c>
      <c r="E1348" s="32" t="n">
        <v>1930.228</v>
      </c>
      <c r="G1348" s="32" t="n">
        <v>42.863</v>
      </c>
      <c r="H1348" s="32" t="inlineStr">
        <is>
          <t>MM</t>
        </is>
      </c>
      <c r="I1348" s="32" t="n">
        <v>1930.228</v>
      </c>
      <c r="K1348" s="32" t="inlineStr">
        <is>
          <t>20250514-52</t>
        </is>
      </c>
    </row>
    <row r="1349">
      <c r="A1349" s="32" t="n">
        <v>42</v>
      </c>
      <c r="B1349" s="32" t="inlineStr">
        <is>
          <t>K3-4A</t>
        </is>
      </c>
      <c r="D1349" s="32" t="n">
        <v>9.01</v>
      </c>
      <c r="E1349" s="32" t="n">
        <v>2454.78</v>
      </c>
      <c r="G1349" s="32" t="n">
        <v>22021</v>
      </c>
      <c r="H1349" s="32" t="inlineStr">
        <is>
          <t>MM</t>
        </is>
      </c>
      <c r="I1349" s="32" t="n">
        <v>2454.78</v>
      </c>
      <c r="K1349" s="32" t="inlineStr">
        <is>
          <t>20250514-53</t>
        </is>
      </c>
    </row>
    <row r="1350">
      <c r="A1350" s="32" t="n">
        <v>43</v>
      </c>
      <c r="B1350" s="32" t="inlineStr">
        <is>
          <t>K3-4B</t>
        </is>
      </c>
      <c r="D1350" s="32" t="n">
        <v>8.98</v>
      </c>
      <c r="E1350" s="32" t="n">
        <v>2046.805</v>
      </c>
      <c r="G1350" s="32" t="n">
        <v>18884</v>
      </c>
      <c r="H1350" s="32" t="inlineStr">
        <is>
          <t>MM</t>
        </is>
      </c>
      <c r="I1350" s="32" t="n">
        <v>2046.805</v>
      </c>
      <c r="K1350" s="32" t="inlineStr">
        <is>
          <t>20250514-54</t>
        </is>
      </c>
    </row>
    <row r="1351">
      <c r="A1351" s="32" t="n">
        <v>44</v>
      </c>
      <c r="B1351" s="32" t="inlineStr">
        <is>
          <t>K3-4C</t>
        </is>
      </c>
      <c r="D1351" s="32" t="n">
        <v>9.01</v>
      </c>
      <c r="E1351" s="32" t="n">
        <v>1963.707</v>
      </c>
      <c r="G1351" s="32" t="n">
        <v>7.904</v>
      </c>
      <c r="H1351" s="32" t="inlineStr">
        <is>
          <t>MM</t>
        </is>
      </c>
      <c r="I1351" s="32" t="n">
        <v>1963.707</v>
      </c>
      <c r="K1351" s="32" t="inlineStr">
        <is>
          <t>20250514-55</t>
        </is>
      </c>
    </row>
    <row r="1352">
      <c r="A1352" s="32" t="n">
        <v>45</v>
      </c>
      <c r="B1352" s="32" t="inlineStr">
        <is>
          <t>MeOH</t>
        </is>
      </c>
      <c r="K1352" s="32" t="inlineStr">
        <is>
          <t>20250514-56</t>
        </is>
      </c>
    </row>
    <row r="1353">
      <c r="A1353" s="32" t="n">
        <v>46</v>
      </c>
      <c r="B1353" s="32" t="inlineStr">
        <is>
          <t>K3-6A</t>
        </is>
      </c>
      <c r="D1353" s="32" t="n">
        <v>9.050000000000001</v>
      </c>
      <c r="E1353" s="32" t="n">
        <v>2063.159</v>
      </c>
      <c r="G1353" s="32" t="n">
        <v>146.732</v>
      </c>
      <c r="H1353" s="32" t="inlineStr">
        <is>
          <t>MM</t>
        </is>
      </c>
      <c r="I1353" s="32" t="n">
        <v>2063.159</v>
      </c>
      <c r="K1353" s="32" t="inlineStr">
        <is>
          <t>20250514-57</t>
        </is>
      </c>
    </row>
    <row r="1354">
      <c r="A1354" s="32" t="n">
        <v>47</v>
      </c>
      <c r="B1354" s="32" t="inlineStr">
        <is>
          <t>K3-6B</t>
        </is>
      </c>
      <c r="D1354" s="32" t="n">
        <v>9.029999999999999</v>
      </c>
      <c r="E1354" s="32" t="n">
        <v>1701.403</v>
      </c>
      <c r="G1354" s="32" t="n">
        <v>14735</v>
      </c>
      <c r="H1354" s="32" t="inlineStr">
        <is>
          <t>MM</t>
        </is>
      </c>
      <c r="I1354" s="32" t="n">
        <v>1701.403</v>
      </c>
      <c r="K1354" s="32" t="inlineStr">
        <is>
          <t>20250514-58</t>
        </is>
      </c>
    </row>
    <row r="1355">
      <c r="A1355" s="32" t="n">
        <v>48</v>
      </c>
      <c r="B1355" s="32" t="inlineStr">
        <is>
          <t>K3-6C</t>
        </is>
      </c>
      <c r="D1355" s="32" t="n">
        <v>8.99</v>
      </c>
      <c r="E1355" s="32" t="n">
        <v>1921.069</v>
      </c>
      <c r="G1355" s="32" t="n">
        <v>4617.567</v>
      </c>
      <c r="H1355" s="32" t="inlineStr">
        <is>
          <t>MM</t>
        </is>
      </c>
      <c r="I1355" s="32" t="n">
        <v>1921.069</v>
      </c>
      <c r="K1355" s="32" t="inlineStr">
        <is>
          <t>20250514-59</t>
        </is>
      </c>
    </row>
    <row r="1357">
      <c r="A1357" s="32" t="inlineStr">
        <is>
          <t>Compound 27:  m5 PFHxA 2</t>
        </is>
      </c>
    </row>
    <row r="1359">
      <c r="B1359" s="32" t="inlineStr">
        <is>
          <t>Sample Text</t>
        </is>
      </c>
      <c r="C1359" s="32" t="inlineStr">
        <is>
          <t>Std. Conc</t>
        </is>
      </c>
      <c r="D1359" s="32" t="inlineStr">
        <is>
          <t>RT</t>
        </is>
      </c>
      <c r="E1359" s="32" t="inlineStr">
        <is>
          <t>Area</t>
        </is>
      </c>
      <c r="F1359" s="32" t="inlineStr">
        <is>
          <t>IS Area</t>
        </is>
      </c>
      <c r="G1359" s="32" t="inlineStr">
        <is>
          <t>S/N</t>
        </is>
      </c>
      <c r="H1359" s="32" t="inlineStr">
        <is>
          <t>Primary Flags</t>
        </is>
      </c>
      <c r="I1359" s="32" t="inlineStr">
        <is>
          <t>Response</t>
        </is>
      </c>
      <c r="J1359" s="32" t="inlineStr">
        <is>
          <t>Conc.</t>
        </is>
      </c>
      <c r="K1359" s="32" t="inlineStr">
        <is>
          <t>Name</t>
        </is>
      </c>
    </row>
    <row r="1360">
      <c r="A1360" s="32" t="n">
        <v>1</v>
      </c>
      <c r="B1360" s="32" t="inlineStr">
        <is>
          <t>EPA1633 &amp; diPAPs Calibration 0 ppb</t>
        </is>
      </c>
      <c r="K1360" s="32" t="inlineStr">
        <is>
          <t>20250514-12</t>
        </is>
      </c>
    </row>
    <row r="1361">
      <c r="A1361" s="32" t="n">
        <v>2</v>
      </c>
      <c r="B1361" s="32" t="inlineStr">
        <is>
          <t>EPA1633 &amp; diPAPs Calibration 0.02 ppb</t>
        </is>
      </c>
      <c r="K1361" s="32" t="inlineStr">
        <is>
          <t>20250514-13</t>
        </is>
      </c>
    </row>
    <row r="1362">
      <c r="A1362" s="32" t="n">
        <v>3</v>
      </c>
      <c r="B1362" s="32" t="inlineStr">
        <is>
          <t>EPA1633 &amp; diPAPs Calibration 0.1 ppb</t>
        </is>
      </c>
      <c r="D1362" s="32" t="n">
        <v>8.92</v>
      </c>
      <c r="E1362" s="32" t="n">
        <v>0.8080000000000001</v>
      </c>
      <c r="G1362" s="32" t="n">
        <v>3.944</v>
      </c>
      <c r="H1362" s="32" t="inlineStr">
        <is>
          <t>bb</t>
        </is>
      </c>
      <c r="I1362" s="32" t="n">
        <v>0.8080000000000001</v>
      </c>
      <c r="K1362" s="32" t="inlineStr">
        <is>
          <t>20250514-14</t>
        </is>
      </c>
    </row>
    <row r="1363">
      <c r="A1363" s="32" t="n">
        <v>4</v>
      </c>
      <c r="B1363" s="32" t="inlineStr">
        <is>
          <t>EPA1633 &amp; diPAPs Calibration 0.4 ppb</t>
        </is>
      </c>
      <c r="K1363" s="32" t="inlineStr">
        <is>
          <t>20250514-15</t>
        </is>
      </c>
    </row>
    <row r="1364">
      <c r="A1364" s="32" t="n">
        <v>5</v>
      </c>
      <c r="B1364" s="32" t="inlineStr">
        <is>
          <t>EPA1633 &amp; diPAPs Calibration 1 ppb</t>
        </is>
      </c>
      <c r="D1364" s="32" t="n">
        <v>8.9</v>
      </c>
      <c r="E1364" s="32" t="n">
        <v>32.061</v>
      </c>
      <c r="G1364" s="32" t="n">
        <v>397</v>
      </c>
      <c r="H1364" s="32" t="inlineStr">
        <is>
          <t>bb</t>
        </is>
      </c>
      <c r="I1364" s="32" t="n">
        <v>32.061</v>
      </c>
      <c r="K1364" s="32" t="inlineStr">
        <is>
          <t>20250514-16</t>
        </is>
      </c>
    </row>
    <row r="1365">
      <c r="A1365" s="32" t="n">
        <v>6</v>
      </c>
      <c r="B1365" s="32" t="inlineStr">
        <is>
          <t>EPA1633 &amp; diPAPs Calibration 5 ppb</t>
        </is>
      </c>
      <c r="D1365" s="32" t="n">
        <v>8.720000000000001</v>
      </c>
      <c r="E1365" s="32" t="n">
        <v>2.482</v>
      </c>
      <c r="G1365" s="32" t="n">
        <v>35</v>
      </c>
      <c r="H1365" s="32" t="inlineStr">
        <is>
          <t>bb</t>
        </is>
      </c>
      <c r="I1365" s="32" t="n">
        <v>2.482</v>
      </c>
      <c r="K1365" s="32" t="inlineStr">
        <is>
          <t>20250514-17</t>
        </is>
      </c>
    </row>
    <row r="1366">
      <c r="A1366" s="32" t="n">
        <v>7</v>
      </c>
      <c r="B1366" s="32" t="inlineStr">
        <is>
          <t>EPA1633 &amp; diPAPs Calibration 10 ppb</t>
        </is>
      </c>
      <c r="D1366" s="32" t="n">
        <v>8.789999999999999</v>
      </c>
      <c r="E1366" s="32" t="n">
        <v>5.974</v>
      </c>
      <c r="G1366" s="32" t="n">
        <v>73</v>
      </c>
      <c r="H1366" s="32" t="inlineStr">
        <is>
          <t>bb</t>
        </is>
      </c>
      <c r="I1366" s="32" t="n">
        <v>5.974</v>
      </c>
      <c r="K1366" s="32" t="inlineStr">
        <is>
          <t>20250514-18</t>
        </is>
      </c>
    </row>
    <row r="1367">
      <c r="A1367" s="32" t="n">
        <v>8</v>
      </c>
      <c r="B1367" s="32" t="inlineStr">
        <is>
          <t>EPA1633 &amp; diPAPs Calibration 20 ppb</t>
        </is>
      </c>
      <c r="D1367" s="32" t="n">
        <v>8.83</v>
      </c>
      <c r="E1367" s="32" t="n">
        <v>10.827</v>
      </c>
      <c r="G1367" s="32" t="n">
        <v>119</v>
      </c>
      <c r="H1367" s="32" t="inlineStr">
        <is>
          <t>bb</t>
        </is>
      </c>
      <c r="I1367" s="32" t="n">
        <v>10.827</v>
      </c>
      <c r="K1367" s="32" t="inlineStr">
        <is>
          <t>20250514-19</t>
        </is>
      </c>
    </row>
    <row r="1368">
      <c r="A1368" s="32" t="n">
        <v>9</v>
      </c>
      <c r="B1368" s="32" t="inlineStr">
        <is>
          <t>MeOH</t>
        </is>
      </c>
      <c r="K1368" s="32" t="inlineStr">
        <is>
          <t>20250514-20</t>
        </is>
      </c>
    </row>
    <row r="1369">
      <c r="A1369" s="32" t="n">
        <v>10</v>
      </c>
      <c r="B1369" s="32" t="inlineStr">
        <is>
          <t>MeOH</t>
        </is>
      </c>
      <c r="K1369" s="32" t="inlineStr">
        <is>
          <t>20250514-21</t>
        </is>
      </c>
    </row>
    <row r="1370">
      <c r="A1370" s="32" t="n">
        <v>11</v>
      </c>
      <c r="B1370" s="32" t="inlineStr">
        <is>
          <t>SB1</t>
        </is>
      </c>
      <c r="K1370" s="32" t="inlineStr">
        <is>
          <t>20250514-22</t>
        </is>
      </c>
    </row>
    <row r="1371">
      <c r="A1371" s="32" t="n">
        <v>12</v>
      </c>
      <c r="B1371" s="32" t="inlineStr">
        <is>
          <t>SB2</t>
        </is>
      </c>
      <c r="K1371" s="32" t="inlineStr">
        <is>
          <t>20250514-23</t>
        </is>
      </c>
    </row>
    <row r="1372">
      <c r="A1372" s="32" t="n">
        <v>13</v>
      </c>
      <c r="B1372" s="32" t="inlineStr">
        <is>
          <t>SB3</t>
        </is>
      </c>
      <c r="K1372" s="32" t="inlineStr">
        <is>
          <t>20250514-24</t>
        </is>
      </c>
    </row>
    <row r="1373">
      <c r="A1373" s="32" t="n">
        <v>14</v>
      </c>
      <c r="B1373" s="32" t="inlineStr">
        <is>
          <t>SS1</t>
        </is>
      </c>
      <c r="K1373" s="32" t="inlineStr">
        <is>
          <t>20250514-25</t>
        </is>
      </c>
    </row>
    <row r="1374">
      <c r="A1374" s="32" t="n">
        <v>15</v>
      </c>
      <c r="B1374" s="32" t="inlineStr">
        <is>
          <t>SS2</t>
        </is>
      </c>
      <c r="D1374" s="32" t="n">
        <v>9</v>
      </c>
      <c r="E1374" s="32" t="n">
        <v>6.07</v>
      </c>
      <c r="G1374" s="32" t="n">
        <v>76</v>
      </c>
      <c r="H1374" s="32" t="inlineStr">
        <is>
          <t>bb</t>
        </is>
      </c>
      <c r="I1374" s="32" t="n">
        <v>6.07</v>
      </c>
      <c r="K1374" s="32" t="inlineStr">
        <is>
          <t>20250514-26</t>
        </is>
      </c>
    </row>
    <row r="1375">
      <c r="A1375" s="32" t="n">
        <v>16</v>
      </c>
      <c r="B1375" s="32" t="inlineStr">
        <is>
          <t>SS3</t>
        </is>
      </c>
      <c r="K1375" s="32" t="inlineStr">
        <is>
          <t>20250514-27</t>
        </is>
      </c>
    </row>
    <row r="1376">
      <c r="A1376" s="32" t="n">
        <v>17</v>
      </c>
      <c r="B1376" s="32" t="inlineStr">
        <is>
          <t>MeOH</t>
        </is>
      </c>
      <c r="K1376" s="32" t="inlineStr">
        <is>
          <t>20250514-28</t>
        </is>
      </c>
    </row>
    <row r="1377">
      <c r="A1377" s="32" t="n">
        <v>18</v>
      </c>
      <c r="B1377" s="32" t="inlineStr">
        <is>
          <t>K4-1A</t>
        </is>
      </c>
      <c r="K1377" s="32" t="inlineStr">
        <is>
          <t>20250514-29</t>
        </is>
      </c>
    </row>
    <row r="1378">
      <c r="A1378" s="32" t="n">
        <v>19</v>
      </c>
      <c r="B1378" s="32" t="inlineStr">
        <is>
          <t>K4-1B</t>
        </is>
      </c>
      <c r="K1378" s="32" t="inlineStr">
        <is>
          <t>20250514-30</t>
        </is>
      </c>
    </row>
    <row r="1379">
      <c r="A1379" s="32" t="n">
        <v>20</v>
      </c>
      <c r="B1379" s="32" t="inlineStr">
        <is>
          <t>K4-1C</t>
        </is>
      </c>
      <c r="K1379" s="32" t="inlineStr">
        <is>
          <t>20250514-31</t>
        </is>
      </c>
    </row>
    <row r="1380">
      <c r="A1380" s="32" t="n">
        <v>21</v>
      </c>
      <c r="B1380" s="32" t="inlineStr">
        <is>
          <t>K4-2A</t>
        </is>
      </c>
      <c r="D1380" s="32" t="n">
        <v>9.01</v>
      </c>
      <c r="E1380" s="32" t="n">
        <v>2.638</v>
      </c>
      <c r="G1380" s="32" t="n">
        <v>32</v>
      </c>
      <c r="H1380" s="32" t="inlineStr">
        <is>
          <t>bb</t>
        </is>
      </c>
      <c r="I1380" s="32" t="n">
        <v>2.638</v>
      </c>
      <c r="K1380" s="32" t="inlineStr">
        <is>
          <t>20250514-32</t>
        </is>
      </c>
    </row>
    <row r="1381">
      <c r="A1381" s="32" t="n">
        <v>22</v>
      </c>
      <c r="B1381" s="32" t="inlineStr">
        <is>
          <t>K4-2B</t>
        </is>
      </c>
      <c r="K1381" s="32" t="inlineStr">
        <is>
          <t>20250514-33</t>
        </is>
      </c>
    </row>
    <row r="1382">
      <c r="A1382" s="32" t="n">
        <v>23</v>
      </c>
      <c r="B1382" s="32" t="inlineStr">
        <is>
          <t>K4-2C</t>
        </is>
      </c>
      <c r="K1382" s="32" t="inlineStr">
        <is>
          <t>20250514-34</t>
        </is>
      </c>
    </row>
    <row r="1383">
      <c r="A1383" s="32" t="n">
        <v>24</v>
      </c>
      <c r="B1383" s="32" t="inlineStr">
        <is>
          <t>MeOH</t>
        </is>
      </c>
      <c r="K1383" s="32" t="inlineStr">
        <is>
          <t>20250514-35</t>
        </is>
      </c>
    </row>
    <row r="1384">
      <c r="A1384" s="32" t="n">
        <v>25</v>
      </c>
      <c r="B1384" s="32" t="inlineStr">
        <is>
          <t>K4-4A</t>
        </is>
      </c>
      <c r="K1384" s="32" t="inlineStr">
        <is>
          <t>20250514-36</t>
        </is>
      </c>
    </row>
    <row r="1385">
      <c r="A1385" s="32" t="n">
        <v>26</v>
      </c>
      <c r="B1385" s="32" t="inlineStr">
        <is>
          <t>K4-4B</t>
        </is>
      </c>
      <c r="K1385" s="32" t="inlineStr">
        <is>
          <t>20250514-37</t>
        </is>
      </c>
    </row>
    <row r="1386">
      <c r="A1386" s="32" t="n">
        <v>27</v>
      </c>
      <c r="B1386" s="32" t="inlineStr">
        <is>
          <t>K4-4C</t>
        </is>
      </c>
      <c r="K1386" s="32" t="inlineStr">
        <is>
          <t>20250514-38</t>
        </is>
      </c>
    </row>
    <row r="1387">
      <c r="A1387" s="32" t="n">
        <v>28</v>
      </c>
      <c r="B1387" s="32" t="inlineStr">
        <is>
          <t>K4-5A</t>
        </is>
      </c>
      <c r="K1387" s="32" t="inlineStr">
        <is>
          <t>20250514-39</t>
        </is>
      </c>
    </row>
    <row r="1388">
      <c r="A1388" s="32" t="n">
        <v>29</v>
      </c>
      <c r="B1388" s="32" t="inlineStr">
        <is>
          <t>K4-5B</t>
        </is>
      </c>
      <c r="K1388" s="32" t="inlineStr">
        <is>
          <t>20250514-40</t>
        </is>
      </c>
    </row>
    <row r="1389">
      <c r="A1389" s="32" t="n">
        <v>30</v>
      </c>
      <c r="B1389" s="32" t="inlineStr">
        <is>
          <t>K4-5C</t>
        </is>
      </c>
      <c r="D1389" s="32" t="n">
        <v>8.869999999999999</v>
      </c>
      <c r="E1389" s="32" t="n">
        <v>0.545</v>
      </c>
      <c r="G1389" s="32" t="n">
        <v>7</v>
      </c>
      <c r="H1389" s="32" t="inlineStr">
        <is>
          <t>bb</t>
        </is>
      </c>
      <c r="I1389" s="32" t="n">
        <v>0.545</v>
      </c>
      <c r="K1389" s="32" t="inlineStr">
        <is>
          <t>20250514-41</t>
        </is>
      </c>
    </row>
    <row r="1390">
      <c r="A1390" s="32" t="n">
        <v>31</v>
      </c>
      <c r="B1390" s="32" t="inlineStr">
        <is>
          <t>MeOH</t>
        </is>
      </c>
      <c r="K1390" s="32" t="inlineStr">
        <is>
          <t>20250514-42</t>
        </is>
      </c>
    </row>
    <row r="1391">
      <c r="A1391" s="32" t="n">
        <v>32</v>
      </c>
      <c r="B1391" s="32" t="inlineStr">
        <is>
          <t>K3-1A</t>
        </is>
      </c>
      <c r="K1391" s="32" t="inlineStr">
        <is>
          <t>20250514-43</t>
        </is>
      </c>
    </row>
    <row r="1392">
      <c r="A1392" s="32" t="n">
        <v>33</v>
      </c>
      <c r="B1392" s="32" t="inlineStr">
        <is>
          <t>K3-1B</t>
        </is>
      </c>
      <c r="K1392" s="32" t="inlineStr">
        <is>
          <t>20250514-44</t>
        </is>
      </c>
    </row>
    <row r="1393">
      <c r="A1393" s="32" t="n">
        <v>34</v>
      </c>
      <c r="B1393" s="32" t="inlineStr">
        <is>
          <t>K3-1C</t>
        </is>
      </c>
      <c r="D1393" s="32" t="n">
        <v>8.82</v>
      </c>
      <c r="E1393" s="32" t="n">
        <v>8.029</v>
      </c>
      <c r="G1393" s="32" t="n">
        <v>113</v>
      </c>
      <c r="H1393" s="32" t="inlineStr">
        <is>
          <t>bb</t>
        </is>
      </c>
      <c r="I1393" s="32" t="n">
        <v>8.029</v>
      </c>
      <c r="K1393" s="32" t="inlineStr">
        <is>
          <t>20250514-45</t>
        </is>
      </c>
    </row>
    <row r="1394">
      <c r="A1394" s="32" t="n">
        <v>35</v>
      </c>
      <c r="B1394" s="32" t="inlineStr">
        <is>
          <t>K3-2A</t>
        </is>
      </c>
      <c r="K1394" s="32" t="inlineStr">
        <is>
          <t>20250514-46</t>
        </is>
      </c>
    </row>
    <row r="1395">
      <c r="A1395" s="32" t="n">
        <v>36</v>
      </c>
      <c r="B1395" s="32" t="inlineStr">
        <is>
          <t>K3-2B</t>
        </is>
      </c>
      <c r="D1395" s="32" t="n">
        <v>8.869999999999999</v>
      </c>
      <c r="E1395" s="32" t="n">
        <v>4.466</v>
      </c>
      <c r="G1395" s="32" t="n">
        <v>62</v>
      </c>
      <c r="H1395" s="32" t="inlineStr">
        <is>
          <t>bb</t>
        </is>
      </c>
      <c r="I1395" s="32" t="n">
        <v>4.466</v>
      </c>
      <c r="K1395" s="32" t="inlineStr">
        <is>
          <t>20250514-47</t>
        </is>
      </c>
    </row>
    <row r="1396">
      <c r="A1396" s="32" t="n">
        <v>37</v>
      </c>
      <c r="B1396" s="32" t="inlineStr">
        <is>
          <t>K3-2C</t>
        </is>
      </c>
      <c r="D1396" s="32" t="n">
        <v>8.92</v>
      </c>
      <c r="E1396" s="32" t="n">
        <v>28.947</v>
      </c>
      <c r="G1396" s="32" t="n">
        <v>370</v>
      </c>
      <c r="H1396" s="32" t="inlineStr">
        <is>
          <t>bb</t>
        </is>
      </c>
      <c r="I1396" s="32" t="n">
        <v>28.947</v>
      </c>
      <c r="K1396" s="32" t="inlineStr">
        <is>
          <t>20250514-48</t>
        </is>
      </c>
    </row>
    <row r="1397">
      <c r="A1397" s="32" t="n">
        <v>38</v>
      </c>
      <c r="B1397" s="32" t="inlineStr">
        <is>
          <t>MeOH</t>
        </is>
      </c>
      <c r="K1397" s="32" t="inlineStr">
        <is>
          <t>20250514-49</t>
        </is>
      </c>
    </row>
    <row r="1398">
      <c r="A1398" s="32" t="n">
        <v>39</v>
      </c>
      <c r="B1398" s="32" t="inlineStr">
        <is>
          <t>K3-3A</t>
        </is>
      </c>
      <c r="D1398" s="32" t="n">
        <v>8.890000000000001</v>
      </c>
      <c r="E1398" s="32" t="n">
        <v>0.345</v>
      </c>
      <c r="G1398" s="32" t="n">
        <v>5</v>
      </c>
      <c r="H1398" s="32" t="inlineStr">
        <is>
          <t>bb</t>
        </is>
      </c>
      <c r="I1398" s="32" t="n">
        <v>0.345</v>
      </c>
      <c r="K1398" s="32" t="inlineStr">
        <is>
          <t>20250514-50</t>
        </is>
      </c>
    </row>
    <row r="1399">
      <c r="A1399" s="32" t="n">
        <v>40</v>
      </c>
      <c r="B1399" s="32" t="inlineStr">
        <is>
          <t>K3-3B</t>
        </is>
      </c>
      <c r="K1399" s="32" t="inlineStr">
        <is>
          <t>20250514-51</t>
        </is>
      </c>
    </row>
    <row r="1400">
      <c r="A1400" s="32" t="n">
        <v>41</v>
      </c>
      <c r="B1400" s="32" t="inlineStr">
        <is>
          <t>K3-3C</t>
        </is>
      </c>
      <c r="D1400" s="32" t="n">
        <v>8.92</v>
      </c>
      <c r="E1400" s="32" t="n">
        <v>0.44</v>
      </c>
      <c r="G1400" s="32" t="n">
        <v>6</v>
      </c>
      <c r="H1400" s="32" t="inlineStr">
        <is>
          <t>bb</t>
        </is>
      </c>
      <c r="I1400" s="32" t="n">
        <v>0.44</v>
      </c>
      <c r="K1400" s="32" t="inlineStr">
        <is>
          <t>20250514-52</t>
        </is>
      </c>
    </row>
    <row r="1401">
      <c r="A1401" s="32" t="n">
        <v>42</v>
      </c>
      <c r="B1401" s="32" t="inlineStr">
        <is>
          <t>K3-4A</t>
        </is>
      </c>
      <c r="D1401" s="32" t="n">
        <v>9.01</v>
      </c>
      <c r="E1401" s="32" t="n">
        <v>6.734</v>
      </c>
      <c r="G1401" s="32" t="n">
        <v>82</v>
      </c>
      <c r="H1401" s="32" t="inlineStr">
        <is>
          <t>bb</t>
        </is>
      </c>
      <c r="I1401" s="32" t="n">
        <v>6.734</v>
      </c>
      <c r="K1401" s="32" t="inlineStr">
        <is>
          <t>20250514-53</t>
        </is>
      </c>
    </row>
    <row r="1402">
      <c r="A1402" s="32" t="n">
        <v>43</v>
      </c>
      <c r="B1402" s="32" t="inlineStr">
        <is>
          <t>K3-4B</t>
        </is>
      </c>
      <c r="K1402" s="32" t="inlineStr">
        <is>
          <t>20250514-54</t>
        </is>
      </c>
    </row>
    <row r="1403">
      <c r="A1403" s="32" t="n">
        <v>44</v>
      </c>
      <c r="B1403" s="32" t="inlineStr">
        <is>
          <t>K3-4C</t>
        </is>
      </c>
      <c r="K1403" s="32" t="inlineStr">
        <is>
          <t>20250514-55</t>
        </is>
      </c>
    </row>
    <row r="1404">
      <c r="A1404" s="32" t="n">
        <v>45</v>
      </c>
      <c r="B1404" s="32" t="inlineStr">
        <is>
          <t>MeOH</t>
        </is>
      </c>
      <c r="K1404" s="32" t="inlineStr">
        <is>
          <t>20250514-56</t>
        </is>
      </c>
    </row>
    <row r="1405">
      <c r="A1405" s="32" t="n">
        <v>46</v>
      </c>
      <c r="B1405" s="32" t="inlineStr">
        <is>
          <t>K3-6A</t>
        </is>
      </c>
      <c r="D1405" s="32" t="n">
        <v>9.029999999999999</v>
      </c>
      <c r="E1405" s="32" t="n">
        <v>6</v>
      </c>
      <c r="G1405" s="32" t="n">
        <v>4.866</v>
      </c>
      <c r="H1405" s="32" t="inlineStr">
        <is>
          <t>bb</t>
        </is>
      </c>
      <c r="I1405" s="32" t="n">
        <v>6</v>
      </c>
      <c r="K1405" s="32" t="inlineStr">
        <is>
          <t>20250514-57</t>
        </is>
      </c>
    </row>
    <row r="1406">
      <c r="A1406" s="32" t="n">
        <v>47</v>
      </c>
      <c r="B1406" s="32" t="inlineStr">
        <is>
          <t>K3-6B</t>
        </is>
      </c>
      <c r="K1406" s="32" t="inlineStr">
        <is>
          <t>20250514-58</t>
        </is>
      </c>
    </row>
    <row r="1407">
      <c r="A1407" s="32" t="n">
        <v>48</v>
      </c>
      <c r="B1407" s="32" t="inlineStr">
        <is>
          <t>K3-6C</t>
        </is>
      </c>
      <c r="K1407" s="32" t="inlineStr">
        <is>
          <t>20250514-59</t>
        </is>
      </c>
    </row>
    <row r="1409">
      <c r="A1409" s="32" t="inlineStr">
        <is>
          <t>Compound 28:  4:2 FTS 1</t>
        </is>
      </c>
    </row>
    <row r="1411">
      <c r="B1411" s="32" t="inlineStr">
        <is>
          <t>Sample Text</t>
        </is>
      </c>
      <c r="C1411" s="32" t="inlineStr">
        <is>
          <t>Std. Conc</t>
        </is>
      </c>
      <c r="D1411" s="32" t="inlineStr">
        <is>
          <t>RT</t>
        </is>
      </c>
      <c r="E1411" s="32" t="inlineStr">
        <is>
          <t>Area</t>
        </is>
      </c>
      <c r="F1411" s="32" t="inlineStr">
        <is>
          <t>IS Area</t>
        </is>
      </c>
      <c r="G1411" s="32" t="inlineStr">
        <is>
          <t>S/N</t>
        </is>
      </c>
      <c r="H1411" s="32" t="inlineStr">
        <is>
          <t>Primary Flags</t>
        </is>
      </c>
      <c r="I1411" s="32" t="inlineStr">
        <is>
          <t>Response</t>
        </is>
      </c>
      <c r="J1411" s="32" t="inlineStr">
        <is>
          <t>Conc.</t>
        </is>
      </c>
      <c r="K1411" s="32" t="inlineStr">
        <is>
          <t>Name</t>
        </is>
      </c>
    </row>
    <row r="1412">
      <c r="A1412" s="32" t="n">
        <v>1</v>
      </c>
      <c r="B1412" s="32" t="inlineStr">
        <is>
          <t>EPA1633 &amp; diPAPs Calibration 0 ppb</t>
        </is>
      </c>
      <c r="F1412" s="32" t="n">
        <v>2771.78</v>
      </c>
      <c r="K1412" s="32" t="inlineStr">
        <is>
          <t>20250514-12</t>
        </is>
      </c>
    </row>
    <row r="1413">
      <c r="A1413" s="32" t="n">
        <v>2</v>
      </c>
      <c r="B1413" s="32" t="inlineStr">
        <is>
          <t>EPA1633 &amp; diPAPs Calibration 0.02 ppb</t>
        </is>
      </c>
      <c r="D1413" s="32" t="n">
        <v>8.6</v>
      </c>
      <c r="E1413" s="32" t="n">
        <v>4.659</v>
      </c>
      <c r="F1413" s="32" t="n">
        <v>2613.678</v>
      </c>
      <c r="G1413" s="32" t="n">
        <v>67</v>
      </c>
      <c r="H1413" s="32" t="inlineStr">
        <is>
          <t>bb</t>
        </is>
      </c>
      <c r="K1413" s="32" t="inlineStr">
        <is>
          <t>20250514-13</t>
        </is>
      </c>
    </row>
    <row r="1414">
      <c r="A1414" s="32" t="n">
        <v>3</v>
      </c>
      <c r="B1414" s="32" t="inlineStr">
        <is>
          <t>EPA1633 &amp; diPAPs Calibration 0.1 ppb</t>
        </is>
      </c>
      <c r="F1414" s="32" t="n">
        <v>2704.411</v>
      </c>
      <c r="K1414" s="32" t="inlineStr">
        <is>
          <t>20250514-14</t>
        </is>
      </c>
    </row>
    <row r="1415">
      <c r="A1415" s="32" t="n">
        <v>4</v>
      </c>
      <c r="B1415" s="32" t="inlineStr">
        <is>
          <t>EPA1633 &amp; diPAPs Calibration 0.4 ppb</t>
        </is>
      </c>
      <c r="D1415" s="32" t="n">
        <v>8.68</v>
      </c>
      <c r="E1415" s="32" t="n">
        <v>91.667</v>
      </c>
      <c r="F1415" s="32" t="n">
        <v>2633.712</v>
      </c>
      <c r="G1415" s="32" t="n">
        <v>4.528</v>
      </c>
      <c r="H1415" s="32" t="inlineStr">
        <is>
          <t>bb</t>
        </is>
      </c>
      <c r="K1415" s="32" t="inlineStr">
        <is>
          <t>20250514-15</t>
        </is>
      </c>
    </row>
    <row r="1416">
      <c r="A1416" s="32" t="n">
        <v>5</v>
      </c>
      <c r="B1416" s="32" t="inlineStr">
        <is>
          <t>EPA1633 &amp; diPAPs Calibration 1 ppb</t>
        </is>
      </c>
      <c r="D1416" s="32" t="n">
        <v>8.69</v>
      </c>
      <c r="E1416" s="32" t="n">
        <v>106.28</v>
      </c>
      <c r="F1416" s="32" t="n">
        <v>2798.003</v>
      </c>
      <c r="G1416" s="32" t="n">
        <v>1179</v>
      </c>
      <c r="H1416" s="32" t="inlineStr">
        <is>
          <t>bb</t>
        </is>
      </c>
      <c r="K1416" s="32" t="inlineStr">
        <is>
          <t>20250514-16</t>
        </is>
      </c>
    </row>
    <row r="1417">
      <c r="A1417" s="32" t="n">
        <v>6</v>
      </c>
      <c r="B1417" s="32" t="inlineStr">
        <is>
          <t>EPA1633 &amp; diPAPs Calibration 5 ppb</t>
        </is>
      </c>
      <c r="D1417" s="32" t="n">
        <v>8.49</v>
      </c>
      <c r="E1417" s="32" t="n">
        <v>792.333</v>
      </c>
      <c r="F1417" s="32" t="n">
        <v>2309.18</v>
      </c>
      <c r="G1417" s="32" t="n">
        <v>8423</v>
      </c>
      <c r="H1417" s="32" t="inlineStr">
        <is>
          <t>bb</t>
        </is>
      </c>
      <c r="K1417" s="32" t="inlineStr">
        <is>
          <t>20250514-17</t>
        </is>
      </c>
    </row>
    <row r="1418">
      <c r="A1418" s="32" t="n">
        <v>7</v>
      </c>
      <c r="B1418" s="32" t="inlineStr">
        <is>
          <t>EPA1633 &amp; diPAPs Calibration 10 ppb</t>
        </is>
      </c>
      <c r="D1418" s="32" t="n">
        <v>8.56</v>
      </c>
      <c r="E1418" s="32" t="n">
        <v>1934.727</v>
      </c>
      <c r="F1418" s="32" t="n">
        <v>2072.812</v>
      </c>
      <c r="G1418" s="32" t="n">
        <v>16975</v>
      </c>
      <c r="H1418" s="32" t="inlineStr">
        <is>
          <t>bb</t>
        </is>
      </c>
      <c r="K1418" s="32" t="inlineStr">
        <is>
          <t>20250514-18</t>
        </is>
      </c>
    </row>
    <row r="1419">
      <c r="A1419" s="32" t="n">
        <v>8</v>
      </c>
      <c r="B1419" s="32" t="inlineStr">
        <is>
          <t>EPA1633 &amp; diPAPs Calibration 20 ppb</t>
        </is>
      </c>
      <c r="D1419" s="32" t="n">
        <v>8.609999999999999</v>
      </c>
      <c r="E1419" s="32" t="n">
        <v>4059.792</v>
      </c>
      <c r="F1419" s="32" t="n">
        <v>1703.301</v>
      </c>
      <c r="G1419" s="32" t="n">
        <v>578.33</v>
      </c>
      <c r="H1419" s="32" t="inlineStr">
        <is>
          <t>bb</t>
        </is>
      </c>
      <c r="K1419" s="32" t="inlineStr">
        <is>
          <t>20250514-19</t>
        </is>
      </c>
    </row>
    <row r="1420">
      <c r="A1420" s="32" t="n">
        <v>9</v>
      </c>
      <c r="B1420" s="32" t="inlineStr">
        <is>
          <t>MeOH</t>
        </is>
      </c>
      <c r="K1420" s="32" t="inlineStr">
        <is>
          <t>20250514-20</t>
        </is>
      </c>
    </row>
    <row r="1421">
      <c r="A1421" s="32" t="n">
        <v>10</v>
      </c>
      <c r="B1421" s="32" t="inlineStr">
        <is>
          <t>MeOH</t>
        </is>
      </c>
      <c r="D1421" s="32" t="n">
        <v>9.06</v>
      </c>
      <c r="E1421" s="32" t="n">
        <v>0.545</v>
      </c>
      <c r="G1421" s="32" t="n">
        <v>6</v>
      </c>
      <c r="H1421" s="32" t="inlineStr">
        <is>
          <t>bb</t>
        </is>
      </c>
      <c r="K1421" s="32" t="inlineStr">
        <is>
          <t>20250514-21</t>
        </is>
      </c>
    </row>
    <row r="1422">
      <c r="A1422" s="32" t="n">
        <v>11</v>
      </c>
      <c r="B1422" s="32" t="inlineStr">
        <is>
          <t>SB1</t>
        </is>
      </c>
      <c r="F1422" s="32" t="n">
        <v>802.6180000000001</v>
      </c>
      <c r="K1422" s="32" t="inlineStr">
        <is>
          <t>20250514-22</t>
        </is>
      </c>
    </row>
    <row r="1423">
      <c r="A1423" s="32" t="n">
        <v>12</v>
      </c>
      <c r="B1423" s="32" t="inlineStr">
        <is>
          <t>SB2</t>
        </is>
      </c>
      <c r="F1423" s="32" t="n">
        <v>1039.268</v>
      </c>
      <c r="K1423" s="32" t="inlineStr">
        <is>
          <t>20250514-23</t>
        </is>
      </c>
    </row>
    <row r="1424">
      <c r="A1424" s="32" t="n">
        <v>13</v>
      </c>
      <c r="B1424" s="32" t="inlineStr">
        <is>
          <t>SB3</t>
        </is>
      </c>
      <c r="F1424" s="32" t="n">
        <v>1005.736</v>
      </c>
      <c r="K1424" s="32" t="inlineStr">
        <is>
          <t>20250514-24</t>
        </is>
      </c>
    </row>
    <row r="1425">
      <c r="A1425" s="32" t="n">
        <v>14</v>
      </c>
      <c r="B1425" s="32" t="inlineStr">
        <is>
          <t>SS1</t>
        </is>
      </c>
      <c r="D1425" s="32" t="n">
        <v>8.75</v>
      </c>
      <c r="E1425" s="32" t="n">
        <v>1006.127</v>
      </c>
      <c r="F1425" s="32" t="n">
        <v>860.02</v>
      </c>
      <c r="G1425" s="32" t="n">
        <v>46.347</v>
      </c>
      <c r="H1425" s="32" t="inlineStr">
        <is>
          <t>bb</t>
        </is>
      </c>
      <c r="K1425" s="32" t="inlineStr">
        <is>
          <t>20250514-25</t>
        </is>
      </c>
    </row>
    <row r="1426">
      <c r="A1426" s="32" t="n">
        <v>15</v>
      </c>
      <c r="B1426" s="32" t="inlineStr">
        <is>
          <t>SS2</t>
        </is>
      </c>
      <c r="D1426" s="32" t="n">
        <v>8.76</v>
      </c>
      <c r="E1426" s="32" t="n">
        <v>1083.593</v>
      </c>
      <c r="F1426" s="32" t="n">
        <v>1205.224</v>
      </c>
      <c r="G1426" s="32" t="n">
        <v>9316</v>
      </c>
      <c r="H1426" s="32" t="inlineStr">
        <is>
          <t>bb</t>
        </is>
      </c>
      <c r="K1426" s="32" t="inlineStr">
        <is>
          <t>20250514-26</t>
        </is>
      </c>
    </row>
    <row r="1427">
      <c r="A1427" s="32" t="n">
        <v>16</v>
      </c>
      <c r="B1427" s="32" t="inlineStr">
        <is>
          <t>SS3</t>
        </is>
      </c>
      <c r="D1427" s="32" t="n">
        <v>8.76</v>
      </c>
      <c r="E1427" s="32" t="n">
        <v>1043.888</v>
      </c>
      <c r="F1427" s="32" t="n">
        <v>953.783</v>
      </c>
      <c r="G1427" s="32" t="n">
        <v>9070</v>
      </c>
      <c r="H1427" s="32" t="inlineStr">
        <is>
          <t>bb</t>
        </is>
      </c>
      <c r="K1427" s="32" t="inlineStr">
        <is>
          <t>20250514-27</t>
        </is>
      </c>
    </row>
    <row r="1428">
      <c r="A1428" s="32" t="n">
        <v>17</v>
      </c>
      <c r="B1428" s="32" t="inlineStr">
        <is>
          <t>MeOH</t>
        </is>
      </c>
      <c r="D1428" s="32" t="n">
        <v>8.779999999999999</v>
      </c>
      <c r="E1428" s="32" t="n">
        <v>15.672</v>
      </c>
      <c r="G1428" s="32" t="n">
        <v>216</v>
      </c>
      <c r="H1428" s="32" t="inlineStr">
        <is>
          <t>bb</t>
        </is>
      </c>
      <c r="K1428" s="32" t="inlineStr">
        <is>
          <t>20250514-28</t>
        </is>
      </c>
    </row>
    <row r="1429">
      <c r="A1429" s="32" t="n">
        <v>18</v>
      </c>
      <c r="B1429" s="32" t="inlineStr">
        <is>
          <t>K4-1A</t>
        </is>
      </c>
      <c r="F1429" s="32" t="n">
        <v>1575.246</v>
      </c>
      <c r="K1429" s="32" t="inlineStr">
        <is>
          <t>20250514-29</t>
        </is>
      </c>
    </row>
    <row r="1430">
      <c r="A1430" s="32" t="n">
        <v>19</v>
      </c>
      <c r="B1430" s="32" t="inlineStr">
        <is>
          <t>K4-1B</t>
        </is>
      </c>
      <c r="F1430" s="32" t="n">
        <v>1550.869</v>
      </c>
      <c r="K1430" s="32" t="inlineStr">
        <is>
          <t>20250514-30</t>
        </is>
      </c>
    </row>
    <row r="1431">
      <c r="A1431" s="32" t="n">
        <v>20</v>
      </c>
      <c r="B1431" s="32" t="inlineStr">
        <is>
          <t>K4-1C</t>
        </is>
      </c>
      <c r="F1431" s="32" t="n">
        <v>1163.846</v>
      </c>
      <c r="K1431" s="32" t="inlineStr">
        <is>
          <t>20250514-31</t>
        </is>
      </c>
    </row>
    <row r="1432">
      <c r="A1432" s="32" t="n">
        <v>21</v>
      </c>
      <c r="B1432" s="32" t="inlineStr">
        <is>
          <t>K4-2A</t>
        </is>
      </c>
      <c r="F1432" s="32" t="n">
        <v>1084.067</v>
      </c>
      <c r="K1432" s="32" t="inlineStr">
        <is>
          <t>20250514-32</t>
        </is>
      </c>
    </row>
    <row r="1433">
      <c r="A1433" s="32" t="n">
        <v>22</v>
      </c>
      <c r="B1433" s="32" t="inlineStr">
        <is>
          <t>K4-2B</t>
        </is>
      </c>
      <c r="F1433" s="32" t="n">
        <v>1044.51</v>
      </c>
      <c r="K1433" s="32" t="inlineStr">
        <is>
          <t>20250514-33</t>
        </is>
      </c>
    </row>
    <row r="1434">
      <c r="A1434" s="32" t="n">
        <v>23</v>
      </c>
      <c r="B1434" s="32" t="inlineStr">
        <is>
          <t>K4-2C</t>
        </is>
      </c>
      <c r="F1434" s="32" t="n">
        <v>1020.096</v>
      </c>
      <c r="K1434" s="32" t="inlineStr">
        <is>
          <t>20250514-34</t>
        </is>
      </c>
    </row>
    <row r="1435">
      <c r="A1435" s="32" t="n">
        <v>24</v>
      </c>
      <c r="B1435" s="32" t="inlineStr">
        <is>
          <t>MeOH</t>
        </is>
      </c>
      <c r="K1435" s="32" t="inlineStr">
        <is>
          <t>20250514-35</t>
        </is>
      </c>
    </row>
    <row r="1436">
      <c r="A1436" s="32" t="n">
        <v>25</v>
      </c>
      <c r="B1436" s="32" t="inlineStr">
        <is>
          <t>K4-4A</t>
        </is>
      </c>
      <c r="F1436" s="32" t="n">
        <v>1051.351</v>
      </c>
      <c r="K1436" s="32" t="inlineStr">
        <is>
          <t>20250514-36</t>
        </is>
      </c>
    </row>
    <row r="1437">
      <c r="A1437" s="32" t="n">
        <v>26</v>
      </c>
      <c r="B1437" s="32" t="inlineStr">
        <is>
          <t>K4-4B</t>
        </is>
      </c>
      <c r="F1437" s="32" t="n">
        <v>1035.151</v>
      </c>
      <c r="K1437" s="32" t="inlineStr">
        <is>
          <t>20250514-37</t>
        </is>
      </c>
    </row>
    <row r="1438">
      <c r="A1438" s="32" t="n">
        <v>27</v>
      </c>
      <c r="B1438" s="32" t="inlineStr">
        <is>
          <t>K4-4C</t>
        </is>
      </c>
      <c r="F1438" s="32" t="n">
        <v>822.99</v>
      </c>
      <c r="K1438" s="32" t="inlineStr">
        <is>
          <t>20250514-38</t>
        </is>
      </c>
    </row>
    <row r="1439">
      <c r="A1439" s="32" t="n">
        <v>28</v>
      </c>
      <c r="B1439" s="32" t="inlineStr">
        <is>
          <t>K4-5A</t>
        </is>
      </c>
      <c r="F1439" s="32" t="n">
        <v>985.0170000000001</v>
      </c>
      <c r="K1439" s="32" t="inlineStr">
        <is>
          <t>20250514-39</t>
        </is>
      </c>
    </row>
    <row r="1440">
      <c r="A1440" s="32" t="n">
        <v>29</v>
      </c>
      <c r="B1440" s="32" t="inlineStr">
        <is>
          <t>K4-5B</t>
        </is>
      </c>
      <c r="F1440" s="32" t="n">
        <v>1024.411</v>
      </c>
      <c r="K1440" s="32" t="inlineStr">
        <is>
          <t>20250514-40</t>
        </is>
      </c>
    </row>
    <row r="1441">
      <c r="A1441" s="32" t="n">
        <v>30</v>
      </c>
      <c r="B1441" s="32" t="inlineStr">
        <is>
          <t>K4-5C</t>
        </is>
      </c>
      <c r="F1441" s="32" t="n">
        <v>1313.31</v>
      </c>
      <c r="K1441" s="32" t="inlineStr">
        <is>
          <t>20250514-41</t>
        </is>
      </c>
    </row>
    <row r="1442">
      <c r="A1442" s="32" t="n">
        <v>31</v>
      </c>
      <c r="B1442" s="32" t="inlineStr">
        <is>
          <t>MeOH</t>
        </is>
      </c>
      <c r="K1442" s="32" t="inlineStr">
        <is>
          <t>20250514-42</t>
        </is>
      </c>
    </row>
    <row r="1443">
      <c r="A1443" s="32" t="n">
        <v>32</v>
      </c>
      <c r="B1443" s="32" t="inlineStr">
        <is>
          <t>K3-1A</t>
        </is>
      </c>
      <c r="F1443" s="32" t="n">
        <v>1115.547</v>
      </c>
      <c r="K1443" s="32" t="inlineStr">
        <is>
          <t>20250514-43</t>
        </is>
      </c>
    </row>
    <row r="1444">
      <c r="A1444" s="32" t="n">
        <v>33</v>
      </c>
      <c r="B1444" s="32" t="inlineStr">
        <is>
          <t>K3-1B</t>
        </is>
      </c>
      <c r="F1444" s="32" t="n">
        <v>868.492</v>
      </c>
      <c r="K1444" s="32" t="inlineStr">
        <is>
          <t>20250514-44</t>
        </is>
      </c>
    </row>
    <row r="1445">
      <c r="A1445" s="32" t="n">
        <v>34</v>
      </c>
      <c r="B1445" s="32" t="inlineStr">
        <is>
          <t>K3-1C</t>
        </is>
      </c>
      <c r="F1445" s="32" t="n">
        <v>1891.713</v>
      </c>
      <c r="K1445" s="32" t="inlineStr">
        <is>
          <t>20250514-45</t>
        </is>
      </c>
    </row>
    <row r="1446">
      <c r="A1446" s="32" t="n">
        <v>35</v>
      </c>
      <c r="B1446" s="32" t="inlineStr">
        <is>
          <t>K3-2A</t>
        </is>
      </c>
      <c r="F1446" s="32" t="n">
        <v>1176.041</v>
      </c>
      <c r="K1446" s="32" t="inlineStr">
        <is>
          <t>20250514-46</t>
        </is>
      </c>
    </row>
    <row r="1447">
      <c r="A1447" s="32" t="n">
        <v>36</v>
      </c>
      <c r="B1447" s="32" t="inlineStr">
        <is>
          <t>K3-2B</t>
        </is>
      </c>
      <c r="F1447" s="32" t="n">
        <v>1321.349</v>
      </c>
      <c r="K1447" s="32" t="inlineStr">
        <is>
          <t>20250514-47</t>
        </is>
      </c>
    </row>
    <row r="1448">
      <c r="A1448" s="32" t="n">
        <v>37</v>
      </c>
      <c r="B1448" s="32" t="inlineStr">
        <is>
          <t>K3-2C</t>
        </is>
      </c>
      <c r="F1448" s="32" t="n">
        <v>1479.533</v>
      </c>
      <c r="K1448" s="32" t="inlineStr">
        <is>
          <t>20250514-48</t>
        </is>
      </c>
    </row>
    <row r="1449">
      <c r="A1449" s="32" t="n">
        <v>38</v>
      </c>
      <c r="B1449" s="32" t="inlineStr">
        <is>
          <t>MeOH</t>
        </is>
      </c>
      <c r="K1449" s="32" t="inlineStr">
        <is>
          <t>20250514-49</t>
        </is>
      </c>
    </row>
    <row r="1450">
      <c r="A1450" s="32" t="n">
        <v>39</v>
      </c>
      <c r="B1450" s="32" t="inlineStr">
        <is>
          <t>K3-3A</t>
        </is>
      </c>
      <c r="D1450" s="32" t="n">
        <v>9.050000000000001</v>
      </c>
      <c r="E1450" s="32" t="n">
        <v>1.555</v>
      </c>
      <c r="F1450" s="32" t="n">
        <v>1517.701</v>
      </c>
      <c r="G1450" s="32" t="n">
        <v>18</v>
      </c>
      <c r="H1450" s="32" t="inlineStr">
        <is>
          <t>bb</t>
        </is>
      </c>
      <c r="K1450" s="32" t="inlineStr">
        <is>
          <t>20250514-50</t>
        </is>
      </c>
    </row>
    <row r="1451">
      <c r="A1451" s="32" t="n">
        <v>40</v>
      </c>
      <c r="B1451" s="32" t="inlineStr">
        <is>
          <t>K3-3B</t>
        </is>
      </c>
      <c r="F1451" s="32" t="n">
        <v>1453.885</v>
      </c>
      <c r="K1451" s="32" t="inlineStr">
        <is>
          <t>20250514-51</t>
        </is>
      </c>
    </row>
    <row r="1452">
      <c r="A1452" s="32" t="n">
        <v>41</v>
      </c>
      <c r="B1452" s="32" t="inlineStr">
        <is>
          <t>K3-3C</t>
        </is>
      </c>
      <c r="D1452" s="32" t="n">
        <v>9.109999999999999</v>
      </c>
      <c r="E1452" s="32" t="n">
        <v>0.547</v>
      </c>
      <c r="F1452" s="32" t="n">
        <v>1930.228</v>
      </c>
      <c r="G1452" s="32" t="n">
        <v>6</v>
      </c>
      <c r="H1452" s="32" t="inlineStr">
        <is>
          <t>MM</t>
        </is>
      </c>
      <c r="K1452" s="32" t="inlineStr">
        <is>
          <t>20250514-52</t>
        </is>
      </c>
    </row>
    <row r="1453">
      <c r="A1453" s="32" t="n">
        <v>42</v>
      </c>
      <c r="B1453" s="32" t="inlineStr">
        <is>
          <t>K3-4A</t>
        </is>
      </c>
      <c r="F1453" s="32" t="n">
        <v>2454.78</v>
      </c>
      <c r="K1453" s="32" t="inlineStr">
        <is>
          <t>20250514-53</t>
        </is>
      </c>
    </row>
    <row r="1454">
      <c r="A1454" s="32" t="n">
        <v>43</v>
      </c>
      <c r="B1454" s="32" t="inlineStr">
        <is>
          <t>K3-4B</t>
        </is>
      </c>
      <c r="F1454" s="32" t="n">
        <v>2046.805</v>
      </c>
      <c r="K1454" s="32" t="inlineStr">
        <is>
          <t>20250514-54</t>
        </is>
      </c>
    </row>
    <row r="1455">
      <c r="A1455" s="32" t="n">
        <v>44</v>
      </c>
      <c r="B1455" s="32" t="inlineStr">
        <is>
          <t>K3-4C</t>
        </is>
      </c>
      <c r="F1455" s="32" t="n">
        <v>1963.707</v>
      </c>
      <c r="K1455" s="32" t="inlineStr">
        <is>
          <t>20250514-55</t>
        </is>
      </c>
    </row>
    <row r="1456">
      <c r="A1456" s="32" t="n">
        <v>45</v>
      </c>
      <c r="B1456" s="32" t="inlineStr">
        <is>
          <t>MeOH</t>
        </is>
      </c>
      <c r="K1456" s="32" t="inlineStr">
        <is>
          <t>20250514-56</t>
        </is>
      </c>
    </row>
    <row r="1457">
      <c r="A1457" s="32" t="n">
        <v>46</v>
      </c>
      <c r="B1457" s="32" t="inlineStr">
        <is>
          <t>K3-6A</t>
        </is>
      </c>
      <c r="F1457" s="32" t="n">
        <v>2063.159</v>
      </c>
      <c r="K1457" s="32" t="inlineStr">
        <is>
          <t>20250514-57</t>
        </is>
      </c>
    </row>
    <row r="1458">
      <c r="A1458" s="32" t="n">
        <v>47</v>
      </c>
      <c r="B1458" s="32" t="inlineStr">
        <is>
          <t>K3-6B</t>
        </is>
      </c>
      <c r="F1458" s="32" t="n">
        <v>1701.403</v>
      </c>
      <c r="K1458" s="32" t="inlineStr">
        <is>
          <t>20250514-58</t>
        </is>
      </c>
    </row>
    <row r="1459">
      <c r="A1459" s="32" t="n">
        <v>48</v>
      </c>
      <c r="B1459" s="32" t="inlineStr">
        <is>
          <t>K3-6C</t>
        </is>
      </c>
      <c r="F1459" s="32" t="n">
        <v>1921.069</v>
      </c>
      <c r="K1459" s="32" t="inlineStr">
        <is>
          <t>20250514-59</t>
        </is>
      </c>
    </row>
    <row r="1461">
      <c r="A1461" s="32" t="inlineStr">
        <is>
          <t>Compound 29:  4:2 FTS 2</t>
        </is>
      </c>
    </row>
    <row r="1463">
      <c r="B1463" s="32" t="inlineStr">
        <is>
          <t>Sample Text</t>
        </is>
      </c>
      <c r="C1463" s="32" t="inlineStr">
        <is>
          <t>Std. Conc</t>
        </is>
      </c>
      <c r="D1463" s="32" t="inlineStr">
        <is>
          <t>RT</t>
        </is>
      </c>
      <c r="E1463" s="32" t="inlineStr">
        <is>
          <t>Area</t>
        </is>
      </c>
      <c r="F1463" s="32" t="inlineStr">
        <is>
          <t>IS Area</t>
        </is>
      </c>
      <c r="G1463" s="32" t="inlineStr">
        <is>
          <t>S/N</t>
        </is>
      </c>
      <c r="H1463" s="32" t="inlineStr">
        <is>
          <t>Primary Flags</t>
        </is>
      </c>
      <c r="I1463" s="32" t="inlineStr">
        <is>
          <t>Response</t>
        </is>
      </c>
      <c r="J1463" s="32" t="inlineStr">
        <is>
          <t>Conc.</t>
        </is>
      </c>
      <c r="K1463" s="32" t="inlineStr">
        <is>
          <t>Name</t>
        </is>
      </c>
    </row>
    <row r="1464">
      <c r="A1464" s="32" t="n">
        <v>1</v>
      </c>
      <c r="B1464" s="32" t="inlineStr">
        <is>
          <t>EPA1633 &amp; diPAPs Calibration 0 ppb</t>
        </is>
      </c>
      <c r="K1464" s="32" t="inlineStr">
        <is>
          <t>20250514-12</t>
        </is>
      </c>
    </row>
    <row r="1465">
      <c r="A1465" s="32" t="n">
        <v>2</v>
      </c>
      <c r="B1465" s="32" t="inlineStr">
        <is>
          <t>EPA1633 &amp; diPAPs Calibration 0.02 ppb</t>
        </is>
      </c>
      <c r="K1465" s="32" t="inlineStr">
        <is>
          <t>20250514-13</t>
        </is>
      </c>
    </row>
    <row r="1466">
      <c r="A1466" s="32" t="n">
        <v>3</v>
      </c>
      <c r="B1466" s="32" t="inlineStr">
        <is>
          <t>EPA1633 &amp; diPAPs Calibration 0.1 ppb</t>
        </is>
      </c>
      <c r="F1466" s="32" t="n">
        <v>0.8080000000000001</v>
      </c>
      <c r="K1466" s="32" t="inlineStr">
        <is>
          <t>20250514-14</t>
        </is>
      </c>
    </row>
    <row r="1467">
      <c r="A1467" s="32" t="n">
        <v>4</v>
      </c>
      <c r="B1467" s="32" t="inlineStr">
        <is>
          <t>EPA1633 &amp; diPAPs Calibration 0.4 ppb</t>
        </is>
      </c>
      <c r="K1467" s="32" t="inlineStr">
        <is>
          <t>20250514-15</t>
        </is>
      </c>
    </row>
    <row r="1468">
      <c r="A1468" s="32" t="n">
        <v>5</v>
      </c>
      <c r="B1468" s="32" t="inlineStr">
        <is>
          <t>EPA1633 &amp; diPAPs Calibration 1 ppb</t>
        </is>
      </c>
      <c r="D1468" s="32" t="n">
        <v>8.69</v>
      </c>
      <c r="E1468" s="32" t="n">
        <v>7.894</v>
      </c>
      <c r="F1468" s="32" t="n">
        <v>32.061</v>
      </c>
      <c r="G1468" s="32" t="n">
        <v>107</v>
      </c>
      <c r="H1468" s="32" t="inlineStr">
        <is>
          <t>bb</t>
        </is>
      </c>
      <c r="K1468" s="32" t="inlineStr">
        <is>
          <t>20250514-16</t>
        </is>
      </c>
    </row>
    <row r="1469">
      <c r="A1469" s="32" t="n">
        <v>6</v>
      </c>
      <c r="B1469" s="32" t="inlineStr">
        <is>
          <t>EPA1633 &amp; diPAPs Calibration 5 ppb</t>
        </is>
      </c>
      <c r="D1469" s="32" t="n">
        <v>8.48</v>
      </c>
      <c r="E1469" s="32" t="n">
        <v>154.471</v>
      </c>
      <c r="F1469" s="32" t="n">
        <v>2.482</v>
      </c>
      <c r="G1469" s="32" t="n">
        <v>423.995</v>
      </c>
      <c r="H1469" s="32" t="inlineStr">
        <is>
          <t>bb</t>
        </is>
      </c>
      <c r="K1469" s="32" t="inlineStr">
        <is>
          <t>20250514-17</t>
        </is>
      </c>
    </row>
    <row r="1470">
      <c r="A1470" s="32" t="n">
        <v>7</v>
      </c>
      <c r="B1470" s="32" t="inlineStr">
        <is>
          <t>EPA1633 &amp; diPAPs Calibration 10 ppb</t>
        </is>
      </c>
      <c r="D1470" s="32" t="n">
        <v>8.56</v>
      </c>
      <c r="E1470" s="32" t="n">
        <v>241.855</v>
      </c>
      <c r="F1470" s="32" t="n">
        <v>5.974</v>
      </c>
      <c r="G1470" s="32" t="n">
        <v>6.567</v>
      </c>
      <c r="H1470" s="32" t="inlineStr">
        <is>
          <t>bb</t>
        </is>
      </c>
      <c r="K1470" s="32" t="inlineStr">
        <is>
          <t>20250514-18</t>
        </is>
      </c>
    </row>
    <row r="1471">
      <c r="A1471" s="32" t="n">
        <v>8</v>
      </c>
      <c r="B1471" s="32" t="inlineStr">
        <is>
          <t>EPA1633 &amp; diPAPs Calibration 20 ppb</t>
        </is>
      </c>
      <c r="D1471" s="32" t="n">
        <v>8.619999999999999</v>
      </c>
      <c r="E1471" s="32" t="n">
        <v>572.61</v>
      </c>
      <c r="F1471" s="32" t="n">
        <v>10.827</v>
      </c>
      <c r="G1471" s="32" t="n">
        <v>248.886</v>
      </c>
      <c r="H1471" s="32" t="inlineStr">
        <is>
          <t>bb</t>
        </is>
      </c>
      <c r="K1471" s="32" t="inlineStr">
        <is>
          <t>20250514-19</t>
        </is>
      </c>
    </row>
    <row r="1472">
      <c r="A1472" s="32" t="n">
        <v>9</v>
      </c>
      <c r="B1472" s="32" t="inlineStr">
        <is>
          <t>MeOH</t>
        </is>
      </c>
      <c r="K1472" s="32" t="inlineStr">
        <is>
          <t>20250514-20</t>
        </is>
      </c>
    </row>
    <row r="1473">
      <c r="A1473" s="32" t="n">
        <v>10</v>
      </c>
      <c r="B1473" s="32" t="inlineStr">
        <is>
          <t>MeOH</t>
        </is>
      </c>
      <c r="K1473" s="32" t="inlineStr">
        <is>
          <t>20250514-21</t>
        </is>
      </c>
    </row>
    <row r="1474">
      <c r="A1474" s="32" t="n">
        <v>11</v>
      </c>
      <c r="B1474" s="32" t="inlineStr">
        <is>
          <t>SB1</t>
        </is>
      </c>
      <c r="K1474" s="32" t="inlineStr">
        <is>
          <t>20250514-22</t>
        </is>
      </c>
    </row>
    <row r="1475">
      <c r="A1475" s="32" t="n">
        <v>12</v>
      </c>
      <c r="B1475" s="32" t="inlineStr">
        <is>
          <t>SB2</t>
        </is>
      </c>
      <c r="D1475" s="32" t="n">
        <v>8.41</v>
      </c>
      <c r="E1475" s="32" t="n">
        <v>0.245</v>
      </c>
      <c r="G1475" s="32" t="n">
        <v>4</v>
      </c>
      <c r="H1475" s="32" t="inlineStr">
        <is>
          <t>bb</t>
        </is>
      </c>
      <c r="K1475" s="32" t="inlineStr">
        <is>
          <t>20250514-23</t>
        </is>
      </c>
    </row>
    <row r="1476">
      <c r="A1476" s="32" t="n">
        <v>13</v>
      </c>
      <c r="B1476" s="32" t="inlineStr">
        <is>
          <t>SB3</t>
        </is>
      </c>
      <c r="K1476" s="32" t="inlineStr">
        <is>
          <t>20250514-24</t>
        </is>
      </c>
    </row>
    <row r="1477">
      <c r="A1477" s="32" t="n">
        <v>14</v>
      </c>
      <c r="B1477" s="32" t="inlineStr">
        <is>
          <t>SS1</t>
        </is>
      </c>
      <c r="D1477" s="32" t="n">
        <v>8.74</v>
      </c>
      <c r="E1477" s="32" t="n">
        <v>95.878</v>
      </c>
      <c r="G1477" s="32" t="n">
        <v>3.481</v>
      </c>
      <c r="H1477" s="32" t="inlineStr">
        <is>
          <t>bb</t>
        </is>
      </c>
      <c r="K1477" s="32" t="inlineStr">
        <is>
          <t>20250514-25</t>
        </is>
      </c>
    </row>
    <row r="1478">
      <c r="A1478" s="32" t="n">
        <v>15</v>
      </c>
      <c r="B1478" s="32" t="inlineStr">
        <is>
          <t>SS2</t>
        </is>
      </c>
      <c r="D1478" s="32" t="n">
        <v>8.76</v>
      </c>
      <c r="E1478" s="32" t="n">
        <v>143.137</v>
      </c>
      <c r="F1478" s="32" t="n">
        <v>6.07</v>
      </c>
      <c r="G1478" s="32" t="n">
        <v>1241</v>
      </c>
      <c r="H1478" s="32" t="inlineStr">
        <is>
          <t>bb</t>
        </is>
      </c>
      <c r="K1478" s="32" t="inlineStr">
        <is>
          <t>20250514-26</t>
        </is>
      </c>
    </row>
    <row r="1479">
      <c r="A1479" s="32" t="n">
        <v>16</v>
      </c>
      <c r="B1479" s="32" t="inlineStr">
        <is>
          <t>SS3</t>
        </is>
      </c>
      <c r="D1479" s="32" t="n">
        <v>8.76</v>
      </c>
      <c r="E1479" s="32" t="n">
        <v>46.107</v>
      </c>
      <c r="G1479" s="32" t="n">
        <v>126.868</v>
      </c>
      <c r="H1479" s="32" t="inlineStr">
        <is>
          <t>bb</t>
        </is>
      </c>
      <c r="K1479" s="32" t="inlineStr">
        <is>
          <t>20250514-27</t>
        </is>
      </c>
    </row>
    <row r="1480">
      <c r="A1480" s="32" t="n">
        <v>17</v>
      </c>
      <c r="B1480" s="32" t="inlineStr">
        <is>
          <t>MeOH</t>
        </is>
      </c>
      <c r="K1480" s="32" t="inlineStr">
        <is>
          <t>20250514-28</t>
        </is>
      </c>
    </row>
    <row r="1481">
      <c r="A1481" s="32" t="n">
        <v>18</v>
      </c>
      <c r="B1481" s="32" t="inlineStr">
        <is>
          <t>K4-1A</t>
        </is>
      </c>
      <c r="K1481" s="32" t="inlineStr">
        <is>
          <t>20250514-29</t>
        </is>
      </c>
    </row>
    <row r="1482">
      <c r="A1482" s="32" t="n">
        <v>19</v>
      </c>
      <c r="B1482" s="32" t="inlineStr">
        <is>
          <t>K4-1B</t>
        </is>
      </c>
      <c r="K1482" s="32" t="inlineStr">
        <is>
          <t>20250514-30</t>
        </is>
      </c>
    </row>
    <row r="1483">
      <c r="A1483" s="32" t="n">
        <v>20</v>
      </c>
      <c r="B1483" s="32" t="inlineStr">
        <is>
          <t>K4-1C</t>
        </is>
      </c>
      <c r="K1483" s="32" t="inlineStr">
        <is>
          <t>20250514-31</t>
        </is>
      </c>
    </row>
    <row r="1484">
      <c r="A1484" s="32" t="n">
        <v>21</v>
      </c>
      <c r="B1484" s="32" t="inlineStr">
        <is>
          <t>K4-2A</t>
        </is>
      </c>
      <c r="F1484" s="32" t="n">
        <v>2.638</v>
      </c>
      <c r="K1484" s="32" t="inlineStr">
        <is>
          <t>20250514-32</t>
        </is>
      </c>
    </row>
    <row r="1485">
      <c r="A1485" s="32" t="n">
        <v>22</v>
      </c>
      <c r="B1485" s="32" t="inlineStr">
        <is>
          <t>K4-2B</t>
        </is>
      </c>
      <c r="K1485" s="32" t="inlineStr">
        <is>
          <t>20250514-33</t>
        </is>
      </c>
    </row>
    <row r="1486">
      <c r="A1486" s="32" t="n">
        <v>23</v>
      </c>
      <c r="B1486" s="32" t="inlineStr">
        <is>
          <t>K4-2C</t>
        </is>
      </c>
      <c r="D1486" s="32" t="n">
        <v>8.789999999999999</v>
      </c>
      <c r="E1486" s="32" t="n">
        <v>0.474</v>
      </c>
      <c r="G1486" s="32" t="n">
        <v>7</v>
      </c>
      <c r="H1486" s="32" t="inlineStr">
        <is>
          <t>bb</t>
        </is>
      </c>
      <c r="K1486" s="32" t="inlineStr">
        <is>
          <t>20250514-34</t>
        </is>
      </c>
    </row>
    <row r="1487">
      <c r="A1487" s="32" t="n">
        <v>24</v>
      </c>
      <c r="B1487" s="32" t="inlineStr">
        <is>
          <t>MeOH</t>
        </is>
      </c>
      <c r="K1487" s="32" t="inlineStr">
        <is>
          <t>20250514-35</t>
        </is>
      </c>
    </row>
    <row r="1488">
      <c r="A1488" s="32" t="n">
        <v>25</v>
      </c>
      <c r="B1488" s="32" t="inlineStr">
        <is>
          <t>K4-4A</t>
        </is>
      </c>
      <c r="K1488" s="32" t="inlineStr">
        <is>
          <t>20250514-36</t>
        </is>
      </c>
    </row>
    <row r="1489">
      <c r="A1489" s="32" t="n">
        <v>26</v>
      </c>
      <c r="B1489" s="32" t="inlineStr">
        <is>
          <t>K4-4B</t>
        </is>
      </c>
      <c r="K1489" s="32" t="inlineStr">
        <is>
          <t>20250514-37</t>
        </is>
      </c>
    </row>
    <row r="1490">
      <c r="A1490" s="32" t="n">
        <v>27</v>
      </c>
      <c r="B1490" s="32" t="inlineStr">
        <is>
          <t>K4-4C</t>
        </is>
      </c>
      <c r="K1490" s="32" t="inlineStr">
        <is>
          <t>20250514-38</t>
        </is>
      </c>
    </row>
    <row r="1491">
      <c r="A1491" s="32" t="n">
        <v>28</v>
      </c>
      <c r="B1491" s="32" t="inlineStr">
        <is>
          <t>K4-5A</t>
        </is>
      </c>
      <c r="K1491" s="32" t="inlineStr">
        <is>
          <t>20250514-39</t>
        </is>
      </c>
    </row>
    <row r="1492">
      <c r="A1492" s="32" t="n">
        <v>29</v>
      </c>
      <c r="B1492" s="32" t="inlineStr">
        <is>
          <t>K4-5B</t>
        </is>
      </c>
      <c r="D1492" s="32" t="n">
        <v>8.49</v>
      </c>
      <c r="E1492" s="32" t="n">
        <v>0.165</v>
      </c>
      <c r="G1492" s="32" t="n">
        <v>3</v>
      </c>
      <c r="H1492" s="32" t="inlineStr">
        <is>
          <t>bb</t>
        </is>
      </c>
      <c r="K1492" s="32" t="inlineStr">
        <is>
          <t>20250514-40</t>
        </is>
      </c>
    </row>
    <row r="1493">
      <c r="A1493" s="32" t="n">
        <v>30</v>
      </c>
      <c r="B1493" s="32" t="inlineStr">
        <is>
          <t>K4-5C</t>
        </is>
      </c>
      <c r="F1493" s="32" t="n">
        <v>0.545</v>
      </c>
      <c r="K1493" s="32" t="inlineStr">
        <is>
          <t>20250514-41</t>
        </is>
      </c>
    </row>
    <row r="1494">
      <c r="A1494" s="32" t="n">
        <v>31</v>
      </c>
      <c r="B1494" s="32" t="inlineStr">
        <is>
          <t>MeOH</t>
        </is>
      </c>
      <c r="K1494" s="32" t="inlineStr">
        <is>
          <t>20250514-42</t>
        </is>
      </c>
    </row>
    <row r="1495">
      <c r="A1495" s="32" t="n">
        <v>32</v>
      </c>
      <c r="B1495" s="32" t="inlineStr">
        <is>
          <t>K3-1A</t>
        </is>
      </c>
      <c r="K1495" s="32" t="inlineStr">
        <is>
          <t>20250514-43</t>
        </is>
      </c>
    </row>
    <row r="1496">
      <c r="A1496" s="32" t="n">
        <v>33</v>
      </c>
      <c r="B1496" s="32" t="inlineStr">
        <is>
          <t>K3-1B</t>
        </is>
      </c>
      <c r="K1496" s="32" t="inlineStr">
        <is>
          <t>20250514-44</t>
        </is>
      </c>
    </row>
    <row r="1497">
      <c r="A1497" s="32" t="n">
        <v>34</v>
      </c>
      <c r="B1497" s="32" t="inlineStr">
        <is>
          <t>K3-1C</t>
        </is>
      </c>
      <c r="F1497" s="32" t="n">
        <v>8.029</v>
      </c>
      <c r="K1497" s="32" t="inlineStr">
        <is>
          <t>20250514-45</t>
        </is>
      </c>
    </row>
    <row r="1498">
      <c r="A1498" s="32" t="n">
        <v>35</v>
      </c>
      <c r="B1498" s="32" t="inlineStr">
        <is>
          <t>K3-2A</t>
        </is>
      </c>
      <c r="K1498" s="32" t="inlineStr">
        <is>
          <t>20250514-46</t>
        </is>
      </c>
    </row>
    <row r="1499">
      <c r="A1499" s="32" t="n">
        <v>36</v>
      </c>
      <c r="B1499" s="32" t="inlineStr">
        <is>
          <t>K3-2B</t>
        </is>
      </c>
      <c r="F1499" s="32" t="n">
        <v>4.466</v>
      </c>
      <c r="K1499" s="32" t="inlineStr">
        <is>
          <t>20250514-47</t>
        </is>
      </c>
    </row>
    <row r="1500">
      <c r="A1500" s="32" t="n">
        <v>37</v>
      </c>
      <c r="B1500" s="32" t="inlineStr">
        <is>
          <t>K3-2C</t>
        </is>
      </c>
      <c r="F1500" s="32" t="n">
        <v>28.947</v>
      </c>
      <c r="K1500" s="32" t="inlineStr">
        <is>
          <t>20250514-48</t>
        </is>
      </c>
    </row>
    <row r="1501">
      <c r="A1501" s="32" t="n">
        <v>38</v>
      </c>
      <c r="B1501" s="32" t="inlineStr">
        <is>
          <t>MeOH</t>
        </is>
      </c>
      <c r="K1501" s="32" t="inlineStr">
        <is>
          <t>20250514-49</t>
        </is>
      </c>
    </row>
    <row r="1502">
      <c r="A1502" s="32" t="n">
        <v>39</v>
      </c>
      <c r="B1502" s="32" t="inlineStr">
        <is>
          <t>K3-3A</t>
        </is>
      </c>
      <c r="D1502" s="32" t="n">
        <v>9</v>
      </c>
      <c r="E1502" s="32" t="n">
        <v>5.906</v>
      </c>
      <c r="F1502" s="32" t="n">
        <v>0.345</v>
      </c>
      <c r="G1502" s="32" t="n">
        <v>73</v>
      </c>
      <c r="H1502" s="32" t="inlineStr">
        <is>
          <t>bb</t>
        </is>
      </c>
      <c r="K1502" s="32" t="inlineStr">
        <is>
          <t>20250514-50</t>
        </is>
      </c>
    </row>
    <row r="1503">
      <c r="A1503" s="32" t="n">
        <v>40</v>
      </c>
      <c r="B1503" s="32" t="inlineStr">
        <is>
          <t>K3-3B</t>
        </is>
      </c>
      <c r="K1503" s="32" t="inlineStr">
        <is>
          <t>20250514-51</t>
        </is>
      </c>
    </row>
    <row r="1504">
      <c r="A1504" s="32" t="n">
        <v>41</v>
      </c>
      <c r="B1504" s="32" t="inlineStr">
        <is>
          <t>K3-3C</t>
        </is>
      </c>
      <c r="F1504" s="32" t="n">
        <v>0.44</v>
      </c>
      <c r="K1504" s="32" t="inlineStr">
        <is>
          <t>20250514-52</t>
        </is>
      </c>
    </row>
    <row r="1505">
      <c r="A1505" s="32" t="n">
        <v>42</v>
      </c>
      <c r="B1505" s="32" t="inlineStr">
        <is>
          <t>K3-4A</t>
        </is>
      </c>
      <c r="F1505" s="32" t="n">
        <v>6.734</v>
      </c>
      <c r="K1505" s="32" t="inlineStr">
        <is>
          <t>20250514-53</t>
        </is>
      </c>
    </row>
    <row r="1506">
      <c r="A1506" s="32" t="n">
        <v>43</v>
      </c>
      <c r="B1506" s="32" t="inlineStr">
        <is>
          <t>K3-4B</t>
        </is>
      </c>
      <c r="K1506" s="32" t="inlineStr">
        <is>
          <t>20250514-54</t>
        </is>
      </c>
    </row>
    <row r="1507">
      <c r="A1507" s="32" t="n">
        <v>44</v>
      </c>
      <c r="B1507" s="32" t="inlineStr">
        <is>
          <t>K3-4C</t>
        </is>
      </c>
      <c r="K1507" s="32" t="inlineStr">
        <is>
          <t>20250514-55</t>
        </is>
      </c>
    </row>
    <row r="1508">
      <c r="A1508" s="32" t="n">
        <v>45</v>
      </c>
      <c r="B1508" s="32" t="inlineStr">
        <is>
          <t>MeOH</t>
        </is>
      </c>
      <c r="K1508" s="32" t="inlineStr">
        <is>
          <t>20250514-56</t>
        </is>
      </c>
    </row>
    <row r="1509">
      <c r="A1509" s="32" t="n">
        <v>46</v>
      </c>
      <c r="B1509" s="32" t="inlineStr">
        <is>
          <t>K3-6A</t>
        </is>
      </c>
      <c r="F1509" s="32" t="n">
        <v>6</v>
      </c>
      <c r="K1509" s="32" t="inlineStr">
        <is>
          <t>20250514-57</t>
        </is>
      </c>
    </row>
    <row r="1510">
      <c r="A1510" s="32" t="n">
        <v>47</v>
      </c>
      <c r="B1510" s="32" t="inlineStr">
        <is>
          <t>K3-6B</t>
        </is>
      </c>
      <c r="K1510" s="32" t="inlineStr">
        <is>
          <t>20250514-58</t>
        </is>
      </c>
    </row>
    <row r="1511">
      <c r="A1511" s="32" t="n">
        <v>48</v>
      </c>
      <c r="B1511" s="32" t="inlineStr">
        <is>
          <t>K3-6C</t>
        </is>
      </c>
      <c r="K1511" s="32" t="inlineStr">
        <is>
          <t>20250514-59</t>
        </is>
      </c>
    </row>
    <row r="1513">
      <c r="A1513" s="32" t="inlineStr">
        <is>
          <t>Compound 30:  m2 4:2 FTS 1</t>
        </is>
      </c>
    </row>
    <row r="1515">
      <c r="B1515" s="32" t="inlineStr">
        <is>
          <t>Sample Text</t>
        </is>
      </c>
      <c r="C1515" s="32" t="inlineStr">
        <is>
          <t>Std. Conc</t>
        </is>
      </c>
      <c r="D1515" s="32" t="inlineStr">
        <is>
          <t>RT</t>
        </is>
      </c>
      <c r="E1515" s="32" t="inlineStr">
        <is>
          <t>Area</t>
        </is>
      </c>
      <c r="F1515" s="32" t="inlineStr">
        <is>
          <t>IS Area</t>
        </is>
      </c>
      <c r="G1515" s="32" t="inlineStr">
        <is>
          <t>S/N</t>
        </is>
      </c>
      <c r="H1515" s="32" t="inlineStr">
        <is>
          <t>Primary Flags</t>
        </is>
      </c>
      <c r="I1515" s="32" t="inlineStr">
        <is>
          <t>Response</t>
        </is>
      </c>
      <c r="J1515" s="32" t="inlineStr">
        <is>
          <t>Conc.</t>
        </is>
      </c>
      <c r="K1515" s="32" t="inlineStr">
        <is>
          <t>Name</t>
        </is>
      </c>
    </row>
    <row r="1516">
      <c r="A1516" s="32" t="n">
        <v>1</v>
      </c>
      <c r="B1516" s="32" t="inlineStr">
        <is>
          <t>EPA1633 &amp; diPAPs Calibration 0 ppb</t>
        </is>
      </c>
      <c r="D1516" s="32" t="n">
        <v>8.59</v>
      </c>
      <c r="E1516" s="32" t="n">
        <v>14452.727</v>
      </c>
      <c r="G1516" s="32" t="n">
        <v>350.433</v>
      </c>
      <c r="H1516" s="32" t="inlineStr">
        <is>
          <t>bb</t>
        </is>
      </c>
      <c r="I1516" s="32" t="n">
        <v>14452.727</v>
      </c>
      <c r="K1516" s="32" t="inlineStr">
        <is>
          <t>20250514-12</t>
        </is>
      </c>
    </row>
    <row r="1517">
      <c r="A1517" s="32" t="n">
        <v>2</v>
      </c>
      <c r="B1517" s="32" t="inlineStr">
        <is>
          <t>EPA1633 &amp; diPAPs Calibration 0.02 ppb</t>
        </is>
      </c>
      <c r="D1517" s="32" t="n">
        <v>8.619999999999999</v>
      </c>
      <c r="E1517" s="32" t="n">
        <v>12603.026</v>
      </c>
      <c r="G1517" s="32" t="n">
        <v>2026.207</v>
      </c>
      <c r="H1517" s="32" t="inlineStr">
        <is>
          <t>bb</t>
        </is>
      </c>
      <c r="I1517" s="32" t="n">
        <v>12603.026</v>
      </c>
      <c r="K1517" s="32" t="inlineStr">
        <is>
          <t>20250514-13</t>
        </is>
      </c>
    </row>
    <row r="1518">
      <c r="A1518" s="32" t="n">
        <v>3</v>
      </c>
      <c r="B1518" s="32" t="inlineStr">
        <is>
          <t>EPA1633 &amp; diPAPs Calibration 0.1 ppb</t>
        </is>
      </c>
      <c r="D1518" s="32" t="n">
        <v>8.640000000000001</v>
      </c>
      <c r="E1518" s="32" t="n">
        <v>14155.911</v>
      </c>
      <c r="G1518" s="32" t="n">
        <v>129801</v>
      </c>
      <c r="H1518" s="32" t="inlineStr">
        <is>
          <t>bb</t>
        </is>
      </c>
      <c r="I1518" s="32" t="n">
        <v>14155.911</v>
      </c>
      <c r="K1518" s="32" t="inlineStr">
        <is>
          <t>20250514-14</t>
        </is>
      </c>
    </row>
    <row r="1519">
      <c r="A1519" s="32" t="n">
        <v>4</v>
      </c>
      <c r="B1519" s="32" t="inlineStr">
        <is>
          <t>EPA1633 &amp; diPAPs Calibration 0.4 ppb</t>
        </is>
      </c>
      <c r="D1519" s="32" t="n">
        <v>8.65</v>
      </c>
      <c r="E1519" s="32" t="n">
        <v>12619.337</v>
      </c>
      <c r="G1519" s="32" t="n">
        <v>1003.586</v>
      </c>
      <c r="H1519" s="32" t="inlineStr">
        <is>
          <t>bb</t>
        </is>
      </c>
      <c r="I1519" s="32" t="n">
        <v>12619.337</v>
      </c>
      <c r="K1519" s="32" t="inlineStr">
        <is>
          <t>20250514-15</t>
        </is>
      </c>
    </row>
    <row r="1520">
      <c r="A1520" s="32" t="n">
        <v>5</v>
      </c>
      <c r="B1520" s="32" t="inlineStr">
        <is>
          <t>EPA1633 &amp; diPAPs Calibration 1 ppb</t>
        </is>
      </c>
      <c r="D1520" s="32" t="n">
        <v>8.67</v>
      </c>
      <c r="E1520" s="32" t="n">
        <v>15675.755</v>
      </c>
      <c r="G1520" s="32" t="n">
        <v>143605</v>
      </c>
      <c r="H1520" s="32" t="inlineStr">
        <is>
          <t>bb</t>
        </is>
      </c>
      <c r="I1520" s="32" t="n">
        <v>15675.755</v>
      </c>
      <c r="K1520" s="32" t="inlineStr">
        <is>
          <t>20250514-16</t>
        </is>
      </c>
    </row>
    <row r="1521">
      <c r="A1521" s="32" t="n">
        <v>6</v>
      </c>
      <c r="B1521" s="32" t="inlineStr">
        <is>
          <t>EPA1633 &amp; diPAPs Calibration 5 ppb</t>
        </is>
      </c>
      <c r="D1521" s="32" t="n">
        <v>8.49</v>
      </c>
      <c r="E1521" s="32" t="n">
        <v>14608.229</v>
      </c>
      <c r="G1521" s="32" t="n">
        <v>944.405</v>
      </c>
      <c r="H1521" s="32" t="inlineStr">
        <is>
          <t>bb</t>
        </is>
      </c>
      <c r="I1521" s="32" t="n">
        <v>14608.229</v>
      </c>
      <c r="K1521" s="32" t="inlineStr">
        <is>
          <t>20250514-17</t>
        </is>
      </c>
    </row>
    <row r="1522">
      <c r="A1522" s="32" t="n">
        <v>7</v>
      </c>
      <c r="B1522" s="32" t="inlineStr">
        <is>
          <t>EPA1633 &amp; diPAPs Calibration 10 ppb</t>
        </is>
      </c>
      <c r="D1522" s="32" t="n">
        <v>8.56</v>
      </c>
      <c r="E1522" s="32" t="n">
        <v>13635.107</v>
      </c>
      <c r="G1522" s="32" t="n">
        <v>123795</v>
      </c>
      <c r="H1522" s="32" t="inlineStr">
        <is>
          <t>bb</t>
        </is>
      </c>
      <c r="I1522" s="32" t="n">
        <v>13635.107</v>
      </c>
      <c r="K1522" s="32" t="inlineStr">
        <is>
          <t>20250514-18</t>
        </is>
      </c>
    </row>
    <row r="1523">
      <c r="A1523" s="32" t="n">
        <v>8</v>
      </c>
      <c r="B1523" s="32" t="inlineStr">
        <is>
          <t>EPA1633 &amp; diPAPs Calibration 20 ppb</t>
        </is>
      </c>
      <c r="D1523" s="32" t="n">
        <v>8.609999999999999</v>
      </c>
      <c r="E1523" s="32" t="n">
        <v>17158.186</v>
      </c>
      <c r="G1523" s="32" t="n">
        <v>338.663</v>
      </c>
      <c r="H1523" s="32" t="inlineStr">
        <is>
          <t>bb</t>
        </is>
      </c>
      <c r="I1523" s="32" t="n">
        <v>17158.186</v>
      </c>
      <c r="K1523" s="32" t="inlineStr">
        <is>
          <t>20250514-19</t>
        </is>
      </c>
    </row>
    <row r="1524">
      <c r="A1524" s="32" t="n">
        <v>9</v>
      </c>
      <c r="B1524" s="32" t="inlineStr">
        <is>
          <t>MeOH</t>
        </is>
      </c>
      <c r="D1524" s="32" t="n">
        <v>8.67</v>
      </c>
      <c r="E1524" s="32" t="n">
        <v>30.087</v>
      </c>
      <c r="G1524" s="32" t="n">
        <v>377</v>
      </c>
      <c r="H1524" s="32" t="inlineStr">
        <is>
          <t>bb</t>
        </is>
      </c>
      <c r="I1524" s="32" t="n">
        <v>30.087</v>
      </c>
      <c r="K1524" s="32" t="inlineStr">
        <is>
          <t>20250514-20</t>
        </is>
      </c>
    </row>
    <row r="1525">
      <c r="A1525" s="32" t="n">
        <v>10</v>
      </c>
      <c r="B1525" s="32" t="inlineStr">
        <is>
          <t>MeOH</t>
        </is>
      </c>
      <c r="D1525" s="32" t="n">
        <v>8.630000000000001</v>
      </c>
      <c r="E1525" s="32" t="n">
        <v>26.266</v>
      </c>
      <c r="G1525" s="32" t="n">
        <v>3.21</v>
      </c>
      <c r="H1525" s="32" t="inlineStr">
        <is>
          <t>bb</t>
        </is>
      </c>
      <c r="I1525" s="32" t="n">
        <v>26.266</v>
      </c>
      <c r="K1525" s="32" t="inlineStr">
        <is>
          <t>20250514-21</t>
        </is>
      </c>
    </row>
    <row r="1526">
      <c r="A1526" s="32" t="n">
        <v>11</v>
      </c>
      <c r="B1526" s="32" t="inlineStr">
        <is>
          <t>SB1</t>
        </is>
      </c>
      <c r="D1526" s="32" t="n">
        <v>8.68</v>
      </c>
      <c r="E1526" s="32" t="n">
        <v>6702.981</v>
      </c>
      <c r="G1526" s="32" t="n">
        <v>7229.334</v>
      </c>
      <c r="H1526" s="32" t="inlineStr">
        <is>
          <t>bb</t>
        </is>
      </c>
      <c r="I1526" s="32" t="n">
        <v>6702.981</v>
      </c>
      <c r="K1526" s="32" t="inlineStr">
        <is>
          <t>20250514-22</t>
        </is>
      </c>
    </row>
    <row r="1527">
      <c r="A1527" s="32" t="n">
        <v>12</v>
      </c>
      <c r="B1527" s="32" t="inlineStr">
        <is>
          <t>SB2</t>
        </is>
      </c>
      <c r="D1527" s="32" t="n">
        <v>8.68</v>
      </c>
      <c r="E1527" s="32" t="n">
        <v>6490.235</v>
      </c>
      <c r="G1527" s="32" t="n">
        <v>506.309</v>
      </c>
      <c r="H1527" s="32" t="inlineStr">
        <is>
          <t>bb</t>
        </is>
      </c>
      <c r="I1527" s="32" t="n">
        <v>6490.235</v>
      </c>
      <c r="K1527" s="32" t="inlineStr">
        <is>
          <t>20250514-23</t>
        </is>
      </c>
    </row>
    <row r="1528">
      <c r="A1528" s="32" t="n">
        <v>13</v>
      </c>
      <c r="B1528" s="32" t="inlineStr">
        <is>
          <t>SB3</t>
        </is>
      </c>
      <c r="D1528" s="32" t="n">
        <v>8.69</v>
      </c>
      <c r="E1528" s="32" t="n">
        <v>6156.042</v>
      </c>
      <c r="G1528" s="32" t="n">
        <v>479.929</v>
      </c>
      <c r="H1528" s="32" t="inlineStr">
        <is>
          <t>bb</t>
        </is>
      </c>
      <c r="I1528" s="32" t="n">
        <v>6156.042</v>
      </c>
      <c r="K1528" s="32" t="inlineStr">
        <is>
          <t>20250514-24</t>
        </is>
      </c>
    </row>
    <row r="1529">
      <c r="A1529" s="32" t="n">
        <v>14</v>
      </c>
      <c r="B1529" s="32" t="inlineStr">
        <is>
          <t>SS1</t>
        </is>
      </c>
      <c r="D1529" s="32" t="n">
        <v>8.74</v>
      </c>
      <c r="E1529" s="32" t="n">
        <v>7661.04</v>
      </c>
      <c r="G1529" s="32" t="n">
        <v>306.918</v>
      </c>
      <c r="H1529" s="32" t="inlineStr">
        <is>
          <t>bb</t>
        </is>
      </c>
      <c r="I1529" s="32" t="n">
        <v>7661.04</v>
      </c>
      <c r="K1529" s="32" t="inlineStr">
        <is>
          <t>20250514-25</t>
        </is>
      </c>
    </row>
    <row r="1530">
      <c r="A1530" s="32" t="n">
        <v>15</v>
      </c>
      <c r="B1530" s="32" t="inlineStr">
        <is>
          <t>SS2</t>
        </is>
      </c>
      <c r="D1530" s="32" t="n">
        <v>8.75</v>
      </c>
      <c r="E1530" s="32" t="n">
        <v>8512.726000000001</v>
      </c>
      <c r="G1530" s="32" t="n">
        <v>78095</v>
      </c>
      <c r="H1530" s="32" t="inlineStr">
        <is>
          <t>bb</t>
        </is>
      </c>
      <c r="I1530" s="32" t="n">
        <v>8512.726000000001</v>
      </c>
      <c r="K1530" s="32" t="inlineStr">
        <is>
          <t>20250514-26</t>
        </is>
      </c>
    </row>
    <row r="1531">
      <c r="A1531" s="32" t="n">
        <v>16</v>
      </c>
      <c r="B1531" s="32" t="inlineStr">
        <is>
          <t>SS3</t>
        </is>
      </c>
      <c r="D1531" s="32" t="n">
        <v>8.75</v>
      </c>
      <c r="E1531" s="32" t="n">
        <v>8270.942999999999</v>
      </c>
      <c r="G1531" s="32" t="n">
        <v>300.772</v>
      </c>
      <c r="H1531" s="32" t="inlineStr">
        <is>
          <t>bb</t>
        </is>
      </c>
      <c r="I1531" s="32" t="n">
        <v>8270.942999999999</v>
      </c>
      <c r="K1531" s="32" t="inlineStr">
        <is>
          <t>20250514-27</t>
        </is>
      </c>
    </row>
    <row r="1532">
      <c r="A1532" s="32" t="n">
        <v>17</v>
      </c>
      <c r="B1532" s="32" t="inlineStr">
        <is>
          <t>MeOH</t>
        </is>
      </c>
      <c r="D1532" s="32" t="n">
        <v>8.74</v>
      </c>
      <c r="E1532" s="32" t="n">
        <v>26.71</v>
      </c>
      <c r="G1532" s="32" t="n">
        <v>363</v>
      </c>
      <c r="H1532" s="32" t="inlineStr">
        <is>
          <t>bb</t>
        </is>
      </c>
      <c r="I1532" s="32" t="n">
        <v>26.71</v>
      </c>
      <c r="K1532" s="32" t="inlineStr">
        <is>
          <t>20250514-28</t>
        </is>
      </c>
    </row>
    <row r="1533">
      <c r="A1533" s="32" t="n">
        <v>18</v>
      </c>
      <c r="B1533" s="32" t="inlineStr">
        <is>
          <t>K4-1A</t>
        </is>
      </c>
      <c r="D1533" s="32" t="n">
        <v>8.76</v>
      </c>
      <c r="E1533" s="32" t="n">
        <v>8756.108</v>
      </c>
      <c r="G1533" s="32" t="n">
        <v>81134</v>
      </c>
      <c r="H1533" s="32" t="inlineStr">
        <is>
          <t>bb</t>
        </is>
      </c>
      <c r="I1533" s="32" t="n">
        <v>8756.108</v>
      </c>
      <c r="K1533" s="32" t="inlineStr">
        <is>
          <t>20250514-29</t>
        </is>
      </c>
    </row>
    <row r="1534">
      <c r="A1534" s="32" t="n">
        <v>19</v>
      </c>
      <c r="B1534" s="32" t="inlineStr">
        <is>
          <t>K4-1B</t>
        </is>
      </c>
      <c r="D1534" s="32" t="n">
        <v>8.74</v>
      </c>
      <c r="E1534" s="32" t="n">
        <v>8306.129999999999</v>
      </c>
      <c r="G1534" s="32" t="n">
        <v>73305</v>
      </c>
      <c r="H1534" s="32" t="inlineStr">
        <is>
          <t>bb</t>
        </is>
      </c>
      <c r="I1534" s="32" t="n">
        <v>8306.129999999999</v>
      </c>
      <c r="K1534" s="32" t="inlineStr">
        <is>
          <t>20250514-30</t>
        </is>
      </c>
    </row>
    <row r="1535">
      <c r="A1535" s="32" t="n">
        <v>20</v>
      </c>
      <c r="B1535" s="32" t="inlineStr">
        <is>
          <t>K4-1C</t>
        </is>
      </c>
      <c r="D1535" s="32" t="n">
        <v>8.75</v>
      </c>
      <c r="E1535" s="32" t="n">
        <v>8189.494</v>
      </c>
      <c r="G1535" s="32" t="n">
        <v>77097</v>
      </c>
      <c r="H1535" s="32" t="inlineStr">
        <is>
          <t>bb</t>
        </is>
      </c>
      <c r="I1535" s="32" t="n">
        <v>8189.494</v>
      </c>
      <c r="K1535" s="32" t="inlineStr">
        <is>
          <t>20250514-31</t>
        </is>
      </c>
    </row>
    <row r="1536">
      <c r="A1536" s="32" t="n">
        <v>21</v>
      </c>
      <c r="B1536" s="32" t="inlineStr">
        <is>
          <t>K4-2A</t>
        </is>
      </c>
      <c r="D1536" s="32" t="n">
        <v>8.779999999999999</v>
      </c>
      <c r="E1536" s="32" t="n">
        <v>8361.569</v>
      </c>
      <c r="G1536" s="32" t="n">
        <v>1264.74</v>
      </c>
      <c r="H1536" s="32" t="inlineStr">
        <is>
          <t>bb</t>
        </is>
      </c>
      <c r="I1536" s="32" t="n">
        <v>8361.569</v>
      </c>
      <c r="K1536" s="32" t="inlineStr">
        <is>
          <t>20250514-32</t>
        </is>
      </c>
    </row>
    <row r="1537">
      <c r="A1537" s="32" t="n">
        <v>22</v>
      </c>
      <c r="B1537" s="32" t="inlineStr">
        <is>
          <t>K4-2B</t>
        </is>
      </c>
      <c r="D1537" s="32" t="n">
        <v>8.77</v>
      </c>
      <c r="E1537" s="32" t="n">
        <v>8017.347</v>
      </c>
      <c r="G1537" s="32" t="n">
        <v>196.03</v>
      </c>
      <c r="H1537" s="32" t="inlineStr">
        <is>
          <t>bb</t>
        </is>
      </c>
      <c r="I1537" s="32" t="n">
        <v>8017.347</v>
      </c>
      <c r="K1537" s="32" t="inlineStr">
        <is>
          <t>20250514-33</t>
        </is>
      </c>
    </row>
    <row r="1538">
      <c r="A1538" s="32" t="n">
        <v>23</v>
      </c>
      <c r="B1538" s="32" t="inlineStr">
        <is>
          <t>K4-2C</t>
        </is>
      </c>
      <c r="D1538" s="32" t="n">
        <v>8.789999999999999</v>
      </c>
      <c r="E1538" s="32" t="n">
        <v>7135.959</v>
      </c>
      <c r="G1538" s="32" t="n">
        <v>67.70699999999999</v>
      </c>
      <c r="H1538" s="32" t="inlineStr">
        <is>
          <t>bb</t>
        </is>
      </c>
      <c r="I1538" s="32" t="n">
        <v>7135.959</v>
      </c>
      <c r="K1538" s="32" t="inlineStr">
        <is>
          <t>20250514-34</t>
        </is>
      </c>
    </row>
    <row r="1539">
      <c r="A1539" s="32" t="n">
        <v>24</v>
      </c>
      <c r="B1539" s="32" t="inlineStr">
        <is>
          <t>MeOH</t>
        </is>
      </c>
      <c r="D1539" s="32" t="n">
        <v>8.779999999999999</v>
      </c>
      <c r="E1539" s="32" t="n">
        <v>2.195</v>
      </c>
      <c r="G1539" s="32" t="n">
        <v>24</v>
      </c>
      <c r="H1539" s="32" t="inlineStr">
        <is>
          <t>bb</t>
        </is>
      </c>
      <c r="I1539" s="32" t="n">
        <v>2.195</v>
      </c>
      <c r="K1539" s="32" t="inlineStr">
        <is>
          <t>20250514-35</t>
        </is>
      </c>
    </row>
    <row r="1540">
      <c r="A1540" s="32" t="n">
        <v>25</v>
      </c>
      <c r="B1540" s="32" t="inlineStr">
        <is>
          <t>K4-4A</t>
        </is>
      </c>
      <c r="D1540" s="32" t="n">
        <v>8.800000000000001</v>
      </c>
      <c r="E1540" s="32" t="n">
        <v>8392.657999999999</v>
      </c>
      <c r="G1540" s="32" t="n">
        <v>79036</v>
      </c>
      <c r="H1540" s="32" t="inlineStr">
        <is>
          <t>bb</t>
        </is>
      </c>
      <c r="I1540" s="32" t="n">
        <v>8392.657999999999</v>
      </c>
      <c r="K1540" s="32" t="inlineStr">
        <is>
          <t>20250514-36</t>
        </is>
      </c>
    </row>
    <row r="1541">
      <c r="A1541" s="32" t="n">
        <v>26</v>
      </c>
      <c r="B1541" s="32" t="inlineStr">
        <is>
          <t>K4-4B</t>
        </is>
      </c>
      <c r="D1541" s="32" t="n">
        <v>8.789999999999999</v>
      </c>
      <c r="E1541" s="32" t="n">
        <v>7652.564</v>
      </c>
      <c r="G1541" s="32" t="n">
        <v>71635</v>
      </c>
      <c r="H1541" s="32" t="inlineStr">
        <is>
          <t>bb</t>
        </is>
      </c>
      <c r="I1541" s="32" t="n">
        <v>7652.564</v>
      </c>
      <c r="K1541" s="32" t="inlineStr">
        <is>
          <t>20250514-37</t>
        </is>
      </c>
    </row>
    <row r="1542">
      <c r="A1542" s="32" t="n">
        <v>27</v>
      </c>
      <c r="B1542" s="32" t="inlineStr">
        <is>
          <t>K4-4C</t>
        </is>
      </c>
      <c r="D1542" s="32" t="n">
        <v>8.81</v>
      </c>
      <c r="E1542" s="32" t="n">
        <v>8423.466</v>
      </c>
      <c r="G1542" s="32" t="n">
        <v>75368</v>
      </c>
      <c r="H1542" s="32" t="inlineStr">
        <is>
          <t>bb</t>
        </is>
      </c>
      <c r="I1542" s="32" t="n">
        <v>8423.466</v>
      </c>
      <c r="K1542" s="32" t="inlineStr">
        <is>
          <t>20250514-38</t>
        </is>
      </c>
    </row>
    <row r="1543">
      <c r="A1543" s="32" t="n">
        <v>28</v>
      </c>
      <c r="B1543" s="32" t="inlineStr">
        <is>
          <t>K4-5A</t>
        </is>
      </c>
      <c r="D1543" s="32" t="n">
        <v>8.779999999999999</v>
      </c>
      <c r="E1543" s="32" t="n">
        <v>7213.229</v>
      </c>
      <c r="G1543" s="32" t="n">
        <v>469.015</v>
      </c>
      <c r="H1543" s="32" t="inlineStr">
        <is>
          <t>bb</t>
        </is>
      </c>
      <c r="I1543" s="32" t="n">
        <v>7213.229</v>
      </c>
      <c r="K1543" s="32" t="inlineStr">
        <is>
          <t>20250514-39</t>
        </is>
      </c>
    </row>
    <row r="1544">
      <c r="A1544" s="32" t="n">
        <v>29</v>
      </c>
      <c r="B1544" s="32" t="inlineStr">
        <is>
          <t>K4-5B</t>
        </is>
      </c>
      <c r="D1544" s="32" t="n">
        <v>8.76</v>
      </c>
      <c r="E1544" s="32" t="n">
        <v>8386.013000000001</v>
      </c>
      <c r="G1544" s="32" t="n">
        <v>77114</v>
      </c>
      <c r="H1544" s="32" t="inlineStr">
        <is>
          <t>bb</t>
        </is>
      </c>
      <c r="I1544" s="32" t="n">
        <v>8386.013000000001</v>
      </c>
      <c r="K1544" s="32" t="inlineStr">
        <is>
          <t>20250514-40</t>
        </is>
      </c>
    </row>
    <row r="1545">
      <c r="A1545" s="32" t="n">
        <v>30</v>
      </c>
      <c r="B1545" s="32" t="inlineStr">
        <is>
          <t>K4-5C</t>
        </is>
      </c>
      <c r="D1545" s="32" t="n">
        <v>8.67</v>
      </c>
      <c r="E1545" s="32" t="n">
        <v>7518.579</v>
      </c>
      <c r="G1545" s="32" t="n">
        <v>1085.148</v>
      </c>
      <c r="H1545" s="32" t="inlineStr">
        <is>
          <t>bb</t>
        </is>
      </c>
      <c r="I1545" s="32" t="n">
        <v>7518.579</v>
      </c>
      <c r="K1545" s="32" t="inlineStr">
        <is>
          <t>20250514-41</t>
        </is>
      </c>
    </row>
    <row r="1546">
      <c r="A1546" s="32" t="n">
        <v>31</v>
      </c>
      <c r="B1546" s="32" t="inlineStr">
        <is>
          <t>MeOH</t>
        </is>
      </c>
      <c r="K1546" s="32" t="inlineStr">
        <is>
          <t>20250514-42</t>
        </is>
      </c>
    </row>
    <row r="1547">
      <c r="A1547" s="32" t="n">
        <v>32</v>
      </c>
      <c r="B1547" s="32" t="inlineStr">
        <is>
          <t>K3-1A</t>
        </is>
      </c>
      <c r="D1547" s="32" t="n">
        <v>8.5</v>
      </c>
      <c r="E1547" s="32" t="n">
        <v>8298.058999999999</v>
      </c>
      <c r="G1547" s="32" t="n">
        <v>461.708</v>
      </c>
      <c r="H1547" s="32" t="inlineStr">
        <is>
          <t>bb</t>
        </is>
      </c>
      <c r="I1547" s="32" t="n">
        <v>8298.058999999999</v>
      </c>
      <c r="K1547" s="32" t="inlineStr">
        <is>
          <t>20250514-43</t>
        </is>
      </c>
    </row>
    <row r="1548">
      <c r="A1548" s="32" t="n">
        <v>33</v>
      </c>
      <c r="B1548" s="32" t="inlineStr">
        <is>
          <t>K3-1B</t>
        </is>
      </c>
      <c r="D1548" s="32" t="n">
        <v>8.56</v>
      </c>
      <c r="E1548" s="32" t="n">
        <v>8579.175999999999</v>
      </c>
      <c r="G1548" s="32" t="n">
        <v>208.433</v>
      </c>
      <c r="H1548" s="32" t="inlineStr">
        <is>
          <t>bb</t>
        </is>
      </c>
      <c r="I1548" s="32" t="n">
        <v>8579.175999999999</v>
      </c>
      <c r="K1548" s="32" t="inlineStr">
        <is>
          <t>20250514-44</t>
        </is>
      </c>
    </row>
    <row r="1549">
      <c r="A1549" s="32" t="n">
        <v>34</v>
      </c>
      <c r="B1549" s="32" t="inlineStr">
        <is>
          <t>K3-1C</t>
        </is>
      </c>
      <c r="D1549" s="32" t="n">
        <v>8.6</v>
      </c>
      <c r="E1549" s="32" t="n">
        <v>10205.074</v>
      </c>
      <c r="G1549" s="32" t="n">
        <v>3707.111</v>
      </c>
      <c r="H1549" s="32" t="inlineStr">
        <is>
          <t>bb</t>
        </is>
      </c>
      <c r="I1549" s="32" t="n">
        <v>10205.074</v>
      </c>
      <c r="K1549" s="32" t="inlineStr">
        <is>
          <t>20250514-45</t>
        </is>
      </c>
    </row>
    <row r="1550">
      <c r="A1550" s="32" t="n">
        <v>35</v>
      </c>
      <c r="B1550" s="32" t="inlineStr">
        <is>
          <t>K3-2A</t>
        </is>
      </c>
      <c r="D1550" s="32" t="n">
        <v>8.66</v>
      </c>
      <c r="E1550" s="32" t="n">
        <v>10121.598</v>
      </c>
      <c r="G1550" s="32" t="n">
        <v>95648</v>
      </c>
      <c r="H1550" s="32" t="inlineStr">
        <is>
          <t>bb</t>
        </is>
      </c>
      <c r="I1550" s="32" t="n">
        <v>10121.598</v>
      </c>
      <c r="K1550" s="32" t="inlineStr">
        <is>
          <t>20250514-46</t>
        </is>
      </c>
    </row>
    <row r="1551">
      <c r="A1551" s="32" t="n">
        <v>36</v>
      </c>
      <c r="B1551" s="32" t="inlineStr">
        <is>
          <t>K3-2B</t>
        </is>
      </c>
      <c r="D1551" s="32" t="n">
        <v>8.66</v>
      </c>
      <c r="E1551" s="32" t="n">
        <v>10678.956</v>
      </c>
      <c r="G1551" s="32" t="n">
        <v>95050</v>
      </c>
      <c r="H1551" s="32" t="inlineStr">
        <is>
          <t>bb</t>
        </is>
      </c>
      <c r="I1551" s="32" t="n">
        <v>10678.956</v>
      </c>
      <c r="K1551" s="32" t="inlineStr">
        <is>
          <t>20250514-47</t>
        </is>
      </c>
    </row>
    <row r="1552">
      <c r="A1552" s="32" t="n">
        <v>37</v>
      </c>
      <c r="B1552" s="32" t="inlineStr">
        <is>
          <t>K3-2C</t>
        </is>
      </c>
      <c r="D1552" s="32" t="n">
        <v>8.65</v>
      </c>
      <c r="E1552" s="32" t="n">
        <v>10542.837</v>
      </c>
      <c r="G1552" s="32" t="n">
        <v>313.409</v>
      </c>
      <c r="H1552" s="32" t="inlineStr">
        <is>
          <t>bb</t>
        </is>
      </c>
      <c r="I1552" s="32" t="n">
        <v>10542.837</v>
      </c>
      <c r="K1552" s="32" t="inlineStr">
        <is>
          <t>20250514-48</t>
        </is>
      </c>
    </row>
    <row r="1553">
      <c r="A1553" s="32" t="n">
        <v>38</v>
      </c>
      <c r="B1553" s="32" t="inlineStr">
        <is>
          <t>MeOH</t>
        </is>
      </c>
      <c r="K1553" s="32" t="inlineStr">
        <is>
          <t>20250514-49</t>
        </is>
      </c>
    </row>
    <row r="1554">
      <c r="A1554" s="32" t="n">
        <v>39</v>
      </c>
      <c r="B1554" s="32" t="inlineStr">
        <is>
          <t>K3-3A</t>
        </is>
      </c>
      <c r="D1554" s="32" t="n">
        <v>8.68</v>
      </c>
      <c r="E1554" s="32" t="n">
        <v>9442.401</v>
      </c>
      <c r="G1554" s="32" t="n">
        <v>134.112</v>
      </c>
      <c r="H1554" s="32" t="inlineStr">
        <is>
          <t>bb</t>
        </is>
      </c>
      <c r="I1554" s="32" t="n">
        <v>9442.401</v>
      </c>
      <c r="K1554" s="32" t="inlineStr">
        <is>
          <t>20250514-50</t>
        </is>
      </c>
    </row>
    <row r="1555">
      <c r="A1555" s="32" t="n">
        <v>40</v>
      </c>
      <c r="B1555" s="32" t="inlineStr">
        <is>
          <t>K3-3B</t>
        </is>
      </c>
      <c r="D1555" s="32" t="n">
        <v>8.69</v>
      </c>
      <c r="E1555" s="32" t="n">
        <v>11225.356</v>
      </c>
      <c r="G1555" s="32" t="n">
        <v>1813.004</v>
      </c>
      <c r="H1555" s="32" t="inlineStr">
        <is>
          <t>bb</t>
        </is>
      </c>
      <c r="I1555" s="32" t="n">
        <v>11225.356</v>
      </c>
      <c r="K1555" s="32" t="inlineStr">
        <is>
          <t>20250514-51</t>
        </is>
      </c>
    </row>
    <row r="1556">
      <c r="A1556" s="32" t="n">
        <v>41</v>
      </c>
      <c r="B1556" s="32" t="inlineStr">
        <is>
          <t>K3-3C</t>
        </is>
      </c>
      <c r="D1556" s="32" t="n">
        <v>8.699999999999999</v>
      </c>
      <c r="E1556" s="32" t="n">
        <v>12921.541</v>
      </c>
      <c r="G1556" s="32" t="n">
        <v>8720.197</v>
      </c>
      <c r="H1556" s="32" t="inlineStr">
        <is>
          <t>bb</t>
        </is>
      </c>
      <c r="I1556" s="32" t="n">
        <v>12921.541</v>
      </c>
      <c r="K1556" s="32" t="inlineStr">
        <is>
          <t>20250514-52</t>
        </is>
      </c>
    </row>
    <row r="1557">
      <c r="A1557" s="32" t="n">
        <v>42</v>
      </c>
      <c r="B1557" s="32" t="inlineStr">
        <is>
          <t>K3-4A</t>
        </is>
      </c>
      <c r="D1557" s="32" t="n">
        <v>8.779999999999999</v>
      </c>
      <c r="E1557" s="32" t="n">
        <v>12663.679</v>
      </c>
      <c r="G1557" s="32" t="n">
        <v>595.316</v>
      </c>
      <c r="H1557" s="32" t="inlineStr">
        <is>
          <t>bb</t>
        </is>
      </c>
      <c r="I1557" s="32" t="n">
        <v>12663.679</v>
      </c>
      <c r="K1557" s="32" t="inlineStr">
        <is>
          <t>20250514-53</t>
        </is>
      </c>
    </row>
    <row r="1558">
      <c r="A1558" s="32" t="n">
        <v>43</v>
      </c>
      <c r="B1558" s="32" t="inlineStr">
        <is>
          <t>K3-4B</t>
        </is>
      </c>
      <c r="D1558" s="32" t="n">
        <v>8.73</v>
      </c>
      <c r="E1558" s="32" t="n">
        <v>12445.69</v>
      </c>
      <c r="G1558" s="32" t="n">
        <v>3160.408</v>
      </c>
      <c r="H1558" s="32" t="inlineStr">
        <is>
          <t>bb</t>
        </is>
      </c>
      <c r="I1558" s="32" t="n">
        <v>12445.69</v>
      </c>
      <c r="K1558" s="32" t="inlineStr">
        <is>
          <t>20250514-54</t>
        </is>
      </c>
    </row>
    <row r="1559">
      <c r="A1559" s="32" t="n">
        <v>44</v>
      </c>
      <c r="B1559" s="32" t="inlineStr">
        <is>
          <t>K3-4C</t>
        </is>
      </c>
      <c r="D1559" s="32" t="n">
        <v>8.77</v>
      </c>
      <c r="E1559" s="32" t="n">
        <v>13613.996</v>
      </c>
      <c r="G1559" s="32" t="n">
        <v>1149.726</v>
      </c>
      <c r="H1559" s="32" t="inlineStr">
        <is>
          <t>bb</t>
        </is>
      </c>
      <c r="I1559" s="32" t="n">
        <v>13613.996</v>
      </c>
      <c r="K1559" s="32" t="inlineStr">
        <is>
          <t>20250514-55</t>
        </is>
      </c>
    </row>
    <row r="1560">
      <c r="A1560" s="32" t="n">
        <v>45</v>
      </c>
      <c r="B1560" s="32" t="inlineStr">
        <is>
          <t>MeOH</t>
        </is>
      </c>
      <c r="D1560" s="32" t="n">
        <v>8.800000000000001</v>
      </c>
      <c r="E1560" s="32" t="n">
        <v>16.081</v>
      </c>
      <c r="G1560" s="32" t="n">
        <v>207</v>
      </c>
      <c r="H1560" s="32" t="inlineStr">
        <is>
          <t>bb</t>
        </is>
      </c>
      <c r="I1560" s="32" t="n">
        <v>16.081</v>
      </c>
      <c r="K1560" s="32" t="inlineStr">
        <is>
          <t>20250514-56</t>
        </is>
      </c>
    </row>
    <row r="1561">
      <c r="A1561" s="32" t="n">
        <v>46</v>
      </c>
      <c r="B1561" s="32" t="inlineStr">
        <is>
          <t>K3-6A</t>
        </is>
      </c>
      <c r="D1561" s="32" t="n">
        <v>8.82</v>
      </c>
      <c r="E1561" s="32" t="n">
        <v>11819.168</v>
      </c>
      <c r="G1561" s="32" t="n">
        <v>1778.244</v>
      </c>
      <c r="H1561" s="32" t="inlineStr">
        <is>
          <t>bb</t>
        </is>
      </c>
      <c r="I1561" s="32" t="n">
        <v>11819.168</v>
      </c>
      <c r="K1561" s="32" t="inlineStr">
        <is>
          <t>20250514-57</t>
        </is>
      </c>
    </row>
    <row r="1562">
      <c r="A1562" s="32" t="n">
        <v>47</v>
      </c>
      <c r="B1562" s="32" t="inlineStr">
        <is>
          <t>K3-6B</t>
        </is>
      </c>
      <c r="D1562" s="32" t="n">
        <v>8.789999999999999</v>
      </c>
      <c r="E1562" s="32" t="n">
        <v>11328.001</v>
      </c>
      <c r="G1562" s="32" t="n">
        <v>1131.259</v>
      </c>
      <c r="H1562" s="32" t="inlineStr">
        <is>
          <t>bb</t>
        </is>
      </c>
      <c r="I1562" s="32" t="n">
        <v>11328.001</v>
      </c>
      <c r="K1562" s="32" t="inlineStr">
        <is>
          <t>20250514-58</t>
        </is>
      </c>
    </row>
    <row r="1563">
      <c r="A1563" s="32" t="n">
        <v>48</v>
      </c>
      <c r="B1563" s="32" t="inlineStr">
        <is>
          <t>K3-6C</t>
        </is>
      </c>
      <c r="D1563" s="32" t="n">
        <v>8.76</v>
      </c>
      <c r="E1563" s="32" t="n">
        <v>11077.627</v>
      </c>
      <c r="G1563" s="32" t="n">
        <v>784.234</v>
      </c>
      <c r="H1563" s="32" t="inlineStr">
        <is>
          <t>bb</t>
        </is>
      </c>
      <c r="I1563" s="32" t="n">
        <v>11077.627</v>
      </c>
      <c r="K1563" s="32" t="inlineStr">
        <is>
          <t>20250514-59</t>
        </is>
      </c>
    </row>
    <row r="1565">
      <c r="A1565" s="32" t="inlineStr">
        <is>
          <t>Compound 31:  m2 4:2 FTS 2</t>
        </is>
      </c>
    </row>
    <row r="1567">
      <c r="B1567" s="32" t="inlineStr">
        <is>
          <t>Sample Text</t>
        </is>
      </c>
      <c r="C1567" s="32" t="inlineStr">
        <is>
          <t>Std. Conc</t>
        </is>
      </c>
      <c r="D1567" s="32" t="inlineStr">
        <is>
          <t>RT</t>
        </is>
      </c>
      <c r="E1567" s="32" t="inlineStr">
        <is>
          <t>Area</t>
        </is>
      </c>
      <c r="F1567" s="32" t="inlineStr">
        <is>
          <t>IS Area</t>
        </is>
      </c>
      <c r="G1567" s="32" t="inlineStr">
        <is>
          <t>S/N</t>
        </is>
      </c>
      <c r="H1567" s="32" t="inlineStr">
        <is>
          <t>Primary Flags</t>
        </is>
      </c>
      <c r="I1567" s="32" t="inlineStr">
        <is>
          <t>Response</t>
        </is>
      </c>
      <c r="J1567" s="32" t="inlineStr">
        <is>
          <t>Conc.</t>
        </is>
      </c>
      <c r="K1567" s="32" t="inlineStr">
        <is>
          <t>Name</t>
        </is>
      </c>
    </row>
    <row r="1568">
      <c r="A1568" s="32" t="n">
        <v>1</v>
      </c>
      <c r="B1568" s="32" t="inlineStr">
        <is>
          <t>EPA1633 &amp; diPAPs Calibration 0 ppb</t>
        </is>
      </c>
      <c r="D1568" s="32" t="n">
        <v>8.59</v>
      </c>
      <c r="E1568" s="32" t="n">
        <v>6719.292</v>
      </c>
      <c r="G1568" s="32" t="n">
        <v>1895.923</v>
      </c>
      <c r="H1568" s="32" t="inlineStr">
        <is>
          <t>bb</t>
        </is>
      </c>
      <c r="I1568" s="32" t="n">
        <v>6719.292</v>
      </c>
      <c r="K1568" s="32" t="inlineStr">
        <is>
          <t>20250514-12</t>
        </is>
      </c>
    </row>
    <row r="1569">
      <c r="A1569" s="32" t="n">
        <v>2</v>
      </c>
      <c r="B1569" s="32" t="inlineStr">
        <is>
          <t>EPA1633 &amp; diPAPs Calibration 0.02 ppb</t>
        </is>
      </c>
      <c r="D1569" s="32" t="n">
        <v>8.619999999999999</v>
      </c>
      <c r="E1569" s="32" t="n">
        <v>6367.456</v>
      </c>
      <c r="G1569" s="32" t="n">
        <v>292.734</v>
      </c>
      <c r="H1569" s="32" t="inlineStr">
        <is>
          <t>bb</t>
        </is>
      </c>
      <c r="I1569" s="32" t="n">
        <v>6367.456</v>
      </c>
      <c r="K1569" s="32" t="inlineStr">
        <is>
          <t>20250514-13</t>
        </is>
      </c>
    </row>
    <row r="1570">
      <c r="A1570" s="32" t="n">
        <v>3</v>
      </c>
      <c r="B1570" s="32" t="inlineStr">
        <is>
          <t>EPA1633 &amp; diPAPs Calibration 0.1 ppb</t>
        </is>
      </c>
      <c r="D1570" s="32" t="n">
        <v>8.640000000000001</v>
      </c>
      <c r="E1570" s="32" t="n">
        <v>7058.665</v>
      </c>
      <c r="G1570" s="32" t="n">
        <v>916.87</v>
      </c>
      <c r="H1570" s="32" t="inlineStr">
        <is>
          <t>bb</t>
        </is>
      </c>
      <c r="I1570" s="32" t="n">
        <v>7058.665</v>
      </c>
      <c r="K1570" s="32" t="inlineStr">
        <is>
          <t>20250514-14</t>
        </is>
      </c>
    </row>
    <row r="1571">
      <c r="A1571" s="32" t="n">
        <v>4</v>
      </c>
      <c r="B1571" s="32" t="inlineStr">
        <is>
          <t>EPA1633 &amp; diPAPs Calibration 0.4 ppb</t>
        </is>
      </c>
      <c r="D1571" s="32" t="n">
        <v>8.640000000000001</v>
      </c>
      <c r="E1571" s="32" t="n">
        <v>6594.843</v>
      </c>
      <c r="G1571" s="32" t="n">
        <v>60151</v>
      </c>
      <c r="H1571" s="32" t="inlineStr">
        <is>
          <t>bb</t>
        </is>
      </c>
      <c r="I1571" s="32" t="n">
        <v>6594.843</v>
      </c>
      <c r="K1571" s="32" t="inlineStr">
        <is>
          <t>20250514-15</t>
        </is>
      </c>
    </row>
    <row r="1572">
      <c r="A1572" s="32" t="n">
        <v>5</v>
      </c>
      <c r="B1572" s="32" t="inlineStr">
        <is>
          <t>EPA1633 &amp; diPAPs Calibration 1 ppb</t>
        </is>
      </c>
      <c r="D1572" s="32" t="n">
        <v>8.67</v>
      </c>
      <c r="E1572" s="32" t="n">
        <v>7374.427</v>
      </c>
      <c r="G1572" s="32" t="n">
        <v>84.075</v>
      </c>
      <c r="H1572" s="32" t="inlineStr">
        <is>
          <t>bb</t>
        </is>
      </c>
      <c r="I1572" s="32" t="n">
        <v>7374.427</v>
      </c>
      <c r="K1572" s="32" t="inlineStr">
        <is>
          <t>20250514-16</t>
        </is>
      </c>
    </row>
    <row r="1573">
      <c r="A1573" s="32" t="n">
        <v>6</v>
      </c>
      <c r="B1573" s="32" t="inlineStr">
        <is>
          <t>EPA1633 &amp; diPAPs Calibration 5 ppb</t>
        </is>
      </c>
      <c r="D1573" s="32" t="n">
        <v>8.48</v>
      </c>
      <c r="E1573" s="32" t="n">
        <v>6229.516</v>
      </c>
      <c r="G1573" s="32" t="n">
        <v>910.965</v>
      </c>
      <c r="H1573" s="32" t="inlineStr">
        <is>
          <t>bb</t>
        </is>
      </c>
      <c r="I1573" s="32" t="n">
        <v>6229.516</v>
      </c>
      <c r="K1573" s="32" t="inlineStr">
        <is>
          <t>20250514-17</t>
        </is>
      </c>
    </row>
    <row r="1574">
      <c r="A1574" s="32" t="n">
        <v>7</v>
      </c>
      <c r="B1574" s="32" t="inlineStr">
        <is>
          <t>EPA1633 &amp; diPAPs Calibration 10 ppb</t>
        </is>
      </c>
      <c r="D1574" s="32" t="n">
        <v>8.56</v>
      </c>
      <c r="E1574" s="32" t="n">
        <v>5360.626</v>
      </c>
      <c r="G1574" s="32" t="n">
        <v>197.198</v>
      </c>
      <c r="H1574" s="32" t="inlineStr">
        <is>
          <t>bb</t>
        </is>
      </c>
      <c r="I1574" s="32" t="n">
        <v>5360.626</v>
      </c>
      <c r="K1574" s="32" t="inlineStr">
        <is>
          <t>20250514-18</t>
        </is>
      </c>
    </row>
    <row r="1575">
      <c r="A1575" s="32" t="n">
        <v>8</v>
      </c>
      <c r="B1575" s="32" t="inlineStr">
        <is>
          <t>EPA1633 &amp; diPAPs Calibration 20 ppb</t>
        </is>
      </c>
      <c r="D1575" s="32" t="n">
        <v>8.609999999999999</v>
      </c>
      <c r="E1575" s="32" t="n">
        <v>5983.008</v>
      </c>
      <c r="G1575" s="32" t="n">
        <v>184.123</v>
      </c>
      <c r="H1575" s="32" t="inlineStr">
        <is>
          <t>bb</t>
        </is>
      </c>
      <c r="I1575" s="32" t="n">
        <v>5983.008</v>
      </c>
      <c r="K1575" s="32" t="inlineStr">
        <is>
          <t>20250514-19</t>
        </is>
      </c>
    </row>
    <row r="1576">
      <c r="A1576" s="32" t="n">
        <v>9</v>
      </c>
      <c r="B1576" s="32" t="inlineStr">
        <is>
          <t>MeOH</t>
        </is>
      </c>
      <c r="K1576" s="32" t="inlineStr">
        <is>
          <t>20250514-20</t>
        </is>
      </c>
    </row>
    <row r="1577">
      <c r="A1577" s="32" t="n">
        <v>10</v>
      </c>
      <c r="B1577" s="32" t="inlineStr">
        <is>
          <t>MeOH</t>
        </is>
      </c>
      <c r="D1577" s="32" t="n">
        <v>9.02</v>
      </c>
      <c r="E1577" s="32" t="n">
        <v>35.616</v>
      </c>
      <c r="G1577" s="32" t="n">
        <v>409</v>
      </c>
      <c r="H1577" s="32" t="inlineStr">
        <is>
          <t>bb</t>
        </is>
      </c>
      <c r="I1577" s="32" t="n">
        <v>35.616</v>
      </c>
      <c r="K1577" s="32" t="inlineStr">
        <is>
          <t>20250514-21</t>
        </is>
      </c>
    </row>
    <row r="1578">
      <c r="A1578" s="32" t="n">
        <v>11</v>
      </c>
      <c r="B1578" s="32" t="inlineStr">
        <is>
          <t>SB1</t>
        </is>
      </c>
      <c r="D1578" s="32" t="n">
        <v>8.68</v>
      </c>
      <c r="E1578" s="32" t="n">
        <v>3509.58</v>
      </c>
      <c r="G1578" s="32" t="n">
        <v>31250</v>
      </c>
      <c r="H1578" s="32" t="inlineStr">
        <is>
          <t>bb</t>
        </is>
      </c>
      <c r="I1578" s="32" t="n">
        <v>3509.58</v>
      </c>
      <c r="K1578" s="32" t="inlineStr">
        <is>
          <t>20250514-22</t>
        </is>
      </c>
    </row>
    <row r="1579">
      <c r="A1579" s="32" t="n">
        <v>12</v>
      </c>
      <c r="B1579" s="32" t="inlineStr">
        <is>
          <t>SB2</t>
        </is>
      </c>
      <c r="D1579" s="32" t="n">
        <v>8.68</v>
      </c>
      <c r="E1579" s="32" t="n">
        <v>3516.125</v>
      </c>
      <c r="G1579" s="32" t="n">
        <v>4205.284</v>
      </c>
      <c r="H1579" s="32" t="inlineStr">
        <is>
          <t>bb</t>
        </is>
      </c>
      <c r="I1579" s="32" t="n">
        <v>3516.125</v>
      </c>
      <c r="K1579" s="32" t="inlineStr">
        <is>
          <t>20250514-23</t>
        </is>
      </c>
    </row>
    <row r="1580">
      <c r="A1580" s="32" t="n">
        <v>13</v>
      </c>
      <c r="B1580" s="32" t="inlineStr">
        <is>
          <t>SB3</t>
        </is>
      </c>
      <c r="D1580" s="32" t="n">
        <v>8.69</v>
      </c>
      <c r="E1580" s="32" t="n">
        <v>2974.888</v>
      </c>
      <c r="G1580" s="32" t="n">
        <v>172.586</v>
      </c>
      <c r="H1580" s="32" t="inlineStr">
        <is>
          <t>bb</t>
        </is>
      </c>
      <c r="I1580" s="32" t="n">
        <v>2974.888</v>
      </c>
      <c r="K1580" s="32" t="inlineStr">
        <is>
          <t>20250514-24</t>
        </is>
      </c>
    </row>
    <row r="1581">
      <c r="A1581" s="32" t="n">
        <v>14</v>
      </c>
      <c r="B1581" s="32" t="inlineStr">
        <is>
          <t>SS1</t>
        </is>
      </c>
      <c r="D1581" s="32" t="n">
        <v>8.73</v>
      </c>
      <c r="E1581" s="32" t="n">
        <v>3173.834</v>
      </c>
      <c r="G1581" s="32" t="n">
        <v>363.69</v>
      </c>
      <c r="H1581" s="32" t="inlineStr">
        <is>
          <t>bb</t>
        </is>
      </c>
      <c r="I1581" s="32" t="n">
        <v>3173.834</v>
      </c>
      <c r="K1581" s="32" t="inlineStr">
        <is>
          <t>20250514-25</t>
        </is>
      </c>
    </row>
    <row r="1582">
      <c r="A1582" s="32" t="n">
        <v>15</v>
      </c>
      <c r="B1582" s="32" t="inlineStr">
        <is>
          <t>SS2</t>
        </is>
      </c>
      <c r="D1582" s="32" t="n">
        <v>8.75</v>
      </c>
      <c r="E1582" s="32" t="n">
        <v>3848.945</v>
      </c>
      <c r="G1582" s="32" t="n">
        <v>446.567</v>
      </c>
      <c r="H1582" s="32" t="inlineStr">
        <is>
          <t>bb</t>
        </is>
      </c>
      <c r="I1582" s="32" t="n">
        <v>3848.945</v>
      </c>
      <c r="K1582" s="32" t="inlineStr">
        <is>
          <t>20250514-26</t>
        </is>
      </c>
    </row>
    <row r="1583">
      <c r="A1583" s="32" t="n">
        <v>16</v>
      </c>
      <c r="B1583" s="32" t="inlineStr">
        <is>
          <t>SS3</t>
        </is>
      </c>
      <c r="D1583" s="32" t="n">
        <v>8.76</v>
      </c>
      <c r="E1583" s="32" t="n">
        <v>3299.46</v>
      </c>
      <c r="G1583" s="32" t="n">
        <v>417.099</v>
      </c>
      <c r="H1583" s="32" t="inlineStr">
        <is>
          <t>bb</t>
        </is>
      </c>
      <c r="I1583" s="32" t="n">
        <v>3299.46</v>
      </c>
      <c r="K1583" s="32" t="inlineStr">
        <is>
          <t>20250514-27</t>
        </is>
      </c>
    </row>
    <row r="1584">
      <c r="A1584" s="32" t="n">
        <v>17</v>
      </c>
      <c r="B1584" s="32" t="inlineStr">
        <is>
          <t>MeOH</t>
        </is>
      </c>
      <c r="D1584" s="32" t="n">
        <v>8.68</v>
      </c>
      <c r="E1584" s="32" t="n">
        <v>6.224</v>
      </c>
      <c r="G1584" s="32" t="n">
        <v>87</v>
      </c>
      <c r="H1584" s="32" t="inlineStr">
        <is>
          <t>bb</t>
        </is>
      </c>
      <c r="I1584" s="32" t="n">
        <v>6.224</v>
      </c>
      <c r="K1584" s="32" t="inlineStr">
        <is>
          <t>20250514-28</t>
        </is>
      </c>
    </row>
    <row r="1585">
      <c r="A1585" s="32" t="n">
        <v>18</v>
      </c>
      <c r="B1585" s="32" t="inlineStr">
        <is>
          <t>K4-1A</t>
        </is>
      </c>
      <c r="D1585" s="32" t="n">
        <v>8.76</v>
      </c>
      <c r="E1585" s="32" t="n">
        <v>4312.87</v>
      </c>
      <c r="G1585" s="32" t="n">
        <v>585.5410000000001</v>
      </c>
      <c r="H1585" s="32" t="inlineStr">
        <is>
          <t>bb</t>
        </is>
      </c>
      <c r="I1585" s="32" t="n">
        <v>4312.87</v>
      </c>
      <c r="K1585" s="32" t="inlineStr">
        <is>
          <t>20250514-29</t>
        </is>
      </c>
    </row>
    <row r="1586">
      <c r="A1586" s="32" t="n">
        <v>19</v>
      </c>
      <c r="B1586" s="32" t="inlineStr">
        <is>
          <t>K4-1B</t>
        </is>
      </c>
      <c r="D1586" s="32" t="n">
        <v>8.74</v>
      </c>
      <c r="E1586" s="32" t="n">
        <v>4345.999</v>
      </c>
      <c r="G1586" s="32" t="n">
        <v>14920.047</v>
      </c>
      <c r="H1586" s="32" t="inlineStr">
        <is>
          <t>bb</t>
        </is>
      </c>
      <c r="I1586" s="32" t="n">
        <v>4345.999</v>
      </c>
      <c r="K1586" s="32" t="inlineStr">
        <is>
          <t>20250514-30</t>
        </is>
      </c>
    </row>
    <row r="1587">
      <c r="A1587" s="32" t="n">
        <v>20</v>
      </c>
      <c r="B1587" s="32" t="inlineStr">
        <is>
          <t>K4-1C</t>
        </is>
      </c>
      <c r="D1587" s="32" t="n">
        <v>8.76</v>
      </c>
      <c r="E1587" s="32" t="n">
        <v>4508.486</v>
      </c>
      <c r="G1587" s="32" t="n">
        <v>184.872</v>
      </c>
      <c r="H1587" s="32" t="inlineStr">
        <is>
          <t>bb</t>
        </is>
      </c>
      <c r="I1587" s="32" t="n">
        <v>4508.486</v>
      </c>
      <c r="K1587" s="32" t="inlineStr">
        <is>
          <t>20250514-31</t>
        </is>
      </c>
    </row>
    <row r="1588">
      <c r="A1588" s="32" t="n">
        <v>21</v>
      </c>
      <c r="B1588" s="32" t="inlineStr">
        <is>
          <t>K4-2A</t>
        </is>
      </c>
      <c r="D1588" s="32" t="n">
        <v>8.779999999999999</v>
      </c>
      <c r="E1588" s="32" t="n">
        <v>4612.583</v>
      </c>
      <c r="G1588" s="32" t="n">
        <v>2992.625</v>
      </c>
      <c r="H1588" s="32" t="inlineStr">
        <is>
          <t>bb</t>
        </is>
      </c>
      <c r="I1588" s="32" t="n">
        <v>4612.583</v>
      </c>
      <c r="K1588" s="32" t="inlineStr">
        <is>
          <t>20250514-32</t>
        </is>
      </c>
    </row>
    <row r="1589">
      <c r="A1589" s="32" t="n">
        <v>22</v>
      </c>
      <c r="B1589" s="32" t="inlineStr">
        <is>
          <t>K4-2B</t>
        </is>
      </c>
      <c r="D1589" s="32" t="n">
        <v>8.779999999999999</v>
      </c>
      <c r="E1589" s="32" t="n">
        <v>4375.102</v>
      </c>
      <c r="G1589" s="32" t="n">
        <v>41086</v>
      </c>
      <c r="H1589" s="32" t="inlineStr">
        <is>
          <t>bb</t>
        </is>
      </c>
      <c r="I1589" s="32" t="n">
        <v>4375.102</v>
      </c>
      <c r="K1589" s="32" t="inlineStr">
        <is>
          <t>20250514-33</t>
        </is>
      </c>
    </row>
    <row r="1590">
      <c r="A1590" s="32" t="n">
        <v>23</v>
      </c>
      <c r="B1590" s="32" t="inlineStr">
        <is>
          <t>K4-2C</t>
        </is>
      </c>
      <c r="D1590" s="32" t="n">
        <v>8.789999999999999</v>
      </c>
      <c r="E1590" s="32" t="n">
        <v>4151.526</v>
      </c>
      <c r="G1590" s="32" t="n">
        <v>1225.291</v>
      </c>
      <c r="H1590" s="32" t="inlineStr">
        <is>
          <t>bb</t>
        </is>
      </c>
      <c r="I1590" s="32" t="n">
        <v>4151.526</v>
      </c>
      <c r="K1590" s="32" t="inlineStr">
        <is>
          <t>20250514-34</t>
        </is>
      </c>
    </row>
    <row r="1591">
      <c r="A1591" s="32" t="n">
        <v>24</v>
      </c>
      <c r="B1591" s="32" t="inlineStr">
        <is>
          <t>MeOH</t>
        </is>
      </c>
      <c r="D1591" s="32" t="n">
        <v>8.73</v>
      </c>
      <c r="E1591" s="32" t="n">
        <v>3.18</v>
      </c>
      <c r="G1591" s="32" t="n">
        <v>45</v>
      </c>
      <c r="H1591" s="32" t="inlineStr">
        <is>
          <t>bb</t>
        </is>
      </c>
      <c r="I1591" s="32" t="n">
        <v>3.18</v>
      </c>
      <c r="K1591" s="32" t="inlineStr">
        <is>
          <t>20250514-35</t>
        </is>
      </c>
    </row>
    <row r="1592">
      <c r="A1592" s="32" t="n">
        <v>25</v>
      </c>
      <c r="B1592" s="32" t="inlineStr">
        <is>
          <t>K4-4A</t>
        </is>
      </c>
      <c r="D1592" s="32" t="n">
        <v>8.800000000000001</v>
      </c>
      <c r="E1592" s="32" t="n">
        <v>4139.586</v>
      </c>
      <c r="G1592" s="32" t="n">
        <v>1391.206</v>
      </c>
      <c r="H1592" s="32" t="inlineStr">
        <is>
          <t>bb</t>
        </is>
      </c>
      <c r="I1592" s="32" t="n">
        <v>4139.586</v>
      </c>
      <c r="K1592" s="32" t="inlineStr">
        <is>
          <t>20250514-36</t>
        </is>
      </c>
    </row>
    <row r="1593">
      <c r="A1593" s="32" t="n">
        <v>26</v>
      </c>
      <c r="B1593" s="32" t="inlineStr">
        <is>
          <t>K4-4B</t>
        </is>
      </c>
      <c r="D1593" s="32" t="n">
        <v>8.789999999999999</v>
      </c>
      <c r="E1593" s="32" t="n">
        <v>4449.758</v>
      </c>
      <c r="G1593" s="32" t="n">
        <v>110.803</v>
      </c>
      <c r="H1593" s="32" t="inlineStr">
        <is>
          <t>bb</t>
        </is>
      </c>
      <c r="I1593" s="32" t="n">
        <v>4449.758</v>
      </c>
      <c r="K1593" s="32" t="inlineStr">
        <is>
          <t>20250514-37</t>
        </is>
      </c>
    </row>
    <row r="1594">
      <c r="A1594" s="32" t="n">
        <v>27</v>
      </c>
      <c r="B1594" s="32" t="inlineStr">
        <is>
          <t>K4-4C</t>
        </is>
      </c>
      <c r="D1594" s="32" t="n">
        <v>8.800000000000001</v>
      </c>
      <c r="E1594" s="32" t="n">
        <v>4659.721</v>
      </c>
      <c r="G1594" s="32" t="n">
        <v>178.126</v>
      </c>
      <c r="H1594" s="32" t="inlineStr">
        <is>
          <t>bb</t>
        </is>
      </c>
      <c r="I1594" s="32" t="n">
        <v>4659.721</v>
      </c>
      <c r="K1594" s="32" t="inlineStr">
        <is>
          <t>20250514-38</t>
        </is>
      </c>
    </row>
    <row r="1595">
      <c r="A1595" s="32" t="n">
        <v>28</v>
      </c>
      <c r="B1595" s="32" t="inlineStr">
        <is>
          <t>K4-5A</t>
        </is>
      </c>
      <c r="D1595" s="32" t="n">
        <v>8.779999999999999</v>
      </c>
      <c r="E1595" s="32" t="n">
        <v>4005.91</v>
      </c>
      <c r="G1595" s="32" t="n">
        <v>115.344</v>
      </c>
      <c r="H1595" s="32" t="inlineStr">
        <is>
          <t>bb</t>
        </is>
      </c>
      <c r="I1595" s="32" t="n">
        <v>4005.91</v>
      </c>
      <c r="K1595" s="32" t="inlineStr">
        <is>
          <t>20250514-39</t>
        </is>
      </c>
    </row>
    <row r="1596">
      <c r="A1596" s="32" t="n">
        <v>29</v>
      </c>
      <c r="B1596" s="32" t="inlineStr">
        <is>
          <t>K4-5B</t>
        </is>
      </c>
      <c r="D1596" s="32" t="n">
        <v>8.76</v>
      </c>
      <c r="E1596" s="32" t="n">
        <v>4305.782</v>
      </c>
      <c r="G1596" s="32" t="n">
        <v>63.826</v>
      </c>
      <c r="H1596" s="32" t="inlineStr">
        <is>
          <t>bb</t>
        </is>
      </c>
      <c r="I1596" s="32" t="n">
        <v>4305.782</v>
      </c>
      <c r="K1596" s="32" t="inlineStr">
        <is>
          <t>20250514-40</t>
        </is>
      </c>
    </row>
    <row r="1597">
      <c r="A1597" s="32" t="n">
        <v>30</v>
      </c>
      <c r="B1597" s="32" t="inlineStr">
        <is>
          <t>K4-5C</t>
        </is>
      </c>
      <c r="D1597" s="32" t="n">
        <v>8.66</v>
      </c>
      <c r="E1597" s="32" t="n">
        <v>4275.741</v>
      </c>
      <c r="G1597" s="32" t="n">
        <v>165.749</v>
      </c>
      <c r="H1597" s="32" t="inlineStr">
        <is>
          <t>bb</t>
        </is>
      </c>
      <c r="I1597" s="32" t="n">
        <v>4275.741</v>
      </c>
      <c r="K1597" s="32" t="inlineStr">
        <is>
          <t>20250514-41</t>
        </is>
      </c>
    </row>
    <row r="1598">
      <c r="A1598" s="32" t="n">
        <v>31</v>
      </c>
      <c r="B1598" s="32" t="inlineStr">
        <is>
          <t>MeOH</t>
        </is>
      </c>
      <c r="D1598" s="32" t="n">
        <v>8.69</v>
      </c>
      <c r="E1598" s="32" t="n">
        <v>13.756</v>
      </c>
      <c r="G1598" s="32" t="n">
        <v>156</v>
      </c>
      <c r="H1598" s="32" t="inlineStr">
        <is>
          <t>bb</t>
        </is>
      </c>
      <c r="I1598" s="32" t="n">
        <v>13.756</v>
      </c>
      <c r="K1598" s="32" t="inlineStr">
        <is>
          <t>20250514-42</t>
        </is>
      </c>
    </row>
    <row r="1599">
      <c r="A1599" s="32" t="n">
        <v>32</v>
      </c>
      <c r="B1599" s="32" t="inlineStr">
        <is>
          <t>K3-1A</t>
        </is>
      </c>
      <c r="D1599" s="32" t="n">
        <v>8.5</v>
      </c>
      <c r="E1599" s="32" t="n">
        <v>4692.896</v>
      </c>
      <c r="G1599" s="32" t="n">
        <v>5.466</v>
      </c>
      <c r="H1599" s="32" t="inlineStr">
        <is>
          <t>bb</t>
        </is>
      </c>
      <c r="I1599" s="32" t="n">
        <v>4692.896</v>
      </c>
      <c r="K1599" s="32" t="inlineStr">
        <is>
          <t>20250514-43</t>
        </is>
      </c>
    </row>
    <row r="1600">
      <c r="A1600" s="32" t="n">
        <v>33</v>
      </c>
      <c r="B1600" s="32" t="inlineStr">
        <is>
          <t>K3-1B</t>
        </is>
      </c>
      <c r="D1600" s="32" t="n">
        <v>8.57</v>
      </c>
      <c r="E1600" s="32" t="n">
        <v>4280.427</v>
      </c>
      <c r="G1600" s="32" t="n">
        <v>303.146</v>
      </c>
      <c r="H1600" s="32" t="inlineStr">
        <is>
          <t>bb</t>
        </is>
      </c>
      <c r="I1600" s="32" t="n">
        <v>4280.427</v>
      </c>
      <c r="K1600" s="32" t="inlineStr">
        <is>
          <t>20250514-44</t>
        </is>
      </c>
    </row>
    <row r="1601">
      <c r="A1601" s="32" t="n">
        <v>34</v>
      </c>
      <c r="B1601" s="32" t="inlineStr">
        <is>
          <t>K3-1C</t>
        </is>
      </c>
      <c r="D1601" s="32" t="n">
        <v>8.609999999999999</v>
      </c>
      <c r="E1601" s="32" t="n">
        <v>5768.69</v>
      </c>
      <c r="G1601" s="32" t="n">
        <v>384.197</v>
      </c>
      <c r="H1601" s="32" t="inlineStr">
        <is>
          <t>bb</t>
        </is>
      </c>
      <c r="I1601" s="32" t="n">
        <v>5768.69</v>
      </c>
      <c r="K1601" s="32" t="inlineStr">
        <is>
          <t>20250514-45</t>
        </is>
      </c>
    </row>
    <row r="1602">
      <c r="A1602" s="32" t="n">
        <v>35</v>
      </c>
      <c r="B1602" s="32" t="inlineStr">
        <is>
          <t>K3-2A</t>
        </is>
      </c>
      <c r="D1602" s="32" t="n">
        <v>8.66</v>
      </c>
      <c r="E1602" s="32" t="n">
        <v>5610.056</v>
      </c>
      <c r="G1602" s="32" t="n">
        <v>629.566</v>
      </c>
      <c r="H1602" s="32" t="inlineStr">
        <is>
          <t>bb</t>
        </is>
      </c>
      <c r="I1602" s="32" t="n">
        <v>5610.056</v>
      </c>
      <c r="K1602" s="32" t="inlineStr">
        <is>
          <t>20250514-46</t>
        </is>
      </c>
    </row>
    <row r="1603">
      <c r="A1603" s="32" t="n">
        <v>36</v>
      </c>
      <c r="B1603" s="32" t="inlineStr">
        <is>
          <t>K3-2B</t>
        </is>
      </c>
      <c r="D1603" s="32" t="n">
        <v>8.66</v>
      </c>
      <c r="E1603" s="32" t="n">
        <v>5855.075</v>
      </c>
      <c r="G1603" s="32" t="n">
        <v>456.091</v>
      </c>
      <c r="H1603" s="32" t="inlineStr">
        <is>
          <t>bb</t>
        </is>
      </c>
      <c r="I1603" s="32" t="n">
        <v>5855.075</v>
      </c>
      <c r="K1603" s="32" t="inlineStr">
        <is>
          <t>20250514-47</t>
        </is>
      </c>
    </row>
    <row r="1604">
      <c r="A1604" s="32" t="n">
        <v>37</v>
      </c>
      <c r="B1604" s="32" t="inlineStr">
        <is>
          <t>K3-2C</t>
        </is>
      </c>
      <c r="D1604" s="32" t="n">
        <v>8.66</v>
      </c>
      <c r="E1604" s="32" t="n">
        <v>5580.815</v>
      </c>
      <c r="G1604" s="32" t="n">
        <v>99.27800000000001</v>
      </c>
      <c r="H1604" s="32" t="inlineStr">
        <is>
          <t>bb</t>
        </is>
      </c>
      <c r="I1604" s="32" t="n">
        <v>5580.815</v>
      </c>
      <c r="K1604" s="32" t="inlineStr">
        <is>
          <t>20250514-48</t>
        </is>
      </c>
    </row>
    <row r="1605">
      <c r="A1605" s="32" t="n">
        <v>38</v>
      </c>
      <c r="B1605" s="32" t="inlineStr">
        <is>
          <t>MeOH</t>
        </is>
      </c>
      <c r="D1605" s="32" t="n">
        <v>8.65</v>
      </c>
      <c r="E1605" s="32" t="n">
        <v>16.721</v>
      </c>
      <c r="G1605" s="32" t="n">
        <v>221</v>
      </c>
      <c r="H1605" s="32" t="inlineStr">
        <is>
          <t>bb</t>
        </is>
      </c>
      <c r="I1605" s="32" t="n">
        <v>16.721</v>
      </c>
      <c r="K1605" s="32" t="inlineStr">
        <is>
          <t>20250514-49</t>
        </is>
      </c>
    </row>
    <row r="1606">
      <c r="A1606" s="32" t="n">
        <v>39</v>
      </c>
      <c r="B1606" s="32" t="inlineStr">
        <is>
          <t>K3-3A</t>
        </is>
      </c>
      <c r="D1606" s="32" t="n">
        <v>8.69</v>
      </c>
      <c r="E1606" s="32" t="n">
        <v>5097.114</v>
      </c>
      <c r="G1606" s="32" t="n">
        <v>137.533</v>
      </c>
      <c r="H1606" s="32" t="inlineStr">
        <is>
          <t>bb</t>
        </is>
      </c>
      <c r="I1606" s="32" t="n">
        <v>5097.114</v>
      </c>
      <c r="K1606" s="32" t="inlineStr">
        <is>
          <t>20250514-50</t>
        </is>
      </c>
    </row>
    <row r="1607">
      <c r="A1607" s="32" t="n">
        <v>40</v>
      </c>
      <c r="B1607" s="32" t="inlineStr">
        <is>
          <t>K3-3B</t>
        </is>
      </c>
      <c r="D1607" s="32" t="n">
        <v>8.69</v>
      </c>
      <c r="E1607" s="32" t="n">
        <v>6168.294</v>
      </c>
      <c r="G1607" s="32" t="n">
        <v>220.103</v>
      </c>
      <c r="H1607" s="32" t="inlineStr">
        <is>
          <t>bb</t>
        </is>
      </c>
      <c r="I1607" s="32" t="n">
        <v>6168.294</v>
      </c>
      <c r="K1607" s="32" t="inlineStr">
        <is>
          <t>20250514-51</t>
        </is>
      </c>
    </row>
    <row r="1608">
      <c r="A1608" s="32" t="n">
        <v>41</v>
      </c>
      <c r="B1608" s="32" t="inlineStr">
        <is>
          <t>K3-3C</t>
        </is>
      </c>
      <c r="D1608" s="32" t="n">
        <v>8.699999999999999</v>
      </c>
      <c r="E1608" s="32" t="n">
        <v>7039.549</v>
      </c>
      <c r="G1608" s="32" t="n">
        <v>340.115</v>
      </c>
      <c r="H1608" s="32" t="inlineStr">
        <is>
          <t>bb</t>
        </is>
      </c>
      <c r="I1608" s="32" t="n">
        <v>7039.549</v>
      </c>
      <c r="K1608" s="32" t="inlineStr">
        <is>
          <t>20250514-52</t>
        </is>
      </c>
    </row>
    <row r="1609">
      <c r="A1609" s="32" t="n">
        <v>42</v>
      </c>
      <c r="B1609" s="32" t="inlineStr">
        <is>
          <t>K3-4A</t>
        </is>
      </c>
      <c r="D1609" s="32" t="n">
        <v>8.779999999999999</v>
      </c>
      <c r="E1609" s="32" t="n">
        <v>6512.501</v>
      </c>
      <c r="G1609" s="32" t="n">
        <v>60388</v>
      </c>
      <c r="H1609" s="32" t="inlineStr">
        <is>
          <t>bb</t>
        </is>
      </c>
      <c r="I1609" s="32" t="n">
        <v>6512.501</v>
      </c>
      <c r="K1609" s="32" t="inlineStr">
        <is>
          <t>20250514-53</t>
        </is>
      </c>
    </row>
    <row r="1610">
      <c r="A1610" s="32" t="n">
        <v>43</v>
      </c>
      <c r="B1610" s="32" t="inlineStr">
        <is>
          <t>K3-4B</t>
        </is>
      </c>
      <c r="D1610" s="32" t="n">
        <v>8.73</v>
      </c>
      <c r="E1610" s="32" t="n">
        <v>6610.126</v>
      </c>
      <c r="G1610" s="32" t="n">
        <v>215.46</v>
      </c>
      <c r="H1610" s="32" t="inlineStr">
        <is>
          <t>bb</t>
        </is>
      </c>
      <c r="I1610" s="32" t="n">
        <v>6610.126</v>
      </c>
      <c r="K1610" s="32" t="inlineStr">
        <is>
          <t>20250514-54</t>
        </is>
      </c>
    </row>
    <row r="1611">
      <c r="A1611" s="32" t="n">
        <v>44</v>
      </c>
      <c r="B1611" s="32" t="inlineStr">
        <is>
          <t>K3-4C</t>
        </is>
      </c>
      <c r="D1611" s="32" t="n">
        <v>8.77</v>
      </c>
      <c r="E1611" s="32" t="n">
        <v>6817.682</v>
      </c>
      <c r="G1611" s="32" t="n">
        <v>376.621</v>
      </c>
      <c r="H1611" s="32" t="inlineStr">
        <is>
          <t>bb</t>
        </is>
      </c>
      <c r="I1611" s="32" t="n">
        <v>6817.682</v>
      </c>
      <c r="K1611" s="32" t="inlineStr">
        <is>
          <t>20250514-55</t>
        </is>
      </c>
    </row>
    <row r="1612">
      <c r="A1612" s="32" t="n">
        <v>45</v>
      </c>
      <c r="B1612" s="32" t="inlineStr">
        <is>
          <t>MeOH</t>
        </is>
      </c>
      <c r="D1612" s="32" t="n">
        <v>8.82</v>
      </c>
      <c r="E1612" s="32" t="n">
        <v>10.097</v>
      </c>
      <c r="G1612" s="32" t="n">
        <v>117</v>
      </c>
      <c r="H1612" s="32" t="inlineStr">
        <is>
          <t>bb</t>
        </is>
      </c>
      <c r="I1612" s="32" t="n">
        <v>10.097</v>
      </c>
      <c r="K1612" s="32" t="inlineStr">
        <is>
          <t>20250514-56</t>
        </is>
      </c>
    </row>
    <row r="1613">
      <c r="A1613" s="32" t="n">
        <v>46</v>
      </c>
      <c r="B1613" s="32" t="inlineStr">
        <is>
          <t>K3-6A</t>
        </is>
      </c>
      <c r="D1613" s="32" t="n">
        <v>8.81</v>
      </c>
      <c r="E1613" s="32" t="n">
        <v>6126.747</v>
      </c>
      <c r="G1613" s="32" t="n">
        <v>108.621</v>
      </c>
      <c r="H1613" s="32" t="inlineStr">
        <is>
          <t>bb</t>
        </is>
      </c>
      <c r="I1613" s="32" t="n">
        <v>6126.747</v>
      </c>
      <c r="K1613" s="32" t="inlineStr">
        <is>
          <t>20250514-57</t>
        </is>
      </c>
    </row>
    <row r="1614">
      <c r="A1614" s="32" t="n">
        <v>47</v>
      </c>
      <c r="B1614" s="32" t="inlineStr">
        <is>
          <t>K3-6B</t>
        </is>
      </c>
      <c r="D1614" s="32" t="n">
        <v>8.789999999999999</v>
      </c>
      <c r="E1614" s="32" t="n">
        <v>5982.639</v>
      </c>
      <c r="G1614" s="32" t="n">
        <v>473.574</v>
      </c>
      <c r="H1614" s="32" t="inlineStr">
        <is>
          <t>bb</t>
        </is>
      </c>
      <c r="I1614" s="32" t="n">
        <v>5982.639</v>
      </c>
      <c r="K1614" s="32" t="inlineStr">
        <is>
          <t>20250514-58</t>
        </is>
      </c>
    </row>
    <row r="1615">
      <c r="A1615" s="32" t="n">
        <v>48</v>
      </c>
      <c r="B1615" s="32" t="inlineStr">
        <is>
          <t>K3-6C</t>
        </is>
      </c>
      <c r="D1615" s="32" t="n">
        <v>8.76</v>
      </c>
      <c r="E1615" s="32" t="n">
        <v>6040.243</v>
      </c>
      <c r="G1615" s="32" t="n">
        <v>303.917</v>
      </c>
      <c r="H1615" s="32" t="inlineStr">
        <is>
          <t>bb</t>
        </is>
      </c>
      <c r="I1615" s="32" t="n">
        <v>6040.243</v>
      </c>
      <c r="K1615" s="32" t="inlineStr">
        <is>
          <t>20250514-59</t>
        </is>
      </c>
    </row>
    <row r="1617">
      <c r="A1617" s="32" t="inlineStr">
        <is>
          <t>Compound 32:  5:3 FTCA 1</t>
        </is>
      </c>
    </row>
    <row r="1619">
      <c r="B1619" s="32" t="inlineStr">
        <is>
          <t>Sample Text</t>
        </is>
      </c>
      <c r="C1619" s="32" t="inlineStr">
        <is>
          <t>Std. Conc</t>
        </is>
      </c>
      <c r="D1619" s="32" t="inlineStr">
        <is>
          <t>RT</t>
        </is>
      </c>
      <c r="E1619" s="32" t="inlineStr">
        <is>
          <t>Area</t>
        </is>
      </c>
      <c r="F1619" s="32" t="inlineStr">
        <is>
          <t>IS Area</t>
        </is>
      </c>
      <c r="G1619" s="32" t="inlineStr">
        <is>
          <t>S/N</t>
        </is>
      </c>
      <c r="H1619" s="32" t="inlineStr">
        <is>
          <t>Primary Flags</t>
        </is>
      </c>
      <c r="I1619" s="32" t="inlineStr">
        <is>
          <t>Response</t>
        </is>
      </c>
      <c r="J1619" s="32" t="inlineStr">
        <is>
          <t>Conc.</t>
        </is>
      </c>
      <c r="K1619" s="32" t="inlineStr">
        <is>
          <t>Name</t>
        </is>
      </c>
    </row>
    <row r="1620">
      <c r="A1620" s="32" t="n">
        <v>1</v>
      </c>
      <c r="B1620" s="32" t="inlineStr">
        <is>
          <t>EPA1633 &amp; diPAPs Calibration 0 ppb</t>
        </is>
      </c>
      <c r="D1620" s="32" t="n">
        <v>10.65</v>
      </c>
      <c r="E1620" s="32" t="n">
        <v>229.177</v>
      </c>
      <c r="F1620" s="32" t="n">
        <v>7374.887</v>
      </c>
      <c r="G1620" s="32" t="n">
        <v>13.724</v>
      </c>
      <c r="H1620" s="32" t="inlineStr">
        <is>
          <t>bb</t>
        </is>
      </c>
      <c r="K1620" s="32" t="inlineStr">
        <is>
          <t>20250514-12</t>
        </is>
      </c>
    </row>
    <row r="1621">
      <c r="A1621" s="32" t="n">
        <v>2</v>
      </c>
      <c r="B1621" s="32" t="inlineStr">
        <is>
          <t>EPA1633 &amp; diPAPs Calibration 0.02 ppb</t>
        </is>
      </c>
      <c r="D1621" s="32" t="n">
        <v>10.69</v>
      </c>
      <c r="E1621" s="32" t="n">
        <v>142.245</v>
      </c>
      <c r="F1621" s="32" t="n">
        <v>6169.054</v>
      </c>
      <c r="G1621" s="32" t="n">
        <v>1160</v>
      </c>
      <c r="H1621" s="32" t="inlineStr">
        <is>
          <t>bb</t>
        </is>
      </c>
      <c r="K1621" s="32" t="inlineStr">
        <is>
          <t>20250514-13</t>
        </is>
      </c>
    </row>
    <row r="1622">
      <c r="A1622" s="32" t="n">
        <v>3</v>
      </c>
      <c r="B1622" s="32" t="inlineStr">
        <is>
          <t>EPA1633 &amp; diPAPs Calibration 0.1 ppb</t>
        </is>
      </c>
      <c r="D1622" s="32" t="n">
        <v>10.69</v>
      </c>
      <c r="E1622" s="32" t="n">
        <v>1756.928</v>
      </c>
      <c r="F1622" s="32" t="n">
        <v>6270.085</v>
      </c>
      <c r="G1622" s="32" t="n">
        <v>12.919</v>
      </c>
      <c r="H1622" s="32" t="inlineStr">
        <is>
          <t>bb</t>
        </is>
      </c>
      <c r="K1622" s="32" t="inlineStr">
        <is>
          <t>20250514-14</t>
        </is>
      </c>
    </row>
    <row r="1623">
      <c r="A1623" s="32" t="n">
        <v>4</v>
      </c>
      <c r="B1623" s="32" t="inlineStr">
        <is>
          <t>EPA1633 &amp; diPAPs Calibration 0.4 ppb</t>
        </is>
      </c>
      <c r="D1623" s="32" t="n">
        <v>10.7</v>
      </c>
      <c r="E1623" s="32" t="n">
        <v>4985.713</v>
      </c>
      <c r="F1623" s="32" t="n">
        <v>5073.597</v>
      </c>
      <c r="G1623" s="32" t="n">
        <v>746.872</v>
      </c>
      <c r="H1623" s="32" t="inlineStr">
        <is>
          <t>bb</t>
        </is>
      </c>
      <c r="K1623" s="32" t="inlineStr">
        <is>
          <t>20250514-15</t>
        </is>
      </c>
    </row>
    <row r="1624">
      <c r="A1624" s="32" t="n">
        <v>5</v>
      </c>
      <c r="B1624" s="32" t="inlineStr">
        <is>
          <t>EPA1633 &amp; diPAPs Calibration 1 ppb</t>
        </is>
      </c>
      <c r="D1624" s="32" t="n">
        <v>10.72</v>
      </c>
      <c r="E1624" s="32" t="n">
        <v>10589.771</v>
      </c>
      <c r="F1624" s="32" t="n">
        <v>5607.035</v>
      </c>
      <c r="G1624" s="32" t="n">
        <v>141.856</v>
      </c>
      <c r="H1624" s="32" t="inlineStr">
        <is>
          <t>bb</t>
        </is>
      </c>
      <c r="K1624" s="32" t="inlineStr">
        <is>
          <t>20250514-16</t>
        </is>
      </c>
    </row>
    <row r="1625">
      <c r="A1625" s="32" t="n">
        <v>6</v>
      </c>
      <c r="B1625" s="32" t="inlineStr">
        <is>
          <t>EPA1633 &amp; diPAPs Calibration 5 ppb</t>
        </is>
      </c>
      <c r="D1625" s="32" t="n">
        <v>10.59</v>
      </c>
      <c r="E1625" s="32" t="n">
        <v>48331.668</v>
      </c>
      <c r="F1625" s="32" t="n">
        <v>4189.369</v>
      </c>
      <c r="G1625" s="32" t="n">
        <v>1205.505</v>
      </c>
      <c r="H1625" s="32" t="inlineStr">
        <is>
          <t>bb</t>
        </is>
      </c>
      <c r="K1625" s="32" t="inlineStr">
        <is>
          <t>20250514-17</t>
        </is>
      </c>
    </row>
    <row r="1626">
      <c r="A1626" s="32" t="n">
        <v>7</v>
      </c>
      <c r="B1626" s="32" t="inlineStr">
        <is>
          <t>EPA1633 &amp; diPAPs Calibration 10 ppb</t>
        </is>
      </c>
      <c r="D1626" s="32" t="n">
        <v>10.64</v>
      </c>
      <c r="E1626" s="32" t="n">
        <v>93135.06299999999</v>
      </c>
      <c r="F1626" s="32" t="n">
        <v>3916.892</v>
      </c>
      <c r="G1626" s="32" t="n">
        <v>1720.605</v>
      </c>
      <c r="H1626" s="32" t="inlineStr">
        <is>
          <t>bb</t>
        </is>
      </c>
      <c r="K1626" s="32" t="inlineStr">
        <is>
          <t>20250514-18</t>
        </is>
      </c>
    </row>
    <row r="1627">
      <c r="A1627" s="32" t="n">
        <v>8</v>
      </c>
      <c r="B1627" s="32" t="inlineStr">
        <is>
          <t>EPA1633 &amp; diPAPs Calibration 20 ppb</t>
        </is>
      </c>
      <c r="D1627" s="32" t="n">
        <v>10.67</v>
      </c>
      <c r="E1627" s="32" t="n">
        <v>182330.766</v>
      </c>
      <c r="F1627" s="32" t="n">
        <v>4672.899</v>
      </c>
      <c r="G1627" s="32" t="n">
        <v>1749.337</v>
      </c>
      <c r="H1627" s="32" t="inlineStr">
        <is>
          <t>bb</t>
        </is>
      </c>
      <c r="K1627" s="32" t="inlineStr">
        <is>
          <t>20250514-19</t>
        </is>
      </c>
    </row>
    <row r="1628">
      <c r="A1628" s="32" t="n">
        <v>9</v>
      </c>
      <c r="B1628" s="32" t="inlineStr">
        <is>
          <t>MeOH</t>
        </is>
      </c>
      <c r="D1628" s="32" t="n">
        <v>10.73</v>
      </c>
      <c r="E1628" s="32" t="n">
        <v>185.171</v>
      </c>
      <c r="G1628" s="32" t="n">
        <v>2.983</v>
      </c>
      <c r="H1628" s="32" t="inlineStr">
        <is>
          <t>bb</t>
        </is>
      </c>
      <c r="K1628" s="32" t="inlineStr">
        <is>
          <t>20250514-20</t>
        </is>
      </c>
    </row>
    <row r="1629">
      <c r="A1629" s="32" t="n">
        <v>10</v>
      </c>
      <c r="B1629" s="32" t="inlineStr">
        <is>
          <t>MeOH</t>
        </is>
      </c>
      <c r="K1629" s="32" t="inlineStr">
        <is>
          <t>20250514-21</t>
        </is>
      </c>
    </row>
    <row r="1630">
      <c r="A1630" s="32" t="n">
        <v>11</v>
      </c>
      <c r="B1630" s="32" t="inlineStr">
        <is>
          <t>SB1</t>
        </is>
      </c>
      <c r="D1630" s="32" t="n">
        <v>10.66</v>
      </c>
      <c r="E1630" s="32" t="n">
        <v>43.329</v>
      </c>
      <c r="F1630" s="32" t="n">
        <v>1803.361</v>
      </c>
      <c r="G1630" s="32" t="n">
        <v>12.314</v>
      </c>
      <c r="H1630" s="32" t="inlineStr">
        <is>
          <t>bb</t>
        </is>
      </c>
      <c r="K1630" s="32" t="inlineStr">
        <is>
          <t>20250514-22</t>
        </is>
      </c>
    </row>
    <row r="1631">
      <c r="A1631" s="32" t="n">
        <v>12</v>
      </c>
      <c r="B1631" s="32" t="inlineStr">
        <is>
          <t>SB2</t>
        </is>
      </c>
      <c r="D1631" s="32" t="n">
        <v>11.05</v>
      </c>
      <c r="E1631" s="32" t="n">
        <v>5.231</v>
      </c>
      <c r="F1631" s="32" t="n">
        <v>1582.835</v>
      </c>
      <c r="G1631" s="32" t="n">
        <v>51</v>
      </c>
      <c r="H1631" s="32" t="inlineStr">
        <is>
          <t>bb</t>
        </is>
      </c>
      <c r="K1631" s="32" t="inlineStr">
        <is>
          <t>20250514-23</t>
        </is>
      </c>
    </row>
    <row r="1632">
      <c r="A1632" s="32" t="n">
        <v>13</v>
      </c>
      <c r="B1632" s="32" t="inlineStr">
        <is>
          <t>SB3</t>
        </is>
      </c>
      <c r="F1632" s="32" t="n">
        <v>1671.82</v>
      </c>
      <c r="K1632" s="32" t="inlineStr">
        <is>
          <t>20250514-24</t>
        </is>
      </c>
    </row>
    <row r="1633">
      <c r="A1633" s="32" t="n">
        <v>14</v>
      </c>
      <c r="B1633" s="32" t="inlineStr">
        <is>
          <t>SS1</t>
        </is>
      </c>
      <c r="D1633" s="32" t="n">
        <v>10.76</v>
      </c>
      <c r="E1633" s="32" t="n">
        <v>37304.527</v>
      </c>
      <c r="F1633" s="32" t="n">
        <v>1602.526</v>
      </c>
      <c r="G1633" s="32" t="n">
        <v>2013.224</v>
      </c>
      <c r="H1633" s="32" t="inlineStr">
        <is>
          <t>bb</t>
        </is>
      </c>
      <c r="K1633" s="32" t="inlineStr">
        <is>
          <t>20250514-25</t>
        </is>
      </c>
    </row>
    <row r="1634">
      <c r="A1634" s="32" t="n">
        <v>15</v>
      </c>
      <c r="B1634" s="32" t="inlineStr">
        <is>
          <t>SS2</t>
        </is>
      </c>
      <c r="D1634" s="32" t="n">
        <v>10.77</v>
      </c>
      <c r="E1634" s="32" t="n">
        <v>40093.969</v>
      </c>
      <c r="F1634" s="32" t="n">
        <v>1532.612</v>
      </c>
      <c r="G1634" s="32" t="n">
        <v>238.69</v>
      </c>
      <c r="H1634" s="32" t="inlineStr">
        <is>
          <t>bb</t>
        </is>
      </c>
      <c r="K1634" s="32" t="inlineStr">
        <is>
          <t>20250514-26</t>
        </is>
      </c>
    </row>
    <row r="1635">
      <c r="A1635" s="32" t="n">
        <v>16</v>
      </c>
      <c r="B1635" s="32" t="inlineStr">
        <is>
          <t>SS3</t>
        </is>
      </c>
      <c r="D1635" s="32" t="n">
        <v>10.78</v>
      </c>
      <c r="E1635" s="32" t="n">
        <v>42777.801</v>
      </c>
      <c r="F1635" s="32" t="n">
        <v>1291.402</v>
      </c>
      <c r="G1635" s="32" t="n">
        <v>1461.346</v>
      </c>
      <c r="H1635" s="32" t="inlineStr">
        <is>
          <t>bb</t>
        </is>
      </c>
      <c r="K1635" s="32" t="inlineStr">
        <is>
          <t>20250514-27</t>
        </is>
      </c>
    </row>
    <row r="1636">
      <c r="A1636" s="32" t="n">
        <v>17</v>
      </c>
      <c r="B1636" s="32" t="inlineStr">
        <is>
          <t>MeOH</t>
        </is>
      </c>
      <c r="D1636" s="32" t="n">
        <v>10.78</v>
      </c>
      <c r="E1636" s="32" t="n">
        <v>279.497</v>
      </c>
      <c r="G1636" s="32" t="n">
        <v>628.828</v>
      </c>
      <c r="H1636" s="32" t="inlineStr">
        <is>
          <t>bb</t>
        </is>
      </c>
      <c r="K1636" s="32" t="inlineStr">
        <is>
          <t>20250514-28</t>
        </is>
      </c>
    </row>
    <row r="1637">
      <c r="A1637" s="32" t="n">
        <v>18</v>
      </c>
      <c r="B1637" s="32" t="inlineStr">
        <is>
          <t>K4-1A</t>
        </is>
      </c>
      <c r="D1637" s="32" t="n">
        <v>10.82</v>
      </c>
      <c r="E1637" s="32" t="n">
        <v>6.598</v>
      </c>
      <c r="F1637" s="32" t="n">
        <v>2173.066</v>
      </c>
      <c r="G1637" s="32" t="n">
        <v>68</v>
      </c>
      <c r="H1637" s="32" t="inlineStr">
        <is>
          <t>bb</t>
        </is>
      </c>
      <c r="K1637" s="32" t="inlineStr">
        <is>
          <t>20250514-29</t>
        </is>
      </c>
    </row>
    <row r="1638">
      <c r="A1638" s="32" t="n">
        <v>19</v>
      </c>
      <c r="B1638" s="32" t="inlineStr">
        <is>
          <t>K4-1B</t>
        </is>
      </c>
      <c r="D1638" s="32" t="n">
        <v>10.74</v>
      </c>
      <c r="E1638" s="32" t="n">
        <v>21.458</v>
      </c>
      <c r="F1638" s="32" t="n">
        <v>2231.232</v>
      </c>
      <c r="G1638" s="32" t="n">
        <v>178</v>
      </c>
      <c r="H1638" s="32" t="inlineStr">
        <is>
          <t>bb</t>
        </is>
      </c>
      <c r="K1638" s="32" t="inlineStr">
        <is>
          <t>20250514-30</t>
        </is>
      </c>
    </row>
    <row r="1639">
      <c r="A1639" s="32" t="n">
        <v>20</v>
      </c>
      <c r="B1639" s="32" t="inlineStr">
        <is>
          <t>K4-1C</t>
        </is>
      </c>
      <c r="D1639" s="32" t="n">
        <v>10.79</v>
      </c>
      <c r="E1639" s="32" t="n">
        <v>8.093</v>
      </c>
      <c r="F1639" s="32" t="n">
        <v>2264.738</v>
      </c>
      <c r="G1639" s="32" t="n">
        <v>85</v>
      </c>
      <c r="H1639" s="32" t="inlineStr">
        <is>
          <t>bb</t>
        </is>
      </c>
      <c r="K1639" s="32" t="inlineStr">
        <is>
          <t>20250514-31</t>
        </is>
      </c>
    </row>
    <row r="1640">
      <c r="A1640" s="32" t="n">
        <v>21</v>
      </c>
      <c r="B1640" s="32" t="inlineStr">
        <is>
          <t>K4-2A</t>
        </is>
      </c>
      <c r="D1640" s="32" t="n">
        <v>10.78</v>
      </c>
      <c r="E1640" s="32" t="n">
        <v>21.772</v>
      </c>
      <c r="F1640" s="32" t="n">
        <v>2546.569</v>
      </c>
      <c r="G1640" s="32" t="n">
        <v>229</v>
      </c>
      <c r="H1640" s="32" t="inlineStr">
        <is>
          <t>bb</t>
        </is>
      </c>
      <c r="K1640" s="32" t="inlineStr">
        <is>
          <t>20250514-32</t>
        </is>
      </c>
    </row>
    <row r="1641">
      <c r="A1641" s="32" t="n">
        <v>22</v>
      </c>
      <c r="B1641" s="32" t="inlineStr">
        <is>
          <t>K4-2B</t>
        </is>
      </c>
      <c r="D1641" s="32" t="n">
        <v>10.63</v>
      </c>
      <c r="E1641" s="32" t="n">
        <v>1.767</v>
      </c>
      <c r="F1641" s="32" t="n">
        <v>1959.093</v>
      </c>
      <c r="G1641" s="32" t="n">
        <v>20</v>
      </c>
      <c r="H1641" s="32" t="inlineStr">
        <is>
          <t>bb</t>
        </is>
      </c>
      <c r="K1641" s="32" t="inlineStr">
        <is>
          <t>20250514-33</t>
        </is>
      </c>
    </row>
    <row r="1642">
      <c r="A1642" s="32" t="n">
        <v>23</v>
      </c>
      <c r="B1642" s="32" t="inlineStr">
        <is>
          <t>K4-2C</t>
        </is>
      </c>
      <c r="D1642" s="32" t="n">
        <v>10.71</v>
      </c>
      <c r="E1642" s="32" t="n">
        <v>4.763</v>
      </c>
      <c r="F1642" s="32" t="n">
        <v>1962.095</v>
      </c>
      <c r="G1642" s="32" t="n">
        <v>40</v>
      </c>
      <c r="H1642" s="32" t="inlineStr">
        <is>
          <t>bb</t>
        </is>
      </c>
      <c r="K1642" s="32" t="inlineStr">
        <is>
          <t>20250514-34</t>
        </is>
      </c>
    </row>
    <row r="1643">
      <c r="A1643" s="32" t="n">
        <v>24</v>
      </c>
      <c r="B1643" s="32" t="inlineStr">
        <is>
          <t>MeOH</t>
        </is>
      </c>
      <c r="D1643" s="32" t="n">
        <v>10.77</v>
      </c>
      <c r="E1643" s="32" t="n">
        <v>226.065</v>
      </c>
      <c r="G1643" s="32" t="n">
        <v>3.545</v>
      </c>
      <c r="H1643" s="32" t="inlineStr">
        <is>
          <t>bb</t>
        </is>
      </c>
      <c r="K1643" s="32" t="inlineStr">
        <is>
          <t>20250514-35</t>
        </is>
      </c>
    </row>
    <row r="1644">
      <c r="A1644" s="32" t="n">
        <v>25</v>
      </c>
      <c r="B1644" s="32" t="inlineStr">
        <is>
          <t>K4-4A</t>
        </is>
      </c>
      <c r="D1644" s="32" t="n">
        <v>10.67</v>
      </c>
      <c r="E1644" s="32" t="n">
        <v>6.934</v>
      </c>
      <c r="F1644" s="32" t="n">
        <v>1890.679</v>
      </c>
      <c r="G1644" s="32" t="n">
        <v>79</v>
      </c>
      <c r="H1644" s="32" t="inlineStr">
        <is>
          <t>bb</t>
        </is>
      </c>
      <c r="K1644" s="32" t="inlineStr">
        <is>
          <t>20250514-36</t>
        </is>
      </c>
    </row>
    <row r="1645">
      <c r="A1645" s="32" t="n">
        <v>26</v>
      </c>
      <c r="B1645" s="32" t="inlineStr">
        <is>
          <t>K4-4B</t>
        </is>
      </c>
      <c r="D1645" s="32" t="n">
        <v>11.7</v>
      </c>
      <c r="E1645" s="32" t="n">
        <v>0.278</v>
      </c>
      <c r="F1645" s="32" t="n">
        <v>1558.258</v>
      </c>
      <c r="G1645" s="32" t="n">
        <v>3</v>
      </c>
      <c r="H1645" s="32" t="inlineStr">
        <is>
          <t>MM</t>
        </is>
      </c>
      <c r="K1645" s="32" t="inlineStr">
        <is>
          <t>20250514-37</t>
        </is>
      </c>
    </row>
    <row r="1646">
      <c r="A1646" s="32" t="n">
        <v>27</v>
      </c>
      <c r="B1646" s="32" t="inlineStr">
        <is>
          <t>K4-4C</t>
        </is>
      </c>
      <c r="D1646" s="32" t="n">
        <v>12.05</v>
      </c>
      <c r="E1646" s="32" t="n">
        <v>16.997</v>
      </c>
      <c r="F1646" s="32" t="n">
        <v>1217.543</v>
      </c>
      <c r="G1646" s="32" t="n">
        <v>151</v>
      </c>
      <c r="H1646" s="32" t="inlineStr">
        <is>
          <t>MM</t>
        </is>
      </c>
      <c r="K1646" s="32" t="inlineStr">
        <is>
          <t>20250514-38</t>
        </is>
      </c>
    </row>
    <row r="1647">
      <c r="A1647" s="32" t="n">
        <v>28</v>
      </c>
      <c r="B1647" s="32" t="inlineStr">
        <is>
          <t>K4-5A</t>
        </is>
      </c>
      <c r="D1647" s="32" t="n">
        <v>11.12</v>
      </c>
      <c r="E1647" s="32" t="n">
        <v>1.446</v>
      </c>
      <c r="F1647" s="32" t="n">
        <v>1730.688</v>
      </c>
      <c r="G1647" s="32" t="n">
        <v>14</v>
      </c>
      <c r="H1647" s="32" t="inlineStr">
        <is>
          <t>bb</t>
        </is>
      </c>
      <c r="K1647" s="32" t="inlineStr">
        <is>
          <t>20250514-39</t>
        </is>
      </c>
    </row>
    <row r="1648">
      <c r="A1648" s="32" t="n">
        <v>29</v>
      </c>
      <c r="B1648" s="32" t="inlineStr">
        <is>
          <t>K4-5B</t>
        </is>
      </c>
      <c r="D1648" s="32" t="n">
        <v>11.68</v>
      </c>
      <c r="E1648" s="32" t="n">
        <v>4.385</v>
      </c>
      <c r="F1648" s="32" t="n">
        <v>2104.275</v>
      </c>
      <c r="G1648" s="32" t="n">
        <v>43</v>
      </c>
      <c r="H1648" s="32" t="inlineStr">
        <is>
          <t>MM</t>
        </is>
      </c>
      <c r="K1648" s="32" t="inlineStr">
        <is>
          <t>20250514-40</t>
        </is>
      </c>
    </row>
    <row r="1649">
      <c r="A1649" s="32" t="n">
        <v>30</v>
      </c>
      <c r="B1649" s="32" t="inlineStr">
        <is>
          <t>K4-5C</t>
        </is>
      </c>
      <c r="F1649" s="32" t="n">
        <v>2128.822</v>
      </c>
      <c r="K1649" s="32" t="inlineStr">
        <is>
          <t>20250514-41</t>
        </is>
      </c>
    </row>
    <row r="1650">
      <c r="A1650" s="32" t="n">
        <v>31</v>
      </c>
      <c r="B1650" s="32" t="inlineStr">
        <is>
          <t>MeOH</t>
        </is>
      </c>
      <c r="D1650" s="32" t="n">
        <v>10.72</v>
      </c>
      <c r="E1650" s="32" t="n">
        <v>172.357</v>
      </c>
      <c r="G1650" s="32" t="n">
        <v>1663</v>
      </c>
      <c r="H1650" s="32" t="inlineStr">
        <is>
          <t>bb</t>
        </is>
      </c>
      <c r="K1650" s="32" t="inlineStr">
        <is>
          <t>20250514-42</t>
        </is>
      </c>
    </row>
    <row r="1651">
      <c r="A1651" s="32" t="n">
        <v>32</v>
      </c>
      <c r="B1651" s="32" t="inlineStr">
        <is>
          <t>K3-1A</t>
        </is>
      </c>
      <c r="D1651" s="32" t="n">
        <v>10.17</v>
      </c>
      <c r="E1651" s="32" t="n">
        <v>2.046</v>
      </c>
      <c r="F1651" s="32" t="n">
        <v>2216.675</v>
      </c>
      <c r="G1651" s="32" t="n">
        <v>22</v>
      </c>
      <c r="H1651" s="32" t="inlineStr">
        <is>
          <t>bb</t>
        </is>
      </c>
      <c r="K1651" s="32" t="inlineStr">
        <is>
          <t>20250514-43</t>
        </is>
      </c>
    </row>
    <row r="1652">
      <c r="A1652" s="32" t="n">
        <v>33</v>
      </c>
      <c r="B1652" s="32" t="inlineStr">
        <is>
          <t>K3-1B</t>
        </is>
      </c>
      <c r="D1652" s="32" t="n">
        <v>10.92</v>
      </c>
      <c r="E1652" s="32" t="n">
        <v>44.468</v>
      </c>
      <c r="F1652" s="32" t="n">
        <v>1933.619</v>
      </c>
      <c r="G1652" s="32" t="n">
        <v>430</v>
      </c>
      <c r="H1652" s="32" t="inlineStr">
        <is>
          <t>bb</t>
        </is>
      </c>
      <c r="K1652" s="32" t="inlineStr">
        <is>
          <t>20250514-44</t>
        </is>
      </c>
    </row>
    <row r="1653">
      <c r="A1653" s="32" t="n">
        <v>34</v>
      </c>
      <c r="B1653" s="32" t="inlineStr">
        <is>
          <t>K3-1C</t>
        </is>
      </c>
      <c r="D1653" s="32" t="n">
        <v>9.470000000000001</v>
      </c>
      <c r="E1653" s="32" t="n">
        <v>0.639</v>
      </c>
      <c r="F1653" s="32" t="n">
        <v>2689.694</v>
      </c>
      <c r="G1653" s="32" t="n">
        <v>8</v>
      </c>
      <c r="H1653" s="32" t="inlineStr">
        <is>
          <t>MM</t>
        </is>
      </c>
      <c r="K1653" s="32" t="inlineStr">
        <is>
          <t>20250514-45</t>
        </is>
      </c>
    </row>
    <row r="1654">
      <c r="A1654" s="32" t="n">
        <v>35</v>
      </c>
      <c r="B1654" s="32" t="inlineStr">
        <is>
          <t>K3-2A</t>
        </is>
      </c>
      <c r="F1654" s="32" t="n">
        <v>2721.774</v>
      </c>
      <c r="K1654" s="32" t="inlineStr">
        <is>
          <t>20250514-46</t>
        </is>
      </c>
    </row>
    <row r="1655">
      <c r="A1655" s="32" t="n">
        <v>36</v>
      </c>
      <c r="B1655" s="32" t="inlineStr">
        <is>
          <t>K3-2B</t>
        </is>
      </c>
      <c r="D1655" s="32" t="n">
        <v>9.289999999999999</v>
      </c>
      <c r="E1655" s="32" t="n">
        <v>8.183</v>
      </c>
      <c r="F1655" s="32" t="n">
        <v>3173.245</v>
      </c>
      <c r="G1655" s="32" t="n">
        <v>94</v>
      </c>
      <c r="H1655" s="32" t="inlineStr">
        <is>
          <t>MM</t>
        </is>
      </c>
      <c r="K1655" s="32" t="inlineStr">
        <is>
          <t>20250514-47</t>
        </is>
      </c>
    </row>
    <row r="1656">
      <c r="A1656" s="32" t="n">
        <v>37</v>
      </c>
      <c r="B1656" s="32" t="inlineStr">
        <is>
          <t>K3-2C</t>
        </is>
      </c>
      <c r="D1656" s="32" t="n">
        <v>9.09</v>
      </c>
      <c r="E1656" s="32" t="n">
        <v>2.257</v>
      </c>
      <c r="F1656" s="32" t="n">
        <v>2698.936</v>
      </c>
      <c r="G1656" s="32" t="n">
        <v>26</v>
      </c>
      <c r="H1656" s="32" t="inlineStr">
        <is>
          <t>MM</t>
        </is>
      </c>
      <c r="K1656" s="32" t="inlineStr">
        <is>
          <t>20250514-48</t>
        </is>
      </c>
    </row>
    <row r="1657">
      <c r="A1657" s="32" t="n">
        <v>38</v>
      </c>
      <c r="B1657" s="32" t="inlineStr">
        <is>
          <t>MeOH</t>
        </is>
      </c>
      <c r="H1657" s="32" t="inlineStr">
        <is>
          <t>MM-</t>
        </is>
      </c>
      <c r="K1657" s="32" t="inlineStr">
        <is>
          <t>20250514-49</t>
        </is>
      </c>
    </row>
    <row r="1658">
      <c r="A1658" s="32" t="n">
        <v>39</v>
      </c>
      <c r="B1658" s="32" t="inlineStr">
        <is>
          <t>K3-3A</t>
        </is>
      </c>
      <c r="D1658" s="32" t="n">
        <v>10.03</v>
      </c>
      <c r="E1658" s="32" t="n">
        <v>16.213</v>
      </c>
      <c r="F1658" s="32" t="n">
        <v>2447.134</v>
      </c>
      <c r="G1658" s="32" t="n">
        <v>175</v>
      </c>
      <c r="H1658" s="32" t="inlineStr">
        <is>
          <t>MM</t>
        </is>
      </c>
      <c r="K1658" s="32" t="inlineStr">
        <is>
          <t>20250514-50</t>
        </is>
      </c>
    </row>
    <row r="1659">
      <c r="A1659" s="32" t="n">
        <v>40</v>
      </c>
      <c r="B1659" s="32" t="inlineStr">
        <is>
          <t>K3-3B</t>
        </is>
      </c>
      <c r="D1659" s="32" t="n">
        <v>10.72</v>
      </c>
      <c r="E1659" s="32" t="n">
        <v>17.869</v>
      </c>
      <c r="F1659" s="32" t="n">
        <v>2381.961</v>
      </c>
      <c r="G1659" s="32" t="n">
        <v>198</v>
      </c>
      <c r="H1659" s="32" t="inlineStr">
        <is>
          <t>bb</t>
        </is>
      </c>
      <c r="K1659" s="32" t="inlineStr">
        <is>
          <t>20250514-51</t>
        </is>
      </c>
    </row>
    <row r="1660">
      <c r="A1660" s="32" t="n">
        <v>41</v>
      </c>
      <c r="B1660" s="32" t="inlineStr">
        <is>
          <t>K3-3C</t>
        </is>
      </c>
      <c r="D1660" s="32" t="n">
        <v>11.21</v>
      </c>
      <c r="E1660" s="32" t="n">
        <v>4.957</v>
      </c>
      <c r="F1660" s="32" t="n">
        <v>2598.05</v>
      </c>
      <c r="G1660" s="32" t="n">
        <v>49</v>
      </c>
      <c r="H1660" s="32" t="inlineStr">
        <is>
          <t>bb</t>
        </is>
      </c>
      <c r="K1660" s="32" t="inlineStr">
        <is>
          <t>20250514-52</t>
        </is>
      </c>
    </row>
    <row r="1661">
      <c r="A1661" s="32" t="n">
        <v>42</v>
      </c>
      <c r="B1661" s="32" t="inlineStr">
        <is>
          <t>K3-4A</t>
        </is>
      </c>
      <c r="D1661" s="32" t="n">
        <v>10.58</v>
      </c>
      <c r="E1661" s="32" t="n">
        <v>1.573</v>
      </c>
      <c r="F1661" s="32" t="n">
        <v>2541.848</v>
      </c>
      <c r="G1661" s="32" t="n">
        <v>17</v>
      </c>
      <c r="H1661" s="32" t="inlineStr">
        <is>
          <t>bb</t>
        </is>
      </c>
      <c r="K1661" s="32" t="inlineStr">
        <is>
          <t>20250514-53</t>
        </is>
      </c>
    </row>
    <row r="1662">
      <c r="A1662" s="32" t="n">
        <v>43</v>
      </c>
      <c r="B1662" s="32" t="inlineStr">
        <is>
          <t>K3-4B</t>
        </is>
      </c>
      <c r="D1662" s="32" t="n">
        <v>10.73</v>
      </c>
      <c r="E1662" s="32" t="n">
        <v>1.854</v>
      </c>
      <c r="F1662" s="32" t="n">
        <v>2826.966</v>
      </c>
      <c r="G1662" s="32" t="n">
        <v>21</v>
      </c>
      <c r="H1662" s="32" t="inlineStr">
        <is>
          <t>bb</t>
        </is>
      </c>
      <c r="K1662" s="32" t="inlineStr">
        <is>
          <t>20250514-54</t>
        </is>
      </c>
    </row>
    <row r="1663">
      <c r="A1663" s="32" t="n">
        <v>44</v>
      </c>
      <c r="B1663" s="32" t="inlineStr">
        <is>
          <t>K3-4C</t>
        </is>
      </c>
      <c r="D1663" s="32" t="n">
        <v>10.61</v>
      </c>
      <c r="E1663" s="32" t="n">
        <v>3.882</v>
      </c>
      <c r="F1663" s="32" t="n">
        <v>2828.133</v>
      </c>
      <c r="G1663" s="32" t="n">
        <v>44</v>
      </c>
      <c r="H1663" s="32" t="inlineStr">
        <is>
          <t>bb</t>
        </is>
      </c>
      <c r="K1663" s="32" t="inlineStr">
        <is>
          <t>20250514-55</t>
        </is>
      </c>
    </row>
    <row r="1664">
      <c r="A1664" s="32" t="n">
        <v>45</v>
      </c>
      <c r="B1664" s="32" t="inlineStr">
        <is>
          <t>MeOH</t>
        </is>
      </c>
      <c r="D1664" s="32" t="n">
        <v>10.9</v>
      </c>
      <c r="E1664" s="32" t="n">
        <v>77.738</v>
      </c>
      <c r="G1664" s="32" t="n">
        <v>653</v>
      </c>
      <c r="H1664" s="32" t="inlineStr">
        <is>
          <t>bb</t>
        </is>
      </c>
      <c r="K1664" s="32" t="inlineStr">
        <is>
          <t>20250514-56</t>
        </is>
      </c>
    </row>
    <row r="1665">
      <c r="A1665" s="32" t="n">
        <v>46</v>
      </c>
      <c r="B1665" s="32" t="inlineStr">
        <is>
          <t>K3-6A</t>
        </is>
      </c>
      <c r="D1665" s="32" t="n">
        <v>10.52</v>
      </c>
      <c r="E1665" s="32" t="n">
        <v>0.793</v>
      </c>
      <c r="F1665" s="32" t="n">
        <v>2704.998</v>
      </c>
      <c r="G1665" s="32" t="n">
        <v>0.046</v>
      </c>
      <c r="H1665" s="32" t="inlineStr">
        <is>
          <t>bb</t>
        </is>
      </c>
      <c r="K1665" s="32" t="inlineStr">
        <is>
          <t>20250514-57</t>
        </is>
      </c>
    </row>
    <row r="1666">
      <c r="A1666" s="32" t="n">
        <v>47</v>
      </c>
      <c r="B1666" s="32" t="inlineStr">
        <is>
          <t>K3-6B</t>
        </is>
      </c>
      <c r="D1666" s="32" t="n">
        <v>12.09</v>
      </c>
      <c r="E1666" s="32" t="n">
        <v>0.882</v>
      </c>
      <c r="F1666" s="32" t="n">
        <v>2228.994</v>
      </c>
      <c r="G1666" s="32" t="n">
        <v>8</v>
      </c>
      <c r="H1666" s="32" t="inlineStr">
        <is>
          <t>MM</t>
        </is>
      </c>
      <c r="K1666" s="32" t="inlineStr">
        <is>
          <t>20250514-58</t>
        </is>
      </c>
    </row>
    <row r="1667">
      <c r="A1667" s="32" t="n">
        <v>48</v>
      </c>
      <c r="B1667" s="32" t="inlineStr">
        <is>
          <t>K3-6C</t>
        </is>
      </c>
      <c r="D1667" s="32" t="n">
        <v>10.25</v>
      </c>
      <c r="E1667" s="32" t="n">
        <v>12.156</v>
      </c>
      <c r="F1667" s="32" t="n">
        <v>2518.187</v>
      </c>
      <c r="G1667" s="32" t="n">
        <v>131</v>
      </c>
      <c r="H1667" s="32" t="inlineStr">
        <is>
          <t>bb</t>
        </is>
      </c>
      <c r="K1667" s="32" t="inlineStr">
        <is>
          <t>20250514-59</t>
        </is>
      </c>
    </row>
    <row r="1669">
      <c r="A1669" s="32" t="inlineStr">
        <is>
          <t>Compound 33:  5:3 FTCA 2</t>
        </is>
      </c>
    </row>
    <row r="1671">
      <c r="B1671" s="32" t="inlineStr">
        <is>
          <t>Sample Text</t>
        </is>
      </c>
      <c r="C1671" s="32" t="inlineStr">
        <is>
          <t>Std. Conc</t>
        </is>
      </c>
      <c r="D1671" s="32" t="inlineStr">
        <is>
          <t>RT</t>
        </is>
      </c>
      <c r="E1671" s="32" t="inlineStr">
        <is>
          <t>Area</t>
        </is>
      </c>
      <c r="F1671" s="32" t="inlineStr">
        <is>
          <t>IS Area</t>
        </is>
      </c>
      <c r="G1671" s="32" t="inlineStr">
        <is>
          <t>S/N</t>
        </is>
      </c>
      <c r="H1671" s="32" t="inlineStr">
        <is>
          <t>Primary Flags</t>
        </is>
      </c>
      <c r="I1671" s="32" t="inlineStr">
        <is>
          <t>Response</t>
        </is>
      </c>
      <c r="J1671" s="32" t="inlineStr">
        <is>
          <t>Conc.</t>
        </is>
      </c>
      <c r="K1671" s="32" t="inlineStr">
        <is>
          <t>Name</t>
        </is>
      </c>
    </row>
    <row r="1672">
      <c r="A1672" s="32" t="n">
        <v>1</v>
      </c>
      <c r="B1672" s="32" t="inlineStr">
        <is>
          <t>EPA1633 &amp; diPAPs Calibration 0 ppb</t>
        </is>
      </c>
      <c r="D1672" s="32" t="n">
        <v>10.7</v>
      </c>
      <c r="E1672" s="32" t="n">
        <v>116.901</v>
      </c>
      <c r="F1672" s="32" t="n">
        <v>2489.786</v>
      </c>
      <c r="G1672" s="32" t="n">
        <v>928</v>
      </c>
      <c r="H1672" s="32" t="inlineStr">
        <is>
          <t>bb</t>
        </is>
      </c>
      <c r="K1672" s="32" t="inlineStr">
        <is>
          <t>20250514-12</t>
        </is>
      </c>
    </row>
    <row r="1673">
      <c r="A1673" s="32" t="n">
        <v>2</v>
      </c>
      <c r="B1673" s="32" t="inlineStr">
        <is>
          <t>EPA1633 &amp; diPAPs Calibration 0.02 ppb</t>
        </is>
      </c>
      <c r="D1673" s="32" t="n">
        <v>10.68</v>
      </c>
      <c r="E1673" s="32" t="n">
        <v>228.351</v>
      </c>
      <c r="F1673" s="32" t="n">
        <v>2449.651</v>
      </c>
      <c r="G1673" s="32" t="n">
        <v>13.019</v>
      </c>
      <c r="H1673" s="32" t="inlineStr">
        <is>
          <t>bb</t>
        </is>
      </c>
      <c r="K1673" s="32" t="inlineStr">
        <is>
          <t>20250514-13</t>
        </is>
      </c>
    </row>
    <row r="1674">
      <c r="A1674" s="32" t="n">
        <v>3</v>
      </c>
      <c r="B1674" s="32" t="inlineStr">
        <is>
          <t>EPA1633 &amp; diPAPs Calibration 0.1 ppb</t>
        </is>
      </c>
      <c r="D1674" s="32" t="n">
        <v>10.7</v>
      </c>
      <c r="E1674" s="32" t="n">
        <v>912.578</v>
      </c>
      <c r="F1674" s="32" t="n">
        <v>2378.931</v>
      </c>
      <c r="G1674" s="32" t="n">
        <v>6.049</v>
      </c>
      <c r="H1674" s="32" t="inlineStr">
        <is>
          <t>bb</t>
        </is>
      </c>
      <c r="K1674" s="32" t="inlineStr">
        <is>
          <t>20250514-14</t>
        </is>
      </c>
    </row>
    <row r="1675">
      <c r="A1675" s="32" t="n">
        <v>4</v>
      </c>
      <c r="B1675" s="32" t="inlineStr">
        <is>
          <t>EPA1633 &amp; diPAPs Calibration 0.4 ppb</t>
        </is>
      </c>
      <c r="D1675" s="32" t="n">
        <v>10.71</v>
      </c>
      <c r="E1675" s="32" t="n">
        <v>3170.042</v>
      </c>
      <c r="F1675" s="32" t="n">
        <v>2158.6</v>
      </c>
      <c r="G1675" s="32" t="n">
        <v>21595</v>
      </c>
      <c r="H1675" s="32" t="inlineStr">
        <is>
          <t>bb</t>
        </is>
      </c>
      <c r="K1675" s="32" t="inlineStr">
        <is>
          <t>20250514-15</t>
        </is>
      </c>
    </row>
    <row r="1676">
      <c r="A1676" s="32" t="n">
        <v>5</v>
      </c>
      <c r="B1676" s="32" t="inlineStr">
        <is>
          <t>EPA1633 &amp; diPAPs Calibration 1 ppb</t>
        </is>
      </c>
      <c r="D1676" s="32" t="n">
        <v>10.71</v>
      </c>
      <c r="E1676" s="32" t="n">
        <v>6188.14</v>
      </c>
      <c r="F1676" s="32" t="n">
        <v>2171.349</v>
      </c>
      <c r="G1676" s="32" t="n">
        <v>187.406</v>
      </c>
      <c r="H1676" s="32" t="inlineStr">
        <is>
          <t>bb</t>
        </is>
      </c>
      <c r="K1676" s="32" t="inlineStr">
        <is>
          <t>20250514-16</t>
        </is>
      </c>
    </row>
    <row r="1677">
      <c r="A1677" s="32" t="n">
        <v>6</v>
      </c>
      <c r="B1677" s="32" t="inlineStr">
        <is>
          <t>EPA1633 &amp; diPAPs Calibration 5 ppb</t>
        </is>
      </c>
      <c r="D1677" s="32" t="n">
        <v>10.59</v>
      </c>
      <c r="E1677" s="32" t="n">
        <v>27889.813</v>
      </c>
      <c r="F1677" s="32" t="n">
        <v>2121.173</v>
      </c>
      <c r="G1677" s="32" t="n">
        <v>1530.254</v>
      </c>
      <c r="H1677" s="32" t="inlineStr">
        <is>
          <t>bb</t>
        </is>
      </c>
      <c r="K1677" s="32" t="inlineStr">
        <is>
          <t>20250514-17</t>
        </is>
      </c>
    </row>
    <row r="1678">
      <c r="A1678" s="32" t="n">
        <v>7</v>
      </c>
      <c r="B1678" s="32" t="inlineStr">
        <is>
          <t>EPA1633 &amp; diPAPs Calibration 10 ppb</t>
        </is>
      </c>
      <c r="D1678" s="32" t="n">
        <v>10.64</v>
      </c>
      <c r="E1678" s="32" t="n">
        <v>50818.898</v>
      </c>
      <c r="F1678" s="32" t="n">
        <v>1632.291</v>
      </c>
      <c r="G1678" s="32" t="n">
        <v>1421.145</v>
      </c>
      <c r="H1678" s="32" t="inlineStr">
        <is>
          <t>bb</t>
        </is>
      </c>
      <c r="K1678" s="32" t="inlineStr">
        <is>
          <t>20250514-18</t>
        </is>
      </c>
    </row>
    <row r="1679">
      <c r="A1679" s="32" t="n">
        <v>8</v>
      </c>
      <c r="B1679" s="32" t="inlineStr">
        <is>
          <t>EPA1633 &amp; diPAPs Calibration 20 ppb</t>
        </is>
      </c>
      <c r="D1679" s="32" t="n">
        <v>10.67</v>
      </c>
      <c r="E1679" s="32" t="n">
        <v>97533.961</v>
      </c>
      <c r="F1679" s="32" t="n">
        <v>1888.116</v>
      </c>
      <c r="G1679" s="32" t="n">
        <v>1495.713</v>
      </c>
      <c r="H1679" s="32" t="inlineStr">
        <is>
          <t>bb</t>
        </is>
      </c>
      <c r="K1679" s="32" t="inlineStr">
        <is>
          <t>20250514-19</t>
        </is>
      </c>
    </row>
    <row r="1680">
      <c r="A1680" s="32" t="n">
        <v>9</v>
      </c>
      <c r="B1680" s="32" t="inlineStr">
        <is>
          <t>MeOH</t>
        </is>
      </c>
      <c r="D1680" s="32" t="n">
        <v>10.68</v>
      </c>
      <c r="E1680" s="32" t="n">
        <v>132.195</v>
      </c>
      <c r="G1680" s="32" t="n">
        <v>1237</v>
      </c>
      <c r="H1680" s="32" t="inlineStr">
        <is>
          <t>bb</t>
        </is>
      </c>
      <c r="K1680" s="32" t="inlineStr">
        <is>
          <t>20250514-20</t>
        </is>
      </c>
    </row>
    <row r="1681">
      <c r="A1681" s="32" t="n">
        <v>10</v>
      </c>
      <c r="B1681" s="32" t="inlineStr">
        <is>
          <t>MeOH</t>
        </is>
      </c>
      <c r="D1681" s="32" t="n">
        <v>10.74</v>
      </c>
      <c r="E1681" s="32" t="n">
        <v>121.937</v>
      </c>
      <c r="G1681" s="32" t="n">
        <v>2.339</v>
      </c>
      <c r="H1681" s="32" t="inlineStr">
        <is>
          <t>bb</t>
        </is>
      </c>
      <c r="K1681" s="32" t="inlineStr">
        <is>
          <t>20250514-21</t>
        </is>
      </c>
    </row>
    <row r="1682">
      <c r="A1682" s="32" t="n">
        <v>11</v>
      </c>
      <c r="B1682" s="32" t="inlineStr">
        <is>
          <t>SB1</t>
        </is>
      </c>
      <c r="D1682" s="32" t="n">
        <v>10.73</v>
      </c>
      <c r="E1682" s="32" t="n">
        <v>100.313</v>
      </c>
      <c r="F1682" s="32" t="n">
        <v>747.436</v>
      </c>
      <c r="G1682" s="32" t="n">
        <v>773</v>
      </c>
      <c r="H1682" s="32" t="inlineStr">
        <is>
          <t>bb</t>
        </is>
      </c>
      <c r="K1682" s="32" t="inlineStr">
        <is>
          <t>20250514-22</t>
        </is>
      </c>
    </row>
    <row r="1683">
      <c r="A1683" s="32" t="n">
        <v>12</v>
      </c>
      <c r="B1683" s="32" t="inlineStr">
        <is>
          <t>SB2</t>
        </is>
      </c>
      <c r="D1683" s="32" t="n">
        <v>10.12</v>
      </c>
      <c r="E1683" s="32" t="n">
        <v>29.819</v>
      </c>
      <c r="F1683" s="32" t="n">
        <v>888.825</v>
      </c>
      <c r="G1683" s="32" t="n">
        <v>320</v>
      </c>
      <c r="H1683" s="32" t="inlineStr">
        <is>
          <t>MM</t>
        </is>
      </c>
      <c r="K1683" s="32" t="inlineStr">
        <is>
          <t>20250514-23</t>
        </is>
      </c>
    </row>
    <row r="1684">
      <c r="A1684" s="32" t="n">
        <v>13</v>
      </c>
      <c r="B1684" s="32" t="inlineStr">
        <is>
          <t>SB3</t>
        </is>
      </c>
      <c r="D1684" s="32" t="n">
        <v>9.68</v>
      </c>
      <c r="E1684" s="32" t="n">
        <v>36.998</v>
      </c>
      <c r="F1684" s="32" t="n">
        <v>658.669</v>
      </c>
      <c r="G1684" s="32" t="n">
        <v>401</v>
      </c>
      <c r="H1684" s="32" t="inlineStr">
        <is>
          <t>MM</t>
        </is>
      </c>
      <c r="K1684" s="32" t="inlineStr">
        <is>
          <t>20250514-24</t>
        </is>
      </c>
    </row>
    <row r="1685">
      <c r="A1685" s="32" t="n">
        <v>14</v>
      </c>
      <c r="B1685" s="32" t="inlineStr">
        <is>
          <t>SS1</t>
        </is>
      </c>
      <c r="D1685" s="32" t="n">
        <v>10.77</v>
      </c>
      <c r="E1685" s="32" t="n">
        <v>19938.229</v>
      </c>
      <c r="F1685" s="32" t="n">
        <v>633.539</v>
      </c>
      <c r="G1685" s="32" t="n">
        <v>626.95</v>
      </c>
      <c r="H1685" s="32" t="inlineStr">
        <is>
          <t>bb</t>
        </is>
      </c>
      <c r="K1685" s="32" t="inlineStr">
        <is>
          <t>20250514-25</t>
        </is>
      </c>
    </row>
    <row r="1686">
      <c r="A1686" s="32" t="n">
        <v>15</v>
      </c>
      <c r="B1686" s="32" t="inlineStr">
        <is>
          <t>SS2</t>
        </is>
      </c>
      <c r="D1686" s="32" t="n">
        <v>10.77</v>
      </c>
      <c r="E1686" s="32" t="n">
        <v>21616.66</v>
      </c>
      <c r="F1686" s="32" t="n">
        <v>795.245</v>
      </c>
      <c r="G1686" s="32" t="n">
        <v>155561</v>
      </c>
      <c r="H1686" s="32" t="inlineStr">
        <is>
          <t>bb</t>
        </is>
      </c>
      <c r="K1686" s="32" t="inlineStr">
        <is>
          <t>20250514-26</t>
        </is>
      </c>
    </row>
    <row r="1687">
      <c r="A1687" s="32" t="n">
        <v>16</v>
      </c>
      <c r="B1687" s="32" t="inlineStr">
        <is>
          <t>SS3</t>
        </is>
      </c>
      <c r="D1687" s="32" t="n">
        <v>10.78</v>
      </c>
      <c r="E1687" s="32" t="n">
        <v>21347.637</v>
      </c>
      <c r="F1687" s="32" t="n">
        <v>533.917</v>
      </c>
      <c r="G1687" s="32" t="n">
        <v>234.552</v>
      </c>
      <c r="H1687" s="32" t="inlineStr">
        <is>
          <t>bb</t>
        </is>
      </c>
      <c r="K1687" s="32" t="inlineStr">
        <is>
          <t>20250514-27</t>
        </is>
      </c>
    </row>
    <row r="1688">
      <c r="A1688" s="32" t="n">
        <v>17</v>
      </c>
      <c r="B1688" s="32" t="inlineStr">
        <is>
          <t>MeOH</t>
        </is>
      </c>
      <c r="H1688" s="32" t="inlineStr">
        <is>
          <t>MM-</t>
        </is>
      </c>
      <c r="K1688" s="32" t="inlineStr">
        <is>
          <t>20250514-28</t>
        </is>
      </c>
    </row>
    <row r="1689">
      <c r="A1689" s="32" t="n">
        <v>18</v>
      </c>
      <c r="B1689" s="32" t="inlineStr">
        <is>
          <t>K4-1A</t>
        </is>
      </c>
      <c r="D1689" s="32" t="n">
        <v>10.73</v>
      </c>
      <c r="E1689" s="32" t="n">
        <v>40.907</v>
      </c>
      <c r="F1689" s="32" t="n">
        <v>1064.917</v>
      </c>
      <c r="G1689" s="32" t="n">
        <v>283</v>
      </c>
      <c r="H1689" s="32" t="inlineStr">
        <is>
          <t>bb</t>
        </is>
      </c>
      <c r="K1689" s="32" t="inlineStr">
        <is>
          <t>20250514-29</t>
        </is>
      </c>
    </row>
    <row r="1690">
      <c r="A1690" s="32" t="n">
        <v>19</v>
      </c>
      <c r="B1690" s="32" t="inlineStr">
        <is>
          <t>K4-1B</t>
        </is>
      </c>
      <c r="D1690" s="32" t="n">
        <v>10.71</v>
      </c>
      <c r="E1690" s="32" t="n">
        <v>1.776</v>
      </c>
      <c r="F1690" s="32" t="n">
        <v>1263.963</v>
      </c>
      <c r="G1690" s="32" t="n">
        <v>0.239</v>
      </c>
      <c r="H1690" s="32" t="inlineStr">
        <is>
          <t>bb</t>
        </is>
      </c>
      <c r="K1690" s="32" t="inlineStr">
        <is>
          <t>20250514-30</t>
        </is>
      </c>
    </row>
    <row r="1691">
      <c r="A1691" s="32" t="n">
        <v>20</v>
      </c>
      <c r="B1691" s="32" t="inlineStr">
        <is>
          <t>K4-1C</t>
        </is>
      </c>
      <c r="F1691" s="32" t="n">
        <v>1240.47</v>
      </c>
      <c r="H1691" s="32" t="inlineStr">
        <is>
          <t>MM-</t>
        </is>
      </c>
      <c r="K1691" s="32" t="inlineStr">
        <is>
          <t>20250514-31</t>
        </is>
      </c>
    </row>
    <row r="1692">
      <c r="A1692" s="32" t="n">
        <v>21</v>
      </c>
      <c r="B1692" s="32" t="inlineStr">
        <is>
          <t>K4-2A</t>
        </is>
      </c>
      <c r="D1692" s="32" t="n">
        <v>10.85</v>
      </c>
      <c r="E1692" s="32" t="n">
        <v>17.795</v>
      </c>
      <c r="F1692" s="32" t="n">
        <v>1041.541</v>
      </c>
      <c r="G1692" s="32" t="n">
        <v>174</v>
      </c>
      <c r="H1692" s="32" t="inlineStr">
        <is>
          <t>bb</t>
        </is>
      </c>
      <c r="K1692" s="32" t="inlineStr">
        <is>
          <t>20250514-32</t>
        </is>
      </c>
    </row>
    <row r="1693">
      <c r="A1693" s="32" t="n">
        <v>22</v>
      </c>
      <c r="B1693" s="32" t="inlineStr">
        <is>
          <t>K4-2B</t>
        </is>
      </c>
      <c r="F1693" s="32" t="n">
        <v>1437.42</v>
      </c>
      <c r="K1693" s="32" t="inlineStr">
        <is>
          <t>20250514-33</t>
        </is>
      </c>
    </row>
    <row r="1694">
      <c r="A1694" s="32" t="n">
        <v>23</v>
      </c>
      <c r="B1694" s="32" t="inlineStr">
        <is>
          <t>K4-2C</t>
        </is>
      </c>
      <c r="D1694" s="32" t="n">
        <v>11.03</v>
      </c>
      <c r="E1694" s="32" t="n">
        <v>37.856</v>
      </c>
      <c r="F1694" s="32" t="n">
        <v>703.508</v>
      </c>
      <c r="G1694" s="32" t="n">
        <v>1.967</v>
      </c>
      <c r="H1694" s="32" t="inlineStr">
        <is>
          <t>bb</t>
        </is>
      </c>
      <c r="K1694" s="32" t="inlineStr">
        <is>
          <t>20250514-34</t>
        </is>
      </c>
    </row>
    <row r="1695">
      <c r="A1695" s="32" t="n">
        <v>24</v>
      </c>
      <c r="B1695" s="32" t="inlineStr">
        <is>
          <t>MeOH</t>
        </is>
      </c>
      <c r="D1695" s="32" t="n">
        <v>10.83</v>
      </c>
      <c r="E1695" s="32" t="n">
        <v>173.76</v>
      </c>
      <c r="G1695" s="32" t="n">
        <v>3.973</v>
      </c>
      <c r="H1695" s="32" t="inlineStr">
        <is>
          <t>bb</t>
        </is>
      </c>
      <c r="K1695" s="32" t="inlineStr">
        <is>
          <t>20250514-35</t>
        </is>
      </c>
    </row>
    <row r="1696">
      <c r="A1696" s="32" t="n">
        <v>25</v>
      </c>
      <c r="B1696" s="32" t="inlineStr">
        <is>
          <t>K4-4A</t>
        </is>
      </c>
      <c r="D1696" s="32" t="n">
        <v>10.34</v>
      </c>
      <c r="E1696" s="32" t="n">
        <v>1.079</v>
      </c>
      <c r="F1696" s="32" t="n">
        <v>1022.507</v>
      </c>
      <c r="G1696" s="32" t="n">
        <v>12</v>
      </c>
      <c r="H1696" s="32" t="inlineStr">
        <is>
          <t>bb</t>
        </is>
      </c>
      <c r="K1696" s="32" t="inlineStr">
        <is>
          <t>20250514-36</t>
        </is>
      </c>
    </row>
    <row r="1697">
      <c r="A1697" s="32" t="n">
        <v>26</v>
      </c>
      <c r="B1697" s="32" t="inlineStr">
        <is>
          <t>K4-4B</t>
        </is>
      </c>
      <c r="D1697" s="32" t="n">
        <v>11.17</v>
      </c>
      <c r="E1697" s="32" t="n">
        <v>43.022</v>
      </c>
      <c r="F1697" s="32" t="n">
        <v>560.49</v>
      </c>
      <c r="G1697" s="32" t="n">
        <v>1.551</v>
      </c>
      <c r="H1697" s="32" t="inlineStr">
        <is>
          <t>MM</t>
        </is>
      </c>
      <c r="K1697" s="32" t="inlineStr">
        <is>
          <t>20250514-37</t>
        </is>
      </c>
    </row>
    <row r="1698">
      <c r="A1698" s="32" t="n">
        <v>27</v>
      </c>
      <c r="B1698" s="32" t="inlineStr">
        <is>
          <t>K4-4C</t>
        </is>
      </c>
      <c r="D1698" s="32" t="n">
        <v>9.92</v>
      </c>
      <c r="E1698" s="32" t="n">
        <v>42.486</v>
      </c>
      <c r="F1698" s="32" t="n">
        <v>760.7619999999999</v>
      </c>
      <c r="G1698" s="32" t="n">
        <v>301</v>
      </c>
      <c r="H1698" s="32" t="inlineStr">
        <is>
          <t>MM</t>
        </is>
      </c>
      <c r="K1698" s="32" t="inlineStr">
        <is>
          <t>20250514-38</t>
        </is>
      </c>
    </row>
    <row r="1699">
      <c r="A1699" s="32" t="n">
        <v>28</v>
      </c>
      <c r="B1699" s="32" t="inlineStr">
        <is>
          <t>K4-5A</t>
        </is>
      </c>
      <c r="D1699" s="32" t="n">
        <v>10.41</v>
      </c>
      <c r="E1699" s="32" t="n">
        <v>24.003</v>
      </c>
      <c r="F1699" s="32" t="n">
        <v>534.744</v>
      </c>
      <c r="G1699" s="32" t="n">
        <v>2.281</v>
      </c>
      <c r="H1699" s="32" t="inlineStr">
        <is>
          <t>bb</t>
        </is>
      </c>
      <c r="K1699" s="32" t="inlineStr">
        <is>
          <t>20250514-39</t>
        </is>
      </c>
    </row>
    <row r="1700">
      <c r="A1700" s="32" t="n">
        <v>29</v>
      </c>
      <c r="B1700" s="32" t="inlineStr">
        <is>
          <t>K4-5B</t>
        </is>
      </c>
      <c r="D1700" s="32" t="n">
        <v>10.41</v>
      </c>
      <c r="E1700" s="32" t="n">
        <v>2.368</v>
      </c>
      <c r="F1700" s="32" t="n">
        <v>1062.534</v>
      </c>
      <c r="G1700" s="32" t="n">
        <v>0.249</v>
      </c>
      <c r="H1700" s="32" t="inlineStr">
        <is>
          <t>bb</t>
        </is>
      </c>
      <c r="K1700" s="32" t="inlineStr">
        <is>
          <t>20250514-40</t>
        </is>
      </c>
    </row>
    <row r="1701">
      <c r="A1701" s="32" t="n">
        <v>30</v>
      </c>
      <c r="B1701" s="32" t="inlineStr">
        <is>
          <t>K4-5C</t>
        </is>
      </c>
      <c r="D1701" s="32" t="n">
        <v>10.71</v>
      </c>
      <c r="E1701" s="32" t="n">
        <v>16.264</v>
      </c>
      <c r="F1701" s="32" t="n">
        <v>694.841</v>
      </c>
      <c r="G1701" s="32" t="n">
        <v>180</v>
      </c>
      <c r="H1701" s="32" t="inlineStr">
        <is>
          <t>bb</t>
        </is>
      </c>
      <c r="K1701" s="32" t="inlineStr">
        <is>
          <t>20250514-41</t>
        </is>
      </c>
    </row>
    <row r="1702">
      <c r="A1702" s="32" t="n">
        <v>31</v>
      </c>
      <c r="B1702" s="32" t="inlineStr">
        <is>
          <t>MeOH</t>
        </is>
      </c>
      <c r="H1702" s="32" t="inlineStr">
        <is>
          <t>MM-</t>
        </is>
      </c>
      <c r="K1702" s="32" t="inlineStr">
        <is>
          <t>20250514-42</t>
        </is>
      </c>
    </row>
    <row r="1703">
      <c r="A1703" s="32" t="n">
        <v>32</v>
      </c>
      <c r="B1703" s="32" t="inlineStr">
        <is>
          <t>K3-1A</t>
        </is>
      </c>
      <c r="D1703" s="32" t="n">
        <v>10.25</v>
      </c>
      <c r="E1703" s="32" t="n">
        <v>1.042</v>
      </c>
      <c r="F1703" s="32" t="n">
        <v>1010.403</v>
      </c>
      <c r="G1703" s="32" t="n">
        <v>0.186</v>
      </c>
      <c r="H1703" s="32" t="inlineStr">
        <is>
          <t>bb</t>
        </is>
      </c>
      <c r="K1703" s="32" t="inlineStr">
        <is>
          <t>20250514-43</t>
        </is>
      </c>
    </row>
    <row r="1704">
      <c r="A1704" s="32" t="n">
        <v>33</v>
      </c>
      <c r="B1704" s="32" t="inlineStr">
        <is>
          <t>K3-1B</t>
        </is>
      </c>
      <c r="D1704" s="32" t="n">
        <v>10.5</v>
      </c>
      <c r="E1704" s="32" t="n">
        <v>14.664</v>
      </c>
      <c r="F1704" s="32" t="n">
        <v>1033.297</v>
      </c>
      <c r="G1704" s="32" t="n">
        <v>134</v>
      </c>
      <c r="H1704" s="32" t="inlineStr">
        <is>
          <t>bb</t>
        </is>
      </c>
      <c r="K1704" s="32" t="inlineStr">
        <is>
          <t>20250514-44</t>
        </is>
      </c>
    </row>
    <row r="1705">
      <c r="A1705" s="32" t="n">
        <v>34</v>
      </c>
      <c r="B1705" s="32" t="inlineStr">
        <is>
          <t>K3-1C</t>
        </is>
      </c>
      <c r="D1705" s="32" t="n">
        <v>11.42</v>
      </c>
      <c r="E1705" s="32" t="n">
        <v>85.92400000000001</v>
      </c>
      <c r="F1705" s="32" t="n">
        <v>1290.752</v>
      </c>
      <c r="G1705" s="32" t="n">
        <v>609</v>
      </c>
      <c r="H1705" s="32" t="inlineStr">
        <is>
          <t>MM</t>
        </is>
      </c>
      <c r="K1705" s="32" t="inlineStr">
        <is>
          <t>20250514-45</t>
        </is>
      </c>
    </row>
    <row r="1706">
      <c r="A1706" s="32" t="n">
        <v>35</v>
      </c>
      <c r="B1706" s="32" t="inlineStr">
        <is>
          <t>K3-2A</t>
        </is>
      </c>
      <c r="D1706" s="32" t="n">
        <v>10.97</v>
      </c>
      <c r="E1706" s="32" t="n">
        <v>37.35</v>
      </c>
      <c r="F1706" s="32" t="n">
        <v>1098.129</v>
      </c>
      <c r="G1706" s="32" t="n">
        <v>351</v>
      </c>
      <c r="H1706" s="32" t="inlineStr">
        <is>
          <t>bb</t>
        </is>
      </c>
      <c r="K1706" s="32" t="inlineStr">
        <is>
          <t>20250514-46</t>
        </is>
      </c>
    </row>
    <row r="1707">
      <c r="A1707" s="32" t="n">
        <v>36</v>
      </c>
      <c r="B1707" s="32" t="inlineStr">
        <is>
          <t>K3-2B</t>
        </is>
      </c>
      <c r="D1707" s="32" t="n">
        <v>10.59</v>
      </c>
      <c r="E1707" s="32" t="n">
        <v>5.612</v>
      </c>
      <c r="F1707" s="32" t="n">
        <v>1593.77</v>
      </c>
      <c r="G1707" s="32" t="n">
        <v>64</v>
      </c>
      <c r="H1707" s="32" t="inlineStr">
        <is>
          <t>bb</t>
        </is>
      </c>
      <c r="K1707" s="32" t="inlineStr">
        <is>
          <t>20250514-47</t>
        </is>
      </c>
    </row>
    <row r="1708">
      <c r="A1708" s="32" t="n">
        <v>37</v>
      </c>
      <c r="B1708" s="32" t="inlineStr">
        <is>
          <t>K3-2C</t>
        </is>
      </c>
      <c r="D1708" s="32" t="n">
        <v>10.71</v>
      </c>
      <c r="E1708" s="32" t="n">
        <v>22.25</v>
      </c>
      <c r="F1708" s="32" t="n">
        <v>1067.692</v>
      </c>
      <c r="G1708" s="32" t="n">
        <v>240</v>
      </c>
      <c r="H1708" s="32" t="inlineStr">
        <is>
          <t>bb</t>
        </is>
      </c>
      <c r="K1708" s="32" t="inlineStr">
        <is>
          <t>20250514-48</t>
        </is>
      </c>
    </row>
    <row r="1709">
      <c r="A1709" s="32" t="n">
        <v>38</v>
      </c>
      <c r="B1709" s="32" t="inlineStr">
        <is>
          <t>MeOH</t>
        </is>
      </c>
      <c r="H1709" s="32" t="inlineStr">
        <is>
          <t>MM-</t>
        </is>
      </c>
      <c r="K1709" s="32" t="inlineStr">
        <is>
          <t>20250514-49</t>
        </is>
      </c>
    </row>
    <row r="1710">
      <c r="A1710" s="32" t="n">
        <v>39</v>
      </c>
      <c r="B1710" s="32" t="inlineStr">
        <is>
          <t>K3-3A</t>
        </is>
      </c>
      <c r="D1710" s="32" t="n">
        <v>11</v>
      </c>
      <c r="E1710" s="32" t="n">
        <v>2.573</v>
      </c>
      <c r="F1710" s="32" t="n">
        <v>892.886</v>
      </c>
      <c r="G1710" s="32" t="n">
        <v>2.798</v>
      </c>
      <c r="H1710" s="32" t="inlineStr">
        <is>
          <t>bb</t>
        </is>
      </c>
      <c r="K1710" s="32" t="inlineStr">
        <is>
          <t>20250514-50</t>
        </is>
      </c>
    </row>
    <row r="1711">
      <c r="A1711" s="32" t="n">
        <v>40</v>
      </c>
      <c r="B1711" s="32" t="inlineStr">
        <is>
          <t>K3-3B</t>
        </is>
      </c>
      <c r="D1711" s="32" t="n">
        <v>10.71</v>
      </c>
      <c r="E1711" s="32" t="n">
        <v>58.756</v>
      </c>
      <c r="F1711" s="32" t="n">
        <v>1753.089</v>
      </c>
      <c r="G1711" s="32" t="n">
        <v>31.649</v>
      </c>
      <c r="H1711" s="32" t="inlineStr">
        <is>
          <t>bb</t>
        </is>
      </c>
      <c r="K1711" s="32" t="inlineStr">
        <is>
          <t>20250514-51</t>
        </is>
      </c>
    </row>
    <row r="1712">
      <c r="A1712" s="32" t="n">
        <v>41</v>
      </c>
      <c r="B1712" s="32" t="inlineStr">
        <is>
          <t>K3-3C</t>
        </is>
      </c>
      <c r="D1712" s="32" t="n">
        <v>10.34</v>
      </c>
      <c r="E1712" s="32" t="n">
        <v>14.819</v>
      </c>
      <c r="F1712" s="32" t="n">
        <v>1692.502</v>
      </c>
      <c r="G1712" s="32" t="n">
        <v>1.97</v>
      </c>
      <c r="H1712" s="32" t="inlineStr">
        <is>
          <t>bb</t>
        </is>
      </c>
      <c r="K1712" s="32" t="inlineStr">
        <is>
          <t>20250514-52</t>
        </is>
      </c>
    </row>
    <row r="1713">
      <c r="A1713" s="32" t="n">
        <v>42</v>
      </c>
      <c r="B1713" s="32" t="inlineStr">
        <is>
          <t>K3-4A</t>
        </is>
      </c>
      <c r="D1713" s="32" t="n">
        <v>11.92</v>
      </c>
      <c r="E1713" s="32" t="n">
        <v>1.599</v>
      </c>
      <c r="F1713" s="32" t="n">
        <v>1319.701</v>
      </c>
      <c r="G1713" s="32" t="n">
        <v>0.246</v>
      </c>
      <c r="H1713" s="32" t="inlineStr">
        <is>
          <t>MM</t>
        </is>
      </c>
      <c r="K1713" s="32" t="inlineStr">
        <is>
          <t>20250514-53</t>
        </is>
      </c>
    </row>
    <row r="1714">
      <c r="A1714" s="32" t="n">
        <v>43</v>
      </c>
      <c r="B1714" s="32" t="inlineStr">
        <is>
          <t>K3-4B</t>
        </is>
      </c>
      <c r="D1714" s="32" t="n">
        <v>11.03</v>
      </c>
      <c r="E1714" s="32" t="n">
        <v>16.401</v>
      </c>
      <c r="F1714" s="32" t="n">
        <v>1327.685</v>
      </c>
      <c r="G1714" s="32" t="n">
        <v>5.648</v>
      </c>
      <c r="H1714" s="32" t="inlineStr">
        <is>
          <t>bb</t>
        </is>
      </c>
      <c r="K1714" s="32" t="inlineStr">
        <is>
          <t>20250514-54</t>
        </is>
      </c>
    </row>
    <row r="1715">
      <c r="A1715" s="32" t="n">
        <v>44</v>
      </c>
      <c r="B1715" s="32" t="inlineStr">
        <is>
          <t>K3-4C</t>
        </is>
      </c>
      <c r="D1715" s="32" t="n">
        <v>11.22</v>
      </c>
      <c r="E1715" s="32" t="n">
        <v>36.297</v>
      </c>
      <c r="F1715" s="32" t="n">
        <v>1089.646</v>
      </c>
      <c r="G1715" s="32" t="n">
        <v>345</v>
      </c>
      <c r="H1715" s="32" t="inlineStr">
        <is>
          <t>MM</t>
        </is>
      </c>
      <c r="K1715" s="32" t="inlineStr">
        <is>
          <t>20250514-55</t>
        </is>
      </c>
    </row>
    <row r="1716">
      <c r="A1716" s="32" t="n">
        <v>45</v>
      </c>
      <c r="B1716" s="32" t="inlineStr">
        <is>
          <t>MeOH</t>
        </is>
      </c>
      <c r="H1716" s="32" t="inlineStr">
        <is>
          <t>MM-</t>
        </is>
      </c>
      <c r="K1716" s="32" t="inlineStr">
        <is>
          <t>20250514-56</t>
        </is>
      </c>
    </row>
    <row r="1717">
      <c r="A1717" s="32" t="n">
        <v>46</v>
      </c>
      <c r="B1717" s="32" t="inlineStr">
        <is>
          <t>K3-6A</t>
        </is>
      </c>
      <c r="D1717" s="32" t="n">
        <v>10.68</v>
      </c>
      <c r="E1717" s="32" t="n">
        <v>60.112</v>
      </c>
      <c r="F1717" s="32" t="n">
        <v>1155.322</v>
      </c>
      <c r="G1717" s="32" t="n">
        <v>81.00700000000001</v>
      </c>
      <c r="H1717" s="32" t="inlineStr">
        <is>
          <t>bb</t>
        </is>
      </c>
      <c r="K1717" s="32" t="inlineStr">
        <is>
          <t>20250514-57</t>
        </is>
      </c>
    </row>
    <row r="1718">
      <c r="A1718" s="32" t="n">
        <v>47</v>
      </c>
      <c r="B1718" s="32" t="inlineStr">
        <is>
          <t>K3-6B</t>
        </is>
      </c>
      <c r="D1718" s="32" t="n">
        <v>10.25</v>
      </c>
      <c r="E1718" s="32" t="n">
        <v>5.308</v>
      </c>
      <c r="F1718" s="32" t="n">
        <v>1254.337</v>
      </c>
      <c r="G1718" s="32" t="n">
        <v>0.264</v>
      </c>
      <c r="H1718" s="32" t="inlineStr">
        <is>
          <t>bb</t>
        </is>
      </c>
      <c r="K1718" s="32" t="inlineStr">
        <is>
          <t>20250514-58</t>
        </is>
      </c>
    </row>
    <row r="1719">
      <c r="A1719" s="32" t="n">
        <v>48</v>
      </c>
      <c r="B1719" s="32" t="inlineStr">
        <is>
          <t>K3-6C</t>
        </is>
      </c>
      <c r="D1719" s="32" t="n">
        <v>11.13</v>
      </c>
      <c r="E1719" s="32" t="n">
        <v>42.986</v>
      </c>
      <c r="F1719" s="32" t="n">
        <v>894.672</v>
      </c>
      <c r="G1719" s="32" t="n">
        <v>349</v>
      </c>
      <c r="H1719" s="32" t="inlineStr">
        <is>
          <t>bb</t>
        </is>
      </c>
      <c r="K1719" s="32" t="inlineStr">
        <is>
          <t>20250514-59</t>
        </is>
      </c>
    </row>
    <row r="1721">
      <c r="A1721" s="32" t="inlineStr">
        <is>
          <t>Compound 34:  PFPeS 1</t>
        </is>
      </c>
    </row>
    <row r="1723">
      <c r="B1723" s="32" t="inlineStr">
        <is>
          <t>Sample Text</t>
        </is>
      </c>
      <c r="C1723" s="32" t="inlineStr">
        <is>
          <t>Std. Conc</t>
        </is>
      </c>
      <c r="D1723" s="32" t="inlineStr">
        <is>
          <t>RT</t>
        </is>
      </c>
      <c r="E1723" s="32" t="inlineStr">
        <is>
          <t>Area</t>
        </is>
      </c>
      <c r="F1723" s="32" t="inlineStr">
        <is>
          <t>IS Area</t>
        </is>
      </c>
      <c r="G1723" s="32" t="inlineStr">
        <is>
          <t>S/N</t>
        </is>
      </c>
      <c r="H1723" s="32" t="inlineStr">
        <is>
          <t>Primary Flags</t>
        </is>
      </c>
      <c r="I1723" s="32" t="inlineStr">
        <is>
          <t>Response</t>
        </is>
      </c>
      <c r="J1723" s="32" t="inlineStr">
        <is>
          <t>Conc.</t>
        </is>
      </c>
      <c r="K1723" s="32" t="inlineStr">
        <is>
          <t>Name</t>
        </is>
      </c>
    </row>
    <row r="1724">
      <c r="A1724" s="32" t="n">
        <v>1</v>
      </c>
      <c r="B1724" s="32" t="inlineStr">
        <is>
          <t>EPA1633 &amp; diPAPs Calibration 0 ppb</t>
        </is>
      </c>
      <c r="D1724" s="32" t="n">
        <v>10.7</v>
      </c>
      <c r="E1724" s="32" t="n">
        <v>5.048</v>
      </c>
      <c r="F1724" s="32" t="n">
        <v>1480.336</v>
      </c>
      <c r="G1724" s="32" t="n">
        <v>57</v>
      </c>
      <c r="H1724" s="32" t="inlineStr">
        <is>
          <t>MM</t>
        </is>
      </c>
      <c r="K1724" s="32" t="inlineStr">
        <is>
          <t>20250514-12</t>
        </is>
      </c>
    </row>
    <row r="1725">
      <c r="A1725" s="32" t="n">
        <v>2</v>
      </c>
      <c r="B1725" s="32" t="inlineStr">
        <is>
          <t>EPA1633 &amp; diPAPs Calibration 0.02 ppb</t>
        </is>
      </c>
      <c r="D1725" s="32" t="n">
        <v>9.26</v>
      </c>
      <c r="E1725" s="32" t="n">
        <v>24.681</v>
      </c>
      <c r="F1725" s="32" t="n">
        <v>1118.817</v>
      </c>
      <c r="G1725" s="32" t="n">
        <v>3.67</v>
      </c>
      <c r="H1725" s="32" t="inlineStr">
        <is>
          <t>bb</t>
        </is>
      </c>
      <c r="K1725" s="32" t="inlineStr">
        <is>
          <t>20250514-13</t>
        </is>
      </c>
    </row>
    <row r="1726">
      <c r="A1726" s="32" t="n">
        <v>3</v>
      </c>
      <c r="B1726" s="32" t="inlineStr">
        <is>
          <t>EPA1633 &amp; diPAPs Calibration 0.1 ppb</t>
        </is>
      </c>
      <c r="D1726" s="32" t="n">
        <v>9.27</v>
      </c>
      <c r="E1726" s="32" t="n">
        <v>109.918</v>
      </c>
      <c r="F1726" s="32" t="n">
        <v>1446.88</v>
      </c>
      <c r="G1726" s="32" t="n">
        <v>7.075</v>
      </c>
      <c r="H1726" s="32" t="inlineStr">
        <is>
          <t>bb</t>
        </is>
      </c>
      <c r="K1726" s="32" t="inlineStr">
        <is>
          <t>20250514-14</t>
        </is>
      </c>
    </row>
    <row r="1727">
      <c r="A1727" s="32" t="n">
        <v>4</v>
      </c>
      <c r="B1727" s="32" t="inlineStr">
        <is>
          <t>EPA1633 &amp; diPAPs Calibration 0.4 ppb</t>
        </is>
      </c>
      <c r="D1727" s="32" t="n">
        <v>9.27</v>
      </c>
      <c r="E1727" s="32" t="n">
        <v>383.412</v>
      </c>
      <c r="F1727" s="32" t="n">
        <v>1124.702</v>
      </c>
      <c r="G1727" s="32" t="n">
        <v>3697</v>
      </c>
      <c r="H1727" s="32" t="inlineStr">
        <is>
          <t>bb</t>
        </is>
      </c>
      <c r="K1727" s="32" t="inlineStr">
        <is>
          <t>20250514-15</t>
        </is>
      </c>
    </row>
    <row r="1728">
      <c r="A1728" s="32" t="n">
        <v>5</v>
      </c>
      <c r="B1728" s="32" t="inlineStr">
        <is>
          <t>EPA1633 &amp; diPAPs Calibration 1 ppb</t>
        </is>
      </c>
      <c r="D1728" s="32" t="n">
        <v>9.300000000000001</v>
      </c>
      <c r="E1728" s="32" t="n">
        <v>416.057</v>
      </c>
      <c r="F1728" s="32" t="n">
        <v>1602.721</v>
      </c>
      <c r="G1728" s="32" t="n">
        <v>9.481999999999999</v>
      </c>
      <c r="H1728" s="32" t="inlineStr">
        <is>
          <t>bb</t>
        </is>
      </c>
      <c r="K1728" s="32" t="inlineStr">
        <is>
          <t>20250514-16</t>
        </is>
      </c>
    </row>
    <row r="1729">
      <c r="A1729" s="32" t="n">
        <v>6</v>
      </c>
      <c r="B1729" s="32" t="inlineStr">
        <is>
          <t>EPA1633 &amp; diPAPs Calibration 5 ppb</t>
        </is>
      </c>
      <c r="D1729" s="32" t="n">
        <v>9.130000000000001</v>
      </c>
      <c r="E1729" s="32" t="n">
        <v>2592.964</v>
      </c>
      <c r="F1729" s="32" t="n">
        <v>1363.196</v>
      </c>
      <c r="G1729" s="32" t="n">
        <v>29.969</v>
      </c>
      <c r="H1729" s="32" t="inlineStr">
        <is>
          <t>bb</t>
        </is>
      </c>
      <c r="K1729" s="32" t="inlineStr">
        <is>
          <t>20250514-17</t>
        </is>
      </c>
    </row>
    <row r="1730">
      <c r="A1730" s="32" t="n">
        <v>7</v>
      </c>
      <c r="B1730" s="32" t="inlineStr">
        <is>
          <t>EPA1633 &amp; diPAPs Calibration 10 ppb</t>
        </is>
      </c>
      <c r="D1730" s="32" t="n">
        <v>9.19</v>
      </c>
      <c r="E1730" s="32" t="n">
        <v>5668.396</v>
      </c>
      <c r="F1730" s="32" t="n">
        <v>972.191</v>
      </c>
      <c r="G1730" s="32" t="n">
        <v>209.225</v>
      </c>
      <c r="H1730" s="32" t="inlineStr">
        <is>
          <t>bb</t>
        </is>
      </c>
      <c r="K1730" s="32" t="inlineStr">
        <is>
          <t>20250514-18</t>
        </is>
      </c>
    </row>
    <row r="1731">
      <c r="A1731" s="32" t="n">
        <v>8</v>
      </c>
      <c r="B1731" s="32" t="inlineStr">
        <is>
          <t>EPA1633 &amp; diPAPs Calibration 20 ppb</t>
        </is>
      </c>
      <c r="D1731" s="32" t="n">
        <v>9.25</v>
      </c>
      <c r="E1731" s="32" t="n">
        <v>11193.547</v>
      </c>
      <c r="F1731" s="32" t="n">
        <v>963.742</v>
      </c>
      <c r="G1731" s="32" t="n">
        <v>94722</v>
      </c>
      <c r="H1731" s="32" t="inlineStr">
        <is>
          <t>bb</t>
        </is>
      </c>
      <c r="K1731" s="32" t="inlineStr">
        <is>
          <t>20250514-19</t>
        </is>
      </c>
    </row>
    <row r="1732">
      <c r="A1732" s="32" t="n">
        <v>9</v>
      </c>
      <c r="B1732" s="32" t="inlineStr">
        <is>
          <t>MeOH</t>
        </is>
      </c>
      <c r="K1732" s="32" t="inlineStr">
        <is>
          <t>20250514-20</t>
        </is>
      </c>
    </row>
    <row r="1733">
      <c r="A1733" s="32" t="n">
        <v>10</v>
      </c>
      <c r="B1733" s="32" t="inlineStr">
        <is>
          <t>MeOH</t>
        </is>
      </c>
      <c r="K1733" s="32" t="inlineStr">
        <is>
          <t>20250514-21</t>
        </is>
      </c>
    </row>
    <row r="1734">
      <c r="A1734" s="32" t="n">
        <v>11</v>
      </c>
      <c r="B1734" s="32" t="inlineStr">
        <is>
          <t>SB1</t>
        </is>
      </c>
      <c r="F1734" s="32" t="n">
        <v>517.296</v>
      </c>
      <c r="K1734" s="32" t="inlineStr">
        <is>
          <t>20250514-22</t>
        </is>
      </c>
    </row>
    <row r="1735">
      <c r="A1735" s="32" t="n">
        <v>12</v>
      </c>
      <c r="B1735" s="32" t="inlineStr">
        <is>
          <t>SB2</t>
        </is>
      </c>
      <c r="F1735" s="32" t="n">
        <v>658.292</v>
      </c>
      <c r="K1735" s="32" t="inlineStr">
        <is>
          <t>20250514-23</t>
        </is>
      </c>
    </row>
    <row r="1736">
      <c r="A1736" s="32" t="n">
        <v>13</v>
      </c>
      <c r="B1736" s="32" t="inlineStr">
        <is>
          <t>SB3</t>
        </is>
      </c>
      <c r="F1736" s="32" t="n">
        <v>554.321</v>
      </c>
      <c r="K1736" s="32" t="inlineStr">
        <is>
          <t>20250514-24</t>
        </is>
      </c>
    </row>
    <row r="1737">
      <c r="A1737" s="32" t="n">
        <v>14</v>
      </c>
      <c r="B1737" s="32" t="inlineStr">
        <is>
          <t>SS1</t>
        </is>
      </c>
      <c r="D1737" s="32" t="n">
        <v>9.35</v>
      </c>
      <c r="E1737" s="32" t="n">
        <v>2172.872</v>
      </c>
      <c r="F1737" s="32" t="n">
        <v>423.941</v>
      </c>
      <c r="G1737" s="32" t="n">
        <v>306.071</v>
      </c>
      <c r="H1737" s="32" t="inlineStr">
        <is>
          <t>bb</t>
        </is>
      </c>
      <c r="K1737" s="32" t="inlineStr">
        <is>
          <t>20250514-25</t>
        </is>
      </c>
    </row>
    <row r="1738">
      <c r="A1738" s="32" t="n">
        <v>15</v>
      </c>
      <c r="B1738" s="32" t="inlineStr">
        <is>
          <t>SS2</t>
        </is>
      </c>
      <c r="D1738" s="32" t="n">
        <v>9.359999999999999</v>
      </c>
      <c r="E1738" s="32" t="n">
        <v>2537.442</v>
      </c>
      <c r="F1738" s="32" t="n">
        <v>665.876</v>
      </c>
      <c r="G1738" s="32" t="n">
        <v>21408</v>
      </c>
      <c r="H1738" s="32" t="inlineStr">
        <is>
          <t>bb</t>
        </is>
      </c>
      <c r="K1738" s="32" t="inlineStr">
        <is>
          <t>20250514-26</t>
        </is>
      </c>
    </row>
    <row r="1739">
      <c r="A1739" s="32" t="n">
        <v>16</v>
      </c>
      <c r="B1739" s="32" t="inlineStr">
        <is>
          <t>SS3</t>
        </is>
      </c>
      <c r="D1739" s="32" t="n">
        <v>9.359999999999999</v>
      </c>
      <c r="E1739" s="32" t="n">
        <v>2640.389</v>
      </c>
      <c r="F1739" s="32" t="n">
        <v>514.421</v>
      </c>
      <c r="G1739" s="32" t="n">
        <v>660.5700000000001</v>
      </c>
      <c r="H1739" s="32" t="inlineStr">
        <is>
          <t>bb</t>
        </is>
      </c>
      <c r="K1739" s="32" t="inlineStr">
        <is>
          <t>20250514-27</t>
        </is>
      </c>
    </row>
    <row r="1740">
      <c r="A1740" s="32" t="n">
        <v>17</v>
      </c>
      <c r="B1740" s="32" t="inlineStr">
        <is>
          <t>MeOH</t>
        </is>
      </c>
      <c r="K1740" s="32" t="inlineStr">
        <is>
          <t>20250514-28</t>
        </is>
      </c>
    </row>
    <row r="1741">
      <c r="A1741" s="32" t="n">
        <v>18</v>
      </c>
      <c r="B1741" s="32" t="inlineStr">
        <is>
          <t>K4-1A</t>
        </is>
      </c>
      <c r="F1741" s="32" t="n">
        <v>562.856</v>
      </c>
      <c r="K1741" s="32" t="inlineStr">
        <is>
          <t>20250514-29</t>
        </is>
      </c>
    </row>
    <row r="1742">
      <c r="A1742" s="32" t="n">
        <v>19</v>
      </c>
      <c r="B1742" s="32" t="inlineStr">
        <is>
          <t>K4-1B</t>
        </is>
      </c>
      <c r="F1742" s="32" t="n">
        <v>709.3200000000001</v>
      </c>
      <c r="K1742" s="32" t="inlineStr">
        <is>
          <t>20250514-30</t>
        </is>
      </c>
    </row>
    <row r="1743">
      <c r="A1743" s="32" t="n">
        <v>20</v>
      </c>
      <c r="B1743" s="32" t="inlineStr">
        <is>
          <t>K4-1C</t>
        </is>
      </c>
      <c r="F1743" s="32" t="n">
        <v>545.8630000000001</v>
      </c>
      <c r="K1743" s="32" t="inlineStr">
        <is>
          <t>20250514-31</t>
        </is>
      </c>
    </row>
    <row r="1744">
      <c r="A1744" s="32" t="n">
        <v>21</v>
      </c>
      <c r="B1744" s="32" t="inlineStr">
        <is>
          <t>K4-2A</t>
        </is>
      </c>
      <c r="D1744" s="32" t="n">
        <v>9.779999999999999</v>
      </c>
      <c r="E1744" s="32" t="n">
        <v>4.435</v>
      </c>
      <c r="F1744" s="32" t="n">
        <v>889.295</v>
      </c>
      <c r="G1744" s="32" t="n">
        <v>49</v>
      </c>
      <c r="H1744" s="32" t="inlineStr">
        <is>
          <t>MM</t>
        </is>
      </c>
      <c r="K1744" s="32" t="inlineStr">
        <is>
          <t>20250514-32</t>
        </is>
      </c>
    </row>
    <row r="1745">
      <c r="A1745" s="32" t="n">
        <v>22</v>
      </c>
      <c r="B1745" s="32" t="inlineStr">
        <is>
          <t>K4-2B</t>
        </is>
      </c>
      <c r="F1745" s="32" t="n">
        <v>819.534</v>
      </c>
      <c r="K1745" s="32" t="inlineStr">
        <is>
          <t>20250514-33</t>
        </is>
      </c>
    </row>
    <row r="1746">
      <c r="A1746" s="32" t="n">
        <v>23</v>
      </c>
      <c r="B1746" s="32" t="inlineStr">
        <is>
          <t>K4-2C</t>
        </is>
      </c>
      <c r="F1746" s="32" t="n">
        <v>609.211</v>
      </c>
      <c r="K1746" s="32" t="inlineStr">
        <is>
          <t>20250514-34</t>
        </is>
      </c>
    </row>
    <row r="1747">
      <c r="A1747" s="32" t="n">
        <v>24</v>
      </c>
      <c r="B1747" s="32" t="inlineStr">
        <is>
          <t>MeOH</t>
        </is>
      </c>
      <c r="K1747" s="32" t="inlineStr">
        <is>
          <t>20250514-35</t>
        </is>
      </c>
    </row>
    <row r="1748">
      <c r="A1748" s="32" t="n">
        <v>25</v>
      </c>
      <c r="B1748" s="32" t="inlineStr">
        <is>
          <t>K4-4A</t>
        </is>
      </c>
      <c r="D1748" s="32" t="n">
        <v>10.02</v>
      </c>
      <c r="E1748" s="32" t="n">
        <v>3.663</v>
      </c>
      <c r="F1748" s="32" t="n">
        <v>836.772</v>
      </c>
      <c r="G1748" s="32" t="n">
        <v>40</v>
      </c>
      <c r="H1748" s="32" t="inlineStr">
        <is>
          <t>MM</t>
        </is>
      </c>
      <c r="K1748" s="32" t="inlineStr">
        <is>
          <t>20250514-36</t>
        </is>
      </c>
    </row>
    <row r="1749">
      <c r="A1749" s="32" t="n">
        <v>26</v>
      </c>
      <c r="B1749" s="32" t="inlineStr">
        <is>
          <t>K4-4B</t>
        </is>
      </c>
      <c r="F1749" s="32" t="n">
        <v>461.157</v>
      </c>
      <c r="K1749" s="32" t="inlineStr">
        <is>
          <t>20250514-37</t>
        </is>
      </c>
    </row>
    <row r="1750">
      <c r="A1750" s="32" t="n">
        <v>27</v>
      </c>
      <c r="B1750" s="32" t="inlineStr">
        <is>
          <t>K4-4C</t>
        </is>
      </c>
      <c r="F1750" s="32" t="n">
        <v>666.644</v>
      </c>
      <c r="K1750" s="32" t="inlineStr">
        <is>
          <t>20250514-38</t>
        </is>
      </c>
    </row>
    <row r="1751">
      <c r="A1751" s="32" t="n">
        <v>28</v>
      </c>
      <c r="B1751" s="32" t="inlineStr">
        <is>
          <t>K4-5A</t>
        </is>
      </c>
      <c r="F1751" s="32" t="n">
        <v>578.409</v>
      </c>
      <c r="K1751" s="32" t="inlineStr">
        <is>
          <t>20250514-39</t>
        </is>
      </c>
    </row>
    <row r="1752">
      <c r="A1752" s="32" t="n">
        <v>29</v>
      </c>
      <c r="B1752" s="32" t="inlineStr">
        <is>
          <t>K4-5B</t>
        </is>
      </c>
      <c r="D1752" s="32" t="n">
        <v>9.470000000000001</v>
      </c>
      <c r="E1752" s="32" t="n">
        <v>0.513</v>
      </c>
      <c r="F1752" s="32" t="n">
        <v>575.86</v>
      </c>
      <c r="G1752" s="32" t="n">
        <v>6</v>
      </c>
      <c r="H1752" s="32" t="inlineStr">
        <is>
          <t>bb</t>
        </is>
      </c>
      <c r="K1752" s="32" t="inlineStr">
        <is>
          <t>20250514-40</t>
        </is>
      </c>
    </row>
    <row r="1753">
      <c r="A1753" s="32" t="n">
        <v>30</v>
      </c>
      <c r="B1753" s="32" t="inlineStr">
        <is>
          <t>K4-5C</t>
        </is>
      </c>
      <c r="F1753" s="32" t="n">
        <v>648.184</v>
      </c>
      <c r="K1753" s="32" t="inlineStr">
        <is>
          <t>20250514-41</t>
        </is>
      </c>
    </row>
    <row r="1754">
      <c r="A1754" s="32" t="n">
        <v>31</v>
      </c>
      <c r="B1754" s="32" t="inlineStr">
        <is>
          <t>MeOH</t>
        </is>
      </c>
      <c r="H1754" s="32" t="inlineStr">
        <is>
          <t>MM-</t>
        </is>
      </c>
      <c r="K1754" s="32" t="inlineStr">
        <is>
          <t>20250514-42</t>
        </is>
      </c>
    </row>
    <row r="1755">
      <c r="A1755" s="32" t="n">
        <v>32</v>
      </c>
      <c r="B1755" s="32" t="inlineStr">
        <is>
          <t>K3-1A</t>
        </is>
      </c>
      <c r="F1755" s="32" t="n">
        <v>704.658</v>
      </c>
      <c r="K1755" s="32" t="inlineStr">
        <is>
          <t>20250514-43</t>
        </is>
      </c>
    </row>
    <row r="1756">
      <c r="A1756" s="32" t="n">
        <v>33</v>
      </c>
      <c r="B1756" s="32" t="inlineStr">
        <is>
          <t>K3-1B</t>
        </is>
      </c>
      <c r="F1756" s="32" t="n">
        <v>589.025</v>
      </c>
      <c r="K1756" s="32" t="inlineStr">
        <is>
          <t>20250514-44</t>
        </is>
      </c>
    </row>
    <row r="1757">
      <c r="A1757" s="32" t="n">
        <v>34</v>
      </c>
      <c r="B1757" s="32" t="inlineStr">
        <is>
          <t>K3-1C</t>
        </is>
      </c>
      <c r="F1757" s="32" t="n">
        <v>902.054</v>
      </c>
      <c r="K1757" s="32" t="inlineStr">
        <is>
          <t>20250514-45</t>
        </is>
      </c>
    </row>
    <row r="1758">
      <c r="A1758" s="32" t="n">
        <v>35</v>
      </c>
      <c r="B1758" s="32" t="inlineStr">
        <is>
          <t>K3-2A</t>
        </is>
      </c>
      <c r="D1758" s="32" t="n">
        <v>9.359999999999999</v>
      </c>
      <c r="E1758" s="32" t="n">
        <v>3.651</v>
      </c>
      <c r="F1758" s="32" t="n">
        <v>786.168</v>
      </c>
      <c r="G1758" s="32" t="n">
        <v>44</v>
      </c>
      <c r="H1758" s="32" t="inlineStr">
        <is>
          <t>bb</t>
        </is>
      </c>
      <c r="K1758" s="32" t="inlineStr">
        <is>
          <t>20250514-46</t>
        </is>
      </c>
    </row>
    <row r="1759">
      <c r="A1759" s="32" t="n">
        <v>36</v>
      </c>
      <c r="B1759" s="32" t="inlineStr">
        <is>
          <t>K3-2B</t>
        </is>
      </c>
      <c r="D1759" s="32" t="n">
        <v>8.960000000000001</v>
      </c>
      <c r="E1759" s="32" t="n">
        <v>0.185</v>
      </c>
      <c r="F1759" s="32" t="n">
        <v>847.954</v>
      </c>
      <c r="G1759" s="32" t="n">
        <v>2</v>
      </c>
      <c r="H1759" s="32" t="inlineStr">
        <is>
          <t>bb</t>
        </is>
      </c>
      <c r="K1759" s="32" t="inlineStr">
        <is>
          <t>20250514-47</t>
        </is>
      </c>
    </row>
    <row r="1760">
      <c r="A1760" s="32" t="n">
        <v>37</v>
      </c>
      <c r="B1760" s="32" t="inlineStr">
        <is>
          <t>K3-2C</t>
        </is>
      </c>
      <c r="F1760" s="32" t="n">
        <v>549.966</v>
      </c>
      <c r="K1760" s="32" t="inlineStr">
        <is>
          <t>20250514-48</t>
        </is>
      </c>
    </row>
    <row r="1761">
      <c r="A1761" s="32" t="n">
        <v>38</v>
      </c>
      <c r="B1761" s="32" t="inlineStr">
        <is>
          <t>MeOH</t>
        </is>
      </c>
      <c r="K1761" s="32" t="inlineStr">
        <is>
          <t>20250514-49</t>
        </is>
      </c>
    </row>
    <row r="1762">
      <c r="A1762" s="32" t="n">
        <v>39</v>
      </c>
      <c r="B1762" s="32" t="inlineStr">
        <is>
          <t>K3-3A</t>
        </is>
      </c>
      <c r="F1762" s="32" t="n">
        <v>896.226</v>
      </c>
      <c r="K1762" s="32" t="inlineStr">
        <is>
          <t>20250514-50</t>
        </is>
      </c>
    </row>
    <row r="1763">
      <c r="A1763" s="32" t="n">
        <v>40</v>
      </c>
      <c r="B1763" s="32" t="inlineStr">
        <is>
          <t>K3-3B</t>
        </is>
      </c>
      <c r="D1763" s="32" t="n">
        <v>10.16</v>
      </c>
      <c r="E1763" s="32" t="n">
        <v>2.469</v>
      </c>
      <c r="F1763" s="32" t="n">
        <v>1005.7</v>
      </c>
      <c r="G1763" s="32" t="n">
        <v>27</v>
      </c>
      <c r="H1763" s="32" t="inlineStr">
        <is>
          <t>MM</t>
        </is>
      </c>
      <c r="K1763" s="32" t="inlineStr">
        <is>
          <t>20250514-51</t>
        </is>
      </c>
    </row>
    <row r="1764">
      <c r="A1764" s="32" t="n">
        <v>41</v>
      </c>
      <c r="B1764" s="32" t="inlineStr">
        <is>
          <t>K3-3C</t>
        </is>
      </c>
      <c r="D1764" s="32" t="n">
        <v>9.51</v>
      </c>
      <c r="E1764" s="32" t="n">
        <v>2.444</v>
      </c>
      <c r="F1764" s="32" t="n">
        <v>1040.161</v>
      </c>
      <c r="G1764" s="32" t="n">
        <v>28</v>
      </c>
      <c r="H1764" s="32" t="inlineStr">
        <is>
          <t>bb</t>
        </is>
      </c>
      <c r="K1764" s="32" t="inlineStr">
        <is>
          <t>20250514-52</t>
        </is>
      </c>
    </row>
    <row r="1765">
      <c r="A1765" s="32" t="n">
        <v>42</v>
      </c>
      <c r="B1765" s="32" t="inlineStr">
        <is>
          <t>K3-4A</t>
        </is>
      </c>
      <c r="F1765" s="32" t="n">
        <v>1196.547</v>
      </c>
      <c r="K1765" s="32" t="inlineStr">
        <is>
          <t>20250514-53</t>
        </is>
      </c>
    </row>
    <row r="1766">
      <c r="A1766" s="32" t="n">
        <v>43</v>
      </c>
      <c r="B1766" s="32" t="inlineStr">
        <is>
          <t>K3-4B</t>
        </is>
      </c>
      <c r="F1766" s="32" t="n">
        <v>1065.462</v>
      </c>
      <c r="K1766" s="32" t="inlineStr">
        <is>
          <t>20250514-54</t>
        </is>
      </c>
    </row>
    <row r="1767">
      <c r="A1767" s="32" t="n">
        <v>44</v>
      </c>
      <c r="B1767" s="32" t="inlineStr">
        <is>
          <t>K3-4C</t>
        </is>
      </c>
      <c r="F1767" s="32" t="n">
        <v>841.401</v>
      </c>
      <c r="K1767" s="32" t="inlineStr">
        <is>
          <t>20250514-55</t>
        </is>
      </c>
    </row>
    <row r="1768">
      <c r="A1768" s="32" t="n">
        <v>45</v>
      </c>
      <c r="B1768" s="32" t="inlineStr">
        <is>
          <t>MeOH</t>
        </is>
      </c>
      <c r="K1768" s="32" t="inlineStr">
        <is>
          <t>20250514-56</t>
        </is>
      </c>
    </row>
    <row r="1769">
      <c r="A1769" s="32" t="n">
        <v>46</v>
      </c>
      <c r="B1769" s="32" t="inlineStr">
        <is>
          <t>K3-6A</t>
        </is>
      </c>
      <c r="D1769" s="32" t="n">
        <v>10.49</v>
      </c>
      <c r="E1769" s="32" t="n">
        <v>0.29</v>
      </c>
      <c r="F1769" s="32" t="n">
        <v>1044.224</v>
      </c>
      <c r="G1769" s="32" t="n">
        <v>3</v>
      </c>
      <c r="H1769" s="32" t="inlineStr">
        <is>
          <t>MM</t>
        </is>
      </c>
      <c r="K1769" s="32" t="inlineStr">
        <is>
          <t>20250514-57</t>
        </is>
      </c>
    </row>
    <row r="1770">
      <c r="A1770" s="32" t="n">
        <v>47</v>
      </c>
      <c r="B1770" s="32" t="inlineStr">
        <is>
          <t>K3-6B</t>
        </is>
      </c>
      <c r="D1770" s="32" t="n">
        <v>10.92</v>
      </c>
      <c r="E1770" s="32" t="n">
        <v>5.618</v>
      </c>
      <c r="F1770" s="32" t="n">
        <v>517.776</v>
      </c>
      <c r="G1770" s="32" t="n">
        <v>56</v>
      </c>
      <c r="H1770" s="32" t="inlineStr">
        <is>
          <t>MM</t>
        </is>
      </c>
      <c r="K1770" s="32" t="inlineStr">
        <is>
          <t>20250514-58</t>
        </is>
      </c>
    </row>
    <row r="1771">
      <c r="A1771" s="32" t="n">
        <v>48</v>
      </c>
      <c r="B1771" s="32" t="inlineStr">
        <is>
          <t>K3-6C</t>
        </is>
      </c>
      <c r="F1771" s="32" t="n">
        <v>709.654</v>
      </c>
      <c r="K1771" s="32" t="inlineStr">
        <is>
          <t>20250514-59</t>
        </is>
      </c>
    </row>
    <row r="1773">
      <c r="A1773" s="32" t="inlineStr">
        <is>
          <t>Compound 35:  PFPeS 2</t>
        </is>
      </c>
    </row>
    <row r="1775">
      <c r="B1775" s="32" t="inlineStr">
        <is>
          <t>Sample Text</t>
        </is>
      </c>
      <c r="C1775" s="32" t="inlineStr">
        <is>
          <t>Std. Conc</t>
        </is>
      </c>
      <c r="D1775" s="32" t="inlineStr">
        <is>
          <t>RT</t>
        </is>
      </c>
      <c r="E1775" s="32" t="inlineStr">
        <is>
          <t>Area</t>
        </is>
      </c>
      <c r="F1775" s="32" t="inlineStr">
        <is>
          <t>IS Area</t>
        </is>
      </c>
      <c r="G1775" s="32" t="inlineStr">
        <is>
          <t>S/N</t>
        </is>
      </c>
      <c r="H1775" s="32" t="inlineStr">
        <is>
          <t>Primary Flags</t>
        </is>
      </c>
      <c r="I1775" s="32" t="inlineStr">
        <is>
          <t>Response</t>
        </is>
      </c>
      <c r="J1775" s="32" t="inlineStr">
        <is>
          <t>Conc.</t>
        </is>
      </c>
      <c r="K1775" s="32" t="inlineStr">
        <is>
          <t>Name</t>
        </is>
      </c>
    </row>
    <row r="1776">
      <c r="A1776" s="32" t="n">
        <v>1</v>
      </c>
      <c r="B1776" s="32" t="inlineStr">
        <is>
          <t>EPA1633 &amp; diPAPs Calibration 0 ppb</t>
        </is>
      </c>
      <c r="D1776" s="32" t="n">
        <v>10.41</v>
      </c>
      <c r="E1776" s="32" t="n">
        <v>18.052</v>
      </c>
      <c r="F1776" s="32" t="n">
        <v>1480.336</v>
      </c>
      <c r="G1776" s="32" t="n">
        <v>192</v>
      </c>
      <c r="H1776" s="32" t="inlineStr">
        <is>
          <t>MM</t>
        </is>
      </c>
      <c r="K1776" s="32" t="inlineStr">
        <is>
          <t>20250514-12</t>
        </is>
      </c>
    </row>
    <row r="1777">
      <c r="A1777" s="32" t="n">
        <v>2</v>
      </c>
      <c r="B1777" s="32" t="inlineStr">
        <is>
          <t>EPA1633 &amp; diPAPs Calibration 0.02 ppb</t>
        </is>
      </c>
      <c r="D1777" s="32" t="n">
        <v>9.24</v>
      </c>
      <c r="E1777" s="32" t="n">
        <v>18.825</v>
      </c>
      <c r="F1777" s="32" t="n">
        <v>1118.817</v>
      </c>
      <c r="G1777" s="32" t="n">
        <v>143</v>
      </c>
      <c r="H1777" s="32" t="inlineStr">
        <is>
          <t>bb</t>
        </is>
      </c>
      <c r="K1777" s="32" t="inlineStr">
        <is>
          <t>20250514-13</t>
        </is>
      </c>
    </row>
    <row r="1778">
      <c r="A1778" s="32" t="n">
        <v>3</v>
      </c>
      <c r="B1778" s="32" t="inlineStr">
        <is>
          <t>EPA1633 &amp; diPAPs Calibration 0.1 ppb</t>
        </is>
      </c>
      <c r="D1778" s="32" t="n">
        <v>9.26</v>
      </c>
      <c r="E1778" s="32" t="n">
        <v>119.856</v>
      </c>
      <c r="F1778" s="32" t="n">
        <v>1446.88</v>
      </c>
      <c r="G1778" s="32" t="n">
        <v>1024</v>
      </c>
      <c r="H1778" s="32" t="inlineStr">
        <is>
          <t>bb</t>
        </is>
      </c>
      <c r="K1778" s="32" t="inlineStr">
        <is>
          <t>20250514-14</t>
        </is>
      </c>
    </row>
    <row r="1779">
      <c r="A1779" s="32" t="n">
        <v>4</v>
      </c>
      <c r="B1779" s="32" t="inlineStr">
        <is>
          <t>EPA1633 &amp; diPAPs Calibration 0.4 ppb</t>
        </is>
      </c>
      <c r="D1779" s="32" t="n">
        <v>9.279999999999999</v>
      </c>
      <c r="E1779" s="32" t="n">
        <v>186.457</v>
      </c>
      <c r="F1779" s="32" t="n">
        <v>1124.702</v>
      </c>
      <c r="G1779" s="32" t="n">
        <v>1880</v>
      </c>
      <c r="H1779" s="32" t="inlineStr">
        <is>
          <t>bb</t>
        </is>
      </c>
      <c r="K1779" s="32" t="inlineStr">
        <is>
          <t>20250514-15</t>
        </is>
      </c>
    </row>
    <row r="1780">
      <c r="A1780" s="32" t="n">
        <v>5</v>
      </c>
      <c r="B1780" s="32" t="inlineStr">
        <is>
          <t>EPA1633 &amp; diPAPs Calibration 1 ppb</t>
        </is>
      </c>
      <c r="D1780" s="32" t="n">
        <v>9.279999999999999</v>
      </c>
      <c r="E1780" s="32" t="n">
        <v>363.759</v>
      </c>
      <c r="F1780" s="32" t="n">
        <v>1602.721</v>
      </c>
      <c r="G1780" s="32" t="n">
        <v>31.03</v>
      </c>
      <c r="H1780" s="32" t="inlineStr">
        <is>
          <t>bb</t>
        </is>
      </c>
      <c r="K1780" s="32" t="inlineStr">
        <is>
          <t>20250514-16</t>
        </is>
      </c>
    </row>
    <row r="1781">
      <c r="A1781" s="32" t="n">
        <v>6</v>
      </c>
      <c r="B1781" s="32" t="inlineStr">
        <is>
          <t>EPA1633 &amp; diPAPs Calibration 5 ppb</t>
        </is>
      </c>
      <c r="D1781" s="32" t="n">
        <v>9.130000000000001</v>
      </c>
      <c r="E1781" s="32" t="n">
        <v>1926.568</v>
      </c>
      <c r="F1781" s="32" t="n">
        <v>1363.196</v>
      </c>
      <c r="G1781" s="32" t="n">
        <v>16989</v>
      </c>
      <c r="H1781" s="32" t="inlineStr">
        <is>
          <t>bb</t>
        </is>
      </c>
      <c r="K1781" s="32" t="inlineStr">
        <is>
          <t>20250514-17</t>
        </is>
      </c>
    </row>
    <row r="1782">
      <c r="A1782" s="32" t="n">
        <v>7</v>
      </c>
      <c r="B1782" s="32" t="inlineStr">
        <is>
          <t>EPA1633 &amp; diPAPs Calibration 10 ppb</t>
        </is>
      </c>
      <c r="D1782" s="32" t="n">
        <v>9.19</v>
      </c>
      <c r="E1782" s="32" t="n">
        <v>3846.638</v>
      </c>
      <c r="F1782" s="32" t="n">
        <v>972.191</v>
      </c>
      <c r="G1782" s="32" t="n">
        <v>32664</v>
      </c>
      <c r="H1782" s="32" t="inlineStr">
        <is>
          <t>bb</t>
        </is>
      </c>
      <c r="K1782" s="32" t="inlineStr">
        <is>
          <t>20250514-18</t>
        </is>
      </c>
    </row>
    <row r="1783">
      <c r="A1783" s="32" t="n">
        <v>8</v>
      </c>
      <c r="B1783" s="32" t="inlineStr">
        <is>
          <t>EPA1633 &amp; diPAPs Calibration 20 ppb</t>
        </is>
      </c>
      <c r="D1783" s="32" t="n">
        <v>9.25</v>
      </c>
      <c r="E1783" s="32" t="n">
        <v>8717.501</v>
      </c>
      <c r="F1783" s="32" t="n">
        <v>963.742</v>
      </c>
      <c r="G1783" s="32" t="n">
        <v>110.548</v>
      </c>
      <c r="H1783" s="32" t="inlineStr">
        <is>
          <t>bb</t>
        </is>
      </c>
      <c r="K1783" s="32" t="inlineStr">
        <is>
          <t>20250514-19</t>
        </is>
      </c>
    </row>
    <row r="1784">
      <c r="A1784" s="32" t="n">
        <v>9</v>
      </c>
      <c r="B1784" s="32" t="inlineStr">
        <is>
          <t>MeOH</t>
        </is>
      </c>
      <c r="D1784" s="32" t="n">
        <v>8.710000000000001</v>
      </c>
      <c r="E1784" s="32" t="n">
        <v>3.638</v>
      </c>
      <c r="G1784" s="32" t="n">
        <v>52</v>
      </c>
      <c r="H1784" s="32" t="inlineStr">
        <is>
          <t>bb</t>
        </is>
      </c>
      <c r="K1784" s="32" t="inlineStr">
        <is>
          <t>20250514-20</t>
        </is>
      </c>
    </row>
    <row r="1785">
      <c r="A1785" s="32" t="n">
        <v>10</v>
      </c>
      <c r="B1785" s="32" t="inlineStr">
        <is>
          <t>MeOH</t>
        </is>
      </c>
      <c r="K1785" s="32" t="inlineStr">
        <is>
          <t>20250514-21</t>
        </is>
      </c>
    </row>
    <row r="1786">
      <c r="A1786" s="32" t="n">
        <v>11</v>
      </c>
      <c r="B1786" s="32" t="inlineStr">
        <is>
          <t>SB1</t>
        </is>
      </c>
      <c r="F1786" s="32" t="n">
        <v>517.296</v>
      </c>
      <c r="K1786" s="32" t="inlineStr">
        <is>
          <t>20250514-22</t>
        </is>
      </c>
    </row>
    <row r="1787">
      <c r="A1787" s="32" t="n">
        <v>12</v>
      </c>
      <c r="B1787" s="32" t="inlineStr">
        <is>
          <t>SB2</t>
        </is>
      </c>
      <c r="D1787" s="32" t="n">
        <v>9.199999999999999</v>
      </c>
      <c r="E1787" s="32" t="n">
        <v>1.579</v>
      </c>
      <c r="F1787" s="32" t="n">
        <v>658.292</v>
      </c>
      <c r="G1787" s="32" t="n">
        <v>0.607</v>
      </c>
      <c r="H1787" s="32" t="inlineStr">
        <is>
          <t>bb</t>
        </is>
      </c>
      <c r="K1787" s="32" t="inlineStr">
        <is>
          <t>20250514-23</t>
        </is>
      </c>
    </row>
    <row r="1788">
      <c r="A1788" s="32" t="n">
        <v>13</v>
      </c>
      <c r="B1788" s="32" t="inlineStr">
        <is>
          <t>SB3</t>
        </is>
      </c>
      <c r="D1788" s="32" t="n">
        <v>8.779999999999999</v>
      </c>
      <c r="E1788" s="32" t="n">
        <v>6.133</v>
      </c>
      <c r="F1788" s="32" t="n">
        <v>554.321</v>
      </c>
      <c r="G1788" s="32" t="n">
        <v>85</v>
      </c>
      <c r="H1788" s="32" t="inlineStr">
        <is>
          <t>bb</t>
        </is>
      </c>
      <c r="K1788" s="32" t="inlineStr">
        <is>
          <t>20250514-24</t>
        </is>
      </c>
    </row>
    <row r="1789">
      <c r="A1789" s="32" t="n">
        <v>14</v>
      </c>
      <c r="B1789" s="32" t="inlineStr">
        <is>
          <t>SS1</t>
        </is>
      </c>
      <c r="D1789" s="32" t="n">
        <v>9.359999999999999</v>
      </c>
      <c r="E1789" s="32" t="n">
        <v>1720.557</v>
      </c>
      <c r="F1789" s="32" t="n">
        <v>423.941</v>
      </c>
      <c r="G1789" s="32" t="n">
        <v>13926</v>
      </c>
      <c r="H1789" s="32" t="inlineStr">
        <is>
          <t>bb</t>
        </is>
      </c>
      <c r="K1789" s="32" t="inlineStr">
        <is>
          <t>20250514-25</t>
        </is>
      </c>
    </row>
    <row r="1790">
      <c r="A1790" s="32" t="n">
        <v>15</v>
      </c>
      <c r="B1790" s="32" t="inlineStr">
        <is>
          <t>SS2</t>
        </is>
      </c>
      <c r="D1790" s="32" t="n">
        <v>9.359999999999999</v>
      </c>
      <c r="E1790" s="32" t="n">
        <v>2230.366</v>
      </c>
      <c r="F1790" s="32" t="n">
        <v>665.876</v>
      </c>
      <c r="G1790" s="32" t="n">
        <v>18.384</v>
      </c>
      <c r="H1790" s="32" t="inlineStr">
        <is>
          <t>bb</t>
        </is>
      </c>
      <c r="K1790" s="32" t="inlineStr">
        <is>
          <t>20250514-26</t>
        </is>
      </c>
    </row>
    <row r="1791">
      <c r="A1791" s="32" t="n">
        <v>16</v>
      </c>
      <c r="B1791" s="32" t="inlineStr">
        <is>
          <t>SS3</t>
        </is>
      </c>
      <c r="D1791" s="32" t="n">
        <v>9.359999999999999</v>
      </c>
      <c r="E1791" s="32" t="n">
        <v>1703.595</v>
      </c>
      <c r="F1791" s="32" t="n">
        <v>514.421</v>
      </c>
      <c r="G1791" s="32" t="n">
        <v>64.093</v>
      </c>
      <c r="H1791" s="32" t="inlineStr">
        <is>
          <t>bb</t>
        </is>
      </c>
      <c r="K1791" s="32" t="inlineStr">
        <is>
          <t>20250514-27</t>
        </is>
      </c>
    </row>
    <row r="1792">
      <c r="A1792" s="32" t="n">
        <v>17</v>
      </c>
      <c r="B1792" s="32" t="inlineStr">
        <is>
          <t>MeOH</t>
        </is>
      </c>
      <c r="D1792" s="32" t="n">
        <v>9.35</v>
      </c>
      <c r="E1792" s="32" t="n">
        <v>1.814</v>
      </c>
      <c r="G1792" s="32" t="n">
        <v>0.376</v>
      </c>
      <c r="H1792" s="32" t="inlineStr">
        <is>
          <t>bb</t>
        </is>
      </c>
      <c r="K1792" s="32" t="inlineStr">
        <is>
          <t>20250514-28</t>
        </is>
      </c>
    </row>
    <row r="1793">
      <c r="A1793" s="32" t="n">
        <v>18</v>
      </c>
      <c r="B1793" s="32" t="inlineStr">
        <is>
          <t>K4-1A</t>
        </is>
      </c>
      <c r="D1793" s="32" t="n">
        <v>9.07</v>
      </c>
      <c r="E1793" s="32" t="n">
        <v>16.916</v>
      </c>
      <c r="F1793" s="32" t="n">
        <v>562.856</v>
      </c>
      <c r="G1793" s="32" t="n">
        <v>1.269</v>
      </c>
      <c r="H1793" s="32" t="inlineStr">
        <is>
          <t>bb</t>
        </is>
      </c>
      <c r="K1793" s="32" t="inlineStr">
        <is>
          <t>20250514-29</t>
        </is>
      </c>
    </row>
    <row r="1794">
      <c r="A1794" s="32" t="n">
        <v>19</v>
      </c>
      <c r="B1794" s="32" t="inlineStr">
        <is>
          <t>K4-1B</t>
        </is>
      </c>
      <c r="D1794" s="32" t="n">
        <v>8.789999999999999</v>
      </c>
      <c r="E1794" s="32" t="n">
        <v>16.882</v>
      </c>
      <c r="F1794" s="32" t="n">
        <v>709.3200000000001</v>
      </c>
      <c r="G1794" s="32" t="n">
        <v>234</v>
      </c>
      <c r="H1794" s="32" t="inlineStr">
        <is>
          <t>bb</t>
        </is>
      </c>
      <c r="K1794" s="32" t="inlineStr">
        <is>
          <t>20250514-30</t>
        </is>
      </c>
    </row>
    <row r="1795">
      <c r="A1795" s="32" t="n">
        <v>20</v>
      </c>
      <c r="B1795" s="32" t="inlineStr">
        <is>
          <t>K4-1C</t>
        </is>
      </c>
      <c r="D1795" s="32" t="n">
        <v>8.93</v>
      </c>
      <c r="E1795" s="32" t="n">
        <v>9.448</v>
      </c>
      <c r="F1795" s="32" t="n">
        <v>545.8630000000001</v>
      </c>
      <c r="G1795" s="32" t="n">
        <v>125</v>
      </c>
      <c r="H1795" s="32" t="inlineStr">
        <is>
          <t>bb</t>
        </is>
      </c>
      <c r="K1795" s="32" t="inlineStr">
        <is>
          <t>20250514-31</t>
        </is>
      </c>
    </row>
    <row r="1796">
      <c r="A1796" s="32" t="n">
        <v>21</v>
      </c>
      <c r="B1796" s="32" t="inlineStr">
        <is>
          <t>K4-2A</t>
        </is>
      </c>
      <c r="D1796" s="32" t="n">
        <v>9.24</v>
      </c>
      <c r="E1796" s="32" t="n">
        <v>14.523</v>
      </c>
      <c r="F1796" s="32" t="n">
        <v>889.295</v>
      </c>
      <c r="G1796" s="32" t="n">
        <v>3.773</v>
      </c>
      <c r="H1796" s="32" t="inlineStr">
        <is>
          <t>bb</t>
        </is>
      </c>
      <c r="K1796" s="32" t="inlineStr">
        <is>
          <t>20250514-32</t>
        </is>
      </c>
    </row>
    <row r="1797">
      <c r="A1797" s="32" t="n">
        <v>22</v>
      </c>
      <c r="B1797" s="32" t="inlineStr">
        <is>
          <t>K4-2B</t>
        </is>
      </c>
      <c r="D1797" s="32" t="n">
        <v>9.69</v>
      </c>
      <c r="E1797" s="32" t="n">
        <v>2.248</v>
      </c>
      <c r="F1797" s="32" t="n">
        <v>819.534</v>
      </c>
      <c r="G1797" s="32" t="n">
        <v>25</v>
      </c>
      <c r="H1797" s="32" t="inlineStr">
        <is>
          <t>bb</t>
        </is>
      </c>
      <c r="K1797" s="32" t="inlineStr">
        <is>
          <t>20250514-33</t>
        </is>
      </c>
    </row>
    <row r="1798">
      <c r="A1798" s="32" t="n">
        <v>23</v>
      </c>
      <c r="B1798" s="32" t="inlineStr">
        <is>
          <t>K4-2C</t>
        </is>
      </c>
      <c r="F1798" s="32" t="n">
        <v>609.211</v>
      </c>
      <c r="K1798" s="32" t="inlineStr">
        <is>
          <t>20250514-34</t>
        </is>
      </c>
    </row>
    <row r="1799">
      <c r="A1799" s="32" t="n">
        <v>24</v>
      </c>
      <c r="B1799" s="32" t="inlineStr">
        <is>
          <t>MeOH</t>
        </is>
      </c>
      <c r="D1799" s="32" t="n">
        <v>9.43</v>
      </c>
      <c r="E1799" s="32" t="n">
        <v>4.932</v>
      </c>
      <c r="G1799" s="32" t="n">
        <v>13.517</v>
      </c>
      <c r="H1799" s="32" t="inlineStr">
        <is>
          <t>bb</t>
        </is>
      </c>
      <c r="K1799" s="32" t="inlineStr">
        <is>
          <t>20250514-35</t>
        </is>
      </c>
    </row>
    <row r="1800">
      <c r="A1800" s="32" t="n">
        <v>25</v>
      </c>
      <c r="B1800" s="32" t="inlineStr">
        <is>
          <t>K4-4A</t>
        </is>
      </c>
      <c r="D1800" s="32" t="n">
        <v>8.880000000000001</v>
      </c>
      <c r="E1800" s="32" t="n">
        <v>2.948</v>
      </c>
      <c r="F1800" s="32" t="n">
        <v>836.772</v>
      </c>
      <c r="G1800" s="32" t="n">
        <v>40</v>
      </c>
      <c r="H1800" s="32" t="inlineStr">
        <is>
          <t>bb</t>
        </is>
      </c>
      <c r="K1800" s="32" t="inlineStr">
        <is>
          <t>20250514-36</t>
        </is>
      </c>
    </row>
    <row r="1801">
      <c r="A1801" s="32" t="n">
        <v>26</v>
      </c>
      <c r="B1801" s="32" t="inlineStr">
        <is>
          <t>K4-4B</t>
        </is>
      </c>
      <c r="D1801" s="32" t="n">
        <v>9.34</v>
      </c>
      <c r="E1801" s="32" t="n">
        <v>5.929</v>
      </c>
      <c r="F1801" s="32" t="n">
        <v>461.157</v>
      </c>
      <c r="G1801" s="32" t="n">
        <v>72</v>
      </c>
      <c r="H1801" s="32" t="inlineStr">
        <is>
          <t>bb</t>
        </is>
      </c>
      <c r="K1801" s="32" t="inlineStr">
        <is>
          <t>20250514-37</t>
        </is>
      </c>
    </row>
    <row r="1802">
      <c r="A1802" s="32" t="n">
        <v>27</v>
      </c>
      <c r="B1802" s="32" t="inlineStr">
        <is>
          <t>K4-4C</t>
        </is>
      </c>
      <c r="D1802" s="32" t="n">
        <v>9.27</v>
      </c>
      <c r="E1802" s="32" t="n">
        <v>5.074</v>
      </c>
      <c r="F1802" s="32" t="n">
        <v>666.644</v>
      </c>
      <c r="G1802" s="32" t="n">
        <v>61</v>
      </c>
      <c r="H1802" s="32" t="inlineStr">
        <is>
          <t>bb</t>
        </is>
      </c>
      <c r="K1802" s="32" t="inlineStr">
        <is>
          <t>20250514-38</t>
        </is>
      </c>
    </row>
    <row r="1803">
      <c r="A1803" s="32" t="n">
        <v>28</v>
      </c>
      <c r="B1803" s="32" t="inlineStr">
        <is>
          <t>K4-5A</t>
        </is>
      </c>
      <c r="F1803" s="32" t="n">
        <v>578.409</v>
      </c>
      <c r="K1803" s="32" t="inlineStr">
        <is>
          <t>20250514-39</t>
        </is>
      </c>
    </row>
    <row r="1804">
      <c r="A1804" s="32" t="n">
        <v>29</v>
      </c>
      <c r="B1804" s="32" t="inlineStr">
        <is>
          <t>K4-5B</t>
        </is>
      </c>
      <c r="F1804" s="32" t="n">
        <v>575.86</v>
      </c>
      <c r="K1804" s="32" t="inlineStr">
        <is>
          <t>20250514-40</t>
        </is>
      </c>
    </row>
    <row r="1805">
      <c r="A1805" s="32" t="n">
        <v>30</v>
      </c>
      <c r="B1805" s="32" t="inlineStr">
        <is>
          <t>K4-5C</t>
        </is>
      </c>
      <c r="D1805" s="32" t="n">
        <v>9.17</v>
      </c>
      <c r="E1805" s="32" t="n">
        <v>1.179</v>
      </c>
      <c r="F1805" s="32" t="n">
        <v>648.184</v>
      </c>
      <c r="G1805" s="32" t="n">
        <v>14</v>
      </c>
      <c r="H1805" s="32" t="inlineStr">
        <is>
          <t>bb</t>
        </is>
      </c>
      <c r="K1805" s="32" t="inlineStr">
        <is>
          <t>20250514-41</t>
        </is>
      </c>
    </row>
    <row r="1806">
      <c r="A1806" s="32" t="n">
        <v>31</v>
      </c>
      <c r="B1806" s="32" t="inlineStr">
        <is>
          <t>MeOH</t>
        </is>
      </c>
      <c r="K1806" s="32" t="inlineStr">
        <is>
          <t>20250514-42</t>
        </is>
      </c>
    </row>
    <row r="1807">
      <c r="A1807" s="32" t="n">
        <v>32</v>
      </c>
      <c r="B1807" s="32" t="inlineStr">
        <is>
          <t>K3-1A</t>
        </is>
      </c>
      <c r="F1807" s="32" t="n">
        <v>704.658</v>
      </c>
      <c r="K1807" s="32" t="inlineStr">
        <is>
          <t>20250514-43</t>
        </is>
      </c>
    </row>
    <row r="1808">
      <c r="A1808" s="32" t="n">
        <v>33</v>
      </c>
      <c r="B1808" s="32" t="inlineStr">
        <is>
          <t>K3-1B</t>
        </is>
      </c>
      <c r="D1808" s="32" t="n">
        <v>9.25</v>
      </c>
      <c r="E1808" s="32" t="n">
        <v>27.141</v>
      </c>
      <c r="F1808" s="32" t="n">
        <v>589.025</v>
      </c>
      <c r="G1808" s="32" t="n">
        <v>16.184</v>
      </c>
      <c r="H1808" s="32" t="inlineStr">
        <is>
          <t>bb</t>
        </is>
      </c>
      <c r="K1808" s="32" t="inlineStr">
        <is>
          <t>20250514-44</t>
        </is>
      </c>
    </row>
    <row r="1809">
      <c r="A1809" s="32" t="n">
        <v>34</v>
      </c>
      <c r="B1809" s="32" t="inlineStr">
        <is>
          <t>K3-1C</t>
        </is>
      </c>
      <c r="F1809" s="32" t="n">
        <v>902.054</v>
      </c>
      <c r="K1809" s="32" t="inlineStr">
        <is>
          <t>20250514-45</t>
        </is>
      </c>
    </row>
    <row r="1810">
      <c r="A1810" s="32" t="n">
        <v>35</v>
      </c>
      <c r="B1810" s="32" t="inlineStr">
        <is>
          <t>K3-2A</t>
        </is>
      </c>
      <c r="D1810" s="32" t="n">
        <v>9.18</v>
      </c>
      <c r="E1810" s="32" t="n">
        <v>22.856</v>
      </c>
      <c r="F1810" s="32" t="n">
        <v>786.168</v>
      </c>
      <c r="G1810" s="32" t="n">
        <v>255</v>
      </c>
      <c r="H1810" s="32" t="inlineStr">
        <is>
          <t>bb</t>
        </is>
      </c>
      <c r="K1810" s="32" t="inlineStr">
        <is>
          <t>20250514-46</t>
        </is>
      </c>
    </row>
    <row r="1811">
      <c r="A1811" s="32" t="n">
        <v>36</v>
      </c>
      <c r="B1811" s="32" t="inlineStr">
        <is>
          <t>K3-2B</t>
        </is>
      </c>
      <c r="F1811" s="32" t="n">
        <v>847.954</v>
      </c>
      <c r="K1811" s="32" t="inlineStr">
        <is>
          <t>20250514-47</t>
        </is>
      </c>
    </row>
    <row r="1812">
      <c r="A1812" s="32" t="n">
        <v>37</v>
      </c>
      <c r="B1812" s="32" t="inlineStr">
        <is>
          <t>K3-2C</t>
        </is>
      </c>
      <c r="F1812" s="32" t="n">
        <v>549.966</v>
      </c>
      <c r="K1812" s="32" t="inlineStr">
        <is>
          <t>20250514-48</t>
        </is>
      </c>
    </row>
    <row r="1813">
      <c r="A1813" s="32" t="n">
        <v>38</v>
      </c>
      <c r="B1813" s="32" t="inlineStr">
        <is>
          <t>MeOH</t>
        </is>
      </c>
      <c r="D1813" s="32" t="n">
        <v>9.56</v>
      </c>
      <c r="E1813" s="32" t="n">
        <v>2.443</v>
      </c>
      <c r="G1813" s="32" t="n">
        <v>27</v>
      </c>
      <c r="H1813" s="32" t="inlineStr">
        <is>
          <t>bb</t>
        </is>
      </c>
      <c r="K1813" s="32" t="inlineStr">
        <is>
          <t>20250514-49</t>
        </is>
      </c>
    </row>
    <row r="1814">
      <c r="A1814" s="32" t="n">
        <v>39</v>
      </c>
      <c r="B1814" s="32" t="inlineStr">
        <is>
          <t>K3-3A</t>
        </is>
      </c>
      <c r="D1814" s="32" t="n">
        <v>9.630000000000001</v>
      </c>
      <c r="E1814" s="32" t="n">
        <v>37.054</v>
      </c>
      <c r="F1814" s="32" t="n">
        <v>896.226</v>
      </c>
      <c r="G1814" s="32" t="n">
        <v>1.672</v>
      </c>
      <c r="H1814" s="32" t="inlineStr">
        <is>
          <t>bb</t>
        </is>
      </c>
      <c r="K1814" s="32" t="inlineStr">
        <is>
          <t>20250514-50</t>
        </is>
      </c>
    </row>
    <row r="1815">
      <c r="A1815" s="32" t="n">
        <v>40</v>
      </c>
      <c r="B1815" s="32" t="inlineStr">
        <is>
          <t>K3-3B</t>
        </is>
      </c>
      <c r="D1815" s="32" t="n">
        <v>8.77</v>
      </c>
      <c r="E1815" s="32" t="n">
        <v>2.697</v>
      </c>
      <c r="F1815" s="32" t="n">
        <v>1005.7</v>
      </c>
      <c r="G1815" s="32" t="n">
        <v>38</v>
      </c>
      <c r="H1815" s="32" t="inlineStr">
        <is>
          <t>bb</t>
        </is>
      </c>
      <c r="K1815" s="32" t="inlineStr">
        <is>
          <t>20250514-51</t>
        </is>
      </c>
    </row>
    <row r="1816">
      <c r="A1816" s="32" t="n">
        <v>41</v>
      </c>
      <c r="B1816" s="32" t="inlineStr">
        <is>
          <t>K3-3C</t>
        </is>
      </c>
      <c r="D1816" s="32" t="n">
        <v>9.18</v>
      </c>
      <c r="E1816" s="32" t="n">
        <v>3.216</v>
      </c>
      <c r="F1816" s="32" t="n">
        <v>1040.161</v>
      </c>
      <c r="G1816" s="32" t="n">
        <v>38</v>
      </c>
      <c r="H1816" s="32" t="inlineStr">
        <is>
          <t>bb</t>
        </is>
      </c>
      <c r="K1816" s="32" t="inlineStr">
        <is>
          <t>20250514-52</t>
        </is>
      </c>
    </row>
    <row r="1817">
      <c r="A1817" s="32" t="n">
        <v>42</v>
      </c>
      <c r="B1817" s="32" t="inlineStr">
        <is>
          <t>K3-4A</t>
        </is>
      </c>
      <c r="D1817" s="32" t="n">
        <v>9.23</v>
      </c>
      <c r="E1817" s="32" t="n">
        <v>9.548999999999999</v>
      </c>
      <c r="F1817" s="32" t="n">
        <v>1196.547</v>
      </c>
      <c r="G1817" s="32" t="n">
        <v>113</v>
      </c>
      <c r="H1817" s="32" t="inlineStr">
        <is>
          <t>bb</t>
        </is>
      </c>
      <c r="K1817" s="32" t="inlineStr">
        <is>
          <t>20250514-53</t>
        </is>
      </c>
    </row>
    <row r="1818">
      <c r="A1818" s="32" t="n">
        <v>43</v>
      </c>
      <c r="B1818" s="32" t="inlineStr">
        <is>
          <t>K3-4B</t>
        </is>
      </c>
      <c r="D1818" s="32" t="n">
        <v>9.74</v>
      </c>
      <c r="E1818" s="32" t="n">
        <v>9.888999999999999</v>
      </c>
      <c r="F1818" s="32" t="n">
        <v>1065.462</v>
      </c>
      <c r="G1818" s="32" t="n">
        <v>110</v>
      </c>
      <c r="H1818" s="32" t="inlineStr">
        <is>
          <t>bb</t>
        </is>
      </c>
      <c r="K1818" s="32" t="inlineStr">
        <is>
          <t>20250514-54</t>
        </is>
      </c>
    </row>
    <row r="1819">
      <c r="A1819" s="32" t="n">
        <v>44</v>
      </c>
      <c r="B1819" s="32" t="inlineStr">
        <is>
          <t>K3-4C</t>
        </is>
      </c>
      <c r="D1819" s="32" t="n">
        <v>9.369999999999999</v>
      </c>
      <c r="E1819" s="32" t="n">
        <v>23.595</v>
      </c>
      <c r="F1819" s="32" t="n">
        <v>841.401</v>
      </c>
      <c r="G1819" s="32" t="n">
        <v>280</v>
      </c>
      <c r="H1819" s="32" t="inlineStr">
        <is>
          <t>bb</t>
        </is>
      </c>
      <c r="K1819" s="32" t="inlineStr">
        <is>
          <t>20250514-55</t>
        </is>
      </c>
    </row>
    <row r="1820">
      <c r="A1820" s="32" t="n">
        <v>45</v>
      </c>
      <c r="B1820" s="32" t="inlineStr">
        <is>
          <t>MeOH</t>
        </is>
      </c>
      <c r="K1820" s="32" t="inlineStr">
        <is>
          <t>20250514-56</t>
        </is>
      </c>
    </row>
    <row r="1821">
      <c r="A1821" s="32" t="n">
        <v>46</v>
      </c>
      <c r="B1821" s="32" t="inlineStr">
        <is>
          <t>K3-6A</t>
        </is>
      </c>
      <c r="D1821" s="32" t="n">
        <v>9.42</v>
      </c>
      <c r="E1821" s="32" t="n">
        <v>5.352</v>
      </c>
      <c r="F1821" s="32" t="n">
        <v>1044.224</v>
      </c>
      <c r="G1821" s="32" t="n">
        <v>63</v>
      </c>
      <c r="H1821" s="32" t="inlineStr">
        <is>
          <t>bb</t>
        </is>
      </c>
      <c r="K1821" s="32" t="inlineStr">
        <is>
          <t>20250514-57</t>
        </is>
      </c>
    </row>
    <row r="1822">
      <c r="A1822" s="32" t="n">
        <v>47</v>
      </c>
      <c r="B1822" s="32" t="inlineStr">
        <is>
          <t>K3-6B</t>
        </is>
      </c>
      <c r="D1822" s="32" t="n">
        <v>9.390000000000001</v>
      </c>
      <c r="E1822" s="32" t="n">
        <v>9.948</v>
      </c>
      <c r="F1822" s="32" t="n">
        <v>517.776</v>
      </c>
      <c r="G1822" s="32" t="n">
        <v>75</v>
      </c>
      <c r="H1822" s="32" t="inlineStr">
        <is>
          <t>bb</t>
        </is>
      </c>
      <c r="K1822" s="32" t="inlineStr">
        <is>
          <t>20250514-58</t>
        </is>
      </c>
    </row>
    <row r="1823">
      <c r="A1823" s="32" t="n">
        <v>48</v>
      </c>
      <c r="B1823" s="32" t="inlineStr">
        <is>
          <t>K3-6C</t>
        </is>
      </c>
      <c r="D1823" s="32" t="n">
        <v>9.23</v>
      </c>
      <c r="E1823" s="32" t="n">
        <v>0.42</v>
      </c>
      <c r="F1823" s="32" t="n">
        <v>709.654</v>
      </c>
      <c r="G1823" s="32" t="n">
        <v>0.534</v>
      </c>
      <c r="H1823" s="32" t="inlineStr">
        <is>
          <t>bb</t>
        </is>
      </c>
      <c r="K1823" s="32" t="inlineStr">
        <is>
          <t>20250514-59</t>
        </is>
      </c>
    </row>
    <row r="1825">
      <c r="A1825" s="32" t="inlineStr">
        <is>
          <t>Compound 36:  6:2 FTUCA</t>
        </is>
      </c>
    </row>
    <row r="1827">
      <c r="B1827" s="32" t="inlineStr">
        <is>
          <t>Sample Text</t>
        </is>
      </c>
      <c r="C1827" s="32" t="inlineStr">
        <is>
          <t>Std. Conc</t>
        </is>
      </c>
      <c r="D1827" s="32" t="inlineStr">
        <is>
          <t>RT</t>
        </is>
      </c>
      <c r="E1827" s="32" t="inlineStr">
        <is>
          <t>Area</t>
        </is>
      </c>
      <c r="F1827" s="32" t="inlineStr">
        <is>
          <t>IS Area</t>
        </is>
      </c>
      <c r="G1827" s="32" t="inlineStr">
        <is>
          <t>S/N</t>
        </is>
      </c>
      <c r="H1827" s="32" t="inlineStr">
        <is>
          <t>Primary Flags</t>
        </is>
      </c>
      <c r="I1827" s="32" t="inlineStr">
        <is>
          <t>Response</t>
        </is>
      </c>
      <c r="J1827" s="32" t="inlineStr">
        <is>
          <t>Conc.</t>
        </is>
      </c>
      <c r="K1827" s="32" t="inlineStr">
        <is>
          <t>Name</t>
        </is>
      </c>
    </row>
    <row r="1828">
      <c r="A1828" s="32" t="n">
        <v>1</v>
      </c>
      <c r="B1828" s="32" t="inlineStr">
        <is>
          <t>EPA1633 &amp; diPAPs Calibration 0 ppb</t>
        </is>
      </c>
      <c r="D1828" s="32" t="n">
        <v>10.83</v>
      </c>
      <c r="E1828" s="32" t="n">
        <v>92.34999999999999</v>
      </c>
      <c r="F1828" s="32" t="n">
        <v>8287.344999999999</v>
      </c>
      <c r="G1828" s="32" t="n">
        <v>14.663</v>
      </c>
      <c r="H1828" s="32" t="inlineStr">
        <is>
          <t>bb</t>
        </is>
      </c>
      <c r="K1828" s="32" t="inlineStr">
        <is>
          <t>20250514-12</t>
        </is>
      </c>
    </row>
    <row r="1829">
      <c r="A1829" s="32" t="n">
        <v>2</v>
      </c>
      <c r="B1829" s="32" t="inlineStr">
        <is>
          <t>EPA1633 &amp; diPAPs Calibration 0.02 ppb</t>
        </is>
      </c>
      <c r="D1829" s="32" t="n">
        <v>10.91</v>
      </c>
      <c r="E1829" s="32" t="n">
        <v>445.491</v>
      </c>
      <c r="F1829" s="32" t="n">
        <v>8357.611999999999</v>
      </c>
      <c r="G1829" s="32" t="n">
        <v>59.794</v>
      </c>
      <c r="H1829" s="32" t="inlineStr">
        <is>
          <t>bb</t>
        </is>
      </c>
      <c r="K1829" s="32" t="inlineStr">
        <is>
          <t>20250514-13</t>
        </is>
      </c>
    </row>
    <row r="1830">
      <c r="A1830" s="32" t="n">
        <v>3</v>
      </c>
      <c r="B1830" s="32" t="inlineStr">
        <is>
          <t>EPA1633 &amp; diPAPs Calibration 0.1 ppb</t>
        </is>
      </c>
      <c r="D1830" s="32" t="n">
        <v>10.89</v>
      </c>
      <c r="E1830" s="32" t="n">
        <v>816.116</v>
      </c>
      <c r="F1830" s="32" t="n">
        <v>7538.169</v>
      </c>
      <c r="G1830" s="32" t="n">
        <v>19.691</v>
      </c>
      <c r="H1830" s="32" t="inlineStr">
        <is>
          <t>bb</t>
        </is>
      </c>
      <c r="K1830" s="32" t="inlineStr">
        <is>
          <t>20250514-14</t>
        </is>
      </c>
    </row>
    <row r="1831">
      <c r="A1831" s="32" t="n">
        <v>4</v>
      </c>
      <c r="B1831" s="32" t="inlineStr">
        <is>
          <t>EPA1633 &amp; diPAPs Calibration 0.4 ppb</t>
        </is>
      </c>
      <c r="D1831" s="32" t="n">
        <v>10.9</v>
      </c>
      <c r="E1831" s="32" t="n">
        <v>4731.996</v>
      </c>
      <c r="F1831" s="32" t="n">
        <v>7199.022</v>
      </c>
      <c r="G1831" s="32" t="n">
        <v>34578</v>
      </c>
      <c r="H1831" s="32" t="inlineStr">
        <is>
          <t>bb</t>
        </is>
      </c>
      <c r="K1831" s="32" t="inlineStr">
        <is>
          <t>20250514-15</t>
        </is>
      </c>
    </row>
    <row r="1832">
      <c r="A1832" s="32" t="n">
        <v>5</v>
      </c>
      <c r="B1832" s="32" t="inlineStr">
        <is>
          <t>EPA1633 &amp; diPAPs Calibration 1 ppb</t>
        </is>
      </c>
      <c r="D1832" s="32" t="n">
        <v>10.92</v>
      </c>
      <c r="E1832" s="32" t="n">
        <v>8313.835999999999</v>
      </c>
      <c r="F1832" s="32" t="n">
        <v>9350.769</v>
      </c>
      <c r="G1832" s="32" t="n">
        <v>174.153</v>
      </c>
      <c r="H1832" s="32" t="inlineStr">
        <is>
          <t>bb</t>
        </is>
      </c>
      <c r="K1832" s="32" t="inlineStr">
        <is>
          <t>20250514-16</t>
        </is>
      </c>
    </row>
    <row r="1833">
      <c r="A1833" s="32" t="n">
        <v>6</v>
      </c>
      <c r="B1833" s="32" t="inlineStr">
        <is>
          <t>EPA1633 &amp; diPAPs Calibration 5 ppb</t>
        </is>
      </c>
      <c r="D1833" s="32" t="n">
        <v>10.78</v>
      </c>
      <c r="E1833" s="32" t="n">
        <v>40254.512</v>
      </c>
      <c r="F1833" s="32" t="n">
        <v>9389.059999999999</v>
      </c>
      <c r="G1833" s="32" t="n">
        <v>598.687</v>
      </c>
      <c r="H1833" s="32" t="inlineStr">
        <is>
          <t>bb</t>
        </is>
      </c>
      <c r="K1833" s="32" t="inlineStr">
        <is>
          <t>20250514-17</t>
        </is>
      </c>
    </row>
    <row r="1834">
      <c r="A1834" s="32" t="n">
        <v>7</v>
      </c>
      <c r="B1834" s="32" t="inlineStr">
        <is>
          <t>EPA1633 &amp; diPAPs Calibration 10 ppb</t>
        </is>
      </c>
      <c r="D1834" s="32" t="n">
        <v>10.84</v>
      </c>
      <c r="E1834" s="32" t="n">
        <v>82305.19500000001</v>
      </c>
      <c r="F1834" s="32" t="n">
        <v>7624.321</v>
      </c>
      <c r="G1834" s="32" t="n">
        <v>3006.561</v>
      </c>
      <c r="H1834" s="32" t="inlineStr">
        <is>
          <t>bb</t>
        </is>
      </c>
      <c r="K1834" s="32" t="inlineStr">
        <is>
          <t>20250514-18</t>
        </is>
      </c>
    </row>
    <row r="1835">
      <c r="A1835" s="32" t="n">
        <v>8</v>
      </c>
      <c r="B1835" s="32" t="inlineStr">
        <is>
          <t>EPA1633 &amp; diPAPs Calibration 20 ppb</t>
        </is>
      </c>
      <c r="D1835" s="32" t="n">
        <v>10.86</v>
      </c>
      <c r="E1835" s="32" t="n">
        <v>158741.141</v>
      </c>
      <c r="F1835" s="32" t="n">
        <v>8364.425999999999</v>
      </c>
      <c r="G1835" s="32" t="n">
        <v>3520.78</v>
      </c>
      <c r="H1835" s="32" t="inlineStr">
        <is>
          <t>bb</t>
        </is>
      </c>
      <c r="K1835" s="32" t="inlineStr">
        <is>
          <t>20250514-19</t>
        </is>
      </c>
    </row>
    <row r="1836">
      <c r="A1836" s="32" t="n">
        <v>9</v>
      </c>
      <c r="B1836" s="32" t="inlineStr">
        <is>
          <t>MeOH</t>
        </is>
      </c>
      <c r="D1836" s="32" t="n">
        <v>10.89</v>
      </c>
      <c r="E1836" s="32" t="n">
        <v>206.199</v>
      </c>
      <c r="G1836" s="32" t="n">
        <v>7.453</v>
      </c>
      <c r="H1836" s="32" t="inlineStr">
        <is>
          <t>bb</t>
        </is>
      </c>
      <c r="K1836" s="32" t="inlineStr">
        <is>
          <t>20250514-20</t>
        </is>
      </c>
    </row>
    <row r="1837">
      <c r="A1837" s="32" t="n">
        <v>10</v>
      </c>
      <c r="B1837" s="32" t="inlineStr">
        <is>
          <t>MeOH</t>
        </is>
      </c>
      <c r="D1837" s="32" t="n">
        <v>10.93</v>
      </c>
      <c r="E1837" s="32" t="n">
        <v>67.289</v>
      </c>
      <c r="G1837" s="32" t="n">
        <v>484</v>
      </c>
      <c r="H1837" s="32" t="inlineStr">
        <is>
          <t>bb</t>
        </is>
      </c>
      <c r="K1837" s="32" t="inlineStr">
        <is>
          <t>20250514-21</t>
        </is>
      </c>
    </row>
    <row r="1838">
      <c r="A1838" s="32" t="n">
        <v>11</v>
      </c>
      <c r="B1838" s="32" t="inlineStr">
        <is>
          <t>SB1</t>
        </is>
      </c>
      <c r="D1838" s="32" t="n">
        <v>10.92</v>
      </c>
      <c r="E1838" s="32" t="n">
        <v>86.224</v>
      </c>
      <c r="F1838" s="32" t="n">
        <v>3709.376</v>
      </c>
      <c r="G1838" s="32" t="n">
        <v>30.557</v>
      </c>
      <c r="H1838" s="32" t="inlineStr">
        <is>
          <t>bb</t>
        </is>
      </c>
      <c r="K1838" s="32" t="inlineStr">
        <is>
          <t>20250514-22</t>
        </is>
      </c>
    </row>
    <row r="1839">
      <c r="A1839" s="32" t="n">
        <v>12</v>
      </c>
      <c r="B1839" s="32" t="inlineStr">
        <is>
          <t>SB2</t>
        </is>
      </c>
      <c r="D1839" s="32" t="n">
        <v>11.08</v>
      </c>
      <c r="E1839" s="32" t="n">
        <v>15.3</v>
      </c>
      <c r="F1839" s="32" t="n">
        <v>3604.751</v>
      </c>
      <c r="G1839" s="32" t="n">
        <v>142</v>
      </c>
      <c r="H1839" s="32" t="inlineStr">
        <is>
          <t>bb</t>
        </is>
      </c>
      <c r="K1839" s="32" t="inlineStr">
        <is>
          <t>20250514-23</t>
        </is>
      </c>
    </row>
    <row r="1840">
      <c r="A1840" s="32" t="n">
        <v>13</v>
      </c>
      <c r="B1840" s="32" t="inlineStr">
        <is>
          <t>SB3</t>
        </is>
      </c>
      <c r="F1840" s="32" t="n">
        <v>3442.013</v>
      </c>
      <c r="K1840" s="32" t="inlineStr">
        <is>
          <t>20250514-24</t>
        </is>
      </c>
    </row>
    <row r="1841">
      <c r="A1841" s="32" t="n">
        <v>14</v>
      </c>
      <c r="B1841" s="32" t="inlineStr">
        <is>
          <t>SS1</t>
        </is>
      </c>
      <c r="D1841" s="32" t="n">
        <v>10.96</v>
      </c>
      <c r="E1841" s="32" t="n">
        <v>38174.359</v>
      </c>
      <c r="F1841" s="32" t="n">
        <v>4461.313</v>
      </c>
      <c r="G1841" s="32" t="n">
        <v>827.562</v>
      </c>
      <c r="H1841" s="32" t="inlineStr">
        <is>
          <t>bb</t>
        </is>
      </c>
      <c r="K1841" s="32" t="inlineStr">
        <is>
          <t>20250514-25</t>
        </is>
      </c>
    </row>
    <row r="1842">
      <c r="A1842" s="32" t="n">
        <v>15</v>
      </c>
      <c r="B1842" s="32" t="inlineStr">
        <is>
          <t>SS2</t>
        </is>
      </c>
      <c r="D1842" s="32" t="n">
        <v>10.97</v>
      </c>
      <c r="E1842" s="32" t="n">
        <v>36828.48</v>
      </c>
      <c r="F1842" s="32" t="n">
        <v>4239.469</v>
      </c>
      <c r="G1842" s="32" t="n">
        <v>3501.987</v>
      </c>
      <c r="H1842" s="32" t="inlineStr">
        <is>
          <t>bb</t>
        </is>
      </c>
      <c r="K1842" s="32" t="inlineStr">
        <is>
          <t>20250514-26</t>
        </is>
      </c>
    </row>
    <row r="1843">
      <c r="A1843" s="32" t="n">
        <v>16</v>
      </c>
      <c r="B1843" s="32" t="inlineStr">
        <is>
          <t>SS3</t>
        </is>
      </c>
      <c r="D1843" s="32" t="n">
        <v>10.97</v>
      </c>
      <c r="E1843" s="32" t="n">
        <v>38644.125</v>
      </c>
      <c r="F1843" s="32" t="n">
        <v>4423.033</v>
      </c>
      <c r="G1843" s="32" t="n">
        <v>534.098</v>
      </c>
      <c r="H1843" s="32" t="inlineStr">
        <is>
          <t>bb</t>
        </is>
      </c>
      <c r="K1843" s="32" t="inlineStr">
        <is>
          <t>20250514-27</t>
        </is>
      </c>
    </row>
    <row r="1844">
      <c r="A1844" s="32" t="n">
        <v>17</v>
      </c>
      <c r="B1844" s="32" t="inlineStr">
        <is>
          <t>MeOH</t>
        </is>
      </c>
      <c r="D1844" s="32" t="n">
        <v>10.99</v>
      </c>
      <c r="E1844" s="32" t="n">
        <v>490.456</v>
      </c>
      <c r="G1844" s="32" t="n">
        <v>24.139</v>
      </c>
      <c r="H1844" s="32" t="inlineStr">
        <is>
          <t>bb</t>
        </is>
      </c>
      <c r="K1844" s="32" t="inlineStr">
        <is>
          <t>20250514-28</t>
        </is>
      </c>
    </row>
    <row r="1845">
      <c r="A1845" s="32" t="n">
        <v>18</v>
      </c>
      <c r="B1845" s="32" t="inlineStr">
        <is>
          <t>K4-1A</t>
        </is>
      </c>
      <c r="D1845" s="32" t="n">
        <v>11.03</v>
      </c>
      <c r="E1845" s="32" t="n">
        <v>66.499</v>
      </c>
      <c r="F1845" s="32" t="n">
        <v>5588.792</v>
      </c>
      <c r="G1845" s="32" t="n">
        <v>454</v>
      </c>
      <c r="H1845" s="32" t="inlineStr">
        <is>
          <t>bb</t>
        </is>
      </c>
      <c r="K1845" s="32" t="inlineStr">
        <is>
          <t>20250514-29</t>
        </is>
      </c>
    </row>
    <row r="1846">
      <c r="A1846" s="32" t="n">
        <v>19</v>
      </c>
      <c r="B1846" s="32" t="inlineStr">
        <is>
          <t>K4-1B</t>
        </is>
      </c>
      <c r="F1846" s="32" t="n">
        <v>6612.543</v>
      </c>
      <c r="K1846" s="32" t="inlineStr">
        <is>
          <t>20250514-30</t>
        </is>
      </c>
    </row>
    <row r="1847">
      <c r="A1847" s="32" t="n">
        <v>20</v>
      </c>
      <c r="B1847" s="32" t="inlineStr">
        <is>
          <t>K4-1C</t>
        </is>
      </c>
      <c r="F1847" s="32" t="n">
        <v>6643.125</v>
      </c>
      <c r="K1847" s="32" t="inlineStr">
        <is>
          <t>20250514-31</t>
        </is>
      </c>
    </row>
    <row r="1848">
      <c r="A1848" s="32" t="n">
        <v>21</v>
      </c>
      <c r="B1848" s="32" t="inlineStr">
        <is>
          <t>K4-2A</t>
        </is>
      </c>
      <c r="D1848" s="32" t="n">
        <v>11</v>
      </c>
      <c r="E1848" s="32" t="n">
        <v>11.868</v>
      </c>
      <c r="F1848" s="32" t="n">
        <v>7255.147</v>
      </c>
      <c r="G1848" s="32" t="n">
        <v>117</v>
      </c>
      <c r="H1848" s="32" t="inlineStr">
        <is>
          <t>bb</t>
        </is>
      </c>
      <c r="K1848" s="32" t="inlineStr">
        <is>
          <t>20250514-32</t>
        </is>
      </c>
    </row>
    <row r="1849">
      <c r="A1849" s="32" t="n">
        <v>22</v>
      </c>
      <c r="B1849" s="32" t="inlineStr">
        <is>
          <t>K4-2B</t>
        </is>
      </c>
      <c r="F1849" s="32" t="n">
        <v>5489.167</v>
      </c>
      <c r="K1849" s="32" t="inlineStr">
        <is>
          <t>20250514-33</t>
        </is>
      </c>
    </row>
    <row r="1850">
      <c r="A1850" s="32" t="n">
        <v>23</v>
      </c>
      <c r="B1850" s="32" t="inlineStr">
        <is>
          <t>K4-2C</t>
        </is>
      </c>
      <c r="D1850" s="32" t="n">
        <v>10.97</v>
      </c>
      <c r="E1850" s="32" t="n">
        <v>34.457</v>
      </c>
      <c r="F1850" s="32" t="n">
        <v>5628.638</v>
      </c>
      <c r="G1850" s="32" t="n">
        <v>12.121</v>
      </c>
      <c r="H1850" s="32" t="inlineStr">
        <is>
          <t>bb</t>
        </is>
      </c>
      <c r="K1850" s="32" t="inlineStr">
        <is>
          <t>20250514-34</t>
        </is>
      </c>
    </row>
    <row r="1851">
      <c r="A1851" s="32" t="n">
        <v>24</v>
      </c>
      <c r="B1851" s="32" t="inlineStr">
        <is>
          <t>MeOH</t>
        </is>
      </c>
      <c r="D1851" s="32" t="n">
        <v>11</v>
      </c>
      <c r="E1851" s="32" t="n">
        <v>293.882</v>
      </c>
      <c r="G1851" s="32" t="n">
        <v>14.244</v>
      </c>
      <c r="H1851" s="32" t="inlineStr">
        <is>
          <t>bb</t>
        </is>
      </c>
      <c r="K1851" s="32" t="inlineStr">
        <is>
          <t>20250514-35</t>
        </is>
      </c>
    </row>
    <row r="1852">
      <c r="A1852" s="32" t="n">
        <v>25</v>
      </c>
      <c r="B1852" s="32" t="inlineStr">
        <is>
          <t>K4-4A</t>
        </is>
      </c>
      <c r="F1852" s="32" t="n">
        <v>6112.31</v>
      </c>
      <c r="K1852" s="32" t="inlineStr">
        <is>
          <t>20250514-36</t>
        </is>
      </c>
    </row>
    <row r="1853">
      <c r="A1853" s="32" t="n">
        <v>26</v>
      </c>
      <c r="B1853" s="32" t="inlineStr">
        <is>
          <t>K4-4B</t>
        </is>
      </c>
      <c r="F1853" s="32" t="n">
        <v>5729.232</v>
      </c>
      <c r="K1853" s="32" t="inlineStr">
        <is>
          <t>20250514-37</t>
        </is>
      </c>
    </row>
    <row r="1854">
      <c r="A1854" s="32" t="n">
        <v>27</v>
      </c>
      <c r="B1854" s="32" t="inlineStr">
        <is>
          <t>K4-4C</t>
        </is>
      </c>
      <c r="D1854" s="32" t="n">
        <v>11.33</v>
      </c>
      <c r="E1854" s="32" t="n">
        <v>3.971</v>
      </c>
      <c r="F1854" s="32" t="n">
        <v>6337.776</v>
      </c>
      <c r="G1854" s="32" t="n">
        <v>39</v>
      </c>
      <c r="H1854" s="32" t="inlineStr">
        <is>
          <t>bb</t>
        </is>
      </c>
      <c r="K1854" s="32" t="inlineStr">
        <is>
          <t>20250514-38</t>
        </is>
      </c>
    </row>
    <row r="1855">
      <c r="A1855" s="32" t="n">
        <v>28</v>
      </c>
      <c r="B1855" s="32" t="inlineStr">
        <is>
          <t>K4-5A</t>
        </is>
      </c>
      <c r="D1855" s="32" t="n">
        <v>11.05</v>
      </c>
      <c r="E1855" s="32" t="n">
        <v>0.846</v>
      </c>
      <c r="F1855" s="32" t="n">
        <v>5644.241</v>
      </c>
      <c r="G1855" s="32" t="n">
        <v>8</v>
      </c>
      <c r="H1855" s="32" t="inlineStr">
        <is>
          <t>bb</t>
        </is>
      </c>
      <c r="K1855" s="32" t="inlineStr">
        <is>
          <t>20250514-39</t>
        </is>
      </c>
    </row>
    <row r="1856">
      <c r="A1856" s="32" t="n">
        <v>29</v>
      </c>
      <c r="B1856" s="32" t="inlineStr">
        <is>
          <t>K4-5B</t>
        </is>
      </c>
      <c r="F1856" s="32" t="n">
        <v>5568.637</v>
      </c>
      <c r="K1856" s="32" t="inlineStr">
        <is>
          <t>20250514-40</t>
        </is>
      </c>
    </row>
    <row r="1857">
      <c r="A1857" s="32" t="n">
        <v>30</v>
      </c>
      <c r="B1857" s="32" t="inlineStr">
        <is>
          <t>K4-5C</t>
        </is>
      </c>
      <c r="F1857" s="32" t="n">
        <v>5454.151</v>
      </c>
      <c r="K1857" s="32" t="inlineStr">
        <is>
          <t>20250514-41</t>
        </is>
      </c>
    </row>
    <row r="1858">
      <c r="A1858" s="32" t="n">
        <v>31</v>
      </c>
      <c r="B1858" s="32" t="inlineStr">
        <is>
          <t>MeOH</t>
        </is>
      </c>
      <c r="D1858" s="32" t="n">
        <v>10.97</v>
      </c>
      <c r="E1858" s="32" t="n">
        <v>87.953</v>
      </c>
      <c r="F1858" s="32" t="n">
        <v>0.264</v>
      </c>
      <c r="G1858" s="32" t="n">
        <v>808</v>
      </c>
      <c r="H1858" s="32" t="inlineStr">
        <is>
          <t>bb</t>
        </is>
      </c>
      <c r="K1858" s="32" t="inlineStr">
        <is>
          <t>20250514-42</t>
        </is>
      </c>
    </row>
    <row r="1859">
      <c r="A1859" s="32" t="n">
        <v>32</v>
      </c>
      <c r="B1859" s="32" t="inlineStr">
        <is>
          <t>K3-1A</t>
        </is>
      </c>
      <c r="D1859" s="32" t="n">
        <v>10.76</v>
      </c>
      <c r="E1859" s="32" t="n">
        <v>10.471</v>
      </c>
      <c r="F1859" s="32" t="n">
        <v>5057.887</v>
      </c>
      <c r="G1859" s="32" t="n">
        <v>115</v>
      </c>
      <c r="H1859" s="32" t="inlineStr">
        <is>
          <t>bb</t>
        </is>
      </c>
      <c r="K1859" s="32" t="inlineStr">
        <is>
          <t>20250514-43</t>
        </is>
      </c>
    </row>
    <row r="1860">
      <c r="A1860" s="32" t="n">
        <v>33</v>
      </c>
      <c r="B1860" s="32" t="inlineStr">
        <is>
          <t>K3-1B</t>
        </is>
      </c>
      <c r="D1860" s="32" t="n">
        <v>10.76</v>
      </c>
      <c r="E1860" s="32" t="n">
        <v>0.63</v>
      </c>
      <c r="F1860" s="32" t="n">
        <v>4520.08</v>
      </c>
      <c r="G1860" s="32" t="n">
        <v>7</v>
      </c>
      <c r="H1860" s="32" t="inlineStr">
        <is>
          <t>bb</t>
        </is>
      </c>
      <c r="K1860" s="32" t="inlineStr">
        <is>
          <t>20250514-44</t>
        </is>
      </c>
    </row>
    <row r="1861">
      <c r="A1861" s="32" t="n">
        <v>34</v>
      </c>
      <c r="B1861" s="32" t="inlineStr">
        <is>
          <t>K3-1C</t>
        </is>
      </c>
      <c r="D1861" s="32" t="n">
        <v>10.89</v>
      </c>
      <c r="E1861" s="32" t="n">
        <v>15.337</v>
      </c>
      <c r="F1861" s="32" t="n">
        <v>6122.734</v>
      </c>
      <c r="G1861" s="32" t="n">
        <v>151</v>
      </c>
      <c r="H1861" s="32" t="inlineStr">
        <is>
          <t>bb</t>
        </is>
      </c>
      <c r="K1861" s="32" t="inlineStr">
        <is>
          <t>20250514-45</t>
        </is>
      </c>
    </row>
    <row r="1862">
      <c r="A1862" s="32" t="n">
        <v>35</v>
      </c>
      <c r="B1862" s="32" t="inlineStr">
        <is>
          <t>K3-2A</t>
        </is>
      </c>
      <c r="D1862" s="32" t="n">
        <v>11.07</v>
      </c>
      <c r="E1862" s="32" t="n">
        <v>5.18</v>
      </c>
      <c r="F1862" s="32" t="n">
        <v>5685.445</v>
      </c>
      <c r="G1862" s="32" t="n">
        <v>51</v>
      </c>
      <c r="H1862" s="32" t="inlineStr">
        <is>
          <t>bb</t>
        </is>
      </c>
      <c r="K1862" s="32" t="inlineStr">
        <is>
          <t>20250514-46</t>
        </is>
      </c>
    </row>
    <row r="1863">
      <c r="A1863" s="32" t="n">
        <v>36</v>
      </c>
      <c r="B1863" s="32" t="inlineStr">
        <is>
          <t>K3-2B</t>
        </is>
      </c>
      <c r="F1863" s="32" t="n">
        <v>6763.122</v>
      </c>
      <c r="K1863" s="32" t="inlineStr">
        <is>
          <t>20250514-47</t>
        </is>
      </c>
    </row>
    <row r="1864">
      <c r="A1864" s="32" t="n">
        <v>37</v>
      </c>
      <c r="B1864" s="32" t="inlineStr">
        <is>
          <t>K3-2C</t>
        </is>
      </c>
      <c r="D1864" s="32" t="n">
        <v>11.65</v>
      </c>
      <c r="E1864" s="32" t="n">
        <v>1.248</v>
      </c>
      <c r="F1864" s="32" t="n">
        <v>5297.522</v>
      </c>
      <c r="G1864" s="32" t="n">
        <v>12</v>
      </c>
      <c r="H1864" s="32" t="inlineStr">
        <is>
          <t>MM</t>
        </is>
      </c>
      <c r="K1864" s="32" t="inlineStr">
        <is>
          <t>20250514-48</t>
        </is>
      </c>
    </row>
    <row r="1865">
      <c r="A1865" s="32" t="n">
        <v>38</v>
      </c>
      <c r="B1865" s="32" t="inlineStr">
        <is>
          <t>MeOH</t>
        </is>
      </c>
      <c r="D1865" s="32" t="n">
        <v>10.96</v>
      </c>
      <c r="E1865" s="32" t="n">
        <v>48.809</v>
      </c>
      <c r="F1865" s="32" t="n">
        <v>0.54</v>
      </c>
      <c r="G1865" s="32" t="n">
        <v>357</v>
      </c>
      <c r="H1865" s="32" t="inlineStr">
        <is>
          <t>bb</t>
        </is>
      </c>
      <c r="K1865" s="32" t="inlineStr">
        <is>
          <t>20250514-49</t>
        </is>
      </c>
    </row>
    <row r="1866">
      <c r="A1866" s="32" t="n">
        <v>39</v>
      </c>
      <c r="B1866" s="32" t="inlineStr">
        <is>
          <t>K3-3A</t>
        </is>
      </c>
      <c r="D1866" s="32" t="n">
        <v>12.73</v>
      </c>
      <c r="E1866" s="32" t="n">
        <v>21.602</v>
      </c>
      <c r="F1866" s="32" t="n">
        <v>4745.281</v>
      </c>
      <c r="G1866" s="32" t="n">
        <v>208</v>
      </c>
      <c r="H1866" s="32" t="inlineStr">
        <is>
          <t>MM</t>
        </is>
      </c>
      <c r="K1866" s="32" t="inlineStr">
        <is>
          <t>20250514-50</t>
        </is>
      </c>
    </row>
    <row r="1867">
      <c r="A1867" s="32" t="n">
        <v>40</v>
      </c>
      <c r="B1867" s="32" t="inlineStr">
        <is>
          <t>K3-3B</t>
        </is>
      </c>
      <c r="F1867" s="32" t="n">
        <v>6101.583</v>
      </c>
      <c r="K1867" s="32" t="inlineStr">
        <is>
          <t>20250514-51</t>
        </is>
      </c>
    </row>
    <row r="1868">
      <c r="A1868" s="32" t="n">
        <v>41</v>
      </c>
      <c r="B1868" s="32" t="inlineStr">
        <is>
          <t>K3-3C</t>
        </is>
      </c>
      <c r="F1868" s="32" t="n">
        <v>6510.538</v>
      </c>
      <c r="K1868" s="32" t="inlineStr">
        <is>
          <t>20250514-52</t>
        </is>
      </c>
    </row>
    <row r="1869">
      <c r="A1869" s="32" t="n">
        <v>42</v>
      </c>
      <c r="B1869" s="32" t="inlineStr">
        <is>
          <t>K3-4A</t>
        </is>
      </c>
      <c r="F1869" s="32" t="n">
        <v>5583.224</v>
      </c>
      <c r="K1869" s="32" t="inlineStr">
        <is>
          <t>20250514-53</t>
        </is>
      </c>
    </row>
    <row r="1870">
      <c r="A1870" s="32" t="n">
        <v>43</v>
      </c>
      <c r="B1870" s="32" t="inlineStr">
        <is>
          <t>K3-4B</t>
        </is>
      </c>
      <c r="D1870" s="32" t="n">
        <v>11.03</v>
      </c>
      <c r="E1870" s="32" t="n">
        <v>14.789</v>
      </c>
      <c r="F1870" s="32" t="n">
        <v>5903.166</v>
      </c>
      <c r="G1870" s="32" t="n">
        <v>143</v>
      </c>
      <c r="H1870" s="32" t="inlineStr">
        <is>
          <t>bb</t>
        </is>
      </c>
      <c r="K1870" s="32" t="inlineStr">
        <is>
          <t>20250514-54</t>
        </is>
      </c>
    </row>
    <row r="1871">
      <c r="A1871" s="32" t="n">
        <v>44</v>
      </c>
      <c r="B1871" s="32" t="inlineStr">
        <is>
          <t>K3-4C</t>
        </is>
      </c>
      <c r="D1871" s="32" t="n">
        <v>11.33</v>
      </c>
      <c r="E1871" s="32" t="n">
        <v>0.375</v>
      </c>
      <c r="F1871" s="32" t="n">
        <v>5771.679</v>
      </c>
      <c r="G1871" s="32" t="n">
        <v>4</v>
      </c>
      <c r="H1871" s="32" t="inlineStr">
        <is>
          <t>bb</t>
        </is>
      </c>
      <c r="K1871" s="32" t="inlineStr">
        <is>
          <t>20250514-55</t>
        </is>
      </c>
    </row>
    <row r="1872">
      <c r="A1872" s="32" t="n">
        <v>45</v>
      </c>
      <c r="B1872" s="32" t="inlineStr">
        <is>
          <t>MeOH</t>
        </is>
      </c>
      <c r="D1872" s="32" t="n">
        <v>11.08</v>
      </c>
      <c r="E1872" s="32" t="n">
        <v>102.446</v>
      </c>
      <c r="G1872" s="32" t="n">
        <v>759</v>
      </c>
      <c r="H1872" s="32" t="inlineStr">
        <is>
          <t>bb</t>
        </is>
      </c>
      <c r="K1872" s="32" t="inlineStr">
        <is>
          <t>20250514-56</t>
        </is>
      </c>
    </row>
    <row r="1873">
      <c r="A1873" s="32" t="n">
        <v>46</v>
      </c>
      <c r="B1873" s="32" t="inlineStr">
        <is>
          <t>K3-6A</t>
        </is>
      </c>
      <c r="F1873" s="32" t="n">
        <v>5487.978</v>
      </c>
      <c r="K1873" s="32" t="inlineStr">
        <is>
          <t>20250514-57</t>
        </is>
      </c>
    </row>
    <row r="1874">
      <c r="A1874" s="32" t="n">
        <v>47</v>
      </c>
      <c r="B1874" s="32" t="inlineStr">
        <is>
          <t>K3-6B</t>
        </is>
      </c>
      <c r="D1874" s="32" t="n">
        <v>11.68</v>
      </c>
      <c r="E1874" s="32" t="n">
        <v>0.765</v>
      </c>
      <c r="F1874" s="32" t="n">
        <v>4404.307</v>
      </c>
      <c r="G1874" s="32" t="n">
        <v>7</v>
      </c>
      <c r="H1874" s="32" t="inlineStr">
        <is>
          <t>MM</t>
        </is>
      </c>
      <c r="K1874" s="32" t="inlineStr">
        <is>
          <t>20250514-58</t>
        </is>
      </c>
    </row>
    <row r="1875">
      <c r="A1875" s="32" t="n">
        <v>48</v>
      </c>
      <c r="B1875" s="32" t="inlineStr">
        <is>
          <t>K3-6C</t>
        </is>
      </c>
      <c r="D1875" s="32" t="n">
        <v>11.17</v>
      </c>
      <c r="E1875" s="32" t="n">
        <v>6.848</v>
      </c>
      <c r="F1875" s="32" t="n">
        <v>5559.999</v>
      </c>
      <c r="G1875" s="32" t="n">
        <v>67</v>
      </c>
      <c r="H1875" s="32" t="inlineStr">
        <is>
          <t>bb</t>
        </is>
      </c>
      <c r="K1875" s="32" t="inlineStr">
        <is>
          <t>20250514-59</t>
        </is>
      </c>
    </row>
    <row r="1877">
      <c r="A1877" s="32" t="inlineStr">
        <is>
          <t>Compound 37:  m2 6:2 FTUCA</t>
        </is>
      </c>
    </row>
    <row r="1879">
      <c r="B1879" s="32" t="inlineStr">
        <is>
          <t>Sample Text</t>
        </is>
      </c>
      <c r="C1879" s="32" t="inlineStr">
        <is>
          <t>Std. Conc</t>
        </is>
      </c>
      <c r="D1879" s="32" t="inlineStr">
        <is>
          <t>RT</t>
        </is>
      </c>
      <c r="E1879" s="32" t="inlineStr">
        <is>
          <t>Area</t>
        </is>
      </c>
      <c r="F1879" s="32" t="inlineStr">
        <is>
          <t>IS Area</t>
        </is>
      </c>
      <c r="G1879" s="32" t="inlineStr">
        <is>
          <t>S/N</t>
        </is>
      </c>
      <c r="H1879" s="32" t="inlineStr">
        <is>
          <t>Primary Flags</t>
        </is>
      </c>
      <c r="I1879" s="32" t="inlineStr">
        <is>
          <t>Response</t>
        </is>
      </c>
      <c r="J1879" s="32" t="inlineStr">
        <is>
          <t>Conc.</t>
        </is>
      </c>
      <c r="K1879" s="32" t="inlineStr">
        <is>
          <t>Name</t>
        </is>
      </c>
    </row>
    <row r="1880">
      <c r="A1880" s="32" t="n">
        <v>1</v>
      </c>
      <c r="B1880" s="32" t="inlineStr">
        <is>
          <t>EPA1633 &amp; diPAPs Calibration 0 ppb</t>
        </is>
      </c>
      <c r="D1880" s="32" t="n">
        <v>10.85</v>
      </c>
      <c r="E1880" s="32" t="n">
        <v>8287.344999999999</v>
      </c>
      <c r="G1880" s="32" t="n">
        <v>846.648</v>
      </c>
      <c r="H1880" s="32" t="inlineStr">
        <is>
          <t>bb</t>
        </is>
      </c>
      <c r="I1880" s="32" t="n">
        <v>8287.344999999999</v>
      </c>
      <c r="K1880" s="32" t="inlineStr">
        <is>
          <t>20250514-12</t>
        </is>
      </c>
    </row>
    <row r="1881">
      <c r="A1881" s="32" t="n">
        <v>2</v>
      </c>
      <c r="B1881" s="32" t="inlineStr">
        <is>
          <t>EPA1633 &amp; diPAPs Calibration 0.02 ppb</t>
        </is>
      </c>
      <c r="D1881" s="32" t="n">
        <v>10.88</v>
      </c>
      <c r="E1881" s="32" t="n">
        <v>8357.611999999999</v>
      </c>
      <c r="G1881" s="32" t="n">
        <v>92.005</v>
      </c>
      <c r="H1881" s="32" t="inlineStr">
        <is>
          <t>bb</t>
        </is>
      </c>
      <c r="I1881" s="32" t="n">
        <v>8357.611999999999</v>
      </c>
      <c r="K1881" s="32" t="inlineStr">
        <is>
          <t>20250514-13</t>
        </is>
      </c>
    </row>
    <row r="1882">
      <c r="A1882" s="32" t="n">
        <v>3</v>
      </c>
      <c r="B1882" s="32" t="inlineStr">
        <is>
          <t>EPA1633 &amp; diPAPs Calibration 0.1 ppb</t>
        </is>
      </c>
      <c r="D1882" s="32" t="n">
        <v>10.89</v>
      </c>
      <c r="E1882" s="32" t="n">
        <v>7538.169</v>
      </c>
      <c r="G1882" s="32" t="n">
        <v>52402</v>
      </c>
      <c r="H1882" s="32" t="inlineStr">
        <is>
          <t>bb</t>
        </is>
      </c>
      <c r="I1882" s="32" t="n">
        <v>7538.169</v>
      </c>
      <c r="K1882" s="32" t="inlineStr">
        <is>
          <t>20250514-14</t>
        </is>
      </c>
    </row>
    <row r="1883">
      <c r="A1883" s="32" t="n">
        <v>4</v>
      </c>
      <c r="B1883" s="32" t="inlineStr">
        <is>
          <t>EPA1633 &amp; diPAPs Calibration 0.4 ppb</t>
        </is>
      </c>
      <c r="D1883" s="32" t="n">
        <v>10.9</v>
      </c>
      <c r="E1883" s="32" t="n">
        <v>7199.022</v>
      </c>
      <c r="G1883" s="32" t="n">
        <v>200.705</v>
      </c>
      <c r="H1883" s="32" t="inlineStr">
        <is>
          <t>bb</t>
        </is>
      </c>
      <c r="I1883" s="32" t="n">
        <v>7199.022</v>
      </c>
      <c r="K1883" s="32" t="inlineStr">
        <is>
          <t>20250514-15</t>
        </is>
      </c>
    </row>
    <row r="1884">
      <c r="A1884" s="32" t="n">
        <v>5</v>
      </c>
      <c r="B1884" s="32" t="inlineStr">
        <is>
          <t>EPA1633 &amp; diPAPs Calibration 1 ppb</t>
        </is>
      </c>
      <c r="D1884" s="32" t="n">
        <v>10.92</v>
      </c>
      <c r="E1884" s="32" t="n">
        <v>9350.769</v>
      </c>
      <c r="G1884" s="32" t="n">
        <v>131.755</v>
      </c>
      <c r="H1884" s="32" t="inlineStr">
        <is>
          <t>bb</t>
        </is>
      </c>
      <c r="I1884" s="32" t="n">
        <v>9350.769</v>
      </c>
      <c r="K1884" s="32" t="inlineStr">
        <is>
          <t>20250514-16</t>
        </is>
      </c>
    </row>
    <row r="1885">
      <c r="A1885" s="32" t="n">
        <v>6</v>
      </c>
      <c r="B1885" s="32" t="inlineStr">
        <is>
          <t>EPA1633 &amp; diPAPs Calibration 5 ppb</t>
        </is>
      </c>
      <c r="D1885" s="32" t="n">
        <v>10.78</v>
      </c>
      <c r="E1885" s="32" t="n">
        <v>9389.059999999999</v>
      </c>
      <c r="G1885" s="32" t="n">
        <v>1377.051</v>
      </c>
      <c r="H1885" s="32" t="inlineStr">
        <is>
          <t>bb</t>
        </is>
      </c>
      <c r="I1885" s="32" t="n">
        <v>9389.059999999999</v>
      </c>
      <c r="K1885" s="32" t="inlineStr">
        <is>
          <t>20250514-17</t>
        </is>
      </c>
    </row>
    <row r="1886">
      <c r="A1886" s="32" t="n">
        <v>7</v>
      </c>
      <c r="B1886" s="32" t="inlineStr">
        <is>
          <t>EPA1633 &amp; diPAPs Calibration 10 ppb</t>
        </is>
      </c>
      <c r="D1886" s="32" t="n">
        <v>10.84</v>
      </c>
      <c r="E1886" s="32" t="n">
        <v>7624.321</v>
      </c>
      <c r="G1886" s="32" t="n">
        <v>162.66</v>
      </c>
      <c r="H1886" s="32" t="inlineStr">
        <is>
          <t>bb</t>
        </is>
      </c>
      <c r="I1886" s="32" t="n">
        <v>7624.321</v>
      </c>
      <c r="K1886" s="32" t="inlineStr">
        <is>
          <t>20250514-18</t>
        </is>
      </c>
    </row>
    <row r="1887">
      <c r="A1887" s="32" t="n">
        <v>8</v>
      </c>
      <c r="B1887" s="32" t="inlineStr">
        <is>
          <t>EPA1633 &amp; diPAPs Calibration 20 ppb</t>
        </is>
      </c>
      <c r="D1887" s="32" t="n">
        <v>10.88</v>
      </c>
      <c r="E1887" s="32" t="n">
        <v>8364.425999999999</v>
      </c>
      <c r="G1887" s="32" t="n">
        <v>57487</v>
      </c>
      <c r="H1887" s="32" t="inlineStr">
        <is>
          <t>bb</t>
        </is>
      </c>
      <c r="I1887" s="32" t="n">
        <v>8364.425999999999</v>
      </c>
      <c r="K1887" s="32" t="inlineStr">
        <is>
          <t>20250514-19</t>
        </is>
      </c>
    </row>
    <row r="1888">
      <c r="A1888" s="32" t="n">
        <v>9</v>
      </c>
      <c r="B1888" s="32" t="inlineStr">
        <is>
          <t>MeOH</t>
        </is>
      </c>
      <c r="K1888" s="32" t="inlineStr">
        <is>
          <t>20250514-20</t>
        </is>
      </c>
    </row>
    <row r="1889">
      <c r="A1889" s="32" t="n">
        <v>10</v>
      </c>
      <c r="B1889" s="32" t="inlineStr">
        <is>
          <t>MeOH</t>
        </is>
      </c>
      <c r="K1889" s="32" t="inlineStr">
        <is>
          <t>20250514-21</t>
        </is>
      </c>
    </row>
    <row r="1890">
      <c r="A1890" s="32" t="n">
        <v>11</v>
      </c>
      <c r="B1890" s="32" t="inlineStr">
        <is>
          <t>SB1</t>
        </is>
      </c>
      <c r="D1890" s="32" t="n">
        <v>10.92</v>
      </c>
      <c r="E1890" s="32" t="n">
        <v>3709.376</v>
      </c>
      <c r="G1890" s="32" t="n">
        <v>25366</v>
      </c>
      <c r="H1890" s="32" t="inlineStr">
        <is>
          <t>bb</t>
        </is>
      </c>
      <c r="I1890" s="32" t="n">
        <v>3709.376</v>
      </c>
      <c r="K1890" s="32" t="inlineStr">
        <is>
          <t>20250514-22</t>
        </is>
      </c>
    </row>
    <row r="1891">
      <c r="A1891" s="32" t="n">
        <v>12</v>
      </c>
      <c r="B1891" s="32" t="inlineStr">
        <is>
          <t>SB2</t>
        </is>
      </c>
      <c r="D1891" s="32" t="n">
        <v>10.92</v>
      </c>
      <c r="E1891" s="32" t="n">
        <v>3604.751</v>
      </c>
      <c r="G1891" s="32" t="n">
        <v>305.129</v>
      </c>
      <c r="H1891" s="32" t="inlineStr">
        <is>
          <t>bb</t>
        </is>
      </c>
      <c r="I1891" s="32" t="n">
        <v>3604.751</v>
      </c>
      <c r="K1891" s="32" t="inlineStr">
        <is>
          <t>20250514-23</t>
        </is>
      </c>
    </row>
    <row r="1892">
      <c r="A1892" s="32" t="n">
        <v>13</v>
      </c>
      <c r="B1892" s="32" t="inlineStr">
        <is>
          <t>SB3</t>
        </is>
      </c>
      <c r="D1892" s="32" t="n">
        <v>10.93</v>
      </c>
      <c r="E1892" s="32" t="n">
        <v>3442.013</v>
      </c>
      <c r="G1892" s="32" t="n">
        <v>35.372</v>
      </c>
      <c r="H1892" s="32" t="inlineStr">
        <is>
          <t>bb</t>
        </is>
      </c>
      <c r="I1892" s="32" t="n">
        <v>3442.013</v>
      </c>
      <c r="K1892" s="32" t="inlineStr">
        <is>
          <t>20250514-24</t>
        </is>
      </c>
    </row>
    <row r="1893">
      <c r="A1893" s="32" t="n">
        <v>14</v>
      </c>
      <c r="B1893" s="32" t="inlineStr">
        <is>
          <t>SS1</t>
        </is>
      </c>
      <c r="D1893" s="32" t="n">
        <v>10.96</v>
      </c>
      <c r="E1893" s="32" t="n">
        <v>4461.313</v>
      </c>
      <c r="G1893" s="32" t="n">
        <v>1351.498</v>
      </c>
      <c r="H1893" s="32" t="inlineStr">
        <is>
          <t>bb</t>
        </is>
      </c>
      <c r="I1893" s="32" t="n">
        <v>4461.313</v>
      </c>
      <c r="K1893" s="32" t="inlineStr">
        <is>
          <t>20250514-25</t>
        </is>
      </c>
    </row>
    <row r="1894">
      <c r="A1894" s="32" t="n">
        <v>15</v>
      </c>
      <c r="B1894" s="32" t="inlineStr">
        <is>
          <t>SS2</t>
        </is>
      </c>
      <c r="D1894" s="32" t="n">
        <v>10.97</v>
      </c>
      <c r="E1894" s="32" t="n">
        <v>4239.469</v>
      </c>
      <c r="G1894" s="32" t="n">
        <v>40.247</v>
      </c>
      <c r="H1894" s="32" t="inlineStr">
        <is>
          <t>bb</t>
        </is>
      </c>
      <c r="I1894" s="32" t="n">
        <v>4239.469</v>
      </c>
      <c r="K1894" s="32" t="inlineStr">
        <is>
          <t>20250514-26</t>
        </is>
      </c>
    </row>
    <row r="1895">
      <c r="A1895" s="32" t="n">
        <v>16</v>
      </c>
      <c r="B1895" s="32" t="inlineStr">
        <is>
          <t>SS3</t>
        </is>
      </c>
      <c r="D1895" s="32" t="n">
        <v>10.97</v>
      </c>
      <c r="E1895" s="32" t="n">
        <v>4423.033</v>
      </c>
      <c r="G1895" s="32" t="n">
        <v>81.435</v>
      </c>
      <c r="H1895" s="32" t="inlineStr">
        <is>
          <t>bb</t>
        </is>
      </c>
      <c r="I1895" s="32" t="n">
        <v>4423.033</v>
      </c>
      <c r="K1895" s="32" t="inlineStr">
        <is>
          <t>20250514-27</t>
        </is>
      </c>
    </row>
    <row r="1896">
      <c r="A1896" s="32" t="n">
        <v>17</v>
      </c>
      <c r="B1896" s="32" t="inlineStr">
        <is>
          <t>MeOH</t>
        </is>
      </c>
      <c r="K1896" s="32" t="inlineStr">
        <is>
          <t>20250514-28</t>
        </is>
      </c>
    </row>
    <row r="1897">
      <c r="A1897" s="32" t="n">
        <v>18</v>
      </c>
      <c r="B1897" s="32" t="inlineStr">
        <is>
          <t>K4-1A</t>
        </is>
      </c>
      <c r="D1897" s="32" t="n">
        <v>10.97</v>
      </c>
      <c r="E1897" s="32" t="n">
        <v>5588.792</v>
      </c>
      <c r="G1897" s="32" t="n">
        <v>565.602</v>
      </c>
      <c r="H1897" s="32" t="inlineStr">
        <is>
          <t>bb</t>
        </is>
      </c>
      <c r="I1897" s="32" t="n">
        <v>5588.792</v>
      </c>
      <c r="K1897" s="32" t="inlineStr">
        <is>
          <t>20250514-29</t>
        </is>
      </c>
    </row>
    <row r="1898">
      <c r="A1898" s="32" t="n">
        <v>19</v>
      </c>
      <c r="B1898" s="32" t="inlineStr">
        <is>
          <t>K4-1B</t>
        </is>
      </c>
      <c r="D1898" s="32" t="n">
        <v>10.97</v>
      </c>
      <c r="E1898" s="32" t="n">
        <v>6612.543</v>
      </c>
      <c r="G1898" s="32" t="n">
        <v>770.042</v>
      </c>
      <c r="H1898" s="32" t="inlineStr">
        <is>
          <t>bb</t>
        </is>
      </c>
      <c r="I1898" s="32" t="n">
        <v>6612.543</v>
      </c>
      <c r="K1898" s="32" t="inlineStr">
        <is>
          <t>20250514-30</t>
        </is>
      </c>
    </row>
    <row r="1899">
      <c r="A1899" s="32" t="n">
        <v>20</v>
      </c>
      <c r="B1899" s="32" t="inlineStr">
        <is>
          <t>K4-1C</t>
        </is>
      </c>
      <c r="D1899" s="32" t="n">
        <v>10.99</v>
      </c>
      <c r="E1899" s="32" t="n">
        <v>6643.125</v>
      </c>
      <c r="G1899" s="32" t="n">
        <v>60.719</v>
      </c>
      <c r="H1899" s="32" t="inlineStr">
        <is>
          <t>bb</t>
        </is>
      </c>
      <c r="I1899" s="32" t="n">
        <v>6643.125</v>
      </c>
      <c r="K1899" s="32" t="inlineStr">
        <is>
          <t>20250514-31</t>
        </is>
      </c>
    </row>
    <row r="1900">
      <c r="A1900" s="32" t="n">
        <v>21</v>
      </c>
      <c r="B1900" s="32" t="inlineStr">
        <is>
          <t>K4-2A</t>
        </is>
      </c>
      <c r="D1900" s="32" t="n">
        <v>11</v>
      </c>
      <c r="E1900" s="32" t="n">
        <v>7255.147</v>
      </c>
      <c r="G1900" s="32" t="n">
        <v>50405</v>
      </c>
      <c r="H1900" s="32" t="inlineStr">
        <is>
          <t>bb</t>
        </is>
      </c>
      <c r="I1900" s="32" t="n">
        <v>7255.147</v>
      </c>
      <c r="K1900" s="32" t="inlineStr">
        <is>
          <t>20250514-32</t>
        </is>
      </c>
    </row>
    <row r="1901">
      <c r="A1901" s="32" t="n">
        <v>22</v>
      </c>
      <c r="B1901" s="32" t="inlineStr">
        <is>
          <t>K4-2B</t>
        </is>
      </c>
      <c r="D1901" s="32" t="n">
        <v>11</v>
      </c>
      <c r="E1901" s="32" t="n">
        <v>5489.167</v>
      </c>
      <c r="G1901" s="32" t="n">
        <v>36832</v>
      </c>
      <c r="H1901" s="32" t="inlineStr">
        <is>
          <t>bb</t>
        </is>
      </c>
      <c r="I1901" s="32" t="n">
        <v>5489.167</v>
      </c>
      <c r="K1901" s="32" t="inlineStr">
        <is>
          <t>20250514-33</t>
        </is>
      </c>
    </row>
    <row r="1902">
      <c r="A1902" s="32" t="n">
        <v>23</v>
      </c>
      <c r="B1902" s="32" t="inlineStr">
        <is>
          <t>K4-2C</t>
        </is>
      </c>
      <c r="D1902" s="32" t="n">
        <v>11.01</v>
      </c>
      <c r="E1902" s="32" t="n">
        <v>5628.638</v>
      </c>
      <c r="G1902" s="32" t="n">
        <v>70.164</v>
      </c>
      <c r="H1902" s="32" t="inlineStr">
        <is>
          <t>bb</t>
        </is>
      </c>
      <c r="I1902" s="32" t="n">
        <v>5628.638</v>
      </c>
      <c r="K1902" s="32" t="inlineStr">
        <is>
          <t>20250514-34</t>
        </is>
      </c>
    </row>
    <row r="1903">
      <c r="A1903" s="32" t="n">
        <v>24</v>
      </c>
      <c r="B1903" s="32" t="inlineStr">
        <is>
          <t>MeOH</t>
        </is>
      </c>
      <c r="K1903" s="32" t="inlineStr">
        <is>
          <t>20250514-35</t>
        </is>
      </c>
    </row>
    <row r="1904">
      <c r="A1904" s="32" t="n">
        <v>25</v>
      </c>
      <c r="B1904" s="32" t="inlineStr">
        <is>
          <t>K4-4A</t>
        </is>
      </c>
      <c r="D1904" s="32" t="n">
        <v>11.01</v>
      </c>
      <c r="E1904" s="32" t="n">
        <v>6112.31</v>
      </c>
      <c r="G1904" s="32" t="n">
        <v>43020</v>
      </c>
      <c r="H1904" s="32" t="inlineStr">
        <is>
          <t>bb</t>
        </is>
      </c>
      <c r="I1904" s="32" t="n">
        <v>6112.31</v>
      </c>
      <c r="K1904" s="32" t="inlineStr">
        <is>
          <t>20250514-36</t>
        </is>
      </c>
    </row>
    <row r="1905">
      <c r="A1905" s="32" t="n">
        <v>26</v>
      </c>
      <c r="B1905" s="32" t="inlineStr">
        <is>
          <t>K4-4B</t>
        </is>
      </c>
      <c r="D1905" s="32" t="n">
        <v>11.03</v>
      </c>
      <c r="E1905" s="32" t="n">
        <v>5729.232</v>
      </c>
      <c r="G1905" s="32" t="n">
        <v>66.07899999999999</v>
      </c>
      <c r="H1905" s="32" t="inlineStr">
        <is>
          <t>bb</t>
        </is>
      </c>
      <c r="I1905" s="32" t="n">
        <v>5729.232</v>
      </c>
      <c r="K1905" s="32" t="inlineStr">
        <is>
          <t>20250514-37</t>
        </is>
      </c>
    </row>
    <row r="1906">
      <c r="A1906" s="32" t="n">
        <v>27</v>
      </c>
      <c r="B1906" s="32" t="inlineStr">
        <is>
          <t>K4-4C</t>
        </is>
      </c>
      <c r="D1906" s="32" t="n">
        <v>11.03</v>
      </c>
      <c r="E1906" s="32" t="n">
        <v>6337.776</v>
      </c>
      <c r="G1906" s="32" t="n">
        <v>171.222</v>
      </c>
      <c r="H1906" s="32" t="inlineStr">
        <is>
          <t>bb</t>
        </is>
      </c>
      <c r="I1906" s="32" t="n">
        <v>6337.776</v>
      </c>
      <c r="K1906" s="32" t="inlineStr">
        <is>
          <t>20250514-38</t>
        </is>
      </c>
    </row>
    <row r="1907">
      <c r="A1907" s="32" t="n">
        <v>28</v>
      </c>
      <c r="B1907" s="32" t="inlineStr">
        <is>
          <t>K4-5A</t>
        </is>
      </c>
      <c r="D1907" s="32" t="n">
        <v>11.01</v>
      </c>
      <c r="E1907" s="32" t="n">
        <v>5644.241</v>
      </c>
      <c r="G1907" s="32" t="n">
        <v>103.314</v>
      </c>
      <c r="H1907" s="32" t="inlineStr">
        <is>
          <t>bb</t>
        </is>
      </c>
      <c r="I1907" s="32" t="n">
        <v>5644.241</v>
      </c>
      <c r="K1907" s="32" t="inlineStr">
        <is>
          <t>20250514-39</t>
        </is>
      </c>
    </row>
    <row r="1908">
      <c r="A1908" s="32" t="n">
        <v>29</v>
      </c>
      <c r="B1908" s="32" t="inlineStr">
        <is>
          <t>K4-5B</t>
        </is>
      </c>
      <c r="D1908" s="32" t="n">
        <v>10.99</v>
      </c>
      <c r="E1908" s="32" t="n">
        <v>5568.637</v>
      </c>
      <c r="G1908" s="32" t="n">
        <v>719.0940000000001</v>
      </c>
      <c r="H1908" s="32" t="inlineStr">
        <is>
          <t>bb</t>
        </is>
      </c>
      <c r="I1908" s="32" t="n">
        <v>5568.637</v>
      </c>
      <c r="K1908" s="32" t="inlineStr">
        <is>
          <t>20250514-40</t>
        </is>
      </c>
    </row>
    <row r="1909">
      <c r="A1909" s="32" t="n">
        <v>30</v>
      </c>
      <c r="B1909" s="32" t="inlineStr">
        <is>
          <t>K4-5C</t>
        </is>
      </c>
      <c r="D1909" s="32" t="n">
        <v>10.91</v>
      </c>
      <c r="E1909" s="32" t="n">
        <v>5454.151</v>
      </c>
      <c r="G1909" s="32" t="n">
        <v>87.91800000000001</v>
      </c>
      <c r="H1909" s="32" t="inlineStr">
        <is>
          <t>bb</t>
        </is>
      </c>
      <c r="I1909" s="32" t="n">
        <v>5454.151</v>
      </c>
      <c r="K1909" s="32" t="inlineStr">
        <is>
          <t>20250514-41</t>
        </is>
      </c>
    </row>
    <row r="1910">
      <c r="A1910" s="32" t="n">
        <v>31</v>
      </c>
      <c r="B1910" s="32" t="inlineStr">
        <is>
          <t>MeOH</t>
        </is>
      </c>
      <c r="D1910" s="32" t="n">
        <v>10.64</v>
      </c>
      <c r="E1910" s="32" t="n">
        <v>0.264</v>
      </c>
      <c r="G1910" s="32" t="n">
        <v>3</v>
      </c>
      <c r="H1910" s="32" t="inlineStr">
        <is>
          <t>bb</t>
        </is>
      </c>
      <c r="I1910" s="32" t="n">
        <v>0.264</v>
      </c>
      <c r="K1910" s="32" t="inlineStr">
        <is>
          <t>20250514-42</t>
        </is>
      </c>
    </row>
    <row r="1911">
      <c r="A1911" s="32" t="n">
        <v>32</v>
      </c>
      <c r="B1911" s="32" t="inlineStr">
        <is>
          <t>K3-1A</t>
        </is>
      </c>
      <c r="D1911" s="32" t="n">
        <v>10.79</v>
      </c>
      <c r="E1911" s="32" t="n">
        <v>5057.887</v>
      </c>
      <c r="G1911" s="32" t="n">
        <v>951.741</v>
      </c>
      <c r="H1911" s="32" t="inlineStr">
        <is>
          <t>bb</t>
        </is>
      </c>
      <c r="I1911" s="32" t="n">
        <v>5057.887</v>
      </c>
      <c r="K1911" s="32" t="inlineStr">
        <is>
          <t>20250514-43</t>
        </is>
      </c>
    </row>
    <row r="1912">
      <c r="A1912" s="32" t="n">
        <v>33</v>
      </c>
      <c r="B1912" s="32" t="inlineStr">
        <is>
          <t>K3-1B</t>
        </is>
      </c>
      <c r="D1912" s="32" t="n">
        <v>10.82</v>
      </c>
      <c r="E1912" s="32" t="n">
        <v>4520.08</v>
      </c>
      <c r="G1912" s="32" t="n">
        <v>318.784</v>
      </c>
      <c r="H1912" s="32" t="inlineStr">
        <is>
          <t>bb</t>
        </is>
      </c>
      <c r="I1912" s="32" t="n">
        <v>4520.08</v>
      </c>
      <c r="K1912" s="32" t="inlineStr">
        <is>
          <t>20250514-44</t>
        </is>
      </c>
    </row>
    <row r="1913">
      <c r="A1913" s="32" t="n">
        <v>34</v>
      </c>
      <c r="B1913" s="32" t="inlineStr">
        <is>
          <t>K3-1C</t>
        </is>
      </c>
      <c r="D1913" s="32" t="n">
        <v>10.88</v>
      </c>
      <c r="E1913" s="32" t="n">
        <v>6122.734</v>
      </c>
      <c r="G1913" s="32" t="n">
        <v>44203</v>
      </c>
      <c r="H1913" s="32" t="inlineStr">
        <is>
          <t>bb</t>
        </is>
      </c>
      <c r="I1913" s="32" t="n">
        <v>6122.734</v>
      </c>
      <c r="K1913" s="32" t="inlineStr">
        <is>
          <t>20250514-45</t>
        </is>
      </c>
    </row>
    <row r="1914">
      <c r="A1914" s="32" t="n">
        <v>35</v>
      </c>
      <c r="B1914" s="32" t="inlineStr">
        <is>
          <t>K3-2A</t>
        </is>
      </c>
      <c r="D1914" s="32" t="n">
        <v>10.9</v>
      </c>
      <c r="E1914" s="32" t="n">
        <v>5685.445</v>
      </c>
      <c r="G1914" s="32" t="n">
        <v>37.873</v>
      </c>
      <c r="H1914" s="32" t="inlineStr">
        <is>
          <t>bb</t>
        </is>
      </c>
      <c r="I1914" s="32" t="n">
        <v>5685.445</v>
      </c>
      <c r="K1914" s="32" t="inlineStr">
        <is>
          <t>20250514-46</t>
        </is>
      </c>
    </row>
    <row r="1915">
      <c r="A1915" s="32" t="n">
        <v>36</v>
      </c>
      <c r="B1915" s="32" t="inlineStr">
        <is>
          <t>K3-2B</t>
        </is>
      </c>
      <c r="D1915" s="32" t="n">
        <v>10.91</v>
      </c>
      <c r="E1915" s="32" t="n">
        <v>6763.122</v>
      </c>
      <c r="G1915" s="32" t="n">
        <v>370.978</v>
      </c>
      <c r="H1915" s="32" t="inlineStr">
        <is>
          <t>bb</t>
        </is>
      </c>
      <c r="I1915" s="32" t="n">
        <v>6763.122</v>
      </c>
      <c r="K1915" s="32" t="inlineStr">
        <is>
          <t>20250514-47</t>
        </is>
      </c>
    </row>
    <row r="1916">
      <c r="A1916" s="32" t="n">
        <v>37</v>
      </c>
      <c r="B1916" s="32" t="inlineStr">
        <is>
          <t>K3-2C</t>
        </is>
      </c>
      <c r="D1916" s="32" t="n">
        <v>10.9</v>
      </c>
      <c r="E1916" s="32" t="n">
        <v>5297.522</v>
      </c>
      <c r="G1916" s="32" t="n">
        <v>36.693</v>
      </c>
      <c r="H1916" s="32" t="inlineStr">
        <is>
          <t>bb</t>
        </is>
      </c>
      <c r="I1916" s="32" t="n">
        <v>5297.522</v>
      </c>
      <c r="K1916" s="32" t="inlineStr">
        <is>
          <t>20250514-48</t>
        </is>
      </c>
    </row>
    <row r="1917">
      <c r="A1917" s="32" t="n">
        <v>38</v>
      </c>
      <c r="B1917" s="32" t="inlineStr">
        <is>
          <t>MeOH</t>
        </is>
      </c>
      <c r="D1917" s="32" t="n">
        <v>11</v>
      </c>
      <c r="E1917" s="32" t="n">
        <v>0.54</v>
      </c>
      <c r="G1917" s="32" t="n">
        <v>5</v>
      </c>
      <c r="H1917" s="32" t="inlineStr">
        <is>
          <t>bb</t>
        </is>
      </c>
      <c r="I1917" s="32" t="n">
        <v>0.54</v>
      </c>
      <c r="K1917" s="32" t="inlineStr">
        <is>
          <t>20250514-49</t>
        </is>
      </c>
    </row>
    <row r="1918">
      <c r="A1918" s="32" t="n">
        <v>39</v>
      </c>
      <c r="B1918" s="32" t="inlineStr">
        <is>
          <t>K3-3A</t>
        </is>
      </c>
      <c r="D1918" s="32" t="n">
        <v>10.93</v>
      </c>
      <c r="E1918" s="32" t="n">
        <v>4745.281</v>
      </c>
      <c r="G1918" s="32" t="n">
        <v>47.904</v>
      </c>
      <c r="H1918" s="32" t="inlineStr">
        <is>
          <t>bb</t>
        </is>
      </c>
      <c r="I1918" s="32" t="n">
        <v>4745.281</v>
      </c>
      <c r="K1918" s="32" t="inlineStr">
        <is>
          <t>20250514-50</t>
        </is>
      </c>
    </row>
    <row r="1919">
      <c r="A1919" s="32" t="n">
        <v>40</v>
      </c>
      <c r="B1919" s="32" t="inlineStr">
        <is>
          <t>K3-3B</t>
        </is>
      </c>
      <c r="D1919" s="32" t="n">
        <v>10.95</v>
      </c>
      <c r="E1919" s="32" t="n">
        <v>6101.583</v>
      </c>
      <c r="G1919" s="32" t="n">
        <v>118.91</v>
      </c>
      <c r="H1919" s="32" t="inlineStr">
        <is>
          <t>bb</t>
        </is>
      </c>
      <c r="I1919" s="32" t="n">
        <v>6101.583</v>
      </c>
      <c r="K1919" s="32" t="inlineStr">
        <is>
          <t>20250514-51</t>
        </is>
      </c>
    </row>
    <row r="1920">
      <c r="A1920" s="32" t="n">
        <v>41</v>
      </c>
      <c r="B1920" s="32" t="inlineStr">
        <is>
          <t>K3-3C</t>
        </is>
      </c>
      <c r="D1920" s="32" t="n">
        <v>10.96</v>
      </c>
      <c r="E1920" s="32" t="n">
        <v>6510.538</v>
      </c>
      <c r="G1920" s="32" t="n">
        <v>214.599</v>
      </c>
      <c r="H1920" s="32" t="inlineStr">
        <is>
          <t>bb</t>
        </is>
      </c>
      <c r="I1920" s="32" t="n">
        <v>6510.538</v>
      </c>
      <c r="K1920" s="32" t="inlineStr">
        <is>
          <t>20250514-52</t>
        </is>
      </c>
    </row>
    <row r="1921">
      <c r="A1921" s="32" t="n">
        <v>42</v>
      </c>
      <c r="B1921" s="32" t="inlineStr">
        <is>
          <t>K3-4A</t>
        </is>
      </c>
      <c r="D1921" s="32" t="n">
        <v>11.03</v>
      </c>
      <c r="E1921" s="32" t="n">
        <v>5583.224</v>
      </c>
      <c r="G1921" s="32" t="n">
        <v>263.284</v>
      </c>
      <c r="H1921" s="32" t="inlineStr">
        <is>
          <t>bb</t>
        </is>
      </c>
      <c r="I1921" s="32" t="n">
        <v>5583.224</v>
      </c>
      <c r="K1921" s="32" t="inlineStr">
        <is>
          <t>20250514-53</t>
        </is>
      </c>
    </row>
    <row r="1922">
      <c r="A1922" s="32" t="n">
        <v>43</v>
      </c>
      <c r="B1922" s="32" t="inlineStr">
        <is>
          <t>K3-4B</t>
        </is>
      </c>
      <c r="D1922" s="32" t="n">
        <v>10.99</v>
      </c>
      <c r="E1922" s="32" t="n">
        <v>5903.166</v>
      </c>
      <c r="G1922" s="32" t="n">
        <v>887.4059999999999</v>
      </c>
      <c r="H1922" s="32" t="inlineStr">
        <is>
          <t>bb</t>
        </is>
      </c>
      <c r="I1922" s="32" t="n">
        <v>5903.166</v>
      </c>
      <c r="K1922" s="32" t="inlineStr">
        <is>
          <t>20250514-54</t>
        </is>
      </c>
    </row>
    <row r="1923">
      <c r="A1923" s="32" t="n">
        <v>44</v>
      </c>
      <c r="B1923" s="32" t="inlineStr">
        <is>
          <t>K3-4C</t>
        </is>
      </c>
      <c r="D1923" s="32" t="n">
        <v>11.03</v>
      </c>
      <c r="E1923" s="32" t="n">
        <v>5771.679</v>
      </c>
      <c r="G1923" s="32" t="n">
        <v>41453</v>
      </c>
      <c r="H1923" s="32" t="inlineStr">
        <is>
          <t>bb</t>
        </is>
      </c>
      <c r="I1923" s="32" t="n">
        <v>5771.679</v>
      </c>
      <c r="K1923" s="32" t="inlineStr">
        <is>
          <t>20250514-55</t>
        </is>
      </c>
    </row>
    <row r="1924">
      <c r="A1924" s="32" t="n">
        <v>45</v>
      </c>
      <c r="B1924" s="32" t="inlineStr">
        <is>
          <t>MeOH</t>
        </is>
      </c>
      <c r="K1924" s="32" t="inlineStr">
        <is>
          <t>20250514-56</t>
        </is>
      </c>
    </row>
    <row r="1925">
      <c r="A1925" s="32" t="n">
        <v>46</v>
      </c>
      <c r="B1925" s="32" t="inlineStr">
        <is>
          <t>K3-6A</t>
        </is>
      </c>
      <c r="D1925" s="32" t="n">
        <v>11.06</v>
      </c>
      <c r="E1925" s="32" t="n">
        <v>5487.978</v>
      </c>
      <c r="G1925" s="32" t="n">
        <v>550.7569999999999</v>
      </c>
      <c r="H1925" s="32" t="inlineStr">
        <is>
          <t>bb</t>
        </is>
      </c>
      <c r="I1925" s="32" t="n">
        <v>5487.978</v>
      </c>
      <c r="K1925" s="32" t="inlineStr">
        <is>
          <t>20250514-57</t>
        </is>
      </c>
    </row>
    <row r="1926">
      <c r="A1926" s="32" t="n">
        <v>47</v>
      </c>
      <c r="B1926" s="32" t="inlineStr">
        <is>
          <t>K3-6B</t>
        </is>
      </c>
      <c r="D1926" s="32" t="n">
        <v>11.04</v>
      </c>
      <c r="E1926" s="32" t="n">
        <v>4404.307</v>
      </c>
      <c r="G1926" s="32" t="n">
        <v>59.508</v>
      </c>
      <c r="H1926" s="32" t="inlineStr">
        <is>
          <t>bb</t>
        </is>
      </c>
      <c r="I1926" s="32" t="n">
        <v>4404.307</v>
      </c>
      <c r="K1926" s="32" t="inlineStr">
        <is>
          <t>20250514-58</t>
        </is>
      </c>
    </row>
    <row r="1927">
      <c r="A1927" s="32" t="n">
        <v>48</v>
      </c>
      <c r="B1927" s="32" t="inlineStr">
        <is>
          <t>K3-6C</t>
        </is>
      </c>
      <c r="D1927" s="32" t="n">
        <v>11.02</v>
      </c>
      <c r="E1927" s="32" t="n">
        <v>5559.999</v>
      </c>
      <c r="G1927" s="32" t="n">
        <v>1135.372</v>
      </c>
      <c r="H1927" s="32" t="inlineStr">
        <is>
          <t>bb</t>
        </is>
      </c>
      <c r="I1927" s="32" t="n">
        <v>5559.999</v>
      </c>
      <c r="K1927" s="32" t="inlineStr">
        <is>
          <t>20250514-59</t>
        </is>
      </c>
    </row>
    <row r="1929">
      <c r="A1929" s="32" t="inlineStr">
        <is>
          <t>Compound 38:  PFHpA 1</t>
        </is>
      </c>
    </row>
    <row r="1931">
      <c r="B1931" s="32" t="inlineStr">
        <is>
          <t>Sample Text</t>
        </is>
      </c>
      <c r="C1931" s="32" t="inlineStr">
        <is>
          <t>Std. Conc</t>
        </is>
      </c>
      <c r="D1931" s="32" t="inlineStr">
        <is>
          <t>RT</t>
        </is>
      </c>
      <c r="E1931" s="32" t="inlineStr">
        <is>
          <t>Area</t>
        </is>
      </c>
      <c r="F1931" s="32" t="inlineStr">
        <is>
          <t>IS Area</t>
        </is>
      </c>
      <c r="G1931" s="32" t="inlineStr">
        <is>
          <t>S/N</t>
        </is>
      </c>
      <c r="H1931" s="32" t="inlineStr">
        <is>
          <t>Primary Flags</t>
        </is>
      </c>
      <c r="I1931" s="32" t="inlineStr">
        <is>
          <t>Response</t>
        </is>
      </c>
      <c r="J1931" s="32" t="inlineStr">
        <is>
          <t>Conc.</t>
        </is>
      </c>
      <c r="K1931" s="32" t="inlineStr">
        <is>
          <t>Name</t>
        </is>
      </c>
    </row>
    <row r="1932">
      <c r="A1932" s="32" t="n">
        <v>1</v>
      </c>
      <c r="B1932" s="32" t="inlineStr">
        <is>
          <t>EPA1633 &amp; diPAPs Calibration 0 ppb</t>
        </is>
      </c>
      <c r="D1932" s="32" t="n">
        <v>11.04</v>
      </c>
      <c r="E1932" s="32" t="n">
        <v>84.322</v>
      </c>
      <c r="F1932" s="32" t="n">
        <v>3441.324</v>
      </c>
      <c r="G1932" s="32" t="n">
        <v>1.398</v>
      </c>
      <c r="H1932" s="32" t="inlineStr">
        <is>
          <t>bb</t>
        </is>
      </c>
      <c r="K1932" s="32" t="inlineStr">
        <is>
          <t>20250514-12</t>
        </is>
      </c>
    </row>
    <row r="1933">
      <c r="A1933" s="32" t="n">
        <v>2</v>
      </c>
      <c r="B1933" s="32" t="inlineStr">
        <is>
          <t>EPA1633 &amp; diPAPs Calibration 0.02 ppb</t>
        </is>
      </c>
      <c r="D1933" s="32" t="n">
        <v>10.54</v>
      </c>
      <c r="E1933" s="32" t="n">
        <v>226.591</v>
      </c>
      <c r="F1933" s="32" t="n">
        <v>2817.635</v>
      </c>
      <c r="G1933" s="32" t="n">
        <v>1.617</v>
      </c>
      <c r="H1933" s="32" t="inlineStr">
        <is>
          <t>bb</t>
        </is>
      </c>
      <c r="K1933" s="32" t="inlineStr">
        <is>
          <t>20250514-13</t>
        </is>
      </c>
    </row>
    <row r="1934">
      <c r="A1934" s="32" t="n">
        <v>3</v>
      </c>
      <c r="B1934" s="32" t="inlineStr">
        <is>
          <t>EPA1633 &amp; diPAPs Calibration 0.1 ppb</t>
        </is>
      </c>
      <c r="D1934" s="32" t="n">
        <v>10.68</v>
      </c>
      <c r="E1934" s="32" t="n">
        <v>158.099</v>
      </c>
      <c r="F1934" s="32" t="n">
        <v>3634.252</v>
      </c>
      <c r="G1934" s="32" t="n">
        <v>2.069</v>
      </c>
      <c r="H1934" s="32" t="inlineStr">
        <is>
          <t>bb</t>
        </is>
      </c>
      <c r="K1934" s="32" t="inlineStr">
        <is>
          <t>20250514-14</t>
        </is>
      </c>
    </row>
    <row r="1935">
      <c r="A1935" s="32" t="n">
        <v>4</v>
      </c>
      <c r="B1935" s="32" t="inlineStr">
        <is>
          <t>EPA1633 &amp; diPAPs Calibration 0.4 ppb</t>
        </is>
      </c>
      <c r="D1935" s="32" t="n">
        <v>10.6</v>
      </c>
      <c r="E1935" s="32" t="n">
        <v>469.085</v>
      </c>
      <c r="F1935" s="32" t="n">
        <v>2506.098</v>
      </c>
      <c r="G1935" s="32" t="n">
        <v>6.131</v>
      </c>
      <c r="H1935" s="32" t="inlineStr">
        <is>
          <t>bb</t>
        </is>
      </c>
      <c r="K1935" s="32" t="inlineStr">
        <is>
          <t>20250514-15</t>
        </is>
      </c>
    </row>
    <row r="1936">
      <c r="A1936" s="32" t="n">
        <v>5</v>
      </c>
      <c r="B1936" s="32" t="inlineStr">
        <is>
          <t>EPA1633 &amp; diPAPs Calibration 1 ppb</t>
        </is>
      </c>
      <c r="D1936" s="32" t="n">
        <v>10.61</v>
      </c>
      <c r="E1936" s="32" t="n">
        <v>829.9829999999999</v>
      </c>
      <c r="F1936" s="32" t="n">
        <v>3195.374</v>
      </c>
      <c r="G1936" s="32" t="n">
        <v>21.757</v>
      </c>
      <c r="H1936" s="32" t="inlineStr">
        <is>
          <t>bb</t>
        </is>
      </c>
      <c r="K1936" s="32" t="inlineStr">
        <is>
          <t>20250514-16</t>
        </is>
      </c>
    </row>
    <row r="1937">
      <c r="A1937" s="32" t="n">
        <v>6</v>
      </c>
      <c r="B1937" s="32" t="inlineStr">
        <is>
          <t>EPA1633 &amp; diPAPs Calibration 5 ppb</t>
        </is>
      </c>
      <c r="D1937" s="32" t="n">
        <v>10.48</v>
      </c>
      <c r="E1937" s="32" t="n">
        <v>3023.33</v>
      </c>
      <c r="F1937" s="32" t="n">
        <v>2906.045</v>
      </c>
      <c r="G1937" s="32" t="n">
        <v>51.508</v>
      </c>
      <c r="H1937" s="32" t="inlineStr">
        <is>
          <t>bb</t>
        </is>
      </c>
      <c r="K1937" s="32" t="inlineStr">
        <is>
          <t>20250514-17</t>
        </is>
      </c>
    </row>
    <row r="1938">
      <c r="A1938" s="32" t="n">
        <v>7</v>
      </c>
      <c r="B1938" s="32" t="inlineStr">
        <is>
          <t>EPA1633 &amp; diPAPs Calibration 10 ppb</t>
        </is>
      </c>
      <c r="D1938" s="32" t="n">
        <v>10.53</v>
      </c>
      <c r="E1938" s="32" t="n">
        <v>5730.271</v>
      </c>
      <c r="F1938" s="32" t="n">
        <v>2254.562</v>
      </c>
      <c r="G1938" s="32" t="n">
        <v>83.376</v>
      </c>
      <c r="H1938" s="32" t="inlineStr">
        <is>
          <t>bb</t>
        </is>
      </c>
      <c r="K1938" s="32" t="inlineStr">
        <is>
          <t>20250514-18</t>
        </is>
      </c>
    </row>
    <row r="1939">
      <c r="A1939" s="32" t="n">
        <v>8</v>
      </c>
      <c r="B1939" s="32" t="inlineStr">
        <is>
          <t>EPA1633 &amp; diPAPs Calibration 20 ppb</t>
        </is>
      </c>
      <c r="D1939" s="32" t="n">
        <v>10.57</v>
      </c>
      <c r="E1939" s="32" t="n">
        <v>11860.446</v>
      </c>
      <c r="F1939" s="32" t="n">
        <v>2682.879</v>
      </c>
      <c r="G1939" s="32" t="n">
        <v>236.586</v>
      </c>
      <c r="H1939" s="32" t="inlineStr">
        <is>
          <t>bb</t>
        </is>
      </c>
      <c r="K1939" s="32" t="inlineStr">
        <is>
          <t>20250514-19</t>
        </is>
      </c>
    </row>
    <row r="1940">
      <c r="A1940" s="32" t="n">
        <v>9</v>
      </c>
      <c r="B1940" s="32" t="inlineStr">
        <is>
          <t>MeOH</t>
        </is>
      </c>
      <c r="D1940" s="32" t="n">
        <v>10.72</v>
      </c>
      <c r="E1940" s="32" t="n">
        <v>115.386</v>
      </c>
      <c r="G1940" s="32" t="n">
        <v>1.688</v>
      </c>
      <c r="H1940" s="32" t="inlineStr">
        <is>
          <t>bb</t>
        </is>
      </c>
      <c r="K1940" s="32" t="inlineStr">
        <is>
          <t>20250514-20</t>
        </is>
      </c>
    </row>
    <row r="1941">
      <c r="A1941" s="32" t="n">
        <v>10</v>
      </c>
      <c r="B1941" s="32" t="inlineStr">
        <is>
          <t>MeOH</t>
        </is>
      </c>
      <c r="D1941" s="32" t="n">
        <v>11.11</v>
      </c>
      <c r="E1941" s="32" t="n">
        <v>198.013</v>
      </c>
      <c r="G1941" s="32" t="n">
        <v>2.581</v>
      </c>
      <c r="H1941" s="32" t="inlineStr">
        <is>
          <t>bb</t>
        </is>
      </c>
      <c r="K1941" s="32" t="inlineStr">
        <is>
          <t>20250514-21</t>
        </is>
      </c>
    </row>
    <row r="1942">
      <c r="A1942" s="32" t="n">
        <v>11</v>
      </c>
      <c r="B1942" s="32" t="inlineStr">
        <is>
          <t>SB1</t>
        </is>
      </c>
      <c r="D1942" s="32" t="n">
        <v>10.52</v>
      </c>
      <c r="E1942" s="32" t="n">
        <v>124.552</v>
      </c>
      <c r="F1942" s="32" t="n">
        <v>1216.834</v>
      </c>
      <c r="G1942" s="32" t="n">
        <v>1.374</v>
      </c>
      <c r="H1942" s="32" t="inlineStr">
        <is>
          <t>MM</t>
        </is>
      </c>
      <c r="K1942" s="32" t="inlineStr">
        <is>
          <t>20250514-22</t>
        </is>
      </c>
    </row>
    <row r="1943">
      <c r="A1943" s="32" t="n">
        <v>12</v>
      </c>
      <c r="B1943" s="32" t="inlineStr">
        <is>
          <t>SB2</t>
        </is>
      </c>
      <c r="D1943" s="32" t="n">
        <v>10.75</v>
      </c>
      <c r="E1943" s="32" t="n">
        <v>50.203</v>
      </c>
      <c r="F1943" s="32" t="n">
        <v>1211.397</v>
      </c>
      <c r="G1943" s="32" t="n">
        <v>0.57</v>
      </c>
      <c r="H1943" s="32" t="inlineStr">
        <is>
          <t>MM</t>
        </is>
      </c>
      <c r="K1943" s="32" t="inlineStr">
        <is>
          <t>20250514-23</t>
        </is>
      </c>
    </row>
    <row r="1944">
      <c r="A1944" s="32" t="n">
        <v>13</v>
      </c>
      <c r="B1944" s="32" t="inlineStr">
        <is>
          <t>SB3</t>
        </is>
      </c>
      <c r="D1944" s="32" t="n">
        <v>10.86</v>
      </c>
      <c r="E1944" s="32" t="n">
        <v>235.612</v>
      </c>
      <c r="F1944" s="32" t="n">
        <v>1072.495</v>
      </c>
      <c r="G1944" s="32" t="n">
        <v>2.085</v>
      </c>
      <c r="H1944" s="32" t="inlineStr">
        <is>
          <t>MM</t>
        </is>
      </c>
      <c r="K1944" s="32" t="inlineStr">
        <is>
          <t>20250514-24</t>
        </is>
      </c>
    </row>
    <row r="1945">
      <c r="A1945" s="32" t="n">
        <v>14</v>
      </c>
      <c r="B1945" s="32" t="inlineStr">
        <is>
          <t>SS1</t>
        </is>
      </c>
      <c r="D1945" s="32" t="n">
        <v>10.65</v>
      </c>
      <c r="E1945" s="32" t="n">
        <v>2442.701</v>
      </c>
      <c r="F1945" s="32" t="n">
        <v>1296.653</v>
      </c>
      <c r="G1945" s="32" t="n">
        <v>47.631</v>
      </c>
      <c r="H1945" s="32" t="inlineStr">
        <is>
          <t>bb</t>
        </is>
      </c>
      <c r="K1945" s="32" t="inlineStr">
        <is>
          <t>20250514-25</t>
        </is>
      </c>
    </row>
    <row r="1946">
      <c r="A1946" s="32" t="n">
        <v>15</v>
      </c>
      <c r="B1946" s="32" t="inlineStr">
        <is>
          <t>SS2</t>
        </is>
      </c>
      <c r="D1946" s="32" t="n">
        <v>10.67</v>
      </c>
      <c r="E1946" s="32" t="n">
        <v>2355.377</v>
      </c>
      <c r="F1946" s="32" t="n">
        <v>1239.62</v>
      </c>
      <c r="G1946" s="32" t="n">
        <v>52.249</v>
      </c>
      <c r="H1946" s="32" t="inlineStr">
        <is>
          <t>bb</t>
        </is>
      </c>
      <c r="K1946" s="32" t="inlineStr">
        <is>
          <t>20250514-26</t>
        </is>
      </c>
    </row>
    <row r="1947">
      <c r="A1947" s="32" t="n">
        <v>16</v>
      </c>
      <c r="B1947" s="32" t="inlineStr">
        <is>
          <t>SS3</t>
        </is>
      </c>
      <c r="D1947" s="32" t="n">
        <v>10.67</v>
      </c>
      <c r="E1947" s="32" t="n">
        <v>2430.86</v>
      </c>
      <c r="F1947" s="32" t="n">
        <v>1242.61</v>
      </c>
      <c r="G1947" s="32" t="n">
        <v>39.386</v>
      </c>
      <c r="H1947" s="32" t="inlineStr">
        <is>
          <t>bb</t>
        </is>
      </c>
      <c r="K1947" s="32" t="inlineStr">
        <is>
          <t>20250514-27</t>
        </is>
      </c>
    </row>
    <row r="1948">
      <c r="A1948" s="32" t="n">
        <v>17</v>
      </c>
      <c r="B1948" s="32" t="inlineStr">
        <is>
          <t>MeOH</t>
        </is>
      </c>
      <c r="H1948" s="32" t="inlineStr">
        <is>
          <t>MM-</t>
        </is>
      </c>
      <c r="K1948" s="32" t="inlineStr">
        <is>
          <t>20250514-28</t>
        </is>
      </c>
    </row>
    <row r="1949">
      <c r="A1949" s="32" t="n">
        <v>18</v>
      </c>
      <c r="B1949" s="32" t="inlineStr">
        <is>
          <t>K4-1A</t>
        </is>
      </c>
      <c r="D1949" s="32" t="n">
        <v>10.69</v>
      </c>
      <c r="E1949" s="32" t="n">
        <v>212.864</v>
      </c>
      <c r="F1949" s="32" t="n">
        <v>1955.025</v>
      </c>
      <c r="G1949" s="32" t="n">
        <v>3.363</v>
      </c>
      <c r="H1949" s="32" t="inlineStr">
        <is>
          <t>bb</t>
        </is>
      </c>
      <c r="K1949" s="32" t="inlineStr">
        <is>
          <t>20250514-29</t>
        </is>
      </c>
    </row>
    <row r="1950">
      <c r="A1950" s="32" t="n">
        <v>19</v>
      </c>
      <c r="B1950" s="32" t="inlineStr">
        <is>
          <t>K4-1B</t>
        </is>
      </c>
      <c r="D1950" s="32" t="n">
        <v>10.69</v>
      </c>
      <c r="E1950" s="32" t="n">
        <v>217.078</v>
      </c>
      <c r="F1950" s="32" t="n">
        <v>1600.471</v>
      </c>
      <c r="G1950" s="32" t="n">
        <v>2.978</v>
      </c>
      <c r="H1950" s="32" t="inlineStr">
        <is>
          <t>bb</t>
        </is>
      </c>
      <c r="K1950" s="32" t="inlineStr">
        <is>
          <t>20250514-30</t>
        </is>
      </c>
    </row>
    <row r="1951">
      <c r="A1951" s="32" t="n">
        <v>20</v>
      </c>
      <c r="B1951" s="32" t="inlineStr">
        <is>
          <t>K4-1C</t>
        </is>
      </c>
      <c r="D1951" s="32" t="n">
        <v>10.67</v>
      </c>
      <c r="E1951" s="32" t="n">
        <v>360.42</v>
      </c>
      <c r="F1951" s="32" t="n">
        <v>1707.683</v>
      </c>
      <c r="G1951" s="32" t="n">
        <v>7.208</v>
      </c>
      <c r="H1951" s="32" t="inlineStr">
        <is>
          <t>bb</t>
        </is>
      </c>
      <c r="K1951" s="32" t="inlineStr">
        <is>
          <t>20250514-31</t>
        </is>
      </c>
    </row>
    <row r="1952">
      <c r="A1952" s="32" t="n">
        <v>21</v>
      </c>
      <c r="B1952" s="32" t="inlineStr">
        <is>
          <t>K4-2A</t>
        </is>
      </c>
      <c r="D1952" s="32" t="n">
        <v>10.71</v>
      </c>
      <c r="E1952" s="32" t="n">
        <v>361.225</v>
      </c>
      <c r="F1952" s="32" t="n">
        <v>2151.199</v>
      </c>
      <c r="G1952" s="32" t="n">
        <v>4.839</v>
      </c>
      <c r="H1952" s="32" t="inlineStr">
        <is>
          <t>MM</t>
        </is>
      </c>
      <c r="K1952" s="32" t="inlineStr">
        <is>
          <t>20250514-32</t>
        </is>
      </c>
    </row>
    <row r="1953">
      <c r="A1953" s="32" t="n">
        <v>22</v>
      </c>
      <c r="B1953" s="32" t="inlineStr">
        <is>
          <t>K4-2B</t>
        </is>
      </c>
      <c r="D1953" s="32" t="n">
        <v>10.72</v>
      </c>
      <c r="E1953" s="32" t="n">
        <v>304.26</v>
      </c>
      <c r="F1953" s="32" t="n">
        <v>1627.57</v>
      </c>
      <c r="G1953" s="32" t="n">
        <v>3.949</v>
      </c>
      <c r="H1953" s="32" t="inlineStr">
        <is>
          <t>MM</t>
        </is>
      </c>
      <c r="K1953" s="32" t="inlineStr">
        <is>
          <t>20250514-33</t>
        </is>
      </c>
    </row>
    <row r="1954">
      <c r="A1954" s="32" t="n">
        <v>23</v>
      </c>
      <c r="B1954" s="32" t="inlineStr">
        <is>
          <t>K4-2C</t>
        </is>
      </c>
      <c r="D1954" s="32" t="n">
        <v>10.73</v>
      </c>
      <c r="E1954" s="32" t="n">
        <v>399.946</v>
      </c>
      <c r="F1954" s="32" t="n">
        <v>1993.504</v>
      </c>
      <c r="G1954" s="32" t="n">
        <v>5.765</v>
      </c>
      <c r="H1954" s="32" t="inlineStr">
        <is>
          <t>bb</t>
        </is>
      </c>
      <c r="K1954" s="32" t="inlineStr">
        <is>
          <t>20250514-34</t>
        </is>
      </c>
    </row>
    <row r="1955">
      <c r="A1955" s="32" t="n">
        <v>24</v>
      </c>
      <c r="B1955" s="32" t="inlineStr">
        <is>
          <t>MeOH</t>
        </is>
      </c>
      <c r="H1955" s="32" t="inlineStr">
        <is>
          <t>MM-</t>
        </is>
      </c>
      <c r="K1955" s="32" t="inlineStr">
        <is>
          <t>20250514-35</t>
        </is>
      </c>
    </row>
    <row r="1956">
      <c r="A1956" s="32" t="n">
        <v>25</v>
      </c>
      <c r="B1956" s="32" t="inlineStr">
        <is>
          <t>K4-4A</t>
        </is>
      </c>
      <c r="D1956" s="32" t="n">
        <v>10.7</v>
      </c>
      <c r="E1956" s="32" t="n">
        <v>297.069</v>
      </c>
      <c r="F1956" s="32" t="n">
        <v>1592.49</v>
      </c>
      <c r="G1956" s="32" t="n">
        <v>2.605</v>
      </c>
      <c r="H1956" s="32" t="inlineStr">
        <is>
          <t>bb</t>
        </is>
      </c>
      <c r="K1956" s="32" t="inlineStr">
        <is>
          <t>20250514-36</t>
        </is>
      </c>
    </row>
    <row r="1957">
      <c r="A1957" s="32" t="n">
        <v>26</v>
      </c>
      <c r="B1957" s="32" t="inlineStr">
        <is>
          <t>K4-4B</t>
        </is>
      </c>
      <c r="D1957" s="32" t="n">
        <v>10.72</v>
      </c>
      <c r="E1957" s="32" t="n">
        <v>182.108</v>
      </c>
      <c r="F1957" s="32" t="n">
        <v>1888.103</v>
      </c>
      <c r="G1957" s="32" t="n">
        <v>4.199</v>
      </c>
      <c r="H1957" s="32" t="inlineStr">
        <is>
          <t>MM</t>
        </is>
      </c>
      <c r="K1957" s="32" t="inlineStr">
        <is>
          <t>20250514-37</t>
        </is>
      </c>
    </row>
    <row r="1958">
      <c r="A1958" s="32" t="n">
        <v>27</v>
      </c>
      <c r="B1958" s="32" t="inlineStr">
        <is>
          <t>K4-4C</t>
        </is>
      </c>
      <c r="D1958" s="32" t="n">
        <v>10.99</v>
      </c>
      <c r="E1958" s="32" t="n">
        <v>201.259</v>
      </c>
      <c r="F1958" s="32" t="n">
        <v>1937.932</v>
      </c>
      <c r="G1958" s="32" t="n">
        <v>1.903</v>
      </c>
      <c r="H1958" s="32" t="inlineStr">
        <is>
          <t>MM</t>
        </is>
      </c>
      <c r="K1958" s="32" t="inlineStr">
        <is>
          <t>20250514-38</t>
        </is>
      </c>
    </row>
    <row r="1959">
      <c r="A1959" s="32" t="n">
        <v>28</v>
      </c>
      <c r="B1959" s="32" t="inlineStr">
        <is>
          <t>K4-5A</t>
        </is>
      </c>
      <c r="D1959" s="32" t="n">
        <v>10.71</v>
      </c>
      <c r="E1959" s="32" t="n">
        <v>234.375</v>
      </c>
      <c r="F1959" s="32" t="n">
        <v>1478.823</v>
      </c>
      <c r="G1959" s="32" t="n">
        <v>6.503</v>
      </c>
      <c r="H1959" s="32" t="inlineStr">
        <is>
          <t>bb</t>
        </is>
      </c>
      <c r="K1959" s="32" t="inlineStr">
        <is>
          <t>20250514-39</t>
        </is>
      </c>
    </row>
    <row r="1960">
      <c r="A1960" s="32" t="n">
        <v>29</v>
      </c>
      <c r="B1960" s="32" t="inlineStr">
        <is>
          <t>K4-5B</t>
        </is>
      </c>
      <c r="D1960" s="32" t="n">
        <v>10.7</v>
      </c>
      <c r="E1960" s="32" t="n">
        <v>283.318</v>
      </c>
      <c r="F1960" s="32" t="n">
        <v>1644.968</v>
      </c>
      <c r="G1960" s="32" t="n">
        <v>3.388</v>
      </c>
      <c r="H1960" s="32" t="inlineStr">
        <is>
          <t>bb</t>
        </is>
      </c>
      <c r="K1960" s="32" t="inlineStr">
        <is>
          <t>20250514-40</t>
        </is>
      </c>
    </row>
    <row r="1961">
      <c r="A1961" s="32" t="n">
        <v>30</v>
      </c>
      <c r="B1961" s="32" t="inlineStr">
        <is>
          <t>K4-5C</t>
        </is>
      </c>
      <c r="D1961" s="32" t="n">
        <v>10.58</v>
      </c>
      <c r="E1961" s="32" t="n">
        <v>242.763</v>
      </c>
      <c r="F1961" s="32" t="n">
        <v>1533.308</v>
      </c>
      <c r="G1961" s="32" t="n">
        <v>4.567</v>
      </c>
      <c r="H1961" s="32" t="inlineStr">
        <is>
          <t>MM</t>
        </is>
      </c>
      <c r="K1961" s="32" t="inlineStr">
        <is>
          <t>20250514-41</t>
        </is>
      </c>
    </row>
    <row r="1962">
      <c r="A1962" s="32" t="n">
        <v>31</v>
      </c>
      <c r="B1962" s="32" t="inlineStr">
        <is>
          <t>MeOH</t>
        </is>
      </c>
      <c r="H1962" s="32" t="inlineStr">
        <is>
          <t>MM-</t>
        </is>
      </c>
      <c r="K1962" s="32" t="inlineStr">
        <is>
          <t>20250514-42</t>
        </is>
      </c>
    </row>
    <row r="1963">
      <c r="A1963" s="32" t="n">
        <v>32</v>
      </c>
      <c r="B1963" s="32" t="inlineStr">
        <is>
          <t>K3-1A</t>
        </is>
      </c>
      <c r="D1963" s="32" t="n">
        <v>10.49</v>
      </c>
      <c r="E1963" s="32" t="n">
        <v>344.97</v>
      </c>
      <c r="F1963" s="32" t="n">
        <v>1539.783</v>
      </c>
      <c r="G1963" s="32" t="n">
        <v>4.329</v>
      </c>
      <c r="H1963" s="32" t="inlineStr">
        <is>
          <t>MM</t>
        </is>
      </c>
      <c r="K1963" s="32" t="inlineStr">
        <is>
          <t>20250514-43</t>
        </is>
      </c>
    </row>
    <row r="1964">
      <c r="A1964" s="32" t="n">
        <v>33</v>
      </c>
      <c r="B1964" s="32" t="inlineStr">
        <is>
          <t>K3-1B</t>
        </is>
      </c>
      <c r="D1964" s="32" t="n">
        <v>10.53</v>
      </c>
      <c r="E1964" s="32" t="n">
        <v>180.892</v>
      </c>
      <c r="F1964" s="32" t="n">
        <v>1096.782</v>
      </c>
      <c r="G1964" s="32" t="n">
        <v>3.135</v>
      </c>
      <c r="H1964" s="32" t="inlineStr">
        <is>
          <t>db</t>
        </is>
      </c>
      <c r="K1964" s="32" t="inlineStr">
        <is>
          <t>20250514-44</t>
        </is>
      </c>
    </row>
    <row r="1965">
      <c r="A1965" s="32" t="n">
        <v>34</v>
      </c>
      <c r="B1965" s="32" t="inlineStr">
        <is>
          <t>K3-1C</t>
        </is>
      </c>
      <c r="D1965" s="32" t="n">
        <v>10.57</v>
      </c>
      <c r="E1965" s="32" t="n">
        <v>259.883</v>
      </c>
      <c r="F1965" s="32" t="n">
        <v>2362.051</v>
      </c>
      <c r="G1965" s="32" t="n">
        <v>4.142</v>
      </c>
      <c r="H1965" s="32" t="inlineStr">
        <is>
          <t>MM</t>
        </is>
      </c>
      <c r="K1965" s="32" t="inlineStr">
        <is>
          <t>20250514-45</t>
        </is>
      </c>
    </row>
    <row r="1966">
      <c r="A1966" s="32" t="n">
        <v>35</v>
      </c>
      <c r="B1966" s="32" t="inlineStr">
        <is>
          <t>K3-2A</t>
        </is>
      </c>
      <c r="D1966" s="32" t="n">
        <v>10.64</v>
      </c>
      <c r="E1966" s="32" t="n">
        <v>280.96</v>
      </c>
      <c r="F1966" s="32" t="n">
        <v>1619.999</v>
      </c>
      <c r="G1966" s="32" t="n">
        <v>1.699</v>
      </c>
      <c r="H1966" s="32" t="inlineStr">
        <is>
          <t>bb</t>
        </is>
      </c>
      <c r="K1966" s="32" t="inlineStr">
        <is>
          <t>20250514-46</t>
        </is>
      </c>
    </row>
    <row r="1967">
      <c r="A1967" s="32" t="n">
        <v>36</v>
      </c>
      <c r="B1967" s="32" t="inlineStr">
        <is>
          <t>K3-2B</t>
        </is>
      </c>
      <c r="D1967" s="32" t="n">
        <v>10.59</v>
      </c>
      <c r="E1967" s="32" t="n">
        <v>281.852</v>
      </c>
      <c r="F1967" s="32" t="n">
        <v>2044.315</v>
      </c>
      <c r="G1967" s="32" t="n">
        <v>3.629</v>
      </c>
      <c r="H1967" s="32" t="inlineStr">
        <is>
          <t>MM</t>
        </is>
      </c>
      <c r="K1967" s="32" t="inlineStr">
        <is>
          <t>20250514-47</t>
        </is>
      </c>
    </row>
    <row r="1968">
      <c r="A1968" s="32" t="n">
        <v>37</v>
      </c>
      <c r="B1968" s="32" t="inlineStr">
        <is>
          <t>K3-2C</t>
        </is>
      </c>
      <c r="D1968" s="32" t="n">
        <v>10.71</v>
      </c>
      <c r="E1968" s="32" t="n">
        <v>274.712</v>
      </c>
      <c r="F1968" s="32" t="n">
        <v>2218.407</v>
      </c>
      <c r="G1968" s="32" t="n">
        <v>3.175</v>
      </c>
      <c r="H1968" s="32" t="inlineStr">
        <is>
          <t>bb</t>
        </is>
      </c>
      <c r="K1968" s="32" t="inlineStr">
        <is>
          <t>20250514-48</t>
        </is>
      </c>
    </row>
    <row r="1969">
      <c r="A1969" s="32" t="n">
        <v>38</v>
      </c>
      <c r="B1969" s="32" t="inlineStr">
        <is>
          <t>MeOH</t>
        </is>
      </c>
      <c r="H1969" s="32" t="inlineStr">
        <is>
          <t>MM-</t>
        </is>
      </c>
      <c r="K1969" s="32" t="inlineStr">
        <is>
          <t>20250514-49</t>
        </is>
      </c>
    </row>
    <row r="1970">
      <c r="A1970" s="32" t="n">
        <v>39</v>
      </c>
      <c r="B1970" s="32" t="inlineStr">
        <is>
          <t>K3-3A</t>
        </is>
      </c>
      <c r="D1970" s="32" t="n">
        <v>10.63</v>
      </c>
      <c r="E1970" s="32" t="n">
        <v>331.626</v>
      </c>
      <c r="F1970" s="32" t="n">
        <v>1515.995</v>
      </c>
      <c r="G1970" s="32" t="n">
        <v>5.076</v>
      </c>
      <c r="H1970" s="32" t="inlineStr">
        <is>
          <t>MM</t>
        </is>
      </c>
      <c r="K1970" s="32" t="inlineStr">
        <is>
          <t>20250514-50</t>
        </is>
      </c>
    </row>
    <row r="1971">
      <c r="A1971" s="32" t="n">
        <v>40</v>
      </c>
      <c r="B1971" s="32" t="inlineStr">
        <is>
          <t>K3-3B</t>
        </is>
      </c>
      <c r="D1971" s="32" t="n">
        <v>10.65</v>
      </c>
      <c r="E1971" s="32" t="n">
        <v>141.448</v>
      </c>
      <c r="F1971" s="32" t="n">
        <v>2110.115</v>
      </c>
      <c r="G1971" s="32" t="n">
        <v>2.443</v>
      </c>
      <c r="H1971" s="32" t="inlineStr">
        <is>
          <t>MM</t>
        </is>
      </c>
      <c r="K1971" s="32" t="inlineStr">
        <is>
          <t>20250514-51</t>
        </is>
      </c>
    </row>
    <row r="1972">
      <c r="A1972" s="32" t="n">
        <v>41</v>
      </c>
      <c r="B1972" s="32" t="inlineStr">
        <is>
          <t>K3-3C</t>
        </is>
      </c>
      <c r="D1972" s="32" t="n">
        <v>10.66</v>
      </c>
      <c r="E1972" s="32" t="n">
        <v>464.732</v>
      </c>
      <c r="F1972" s="32" t="n">
        <v>1783.99</v>
      </c>
      <c r="G1972" s="32" t="n">
        <v>5.913</v>
      </c>
      <c r="H1972" s="32" t="inlineStr">
        <is>
          <t>MM</t>
        </is>
      </c>
      <c r="K1972" s="32" t="inlineStr">
        <is>
          <t>20250514-52</t>
        </is>
      </c>
    </row>
    <row r="1973">
      <c r="A1973" s="32" t="n">
        <v>42</v>
      </c>
      <c r="B1973" s="32" t="inlineStr">
        <is>
          <t>K3-4A</t>
        </is>
      </c>
      <c r="D1973" s="32" t="n">
        <v>10.71</v>
      </c>
      <c r="E1973" s="32" t="n">
        <v>339.114</v>
      </c>
      <c r="F1973" s="32" t="n">
        <v>2029.2</v>
      </c>
      <c r="G1973" s="32" t="n">
        <v>4.323</v>
      </c>
      <c r="H1973" s="32" t="inlineStr">
        <is>
          <t>bb</t>
        </is>
      </c>
      <c r="K1973" s="32" t="inlineStr">
        <is>
          <t>20250514-53</t>
        </is>
      </c>
    </row>
    <row r="1974">
      <c r="A1974" s="32" t="n">
        <v>43</v>
      </c>
      <c r="B1974" s="32" t="inlineStr">
        <is>
          <t>K3-4B</t>
        </is>
      </c>
      <c r="D1974" s="32" t="n">
        <v>10.71</v>
      </c>
      <c r="E1974" s="32" t="n">
        <v>273.608</v>
      </c>
      <c r="F1974" s="32" t="n">
        <v>1683.879</v>
      </c>
      <c r="G1974" s="32" t="n">
        <v>2.947</v>
      </c>
      <c r="H1974" s="32" t="inlineStr">
        <is>
          <t>MM</t>
        </is>
      </c>
      <c r="K1974" s="32" t="inlineStr">
        <is>
          <t>20250514-54</t>
        </is>
      </c>
    </row>
    <row r="1975">
      <c r="A1975" s="32" t="n">
        <v>44</v>
      </c>
      <c r="B1975" s="32" t="inlineStr">
        <is>
          <t>K3-4C</t>
        </is>
      </c>
      <c r="D1975" s="32" t="n">
        <v>10.73</v>
      </c>
      <c r="E1975" s="32" t="n">
        <v>232.184</v>
      </c>
      <c r="F1975" s="32" t="n">
        <v>2361.376</v>
      </c>
      <c r="G1975" s="32" t="n">
        <v>1.602</v>
      </c>
      <c r="H1975" s="32" t="inlineStr">
        <is>
          <t>bb</t>
        </is>
      </c>
      <c r="K1975" s="32" t="inlineStr">
        <is>
          <t>20250514-55</t>
        </is>
      </c>
    </row>
    <row r="1976">
      <c r="A1976" s="32" t="n">
        <v>45</v>
      </c>
      <c r="B1976" s="32" t="inlineStr">
        <is>
          <t>MeOH</t>
        </is>
      </c>
      <c r="H1976" s="32" t="inlineStr">
        <is>
          <t>MM-</t>
        </is>
      </c>
      <c r="K1976" s="32" t="inlineStr">
        <is>
          <t>20250514-56</t>
        </is>
      </c>
    </row>
    <row r="1977">
      <c r="A1977" s="32" t="n">
        <v>46</v>
      </c>
      <c r="B1977" s="32" t="inlineStr">
        <is>
          <t>K3-6A</t>
        </is>
      </c>
      <c r="D1977" s="32" t="n">
        <v>10.75</v>
      </c>
      <c r="E1977" s="32" t="n">
        <v>298.755</v>
      </c>
      <c r="F1977" s="32" t="n">
        <v>2140.839</v>
      </c>
      <c r="G1977" s="32" t="n">
        <v>2.386</v>
      </c>
      <c r="H1977" s="32" t="inlineStr">
        <is>
          <t>bb</t>
        </is>
      </c>
      <c r="K1977" s="32" t="inlineStr">
        <is>
          <t>20250514-57</t>
        </is>
      </c>
    </row>
    <row r="1978">
      <c r="A1978" s="32" t="n">
        <v>47</v>
      </c>
      <c r="B1978" s="32" t="inlineStr">
        <is>
          <t>K3-6B</t>
        </is>
      </c>
      <c r="D1978" s="32" t="n">
        <v>10.7</v>
      </c>
      <c r="E1978" s="32" t="n">
        <v>125.297</v>
      </c>
      <c r="F1978" s="32" t="n">
        <v>2028.628</v>
      </c>
      <c r="G1978" s="32" t="n">
        <v>1.893</v>
      </c>
      <c r="H1978" s="32" t="inlineStr">
        <is>
          <t>MM</t>
        </is>
      </c>
      <c r="K1978" s="32" t="inlineStr">
        <is>
          <t>20250514-58</t>
        </is>
      </c>
    </row>
    <row r="1979">
      <c r="A1979" s="32" t="n">
        <v>48</v>
      </c>
      <c r="B1979" s="32" t="inlineStr">
        <is>
          <t>K3-6C</t>
        </is>
      </c>
      <c r="D1979" s="32" t="n">
        <v>10.84</v>
      </c>
      <c r="E1979" s="32" t="n">
        <v>328.482</v>
      </c>
      <c r="F1979" s="32" t="n">
        <v>1942.956</v>
      </c>
      <c r="G1979" s="32" t="n">
        <v>1.81</v>
      </c>
      <c r="H1979" s="32" t="inlineStr">
        <is>
          <t>bb</t>
        </is>
      </c>
      <c r="K1979" s="32" t="inlineStr">
        <is>
          <t>20250514-59</t>
        </is>
      </c>
    </row>
    <row r="1981">
      <c r="A1981" s="32" t="inlineStr">
        <is>
          <t>Compound 39:  PFHpA 2</t>
        </is>
      </c>
    </row>
    <row r="1983">
      <c r="B1983" s="32" t="inlineStr">
        <is>
          <t>Sample Text</t>
        </is>
      </c>
      <c r="C1983" s="32" t="inlineStr">
        <is>
          <t>Std. Conc</t>
        </is>
      </c>
      <c r="D1983" s="32" t="inlineStr">
        <is>
          <t>RT</t>
        </is>
      </c>
      <c r="E1983" s="32" t="inlineStr">
        <is>
          <t>Area</t>
        </is>
      </c>
      <c r="F1983" s="32" t="inlineStr">
        <is>
          <t>IS Area</t>
        </is>
      </c>
      <c r="G1983" s="32" t="inlineStr">
        <is>
          <t>S/N</t>
        </is>
      </c>
      <c r="H1983" s="32" t="inlineStr">
        <is>
          <t>Primary Flags</t>
        </is>
      </c>
      <c r="I1983" s="32" t="inlineStr">
        <is>
          <t>Response</t>
        </is>
      </c>
      <c r="J1983" s="32" t="inlineStr">
        <is>
          <t>Conc.</t>
        </is>
      </c>
      <c r="K1983" s="32" t="inlineStr">
        <is>
          <t>Name</t>
        </is>
      </c>
    </row>
    <row r="1984">
      <c r="A1984" s="32" t="n">
        <v>1</v>
      </c>
      <c r="B1984" s="32" t="inlineStr">
        <is>
          <t>EPA1633 &amp; diPAPs Calibration 0 ppb</t>
        </is>
      </c>
      <c r="D1984" s="32" t="n">
        <v>10.73</v>
      </c>
      <c r="E1984" s="32" t="n">
        <v>8.212999999999999</v>
      </c>
      <c r="F1984" s="32" t="n">
        <v>3441.324</v>
      </c>
      <c r="G1984" s="32" t="n">
        <v>4.48</v>
      </c>
      <c r="H1984" s="32" t="inlineStr">
        <is>
          <t>bb</t>
        </is>
      </c>
      <c r="K1984" s="32" t="inlineStr">
        <is>
          <t>20250514-12</t>
        </is>
      </c>
    </row>
    <row r="1985">
      <c r="A1985" s="32" t="n">
        <v>2</v>
      </c>
      <c r="B1985" s="32" t="inlineStr">
        <is>
          <t>EPA1633 &amp; diPAPs Calibration 0.02 ppb</t>
        </is>
      </c>
      <c r="D1985" s="32" t="n">
        <v>10.62</v>
      </c>
      <c r="E1985" s="32" t="n">
        <v>103.484</v>
      </c>
      <c r="F1985" s="32" t="n">
        <v>2817.635</v>
      </c>
      <c r="G1985" s="32" t="n">
        <v>1025</v>
      </c>
      <c r="H1985" s="32" t="inlineStr">
        <is>
          <t>bb</t>
        </is>
      </c>
      <c r="K1985" s="32" t="inlineStr">
        <is>
          <t>20250514-13</t>
        </is>
      </c>
    </row>
    <row r="1986">
      <c r="A1986" s="32" t="n">
        <v>3</v>
      </c>
      <c r="B1986" s="32" t="inlineStr">
        <is>
          <t>EPA1633 &amp; diPAPs Calibration 0.1 ppb</t>
        </is>
      </c>
      <c r="D1986" s="32" t="n">
        <v>10.72</v>
      </c>
      <c r="E1986" s="32" t="n">
        <v>10.579</v>
      </c>
      <c r="F1986" s="32" t="n">
        <v>3634.252</v>
      </c>
      <c r="G1986" s="32" t="n">
        <v>67</v>
      </c>
      <c r="H1986" s="32" t="inlineStr">
        <is>
          <t>MM</t>
        </is>
      </c>
      <c r="K1986" s="32" t="inlineStr">
        <is>
          <t>20250514-14</t>
        </is>
      </c>
    </row>
    <row r="1987">
      <c r="A1987" s="32" t="n">
        <v>4</v>
      </c>
      <c r="B1987" s="32" t="inlineStr">
        <is>
          <t>EPA1633 &amp; diPAPs Calibration 0.4 ppb</t>
        </is>
      </c>
      <c r="D1987" s="32" t="n">
        <v>10.63</v>
      </c>
      <c r="E1987" s="32" t="n">
        <v>169.943</v>
      </c>
      <c r="F1987" s="32" t="n">
        <v>2506.098</v>
      </c>
      <c r="G1987" s="32" t="n">
        <v>327.607</v>
      </c>
      <c r="H1987" s="32" t="inlineStr">
        <is>
          <t>bb</t>
        </is>
      </c>
      <c r="K1987" s="32" t="inlineStr">
        <is>
          <t>20250514-15</t>
        </is>
      </c>
    </row>
    <row r="1988">
      <c r="A1988" s="32" t="n">
        <v>5</v>
      </c>
      <c r="B1988" s="32" t="inlineStr">
        <is>
          <t>EPA1633 &amp; diPAPs Calibration 1 ppb</t>
        </is>
      </c>
      <c r="D1988" s="32" t="n">
        <v>10.64</v>
      </c>
      <c r="E1988" s="32" t="n">
        <v>334.371</v>
      </c>
      <c r="F1988" s="32" t="n">
        <v>3195.374</v>
      </c>
      <c r="G1988" s="32" t="n">
        <v>2.681</v>
      </c>
      <c r="H1988" s="32" t="inlineStr">
        <is>
          <t>bb</t>
        </is>
      </c>
      <c r="K1988" s="32" t="inlineStr">
        <is>
          <t>20250514-16</t>
        </is>
      </c>
    </row>
    <row r="1989">
      <c r="A1989" s="32" t="n">
        <v>6</v>
      </c>
      <c r="B1989" s="32" t="inlineStr">
        <is>
          <t>EPA1633 &amp; diPAPs Calibration 5 ppb</t>
        </is>
      </c>
      <c r="D1989" s="32" t="n">
        <v>10.48</v>
      </c>
      <c r="E1989" s="32" t="n">
        <v>1149.312</v>
      </c>
      <c r="F1989" s="32" t="n">
        <v>2906.045</v>
      </c>
      <c r="G1989" s="32" t="n">
        <v>76.651</v>
      </c>
      <c r="H1989" s="32" t="inlineStr">
        <is>
          <t>bb</t>
        </is>
      </c>
      <c r="K1989" s="32" t="inlineStr">
        <is>
          <t>20250514-17</t>
        </is>
      </c>
    </row>
    <row r="1990">
      <c r="A1990" s="32" t="n">
        <v>7</v>
      </c>
      <c r="B1990" s="32" t="inlineStr">
        <is>
          <t>EPA1633 &amp; diPAPs Calibration 10 ppb</t>
        </is>
      </c>
      <c r="D1990" s="32" t="n">
        <v>10.53</v>
      </c>
      <c r="E1990" s="32" t="n">
        <v>2158.282</v>
      </c>
      <c r="F1990" s="32" t="n">
        <v>2254.562</v>
      </c>
      <c r="G1990" s="32" t="n">
        <v>16137</v>
      </c>
      <c r="H1990" s="32" t="inlineStr">
        <is>
          <t>bb</t>
        </is>
      </c>
      <c r="K1990" s="32" t="inlineStr">
        <is>
          <t>20250514-18</t>
        </is>
      </c>
    </row>
    <row r="1991">
      <c r="A1991" s="32" t="n">
        <v>8</v>
      </c>
      <c r="B1991" s="32" t="inlineStr">
        <is>
          <t>EPA1633 &amp; diPAPs Calibration 20 ppb</t>
        </is>
      </c>
      <c r="D1991" s="32" t="n">
        <v>10.57</v>
      </c>
      <c r="E1991" s="32" t="n">
        <v>5791.031</v>
      </c>
      <c r="F1991" s="32" t="n">
        <v>2682.879</v>
      </c>
      <c r="G1991" s="32" t="n">
        <v>56.379</v>
      </c>
      <c r="H1991" s="32" t="inlineStr">
        <is>
          <t>bb</t>
        </is>
      </c>
      <c r="K1991" s="32" t="inlineStr">
        <is>
          <t>20250514-19</t>
        </is>
      </c>
    </row>
    <row r="1992">
      <c r="A1992" s="32" t="n">
        <v>9</v>
      </c>
      <c r="B1992" s="32" t="inlineStr">
        <is>
          <t>MeOH</t>
        </is>
      </c>
      <c r="K1992" s="32" t="inlineStr">
        <is>
          <t>20250514-20</t>
        </is>
      </c>
    </row>
    <row r="1993">
      <c r="A1993" s="32" t="n">
        <v>10</v>
      </c>
      <c r="B1993" s="32" t="inlineStr">
        <is>
          <t>MeOH</t>
        </is>
      </c>
      <c r="D1993" s="32" t="n">
        <v>11.26</v>
      </c>
      <c r="E1993" s="32" t="n">
        <v>8.122</v>
      </c>
      <c r="G1993" s="32" t="n">
        <v>76</v>
      </c>
      <c r="H1993" s="32" t="inlineStr">
        <is>
          <t>bb</t>
        </is>
      </c>
      <c r="K1993" s="32" t="inlineStr">
        <is>
          <t>20250514-21</t>
        </is>
      </c>
    </row>
    <row r="1994">
      <c r="A1994" s="32" t="n">
        <v>11</v>
      </c>
      <c r="B1994" s="32" t="inlineStr">
        <is>
          <t>SB1</t>
        </is>
      </c>
      <c r="D1994" s="32" t="n">
        <v>10.81</v>
      </c>
      <c r="E1994" s="32" t="n">
        <v>18.623</v>
      </c>
      <c r="F1994" s="32" t="n">
        <v>1216.834</v>
      </c>
      <c r="G1994" s="32" t="n">
        <v>177</v>
      </c>
      <c r="H1994" s="32" t="inlineStr">
        <is>
          <t>bb</t>
        </is>
      </c>
      <c r="K1994" s="32" t="inlineStr">
        <is>
          <t>20250514-22</t>
        </is>
      </c>
    </row>
    <row r="1995">
      <c r="A1995" s="32" t="n">
        <v>12</v>
      </c>
      <c r="B1995" s="32" t="inlineStr">
        <is>
          <t>SB2</t>
        </is>
      </c>
      <c r="D1995" s="32" t="n">
        <v>10.63</v>
      </c>
      <c r="E1995" s="32" t="n">
        <v>1.887</v>
      </c>
      <c r="F1995" s="32" t="n">
        <v>1211.397</v>
      </c>
      <c r="G1995" s="32" t="n">
        <v>21</v>
      </c>
      <c r="H1995" s="32" t="inlineStr">
        <is>
          <t>bb</t>
        </is>
      </c>
      <c r="K1995" s="32" t="inlineStr">
        <is>
          <t>20250514-23</t>
        </is>
      </c>
    </row>
    <row r="1996">
      <c r="A1996" s="32" t="n">
        <v>13</v>
      </c>
      <c r="B1996" s="32" t="inlineStr">
        <is>
          <t>SB3</t>
        </is>
      </c>
      <c r="F1996" s="32" t="n">
        <v>1072.495</v>
      </c>
      <c r="K1996" s="32" t="inlineStr">
        <is>
          <t>20250514-24</t>
        </is>
      </c>
    </row>
    <row r="1997">
      <c r="A1997" s="32" t="n">
        <v>14</v>
      </c>
      <c r="B1997" s="32" t="inlineStr">
        <is>
          <t>SS1</t>
        </is>
      </c>
      <c r="D1997" s="32" t="n">
        <v>10.66</v>
      </c>
      <c r="E1997" s="32" t="n">
        <v>1006.95</v>
      </c>
      <c r="F1997" s="32" t="n">
        <v>1296.653</v>
      </c>
      <c r="G1997" s="32" t="n">
        <v>206.508</v>
      </c>
      <c r="H1997" s="32" t="inlineStr">
        <is>
          <t>bb</t>
        </is>
      </c>
      <c r="K1997" s="32" t="inlineStr">
        <is>
          <t>20250514-25</t>
        </is>
      </c>
    </row>
    <row r="1998">
      <c r="A1998" s="32" t="n">
        <v>15</v>
      </c>
      <c r="B1998" s="32" t="inlineStr">
        <is>
          <t>SS2</t>
        </is>
      </c>
      <c r="D1998" s="32" t="n">
        <v>10.67</v>
      </c>
      <c r="E1998" s="32" t="n">
        <v>1054.382</v>
      </c>
      <c r="F1998" s="32" t="n">
        <v>1239.62</v>
      </c>
      <c r="G1998" s="32" t="n">
        <v>28.307</v>
      </c>
      <c r="H1998" s="32" t="inlineStr">
        <is>
          <t>bb</t>
        </is>
      </c>
      <c r="K1998" s="32" t="inlineStr">
        <is>
          <t>20250514-26</t>
        </is>
      </c>
    </row>
    <row r="1999">
      <c r="A1999" s="32" t="n">
        <v>16</v>
      </c>
      <c r="B1999" s="32" t="inlineStr">
        <is>
          <t>SS3</t>
        </is>
      </c>
      <c r="D1999" s="32" t="n">
        <v>10.67</v>
      </c>
      <c r="E1999" s="32" t="n">
        <v>1413.274</v>
      </c>
      <c r="F1999" s="32" t="n">
        <v>1242.61</v>
      </c>
      <c r="G1999" s="32" t="n">
        <v>96.914</v>
      </c>
      <c r="H1999" s="32" t="inlineStr">
        <is>
          <t>bb</t>
        </is>
      </c>
      <c r="K1999" s="32" t="inlineStr">
        <is>
          <t>20250514-27</t>
        </is>
      </c>
    </row>
    <row r="2000">
      <c r="A2000" s="32" t="n">
        <v>17</v>
      </c>
      <c r="B2000" s="32" t="inlineStr">
        <is>
          <t>MeOH</t>
        </is>
      </c>
      <c r="D2000" s="32" t="n">
        <v>10.81</v>
      </c>
      <c r="E2000" s="32" t="n">
        <v>5.615</v>
      </c>
      <c r="G2000" s="32" t="n">
        <v>0.451</v>
      </c>
      <c r="H2000" s="32" t="inlineStr">
        <is>
          <t>bb</t>
        </is>
      </c>
      <c r="K2000" s="32" t="inlineStr">
        <is>
          <t>20250514-28</t>
        </is>
      </c>
    </row>
    <row r="2001">
      <c r="A2001" s="32" t="n">
        <v>18</v>
      </c>
      <c r="B2001" s="32" t="inlineStr">
        <is>
          <t>K4-1A</t>
        </is>
      </c>
      <c r="D2001" s="32" t="n">
        <v>10.65</v>
      </c>
      <c r="E2001" s="32" t="n">
        <v>76.501</v>
      </c>
      <c r="F2001" s="32" t="n">
        <v>1955.025</v>
      </c>
      <c r="G2001" s="32" t="n">
        <v>9.467000000000001</v>
      </c>
      <c r="H2001" s="32" t="inlineStr">
        <is>
          <t>bb</t>
        </is>
      </c>
      <c r="K2001" s="32" t="inlineStr">
        <is>
          <t>20250514-29</t>
        </is>
      </c>
    </row>
    <row r="2002">
      <c r="A2002" s="32" t="n">
        <v>19</v>
      </c>
      <c r="B2002" s="32" t="inlineStr">
        <is>
          <t>K4-1B</t>
        </is>
      </c>
      <c r="F2002" s="32" t="n">
        <v>1600.471</v>
      </c>
      <c r="K2002" s="32" t="inlineStr">
        <is>
          <t>20250514-30</t>
        </is>
      </c>
    </row>
    <row r="2003">
      <c r="A2003" s="32" t="n">
        <v>20</v>
      </c>
      <c r="B2003" s="32" t="inlineStr">
        <is>
          <t>K4-1C</t>
        </is>
      </c>
      <c r="D2003" s="32" t="n">
        <v>10.7</v>
      </c>
      <c r="E2003" s="32" t="n">
        <v>76.542</v>
      </c>
      <c r="F2003" s="32" t="n">
        <v>1707.683</v>
      </c>
      <c r="G2003" s="32" t="n">
        <v>19.917</v>
      </c>
      <c r="H2003" s="32" t="inlineStr">
        <is>
          <t>bb</t>
        </is>
      </c>
      <c r="K2003" s="32" t="inlineStr">
        <is>
          <t>20250514-31</t>
        </is>
      </c>
    </row>
    <row r="2004">
      <c r="A2004" s="32" t="n">
        <v>21</v>
      </c>
      <c r="B2004" s="32" t="inlineStr">
        <is>
          <t>K4-2A</t>
        </is>
      </c>
      <c r="D2004" s="32" t="n">
        <v>10.71</v>
      </c>
      <c r="E2004" s="32" t="n">
        <v>46.224</v>
      </c>
      <c r="F2004" s="32" t="n">
        <v>2151.199</v>
      </c>
      <c r="G2004" s="32" t="n">
        <v>2.232</v>
      </c>
      <c r="H2004" s="32" t="inlineStr">
        <is>
          <t>bb</t>
        </is>
      </c>
      <c r="K2004" s="32" t="inlineStr">
        <is>
          <t>20250514-32</t>
        </is>
      </c>
    </row>
    <row r="2005">
      <c r="A2005" s="32" t="n">
        <v>22</v>
      </c>
      <c r="B2005" s="32" t="inlineStr">
        <is>
          <t>K4-2B</t>
        </is>
      </c>
      <c r="D2005" s="32" t="n">
        <v>10.68</v>
      </c>
      <c r="E2005" s="32" t="n">
        <v>268.814</v>
      </c>
      <c r="F2005" s="32" t="n">
        <v>1627.57</v>
      </c>
      <c r="G2005" s="32" t="n">
        <v>2.439</v>
      </c>
      <c r="H2005" s="32" t="inlineStr">
        <is>
          <t>bb</t>
        </is>
      </c>
      <c r="K2005" s="32" t="inlineStr">
        <is>
          <t>20250514-33</t>
        </is>
      </c>
    </row>
    <row r="2006">
      <c r="A2006" s="32" t="n">
        <v>23</v>
      </c>
      <c r="B2006" s="32" t="inlineStr">
        <is>
          <t>K4-2C</t>
        </is>
      </c>
      <c r="D2006" s="32" t="n">
        <v>10.7</v>
      </c>
      <c r="E2006" s="32" t="n">
        <v>81.20699999999999</v>
      </c>
      <c r="F2006" s="32" t="n">
        <v>1993.504</v>
      </c>
      <c r="G2006" s="32" t="n">
        <v>724</v>
      </c>
      <c r="H2006" s="32" t="inlineStr">
        <is>
          <t>bb</t>
        </is>
      </c>
      <c r="K2006" s="32" t="inlineStr">
        <is>
          <t>20250514-34</t>
        </is>
      </c>
    </row>
    <row r="2007">
      <c r="A2007" s="32" t="n">
        <v>24</v>
      </c>
      <c r="B2007" s="32" t="inlineStr">
        <is>
          <t>MeOH</t>
        </is>
      </c>
      <c r="D2007" s="32" t="n">
        <v>10.73</v>
      </c>
      <c r="E2007" s="32" t="n">
        <v>31.371</v>
      </c>
      <c r="G2007" s="32" t="n">
        <v>329</v>
      </c>
      <c r="H2007" s="32" t="inlineStr">
        <is>
          <t>bb</t>
        </is>
      </c>
      <c r="K2007" s="32" t="inlineStr">
        <is>
          <t>20250514-35</t>
        </is>
      </c>
    </row>
    <row r="2008">
      <c r="A2008" s="32" t="n">
        <v>25</v>
      </c>
      <c r="B2008" s="32" t="inlineStr">
        <is>
          <t>K4-4A</t>
        </is>
      </c>
      <c r="D2008" s="32" t="n">
        <v>10.84</v>
      </c>
      <c r="E2008" s="32" t="n">
        <v>33.725</v>
      </c>
      <c r="F2008" s="32" t="n">
        <v>1592.49</v>
      </c>
      <c r="G2008" s="32" t="n">
        <v>238</v>
      </c>
      <c r="H2008" s="32" t="inlineStr">
        <is>
          <t>bb</t>
        </is>
      </c>
      <c r="K2008" s="32" t="inlineStr">
        <is>
          <t>20250514-36</t>
        </is>
      </c>
    </row>
    <row r="2009">
      <c r="A2009" s="32" t="n">
        <v>26</v>
      </c>
      <c r="B2009" s="32" t="inlineStr">
        <is>
          <t>K4-4B</t>
        </is>
      </c>
      <c r="D2009" s="32" t="n">
        <v>10.76</v>
      </c>
      <c r="E2009" s="32" t="n">
        <v>39.234</v>
      </c>
      <c r="F2009" s="32" t="n">
        <v>1888.103</v>
      </c>
      <c r="G2009" s="32" t="n">
        <v>416</v>
      </c>
      <c r="H2009" s="32" t="inlineStr">
        <is>
          <t>bb</t>
        </is>
      </c>
      <c r="K2009" s="32" t="inlineStr">
        <is>
          <t>20250514-37</t>
        </is>
      </c>
    </row>
    <row r="2010">
      <c r="A2010" s="32" t="n">
        <v>27</v>
      </c>
      <c r="B2010" s="32" t="inlineStr">
        <is>
          <t>K4-4C</t>
        </is>
      </c>
      <c r="D2010" s="32" t="n">
        <v>10.71</v>
      </c>
      <c r="E2010" s="32" t="n">
        <v>82.80800000000001</v>
      </c>
      <c r="F2010" s="32" t="n">
        <v>1937.932</v>
      </c>
      <c r="G2010" s="32" t="n">
        <v>516</v>
      </c>
      <c r="H2010" s="32" t="inlineStr">
        <is>
          <t>bb</t>
        </is>
      </c>
      <c r="K2010" s="32" t="inlineStr">
        <is>
          <t>20250514-38</t>
        </is>
      </c>
    </row>
    <row r="2011">
      <c r="A2011" s="32" t="n">
        <v>28</v>
      </c>
      <c r="B2011" s="32" t="inlineStr">
        <is>
          <t>K4-5A</t>
        </is>
      </c>
      <c r="D2011" s="32" t="n">
        <v>10.69</v>
      </c>
      <c r="E2011" s="32" t="n">
        <v>21.092</v>
      </c>
      <c r="F2011" s="32" t="n">
        <v>1478.823</v>
      </c>
      <c r="G2011" s="32" t="n">
        <v>4.552</v>
      </c>
      <c r="H2011" s="32" t="inlineStr">
        <is>
          <t>bb</t>
        </is>
      </c>
      <c r="K2011" s="32" t="inlineStr">
        <is>
          <t>20250514-39</t>
        </is>
      </c>
    </row>
    <row r="2012">
      <c r="A2012" s="32" t="n">
        <v>29</v>
      </c>
      <c r="B2012" s="32" t="inlineStr">
        <is>
          <t>K4-5B</t>
        </is>
      </c>
      <c r="D2012" s="32" t="n">
        <v>10.7</v>
      </c>
      <c r="E2012" s="32" t="n">
        <v>15.842</v>
      </c>
      <c r="F2012" s="32" t="n">
        <v>1644.968</v>
      </c>
      <c r="G2012" s="32" t="n">
        <v>2.103</v>
      </c>
      <c r="H2012" s="32" t="inlineStr">
        <is>
          <t>bb</t>
        </is>
      </c>
      <c r="K2012" s="32" t="inlineStr">
        <is>
          <t>20250514-40</t>
        </is>
      </c>
    </row>
    <row r="2013">
      <c r="A2013" s="32" t="n">
        <v>30</v>
      </c>
      <c r="B2013" s="32" t="inlineStr">
        <is>
          <t>K4-5C</t>
        </is>
      </c>
      <c r="D2013" s="32" t="n">
        <v>10.63</v>
      </c>
      <c r="E2013" s="32" t="n">
        <v>14.849</v>
      </c>
      <c r="F2013" s="32" t="n">
        <v>1533.308</v>
      </c>
      <c r="G2013" s="32" t="n">
        <v>153</v>
      </c>
      <c r="H2013" s="32" t="inlineStr">
        <is>
          <t>bb</t>
        </is>
      </c>
      <c r="K2013" s="32" t="inlineStr">
        <is>
          <t>20250514-41</t>
        </is>
      </c>
    </row>
    <row r="2014">
      <c r="A2014" s="32" t="n">
        <v>31</v>
      </c>
      <c r="B2014" s="32" t="inlineStr">
        <is>
          <t>MeOH</t>
        </is>
      </c>
      <c r="D2014" s="32" t="n">
        <v>10.66</v>
      </c>
      <c r="E2014" s="32" t="n">
        <v>83.504</v>
      </c>
      <c r="G2014" s="32" t="n">
        <v>810</v>
      </c>
      <c r="H2014" s="32" t="inlineStr">
        <is>
          <t>bb</t>
        </is>
      </c>
      <c r="K2014" s="32" t="inlineStr">
        <is>
          <t>20250514-42</t>
        </is>
      </c>
    </row>
    <row r="2015">
      <c r="A2015" s="32" t="n">
        <v>32</v>
      </c>
      <c r="B2015" s="32" t="inlineStr">
        <is>
          <t>K3-1A</t>
        </is>
      </c>
      <c r="D2015" s="32" t="n">
        <v>10.48</v>
      </c>
      <c r="E2015" s="32" t="n">
        <v>76.256</v>
      </c>
      <c r="F2015" s="32" t="n">
        <v>1539.783</v>
      </c>
      <c r="G2015" s="32" t="n">
        <v>8.949999999999999</v>
      </c>
      <c r="H2015" s="32" t="inlineStr">
        <is>
          <t>bb</t>
        </is>
      </c>
      <c r="K2015" s="32" t="inlineStr">
        <is>
          <t>20250514-43</t>
        </is>
      </c>
    </row>
    <row r="2016">
      <c r="A2016" s="32" t="n">
        <v>33</v>
      </c>
      <c r="B2016" s="32" t="inlineStr">
        <is>
          <t>K3-1B</t>
        </is>
      </c>
      <c r="D2016" s="32" t="n">
        <v>10.53</v>
      </c>
      <c r="E2016" s="32" t="n">
        <v>24.105</v>
      </c>
      <c r="F2016" s="32" t="n">
        <v>1096.782</v>
      </c>
      <c r="G2016" s="32" t="n">
        <v>235</v>
      </c>
      <c r="H2016" s="32" t="inlineStr">
        <is>
          <t>bb</t>
        </is>
      </c>
      <c r="K2016" s="32" t="inlineStr">
        <is>
          <t>20250514-44</t>
        </is>
      </c>
    </row>
    <row r="2017">
      <c r="A2017" s="32" t="n">
        <v>34</v>
      </c>
      <c r="B2017" s="32" t="inlineStr">
        <is>
          <t>K3-1C</t>
        </is>
      </c>
      <c r="D2017" s="32" t="n">
        <v>10.55</v>
      </c>
      <c r="E2017" s="32" t="n">
        <v>11.2</v>
      </c>
      <c r="F2017" s="32" t="n">
        <v>2362.051</v>
      </c>
      <c r="G2017" s="32" t="n">
        <v>3.403</v>
      </c>
      <c r="H2017" s="32" t="inlineStr">
        <is>
          <t>bb</t>
        </is>
      </c>
      <c r="K2017" s="32" t="inlineStr">
        <is>
          <t>20250514-45</t>
        </is>
      </c>
    </row>
    <row r="2018">
      <c r="A2018" s="32" t="n">
        <v>35</v>
      </c>
      <c r="B2018" s="32" t="inlineStr">
        <is>
          <t>K3-2A</t>
        </is>
      </c>
      <c r="D2018" s="32" t="n">
        <v>10.6</v>
      </c>
      <c r="E2018" s="32" t="n">
        <v>56.118</v>
      </c>
      <c r="F2018" s="32" t="n">
        <v>1619.999</v>
      </c>
      <c r="G2018" s="32" t="n">
        <v>3.752</v>
      </c>
      <c r="H2018" s="32" t="inlineStr">
        <is>
          <t>bb</t>
        </is>
      </c>
      <c r="K2018" s="32" t="inlineStr">
        <is>
          <t>20250514-46</t>
        </is>
      </c>
    </row>
    <row r="2019">
      <c r="A2019" s="32" t="n">
        <v>36</v>
      </c>
      <c r="B2019" s="32" t="inlineStr">
        <is>
          <t>K3-2B</t>
        </is>
      </c>
      <c r="D2019" s="32" t="n">
        <v>10.59</v>
      </c>
      <c r="E2019" s="32" t="n">
        <v>44.354</v>
      </c>
      <c r="F2019" s="32" t="n">
        <v>2044.315</v>
      </c>
      <c r="G2019" s="32" t="n">
        <v>30.117</v>
      </c>
      <c r="H2019" s="32" t="inlineStr">
        <is>
          <t>bb</t>
        </is>
      </c>
      <c r="K2019" s="32" t="inlineStr">
        <is>
          <t>20250514-47</t>
        </is>
      </c>
    </row>
    <row r="2020">
      <c r="A2020" s="32" t="n">
        <v>37</v>
      </c>
      <c r="B2020" s="32" t="inlineStr">
        <is>
          <t>K3-2C</t>
        </is>
      </c>
      <c r="D2020" s="32" t="n">
        <v>10.16</v>
      </c>
      <c r="E2020" s="32" t="n">
        <v>1.713</v>
      </c>
      <c r="F2020" s="32" t="n">
        <v>2218.407</v>
      </c>
      <c r="G2020" s="32" t="n">
        <v>19</v>
      </c>
      <c r="H2020" s="32" t="inlineStr">
        <is>
          <t>bb</t>
        </is>
      </c>
      <c r="K2020" s="32" t="inlineStr">
        <is>
          <t>20250514-48</t>
        </is>
      </c>
    </row>
    <row r="2021">
      <c r="A2021" s="32" t="n">
        <v>38</v>
      </c>
      <c r="B2021" s="32" t="inlineStr">
        <is>
          <t>MeOH</t>
        </is>
      </c>
      <c r="D2021" s="32" t="n">
        <v>10.64</v>
      </c>
      <c r="E2021" s="32" t="n">
        <v>13.267</v>
      </c>
      <c r="G2021" s="32" t="n">
        <v>150</v>
      </c>
      <c r="H2021" s="32" t="inlineStr">
        <is>
          <t>bb</t>
        </is>
      </c>
      <c r="K2021" s="32" t="inlineStr">
        <is>
          <t>20250514-49</t>
        </is>
      </c>
    </row>
    <row r="2022">
      <c r="A2022" s="32" t="n">
        <v>39</v>
      </c>
      <c r="B2022" s="32" t="inlineStr">
        <is>
          <t>K3-3A</t>
        </is>
      </c>
      <c r="D2022" s="32" t="n">
        <v>10.63</v>
      </c>
      <c r="E2022" s="32" t="n">
        <v>94.133</v>
      </c>
      <c r="F2022" s="32" t="n">
        <v>1515.995</v>
      </c>
      <c r="G2022" s="32" t="n">
        <v>803</v>
      </c>
      <c r="H2022" s="32" t="inlineStr">
        <is>
          <t>bb</t>
        </is>
      </c>
      <c r="K2022" s="32" t="inlineStr">
        <is>
          <t>20250514-50</t>
        </is>
      </c>
    </row>
    <row r="2023">
      <c r="A2023" s="32" t="n">
        <v>40</v>
      </c>
      <c r="B2023" s="32" t="inlineStr">
        <is>
          <t>K3-3B</t>
        </is>
      </c>
      <c r="D2023" s="32" t="n">
        <v>10.59</v>
      </c>
      <c r="E2023" s="32" t="n">
        <v>19.288</v>
      </c>
      <c r="F2023" s="32" t="n">
        <v>2110.115</v>
      </c>
      <c r="G2023" s="32" t="n">
        <v>171</v>
      </c>
      <c r="H2023" s="32" t="inlineStr">
        <is>
          <t>bb</t>
        </is>
      </c>
      <c r="K2023" s="32" t="inlineStr">
        <is>
          <t>20250514-51</t>
        </is>
      </c>
    </row>
    <row r="2024">
      <c r="A2024" s="32" t="n">
        <v>41</v>
      </c>
      <c r="B2024" s="32" t="inlineStr">
        <is>
          <t>K3-3C</t>
        </is>
      </c>
      <c r="D2024" s="32" t="n">
        <v>10.65</v>
      </c>
      <c r="E2024" s="32" t="n">
        <v>114.29</v>
      </c>
      <c r="F2024" s="32" t="n">
        <v>1783.99</v>
      </c>
      <c r="G2024" s="32" t="n">
        <v>2.972</v>
      </c>
      <c r="H2024" s="32" t="inlineStr">
        <is>
          <t>bb</t>
        </is>
      </c>
      <c r="K2024" s="32" t="inlineStr">
        <is>
          <t>20250514-52</t>
        </is>
      </c>
    </row>
    <row r="2025">
      <c r="A2025" s="32" t="n">
        <v>42</v>
      </c>
      <c r="B2025" s="32" t="inlineStr">
        <is>
          <t>K3-4A</t>
        </is>
      </c>
      <c r="D2025" s="32" t="n">
        <v>11.22</v>
      </c>
      <c r="E2025" s="32" t="n">
        <v>10.539</v>
      </c>
      <c r="F2025" s="32" t="n">
        <v>2029.2</v>
      </c>
      <c r="G2025" s="32" t="n">
        <v>103</v>
      </c>
      <c r="H2025" s="32" t="inlineStr">
        <is>
          <t>bb</t>
        </is>
      </c>
      <c r="K2025" s="32" t="inlineStr">
        <is>
          <t>20250514-53</t>
        </is>
      </c>
    </row>
    <row r="2026">
      <c r="A2026" s="32" t="n">
        <v>43</v>
      </c>
      <c r="B2026" s="32" t="inlineStr">
        <is>
          <t>K3-4B</t>
        </is>
      </c>
      <c r="D2026" s="32" t="n">
        <v>10.67</v>
      </c>
      <c r="E2026" s="32" t="n">
        <v>111.371</v>
      </c>
      <c r="F2026" s="32" t="n">
        <v>1683.879</v>
      </c>
      <c r="G2026" s="32" t="n">
        <v>16.132</v>
      </c>
      <c r="H2026" s="32" t="inlineStr">
        <is>
          <t>bb</t>
        </is>
      </c>
      <c r="K2026" s="32" t="inlineStr">
        <is>
          <t>20250514-54</t>
        </is>
      </c>
    </row>
    <row r="2027">
      <c r="A2027" s="32" t="n">
        <v>44</v>
      </c>
      <c r="B2027" s="32" t="inlineStr">
        <is>
          <t>K3-4C</t>
        </is>
      </c>
      <c r="D2027" s="32" t="n">
        <v>10.82</v>
      </c>
      <c r="E2027" s="32" t="n">
        <v>29.029</v>
      </c>
      <c r="F2027" s="32" t="n">
        <v>2361.376</v>
      </c>
      <c r="G2027" s="32" t="n">
        <v>2.997</v>
      </c>
      <c r="H2027" s="32" t="inlineStr">
        <is>
          <t>bb</t>
        </is>
      </c>
      <c r="K2027" s="32" t="inlineStr">
        <is>
          <t>20250514-55</t>
        </is>
      </c>
    </row>
    <row r="2028">
      <c r="A2028" s="32" t="n">
        <v>45</v>
      </c>
      <c r="B2028" s="32" t="inlineStr">
        <is>
          <t>MeOH</t>
        </is>
      </c>
      <c r="H2028" s="32" t="inlineStr">
        <is>
          <t>MM-</t>
        </is>
      </c>
      <c r="K2028" s="32" t="inlineStr">
        <is>
          <t>20250514-56</t>
        </is>
      </c>
    </row>
    <row r="2029">
      <c r="A2029" s="32" t="n">
        <v>46</v>
      </c>
      <c r="B2029" s="32" t="inlineStr">
        <is>
          <t>K3-6A</t>
        </is>
      </c>
      <c r="D2029" s="32" t="n">
        <v>11.07</v>
      </c>
      <c r="E2029" s="32" t="n">
        <v>64.548</v>
      </c>
      <c r="F2029" s="32" t="n">
        <v>2140.839</v>
      </c>
      <c r="G2029" s="32" t="n">
        <v>2.367</v>
      </c>
      <c r="H2029" s="32" t="inlineStr">
        <is>
          <t>bb</t>
        </is>
      </c>
      <c r="K2029" s="32" t="inlineStr">
        <is>
          <t>20250514-57</t>
        </is>
      </c>
    </row>
    <row r="2030">
      <c r="A2030" s="32" t="n">
        <v>47</v>
      </c>
      <c r="B2030" s="32" t="inlineStr">
        <is>
          <t>K3-6B</t>
        </is>
      </c>
      <c r="D2030" s="32" t="n">
        <v>10.86</v>
      </c>
      <c r="E2030" s="32" t="n">
        <v>31.344</v>
      </c>
      <c r="F2030" s="32" t="n">
        <v>2028.628</v>
      </c>
      <c r="G2030" s="32" t="n">
        <v>253</v>
      </c>
      <c r="H2030" s="32" t="inlineStr">
        <is>
          <t>bb</t>
        </is>
      </c>
      <c r="K2030" s="32" t="inlineStr">
        <is>
          <t>20250514-58</t>
        </is>
      </c>
    </row>
    <row r="2031">
      <c r="A2031" s="32" t="n">
        <v>48</v>
      </c>
      <c r="B2031" s="32" t="inlineStr">
        <is>
          <t>K3-6C</t>
        </is>
      </c>
      <c r="D2031" s="32" t="n">
        <v>10.72</v>
      </c>
      <c r="E2031" s="32" t="n">
        <v>66.199</v>
      </c>
      <c r="F2031" s="32" t="n">
        <v>1942.956</v>
      </c>
      <c r="G2031" s="32" t="n">
        <v>2.484</v>
      </c>
      <c r="H2031" s="32" t="inlineStr">
        <is>
          <t>bb</t>
        </is>
      </c>
      <c r="K2031" s="32" t="inlineStr">
        <is>
          <t>20250514-59</t>
        </is>
      </c>
    </row>
    <row r="2033">
      <c r="A2033" s="32" t="inlineStr">
        <is>
          <t>Compound 40:  m4 PFHpA 1</t>
        </is>
      </c>
    </row>
    <row r="2035">
      <c r="B2035" s="32" t="inlineStr">
        <is>
          <t>Sample Text</t>
        </is>
      </c>
      <c r="C2035" s="32" t="inlineStr">
        <is>
          <t>Std. Conc</t>
        </is>
      </c>
      <c r="D2035" s="32" t="inlineStr">
        <is>
          <t>RT</t>
        </is>
      </c>
      <c r="E2035" s="32" t="inlineStr">
        <is>
          <t>Area</t>
        </is>
      </c>
      <c r="F2035" s="32" t="inlineStr">
        <is>
          <t>IS Area</t>
        </is>
      </c>
      <c r="G2035" s="32" t="inlineStr">
        <is>
          <t>S/N</t>
        </is>
      </c>
      <c r="H2035" s="32" t="inlineStr">
        <is>
          <t>Primary Flags</t>
        </is>
      </c>
      <c r="I2035" s="32" t="inlineStr">
        <is>
          <t>Response</t>
        </is>
      </c>
      <c r="J2035" s="32" t="inlineStr">
        <is>
          <t>Conc.</t>
        </is>
      </c>
      <c r="K2035" s="32" t="inlineStr">
        <is>
          <t>Name</t>
        </is>
      </c>
    </row>
    <row r="2036">
      <c r="A2036" s="32" t="n">
        <v>1</v>
      </c>
      <c r="B2036" s="32" t="inlineStr">
        <is>
          <t>EPA1633 &amp; diPAPs Calibration 0 ppb</t>
        </is>
      </c>
      <c r="D2036" s="32" t="n">
        <v>10.55</v>
      </c>
      <c r="E2036" s="32" t="n">
        <v>3441.324</v>
      </c>
      <c r="G2036" s="32" t="n">
        <v>28556</v>
      </c>
      <c r="H2036" s="32" t="inlineStr">
        <is>
          <t>bb</t>
        </is>
      </c>
      <c r="I2036" s="32" t="n">
        <v>3441.324</v>
      </c>
      <c r="K2036" s="32" t="inlineStr">
        <is>
          <t>20250514-12</t>
        </is>
      </c>
    </row>
    <row r="2037">
      <c r="A2037" s="32" t="n">
        <v>2</v>
      </c>
      <c r="B2037" s="32" t="inlineStr">
        <is>
          <t>EPA1633 &amp; diPAPs Calibration 0.02 ppb</t>
        </is>
      </c>
      <c r="D2037" s="32" t="n">
        <v>10.57</v>
      </c>
      <c r="E2037" s="32" t="n">
        <v>2817.635</v>
      </c>
      <c r="G2037" s="32" t="n">
        <v>1142.697</v>
      </c>
      <c r="H2037" s="32" t="inlineStr">
        <is>
          <t>bb</t>
        </is>
      </c>
      <c r="I2037" s="32" t="n">
        <v>2817.635</v>
      </c>
      <c r="K2037" s="32" t="inlineStr">
        <is>
          <t>20250514-13</t>
        </is>
      </c>
    </row>
    <row r="2038">
      <c r="A2038" s="32" t="n">
        <v>3</v>
      </c>
      <c r="B2038" s="32" t="inlineStr">
        <is>
          <t>EPA1633 &amp; diPAPs Calibration 0.1 ppb</t>
        </is>
      </c>
      <c r="D2038" s="32" t="n">
        <v>10.59</v>
      </c>
      <c r="E2038" s="32" t="n">
        <v>3634.252</v>
      </c>
      <c r="G2038" s="32" t="n">
        <v>206.489</v>
      </c>
      <c r="H2038" s="32" t="inlineStr">
        <is>
          <t>bb</t>
        </is>
      </c>
      <c r="I2038" s="32" t="n">
        <v>3634.252</v>
      </c>
      <c r="K2038" s="32" t="inlineStr">
        <is>
          <t>20250514-14</t>
        </is>
      </c>
    </row>
    <row r="2039">
      <c r="A2039" s="32" t="n">
        <v>4</v>
      </c>
      <c r="B2039" s="32" t="inlineStr">
        <is>
          <t>EPA1633 &amp; diPAPs Calibration 0.4 ppb</t>
        </is>
      </c>
      <c r="D2039" s="32" t="n">
        <v>10.6</v>
      </c>
      <c r="E2039" s="32" t="n">
        <v>2506.098</v>
      </c>
      <c r="G2039" s="32" t="n">
        <v>53.899</v>
      </c>
      <c r="H2039" s="32" t="inlineStr">
        <is>
          <t>bb</t>
        </is>
      </c>
      <c r="I2039" s="32" t="n">
        <v>2506.098</v>
      </c>
      <c r="K2039" s="32" t="inlineStr">
        <is>
          <t>20250514-15</t>
        </is>
      </c>
    </row>
    <row r="2040">
      <c r="A2040" s="32" t="n">
        <v>5</v>
      </c>
      <c r="B2040" s="32" t="inlineStr">
        <is>
          <t>EPA1633 &amp; diPAPs Calibration 1 ppb</t>
        </is>
      </c>
      <c r="D2040" s="32" t="n">
        <v>10.61</v>
      </c>
      <c r="E2040" s="32" t="n">
        <v>3195.374</v>
      </c>
      <c r="G2040" s="32" t="n">
        <v>76.999</v>
      </c>
      <c r="H2040" s="32" t="inlineStr">
        <is>
          <t>bb</t>
        </is>
      </c>
      <c r="I2040" s="32" t="n">
        <v>3195.374</v>
      </c>
      <c r="K2040" s="32" t="inlineStr">
        <is>
          <t>20250514-16</t>
        </is>
      </c>
    </row>
    <row r="2041">
      <c r="A2041" s="32" t="n">
        <v>6</v>
      </c>
      <c r="B2041" s="32" t="inlineStr">
        <is>
          <t>EPA1633 &amp; diPAPs Calibration 5 ppb</t>
        </is>
      </c>
      <c r="D2041" s="32" t="n">
        <v>10.48</v>
      </c>
      <c r="E2041" s="32" t="n">
        <v>2906.045</v>
      </c>
      <c r="G2041" s="32" t="n">
        <v>56.649</v>
      </c>
      <c r="H2041" s="32" t="inlineStr">
        <is>
          <t>bb</t>
        </is>
      </c>
      <c r="I2041" s="32" t="n">
        <v>2906.045</v>
      </c>
      <c r="K2041" s="32" t="inlineStr">
        <is>
          <t>20250514-17</t>
        </is>
      </c>
    </row>
    <row r="2042">
      <c r="A2042" s="32" t="n">
        <v>7</v>
      </c>
      <c r="B2042" s="32" t="inlineStr">
        <is>
          <t>EPA1633 &amp; diPAPs Calibration 10 ppb</t>
        </is>
      </c>
      <c r="D2042" s="32" t="n">
        <v>10.53</v>
      </c>
      <c r="E2042" s="32" t="n">
        <v>2254.562</v>
      </c>
      <c r="G2042" s="32" t="n">
        <v>7.137</v>
      </c>
      <c r="H2042" s="32" t="inlineStr">
        <is>
          <t>bb</t>
        </is>
      </c>
      <c r="I2042" s="32" t="n">
        <v>2254.562</v>
      </c>
      <c r="K2042" s="32" t="inlineStr">
        <is>
          <t>20250514-18</t>
        </is>
      </c>
    </row>
    <row r="2043">
      <c r="A2043" s="32" t="n">
        <v>8</v>
      </c>
      <c r="B2043" s="32" t="inlineStr">
        <is>
          <t>EPA1633 &amp; diPAPs Calibration 20 ppb</t>
        </is>
      </c>
      <c r="D2043" s="32" t="n">
        <v>10.57</v>
      </c>
      <c r="E2043" s="32" t="n">
        <v>2682.879</v>
      </c>
      <c r="G2043" s="32" t="n">
        <v>144.573</v>
      </c>
      <c r="H2043" s="32" t="inlineStr">
        <is>
          <t>bb</t>
        </is>
      </c>
      <c r="I2043" s="32" t="n">
        <v>2682.879</v>
      </c>
      <c r="K2043" s="32" t="inlineStr">
        <is>
          <t>20250514-19</t>
        </is>
      </c>
    </row>
    <row r="2044">
      <c r="A2044" s="32" t="n">
        <v>9</v>
      </c>
      <c r="B2044" s="32" t="inlineStr">
        <is>
          <t>MeOH</t>
        </is>
      </c>
      <c r="K2044" s="32" t="inlineStr">
        <is>
          <t>20250514-20</t>
        </is>
      </c>
    </row>
    <row r="2045">
      <c r="A2045" s="32" t="n">
        <v>10</v>
      </c>
      <c r="B2045" s="32" t="inlineStr">
        <is>
          <t>MeOH</t>
        </is>
      </c>
      <c r="K2045" s="32" t="inlineStr">
        <is>
          <t>20250514-21</t>
        </is>
      </c>
    </row>
    <row r="2046">
      <c r="A2046" s="32" t="n">
        <v>11</v>
      </c>
      <c r="B2046" s="32" t="inlineStr">
        <is>
          <t>SB1</t>
        </is>
      </c>
      <c r="D2046" s="32" t="n">
        <v>10.61</v>
      </c>
      <c r="E2046" s="32" t="n">
        <v>1216.834</v>
      </c>
      <c r="G2046" s="32" t="n">
        <v>10849</v>
      </c>
      <c r="H2046" s="32" t="inlineStr">
        <is>
          <t>bb</t>
        </is>
      </c>
      <c r="I2046" s="32" t="n">
        <v>1216.834</v>
      </c>
      <c r="K2046" s="32" t="inlineStr">
        <is>
          <t>20250514-22</t>
        </is>
      </c>
    </row>
    <row r="2047">
      <c r="A2047" s="32" t="n">
        <v>12</v>
      </c>
      <c r="B2047" s="32" t="inlineStr">
        <is>
          <t>SB2</t>
        </is>
      </c>
      <c r="D2047" s="32" t="n">
        <v>10.63</v>
      </c>
      <c r="E2047" s="32" t="n">
        <v>1211.397</v>
      </c>
      <c r="G2047" s="32" t="n">
        <v>60.018</v>
      </c>
      <c r="H2047" s="32" t="inlineStr">
        <is>
          <t>bb</t>
        </is>
      </c>
      <c r="I2047" s="32" t="n">
        <v>1211.397</v>
      </c>
      <c r="K2047" s="32" t="inlineStr">
        <is>
          <t>20250514-23</t>
        </is>
      </c>
    </row>
    <row r="2048">
      <c r="A2048" s="32" t="n">
        <v>13</v>
      </c>
      <c r="B2048" s="32" t="inlineStr">
        <is>
          <t>SB3</t>
        </is>
      </c>
      <c r="D2048" s="32" t="n">
        <v>10.61</v>
      </c>
      <c r="E2048" s="32" t="n">
        <v>1072.495</v>
      </c>
      <c r="G2048" s="32" t="n">
        <v>187.643</v>
      </c>
      <c r="H2048" s="32" t="inlineStr">
        <is>
          <t>bb</t>
        </is>
      </c>
      <c r="I2048" s="32" t="n">
        <v>1072.495</v>
      </c>
      <c r="K2048" s="32" t="inlineStr">
        <is>
          <t>20250514-24</t>
        </is>
      </c>
    </row>
    <row r="2049">
      <c r="A2049" s="32" t="n">
        <v>14</v>
      </c>
      <c r="B2049" s="32" t="inlineStr">
        <is>
          <t>SS1</t>
        </is>
      </c>
      <c r="D2049" s="32" t="n">
        <v>10.65</v>
      </c>
      <c r="E2049" s="32" t="n">
        <v>1296.653</v>
      </c>
      <c r="G2049" s="32" t="n">
        <v>13.739</v>
      </c>
      <c r="H2049" s="32" t="inlineStr">
        <is>
          <t>bb</t>
        </is>
      </c>
      <c r="I2049" s="32" t="n">
        <v>1296.653</v>
      </c>
      <c r="K2049" s="32" t="inlineStr">
        <is>
          <t>20250514-25</t>
        </is>
      </c>
    </row>
    <row r="2050">
      <c r="A2050" s="32" t="n">
        <v>15</v>
      </c>
      <c r="B2050" s="32" t="inlineStr">
        <is>
          <t>SS2</t>
        </is>
      </c>
      <c r="D2050" s="32" t="n">
        <v>10.66</v>
      </c>
      <c r="E2050" s="32" t="n">
        <v>1239.62</v>
      </c>
      <c r="G2050" s="32" t="n">
        <v>3.043</v>
      </c>
      <c r="H2050" s="32" t="inlineStr">
        <is>
          <t>bb</t>
        </is>
      </c>
      <c r="I2050" s="32" t="n">
        <v>1239.62</v>
      </c>
      <c r="K2050" s="32" t="inlineStr">
        <is>
          <t>20250514-26</t>
        </is>
      </c>
    </row>
    <row r="2051">
      <c r="A2051" s="32" t="n">
        <v>16</v>
      </c>
      <c r="B2051" s="32" t="inlineStr">
        <is>
          <t>SS3</t>
        </is>
      </c>
      <c r="D2051" s="32" t="n">
        <v>10.67</v>
      </c>
      <c r="E2051" s="32" t="n">
        <v>1242.61</v>
      </c>
      <c r="G2051" s="32" t="n">
        <v>9570</v>
      </c>
      <c r="H2051" s="32" t="inlineStr">
        <is>
          <t>bb</t>
        </is>
      </c>
      <c r="I2051" s="32" t="n">
        <v>1242.61</v>
      </c>
      <c r="K2051" s="32" t="inlineStr">
        <is>
          <t>20250514-27</t>
        </is>
      </c>
    </row>
    <row r="2052">
      <c r="A2052" s="32" t="n">
        <v>17</v>
      </c>
      <c r="B2052" s="32" t="inlineStr">
        <is>
          <t>MeOH</t>
        </is>
      </c>
      <c r="K2052" s="32" t="inlineStr">
        <is>
          <t>20250514-28</t>
        </is>
      </c>
    </row>
    <row r="2053">
      <c r="A2053" s="32" t="n">
        <v>18</v>
      </c>
      <c r="B2053" s="32" t="inlineStr">
        <is>
          <t>K4-1A</t>
        </is>
      </c>
      <c r="D2053" s="32" t="n">
        <v>10.67</v>
      </c>
      <c r="E2053" s="32" t="n">
        <v>1955.025</v>
      </c>
      <c r="G2053" s="32" t="n">
        <v>14358</v>
      </c>
      <c r="H2053" s="32" t="inlineStr">
        <is>
          <t>bb</t>
        </is>
      </c>
      <c r="I2053" s="32" t="n">
        <v>1955.025</v>
      </c>
      <c r="K2053" s="32" t="inlineStr">
        <is>
          <t>20250514-29</t>
        </is>
      </c>
    </row>
    <row r="2054">
      <c r="A2054" s="32" t="n">
        <v>19</v>
      </c>
      <c r="B2054" s="32" t="inlineStr">
        <is>
          <t>K4-1B</t>
        </is>
      </c>
      <c r="D2054" s="32" t="n">
        <v>10.67</v>
      </c>
      <c r="E2054" s="32" t="n">
        <v>1600.471</v>
      </c>
      <c r="G2054" s="32" t="n">
        <v>13093</v>
      </c>
      <c r="H2054" s="32" t="inlineStr">
        <is>
          <t>bb</t>
        </is>
      </c>
      <c r="I2054" s="32" t="n">
        <v>1600.471</v>
      </c>
      <c r="K2054" s="32" t="inlineStr">
        <is>
          <t>20250514-30</t>
        </is>
      </c>
    </row>
    <row r="2055">
      <c r="A2055" s="32" t="n">
        <v>20</v>
      </c>
      <c r="B2055" s="32" t="inlineStr">
        <is>
          <t>K4-1C</t>
        </is>
      </c>
      <c r="D2055" s="32" t="n">
        <v>10.69</v>
      </c>
      <c r="E2055" s="32" t="n">
        <v>1707.683</v>
      </c>
      <c r="G2055" s="32" t="n">
        <v>13382</v>
      </c>
      <c r="H2055" s="32" t="inlineStr">
        <is>
          <t>bb</t>
        </is>
      </c>
      <c r="I2055" s="32" t="n">
        <v>1707.683</v>
      </c>
      <c r="K2055" s="32" t="inlineStr">
        <is>
          <t>20250514-31</t>
        </is>
      </c>
    </row>
    <row r="2056">
      <c r="A2056" s="32" t="n">
        <v>21</v>
      </c>
      <c r="B2056" s="32" t="inlineStr">
        <is>
          <t>K4-2A</t>
        </is>
      </c>
      <c r="D2056" s="32" t="n">
        <v>10.7</v>
      </c>
      <c r="E2056" s="32" t="n">
        <v>2151.199</v>
      </c>
      <c r="G2056" s="32" t="n">
        <v>123.317</v>
      </c>
      <c r="H2056" s="32" t="inlineStr">
        <is>
          <t>bb</t>
        </is>
      </c>
      <c r="I2056" s="32" t="n">
        <v>2151.199</v>
      </c>
      <c r="K2056" s="32" t="inlineStr">
        <is>
          <t>20250514-32</t>
        </is>
      </c>
    </row>
    <row r="2057">
      <c r="A2057" s="32" t="n">
        <v>22</v>
      </c>
      <c r="B2057" s="32" t="inlineStr">
        <is>
          <t>K4-2B</t>
        </is>
      </c>
      <c r="D2057" s="32" t="n">
        <v>10.7</v>
      </c>
      <c r="E2057" s="32" t="n">
        <v>1627.57</v>
      </c>
      <c r="G2057" s="32" t="n">
        <v>12124</v>
      </c>
      <c r="H2057" s="32" t="inlineStr">
        <is>
          <t>bb</t>
        </is>
      </c>
      <c r="I2057" s="32" t="n">
        <v>1627.57</v>
      </c>
      <c r="K2057" s="32" t="inlineStr">
        <is>
          <t>20250514-33</t>
        </is>
      </c>
    </row>
    <row r="2058">
      <c r="A2058" s="32" t="n">
        <v>23</v>
      </c>
      <c r="B2058" s="32" t="inlineStr">
        <is>
          <t>K4-2C</t>
        </is>
      </c>
      <c r="D2058" s="32" t="n">
        <v>10.71</v>
      </c>
      <c r="E2058" s="32" t="n">
        <v>1993.504</v>
      </c>
      <c r="G2058" s="32" t="n">
        <v>16621</v>
      </c>
      <c r="H2058" s="32" t="inlineStr">
        <is>
          <t>bb</t>
        </is>
      </c>
      <c r="I2058" s="32" t="n">
        <v>1993.504</v>
      </c>
      <c r="K2058" s="32" t="inlineStr">
        <is>
          <t>20250514-34</t>
        </is>
      </c>
    </row>
    <row r="2059">
      <c r="A2059" s="32" t="n">
        <v>24</v>
      </c>
      <c r="B2059" s="32" t="inlineStr">
        <is>
          <t>MeOH</t>
        </is>
      </c>
      <c r="K2059" s="32" t="inlineStr">
        <is>
          <t>20250514-35</t>
        </is>
      </c>
    </row>
    <row r="2060">
      <c r="A2060" s="32" t="n">
        <v>25</v>
      </c>
      <c r="B2060" s="32" t="inlineStr">
        <is>
          <t>K4-4A</t>
        </is>
      </c>
      <c r="D2060" s="32" t="n">
        <v>10.72</v>
      </c>
      <c r="E2060" s="32" t="n">
        <v>1592.49</v>
      </c>
      <c r="G2060" s="32" t="n">
        <v>13088</v>
      </c>
      <c r="H2060" s="32" t="inlineStr">
        <is>
          <t>bb</t>
        </is>
      </c>
      <c r="I2060" s="32" t="n">
        <v>1592.49</v>
      </c>
      <c r="K2060" s="32" t="inlineStr">
        <is>
          <t>20250514-36</t>
        </is>
      </c>
    </row>
    <row r="2061">
      <c r="A2061" s="32" t="n">
        <v>26</v>
      </c>
      <c r="B2061" s="32" t="inlineStr">
        <is>
          <t>K4-4B</t>
        </is>
      </c>
      <c r="D2061" s="32" t="n">
        <v>10.72</v>
      </c>
      <c r="E2061" s="32" t="n">
        <v>1888.103</v>
      </c>
      <c r="G2061" s="32" t="n">
        <v>27.629</v>
      </c>
      <c r="H2061" s="32" t="inlineStr">
        <is>
          <t>bb</t>
        </is>
      </c>
      <c r="I2061" s="32" t="n">
        <v>1888.103</v>
      </c>
      <c r="K2061" s="32" t="inlineStr">
        <is>
          <t>20250514-37</t>
        </is>
      </c>
    </row>
    <row r="2062">
      <c r="A2062" s="32" t="n">
        <v>27</v>
      </c>
      <c r="B2062" s="32" t="inlineStr">
        <is>
          <t>K4-4C</t>
        </is>
      </c>
      <c r="D2062" s="32" t="n">
        <v>10.72</v>
      </c>
      <c r="E2062" s="32" t="n">
        <v>1937.932</v>
      </c>
      <c r="G2062" s="32" t="n">
        <v>52.188</v>
      </c>
      <c r="H2062" s="32" t="inlineStr">
        <is>
          <t>bb</t>
        </is>
      </c>
      <c r="I2062" s="32" t="n">
        <v>1937.932</v>
      </c>
      <c r="K2062" s="32" t="inlineStr">
        <is>
          <t>20250514-38</t>
        </is>
      </c>
    </row>
    <row r="2063">
      <c r="A2063" s="32" t="n">
        <v>28</v>
      </c>
      <c r="B2063" s="32" t="inlineStr">
        <is>
          <t>K4-5A</t>
        </is>
      </c>
      <c r="D2063" s="32" t="n">
        <v>10.71</v>
      </c>
      <c r="E2063" s="32" t="n">
        <v>1478.823</v>
      </c>
      <c r="G2063" s="32" t="n">
        <v>424.64</v>
      </c>
      <c r="H2063" s="32" t="inlineStr">
        <is>
          <t>bb</t>
        </is>
      </c>
      <c r="I2063" s="32" t="n">
        <v>1478.823</v>
      </c>
      <c r="K2063" s="32" t="inlineStr">
        <is>
          <t>20250514-39</t>
        </is>
      </c>
    </row>
    <row r="2064">
      <c r="A2064" s="32" t="n">
        <v>29</v>
      </c>
      <c r="B2064" s="32" t="inlineStr">
        <is>
          <t>K4-5B</t>
        </is>
      </c>
      <c r="D2064" s="32" t="n">
        <v>10.69</v>
      </c>
      <c r="E2064" s="32" t="n">
        <v>1644.968</v>
      </c>
      <c r="G2064" s="32" t="n">
        <v>22.996</v>
      </c>
      <c r="H2064" s="32" t="inlineStr">
        <is>
          <t>bb</t>
        </is>
      </c>
      <c r="I2064" s="32" t="n">
        <v>1644.968</v>
      </c>
      <c r="K2064" s="32" t="inlineStr">
        <is>
          <t>20250514-40</t>
        </is>
      </c>
    </row>
    <row r="2065">
      <c r="A2065" s="32" t="n">
        <v>30</v>
      </c>
      <c r="B2065" s="32" t="inlineStr">
        <is>
          <t>K4-5C</t>
        </is>
      </c>
      <c r="D2065" s="32" t="n">
        <v>10.61</v>
      </c>
      <c r="E2065" s="32" t="n">
        <v>1533.308</v>
      </c>
      <c r="G2065" s="32" t="n">
        <v>12215</v>
      </c>
      <c r="H2065" s="32" t="inlineStr">
        <is>
          <t>bb</t>
        </is>
      </c>
      <c r="I2065" s="32" t="n">
        <v>1533.308</v>
      </c>
      <c r="K2065" s="32" t="inlineStr">
        <is>
          <t>20250514-41</t>
        </is>
      </c>
    </row>
    <row r="2066">
      <c r="A2066" s="32" t="n">
        <v>31</v>
      </c>
      <c r="B2066" s="32" t="inlineStr">
        <is>
          <t>MeOH</t>
        </is>
      </c>
      <c r="K2066" s="32" t="inlineStr">
        <is>
          <t>20250514-42</t>
        </is>
      </c>
    </row>
    <row r="2067">
      <c r="A2067" s="32" t="n">
        <v>32</v>
      </c>
      <c r="B2067" s="32" t="inlineStr">
        <is>
          <t>K3-1A</t>
        </is>
      </c>
      <c r="D2067" s="32" t="n">
        <v>10.49</v>
      </c>
      <c r="E2067" s="32" t="n">
        <v>1539.783</v>
      </c>
      <c r="G2067" s="32" t="n">
        <v>16.702</v>
      </c>
      <c r="H2067" s="32" t="inlineStr">
        <is>
          <t>bb</t>
        </is>
      </c>
      <c r="I2067" s="32" t="n">
        <v>1539.783</v>
      </c>
      <c r="K2067" s="32" t="inlineStr">
        <is>
          <t>20250514-43</t>
        </is>
      </c>
    </row>
    <row r="2068">
      <c r="A2068" s="32" t="n">
        <v>33</v>
      </c>
      <c r="B2068" s="32" t="inlineStr">
        <is>
          <t>K3-1B</t>
        </is>
      </c>
      <c r="D2068" s="32" t="n">
        <v>10.53</v>
      </c>
      <c r="E2068" s="32" t="n">
        <v>1096.782</v>
      </c>
      <c r="G2068" s="32" t="n">
        <v>9070</v>
      </c>
      <c r="H2068" s="32" t="inlineStr">
        <is>
          <t>bb</t>
        </is>
      </c>
      <c r="I2068" s="32" t="n">
        <v>1096.782</v>
      </c>
      <c r="K2068" s="32" t="inlineStr">
        <is>
          <t>20250514-44</t>
        </is>
      </c>
    </row>
    <row r="2069">
      <c r="A2069" s="32" t="n">
        <v>34</v>
      </c>
      <c r="B2069" s="32" t="inlineStr">
        <is>
          <t>K3-1C</t>
        </is>
      </c>
      <c r="D2069" s="32" t="n">
        <v>10.57</v>
      </c>
      <c r="E2069" s="32" t="n">
        <v>2362.051</v>
      </c>
      <c r="G2069" s="32" t="n">
        <v>71.45699999999999</v>
      </c>
      <c r="H2069" s="32" t="inlineStr">
        <is>
          <t>bb</t>
        </is>
      </c>
      <c r="I2069" s="32" t="n">
        <v>2362.051</v>
      </c>
      <c r="K2069" s="32" t="inlineStr">
        <is>
          <t>20250514-45</t>
        </is>
      </c>
    </row>
    <row r="2070">
      <c r="A2070" s="32" t="n">
        <v>35</v>
      </c>
      <c r="B2070" s="32" t="inlineStr">
        <is>
          <t>K3-2A</t>
        </is>
      </c>
      <c r="D2070" s="32" t="n">
        <v>10.61</v>
      </c>
      <c r="E2070" s="32" t="n">
        <v>1619.999</v>
      </c>
      <c r="G2070" s="32" t="n">
        <v>13436</v>
      </c>
      <c r="H2070" s="32" t="inlineStr">
        <is>
          <t>bb</t>
        </is>
      </c>
      <c r="I2070" s="32" t="n">
        <v>1619.999</v>
      </c>
      <c r="K2070" s="32" t="inlineStr">
        <is>
          <t>20250514-46</t>
        </is>
      </c>
    </row>
    <row r="2071">
      <c r="A2071" s="32" t="n">
        <v>36</v>
      </c>
      <c r="B2071" s="32" t="inlineStr">
        <is>
          <t>K3-2B</t>
        </is>
      </c>
      <c r="D2071" s="32" t="n">
        <v>10.62</v>
      </c>
      <c r="E2071" s="32" t="n">
        <v>2044.315</v>
      </c>
      <c r="G2071" s="32" t="n">
        <v>676.229</v>
      </c>
      <c r="H2071" s="32" t="inlineStr">
        <is>
          <t>bb</t>
        </is>
      </c>
      <c r="I2071" s="32" t="n">
        <v>2044.315</v>
      </c>
      <c r="K2071" s="32" t="inlineStr">
        <is>
          <t>20250514-47</t>
        </is>
      </c>
    </row>
    <row r="2072">
      <c r="A2072" s="32" t="n">
        <v>37</v>
      </c>
      <c r="B2072" s="32" t="inlineStr">
        <is>
          <t>K3-2C</t>
        </is>
      </c>
      <c r="D2072" s="32" t="n">
        <v>10.61</v>
      </c>
      <c r="E2072" s="32" t="n">
        <v>2218.407</v>
      </c>
      <c r="G2072" s="32" t="n">
        <v>17.626</v>
      </c>
      <c r="H2072" s="32" t="inlineStr">
        <is>
          <t>bb</t>
        </is>
      </c>
      <c r="I2072" s="32" t="n">
        <v>2218.407</v>
      </c>
      <c r="K2072" s="32" t="inlineStr">
        <is>
          <t>20250514-48</t>
        </is>
      </c>
    </row>
    <row r="2073">
      <c r="A2073" s="32" t="n">
        <v>38</v>
      </c>
      <c r="B2073" s="32" t="inlineStr">
        <is>
          <t>MeOH</t>
        </is>
      </c>
      <c r="K2073" s="32" t="inlineStr">
        <is>
          <t>20250514-49</t>
        </is>
      </c>
    </row>
    <row r="2074">
      <c r="A2074" s="32" t="n">
        <v>39</v>
      </c>
      <c r="B2074" s="32" t="inlineStr">
        <is>
          <t>K3-3A</t>
        </is>
      </c>
      <c r="D2074" s="32" t="n">
        <v>10.63</v>
      </c>
      <c r="E2074" s="32" t="n">
        <v>1515.995</v>
      </c>
      <c r="G2074" s="32" t="n">
        <v>12790</v>
      </c>
      <c r="H2074" s="32" t="inlineStr">
        <is>
          <t>bb</t>
        </is>
      </c>
      <c r="I2074" s="32" t="n">
        <v>1515.995</v>
      </c>
      <c r="K2074" s="32" t="inlineStr">
        <is>
          <t>20250514-50</t>
        </is>
      </c>
    </row>
    <row r="2075">
      <c r="A2075" s="32" t="n">
        <v>40</v>
      </c>
      <c r="B2075" s="32" t="inlineStr">
        <is>
          <t>K3-3B</t>
        </is>
      </c>
      <c r="D2075" s="32" t="n">
        <v>10.65</v>
      </c>
      <c r="E2075" s="32" t="n">
        <v>2110.115</v>
      </c>
      <c r="G2075" s="32" t="n">
        <v>100.785</v>
      </c>
      <c r="H2075" s="32" t="inlineStr">
        <is>
          <t>bb</t>
        </is>
      </c>
      <c r="I2075" s="32" t="n">
        <v>2110.115</v>
      </c>
      <c r="K2075" s="32" t="inlineStr">
        <is>
          <t>20250514-51</t>
        </is>
      </c>
    </row>
    <row r="2076">
      <c r="A2076" s="32" t="n">
        <v>41</v>
      </c>
      <c r="B2076" s="32" t="inlineStr">
        <is>
          <t>K3-3C</t>
        </is>
      </c>
      <c r="D2076" s="32" t="n">
        <v>10.65</v>
      </c>
      <c r="E2076" s="32" t="n">
        <v>1783.99</v>
      </c>
      <c r="G2076" s="32" t="n">
        <v>331.674</v>
      </c>
      <c r="H2076" s="32" t="inlineStr">
        <is>
          <t>bb</t>
        </is>
      </c>
      <c r="I2076" s="32" t="n">
        <v>1783.99</v>
      </c>
      <c r="K2076" s="32" t="inlineStr">
        <is>
          <t>20250514-52</t>
        </is>
      </c>
    </row>
    <row r="2077">
      <c r="A2077" s="32" t="n">
        <v>42</v>
      </c>
      <c r="B2077" s="32" t="inlineStr">
        <is>
          <t>K3-4A</t>
        </is>
      </c>
      <c r="D2077" s="32" t="n">
        <v>10.72</v>
      </c>
      <c r="E2077" s="32" t="n">
        <v>2029.2</v>
      </c>
      <c r="G2077" s="32" t="n">
        <v>218.811</v>
      </c>
      <c r="H2077" s="32" t="inlineStr">
        <is>
          <t>bb</t>
        </is>
      </c>
      <c r="I2077" s="32" t="n">
        <v>2029.2</v>
      </c>
      <c r="K2077" s="32" t="inlineStr">
        <is>
          <t>20250514-53</t>
        </is>
      </c>
    </row>
    <row r="2078">
      <c r="A2078" s="32" t="n">
        <v>43</v>
      </c>
      <c r="B2078" s="32" t="inlineStr">
        <is>
          <t>K3-4B</t>
        </is>
      </c>
      <c r="D2078" s="32" t="n">
        <v>10.68</v>
      </c>
      <c r="E2078" s="32" t="n">
        <v>1683.879</v>
      </c>
      <c r="G2078" s="32" t="n">
        <v>181.925</v>
      </c>
      <c r="H2078" s="32" t="inlineStr">
        <is>
          <t>bb</t>
        </is>
      </c>
      <c r="I2078" s="32" t="n">
        <v>1683.879</v>
      </c>
      <c r="K2078" s="32" t="inlineStr">
        <is>
          <t>20250514-54</t>
        </is>
      </c>
    </row>
    <row r="2079">
      <c r="A2079" s="32" t="n">
        <v>44</v>
      </c>
      <c r="B2079" s="32" t="inlineStr">
        <is>
          <t>K3-4C</t>
        </is>
      </c>
      <c r="D2079" s="32" t="n">
        <v>10.72</v>
      </c>
      <c r="E2079" s="32" t="n">
        <v>2361.376</v>
      </c>
      <c r="G2079" s="32" t="n">
        <v>165</v>
      </c>
      <c r="H2079" s="32" t="inlineStr">
        <is>
          <t>bb</t>
        </is>
      </c>
      <c r="I2079" s="32" t="n">
        <v>2361.376</v>
      </c>
      <c r="K2079" s="32" t="inlineStr">
        <is>
          <t>20250514-55</t>
        </is>
      </c>
    </row>
    <row r="2080">
      <c r="A2080" s="32" t="n">
        <v>45</v>
      </c>
      <c r="B2080" s="32" t="inlineStr">
        <is>
          <t>MeOH</t>
        </is>
      </c>
      <c r="H2080" s="32" t="inlineStr">
        <is>
          <t>MM-</t>
        </is>
      </c>
      <c r="K2080" s="32" t="inlineStr">
        <is>
          <t>20250514-56</t>
        </is>
      </c>
    </row>
    <row r="2081">
      <c r="A2081" s="32" t="n">
        <v>46</v>
      </c>
      <c r="B2081" s="32" t="inlineStr">
        <is>
          <t>K3-6A</t>
        </is>
      </c>
      <c r="D2081" s="32" t="n">
        <v>10.75</v>
      </c>
      <c r="E2081" s="32" t="n">
        <v>2140.839</v>
      </c>
      <c r="G2081" s="32" t="n">
        <v>632.494</v>
      </c>
      <c r="H2081" s="32" t="inlineStr">
        <is>
          <t>bb</t>
        </is>
      </c>
      <c r="I2081" s="32" t="n">
        <v>2140.839</v>
      </c>
      <c r="K2081" s="32" t="inlineStr">
        <is>
          <t>20250514-57</t>
        </is>
      </c>
    </row>
    <row r="2082">
      <c r="A2082" s="32" t="n">
        <v>47</v>
      </c>
      <c r="B2082" s="32" t="inlineStr">
        <is>
          <t>K3-6B</t>
        </is>
      </c>
      <c r="D2082" s="32" t="n">
        <v>10.72</v>
      </c>
      <c r="E2082" s="32" t="n">
        <v>2028.628</v>
      </c>
      <c r="G2082" s="32" t="n">
        <v>5107.631</v>
      </c>
      <c r="H2082" s="32" t="inlineStr">
        <is>
          <t>bb</t>
        </is>
      </c>
      <c r="I2082" s="32" t="n">
        <v>2028.628</v>
      </c>
      <c r="K2082" s="32" t="inlineStr">
        <is>
          <t>20250514-58</t>
        </is>
      </c>
    </row>
    <row r="2083">
      <c r="A2083" s="32" t="n">
        <v>48</v>
      </c>
      <c r="B2083" s="32" t="inlineStr">
        <is>
          <t>K3-6C</t>
        </is>
      </c>
      <c r="D2083" s="32" t="n">
        <v>10.71</v>
      </c>
      <c r="E2083" s="32" t="n">
        <v>1942.956</v>
      </c>
      <c r="G2083" s="32" t="n">
        <v>14574</v>
      </c>
      <c r="H2083" s="32" t="inlineStr">
        <is>
          <t>bb</t>
        </is>
      </c>
      <c r="I2083" s="32" t="n">
        <v>1942.956</v>
      </c>
      <c r="K2083" s="32" t="inlineStr">
        <is>
          <t>20250514-59</t>
        </is>
      </c>
    </row>
    <row r="2085">
      <c r="A2085" s="32" t="inlineStr">
        <is>
          <t>Compound 41:  m4 PFHpA 2</t>
        </is>
      </c>
    </row>
    <row r="2087">
      <c r="B2087" s="32" t="inlineStr">
        <is>
          <t>Sample Text</t>
        </is>
      </c>
      <c r="C2087" s="32" t="inlineStr">
        <is>
          <t>Std. Conc</t>
        </is>
      </c>
      <c r="D2087" s="32" t="inlineStr">
        <is>
          <t>RT</t>
        </is>
      </c>
      <c r="E2087" s="32" t="inlineStr">
        <is>
          <t>Area</t>
        </is>
      </c>
      <c r="F2087" s="32" t="inlineStr">
        <is>
          <t>IS Area</t>
        </is>
      </c>
      <c r="G2087" s="32" t="inlineStr">
        <is>
          <t>S/N</t>
        </is>
      </c>
      <c r="H2087" s="32" t="inlineStr">
        <is>
          <t>Primary Flags</t>
        </is>
      </c>
      <c r="I2087" s="32" t="inlineStr">
        <is>
          <t>Response</t>
        </is>
      </c>
      <c r="J2087" s="32" t="inlineStr">
        <is>
          <t>Conc.</t>
        </is>
      </c>
      <c r="K2087" s="32" t="inlineStr">
        <is>
          <t>Name</t>
        </is>
      </c>
    </row>
    <row r="2088">
      <c r="A2088" s="32" t="n">
        <v>1</v>
      </c>
      <c r="B2088" s="32" t="inlineStr">
        <is>
          <t>EPA1633 &amp; diPAPs Calibration 0 ppb</t>
        </is>
      </c>
      <c r="D2088" s="32" t="n">
        <v>10.55</v>
      </c>
      <c r="E2088" s="32" t="n">
        <v>878.569</v>
      </c>
      <c r="G2088" s="32" t="n">
        <v>9.817</v>
      </c>
      <c r="H2088" s="32" t="inlineStr">
        <is>
          <t>bb</t>
        </is>
      </c>
      <c r="I2088" s="32" t="n">
        <v>878.569</v>
      </c>
      <c r="K2088" s="32" t="inlineStr">
        <is>
          <t>20250514-12</t>
        </is>
      </c>
    </row>
    <row r="2089">
      <c r="A2089" s="32" t="n">
        <v>2</v>
      </c>
      <c r="B2089" s="32" t="inlineStr">
        <is>
          <t>EPA1633 &amp; diPAPs Calibration 0.02 ppb</t>
        </is>
      </c>
      <c r="D2089" s="32" t="n">
        <v>10.57</v>
      </c>
      <c r="E2089" s="32" t="n">
        <v>625.245</v>
      </c>
      <c r="G2089" s="32" t="n">
        <v>7.077</v>
      </c>
      <c r="H2089" s="32" t="inlineStr">
        <is>
          <t>bb</t>
        </is>
      </c>
      <c r="I2089" s="32" t="n">
        <v>625.245</v>
      </c>
      <c r="K2089" s="32" t="inlineStr">
        <is>
          <t>20250514-13</t>
        </is>
      </c>
    </row>
    <row r="2090">
      <c r="A2090" s="32" t="n">
        <v>3</v>
      </c>
      <c r="B2090" s="32" t="inlineStr">
        <is>
          <t>EPA1633 &amp; diPAPs Calibration 0.1 ppb</t>
        </is>
      </c>
      <c r="D2090" s="32" t="n">
        <v>10.58</v>
      </c>
      <c r="E2090" s="32" t="n">
        <v>479.343</v>
      </c>
      <c r="G2090" s="32" t="n">
        <v>8.327999999999999</v>
      </c>
      <c r="H2090" s="32" t="inlineStr">
        <is>
          <t>bb</t>
        </is>
      </c>
      <c r="I2090" s="32" t="n">
        <v>479.343</v>
      </c>
      <c r="K2090" s="32" t="inlineStr">
        <is>
          <t>20250514-14</t>
        </is>
      </c>
    </row>
    <row r="2091">
      <c r="A2091" s="32" t="n">
        <v>4</v>
      </c>
      <c r="B2091" s="32" t="inlineStr">
        <is>
          <t>EPA1633 &amp; diPAPs Calibration 0.4 ppb</t>
        </is>
      </c>
      <c r="D2091" s="32" t="n">
        <v>10.6</v>
      </c>
      <c r="E2091" s="32" t="n">
        <v>386.48</v>
      </c>
      <c r="G2091" s="32" t="n">
        <v>14.56</v>
      </c>
      <c r="H2091" s="32" t="inlineStr">
        <is>
          <t>bb</t>
        </is>
      </c>
      <c r="I2091" s="32" t="n">
        <v>386.48</v>
      </c>
      <c r="K2091" s="32" t="inlineStr">
        <is>
          <t>20250514-15</t>
        </is>
      </c>
    </row>
    <row r="2092">
      <c r="A2092" s="32" t="n">
        <v>5</v>
      </c>
      <c r="B2092" s="32" t="inlineStr">
        <is>
          <t>EPA1633 &amp; diPAPs Calibration 1 ppb</t>
        </is>
      </c>
      <c r="D2092" s="32" t="n">
        <v>10.61</v>
      </c>
      <c r="E2092" s="32" t="n">
        <v>675.366</v>
      </c>
      <c r="G2092" s="32" t="n">
        <v>10.91</v>
      </c>
      <c r="H2092" s="32" t="inlineStr">
        <is>
          <t>bb</t>
        </is>
      </c>
      <c r="I2092" s="32" t="n">
        <v>675.366</v>
      </c>
      <c r="K2092" s="32" t="inlineStr">
        <is>
          <t>20250514-16</t>
        </is>
      </c>
    </row>
    <row r="2093">
      <c r="A2093" s="32" t="n">
        <v>6</v>
      </c>
      <c r="B2093" s="32" t="inlineStr">
        <is>
          <t>EPA1633 &amp; diPAPs Calibration 5 ppb</t>
        </is>
      </c>
      <c r="D2093" s="32" t="n">
        <v>10.48</v>
      </c>
      <c r="E2093" s="32" t="n">
        <v>559.138</v>
      </c>
      <c r="G2093" s="32" t="n">
        <v>4355</v>
      </c>
      <c r="H2093" s="32" t="inlineStr">
        <is>
          <t>bb</t>
        </is>
      </c>
      <c r="I2093" s="32" t="n">
        <v>559.138</v>
      </c>
      <c r="K2093" s="32" t="inlineStr">
        <is>
          <t>20250514-17</t>
        </is>
      </c>
    </row>
    <row r="2094">
      <c r="A2094" s="32" t="n">
        <v>7</v>
      </c>
      <c r="B2094" s="32" t="inlineStr">
        <is>
          <t>EPA1633 &amp; diPAPs Calibration 10 ppb</t>
        </is>
      </c>
      <c r="D2094" s="32" t="n">
        <v>10.53</v>
      </c>
      <c r="E2094" s="32" t="n">
        <v>491.389</v>
      </c>
      <c r="G2094" s="32" t="n">
        <v>4440</v>
      </c>
      <c r="H2094" s="32" t="inlineStr">
        <is>
          <t>bb</t>
        </is>
      </c>
      <c r="I2094" s="32" t="n">
        <v>491.389</v>
      </c>
      <c r="K2094" s="32" t="inlineStr">
        <is>
          <t>20250514-18</t>
        </is>
      </c>
    </row>
    <row r="2095">
      <c r="A2095" s="32" t="n">
        <v>8</v>
      </c>
      <c r="B2095" s="32" t="inlineStr">
        <is>
          <t>EPA1633 &amp; diPAPs Calibration 20 ppb</t>
        </is>
      </c>
      <c r="D2095" s="32" t="n">
        <v>10.57</v>
      </c>
      <c r="E2095" s="32" t="n">
        <v>761.365</v>
      </c>
      <c r="G2095" s="32" t="n">
        <v>13.754</v>
      </c>
      <c r="H2095" s="32" t="inlineStr">
        <is>
          <t>bb</t>
        </is>
      </c>
      <c r="I2095" s="32" t="n">
        <v>761.365</v>
      </c>
      <c r="K2095" s="32" t="inlineStr">
        <is>
          <t>20250514-19</t>
        </is>
      </c>
    </row>
    <row r="2096">
      <c r="A2096" s="32" t="n">
        <v>9</v>
      </c>
      <c r="B2096" s="32" t="inlineStr">
        <is>
          <t>MeOH</t>
        </is>
      </c>
      <c r="K2096" s="32" t="inlineStr">
        <is>
          <t>20250514-20</t>
        </is>
      </c>
    </row>
    <row r="2097">
      <c r="A2097" s="32" t="n">
        <v>10</v>
      </c>
      <c r="B2097" s="32" t="inlineStr">
        <is>
          <t>MeOH</t>
        </is>
      </c>
      <c r="K2097" s="32" t="inlineStr">
        <is>
          <t>20250514-21</t>
        </is>
      </c>
    </row>
    <row r="2098">
      <c r="A2098" s="32" t="n">
        <v>11</v>
      </c>
      <c r="B2098" s="32" t="inlineStr">
        <is>
          <t>SB1</t>
        </is>
      </c>
      <c r="D2098" s="32" t="n">
        <v>10.61</v>
      </c>
      <c r="E2098" s="32" t="n">
        <v>163.255</v>
      </c>
      <c r="G2098" s="32" t="n">
        <v>259.828</v>
      </c>
      <c r="H2098" s="32" t="inlineStr">
        <is>
          <t>bb</t>
        </is>
      </c>
      <c r="I2098" s="32" t="n">
        <v>163.255</v>
      </c>
      <c r="K2098" s="32" t="inlineStr">
        <is>
          <t>20250514-22</t>
        </is>
      </c>
    </row>
    <row r="2099">
      <c r="A2099" s="32" t="n">
        <v>12</v>
      </c>
      <c r="B2099" s="32" t="inlineStr">
        <is>
          <t>SB2</t>
        </is>
      </c>
      <c r="D2099" s="32" t="n">
        <v>10.61</v>
      </c>
      <c r="E2099" s="32" t="n">
        <v>228.717</v>
      </c>
      <c r="G2099" s="32" t="n">
        <v>1940</v>
      </c>
      <c r="H2099" s="32" t="inlineStr">
        <is>
          <t>bb</t>
        </is>
      </c>
      <c r="I2099" s="32" t="n">
        <v>228.717</v>
      </c>
      <c r="K2099" s="32" t="inlineStr">
        <is>
          <t>20250514-23</t>
        </is>
      </c>
    </row>
    <row r="2100">
      <c r="A2100" s="32" t="n">
        <v>13</v>
      </c>
      <c r="B2100" s="32" t="inlineStr">
        <is>
          <t>SB3</t>
        </is>
      </c>
      <c r="D2100" s="32" t="n">
        <v>10.64</v>
      </c>
      <c r="E2100" s="32" t="n">
        <v>240.91</v>
      </c>
      <c r="G2100" s="32" t="n">
        <v>1977</v>
      </c>
      <c r="H2100" s="32" t="inlineStr">
        <is>
          <t>bb</t>
        </is>
      </c>
      <c r="I2100" s="32" t="n">
        <v>240.91</v>
      </c>
      <c r="K2100" s="32" t="inlineStr">
        <is>
          <t>20250514-24</t>
        </is>
      </c>
    </row>
    <row r="2101">
      <c r="A2101" s="32" t="n">
        <v>14</v>
      </c>
      <c r="B2101" s="32" t="inlineStr">
        <is>
          <t>SS1</t>
        </is>
      </c>
      <c r="D2101" s="32" t="n">
        <v>10.69</v>
      </c>
      <c r="E2101" s="32" t="n">
        <v>241.312</v>
      </c>
      <c r="G2101" s="32" t="n">
        <v>121.549</v>
      </c>
      <c r="H2101" s="32" t="inlineStr">
        <is>
          <t>bb</t>
        </is>
      </c>
      <c r="I2101" s="32" t="n">
        <v>241.312</v>
      </c>
      <c r="K2101" s="32" t="inlineStr">
        <is>
          <t>20250514-25</t>
        </is>
      </c>
    </row>
    <row r="2102">
      <c r="A2102" s="32" t="n">
        <v>15</v>
      </c>
      <c r="B2102" s="32" t="inlineStr">
        <is>
          <t>SS2</t>
        </is>
      </c>
      <c r="D2102" s="32" t="n">
        <v>10.69</v>
      </c>
      <c r="E2102" s="32" t="n">
        <v>210.315</v>
      </c>
      <c r="G2102" s="32" t="n">
        <v>6.994</v>
      </c>
      <c r="H2102" s="32" t="inlineStr">
        <is>
          <t>bb</t>
        </is>
      </c>
      <c r="I2102" s="32" t="n">
        <v>210.315</v>
      </c>
      <c r="K2102" s="32" t="inlineStr">
        <is>
          <t>20250514-26</t>
        </is>
      </c>
    </row>
    <row r="2103">
      <c r="A2103" s="32" t="n">
        <v>16</v>
      </c>
      <c r="B2103" s="32" t="inlineStr">
        <is>
          <t>SS3</t>
        </is>
      </c>
      <c r="D2103" s="32" t="n">
        <v>10.69</v>
      </c>
      <c r="E2103" s="32" t="n">
        <v>99.84099999999999</v>
      </c>
      <c r="G2103" s="32" t="n">
        <v>19.845</v>
      </c>
      <c r="H2103" s="32" t="inlineStr">
        <is>
          <t>bb</t>
        </is>
      </c>
      <c r="I2103" s="32" t="n">
        <v>99.84099999999999</v>
      </c>
      <c r="K2103" s="32" t="inlineStr">
        <is>
          <t>20250514-27</t>
        </is>
      </c>
    </row>
    <row r="2104">
      <c r="A2104" s="32" t="n">
        <v>17</v>
      </c>
      <c r="B2104" s="32" t="inlineStr">
        <is>
          <t>MeOH</t>
        </is>
      </c>
      <c r="K2104" s="32" t="inlineStr">
        <is>
          <t>20250514-28</t>
        </is>
      </c>
    </row>
    <row r="2105">
      <c r="A2105" s="32" t="n">
        <v>18</v>
      </c>
      <c r="B2105" s="32" t="inlineStr">
        <is>
          <t>K4-1A</t>
        </is>
      </c>
      <c r="D2105" s="32" t="n">
        <v>10.69</v>
      </c>
      <c r="E2105" s="32" t="n">
        <v>430.627</v>
      </c>
      <c r="G2105" s="32" t="n">
        <v>559.67</v>
      </c>
      <c r="H2105" s="32" t="inlineStr">
        <is>
          <t>bb</t>
        </is>
      </c>
      <c r="I2105" s="32" t="n">
        <v>430.627</v>
      </c>
      <c r="K2105" s="32" t="inlineStr">
        <is>
          <t>20250514-29</t>
        </is>
      </c>
    </row>
    <row r="2106">
      <c r="A2106" s="32" t="n">
        <v>19</v>
      </c>
      <c r="B2106" s="32" t="inlineStr">
        <is>
          <t>K4-1B</t>
        </is>
      </c>
      <c r="D2106" s="32" t="n">
        <v>10.66</v>
      </c>
      <c r="E2106" s="32" t="n">
        <v>434.459</v>
      </c>
      <c r="G2106" s="32" t="n">
        <v>5.048</v>
      </c>
      <c r="H2106" s="32" t="inlineStr">
        <is>
          <t>bb</t>
        </is>
      </c>
      <c r="I2106" s="32" t="n">
        <v>434.459</v>
      </c>
      <c r="K2106" s="32" t="inlineStr">
        <is>
          <t>20250514-30</t>
        </is>
      </c>
    </row>
    <row r="2107">
      <c r="A2107" s="32" t="n">
        <v>20</v>
      </c>
      <c r="B2107" s="32" t="inlineStr">
        <is>
          <t>K4-1C</t>
        </is>
      </c>
      <c r="D2107" s="32" t="n">
        <v>10.67</v>
      </c>
      <c r="E2107" s="32" t="n">
        <v>405.895</v>
      </c>
      <c r="G2107" s="32" t="n">
        <v>125.518</v>
      </c>
      <c r="H2107" s="32" t="inlineStr">
        <is>
          <t>bb</t>
        </is>
      </c>
      <c r="I2107" s="32" t="n">
        <v>405.895</v>
      </c>
      <c r="K2107" s="32" t="inlineStr">
        <is>
          <t>20250514-31</t>
        </is>
      </c>
    </row>
    <row r="2108">
      <c r="A2108" s="32" t="n">
        <v>21</v>
      </c>
      <c r="B2108" s="32" t="inlineStr">
        <is>
          <t>K4-2A</t>
        </is>
      </c>
      <c r="D2108" s="32" t="n">
        <v>10.71</v>
      </c>
      <c r="E2108" s="32" t="n">
        <v>542.183</v>
      </c>
      <c r="G2108" s="32" t="n">
        <v>28.35</v>
      </c>
      <c r="H2108" s="32" t="inlineStr">
        <is>
          <t>bb</t>
        </is>
      </c>
      <c r="I2108" s="32" t="n">
        <v>542.183</v>
      </c>
      <c r="K2108" s="32" t="inlineStr">
        <is>
          <t>20250514-32</t>
        </is>
      </c>
    </row>
    <row r="2109">
      <c r="A2109" s="32" t="n">
        <v>22</v>
      </c>
      <c r="B2109" s="32" t="inlineStr">
        <is>
          <t>K4-2B</t>
        </is>
      </c>
      <c r="D2109" s="32" t="n">
        <v>10.7</v>
      </c>
      <c r="E2109" s="32" t="n">
        <v>495.363</v>
      </c>
      <c r="G2109" s="32" t="n">
        <v>4090</v>
      </c>
      <c r="H2109" s="32" t="inlineStr">
        <is>
          <t>bb</t>
        </is>
      </c>
      <c r="I2109" s="32" t="n">
        <v>495.363</v>
      </c>
      <c r="K2109" s="32" t="inlineStr">
        <is>
          <t>20250514-33</t>
        </is>
      </c>
    </row>
    <row r="2110">
      <c r="A2110" s="32" t="n">
        <v>23</v>
      </c>
      <c r="B2110" s="32" t="inlineStr">
        <is>
          <t>K4-2C</t>
        </is>
      </c>
      <c r="D2110" s="32" t="n">
        <v>10.7</v>
      </c>
      <c r="E2110" s="32" t="n">
        <v>406.254</v>
      </c>
      <c r="G2110" s="32" t="n">
        <v>95.53</v>
      </c>
      <c r="H2110" s="32" t="inlineStr">
        <is>
          <t>bb</t>
        </is>
      </c>
      <c r="I2110" s="32" t="n">
        <v>406.254</v>
      </c>
      <c r="K2110" s="32" t="inlineStr">
        <is>
          <t>20250514-34</t>
        </is>
      </c>
    </row>
    <row r="2111">
      <c r="A2111" s="32" t="n">
        <v>24</v>
      </c>
      <c r="B2111" s="32" t="inlineStr">
        <is>
          <t>MeOH</t>
        </is>
      </c>
      <c r="K2111" s="32" t="inlineStr">
        <is>
          <t>20250514-35</t>
        </is>
      </c>
    </row>
    <row r="2112">
      <c r="A2112" s="32" t="n">
        <v>25</v>
      </c>
      <c r="B2112" s="32" t="inlineStr">
        <is>
          <t>K4-4A</t>
        </is>
      </c>
      <c r="D2112" s="32" t="n">
        <v>10.72</v>
      </c>
      <c r="E2112" s="32" t="n">
        <v>353.27</v>
      </c>
      <c r="G2112" s="32" t="n">
        <v>2742</v>
      </c>
      <c r="H2112" s="32" t="inlineStr">
        <is>
          <t>bb</t>
        </is>
      </c>
      <c r="I2112" s="32" t="n">
        <v>353.27</v>
      </c>
      <c r="K2112" s="32" t="inlineStr">
        <is>
          <t>20250514-36</t>
        </is>
      </c>
    </row>
    <row r="2113">
      <c r="A2113" s="32" t="n">
        <v>26</v>
      </c>
      <c r="B2113" s="32" t="inlineStr">
        <is>
          <t>K4-4B</t>
        </is>
      </c>
      <c r="D2113" s="32" t="n">
        <v>10.73</v>
      </c>
      <c r="E2113" s="32" t="n">
        <v>391.153</v>
      </c>
      <c r="G2113" s="32" t="n">
        <v>3271</v>
      </c>
      <c r="H2113" s="32" t="inlineStr">
        <is>
          <t>MM</t>
        </is>
      </c>
      <c r="I2113" s="32" t="n">
        <v>391.153</v>
      </c>
      <c r="K2113" s="32" t="inlineStr">
        <is>
          <t>20250514-37</t>
        </is>
      </c>
    </row>
    <row r="2114">
      <c r="A2114" s="32" t="n">
        <v>27</v>
      </c>
      <c r="B2114" s="32" t="inlineStr">
        <is>
          <t>K4-4C</t>
        </is>
      </c>
      <c r="D2114" s="32" t="n">
        <v>10.71</v>
      </c>
      <c r="E2114" s="32" t="n">
        <v>255.948</v>
      </c>
      <c r="G2114" s="32" t="n">
        <v>16.372</v>
      </c>
      <c r="H2114" s="32" t="inlineStr">
        <is>
          <t>bb</t>
        </is>
      </c>
      <c r="I2114" s="32" t="n">
        <v>255.948</v>
      </c>
      <c r="K2114" s="32" t="inlineStr">
        <is>
          <t>20250514-38</t>
        </is>
      </c>
    </row>
    <row r="2115">
      <c r="A2115" s="32" t="n">
        <v>28</v>
      </c>
      <c r="B2115" s="32" t="inlineStr">
        <is>
          <t>K4-5A</t>
        </is>
      </c>
      <c r="D2115" s="32" t="n">
        <v>10.72</v>
      </c>
      <c r="E2115" s="32" t="n">
        <v>283.625</v>
      </c>
      <c r="G2115" s="32" t="n">
        <v>20.801</v>
      </c>
      <c r="H2115" s="32" t="inlineStr">
        <is>
          <t>bb</t>
        </is>
      </c>
      <c r="I2115" s="32" t="n">
        <v>283.625</v>
      </c>
      <c r="K2115" s="32" t="inlineStr">
        <is>
          <t>20250514-39</t>
        </is>
      </c>
    </row>
    <row r="2116">
      <c r="A2116" s="32" t="n">
        <v>29</v>
      </c>
      <c r="B2116" s="32" t="inlineStr">
        <is>
          <t>K4-5B</t>
        </is>
      </c>
      <c r="D2116" s="32" t="n">
        <v>10.67</v>
      </c>
      <c r="E2116" s="32" t="n">
        <v>400.964</v>
      </c>
      <c r="G2116" s="32" t="n">
        <v>3044</v>
      </c>
      <c r="H2116" s="32" t="inlineStr">
        <is>
          <t>bb</t>
        </is>
      </c>
      <c r="I2116" s="32" t="n">
        <v>400.964</v>
      </c>
      <c r="K2116" s="32" t="inlineStr">
        <is>
          <t>20250514-40</t>
        </is>
      </c>
    </row>
    <row r="2117">
      <c r="A2117" s="32" t="n">
        <v>30</v>
      </c>
      <c r="B2117" s="32" t="inlineStr">
        <is>
          <t>K4-5C</t>
        </is>
      </c>
      <c r="D2117" s="32" t="n">
        <v>10.61</v>
      </c>
      <c r="E2117" s="32" t="n">
        <v>125.699</v>
      </c>
      <c r="G2117" s="32" t="n">
        <v>13.778</v>
      </c>
      <c r="H2117" s="32" t="inlineStr">
        <is>
          <t>bb</t>
        </is>
      </c>
      <c r="I2117" s="32" t="n">
        <v>125.699</v>
      </c>
      <c r="K2117" s="32" t="inlineStr">
        <is>
          <t>20250514-41</t>
        </is>
      </c>
    </row>
    <row r="2118">
      <c r="A2118" s="32" t="n">
        <v>31</v>
      </c>
      <c r="B2118" s="32" t="inlineStr">
        <is>
          <t>MeOH</t>
        </is>
      </c>
      <c r="D2118" s="32" t="n">
        <v>11.02</v>
      </c>
      <c r="E2118" s="32" t="n">
        <v>0.318</v>
      </c>
      <c r="G2118" s="32" t="n">
        <v>3</v>
      </c>
      <c r="H2118" s="32" t="inlineStr">
        <is>
          <t>bb</t>
        </is>
      </c>
      <c r="I2118" s="32" t="n">
        <v>0.318</v>
      </c>
      <c r="K2118" s="32" t="inlineStr">
        <is>
          <t>20250514-42</t>
        </is>
      </c>
    </row>
    <row r="2119">
      <c r="A2119" s="32" t="n">
        <v>32</v>
      </c>
      <c r="B2119" s="32" t="inlineStr">
        <is>
          <t>K3-1A</t>
        </is>
      </c>
      <c r="D2119" s="32" t="n">
        <v>10.48</v>
      </c>
      <c r="E2119" s="32" t="n">
        <v>168.989</v>
      </c>
      <c r="G2119" s="32" t="n">
        <v>3.059</v>
      </c>
      <c r="H2119" s="32" t="inlineStr">
        <is>
          <t>MM</t>
        </is>
      </c>
      <c r="I2119" s="32" t="n">
        <v>168.989</v>
      </c>
      <c r="K2119" s="32" t="inlineStr">
        <is>
          <t>20250514-43</t>
        </is>
      </c>
    </row>
    <row r="2120">
      <c r="A2120" s="32" t="n">
        <v>33</v>
      </c>
      <c r="B2120" s="32" t="inlineStr">
        <is>
          <t>K3-1B</t>
        </is>
      </c>
      <c r="D2120" s="32" t="n">
        <v>10.52</v>
      </c>
      <c r="E2120" s="32" t="n">
        <v>138.587</v>
      </c>
      <c r="G2120" s="32" t="n">
        <v>7.128</v>
      </c>
      <c r="H2120" s="32" t="inlineStr">
        <is>
          <t>MM</t>
        </is>
      </c>
      <c r="I2120" s="32" t="n">
        <v>138.587</v>
      </c>
      <c r="K2120" s="32" t="inlineStr">
        <is>
          <t>20250514-44</t>
        </is>
      </c>
    </row>
    <row r="2121">
      <c r="A2121" s="32" t="n">
        <v>34</v>
      </c>
      <c r="B2121" s="32" t="inlineStr">
        <is>
          <t>K3-1C</t>
        </is>
      </c>
      <c r="D2121" s="32" t="n">
        <v>10.58</v>
      </c>
      <c r="E2121" s="32" t="n">
        <v>473.364</v>
      </c>
      <c r="G2121" s="32" t="n">
        <v>15.309</v>
      </c>
      <c r="H2121" s="32" t="inlineStr">
        <is>
          <t>bb</t>
        </is>
      </c>
      <c r="I2121" s="32" t="n">
        <v>473.364</v>
      </c>
      <c r="K2121" s="32" t="inlineStr">
        <is>
          <t>20250514-45</t>
        </is>
      </c>
    </row>
    <row r="2122">
      <c r="A2122" s="32" t="n">
        <v>35</v>
      </c>
      <c r="B2122" s="32" t="inlineStr">
        <is>
          <t>K3-2A</t>
        </is>
      </c>
      <c r="D2122" s="32" t="n">
        <v>10.6</v>
      </c>
      <c r="E2122" s="32" t="n">
        <v>346.798</v>
      </c>
      <c r="G2122" s="32" t="n">
        <v>2794</v>
      </c>
      <c r="H2122" s="32" t="inlineStr">
        <is>
          <t>bb</t>
        </is>
      </c>
      <c r="I2122" s="32" t="n">
        <v>346.798</v>
      </c>
      <c r="K2122" s="32" t="inlineStr">
        <is>
          <t>20250514-46</t>
        </is>
      </c>
    </row>
    <row r="2123">
      <c r="A2123" s="32" t="n">
        <v>36</v>
      </c>
      <c r="B2123" s="32" t="inlineStr">
        <is>
          <t>K3-2B</t>
        </is>
      </c>
      <c r="D2123" s="32" t="n">
        <v>10.61</v>
      </c>
      <c r="E2123" s="32" t="n">
        <v>466.386</v>
      </c>
      <c r="G2123" s="32" t="n">
        <v>4.337</v>
      </c>
      <c r="H2123" s="32" t="inlineStr">
        <is>
          <t>bb</t>
        </is>
      </c>
      <c r="I2123" s="32" t="n">
        <v>466.386</v>
      </c>
      <c r="K2123" s="32" t="inlineStr">
        <is>
          <t>20250514-47</t>
        </is>
      </c>
    </row>
    <row r="2124">
      <c r="A2124" s="32" t="n">
        <v>37</v>
      </c>
      <c r="B2124" s="32" t="inlineStr">
        <is>
          <t>K3-2C</t>
        </is>
      </c>
      <c r="D2124" s="32" t="n">
        <v>10.63</v>
      </c>
      <c r="E2124" s="32" t="n">
        <v>257.588</v>
      </c>
      <c r="G2124" s="32" t="n">
        <v>2003</v>
      </c>
      <c r="H2124" s="32" t="inlineStr">
        <is>
          <t>bb</t>
        </is>
      </c>
      <c r="I2124" s="32" t="n">
        <v>257.588</v>
      </c>
      <c r="K2124" s="32" t="inlineStr">
        <is>
          <t>20250514-48</t>
        </is>
      </c>
    </row>
    <row r="2125">
      <c r="A2125" s="32" t="n">
        <v>38</v>
      </c>
      <c r="B2125" s="32" t="inlineStr">
        <is>
          <t>MeOH</t>
        </is>
      </c>
      <c r="K2125" s="32" t="inlineStr">
        <is>
          <t>20250514-49</t>
        </is>
      </c>
    </row>
    <row r="2126">
      <c r="A2126" s="32" t="n">
        <v>39</v>
      </c>
      <c r="B2126" s="32" t="inlineStr">
        <is>
          <t>K3-3A</t>
        </is>
      </c>
      <c r="D2126" s="32" t="n">
        <v>10.64</v>
      </c>
      <c r="E2126" s="32" t="n">
        <v>523.019</v>
      </c>
      <c r="G2126" s="32" t="n">
        <v>4315</v>
      </c>
      <c r="H2126" s="32" t="inlineStr">
        <is>
          <t>bb</t>
        </is>
      </c>
      <c r="I2126" s="32" t="n">
        <v>523.019</v>
      </c>
      <c r="K2126" s="32" t="inlineStr">
        <is>
          <t>20250514-50</t>
        </is>
      </c>
    </row>
    <row r="2127">
      <c r="A2127" s="32" t="n">
        <v>40</v>
      </c>
      <c r="B2127" s="32" t="inlineStr">
        <is>
          <t>K3-3B</t>
        </is>
      </c>
      <c r="D2127" s="32" t="n">
        <v>10.65</v>
      </c>
      <c r="E2127" s="32" t="n">
        <v>197.315</v>
      </c>
      <c r="G2127" s="32" t="n">
        <v>6.702</v>
      </c>
      <c r="H2127" s="32" t="inlineStr">
        <is>
          <t>bb</t>
        </is>
      </c>
      <c r="I2127" s="32" t="n">
        <v>197.315</v>
      </c>
      <c r="K2127" s="32" t="inlineStr">
        <is>
          <t>20250514-51</t>
        </is>
      </c>
    </row>
    <row r="2128">
      <c r="A2128" s="32" t="n">
        <v>41</v>
      </c>
      <c r="B2128" s="32" t="inlineStr">
        <is>
          <t>K3-3C</t>
        </is>
      </c>
      <c r="D2128" s="32" t="n">
        <v>10.64</v>
      </c>
      <c r="E2128" s="32" t="n">
        <v>559.524</v>
      </c>
      <c r="G2128" s="32" t="n">
        <v>17.193</v>
      </c>
      <c r="H2128" s="32" t="inlineStr">
        <is>
          <t>bb</t>
        </is>
      </c>
      <c r="I2128" s="32" t="n">
        <v>559.524</v>
      </c>
      <c r="K2128" s="32" t="inlineStr">
        <is>
          <t>20250514-52</t>
        </is>
      </c>
    </row>
    <row r="2129">
      <c r="A2129" s="32" t="n">
        <v>42</v>
      </c>
      <c r="B2129" s="32" t="inlineStr">
        <is>
          <t>K3-4A</t>
        </is>
      </c>
      <c r="D2129" s="32" t="n">
        <v>10.73</v>
      </c>
      <c r="E2129" s="32" t="n">
        <v>341.95</v>
      </c>
      <c r="G2129" s="32" t="n">
        <v>3042</v>
      </c>
      <c r="H2129" s="32" t="inlineStr">
        <is>
          <t>bb</t>
        </is>
      </c>
      <c r="I2129" s="32" t="n">
        <v>341.95</v>
      </c>
      <c r="K2129" s="32" t="inlineStr">
        <is>
          <t>20250514-53</t>
        </is>
      </c>
    </row>
    <row r="2130">
      <c r="A2130" s="32" t="n">
        <v>43</v>
      </c>
      <c r="B2130" s="32" t="inlineStr">
        <is>
          <t>K3-4B</t>
        </is>
      </c>
      <c r="D2130" s="32" t="n">
        <v>10.69</v>
      </c>
      <c r="E2130" s="32" t="n">
        <v>376.83</v>
      </c>
      <c r="G2130" s="32" t="n">
        <v>8.257999999999999</v>
      </c>
      <c r="H2130" s="32" t="inlineStr">
        <is>
          <t>MM</t>
        </is>
      </c>
      <c r="I2130" s="32" t="n">
        <v>376.83</v>
      </c>
      <c r="K2130" s="32" t="inlineStr">
        <is>
          <t>20250514-54</t>
        </is>
      </c>
    </row>
    <row r="2131">
      <c r="A2131" s="32" t="n">
        <v>44</v>
      </c>
      <c r="B2131" s="32" t="inlineStr">
        <is>
          <t>K3-4C</t>
        </is>
      </c>
      <c r="D2131" s="32" t="n">
        <v>10.72</v>
      </c>
      <c r="E2131" s="32" t="n">
        <v>538.612</v>
      </c>
      <c r="G2131" s="32" t="n">
        <v>35.251</v>
      </c>
      <c r="H2131" s="32" t="inlineStr">
        <is>
          <t>bb</t>
        </is>
      </c>
      <c r="I2131" s="32" t="n">
        <v>538.612</v>
      </c>
      <c r="K2131" s="32" t="inlineStr">
        <is>
          <t>20250514-55</t>
        </is>
      </c>
    </row>
    <row r="2132">
      <c r="A2132" s="32" t="n">
        <v>45</v>
      </c>
      <c r="B2132" s="32" t="inlineStr">
        <is>
          <t>MeOH</t>
        </is>
      </c>
      <c r="K2132" s="32" t="inlineStr">
        <is>
          <t>20250514-56</t>
        </is>
      </c>
    </row>
    <row r="2133">
      <c r="A2133" s="32" t="n">
        <v>46</v>
      </c>
      <c r="B2133" s="32" t="inlineStr">
        <is>
          <t>K3-6A</t>
        </is>
      </c>
      <c r="D2133" s="32" t="n">
        <v>10.76</v>
      </c>
      <c r="E2133" s="32" t="n">
        <v>295.835</v>
      </c>
      <c r="G2133" s="32" t="n">
        <v>2349</v>
      </c>
      <c r="H2133" s="32" t="inlineStr">
        <is>
          <t>bb</t>
        </is>
      </c>
      <c r="I2133" s="32" t="n">
        <v>295.835</v>
      </c>
      <c r="K2133" s="32" t="inlineStr">
        <is>
          <t>20250514-57</t>
        </is>
      </c>
    </row>
    <row r="2134">
      <c r="A2134" s="32" t="n">
        <v>47</v>
      </c>
      <c r="B2134" s="32" t="inlineStr">
        <is>
          <t>K3-6B</t>
        </is>
      </c>
      <c r="D2134" s="32" t="n">
        <v>10.73</v>
      </c>
      <c r="E2134" s="32" t="n">
        <v>198.1</v>
      </c>
      <c r="G2134" s="32" t="n">
        <v>46.462</v>
      </c>
      <c r="H2134" s="32" t="inlineStr">
        <is>
          <t>bb</t>
        </is>
      </c>
      <c r="I2134" s="32" t="n">
        <v>198.1</v>
      </c>
      <c r="K2134" s="32" t="inlineStr">
        <is>
          <t>20250514-58</t>
        </is>
      </c>
    </row>
    <row r="2135">
      <c r="A2135" s="32" t="n">
        <v>48</v>
      </c>
      <c r="B2135" s="32" t="inlineStr">
        <is>
          <t>K3-6C</t>
        </is>
      </c>
      <c r="D2135" s="32" t="n">
        <v>10.74</v>
      </c>
      <c r="E2135" s="32" t="n">
        <v>498.783</v>
      </c>
      <c r="G2135" s="32" t="n">
        <v>16.279</v>
      </c>
      <c r="H2135" s="32" t="inlineStr">
        <is>
          <t>bb</t>
        </is>
      </c>
      <c r="I2135" s="32" t="n">
        <v>498.783</v>
      </c>
      <c r="K2135" s="32" t="inlineStr">
        <is>
          <t>20250514-59</t>
        </is>
      </c>
    </row>
    <row r="2137">
      <c r="A2137" s="32" t="inlineStr">
        <is>
          <t>Compound 42:  6:2 FTCA</t>
        </is>
      </c>
    </row>
    <row r="2139">
      <c r="B2139" s="32" t="inlineStr">
        <is>
          <t>Sample Text</t>
        </is>
      </c>
      <c r="C2139" s="32" t="inlineStr">
        <is>
          <t>Std. Conc</t>
        </is>
      </c>
      <c r="D2139" s="32" t="inlineStr">
        <is>
          <t>RT</t>
        </is>
      </c>
      <c r="E2139" s="32" t="inlineStr">
        <is>
          <t>Area</t>
        </is>
      </c>
      <c r="F2139" s="32" t="inlineStr">
        <is>
          <t>IS Area</t>
        </is>
      </c>
      <c r="G2139" s="32" t="inlineStr">
        <is>
          <t>S/N</t>
        </is>
      </c>
      <c r="H2139" s="32" t="inlineStr">
        <is>
          <t>Primary Flags</t>
        </is>
      </c>
      <c r="I2139" s="32" t="inlineStr">
        <is>
          <t>Response</t>
        </is>
      </c>
      <c r="J2139" s="32" t="inlineStr">
        <is>
          <t>Conc.</t>
        </is>
      </c>
      <c r="K2139" s="32" t="inlineStr">
        <is>
          <t>Name</t>
        </is>
      </c>
    </row>
    <row r="2140">
      <c r="A2140" s="32" t="n">
        <v>1</v>
      </c>
      <c r="B2140" s="32" t="inlineStr">
        <is>
          <t>EPA1633 &amp; diPAPs Calibration 0 ppb</t>
        </is>
      </c>
      <c r="D2140" s="32" t="n">
        <v>11.1</v>
      </c>
      <c r="E2140" s="32" t="n">
        <v>1.64</v>
      </c>
      <c r="G2140" s="32" t="n">
        <v>16</v>
      </c>
      <c r="H2140" s="32" t="inlineStr">
        <is>
          <t>bb</t>
        </is>
      </c>
      <c r="I2140" s="32" t="n">
        <v>1.64</v>
      </c>
      <c r="K2140" s="32" t="inlineStr">
        <is>
          <t>20250514-12</t>
        </is>
      </c>
    </row>
    <row r="2141">
      <c r="A2141" s="32" t="n">
        <v>2</v>
      </c>
      <c r="B2141" s="32" t="inlineStr">
        <is>
          <t>EPA1633 &amp; diPAPs Calibration 0.02 ppb</t>
        </is>
      </c>
      <c r="K2141" s="32" t="inlineStr">
        <is>
          <t>20250514-13</t>
        </is>
      </c>
    </row>
    <row r="2142">
      <c r="A2142" s="32" t="n">
        <v>3</v>
      </c>
      <c r="B2142" s="32" t="inlineStr">
        <is>
          <t>EPA1633 &amp; diPAPs Calibration 0.1 ppb</t>
        </is>
      </c>
      <c r="K2142" s="32" t="inlineStr">
        <is>
          <t>20250514-14</t>
        </is>
      </c>
    </row>
    <row r="2143">
      <c r="A2143" s="32" t="n">
        <v>4</v>
      </c>
      <c r="B2143" s="32" t="inlineStr">
        <is>
          <t>EPA1633 &amp; diPAPs Calibration 0.4 ppb</t>
        </is>
      </c>
      <c r="K2143" s="32" t="inlineStr">
        <is>
          <t>20250514-15</t>
        </is>
      </c>
    </row>
    <row r="2144">
      <c r="A2144" s="32" t="n">
        <v>5</v>
      </c>
      <c r="B2144" s="32" t="inlineStr">
        <is>
          <t>EPA1633 &amp; diPAPs Calibration 1 ppb</t>
        </is>
      </c>
      <c r="K2144" s="32" t="inlineStr">
        <is>
          <t>20250514-16</t>
        </is>
      </c>
    </row>
    <row r="2145">
      <c r="A2145" s="32" t="n">
        <v>6</v>
      </c>
      <c r="B2145" s="32" t="inlineStr">
        <is>
          <t>EPA1633 &amp; diPAPs Calibration 5 ppb</t>
        </is>
      </c>
      <c r="K2145" s="32" t="inlineStr">
        <is>
          <t>20250514-17</t>
        </is>
      </c>
    </row>
    <row r="2146">
      <c r="A2146" s="32" t="n">
        <v>7</v>
      </c>
      <c r="B2146" s="32" t="inlineStr">
        <is>
          <t>EPA1633 &amp; diPAPs Calibration 10 ppb</t>
        </is>
      </c>
      <c r="D2146" s="32" t="n">
        <v>10.91</v>
      </c>
      <c r="E2146" s="32" t="n">
        <v>4.708</v>
      </c>
      <c r="G2146" s="32" t="n">
        <v>47</v>
      </c>
      <c r="H2146" s="32" t="inlineStr">
        <is>
          <t>bb</t>
        </is>
      </c>
      <c r="I2146" s="32" t="n">
        <v>4.708</v>
      </c>
      <c r="K2146" s="32" t="inlineStr">
        <is>
          <t>20250514-18</t>
        </is>
      </c>
    </row>
    <row r="2147">
      <c r="A2147" s="32" t="n">
        <v>8</v>
      </c>
      <c r="B2147" s="32" t="inlineStr">
        <is>
          <t>EPA1633 &amp; diPAPs Calibration 20 ppb</t>
        </is>
      </c>
      <c r="K2147" s="32" t="inlineStr">
        <is>
          <t>20250514-19</t>
        </is>
      </c>
    </row>
    <row r="2148">
      <c r="A2148" s="32" t="n">
        <v>9</v>
      </c>
      <c r="B2148" s="32" t="inlineStr">
        <is>
          <t>MeOH</t>
        </is>
      </c>
      <c r="K2148" s="32" t="inlineStr">
        <is>
          <t>20250514-20</t>
        </is>
      </c>
    </row>
    <row r="2149">
      <c r="A2149" s="32" t="n">
        <v>10</v>
      </c>
      <c r="B2149" s="32" t="inlineStr">
        <is>
          <t>MeOH</t>
        </is>
      </c>
      <c r="D2149" s="32" t="n">
        <v>10.28</v>
      </c>
      <c r="E2149" s="32" t="n">
        <v>3.907</v>
      </c>
      <c r="G2149" s="32" t="n">
        <v>43</v>
      </c>
      <c r="H2149" s="32" t="inlineStr">
        <is>
          <t>bb</t>
        </is>
      </c>
      <c r="I2149" s="32" t="n">
        <v>3.907</v>
      </c>
      <c r="K2149" s="32" t="inlineStr">
        <is>
          <t>20250514-21</t>
        </is>
      </c>
    </row>
    <row r="2150">
      <c r="A2150" s="32" t="n">
        <v>11</v>
      </c>
      <c r="B2150" s="32" t="inlineStr">
        <is>
          <t>SB1</t>
        </is>
      </c>
      <c r="K2150" s="32" t="inlineStr">
        <is>
          <t>20250514-22</t>
        </is>
      </c>
    </row>
    <row r="2151">
      <c r="A2151" s="32" t="n">
        <v>12</v>
      </c>
      <c r="B2151" s="32" t="inlineStr">
        <is>
          <t>SB2</t>
        </is>
      </c>
      <c r="K2151" s="32" t="inlineStr">
        <is>
          <t>20250514-23</t>
        </is>
      </c>
    </row>
    <row r="2152">
      <c r="A2152" s="32" t="n">
        <v>13</v>
      </c>
      <c r="B2152" s="32" t="inlineStr">
        <is>
          <t>SB3</t>
        </is>
      </c>
      <c r="D2152" s="32" t="n">
        <v>10.26</v>
      </c>
      <c r="E2152" s="32" t="n">
        <v>2.567</v>
      </c>
      <c r="G2152" s="32" t="n">
        <v>28</v>
      </c>
      <c r="H2152" s="32" t="inlineStr">
        <is>
          <t>bb</t>
        </is>
      </c>
      <c r="I2152" s="32" t="n">
        <v>2.567</v>
      </c>
      <c r="K2152" s="32" t="inlineStr">
        <is>
          <t>20250514-24</t>
        </is>
      </c>
    </row>
    <row r="2153">
      <c r="A2153" s="32" t="n">
        <v>14</v>
      </c>
      <c r="B2153" s="32" t="inlineStr">
        <is>
          <t>SS1</t>
        </is>
      </c>
      <c r="K2153" s="32" t="inlineStr">
        <is>
          <t>20250514-25</t>
        </is>
      </c>
    </row>
    <row r="2154">
      <c r="A2154" s="32" t="n">
        <v>15</v>
      </c>
      <c r="B2154" s="32" t="inlineStr">
        <is>
          <t>SS2</t>
        </is>
      </c>
      <c r="D2154" s="32" t="n">
        <v>10.63</v>
      </c>
      <c r="E2154" s="32" t="n">
        <v>12.051</v>
      </c>
      <c r="G2154" s="32" t="n">
        <v>136</v>
      </c>
      <c r="H2154" s="32" t="inlineStr">
        <is>
          <t>bb</t>
        </is>
      </c>
      <c r="I2154" s="32" t="n">
        <v>12.051</v>
      </c>
      <c r="K2154" s="32" t="inlineStr">
        <is>
          <t>20250514-26</t>
        </is>
      </c>
    </row>
    <row r="2155">
      <c r="A2155" s="32" t="n">
        <v>16</v>
      </c>
      <c r="B2155" s="32" t="inlineStr">
        <is>
          <t>SS3</t>
        </is>
      </c>
      <c r="K2155" s="32" t="inlineStr">
        <is>
          <t>20250514-27</t>
        </is>
      </c>
    </row>
    <row r="2156">
      <c r="A2156" s="32" t="n">
        <v>17</v>
      </c>
      <c r="B2156" s="32" t="inlineStr">
        <is>
          <t>MeOH</t>
        </is>
      </c>
      <c r="K2156" s="32" t="inlineStr">
        <is>
          <t>20250514-28</t>
        </is>
      </c>
    </row>
    <row r="2157">
      <c r="A2157" s="32" t="n">
        <v>18</v>
      </c>
      <c r="B2157" s="32" t="inlineStr">
        <is>
          <t>K4-1A</t>
        </is>
      </c>
      <c r="K2157" s="32" t="inlineStr">
        <is>
          <t>20250514-29</t>
        </is>
      </c>
    </row>
    <row r="2158">
      <c r="A2158" s="32" t="n">
        <v>19</v>
      </c>
      <c r="B2158" s="32" t="inlineStr">
        <is>
          <t>K4-1B</t>
        </is>
      </c>
      <c r="K2158" s="32" t="inlineStr">
        <is>
          <t>20250514-30</t>
        </is>
      </c>
    </row>
    <row r="2159">
      <c r="A2159" s="32" t="n">
        <v>20</v>
      </c>
      <c r="B2159" s="32" t="inlineStr">
        <is>
          <t>K4-1C</t>
        </is>
      </c>
      <c r="K2159" s="32" t="inlineStr">
        <is>
          <t>20250514-31</t>
        </is>
      </c>
    </row>
    <row r="2160">
      <c r="A2160" s="32" t="n">
        <v>21</v>
      </c>
      <c r="B2160" s="32" t="inlineStr">
        <is>
          <t>K4-2A</t>
        </is>
      </c>
      <c r="K2160" s="32" t="inlineStr">
        <is>
          <t>20250514-32</t>
        </is>
      </c>
    </row>
    <row r="2161">
      <c r="A2161" s="32" t="n">
        <v>22</v>
      </c>
      <c r="B2161" s="32" t="inlineStr">
        <is>
          <t>K4-2B</t>
        </is>
      </c>
      <c r="K2161" s="32" t="inlineStr">
        <is>
          <t>20250514-33</t>
        </is>
      </c>
    </row>
    <row r="2162">
      <c r="A2162" s="32" t="n">
        <v>23</v>
      </c>
      <c r="B2162" s="32" t="inlineStr">
        <is>
          <t>K4-2C</t>
        </is>
      </c>
      <c r="K2162" s="32" t="inlineStr">
        <is>
          <t>20250514-34</t>
        </is>
      </c>
    </row>
    <row r="2163">
      <c r="A2163" s="32" t="n">
        <v>24</v>
      </c>
      <c r="B2163" s="32" t="inlineStr">
        <is>
          <t>MeOH</t>
        </is>
      </c>
      <c r="K2163" s="32" t="inlineStr">
        <is>
          <t>20250514-35</t>
        </is>
      </c>
    </row>
    <row r="2164">
      <c r="A2164" s="32" t="n">
        <v>25</v>
      </c>
      <c r="B2164" s="32" t="inlineStr">
        <is>
          <t>K4-4A</t>
        </is>
      </c>
      <c r="K2164" s="32" t="inlineStr">
        <is>
          <t>20250514-36</t>
        </is>
      </c>
    </row>
    <row r="2165">
      <c r="A2165" s="32" t="n">
        <v>26</v>
      </c>
      <c r="B2165" s="32" t="inlineStr">
        <is>
          <t>K4-4B</t>
        </is>
      </c>
      <c r="D2165" s="32" t="n">
        <v>10.47</v>
      </c>
      <c r="E2165" s="32" t="n">
        <v>9.571</v>
      </c>
      <c r="G2165" s="32" t="n">
        <v>107</v>
      </c>
      <c r="H2165" s="32" t="inlineStr">
        <is>
          <t>bb</t>
        </is>
      </c>
      <c r="I2165" s="32" t="n">
        <v>9.571</v>
      </c>
      <c r="K2165" s="32" t="inlineStr">
        <is>
          <t>20250514-37</t>
        </is>
      </c>
    </row>
    <row r="2166">
      <c r="A2166" s="32" t="n">
        <v>27</v>
      </c>
      <c r="B2166" s="32" t="inlineStr">
        <is>
          <t>K4-4C</t>
        </is>
      </c>
      <c r="K2166" s="32" t="inlineStr">
        <is>
          <t>20250514-38</t>
        </is>
      </c>
    </row>
    <row r="2167">
      <c r="A2167" s="32" t="n">
        <v>28</v>
      </c>
      <c r="B2167" s="32" t="inlineStr">
        <is>
          <t>K4-5A</t>
        </is>
      </c>
      <c r="K2167" s="32" t="inlineStr">
        <is>
          <t>20250514-39</t>
        </is>
      </c>
    </row>
    <row r="2168">
      <c r="A2168" s="32" t="n">
        <v>29</v>
      </c>
      <c r="B2168" s="32" t="inlineStr">
        <is>
          <t>K4-5B</t>
        </is>
      </c>
      <c r="K2168" s="32" t="inlineStr">
        <is>
          <t>20250514-40</t>
        </is>
      </c>
    </row>
    <row r="2169">
      <c r="A2169" s="32" t="n">
        <v>30</v>
      </c>
      <c r="B2169" s="32" t="inlineStr">
        <is>
          <t>K4-5C</t>
        </is>
      </c>
      <c r="K2169" s="32" t="inlineStr">
        <is>
          <t>20250514-41</t>
        </is>
      </c>
    </row>
    <row r="2170">
      <c r="A2170" s="32" t="n">
        <v>31</v>
      </c>
      <c r="B2170" s="32" t="inlineStr">
        <is>
          <t>MeOH</t>
        </is>
      </c>
      <c r="K2170" s="32" t="inlineStr">
        <is>
          <t>20250514-42</t>
        </is>
      </c>
    </row>
    <row r="2171">
      <c r="A2171" s="32" t="n">
        <v>32</v>
      </c>
      <c r="B2171" s="32" t="inlineStr">
        <is>
          <t>K3-1A</t>
        </is>
      </c>
      <c r="K2171" s="32" t="inlineStr">
        <is>
          <t>20250514-43</t>
        </is>
      </c>
    </row>
    <row r="2172">
      <c r="A2172" s="32" t="n">
        <v>33</v>
      </c>
      <c r="B2172" s="32" t="inlineStr">
        <is>
          <t>K3-1B</t>
        </is>
      </c>
      <c r="K2172" s="32" t="inlineStr">
        <is>
          <t>20250514-44</t>
        </is>
      </c>
    </row>
    <row r="2173">
      <c r="A2173" s="32" t="n">
        <v>34</v>
      </c>
      <c r="B2173" s="32" t="inlineStr">
        <is>
          <t>K3-1C</t>
        </is>
      </c>
      <c r="K2173" s="32" t="inlineStr">
        <is>
          <t>20250514-45</t>
        </is>
      </c>
    </row>
    <row r="2174">
      <c r="A2174" s="32" t="n">
        <v>35</v>
      </c>
      <c r="B2174" s="32" t="inlineStr">
        <is>
          <t>K3-2A</t>
        </is>
      </c>
      <c r="K2174" s="32" t="inlineStr">
        <is>
          <t>20250514-46</t>
        </is>
      </c>
    </row>
    <row r="2175">
      <c r="A2175" s="32" t="n">
        <v>36</v>
      </c>
      <c r="B2175" s="32" t="inlineStr">
        <is>
          <t>K3-2B</t>
        </is>
      </c>
      <c r="D2175" s="32" t="n">
        <v>10.99</v>
      </c>
      <c r="E2175" s="32" t="n">
        <v>0.539</v>
      </c>
      <c r="G2175" s="32" t="n">
        <v>5</v>
      </c>
      <c r="H2175" s="32" t="inlineStr">
        <is>
          <t>bb</t>
        </is>
      </c>
      <c r="I2175" s="32" t="n">
        <v>0.539</v>
      </c>
      <c r="K2175" s="32" t="inlineStr">
        <is>
          <t>20250514-47</t>
        </is>
      </c>
    </row>
    <row r="2176">
      <c r="A2176" s="32" t="n">
        <v>37</v>
      </c>
      <c r="B2176" s="32" t="inlineStr">
        <is>
          <t>K3-2C</t>
        </is>
      </c>
      <c r="D2176" s="32" t="n">
        <v>10.97</v>
      </c>
      <c r="E2176" s="32" t="n">
        <v>0.276</v>
      </c>
      <c r="G2176" s="32" t="n">
        <v>3</v>
      </c>
      <c r="H2176" s="32" t="inlineStr">
        <is>
          <t>bb</t>
        </is>
      </c>
      <c r="I2176" s="32" t="n">
        <v>0.276</v>
      </c>
      <c r="K2176" s="32" t="inlineStr">
        <is>
          <t>20250514-48</t>
        </is>
      </c>
    </row>
    <row r="2177">
      <c r="A2177" s="32" t="n">
        <v>38</v>
      </c>
      <c r="B2177" s="32" t="inlineStr">
        <is>
          <t>MeOH</t>
        </is>
      </c>
      <c r="K2177" s="32" t="inlineStr">
        <is>
          <t>20250514-49</t>
        </is>
      </c>
    </row>
    <row r="2178">
      <c r="A2178" s="32" t="n">
        <v>39</v>
      </c>
      <c r="B2178" s="32" t="inlineStr">
        <is>
          <t>K3-3A</t>
        </is>
      </c>
      <c r="K2178" s="32" t="inlineStr">
        <is>
          <t>20250514-50</t>
        </is>
      </c>
    </row>
    <row r="2179">
      <c r="A2179" s="32" t="n">
        <v>40</v>
      </c>
      <c r="B2179" s="32" t="inlineStr">
        <is>
          <t>K3-3B</t>
        </is>
      </c>
      <c r="K2179" s="32" t="inlineStr">
        <is>
          <t>20250514-51</t>
        </is>
      </c>
    </row>
    <row r="2180">
      <c r="A2180" s="32" t="n">
        <v>41</v>
      </c>
      <c r="B2180" s="32" t="inlineStr">
        <is>
          <t>K3-3C</t>
        </is>
      </c>
      <c r="K2180" s="32" t="inlineStr">
        <is>
          <t>20250514-52</t>
        </is>
      </c>
    </row>
    <row r="2181">
      <c r="A2181" s="32" t="n">
        <v>42</v>
      </c>
      <c r="B2181" s="32" t="inlineStr">
        <is>
          <t>K3-4A</t>
        </is>
      </c>
      <c r="K2181" s="32" t="inlineStr">
        <is>
          <t>20250514-53</t>
        </is>
      </c>
    </row>
    <row r="2182">
      <c r="A2182" s="32" t="n">
        <v>43</v>
      </c>
      <c r="B2182" s="32" t="inlineStr">
        <is>
          <t>K3-4B</t>
        </is>
      </c>
      <c r="D2182" s="32" t="n">
        <v>10.91</v>
      </c>
      <c r="E2182" s="32" t="n">
        <v>2.149</v>
      </c>
      <c r="G2182" s="32" t="n">
        <v>21</v>
      </c>
      <c r="H2182" s="32" t="inlineStr">
        <is>
          <t>bb</t>
        </is>
      </c>
      <c r="I2182" s="32" t="n">
        <v>2.149</v>
      </c>
      <c r="K2182" s="32" t="inlineStr">
        <is>
          <t>20250514-54</t>
        </is>
      </c>
    </row>
    <row r="2183">
      <c r="A2183" s="32" t="n">
        <v>44</v>
      </c>
      <c r="B2183" s="32" t="inlineStr">
        <is>
          <t>K3-4C</t>
        </is>
      </c>
      <c r="K2183" s="32" t="inlineStr">
        <is>
          <t>20250514-55</t>
        </is>
      </c>
    </row>
    <row r="2184">
      <c r="A2184" s="32" t="n">
        <v>45</v>
      </c>
      <c r="B2184" s="32" t="inlineStr">
        <is>
          <t>MeOH</t>
        </is>
      </c>
      <c r="K2184" s="32" t="inlineStr">
        <is>
          <t>20250514-56</t>
        </is>
      </c>
    </row>
    <row r="2185">
      <c r="A2185" s="32" t="n">
        <v>46</v>
      </c>
      <c r="B2185" s="32" t="inlineStr">
        <is>
          <t>K3-6A</t>
        </is>
      </c>
      <c r="D2185" s="32" t="n">
        <v>10.97</v>
      </c>
      <c r="E2185" s="32" t="n">
        <v>1.643</v>
      </c>
      <c r="G2185" s="32" t="n">
        <v>16</v>
      </c>
      <c r="H2185" s="32" t="inlineStr">
        <is>
          <t>bb</t>
        </is>
      </c>
      <c r="I2185" s="32" t="n">
        <v>1.643</v>
      </c>
      <c r="K2185" s="32" t="inlineStr">
        <is>
          <t>20250514-57</t>
        </is>
      </c>
    </row>
    <row r="2186">
      <c r="A2186" s="32" t="n">
        <v>47</v>
      </c>
      <c r="B2186" s="32" t="inlineStr">
        <is>
          <t>K3-6B</t>
        </is>
      </c>
      <c r="K2186" s="32" t="inlineStr">
        <is>
          <t>20250514-58</t>
        </is>
      </c>
    </row>
    <row r="2187">
      <c r="A2187" s="32" t="n">
        <v>48</v>
      </c>
      <c r="B2187" s="32" t="inlineStr">
        <is>
          <t>K3-6C</t>
        </is>
      </c>
      <c r="K2187" s="32" t="inlineStr">
        <is>
          <t>20250514-59</t>
        </is>
      </c>
    </row>
    <row r="2189">
      <c r="A2189" s="32" t="inlineStr">
        <is>
          <t>Compound 43:  NaDONA 1</t>
        </is>
      </c>
    </row>
    <row r="2191">
      <c r="B2191" s="32" t="inlineStr">
        <is>
          <t>Sample Text</t>
        </is>
      </c>
      <c r="C2191" s="32" t="inlineStr">
        <is>
          <t>Std. Conc</t>
        </is>
      </c>
      <c r="D2191" s="32" t="inlineStr">
        <is>
          <t>RT</t>
        </is>
      </c>
      <c r="E2191" s="32" t="inlineStr">
        <is>
          <t>Area</t>
        </is>
      </c>
      <c r="F2191" s="32" t="inlineStr">
        <is>
          <t>IS Area</t>
        </is>
      </c>
      <c r="G2191" s="32" t="inlineStr">
        <is>
          <t>S/N</t>
        </is>
      </c>
      <c r="H2191" s="32" t="inlineStr">
        <is>
          <t>Primary Flags</t>
        </is>
      </c>
      <c r="I2191" s="32" t="inlineStr">
        <is>
          <t>Response</t>
        </is>
      </c>
      <c r="J2191" s="32" t="inlineStr">
        <is>
          <t>Conc.</t>
        </is>
      </c>
      <c r="K2191" s="32" t="inlineStr">
        <is>
          <t>Name</t>
        </is>
      </c>
    </row>
    <row r="2192">
      <c r="A2192" s="32" t="n">
        <v>1</v>
      </c>
      <c r="B2192" s="32" t="inlineStr">
        <is>
          <t>EPA1633 &amp; diPAPs Calibration 0 ppb</t>
        </is>
      </c>
      <c r="D2192" s="32" t="n">
        <v>10.75</v>
      </c>
      <c r="E2192" s="32" t="n">
        <v>405.025</v>
      </c>
      <c r="F2192" s="32" t="n">
        <v>3694.615</v>
      </c>
      <c r="G2192" s="32" t="n">
        <v>2.959</v>
      </c>
      <c r="H2192" s="32" t="inlineStr">
        <is>
          <t>bb</t>
        </is>
      </c>
      <c r="K2192" s="32" t="inlineStr">
        <is>
          <t>20250514-12</t>
        </is>
      </c>
    </row>
    <row r="2193">
      <c r="A2193" s="32" t="n">
        <v>2</v>
      </c>
      <c r="B2193" s="32" t="inlineStr">
        <is>
          <t>EPA1633 &amp; diPAPs Calibration 0.02 ppb</t>
        </is>
      </c>
      <c r="D2193" s="32" t="n">
        <v>10.76</v>
      </c>
      <c r="E2193" s="32" t="n">
        <v>1283.639</v>
      </c>
      <c r="F2193" s="32" t="n">
        <v>3104.064</v>
      </c>
      <c r="G2193" s="32" t="n">
        <v>44.393</v>
      </c>
      <c r="H2193" s="32" t="inlineStr">
        <is>
          <t>bb</t>
        </is>
      </c>
      <c r="K2193" s="32" t="inlineStr">
        <is>
          <t>20250514-13</t>
        </is>
      </c>
    </row>
    <row r="2194">
      <c r="A2194" s="32" t="n">
        <v>3</v>
      </c>
      <c r="B2194" s="32" t="inlineStr">
        <is>
          <t>EPA1633 &amp; diPAPs Calibration 0.1 ppb</t>
        </is>
      </c>
      <c r="D2194" s="32" t="n">
        <v>10.77</v>
      </c>
      <c r="E2194" s="32" t="n">
        <v>1800.438</v>
      </c>
      <c r="F2194" s="32" t="n">
        <v>3160.561</v>
      </c>
      <c r="G2194" s="32" t="n">
        <v>25.568</v>
      </c>
      <c r="H2194" s="32" t="inlineStr">
        <is>
          <t>bb</t>
        </is>
      </c>
      <c r="K2194" s="32" t="inlineStr">
        <is>
          <t>20250514-14</t>
        </is>
      </c>
    </row>
    <row r="2195">
      <c r="A2195" s="32" t="n">
        <v>4</v>
      </c>
      <c r="B2195" s="32" t="inlineStr">
        <is>
          <t>EPA1633 &amp; diPAPs Calibration 0.4 ppb</t>
        </is>
      </c>
      <c r="D2195" s="32" t="n">
        <v>10.78</v>
      </c>
      <c r="E2195" s="32" t="n">
        <v>6874.571</v>
      </c>
      <c r="F2195" s="32" t="n">
        <v>2561.342</v>
      </c>
      <c r="G2195" s="32" t="n">
        <v>56954</v>
      </c>
      <c r="H2195" s="32" t="inlineStr">
        <is>
          <t>bb</t>
        </is>
      </c>
      <c r="K2195" s="32" t="inlineStr">
        <is>
          <t>20250514-15</t>
        </is>
      </c>
    </row>
    <row r="2196">
      <c r="A2196" s="32" t="n">
        <v>5</v>
      </c>
      <c r="B2196" s="32" t="inlineStr">
        <is>
          <t>EPA1633 &amp; diPAPs Calibration 1 ppb</t>
        </is>
      </c>
      <c r="D2196" s="32" t="n">
        <v>10.8</v>
      </c>
      <c r="E2196" s="32" t="n">
        <v>12176.579</v>
      </c>
      <c r="F2196" s="32" t="n">
        <v>2832.371</v>
      </c>
      <c r="G2196" s="32" t="n">
        <v>1682.606</v>
      </c>
      <c r="H2196" s="32" t="inlineStr">
        <is>
          <t>bb</t>
        </is>
      </c>
      <c r="K2196" s="32" t="inlineStr">
        <is>
          <t>20250514-16</t>
        </is>
      </c>
    </row>
    <row r="2197">
      <c r="A2197" s="32" t="n">
        <v>6</v>
      </c>
      <c r="B2197" s="32" t="inlineStr">
        <is>
          <t>EPA1633 &amp; diPAPs Calibration 5 ppb</t>
        </is>
      </c>
      <c r="D2197" s="32" t="n">
        <v>10.66</v>
      </c>
      <c r="E2197" s="32" t="n">
        <v>57101.617</v>
      </c>
      <c r="F2197" s="32" t="n">
        <v>2095.76</v>
      </c>
      <c r="G2197" s="32" t="n">
        <v>6093.507</v>
      </c>
      <c r="H2197" s="32" t="inlineStr">
        <is>
          <t>bb</t>
        </is>
      </c>
      <c r="K2197" s="32" t="inlineStr">
        <is>
          <t>20250514-17</t>
        </is>
      </c>
    </row>
    <row r="2198">
      <c r="A2198" s="32" t="n">
        <v>7</v>
      </c>
      <c r="B2198" s="32" t="inlineStr">
        <is>
          <t>EPA1633 &amp; diPAPs Calibration 10 ppb</t>
        </is>
      </c>
      <c r="D2198" s="32" t="n">
        <v>10.71</v>
      </c>
      <c r="E2198" s="32" t="n">
        <v>111356.492</v>
      </c>
      <c r="F2198" s="32" t="n">
        <v>1985.663</v>
      </c>
      <c r="G2198" s="32" t="n">
        <v>3772.756</v>
      </c>
      <c r="H2198" s="32" t="inlineStr">
        <is>
          <t>bb</t>
        </is>
      </c>
      <c r="K2198" s="32" t="inlineStr">
        <is>
          <t>20250514-18</t>
        </is>
      </c>
    </row>
    <row r="2199">
      <c r="A2199" s="32" t="n">
        <v>8</v>
      </c>
      <c r="B2199" s="32" t="inlineStr">
        <is>
          <t>EPA1633 &amp; diPAPs Calibration 20 ppb</t>
        </is>
      </c>
      <c r="D2199" s="32" t="n">
        <v>10.75</v>
      </c>
      <c r="E2199" s="32" t="n">
        <v>231647.938</v>
      </c>
      <c r="F2199" s="32" t="n">
        <v>2349.671</v>
      </c>
      <c r="G2199" s="32" t="n">
        <v>3201.349</v>
      </c>
      <c r="H2199" s="32" t="inlineStr">
        <is>
          <t>bb</t>
        </is>
      </c>
      <c r="K2199" s="32" t="inlineStr">
        <is>
          <t>20250514-19</t>
        </is>
      </c>
    </row>
    <row r="2200">
      <c r="A2200" s="32" t="n">
        <v>9</v>
      </c>
      <c r="B2200" s="32" t="inlineStr">
        <is>
          <t>MeOH</t>
        </is>
      </c>
      <c r="D2200" s="32" t="n">
        <v>10.76</v>
      </c>
      <c r="E2200" s="32" t="n">
        <v>317.281</v>
      </c>
      <c r="F2200" s="32" t="n">
        <v>0</v>
      </c>
      <c r="G2200" s="32" t="n">
        <v>250.539</v>
      </c>
      <c r="H2200" s="32" t="inlineStr">
        <is>
          <t>bb</t>
        </is>
      </c>
      <c r="K2200" s="32" t="inlineStr">
        <is>
          <t>20250514-20</t>
        </is>
      </c>
    </row>
    <row r="2201">
      <c r="A2201" s="32" t="n">
        <v>10</v>
      </c>
      <c r="B2201" s="32" t="inlineStr">
        <is>
          <t>MeOH</t>
        </is>
      </c>
      <c r="D2201" s="32" t="n">
        <v>10.76</v>
      </c>
      <c r="E2201" s="32" t="n">
        <v>203.698</v>
      </c>
      <c r="F2201" s="32" t="n">
        <v>0</v>
      </c>
      <c r="G2201" s="32" t="n">
        <v>1847</v>
      </c>
      <c r="H2201" s="32" t="inlineStr">
        <is>
          <t>bb</t>
        </is>
      </c>
      <c r="K2201" s="32" t="inlineStr">
        <is>
          <t>20250514-21</t>
        </is>
      </c>
    </row>
    <row r="2202">
      <c r="A2202" s="32" t="n">
        <v>11</v>
      </c>
      <c r="B2202" s="32" t="inlineStr">
        <is>
          <t>SB1</t>
        </is>
      </c>
      <c r="D2202" s="32" t="n">
        <v>10.78</v>
      </c>
      <c r="E2202" s="32" t="n">
        <v>237.396</v>
      </c>
      <c r="F2202" s="32" t="n">
        <v>923.4400000000001</v>
      </c>
      <c r="G2202" s="32" t="n">
        <v>1922</v>
      </c>
      <c r="H2202" s="32" t="inlineStr">
        <is>
          <t>bb</t>
        </is>
      </c>
      <c r="K2202" s="32" t="inlineStr">
        <is>
          <t>20250514-22</t>
        </is>
      </c>
    </row>
    <row r="2203">
      <c r="A2203" s="32" t="n">
        <v>12</v>
      </c>
      <c r="B2203" s="32" t="inlineStr">
        <is>
          <t>SB2</t>
        </is>
      </c>
      <c r="D2203" s="32" t="n">
        <v>10.76</v>
      </c>
      <c r="E2203" s="32" t="n">
        <v>8.317</v>
      </c>
      <c r="F2203" s="32" t="n">
        <v>791.418</v>
      </c>
      <c r="G2203" s="32" t="n">
        <v>92</v>
      </c>
      <c r="H2203" s="32" t="inlineStr">
        <is>
          <t>bb</t>
        </is>
      </c>
      <c r="K2203" s="32" t="inlineStr">
        <is>
          <t>20250514-23</t>
        </is>
      </c>
    </row>
    <row r="2204">
      <c r="A2204" s="32" t="n">
        <v>13</v>
      </c>
      <c r="B2204" s="32" t="inlineStr">
        <is>
          <t>SB3</t>
        </is>
      </c>
      <c r="D2204" s="32" t="n">
        <v>10.82</v>
      </c>
      <c r="E2204" s="32" t="n">
        <v>35.151</v>
      </c>
      <c r="F2204" s="32" t="n">
        <v>835.91</v>
      </c>
      <c r="G2204" s="32" t="n">
        <v>323</v>
      </c>
      <c r="H2204" s="32" t="inlineStr">
        <is>
          <t>bb</t>
        </is>
      </c>
      <c r="K2204" s="32" t="inlineStr">
        <is>
          <t>20250514-24</t>
        </is>
      </c>
    </row>
    <row r="2205">
      <c r="A2205" s="32" t="n">
        <v>14</v>
      </c>
      <c r="B2205" s="32" t="inlineStr">
        <is>
          <t>SS1</t>
        </is>
      </c>
      <c r="D2205" s="32" t="n">
        <v>10.84</v>
      </c>
      <c r="E2205" s="32" t="n">
        <v>44522.875</v>
      </c>
      <c r="F2205" s="32" t="n">
        <v>801.263</v>
      </c>
      <c r="G2205" s="32" t="n">
        <v>849.688</v>
      </c>
      <c r="H2205" s="32" t="inlineStr">
        <is>
          <t>bb</t>
        </is>
      </c>
      <c r="K2205" s="32" t="inlineStr">
        <is>
          <t>20250514-25</t>
        </is>
      </c>
    </row>
    <row r="2206">
      <c r="A2206" s="32" t="n">
        <v>15</v>
      </c>
      <c r="B2206" s="32" t="inlineStr">
        <is>
          <t>SS2</t>
        </is>
      </c>
      <c r="D2206" s="32" t="n">
        <v>10.85</v>
      </c>
      <c r="E2206" s="32" t="n">
        <v>48572.555</v>
      </c>
      <c r="F2206" s="32" t="n">
        <v>768.403</v>
      </c>
      <c r="G2206" s="32" t="n">
        <v>998.498</v>
      </c>
      <c r="H2206" s="32" t="inlineStr">
        <is>
          <t>bb</t>
        </is>
      </c>
      <c r="K2206" s="32" t="inlineStr">
        <is>
          <t>20250514-26</t>
        </is>
      </c>
    </row>
    <row r="2207">
      <c r="A2207" s="32" t="n">
        <v>16</v>
      </c>
      <c r="B2207" s="32" t="inlineStr">
        <is>
          <t>SS3</t>
        </is>
      </c>
      <c r="D2207" s="32" t="n">
        <v>10.85</v>
      </c>
      <c r="E2207" s="32" t="n">
        <v>48850.535</v>
      </c>
      <c r="F2207" s="32" t="n">
        <v>645.971</v>
      </c>
      <c r="G2207" s="32" t="n">
        <v>2178.917</v>
      </c>
      <c r="H2207" s="32" t="inlineStr">
        <is>
          <t>bb</t>
        </is>
      </c>
      <c r="K2207" s="32" t="inlineStr">
        <is>
          <t>20250514-27</t>
        </is>
      </c>
    </row>
    <row r="2208">
      <c r="A2208" s="32" t="n">
        <v>17</v>
      </c>
      <c r="B2208" s="32" t="inlineStr">
        <is>
          <t>MeOH</t>
        </is>
      </c>
      <c r="D2208" s="32" t="n">
        <v>10.84</v>
      </c>
      <c r="E2208" s="32" t="n">
        <v>440.499</v>
      </c>
      <c r="F2208" s="32" t="n">
        <v>0</v>
      </c>
      <c r="G2208" s="32" t="n">
        <v>3390</v>
      </c>
      <c r="H2208" s="32" t="inlineStr">
        <is>
          <t>bb</t>
        </is>
      </c>
      <c r="K2208" s="32" t="inlineStr">
        <is>
          <t>20250514-28</t>
        </is>
      </c>
    </row>
    <row r="2209">
      <c r="A2209" s="32" t="n">
        <v>18</v>
      </c>
      <c r="B2209" s="32" t="inlineStr">
        <is>
          <t>K4-1A</t>
        </is>
      </c>
      <c r="D2209" s="32" t="n">
        <v>10.86</v>
      </c>
      <c r="E2209" s="32" t="n">
        <v>14.293</v>
      </c>
      <c r="F2209" s="32" t="n">
        <v>1089.252</v>
      </c>
      <c r="G2209" s="32" t="n">
        <v>141</v>
      </c>
      <c r="H2209" s="32" t="inlineStr">
        <is>
          <t>bb</t>
        </is>
      </c>
      <c r="K2209" s="32" t="inlineStr">
        <is>
          <t>20250514-29</t>
        </is>
      </c>
    </row>
    <row r="2210">
      <c r="A2210" s="32" t="n">
        <v>19</v>
      </c>
      <c r="B2210" s="32" t="inlineStr">
        <is>
          <t>K4-1B</t>
        </is>
      </c>
      <c r="D2210" s="32" t="n">
        <v>10.66</v>
      </c>
      <c r="E2210" s="32" t="n">
        <v>10.528</v>
      </c>
      <c r="F2210" s="32" t="n">
        <v>1115.831</v>
      </c>
      <c r="G2210" s="32" t="n">
        <v>117</v>
      </c>
      <c r="H2210" s="32" t="inlineStr">
        <is>
          <t>bb</t>
        </is>
      </c>
      <c r="K2210" s="32" t="inlineStr">
        <is>
          <t>20250514-30</t>
        </is>
      </c>
    </row>
    <row r="2211">
      <c r="A2211" s="32" t="n">
        <v>20</v>
      </c>
      <c r="B2211" s="32" t="inlineStr">
        <is>
          <t>K4-1C</t>
        </is>
      </c>
      <c r="F2211" s="32" t="n">
        <v>1132.369</v>
      </c>
      <c r="K2211" s="32" t="inlineStr">
        <is>
          <t>20250514-31</t>
        </is>
      </c>
    </row>
    <row r="2212">
      <c r="A2212" s="32" t="n">
        <v>21</v>
      </c>
      <c r="B2212" s="32" t="inlineStr">
        <is>
          <t>K4-2A</t>
        </is>
      </c>
      <c r="F2212" s="32" t="n">
        <v>1273.285</v>
      </c>
      <c r="K2212" s="32" t="inlineStr">
        <is>
          <t>20250514-32</t>
        </is>
      </c>
    </row>
    <row r="2213">
      <c r="A2213" s="32" t="n">
        <v>22</v>
      </c>
      <c r="B2213" s="32" t="inlineStr">
        <is>
          <t>K4-2B</t>
        </is>
      </c>
      <c r="F2213" s="32" t="n">
        <v>979.547</v>
      </c>
      <c r="K2213" s="32" t="inlineStr">
        <is>
          <t>20250514-33</t>
        </is>
      </c>
    </row>
    <row r="2214">
      <c r="A2214" s="32" t="n">
        <v>23</v>
      </c>
      <c r="B2214" s="32" t="inlineStr">
        <is>
          <t>K4-2C</t>
        </is>
      </c>
      <c r="F2214" s="32" t="n">
        <v>981.904</v>
      </c>
      <c r="K2214" s="32" t="inlineStr">
        <is>
          <t>20250514-34</t>
        </is>
      </c>
    </row>
    <row r="2215">
      <c r="A2215" s="32" t="n">
        <v>24</v>
      </c>
      <c r="B2215" s="32" t="inlineStr">
        <is>
          <t>MeOH</t>
        </is>
      </c>
      <c r="D2215" s="32" t="n">
        <v>10.88</v>
      </c>
      <c r="E2215" s="32" t="n">
        <v>402.08</v>
      </c>
      <c r="F2215" s="32" t="n">
        <v>0</v>
      </c>
      <c r="G2215" s="32" t="n">
        <v>275.654</v>
      </c>
      <c r="H2215" s="32" t="inlineStr">
        <is>
          <t>bb</t>
        </is>
      </c>
      <c r="K2215" s="32" t="inlineStr">
        <is>
          <t>20250514-35</t>
        </is>
      </c>
    </row>
    <row r="2216">
      <c r="A2216" s="32" t="n">
        <v>25</v>
      </c>
      <c r="B2216" s="32" t="inlineStr">
        <is>
          <t>K4-4A</t>
        </is>
      </c>
      <c r="D2216" s="32" t="n">
        <v>9.949999999999999</v>
      </c>
      <c r="E2216" s="32" t="n">
        <v>0.246</v>
      </c>
      <c r="F2216" s="32" t="n">
        <v>945.34</v>
      </c>
      <c r="G2216" s="32" t="n">
        <v>3</v>
      </c>
      <c r="H2216" s="32" t="inlineStr">
        <is>
          <t>MM</t>
        </is>
      </c>
      <c r="K2216" s="32" t="inlineStr">
        <is>
          <t>20250514-36</t>
        </is>
      </c>
    </row>
    <row r="2217">
      <c r="A2217" s="32" t="n">
        <v>26</v>
      </c>
      <c r="B2217" s="32" t="inlineStr">
        <is>
          <t>K4-4B</t>
        </is>
      </c>
      <c r="D2217" s="32" t="n">
        <v>9.77</v>
      </c>
      <c r="E2217" s="32" t="n">
        <v>1.056</v>
      </c>
      <c r="F2217" s="32" t="n">
        <v>779.129</v>
      </c>
      <c r="G2217" s="32" t="n">
        <v>12</v>
      </c>
      <c r="H2217" s="32" t="inlineStr">
        <is>
          <t>MM</t>
        </is>
      </c>
      <c r="K2217" s="32" t="inlineStr">
        <is>
          <t>20250514-37</t>
        </is>
      </c>
    </row>
    <row r="2218">
      <c r="A2218" s="32" t="n">
        <v>27</v>
      </c>
      <c r="B2218" s="32" t="inlineStr">
        <is>
          <t>K4-4C</t>
        </is>
      </c>
      <c r="F2218" s="32" t="n">
        <v>609.096</v>
      </c>
      <c r="K2218" s="32" t="inlineStr">
        <is>
          <t>20250514-38</t>
        </is>
      </c>
    </row>
    <row r="2219">
      <c r="A2219" s="32" t="n">
        <v>28</v>
      </c>
      <c r="B2219" s="32" t="inlineStr">
        <is>
          <t>K4-5A</t>
        </is>
      </c>
      <c r="F2219" s="32" t="n">
        <v>865.3440000000001</v>
      </c>
      <c r="K2219" s="32" t="inlineStr">
        <is>
          <t>20250514-39</t>
        </is>
      </c>
    </row>
    <row r="2220">
      <c r="A2220" s="32" t="n">
        <v>29</v>
      </c>
      <c r="B2220" s="32" t="inlineStr">
        <is>
          <t>K4-5B</t>
        </is>
      </c>
      <c r="D2220" s="32" t="n">
        <v>10.06</v>
      </c>
      <c r="E2220" s="32" t="n">
        <v>3.992</v>
      </c>
      <c r="F2220" s="32" t="n">
        <v>1052.138</v>
      </c>
      <c r="G2220" s="32" t="n">
        <v>44</v>
      </c>
      <c r="H2220" s="32" t="inlineStr">
        <is>
          <t>MM</t>
        </is>
      </c>
      <c r="K2220" s="32" t="inlineStr">
        <is>
          <t>20250514-40</t>
        </is>
      </c>
    </row>
    <row r="2221">
      <c r="A2221" s="32" t="n">
        <v>30</v>
      </c>
      <c r="B2221" s="32" t="inlineStr">
        <is>
          <t>K4-5C</t>
        </is>
      </c>
      <c r="D2221" s="32" t="n">
        <v>12.09</v>
      </c>
      <c r="E2221" s="32" t="n">
        <v>30.4</v>
      </c>
      <c r="F2221" s="32" t="n">
        <v>1085.217</v>
      </c>
      <c r="G2221" s="32" t="n">
        <v>261</v>
      </c>
      <c r="H2221" s="32" t="inlineStr">
        <is>
          <t>MM</t>
        </is>
      </c>
      <c r="K2221" s="32" t="inlineStr">
        <is>
          <t>20250514-41</t>
        </is>
      </c>
    </row>
    <row r="2222">
      <c r="A2222" s="32" t="n">
        <v>31</v>
      </c>
      <c r="B2222" s="32" t="inlineStr">
        <is>
          <t>MeOH</t>
        </is>
      </c>
      <c r="D2222" s="32" t="n">
        <v>10.78</v>
      </c>
      <c r="E2222" s="32" t="n">
        <v>155.657</v>
      </c>
      <c r="F2222" s="32" t="n">
        <v>0</v>
      </c>
      <c r="G2222" s="32" t="n">
        <v>1280</v>
      </c>
      <c r="H2222" s="32" t="inlineStr">
        <is>
          <t>bb</t>
        </is>
      </c>
      <c r="K2222" s="32" t="inlineStr">
        <is>
          <t>20250514-42</t>
        </is>
      </c>
    </row>
    <row r="2223">
      <c r="A2223" s="32" t="n">
        <v>32</v>
      </c>
      <c r="B2223" s="32" t="inlineStr">
        <is>
          <t>K3-1A</t>
        </is>
      </c>
      <c r="D2223" s="32" t="n">
        <v>10.99</v>
      </c>
      <c r="E2223" s="32" t="n">
        <v>2.059</v>
      </c>
      <c r="F2223" s="32" t="n">
        <v>1109.893</v>
      </c>
      <c r="G2223" s="32" t="n">
        <v>20</v>
      </c>
      <c r="H2223" s="32" t="inlineStr">
        <is>
          <t>bb</t>
        </is>
      </c>
      <c r="K2223" s="32" t="inlineStr">
        <is>
          <t>20250514-43</t>
        </is>
      </c>
    </row>
    <row r="2224">
      <c r="A2224" s="32" t="n">
        <v>33</v>
      </c>
      <c r="B2224" s="32" t="inlineStr">
        <is>
          <t>K3-1B</t>
        </is>
      </c>
      <c r="D2224" s="32" t="n">
        <v>10.7</v>
      </c>
      <c r="E2224" s="32" t="n">
        <v>45.514</v>
      </c>
      <c r="F2224" s="32" t="n">
        <v>966.809</v>
      </c>
      <c r="G2224" s="32" t="n">
        <v>6.178</v>
      </c>
      <c r="H2224" s="32" t="inlineStr">
        <is>
          <t>bb</t>
        </is>
      </c>
      <c r="K2224" s="32" t="inlineStr">
        <is>
          <t>20250514-44</t>
        </is>
      </c>
    </row>
    <row r="2225">
      <c r="A2225" s="32" t="n">
        <v>34</v>
      </c>
      <c r="B2225" s="32" t="inlineStr">
        <is>
          <t>K3-1C</t>
        </is>
      </c>
      <c r="F2225" s="32" t="n">
        <v>1349.016</v>
      </c>
      <c r="K2225" s="32" t="inlineStr">
        <is>
          <t>20250514-45</t>
        </is>
      </c>
    </row>
    <row r="2226">
      <c r="A2226" s="32" t="n">
        <v>35</v>
      </c>
      <c r="B2226" s="32" t="inlineStr">
        <is>
          <t>K3-2A</t>
        </is>
      </c>
      <c r="F2226" s="32" t="n">
        <v>1363.004</v>
      </c>
      <c r="K2226" s="32" t="inlineStr">
        <is>
          <t>20250514-46</t>
        </is>
      </c>
    </row>
    <row r="2227">
      <c r="A2227" s="32" t="n">
        <v>36</v>
      </c>
      <c r="B2227" s="32" t="inlineStr">
        <is>
          <t>K3-2B</t>
        </is>
      </c>
      <c r="D2227" s="32" t="n">
        <v>9.720000000000001</v>
      </c>
      <c r="E2227" s="32" t="n">
        <v>2.813</v>
      </c>
      <c r="F2227" s="32" t="n">
        <v>1596.113</v>
      </c>
      <c r="G2227" s="32" t="n">
        <v>31</v>
      </c>
      <c r="H2227" s="32" t="inlineStr">
        <is>
          <t>MM</t>
        </is>
      </c>
      <c r="K2227" s="32" t="inlineStr">
        <is>
          <t>20250514-47</t>
        </is>
      </c>
    </row>
    <row r="2228">
      <c r="A2228" s="32" t="n">
        <v>37</v>
      </c>
      <c r="B2228" s="32" t="inlineStr">
        <is>
          <t>K3-2C</t>
        </is>
      </c>
      <c r="D2228" s="32" t="n">
        <v>11.21</v>
      </c>
      <c r="E2228" s="32" t="n">
        <v>24.471</v>
      </c>
      <c r="F2228" s="32" t="n">
        <v>1349.468</v>
      </c>
      <c r="G2228" s="32" t="n">
        <v>234</v>
      </c>
      <c r="H2228" s="32" t="inlineStr">
        <is>
          <t>MM</t>
        </is>
      </c>
      <c r="K2228" s="32" t="inlineStr">
        <is>
          <t>20250514-48</t>
        </is>
      </c>
    </row>
    <row r="2229">
      <c r="A2229" s="32" t="n">
        <v>38</v>
      </c>
      <c r="B2229" s="32" t="inlineStr">
        <is>
          <t>MeOH</t>
        </is>
      </c>
      <c r="F2229" s="32" t="n">
        <v>0</v>
      </c>
      <c r="K2229" s="32" t="inlineStr">
        <is>
          <t>20250514-49</t>
        </is>
      </c>
    </row>
    <row r="2230">
      <c r="A2230" s="32" t="n">
        <v>39</v>
      </c>
      <c r="B2230" s="32" t="inlineStr">
        <is>
          <t>K3-3A</t>
        </is>
      </c>
      <c r="D2230" s="32" t="n">
        <v>11.11</v>
      </c>
      <c r="E2230" s="32" t="n">
        <v>8.372999999999999</v>
      </c>
      <c r="F2230" s="32" t="n">
        <v>1225.294</v>
      </c>
      <c r="G2230" s="32" t="n">
        <v>82</v>
      </c>
      <c r="H2230" s="32" t="inlineStr">
        <is>
          <t>bb</t>
        </is>
      </c>
      <c r="K2230" s="32" t="inlineStr">
        <is>
          <t>20250514-50</t>
        </is>
      </c>
    </row>
    <row r="2231">
      <c r="A2231" s="32" t="n">
        <v>40</v>
      </c>
      <c r="B2231" s="32" t="inlineStr">
        <is>
          <t>K3-3B</t>
        </is>
      </c>
      <c r="F2231" s="32" t="n">
        <v>1218.475</v>
      </c>
      <c r="K2231" s="32" t="inlineStr">
        <is>
          <t>20250514-51</t>
        </is>
      </c>
    </row>
    <row r="2232">
      <c r="A2232" s="32" t="n">
        <v>41</v>
      </c>
      <c r="B2232" s="32" t="inlineStr">
        <is>
          <t>K3-3C</t>
        </is>
      </c>
      <c r="D2232" s="32" t="n">
        <v>10.57</v>
      </c>
      <c r="E2232" s="32" t="n">
        <v>1.728</v>
      </c>
      <c r="F2232" s="32" t="n">
        <v>1309.716</v>
      </c>
      <c r="G2232" s="32" t="n">
        <v>20</v>
      </c>
      <c r="H2232" s="32" t="inlineStr">
        <is>
          <t>bb</t>
        </is>
      </c>
      <c r="K2232" s="32" t="inlineStr">
        <is>
          <t>20250514-52</t>
        </is>
      </c>
    </row>
    <row r="2233">
      <c r="A2233" s="32" t="n">
        <v>42</v>
      </c>
      <c r="B2233" s="32" t="inlineStr">
        <is>
          <t>K3-4A</t>
        </is>
      </c>
      <c r="F2233" s="32" t="n">
        <v>1283.354</v>
      </c>
      <c r="K2233" s="32" t="inlineStr">
        <is>
          <t>20250514-53</t>
        </is>
      </c>
    </row>
    <row r="2234">
      <c r="A2234" s="32" t="n">
        <v>43</v>
      </c>
      <c r="B2234" s="32" t="inlineStr">
        <is>
          <t>K3-4B</t>
        </is>
      </c>
      <c r="D2234" s="32" t="n">
        <v>10.89</v>
      </c>
      <c r="E2234" s="32" t="n">
        <v>34.694</v>
      </c>
      <c r="F2234" s="32" t="n">
        <v>1424.072</v>
      </c>
      <c r="G2234" s="32" t="n">
        <v>2.902</v>
      </c>
      <c r="H2234" s="32" t="inlineStr">
        <is>
          <t>bb</t>
        </is>
      </c>
      <c r="K2234" s="32" t="inlineStr">
        <is>
          <t>20250514-54</t>
        </is>
      </c>
    </row>
    <row r="2235">
      <c r="A2235" s="32" t="n">
        <v>44</v>
      </c>
      <c r="B2235" s="32" t="inlineStr">
        <is>
          <t>K3-4C</t>
        </is>
      </c>
      <c r="F2235" s="32" t="n">
        <v>1425.145</v>
      </c>
      <c r="K2235" s="32" t="inlineStr">
        <is>
          <t>20250514-55</t>
        </is>
      </c>
    </row>
    <row r="2236">
      <c r="A2236" s="32" t="n">
        <v>45</v>
      </c>
      <c r="B2236" s="32" t="inlineStr">
        <is>
          <t>MeOH</t>
        </is>
      </c>
      <c r="D2236" s="32" t="n">
        <v>10.95</v>
      </c>
      <c r="E2236" s="32" t="n">
        <v>413.219</v>
      </c>
      <c r="F2236" s="32" t="n">
        <v>5.694</v>
      </c>
      <c r="G2236" s="32" t="n">
        <v>58.637</v>
      </c>
      <c r="H2236" s="32" t="inlineStr">
        <is>
          <t>bb</t>
        </is>
      </c>
      <c r="K2236" s="32" t="inlineStr">
        <is>
          <t>20250514-56</t>
        </is>
      </c>
    </row>
    <row r="2237">
      <c r="A2237" s="32" t="n">
        <v>46</v>
      </c>
      <c r="B2237" s="32" t="inlineStr">
        <is>
          <t>K3-6A</t>
        </is>
      </c>
      <c r="F2237" s="32" t="n">
        <v>1359.244</v>
      </c>
      <c r="K2237" s="32" t="inlineStr">
        <is>
          <t>20250514-57</t>
        </is>
      </c>
    </row>
    <row r="2238">
      <c r="A2238" s="32" t="n">
        <v>47</v>
      </c>
      <c r="B2238" s="32" t="inlineStr">
        <is>
          <t>K3-6B</t>
        </is>
      </c>
      <c r="F2238" s="32" t="n">
        <v>1118.555</v>
      </c>
      <c r="K2238" s="32" t="inlineStr">
        <is>
          <t>20250514-58</t>
        </is>
      </c>
    </row>
    <row r="2239">
      <c r="A2239" s="32" t="n">
        <v>48</v>
      </c>
      <c r="B2239" s="32" t="inlineStr">
        <is>
          <t>K3-6C</t>
        </is>
      </c>
      <c r="D2239" s="32" t="n">
        <v>10.82</v>
      </c>
      <c r="E2239" s="32" t="n">
        <v>5.258</v>
      </c>
      <c r="F2239" s="32" t="n">
        <v>1259.093</v>
      </c>
      <c r="G2239" s="32" t="n">
        <v>53</v>
      </c>
      <c r="H2239" s="32" t="inlineStr">
        <is>
          <t>bb</t>
        </is>
      </c>
      <c r="K2239" s="32" t="inlineStr">
        <is>
          <t>20250514-59</t>
        </is>
      </c>
    </row>
    <row r="2241">
      <c r="A2241" s="32" t="inlineStr">
        <is>
          <t>Compound 44:  NaDONA 2</t>
        </is>
      </c>
    </row>
    <row r="2243">
      <c r="B2243" s="32" t="inlineStr">
        <is>
          <t>Sample Text</t>
        </is>
      </c>
      <c r="C2243" s="32" t="inlineStr">
        <is>
          <t>Std. Conc</t>
        </is>
      </c>
      <c r="D2243" s="32" t="inlineStr">
        <is>
          <t>RT</t>
        </is>
      </c>
      <c r="E2243" s="32" t="inlineStr">
        <is>
          <t>Area</t>
        </is>
      </c>
      <c r="F2243" s="32" t="inlineStr">
        <is>
          <t>IS Area</t>
        </is>
      </c>
      <c r="G2243" s="32" t="inlineStr">
        <is>
          <t>S/N</t>
        </is>
      </c>
      <c r="H2243" s="32" t="inlineStr">
        <is>
          <t>Primary Flags</t>
        </is>
      </c>
      <c r="I2243" s="32" t="inlineStr">
        <is>
          <t>Response</t>
        </is>
      </c>
      <c r="J2243" s="32" t="inlineStr">
        <is>
          <t>Conc.</t>
        </is>
      </c>
      <c r="K2243" s="32" t="inlineStr">
        <is>
          <t>Name</t>
        </is>
      </c>
    </row>
    <row r="2244">
      <c r="A2244" s="32" t="n">
        <v>1</v>
      </c>
      <c r="B2244" s="32" t="inlineStr">
        <is>
          <t>EPA1633 &amp; diPAPs Calibration 0 ppb</t>
        </is>
      </c>
      <c r="D2244" s="32" t="n">
        <v>10.71</v>
      </c>
      <c r="E2244" s="32" t="n">
        <v>82.265</v>
      </c>
      <c r="F2244" s="32" t="n">
        <v>2489.786</v>
      </c>
      <c r="G2244" s="32" t="n">
        <v>796</v>
      </c>
      <c r="H2244" s="32" t="inlineStr">
        <is>
          <t>MM</t>
        </is>
      </c>
      <c r="K2244" s="32" t="inlineStr">
        <is>
          <t>20250514-12</t>
        </is>
      </c>
    </row>
    <row r="2245">
      <c r="A2245" s="32" t="n">
        <v>2</v>
      </c>
      <c r="B2245" s="32" t="inlineStr">
        <is>
          <t>EPA1633 &amp; diPAPs Calibration 0.02 ppb</t>
        </is>
      </c>
      <c r="D2245" s="32" t="n">
        <v>10.77</v>
      </c>
      <c r="E2245" s="32" t="n">
        <v>392.413</v>
      </c>
      <c r="F2245" s="32" t="n">
        <v>2449.651</v>
      </c>
      <c r="G2245" s="32" t="n">
        <v>146.385</v>
      </c>
      <c r="H2245" s="32" t="inlineStr">
        <is>
          <t>MM</t>
        </is>
      </c>
      <c r="K2245" s="32" t="inlineStr">
        <is>
          <t>20250514-13</t>
        </is>
      </c>
    </row>
    <row r="2246">
      <c r="A2246" s="32" t="n">
        <v>3</v>
      </c>
      <c r="B2246" s="32" t="inlineStr">
        <is>
          <t>EPA1633 &amp; diPAPs Calibration 0.1 ppb</t>
        </is>
      </c>
      <c r="D2246" s="32" t="n">
        <v>10.79</v>
      </c>
      <c r="E2246" s="32" t="n">
        <v>546.741</v>
      </c>
      <c r="F2246" s="32" t="n">
        <v>2378.931</v>
      </c>
      <c r="G2246" s="32" t="n">
        <v>4636</v>
      </c>
      <c r="H2246" s="32" t="inlineStr">
        <is>
          <t>MM</t>
        </is>
      </c>
      <c r="K2246" s="32" t="inlineStr">
        <is>
          <t>20250514-14</t>
        </is>
      </c>
    </row>
    <row r="2247">
      <c r="A2247" s="32" t="n">
        <v>4</v>
      </c>
      <c r="B2247" s="32" t="inlineStr">
        <is>
          <t>EPA1633 &amp; diPAPs Calibration 0.4 ppb</t>
        </is>
      </c>
      <c r="D2247" s="32" t="n">
        <v>10.78</v>
      </c>
      <c r="E2247" s="32" t="n">
        <v>2077.8</v>
      </c>
      <c r="F2247" s="32" t="n">
        <v>2158.6</v>
      </c>
      <c r="G2247" s="32" t="n">
        <v>16600</v>
      </c>
      <c r="H2247" s="32" t="inlineStr">
        <is>
          <t>MM</t>
        </is>
      </c>
      <c r="K2247" s="32" t="inlineStr">
        <is>
          <t>20250514-15</t>
        </is>
      </c>
    </row>
    <row r="2248">
      <c r="A2248" s="32" t="n">
        <v>5</v>
      </c>
      <c r="B2248" s="32" t="inlineStr">
        <is>
          <t>EPA1633 &amp; diPAPs Calibration 1 ppb</t>
        </is>
      </c>
      <c r="D2248" s="32" t="n">
        <v>10.8</v>
      </c>
      <c r="E2248" s="32" t="n">
        <v>4095.09</v>
      </c>
      <c r="F2248" s="32" t="n">
        <v>2171.349</v>
      </c>
      <c r="G2248" s="32" t="n">
        <v>69.65000000000001</v>
      </c>
      <c r="H2248" s="32" t="inlineStr">
        <is>
          <t>MM</t>
        </is>
      </c>
      <c r="K2248" s="32" t="inlineStr">
        <is>
          <t>20250514-16</t>
        </is>
      </c>
    </row>
    <row r="2249">
      <c r="A2249" s="32" t="n">
        <v>6</v>
      </c>
      <c r="B2249" s="32" t="inlineStr">
        <is>
          <t>EPA1633 &amp; diPAPs Calibration 5 ppb</t>
        </is>
      </c>
      <c r="D2249" s="32" t="n">
        <v>10.66</v>
      </c>
      <c r="E2249" s="32" t="n">
        <v>19062.744</v>
      </c>
      <c r="F2249" s="32" t="n">
        <v>2121.173</v>
      </c>
      <c r="G2249" s="32" t="n">
        <v>152192</v>
      </c>
      <c r="H2249" s="32" t="inlineStr">
        <is>
          <t>MM</t>
        </is>
      </c>
      <c r="K2249" s="32" t="inlineStr">
        <is>
          <t>20250514-17</t>
        </is>
      </c>
    </row>
    <row r="2250">
      <c r="A2250" s="32" t="n">
        <v>7</v>
      </c>
      <c r="B2250" s="32" t="inlineStr">
        <is>
          <t>EPA1633 &amp; diPAPs Calibration 10 ppb</t>
        </is>
      </c>
      <c r="D2250" s="32" t="n">
        <v>10.71</v>
      </c>
      <c r="E2250" s="32" t="n">
        <v>37078.773</v>
      </c>
      <c r="F2250" s="32" t="n">
        <v>1632.291</v>
      </c>
      <c r="G2250" s="32" t="n">
        <v>1316.01</v>
      </c>
      <c r="H2250" s="32" t="inlineStr">
        <is>
          <t>MM</t>
        </is>
      </c>
      <c r="K2250" s="32" t="inlineStr">
        <is>
          <t>20250514-18</t>
        </is>
      </c>
    </row>
    <row r="2251">
      <c r="A2251" s="32" t="n">
        <v>8</v>
      </c>
      <c r="B2251" s="32" t="inlineStr">
        <is>
          <t>EPA1633 &amp; diPAPs Calibration 20 ppb</t>
        </is>
      </c>
      <c r="D2251" s="32" t="n">
        <v>10.75</v>
      </c>
      <c r="E2251" s="32" t="n">
        <v>81085.664</v>
      </c>
      <c r="F2251" s="32" t="n">
        <v>1888.116</v>
      </c>
      <c r="G2251" s="32" t="n">
        <v>72537.48</v>
      </c>
      <c r="H2251" s="32" t="inlineStr">
        <is>
          <t>MM</t>
        </is>
      </c>
      <c r="K2251" s="32" t="inlineStr">
        <is>
          <t>20250514-19</t>
        </is>
      </c>
    </row>
    <row r="2252">
      <c r="A2252" s="32" t="n">
        <v>9</v>
      </c>
      <c r="B2252" s="32" t="inlineStr">
        <is>
          <t>MeOH</t>
        </is>
      </c>
      <c r="K2252" s="32" t="inlineStr">
        <is>
          <t>20250514-20</t>
        </is>
      </c>
    </row>
    <row r="2253">
      <c r="A2253" s="32" t="n">
        <v>10</v>
      </c>
      <c r="B2253" s="32" t="inlineStr">
        <is>
          <t>MeOH</t>
        </is>
      </c>
      <c r="K2253" s="32" t="inlineStr">
        <is>
          <t>20250514-21</t>
        </is>
      </c>
    </row>
    <row r="2254">
      <c r="A2254" s="32" t="n">
        <v>11</v>
      </c>
      <c r="B2254" s="32" t="inlineStr">
        <is>
          <t>SB1</t>
        </is>
      </c>
      <c r="F2254" s="32" t="n">
        <v>747.436</v>
      </c>
      <c r="K2254" s="32" t="inlineStr">
        <is>
          <t>20250514-22</t>
        </is>
      </c>
    </row>
    <row r="2255">
      <c r="A2255" s="32" t="n">
        <v>12</v>
      </c>
      <c r="B2255" s="32" t="inlineStr">
        <is>
          <t>SB2</t>
        </is>
      </c>
      <c r="F2255" s="32" t="n">
        <v>888.825</v>
      </c>
      <c r="K2255" s="32" t="inlineStr">
        <is>
          <t>20250514-23</t>
        </is>
      </c>
    </row>
    <row r="2256">
      <c r="A2256" s="32" t="n">
        <v>13</v>
      </c>
      <c r="B2256" s="32" t="inlineStr">
        <is>
          <t>SB3</t>
        </is>
      </c>
      <c r="F2256" s="32" t="n">
        <v>658.669</v>
      </c>
      <c r="K2256" s="32" t="inlineStr">
        <is>
          <t>20250514-24</t>
        </is>
      </c>
    </row>
    <row r="2257">
      <c r="A2257" s="32" t="n">
        <v>14</v>
      </c>
      <c r="B2257" s="32" t="inlineStr">
        <is>
          <t>SS1</t>
        </is>
      </c>
      <c r="F2257" s="32" t="n">
        <v>633.539</v>
      </c>
      <c r="K2257" s="32" t="inlineStr">
        <is>
          <t>20250514-25</t>
        </is>
      </c>
    </row>
    <row r="2258">
      <c r="A2258" s="32" t="n">
        <v>15</v>
      </c>
      <c r="B2258" s="32" t="inlineStr">
        <is>
          <t>SS2</t>
        </is>
      </c>
      <c r="F2258" s="32" t="n">
        <v>795.245</v>
      </c>
      <c r="K2258" s="32" t="inlineStr">
        <is>
          <t>20250514-26</t>
        </is>
      </c>
    </row>
    <row r="2259">
      <c r="A2259" s="32" t="n">
        <v>16</v>
      </c>
      <c r="B2259" s="32" t="inlineStr">
        <is>
          <t>SS3</t>
        </is>
      </c>
      <c r="F2259" s="32" t="n">
        <v>533.917</v>
      </c>
      <c r="K2259" s="32" t="inlineStr">
        <is>
          <t>20250514-27</t>
        </is>
      </c>
    </row>
    <row r="2260">
      <c r="A2260" s="32" t="n">
        <v>17</v>
      </c>
      <c r="B2260" s="32" t="inlineStr">
        <is>
          <t>MeOH</t>
        </is>
      </c>
      <c r="K2260" s="32" t="inlineStr">
        <is>
          <t>20250514-28</t>
        </is>
      </c>
    </row>
    <row r="2261">
      <c r="A2261" s="32" t="n">
        <v>18</v>
      </c>
      <c r="B2261" s="32" t="inlineStr">
        <is>
          <t>K4-1A</t>
        </is>
      </c>
      <c r="F2261" s="32" t="n">
        <v>1064.917</v>
      </c>
      <c r="K2261" s="32" t="inlineStr">
        <is>
          <t>20250514-29</t>
        </is>
      </c>
    </row>
    <row r="2262">
      <c r="A2262" s="32" t="n">
        <v>19</v>
      </c>
      <c r="B2262" s="32" t="inlineStr">
        <is>
          <t>K4-1B</t>
        </is>
      </c>
      <c r="F2262" s="32" t="n">
        <v>1263.963</v>
      </c>
      <c r="K2262" s="32" t="inlineStr">
        <is>
          <t>20250514-30</t>
        </is>
      </c>
    </row>
    <row r="2263">
      <c r="A2263" s="32" t="n">
        <v>20</v>
      </c>
      <c r="B2263" s="32" t="inlineStr">
        <is>
          <t>K4-1C</t>
        </is>
      </c>
      <c r="F2263" s="32" t="n">
        <v>1240.47</v>
      </c>
      <c r="K2263" s="32" t="inlineStr">
        <is>
          <t>20250514-31</t>
        </is>
      </c>
    </row>
    <row r="2264">
      <c r="A2264" s="32" t="n">
        <v>21</v>
      </c>
      <c r="B2264" s="32" t="inlineStr">
        <is>
          <t>K4-2A</t>
        </is>
      </c>
      <c r="F2264" s="32" t="n">
        <v>1041.541</v>
      </c>
      <c r="K2264" s="32" t="inlineStr">
        <is>
          <t>20250514-32</t>
        </is>
      </c>
    </row>
    <row r="2265">
      <c r="A2265" s="32" t="n">
        <v>22</v>
      </c>
      <c r="B2265" s="32" t="inlineStr">
        <is>
          <t>K4-2B</t>
        </is>
      </c>
      <c r="F2265" s="32" t="n">
        <v>1437.42</v>
      </c>
      <c r="K2265" s="32" t="inlineStr">
        <is>
          <t>20250514-33</t>
        </is>
      </c>
    </row>
    <row r="2266">
      <c r="A2266" s="32" t="n">
        <v>23</v>
      </c>
      <c r="B2266" s="32" t="inlineStr">
        <is>
          <t>K4-2C</t>
        </is>
      </c>
      <c r="F2266" s="32" t="n">
        <v>703.508</v>
      </c>
      <c r="K2266" s="32" t="inlineStr">
        <is>
          <t>20250514-34</t>
        </is>
      </c>
    </row>
    <row r="2267">
      <c r="A2267" s="32" t="n">
        <v>24</v>
      </c>
      <c r="B2267" s="32" t="inlineStr">
        <is>
          <t>MeOH</t>
        </is>
      </c>
      <c r="K2267" s="32" t="inlineStr">
        <is>
          <t>20250514-35</t>
        </is>
      </c>
    </row>
    <row r="2268">
      <c r="A2268" s="32" t="n">
        <v>25</v>
      </c>
      <c r="B2268" s="32" t="inlineStr">
        <is>
          <t>K4-4A</t>
        </is>
      </c>
      <c r="F2268" s="32" t="n">
        <v>1022.507</v>
      </c>
      <c r="K2268" s="32" t="inlineStr">
        <is>
          <t>20250514-36</t>
        </is>
      </c>
    </row>
    <row r="2269">
      <c r="A2269" s="32" t="n">
        <v>26</v>
      </c>
      <c r="B2269" s="32" t="inlineStr">
        <is>
          <t>K4-4B</t>
        </is>
      </c>
      <c r="F2269" s="32" t="n">
        <v>560.49</v>
      </c>
      <c r="K2269" s="32" t="inlineStr">
        <is>
          <t>20250514-37</t>
        </is>
      </c>
    </row>
    <row r="2270">
      <c r="A2270" s="32" t="n">
        <v>27</v>
      </c>
      <c r="B2270" s="32" t="inlineStr">
        <is>
          <t>K4-4C</t>
        </is>
      </c>
      <c r="F2270" s="32" t="n">
        <v>760.7619999999999</v>
      </c>
      <c r="K2270" s="32" t="inlineStr">
        <is>
          <t>20250514-38</t>
        </is>
      </c>
    </row>
    <row r="2271">
      <c r="A2271" s="32" t="n">
        <v>28</v>
      </c>
      <c r="B2271" s="32" t="inlineStr">
        <is>
          <t>K4-5A</t>
        </is>
      </c>
      <c r="F2271" s="32" t="n">
        <v>534.744</v>
      </c>
      <c r="K2271" s="32" t="inlineStr">
        <is>
          <t>20250514-39</t>
        </is>
      </c>
    </row>
    <row r="2272">
      <c r="A2272" s="32" t="n">
        <v>29</v>
      </c>
      <c r="B2272" s="32" t="inlineStr">
        <is>
          <t>K4-5B</t>
        </is>
      </c>
      <c r="F2272" s="32" t="n">
        <v>1062.534</v>
      </c>
      <c r="K2272" s="32" t="inlineStr">
        <is>
          <t>20250514-40</t>
        </is>
      </c>
    </row>
    <row r="2273">
      <c r="A2273" s="32" t="n">
        <v>30</v>
      </c>
      <c r="B2273" s="32" t="inlineStr">
        <is>
          <t>K4-5C</t>
        </is>
      </c>
      <c r="F2273" s="32" t="n">
        <v>694.841</v>
      </c>
      <c r="K2273" s="32" t="inlineStr">
        <is>
          <t>20250514-41</t>
        </is>
      </c>
    </row>
    <row r="2274">
      <c r="A2274" s="32" t="n">
        <v>31</v>
      </c>
      <c r="B2274" s="32" t="inlineStr">
        <is>
          <t>MeOH</t>
        </is>
      </c>
      <c r="K2274" s="32" t="inlineStr">
        <is>
          <t>20250514-42</t>
        </is>
      </c>
    </row>
    <row r="2275">
      <c r="A2275" s="32" t="n">
        <v>32</v>
      </c>
      <c r="B2275" s="32" t="inlineStr">
        <is>
          <t>K3-1A</t>
        </is>
      </c>
      <c r="F2275" s="32" t="n">
        <v>1010.403</v>
      </c>
      <c r="K2275" s="32" t="inlineStr">
        <is>
          <t>20250514-43</t>
        </is>
      </c>
    </row>
    <row r="2276">
      <c r="A2276" s="32" t="n">
        <v>33</v>
      </c>
      <c r="B2276" s="32" t="inlineStr">
        <is>
          <t>K3-1B</t>
        </is>
      </c>
      <c r="F2276" s="32" t="n">
        <v>1033.297</v>
      </c>
      <c r="K2276" s="32" t="inlineStr">
        <is>
          <t>20250514-44</t>
        </is>
      </c>
    </row>
    <row r="2277">
      <c r="A2277" s="32" t="n">
        <v>34</v>
      </c>
      <c r="B2277" s="32" t="inlineStr">
        <is>
          <t>K3-1C</t>
        </is>
      </c>
      <c r="F2277" s="32" t="n">
        <v>1290.752</v>
      </c>
      <c r="K2277" s="32" t="inlineStr">
        <is>
          <t>20250514-45</t>
        </is>
      </c>
    </row>
    <row r="2278">
      <c r="A2278" s="32" t="n">
        <v>35</v>
      </c>
      <c r="B2278" s="32" t="inlineStr">
        <is>
          <t>K3-2A</t>
        </is>
      </c>
      <c r="F2278" s="32" t="n">
        <v>1098.129</v>
      </c>
      <c r="K2278" s="32" t="inlineStr">
        <is>
          <t>20250514-46</t>
        </is>
      </c>
    </row>
    <row r="2279">
      <c r="A2279" s="32" t="n">
        <v>36</v>
      </c>
      <c r="B2279" s="32" t="inlineStr">
        <is>
          <t>K3-2B</t>
        </is>
      </c>
      <c r="F2279" s="32" t="n">
        <v>1593.77</v>
      </c>
      <c r="K2279" s="32" t="inlineStr">
        <is>
          <t>20250514-47</t>
        </is>
      </c>
    </row>
    <row r="2280">
      <c r="A2280" s="32" t="n">
        <v>37</v>
      </c>
      <c r="B2280" s="32" t="inlineStr">
        <is>
          <t>K3-2C</t>
        </is>
      </c>
      <c r="F2280" s="32" t="n">
        <v>1067.692</v>
      </c>
      <c r="K2280" s="32" t="inlineStr">
        <is>
          <t>20250514-48</t>
        </is>
      </c>
    </row>
    <row r="2281">
      <c r="A2281" s="32" t="n">
        <v>38</v>
      </c>
      <c r="B2281" s="32" t="inlineStr">
        <is>
          <t>MeOH</t>
        </is>
      </c>
      <c r="K2281" s="32" t="inlineStr">
        <is>
          <t>20250514-49</t>
        </is>
      </c>
    </row>
    <row r="2282">
      <c r="A2282" s="32" t="n">
        <v>39</v>
      </c>
      <c r="B2282" s="32" t="inlineStr">
        <is>
          <t>K3-3A</t>
        </is>
      </c>
      <c r="F2282" s="32" t="n">
        <v>892.886</v>
      </c>
      <c r="K2282" s="32" t="inlineStr">
        <is>
          <t>20250514-50</t>
        </is>
      </c>
    </row>
    <row r="2283">
      <c r="A2283" s="32" t="n">
        <v>40</v>
      </c>
      <c r="B2283" s="32" t="inlineStr">
        <is>
          <t>K3-3B</t>
        </is>
      </c>
      <c r="F2283" s="32" t="n">
        <v>1753.089</v>
      </c>
      <c r="K2283" s="32" t="inlineStr">
        <is>
          <t>20250514-51</t>
        </is>
      </c>
    </row>
    <row r="2284">
      <c r="A2284" s="32" t="n">
        <v>41</v>
      </c>
      <c r="B2284" s="32" t="inlineStr">
        <is>
          <t>K3-3C</t>
        </is>
      </c>
      <c r="F2284" s="32" t="n">
        <v>1692.502</v>
      </c>
      <c r="K2284" s="32" t="inlineStr">
        <is>
          <t>20250514-52</t>
        </is>
      </c>
    </row>
    <row r="2285">
      <c r="A2285" s="32" t="n">
        <v>42</v>
      </c>
      <c r="B2285" s="32" t="inlineStr">
        <is>
          <t>K3-4A</t>
        </is>
      </c>
      <c r="F2285" s="32" t="n">
        <v>1319.701</v>
      </c>
      <c r="K2285" s="32" t="inlineStr">
        <is>
          <t>20250514-53</t>
        </is>
      </c>
    </row>
    <row r="2286">
      <c r="A2286" s="32" t="n">
        <v>43</v>
      </c>
      <c r="B2286" s="32" t="inlineStr">
        <is>
          <t>K3-4B</t>
        </is>
      </c>
      <c r="F2286" s="32" t="n">
        <v>1327.685</v>
      </c>
      <c r="K2286" s="32" t="inlineStr">
        <is>
          <t>20250514-54</t>
        </is>
      </c>
    </row>
    <row r="2287">
      <c r="A2287" s="32" t="n">
        <v>44</v>
      </c>
      <c r="B2287" s="32" t="inlineStr">
        <is>
          <t>K3-4C</t>
        </is>
      </c>
      <c r="F2287" s="32" t="n">
        <v>1089.646</v>
      </c>
      <c r="K2287" s="32" t="inlineStr">
        <is>
          <t>20250514-55</t>
        </is>
      </c>
    </row>
    <row r="2288">
      <c r="A2288" s="32" t="n">
        <v>45</v>
      </c>
      <c r="B2288" s="32" t="inlineStr">
        <is>
          <t>MeOH</t>
        </is>
      </c>
      <c r="K2288" s="32" t="inlineStr">
        <is>
          <t>20250514-56</t>
        </is>
      </c>
    </row>
    <row r="2289">
      <c r="A2289" s="32" t="n">
        <v>46</v>
      </c>
      <c r="B2289" s="32" t="inlineStr">
        <is>
          <t>K3-6A</t>
        </is>
      </c>
      <c r="F2289" s="32" t="n">
        <v>1155.322</v>
      </c>
      <c r="K2289" s="32" t="inlineStr">
        <is>
          <t>20250514-57</t>
        </is>
      </c>
    </row>
    <row r="2290">
      <c r="A2290" s="32" t="n">
        <v>47</v>
      </c>
      <c r="B2290" s="32" t="inlineStr">
        <is>
          <t>K3-6B</t>
        </is>
      </c>
      <c r="F2290" s="32" t="n">
        <v>1254.337</v>
      </c>
      <c r="K2290" s="32" t="inlineStr">
        <is>
          <t>20250514-58</t>
        </is>
      </c>
    </row>
    <row r="2291">
      <c r="A2291" s="32" t="n">
        <v>48</v>
      </c>
      <c r="B2291" s="32" t="inlineStr">
        <is>
          <t>K3-6C</t>
        </is>
      </c>
      <c r="F2291" s="32" t="n">
        <v>894.672</v>
      </c>
      <c r="K2291" s="32" t="inlineStr">
        <is>
          <t>20250514-59</t>
        </is>
      </c>
    </row>
    <row r="2293">
      <c r="A2293" s="32" t="inlineStr">
        <is>
          <t>Compound 45:  m2 6:2 FTCA 1</t>
        </is>
      </c>
    </row>
    <row r="2295">
      <c r="B2295" s="32" t="inlineStr">
        <is>
          <t>Sample Text</t>
        </is>
      </c>
      <c r="C2295" s="32" t="inlineStr">
        <is>
          <t>Std. Conc</t>
        </is>
      </c>
      <c r="D2295" s="32" t="inlineStr">
        <is>
          <t>RT</t>
        </is>
      </c>
      <c r="E2295" s="32" t="inlineStr">
        <is>
          <t>Area</t>
        </is>
      </c>
      <c r="F2295" s="32" t="inlineStr">
        <is>
          <t>IS Area</t>
        </is>
      </c>
      <c r="G2295" s="32" t="inlineStr">
        <is>
          <t>S/N</t>
        </is>
      </c>
      <c r="H2295" s="32" t="inlineStr">
        <is>
          <t>Primary Flags</t>
        </is>
      </c>
      <c r="I2295" s="32" t="inlineStr">
        <is>
          <t>Response</t>
        </is>
      </c>
      <c r="J2295" s="32" t="inlineStr">
        <is>
          <t>Conc.</t>
        </is>
      </c>
      <c r="K2295" s="32" t="inlineStr">
        <is>
          <t>Name</t>
        </is>
      </c>
    </row>
    <row r="2296">
      <c r="A2296" s="32" t="n">
        <v>1</v>
      </c>
      <c r="B2296" s="32" t="inlineStr">
        <is>
          <t>EPA1633 &amp; diPAPs Calibration 0 ppb</t>
        </is>
      </c>
      <c r="K2296" s="32" t="inlineStr">
        <is>
          <t>20250514-12</t>
        </is>
      </c>
    </row>
    <row r="2297">
      <c r="A2297" s="32" t="n">
        <v>2</v>
      </c>
      <c r="B2297" s="32" t="inlineStr">
        <is>
          <t>EPA1633 &amp; diPAPs Calibration 0.02 ppb</t>
        </is>
      </c>
      <c r="K2297" s="32" t="inlineStr">
        <is>
          <t>20250514-13</t>
        </is>
      </c>
    </row>
    <row r="2298">
      <c r="A2298" s="32" t="n">
        <v>3</v>
      </c>
      <c r="B2298" s="32" t="inlineStr">
        <is>
          <t>EPA1633 &amp; diPAPs Calibration 0.1 ppb</t>
        </is>
      </c>
      <c r="K2298" s="32" t="inlineStr">
        <is>
          <t>20250514-14</t>
        </is>
      </c>
    </row>
    <row r="2299">
      <c r="A2299" s="32" t="n">
        <v>4</v>
      </c>
      <c r="B2299" s="32" t="inlineStr">
        <is>
          <t>EPA1633 &amp; diPAPs Calibration 0.4 ppb</t>
        </is>
      </c>
      <c r="K2299" s="32" t="inlineStr">
        <is>
          <t>20250514-15</t>
        </is>
      </c>
    </row>
    <row r="2300">
      <c r="A2300" s="32" t="n">
        <v>5</v>
      </c>
      <c r="B2300" s="32" t="inlineStr">
        <is>
          <t>EPA1633 &amp; diPAPs Calibration 1 ppb</t>
        </is>
      </c>
      <c r="K2300" s="32" t="inlineStr">
        <is>
          <t>20250514-16</t>
        </is>
      </c>
    </row>
    <row r="2301">
      <c r="A2301" s="32" t="n">
        <v>6</v>
      </c>
      <c r="B2301" s="32" t="inlineStr">
        <is>
          <t>EPA1633 &amp; diPAPs Calibration 5 ppb</t>
        </is>
      </c>
      <c r="D2301" s="32" t="n">
        <v>11.61</v>
      </c>
      <c r="E2301" s="32" t="n">
        <v>0.535</v>
      </c>
      <c r="G2301" s="32" t="n">
        <v>5</v>
      </c>
      <c r="H2301" s="32" t="inlineStr">
        <is>
          <t>bb</t>
        </is>
      </c>
      <c r="I2301" s="32" t="n">
        <v>0.535</v>
      </c>
      <c r="K2301" s="32" t="inlineStr">
        <is>
          <t>20250514-17</t>
        </is>
      </c>
    </row>
    <row r="2302">
      <c r="A2302" s="32" t="n">
        <v>7</v>
      </c>
      <c r="B2302" s="32" t="inlineStr">
        <is>
          <t>EPA1633 &amp; diPAPs Calibration 10 ppb</t>
        </is>
      </c>
      <c r="K2302" s="32" t="inlineStr">
        <is>
          <t>20250514-18</t>
        </is>
      </c>
    </row>
    <row r="2303">
      <c r="A2303" s="32" t="n">
        <v>8</v>
      </c>
      <c r="B2303" s="32" t="inlineStr">
        <is>
          <t>EPA1633 &amp; diPAPs Calibration 20 ppb</t>
        </is>
      </c>
      <c r="K2303" s="32" t="inlineStr">
        <is>
          <t>20250514-19</t>
        </is>
      </c>
    </row>
    <row r="2304">
      <c r="A2304" s="32" t="n">
        <v>9</v>
      </c>
      <c r="B2304" s="32" t="inlineStr">
        <is>
          <t>MeOH</t>
        </is>
      </c>
      <c r="K2304" s="32" t="inlineStr">
        <is>
          <t>20250514-20</t>
        </is>
      </c>
    </row>
    <row r="2305">
      <c r="A2305" s="32" t="n">
        <v>10</v>
      </c>
      <c r="B2305" s="32" t="inlineStr">
        <is>
          <t>MeOH</t>
        </is>
      </c>
      <c r="K2305" s="32" t="inlineStr">
        <is>
          <t>20250514-21</t>
        </is>
      </c>
    </row>
    <row r="2306">
      <c r="A2306" s="32" t="n">
        <v>11</v>
      </c>
      <c r="B2306" s="32" t="inlineStr">
        <is>
          <t>SB1</t>
        </is>
      </c>
      <c r="K2306" s="32" t="inlineStr">
        <is>
          <t>20250514-22</t>
        </is>
      </c>
    </row>
    <row r="2307">
      <c r="A2307" s="32" t="n">
        <v>12</v>
      </c>
      <c r="B2307" s="32" t="inlineStr">
        <is>
          <t>SB2</t>
        </is>
      </c>
      <c r="K2307" s="32" t="inlineStr">
        <is>
          <t>20250514-23</t>
        </is>
      </c>
    </row>
    <row r="2308">
      <c r="A2308" s="32" t="n">
        <v>13</v>
      </c>
      <c r="B2308" s="32" t="inlineStr">
        <is>
          <t>SB3</t>
        </is>
      </c>
      <c r="K2308" s="32" t="inlineStr">
        <is>
          <t>20250514-24</t>
        </is>
      </c>
    </row>
    <row r="2309">
      <c r="A2309" s="32" t="n">
        <v>14</v>
      </c>
      <c r="B2309" s="32" t="inlineStr">
        <is>
          <t>SS1</t>
        </is>
      </c>
      <c r="K2309" s="32" t="inlineStr">
        <is>
          <t>20250514-25</t>
        </is>
      </c>
    </row>
    <row r="2310">
      <c r="A2310" s="32" t="n">
        <v>15</v>
      </c>
      <c r="B2310" s="32" t="inlineStr">
        <is>
          <t>SS2</t>
        </is>
      </c>
      <c r="K2310" s="32" t="inlineStr">
        <is>
          <t>20250514-26</t>
        </is>
      </c>
    </row>
    <row r="2311">
      <c r="A2311" s="32" t="n">
        <v>16</v>
      </c>
      <c r="B2311" s="32" t="inlineStr">
        <is>
          <t>SS3</t>
        </is>
      </c>
      <c r="K2311" s="32" t="inlineStr">
        <is>
          <t>20250514-27</t>
        </is>
      </c>
    </row>
    <row r="2312">
      <c r="A2312" s="32" t="n">
        <v>17</v>
      </c>
      <c r="B2312" s="32" t="inlineStr">
        <is>
          <t>MeOH</t>
        </is>
      </c>
      <c r="K2312" s="32" t="inlineStr">
        <is>
          <t>20250514-28</t>
        </is>
      </c>
    </row>
    <row r="2313">
      <c r="A2313" s="32" t="n">
        <v>18</v>
      </c>
      <c r="B2313" s="32" t="inlineStr">
        <is>
          <t>K4-1A</t>
        </is>
      </c>
      <c r="K2313" s="32" t="inlineStr">
        <is>
          <t>20250514-29</t>
        </is>
      </c>
    </row>
    <row r="2314">
      <c r="A2314" s="32" t="n">
        <v>19</v>
      </c>
      <c r="B2314" s="32" t="inlineStr">
        <is>
          <t>K4-1B</t>
        </is>
      </c>
      <c r="K2314" s="32" t="inlineStr">
        <is>
          <t>20250514-30</t>
        </is>
      </c>
    </row>
    <row r="2315">
      <c r="A2315" s="32" t="n">
        <v>20</v>
      </c>
      <c r="B2315" s="32" t="inlineStr">
        <is>
          <t>K4-1C</t>
        </is>
      </c>
      <c r="K2315" s="32" t="inlineStr">
        <is>
          <t>20250514-31</t>
        </is>
      </c>
    </row>
    <row r="2316">
      <c r="A2316" s="32" t="n">
        <v>21</v>
      </c>
      <c r="B2316" s="32" t="inlineStr">
        <is>
          <t>K4-2A</t>
        </is>
      </c>
      <c r="K2316" s="32" t="inlineStr">
        <is>
          <t>20250514-32</t>
        </is>
      </c>
    </row>
    <row r="2317">
      <c r="A2317" s="32" t="n">
        <v>22</v>
      </c>
      <c r="B2317" s="32" t="inlineStr">
        <is>
          <t>K4-2B</t>
        </is>
      </c>
      <c r="K2317" s="32" t="inlineStr">
        <is>
          <t>20250514-33</t>
        </is>
      </c>
    </row>
    <row r="2318">
      <c r="A2318" s="32" t="n">
        <v>23</v>
      </c>
      <c r="B2318" s="32" t="inlineStr">
        <is>
          <t>K4-2C</t>
        </is>
      </c>
      <c r="K2318" s="32" t="inlineStr">
        <is>
          <t>20250514-34</t>
        </is>
      </c>
    </row>
    <row r="2319">
      <c r="A2319" s="32" t="n">
        <v>24</v>
      </c>
      <c r="B2319" s="32" t="inlineStr">
        <is>
          <t>MeOH</t>
        </is>
      </c>
      <c r="K2319" s="32" t="inlineStr">
        <is>
          <t>20250514-35</t>
        </is>
      </c>
    </row>
    <row r="2320">
      <c r="A2320" s="32" t="n">
        <v>25</v>
      </c>
      <c r="B2320" s="32" t="inlineStr">
        <is>
          <t>K4-4A</t>
        </is>
      </c>
      <c r="K2320" s="32" t="inlineStr">
        <is>
          <t>20250514-36</t>
        </is>
      </c>
    </row>
    <row r="2321">
      <c r="A2321" s="32" t="n">
        <v>26</v>
      </c>
      <c r="B2321" s="32" t="inlineStr">
        <is>
          <t>K4-4B</t>
        </is>
      </c>
      <c r="K2321" s="32" t="inlineStr">
        <is>
          <t>20250514-37</t>
        </is>
      </c>
    </row>
    <row r="2322">
      <c r="A2322" s="32" t="n">
        <v>27</v>
      </c>
      <c r="B2322" s="32" t="inlineStr">
        <is>
          <t>K4-4C</t>
        </is>
      </c>
      <c r="D2322" s="32" t="n">
        <v>11.42</v>
      </c>
      <c r="E2322" s="32" t="n">
        <v>0.333</v>
      </c>
      <c r="G2322" s="32" t="n">
        <v>3</v>
      </c>
      <c r="H2322" s="32" t="inlineStr">
        <is>
          <t>bb</t>
        </is>
      </c>
      <c r="I2322" s="32" t="n">
        <v>0.333</v>
      </c>
      <c r="K2322" s="32" t="inlineStr">
        <is>
          <t>20250514-38</t>
        </is>
      </c>
    </row>
    <row r="2323">
      <c r="A2323" s="32" t="n">
        <v>28</v>
      </c>
      <c r="B2323" s="32" t="inlineStr">
        <is>
          <t>K4-5A</t>
        </is>
      </c>
      <c r="K2323" s="32" t="inlineStr">
        <is>
          <t>20250514-39</t>
        </is>
      </c>
    </row>
    <row r="2324">
      <c r="A2324" s="32" t="n">
        <v>29</v>
      </c>
      <c r="B2324" s="32" t="inlineStr">
        <is>
          <t>K4-5B</t>
        </is>
      </c>
      <c r="K2324" s="32" t="inlineStr">
        <is>
          <t>20250514-40</t>
        </is>
      </c>
    </row>
    <row r="2325">
      <c r="A2325" s="32" t="n">
        <v>30</v>
      </c>
      <c r="B2325" s="32" t="inlineStr">
        <is>
          <t>K4-5C</t>
        </is>
      </c>
      <c r="K2325" s="32" t="inlineStr">
        <is>
          <t>20250514-41</t>
        </is>
      </c>
    </row>
    <row r="2326">
      <c r="A2326" s="32" t="n">
        <v>31</v>
      </c>
      <c r="B2326" s="32" t="inlineStr">
        <is>
          <t>MeOH</t>
        </is>
      </c>
      <c r="K2326" s="32" t="inlineStr">
        <is>
          <t>20250514-42</t>
        </is>
      </c>
    </row>
    <row r="2327">
      <c r="A2327" s="32" t="n">
        <v>32</v>
      </c>
      <c r="B2327" s="32" t="inlineStr">
        <is>
          <t>K3-1A</t>
        </is>
      </c>
      <c r="K2327" s="32" t="inlineStr">
        <is>
          <t>20250514-43</t>
        </is>
      </c>
    </row>
    <row r="2328">
      <c r="A2328" s="32" t="n">
        <v>33</v>
      </c>
      <c r="B2328" s="32" t="inlineStr">
        <is>
          <t>K3-1B</t>
        </is>
      </c>
      <c r="K2328" s="32" t="inlineStr">
        <is>
          <t>20250514-44</t>
        </is>
      </c>
    </row>
    <row r="2329">
      <c r="A2329" s="32" t="n">
        <v>34</v>
      </c>
      <c r="B2329" s="32" t="inlineStr">
        <is>
          <t>K3-1C</t>
        </is>
      </c>
      <c r="K2329" s="32" t="inlineStr">
        <is>
          <t>20250514-45</t>
        </is>
      </c>
    </row>
    <row r="2330">
      <c r="A2330" s="32" t="n">
        <v>35</v>
      </c>
      <c r="B2330" s="32" t="inlineStr">
        <is>
          <t>K3-2A</t>
        </is>
      </c>
      <c r="K2330" s="32" t="inlineStr">
        <is>
          <t>20250514-46</t>
        </is>
      </c>
    </row>
    <row r="2331">
      <c r="A2331" s="32" t="n">
        <v>36</v>
      </c>
      <c r="B2331" s="32" t="inlineStr">
        <is>
          <t>K3-2B</t>
        </is>
      </c>
      <c r="K2331" s="32" t="inlineStr">
        <is>
          <t>20250514-47</t>
        </is>
      </c>
    </row>
    <row r="2332">
      <c r="A2332" s="32" t="n">
        <v>37</v>
      </c>
      <c r="B2332" s="32" t="inlineStr">
        <is>
          <t>K3-2C</t>
        </is>
      </c>
      <c r="K2332" s="32" t="inlineStr">
        <is>
          <t>20250514-48</t>
        </is>
      </c>
    </row>
    <row r="2333">
      <c r="A2333" s="32" t="n">
        <v>38</v>
      </c>
      <c r="B2333" s="32" t="inlineStr">
        <is>
          <t>MeOH</t>
        </is>
      </c>
      <c r="K2333" s="32" t="inlineStr">
        <is>
          <t>20250514-49</t>
        </is>
      </c>
    </row>
    <row r="2334">
      <c r="A2334" s="32" t="n">
        <v>39</v>
      </c>
      <c r="B2334" s="32" t="inlineStr">
        <is>
          <t>K3-3A</t>
        </is>
      </c>
      <c r="K2334" s="32" t="inlineStr">
        <is>
          <t>20250514-50</t>
        </is>
      </c>
    </row>
    <row r="2335">
      <c r="A2335" s="32" t="n">
        <v>40</v>
      </c>
      <c r="B2335" s="32" t="inlineStr">
        <is>
          <t>K3-3B</t>
        </is>
      </c>
      <c r="K2335" s="32" t="inlineStr">
        <is>
          <t>20250514-51</t>
        </is>
      </c>
    </row>
    <row r="2336">
      <c r="A2336" s="32" t="n">
        <v>41</v>
      </c>
      <c r="B2336" s="32" t="inlineStr">
        <is>
          <t>K3-3C</t>
        </is>
      </c>
      <c r="K2336" s="32" t="inlineStr">
        <is>
          <t>20250514-52</t>
        </is>
      </c>
    </row>
    <row r="2337">
      <c r="A2337" s="32" t="n">
        <v>42</v>
      </c>
      <c r="B2337" s="32" t="inlineStr">
        <is>
          <t>K3-4A</t>
        </is>
      </c>
      <c r="K2337" s="32" t="inlineStr">
        <is>
          <t>20250514-53</t>
        </is>
      </c>
    </row>
    <row r="2338">
      <c r="A2338" s="32" t="n">
        <v>43</v>
      </c>
      <c r="B2338" s="32" t="inlineStr">
        <is>
          <t>K3-4B</t>
        </is>
      </c>
      <c r="K2338" s="32" t="inlineStr">
        <is>
          <t>20250514-54</t>
        </is>
      </c>
    </row>
    <row r="2339">
      <c r="A2339" s="32" t="n">
        <v>44</v>
      </c>
      <c r="B2339" s="32" t="inlineStr">
        <is>
          <t>K3-4C</t>
        </is>
      </c>
      <c r="K2339" s="32" t="inlineStr">
        <is>
          <t>20250514-55</t>
        </is>
      </c>
    </row>
    <row r="2340">
      <c r="A2340" s="32" t="n">
        <v>45</v>
      </c>
      <c r="B2340" s="32" t="inlineStr">
        <is>
          <t>MeOH</t>
        </is>
      </c>
      <c r="K2340" s="32" t="inlineStr">
        <is>
          <t>20250514-56</t>
        </is>
      </c>
    </row>
    <row r="2341">
      <c r="A2341" s="32" t="n">
        <v>46</v>
      </c>
      <c r="B2341" s="32" t="inlineStr">
        <is>
          <t>K3-6A</t>
        </is>
      </c>
      <c r="K2341" s="32" t="inlineStr">
        <is>
          <t>20250514-57</t>
        </is>
      </c>
    </row>
    <row r="2342">
      <c r="A2342" s="32" t="n">
        <v>47</v>
      </c>
      <c r="B2342" s="32" t="inlineStr">
        <is>
          <t>K3-6B</t>
        </is>
      </c>
      <c r="K2342" s="32" t="inlineStr">
        <is>
          <t>20250514-58</t>
        </is>
      </c>
    </row>
    <row r="2343">
      <c r="A2343" s="32" t="n">
        <v>48</v>
      </c>
      <c r="B2343" s="32" t="inlineStr">
        <is>
          <t>K3-6C</t>
        </is>
      </c>
      <c r="K2343" s="32" t="inlineStr">
        <is>
          <t>20250514-59</t>
        </is>
      </c>
    </row>
    <row r="2345">
      <c r="A2345" s="32" t="inlineStr">
        <is>
          <t>Compound 46:  PFHxS 1</t>
        </is>
      </c>
    </row>
    <row r="2347">
      <c r="B2347" s="32" t="inlineStr">
        <is>
          <t>Sample Text</t>
        </is>
      </c>
      <c r="C2347" s="32" t="inlineStr">
        <is>
          <t>Std. Conc</t>
        </is>
      </c>
      <c r="D2347" s="32" t="inlineStr">
        <is>
          <t>RT</t>
        </is>
      </c>
      <c r="E2347" s="32" t="inlineStr">
        <is>
          <t>Area</t>
        </is>
      </c>
      <c r="F2347" s="32" t="inlineStr">
        <is>
          <t>IS Area</t>
        </is>
      </c>
      <c r="G2347" s="32" t="inlineStr">
        <is>
          <t>S/N</t>
        </is>
      </c>
      <c r="H2347" s="32" t="inlineStr">
        <is>
          <t>Primary Flags</t>
        </is>
      </c>
      <c r="I2347" s="32" t="inlineStr">
        <is>
          <t>Response</t>
        </is>
      </c>
      <c r="J2347" s="32" t="inlineStr">
        <is>
          <t>Conc.</t>
        </is>
      </c>
      <c r="K2347" s="32" t="inlineStr">
        <is>
          <t>Name</t>
        </is>
      </c>
    </row>
    <row r="2348">
      <c r="A2348" s="32" t="n">
        <v>1</v>
      </c>
      <c r="B2348" s="32" t="inlineStr">
        <is>
          <t>EPA1633 &amp; diPAPs Calibration 0 ppb</t>
        </is>
      </c>
      <c r="F2348" s="32" t="n">
        <v>1480.336</v>
      </c>
      <c r="K2348" s="32" t="inlineStr">
        <is>
          <t>20250514-12</t>
        </is>
      </c>
    </row>
    <row r="2349">
      <c r="A2349" s="32" t="n">
        <v>2</v>
      </c>
      <c r="B2349" s="32" t="inlineStr">
        <is>
          <t>EPA1633 &amp; diPAPs Calibration 0.02 ppb</t>
        </is>
      </c>
      <c r="D2349" s="32" t="n">
        <v>10.79</v>
      </c>
      <c r="E2349" s="32" t="n">
        <v>10.805</v>
      </c>
      <c r="F2349" s="32" t="n">
        <v>1118.817</v>
      </c>
      <c r="G2349" s="32" t="n">
        <v>3.413</v>
      </c>
      <c r="H2349" s="32" t="inlineStr">
        <is>
          <t>bb</t>
        </is>
      </c>
      <c r="K2349" s="32" t="inlineStr">
        <is>
          <t>20250514-13</t>
        </is>
      </c>
    </row>
    <row r="2350">
      <c r="A2350" s="32" t="n">
        <v>3</v>
      </c>
      <c r="B2350" s="32" t="inlineStr">
        <is>
          <t>EPA1633 &amp; diPAPs Calibration 0.1 ppb</t>
        </is>
      </c>
      <c r="F2350" s="32" t="n">
        <v>1446.88</v>
      </c>
      <c r="K2350" s="32" t="inlineStr">
        <is>
          <t>20250514-14</t>
        </is>
      </c>
    </row>
    <row r="2351">
      <c r="A2351" s="32" t="n">
        <v>4</v>
      </c>
      <c r="B2351" s="32" t="inlineStr">
        <is>
          <t>EPA1633 &amp; diPAPs Calibration 0.4 ppb</t>
        </is>
      </c>
      <c r="D2351" s="32" t="n">
        <v>10.77</v>
      </c>
      <c r="E2351" s="32" t="n">
        <v>44.754</v>
      </c>
      <c r="F2351" s="32" t="n">
        <v>1124.702</v>
      </c>
      <c r="G2351" s="32" t="n">
        <v>3.874</v>
      </c>
      <c r="H2351" s="32" t="inlineStr">
        <is>
          <t>bb</t>
        </is>
      </c>
      <c r="K2351" s="32" t="inlineStr">
        <is>
          <t>20250514-15</t>
        </is>
      </c>
    </row>
    <row r="2352">
      <c r="A2352" s="32" t="n">
        <v>5</v>
      </c>
      <c r="B2352" s="32" t="inlineStr">
        <is>
          <t>EPA1633 &amp; diPAPs Calibration 1 ppb</t>
        </is>
      </c>
      <c r="D2352" s="32" t="n">
        <v>10.78</v>
      </c>
      <c r="E2352" s="32" t="n">
        <v>254.433</v>
      </c>
      <c r="F2352" s="32" t="n">
        <v>1602.721</v>
      </c>
      <c r="G2352" s="32" t="n">
        <v>2283</v>
      </c>
      <c r="H2352" s="32" t="inlineStr">
        <is>
          <t>bb</t>
        </is>
      </c>
      <c r="K2352" s="32" t="inlineStr">
        <is>
          <t>20250514-16</t>
        </is>
      </c>
    </row>
    <row r="2353">
      <c r="A2353" s="32" t="n">
        <v>6</v>
      </c>
      <c r="B2353" s="32" t="inlineStr">
        <is>
          <t>EPA1633 &amp; diPAPs Calibration 5 ppb</t>
        </is>
      </c>
      <c r="D2353" s="32" t="n">
        <v>10.66</v>
      </c>
      <c r="E2353" s="32" t="n">
        <v>1105.536</v>
      </c>
      <c r="F2353" s="32" t="n">
        <v>1363.196</v>
      </c>
      <c r="G2353" s="32" t="n">
        <v>10.591</v>
      </c>
      <c r="H2353" s="32" t="inlineStr">
        <is>
          <t>bb</t>
        </is>
      </c>
      <c r="K2353" s="32" t="inlineStr">
        <is>
          <t>20250514-17</t>
        </is>
      </c>
    </row>
    <row r="2354">
      <c r="A2354" s="32" t="n">
        <v>7</v>
      </c>
      <c r="B2354" s="32" t="inlineStr">
        <is>
          <t>EPA1633 &amp; diPAPs Calibration 10 ppb</t>
        </is>
      </c>
      <c r="D2354" s="32" t="n">
        <v>10.71</v>
      </c>
      <c r="E2354" s="32" t="n">
        <v>2443.911</v>
      </c>
      <c r="F2354" s="32" t="n">
        <v>972.191</v>
      </c>
      <c r="G2354" s="32" t="n">
        <v>2132.788</v>
      </c>
      <c r="H2354" s="32" t="inlineStr">
        <is>
          <t>MM</t>
        </is>
      </c>
      <c r="K2354" s="32" t="inlineStr">
        <is>
          <t>20250514-18</t>
        </is>
      </c>
    </row>
    <row r="2355">
      <c r="A2355" s="32" t="n">
        <v>8</v>
      </c>
      <c r="B2355" s="32" t="inlineStr">
        <is>
          <t>EPA1633 &amp; diPAPs Calibration 20 ppb</t>
        </is>
      </c>
      <c r="D2355" s="32" t="n">
        <v>10.74</v>
      </c>
      <c r="E2355" s="32" t="n">
        <v>5448.152</v>
      </c>
      <c r="F2355" s="32" t="n">
        <v>963.742</v>
      </c>
      <c r="G2355" s="32" t="n">
        <v>231.678</v>
      </c>
      <c r="H2355" s="32" t="inlineStr">
        <is>
          <t>bb</t>
        </is>
      </c>
      <c r="K2355" s="32" t="inlineStr">
        <is>
          <t>20250514-19</t>
        </is>
      </c>
    </row>
    <row r="2356">
      <c r="A2356" s="32" t="n">
        <v>9</v>
      </c>
      <c r="B2356" s="32" t="inlineStr">
        <is>
          <t>MeOH</t>
        </is>
      </c>
      <c r="K2356" s="32" t="inlineStr">
        <is>
          <t>20250514-20</t>
        </is>
      </c>
    </row>
    <row r="2357">
      <c r="A2357" s="32" t="n">
        <v>10</v>
      </c>
      <c r="B2357" s="32" t="inlineStr">
        <is>
          <t>MeOH</t>
        </is>
      </c>
      <c r="K2357" s="32" t="inlineStr">
        <is>
          <t>20250514-21</t>
        </is>
      </c>
    </row>
    <row r="2358">
      <c r="A2358" s="32" t="n">
        <v>11</v>
      </c>
      <c r="B2358" s="32" t="inlineStr">
        <is>
          <t>SB1</t>
        </is>
      </c>
      <c r="D2358" s="32" t="n">
        <v>10.64</v>
      </c>
      <c r="E2358" s="32" t="n">
        <v>0.637</v>
      </c>
      <c r="F2358" s="32" t="n">
        <v>517.296</v>
      </c>
      <c r="G2358" s="32" t="n">
        <v>7</v>
      </c>
      <c r="H2358" s="32" t="inlineStr">
        <is>
          <t>bb</t>
        </is>
      </c>
      <c r="K2358" s="32" t="inlineStr">
        <is>
          <t>20250514-22</t>
        </is>
      </c>
    </row>
    <row r="2359">
      <c r="A2359" s="32" t="n">
        <v>12</v>
      </c>
      <c r="B2359" s="32" t="inlineStr">
        <is>
          <t>SB2</t>
        </is>
      </c>
      <c r="F2359" s="32" t="n">
        <v>658.292</v>
      </c>
      <c r="K2359" s="32" t="inlineStr">
        <is>
          <t>20250514-23</t>
        </is>
      </c>
    </row>
    <row r="2360">
      <c r="A2360" s="32" t="n">
        <v>13</v>
      </c>
      <c r="B2360" s="32" t="inlineStr">
        <is>
          <t>SB3</t>
        </is>
      </c>
      <c r="D2360" s="32" t="n">
        <v>10.76</v>
      </c>
      <c r="E2360" s="32" t="n">
        <v>1.829</v>
      </c>
      <c r="F2360" s="32" t="n">
        <v>554.321</v>
      </c>
      <c r="G2360" s="32" t="n">
        <v>20</v>
      </c>
      <c r="H2360" s="32" t="inlineStr">
        <is>
          <t>bb</t>
        </is>
      </c>
      <c r="K2360" s="32" t="inlineStr">
        <is>
          <t>20250514-24</t>
        </is>
      </c>
    </row>
    <row r="2361">
      <c r="A2361" s="32" t="n">
        <v>14</v>
      </c>
      <c r="B2361" s="32" t="inlineStr">
        <is>
          <t>SS1</t>
        </is>
      </c>
      <c r="D2361" s="32" t="n">
        <v>10.82</v>
      </c>
      <c r="E2361" s="32" t="n">
        <v>801.996</v>
      </c>
      <c r="F2361" s="32" t="n">
        <v>423.941</v>
      </c>
      <c r="G2361" s="32" t="n">
        <v>6615</v>
      </c>
      <c r="H2361" s="32" t="inlineStr">
        <is>
          <t>bb</t>
        </is>
      </c>
      <c r="K2361" s="32" t="inlineStr">
        <is>
          <t>20250514-25</t>
        </is>
      </c>
    </row>
    <row r="2362">
      <c r="A2362" s="32" t="n">
        <v>15</v>
      </c>
      <c r="B2362" s="32" t="inlineStr">
        <is>
          <t>SS2</t>
        </is>
      </c>
      <c r="D2362" s="32" t="n">
        <v>10.84</v>
      </c>
      <c r="E2362" s="32" t="n">
        <v>1114.078</v>
      </c>
      <c r="F2362" s="32" t="n">
        <v>665.876</v>
      </c>
      <c r="G2362" s="32" t="n">
        <v>46.73</v>
      </c>
      <c r="H2362" s="32" t="inlineStr">
        <is>
          <t>bb</t>
        </is>
      </c>
      <c r="K2362" s="32" t="inlineStr">
        <is>
          <t>20250514-26</t>
        </is>
      </c>
    </row>
    <row r="2363">
      <c r="A2363" s="32" t="n">
        <v>16</v>
      </c>
      <c r="B2363" s="32" t="inlineStr">
        <is>
          <t>SS3</t>
        </is>
      </c>
      <c r="D2363" s="32" t="n">
        <v>10.84</v>
      </c>
      <c r="E2363" s="32" t="n">
        <v>1220.243</v>
      </c>
      <c r="F2363" s="32" t="n">
        <v>514.421</v>
      </c>
      <c r="G2363" s="32" t="n">
        <v>71.35899999999999</v>
      </c>
      <c r="H2363" s="32" t="inlineStr">
        <is>
          <t>bb</t>
        </is>
      </c>
      <c r="K2363" s="32" t="inlineStr">
        <is>
          <t>20250514-27</t>
        </is>
      </c>
    </row>
    <row r="2364">
      <c r="A2364" s="32" t="n">
        <v>17</v>
      </c>
      <c r="B2364" s="32" t="inlineStr">
        <is>
          <t>MeOH</t>
        </is>
      </c>
      <c r="K2364" s="32" t="inlineStr">
        <is>
          <t>20250514-28</t>
        </is>
      </c>
    </row>
    <row r="2365">
      <c r="A2365" s="32" t="n">
        <v>18</v>
      </c>
      <c r="B2365" s="32" t="inlineStr">
        <is>
          <t>K4-1A</t>
        </is>
      </c>
      <c r="F2365" s="32" t="n">
        <v>562.856</v>
      </c>
      <c r="K2365" s="32" t="inlineStr">
        <is>
          <t>20250514-29</t>
        </is>
      </c>
    </row>
    <row r="2366">
      <c r="A2366" s="32" t="n">
        <v>19</v>
      </c>
      <c r="B2366" s="32" t="inlineStr">
        <is>
          <t>K4-1B</t>
        </is>
      </c>
      <c r="D2366" s="32" t="n">
        <v>10.8</v>
      </c>
      <c r="E2366" s="32" t="n">
        <v>2.49</v>
      </c>
      <c r="F2366" s="32" t="n">
        <v>709.3200000000001</v>
      </c>
      <c r="G2366" s="32" t="n">
        <v>26</v>
      </c>
      <c r="H2366" s="32" t="inlineStr">
        <is>
          <t>bb</t>
        </is>
      </c>
      <c r="K2366" s="32" t="inlineStr">
        <is>
          <t>20250514-30</t>
        </is>
      </c>
    </row>
    <row r="2367">
      <c r="A2367" s="32" t="n">
        <v>20</v>
      </c>
      <c r="B2367" s="32" t="inlineStr">
        <is>
          <t>K4-1C</t>
        </is>
      </c>
      <c r="F2367" s="32" t="n">
        <v>545.8630000000001</v>
      </c>
      <c r="K2367" s="32" t="inlineStr">
        <is>
          <t>20250514-31</t>
        </is>
      </c>
    </row>
    <row r="2368">
      <c r="A2368" s="32" t="n">
        <v>21</v>
      </c>
      <c r="B2368" s="32" t="inlineStr">
        <is>
          <t>K4-2A</t>
        </is>
      </c>
      <c r="D2368" s="32" t="n">
        <v>10.86</v>
      </c>
      <c r="E2368" s="32" t="n">
        <v>13.287</v>
      </c>
      <c r="F2368" s="32" t="n">
        <v>889.295</v>
      </c>
      <c r="G2368" s="32" t="n">
        <v>129</v>
      </c>
      <c r="H2368" s="32" t="inlineStr">
        <is>
          <t>bb</t>
        </is>
      </c>
      <c r="K2368" s="32" t="inlineStr">
        <is>
          <t>20250514-32</t>
        </is>
      </c>
    </row>
    <row r="2369">
      <c r="A2369" s="32" t="n">
        <v>22</v>
      </c>
      <c r="B2369" s="32" t="inlineStr">
        <is>
          <t>K4-2B</t>
        </is>
      </c>
      <c r="F2369" s="32" t="n">
        <v>819.534</v>
      </c>
      <c r="K2369" s="32" t="inlineStr">
        <is>
          <t>20250514-33</t>
        </is>
      </c>
    </row>
    <row r="2370">
      <c r="A2370" s="32" t="n">
        <v>23</v>
      </c>
      <c r="B2370" s="32" t="inlineStr">
        <is>
          <t>K4-2C</t>
        </is>
      </c>
      <c r="F2370" s="32" t="n">
        <v>609.211</v>
      </c>
      <c r="K2370" s="32" t="inlineStr">
        <is>
          <t>20250514-34</t>
        </is>
      </c>
    </row>
    <row r="2371">
      <c r="A2371" s="32" t="n">
        <v>24</v>
      </c>
      <c r="B2371" s="32" t="inlineStr">
        <is>
          <t>MeOH</t>
        </is>
      </c>
      <c r="K2371" s="32" t="inlineStr">
        <is>
          <t>20250514-35</t>
        </is>
      </c>
    </row>
    <row r="2372">
      <c r="A2372" s="32" t="n">
        <v>25</v>
      </c>
      <c r="B2372" s="32" t="inlineStr">
        <is>
          <t>K4-4A</t>
        </is>
      </c>
      <c r="F2372" s="32" t="n">
        <v>836.772</v>
      </c>
      <c r="K2372" s="32" t="inlineStr">
        <is>
          <t>20250514-36</t>
        </is>
      </c>
    </row>
    <row r="2373">
      <c r="A2373" s="32" t="n">
        <v>26</v>
      </c>
      <c r="B2373" s="32" t="inlineStr">
        <is>
          <t>K4-4B</t>
        </is>
      </c>
      <c r="F2373" s="32" t="n">
        <v>461.157</v>
      </c>
      <c r="K2373" s="32" t="inlineStr">
        <is>
          <t>20250514-37</t>
        </is>
      </c>
    </row>
    <row r="2374">
      <c r="A2374" s="32" t="n">
        <v>27</v>
      </c>
      <c r="B2374" s="32" t="inlineStr">
        <is>
          <t>K4-4C</t>
        </is>
      </c>
      <c r="D2374" s="32" t="n">
        <v>9.85</v>
      </c>
      <c r="E2374" s="32" t="n">
        <v>0.258</v>
      </c>
      <c r="F2374" s="32" t="n">
        <v>666.644</v>
      </c>
      <c r="G2374" s="32" t="n">
        <v>3</v>
      </c>
      <c r="H2374" s="32" t="inlineStr">
        <is>
          <t>MM</t>
        </is>
      </c>
      <c r="K2374" s="32" t="inlineStr">
        <is>
          <t>20250514-38</t>
        </is>
      </c>
    </row>
    <row r="2375">
      <c r="A2375" s="32" t="n">
        <v>28</v>
      </c>
      <c r="B2375" s="32" t="inlineStr">
        <is>
          <t>K4-5A</t>
        </is>
      </c>
      <c r="F2375" s="32" t="n">
        <v>578.409</v>
      </c>
      <c r="K2375" s="32" t="inlineStr">
        <is>
          <t>20250514-39</t>
        </is>
      </c>
    </row>
    <row r="2376">
      <c r="A2376" s="32" t="n">
        <v>29</v>
      </c>
      <c r="B2376" s="32" t="inlineStr">
        <is>
          <t>K4-5B</t>
        </is>
      </c>
      <c r="F2376" s="32" t="n">
        <v>575.86</v>
      </c>
      <c r="K2376" s="32" t="inlineStr">
        <is>
          <t>20250514-40</t>
        </is>
      </c>
    </row>
    <row r="2377">
      <c r="A2377" s="32" t="n">
        <v>30</v>
      </c>
      <c r="B2377" s="32" t="inlineStr">
        <is>
          <t>K4-5C</t>
        </is>
      </c>
      <c r="D2377" s="32" t="n">
        <v>10.69</v>
      </c>
      <c r="E2377" s="32" t="n">
        <v>5.518</v>
      </c>
      <c r="F2377" s="32" t="n">
        <v>648.184</v>
      </c>
      <c r="G2377" s="32" t="n">
        <v>62</v>
      </c>
      <c r="H2377" s="32" t="inlineStr">
        <is>
          <t>bb</t>
        </is>
      </c>
      <c r="K2377" s="32" t="inlineStr">
        <is>
          <t>20250514-41</t>
        </is>
      </c>
    </row>
    <row r="2378">
      <c r="A2378" s="32" t="n">
        <v>31</v>
      </c>
      <c r="B2378" s="32" t="inlineStr">
        <is>
          <t>MeOH</t>
        </is>
      </c>
      <c r="K2378" s="32" t="inlineStr">
        <is>
          <t>20250514-42</t>
        </is>
      </c>
    </row>
    <row r="2379">
      <c r="A2379" s="32" t="n">
        <v>32</v>
      </c>
      <c r="B2379" s="32" t="inlineStr">
        <is>
          <t>K3-1A</t>
        </is>
      </c>
      <c r="F2379" s="32" t="n">
        <v>704.658</v>
      </c>
      <c r="K2379" s="32" t="inlineStr">
        <is>
          <t>20250514-43</t>
        </is>
      </c>
    </row>
    <row r="2380">
      <c r="A2380" s="32" t="n">
        <v>33</v>
      </c>
      <c r="B2380" s="32" t="inlineStr">
        <is>
          <t>K3-1B</t>
        </is>
      </c>
      <c r="F2380" s="32" t="n">
        <v>589.025</v>
      </c>
      <c r="K2380" s="32" t="inlineStr">
        <is>
          <t>20250514-44</t>
        </is>
      </c>
    </row>
    <row r="2381">
      <c r="A2381" s="32" t="n">
        <v>34</v>
      </c>
      <c r="B2381" s="32" t="inlineStr">
        <is>
          <t>K3-1C</t>
        </is>
      </c>
      <c r="D2381" s="32" t="n">
        <v>10.76</v>
      </c>
      <c r="E2381" s="32" t="n">
        <v>10.695</v>
      </c>
      <c r="F2381" s="32" t="n">
        <v>902.054</v>
      </c>
      <c r="G2381" s="32" t="n">
        <v>117</v>
      </c>
      <c r="H2381" s="32" t="inlineStr">
        <is>
          <t>bb</t>
        </is>
      </c>
      <c r="K2381" s="32" t="inlineStr">
        <is>
          <t>20250514-45</t>
        </is>
      </c>
    </row>
    <row r="2382">
      <c r="A2382" s="32" t="n">
        <v>35</v>
      </c>
      <c r="B2382" s="32" t="inlineStr">
        <is>
          <t>K3-2A</t>
        </is>
      </c>
      <c r="F2382" s="32" t="n">
        <v>786.168</v>
      </c>
      <c r="K2382" s="32" t="inlineStr">
        <is>
          <t>20250514-46</t>
        </is>
      </c>
    </row>
    <row r="2383">
      <c r="A2383" s="32" t="n">
        <v>36</v>
      </c>
      <c r="B2383" s="32" t="inlineStr">
        <is>
          <t>K3-2B</t>
        </is>
      </c>
      <c r="F2383" s="32" t="n">
        <v>847.954</v>
      </c>
      <c r="K2383" s="32" t="inlineStr">
        <is>
          <t>20250514-47</t>
        </is>
      </c>
    </row>
    <row r="2384">
      <c r="A2384" s="32" t="n">
        <v>37</v>
      </c>
      <c r="B2384" s="32" t="inlineStr">
        <is>
          <t>K3-2C</t>
        </is>
      </c>
      <c r="F2384" s="32" t="n">
        <v>549.966</v>
      </c>
      <c r="K2384" s="32" t="inlineStr">
        <is>
          <t>20250514-48</t>
        </is>
      </c>
    </row>
    <row r="2385">
      <c r="A2385" s="32" t="n">
        <v>38</v>
      </c>
      <c r="B2385" s="32" t="inlineStr">
        <is>
          <t>MeOH</t>
        </is>
      </c>
      <c r="K2385" s="32" t="inlineStr">
        <is>
          <t>20250514-49</t>
        </is>
      </c>
    </row>
    <row r="2386">
      <c r="A2386" s="32" t="n">
        <v>39</v>
      </c>
      <c r="B2386" s="32" t="inlineStr">
        <is>
          <t>K3-3A</t>
        </is>
      </c>
      <c r="F2386" s="32" t="n">
        <v>896.226</v>
      </c>
      <c r="K2386" s="32" t="inlineStr">
        <is>
          <t>20250514-50</t>
        </is>
      </c>
    </row>
    <row r="2387">
      <c r="A2387" s="32" t="n">
        <v>40</v>
      </c>
      <c r="B2387" s="32" t="inlineStr">
        <is>
          <t>K3-3B</t>
        </is>
      </c>
      <c r="F2387" s="32" t="n">
        <v>1005.7</v>
      </c>
      <c r="K2387" s="32" t="inlineStr">
        <is>
          <t>20250514-51</t>
        </is>
      </c>
    </row>
    <row r="2388">
      <c r="A2388" s="32" t="n">
        <v>41</v>
      </c>
      <c r="B2388" s="32" t="inlineStr">
        <is>
          <t>K3-3C</t>
        </is>
      </c>
      <c r="F2388" s="32" t="n">
        <v>1040.161</v>
      </c>
      <c r="K2388" s="32" t="inlineStr">
        <is>
          <t>20250514-52</t>
        </is>
      </c>
    </row>
    <row r="2389">
      <c r="A2389" s="32" t="n">
        <v>42</v>
      </c>
      <c r="B2389" s="32" t="inlineStr">
        <is>
          <t>K3-4A</t>
        </is>
      </c>
      <c r="F2389" s="32" t="n">
        <v>1196.547</v>
      </c>
      <c r="K2389" s="32" t="inlineStr">
        <is>
          <t>20250514-53</t>
        </is>
      </c>
    </row>
    <row r="2390">
      <c r="A2390" s="32" t="n">
        <v>43</v>
      </c>
      <c r="B2390" s="32" t="inlineStr">
        <is>
          <t>K3-4B</t>
        </is>
      </c>
      <c r="F2390" s="32" t="n">
        <v>1065.462</v>
      </c>
      <c r="K2390" s="32" t="inlineStr">
        <is>
          <t>20250514-54</t>
        </is>
      </c>
    </row>
    <row r="2391">
      <c r="A2391" s="32" t="n">
        <v>44</v>
      </c>
      <c r="B2391" s="32" t="inlineStr">
        <is>
          <t>K3-4C</t>
        </is>
      </c>
      <c r="F2391" s="32" t="n">
        <v>841.401</v>
      </c>
      <c r="K2391" s="32" t="inlineStr">
        <is>
          <t>20250514-55</t>
        </is>
      </c>
    </row>
    <row r="2392">
      <c r="A2392" s="32" t="n">
        <v>45</v>
      </c>
      <c r="B2392" s="32" t="inlineStr">
        <is>
          <t>MeOH</t>
        </is>
      </c>
      <c r="D2392" s="32" t="n">
        <v>10.81</v>
      </c>
      <c r="E2392" s="32" t="n">
        <v>0.753</v>
      </c>
      <c r="G2392" s="32" t="n">
        <v>8</v>
      </c>
      <c r="H2392" s="32" t="inlineStr">
        <is>
          <t>bb</t>
        </is>
      </c>
      <c r="K2392" s="32" t="inlineStr">
        <is>
          <t>20250514-56</t>
        </is>
      </c>
    </row>
    <row r="2393">
      <c r="A2393" s="32" t="n">
        <v>46</v>
      </c>
      <c r="B2393" s="32" t="inlineStr">
        <is>
          <t>K3-6A</t>
        </is>
      </c>
      <c r="F2393" s="32" t="n">
        <v>1044.224</v>
      </c>
      <c r="K2393" s="32" t="inlineStr">
        <is>
          <t>20250514-57</t>
        </is>
      </c>
    </row>
    <row r="2394">
      <c r="A2394" s="32" t="n">
        <v>47</v>
      </c>
      <c r="B2394" s="32" t="inlineStr">
        <is>
          <t>K3-6B</t>
        </is>
      </c>
      <c r="F2394" s="32" t="n">
        <v>517.776</v>
      </c>
      <c r="K2394" s="32" t="inlineStr">
        <is>
          <t>20250514-58</t>
        </is>
      </c>
    </row>
    <row r="2395">
      <c r="A2395" s="32" t="n">
        <v>48</v>
      </c>
      <c r="B2395" s="32" t="inlineStr">
        <is>
          <t>K3-6C</t>
        </is>
      </c>
      <c r="D2395" s="32" t="n">
        <v>10.84</v>
      </c>
      <c r="E2395" s="32" t="n">
        <v>14.124</v>
      </c>
      <c r="F2395" s="32" t="n">
        <v>709.654</v>
      </c>
      <c r="G2395" s="32" t="n">
        <v>142</v>
      </c>
      <c r="H2395" s="32" t="inlineStr">
        <is>
          <t>bb</t>
        </is>
      </c>
      <c r="K2395" s="32" t="inlineStr">
        <is>
          <t>20250514-59</t>
        </is>
      </c>
    </row>
    <row r="2397">
      <c r="A2397" s="32" t="inlineStr">
        <is>
          <t>Compound 47:  PFHxS 2</t>
        </is>
      </c>
    </row>
    <row r="2399">
      <c r="B2399" s="32" t="inlineStr">
        <is>
          <t>Sample Text</t>
        </is>
      </c>
      <c r="C2399" s="32" t="inlineStr">
        <is>
          <t>Std. Conc</t>
        </is>
      </c>
      <c r="D2399" s="32" t="inlineStr">
        <is>
          <t>RT</t>
        </is>
      </c>
      <c r="E2399" s="32" t="inlineStr">
        <is>
          <t>Area</t>
        </is>
      </c>
      <c r="F2399" s="32" t="inlineStr">
        <is>
          <t>IS Area</t>
        </is>
      </c>
      <c r="G2399" s="32" t="inlineStr">
        <is>
          <t>S/N</t>
        </is>
      </c>
      <c r="H2399" s="32" t="inlineStr">
        <is>
          <t>Primary Flags</t>
        </is>
      </c>
      <c r="I2399" s="32" t="inlineStr">
        <is>
          <t>Response</t>
        </is>
      </c>
      <c r="J2399" s="32" t="inlineStr">
        <is>
          <t>Conc.</t>
        </is>
      </c>
      <c r="K2399" s="32" t="inlineStr">
        <is>
          <t>Name</t>
        </is>
      </c>
    </row>
    <row r="2400">
      <c r="A2400" s="32" t="n">
        <v>1</v>
      </c>
      <c r="B2400" s="32" t="inlineStr">
        <is>
          <t>EPA1633 &amp; diPAPs Calibration 0 ppb</t>
        </is>
      </c>
      <c r="F2400" s="32" t="n">
        <v>1480.336</v>
      </c>
      <c r="K2400" s="32" t="inlineStr">
        <is>
          <t>20250514-12</t>
        </is>
      </c>
    </row>
    <row r="2401">
      <c r="A2401" s="32" t="n">
        <v>2</v>
      </c>
      <c r="B2401" s="32" t="inlineStr">
        <is>
          <t>EPA1633 &amp; diPAPs Calibration 0.02 ppb</t>
        </is>
      </c>
      <c r="D2401" s="32" t="n">
        <v>10.92</v>
      </c>
      <c r="E2401" s="32" t="n">
        <v>22.788</v>
      </c>
      <c r="F2401" s="32" t="n">
        <v>1118.817</v>
      </c>
      <c r="G2401" s="32" t="n">
        <v>223</v>
      </c>
      <c r="H2401" s="32" t="inlineStr">
        <is>
          <t>MM</t>
        </is>
      </c>
      <c r="K2401" s="32" t="inlineStr">
        <is>
          <t>20250514-13</t>
        </is>
      </c>
    </row>
    <row r="2402">
      <c r="A2402" s="32" t="n">
        <v>3</v>
      </c>
      <c r="B2402" s="32" t="inlineStr">
        <is>
          <t>EPA1633 &amp; diPAPs Calibration 0.1 ppb</t>
        </is>
      </c>
      <c r="D2402" s="32" t="n">
        <v>10.74</v>
      </c>
      <c r="E2402" s="32" t="n">
        <v>24.68</v>
      </c>
      <c r="F2402" s="32" t="n">
        <v>1446.88</v>
      </c>
      <c r="G2402" s="32" t="n">
        <v>266</v>
      </c>
      <c r="H2402" s="32" t="inlineStr">
        <is>
          <t>MM</t>
        </is>
      </c>
      <c r="K2402" s="32" t="inlineStr">
        <is>
          <t>20250514-14</t>
        </is>
      </c>
    </row>
    <row r="2403">
      <c r="A2403" s="32" t="n">
        <v>4</v>
      </c>
      <c r="B2403" s="32" t="inlineStr">
        <is>
          <t>EPA1633 &amp; diPAPs Calibration 0.4 ppb</t>
        </is>
      </c>
      <c r="D2403" s="32" t="n">
        <v>10.78</v>
      </c>
      <c r="E2403" s="32" t="n">
        <v>145.214</v>
      </c>
      <c r="F2403" s="32" t="n">
        <v>1124.702</v>
      </c>
      <c r="G2403" s="32" t="n">
        <v>962</v>
      </c>
      <c r="H2403" s="32" t="inlineStr">
        <is>
          <t>bb</t>
        </is>
      </c>
      <c r="K2403" s="32" t="inlineStr">
        <is>
          <t>20250514-15</t>
        </is>
      </c>
    </row>
    <row r="2404">
      <c r="A2404" s="32" t="n">
        <v>5</v>
      </c>
      <c r="B2404" s="32" t="inlineStr">
        <is>
          <t>EPA1633 &amp; diPAPs Calibration 1 ppb</t>
        </is>
      </c>
      <c r="D2404" s="32" t="n">
        <v>10.77</v>
      </c>
      <c r="E2404" s="32" t="n">
        <v>71.42400000000001</v>
      </c>
      <c r="F2404" s="32" t="n">
        <v>1602.721</v>
      </c>
      <c r="G2404" s="32" t="n">
        <v>556</v>
      </c>
      <c r="H2404" s="32" t="inlineStr">
        <is>
          <t>bb</t>
        </is>
      </c>
      <c r="K2404" s="32" t="inlineStr">
        <is>
          <t>20250514-16</t>
        </is>
      </c>
    </row>
    <row r="2405">
      <c r="A2405" s="32" t="n">
        <v>6</v>
      </c>
      <c r="B2405" s="32" t="inlineStr">
        <is>
          <t>EPA1633 &amp; diPAPs Calibration 5 ppb</t>
        </is>
      </c>
      <c r="D2405" s="32" t="n">
        <v>10.66</v>
      </c>
      <c r="E2405" s="32" t="n">
        <v>1255.432</v>
      </c>
      <c r="F2405" s="32" t="n">
        <v>1363.196</v>
      </c>
      <c r="G2405" s="32" t="n">
        <v>9422</v>
      </c>
      <c r="H2405" s="32" t="inlineStr">
        <is>
          <t>bb</t>
        </is>
      </c>
      <c r="K2405" s="32" t="inlineStr">
        <is>
          <t>20250514-17</t>
        </is>
      </c>
    </row>
    <row r="2406">
      <c r="A2406" s="32" t="n">
        <v>7</v>
      </c>
      <c r="B2406" s="32" t="inlineStr">
        <is>
          <t>EPA1633 &amp; diPAPs Calibration 10 ppb</t>
        </is>
      </c>
      <c r="D2406" s="32" t="n">
        <v>10.7</v>
      </c>
      <c r="E2406" s="32" t="n">
        <v>2104.156</v>
      </c>
      <c r="F2406" s="32" t="n">
        <v>972.191</v>
      </c>
      <c r="G2406" s="32" t="n">
        <v>117.842</v>
      </c>
      <c r="H2406" s="32" t="inlineStr">
        <is>
          <t>MM</t>
        </is>
      </c>
      <c r="K2406" s="32" t="inlineStr">
        <is>
          <t>20250514-18</t>
        </is>
      </c>
    </row>
    <row r="2407">
      <c r="A2407" s="32" t="n">
        <v>8</v>
      </c>
      <c r="B2407" s="32" t="inlineStr">
        <is>
          <t>EPA1633 &amp; diPAPs Calibration 20 ppb</t>
        </is>
      </c>
      <c r="D2407" s="32" t="n">
        <v>10.74</v>
      </c>
      <c r="E2407" s="32" t="n">
        <v>5194.731</v>
      </c>
      <c r="F2407" s="32" t="n">
        <v>963.742</v>
      </c>
      <c r="G2407" s="32" t="n">
        <v>92.54600000000001</v>
      </c>
      <c r="H2407" s="32" t="inlineStr">
        <is>
          <t>MM</t>
        </is>
      </c>
      <c r="K2407" s="32" t="inlineStr">
        <is>
          <t>20250514-19</t>
        </is>
      </c>
    </row>
    <row r="2408">
      <c r="A2408" s="32" t="n">
        <v>9</v>
      </c>
      <c r="B2408" s="32" t="inlineStr">
        <is>
          <t>MeOH</t>
        </is>
      </c>
      <c r="D2408" s="32" t="n">
        <v>10.92</v>
      </c>
      <c r="E2408" s="32" t="n">
        <v>0.9370000000000001</v>
      </c>
      <c r="G2408" s="32" t="n">
        <v>9</v>
      </c>
      <c r="H2408" s="32" t="inlineStr">
        <is>
          <t>bb</t>
        </is>
      </c>
      <c r="K2408" s="32" t="inlineStr">
        <is>
          <t>20250514-20</t>
        </is>
      </c>
    </row>
    <row r="2409">
      <c r="A2409" s="32" t="n">
        <v>10</v>
      </c>
      <c r="B2409" s="32" t="inlineStr">
        <is>
          <t>MeOH</t>
        </is>
      </c>
      <c r="D2409" s="32" t="n">
        <v>10.82</v>
      </c>
      <c r="E2409" s="32" t="n">
        <v>2.558</v>
      </c>
      <c r="G2409" s="32" t="n">
        <v>25</v>
      </c>
      <c r="H2409" s="32" t="inlineStr">
        <is>
          <t>bb</t>
        </is>
      </c>
      <c r="K2409" s="32" t="inlineStr">
        <is>
          <t>20250514-21</t>
        </is>
      </c>
    </row>
    <row r="2410">
      <c r="A2410" s="32" t="n">
        <v>11</v>
      </c>
      <c r="B2410" s="32" t="inlineStr">
        <is>
          <t>SB1</t>
        </is>
      </c>
      <c r="D2410" s="32" t="n">
        <v>10.77</v>
      </c>
      <c r="E2410" s="32" t="n">
        <v>18.485</v>
      </c>
      <c r="F2410" s="32" t="n">
        <v>517.296</v>
      </c>
      <c r="G2410" s="32" t="n">
        <v>194</v>
      </c>
      <c r="H2410" s="32" t="inlineStr">
        <is>
          <t>bb</t>
        </is>
      </c>
      <c r="K2410" s="32" t="inlineStr">
        <is>
          <t>20250514-22</t>
        </is>
      </c>
    </row>
    <row r="2411">
      <c r="A2411" s="32" t="n">
        <v>12</v>
      </c>
      <c r="B2411" s="32" t="inlineStr">
        <is>
          <t>SB2</t>
        </is>
      </c>
      <c r="F2411" s="32" t="n">
        <v>658.292</v>
      </c>
      <c r="K2411" s="32" t="inlineStr">
        <is>
          <t>20250514-23</t>
        </is>
      </c>
    </row>
    <row r="2412">
      <c r="A2412" s="32" t="n">
        <v>13</v>
      </c>
      <c r="B2412" s="32" t="inlineStr">
        <is>
          <t>SB3</t>
        </is>
      </c>
      <c r="D2412" s="32" t="n">
        <v>10.43</v>
      </c>
      <c r="E2412" s="32" t="n">
        <v>15.377</v>
      </c>
      <c r="F2412" s="32" t="n">
        <v>554.321</v>
      </c>
      <c r="G2412" s="32" t="n">
        <v>68.941</v>
      </c>
      <c r="H2412" s="32" t="inlineStr">
        <is>
          <t>bb</t>
        </is>
      </c>
      <c r="K2412" s="32" t="inlineStr">
        <is>
          <t>20250514-24</t>
        </is>
      </c>
    </row>
    <row r="2413">
      <c r="A2413" s="32" t="n">
        <v>14</v>
      </c>
      <c r="B2413" s="32" t="inlineStr">
        <is>
          <t>SS1</t>
        </is>
      </c>
      <c r="D2413" s="32" t="n">
        <v>10.81</v>
      </c>
      <c r="E2413" s="32" t="n">
        <v>976.648</v>
      </c>
      <c r="F2413" s="32" t="n">
        <v>423.941</v>
      </c>
      <c r="G2413" s="32" t="n">
        <v>354.172</v>
      </c>
      <c r="H2413" s="32" t="inlineStr">
        <is>
          <t>bb</t>
        </is>
      </c>
      <c r="K2413" s="32" t="inlineStr">
        <is>
          <t>20250514-25</t>
        </is>
      </c>
    </row>
    <row r="2414">
      <c r="A2414" s="32" t="n">
        <v>15</v>
      </c>
      <c r="B2414" s="32" t="inlineStr">
        <is>
          <t>SS2</t>
        </is>
      </c>
      <c r="D2414" s="32" t="n">
        <v>10.82</v>
      </c>
      <c r="E2414" s="32" t="n">
        <v>1098.483</v>
      </c>
      <c r="F2414" s="32" t="n">
        <v>665.876</v>
      </c>
      <c r="G2414" s="32" t="n">
        <v>14.945</v>
      </c>
      <c r="H2414" s="32" t="inlineStr">
        <is>
          <t>bb</t>
        </is>
      </c>
      <c r="K2414" s="32" t="inlineStr">
        <is>
          <t>20250514-26</t>
        </is>
      </c>
    </row>
    <row r="2415">
      <c r="A2415" s="32" t="n">
        <v>16</v>
      </c>
      <c r="B2415" s="32" t="inlineStr">
        <is>
          <t>SS3</t>
        </is>
      </c>
      <c r="D2415" s="32" t="n">
        <v>10.82</v>
      </c>
      <c r="E2415" s="32" t="n">
        <v>855.498</v>
      </c>
      <c r="F2415" s="32" t="n">
        <v>514.421</v>
      </c>
      <c r="G2415" s="32" t="n">
        <v>6448</v>
      </c>
      <c r="H2415" s="32" t="inlineStr">
        <is>
          <t>bb</t>
        </is>
      </c>
      <c r="K2415" s="32" t="inlineStr">
        <is>
          <t>20250514-27</t>
        </is>
      </c>
    </row>
    <row r="2416">
      <c r="A2416" s="32" t="n">
        <v>17</v>
      </c>
      <c r="B2416" s="32" t="inlineStr">
        <is>
          <t>MeOH</t>
        </is>
      </c>
      <c r="D2416" s="32" t="n">
        <v>10.36</v>
      </c>
      <c r="E2416" s="32" t="n">
        <v>33.275</v>
      </c>
      <c r="G2416" s="32" t="n">
        <v>11.801</v>
      </c>
      <c r="H2416" s="32" t="inlineStr">
        <is>
          <t>bb</t>
        </is>
      </c>
      <c r="K2416" s="32" t="inlineStr">
        <is>
          <t>20250514-28</t>
        </is>
      </c>
    </row>
    <row r="2417">
      <c r="A2417" s="32" t="n">
        <v>18</v>
      </c>
      <c r="B2417" s="32" t="inlineStr">
        <is>
          <t>K4-1A</t>
        </is>
      </c>
      <c r="D2417" s="32" t="n">
        <v>10.97</v>
      </c>
      <c r="E2417" s="32" t="n">
        <v>17.918</v>
      </c>
      <c r="F2417" s="32" t="n">
        <v>562.856</v>
      </c>
      <c r="G2417" s="32" t="n">
        <v>2.614</v>
      </c>
      <c r="H2417" s="32" t="inlineStr">
        <is>
          <t>bb</t>
        </is>
      </c>
      <c r="K2417" s="32" t="inlineStr">
        <is>
          <t>20250514-29</t>
        </is>
      </c>
    </row>
    <row r="2418">
      <c r="A2418" s="32" t="n">
        <v>19</v>
      </c>
      <c r="B2418" s="32" t="inlineStr">
        <is>
          <t>K4-1B</t>
        </is>
      </c>
      <c r="D2418" s="32" t="n">
        <v>10.88</v>
      </c>
      <c r="E2418" s="32" t="n">
        <v>0.275</v>
      </c>
      <c r="F2418" s="32" t="n">
        <v>709.3200000000001</v>
      </c>
      <c r="G2418" s="32" t="n">
        <v>3</v>
      </c>
      <c r="H2418" s="32" t="inlineStr">
        <is>
          <t>bb</t>
        </is>
      </c>
      <c r="K2418" s="32" t="inlineStr">
        <is>
          <t>20250514-30</t>
        </is>
      </c>
    </row>
    <row r="2419">
      <c r="A2419" s="32" t="n">
        <v>20</v>
      </c>
      <c r="B2419" s="32" t="inlineStr">
        <is>
          <t>K4-1C</t>
        </is>
      </c>
      <c r="D2419" s="32" t="n">
        <v>10.32</v>
      </c>
      <c r="E2419" s="32" t="n">
        <v>31.257</v>
      </c>
      <c r="F2419" s="32" t="n">
        <v>545.8630000000001</v>
      </c>
      <c r="G2419" s="32" t="n">
        <v>246</v>
      </c>
      <c r="H2419" s="32" t="inlineStr">
        <is>
          <t>bb</t>
        </is>
      </c>
      <c r="K2419" s="32" t="inlineStr">
        <is>
          <t>20250514-31</t>
        </is>
      </c>
    </row>
    <row r="2420">
      <c r="A2420" s="32" t="n">
        <v>21</v>
      </c>
      <c r="B2420" s="32" t="inlineStr">
        <is>
          <t>K4-2A</t>
        </is>
      </c>
      <c r="D2420" s="32" t="n">
        <v>10.85</v>
      </c>
      <c r="E2420" s="32" t="n">
        <v>9.263</v>
      </c>
      <c r="F2420" s="32" t="n">
        <v>889.295</v>
      </c>
      <c r="G2420" s="32" t="n">
        <v>90</v>
      </c>
      <c r="H2420" s="32" t="inlineStr">
        <is>
          <t>bb</t>
        </is>
      </c>
      <c r="K2420" s="32" t="inlineStr">
        <is>
          <t>20250514-32</t>
        </is>
      </c>
    </row>
    <row r="2421">
      <c r="A2421" s="32" t="n">
        <v>22</v>
      </c>
      <c r="B2421" s="32" t="inlineStr">
        <is>
          <t>K4-2B</t>
        </is>
      </c>
      <c r="F2421" s="32" t="n">
        <v>819.534</v>
      </c>
      <c r="K2421" s="32" t="inlineStr">
        <is>
          <t>20250514-33</t>
        </is>
      </c>
    </row>
    <row r="2422">
      <c r="A2422" s="32" t="n">
        <v>23</v>
      </c>
      <c r="B2422" s="32" t="inlineStr">
        <is>
          <t>K4-2C</t>
        </is>
      </c>
      <c r="D2422" s="32" t="n">
        <v>10.16</v>
      </c>
      <c r="E2422" s="32" t="n">
        <v>22.215</v>
      </c>
      <c r="F2422" s="32" t="n">
        <v>609.211</v>
      </c>
      <c r="G2422" s="32" t="n">
        <v>238</v>
      </c>
      <c r="H2422" s="32" t="inlineStr">
        <is>
          <t>bb</t>
        </is>
      </c>
      <c r="K2422" s="32" t="inlineStr">
        <is>
          <t>20250514-34</t>
        </is>
      </c>
    </row>
    <row r="2423">
      <c r="A2423" s="32" t="n">
        <v>24</v>
      </c>
      <c r="B2423" s="32" t="inlineStr">
        <is>
          <t>MeOH</t>
        </is>
      </c>
      <c r="D2423" s="32" t="n">
        <v>10.58</v>
      </c>
      <c r="E2423" s="32" t="n">
        <v>34.534</v>
      </c>
      <c r="G2423" s="32" t="n">
        <v>337</v>
      </c>
      <c r="H2423" s="32" t="inlineStr">
        <is>
          <t>bb</t>
        </is>
      </c>
      <c r="K2423" s="32" t="inlineStr">
        <is>
          <t>20250514-35</t>
        </is>
      </c>
    </row>
    <row r="2424">
      <c r="A2424" s="32" t="n">
        <v>25</v>
      </c>
      <c r="B2424" s="32" t="inlineStr">
        <is>
          <t>K4-4A</t>
        </is>
      </c>
      <c r="D2424" s="32" t="n">
        <v>10.93</v>
      </c>
      <c r="E2424" s="32" t="n">
        <v>3.278</v>
      </c>
      <c r="F2424" s="32" t="n">
        <v>836.772</v>
      </c>
      <c r="G2424" s="32" t="n">
        <v>0.276</v>
      </c>
      <c r="H2424" s="32" t="inlineStr">
        <is>
          <t>bb</t>
        </is>
      </c>
      <c r="K2424" s="32" t="inlineStr">
        <is>
          <t>20250514-36</t>
        </is>
      </c>
    </row>
    <row r="2425">
      <c r="A2425" s="32" t="n">
        <v>26</v>
      </c>
      <c r="B2425" s="32" t="inlineStr">
        <is>
          <t>K4-4B</t>
        </is>
      </c>
      <c r="D2425" s="32" t="n">
        <v>10.88</v>
      </c>
      <c r="E2425" s="32" t="n">
        <v>18.705</v>
      </c>
      <c r="F2425" s="32" t="n">
        <v>461.157</v>
      </c>
      <c r="G2425" s="32" t="n">
        <v>184</v>
      </c>
      <c r="H2425" s="32" t="inlineStr">
        <is>
          <t>bb</t>
        </is>
      </c>
      <c r="K2425" s="32" t="inlineStr">
        <is>
          <t>20250514-37</t>
        </is>
      </c>
    </row>
    <row r="2426">
      <c r="A2426" s="32" t="n">
        <v>27</v>
      </c>
      <c r="B2426" s="32" t="inlineStr">
        <is>
          <t>K4-4C</t>
        </is>
      </c>
      <c r="D2426" s="32" t="n">
        <v>10.35</v>
      </c>
      <c r="E2426" s="32" t="n">
        <v>13.584</v>
      </c>
      <c r="F2426" s="32" t="n">
        <v>666.644</v>
      </c>
      <c r="G2426" s="32" t="n">
        <v>0.71</v>
      </c>
      <c r="H2426" s="32" t="inlineStr">
        <is>
          <t>bb</t>
        </is>
      </c>
      <c r="K2426" s="32" t="inlineStr">
        <is>
          <t>20250514-38</t>
        </is>
      </c>
    </row>
    <row r="2427">
      <c r="A2427" s="32" t="n">
        <v>28</v>
      </c>
      <c r="B2427" s="32" t="inlineStr">
        <is>
          <t>K4-5A</t>
        </is>
      </c>
      <c r="F2427" s="32" t="n">
        <v>578.409</v>
      </c>
      <c r="K2427" s="32" t="inlineStr">
        <is>
          <t>20250514-39</t>
        </is>
      </c>
    </row>
    <row r="2428">
      <c r="A2428" s="32" t="n">
        <v>29</v>
      </c>
      <c r="B2428" s="32" t="inlineStr">
        <is>
          <t>K4-5B</t>
        </is>
      </c>
      <c r="D2428" s="32" t="n">
        <v>10.3</v>
      </c>
      <c r="E2428" s="32" t="n">
        <v>5.615</v>
      </c>
      <c r="F2428" s="32" t="n">
        <v>575.86</v>
      </c>
      <c r="G2428" s="32" t="n">
        <v>0.6850000000000001</v>
      </c>
      <c r="H2428" s="32" t="inlineStr">
        <is>
          <t>bb</t>
        </is>
      </c>
      <c r="K2428" s="32" t="inlineStr">
        <is>
          <t>20250514-40</t>
        </is>
      </c>
    </row>
    <row r="2429">
      <c r="A2429" s="32" t="n">
        <v>30</v>
      </c>
      <c r="B2429" s="32" t="inlineStr">
        <is>
          <t>K4-5C</t>
        </is>
      </c>
      <c r="D2429" s="32" t="n">
        <v>10.47</v>
      </c>
      <c r="E2429" s="32" t="n">
        <v>27.942</v>
      </c>
      <c r="F2429" s="32" t="n">
        <v>648.184</v>
      </c>
      <c r="G2429" s="32" t="n">
        <v>218</v>
      </c>
      <c r="H2429" s="32" t="inlineStr">
        <is>
          <t>bb</t>
        </is>
      </c>
      <c r="K2429" s="32" t="inlineStr">
        <is>
          <t>20250514-41</t>
        </is>
      </c>
    </row>
    <row r="2430">
      <c r="A2430" s="32" t="n">
        <v>31</v>
      </c>
      <c r="B2430" s="32" t="inlineStr">
        <is>
          <t>MeOH</t>
        </is>
      </c>
      <c r="D2430" s="32" t="n">
        <v>10.57</v>
      </c>
      <c r="E2430" s="32" t="n">
        <v>26.034</v>
      </c>
      <c r="G2430" s="32" t="n">
        <v>284</v>
      </c>
      <c r="H2430" s="32" t="inlineStr">
        <is>
          <t>bb</t>
        </is>
      </c>
      <c r="K2430" s="32" t="inlineStr">
        <is>
          <t>20250514-42</t>
        </is>
      </c>
    </row>
    <row r="2431">
      <c r="A2431" s="32" t="n">
        <v>32</v>
      </c>
      <c r="B2431" s="32" t="inlineStr">
        <is>
          <t>K3-1A</t>
        </is>
      </c>
      <c r="D2431" s="32" t="n">
        <v>11</v>
      </c>
      <c r="E2431" s="32" t="n">
        <v>24.11</v>
      </c>
      <c r="F2431" s="32" t="n">
        <v>704.658</v>
      </c>
      <c r="G2431" s="32" t="n">
        <v>156</v>
      </c>
      <c r="H2431" s="32" t="inlineStr">
        <is>
          <t>bb</t>
        </is>
      </c>
      <c r="K2431" s="32" t="inlineStr">
        <is>
          <t>20250514-43</t>
        </is>
      </c>
    </row>
    <row r="2432">
      <c r="A2432" s="32" t="n">
        <v>33</v>
      </c>
      <c r="B2432" s="32" t="inlineStr">
        <is>
          <t>K3-1B</t>
        </is>
      </c>
      <c r="D2432" s="32" t="n">
        <v>10.14</v>
      </c>
      <c r="E2432" s="32" t="n">
        <v>4.317</v>
      </c>
      <c r="F2432" s="32" t="n">
        <v>589.025</v>
      </c>
      <c r="G2432" s="32" t="n">
        <v>0.551</v>
      </c>
      <c r="H2432" s="32" t="inlineStr">
        <is>
          <t>bb</t>
        </is>
      </c>
      <c r="K2432" s="32" t="inlineStr">
        <is>
          <t>20250514-44</t>
        </is>
      </c>
    </row>
    <row r="2433">
      <c r="A2433" s="32" t="n">
        <v>34</v>
      </c>
      <c r="B2433" s="32" t="inlineStr">
        <is>
          <t>K3-1C</t>
        </is>
      </c>
      <c r="F2433" s="32" t="n">
        <v>902.054</v>
      </c>
      <c r="K2433" s="32" t="inlineStr">
        <is>
          <t>20250514-45</t>
        </is>
      </c>
    </row>
    <row r="2434">
      <c r="A2434" s="32" t="n">
        <v>35</v>
      </c>
      <c r="B2434" s="32" t="inlineStr">
        <is>
          <t>K3-2A</t>
        </is>
      </c>
      <c r="D2434" s="32" t="n">
        <v>10.26</v>
      </c>
      <c r="E2434" s="32" t="n">
        <v>15.502</v>
      </c>
      <c r="F2434" s="32" t="n">
        <v>786.168</v>
      </c>
      <c r="G2434" s="32" t="n">
        <v>1.906</v>
      </c>
      <c r="H2434" s="32" t="inlineStr">
        <is>
          <t>bb</t>
        </is>
      </c>
      <c r="K2434" s="32" t="inlineStr">
        <is>
          <t>20250514-46</t>
        </is>
      </c>
    </row>
    <row r="2435">
      <c r="A2435" s="32" t="n">
        <v>36</v>
      </c>
      <c r="B2435" s="32" t="inlineStr">
        <is>
          <t>K3-2B</t>
        </is>
      </c>
      <c r="F2435" s="32" t="n">
        <v>847.954</v>
      </c>
      <c r="K2435" s="32" t="inlineStr">
        <is>
          <t>20250514-47</t>
        </is>
      </c>
    </row>
    <row r="2436">
      <c r="A2436" s="32" t="n">
        <v>37</v>
      </c>
      <c r="B2436" s="32" t="inlineStr">
        <is>
          <t>K3-2C</t>
        </is>
      </c>
      <c r="F2436" s="32" t="n">
        <v>549.966</v>
      </c>
      <c r="K2436" s="32" t="inlineStr">
        <is>
          <t>20250514-48</t>
        </is>
      </c>
    </row>
    <row r="2437">
      <c r="A2437" s="32" t="n">
        <v>38</v>
      </c>
      <c r="B2437" s="32" t="inlineStr">
        <is>
          <t>MeOH</t>
        </is>
      </c>
      <c r="K2437" s="32" t="inlineStr">
        <is>
          <t>20250514-49</t>
        </is>
      </c>
    </row>
    <row r="2438">
      <c r="A2438" s="32" t="n">
        <v>39</v>
      </c>
      <c r="B2438" s="32" t="inlineStr">
        <is>
          <t>K3-3A</t>
        </is>
      </c>
      <c r="F2438" s="32" t="n">
        <v>896.226</v>
      </c>
      <c r="K2438" s="32" t="inlineStr">
        <is>
          <t>20250514-50</t>
        </is>
      </c>
    </row>
    <row r="2439">
      <c r="A2439" s="32" t="n">
        <v>40</v>
      </c>
      <c r="B2439" s="32" t="inlineStr">
        <is>
          <t>K3-3B</t>
        </is>
      </c>
      <c r="D2439" s="32" t="n">
        <v>10.48</v>
      </c>
      <c r="E2439" s="32" t="n">
        <v>0.498</v>
      </c>
      <c r="F2439" s="32" t="n">
        <v>1005.7</v>
      </c>
      <c r="G2439" s="32" t="n">
        <v>0.048</v>
      </c>
      <c r="H2439" s="32" t="inlineStr">
        <is>
          <t>bb</t>
        </is>
      </c>
      <c r="K2439" s="32" t="inlineStr">
        <is>
          <t>20250514-51</t>
        </is>
      </c>
    </row>
    <row r="2440">
      <c r="A2440" s="32" t="n">
        <v>41</v>
      </c>
      <c r="B2440" s="32" t="inlineStr">
        <is>
          <t>K3-3C</t>
        </is>
      </c>
      <c r="D2440" s="32" t="n">
        <v>10.76</v>
      </c>
      <c r="E2440" s="32" t="n">
        <v>0.519</v>
      </c>
      <c r="F2440" s="32" t="n">
        <v>1040.161</v>
      </c>
      <c r="G2440" s="32" t="n">
        <v>6</v>
      </c>
      <c r="H2440" s="32" t="inlineStr">
        <is>
          <t>bb</t>
        </is>
      </c>
      <c r="K2440" s="32" t="inlineStr">
        <is>
          <t>20250514-52</t>
        </is>
      </c>
    </row>
    <row r="2441">
      <c r="A2441" s="32" t="n">
        <v>42</v>
      </c>
      <c r="B2441" s="32" t="inlineStr">
        <is>
          <t>K3-4A</t>
        </is>
      </c>
      <c r="F2441" s="32" t="n">
        <v>1196.547</v>
      </c>
      <c r="K2441" s="32" t="inlineStr">
        <is>
          <t>20250514-53</t>
        </is>
      </c>
    </row>
    <row r="2442">
      <c r="A2442" s="32" t="n">
        <v>43</v>
      </c>
      <c r="B2442" s="32" t="inlineStr">
        <is>
          <t>K3-4B</t>
        </is>
      </c>
      <c r="D2442" s="32" t="n">
        <v>11.16</v>
      </c>
      <c r="E2442" s="32" t="n">
        <v>30.217</v>
      </c>
      <c r="F2442" s="32" t="n">
        <v>1065.462</v>
      </c>
      <c r="G2442" s="32" t="n">
        <v>196</v>
      </c>
      <c r="H2442" s="32" t="inlineStr">
        <is>
          <t>bb</t>
        </is>
      </c>
      <c r="K2442" s="32" t="inlineStr">
        <is>
          <t>20250514-54</t>
        </is>
      </c>
    </row>
    <row r="2443">
      <c r="A2443" s="32" t="n">
        <v>44</v>
      </c>
      <c r="B2443" s="32" t="inlineStr">
        <is>
          <t>K3-4C</t>
        </is>
      </c>
      <c r="F2443" s="32" t="n">
        <v>841.401</v>
      </c>
      <c r="K2443" s="32" t="inlineStr">
        <is>
          <t>20250514-55</t>
        </is>
      </c>
    </row>
    <row r="2444">
      <c r="A2444" s="32" t="n">
        <v>45</v>
      </c>
      <c r="B2444" s="32" t="inlineStr">
        <is>
          <t>MeOH</t>
        </is>
      </c>
      <c r="D2444" s="32" t="n">
        <v>10.95</v>
      </c>
      <c r="E2444" s="32" t="n">
        <v>13.176</v>
      </c>
      <c r="G2444" s="32" t="n">
        <v>3.721</v>
      </c>
      <c r="H2444" s="32" t="inlineStr">
        <is>
          <t>bb</t>
        </is>
      </c>
      <c r="K2444" s="32" t="inlineStr">
        <is>
          <t>20250514-56</t>
        </is>
      </c>
    </row>
    <row r="2445">
      <c r="A2445" s="32" t="n">
        <v>46</v>
      </c>
      <c r="B2445" s="32" t="inlineStr">
        <is>
          <t>K3-6A</t>
        </is>
      </c>
      <c r="F2445" s="32" t="n">
        <v>1044.224</v>
      </c>
      <c r="K2445" s="32" t="inlineStr">
        <is>
          <t>20250514-57</t>
        </is>
      </c>
    </row>
    <row r="2446">
      <c r="A2446" s="32" t="n">
        <v>47</v>
      </c>
      <c r="B2446" s="32" t="inlineStr">
        <is>
          <t>K3-6B</t>
        </is>
      </c>
      <c r="D2446" s="32" t="n">
        <v>10.24</v>
      </c>
      <c r="E2446" s="32" t="n">
        <v>7.813</v>
      </c>
      <c r="F2446" s="32" t="n">
        <v>517.776</v>
      </c>
      <c r="G2446" s="32" t="n">
        <v>86</v>
      </c>
      <c r="H2446" s="32" t="inlineStr">
        <is>
          <t>bb</t>
        </is>
      </c>
      <c r="K2446" s="32" t="inlineStr">
        <is>
          <t>20250514-58</t>
        </is>
      </c>
    </row>
    <row r="2447">
      <c r="A2447" s="32" t="n">
        <v>48</v>
      </c>
      <c r="B2447" s="32" t="inlineStr">
        <is>
          <t>K3-6C</t>
        </is>
      </c>
      <c r="D2447" s="32" t="n">
        <v>10.87</v>
      </c>
      <c r="E2447" s="32" t="n">
        <v>23.907</v>
      </c>
      <c r="F2447" s="32" t="n">
        <v>709.654</v>
      </c>
      <c r="G2447" s="32" t="n">
        <v>27.579</v>
      </c>
      <c r="H2447" s="32" t="inlineStr">
        <is>
          <t>bb</t>
        </is>
      </c>
      <c r="K2447" s="32" t="inlineStr">
        <is>
          <t>20250514-59</t>
        </is>
      </c>
    </row>
    <row r="2449">
      <c r="A2449" s="32" t="inlineStr">
        <is>
          <t>Compound 48:  m2 PFHxS</t>
        </is>
      </c>
    </row>
    <row r="2451">
      <c r="B2451" s="32" t="inlineStr">
        <is>
          <t>Sample Text</t>
        </is>
      </c>
      <c r="C2451" s="32" t="inlineStr">
        <is>
          <t>Std. Conc</t>
        </is>
      </c>
      <c r="D2451" s="32" t="inlineStr">
        <is>
          <t>RT</t>
        </is>
      </c>
      <c r="E2451" s="32" t="inlineStr">
        <is>
          <t>Area</t>
        </is>
      </c>
      <c r="F2451" s="32" t="inlineStr">
        <is>
          <t>IS Area</t>
        </is>
      </c>
      <c r="G2451" s="32" t="inlineStr">
        <is>
          <t>S/N</t>
        </is>
      </c>
      <c r="H2451" s="32" t="inlineStr">
        <is>
          <t>Primary Flags</t>
        </is>
      </c>
      <c r="I2451" s="32" t="inlineStr">
        <is>
          <t>Response</t>
        </is>
      </c>
      <c r="J2451" s="32" t="inlineStr">
        <is>
          <t>Conc.</t>
        </is>
      </c>
      <c r="K2451" s="32" t="inlineStr">
        <is>
          <t>Name</t>
        </is>
      </c>
    </row>
    <row r="2452">
      <c r="A2452" s="32" t="n">
        <v>1</v>
      </c>
      <c r="F2452" s="32" t="n">
        <v>1480.336</v>
      </c>
      <c r="K2452" s="32" t="inlineStr">
        <is>
          <t>20250514-12</t>
        </is>
      </c>
    </row>
    <row r="2453">
      <c r="A2453" s="32" t="n">
        <v>2</v>
      </c>
      <c r="F2453" s="32" t="n">
        <v>1118.817</v>
      </c>
      <c r="K2453" s="32" t="inlineStr">
        <is>
          <t>20250514-13</t>
        </is>
      </c>
    </row>
    <row r="2454">
      <c r="A2454" s="32" t="n">
        <v>3</v>
      </c>
      <c r="F2454" s="32" t="n">
        <v>1446.88</v>
      </c>
      <c r="K2454" s="32" t="inlineStr">
        <is>
          <t>20250514-14</t>
        </is>
      </c>
    </row>
    <row r="2455">
      <c r="A2455" s="32" t="n">
        <v>4</v>
      </c>
      <c r="F2455" s="32" t="n">
        <v>1124.702</v>
      </c>
      <c r="K2455" s="32" t="inlineStr">
        <is>
          <t>20250514-15</t>
        </is>
      </c>
    </row>
    <row r="2456">
      <c r="A2456" s="32" t="n">
        <v>5</v>
      </c>
      <c r="F2456" s="32" t="n">
        <v>1602.721</v>
      </c>
      <c r="K2456" s="32" t="inlineStr">
        <is>
          <t>20250514-16</t>
        </is>
      </c>
    </row>
    <row r="2457">
      <c r="A2457" s="32" t="n">
        <v>6</v>
      </c>
      <c r="F2457" s="32" t="n">
        <v>1363.196</v>
      </c>
      <c r="K2457" s="32" t="inlineStr">
        <is>
          <t>20250514-17</t>
        </is>
      </c>
    </row>
    <row r="2458">
      <c r="A2458" s="32" t="n">
        <v>7</v>
      </c>
      <c r="F2458" s="32" t="n">
        <v>972.191</v>
      </c>
      <c r="K2458" s="32" t="inlineStr">
        <is>
          <t>20250514-18</t>
        </is>
      </c>
    </row>
    <row r="2459">
      <c r="A2459" s="32" t="n">
        <v>8</v>
      </c>
      <c r="F2459" s="32" t="n">
        <v>963.742</v>
      </c>
      <c r="K2459" s="32" t="inlineStr">
        <is>
          <t>20250514-19</t>
        </is>
      </c>
    </row>
    <row r="2460">
      <c r="A2460" s="32" t="n">
        <v>9</v>
      </c>
      <c r="K2460" s="32" t="inlineStr">
        <is>
          <t>20250514-20</t>
        </is>
      </c>
    </row>
    <row r="2461">
      <c r="A2461" s="32" t="n">
        <v>10</v>
      </c>
      <c r="K2461" s="32" t="inlineStr">
        <is>
          <t>20250514-21</t>
        </is>
      </c>
    </row>
    <row r="2462">
      <c r="A2462" s="32" t="n">
        <v>11</v>
      </c>
      <c r="F2462" s="32" t="n">
        <v>517.296</v>
      </c>
      <c r="K2462" s="32" t="inlineStr">
        <is>
          <t>20250514-22</t>
        </is>
      </c>
    </row>
    <row r="2463">
      <c r="A2463" s="32" t="n">
        <v>12</v>
      </c>
      <c r="F2463" s="32" t="n">
        <v>658.292</v>
      </c>
      <c r="K2463" s="32" t="inlineStr">
        <is>
          <t>20250514-23</t>
        </is>
      </c>
    </row>
    <row r="2464">
      <c r="A2464" s="32" t="n">
        <v>13</v>
      </c>
      <c r="F2464" s="32" t="n">
        <v>554.321</v>
      </c>
      <c r="K2464" s="32" t="inlineStr">
        <is>
          <t>20250514-24</t>
        </is>
      </c>
    </row>
    <row r="2465">
      <c r="A2465" s="32" t="n">
        <v>14</v>
      </c>
      <c r="F2465" s="32" t="n">
        <v>423.941</v>
      </c>
      <c r="K2465" s="32" t="inlineStr">
        <is>
          <t>20250514-25</t>
        </is>
      </c>
    </row>
    <row r="2466">
      <c r="A2466" s="32" t="n">
        <v>15</v>
      </c>
      <c r="F2466" s="32" t="n">
        <v>665.876</v>
      </c>
      <c r="K2466" s="32" t="inlineStr">
        <is>
          <t>20250514-26</t>
        </is>
      </c>
    </row>
    <row r="2467">
      <c r="A2467" s="32" t="n">
        <v>16</v>
      </c>
      <c r="F2467" s="32" t="n">
        <v>514.421</v>
      </c>
      <c r="K2467" s="32" t="inlineStr">
        <is>
          <t>20250514-27</t>
        </is>
      </c>
    </row>
    <row r="2468">
      <c r="A2468" s="32" t="n">
        <v>17</v>
      </c>
      <c r="K2468" s="32" t="inlineStr">
        <is>
          <t>20250514-28</t>
        </is>
      </c>
    </row>
    <row r="2469">
      <c r="A2469" s="32" t="n">
        <v>18</v>
      </c>
      <c r="F2469" s="32" t="n">
        <v>562.856</v>
      </c>
      <c r="K2469" s="32" t="inlineStr">
        <is>
          <t>20250514-29</t>
        </is>
      </c>
    </row>
    <row r="2470">
      <c r="A2470" s="32" t="n">
        <v>19</v>
      </c>
      <c r="F2470" s="32" t="n">
        <v>709.3200000000001</v>
      </c>
      <c r="K2470" s="32" t="inlineStr">
        <is>
          <t>20250514-30</t>
        </is>
      </c>
    </row>
    <row r="2471">
      <c r="A2471" s="32" t="n">
        <v>20</v>
      </c>
      <c r="F2471" s="32" t="n">
        <v>545.8630000000001</v>
      </c>
      <c r="K2471" s="32" t="inlineStr">
        <is>
          <t>20250514-31</t>
        </is>
      </c>
    </row>
    <row r="2472">
      <c r="A2472" s="32" t="n">
        <v>21</v>
      </c>
      <c r="F2472" s="32" t="n">
        <v>889.295</v>
      </c>
      <c r="K2472" s="32" t="inlineStr">
        <is>
          <t>20250514-32</t>
        </is>
      </c>
    </row>
    <row r="2473">
      <c r="A2473" s="32" t="n">
        <v>22</v>
      </c>
      <c r="F2473" s="32" t="n">
        <v>819.534</v>
      </c>
      <c r="K2473" s="32" t="inlineStr">
        <is>
          <t>20250514-33</t>
        </is>
      </c>
    </row>
    <row r="2474">
      <c r="A2474" s="32" t="n">
        <v>23</v>
      </c>
      <c r="F2474" s="32" t="n">
        <v>609.211</v>
      </c>
      <c r="K2474" s="32" t="inlineStr">
        <is>
          <t>20250514-34</t>
        </is>
      </c>
    </row>
    <row r="2475">
      <c r="A2475" s="32" t="n">
        <v>24</v>
      </c>
      <c r="K2475" s="32" t="inlineStr">
        <is>
          <t>20250514-35</t>
        </is>
      </c>
    </row>
    <row r="2476">
      <c r="A2476" s="32" t="n">
        <v>25</v>
      </c>
      <c r="F2476" s="32" t="n">
        <v>836.772</v>
      </c>
      <c r="K2476" s="32" t="inlineStr">
        <is>
          <t>20250514-36</t>
        </is>
      </c>
    </row>
    <row r="2477">
      <c r="A2477" s="32" t="n">
        <v>26</v>
      </c>
      <c r="F2477" s="32" t="n">
        <v>461.157</v>
      </c>
      <c r="K2477" s="32" t="inlineStr">
        <is>
          <t>20250514-37</t>
        </is>
      </c>
    </row>
    <row r="2478">
      <c r="A2478" s="32" t="n">
        <v>27</v>
      </c>
      <c r="F2478" s="32" t="n">
        <v>666.644</v>
      </c>
      <c r="K2478" s="32" t="inlineStr">
        <is>
          <t>20250514-38</t>
        </is>
      </c>
    </row>
    <row r="2479">
      <c r="A2479" s="32" t="n">
        <v>28</v>
      </c>
      <c r="F2479" s="32" t="n">
        <v>578.409</v>
      </c>
      <c r="K2479" s="32" t="inlineStr">
        <is>
          <t>20250514-39</t>
        </is>
      </c>
    </row>
    <row r="2480">
      <c r="A2480" s="32" t="n">
        <v>29</v>
      </c>
      <c r="F2480" s="32" t="n">
        <v>575.86</v>
      </c>
      <c r="K2480" s="32" t="inlineStr">
        <is>
          <t>20250514-40</t>
        </is>
      </c>
    </row>
    <row r="2481">
      <c r="A2481" s="32" t="n">
        <v>30</v>
      </c>
      <c r="F2481" s="32" t="n">
        <v>648.184</v>
      </c>
      <c r="K2481" s="32" t="inlineStr">
        <is>
          <t>20250514-41</t>
        </is>
      </c>
    </row>
    <row r="2482">
      <c r="A2482" s="32" t="n">
        <v>31</v>
      </c>
      <c r="K2482" s="32" t="inlineStr">
        <is>
          <t>20250514-42</t>
        </is>
      </c>
    </row>
    <row r="2483">
      <c r="A2483" s="32" t="n">
        <v>32</v>
      </c>
      <c r="F2483" s="32" t="n">
        <v>704.658</v>
      </c>
      <c r="K2483" s="32" t="inlineStr">
        <is>
          <t>20250514-43</t>
        </is>
      </c>
    </row>
    <row r="2484">
      <c r="A2484" s="32" t="n">
        <v>33</v>
      </c>
      <c r="F2484" s="32" t="n">
        <v>589.025</v>
      </c>
      <c r="K2484" s="32" t="inlineStr">
        <is>
          <t>20250514-44</t>
        </is>
      </c>
    </row>
    <row r="2485">
      <c r="A2485" s="32" t="n">
        <v>34</v>
      </c>
      <c r="F2485" s="32" t="n">
        <v>902.054</v>
      </c>
      <c r="K2485" s="32" t="inlineStr">
        <is>
          <t>20250514-45</t>
        </is>
      </c>
    </row>
    <row r="2486">
      <c r="A2486" s="32" t="n">
        <v>35</v>
      </c>
      <c r="F2486" s="32" t="n">
        <v>786.168</v>
      </c>
      <c r="K2486" s="32" t="inlineStr">
        <is>
          <t>20250514-46</t>
        </is>
      </c>
    </row>
    <row r="2487">
      <c r="A2487" s="32" t="n">
        <v>36</v>
      </c>
      <c r="F2487" s="32" t="n">
        <v>847.954</v>
      </c>
      <c r="K2487" s="32" t="inlineStr">
        <is>
          <t>20250514-47</t>
        </is>
      </c>
    </row>
    <row r="2488">
      <c r="A2488" s="32" t="n">
        <v>37</v>
      </c>
      <c r="F2488" s="32" t="n">
        <v>549.966</v>
      </c>
      <c r="K2488" s="32" t="inlineStr">
        <is>
          <t>20250514-48</t>
        </is>
      </c>
    </row>
    <row r="2489">
      <c r="A2489" s="32" t="n">
        <v>38</v>
      </c>
      <c r="K2489" s="32" t="inlineStr">
        <is>
          <t>20250514-49</t>
        </is>
      </c>
    </row>
    <row r="2490">
      <c r="A2490" s="32" t="n">
        <v>39</v>
      </c>
      <c r="F2490" s="32" t="n">
        <v>896.226</v>
      </c>
      <c r="K2490" s="32" t="inlineStr">
        <is>
          <t>20250514-50</t>
        </is>
      </c>
    </row>
    <row r="2491">
      <c r="A2491" s="32" t="n">
        <v>40</v>
      </c>
      <c r="F2491" s="32" t="n">
        <v>1005.7</v>
      </c>
      <c r="K2491" s="32" t="inlineStr">
        <is>
          <t>20250514-51</t>
        </is>
      </c>
    </row>
    <row r="2492">
      <c r="A2492" s="32" t="n">
        <v>41</v>
      </c>
      <c r="F2492" s="32" t="n">
        <v>1040.161</v>
      </c>
      <c r="K2492" s="32" t="inlineStr">
        <is>
          <t>20250514-52</t>
        </is>
      </c>
    </row>
    <row r="2493">
      <c r="A2493" s="32" t="n">
        <v>42</v>
      </c>
      <c r="F2493" s="32" t="n">
        <v>1196.547</v>
      </c>
      <c r="K2493" s="32" t="inlineStr">
        <is>
          <t>20250514-53</t>
        </is>
      </c>
    </row>
    <row r="2494">
      <c r="A2494" s="32" t="n">
        <v>43</v>
      </c>
      <c r="F2494" s="32" t="n">
        <v>1065.462</v>
      </c>
      <c r="K2494" s="32" t="inlineStr">
        <is>
          <t>20250514-54</t>
        </is>
      </c>
    </row>
    <row r="2495">
      <c r="A2495" s="32" t="n">
        <v>44</v>
      </c>
      <c r="F2495" s="32" t="n">
        <v>841.401</v>
      </c>
      <c r="K2495" s="32" t="inlineStr">
        <is>
          <t>20250514-55</t>
        </is>
      </c>
    </row>
    <row r="2496">
      <c r="A2496" s="32" t="n">
        <v>45</v>
      </c>
      <c r="K2496" s="32" t="inlineStr">
        <is>
          <t>20250514-56</t>
        </is>
      </c>
    </row>
    <row r="2497">
      <c r="A2497" s="32" t="n">
        <v>46</v>
      </c>
      <c r="F2497" s="32" t="n">
        <v>1044.224</v>
      </c>
      <c r="K2497" s="32" t="inlineStr">
        <is>
          <t>20250514-57</t>
        </is>
      </c>
    </row>
    <row r="2498">
      <c r="A2498" s="32" t="n">
        <v>47</v>
      </c>
      <c r="F2498" s="32" t="n">
        <v>517.776</v>
      </c>
      <c r="K2498" s="32" t="inlineStr">
        <is>
          <t>20250514-58</t>
        </is>
      </c>
    </row>
    <row r="2499">
      <c r="A2499" s="32" t="n">
        <v>48</v>
      </c>
      <c r="F2499" s="32" t="n">
        <v>709.654</v>
      </c>
      <c r="K2499" s="32" t="inlineStr">
        <is>
          <t>20250514-59</t>
        </is>
      </c>
    </row>
    <row r="2501">
      <c r="A2501" s="32" t="inlineStr">
        <is>
          <t>Compound 49:  m3 PFHxS 1</t>
        </is>
      </c>
    </row>
    <row r="2503">
      <c r="B2503" s="32" t="inlineStr">
        <is>
          <t>Sample Text</t>
        </is>
      </c>
      <c r="C2503" s="32" t="inlineStr">
        <is>
          <t>Std. Conc</t>
        </is>
      </c>
      <c r="D2503" s="32" t="inlineStr">
        <is>
          <t>RT</t>
        </is>
      </c>
      <c r="E2503" s="32" t="inlineStr">
        <is>
          <t>Area</t>
        </is>
      </c>
      <c r="F2503" s="32" t="inlineStr">
        <is>
          <t>IS Area</t>
        </is>
      </c>
      <c r="G2503" s="32" t="inlineStr">
        <is>
          <t>S/N</t>
        </is>
      </c>
      <c r="H2503" s="32" t="inlineStr">
        <is>
          <t>Primary Flags</t>
        </is>
      </c>
      <c r="I2503" s="32" t="inlineStr">
        <is>
          <t>Response</t>
        </is>
      </c>
      <c r="J2503" s="32" t="inlineStr">
        <is>
          <t>Conc.</t>
        </is>
      </c>
      <c r="K2503" s="32" t="inlineStr">
        <is>
          <t>Name</t>
        </is>
      </c>
    </row>
    <row r="2504">
      <c r="A2504" s="32" t="n">
        <v>1</v>
      </c>
      <c r="B2504" s="32" t="inlineStr">
        <is>
          <t>EPA1633 &amp; diPAPs Calibration 0 ppb</t>
        </is>
      </c>
      <c r="D2504" s="32" t="n">
        <v>10.71</v>
      </c>
      <c r="E2504" s="32" t="n">
        <v>1480.336</v>
      </c>
      <c r="G2504" s="32" t="n">
        <v>12305</v>
      </c>
      <c r="H2504" s="32" t="inlineStr">
        <is>
          <t>bb</t>
        </is>
      </c>
      <c r="I2504" s="32" t="n">
        <v>1480.336</v>
      </c>
      <c r="K2504" s="32" t="inlineStr">
        <is>
          <t>20250514-12</t>
        </is>
      </c>
    </row>
    <row r="2505">
      <c r="A2505" s="32" t="n">
        <v>2</v>
      </c>
      <c r="B2505" s="32" t="inlineStr">
        <is>
          <t>EPA1633 &amp; diPAPs Calibration 0.02 ppb</t>
        </is>
      </c>
      <c r="D2505" s="32" t="n">
        <v>10.76</v>
      </c>
      <c r="E2505" s="32" t="n">
        <v>1118.817</v>
      </c>
      <c r="G2505" s="32" t="n">
        <v>8649</v>
      </c>
      <c r="H2505" s="32" t="inlineStr">
        <is>
          <t>bb</t>
        </is>
      </c>
      <c r="I2505" s="32" t="n">
        <v>1118.817</v>
      </c>
      <c r="K2505" s="32" t="inlineStr">
        <is>
          <t>20250514-13</t>
        </is>
      </c>
    </row>
    <row r="2506">
      <c r="A2506" s="32" t="n">
        <v>3</v>
      </c>
      <c r="B2506" s="32" t="inlineStr">
        <is>
          <t>EPA1633 &amp; diPAPs Calibration 0.1 ppb</t>
        </is>
      </c>
      <c r="D2506" s="32" t="n">
        <v>10.76</v>
      </c>
      <c r="E2506" s="32" t="n">
        <v>1446.88</v>
      </c>
      <c r="G2506" s="32" t="n">
        <v>12505</v>
      </c>
      <c r="H2506" s="32" t="inlineStr">
        <is>
          <t>bb</t>
        </is>
      </c>
      <c r="I2506" s="32" t="n">
        <v>1446.88</v>
      </c>
      <c r="K2506" s="32" t="inlineStr">
        <is>
          <t>20250514-14</t>
        </is>
      </c>
    </row>
    <row r="2507">
      <c r="A2507" s="32" t="n">
        <v>4</v>
      </c>
      <c r="B2507" s="32" t="inlineStr">
        <is>
          <t>EPA1633 &amp; diPAPs Calibration 0.4 ppb</t>
        </is>
      </c>
      <c r="D2507" s="32" t="n">
        <v>10.77</v>
      </c>
      <c r="E2507" s="32" t="n">
        <v>1124.702</v>
      </c>
      <c r="G2507" s="32" t="n">
        <v>170.843</v>
      </c>
      <c r="H2507" s="32" t="inlineStr">
        <is>
          <t>bb</t>
        </is>
      </c>
      <c r="I2507" s="32" t="n">
        <v>1124.702</v>
      </c>
      <c r="K2507" s="32" t="inlineStr">
        <is>
          <t>20250514-15</t>
        </is>
      </c>
    </row>
    <row r="2508">
      <c r="A2508" s="32" t="n">
        <v>5</v>
      </c>
      <c r="B2508" s="32" t="inlineStr">
        <is>
          <t>EPA1633 &amp; diPAPs Calibration 1 ppb</t>
        </is>
      </c>
      <c r="D2508" s="32" t="n">
        <v>10.77</v>
      </c>
      <c r="E2508" s="32" t="n">
        <v>1602.721</v>
      </c>
      <c r="G2508" s="32" t="n">
        <v>19.942</v>
      </c>
      <c r="H2508" s="32" t="inlineStr">
        <is>
          <t>bb</t>
        </is>
      </c>
      <c r="I2508" s="32" t="n">
        <v>1602.721</v>
      </c>
      <c r="K2508" s="32" t="inlineStr">
        <is>
          <t>20250514-16</t>
        </is>
      </c>
    </row>
    <row r="2509">
      <c r="A2509" s="32" t="n">
        <v>6</v>
      </c>
      <c r="B2509" s="32" t="inlineStr">
        <is>
          <t>EPA1633 &amp; diPAPs Calibration 5 ppb</t>
        </is>
      </c>
      <c r="D2509" s="32" t="n">
        <v>10.66</v>
      </c>
      <c r="E2509" s="32" t="n">
        <v>1363.196</v>
      </c>
      <c r="G2509" s="32" t="n">
        <v>1402.457</v>
      </c>
      <c r="H2509" s="32" t="inlineStr">
        <is>
          <t>bb</t>
        </is>
      </c>
      <c r="I2509" s="32" t="n">
        <v>1363.196</v>
      </c>
      <c r="K2509" s="32" t="inlineStr">
        <is>
          <t>20250514-17</t>
        </is>
      </c>
    </row>
    <row r="2510">
      <c r="A2510" s="32" t="n">
        <v>7</v>
      </c>
      <c r="B2510" s="32" t="inlineStr">
        <is>
          <t>EPA1633 &amp; diPAPs Calibration 10 ppb</t>
        </is>
      </c>
      <c r="D2510" s="32" t="n">
        <v>10.69</v>
      </c>
      <c r="E2510" s="32" t="n">
        <v>972.191</v>
      </c>
      <c r="G2510" s="32" t="n">
        <v>17.884</v>
      </c>
      <c r="H2510" s="32" t="inlineStr">
        <is>
          <t>bb</t>
        </is>
      </c>
      <c r="I2510" s="32" t="n">
        <v>972.191</v>
      </c>
      <c r="K2510" s="32" t="inlineStr">
        <is>
          <t>20250514-18</t>
        </is>
      </c>
    </row>
    <row r="2511">
      <c r="A2511" s="32" t="n">
        <v>8</v>
      </c>
      <c r="B2511" s="32" t="inlineStr">
        <is>
          <t>EPA1633 &amp; diPAPs Calibration 20 ppb</t>
        </is>
      </c>
      <c r="D2511" s="32" t="n">
        <v>10.75</v>
      </c>
      <c r="E2511" s="32" t="n">
        <v>963.742</v>
      </c>
      <c r="G2511" s="32" t="n">
        <v>12.037</v>
      </c>
      <c r="H2511" s="32" t="inlineStr">
        <is>
          <t>bb</t>
        </is>
      </c>
      <c r="I2511" s="32" t="n">
        <v>963.742</v>
      </c>
      <c r="K2511" s="32" t="inlineStr">
        <is>
          <t>20250514-19</t>
        </is>
      </c>
    </row>
    <row r="2512">
      <c r="A2512" s="32" t="n">
        <v>9</v>
      </c>
      <c r="B2512" s="32" t="inlineStr">
        <is>
          <t>MeOH</t>
        </is>
      </c>
      <c r="K2512" s="32" t="inlineStr">
        <is>
          <t>20250514-20</t>
        </is>
      </c>
    </row>
    <row r="2513">
      <c r="A2513" s="32" t="n">
        <v>10</v>
      </c>
      <c r="B2513" s="32" t="inlineStr">
        <is>
          <t>MeOH</t>
        </is>
      </c>
      <c r="K2513" s="32" t="inlineStr">
        <is>
          <t>20250514-21</t>
        </is>
      </c>
    </row>
    <row r="2514">
      <c r="A2514" s="32" t="n">
        <v>11</v>
      </c>
      <c r="B2514" s="32" t="inlineStr">
        <is>
          <t>SB1</t>
        </is>
      </c>
      <c r="D2514" s="32" t="n">
        <v>10.8</v>
      </c>
      <c r="E2514" s="32" t="n">
        <v>517.296</v>
      </c>
      <c r="G2514" s="32" t="n">
        <v>4282</v>
      </c>
      <c r="H2514" s="32" t="inlineStr">
        <is>
          <t>bb</t>
        </is>
      </c>
      <c r="I2514" s="32" t="n">
        <v>517.296</v>
      </c>
      <c r="K2514" s="32" t="inlineStr">
        <is>
          <t>20250514-22</t>
        </is>
      </c>
    </row>
    <row r="2515">
      <c r="A2515" s="32" t="n">
        <v>12</v>
      </c>
      <c r="B2515" s="32" t="inlineStr">
        <is>
          <t>SB2</t>
        </is>
      </c>
      <c r="D2515" s="32" t="n">
        <v>10.78</v>
      </c>
      <c r="E2515" s="32" t="n">
        <v>658.292</v>
      </c>
      <c r="G2515" s="32" t="n">
        <v>22.106</v>
      </c>
      <c r="H2515" s="32" t="inlineStr">
        <is>
          <t>bb</t>
        </is>
      </c>
      <c r="I2515" s="32" t="n">
        <v>658.292</v>
      </c>
      <c r="K2515" s="32" t="inlineStr">
        <is>
          <t>20250514-23</t>
        </is>
      </c>
    </row>
    <row r="2516">
      <c r="A2516" s="32" t="n">
        <v>13</v>
      </c>
      <c r="B2516" s="32" t="inlineStr">
        <is>
          <t>SB3</t>
        </is>
      </c>
      <c r="D2516" s="32" t="n">
        <v>10.8</v>
      </c>
      <c r="E2516" s="32" t="n">
        <v>554.321</v>
      </c>
      <c r="G2516" s="32" t="n">
        <v>4.301</v>
      </c>
      <c r="H2516" s="32" t="inlineStr">
        <is>
          <t>bb</t>
        </is>
      </c>
      <c r="I2516" s="32" t="n">
        <v>554.321</v>
      </c>
      <c r="K2516" s="32" t="inlineStr">
        <is>
          <t>20250514-24</t>
        </is>
      </c>
    </row>
    <row r="2517">
      <c r="A2517" s="32" t="n">
        <v>14</v>
      </c>
      <c r="B2517" s="32" t="inlineStr">
        <is>
          <t>SS1</t>
        </is>
      </c>
      <c r="D2517" s="32" t="n">
        <v>10.81</v>
      </c>
      <c r="E2517" s="32" t="n">
        <v>423.941</v>
      </c>
      <c r="G2517" s="32" t="n">
        <v>3387</v>
      </c>
      <c r="H2517" s="32" t="inlineStr">
        <is>
          <t>bb</t>
        </is>
      </c>
      <c r="I2517" s="32" t="n">
        <v>423.941</v>
      </c>
      <c r="K2517" s="32" t="inlineStr">
        <is>
          <t>20250514-25</t>
        </is>
      </c>
    </row>
    <row r="2518">
      <c r="A2518" s="32" t="n">
        <v>15</v>
      </c>
      <c r="B2518" s="32" t="inlineStr">
        <is>
          <t>SS2</t>
        </is>
      </c>
      <c r="D2518" s="32" t="n">
        <v>10.82</v>
      </c>
      <c r="E2518" s="32" t="n">
        <v>665.876</v>
      </c>
      <c r="G2518" s="32" t="n">
        <v>5116</v>
      </c>
      <c r="H2518" s="32" t="inlineStr">
        <is>
          <t>bb</t>
        </is>
      </c>
      <c r="I2518" s="32" t="n">
        <v>665.876</v>
      </c>
      <c r="K2518" s="32" t="inlineStr">
        <is>
          <t>20250514-26</t>
        </is>
      </c>
    </row>
    <row r="2519">
      <c r="A2519" s="32" t="n">
        <v>16</v>
      </c>
      <c r="B2519" s="32" t="inlineStr">
        <is>
          <t>SS3</t>
        </is>
      </c>
      <c r="D2519" s="32" t="n">
        <v>10.85</v>
      </c>
      <c r="E2519" s="32" t="n">
        <v>514.421</v>
      </c>
      <c r="G2519" s="32" t="n">
        <v>33.624</v>
      </c>
      <c r="H2519" s="32" t="inlineStr">
        <is>
          <t>bb</t>
        </is>
      </c>
      <c r="I2519" s="32" t="n">
        <v>514.421</v>
      </c>
      <c r="K2519" s="32" t="inlineStr">
        <is>
          <t>20250514-27</t>
        </is>
      </c>
    </row>
    <row r="2520">
      <c r="A2520" s="32" t="n">
        <v>17</v>
      </c>
      <c r="B2520" s="32" t="inlineStr">
        <is>
          <t>MeOH</t>
        </is>
      </c>
      <c r="K2520" s="32" t="inlineStr">
        <is>
          <t>20250514-28</t>
        </is>
      </c>
    </row>
    <row r="2521">
      <c r="A2521" s="32" t="n">
        <v>18</v>
      </c>
      <c r="B2521" s="32" t="inlineStr">
        <is>
          <t>K4-1A</t>
        </is>
      </c>
      <c r="D2521" s="32" t="n">
        <v>10.82</v>
      </c>
      <c r="E2521" s="32" t="n">
        <v>562.856</v>
      </c>
      <c r="G2521" s="32" t="n">
        <v>4136</v>
      </c>
      <c r="H2521" s="32" t="inlineStr">
        <is>
          <t>bb</t>
        </is>
      </c>
      <c r="I2521" s="32" t="n">
        <v>562.856</v>
      </c>
      <c r="K2521" s="32" t="inlineStr">
        <is>
          <t>20250514-29</t>
        </is>
      </c>
    </row>
    <row r="2522">
      <c r="A2522" s="32" t="n">
        <v>19</v>
      </c>
      <c r="B2522" s="32" t="inlineStr">
        <is>
          <t>K4-1B</t>
        </is>
      </c>
      <c r="D2522" s="32" t="n">
        <v>10.85</v>
      </c>
      <c r="E2522" s="32" t="n">
        <v>709.3200000000001</v>
      </c>
      <c r="G2522" s="32" t="n">
        <v>1042.591</v>
      </c>
      <c r="H2522" s="32" t="inlineStr">
        <is>
          <t>bb</t>
        </is>
      </c>
      <c r="I2522" s="32" t="n">
        <v>709.3200000000001</v>
      </c>
      <c r="K2522" s="32" t="inlineStr">
        <is>
          <t>20250514-30</t>
        </is>
      </c>
    </row>
    <row r="2523">
      <c r="A2523" s="32" t="n">
        <v>20</v>
      </c>
      <c r="B2523" s="32" t="inlineStr">
        <is>
          <t>K4-1C</t>
        </is>
      </c>
      <c r="D2523" s="32" t="n">
        <v>10.87</v>
      </c>
      <c r="E2523" s="32" t="n">
        <v>545.8630000000001</v>
      </c>
      <c r="G2523" s="32" t="n">
        <v>266.492</v>
      </c>
      <c r="H2523" s="32" t="inlineStr">
        <is>
          <t>bb</t>
        </is>
      </c>
      <c r="I2523" s="32" t="n">
        <v>545.8630000000001</v>
      </c>
      <c r="K2523" s="32" t="inlineStr">
        <is>
          <t>20250514-31</t>
        </is>
      </c>
    </row>
    <row r="2524">
      <c r="A2524" s="32" t="n">
        <v>21</v>
      </c>
      <c r="B2524" s="32" t="inlineStr">
        <is>
          <t>K4-2A</t>
        </is>
      </c>
      <c r="D2524" s="32" t="n">
        <v>10.88</v>
      </c>
      <c r="E2524" s="32" t="n">
        <v>889.295</v>
      </c>
      <c r="G2524" s="32" t="n">
        <v>7047</v>
      </c>
      <c r="H2524" s="32" t="inlineStr">
        <is>
          <t>bb</t>
        </is>
      </c>
      <c r="I2524" s="32" t="n">
        <v>889.295</v>
      </c>
      <c r="K2524" s="32" t="inlineStr">
        <is>
          <t>20250514-32</t>
        </is>
      </c>
    </row>
    <row r="2525">
      <c r="A2525" s="32" t="n">
        <v>22</v>
      </c>
      <c r="B2525" s="32" t="inlineStr">
        <is>
          <t>K4-2B</t>
        </is>
      </c>
      <c r="D2525" s="32" t="n">
        <v>10.85</v>
      </c>
      <c r="E2525" s="32" t="n">
        <v>819.534</v>
      </c>
      <c r="G2525" s="32" t="n">
        <v>6373</v>
      </c>
      <c r="H2525" s="32" t="inlineStr">
        <is>
          <t>bb</t>
        </is>
      </c>
      <c r="I2525" s="32" t="n">
        <v>819.534</v>
      </c>
      <c r="K2525" s="32" t="inlineStr">
        <is>
          <t>20250514-33</t>
        </is>
      </c>
    </row>
    <row r="2526">
      <c r="A2526" s="32" t="n">
        <v>23</v>
      </c>
      <c r="B2526" s="32" t="inlineStr">
        <is>
          <t>K4-2C</t>
        </is>
      </c>
      <c r="D2526" s="32" t="n">
        <v>10.88</v>
      </c>
      <c r="E2526" s="32" t="n">
        <v>609.211</v>
      </c>
      <c r="G2526" s="32" t="n">
        <v>8.779999999999999</v>
      </c>
      <c r="H2526" s="32" t="inlineStr">
        <is>
          <t>bb</t>
        </is>
      </c>
      <c r="I2526" s="32" t="n">
        <v>609.211</v>
      </c>
      <c r="K2526" s="32" t="inlineStr">
        <is>
          <t>20250514-34</t>
        </is>
      </c>
    </row>
    <row r="2527">
      <c r="A2527" s="32" t="n">
        <v>24</v>
      </c>
      <c r="B2527" s="32" t="inlineStr">
        <is>
          <t>MeOH</t>
        </is>
      </c>
      <c r="K2527" s="32" t="inlineStr">
        <is>
          <t>20250514-35</t>
        </is>
      </c>
    </row>
    <row r="2528">
      <c r="A2528" s="32" t="n">
        <v>25</v>
      </c>
      <c r="B2528" s="32" t="inlineStr">
        <is>
          <t>K4-4A</t>
        </is>
      </c>
      <c r="D2528" s="32" t="n">
        <v>10.88</v>
      </c>
      <c r="E2528" s="32" t="n">
        <v>836.772</v>
      </c>
      <c r="G2528" s="32" t="n">
        <v>2455.572</v>
      </c>
      <c r="H2528" s="32" t="inlineStr">
        <is>
          <t>bb</t>
        </is>
      </c>
      <c r="I2528" s="32" t="n">
        <v>836.772</v>
      </c>
      <c r="K2528" s="32" t="inlineStr">
        <is>
          <t>20250514-36</t>
        </is>
      </c>
    </row>
    <row r="2529">
      <c r="A2529" s="32" t="n">
        <v>26</v>
      </c>
      <c r="B2529" s="32" t="inlineStr">
        <is>
          <t>K4-4B</t>
        </is>
      </c>
      <c r="D2529" s="32" t="n">
        <v>10.91</v>
      </c>
      <c r="E2529" s="32" t="n">
        <v>461.157</v>
      </c>
      <c r="G2529" s="32" t="n">
        <v>3469</v>
      </c>
      <c r="H2529" s="32" t="inlineStr">
        <is>
          <t>bb</t>
        </is>
      </c>
      <c r="I2529" s="32" t="n">
        <v>461.157</v>
      </c>
      <c r="K2529" s="32" t="inlineStr">
        <is>
          <t>20250514-37</t>
        </is>
      </c>
    </row>
    <row r="2530">
      <c r="A2530" s="32" t="n">
        <v>27</v>
      </c>
      <c r="B2530" s="32" t="inlineStr">
        <is>
          <t>K4-4C</t>
        </is>
      </c>
      <c r="D2530" s="32" t="n">
        <v>10.89</v>
      </c>
      <c r="E2530" s="32" t="n">
        <v>666.644</v>
      </c>
      <c r="G2530" s="32" t="n">
        <v>23.733</v>
      </c>
      <c r="H2530" s="32" t="inlineStr">
        <is>
          <t>bb</t>
        </is>
      </c>
      <c r="I2530" s="32" t="n">
        <v>666.644</v>
      </c>
      <c r="K2530" s="32" t="inlineStr">
        <is>
          <t>20250514-38</t>
        </is>
      </c>
    </row>
    <row r="2531">
      <c r="A2531" s="32" t="n">
        <v>28</v>
      </c>
      <c r="B2531" s="32" t="inlineStr">
        <is>
          <t>K4-5A</t>
        </is>
      </c>
      <c r="D2531" s="32" t="n">
        <v>10.88</v>
      </c>
      <c r="E2531" s="32" t="n">
        <v>578.409</v>
      </c>
      <c r="G2531" s="32" t="n">
        <v>4598</v>
      </c>
      <c r="H2531" s="32" t="inlineStr">
        <is>
          <t>bb</t>
        </is>
      </c>
      <c r="I2531" s="32" t="n">
        <v>578.409</v>
      </c>
      <c r="K2531" s="32" t="inlineStr">
        <is>
          <t>20250514-39</t>
        </is>
      </c>
    </row>
    <row r="2532">
      <c r="A2532" s="32" t="n">
        <v>29</v>
      </c>
      <c r="B2532" s="32" t="inlineStr">
        <is>
          <t>K4-5B</t>
        </is>
      </c>
      <c r="D2532" s="32" t="n">
        <v>10.84</v>
      </c>
      <c r="E2532" s="32" t="n">
        <v>575.86</v>
      </c>
      <c r="G2532" s="32" t="n">
        <v>4223</v>
      </c>
      <c r="H2532" s="32" t="inlineStr">
        <is>
          <t>bb</t>
        </is>
      </c>
      <c r="I2532" s="32" t="n">
        <v>575.86</v>
      </c>
      <c r="K2532" s="32" t="inlineStr">
        <is>
          <t>20250514-40</t>
        </is>
      </c>
    </row>
    <row r="2533">
      <c r="A2533" s="32" t="n">
        <v>30</v>
      </c>
      <c r="B2533" s="32" t="inlineStr">
        <is>
          <t>K4-5C</t>
        </is>
      </c>
      <c r="D2533" s="32" t="n">
        <v>10.76</v>
      </c>
      <c r="E2533" s="32" t="n">
        <v>648.184</v>
      </c>
      <c r="G2533" s="32" t="n">
        <v>92.797</v>
      </c>
      <c r="H2533" s="32" t="inlineStr">
        <is>
          <t>bb</t>
        </is>
      </c>
      <c r="I2533" s="32" t="n">
        <v>648.184</v>
      </c>
      <c r="K2533" s="32" t="inlineStr">
        <is>
          <t>20250514-41</t>
        </is>
      </c>
    </row>
    <row r="2534">
      <c r="A2534" s="32" t="n">
        <v>31</v>
      </c>
      <c r="B2534" s="32" t="inlineStr">
        <is>
          <t>MeOH</t>
        </is>
      </c>
      <c r="K2534" s="32" t="inlineStr">
        <is>
          <t>20250514-42</t>
        </is>
      </c>
    </row>
    <row r="2535">
      <c r="A2535" s="32" t="n">
        <v>32</v>
      </c>
      <c r="B2535" s="32" t="inlineStr">
        <is>
          <t>K3-1A</t>
        </is>
      </c>
      <c r="D2535" s="32" t="n">
        <v>10.66</v>
      </c>
      <c r="E2535" s="32" t="n">
        <v>704.658</v>
      </c>
      <c r="G2535" s="32" t="n">
        <v>5920</v>
      </c>
      <c r="H2535" s="32" t="inlineStr">
        <is>
          <t>bb</t>
        </is>
      </c>
      <c r="I2535" s="32" t="n">
        <v>704.658</v>
      </c>
      <c r="K2535" s="32" t="inlineStr">
        <is>
          <t>20250514-43</t>
        </is>
      </c>
    </row>
    <row r="2536">
      <c r="A2536" s="32" t="n">
        <v>33</v>
      </c>
      <c r="B2536" s="32" t="inlineStr">
        <is>
          <t>K3-1B</t>
        </is>
      </c>
      <c r="D2536" s="32" t="n">
        <v>10.69</v>
      </c>
      <c r="E2536" s="32" t="n">
        <v>589.025</v>
      </c>
      <c r="G2536" s="32" t="n">
        <v>4843</v>
      </c>
      <c r="H2536" s="32" t="inlineStr">
        <is>
          <t>bb</t>
        </is>
      </c>
      <c r="I2536" s="32" t="n">
        <v>589.025</v>
      </c>
      <c r="K2536" s="32" t="inlineStr">
        <is>
          <t>20250514-44</t>
        </is>
      </c>
    </row>
    <row r="2537">
      <c r="A2537" s="32" t="n">
        <v>34</v>
      </c>
      <c r="B2537" s="32" t="inlineStr">
        <is>
          <t>K3-1C</t>
        </is>
      </c>
      <c r="D2537" s="32" t="n">
        <v>10.75</v>
      </c>
      <c r="E2537" s="32" t="n">
        <v>902.054</v>
      </c>
      <c r="G2537" s="32" t="n">
        <v>8040</v>
      </c>
      <c r="H2537" s="32" t="inlineStr">
        <is>
          <t>bb</t>
        </is>
      </c>
      <c r="I2537" s="32" t="n">
        <v>902.054</v>
      </c>
      <c r="K2537" s="32" t="inlineStr">
        <is>
          <t>20250514-45</t>
        </is>
      </c>
    </row>
    <row r="2538">
      <c r="A2538" s="32" t="n">
        <v>35</v>
      </c>
      <c r="B2538" s="32" t="inlineStr">
        <is>
          <t>K3-2A</t>
        </is>
      </c>
      <c r="D2538" s="32" t="n">
        <v>10.77</v>
      </c>
      <c r="E2538" s="32" t="n">
        <v>786.168</v>
      </c>
      <c r="G2538" s="32" t="n">
        <v>130.875</v>
      </c>
      <c r="H2538" s="32" t="inlineStr">
        <is>
          <t>bb</t>
        </is>
      </c>
      <c r="I2538" s="32" t="n">
        <v>786.168</v>
      </c>
      <c r="K2538" s="32" t="inlineStr">
        <is>
          <t>20250514-46</t>
        </is>
      </c>
    </row>
    <row r="2539">
      <c r="A2539" s="32" t="n">
        <v>36</v>
      </c>
      <c r="B2539" s="32" t="inlineStr">
        <is>
          <t>K3-2B</t>
        </is>
      </c>
      <c r="D2539" s="32" t="n">
        <v>10.78</v>
      </c>
      <c r="E2539" s="32" t="n">
        <v>847.954</v>
      </c>
      <c r="G2539" s="32" t="n">
        <v>6917</v>
      </c>
      <c r="H2539" s="32" t="inlineStr">
        <is>
          <t>bb</t>
        </is>
      </c>
      <c r="I2539" s="32" t="n">
        <v>847.954</v>
      </c>
      <c r="K2539" s="32" t="inlineStr">
        <is>
          <t>20250514-47</t>
        </is>
      </c>
    </row>
    <row r="2540">
      <c r="A2540" s="32" t="n">
        <v>37</v>
      </c>
      <c r="B2540" s="32" t="inlineStr">
        <is>
          <t>K3-2C</t>
        </is>
      </c>
      <c r="D2540" s="32" t="n">
        <v>10.77</v>
      </c>
      <c r="E2540" s="32" t="n">
        <v>549.966</v>
      </c>
      <c r="G2540" s="32" t="n">
        <v>4206</v>
      </c>
      <c r="H2540" s="32" t="inlineStr">
        <is>
          <t>bb</t>
        </is>
      </c>
      <c r="I2540" s="32" t="n">
        <v>549.966</v>
      </c>
      <c r="K2540" s="32" t="inlineStr">
        <is>
          <t>20250514-48</t>
        </is>
      </c>
    </row>
    <row r="2541">
      <c r="A2541" s="32" t="n">
        <v>38</v>
      </c>
      <c r="B2541" s="32" t="inlineStr">
        <is>
          <t>MeOH</t>
        </is>
      </c>
      <c r="K2541" s="32" t="inlineStr">
        <is>
          <t>20250514-49</t>
        </is>
      </c>
    </row>
    <row r="2542">
      <c r="A2542" s="32" t="n">
        <v>39</v>
      </c>
      <c r="B2542" s="32" t="inlineStr">
        <is>
          <t>K3-3A</t>
        </is>
      </c>
      <c r="D2542" s="32" t="n">
        <v>10.81</v>
      </c>
      <c r="E2542" s="32" t="n">
        <v>896.226</v>
      </c>
      <c r="G2542" s="32" t="n">
        <v>7052</v>
      </c>
      <c r="H2542" s="32" t="inlineStr">
        <is>
          <t>bb</t>
        </is>
      </c>
      <c r="I2542" s="32" t="n">
        <v>896.226</v>
      </c>
      <c r="K2542" s="32" t="inlineStr">
        <is>
          <t>20250514-50</t>
        </is>
      </c>
    </row>
    <row r="2543">
      <c r="A2543" s="32" t="n">
        <v>40</v>
      </c>
      <c r="B2543" s="32" t="inlineStr">
        <is>
          <t>K3-3B</t>
        </is>
      </c>
      <c r="D2543" s="32" t="n">
        <v>10.81</v>
      </c>
      <c r="E2543" s="32" t="n">
        <v>1005.7</v>
      </c>
      <c r="G2543" s="32" t="n">
        <v>7753</v>
      </c>
      <c r="H2543" s="32" t="inlineStr">
        <is>
          <t>bb</t>
        </is>
      </c>
      <c r="I2543" s="32" t="n">
        <v>1005.7</v>
      </c>
      <c r="K2543" s="32" t="inlineStr">
        <is>
          <t>20250514-51</t>
        </is>
      </c>
    </row>
    <row r="2544">
      <c r="A2544" s="32" t="n">
        <v>41</v>
      </c>
      <c r="B2544" s="32" t="inlineStr">
        <is>
          <t>K3-3C</t>
        </is>
      </c>
      <c r="D2544" s="32" t="n">
        <v>10.82</v>
      </c>
      <c r="E2544" s="32" t="n">
        <v>1040.161</v>
      </c>
      <c r="G2544" s="32" t="n">
        <v>29.461</v>
      </c>
      <c r="H2544" s="32" t="inlineStr">
        <is>
          <t>bb</t>
        </is>
      </c>
      <c r="I2544" s="32" t="n">
        <v>1040.161</v>
      </c>
      <c r="K2544" s="32" t="inlineStr">
        <is>
          <t>20250514-52</t>
        </is>
      </c>
    </row>
    <row r="2545">
      <c r="A2545" s="32" t="n">
        <v>42</v>
      </c>
      <c r="B2545" s="32" t="inlineStr">
        <is>
          <t>K3-4A</t>
        </is>
      </c>
      <c r="D2545" s="32" t="n">
        <v>10.89</v>
      </c>
      <c r="E2545" s="32" t="n">
        <v>1196.547</v>
      </c>
      <c r="G2545" s="32" t="n">
        <v>9110</v>
      </c>
      <c r="H2545" s="32" t="inlineStr">
        <is>
          <t>bb</t>
        </is>
      </c>
      <c r="I2545" s="32" t="n">
        <v>1196.547</v>
      </c>
      <c r="K2545" s="32" t="inlineStr">
        <is>
          <t>20250514-53</t>
        </is>
      </c>
    </row>
    <row r="2546">
      <c r="A2546" s="32" t="n">
        <v>43</v>
      </c>
      <c r="B2546" s="32" t="inlineStr">
        <is>
          <t>K3-4B</t>
        </is>
      </c>
      <c r="D2546" s="32" t="n">
        <v>10.85</v>
      </c>
      <c r="E2546" s="32" t="n">
        <v>1065.462</v>
      </c>
      <c r="G2546" s="32" t="n">
        <v>142.497</v>
      </c>
      <c r="H2546" s="32" t="inlineStr">
        <is>
          <t>bb</t>
        </is>
      </c>
      <c r="I2546" s="32" t="n">
        <v>1065.462</v>
      </c>
      <c r="K2546" s="32" t="inlineStr">
        <is>
          <t>20250514-54</t>
        </is>
      </c>
    </row>
    <row r="2547">
      <c r="A2547" s="32" t="n">
        <v>44</v>
      </c>
      <c r="B2547" s="32" t="inlineStr">
        <is>
          <t>K3-4C</t>
        </is>
      </c>
      <c r="D2547" s="32" t="n">
        <v>10.89</v>
      </c>
      <c r="E2547" s="32" t="n">
        <v>841.401</v>
      </c>
      <c r="G2547" s="32" t="n">
        <v>13.923</v>
      </c>
      <c r="H2547" s="32" t="inlineStr">
        <is>
          <t>bb</t>
        </is>
      </c>
      <c r="I2547" s="32" t="n">
        <v>841.401</v>
      </c>
      <c r="K2547" s="32" t="inlineStr">
        <is>
          <t>20250514-55</t>
        </is>
      </c>
    </row>
    <row r="2548">
      <c r="A2548" s="32" t="n">
        <v>45</v>
      </c>
      <c r="B2548" s="32" t="inlineStr">
        <is>
          <t>MeOH</t>
        </is>
      </c>
      <c r="K2548" s="32" t="inlineStr">
        <is>
          <t>20250514-56</t>
        </is>
      </c>
    </row>
    <row r="2549">
      <c r="A2549" s="32" t="n">
        <v>46</v>
      </c>
      <c r="B2549" s="32" t="inlineStr">
        <is>
          <t>K3-6A</t>
        </is>
      </c>
      <c r="D2549" s="32" t="n">
        <v>10.92</v>
      </c>
      <c r="E2549" s="32" t="n">
        <v>1044.224</v>
      </c>
      <c r="G2549" s="32" t="n">
        <v>4.245</v>
      </c>
      <c r="H2549" s="32" t="inlineStr">
        <is>
          <t>bb</t>
        </is>
      </c>
      <c r="I2549" s="32" t="n">
        <v>1044.224</v>
      </c>
      <c r="K2549" s="32" t="inlineStr">
        <is>
          <t>20250514-57</t>
        </is>
      </c>
    </row>
    <row r="2550">
      <c r="A2550" s="32" t="n">
        <v>47</v>
      </c>
      <c r="B2550" s="32" t="inlineStr">
        <is>
          <t>K3-6B</t>
        </is>
      </c>
      <c r="D2550" s="32" t="n">
        <v>10.89</v>
      </c>
      <c r="E2550" s="32" t="n">
        <v>517.776</v>
      </c>
      <c r="G2550" s="32" t="n">
        <v>3842</v>
      </c>
      <c r="H2550" s="32" t="inlineStr">
        <is>
          <t>bb</t>
        </is>
      </c>
      <c r="I2550" s="32" t="n">
        <v>517.776</v>
      </c>
      <c r="K2550" s="32" t="inlineStr">
        <is>
          <t>20250514-58</t>
        </is>
      </c>
    </row>
    <row r="2551">
      <c r="A2551" s="32" t="n">
        <v>48</v>
      </c>
      <c r="B2551" s="32" t="inlineStr">
        <is>
          <t>K3-6C</t>
        </is>
      </c>
      <c r="D2551" s="32" t="n">
        <v>10.89</v>
      </c>
      <c r="E2551" s="32" t="n">
        <v>709.654</v>
      </c>
      <c r="G2551" s="32" t="n">
        <v>5294</v>
      </c>
      <c r="H2551" s="32" t="inlineStr">
        <is>
          <t>bb</t>
        </is>
      </c>
      <c r="I2551" s="32" t="n">
        <v>709.654</v>
      </c>
      <c r="K2551" s="32" t="inlineStr">
        <is>
          <t>20250514-59</t>
        </is>
      </c>
    </row>
    <row r="2553">
      <c r="A2553" s="32" t="inlineStr">
        <is>
          <t>Compound 50:  m3 PFHxS 2</t>
        </is>
      </c>
    </row>
    <row r="2555">
      <c r="B2555" s="32" t="inlineStr">
        <is>
          <t>Sample Text</t>
        </is>
      </c>
      <c r="C2555" s="32" t="inlineStr">
        <is>
          <t>Std. Conc</t>
        </is>
      </c>
      <c r="D2555" s="32" t="inlineStr">
        <is>
          <t>RT</t>
        </is>
      </c>
      <c r="E2555" s="32" t="inlineStr">
        <is>
          <t>Area</t>
        </is>
      </c>
      <c r="F2555" s="32" t="inlineStr">
        <is>
          <t>IS Area</t>
        </is>
      </c>
      <c r="G2555" s="32" t="inlineStr">
        <is>
          <t>S/N</t>
        </is>
      </c>
      <c r="H2555" s="32" t="inlineStr">
        <is>
          <t>Primary Flags</t>
        </is>
      </c>
      <c r="I2555" s="32" t="inlineStr">
        <is>
          <t>Response</t>
        </is>
      </c>
      <c r="J2555" s="32" t="inlineStr">
        <is>
          <t>Conc.</t>
        </is>
      </c>
      <c r="K2555" s="32" t="inlineStr">
        <is>
          <t>Name</t>
        </is>
      </c>
    </row>
    <row r="2556">
      <c r="A2556" s="32" t="n">
        <v>1</v>
      </c>
      <c r="B2556" s="32" t="inlineStr">
        <is>
          <t>EPA1633 &amp; diPAPs Calibration 0 ppb</t>
        </is>
      </c>
      <c r="D2556" s="32" t="n">
        <v>10.74</v>
      </c>
      <c r="E2556" s="32" t="n">
        <v>1279.642</v>
      </c>
      <c r="G2556" s="32" t="n">
        <v>972.057</v>
      </c>
      <c r="H2556" s="32" t="inlineStr">
        <is>
          <t>bb</t>
        </is>
      </c>
      <c r="I2556" s="32" t="n">
        <v>1279.642</v>
      </c>
      <c r="K2556" s="32" t="inlineStr">
        <is>
          <t>20250514-12</t>
        </is>
      </c>
    </row>
    <row r="2557">
      <c r="A2557" s="32" t="n">
        <v>2</v>
      </c>
      <c r="B2557" s="32" t="inlineStr">
        <is>
          <t>EPA1633 &amp; diPAPs Calibration 0.02 ppb</t>
        </is>
      </c>
      <c r="D2557" s="32" t="n">
        <v>10.75</v>
      </c>
      <c r="E2557" s="32" t="n">
        <v>1373.295</v>
      </c>
      <c r="G2557" s="32" t="n">
        <v>66.672</v>
      </c>
      <c r="H2557" s="32" t="inlineStr">
        <is>
          <t>bb</t>
        </is>
      </c>
      <c r="I2557" s="32" t="n">
        <v>1373.295</v>
      </c>
      <c r="K2557" s="32" t="inlineStr">
        <is>
          <t>20250514-13</t>
        </is>
      </c>
    </row>
    <row r="2558">
      <c r="A2558" s="32" t="n">
        <v>3</v>
      </c>
      <c r="B2558" s="32" t="inlineStr">
        <is>
          <t>EPA1633 &amp; diPAPs Calibration 0.1 ppb</t>
        </is>
      </c>
      <c r="D2558" s="32" t="n">
        <v>10.78</v>
      </c>
      <c r="E2558" s="32" t="n">
        <v>1482.342</v>
      </c>
      <c r="G2558" s="32" t="n">
        <v>107.933</v>
      </c>
      <c r="H2558" s="32" t="inlineStr">
        <is>
          <t>bb</t>
        </is>
      </c>
      <c r="I2558" s="32" t="n">
        <v>1482.342</v>
      </c>
      <c r="K2558" s="32" t="inlineStr">
        <is>
          <t>20250514-14</t>
        </is>
      </c>
    </row>
    <row r="2559">
      <c r="A2559" s="32" t="n">
        <v>4</v>
      </c>
      <c r="B2559" s="32" t="inlineStr">
        <is>
          <t>EPA1633 &amp; diPAPs Calibration 0.4 ppb</t>
        </is>
      </c>
      <c r="D2559" s="32" t="n">
        <v>10.76</v>
      </c>
      <c r="E2559" s="32" t="n">
        <v>1076.598</v>
      </c>
      <c r="G2559" s="32" t="n">
        <v>10.952</v>
      </c>
      <c r="H2559" s="32" t="inlineStr">
        <is>
          <t>bb</t>
        </is>
      </c>
      <c r="I2559" s="32" t="n">
        <v>1076.598</v>
      </c>
      <c r="K2559" s="32" t="inlineStr">
        <is>
          <t>20250514-15</t>
        </is>
      </c>
    </row>
    <row r="2560">
      <c r="A2560" s="32" t="n">
        <v>5</v>
      </c>
      <c r="B2560" s="32" t="inlineStr">
        <is>
          <t>EPA1633 &amp; diPAPs Calibration 1 ppb</t>
        </is>
      </c>
      <c r="D2560" s="32" t="n">
        <v>10.8</v>
      </c>
      <c r="E2560" s="32" t="n">
        <v>1023.745</v>
      </c>
      <c r="G2560" s="32" t="n">
        <v>7760</v>
      </c>
      <c r="H2560" s="32" t="inlineStr">
        <is>
          <t>bb</t>
        </is>
      </c>
      <c r="I2560" s="32" t="n">
        <v>1023.745</v>
      </c>
      <c r="K2560" s="32" t="inlineStr">
        <is>
          <t>20250514-16</t>
        </is>
      </c>
    </row>
    <row r="2561">
      <c r="A2561" s="32" t="n">
        <v>6</v>
      </c>
      <c r="B2561" s="32" t="inlineStr">
        <is>
          <t>EPA1633 &amp; diPAPs Calibration 5 ppb</t>
        </is>
      </c>
      <c r="D2561" s="32" t="n">
        <v>10.68</v>
      </c>
      <c r="E2561" s="32" t="n">
        <v>1220.314</v>
      </c>
      <c r="G2561" s="32" t="n">
        <v>10194</v>
      </c>
      <c r="H2561" s="32" t="inlineStr">
        <is>
          <t>bb</t>
        </is>
      </c>
      <c r="I2561" s="32" t="n">
        <v>1220.314</v>
      </c>
      <c r="K2561" s="32" t="inlineStr">
        <is>
          <t>20250514-17</t>
        </is>
      </c>
    </row>
    <row r="2562">
      <c r="A2562" s="32" t="n">
        <v>7</v>
      </c>
      <c r="B2562" s="32" t="inlineStr">
        <is>
          <t>EPA1633 &amp; diPAPs Calibration 10 ppb</t>
        </is>
      </c>
      <c r="D2562" s="32" t="n">
        <v>10.7</v>
      </c>
      <c r="E2562" s="32" t="n">
        <v>918.925</v>
      </c>
      <c r="G2562" s="32" t="n">
        <v>190.255</v>
      </c>
      <c r="H2562" s="32" t="inlineStr">
        <is>
          <t>bb</t>
        </is>
      </c>
      <c r="I2562" s="32" t="n">
        <v>918.925</v>
      </c>
      <c r="K2562" s="32" t="inlineStr">
        <is>
          <t>20250514-18</t>
        </is>
      </c>
    </row>
    <row r="2563">
      <c r="A2563" s="32" t="n">
        <v>8</v>
      </c>
      <c r="B2563" s="32" t="inlineStr">
        <is>
          <t>EPA1633 &amp; diPAPs Calibration 20 ppb</t>
        </is>
      </c>
      <c r="D2563" s="32" t="n">
        <v>10.74</v>
      </c>
      <c r="E2563" s="32" t="n">
        <v>1152.07</v>
      </c>
      <c r="G2563" s="32" t="n">
        <v>1100.527</v>
      </c>
      <c r="H2563" s="32" t="inlineStr">
        <is>
          <t>bb</t>
        </is>
      </c>
      <c r="I2563" s="32" t="n">
        <v>1152.07</v>
      </c>
      <c r="K2563" s="32" t="inlineStr">
        <is>
          <t>20250514-19</t>
        </is>
      </c>
    </row>
    <row r="2564">
      <c r="A2564" s="32" t="n">
        <v>9</v>
      </c>
      <c r="B2564" s="32" t="inlineStr">
        <is>
          <t>MeOH</t>
        </is>
      </c>
      <c r="K2564" s="32" t="inlineStr">
        <is>
          <t>20250514-20</t>
        </is>
      </c>
    </row>
    <row r="2565">
      <c r="A2565" s="32" t="n">
        <v>10</v>
      </c>
      <c r="B2565" s="32" t="inlineStr">
        <is>
          <t>MeOH</t>
        </is>
      </c>
      <c r="K2565" s="32" t="inlineStr">
        <is>
          <t>20250514-21</t>
        </is>
      </c>
    </row>
    <row r="2566">
      <c r="A2566" s="32" t="n">
        <v>11</v>
      </c>
      <c r="B2566" s="32" t="inlineStr">
        <is>
          <t>SB1</t>
        </is>
      </c>
      <c r="D2566" s="32" t="n">
        <v>10.76</v>
      </c>
      <c r="E2566" s="32" t="n">
        <v>265.217</v>
      </c>
      <c r="G2566" s="32" t="n">
        <v>2241</v>
      </c>
      <c r="H2566" s="32" t="inlineStr">
        <is>
          <t>bb</t>
        </is>
      </c>
      <c r="I2566" s="32" t="n">
        <v>265.217</v>
      </c>
      <c r="K2566" s="32" t="inlineStr">
        <is>
          <t>20250514-22</t>
        </is>
      </c>
    </row>
    <row r="2567">
      <c r="A2567" s="32" t="n">
        <v>12</v>
      </c>
      <c r="B2567" s="32" t="inlineStr">
        <is>
          <t>SB2</t>
        </is>
      </c>
      <c r="D2567" s="32" t="n">
        <v>10.78</v>
      </c>
      <c r="E2567" s="32" t="n">
        <v>275.355</v>
      </c>
      <c r="G2567" s="32" t="n">
        <v>5.226</v>
      </c>
      <c r="H2567" s="32" t="inlineStr">
        <is>
          <t>bb</t>
        </is>
      </c>
      <c r="I2567" s="32" t="n">
        <v>275.355</v>
      </c>
      <c r="K2567" s="32" t="inlineStr">
        <is>
          <t>20250514-23</t>
        </is>
      </c>
    </row>
    <row r="2568">
      <c r="A2568" s="32" t="n">
        <v>13</v>
      </c>
      <c r="B2568" s="32" t="inlineStr">
        <is>
          <t>SB3</t>
        </is>
      </c>
      <c r="D2568" s="32" t="n">
        <v>10.78</v>
      </c>
      <c r="E2568" s="32" t="n">
        <v>530.133</v>
      </c>
      <c r="G2568" s="32" t="n">
        <v>4424</v>
      </c>
      <c r="H2568" s="32" t="inlineStr">
        <is>
          <t>bb</t>
        </is>
      </c>
      <c r="I2568" s="32" t="n">
        <v>530.133</v>
      </c>
      <c r="K2568" s="32" t="inlineStr">
        <is>
          <t>20250514-24</t>
        </is>
      </c>
    </row>
    <row r="2569">
      <c r="A2569" s="32" t="n">
        <v>14</v>
      </c>
      <c r="B2569" s="32" t="inlineStr">
        <is>
          <t>SS1</t>
        </is>
      </c>
      <c r="D2569" s="32" t="n">
        <v>10.82</v>
      </c>
      <c r="E2569" s="32" t="n">
        <v>371.63</v>
      </c>
      <c r="G2569" s="32" t="n">
        <v>139.72</v>
      </c>
      <c r="H2569" s="32" t="inlineStr">
        <is>
          <t>bb</t>
        </is>
      </c>
      <c r="I2569" s="32" t="n">
        <v>371.63</v>
      </c>
      <c r="K2569" s="32" t="inlineStr">
        <is>
          <t>20250514-25</t>
        </is>
      </c>
    </row>
    <row r="2570">
      <c r="A2570" s="32" t="n">
        <v>15</v>
      </c>
      <c r="B2570" s="32" t="inlineStr">
        <is>
          <t>SS2</t>
        </is>
      </c>
      <c r="K2570" s="32" t="inlineStr">
        <is>
          <t>20250514-26</t>
        </is>
      </c>
    </row>
    <row r="2571">
      <c r="A2571" s="32" t="n">
        <v>16</v>
      </c>
      <c r="B2571" s="32" t="inlineStr">
        <is>
          <t>SS3</t>
        </is>
      </c>
      <c r="D2571" s="32" t="n">
        <v>10.84</v>
      </c>
      <c r="E2571" s="32" t="n">
        <v>550.787</v>
      </c>
      <c r="G2571" s="32" t="n">
        <v>7.771</v>
      </c>
      <c r="H2571" s="32" t="inlineStr">
        <is>
          <t>bb</t>
        </is>
      </c>
      <c r="I2571" s="32" t="n">
        <v>550.787</v>
      </c>
      <c r="K2571" s="32" t="inlineStr">
        <is>
          <t>20250514-27</t>
        </is>
      </c>
    </row>
    <row r="2572">
      <c r="A2572" s="32" t="n">
        <v>17</v>
      </c>
      <c r="B2572" s="32" t="inlineStr">
        <is>
          <t>MeOH</t>
        </is>
      </c>
      <c r="K2572" s="32" t="inlineStr">
        <is>
          <t>20250514-28</t>
        </is>
      </c>
    </row>
    <row r="2573">
      <c r="A2573" s="32" t="n">
        <v>18</v>
      </c>
      <c r="B2573" s="32" t="inlineStr">
        <is>
          <t>K4-1A</t>
        </is>
      </c>
      <c r="D2573" s="32" t="n">
        <v>10.85</v>
      </c>
      <c r="E2573" s="32" t="n">
        <v>761.456</v>
      </c>
      <c r="G2573" s="32" t="n">
        <v>5538</v>
      </c>
      <c r="H2573" s="32" t="inlineStr">
        <is>
          <t>bb</t>
        </is>
      </c>
      <c r="I2573" s="32" t="n">
        <v>761.456</v>
      </c>
      <c r="K2573" s="32" t="inlineStr">
        <is>
          <t>20250514-29</t>
        </is>
      </c>
    </row>
    <row r="2574">
      <c r="A2574" s="32" t="n">
        <v>19</v>
      </c>
      <c r="B2574" s="32" t="inlineStr">
        <is>
          <t>K4-1B</t>
        </is>
      </c>
      <c r="D2574" s="32" t="n">
        <v>10.84</v>
      </c>
      <c r="E2574" s="32" t="n">
        <v>461.211</v>
      </c>
      <c r="G2574" s="32" t="n">
        <v>44.685</v>
      </c>
      <c r="H2574" s="32" t="inlineStr">
        <is>
          <t>bb</t>
        </is>
      </c>
      <c r="I2574" s="32" t="n">
        <v>461.211</v>
      </c>
      <c r="K2574" s="32" t="inlineStr">
        <is>
          <t>20250514-30</t>
        </is>
      </c>
    </row>
    <row r="2575">
      <c r="A2575" s="32" t="n">
        <v>20</v>
      </c>
      <c r="B2575" s="32" t="inlineStr">
        <is>
          <t>K4-1C</t>
        </is>
      </c>
      <c r="D2575" s="32" t="n">
        <v>10.88</v>
      </c>
      <c r="E2575" s="32" t="n">
        <v>277.991</v>
      </c>
      <c r="G2575" s="32" t="n">
        <v>28.855</v>
      </c>
      <c r="H2575" s="32" t="inlineStr">
        <is>
          <t>bb</t>
        </is>
      </c>
      <c r="I2575" s="32" t="n">
        <v>277.991</v>
      </c>
      <c r="K2575" s="32" t="inlineStr">
        <is>
          <t>20250514-31</t>
        </is>
      </c>
    </row>
    <row r="2576">
      <c r="A2576" s="32" t="n">
        <v>21</v>
      </c>
      <c r="B2576" s="32" t="inlineStr">
        <is>
          <t>K4-2A</t>
        </is>
      </c>
      <c r="D2576" s="32" t="n">
        <v>10.87</v>
      </c>
      <c r="E2576" s="32" t="n">
        <v>935.228</v>
      </c>
      <c r="G2576" s="32" t="n">
        <v>109.255</v>
      </c>
      <c r="H2576" s="32" t="inlineStr">
        <is>
          <t>bb</t>
        </is>
      </c>
      <c r="I2576" s="32" t="n">
        <v>935.228</v>
      </c>
      <c r="K2576" s="32" t="inlineStr">
        <is>
          <t>20250514-32</t>
        </is>
      </c>
    </row>
    <row r="2577">
      <c r="A2577" s="32" t="n">
        <v>22</v>
      </c>
      <c r="B2577" s="32" t="inlineStr">
        <is>
          <t>K4-2B</t>
        </is>
      </c>
      <c r="D2577" s="32" t="n">
        <v>10.87</v>
      </c>
      <c r="E2577" s="32" t="n">
        <v>442.548</v>
      </c>
      <c r="G2577" s="32" t="n">
        <v>3417</v>
      </c>
      <c r="H2577" s="32" t="inlineStr">
        <is>
          <t>bb</t>
        </is>
      </c>
      <c r="I2577" s="32" t="n">
        <v>442.548</v>
      </c>
      <c r="K2577" s="32" t="inlineStr">
        <is>
          <t>20250514-33</t>
        </is>
      </c>
    </row>
    <row r="2578">
      <c r="A2578" s="32" t="n">
        <v>23</v>
      </c>
      <c r="B2578" s="32" t="inlineStr">
        <is>
          <t>K4-2C</t>
        </is>
      </c>
      <c r="D2578" s="32" t="n">
        <v>10.87</v>
      </c>
      <c r="E2578" s="32" t="n">
        <v>641.376</v>
      </c>
      <c r="G2578" s="32" t="n">
        <v>5154</v>
      </c>
      <c r="H2578" s="32" t="inlineStr">
        <is>
          <t>bb</t>
        </is>
      </c>
      <c r="I2578" s="32" t="n">
        <v>641.376</v>
      </c>
      <c r="K2578" s="32" t="inlineStr">
        <is>
          <t>20250514-34</t>
        </is>
      </c>
    </row>
    <row r="2579">
      <c r="A2579" s="32" t="n">
        <v>24</v>
      </c>
      <c r="B2579" s="32" t="inlineStr">
        <is>
          <t>MeOH</t>
        </is>
      </c>
      <c r="K2579" s="32" t="inlineStr">
        <is>
          <t>20250514-35</t>
        </is>
      </c>
    </row>
    <row r="2580">
      <c r="A2580" s="32" t="n">
        <v>25</v>
      </c>
      <c r="B2580" s="32" t="inlineStr">
        <is>
          <t>K4-4A</t>
        </is>
      </c>
      <c r="D2580" s="32" t="n">
        <v>10.89</v>
      </c>
      <c r="E2580" s="32" t="n">
        <v>303.474</v>
      </c>
      <c r="G2580" s="32" t="n">
        <v>74.203</v>
      </c>
      <c r="H2580" s="32" t="inlineStr">
        <is>
          <t>bb</t>
        </is>
      </c>
      <c r="I2580" s="32" t="n">
        <v>303.474</v>
      </c>
      <c r="K2580" s="32" t="inlineStr">
        <is>
          <t>20250514-36</t>
        </is>
      </c>
    </row>
    <row r="2581">
      <c r="A2581" s="32" t="n">
        <v>26</v>
      </c>
      <c r="B2581" s="32" t="inlineStr">
        <is>
          <t>K4-4B</t>
        </is>
      </c>
      <c r="D2581" s="32" t="n">
        <v>10.89</v>
      </c>
      <c r="E2581" s="32" t="n">
        <v>650.835</v>
      </c>
      <c r="G2581" s="32" t="n">
        <v>4679</v>
      </c>
      <c r="H2581" s="32" t="inlineStr">
        <is>
          <t>bb</t>
        </is>
      </c>
      <c r="I2581" s="32" t="n">
        <v>650.835</v>
      </c>
      <c r="K2581" s="32" t="inlineStr">
        <is>
          <t>20250514-37</t>
        </is>
      </c>
    </row>
    <row r="2582">
      <c r="A2582" s="32" t="n">
        <v>27</v>
      </c>
      <c r="B2582" s="32" t="inlineStr">
        <is>
          <t>K4-4C</t>
        </is>
      </c>
      <c r="D2582" s="32" t="n">
        <v>10.89</v>
      </c>
      <c r="E2582" s="32" t="n">
        <v>916.072</v>
      </c>
      <c r="G2582" s="32" t="n">
        <v>7481</v>
      </c>
      <c r="H2582" s="32" t="inlineStr">
        <is>
          <t>bb</t>
        </is>
      </c>
      <c r="I2582" s="32" t="n">
        <v>916.072</v>
      </c>
      <c r="K2582" s="32" t="inlineStr">
        <is>
          <t>20250514-38</t>
        </is>
      </c>
    </row>
    <row r="2583">
      <c r="A2583" s="32" t="n">
        <v>28</v>
      </c>
      <c r="B2583" s="32" t="inlineStr">
        <is>
          <t>K4-5A</t>
        </is>
      </c>
      <c r="D2583" s="32" t="n">
        <v>10.88</v>
      </c>
      <c r="E2583" s="32" t="n">
        <v>574.623</v>
      </c>
      <c r="G2583" s="32" t="n">
        <v>4575</v>
      </c>
      <c r="H2583" s="32" t="inlineStr">
        <is>
          <t>bb</t>
        </is>
      </c>
      <c r="I2583" s="32" t="n">
        <v>574.623</v>
      </c>
      <c r="K2583" s="32" t="inlineStr">
        <is>
          <t>20250514-39</t>
        </is>
      </c>
    </row>
    <row r="2584">
      <c r="A2584" s="32" t="n">
        <v>29</v>
      </c>
      <c r="B2584" s="32" t="inlineStr">
        <is>
          <t>K4-5B</t>
        </is>
      </c>
      <c r="D2584" s="32" t="n">
        <v>10.85</v>
      </c>
      <c r="E2584" s="32" t="n">
        <v>522.277</v>
      </c>
      <c r="G2584" s="32" t="n">
        <v>16.018</v>
      </c>
      <c r="H2584" s="32" t="inlineStr">
        <is>
          <t>bb</t>
        </is>
      </c>
      <c r="I2584" s="32" t="n">
        <v>522.277</v>
      </c>
      <c r="K2584" s="32" t="inlineStr">
        <is>
          <t>20250514-40</t>
        </is>
      </c>
    </row>
    <row r="2585">
      <c r="A2585" s="32" t="n">
        <v>30</v>
      </c>
      <c r="B2585" s="32" t="inlineStr">
        <is>
          <t>K4-5C</t>
        </is>
      </c>
      <c r="D2585" s="32" t="n">
        <v>10.78</v>
      </c>
      <c r="E2585" s="32" t="n">
        <v>572.672</v>
      </c>
      <c r="G2585" s="32" t="n">
        <v>1248.62</v>
      </c>
      <c r="H2585" s="32" t="inlineStr">
        <is>
          <t>bb</t>
        </is>
      </c>
      <c r="I2585" s="32" t="n">
        <v>572.672</v>
      </c>
      <c r="K2585" s="32" t="inlineStr">
        <is>
          <t>20250514-41</t>
        </is>
      </c>
    </row>
    <row r="2586">
      <c r="A2586" s="32" t="n">
        <v>31</v>
      </c>
      <c r="B2586" s="32" t="inlineStr">
        <is>
          <t>MeOH</t>
        </is>
      </c>
      <c r="K2586" s="32" t="inlineStr">
        <is>
          <t>20250514-42</t>
        </is>
      </c>
    </row>
    <row r="2587">
      <c r="A2587" s="32" t="n">
        <v>32</v>
      </c>
      <c r="B2587" s="32" t="inlineStr">
        <is>
          <t>K3-1A</t>
        </is>
      </c>
      <c r="D2587" s="32" t="n">
        <v>10.66</v>
      </c>
      <c r="E2587" s="32" t="n">
        <v>471.097</v>
      </c>
      <c r="G2587" s="32" t="n">
        <v>4125</v>
      </c>
      <c r="H2587" s="32" t="inlineStr">
        <is>
          <t>bb</t>
        </is>
      </c>
      <c r="I2587" s="32" t="n">
        <v>471.097</v>
      </c>
      <c r="K2587" s="32" t="inlineStr">
        <is>
          <t>20250514-43</t>
        </is>
      </c>
    </row>
    <row r="2588">
      <c r="A2588" s="32" t="n">
        <v>33</v>
      </c>
      <c r="B2588" s="32" t="inlineStr">
        <is>
          <t>K3-1B</t>
        </is>
      </c>
      <c r="D2588" s="32" t="n">
        <v>10.69</v>
      </c>
      <c r="E2588" s="32" t="n">
        <v>620.8390000000001</v>
      </c>
      <c r="G2588" s="32" t="n">
        <v>5594</v>
      </c>
      <c r="H2588" s="32" t="inlineStr">
        <is>
          <t>bb</t>
        </is>
      </c>
      <c r="I2588" s="32" t="n">
        <v>620.8390000000001</v>
      </c>
      <c r="K2588" s="32" t="inlineStr">
        <is>
          <t>20250514-44</t>
        </is>
      </c>
    </row>
    <row r="2589">
      <c r="A2589" s="32" t="n">
        <v>34</v>
      </c>
      <c r="B2589" s="32" t="inlineStr">
        <is>
          <t>K3-1C</t>
        </is>
      </c>
      <c r="D2589" s="32" t="n">
        <v>10.75</v>
      </c>
      <c r="E2589" s="32" t="n">
        <v>466.856</v>
      </c>
      <c r="G2589" s="32" t="n">
        <v>21.074</v>
      </c>
      <c r="H2589" s="32" t="inlineStr">
        <is>
          <t>bb</t>
        </is>
      </c>
      <c r="I2589" s="32" t="n">
        <v>466.856</v>
      </c>
      <c r="K2589" s="32" t="inlineStr">
        <is>
          <t>20250514-45</t>
        </is>
      </c>
    </row>
    <row r="2590">
      <c r="A2590" s="32" t="n">
        <v>35</v>
      </c>
      <c r="B2590" s="32" t="inlineStr">
        <is>
          <t>K3-2A</t>
        </is>
      </c>
      <c r="D2590" s="32" t="n">
        <v>10.77</v>
      </c>
      <c r="E2590" s="32" t="n">
        <v>1042.297</v>
      </c>
      <c r="G2590" s="32" t="n">
        <v>585.678</v>
      </c>
      <c r="H2590" s="32" t="inlineStr">
        <is>
          <t>bb</t>
        </is>
      </c>
      <c r="I2590" s="32" t="n">
        <v>1042.297</v>
      </c>
      <c r="K2590" s="32" t="inlineStr">
        <is>
          <t>20250514-46</t>
        </is>
      </c>
    </row>
    <row r="2591">
      <c r="A2591" s="32" t="n">
        <v>36</v>
      </c>
      <c r="B2591" s="32" t="inlineStr">
        <is>
          <t>K3-2B</t>
        </is>
      </c>
      <c r="D2591" s="32" t="n">
        <v>10.78</v>
      </c>
      <c r="E2591" s="32" t="n">
        <v>873.1319999999999</v>
      </c>
      <c r="G2591" s="32" t="n">
        <v>410.434</v>
      </c>
      <c r="H2591" s="32" t="inlineStr">
        <is>
          <t>bb</t>
        </is>
      </c>
      <c r="I2591" s="32" t="n">
        <v>873.1319999999999</v>
      </c>
      <c r="K2591" s="32" t="inlineStr">
        <is>
          <t>20250514-47</t>
        </is>
      </c>
    </row>
    <row r="2592">
      <c r="A2592" s="32" t="n">
        <v>37</v>
      </c>
      <c r="B2592" s="32" t="inlineStr">
        <is>
          <t>K3-2C</t>
        </is>
      </c>
      <c r="D2592" s="32" t="n">
        <v>10.77</v>
      </c>
      <c r="E2592" s="32" t="n">
        <v>626.237</v>
      </c>
      <c r="G2592" s="32" t="n">
        <v>4862</v>
      </c>
      <c r="H2592" s="32" t="inlineStr">
        <is>
          <t>bb</t>
        </is>
      </c>
      <c r="I2592" s="32" t="n">
        <v>626.237</v>
      </c>
      <c r="K2592" s="32" t="inlineStr">
        <is>
          <t>20250514-48</t>
        </is>
      </c>
    </row>
    <row r="2593">
      <c r="A2593" s="32" t="n">
        <v>38</v>
      </c>
      <c r="B2593" s="32" t="inlineStr">
        <is>
          <t>MeOH</t>
        </is>
      </c>
      <c r="K2593" s="32" t="inlineStr">
        <is>
          <t>20250514-49</t>
        </is>
      </c>
    </row>
    <row r="2594">
      <c r="A2594" s="32" t="n">
        <v>39</v>
      </c>
      <c r="B2594" s="32" t="inlineStr">
        <is>
          <t>K3-3A</t>
        </is>
      </c>
      <c r="D2594" s="32" t="n">
        <v>10.8</v>
      </c>
      <c r="E2594" s="32" t="n">
        <v>692.974</v>
      </c>
      <c r="G2594" s="32" t="n">
        <v>54.589</v>
      </c>
      <c r="H2594" s="32" t="inlineStr">
        <is>
          <t>bb</t>
        </is>
      </c>
      <c r="I2594" s="32" t="n">
        <v>692.974</v>
      </c>
      <c r="K2594" s="32" t="inlineStr">
        <is>
          <t>20250514-50</t>
        </is>
      </c>
    </row>
    <row r="2595">
      <c r="A2595" s="32" t="n">
        <v>40</v>
      </c>
      <c r="B2595" s="32" t="inlineStr">
        <is>
          <t>K3-3B</t>
        </is>
      </c>
      <c r="D2595" s="32" t="n">
        <v>10.82</v>
      </c>
      <c r="E2595" s="32" t="n">
        <v>525.057</v>
      </c>
      <c r="G2595" s="32" t="n">
        <v>97.967</v>
      </c>
      <c r="H2595" s="32" t="inlineStr">
        <is>
          <t>bb</t>
        </is>
      </c>
      <c r="I2595" s="32" t="n">
        <v>525.057</v>
      </c>
      <c r="K2595" s="32" t="inlineStr">
        <is>
          <t>20250514-51</t>
        </is>
      </c>
    </row>
    <row r="2596">
      <c r="A2596" s="32" t="n">
        <v>41</v>
      </c>
      <c r="B2596" s="32" t="inlineStr">
        <is>
          <t>K3-3C</t>
        </is>
      </c>
      <c r="D2596" s="32" t="n">
        <v>10.81</v>
      </c>
      <c r="E2596" s="32" t="n">
        <v>604.283</v>
      </c>
      <c r="G2596" s="32" t="n">
        <v>44.728</v>
      </c>
      <c r="H2596" s="32" t="inlineStr">
        <is>
          <t>bb</t>
        </is>
      </c>
      <c r="I2596" s="32" t="n">
        <v>604.283</v>
      </c>
      <c r="K2596" s="32" t="inlineStr">
        <is>
          <t>20250514-52</t>
        </is>
      </c>
    </row>
    <row r="2597">
      <c r="A2597" s="32" t="n">
        <v>42</v>
      </c>
      <c r="B2597" s="32" t="inlineStr">
        <is>
          <t>K3-4A</t>
        </is>
      </c>
      <c r="D2597" s="32" t="n">
        <v>10.88</v>
      </c>
      <c r="E2597" s="32" t="n">
        <v>810.347</v>
      </c>
      <c r="G2597" s="32" t="n">
        <v>6560</v>
      </c>
      <c r="H2597" s="32" t="inlineStr">
        <is>
          <t>bb</t>
        </is>
      </c>
      <c r="I2597" s="32" t="n">
        <v>810.347</v>
      </c>
      <c r="K2597" s="32" t="inlineStr">
        <is>
          <t>20250514-53</t>
        </is>
      </c>
    </row>
    <row r="2598">
      <c r="A2598" s="32" t="n">
        <v>43</v>
      </c>
      <c r="B2598" s="32" t="inlineStr">
        <is>
          <t>K3-4B</t>
        </is>
      </c>
      <c r="D2598" s="32" t="n">
        <v>10.85</v>
      </c>
      <c r="E2598" s="32" t="n">
        <v>662.284</v>
      </c>
      <c r="G2598" s="32" t="n">
        <v>17.813</v>
      </c>
      <c r="H2598" s="32" t="inlineStr">
        <is>
          <t>bb</t>
        </is>
      </c>
      <c r="I2598" s="32" t="n">
        <v>662.284</v>
      </c>
      <c r="K2598" s="32" t="inlineStr">
        <is>
          <t>20250514-54</t>
        </is>
      </c>
    </row>
    <row r="2599">
      <c r="A2599" s="32" t="n">
        <v>44</v>
      </c>
      <c r="B2599" s="32" t="inlineStr">
        <is>
          <t>K3-4C</t>
        </is>
      </c>
      <c r="D2599" s="32" t="n">
        <v>10.89</v>
      </c>
      <c r="E2599" s="32" t="n">
        <v>607.489</v>
      </c>
      <c r="G2599" s="32" t="n">
        <v>4328</v>
      </c>
      <c r="H2599" s="32" t="inlineStr">
        <is>
          <t>bb</t>
        </is>
      </c>
      <c r="I2599" s="32" t="n">
        <v>607.489</v>
      </c>
      <c r="K2599" s="32" t="inlineStr">
        <is>
          <t>20250514-55</t>
        </is>
      </c>
    </row>
    <row r="2600">
      <c r="A2600" s="32" t="n">
        <v>45</v>
      </c>
      <c r="B2600" s="32" t="inlineStr">
        <is>
          <t>MeOH</t>
        </is>
      </c>
      <c r="D2600" s="32" t="n">
        <v>10.72</v>
      </c>
      <c r="E2600" s="32" t="n">
        <v>8.281000000000001</v>
      </c>
      <c r="G2600" s="32" t="n">
        <v>93</v>
      </c>
      <c r="H2600" s="32" t="inlineStr">
        <is>
          <t>bb</t>
        </is>
      </c>
      <c r="I2600" s="32" t="n">
        <v>8.281000000000001</v>
      </c>
      <c r="K2600" s="32" t="inlineStr">
        <is>
          <t>20250514-56</t>
        </is>
      </c>
    </row>
    <row r="2601">
      <c r="A2601" s="32" t="n">
        <v>46</v>
      </c>
      <c r="B2601" s="32" t="inlineStr">
        <is>
          <t>K3-6A</t>
        </is>
      </c>
      <c r="D2601" s="32" t="n">
        <v>10.91</v>
      </c>
      <c r="E2601" s="32" t="n">
        <v>813.943</v>
      </c>
      <c r="G2601" s="32" t="n">
        <v>19.764</v>
      </c>
      <c r="H2601" s="32" t="inlineStr">
        <is>
          <t>bb</t>
        </is>
      </c>
      <c r="I2601" s="32" t="n">
        <v>813.943</v>
      </c>
      <c r="K2601" s="32" t="inlineStr">
        <is>
          <t>20250514-57</t>
        </is>
      </c>
    </row>
    <row r="2602">
      <c r="A2602" s="32" t="n">
        <v>47</v>
      </c>
      <c r="B2602" s="32" t="inlineStr">
        <is>
          <t>K3-6B</t>
        </is>
      </c>
      <c r="D2602" s="32" t="n">
        <v>10.89</v>
      </c>
      <c r="E2602" s="32" t="n">
        <v>717.693</v>
      </c>
      <c r="G2602" s="32" t="n">
        <v>18.285</v>
      </c>
      <c r="H2602" s="32" t="inlineStr">
        <is>
          <t>bb</t>
        </is>
      </c>
      <c r="I2602" s="32" t="n">
        <v>717.693</v>
      </c>
      <c r="K2602" s="32" t="inlineStr">
        <is>
          <t>20250514-58</t>
        </is>
      </c>
    </row>
    <row r="2603">
      <c r="A2603" s="32" t="n">
        <v>48</v>
      </c>
      <c r="B2603" s="32" t="inlineStr">
        <is>
          <t>K3-6C</t>
        </is>
      </c>
      <c r="D2603" s="32" t="n">
        <v>10.87</v>
      </c>
      <c r="E2603" s="32" t="n">
        <v>771.162</v>
      </c>
      <c r="G2603" s="32" t="n">
        <v>5579</v>
      </c>
      <c r="H2603" s="32" t="inlineStr">
        <is>
          <t>bb</t>
        </is>
      </c>
      <c r="I2603" s="32" t="n">
        <v>771.162</v>
      </c>
      <c r="K2603" s="32" t="inlineStr">
        <is>
          <t>20250514-59</t>
        </is>
      </c>
    </row>
    <row r="2605">
      <c r="A2605" s="32" t="inlineStr">
        <is>
          <t>Compound 51:  PFOA 1</t>
        </is>
      </c>
    </row>
    <row r="2607">
      <c r="B2607" s="32" t="inlineStr">
        <is>
          <t>Sample Text</t>
        </is>
      </c>
      <c r="C2607" s="32" t="inlineStr">
        <is>
          <t>Std. Conc</t>
        </is>
      </c>
      <c r="D2607" s="32" t="inlineStr">
        <is>
          <t>RT</t>
        </is>
      </c>
      <c r="E2607" s="32" t="inlineStr">
        <is>
          <t>Area</t>
        </is>
      </c>
      <c r="F2607" s="32" t="inlineStr">
        <is>
          <t>IS Area</t>
        </is>
      </c>
      <c r="G2607" s="32" t="inlineStr">
        <is>
          <t>S/N</t>
        </is>
      </c>
      <c r="H2607" s="32" t="inlineStr">
        <is>
          <t>Primary Flags</t>
        </is>
      </c>
      <c r="I2607" s="32" t="inlineStr">
        <is>
          <t>Response</t>
        </is>
      </c>
      <c r="J2607" s="32" t="inlineStr">
        <is>
          <t>Conc.</t>
        </is>
      </c>
      <c r="K2607" s="32" t="inlineStr">
        <is>
          <t>Name</t>
        </is>
      </c>
    </row>
    <row r="2608">
      <c r="A2608" s="32" t="n">
        <v>1</v>
      </c>
      <c r="B2608" s="32" t="inlineStr">
        <is>
          <t>EPA1633 &amp; diPAPs Calibration 0 ppb</t>
        </is>
      </c>
      <c r="D2608" s="32" t="n">
        <v>11.99</v>
      </c>
      <c r="E2608" s="32" t="n">
        <v>424.566</v>
      </c>
      <c r="F2608" s="32" t="n">
        <v>7374.887</v>
      </c>
      <c r="G2608" s="32" t="n">
        <v>2.699</v>
      </c>
      <c r="H2608" s="32" t="inlineStr">
        <is>
          <t>bb</t>
        </is>
      </c>
      <c r="K2608" s="32" t="inlineStr">
        <is>
          <t>20250514-12</t>
        </is>
      </c>
    </row>
    <row r="2609">
      <c r="A2609" s="32" t="n">
        <v>2</v>
      </c>
      <c r="B2609" s="32" t="inlineStr">
        <is>
          <t>EPA1633 &amp; diPAPs Calibration 0.02 ppb</t>
        </is>
      </c>
      <c r="D2609" s="32" t="n">
        <v>11.92</v>
      </c>
      <c r="E2609" s="32" t="n">
        <v>760.22</v>
      </c>
      <c r="F2609" s="32" t="n">
        <v>6169.054</v>
      </c>
      <c r="G2609" s="32" t="n">
        <v>19.22</v>
      </c>
      <c r="H2609" s="32" t="inlineStr">
        <is>
          <t>bb</t>
        </is>
      </c>
      <c r="K2609" s="32" t="inlineStr">
        <is>
          <t>20250514-13</t>
        </is>
      </c>
    </row>
    <row r="2610">
      <c r="A2610" s="32" t="n">
        <v>3</v>
      </c>
      <c r="B2610" s="32" t="inlineStr">
        <is>
          <t>EPA1633 &amp; diPAPs Calibration 0.1 ppb</t>
        </is>
      </c>
      <c r="D2610" s="32" t="n">
        <v>11.94</v>
      </c>
      <c r="E2610" s="32" t="n">
        <v>462.534</v>
      </c>
      <c r="F2610" s="32" t="n">
        <v>6270.085</v>
      </c>
      <c r="G2610" s="32" t="n">
        <v>16.229</v>
      </c>
      <c r="H2610" s="32" t="inlineStr">
        <is>
          <t>bb</t>
        </is>
      </c>
      <c r="K2610" s="32" t="inlineStr">
        <is>
          <t>20250514-14</t>
        </is>
      </c>
    </row>
    <row r="2611">
      <c r="A2611" s="32" t="n">
        <v>4</v>
      </c>
      <c r="B2611" s="32" t="inlineStr">
        <is>
          <t>EPA1633 &amp; diPAPs Calibration 0.4 ppb</t>
        </is>
      </c>
      <c r="D2611" s="32" t="n">
        <v>11.93</v>
      </c>
      <c r="E2611" s="32" t="n">
        <v>627.082</v>
      </c>
      <c r="F2611" s="32" t="n">
        <v>5073.597</v>
      </c>
      <c r="G2611" s="32" t="n">
        <v>7.782</v>
      </c>
      <c r="H2611" s="32" t="inlineStr">
        <is>
          <t>MM</t>
        </is>
      </c>
      <c r="K2611" s="32" t="inlineStr">
        <is>
          <t>20250514-15</t>
        </is>
      </c>
    </row>
    <row r="2612">
      <c r="A2612" s="32" t="n">
        <v>5</v>
      </c>
      <c r="B2612" s="32" t="inlineStr">
        <is>
          <t>EPA1633 &amp; diPAPs Calibration 1 ppb</t>
        </is>
      </c>
      <c r="D2612" s="32" t="n">
        <v>11.93</v>
      </c>
      <c r="E2612" s="32" t="n">
        <v>1346.038</v>
      </c>
      <c r="F2612" s="32" t="n">
        <v>5607.035</v>
      </c>
      <c r="G2612" s="32" t="n">
        <v>22.849</v>
      </c>
      <c r="H2612" s="32" t="inlineStr">
        <is>
          <t>bb</t>
        </is>
      </c>
      <c r="K2612" s="32" t="inlineStr">
        <is>
          <t>20250514-16</t>
        </is>
      </c>
    </row>
    <row r="2613">
      <c r="A2613" s="32" t="n">
        <v>6</v>
      </c>
      <c r="B2613" s="32" t="inlineStr">
        <is>
          <t>EPA1633 &amp; diPAPs Calibration 5 ppb</t>
        </is>
      </c>
      <c r="D2613" s="32" t="n">
        <v>11.83</v>
      </c>
      <c r="E2613" s="32" t="n">
        <v>3905.586</v>
      </c>
      <c r="F2613" s="32" t="n">
        <v>4189.369</v>
      </c>
      <c r="G2613" s="32" t="n">
        <v>39.028</v>
      </c>
      <c r="H2613" s="32" t="inlineStr">
        <is>
          <t>bb</t>
        </is>
      </c>
      <c r="K2613" s="32" t="inlineStr">
        <is>
          <t>20250514-17</t>
        </is>
      </c>
    </row>
    <row r="2614">
      <c r="A2614" s="32" t="n">
        <v>7</v>
      </c>
      <c r="B2614" s="32" t="inlineStr">
        <is>
          <t>EPA1633 &amp; diPAPs Calibration 10 ppb</t>
        </is>
      </c>
      <c r="D2614" s="32" t="n">
        <v>11.86</v>
      </c>
      <c r="E2614" s="32" t="n">
        <v>6196.579</v>
      </c>
      <c r="F2614" s="32" t="n">
        <v>3916.892</v>
      </c>
      <c r="G2614" s="32" t="n">
        <v>61.033</v>
      </c>
      <c r="H2614" s="32" t="inlineStr">
        <is>
          <t>MM</t>
        </is>
      </c>
      <c r="K2614" s="32" t="inlineStr">
        <is>
          <t>20250514-18</t>
        </is>
      </c>
    </row>
    <row r="2615">
      <c r="A2615" s="32" t="n">
        <v>8</v>
      </c>
      <c r="B2615" s="32" t="inlineStr">
        <is>
          <t>EPA1633 &amp; diPAPs Calibration 20 ppb</t>
        </is>
      </c>
      <c r="D2615" s="32" t="n">
        <v>11.89</v>
      </c>
      <c r="E2615" s="32" t="n">
        <v>10955.967</v>
      </c>
      <c r="F2615" s="32" t="n">
        <v>4672.899</v>
      </c>
      <c r="G2615" s="32" t="n">
        <v>207.543</v>
      </c>
      <c r="H2615" s="32" t="inlineStr">
        <is>
          <t>bb</t>
        </is>
      </c>
      <c r="K2615" s="32" t="inlineStr">
        <is>
          <t>20250514-19</t>
        </is>
      </c>
    </row>
    <row r="2616">
      <c r="A2616" s="32" t="n">
        <v>9</v>
      </c>
      <c r="B2616" s="32" t="inlineStr">
        <is>
          <t>MeOH</t>
        </is>
      </c>
      <c r="D2616" s="32" t="n">
        <v>11.91</v>
      </c>
      <c r="E2616" s="32" t="n">
        <v>563.261</v>
      </c>
      <c r="G2616" s="32" t="n">
        <v>8.558</v>
      </c>
      <c r="H2616" s="32" t="inlineStr">
        <is>
          <t>bb</t>
        </is>
      </c>
      <c r="K2616" s="32" t="inlineStr">
        <is>
          <t>20250514-20</t>
        </is>
      </c>
    </row>
    <row r="2617">
      <c r="A2617" s="32" t="n">
        <v>10</v>
      </c>
      <c r="B2617" s="32" t="inlineStr">
        <is>
          <t>MeOH</t>
        </is>
      </c>
      <c r="D2617" s="32" t="n">
        <v>11.92</v>
      </c>
      <c r="E2617" s="32" t="n">
        <v>514.647</v>
      </c>
      <c r="G2617" s="32" t="n">
        <v>11.229</v>
      </c>
      <c r="H2617" s="32" t="inlineStr">
        <is>
          <t>bb</t>
        </is>
      </c>
      <c r="K2617" s="32" t="inlineStr">
        <is>
          <t>20250514-21</t>
        </is>
      </c>
    </row>
    <row r="2618">
      <c r="A2618" s="32" t="n">
        <v>11</v>
      </c>
      <c r="B2618" s="32" t="inlineStr">
        <is>
          <t>SB1</t>
        </is>
      </c>
      <c r="D2618" s="32" t="n">
        <v>11.93</v>
      </c>
      <c r="E2618" s="32" t="n">
        <v>1793.09</v>
      </c>
      <c r="F2618" s="32" t="n">
        <v>1803.361</v>
      </c>
      <c r="G2618" s="32" t="n">
        <v>28.548</v>
      </c>
      <c r="H2618" s="32" t="inlineStr">
        <is>
          <t>MM</t>
        </is>
      </c>
      <c r="K2618" s="32" t="inlineStr">
        <is>
          <t>20250514-22</t>
        </is>
      </c>
    </row>
    <row r="2619">
      <c r="A2619" s="32" t="n">
        <v>12</v>
      </c>
      <c r="B2619" s="32" t="inlineStr">
        <is>
          <t>SB2</t>
        </is>
      </c>
      <c r="D2619" s="32" t="n">
        <v>11.95</v>
      </c>
      <c r="E2619" s="32" t="n">
        <v>689.452</v>
      </c>
      <c r="F2619" s="32" t="n">
        <v>1582.835</v>
      </c>
      <c r="G2619" s="32" t="n">
        <v>6.487</v>
      </c>
      <c r="H2619" s="32" t="inlineStr">
        <is>
          <t>MM</t>
        </is>
      </c>
      <c r="K2619" s="32" t="inlineStr">
        <is>
          <t>20250514-23</t>
        </is>
      </c>
    </row>
    <row r="2620">
      <c r="A2620" s="32" t="n">
        <v>13</v>
      </c>
      <c r="B2620" s="32" t="inlineStr">
        <is>
          <t>SB3</t>
        </is>
      </c>
      <c r="D2620" s="32" t="n">
        <v>11.96</v>
      </c>
      <c r="E2620" s="32" t="n">
        <v>615.037</v>
      </c>
      <c r="F2620" s="32" t="n">
        <v>1671.82</v>
      </c>
      <c r="G2620" s="32" t="n">
        <v>12.218</v>
      </c>
      <c r="H2620" s="32" t="inlineStr">
        <is>
          <t>bb</t>
        </is>
      </c>
      <c r="K2620" s="32" t="inlineStr">
        <is>
          <t>20250514-24</t>
        </is>
      </c>
    </row>
    <row r="2621">
      <c r="A2621" s="32" t="n">
        <v>14</v>
      </c>
      <c r="B2621" s="32" t="inlineStr">
        <is>
          <t>SS1</t>
        </is>
      </c>
      <c r="D2621" s="32" t="n">
        <v>11.96</v>
      </c>
      <c r="E2621" s="32" t="n">
        <v>2910.376</v>
      </c>
      <c r="F2621" s="32" t="n">
        <v>1602.526</v>
      </c>
      <c r="G2621" s="32" t="n">
        <v>37.135</v>
      </c>
      <c r="H2621" s="32" t="inlineStr">
        <is>
          <t>bb</t>
        </is>
      </c>
      <c r="K2621" s="32" t="inlineStr">
        <is>
          <t>20250514-25</t>
        </is>
      </c>
    </row>
    <row r="2622">
      <c r="A2622" s="32" t="n">
        <v>15</v>
      </c>
      <c r="B2622" s="32" t="inlineStr">
        <is>
          <t>SS2</t>
        </is>
      </c>
      <c r="D2622" s="32" t="n">
        <v>11.98</v>
      </c>
      <c r="E2622" s="32" t="n">
        <v>3631.172</v>
      </c>
      <c r="F2622" s="32" t="n">
        <v>1532.612</v>
      </c>
      <c r="G2622" s="32" t="n">
        <v>39.631</v>
      </c>
      <c r="H2622" s="32" t="inlineStr">
        <is>
          <t>bb</t>
        </is>
      </c>
      <c r="K2622" s="32" t="inlineStr">
        <is>
          <t>20250514-26</t>
        </is>
      </c>
    </row>
    <row r="2623">
      <c r="A2623" s="32" t="n">
        <v>16</v>
      </c>
      <c r="B2623" s="32" t="inlineStr">
        <is>
          <t>SS3</t>
        </is>
      </c>
      <c r="D2623" s="32" t="n">
        <v>11.98</v>
      </c>
      <c r="E2623" s="32" t="n">
        <v>6054.242</v>
      </c>
      <c r="F2623" s="32" t="n">
        <v>1291.402</v>
      </c>
      <c r="G2623" s="32" t="n">
        <v>129.476</v>
      </c>
      <c r="H2623" s="32" t="inlineStr">
        <is>
          <t>MM</t>
        </is>
      </c>
      <c r="K2623" s="32" t="inlineStr">
        <is>
          <t>20250514-27</t>
        </is>
      </c>
    </row>
    <row r="2624">
      <c r="A2624" s="32" t="n">
        <v>17</v>
      </c>
      <c r="B2624" s="32" t="inlineStr">
        <is>
          <t>MeOH</t>
        </is>
      </c>
      <c r="H2624" s="32" t="inlineStr">
        <is>
          <t>MM-</t>
        </is>
      </c>
      <c r="K2624" s="32" t="inlineStr">
        <is>
          <t>20250514-28</t>
        </is>
      </c>
    </row>
    <row r="2625">
      <c r="A2625" s="32" t="n">
        <v>18</v>
      </c>
      <c r="B2625" s="32" t="inlineStr">
        <is>
          <t>K4-1A</t>
        </is>
      </c>
      <c r="D2625" s="32" t="n">
        <v>12</v>
      </c>
      <c r="E2625" s="32" t="n">
        <v>1016.779</v>
      </c>
      <c r="F2625" s="32" t="n">
        <v>2173.066</v>
      </c>
      <c r="G2625" s="32" t="n">
        <v>30.514</v>
      </c>
      <c r="H2625" s="32" t="inlineStr">
        <is>
          <t>bb</t>
        </is>
      </c>
      <c r="K2625" s="32" t="inlineStr">
        <is>
          <t>20250514-29</t>
        </is>
      </c>
    </row>
    <row r="2626">
      <c r="A2626" s="32" t="n">
        <v>19</v>
      </c>
      <c r="B2626" s="32" t="inlineStr">
        <is>
          <t>K4-1B</t>
        </is>
      </c>
      <c r="D2626" s="32" t="n">
        <v>11.99</v>
      </c>
      <c r="E2626" s="32" t="n">
        <v>2146.792</v>
      </c>
      <c r="F2626" s="32" t="n">
        <v>2231.232</v>
      </c>
      <c r="G2626" s="32" t="n">
        <v>27.57</v>
      </c>
      <c r="H2626" s="32" t="inlineStr">
        <is>
          <t>MM</t>
        </is>
      </c>
      <c r="K2626" s="32" t="inlineStr">
        <is>
          <t>20250514-30</t>
        </is>
      </c>
    </row>
    <row r="2627">
      <c r="A2627" s="32" t="n">
        <v>20</v>
      </c>
      <c r="B2627" s="32" t="inlineStr">
        <is>
          <t>K4-1C</t>
        </is>
      </c>
      <c r="D2627" s="32" t="n">
        <v>11.99</v>
      </c>
      <c r="E2627" s="32" t="n">
        <v>2297.941</v>
      </c>
      <c r="F2627" s="32" t="n">
        <v>2264.738</v>
      </c>
      <c r="G2627" s="32" t="n">
        <v>160.597</v>
      </c>
      <c r="H2627" s="32" t="inlineStr">
        <is>
          <t>bb</t>
        </is>
      </c>
      <c r="K2627" s="32" t="inlineStr">
        <is>
          <t>20250514-31</t>
        </is>
      </c>
    </row>
    <row r="2628">
      <c r="A2628" s="32" t="n">
        <v>21</v>
      </c>
      <c r="B2628" s="32" t="inlineStr">
        <is>
          <t>K4-2A</t>
        </is>
      </c>
      <c r="D2628" s="32" t="n">
        <v>12.01</v>
      </c>
      <c r="E2628" s="32" t="n">
        <v>14661.41</v>
      </c>
      <c r="F2628" s="32" t="n">
        <v>2546.569</v>
      </c>
      <c r="G2628" s="32" t="n">
        <v>315.547</v>
      </c>
      <c r="H2628" s="32" t="inlineStr">
        <is>
          <t>bb</t>
        </is>
      </c>
      <c r="K2628" s="32" t="inlineStr">
        <is>
          <t>20250514-32</t>
        </is>
      </c>
    </row>
    <row r="2629">
      <c r="A2629" s="32" t="n">
        <v>22</v>
      </c>
      <c r="B2629" s="32" t="inlineStr">
        <is>
          <t>K4-2B</t>
        </is>
      </c>
      <c r="D2629" s="32" t="n">
        <v>11.99</v>
      </c>
      <c r="E2629" s="32" t="n">
        <v>1861.887</v>
      </c>
      <c r="F2629" s="32" t="n">
        <v>1959.093</v>
      </c>
      <c r="G2629" s="32" t="n">
        <v>27.692</v>
      </c>
      <c r="H2629" s="32" t="inlineStr">
        <is>
          <t>bb</t>
        </is>
      </c>
      <c r="K2629" s="32" t="inlineStr">
        <is>
          <t>20250514-33</t>
        </is>
      </c>
    </row>
    <row r="2630">
      <c r="A2630" s="32" t="n">
        <v>23</v>
      </c>
      <c r="B2630" s="32" t="inlineStr">
        <is>
          <t>K4-2C</t>
        </is>
      </c>
      <c r="D2630" s="32" t="n">
        <v>12.04</v>
      </c>
      <c r="E2630" s="32" t="n">
        <v>1009.192</v>
      </c>
      <c r="F2630" s="32" t="n">
        <v>1962.095</v>
      </c>
      <c r="G2630" s="32" t="n">
        <v>18.1</v>
      </c>
      <c r="H2630" s="32" t="inlineStr">
        <is>
          <t>bb</t>
        </is>
      </c>
      <c r="K2630" s="32" t="inlineStr">
        <is>
          <t>20250514-34</t>
        </is>
      </c>
    </row>
    <row r="2631">
      <c r="A2631" s="32" t="n">
        <v>24</v>
      </c>
      <c r="B2631" s="32" t="inlineStr">
        <is>
          <t>MeOH</t>
        </is>
      </c>
      <c r="H2631" s="32" t="inlineStr">
        <is>
          <t>MM-</t>
        </is>
      </c>
      <c r="K2631" s="32" t="inlineStr">
        <is>
          <t>20250514-35</t>
        </is>
      </c>
    </row>
    <row r="2632">
      <c r="A2632" s="32" t="n">
        <v>25</v>
      </c>
      <c r="B2632" s="32" t="inlineStr">
        <is>
          <t>K4-4A</t>
        </is>
      </c>
      <c r="D2632" s="32" t="n">
        <v>12.04</v>
      </c>
      <c r="E2632" s="32" t="n">
        <v>981.524</v>
      </c>
      <c r="F2632" s="32" t="n">
        <v>1890.679</v>
      </c>
      <c r="G2632" s="32" t="n">
        <v>14.456</v>
      </c>
      <c r="H2632" s="32" t="inlineStr">
        <is>
          <t>bb</t>
        </is>
      </c>
      <c r="K2632" s="32" t="inlineStr">
        <is>
          <t>20250514-36</t>
        </is>
      </c>
    </row>
    <row r="2633">
      <c r="A2633" s="32" t="n">
        <v>26</v>
      </c>
      <c r="B2633" s="32" t="inlineStr">
        <is>
          <t>K4-4B</t>
        </is>
      </c>
      <c r="D2633" s="32" t="n">
        <v>12.02</v>
      </c>
      <c r="E2633" s="32" t="n">
        <v>1736.965</v>
      </c>
      <c r="F2633" s="32" t="n">
        <v>1558.258</v>
      </c>
      <c r="G2633" s="32" t="n">
        <v>42.325</v>
      </c>
      <c r="H2633" s="32" t="inlineStr">
        <is>
          <t>bb</t>
        </is>
      </c>
      <c r="K2633" s="32" t="inlineStr">
        <is>
          <t>20250514-37</t>
        </is>
      </c>
    </row>
    <row r="2634">
      <c r="A2634" s="32" t="n">
        <v>27</v>
      </c>
      <c r="B2634" s="32" t="inlineStr">
        <is>
          <t>K4-4C</t>
        </is>
      </c>
      <c r="D2634" s="32" t="n">
        <v>12.04</v>
      </c>
      <c r="E2634" s="32" t="n">
        <v>637.1900000000001</v>
      </c>
      <c r="F2634" s="32" t="n">
        <v>1217.543</v>
      </c>
      <c r="G2634" s="32" t="n">
        <v>22.253</v>
      </c>
      <c r="H2634" s="32" t="inlineStr">
        <is>
          <t>MM</t>
        </is>
      </c>
      <c r="K2634" s="32" t="inlineStr">
        <is>
          <t>20250514-38</t>
        </is>
      </c>
    </row>
    <row r="2635">
      <c r="A2635" s="32" t="n">
        <v>28</v>
      </c>
      <c r="B2635" s="32" t="inlineStr">
        <is>
          <t>K4-5A</t>
        </is>
      </c>
      <c r="D2635" s="32" t="n">
        <v>12.02</v>
      </c>
      <c r="E2635" s="32" t="n">
        <v>2559.751</v>
      </c>
      <c r="F2635" s="32" t="n">
        <v>1730.688</v>
      </c>
      <c r="G2635" s="32" t="n">
        <v>82.58199999999999</v>
      </c>
      <c r="H2635" s="32" t="inlineStr">
        <is>
          <t>bb</t>
        </is>
      </c>
      <c r="K2635" s="32" t="inlineStr">
        <is>
          <t>20250514-39</t>
        </is>
      </c>
    </row>
    <row r="2636">
      <c r="A2636" s="32" t="n">
        <v>29</v>
      </c>
      <c r="B2636" s="32" t="inlineStr">
        <is>
          <t>K4-5B</t>
        </is>
      </c>
      <c r="D2636" s="32" t="n">
        <v>11.99</v>
      </c>
      <c r="E2636" s="32" t="n">
        <v>1160.597</v>
      </c>
      <c r="F2636" s="32" t="n">
        <v>2104.275</v>
      </c>
      <c r="G2636" s="32" t="n">
        <v>21.557</v>
      </c>
      <c r="H2636" s="32" t="inlineStr">
        <is>
          <t>bb</t>
        </is>
      </c>
      <c r="K2636" s="32" t="inlineStr">
        <is>
          <t>20250514-40</t>
        </is>
      </c>
    </row>
    <row r="2637">
      <c r="A2637" s="32" t="n">
        <v>30</v>
      </c>
      <c r="B2637" s="32" t="inlineStr">
        <is>
          <t>K4-5C</t>
        </is>
      </c>
      <c r="D2637" s="32" t="n">
        <v>11.92</v>
      </c>
      <c r="E2637" s="32" t="n">
        <v>1137.04</v>
      </c>
      <c r="F2637" s="32" t="n">
        <v>2128.822</v>
      </c>
      <c r="G2637" s="32" t="n">
        <v>18.37</v>
      </c>
      <c r="H2637" s="32" t="inlineStr">
        <is>
          <t>bb</t>
        </is>
      </c>
      <c r="K2637" s="32" t="inlineStr">
        <is>
          <t>20250514-41</t>
        </is>
      </c>
    </row>
    <row r="2638">
      <c r="A2638" s="32" t="n">
        <v>31</v>
      </c>
      <c r="B2638" s="32" t="inlineStr">
        <is>
          <t>MeOH</t>
        </is>
      </c>
      <c r="H2638" s="32" t="inlineStr">
        <is>
          <t>MM-</t>
        </is>
      </c>
      <c r="K2638" s="32" t="inlineStr">
        <is>
          <t>20250514-42</t>
        </is>
      </c>
    </row>
    <row r="2639">
      <c r="A2639" s="32" t="n">
        <v>32</v>
      </c>
      <c r="B2639" s="32" t="inlineStr">
        <is>
          <t>K3-1A</t>
        </is>
      </c>
      <c r="D2639" s="32" t="n">
        <v>11.83</v>
      </c>
      <c r="E2639" s="32" t="n">
        <v>1830.223</v>
      </c>
      <c r="F2639" s="32" t="n">
        <v>2216.675</v>
      </c>
      <c r="G2639" s="32" t="n">
        <v>15.992</v>
      </c>
      <c r="H2639" s="32" t="inlineStr">
        <is>
          <t>bb</t>
        </is>
      </c>
      <c r="K2639" s="32" t="inlineStr">
        <is>
          <t>20250514-43</t>
        </is>
      </c>
    </row>
    <row r="2640">
      <c r="A2640" s="32" t="n">
        <v>33</v>
      </c>
      <c r="B2640" s="32" t="inlineStr">
        <is>
          <t>K3-1B</t>
        </is>
      </c>
      <c r="D2640" s="32" t="n">
        <v>11.86</v>
      </c>
      <c r="E2640" s="32" t="n">
        <v>1259.771</v>
      </c>
      <c r="F2640" s="32" t="n">
        <v>1933.619</v>
      </c>
      <c r="G2640" s="32" t="n">
        <v>31.504</v>
      </c>
      <c r="H2640" s="32" t="inlineStr">
        <is>
          <t>bb</t>
        </is>
      </c>
      <c r="K2640" s="32" t="inlineStr">
        <is>
          <t>20250514-44</t>
        </is>
      </c>
    </row>
    <row r="2641">
      <c r="A2641" s="32" t="n">
        <v>34</v>
      </c>
      <c r="B2641" s="32" t="inlineStr">
        <is>
          <t>K3-1C</t>
        </is>
      </c>
      <c r="D2641" s="32" t="n">
        <v>11.91</v>
      </c>
      <c r="E2641" s="32" t="n">
        <v>1611.091</v>
      </c>
      <c r="F2641" s="32" t="n">
        <v>2689.694</v>
      </c>
      <c r="G2641" s="32" t="n">
        <v>46.494</v>
      </c>
      <c r="H2641" s="32" t="inlineStr">
        <is>
          <t>bb</t>
        </is>
      </c>
      <c r="K2641" s="32" t="inlineStr">
        <is>
          <t>20250514-45</t>
        </is>
      </c>
    </row>
    <row r="2642">
      <c r="A2642" s="32" t="n">
        <v>35</v>
      </c>
      <c r="B2642" s="32" t="inlineStr">
        <is>
          <t>K3-2A</t>
        </is>
      </c>
      <c r="D2642" s="32" t="n">
        <v>11.93</v>
      </c>
      <c r="E2642" s="32" t="n">
        <v>1245.456</v>
      </c>
      <c r="F2642" s="32" t="n">
        <v>2721.774</v>
      </c>
      <c r="G2642" s="32" t="n">
        <v>35.155</v>
      </c>
      <c r="H2642" s="32" t="inlineStr">
        <is>
          <t>MM</t>
        </is>
      </c>
      <c r="K2642" s="32" t="inlineStr">
        <is>
          <t>20250514-46</t>
        </is>
      </c>
    </row>
    <row r="2643">
      <c r="A2643" s="32" t="n">
        <v>36</v>
      </c>
      <c r="B2643" s="32" t="inlineStr">
        <is>
          <t>K3-2B</t>
        </is>
      </c>
      <c r="D2643" s="32" t="n">
        <v>11.92</v>
      </c>
      <c r="E2643" s="32" t="n">
        <v>1619.892</v>
      </c>
      <c r="F2643" s="32" t="n">
        <v>3173.245</v>
      </c>
      <c r="G2643" s="32" t="n">
        <v>25.49</v>
      </c>
      <c r="H2643" s="32" t="inlineStr">
        <is>
          <t>MM</t>
        </is>
      </c>
      <c r="K2643" s="32" t="inlineStr">
        <is>
          <t>20250514-47</t>
        </is>
      </c>
    </row>
    <row r="2644">
      <c r="A2644" s="32" t="n">
        <v>37</v>
      </c>
      <c r="B2644" s="32" t="inlineStr">
        <is>
          <t>K3-2C</t>
        </is>
      </c>
      <c r="D2644" s="32" t="n">
        <v>11.93</v>
      </c>
      <c r="E2644" s="32" t="n">
        <v>1615.712</v>
      </c>
      <c r="F2644" s="32" t="n">
        <v>2698.936</v>
      </c>
      <c r="G2644" s="32" t="n">
        <v>30.842</v>
      </c>
      <c r="H2644" s="32" t="inlineStr">
        <is>
          <t>bb</t>
        </is>
      </c>
      <c r="K2644" s="32" t="inlineStr">
        <is>
          <t>20250514-48</t>
        </is>
      </c>
    </row>
    <row r="2645">
      <c r="A2645" s="32" t="n">
        <v>38</v>
      </c>
      <c r="B2645" s="32" t="inlineStr">
        <is>
          <t>MeOH</t>
        </is>
      </c>
      <c r="H2645" s="32" t="inlineStr">
        <is>
          <t>MM-</t>
        </is>
      </c>
      <c r="K2645" s="32" t="inlineStr">
        <is>
          <t>20250514-49</t>
        </is>
      </c>
    </row>
    <row r="2646">
      <c r="A2646" s="32" t="n">
        <v>39</v>
      </c>
      <c r="B2646" s="32" t="inlineStr">
        <is>
          <t>K3-3A</t>
        </is>
      </c>
      <c r="D2646" s="32" t="n">
        <v>11.96</v>
      </c>
      <c r="E2646" s="32" t="n">
        <v>2683.825</v>
      </c>
      <c r="F2646" s="32" t="n">
        <v>2447.134</v>
      </c>
      <c r="G2646" s="32" t="n">
        <v>23.616</v>
      </c>
      <c r="H2646" s="32" t="inlineStr">
        <is>
          <t>bb</t>
        </is>
      </c>
      <c r="K2646" s="32" t="inlineStr">
        <is>
          <t>20250514-50</t>
        </is>
      </c>
    </row>
    <row r="2647">
      <c r="A2647" s="32" t="n">
        <v>40</v>
      </c>
      <c r="B2647" s="32" t="inlineStr">
        <is>
          <t>K3-3B</t>
        </is>
      </c>
      <c r="D2647" s="32" t="n">
        <v>11.98</v>
      </c>
      <c r="E2647" s="32" t="n">
        <v>2691.758</v>
      </c>
      <c r="F2647" s="32" t="n">
        <v>2381.961</v>
      </c>
      <c r="G2647" s="32" t="n">
        <v>28.394</v>
      </c>
      <c r="H2647" s="32" t="inlineStr">
        <is>
          <t>bb</t>
        </is>
      </c>
      <c r="K2647" s="32" t="inlineStr">
        <is>
          <t>20250514-51</t>
        </is>
      </c>
    </row>
    <row r="2648">
      <c r="A2648" s="32" t="n">
        <v>41</v>
      </c>
      <c r="B2648" s="32" t="inlineStr">
        <is>
          <t>K3-3C</t>
        </is>
      </c>
      <c r="D2648" s="32" t="n">
        <v>11.98</v>
      </c>
      <c r="E2648" s="32" t="n">
        <v>2163.761</v>
      </c>
      <c r="F2648" s="32" t="n">
        <v>2598.05</v>
      </c>
      <c r="G2648" s="32" t="n">
        <v>18.746</v>
      </c>
      <c r="H2648" s="32" t="inlineStr">
        <is>
          <t>bb</t>
        </is>
      </c>
      <c r="K2648" s="32" t="inlineStr">
        <is>
          <t>20250514-52</t>
        </is>
      </c>
    </row>
    <row r="2649">
      <c r="A2649" s="32" t="n">
        <v>42</v>
      </c>
      <c r="B2649" s="32" t="inlineStr">
        <is>
          <t>K3-4A</t>
        </is>
      </c>
      <c r="D2649" s="32" t="n">
        <v>12.04</v>
      </c>
      <c r="E2649" s="32" t="n">
        <v>1662.086</v>
      </c>
      <c r="F2649" s="32" t="n">
        <v>2541.848</v>
      </c>
      <c r="G2649" s="32" t="n">
        <v>30.178</v>
      </c>
      <c r="H2649" s="32" t="inlineStr">
        <is>
          <t>MM</t>
        </is>
      </c>
      <c r="K2649" s="32" t="inlineStr">
        <is>
          <t>20250514-53</t>
        </is>
      </c>
    </row>
    <row r="2650">
      <c r="A2650" s="32" t="n">
        <v>43</v>
      </c>
      <c r="B2650" s="32" t="inlineStr">
        <is>
          <t>K3-4B</t>
        </is>
      </c>
      <c r="D2650" s="32" t="n">
        <v>12.01</v>
      </c>
      <c r="E2650" s="32" t="n">
        <v>1877.541</v>
      </c>
      <c r="F2650" s="32" t="n">
        <v>2826.966</v>
      </c>
      <c r="G2650" s="32" t="n">
        <v>29.394</v>
      </c>
      <c r="H2650" s="32" t="inlineStr">
        <is>
          <t>bb</t>
        </is>
      </c>
      <c r="K2650" s="32" t="inlineStr">
        <is>
          <t>20250514-54</t>
        </is>
      </c>
    </row>
    <row r="2651">
      <c r="A2651" s="32" t="n">
        <v>44</v>
      </c>
      <c r="B2651" s="32" t="inlineStr">
        <is>
          <t>K3-4C</t>
        </is>
      </c>
      <c r="D2651" s="32" t="n">
        <v>12.05</v>
      </c>
      <c r="E2651" s="32" t="n">
        <v>1854.382</v>
      </c>
      <c r="F2651" s="32" t="n">
        <v>2828.133</v>
      </c>
      <c r="G2651" s="32" t="n">
        <v>19.512</v>
      </c>
      <c r="H2651" s="32" t="inlineStr">
        <is>
          <t>bb</t>
        </is>
      </c>
      <c r="K2651" s="32" t="inlineStr">
        <is>
          <t>20250514-55</t>
        </is>
      </c>
    </row>
    <row r="2652">
      <c r="A2652" s="32" t="n">
        <v>45</v>
      </c>
      <c r="B2652" s="32" t="inlineStr">
        <is>
          <t>MeOH</t>
        </is>
      </c>
      <c r="D2652" s="32" t="n">
        <v>12.13</v>
      </c>
      <c r="E2652" s="32" t="n">
        <v>579.917</v>
      </c>
      <c r="G2652" s="32" t="n">
        <v>5.44</v>
      </c>
      <c r="H2652" s="32" t="inlineStr">
        <is>
          <t>bb</t>
        </is>
      </c>
      <c r="K2652" s="32" t="inlineStr">
        <is>
          <t>20250514-56</t>
        </is>
      </c>
    </row>
    <row r="2653">
      <c r="A2653" s="32" t="n">
        <v>46</v>
      </c>
      <c r="B2653" s="32" t="inlineStr">
        <is>
          <t>K3-6A</t>
        </is>
      </c>
      <c r="D2653" s="32" t="n">
        <v>12.07</v>
      </c>
      <c r="E2653" s="32" t="n">
        <v>1240.272</v>
      </c>
      <c r="F2653" s="32" t="n">
        <v>2704.998</v>
      </c>
      <c r="G2653" s="32" t="n">
        <v>22.997</v>
      </c>
      <c r="H2653" s="32" t="inlineStr">
        <is>
          <t>MM</t>
        </is>
      </c>
      <c r="K2653" s="32" t="inlineStr">
        <is>
          <t>20250514-57</t>
        </is>
      </c>
    </row>
    <row r="2654">
      <c r="A2654" s="32" t="n">
        <v>47</v>
      </c>
      <c r="B2654" s="32" t="inlineStr">
        <is>
          <t>K3-6B</t>
        </is>
      </c>
      <c r="D2654" s="32" t="n">
        <v>12.05</v>
      </c>
      <c r="E2654" s="32" t="n">
        <v>1428.933</v>
      </c>
      <c r="F2654" s="32" t="n">
        <v>2228.994</v>
      </c>
      <c r="G2654" s="32" t="n">
        <v>18.989</v>
      </c>
      <c r="H2654" s="32" t="inlineStr">
        <is>
          <t>bb</t>
        </is>
      </c>
      <c r="K2654" s="32" t="inlineStr">
        <is>
          <t>20250514-58</t>
        </is>
      </c>
    </row>
    <row r="2655">
      <c r="A2655" s="32" t="n">
        <v>48</v>
      </c>
      <c r="B2655" s="32" t="inlineStr">
        <is>
          <t>K3-6C</t>
        </is>
      </c>
      <c r="D2655" s="32" t="n">
        <v>12.05</v>
      </c>
      <c r="E2655" s="32" t="n">
        <v>1752.137</v>
      </c>
      <c r="F2655" s="32" t="n">
        <v>2518.187</v>
      </c>
      <c r="G2655" s="32" t="n">
        <v>30.163</v>
      </c>
      <c r="H2655" s="32" t="inlineStr">
        <is>
          <t>bb</t>
        </is>
      </c>
      <c r="K2655" s="32" t="inlineStr">
        <is>
          <t>20250514-59</t>
        </is>
      </c>
    </row>
    <row r="2657">
      <c r="A2657" s="32" t="inlineStr">
        <is>
          <t>Compound 52:  PFOA 2</t>
        </is>
      </c>
    </row>
    <row r="2659">
      <c r="B2659" s="32" t="inlineStr">
        <is>
          <t>Sample Text</t>
        </is>
      </c>
      <c r="C2659" s="32" t="inlineStr">
        <is>
          <t>Std. Conc</t>
        </is>
      </c>
      <c r="D2659" s="32" t="inlineStr">
        <is>
          <t>RT</t>
        </is>
      </c>
      <c r="E2659" s="32" t="inlineStr">
        <is>
          <t>Area</t>
        </is>
      </c>
      <c r="F2659" s="32" t="inlineStr">
        <is>
          <t>IS Area</t>
        </is>
      </c>
      <c r="G2659" s="32" t="inlineStr">
        <is>
          <t>S/N</t>
        </is>
      </c>
      <c r="H2659" s="32" t="inlineStr">
        <is>
          <t>Primary Flags</t>
        </is>
      </c>
      <c r="I2659" s="32" t="inlineStr">
        <is>
          <t>Response</t>
        </is>
      </c>
      <c r="J2659" s="32" t="inlineStr">
        <is>
          <t>Conc.</t>
        </is>
      </c>
      <c r="K2659" s="32" t="inlineStr">
        <is>
          <t>Name</t>
        </is>
      </c>
    </row>
    <row r="2660">
      <c r="A2660" s="32" t="n">
        <v>1</v>
      </c>
      <c r="B2660" s="32" t="inlineStr">
        <is>
          <t>EPA1633 &amp; diPAPs Calibration 0 ppb</t>
        </is>
      </c>
      <c r="D2660" s="32" t="n">
        <v>11.91</v>
      </c>
      <c r="E2660" s="32" t="n">
        <v>168.257</v>
      </c>
      <c r="F2660" s="32" t="n">
        <v>7374.887</v>
      </c>
      <c r="G2660" s="32" t="n">
        <v>2.512</v>
      </c>
      <c r="H2660" s="32" t="inlineStr">
        <is>
          <t>bb</t>
        </is>
      </c>
      <c r="K2660" s="32" t="inlineStr">
        <is>
          <t>20250514-12</t>
        </is>
      </c>
    </row>
    <row r="2661">
      <c r="A2661" s="32" t="n">
        <v>2</v>
      </c>
      <c r="B2661" s="32" t="inlineStr">
        <is>
          <t>EPA1633 &amp; diPAPs Calibration 0.02 ppb</t>
        </is>
      </c>
      <c r="D2661" s="32" t="n">
        <v>11.89</v>
      </c>
      <c r="E2661" s="32" t="n">
        <v>290.978</v>
      </c>
      <c r="F2661" s="32" t="n">
        <v>6169.054</v>
      </c>
      <c r="G2661" s="32" t="n">
        <v>16.554</v>
      </c>
      <c r="H2661" s="32" t="inlineStr">
        <is>
          <t>bb</t>
        </is>
      </c>
      <c r="K2661" s="32" t="inlineStr">
        <is>
          <t>20250514-13</t>
        </is>
      </c>
    </row>
    <row r="2662">
      <c r="A2662" s="32" t="n">
        <v>3</v>
      </c>
      <c r="B2662" s="32" t="inlineStr">
        <is>
          <t>EPA1633 &amp; diPAPs Calibration 0.1 ppb</t>
        </is>
      </c>
      <c r="D2662" s="32" t="n">
        <v>11.91</v>
      </c>
      <c r="E2662" s="32" t="n">
        <v>54.784</v>
      </c>
      <c r="F2662" s="32" t="n">
        <v>6270.085</v>
      </c>
      <c r="G2662" s="32" t="n">
        <v>6.009</v>
      </c>
      <c r="H2662" s="32" t="inlineStr">
        <is>
          <t>bb</t>
        </is>
      </c>
      <c r="K2662" s="32" t="inlineStr">
        <is>
          <t>20250514-14</t>
        </is>
      </c>
    </row>
    <row r="2663">
      <c r="A2663" s="32" t="n">
        <v>4</v>
      </c>
      <c r="B2663" s="32" t="inlineStr">
        <is>
          <t>EPA1633 &amp; diPAPs Calibration 0.4 ppb</t>
        </is>
      </c>
      <c r="D2663" s="32" t="n">
        <v>11.96</v>
      </c>
      <c r="E2663" s="32" t="n">
        <v>297.992</v>
      </c>
      <c r="F2663" s="32" t="n">
        <v>5073.597</v>
      </c>
      <c r="G2663" s="32" t="n">
        <v>47.49</v>
      </c>
      <c r="H2663" s="32" t="inlineStr">
        <is>
          <t>bb</t>
        </is>
      </c>
      <c r="K2663" s="32" t="inlineStr">
        <is>
          <t>20250514-15</t>
        </is>
      </c>
    </row>
    <row r="2664">
      <c r="A2664" s="32" t="n">
        <v>5</v>
      </c>
      <c r="B2664" s="32" t="inlineStr">
        <is>
          <t>EPA1633 &amp; diPAPs Calibration 1 ppb</t>
        </is>
      </c>
      <c r="D2664" s="32" t="n">
        <v>11.93</v>
      </c>
      <c r="E2664" s="32" t="n">
        <v>536.601</v>
      </c>
      <c r="F2664" s="32" t="n">
        <v>5607.035</v>
      </c>
      <c r="G2664" s="32" t="n">
        <v>5.677</v>
      </c>
      <c r="H2664" s="32" t="inlineStr">
        <is>
          <t>bb</t>
        </is>
      </c>
      <c r="K2664" s="32" t="inlineStr">
        <is>
          <t>20250514-16</t>
        </is>
      </c>
    </row>
    <row r="2665">
      <c r="A2665" s="32" t="n">
        <v>6</v>
      </c>
      <c r="B2665" s="32" t="inlineStr">
        <is>
          <t>EPA1633 &amp; diPAPs Calibration 5 ppb</t>
        </is>
      </c>
      <c r="D2665" s="32" t="n">
        <v>11.83</v>
      </c>
      <c r="E2665" s="32" t="n">
        <v>1682.839</v>
      </c>
      <c r="F2665" s="32" t="n">
        <v>4189.369</v>
      </c>
      <c r="G2665" s="32" t="n">
        <v>108.472</v>
      </c>
      <c r="H2665" s="32" t="inlineStr">
        <is>
          <t>bb</t>
        </is>
      </c>
      <c r="K2665" s="32" t="inlineStr">
        <is>
          <t>20250514-17</t>
        </is>
      </c>
    </row>
    <row r="2666">
      <c r="A2666" s="32" t="n">
        <v>7</v>
      </c>
      <c r="B2666" s="32" t="inlineStr">
        <is>
          <t>EPA1633 &amp; diPAPs Calibration 10 ppb</t>
        </is>
      </c>
      <c r="D2666" s="32" t="n">
        <v>11.85</v>
      </c>
      <c r="E2666" s="32" t="n">
        <v>2789.307</v>
      </c>
      <c r="F2666" s="32" t="n">
        <v>3916.892</v>
      </c>
      <c r="G2666" s="32" t="n">
        <v>21409</v>
      </c>
      <c r="H2666" s="32" t="inlineStr">
        <is>
          <t>bb</t>
        </is>
      </c>
      <c r="K2666" s="32" t="inlineStr">
        <is>
          <t>20250514-18</t>
        </is>
      </c>
    </row>
    <row r="2667">
      <c r="A2667" s="32" t="n">
        <v>8</v>
      </c>
      <c r="B2667" s="32" t="inlineStr">
        <is>
          <t>EPA1633 &amp; diPAPs Calibration 20 ppb</t>
        </is>
      </c>
      <c r="D2667" s="32" t="n">
        <v>11.89</v>
      </c>
      <c r="E2667" s="32" t="n">
        <v>4026.465</v>
      </c>
      <c r="F2667" s="32" t="n">
        <v>4672.899</v>
      </c>
      <c r="G2667" s="32" t="n">
        <v>99.762</v>
      </c>
      <c r="H2667" s="32" t="inlineStr">
        <is>
          <t>bb</t>
        </is>
      </c>
      <c r="K2667" s="32" t="inlineStr">
        <is>
          <t>20250514-19</t>
        </is>
      </c>
    </row>
    <row r="2668">
      <c r="A2668" s="32" t="n">
        <v>9</v>
      </c>
      <c r="B2668" s="32" t="inlineStr">
        <is>
          <t>MeOH</t>
        </is>
      </c>
      <c r="D2668" s="32" t="n">
        <v>11.93</v>
      </c>
      <c r="E2668" s="32" t="n">
        <v>212.481</v>
      </c>
      <c r="G2668" s="32" t="n">
        <v>4.642</v>
      </c>
      <c r="H2668" s="32" t="inlineStr">
        <is>
          <t>bb</t>
        </is>
      </c>
      <c r="K2668" s="32" t="inlineStr">
        <is>
          <t>20250514-20</t>
        </is>
      </c>
    </row>
    <row r="2669">
      <c r="A2669" s="32" t="n">
        <v>10</v>
      </c>
      <c r="B2669" s="32" t="inlineStr">
        <is>
          <t>MeOH</t>
        </is>
      </c>
      <c r="D2669" s="32" t="n">
        <v>11.72</v>
      </c>
      <c r="E2669" s="32" t="n">
        <v>111.75</v>
      </c>
      <c r="G2669" s="32" t="n">
        <v>2.359</v>
      </c>
      <c r="H2669" s="32" t="inlineStr">
        <is>
          <t>bb</t>
        </is>
      </c>
      <c r="K2669" s="32" t="inlineStr">
        <is>
          <t>20250514-21</t>
        </is>
      </c>
    </row>
    <row r="2670">
      <c r="A2670" s="32" t="n">
        <v>11</v>
      </c>
      <c r="B2670" s="32" t="inlineStr">
        <is>
          <t>SB1</t>
        </is>
      </c>
      <c r="D2670" s="32" t="n">
        <v>11.93</v>
      </c>
      <c r="E2670" s="32" t="n">
        <v>743.22</v>
      </c>
      <c r="F2670" s="32" t="n">
        <v>1803.361</v>
      </c>
      <c r="G2670" s="32" t="n">
        <v>90.953</v>
      </c>
      <c r="H2670" s="32" t="inlineStr">
        <is>
          <t>bb</t>
        </is>
      </c>
      <c r="K2670" s="32" t="inlineStr">
        <is>
          <t>20250514-22</t>
        </is>
      </c>
    </row>
    <row r="2671">
      <c r="A2671" s="32" t="n">
        <v>12</v>
      </c>
      <c r="B2671" s="32" t="inlineStr">
        <is>
          <t>SB2</t>
        </is>
      </c>
      <c r="D2671" s="32" t="n">
        <v>11.93</v>
      </c>
      <c r="E2671" s="32" t="n">
        <v>425.854</v>
      </c>
      <c r="F2671" s="32" t="n">
        <v>1582.835</v>
      </c>
      <c r="G2671" s="32" t="n">
        <v>4.141</v>
      </c>
      <c r="H2671" s="32" t="inlineStr">
        <is>
          <t>bb</t>
        </is>
      </c>
      <c r="K2671" s="32" t="inlineStr">
        <is>
          <t>20250514-23</t>
        </is>
      </c>
    </row>
    <row r="2672">
      <c r="A2672" s="32" t="n">
        <v>13</v>
      </c>
      <c r="B2672" s="32" t="inlineStr">
        <is>
          <t>SB3</t>
        </is>
      </c>
      <c r="D2672" s="32" t="n">
        <v>11.98</v>
      </c>
      <c r="E2672" s="32" t="n">
        <v>356.768</v>
      </c>
      <c r="F2672" s="32" t="n">
        <v>1671.82</v>
      </c>
      <c r="G2672" s="32" t="n">
        <v>8.874000000000001</v>
      </c>
      <c r="H2672" s="32" t="inlineStr">
        <is>
          <t>bb</t>
        </is>
      </c>
      <c r="K2672" s="32" t="inlineStr">
        <is>
          <t>20250514-24</t>
        </is>
      </c>
    </row>
    <row r="2673">
      <c r="A2673" s="32" t="n">
        <v>14</v>
      </c>
      <c r="B2673" s="32" t="inlineStr">
        <is>
          <t>SS1</t>
        </is>
      </c>
      <c r="D2673" s="32" t="n">
        <v>11.98</v>
      </c>
      <c r="E2673" s="32" t="n">
        <v>1610.532</v>
      </c>
      <c r="F2673" s="32" t="n">
        <v>1602.526</v>
      </c>
      <c r="G2673" s="32" t="n">
        <v>316.332</v>
      </c>
      <c r="H2673" s="32" t="inlineStr">
        <is>
          <t>bb</t>
        </is>
      </c>
      <c r="K2673" s="32" t="inlineStr">
        <is>
          <t>20250514-25</t>
        </is>
      </c>
    </row>
    <row r="2674">
      <c r="A2674" s="32" t="n">
        <v>15</v>
      </c>
      <c r="B2674" s="32" t="inlineStr">
        <is>
          <t>SS2</t>
        </is>
      </c>
      <c r="D2674" s="32" t="n">
        <v>11.98</v>
      </c>
      <c r="E2674" s="32" t="n">
        <v>1463</v>
      </c>
      <c r="F2674" s="32" t="n">
        <v>1532.612</v>
      </c>
      <c r="G2674" s="32" t="n">
        <v>53.732</v>
      </c>
      <c r="H2674" s="32" t="inlineStr">
        <is>
          <t>bb</t>
        </is>
      </c>
      <c r="K2674" s="32" t="inlineStr">
        <is>
          <t>20250514-26</t>
        </is>
      </c>
    </row>
    <row r="2675">
      <c r="A2675" s="32" t="n">
        <v>16</v>
      </c>
      <c r="B2675" s="32" t="inlineStr">
        <is>
          <t>SS3</t>
        </is>
      </c>
      <c r="D2675" s="32" t="n">
        <v>11.98</v>
      </c>
      <c r="E2675" s="32" t="n">
        <v>2519.878</v>
      </c>
      <c r="F2675" s="32" t="n">
        <v>1291.402</v>
      </c>
      <c r="G2675" s="32" t="n">
        <v>4.486</v>
      </c>
      <c r="H2675" s="32" t="inlineStr">
        <is>
          <t>bb</t>
        </is>
      </c>
      <c r="K2675" s="32" t="inlineStr">
        <is>
          <t>20250514-27</t>
        </is>
      </c>
    </row>
    <row r="2676">
      <c r="A2676" s="32" t="n">
        <v>17</v>
      </c>
      <c r="B2676" s="32" t="inlineStr">
        <is>
          <t>MeOH</t>
        </is>
      </c>
      <c r="D2676" s="32" t="n">
        <v>11.98</v>
      </c>
      <c r="E2676" s="32" t="n">
        <v>169.583</v>
      </c>
      <c r="G2676" s="32" t="n">
        <v>5.91</v>
      </c>
      <c r="H2676" s="32" t="inlineStr">
        <is>
          <t>bb</t>
        </is>
      </c>
      <c r="K2676" s="32" t="inlineStr">
        <is>
          <t>20250514-28</t>
        </is>
      </c>
    </row>
    <row r="2677">
      <c r="A2677" s="32" t="n">
        <v>18</v>
      </c>
      <c r="B2677" s="32" t="inlineStr">
        <is>
          <t>K4-1A</t>
        </is>
      </c>
      <c r="D2677" s="32" t="n">
        <v>11.99</v>
      </c>
      <c r="E2677" s="32" t="n">
        <v>454.493</v>
      </c>
      <c r="F2677" s="32" t="n">
        <v>2173.066</v>
      </c>
      <c r="G2677" s="32" t="n">
        <v>13.508</v>
      </c>
      <c r="H2677" s="32" t="inlineStr">
        <is>
          <t>bb</t>
        </is>
      </c>
      <c r="K2677" s="32" t="inlineStr">
        <is>
          <t>20250514-29</t>
        </is>
      </c>
    </row>
    <row r="2678">
      <c r="A2678" s="32" t="n">
        <v>19</v>
      </c>
      <c r="B2678" s="32" t="inlineStr">
        <is>
          <t>K4-1B</t>
        </is>
      </c>
      <c r="D2678" s="32" t="n">
        <v>11.99</v>
      </c>
      <c r="E2678" s="32" t="n">
        <v>1042.672</v>
      </c>
      <c r="F2678" s="32" t="n">
        <v>2231.232</v>
      </c>
      <c r="G2678" s="32" t="n">
        <v>50.739</v>
      </c>
      <c r="H2678" s="32" t="inlineStr">
        <is>
          <t>bb</t>
        </is>
      </c>
      <c r="K2678" s="32" t="inlineStr">
        <is>
          <t>20250514-30</t>
        </is>
      </c>
    </row>
    <row r="2679">
      <c r="A2679" s="32" t="n">
        <v>20</v>
      </c>
      <c r="B2679" s="32" t="inlineStr">
        <is>
          <t>K4-1C</t>
        </is>
      </c>
      <c r="D2679" s="32" t="n">
        <v>11.99</v>
      </c>
      <c r="E2679" s="32" t="n">
        <v>1163.916</v>
      </c>
      <c r="F2679" s="32" t="n">
        <v>2264.738</v>
      </c>
      <c r="G2679" s="32" t="n">
        <v>85.59999999999999</v>
      </c>
      <c r="H2679" s="32" t="inlineStr">
        <is>
          <t>bb</t>
        </is>
      </c>
      <c r="K2679" s="32" t="inlineStr">
        <is>
          <t>20250514-31</t>
        </is>
      </c>
    </row>
    <row r="2680">
      <c r="A2680" s="32" t="n">
        <v>21</v>
      </c>
      <c r="B2680" s="32" t="inlineStr">
        <is>
          <t>K4-2A</t>
        </is>
      </c>
      <c r="D2680" s="32" t="n">
        <v>12.01</v>
      </c>
      <c r="E2680" s="32" t="n">
        <v>6732.866</v>
      </c>
      <c r="F2680" s="32" t="n">
        <v>2546.569</v>
      </c>
      <c r="G2680" s="32" t="n">
        <v>45506</v>
      </c>
      <c r="H2680" s="32" t="inlineStr">
        <is>
          <t>bb</t>
        </is>
      </c>
      <c r="K2680" s="32" t="inlineStr">
        <is>
          <t>20250514-32</t>
        </is>
      </c>
    </row>
    <row r="2681">
      <c r="A2681" s="32" t="n">
        <v>22</v>
      </c>
      <c r="B2681" s="32" t="inlineStr">
        <is>
          <t>K4-2B</t>
        </is>
      </c>
      <c r="D2681" s="32" t="n">
        <v>12.01</v>
      </c>
      <c r="E2681" s="32" t="n">
        <v>630.448</v>
      </c>
      <c r="F2681" s="32" t="n">
        <v>1959.093</v>
      </c>
      <c r="G2681" s="32" t="n">
        <v>1292.889</v>
      </c>
      <c r="H2681" s="32" t="inlineStr">
        <is>
          <t>bb</t>
        </is>
      </c>
      <c r="K2681" s="32" t="inlineStr">
        <is>
          <t>20250514-33</t>
        </is>
      </c>
    </row>
    <row r="2682">
      <c r="A2682" s="32" t="n">
        <v>23</v>
      </c>
      <c r="B2682" s="32" t="inlineStr">
        <is>
          <t>K4-2C</t>
        </is>
      </c>
      <c r="F2682" s="32" t="n">
        <v>1962.095</v>
      </c>
      <c r="K2682" s="32" t="inlineStr">
        <is>
          <t>20250514-34</t>
        </is>
      </c>
    </row>
    <row r="2683">
      <c r="A2683" s="32" t="n">
        <v>24</v>
      </c>
      <c r="B2683" s="32" t="inlineStr">
        <is>
          <t>MeOH</t>
        </is>
      </c>
      <c r="D2683" s="32" t="n">
        <v>12.1</v>
      </c>
      <c r="E2683" s="32" t="n">
        <v>34.483</v>
      </c>
      <c r="G2683" s="32" t="n">
        <v>0.962</v>
      </c>
      <c r="H2683" s="32" t="inlineStr">
        <is>
          <t>bb</t>
        </is>
      </c>
      <c r="K2683" s="32" t="inlineStr">
        <is>
          <t>20250514-35</t>
        </is>
      </c>
    </row>
    <row r="2684">
      <c r="A2684" s="32" t="n">
        <v>25</v>
      </c>
      <c r="B2684" s="32" t="inlineStr">
        <is>
          <t>K4-4A</t>
        </is>
      </c>
      <c r="D2684" s="32" t="n">
        <v>12.02</v>
      </c>
      <c r="E2684" s="32" t="n">
        <v>463.737</v>
      </c>
      <c r="F2684" s="32" t="n">
        <v>1890.679</v>
      </c>
      <c r="G2684" s="32" t="n">
        <v>70.124</v>
      </c>
      <c r="H2684" s="32" t="inlineStr">
        <is>
          <t>bb</t>
        </is>
      </c>
      <c r="K2684" s="32" t="inlineStr">
        <is>
          <t>20250514-36</t>
        </is>
      </c>
    </row>
    <row r="2685">
      <c r="A2685" s="32" t="n">
        <v>26</v>
      </c>
      <c r="B2685" s="32" t="inlineStr">
        <is>
          <t>K4-4B</t>
        </is>
      </c>
      <c r="D2685" s="32" t="n">
        <v>12.04</v>
      </c>
      <c r="E2685" s="32" t="n">
        <v>964.092</v>
      </c>
      <c r="F2685" s="32" t="n">
        <v>1558.258</v>
      </c>
      <c r="G2685" s="32" t="n">
        <v>16.419</v>
      </c>
      <c r="H2685" s="32" t="inlineStr">
        <is>
          <t>bb</t>
        </is>
      </c>
      <c r="K2685" s="32" t="inlineStr">
        <is>
          <t>20250514-37</t>
        </is>
      </c>
    </row>
    <row r="2686">
      <c r="A2686" s="32" t="n">
        <v>27</v>
      </c>
      <c r="B2686" s="32" t="inlineStr">
        <is>
          <t>K4-4C</t>
        </is>
      </c>
      <c r="D2686" s="32" t="n">
        <v>12.05</v>
      </c>
      <c r="E2686" s="32" t="n">
        <v>167.376</v>
      </c>
      <c r="F2686" s="32" t="n">
        <v>1217.543</v>
      </c>
      <c r="G2686" s="32" t="n">
        <v>15.466</v>
      </c>
      <c r="H2686" s="32" t="inlineStr">
        <is>
          <t>bb</t>
        </is>
      </c>
      <c r="K2686" s="32" t="inlineStr">
        <is>
          <t>20250514-38</t>
        </is>
      </c>
    </row>
    <row r="2687">
      <c r="A2687" s="32" t="n">
        <v>28</v>
      </c>
      <c r="B2687" s="32" t="inlineStr">
        <is>
          <t>K4-5A</t>
        </is>
      </c>
      <c r="D2687" s="32" t="n">
        <v>12.02</v>
      </c>
      <c r="E2687" s="32" t="n">
        <v>1225.68</v>
      </c>
      <c r="F2687" s="32" t="n">
        <v>1730.688</v>
      </c>
      <c r="G2687" s="32" t="n">
        <v>56.767</v>
      </c>
      <c r="H2687" s="32" t="inlineStr">
        <is>
          <t>bb</t>
        </is>
      </c>
      <c r="K2687" s="32" t="inlineStr">
        <is>
          <t>20250514-39</t>
        </is>
      </c>
    </row>
    <row r="2688">
      <c r="A2688" s="32" t="n">
        <v>29</v>
      </c>
      <c r="B2688" s="32" t="inlineStr">
        <is>
          <t>K4-5B</t>
        </is>
      </c>
      <c r="D2688" s="32" t="n">
        <v>11.98</v>
      </c>
      <c r="E2688" s="32" t="n">
        <v>707.098</v>
      </c>
      <c r="F2688" s="32" t="n">
        <v>2104.275</v>
      </c>
      <c r="G2688" s="32" t="n">
        <v>22.071</v>
      </c>
      <c r="H2688" s="32" t="inlineStr">
        <is>
          <t>bb</t>
        </is>
      </c>
      <c r="K2688" s="32" t="inlineStr">
        <is>
          <t>20250514-40</t>
        </is>
      </c>
    </row>
    <row r="2689">
      <c r="A2689" s="32" t="n">
        <v>30</v>
      </c>
      <c r="B2689" s="32" t="inlineStr">
        <is>
          <t>K4-5C</t>
        </is>
      </c>
      <c r="D2689" s="32" t="n">
        <v>11.94</v>
      </c>
      <c r="E2689" s="32" t="n">
        <v>468.329</v>
      </c>
      <c r="F2689" s="32" t="n">
        <v>2128.822</v>
      </c>
      <c r="G2689" s="32" t="n">
        <v>24.115</v>
      </c>
      <c r="H2689" s="32" t="inlineStr">
        <is>
          <t>bb</t>
        </is>
      </c>
      <c r="K2689" s="32" t="inlineStr">
        <is>
          <t>20250514-41</t>
        </is>
      </c>
    </row>
    <row r="2690">
      <c r="A2690" s="32" t="n">
        <v>31</v>
      </c>
      <c r="B2690" s="32" t="inlineStr">
        <is>
          <t>MeOH</t>
        </is>
      </c>
      <c r="K2690" s="32" t="inlineStr">
        <is>
          <t>20250514-42</t>
        </is>
      </c>
    </row>
    <row r="2691">
      <c r="A2691" s="32" t="n">
        <v>32</v>
      </c>
      <c r="B2691" s="32" t="inlineStr">
        <is>
          <t>K3-1A</t>
        </is>
      </c>
      <c r="D2691" s="32" t="n">
        <v>11.85</v>
      </c>
      <c r="E2691" s="32" t="n">
        <v>350.329</v>
      </c>
      <c r="F2691" s="32" t="n">
        <v>2216.675</v>
      </c>
      <c r="G2691" s="32" t="n">
        <v>4.749</v>
      </c>
      <c r="H2691" s="32" t="inlineStr">
        <is>
          <t>bb</t>
        </is>
      </c>
      <c r="K2691" s="32" t="inlineStr">
        <is>
          <t>20250514-43</t>
        </is>
      </c>
    </row>
    <row r="2692">
      <c r="A2692" s="32" t="n">
        <v>33</v>
      </c>
      <c r="B2692" s="32" t="inlineStr">
        <is>
          <t>K3-1B</t>
        </is>
      </c>
      <c r="D2692" s="32" t="n">
        <v>11.86</v>
      </c>
      <c r="E2692" s="32" t="n">
        <v>570.325</v>
      </c>
      <c r="F2692" s="32" t="n">
        <v>1933.619</v>
      </c>
      <c r="G2692" s="32" t="n">
        <v>12.791</v>
      </c>
      <c r="H2692" s="32" t="inlineStr">
        <is>
          <t>bb</t>
        </is>
      </c>
      <c r="K2692" s="32" t="inlineStr">
        <is>
          <t>20250514-44</t>
        </is>
      </c>
    </row>
    <row r="2693">
      <c r="A2693" s="32" t="n">
        <v>34</v>
      </c>
      <c r="B2693" s="32" t="inlineStr">
        <is>
          <t>K3-1C</t>
        </is>
      </c>
      <c r="D2693" s="32" t="n">
        <v>11.92</v>
      </c>
      <c r="E2693" s="32" t="n">
        <v>769.252</v>
      </c>
      <c r="F2693" s="32" t="n">
        <v>2689.694</v>
      </c>
      <c r="G2693" s="32" t="n">
        <v>4983</v>
      </c>
      <c r="H2693" s="32" t="inlineStr">
        <is>
          <t>bb</t>
        </is>
      </c>
      <c r="K2693" s="32" t="inlineStr">
        <is>
          <t>20250514-45</t>
        </is>
      </c>
    </row>
    <row r="2694">
      <c r="A2694" s="32" t="n">
        <v>35</v>
      </c>
      <c r="B2694" s="32" t="inlineStr">
        <is>
          <t>K3-2A</t>
        </is>
      </c>
      <c r="D2694" s="32" t="n">
        <v>11.96</v>
      </c>
      <c r="E2694" s="32" t="n">
        <v>652.7569999999999</v>
      </c>
      <c r="F2694" s="32" t="n">
        <v>2721.774</v>
      </c>
      <c r="G2694" s="32" t="n">
        <v>10.113</v>
      </c>
      <c r="H2694" s="32" t="inlineStr">
        <is>
          <t>bb</t>
        </is>
      </c>
      <c r="K2694" s="32" t="inlineStr">
        <is>
          <t>20250514-46</t>
        </is>
      </c>
    </row>
    <row r="2695">
      <c r="A2695" s="32" t="n">
        <v>36</v>
      </c>
      <c r="B2695" s="32" t="inlineStr">
        <is>
          <t>K3-2B</t>
        </is>
      </c>
      <c r="D2695" s="32" t="n">
        <v>11.92</v>
      </c>
      <c r="E2695" s="32" t="n">
        <v>709.364</v>
      </c>
      <c r="F2695" s="32" t="n">
        <v>3173.245</v>
      </c>
      <c r="G2695" s="32" t="n">
        <v>15.253</v>
      </c>
      <c r="H2695" s="32" t="inlineStr">
        <is>
          <t>bb</t>
        </is>
      </c>
      <c r="K2695" s="32" t="inlineStr">
        <is>
          <t>20250514-47</t>
        </is>
      </c>
    </row>
    <row r="2696">
      <c r="A2696" s="32" t="n">
        <v>37</v>
      </c>
      <c r="B2696" s="32" t="inlineStr">
        <is>
          <t>K3-2C</t>
        </is>
      </c>
      <c r="D2696" s="32" t="n">
        <v>11.93</v>
      </c>
      <c r="E2696" s="32" t="n">
        <v>560.922</v>
      </c>
      <c r="F2696" s="32" t="n">
        <v>2698.936</v>
      </c>
      <c r="G2696" s="32" t="n">
        <v>4416</v>
      </c>
      <c r="H2696" s="32" t="inlineStr">
        <is>
          <t>bb</t>
        </is>
      </c>
      <c r="K2696" s="32" t="inlineStr">
        <is>
          <t>20250514-48</t>
        </is>
      </c>
    </row>
    <row r="2697">
      <c r="A2697" s="32" t="n">
        <v>38</v>
      </c>
      <c r="B2697" s="32" t="inlineStr">
        <is>
          <t>MeOH</t>
        </is>
      </c>
      <c r="D2697" s="32" t="n">
        <v>12.08</v>
      </c>
      <c r="E2697" s="32" t="n">
        <v>1.25</v>
      </c>
      <c r="G2697" s="32" t="n">
        <v>0.281</v>
      </c>
      <c r="H2697" s="32" t="inlineStr">
        <is>
          <t>bb</t>
        </is>
      </c>
      <c r="K2697" s="32" t="inlineStr">
        <is>
          <t>20250514-49</t>
        </is>
      </c>
    </row>
    <row r="2698">
      <c r="A2698" s="32" t="n">
        <v>39</v>
      </c>
      <c r="B2698" s="32" t="inlineStr">
        <is>
          <t>K3-3A</t>
        </is>
      </c>
      <c r="D2698" s="32" t="n">
        <v>11.96</v>
      </c>
      <c r="E2698" s="32" t="n">
        <v>1101.441</v>
      </c>
      <c r="F2698" s="32" t="n">
        <v>2447.134</v>
      </c>
      <c r="G2698" s="32" t="n">
        <v>31.768</v>
      </c>
      <c r="H2698" s="32" t="inlineStr">
        <is>
          <t>bb</t>
        </is>
      </c>
      <c r="K2698" s="32" t="inlineStr">
        <is>
          <t>20250514-50</t>
        </is>
      </c>
    </row>
    <row r="2699">
      <c r="A2699" s="32" t="n">
        <v>40</v>
      </c>
      <c r="B2699" s="32" t="inlineStr">
        <is>
          <t>K3-3B</t>
        </is>
      </c>
      <c r="D2699" s="32" t="n">
        <v>11.98</v>
      </c>
      <c r="E2699" s="32" t="n">
        <v>855.091</v>
      </c>
      <c r="F2699" s="32" t="n">
        <v>2381.961</v>
      </c>
      <c r="G2699" s="32" t="n">
        <v>23.583</v>
      </c>
      <c r="H2699" s="32" t="inlineStr">
        <is>
          <t>bd</t>
        </is>
      </c>
      <c r="K2699" s="32" t="inlineStr">
        <is>
          <t>20250514-51</t>
        </is>
      </c>
    </row>
    <row r="2700">
      <c r="A2700" s="32" t="n">
        <v>41</v>
      </c>
      <c r="B2700" s="32" t="inlineStr">
        <is>
          <t>K3-3C</t>
        </is>
      </c>
      <c r="D2700" s="32" t="n">
        <v>11.96</v>
      </c>
      <c r="E2700" s="32" t="n">
        <v>807.933</v>
      </c>
      <c r="F2700" s="32" t="n">
        <v>2598.05</v>
      </c>
      <c r="G2700" s="32" t="n">
        <v>18.46</v>
      </c>
      <c r="H2700" s="32" t="inlineStr">
        <is>
          <t>bb</t>
        </is>
      </c>
      <c r="K2700" s="32" t="inlineStr">
        <is>
          <t>20250514-52</t>
        </is>
      </c>
    </row>
    <row r="2701">
      <c r="A2701" s="32" t="n">
        <v>42</v>
      </c>
      <c r="B2701" s="32" t="inlineStr">
        <is>
          <t>K3-4A</t>
        </is>
      </c>
      <c r="D2701" s="32" t="n">
        <v>12.04</v>
      </c>
      <c r="E2701" s="32" t="n">
        <v>845.968</v>
      </c>
      <c r="F2701" s="32" t="n">
        <v>2541.848</v>
      </c>
      <c r="G2701" s="32" t="n">
        <v>21.984</v>
      </c>
      <c r="H2701" s="32" t="inlineStr">
        <is>
          <t>bb</t>
        </is>
      </c>
      <c r="K2701" s="32" t="inlineStr">
        <is>
          <t>20250514-53</t>
        </is>
      </c>
    </row>
    <row r="2702">
      <c r="A2702" s="32" t="n">
        <v>43</v>
      </c>
      <c r="B2702" s="32" t="inlineStr">
        <is>
          <t>K3-4B</t>
        </is>
      </c>
      <c r="D2702" s="32" t="n">
        <v>12.02</v>
      </c>
      <c r="E2702" s="32" t="n">
        <v>884.938</v>
      </c>
      <c r="F2702" s="32" t="n">
        <v>2826.966</v>
      </c>
      <c r="G2702" s="32" t="n">
        <v>10.666</v>
      </c>
      <c r="H2702" s="32" t="inlineStr">
        <is>
          <t>bb</t>
        </is>
      </c>
      <c r="K2702" s="32" t="inlineStr">
        <is>
          <t>20250514-54</t>
        </is>
      </c>
    </row>
    <row r="2703">
      <c r="A2703" s="32" t="n">
        <v>44</v>
      </c>
      <c r="B2703" s="32" t="inlineStr">
        <is>
          <t>K3-4C</t>
        </is>
      </c>
      <c r="D2703" s="32" t="n">
        <v>12.05</v>
      </c>
      <c r="E2703" s="32" t="n">
        <v>505.177</v>
      </c>
      <c r="F2703" s="32" t="n">
        <v>2828.133</v>
      </c>
      <c r="G2703" s="32" t="n">
        <v>35.786</v>
      </c>
      <c r="H2703" s="32" t="inlineStr">
        <is>
          <t>bb</t>
        </is>
      </c>
      <c r="K2703" s="32" t="inlineStr">
        <is>
          <t>20250514-55</t>
        </is>
      </c>
    </row>
    <row r="2704">
      <c r="A2704" s="32" t="n">
        <v>45</v>
      </c>
      <c r="B2704" s="32" t="inlineStr">
        <is>
          <t>MeOH</t>
        </is>
      </c>
      <c r="D2704" s="32" t="n">
        <v>12.08</v>
      </c>
      <c r="E2704" s="32" t="n">
        <v>260.909</v>
      </c>
      <c r="G2704" s="32" t="n">
        <v>13.752</v>
      </c>
      <c r="H2704" s="32" t="inlineStr">
        <is>
          <t>bb</t>
        </is>
      </c>
      <c r="K2704" s="32" t="inlineStr">
        <is>
          <t>20250514-56</t>
        </is>
      </c>
    </row>
    <row r="2705">
      <c r="A2705" s="32" t="n">
        <v>46</v>
      </c>
      <c r="B2705" s="32" t="inlineStr">
        <is>
          <t>K3-6A</t>
        </is>
      </c>
      <c r="D2705" s="32" t="n">
        <v>12.04</v>
      </c>
      <c r="E2705" s="32" t="n">
        <v>335.246</v>
      </c>
      <c r="F2705" s="32" t="n">
        <v>2704.998</v>
      </c>
      <c r="G2705" s="32" t="n">
        <v>2426</v>
      </c>
      <c r="H2705" s="32" t="inlineStr">
        <is>
          <t>bb</t>
        </is>
      </c>
      <c r="K2705" s="32" t="inlineStr">
        <is>
          <t>20250514-57</t>
        </is>
      </c>
    </row>
    <row r="2706">
      <c r="A2706" s="32" t="n">
        <v>47</v>
      </c>
      <c r="B2706" s="32" t="inlineStr">
        <is>
          <t>K3-6B</t>
        </is>
      </c>
      <c r="D2706" s="32" t="n">
        <v>12.05</v>
      </c>
      <c r="E2706" s="32" t="n">
        <v>418.65</v>
      </c>
      <c r="F2706" s="32" t="n">
        <v>2228.994</v>
      </c>
      <c r="G2706" s="32" t="n">
        <v>2894</v>
      </c>
      <c r="H2706" s="32" t="inlineStr">
        <is>
          <t>bb</t>
        </is>
      </c>
      <c r="K2706" s="32" t="inlineStr">
        <is>
          <t>20250514-58</t>
        </is>
      </c>
    </row>
    <row r="2707">
      <c r="A2707" s="32" t="n">
        <v>48</v>
      </c>
      <c r="B2707" s="32" t="inlineStr">
        <is>
          <t>K3-6C</t>
        </is>
      </c>
      <c r="D2707" s="32" t="n">
        <v>12.04</v>
      </c>
      <c r="E2707" s="32" t="n">
        <v>635.691</v>
      </c>
      <c r="F2707" s="32" t="n">
        <v>2518.187</v>
      </c>
      <c r="G2707" s="32" t="n">
        <v>22.705</v>
      </c>
      <c r="H2707" s="32" t="inlineStr">
        <is>
          <t>bb</t>
        </is>
      </c>
      <c r="K2707" s="32" t="inlineStr">
        <is>
          <t>20250514-59</t>
        </is>
      </c>
    </row>
    <row r="2709">
      <c r="A2709" s="32" t="inlineStr">
        <is>
          <t>Compound 53:  m4 PFOA</t>
        </is>
      </c>
    </row>
    <row r="2711">
      <c r="B2711" s="32" t="inlineStr">
        <is>
          <t>Sample Text</t>
        </is>
      </c>
      <c r="C2711" s="32" t="inlineStr">
        <is>
          <t>Std. Conc</t>
        </is>
      </c>
      <c r="D2711" s="32" t="inlineStr">
        <is>
          <t>RT</t>
        </is>
      </c>
      <c r="E2711" s="32" t="inlineStr">
        <is>
          <t>Area</t>
        </is>
      </c>
      <c r="F2711" s="32" t="inlineStr">
        <is>
          <t>IS Area</t>
        </is>
      </c>
      <c r="G2711" s="32" t="inlineStr">
        <is>
          <t>S/N</t>
        </is>
      </c>
      <c r="H2711" s="32" t="inlineStr">
        <is>
          <t>Primary Flags</t>
        </is>
      </c>
      <c r="I2711" s="32" t="inlineStr">
        <is>
          <t>Response</t>
        </is>
      </c>
      <c r="J2711" s="32" t="inlineStr">
        <is>
          <t>Conc.</t>
        </is>
      </c>
      <c r="K2711" s="32" t="inlineStr">
        <is>
          <t>Name</t>
        </is>
      </c>
    </row>
    <row r="2712">
      <c r="A2712" s="32" t="n">
        <v>1</v>
      </c>
      <c r="F2712" s="32" t="n">
        <v>7374.887</v>
      </c>
      <c r="K2712" s="32" t="inlineStr">
        <is>
          <t>20250514-12</t>
        </is>
      </c>
    </row>
    <row r="2713">
      <c r="A2713" s="32" t="n">
        <v>2</v>
      </c>
      <c r="F2713" s="32" t="n">
        <v>6169.054</v>
      </c>
      <c r="K2713" s="32" t="inlineStr">
        <is>
          <t>20250514-13</t>
        </is>
      </c>
    </row>
    <row r="2714">
      <c r="A2714" s="32" t="n">
        <v>3</v>
      </c>
      <c r="F2714" s="32" t="n">
        <v>6270.085</v>
      </c>
      <c r="K2714" s="32" t="inlineStr">
        <is>
          <t>20250514-14</t>
        </is>
      </c>
    </row>
    <row r="2715">
      <c r="A2715" s="32" t="n">
        <v>4</v>
      </c>
      <c r="F2715" s="32" t="n">
        <v>5073.597</v>
      </c>
      <c r="K2715" s="32" t="inlineStr">
        <is>
          <t>20250514-15</t>
        </is>
      </c>
    </row>
    <row r="2716">
      <c r="A2716" s="32" t="n">
        <v>5</v>
      </c>
      <c r="F2716" s="32" t="n">
        <v>5607.035</v>
      </c>
      <c r="K2716" s="32" t="inlineStr">
        <is>
          <t>20250514-16</t>
        </is>
      </c>
    </row>
    <row r="2717">
      <c r="A2717" s="32" t="n">
        <v>6</v>
      </c>
      <c r="F2717" s="32" t="n">
        <v>4189.369</v>
      </c>
      <c r="K2717" s="32" t="inlineStr">
        <is>
          <t>20250514-17</t>
        </is>
      </c>
    </row>
    <row r="2718">
      <c r="A2718" s="32" t="n">
        <v>7</v>
      </c>
      <c r="F2718" s="32" t="n">
        <v>3916.892</v>
      </c>
      <c r="K2718" s="32" t="inlineStr">
        <is>
          <t>20250514-18</t>
        </is>
      </c>
    </row>
    <row r="2719">
      <c r="A2719" s="32" t="n">
        <v>8</v>
      </c>
      <c r="F2719" s="32" t="n">
        <v>4672.899</v>
      </c>
      <c r="K2719" s="32" t="inlineStr">
        <is>
          <t>20250514-19</t>
        </is>
      </c>
    </row>
    <row r="2720">
      <c r="A2720" s="32" t="n">
        <v>9</v>
      </c>
      <c r="K2720" s="32" t="inlineStr">
        <is>
          <t>20250514-20</t>
        </is>
      </c>
    </row>
    <row r="2721">
      <c r="A2721" s="32" t="n">
        <v>10</v>
      </c>
      <c r="K2721" s="32" t="inlineStr">
        <is>
          <t>20250514-21</t>
        </is>
      </c>
    </row>
    <row r="2722">
      <c r="A2722" s="32" t="n">
        <v>11</v>
      </c>
      <c r="F2722" s="32" t="n">
        <v>1803.361</v>
      </c>
      <c r="K2722" s="32" t="inlineStr">
        <is>
          <t>20250514-22</t>
        </is>
      </c>
    </row>
    <row r="2723">
      <c r="A2723" s="32" t="n">
        <v>12</v>
      </c>
      <c r="F2723" s="32" t="n">
        <v>1582.835</v>
      </c>
      <c r="K2723" s="32" t="inlineStr">
        <is>
          <t>20250514-23</t>
        </is>
      </c>
    </row>
    <row r="2724">
      <c r="A2724" s="32" t="n">
        <v>13</v>
      </c>
      <c r="F2724" s="32" t="n">
        <v>1671.82</v>
      </c>
      <c r="K2724" s="32" t="inlineStr">
        <is>
          <t>20250514-24</t>
        </is>
      </c>
    </row>
    <row r="2725">
      <c r="A2725" s="32" t="n">
        <v>14</v>
      </c>
      <c r="F2725" s="32" t="n">
        <v>1602.526</v>
      </c>
      <c r="K2725" s="32" t="inlineStr">
        <is>
          <t>20250514-25</t>
        </is>
      </c>
    </row>
    <row r="2726">
      <c r="A2726" s="32" t="n">
        <v>15</v>
      </c>
      <c r="F2726" s="32" t="n">
        <v>1532.612</v>
      </c>
      <c r="K2726" s="32" t="inlineStr">
        <is>
          <t>20250514-26</t>
        </is>
      </c>
    </row>
    <row r="2727">
      <c r="A2727" s="32" t="n">
        <v>16</v>
      </c>
      <c r="F2727" s="32" t="n">
        <v>1291.402</v>
      </c>
      <c r="K2727" s="32" t="inlineStr">
        <is>
          <t>20250514-27</t>
        </is>
      </c>
    </row>
    <row r="2728">
      <c r="A2728" s="32" t="n">
        <v>17</v>
      </c>
      <c r="K2728" s="32" t="inlineStr">
        <is>
          <t>20250514-28</t>
        </is>
      </c>
    </row>
    <row r="2729">
      <c r="A2729" s="32" t="n">
        <v>18</v>
      </c>
      <c r="F2729" s="32" t="n">
        <v>2173.066</v>
      </c>
      <c r="K2729" s="32" t="inlineStr">
        <is>
          <t>20250514-29</t>
        </is>
      </c>
    </row>
    <row r="2730">
      <c r="A2730" s="32" t="n">
        <v>19</v>
      </c>
      <c r="F2730" s="32" t="n">
        <v>2231.232</v>
      </c>
      <c r="K2730" s="32" t="inlineStr">
        <is>
          <t>20250514-30</t>
        </is>
      </c>
    </row>
    <row r="2731">
      <c r="A2731" s="32" t="n">
        <v>20</v>
      </c>
      <c r="F2731" s="32" t="n">
        <v>2264.738</v>
      </c>
      <c r="K2731" s="32" t="inlineStr">
        <is>
          <t>20250514-31</t>
        </is>
      </c>
    </row>
    <row r="2732">
      <c r="A2732" s="32" t="n">
        <v>21</v>
      </c>
      <c r="F2732" s="32" t="n">
        <v>2546.569</v>
      </c>
      <c r="K2732" s="32" t="inlineStr">
        <is>
          <t>20250514-32</t>
        </is>
      </c>
    </row>
    <row r="2733">
      <c r="A2733" s="32" t="n">
        <v>22</v>
      </c>
      <c r="F2733" s="32" t="n">
        <v>1959.093</v>
      </c>
      <c r="K2733" s="32" t="inlineStr">
        <is>
          <t>20250514-33</t>
        </is>
      </c>
    </row>
    <row r="2734">
      <c r="A2734" s="32" t="n">
        <v>23</v>
      </c>
      <c r="F2734" s="32" t="n">
        <v>1962.095</v>
      </c>
      <c r="K2734" s="32" t="inlineStr">
        <is>
          <t>20250514-34</t>
        </is>
      </c>
    </row>
    <row r="2735">
      <c r="A2735" s="32" t="n">
        <v>24</v>
      </c>
      <c r="K2735" s="32" t="inlineStr">
        <is>
          <t>20250514-35</t>
        </is>
      </c>
    </row>
    <row r="2736">
      <c r="A2736" s="32" t="n">
        <v>25</v>
      </c>
      <c r="F2736" s="32" t="n">
        <v>1890.679</v>
      </c>
      <c r="K2736" s="32" t="inlineStr">
        <is>
          <t>20250514-36</t>
        </is>
      </c>
    </row>
    <row r="2737">
      <c r="A2737" s="32" t="n">
        <v>26</v>
      </c>
      <c r="F2737" s="32" t="n">
        <v>1558.258</v>
      </c>
      <c r="K2737" s="32" t="inlineStr">
        <is>
          <t>20250514-37</t>
        </is>
      </c>
    </row>
    <row r="2738">
      <c r="A2738" s="32" t="n">
        <v>27</v>
      </c>
      <c r="F2738" s="32" t="n">
        <v>1217.543</v>
      </c>
      <c r="K2738" s="32" t="inlineStr">
        <is>
          <t>20250514-38</t>
        </is>
      </c>
    </row>
    <row r="2739">
      <c r="A2739" s="32" t="n">
        <v>28</v>
      </c>
      <c r="F2739" s="32" t="n">
        <v>1730.688</v>
      </c>
      <c r="K2739" s="32" t="inlineStr">
        <is>
          <t>20250514-39</t>
        </is>
      </c>
    </row>
    <row r="2740">
      <c r="A2740" s="32" t="n">
        <v>29</v>
      </c>
      <c r="F2740" s="32" t="n">
        <v>2104.275</v>
      </c>
      <c r="K2740" s="32" t="inlineStr">
        <is>
          <t>20250514-40</t>
        </is>
      </c>
    </row>
    <row r="2741">
      <c r="A2741" s="32" t="n">
        <v>30</v>
      </c>
      <c r="F2741" s="32" t="n">
        <v>2128.822</v>
      </c>
      <c r="K2741" s="32" t="inlineStr">
        <is>
          <t>20250514-41</t>
        </is>
      </c>
    </row>
    <row r="2742">
      <c r="A2742" s="32" t="n">
        <v>31</v>
      </c>
      <c r="K2742" s="32" t="inlineStr">
        <is>
          <t>20250514-42</t>
        </is>
      </c>
    </row>
    <row r="2743">
      <c r="A2743" s="32" t="n">
        <v>32</v>
      </c>
      <c r="F2743" s="32" t="n">
        <v>2216.675</v>
      </c>
      <c r="K2743" s="32" t="inlineStr">
        <is>
          <t>20250514-43</t>
        </is>
      </c>
    </row>
    <row r="2744">
      <c r="A2744" s="32" t="n">
        <v>33</v>
      </c>
      <c r="F2744" s="32" t="n">
        <v>1933.619</v>
      </c>
      <c r="K2744" s="32" t="inlineStr">
        <is>
          <t>20250514-44</t>
        </is>
      </c>
    </row>
    <row r="2745">
      <c r="A2745" s="32" t="n">
        <v>34</v>
      </c>
      <c r="F2745" s="32" t="n">
        <v>2689.694</v>
      </c>
      <c r="K2745" s="32" t="inlineStr">
        <is>
          <t>20250514-45</t>
        </is>
      </c>
    </row>
    <row r="2746">
      <c r="A2746" s="32" t="n">
        <v>35</v>
      </c>
      <c r="F2746" s="32" t="n">
        <v>2721.774</v>
      </c>
      <c r="K2746" s="32" t="inlineStr">
        <is>
          <t>20250514-46</t>
        </is>
      </c>
    </row>
    <row r="2747">
      <c r="A2747" s="32" t="n">
        <v>36</v>
      </c>
      <c r="F2747" s="32" t="n">
        <v>3173.245</v>
      </c>
      <c r="K2747" s="32" t="inlineStr">
        <is>
          <t>20250514-47</t>
        </is>
      </c>
    </row>
    <row r="2748">
      <c r="A2748" s="32" t="n">
        <v>37</v>
      </c>
      <c r="F2748" s="32" t="n">
        <v>2698.936</v>
      </c>
      <c r="K2748" s="32" t="inlineStr">
        <is>
          <t>20250514-48</t>
        </is>
      </c>
    </row>
    <row r="2749">
      <c r="A2749" s="32" t="n">
        <v>38</v>
      </c>
      <c r="K2749" s="32" t="inlineStr">
        <is>
          <t>20250514-49</t>
        </is>
      </c>
    </row>
    <row r="2750">
      <c r="A2750" s="32" t="n">
        <v>39</v>
      </c>
      <c r="F2750" s="32" t="n">
        <v>2447.134</v>
      </c>
      <c r="K2750" s="32" t="inlineStr">
        <is>
          <t>20250514-50</t>
        </is>
      </c>
    </row>
    <row r="2751">
      <c r="A2751" s="32" t="n">
        <v>40</v>
      </c>
      <c r="F2751" s="32" t="n">
        <v>2381.961</v>
      </c>
      <c r="K2751" s="32" t="inlineStr">
        <is>
          <t>20250514-51</t>
        </is>
      </c>
    </row>
    <row r="2752">
      <c r="A2752" s="32" t="n">
        <v>41</v>
      </c>
      <c r="F2752" s="32" t="n">
        <v>2598.05</v>
      </c>
      <c r="K2752" s="32" t="inlineStr">
        <is>
          <t>20250514-52</t>
        </is>
      </c>
    </row>
    <row r="2753">
      <c r="A2753" s="32" t="n">
        <v>42</v>
      </c>
      <c r="F2753" s="32" t="n">
        <v>2541.848</v>
      </c>
      <c r="K2753" s="32" t="inlineStr">
        <is>
          <t>20250514-53</t>
        </is>
      </c>
    </row>
    <row r="2754">
      <c r="A2754" s="32" t="n">
        <v>43</v>
      </c>
      <c r="F2754" s="32" t="n">
        <v>2826.966</v>
      </c>
      <c r="K2754" s="32" t="inlineStr">
        <is>
          <t>20250514-54</t>
        </is>
      </c>
    </row>
    <row r="2755">
      <c r="A2755" s="32" t="n">
        <v>44</v>
      </c>
      <c r="F2755" s="32" t="n">
        <v>2828.133</v>
      </c>
      <c r="K2755" s="32" t="inlineStr">
        <is>
          <t>20250514-55</t>
        </is>
      </c>
    </row>
    <row r="2756">
      <c r="A2756" s="32" t="n">
        <v>45</v>
      </c>
      <c r="K2756" s="32" t="inlineStr">
        <is>
          <t>20250514-56</t>
        </is>
      </c>
    </row>
    <row r="2757">
      <c r="A2757" s="32" t="n">
        <v>46</v>
      </c>
      <c r="F2757" s="32" t="n">
        <v>2704.998</v>
      </c>
      <c r="K2757" s="32" t="inlineStr">
        <is>
          <t>20250514-57</t>
        </is>
      </c>
    </row>
    <row r="2758">
      <c r="A2758" s="32" t="n">
        <v>47</v>
      </c>
      <c r="F2758" s="32" t="n">
        <v>2228.994</v>
      </c>
      <c r="K2758" s="32" t="inlineStr">
        <is>
          <t>20250514-58</t>
        </is>
      </c>
    </row>
    <row r="2759">
      <c r="A2759" s="32" t="n">
        <v>48</v>
      </c>
      <c r="F2759" s="32" t="n">
        <v>2518.187</v>
      </c>
      <c r="K2759" s="32" t="inlineStr">
        <is>
          <t>20250514-59</t>
        </is>
      </c>
    </row>
    <row r="2761">
      <c r="A2761" s="32" t="inlineStr">
        <is>
          <t>Compound 54:  m8 PFOA 1</t>
        </is>
      </c>
    </row>
    <row r="2763">
      <c r="B2763" s="32" t="inlineStr">
        <is>
          <t>Sample Text</t>
        </is>
      </c>
      <c r="C2763" s="32" t="inlineStr">
        <is>
          <t>Std. Conc</t>
        </is>
      </c>
      <c r="D2763" s="32" t="inlineStr">
        <is>
          <t>RT</t>
        </is>
      </c>
      <c r="E2763" s="32" t="inlineStr">
        <is>
          <t>Area</t>
        </is>
      </c>
      <c r="F2763" s="32" t="inlineStr">
        <is>
          <t>IS Area</t>
        </is>
      </c>
      <c r="G2763" s="32" t="inlineStr">
        <is>
          <t>S/N</t>
        </is>
      </c>
      <c r="H2763" s="32" t="inlineStr">
        <is>
          <t>Primary Flags</t>
        </is>
      </c>
      <c r="I2763" s="32" t="inlineStr">
        <is>
          <t>Response</t>
        </is>
      </c>
      <c r="J2763" s="32" t="inlineStr">
        <is>
          <t>Conc.</t>
        </is>
      </c>
      <c r="K2763" s="32" t="inlineStr">
        <is>
          <t>Name</t>
        </is>
      </c>
    </row>
    <row r="2764">
      <c r="A2764" s="32" t="n">
        <v>1</v>
      </c>
      <c r="B2764" s="32" t="inlineStr">
        <is>
          <t>EPA1633 &amp; diPAPs Calibration 0 ppb</t>
        </is>
      </c>
      <c r="D2764" s="32" t="n">
        <v>11.88</v>
      </c>
      <c r="E2764" s="32" t="n">
        <v>7374.887</v>
      </c>
      <c r="G2764" s="32" t="n">
        <v>52216</v>
      </c>
      <c r="H2764" s="32" t="inlineStr">
        <is>
          <t>bb</t>
        </is>
      </c>
      <c r="I2764" s="32" t="n">
        <v>7374.887</v>
      </c>
      <c r="K2764" s="32" t="inlineStr">
        <is>
          <t>20250514-12</t>
        </is>
      </c>
    </row>
    <row r="2765">
      <c r="A2765" s="32" t="n">
        <v>2</v>
      </c>
      <c r="B2765" s="32" t="inlineStr">
        <is>
          <t>EPA1633 &amp; diPAPs Calibration 0.02 ppb</t>
        </is>
      </c>
      <c r="D2765" s="32" t="n">
        <v>11.91</v>
      </c>
      <c r="E2765" s="32" t="n">
        <v>6169.054</v>
      </c>
      <c r="G2765" s="32" t="n">
        <v>143.238</v>
      </c>
      <c r="H2765" s="32" t="inlineStr">
        <is>
          <t>bb</t>
        </is>
      </c>
      <c r="I2765" s="32" t="n">
        <v>6169.054</v>
      </c>
      <c r="K2765" s="32" t="inlineStr">
        <is>
          <t>20250514-13</t>
        </is>
      </c>
    </row>
    <row r="2766">
      <c r="A2766" s="32" t="n">
        <v>3</v>
      </c>
      <c r="B2766" s="32" t="inlineStr">
        <is>
          <t>EPA1633 &amp; diPAPs Calibration 0.1 ppb</t>
        </is>
      </c>
      <c r="D2766" s="32" t="n">
        <v>11.91</v>
      </c>
      <c r="E2766" s="32" t="n">
        <v>6270.085</v>
      </c>
      <c r="G2766" s="32" t="n">
        <v>41.732</v>
      </c>
      <c r="H2766" s="32" t="inlineStr">
        <is>
          <t>bb</t>
        </is>
      </c>
      <c r="I2766" s="32" t="n">
        <v>6270.085</v>
      </c>
      <c r="K2766" s="32" t="inlineStr">
        <is>
          <t>20250514-14</t>
        </is>
      </c>
    </row>
    <row r="2767">
      <c r="A2767" s="32" t="n">
        <v>4</v>
      </c>
      <c r="B2767" s="32" t="inlineStr">
        <is>
          <t>EPA1633 &amp; diPAPs Calibration 0.4 ppb</t>
        </is>
      </c>
      <c r="D2767" s="32" t="n">
        <v>11.92</v>
      </c>
      <c r="E2767" s="32" t="n">
        <v>5073.597</v>
      </c>
      <c r="G2767" s="32" t="n">
        <v>36410</v>
      </c>
      <c r="H2767" s="32" t="inlineStr">
        <is>
          <t>bb</t>
        </is>
      </c>
      <c r="I2767" s="32" t="n">
        <v>5073.597</v>
      </c>
      <c r="K2767" s="32" t="inlineStr">
        <is>
          <t>20250514-15</t>
        </is>
      </c>
    </row>
    <row r="2768">
      <c r="A2768" s="32" t="n">
        <v>5</v>
      </c>
      <c r="B2768" s="32" t="inlineStr">
        <is>
          <t>EPA1633 &amp; diPAPs Calibration 1 ppb</t>
        </is>
      </c>
      <c r="D2768" s="32" t="n">
        <v>11.93</v>
      </c>
      <c r="E2768" s="32" t="n">
        <v>5607.035</v>
      </c>
      <c r="G2768" s="32" t="n">
        <v>40704</v>
      </c>
      <c r="H2768" s="32" t="inlineStr">
        <is>
          <t>bb</t>
        </is>
      </c>
      <c r="I2768" s="32" t="n">
        <v>5607.035</v>
      </c>
      <c r="K2768" s="32" t="inlineStr">
        <is>
          <t>20250514-16</t>
        </is>
      </c>
    </row>
    <row r="2769">
      <c r="A2769" s="32" t="n">
        <v>6</v>
      </c>
      <c r="B2769" s="32" t="inlineStr">
        <is>
          <t>EPA1633 &amp; diPAPs Calibration 5 ppb</t>
        </is>
      </c>
      <c r="D2769" s="32" t="n">
        <v>11.82</v>
      </c>
      <c r="E2769" s="32" t="n">
        <v>4189.369</v>
      </c>
      <c r="G2769" s="32" t="n">
        <v>765.6950000000001</v>
      </c>
      <c r="H2769" s="32" t="inlineStr">
        <is>
          <t>bb</t>
        </is>
      </c>
      <c r="I2769" s="32" t="n">
        <v>4189.369</v>
      </c>
      <c r="K2769" s="32" t="inlineStr">
        <is>
          <t>20250514-17</t>
        </is>
      </c>
    </row>
    <row r="2770">
      <c r="A2770" s="32" t="n">
        <v>7</v>
      </c>
      <c r="B2770" s="32" t="inlineStr">
        <is>
          <t>EPA1633 &amp; diPAPs Calibration 10 ppb</t>
        </is>
      </c>
      <c r="D2770" s="32" t="n">
        <v>11.85</v>
      </c>
      <c r="E2770" s="32" t="n">
        <v>3916.892</v>
      </c>
      <c r="G2770" s="32" t="n">
        <v>653.728</v>
      </c>
      <c r="H2770" s="32" t="inlineStr">
        <is>
          <t>bb</t>
        </is>
      </c>
      <c r="I2770" s="32" t="n">
        <v>3916.892</v>
      </c>
      <c r="K2770" s="32" t="inlineStr">
        <is>
          <t>20250514-18</t>
        </is>
      </c>
    </row>
    <row r="2771">
      <c r="A2771" s="32" t="n">
        <v>8</v>
      </c>
      <c r="B2771" s="32" t="inlineStr">
        <is>
          <t>EPA1633 &amp; diPAPs Calibration 20 ppb</t>
        </is>
      </c>
      <c r="D2771" s="32" t="n">
        <v>11.88</v>
      </c>
      <c r="E2771" s="32" t="n">
        <v>4672.899</v>
      </c>
      <c r="G2771" s="32" t="n">
        <v>34767</v>
      </c>
      <c r="H2771" s="32" t="inlineStr">
        <is>
          <t>bb</t>
        </is>
      </c>
      <c r="I2771" s="32" t="n">
        <v>4672.899</v>
      </c>
      <c r="K2771" s="32" t="inlineStr">
        <is>
          <t>20250514-19</t>
        </is>
      </c>
    </row>
    <row r="2772">
      <c r="A2772" s="32" t="n">
        <v>9</v>
      </c>
      <c r="B2772" s="32" t="inlineStr">
        <is>
          <t>MeOH</t>
        </is>
      </c>
      <c r="K2772" s="32" t="inlineStr">
        <is>
          <t>20250514-20</t>
        </is>
      </c>
    </row>
    <row r="2773">
      <c r="A2773" s="32" t="n">
        <v>10</v>
      </c>
      <c r="B2773" s="32" t="inlineStr">
        <is>
          <t>MeOH</t>
        </is>
      </c>
      <c r="K2773" s="32" t="inlineStr">
        <is>
          <t>20250514-21</t>
        </is>
      </c>
    </row>
    <row r="2774">
      <c r="A2774" s="32" t="n">
        <v>11</v>
      </c>
      <c r="B2774" s="32" t="inlineStr">
        <is>
          <t>SB1</t>
        </is>
      </c>
      <c r="D2774" s="32" t="n">
        <v>11.92</v>
      </c>
      <c r="E2774" s="32" t="n">
        <v>1803.361</v>
      </c>
      <c r="G2774" s="32" t="n">
        <v>13078</v>
      </c>
      <c r="H2774" s="32" t="inlineStr">
        <is>
          <t>bb</t>
        </is>
      </c>
      <c r="I2774" s="32" t="n">
        <v>1803.361</v>
      </c>
      <c r="K2774" s="32" t="inlineStr">
        <is>
          <t>20250514-22</t>
        </is>
      </c>
    </row>
    <row r="2775">
      <c r="A2775" s="32" t="n">
        <v>12</v>
      </c>
      <c r="B2775" s="32" t="inlineStr">
        <is>
          <t>SB2</t>
        </is>
      </c>
      <c r="D2775" s="32" t="n">
        <v>11.93</v>
      </c>
      <c r="E2775" s="32" t="n">
        <v>1582.835</v>
      </c>
      <c r="G2775" s="32" t="n">
        <v>11055</v>
      </c>
      <c r="H2775" s="32" t="inlineStr">
        <is>
          <t>bb</t>
        </is>
      </c>
      <c r="I2775" s="32" t="n">
        <v>1582.835</v>
      </c>
      <c r="K2775" s="32" t="inlineStr">
        <is>
          <t>20250514-23</t>
        </is>
      </c>
    </row>
    <row r="2776">
      <c r="A2776" s="32" t="n">
        <v>13</v>
      </c>
      <c r="B2776" s="32" t="inlineStr">
        <is>
          <t>SB3</t>
        </is>
      </c>
      <c r="D2776" s="32" t="n">
        <v>11.95</v>
      </c>
      <c r="E2776" s="32" t="n">
        <v>1671.82</v>
      </c>
      <c r="G2776" s="32" t="n">
        <v>11619</v>
      </c>
      <c r="H2776" s="32" t="inlineStr">
        <is>
          <t>bb</t>
        </is>
      </c>
      <c r="I2776" s="32" t="n">
        <v>1671.82</v>
      </c>
      <c r="K2776" s="32" t="inlineStr">
        <is>
          <t>20250514-24</t>
        </is>
      </c>
    </row>
    <row r="2777">
      <c r="A2777" s="32" t="n">
        <v>14</v>
      </c>
      <c r="B2777" s="32" t="inlineStr">
        <is>
          <t>SS1</t>
        </is>
      </c>
      <c r="D2777" s="32" t="n">
        <v>11.96</v>
      </c>
      <c r="E2777" s="32" t="n">
        <v>1602.526</v>
      </c>
      <c r="G2777" s="32" t="n">
        <v>85.79900000000001</v>
      </c>
      <c r="H2777" s="32" t="inlineStr">
        <is>
          <t>bb</t>
        </is>
      </c>
      <c r="I2777" s="32" t="n">
        <v>1602.526</v>
      </c>
      <c r="K2777" s="32" t="inlineStr">
        <is>
          <t>20250514-25</t>
        </is>
      </c>
    </row>
    <row r="2778">
      <c r="A2778" s="32" t="n">
        <v>15</v>
      </c>
      <c r="B2778" s="32" t="inlineStr">
        <is>
          <t>SS2</t>
        </is>
      </c>
      <c r="D2778" s="32" t="n">
        <v>11.96</v>
      </c>
      <c r="E2778" s="32" t="n">
        <v>1532.612</v>
      </c>
      <c r="G2778" s="32" t="n">
        <v>56.57</v>
      </c>
      <c r="H2778" s="32" t="inlineStr">
        <is>
          <t>bb</t>
        </is>
      </c>
      <c r="I2778" s="32" t="n">
        <v>1532.612</v>
      </c>
      <c r="K2778" s="32" t="inlineStr">
        <is>
          <t>20250514-26</t>
        </is>
      </c>
    </row>
    <row r="2779">
      <c r="A2779" s="32" t="n">
        <v>16</v>
      </c>
      <c r="B2779" s="32" t="inlineStr">
        <is>
          <t>SS3</t>
        </is>
      </c>
      <c r="D2779" s="32" t="n">
        <v>11.98</v>
      </c>
      <c r="E2779" s="32" t="n">
        <v>1291.402</v>
      </c>
      <c r="G2779" s="32" t="n">
        <v>9263</v>
      </c>
      <c r="H2779" s="32" t="inlineStr">
        <is>
          <t>bb</t>
        </is>
      </c>
      <c r="I2779" s="32" t="n">
        <v>1291.402</v>
      </c>
      <c r="K2779" s="32" t="inlineStr">
        <is>
          <t>20250514-27</t>
        </is>
      </c>
    </row>
    <row r="2780">
      <c r="A2780" s="32" t="n">
        <v>17</v>
      </c>
      <c r="B2780" s="32" t="inlineStr">
        <is>
          <t>MeOH</t>
        </is>
      </c>
      <c r="K2780" s="32" t="inlineStr">
        <is>
          <t>20250514-28</t>
        </is>
      </c>
    </row>
    <row r="2781">
      <c r="A2781" s="32" t="n">
        <v>18</v>
      </c>
      <c r="B2781" s="32" t="inlineStr">
        <is>
          <t>K4-1A</t>
        </is>
      </c>
      <c r="D2781" s="32" t="n">
        <v>11.98</v>
      </c>
      <c r="E2781" s="32" t="n">
        <v>2173.066</v>
      </c>
      <c r="G2781" s="32" t="n">
        <v>6195.856</v>
      </c>
      <c r="H2781" s="32" t="inlineStr">
        <is>
          <t>bb</t>
        </is>
      </c>
      <c r="I2781" s="32" t="n">
        <v>2173.066</v>
      </c>
      <c r="K2781" s="32" t="inlineStr">
        <is>
          <t>20250514-29</t>
        </is>
      </c>
    </row>
    <row r="2782">
      <c r="A2782" s="32" t="n">
        <v>19</v>
      </c>
      <c r="B2782" s="32" t="inlineStr">
        <is>
          <t>K4-1B</t>
        </is>
      </c>
      <c r="D2782" s="32" t="n">
        <v>11.98</v>
      </c>
      <c r="E2782" s="32" t="n">
        <v>2231.232</v>
      </c>
      <c r="G2782" s="32" t="n">
        <v>26.955</v>
      </c>
      <c r="H2782" s="32" t="inlineStr">
        <is>
          <t>bb</t>
        </is>
      </c>
      <c r="I2782" s="32" t="n">
        <v>2231.232</v>
      </c>
      <c r="K2782" s="32" t="inlineStr">
        <is>
          <t>20250514-30</t>
        </is>
      </c>
    </row>
    <row r="2783">
      <c r="A2783" s="32" t="n">
        <v>20</v>
      </c>
      <c r="B2783" s="32" t="inlineStr">
        <is>
          <t>K4-1C</t>
        </is>
      </c>
      <c r="D2783" s="32" t="n">
        <v>11.99</v>
      </c>
      <c r="E2783" s="32" t="n">
        <v>2264.738</v>
      </c>
      <c r="G2783" s="32" t="n">
        <v>876.369</v>
      </c>
      <c r="H2783" s="32" t="inlineStr">
        <is>
          <t>bb</t>
        </is>
      </c>
      <c r="I2783" s="32" t="n">
        <v>2264.738</v>
      </c>
      <c r="K2783" s="32" t="inlineStr">
        <is>
          <t>20250514-31</t>
        </is>
      </c>
    </row>
    <row r="2784">
      <c r="A2784" s="32" t="n">
        <v>21</v>
      </c>
      <c r="B2784" s="32" t="inlineStr">
        <is>
          <t>K4-2A</t>
        </is>
      </c>
      <c r="D2784" s="32" t="n">
        <v>12.01</v>
      </c>
      <c r="E2784" s="32" t="n">
        <v>2546.569</v>
      </c>
      <c r="G2784" s="32" t="n">
        <v>18298</v>
      </c>
      <c r="H2784" s="32" t="inlineStr">
        <is>
          <t>bb</t>
        </is>
      </c>
      <c r="I2784" s="32" t="n">
        <v>2546.569</v>
      </c>
      <c r="K2784" s="32" t="inlineStr">
        <is>
          <t>20250514-32</t>
        </is>
      </c>
    </row>
    <row r="2785">
      <c r="A2785" s="32" t="n">
        <v>22</v>
      </c>
      <c r="B2785" s="32" t="inlineStr">
        <is>
          <t>K4-2B</t>
        </is>
      </c>
      <c r="D2785" s="32" t="n">
        <v>12.01</v>
      </c>
      <c r="E2785" s="32" t="n">
        <v>1959.093</v>
      </c>
      <c r="G2785" s="32" t="n">
        <v>13509</v>
      </c>
      <c r="H2785" s="32" t="inlineStr">
        <is>
          <t>bb</t>
        </is>
      </c>
      <c r="I2785" s="32" t="n">
        <v>1959.093</v>
      </c>
      <c r="K2785" s="32" t="inlineStr">
        <is>
          <t>20250514-33</t>
        </is>
      </c>
    </row>
    <row r="2786">
      <c r="A2786" s="32" t="n">
        <v>23</v>
      </c>
      <c r="B2786" s="32" t="inlineStr">
        <is>
          <t>K4-2C</t>
        </is>
      </c>
      <c r="D2786" s="32" t="n">
        <v>12.01</v>
      </c>
      <c r="E2786" s="32" t="n">
        <v>1962.095</v>
      </c>
      <c r="G2786" s="32" t="n">
        <v>148.652</v>
      </c>
      <c r="H2786" s="32" t="inlineStr">
        <is>
          <t>bb</t>
        </is>
      </c>
      <c r="I2786" s="32" t="n">
        <v>1962.095</v>
      </c>
      <c r="K2786" s="32" t="inlineStr">
        <is>
          <t>20250514-34</t>
        </is>
      </c>
    </row>
    <row r="2787">
      <c r="A2787" s="32" t="n">
        <v>24</v>
      </c>
      <c r="B2787" s="32" t="inlineStr">
        <is>
          <t>MeOH</t>
        </is>
      </c>
      <c r="K2787" s="32" t="inlineStr">
        <is>
          <t>20250514-35</t>
        </is>
      </c>
    </row>
    <row r="2788">
      <c r="A2788" s="32" t="n">
        <v>25</v>
      </c>
      <c r="B2788" s="32" t="inlineStr">
        <is>
          <t>K4-4A</t>
        </is>
      </c>
      <c r="D2788" s="32" t="n">
        <v>12.02</v>
      </c>
      <c r="E2788" s="32" t="n">
        <v>1890.679</v>
      </c>
      <c r="G2788" s="32" t="n">
        <v>53.179</v>
      </c>
      <c r="H2788" s="32" t="inlineStr">
        <is>
          <t>bb</t>
        </is>
      </c>
      <c r="I2788" s="32" t="n">
        <v>1890.679</v>
      </c>
      <c r="K2788" s="32" t="inlineStr">
        <is>
          <t>20250514-36</t>
        </is>
      </c>
    </row>
    <row r="2789">
      <c r="A2789" s="32" t="n">
        <v>26</v>
      </c>
      <c r="B2789" s="32" t="inlineStr">
        <is>
          <t>K4-4B</t>
        </is>
      </c>
      <c r="D2789" s="32" t="n">
        <v>12.04</v>
      </c>
      <c r="E2789" s="32" t="n">
        <v>1558.258</v>
      </c>
      <c r="G2789" s="32" t="n">
        <v>10346</v>
      </c>
      <c r="H2789" s="32" t="inlineStr">
        <is>
          <t>bb</t>
        </is>
      </c>
      <c r="I2789" s="32" t="n">
        <v>1558.258</v>
      </c>
      <c r="K2789" s="32" t="inlineStr">
        <is>
          <t>20250514-37</t>
        </is>
      </c>
    </row>
    <row r="2790">
      <c r="A2790" s="32" t="n">
        <v>27</v>
      </c>
      <c r="B2790" s="32" t="inlineStr">
        <is>
          <t>K4-4C</t>
        </is>
      </c>
      <c r="D2790" s="32" t="n">
        <v>12.02</v>
      </c>
      <c r="E2790" s="32" t="n">
        <v>1217.543</v>
      </c>
      <c r="G2790" s="32" t="n">
        <v>64.578</v>
      </c>
      <c r="H2790" s="32" t="inlineStr">
        <is>
          <t>bb</t>
        </is>
      </c>
      <c r="I2790" s="32" t="n">
        <v>1217.543</v>
      </c>
      <c r="K2790" s="32" t="inlineStr">
        <is>
          <t>20250514-38</t>
        </is>
      </c>
    </row>
    <row r="2791">
      <c r="A2791" s="32" t="n">
        <v>28</v>
      </c>
      <c r="B2791" s="32" t="inlineStr">
        <is>
          <t>K4-5A</t>
        </is>
      </c>
      <c r="D2791" s="32" t="n">
        <v>12</v>
      </c>
      <c r="E2791" s="32" t="n">
        <v>1730.688</v>
      </c>
      <c r="G2791" s="32" t="n">
        <v>12875</v>
      </c>
      <c r="H2791" s="32" t="inlineStr">
        <is>
          <t>bb</t>
        </is>
      </c>
      <c r="I2791" s="32" t="n">
        <v>1730.688</v>
      </c>
      <c r="K2791" s="32" t="inlineStr">
        <is>
          <t>20250514-39</t>
        </is>
      </c>
    </row>
    <row r="2792">
      <c r="A2792" s="32" t="n">
        <v>29</v>
      </c>
      <c r="B2792" s="32" t="inlineStr">
        <is>
          <t>K4-5B</t>
        </is>
      </c>
      <c r="D2792" s="32" t="n">
        <v>11.98</v>
      </c>
      <c r="E2792" s="32" t="n">
        <v>2104.275</v>
      </c>
      <c r="G2792" s="32" t="n">
        <v>15212</v>
      </c>
      <c r="H2792" s="32" t="inlineStr">
        <is>
          <t>bb</t>
        </is>
      </c>
      <c r="I2792" s="32" t="n">
        <v>2104.275</v>
      </c>
      <c r="K2792" s="32" t="inlineStr">
        <is>
          <t>20250514-40</t>
        </is>
      </c>
    </row>
    <row r="2793">
      <c r="A2793" s="32" t="n">
        <v>30</v>
      </c>
      <c r="B2793" s="32" t="inlineStr">
        <is>
          <t>K4-5C</t>
        </is>
      </c>
      <c r="D2793" s="32" t="n">
        <v>11.91</v>
      </c>
      <c r="E2793" s="32" t="n">
        <v>2128.822</v>
      </c>
      <c r="G2793" s="32" t="n">
        <v>15970</v>
      </c>
      <c r="H2793" s="32" t="inlineStr">
        <is>
          <t>bb</t>
        </is>
      </c>
      <c r="I2793" s="32" t="n">
        <v>2128.822</v>
      </c>
      <c r="K2793" s="32" t="inlineStr">
        <is>
          <t>20250514-41</t>
        </is>
      </c>
    </row>
    <row r="2794">
      <c r="A2794" s="32" t="n">
        <v>31</v>
      </c>
      <c r="B2794" s="32" t="inlineStr">
        <is>
          <t>MeOH</t>
        </is>
      </c>
      <c r="K2794" s="32" t="inlineStr">
        <is>
          <t>20250514-42</t>
        </is>
      </c>
    </row>
    <row r="2795">
      <c r="A2795" s="32" t="n">
        <v>32</v>
      </c>
      <c r="B2795" s="32" t="inlineStr">
        <is>
          <t>K3-1A</t>
        </is>
      </c>
      <c r="D2795" s="32" t="n">
        <v>11.83</v>
      </c>
      <c r="E2795" s="32" t="n">
        <v>2216.675</v>
      </c>
      <c r="G2795" s="32" t="n">
        <v>16468</v>
      </c>
      <c r="H2795" s="32" t="inlineStr">
        <is>
          <t>bb</t>
        </is>
      </c>
      <c r="I2795" s="32" t="n">
        <v>2216.675</v>
      </c>
      <c r="K2795" s="32" t="inlineStr">
        <is>
          <t>20250514-43</t>
        </is>
      </c>
    </row>
    <row r="2796">
      <c r="A2796" s="32" t="n">
        <v>33</v>
      </c>
      <c r="B2796" s="32" t="inlineStr">
        <is>
          <t>K3-1B</t>
        </is>
      </c>
      <c r="D2796" s="32" t="n">
        <v>11.86</v>
      </c>
      <c r="E2796" s="32" t="n">
        <v>1933.619</v>
      </c>
      <c r="G2796" s="32" t="n">
        <v>14581</v>
      </c>
      <c r="H2796" s="32" t="inlineStr">
        <is>
          <t>bb</t>
        </is>
      </c>
      <c r="I2796" s="32" t="n">
        <v>1933.619</v>
      </c>
      <c r="K2796" s="32" t="inlineStr">
        <is>
          <t>20250514-44</t>
        </is>
      </c>
    </row>
    <row r="2797">
      <c r="A2797" s="32" t="n">
        <v>34</v>
      </c>
      <c r="B2797" s="32" t="inlineStr">
        <is>
          <t>K3-1C</t>
        </is>
      </c>
      <c r="D2797" s="32" t="n">
        <v>11.91</v>
      </c>
      <c r="E2797" s="32" t="n">
        <v>2689.694</v>
      </c>
      <c r="G2797" s="32" t="n">
        <v>87.705</v>
      </c>
      <c r="H2797" s="32" t="inlineStr">
        <is>
          <t>bb</t>
        </is>
      </c>
      <c r="I2797" s="32" t="n">
        <v>2689.694</v>
      </c>
      <c r="K2797" s="32" t="inlineStr">
        <is>
          <t>20250514-45</t>
        </is>
      </c>
    </row>
    <row r="2798">
      <c r="A2798" s="32" t="n">
        <v>35</v>
      </c>
      <c r="B2798" s="32" t="inlineStr">
        <is>
          <t>K3-2A</t>
        </is>
      </c>
      <c r="D2798" s="32" t="n">
        <v>11.93</v>
      </c>
      <c r="E2798" s="32" t="n">
        <v>2721.774</v>
      </c>
      <c r="G2798" s="32" t="n">
        <v>19435</v>
      </c>
      <c r="H2798" s="32" t="inlineStr">
        <is>
          <t>bb</t>
        </is>
      </c>
      <c r="I2798" s="32" t="n">
        <v>2721.774</v>
      </c>
      <c r="K2798" s="32" t="inlineStr">
        <is>
          <t>20250514-46</t>
        </is>
      </c>
    </row>
    <row r="2799">
      <c r="A2799" s="32" t="n">
        <v>36</v>
      </c>
      <c r="B2799" s="32" t="inlineStr">
        <is>
          <t>K3-2B</t>
        </is>
      </c>
      <c r="D2799" s="32" t="n">
        <v>11.92</v>
      </c>
      <c r="E2799" s="32" t="n">
        <v>3173.245</v>
      </c>
      <c r="G2799" s="32" t="n">
        <v>24065</v>
      </c>
      <c r="H2799" s="32" t="inlineStr">
        <is>
          <t>bb</t>
        </is>
      </c>
      <c r="I2799" s="32" t="n">
        <v>3173.245</v>
      </c>
      <c r="K2799" s="32" t="inlineStr">
        <is>
          <t>20250514-47</t>
        </is>
      </c>
    </row>
    <row r="2800">
      <c r="A2800" s="32" t="n">
        <v>37</v>
      </c>
      <c r="B2800" s="32" t="inlineStr">
        <is>
          <t>K3-2C</t>
        </is>
      </c>
      <c r="D2800" s="32" t="n">
        <v>11.92</v>
      </c>
      <c r="E2800" s="32" t="n">
        <v>2698.936</v>
      </c>
      <c r="G2800" s="32" t="n">
        <v>553.676</v>
      </c>
      <c r="H2800" s="32" t="inlineStr">
        <is>
          <t>bb</t>
        </is>
      </c>
      <c r="I2800" s="32" t="n">
        <v>2698.936</v>
      </c>
      <c r="K2800" s="32" t="inlineStr">
        <is>
          <t>20250514-48</t>
        </is>
      </c>
    </row>
    <row r="2801">
      <c r="A2801" s="32" t="n">
        <v>38</v>
      </c>
      <c r="B2801" s="32" t="inlineStr">
        <is>
          <t>MeOH</t>
        </is>
      </c>
      <c r="K2801" s="32" t="inlineStr">
        <is>
          <t>20250514-49</t>
        </is>
      </c>
    </row>
    <row r="2802">
      <c r="A2802" s="32" t="n">
        <v>39</v>
      </c>
      <c r="B2802" s="32" t="inlineStr">
        <is>
          <t>K3-3A</t>
        </is>
      </c>
      <c r="D2802" s="32" t="n">
        <v>11.95</v>
      </c>
      <c r="E2802" s="32" t="n">
        <v>2447.134</v>
      </c>
      <c r="G2802" s="32" t="n">
        <v>77.98699999999999</v>
      </c>
      <c r="H2802" s="32" t="inlineStr">
        <is>
          <t>bb</t>
        </is>
      </c>
      <c r="I2802" s="32" t="n">
        <v>2447.134</v>
      </c>
      <c r="K2802" s="32" t="inlineStr">
        <is>
          <t>20250514-50</t>
        </is>
      </c>
    </row>
    <row r="2803">
      <c r="A2803" s="32" t="n">
        <v>40</v>
      </c>
      <c r="B2803" s="32" t="inlineStr">
        <is>
          <t>K3-3B</t>
        </is>
      </c>
      <c r="D2803" s="32" t="n">
        <v>11.98</v>
      </c>
      <c r="E2803" s="32" t="n">
        <v>2381.961</v>
      </c>
      <c r="G2803" s="32" t="n">
        <v>17614</v>
      </c>
      <c r="H2803" s="32" t="inlineStr">
        <is>
          <t>bb</t>
        </is>
      </c>
      <c r="I2803" s="32" t="n">
        <v>2381.961</v>
      </c>
      <c r="K2803" s="32" t="inlineStr">
        <is>
          <t>20250514-51</t>
        </is>
      </c>
    </row>
    <row r="2804">
      <c r="A2804" s="32" t="n">
        <v>41</v>
      </c>
      <c r="B2804" s="32" t="inlineStr">
        <is>
          <t>K3-3C</t>
        </is>
      </c>
      <c r="D2804" s="32" t="n">
        <v>11.98</v>
      </c>
      <c r="E2804" s="32" t="n">
        <v>2598.05</v>
      </c>
      <c r="G2804" s="32" t="n">
        <v>1274.969</v>
      </c>
      <c r="H2804" s="32" t="inlineStr">
        <is>
          <t>bb</t>
        </is>
      </c>
      <c r="I2804" s="32" t="n">
        <v>2598.05</v>
      </c>
      <c r="K2804" s="32" t="inlineStr">
        <is>
          <t>20250514-52</t>
        </is>
      </c>
    </row>
    <row r="2805">
      <c r="A2805" s="32" t="n">
        <v>42</v>
      </c>
      <c r="B2805" s="32" t="inlineStr">
        <is>
          <t>K3-4A</t>
        </is>
      </c>
      <c r="D2805" s="32" t="n">
        <v>12.04</v>
      </c>
      <c r="E2805" s="32" t="n">
        <v>2541.848</v>
      </c>
      <c r="G2805" s="32" t="n">
        <v>17442</v>
      </c>
      <c r="H2805" s="32" t="inlineStr">
        <is>
          <t>bb</t>
        </is>
      </c>
      <c r="I2805" s="32" t="n">
        <v>2541.848</v>
      </c>
      <c r="K2805" s="32" t="inlineStr">
        <is>
          <t>20250514-53</t>
        </is>
      </c>
    </row>
    <row r="2806">
      <c r="A2806" s="32" t="n">
        <v>43</v>
      </c>
      <c r="B2806" s="32" t="inlineStr">
        <is>
          <t>K3-4B</t>
        </is>
      </c>
      <c r="D2806" s="32" t="n">
        <v>12.01</v>
      </c>
      <c r="E2806" s="32" t="n">
        <v>2826.966</v>
      </c>
      <c r="G2806" s="32" t="n">
        <v>20635</v>
      </c>
      <c r="H2806" s="32" t="inlineStr">
        <is>
          <t>bb</t>
        </is>
      </c>
      <c r="I2806" s="32" t="n">
        <v>2826.966</v>
      </c>
      <c r="K2806" s="32" t="inlineStr">
        <is>
          <t>20250514-54</t>
        </is>
      </c>
    </row>
    <row r="2807">
      <c r="A2807" s="32" t="n">
        <v>44</v>
      </c>
      <c r="B2807" s="32" t="inlineStr">
        <is>
          <t>K3-4C</t>
        </is>
      </c>
      <c r="D2807" s="32" t="n">
        <v>12.05</v>
      </c>
      <c r="E2807" s="32" t="n">
        <v>2828.133</v>
      </c>
      <c r="G2807" s="32" t="n">
        <v>20022</v>
      </c>
      <c r="H2807" s="32" t="inlineStr">
        <is>
          <t>bb</t>
        </is>
      </c>
      <c r="I2807" s="32" t="n">
        <v>2828.133</v>
      </c>
      <c r="K2807" s="32" t="inlineStr">
        <is>
          <t>20250514-55</t>
        </is>
      </c>
    </row>
    <row r="2808">
      <c r="A2808" s="32" t="n">
        <v>45</v>
      </c>
      <c r="B2808" s="32" t="inlineStr">
        <is>
          <t>MeOH</t>
        </is>
      </c>
      <c r="K2808" s="32" t="inlineStr">
        <is>
          <t>20250514-56</t>
        </is>
      </c>
    </row>
    <row r="2809">
      <c r="A2809" s="32" t="n">
        <v>46</v>
      </c>
      <c r="B2809" s="32" t="inlineStr">
        <is>
          <t>K3-6A</t>
        </is>
      </c>
      <c r="D2809" s="32" t="n">
        <v>12.07</v>
      </c>
      <c r="E2809" s="32" t="n">
        <v>2704.998</v>
      </c>
      <c r="G2809" s="32" t="n">
        <v>215.507</v>
      </c>
      <c r="H2809" s="32" t="inlineStr">
        <is>
          <t>bb</t>
        </is>
      </c>
      <c r="I2809" s="32" t="n">
        <v>2704.998</v>
      </c>
      <c r="K2809" s="32" t="inlineStr">
        <is>
          <t>20250514-57</t>
        </is>
      </c>
    </row>
    <row r="2810">
      <c r="A2810" s="32" t="n">
        <v>47</v>
      </c>
      <c r="B2810" s="32" t="inlineStr">
        <is>
          <t>K3-6B</t>
        </is>
      </c>
      <c r="D2810" s="32" t="n">
        <v>12.04</v>
      </c>
      <c r="E2810" s="32" t="n">
        <v>2228.994</v>
      </c>
      <c r="G2810" s="32" t="n">
        <v>16053</v>
      </c>
      <c r="H2810" s="32" t="inlineStr">
        <is>
          <t>bb</t>
        </is>
      </c>
      <c r="I2810" s="32" t="n">
        <v>2228.994</v>
      </c>
      <c r="K2810" s="32" t="inlineStr">
        <is>
          <t>20250514-58</t>
        </is>
      </c>
    </row>
    <row r="2811">
      <c r="A2811" s="32" t="n">
        <v>48</v>
      </c>
      <c r="B2811" s="32" t="inlineStr">
        <is>
          <t>K3-6C</t>
        </is>
      </c>
      <c r="D2811" s="32" t="n">
        <v>12.04</v>
      </c>
      <c r="E2811" s="32" t="n">
        <v>2518.187</v>
      </c>
      <c r="G2811" s="32" t="n">
        <v>16150</v>
      </c>
      <c r="H2811" s="32" t="inlineStr">
        <is>
          <t>bb</t>
        </is>
      </c>
      <c r="I2811" s="32" t="n">
        <v>2518.187</v>
      </c>
      <c r="K2811" s="32" t="inlineStr">
        <is>
          <t>20250514-59</t>
        </is>
      </c>
    </row>
    <row r="2813">
      <c r="A2813" s="32" t="inlineStr">
        <is>
          <t>Compound 55:  m8 PFOA 2</t>
        </is>
      </c>
    </row>
    <row r="2815">
      <c r="B2815" s="32" t="inlineStr">
        <is>
          <t>Sample Text</t>
        </is>
      </c>
      <c r="C2815" s="32" t="inlineStr">
        <is>
          <t>Std. Conc</t>
        </is>
      </c>
      <c r="D2815" s="32" t="inlineStr">
        <is>
          <t>RT</t>
        </is>
      </c>
      <c r="E2815" s="32" t="inlineStr">
        <is>
          <t>Area</t>
        </is>
      </c>
      <c r="F2815" s="32" t="inlineStr">
        <is>
          <t>IS Area</t>
        </is>
      </c>
      <c r="G2815" s="32" t="inlineStr">
        <is>
          <t>S/N</t>
        </is>
      </c>
      <c r="H2815" s="32" t="inlineStr">
        <is>
          <t>Primary Flags</t>
        </is>
      </c>
      <c r="I2815" s="32" t="inlineStr">
        <is>
          <t>Response</t>
        </is>
      </c>
      <c r="J2815" s="32" t="inlineStr">
        <is>
          <t>Conc.</t>
        </is>
      </c>
      <c r="K2815" s="32" t="inlineStr">
        <is>
          <t>Name</t>
        </is>
      </c>
    </row>
    <row r="2816">
      <c r="A2816" s="32" t="n">
        <v>1</v>
      </c>
      <c r="B2816" s="32" t="inlineStr">
        <is>
          <t>EPA1633 &amp; diPAPs Calibration 0 ppb</t>
        </is>
      </c>
      <c r="D2816" s="32" t="n">
        <v>11.88</v>
      </c>
      <c r="E2816" s="32" t="n">
        <v>2489.786</v>
      </c>
      <c r="G2816" s="32" t="n">
        <v>17710</v>
      </c>
      <c r="H2816" s="32" t="inlineStr">
        <is>
          <t>bb</t>
        </is>
      </c>
      <c r="I2816" s="32" t="n">
        <v>2489.786</v>
      </c>
      <c r="K2816" s="32" t="inlineStr">
        <is>
          <t>20250514-12</t>
        </is>
      </c>
    </row>
    <row r="2817">
      <c r="A2817" s="32" t="n">
        <v>2</v>
      </c>
      <c r="B2817" s="32" t="inlineStr">
        <is>
          <t>EPA1633 &amp; diPAPs Calibration 0.02 ppb</t>
        </is>
      </c>
      <c r="D2817" s="32" t="n">
        <v>11.91</v>
      </c>
      <c r="E2817" s="32" t="n">
        <v>2449.651</v>
      </c>
      <c r="G2817" s="32" t="n">
        <v>688.48</v>
      </c>
      <c r="H2817" s="32" t="inlineStr">
        <is>
          <t>bb</t>
        </is>
      </c>
      <c r="I2817" s="32" t="n">
        <v>2449.651</v>
      </c>
      <c r="K2817" s="32" t="inlineStr">
        <is>
          <t>20250514-13</t>
        </is>
      </c>
    </row>
    <row r="2818">
      <c r="A2818" s="32" t="n">
        <v>3</v>
      </c>
      <c r="B2818" s="32" t="inlineStr">
        <is>
          <t>EPA1633 &amp; diPAPs Calibration 0.1 ppb</t>
        </is>
      </c>
      <c r="D2818" s="32" t="n">
        <v>11.91</v>
      </c>
      <c r="E2818" s="32" t="n">
        <v>2378.931</v>
      </c>
      <c r="G2818" s="32" t="n">
        <v>17149</v>
      </c>
      <c r="H2818" s="32" t="inlineStr">
        <is>
          <t>bb</t>
        </is>
      </c>
      <c r="I2818" s="32" t="n">
        <v>2378.931</v>
      </c>
      <c r="K2818" s="32" t="inlineStr">
        <is>
          <t>20250514-14</t>
        </is>
      </c>
    </row>
    <row r="2819">
      <c r="A2819" s="32" t="n">
        <v>4</v>
      </c>
      <c r="B2819" s="32" t="inlineStr">
        <is>
          <t>EPA1633 &amp; diPAPs Calibration 0.4 ppb</t>
        </is>
      </c>
      <c r="D2819" s="32" t="n">
        <v>11.91</v>
      </c>
      <c r="E2819" s="32" t="n">
        <v>2158.6</v>
      </c>
      <c r="G2819" s="32" t="n">
        <v>170.877</v>
      </c>
      <c r="H2819" s="32" t="inlineStr">
        <is>
          <t>bb</t>
        </is>
      </c>
      <c r="I2819" s="32" t="n">
        <v>2158.6</v>
      </c>
      <c r="K2819" s="32" t="inlineStr">
        <is>
          <t>20250514-15</t>
        </is>
      </c>
    </row>
    <row r="2820">
      <c r="A2820" s="32" t="n">
        <v>5</v>
      </c>
      <c r="B2820" s="32" t="inlineStr">
        <is>
          <t>EPA1633 &amp; diPAPs Calibration 1 ppb</t>
        </is>
      </c>
      <c r="D2820" s="32" t="n">
        <v>11.92</v>
      </c>
      <c r="E2820" s="32" t="n">
        <v>2171.349</v>
      </c>
      <c r="G2820" s="32" t="n">
        <v>113.007</v>
      </c>
      <c r="H2820" s="32" t="inlineStr">
        <is>
          <t>bb</t>
        </is>
      </c>
      <c r="I2820" s="32" t="n">
        <v>2171.349</v>
      </c>
      <c r="K2820" s="32" t="inlineStr">
        <is>
          <t>20250514-16</t>
        </is>
      </c>
    </row>
    <row r="2821">
      <c r="A2821" s="32" t="n">
        <v>6</v>
      </c>
      <c r="B2821" s="32" t="inlineStr">
        <is>
          <t>EPA1633 &amp; diPAPs Calibration 5 ppb</t>
        </is>
      </c>
      <c r="D2821" s="32" t="n">
        <v>11.83</v>
      </c>
      <c r="E2821" s="32" t="n">
        <v>2121.173</v>
      </c>
      <c r="G2821" s="32" t="n">
        <v>890.309</v>
      </c>
      <c r="H2821" s="32" t="inlineStr">
        <is>
          <t>bb</t>
        </is>
      </c>
      <c r="I2821" s="32" t="n">
        <v>2121.173</v>
      </c>
      <c r="K2821" s="32" t="inlineStr">
        <is>
          <t>20250514-17</t>
        </is>
      </c>
    </row>
    <row r="2822">
      <c r="A2822" s="32" t="n">
        <v>7</v>
      </c>
      <c r="B2822" s="32" t="inlineStr">
        <is>
          <t>EPA1633 &amp; diPAPs Calibration 10 ppb</t>
        </is>
      </c>
      <c r="D2822" s="32" t="n">
        <v>11.86</v>
      </c>
      <c r="E2822" s="32" t="n">
        <v>1632.291</v>
      </c>
      <c r="G2822" s="32" t="n">
        <v>11718</v>
      </c>
      <c r="H2822" s="32" t="inlineStr">
        <is>
          <t>bb</t>
        </is>
      </c>
      <c r="I2822" s="32" t="n">
        <v>1632.291</v>
      </c>
      <c r="K2822" s="32" t="inlineStr">
        <is>
          <t>20250514-18</t>
        </is>
      </c>
    </row>
    <row r="2823">
      <c r="A2823" s="32" t="n">
        <v>8</v>
      </c>
      <c r="B2823" s="32" t="inlineStr">
        <is>
          <t>EPA1633 &amp; diPAPs Calibration 20 ppb</t>
        </is>
      </c>
      <c r="D2823" s="32" t="n">
        <v>11.89</v>
      </c>
      <c r="E2823" s="32" t="n">
        <v>1888.116</v>
      </c>
      <c r="G2823" s="32" t="n">
        <v>13425</v>
      </c>
      <c r="H2823" s="32" t="inlineStr">
        <is>
          <t>bb</t>
        </is>
      </c>
      <c r="I2823" s="32" t="n">
        <v>1888.116</v>
      </c>
      <c r="K2823" s="32" t="inlineStr">
        <is>
          <t>20250514-19</t>
        </is>
      </c>
    </row>
    <row r="2824">
      <c r="A2824" s="32" t="n">
        <v>9</v>
      </c>
      <c r="B2824" s="32" t="inlineStr">
        <is>
          <t>MeOH</t>
        </is>
      </c>
      <c r="K2824" s="32" t="inlineStr">
        <is>
          <t>20250514-20</t>
        </is>
      </c>
    </row>
    <row r="2825">
      <c r="A2825" s="32" t="n">
        <v>10</v>
      </c>
      <c r="B2825" s="32" t="inlineStr">
        <is>
          <t>MeOH</t>
        </is>
      </c>
      <c r="K2825" s="32" t="inlineStr">
        <is>
          <t>20250514-21</t>
        </is>
      </c>
    </row>
    <row r="2826">
      <c r="A2826" s="32" t="n">
        <v>11</v>
      </c>
      <c r="B2826" s="32" t="inlineStr">
        <is>
          <t>SB1</t>
        </is>
      </c>
      <c r="D2826" s="32" t="n">
        <v>11.94</v>
      </c>
      <c r="E2826" s="32" t="n">
        <v>747.436</v>
      </c>
      <c r="G2826" s="32" t="n">
        <v>4885</v>
      </c>
      <c r="H2826" s="32" t="inlineStr">
        <is>
          <t>bb</t>
        </is>
      </c>
      <c r="I2826" s="32" t="n">
        <v>747.436</v>
      </c>
      <c r="K2826" s="32" t="inlineStr">
        <is>
          <t>20250514-22</t>
        </is>
      </c>
    </row>
    <row r="2827">
      <c r="A2827" s="32" t="n">
        <v>12</v>
      </c>
      <c r="B2827" s="32" t="inlineStr">
        <is>
          <t>SB2</t>
        </is>
      </c>
      <c r="D2827" s="32" t="n">
        <v>11.93</v>
      </c>
      <c r="E2827" s="32" t="n">
        <v>888.825</v>
      </c>
      <c r="G2827" s="32" t="n">
        <v>371.103</v>
      </c>
      <c r="H2827" s="32" t="inlineStr">
        <is>
          <t>bb</t>
        </is>
      </c>
      <c r="I2827" s="32" t="n">
        <v>888.825</v>
      </c>
      <c r="K2827" s="32" t="inlineStr">
        <is>
          <t>20250514-23</t>
        </is>
      </c>
    </row>
    <row r="2828">
      <c r="A2828" s="32" t="n">
        <v>13</v>
      </c>
      <c r="B2828" s="32" t="inlineStr">
        <is>
          <t>SB3</t>
        </is>
      </c>
      <c r="D2828" s="32" t="n">
        <v>11.94</v>
      </c>
      <c r="E2828" s="32" t="n">
        <v>658.669</v>
      </c>
      <c r="G2828" s="32" t="n">
        <v>7.433</v>
      </c>
      <c r="H2828" s="32" t="inlineStr">
        <is>
          <t>bb</t>
        </is>
      </c>
      <c r="I2828" s="32" t="n">
        <v>658.669</v>
      </c>
      <c r="K2828" s="32" t="inlineStr">
        <is>
          <t>20250514-24</t>
        </is>
      </c>
    </row>
    <row r="2829">
      <c r="A2829" s="32" t="n">
        <v>14</v>
      </c>
      <c r="B2829" s="32" t="inlineStr">
        <is>
          <t>SS1</t>
        </is>
      </c>
      <c r="D2829" s="32" t="n">
        <v>11.96</v>
      </c>
      <c r="E2829" s="32" t="n">
        <v>633.539</v>
      </c>
      <c r="G2829" s="32" t="n">
        <v>160.398</v>
      </c>
      <c r="H2829" s="32" t="inlineStr">
        <is>
          <t>bb</t>
        </is>
      </c>
      <c r="I2829" s="32" t="n">
        <v>633.539</v>
      </c>
      <c r="K2829" s="32" t="inlineStr">
        <is>
          <t>20250514-25</t>
        </is>
      </c>
    </row>
    <row r="2830">
      <c r="A2830" s="32" t="n">
        <v>15</v>
      </c>
      <c r="B2830" s="32" t="inlineStr">
        <is>
          <t>SS2</t>
        </is>
      </c>
      <c r="D2830" s="32" t="n">
        <v>11.96</v>
      </c>
      <c r="E2830" s="32" t="n">
        <v>795.245</v>
      </c>
      <c r="G2830" s="32" t="n">
        <v>23.534</v>
      </c>
      <c r="H2830" s="32" t="inlineStr">
        <is>
          <t>bb</t>
        </is>
      </c>
      <c r="I2830" s="32" t="n">
        <v>795.245</v>
      </c>
      <c r="K2830" s="32" t="inlineStr">
        <is>
          <t>20250514-26</t>
        </is>
      </c>
    </row>
    <row r="2831">
      <c r="A2831" s="32" t="n">
        <v>16</v>
      </c>
      <c r="B2831" s="32" t="inlineStr">
        <is>
          <t>SS3</t>
        </is>
      </c>
      <c r="D2831" s="32" t="n">
        <v>11.99</v>
      </c>
      <c r="E2831" s="32" t="n">
        <v>533.917</v>
      </c>
      <c r="G2831" s="32" t="n">
        <v>15.216</v>
      </c>
      <c r="H2831" s="32" t="inlineStr">
        <is>
          <t>MM</t>
        </is>
      </c>
      <c r="I2831" s="32" t="n">
        <v>533.917</v>
      </c>
      <c r="K2831" s="32" t="inlineStr">
        <is>
          <t>20250514-27</t>
        </is>
      </c>
    </row>
    <row r="2832">
      <c r="A2832" s="32" t="n">
        <v>17</v>
      </c>
      <c r="B2832" s="32" t="inlineStr">
        <is>
          <t>MeOH</t>
        </is>
      </c>
      <c r="K2832" s="32" t="inlineStr">
        <is>
          <t>20250514-28</t>
        </is>
      </c>
    </row>
    <row r="2833">
      <c r="A2833" s="32" t="n">
        <v>18</v>
      </c>
      <c r="B2833" s="32" t="inlineStr">
        <is>
          <t>K4-1A</t>
        </is>
      </c>
      <c r="D2833" s="32" t="n">
        <v>11.98</v>
      </c>
      <c r="E2833" s="32" t="n">
        <v>1064.917</v>
      </c>
      <c r="G2833" s="32" t="n">
        <v>8.923999999999999</v>
      </c>
      <c r="H2833" s="32" t="inlineStr">
        <is>
          <t>bb</t>
        </is>
      </c>
      <c r="I2833" s="32" t="n">
        <v>1064.917</v>
      </c>
      <c r="K2833" s="32" t="inlineStr">
        <is>
          <t>20250514-29</t>
        </is>
      </c>
    </row>
    <row r="2834">
      <c r="A2834" s="32" t="n">
        <v>19</v>
      </c>
      <c r="B2834" s="32" t="inlineStr">
        <is>
          <t>K4-1B</t>
        </is>
      </c>
      <c r="D2834" s="32" t="n">
        <v>11.98</v>
      </c>
      <c r="E2834" s="32" t="n">
        <v>1263.963</v>
      </c>
      <c r="G2834" s="32" t="n">
        <v>39.059</v>
      </c>
      <c r="H2834" s="32" t="inlineStr">
        <is>
          <t>bb</t>
        </is>
      </c>
      <c r="I2834" s="32" t="n">
        <v>1263.963</v>
      </c>
      <c r="K2834" s="32" t="inlineStr">
        <is>
          <t>20250514-30</t>
        </is>
      </c>
    </row>
    <row r="2835">
      <c r="A2835" s="32" t="n">
        <v>20</v>
      </c>
      <c r="B2835" s="32" t="inlineStr">
        <is>
          <t>K4-1C</t>
        </is>
      </c>
      <c r="D2835" s="32" t="n">
        <v>11.99</v>
      </c>
      <c r="E2835" s="32" t="n">
        <v>1240.47</v>
      </c>
      <c r="G2835" s="32" t="n">
        <v>9468</v>
      </c>
      <c r="H2835" s="32" t="inlineStr">
        <is>
          <t>bb</t>
        </is>
      </c>
      <c r="I2835" s="32" t="n">
        <v>1240.47</v>
      </c>
      <c r="K2835" s="32" t="inlineStr">
        <is>
          <t>20250514-31</t>
        </is>
      </c>
    </row>
    <row r="2836">
      <c r="A2836" s="32" t="n">
        <v>21</v>
      </c>
      <c r="B2836" s="32" t="inlineStr">
        <is>
          <t>K4-2A</t>
        </is>
      </c>
      <c r="D2836" s="32" t="n">
        <v>11.99</v>
      </c>
      <c r="E2836" s="32" t="n">
        <v>1041.541</v>
      </c>
      <c r="G2836" s="32" t="n">
        <v>36.296</v>
      </c>
      <c r="H2836" s="32" t="inlineStr">
        <is>
          <t>bb</t>
        </is>
      </c>
      <c r="I2836" s="32" t="n">
        <v>1041.541</v>
      </c>
      <c r="K2836" s="32" t="inlineStr">
        <is>
          <t>20250514-32</t>
        </is>
      </c>
    </row>
    <row r="2837">
      <c r="A2837" s="32" t="n">
        <v>22</v>
      </c>
      <c r="B2837" s="32" t="inlineStr">
        <is>
          <t>K4-2B</t>
        </is>
      </c>
      <c r="D2837" s="32" t="n">
        <v>11.99</v>
      </c>
      <c r="E2837" s="32" t="n">
        <v>1437.42</v>
      </c>
      <c r="G2837" s="32" t="n">
        <v>10805</v>
      </c>
      <c r="H2837" s="32" t="inlineStr">
        <is>
          <t>bb</t>
        </is>
      </c>
      <c r="I2837" s="32" t="n">
        <v>1437.42</v>
      </c>
      <c r="K2837" s="32" t="inlineStr">
        <is>
          <t>20250514-33</t>
        </is>
      </c>
    </row>
    <row r="2838">
      <c r="A2838" s="32" t="n">
        <v>23</v>
      </c>
      <c r="B2838" s="32" t="inlineStr">
        <is>
          <t>K4-2C</t>
        </is>
      </c>
      <c r="D2838" s="32" t="n">
        <v>12.01</v>
      </c>
      <c r="E2838" s="32" t="n">
        <v>703.508</v>
      </c>
      <c r="G2838" s="32" t="n">
        <v>56.359</v>
      </c>
      <c r="H2838" s="32" t="inlineStr">
        <is>
          <t>bb</t>
        </is>
      </c>
      <c r="I2838" s="32" t="n">
        <v>703.508</v>
      </c>
      <c r="K2838" s="32" t="inlineStr">
        <is>
          <t>20250514-34</t>
        </is>
      </c>
    </row>
    <row r="2839">
      <c r="A2839" s="32" t="n">
        <v>24</v>
      </c>
      <c r="B2839" s="32" t="inlineStr">
        <is>
          <t>MeOH</t>
        </is>
      </c>
      <c r="K2839" s="32" t="inlineStr">
        <is>
          <t>20250514-35</t>
        </is>
      </c>
    </row>
    <row r="2840">
      <c r="A2840" s="32" t="n">
        <v>25</v>
      </c>
      <c r="B2840" s="32" t="inlineStr">
        <is>
          <t>K4-4A</t>
        </is>
      </c>
      <c r="D2840" s="32" t="n">
        <v>12.04</v>
      </c>
      <c r="E2840" s="32" t="n">
        <v>1022.507</v>
      </c>
      <c r="G2840" s="32" t="n">
        <v>6988</v>
      </c>
      <c r="H2840" s="32" t="inlineStr">
        <is>
          <t>bb</t>
        </is>
      </c>
      <c r="I2840" s="32" t="n">
        <v>1022.507</v>
      </c>
      <c r="K2840" s="32" t="inlineStr">
        <is>
          <t>20250514-36</t>
        </is>
      </c>
    </row>
    <row r="2841">
      <c r="A2841" s="32" t="n">
        <v>26</v>
      </c>
      <c r="B2841" s="32" t="inlineStr">
        <is>
          <t>K4-4B</t>
        </is>
      </c>
      <c r="D2841" s="32" t="n">
        <v>12.02</v>
      </c>
      <c r="E2841" s="32" t="n">
        <v>560.49</v>
      </c>
      <c r="G2841" s="32" t="n">
        <v>24.019</v>
      </c>
      <c r="H2841" s="32" t="inlineStr">
        <is>
          <t>bb</t>
        </is>
      </c>
      <c r="I2841" s="32" t="n">
        <v>560.49</v>
      </c>
      <c r="K2841" s="32" t="inlineStr">
        <is>
          <t>20250514-37</t>
        </is>
      </c>
    </row>
    <row r="2842">
      <c r="A2842" s="32" t="n">
        <v>27</v>
      </c>
      <c r="B2842" s="32" t="inlineStr">
        <is>
          <t>K4-4C</t>
        </is>
      </c>
      <c r="D2842" s="32" t="n">
        <v>12.02</v>
      </c>
      <c r="E2842" s="32" t="n">
        <v>760.7619999999999</v>
      </c>
      <c r="G2842" s="32" t="n">
        <v>594.58</v>
      </c>
      <c r="H2842" s="32" t="inlineStr">
        <is>
          <t>bb</t>
        </is>
      </c>
      <c r="I2842" s="32" t="n">
        <v>760.7619999999999</v>
      </c>
      <c r="K2842" s="32" t="inlineStr">
        <is>
          <t>20250514-38</t>
        </is>
      </c>
    </row>
    <row r="2843">
      <c r="A2843" s="32" t="n">
        <v>28</v>
      </c>
      <c r="B2843" s="32" t="inlineStr">
        <is>
          <t>K4-5A</t>
        </is>
      </c>
      <c r="D2843" s="32" t="n">
        <v>12.02</v>
      </c>
      <c r="E2843" s="32" t="n">
        <v>534.744</v>
      </c>
      <c r="G2843" s="32" t="n">
        <v>3755</v>
      </c>
      <c r="H2843" s="32" t="inlineStr">
        <is>
          <t>bb</t>
        </is>
      </c>
      <c r="I2843" s="32" t="n">
        <v>534.744</v>
      </c>
      <c r="K2843" s="32" t="inlineStr">
        <is>
          <t>20250514-39</t>
        </is>
      </c>
    </row>
    <row r="2844">
      <c r="A2844" s="32" t="n">
        <v>29</v>
      </c>
      <c r="B2844" s="32" t="inlineStr">
        <is>
          <t>K4-5B</t>
        </is>
      </c>
      <c r="D2844" s="32" t="n">
        <v>11.99</v>
      </c>
      <c r="E2844" s="32" t="n">
        <v>1062.534</v>
      </c>
      <c r="G2844" s="32" t="n">
        <v>7887</v>
      </c>
      <c r="H2844" s="32" t="inlineStr">
        <is>
          <t>bb</t>
        </is>
      </c>
      <c r="I2844" s="32" t="n">
        <v>1062.534</v>
      </c>
      <c r="K2844" s="32" t="inlineStr">
        <is>
          <t>20250514-40</t>
        </is>
      </c>
    </row>
    <row r="2845">
      <c r="A2845" s="32" t="n">
        <v>30</v>
      </c>
      <c r="B2845" s="32" t="inlineStr">
        <is>
          <t>K4-5C</t>
        </is>
      </c>
      <c r="D2845" s="32" t="n">
        <v>11.92</v>
      </c>
      <c r="E2845" s="32" t="n">
        <v>694.841</v>
      </c>
      <c r="G2845" s="32" t="n">
        <v>4820</v>
      </c>
      <c r="H2845" s="32" t="inlineStr">
        <is>
          <t>bb</t>
        </is>
      </c>
      <c r="I2845" s="32" t="n">
        <v>694.841</v>
      </c>
      <c r="K2845" s="32" t="inlineStr">
        <is>
          <t>20250514-41</t>
        </is>
      </c>
    </row>
    <row r="2846">
      <c r="A2846" s="32" t="n">
        <v>31</v>
      </c>
      <c r="B2846" s="32" t="inlineStr">
        <is>
          <t>MeOH</t>
        </is>
      </c>
      <c r="K2846" s="32" t="inlineStr">
        <is>
          <t>20250514-42</t>
        </is>
      </c>
    </row>
    <row r="2847">
      <c r="A2847" s="32" t="n">
        <v>32</v>
      </c>
      <c r="B2847" s="32" t="inlineStr">
        <is>
          <t>K3-1A</t>
        </is>
      </c>
      <c r="D2847" s="32" t="n">
        <v>11.83</v>
      </c>
      <c r="E2847" s="32" t="n">
        <v>1010.403</v>
      </c>
      <c r="G2847" s="32" t="n">
        <v>7525</v>
      </c>
      <c r="H2847" s="32" t="inlineStr">
        <is>
          <t>bb</t>
        </is>
      </c>
      <c r="I2847" s="32" t="n">
        <v>1010.403</v>
      </c>
      <c r="K2847" s="32" t="inlineStr">
        <is>
          <t>20250514-43</t>
        </is>
      </c>
    </row>
    <row r="2848">
      <c r="A2848" s="32" t="n">
        <v>33</v>
      </c>
      <c r="B2848" s="32" t="inlineStr">
        <is>
          <t>K3-1B</t>
        </is>
      </c>
      <c r="D2848" s="32" t="n">
        <v>11.85</v>
      </c>
      <c r="E2848" s="32" t="n">
        <v>1033.297</v>
      </c>
      <c r="G2848" s="32" t="n">
        <v>7834</v>
      </c>
      <c r="H2848" s="32" t="inlineStr">
        <is>
          <t>bb</t>
        </is>
      </c>
      <c r="I2848" s="32" t="n">
        <v>1033.297</v>
      </c>
      <c r="K2848" s="32" t="inlineStr">
        <is>
          <t>20250514-44</t>
        </is>
      </c>
    </row>
    <row r="2849">
      <c r="A2849" s="32" t="n">
        <v>34</v>
      </c>
      <c r="B2849" s="32" t="inlineStr">
        <is>
          <t>K3-1C</t>
        </is>
      </c>
      <c r="D2849" s="32" t="n">
        <v>11.92</v>
      </c>
      <c r="E2849" s="32" t="n">
        <v>1290.752</v>
      </c>
      <c r="G2849" s="32" t="n">
        <v>9694</v>
      </c>
      <c r="H2849" s="32" t="inlineStr">
        <is>
          <t>bb</t>
        </is>
      </c>
      <c r="I2849" s="32" t="n">
        <v>1290.752</v>
      </c>
      <c r="K2849" s="32" t="inlineStr">
        <is>
          <t>20250514-45</t>
        </is>
      </c>
    </row>
    <row r="2850">
      <c r="A2850" s="32" t="n">
        <v>35</v>
      </c>
      <c r="B2850" s="32" t="inlineStr">
        <is>
          <t>K3-2A</t>
        </is>
      </c>
      <c r="D2850" s="32" t="n">
        <v>11.95</v>
      </c>
      <c r="E2850" s="32" t="n">
        <v>1098.129</v>
      </c>
      <c r="G2850" s="32" t="n">
        <v>8263</v>
      </c>
      <c r="H2850" s="32" t="inlineStr">
        <is>
          <t>bb</t>
        </is>
      </c>
      <c r="I2850" s="32" t="n">
        <v>1098.129</v>
      </c>
      <c r="K2850" s="32" t="inlineStr">
        <is>
          <t>20250514-46</t>
        </is>
      </c>
    </row>
    <row r="2851">
      <c r="A2851" s="32" t="n">
        <v>36</v>
      </c>
      <c r="B2851" s="32" t="inlineStr">
        <is>
          <t>K3-2B</t>
        </is>
      </c>
      <c r="D2851" s="32" t="n">
        <v>11.92</v>
      </c>
      <c r="E2851" s="32" t="n">
        <v>1593.77</v>
      </c>
      <c r="G2851" s="32" t="n">
        <v>11802</v>
      </c>
      <c r="H2851" s="32" t="inlineStr">
        <is>
          <t>bb</t>
        </is>
      </c>
      <c r="I2851" s="32" t="n">
        <v>1593.77</v>
      </c>
      <c r="K2851" s="32" t="inlineStr">
        <is>
          <t>20250514-47</t>
        </is>
      </c>
    </row>
    <row r="2852">
      <c r="A2852" s="32" t="n">
        <v>37</v>
      </c>
      <c r="B2852" s="32" t="inlineStr">
        <is>
          <t>K3-2C</t>
        </is>
      </c>
      <c r="D2852" s="32" t="n">
        <v>11.94</v>
      </c>
      <c r="E2852" s="32" t="n">
        <v>1067.692</v>
      </c>
      <c r="G2852" s="32" t="n">
        <v>75.069</v>
      </c>
      <c r="H2852" s="32" t="inlineStr">
        <is>
          <t>bb</t>
        </is>
      </c>
      <c r="I2852" s="32" t="n">
        <v>1067.692</v>
      </c>
      <c r="K2852" s="32" t="inlineStr">
        <is>
          <t>20250514-48</t>
        </is>
      </c>
    </row>
    <row r="2853">
      <c r="A2853" s="32" t="n">
        <v>38</v>
      </c>
      <c r="B2853" s="32" t="inlineStr">
        <is>
          <t>MeOH</t>
        </is>
      </c>
      <c r="K2853" s="32" t="inlineStr">
        <is>
          <t>20250514-49</t>
        </is>
      </c>
    </row>
    <row r="2854">
      <c r="A2854" s="32" t="n">
        <v>39</v>
      </c>
      <c r="B2854" s="32" t="inlineStr">
        <is>
          <t>K3-3A</t>
        </is>
      </c>
      <c r="D2854" s="32" t="n">
        <v>11.96</v>
      </c>
      <c r="E2854" s="32" t="n">
        <v>892.886</v>
      </c>
      <c r="G2854" s="32" t="n">
        <v>35.375</v>
      </c>
      <c r="H2854" s="32" t="inlineStr">
        <is>
          <t>bb</t>
        </is>
      </c>
      <c r="I2854" s="32" t="n">
        <v>892.886</v>
      </c>
      <c r="K2854" s="32" t="inlineStr">
        <is>
          <t>20250514-50</t>
        </is>
      </c>
    </row>
    <row r="2855">
      <c r="A2855" s="32" t="n">
        <v>40</v>
      </c>
      <c r="B2855" s="32" t="inlineStr">
        <is>
          <t>K3-3B</t>
        </is>
      </c>
      <c r="D2855" s="32" t="n">
        <v>11.98</v>
      </c>
      <c r="E2855" s="32" t="n">
        <v>1753.089</v>
      </c>
      <c r="G2855" s="32" t="n">
        <v>12410</v>
      </c>
      <c r="H2855" s="32" t="inlineStr">
        <is>
          <t>bb</t>
        </is>
      </c>
      <c r="I2855" s="32" t="n">
        <v>1753.089</v>
      </c>
      <c r="K2855" s="32" t="inlineStr">
        <is>
          <t>20250514-51</t>
        </is>
      </c>
    </row>
    <row r="2856">
      <c r="A2856" s="32" t="n">
        <v>41</v>
      </c>
      <c r="B2856" s="32" t="inlineStr">
        <is>
          <t>K3-3C</t>
        </is>
      </c>
      <c r="D2856" s="32" t="n">
        <v>11.98</v>
      </c>
      <c r="E2856" s="32" t="n">
        <v>1692.502</v>
      </c>
      <c r="G2856" s="32" t="n">
        <v>11935.847</v>
      </c>
      <c r="H2856" s="32" t="inlineStr">
        <is>
          <t>bb</t>
        </is>
      </c>
      <c r="I2856" s="32" t="n">
        <v>1692.502</v>
      </c>
      <c r="K2856" s="32" t="inlineStr">
        <is>
          <t>20250514-52</t>
        </is>
      </c>
    </row>
    <row r="2857">
      <c r="A2857" s="32" t="n">
        <v>42</v>
      </c>
      <c r="B2857" s="32" t="inlineStr">
        <is>
          <t>K3-4A</t>
        </is>
      </c>
      <c r="D2857" s="32" t="n">
        <v>12.04</v>
      </c>
      <c r="E2857" s="32" t="n">
        <v>1319.701</v>
      </c>
      <c r="G2857" s="32" t="n">
        <v>139.453</v>
      </c>
      <c r="H2857" s="32" t="inlineStr">
        <is>
          <t>bb</t>
        </is>
      </c>
      <c r="I2857" s="32" t="n">
        <v>1319.701</v>
      </c>
      <c r="K2857" s="32" t="inlineStr">
        <is>
          <t>20250514-53</t>
        </is>
      </c>
    </row>
    <row r="2858">
      <c r="A2858" s="32" t="n">
        <v>43</v>
      </c>
      <c r="B2858" s="32" t="inlineStr">
        <is>
          <t>K3-4B</t>
        </is>
      </c>
      <c r="D2858" s="32" t="n">
        <v>11.99</v>
      </c>
      <c r="E2858" s="32" t="n">
        <v>1327.685</v>
      </c>
      <c r="G2858" s="32" t="n">
        <v>9415</v>
      </c>
      <c r="H2858" s="32" t="inlineStr">
        <is>
          <t>bb</t>
        </is>
      </c>
      <c r="I2858" s="32" t="n">
        <v>1327.685</v>
      </c>
      <c r="K2858" s="32" t="inlineStr">
        <is>
          <t>20250514-54</t>
        </is>
      </c>
    </row>
    <row r="2859">
      <c r="A2859" s="32" t="n">
        <v>44</v>
      </c>
      <c r="B2859" s="32" t="inlineStr">
        <is>
          <t>K3-4C</t>
        </is>
      </c>
      <c r="D2859" s="32" t="n">
        <v>12.07</v>
      </c>
      <c r="E2859" s="32" t="n">
        <v>1089.646</v>
      </c>
      <c r="G2859" s="32" t="n">
        <v>7863</v>
      </c>
      <c r="H2859" s="32" t="inlineStr">
        <is>
          <t>bb</t>
        </is>
      </c>
      <c r="I2859" s="32" t="n">
        <v>1089.646</v>
      </c>
      <c r="K2859" s="32" t="inlineStr">
        <is>
          <t>20250514-55</t>
        </is>
      </c>
    </row>
    <row r="2860">
      <c r="A2860" s="32" t="n">
        <v>45</v>
      </c>
      <c r="B2860" s="32" t="inlineStr">
        <is>
          <t>MeOH</t>
        </is>
      </c>
      <c r="K2860" s="32" t="inlineStr">
        <is>
          <t>20250514-56</t>
        </is>
      </c>
    </row>
    <row r="2861">
      <c r="A2861" s="32" t="n">
        <v>46</v>
      </c>
      <c r="B2861" s="32" t="inlineStr">
        <is>
          <t>K3-6A</t>
        </is>
      </c>
      <c r="D2861" s="32" t="n">
        <v>12.07</v>
      </c>
      <c r="E2861" s="32" t="n">
        <v>1155.322</v>
      </c>
      <c r="G2861" s="32" t="n">
        <v>7915</v>
      </c>
      <c r="H2861" s="32" t="inlineStr">
        <is>
          <t>bb</t>
        </is>
      </c>
      <c r="I2861" s="32" t="n">
        <v>1155.322</v>
      </c>
      <c r="K2861" s="32" t="inlineStr">
        <is>
          <t>20250514-57</t>
        </is>
      </c>
    </row>
    <row r="2862">
      <c r="A2862" s="32" t="n">
        <v>47</v>
      </c>
      <c r="B2862" s="32" t="inlineStr">
        <is>
          <t>K3-6B</t>
        </is>
      </c>
      <c r="D2862" s="32" t="n">
        <v>12.05</v>
      </c>
      <c r="E2862" s="32" t="n">
        <v>1254.337</v>
      </c>
      <c r="G2862" s="32" t="n">
        <v>8953</v>
      </c>
      <c r="H2862" s="32" t="inlineStr">
        <is>
          <t>bb</t>
        </is>
      </c>
      <c r="I2862" s="32" t="n">
        <v>1254.337</v>
      </c>
      <c r="K2862" s="32" t="inlineStr">
        <is>
          <t>20250514-58</t>
        </is>
      </c>
    </row>
    <row r="2863">
      <c r="A2863" s="32" t="n">
        <v>48</v>
      </c>
      <c r="B2863" s="32" t="inlineStr">
        <is>
          <t>K3-6C</t>
        </is>
      </c>
      <c r="D2863" s="32" t="n">
        <v>12.04</v>
      </c>
      <c r="E2863" s="32" t="n">
        <v>894.672</v>
      </c>
      <c r="G2863" s="32" t="n">
        <v>96.321</v>
      </c>
      <c r="H2863" s="32" t="inlineStr">
        <is>
          <t>bb</t>
        </is>
      </c>
      <c r="I2863" s="32" t="n">
        <v>894.672</v>
      </c>
      <c r="K2863" s="32" t="inlineStr">
        <is>
          <t>20250514-59</t>
        </is>
      </c>
    </row>
    <row r="2865">
      <c r="A2865" s="32" t="inlineStr">
        <is>
          <t>Compound 56:  6:2 FTS 1</t>
        </is>
      </c>
    </row>
    <row r="2867">
      <c r="B2867" s="32" t="inlineStr">
        <is>
          <t>Sample Text</t>
        </is>
      </c>
      <c r="C2867" s="32" t="inlineStr">
        <is>
          <t>Std. Conc</t>
        </is>
      </c>
      <c r="D2867" s="32" t="inlineStr">
        <is>
          <t>RT</t>
        </is>
      </c>
      <c r="E2867" s="32" t="inlineStr">
        <is>
          <t>Area</t>
        </is>
      </c>
      <c r="F2867" s="32" t="inlineStr">
        <is>
          <t>IS Area</t>
        </is>
      </c>
      <c r="G2867" s="32" t="inlineStr">
        <is>
          <t>S/N</t>
        </is>
      </c>
      <c r="H2867" s="32" t="inlineStr">
        <is>
          <t>Primary Flags</t>
        </is>
      </c>
      <c r="I2867" s="32" t="inlineStr">
        <is>
          <t>Response</t>
        </is>
      </c>
      <c r="J2867" s="32" t="inlineStr">
        <is>
          <t>Conc.</t>
        </is>
      </c>
      <c r="K2867" s="32" t="inlineStr">
        <is>
          <t>Name</t>
        </is>
      </c>
    </row>
    <row r="2868">
      <c r="A2868" s="32" t="n">
        <v>1</v>
      </c>
      <c r="B2868" s="32" t="inlineStr">
        <is>
          <t>EPA1633 &amp; diPAPs Calibration 0 ppb</t>
        </is>
      </c>
      <c r="D2868" s="32" t="n">
        <v>11.72</v>
      </c>
      <c r="E2868" s="32" t="n">
        <v>337.177</v>
      </c>
      <c r="F2868" s="32" t="n">
        <v>22113.453</v>
      </c>
      <c r="G2868" s="32" t="n">
        <v>2891</v>
      </c>
      <c r="H2868" s="32" t="inlineStr">
        <is>
          <t>bb</t>
        </is>
      </c>
      <c r="K2868" s="32" t="inlineStr">
        <is>
          <t>20250514-12</t>
        </is>
      </c>
    </row>
    <row r="2869">
      <c r="A2869" s="32" t="n">
        <v>2</v>
      </c>
      <c r="B2869" s="32" t="inlineStr">
        <is>
          <t>EPA1633 &amp; diPAPs Calibration 0.02 ppb</t>
        </is>
      </c>
      <c r="D2869" s="32" t="n">
        <v>11.77</v>
      </c>
      <c r="E2869" s="32" t="n">
        <v>1126.898</v>
      </c>
      <c r="F2869" s="32" t="n">
        <v>19727.258</v>
      </c>
      <c r="G2869" s="32" t="n">
        <v>24.994</v>
      </c>
      <c r="H2869" s="32" t="inlineStr">
        <is>
          <t>bb</t>
        </is>
      </c>
      <c r="K2869" s="32" t="inlineStr">
        <is>
          <t>20250514-13</t>
        </is>
      </c>
    </row>
    <row r="2870">
      <c r="A2870" s="32" t="n">
        <v>3</v>
      </c>
      <c r="B2870" s="32" t="inlineStr">
        <is>
          <t>EPA1633 &amp; diPAPs Calibration 0.1 ppb</t>
        </is>
      </c>
      <c r="D2870" s="32" t="n">
        <v>11.77</v>
      </c>
      <c r="E2870" s="32" t="n">
        <v>1525.989</v>
      </c>
      <c r="F2870" s="32" t="n">
        <v>21608.316</v>
      </c>
      <c r="G2870" s="32" t="n">
        <v>53.375</v>
      </c>
      <c r="H2870" s="32" t="inlineStr">
        <is>
          <t>bb</t>
        </is>
      </c>
      <c r="K2870" s="32" t="inlineStr">
        <is>
          <t>20250514-14</t>
        </is>
      </c>
    </row>
    <row r="2871">
      <c r="A2871" s="32" t="n">
        <v>4</v>
      </c>
      <c r="B2871" s="32" t="inlineStr">
        <is>
          <t>EPA1633 &amp; diPAPs Calibration 0.4 ppb</t>
        </is>
      </c>
      <c r="D2871" s="32" t="n">
        <v>11.76</v>
      </c>
      <c r="E2871" s="32" t="n">
        <v>4824.491</v>
      </c>
      <c r="F2871" s="32" t="n">
        <v>17922.152</v>
      </c>
      <c r="G2871" s="32" t="n">
        <v>1068.037</v>
      </c>
      <c r="H2871" s="32" t="inlineStr">
        <is>
          <t>bb</t>
        </is>
      </c>
      <c r="K2871" s="32" t="inlineStr">
        <is>
          <t>20250514-15</t>
        </is>
      </c>
    </row>
    <row r="2872">
      <c r="A2872" s="32" t="n">
        <v>5</v>
      </c>
      <c r="B2872" s="32" t="inlineStr">
        <is>
          <t>EPA1633 &amp; diPAPs Calibration 1 ppb</t>
        </is>
      </c>
      <c r="D2872" s="32" t="n">
        <v>11.78</v>
      </c>
      <c r="E2872" s="32" t="n">
        <v>7820.011</v>
      </c>
      <c r="F2872" s="32" t="n">
        <v>21861.023</v>
      </c>
      <c r="G2872" s="32" t="n">
        <v>166.691</v>
      </c>
      <c r="H2872" s="32" t="inlineStr">
        <is>
          <t>bb</t>
        </is>
      </c>
      <c r="K2872" s="32" t="inlineStr">
        <is>
          <t>20250514-16</t>
        </is>
      </c>
    </row>
    <row r="2873">
      <c r="A2873" s="32" t="n">
        <v>6</v>
      </c>
      <c r="B2873" s="32" t="inlineStr">
        <is>
          <t>EPA1633 &amp; diPAPs Calibration 5 ppb</t>
        </is>
      </c>
      <c r="D2873" s="32" t="n">
        <v>11.68</v>
      </c>
      <c r="E2873" s="32" t="n">
        <v>32797.883</v>
      </c>
      <c r="F2873" s="32" t="n">
        <v>19662.793</v>
      </c>
      <c r="G2873" s="32" t="n">
        <v>240894</v>
      </c>
      <c r="H2873" s="32" t="inlineStr">
        <is>
          <t>bb</t>
        </is>
      </c>
      <c r="K2873" s="32" t="inlineStr">
        <is>
          <t>20250514-17</t>
        </is>
      </c>
    </row>
    <row r="2874">
      <c r="A2874" s="32" t="n">
        <v>7</v>
      </c>
      <c r="B2874" s="32" t="inlineStr">
        <is>
          <t>EPA1633 &amp; diPAPs Calibration 10 ppb</t>
        </is>
      </c>
      <c r="D2874" s="32" t="n">
        <v>11.71</v>
      </c>
      <c r="E2874" s="32" t="n">
        <v>64116.289</v>
      </c>
      <c r="F2874" s="32" t="n">
        <v>17115.689</v>
      </c>
      <c r="G2874" s="32" t="n">
        <v>3590.181</v>
      </c>
      <c r="H2874" s="32" t="inlineStr">
        <is>
          <t>bb</t>
        </is>
      </c>
      <c r="K2874" s="32" t="inlineStr">
        <is>
          <t>20250514-18</t>
        </is>
      </c>
    </row>
    <row r="2875">
      <c r="A2875" s="32" t="n">
        <v>8</v>
      </c>
      <c r="B2875" s="32" t="inlineStr">
        <is>
          <t>EPA1633 &amp; diPAPs Calibration 20 ppb</t>
        </is>
      </c>
      <c r="D2875" s="32" t="n">
        <v>11.74</v>
      </c>
      <c r="E2875" s="32" t="n">
        <v>119857.156</v>
      </c>
      <c r="F2875" s="32" t="n">
        <v>21588.051</v>
      </c>
      <c r="G2875" s="32" t="n">
        <v>5544.825</v>
      </c>
      <c r="H2875" s="32" t="inlineStr">
        <is>
          <t>bb</t>
        </is>
      </c>
      <c r="K2875" s="32" t="inlineStr">
        <is>
          <t>20250514-19</t>
        </is>
      </c>
    </row>
    <row r="2876">
      <c r="A2876" s="32" t="n">
        <v>9</v>
      </c>
      <c r="B2876" s="32" t="inlineStr">
        <is>
          <t>MeOH</t>
        </is>
      </c>
      <c r="D2876" s="32" t="n">
        <v>11.76</v>
      </c>
      <c r="E2876" s="32" t="n">
        <v>33.773</v>
      </c>
      <c r="F2876" s="32" t="n">
        <v>29.33</v>
      </c>
      <c r="G2876" s="32" t="n">
        <v>285</v>
      </c>
      <c r="H2876" s="32" t="inlineStr">
        <is>
          <t>bb</t>
        </is>
      </c>
      <c r="K2876" s="32" t="inlineStr">
        <is>
          <t>20250514-20</t>
        </is>
      </c>
    </row>
    <row r="2877">
      <c r="A2877" s="32" t="n">
        <v>10</v>
      </c>
      <c r="B2877" s="32" t="inlineStr">
        <is>
          <t>MeOH</t>
        </is>
      </c>
      <c r="D2877" s="32" t="n">
        <v>11.76</v>
      </c>
      <c r="E2877" s="32" t="n">
        <v>147.191</v>
      </c>
      <c r="F2877" s="32" t="n">
        <v>4.523</v>
      </c>
      <c r="G2877" s="32" t="n">
        <v>1059</v>
      </c>
      <c r="H2877" s="32" t="inlineStr">
        <is>
          <t>bb</t>
        </is>
      </c>
      <c r="K2877" s="32" t="inlineStr">
        <is>
          <t>20250514-21</t>
        </is>
      </c>
    </row>
    <row r="2878">
      <c r="A2878" s="32" t="n">
        <v>11</v>
      </c>
      <c r="B2878" s="32" t="inlineStr">
        <is>
          <t>SB1</t>
        </is>
      </c>
      <c r="D2878" s="32" t="n">
        <v>11.79</v>
      </c>
      <c r="E2878" s="32" t="n">
        <v>318.469</v>
      </c>
      <c r="F2878" s="32" t="n">
        <v>8290.896000000001</v>
      </c>
      <c r="G2878" s="32" t="n">
        <v>53.735</v>
      </c>
      <c r="H2878" s="32" t="inlineStr">
        <is>
          <t>bb</t>
        </is>
      </c>
      <c r="K2878" s="32" t="inlineStr">
        <is>
          <t>20250514-22</t>
        </is>
      </c>
    </row>
    <row r="2879">
      <c r="A2879" s="32" t="n">
        <v>12</v>
      </c>
      <c r="B2879" s="32" t="inlineStr">
        <is>
          <t>SB2</t>
        </is>
      </c>
      <c r="D2879" s="32" t="n">
        <v>11.78</v>
      </c>
      <c r="E2879" s="32" t="n">
        <v>4.568</v>
      </c>
      <c r="F2879" s="32" t="n">
        <v>7311.854</v>
      </c>
      <c r="G2879" s="32" t="n">
        <v>5.712</v>
      </c>
      <c r="H2879" s="32" t="inlineStr">
        <is>
          <t>bb</t>
        </is>
      </c>
      <c r="K2879" s="32" t="inlineStr">
        <is>
          <t>20250514-23</t>
        </is>
      </c>
    </row>
    <row r="2880">
      <c r="A2880" s="32" t="n">
        <v>13</v>
      </c>
      <c r="B2880" s="32" t="inlineStr">
        <is>
          <t>SB3</t>
        </is>
      </c>
      <c r="D2880" s="32" t="n">
        <v>11.78</v>
      </c>
      <c r="E2880" s="32" t="n">
        <v>44.291</v>
      </c>
      <c r="F2880" s="32" t="n">
        <v>6894.442</v>
      </c>
      <c r="G2880" s="32" t="n">
        <v>376</v>
      </c>
      <c r="H2880" s="32" t="inlineStr">
        <is>
          <t>bb</t>
        </is>
      </c>
      <c r="K2880" s="32" t="inlineStr">
        <is>
          <t>20250514-24</t>
        </is>
      </c>
    </row>
    <row r="2881">
      <c r="A2881" s="32" t="n">
        <v>14</v>
      </c>
      <c r="B2881" s="32" t="inlineStr">
        <is>
          <t>SS1</t>
        </is>
      </c>
      <c r="D2881" s="32" t="n">
        <v>11.82</v>
      </c>
      <c r="E2881" s="32" t="n">
        <v>26068.9</v>
      </c>
      <c r="F2881" s="32" t="n">
        <v>8442.453</v>
      </c>
      <c r="G2881" s="32" t="n">
        <v>1204.547</v>
      </c>
      <c r="H2881" s="32" t="inlineStr">
        <is>
          <t>bb</t>
        </is>
      </c>
      <c r="K2881" s="32" t="inlineStr">
        <is>
          <t>20250514-25</t>
        </is>
      </c>
    </row>
    <row r="2882">
      <c r="A2882" s="32" t="n">
        <v>15</v>
      </c>
      <c r="B2882" s="32" t="inlineStr">
        <is>
          <t>SS2</t>
        </is>
      </c>
      <c r="D2882" s="32" t="n">
        <v>11.83</v>
      </c>
      <c r="E2882" s="32" t="n">
        <v>26763.598</v>
      </c>
      <c r="F2882" s="32" t="n">
        <v>9012.263999999999</v>
      </c>
      <c r="G2882" s="32" t="n">
        <v>752.045</v>
      </c>
      <c r="H2882" s="32" t="inlineStr">
        <is>
          <t>bb</t>
        </is>
      </c>
      <c r="K2882" s="32" t="inlineStr">
        <is>
          <t>20250514-26</t>
        </is>
      </c>
    </row>
    <row r="2883">
      <c r="A2883" s="32" t="n">
        <v>16</v>
      </c>
      <c r="B2883" s="32" t="inlineStr">
        <is>
          <t>SS3</t>
        </is>
      </c>
      <c r="D2883" s="32" t="n">
        <v>11.84</v>
      </c>
      <c r="E2883" s="32" t="n">
        <v>24919.904</v>
      </c>
      <c r="F2883" s="32" t="n">
        <v>7925.868</v>
      </c>
      <c r="G2883" s="32" t="n">
        <v>244.276</v>
      </c>
      <c r="H2883" s="32" t="inlineStr">
        <is>
          <t>bb</t>
        </is>
      </c>
      <c r="K2883" s="32" t="inlineStr">
        <is>
          <t>20250514-27</t>
        </is>
      </c>
    </row>
    <row r="2884">
      <c r="A2884" s="32" t="n">
        <v>17</v>
      </c>
      <c r="B2884" s="32" t="inlineStr">
        <is>
          <t>MeOH</t>
        </is>
      </c>
      <c r="D2884" s="32" t="n">
        <v>11.84</v>
      </c>
      <c r="E2884" s="32" t="n">
        <v>283.361</v>
      </c>
      <c r="G2884" s="32" t="n">
        <v>2289</v>
      </c>
      <c r="H2884" s="32" t="inlineStr">
        <is>
          <t>bb</t>
        </is>
      </c>
      <c r="K2884" s="32" t="inlineStr">
        <is>
          <t>20250514-28</t>
        </is>
      </c>
    </row>
    <row r="2885">
      <c r="A2885" s="32" t="n">
        <v>18</v>
      </c>
      <c r="B2885" s="32" t="inlineStr">
        <is>
          <t>K4-1A</t>
        </is>
      </c>
      <c r="D2885" s="32" t="n">
        <v>11.79</v>
      </c>
      <c r="E2885" s="32" t="n">
        <v>39.752</v>
      </c>
      <c r="F2885" s="32" t="n">
        <v>8643.662</v>
      </c>
      <c r="G2885" s="32" t="n">
        <v>361</v>
      </c>
      <c r="H2885" s="32" t="inlineStr">
        <is>
          <t>bb</t>
        </is>
      </c>
      <c r="K2885" s="32" t="inlineStr">
        <is>
          <t>20250514-29</t>
        </is>
      </c>
    </row>
    <row r="2886">
      <c r="A2886" s="32" t="n">
        <v>19</v>
      </c>
      <c r="B2886" s="32" t="inlineStr">
        <is>
          <t>K4-1B</t>
        </is>
      </c>
      <c r="D2886" s="32" t="n">
        <v>11.84</v>
      </c>
      <c r="E2886" s="32" t="n">
        <v>67.173</v>
      </c>
      <c r="F2886" s="32" t="n">
        <v>7778.754</v>
      </c>
      <c r="G2886" s="32" t="n">
        <v>616</v>
      </c>
      <c r="H2886" s="32" t="inlineStr">
        <is>
          <t>bb</t>
        </is>
      </c>
      <c r="K2886" s="32" t="inlineStr">
        <is>
          <t>20250514-30</t>
        </is>
      </c>
    </row>
    <row r="2887">
      <c r="A2887" s="32" t="n">
        <v>20</v>
      </c>
      <c r="B2887" s="32" t="inlineStr">
        <is>
          <t>K4-1C</t>
        </is>
      </c>
      <c r="D2887" s="32" t="n">
        <v>11.94</v>
      </c>
      <c r="E2887" s="32" t="n">
        <v>33.269</v>
      </c>
      <c r="F2887" s="32" t="n">
        <v>8090.841</v>
      </c>
      <c r="G2887" s="32" t="n">
        <v>179</v>
      </c>
      <c r="H2887" s="32" t="inlineStr">
        <is>
          <t>bb</t>
        </is>
      </c>
      <c r="K2887" s="32" t="inlineStr">
        <is>
          <t>20250514-31</t>
        </is>
      </c>
    </row>
    <row r="2888">
      <c r="A2888" s="32" t="n">
        <v>21</v>
      </c>
      <c r="B2888" s="32" t="inlineStr">
        <is>
          <t>K4-2A</t>
        </is>
      </c>
      <c r="D2888" s="32" t="n">
        <v>11.86</v>
      </c>
      <c r="E2888" s="32" t="n">
        <v>62.455</v>
      </c>
      <c r="F2888" s="32" t="n">
        <v>8274.536</v>
      </c>
      <c r="G2888" s="32" t="n">
        <v>3.017</v>
      </c>
      <c r="H2888" s="32" t="inlineStr">
        <is>
          <t>bb</t>
        </is>
      </c>
      <c r="K2888" s="32" t="inlineStr">
        <is>
          <t>20250514-32</t>
        </is>
      </c>
    </row>
    <row r="2889">
      <c r="A2889" s="32" t="n">
        <v>22</v>
      </c>
      <c r="B2889" s="32" t="inlineStr">
        <is>
          <t>K4-2B</t>
        </is>
      </c>
      <c r="D2889" s="32" t="n">
        <v>11.87</v>
      </c>
      <c r="E2889" s="32" t="n">
        <v>43.448</v>
      </c>
      <c r="F2889" s="32" t="n">
        <v>7255.211</v>
      </c>
      <c r="G2889" s="32" t="n">
        <v>341</v>
      </c>
      <c r="H2889" s="32" t="inlineStr">
        <is>
          <t>bb</t>
        </is>
      </c>
      <c r="K2889" s="32" t="inlineStr">
        <is>
          <t>20250514-33</t>
        </is>
      </c>
    </row>
    <row r="2890">
      <c r="A2890" s="32" t="n">
        <v>23</v>
      </c>
      <c r="B2890" s="32" t="inlineStr">
        <is>
          <t>K4-2C</t>
        </is>
      </c>
      <c r="D2890" s="32" t="n">
        <v>11.89</v>
      </c>
      <c r="E2890" s="32" t="n">
        <v>86.779</v>
      </c>
      <c r="F2890" s="32" t="n">
        <v>6344.476</v>
      </c>
      <c r="G2890" s="32" t="n">
        <v>740</v>
      </c>
      <c r="H2890" s="32" t="inlineStr">
        <is>
          <t>bb</t>
        </is>
      </c>
      <c r="K2890" s="32" t="inlineStr">
        <is>
          <t>20250514-34</t>
        </is>
      </c>
    </row>
    <row r="2891">
      <c r="A2891" s="32" t="n">
        <v>24</v>
      </c>
      <c r="B2891" s="32" t="inlineStr">
        <is>
          <t>MeOH</t>
        </is>
      </c>
      <c r="D2891" s="32" t="n">
        <v>11.88</v>
      </c>
      <c r="E2891" s="32" t="n">
        <v>92.12</v>
      </c>
      <c r="F2891" s="32" t="n">
        <v>0.76</v>
      </c>
      <c r="G2891" s="32" t="n">
        <v>18.674</v>
      </c>
      <c r="H2891" s="32" t="inlineStr">
        <is>
          <t>bb</t>
        </is>
      </c>
      <c r="K2891" s="32" t="inlineStr">
        <is>
          <t>20250514-35</t>
        </is>
      </c>
    </row>
    <row r="2892">
      <c r="A2892" s="32" t="n">
        <v>25</v>
      </c>
      <c r="B2892" s="32" t="inlineStr">
        <is>
          <t>K4-4A</t>
        </is>
      </c>
      <c r="D2892" s="32" t="n">
        <v>11.92</v>
      </c>
      <c r="E2892" s="32" t="n">
        <v>19.173</v>
      </c>
      <c r="F2892" s="32" t="n">
        <v>8255.324000000001</v>
      </c>
      <c r="G2892" s="32" t="n">
        <v>120</v>
      </c>
      <c r="H2892" s="32" t="inlineStr">
        <is>
          <t>bb</t>
        </is>
      </c>
      <c r="K2892" s="32" t="inlineStr">
        <is>
          <t>20250514-36</t>
        </is>
      </c>
    </row>
    <row r="2893">
      <c r="A2893" s="32" t="n">
        <v>26</v>
      </c>
      <c r="B2893" s="32" t="inlineStr">
        <is>
          <t>K4-4B</t>
        </is>
      </c>
      <c r="F2893" s="32" t="n">
        <v>8700.057000000001</v>
      </c>
      <c r="K2893" s="32" t="inlineStr">
        <is>
          <t>20250514-37</t>
        </is>
      </c>
    </row>
    <row r="2894">
      <c r="A2894" s="32" t="n">
        <v>27</v>
      </c>
      <c r="B2894" s="32" t="inlineStr">
        <is>
          <t>K4-4C</t>
        </is>
      </c>
      <c r="D2894" s="32" t="n">
        <v>11.91</v>
      </c>
      <c r="E2894" s="32" t="n">
        <v>50.585</v>
      </c>
      <c r="F2894" s="32" t="n">
        <v>8862.481</v>
      </c>
      <c r="G2894" s="32" t="n">
        <v>3.671</v>
      </c>
      <c r="H2894" s="32" t="inlineStr">
        <is>
          <t>bb</t>
        </is>
      </c>
      <c r="K2894" s="32" t="inlineStr">
        <is>
          <t>20250514-38</t>
        </is>
      </c>
    </row>
    <row r="2895">
      <c r="A2895" s="32" t="n">
        <v>28</v>
      </c>
      <c r="B2895" s="32" t="inlineStr">
        <is>
          <t>K4-5A</t>
        </is>
      </c>
      <c r="D2895" s="32" t="n">
        <v>11.89</v>
      </c>
      <c r="E2895" s="32" t="n">
        <v>59.269</v>
      </c>
      <c r="F2895" s="32" t="n">
        <v>7566.267</v>
      </c>
      <c r="G2895" s="32" t="n">
        <v>3.432</v>
      </c>
      <c r="H2895" s="32" t="inlineStr">
        <is>
          <t>bb</t>
        </is>
      </c>
      <c r="K2895" s="32" t="inlineStr">
        <is>
          <t>20250514-39</t>
        </is>
      </c>
    </row>
    <row r="2896">
      <c r="A2896" s="32" t="n">
        <v>29</v>
      </c>
      <c r="B2896" s="32" t="inlineStr">
        <is>
          <t>K4-5B</t>
        </is>
      </c>
      <c r="D2896" s="32" t="n">
        <v>11.91</v>
      </c>
      <c r="E2896" s="32" t="n">
        <v>24.204</v>
      </c>
      <c r="F2896" s="32" t="n">
        <v>7728.61</v>
      </c>
      <c r="G2896" s="32" t="n">
        <v>220</v>
      </c>
      <c r="H2896" s="32" t="inlineStr">
        <is>
          <t>bb</t>
        </is>
      </c>
      <c r="K2896" s="32" t="inlineStr">
        <is>
          <t>20250514-40</t>
        </is>
      </c>
    </row>
    <row r="2897">
      <c r="A2897" s="32" t="n">
        <v>30</v>
      </c>
      <c r="B2897" s="32" t="inlineStr">
        <is>
          <t>K4-5C</t>
        </is>
      </c>
      <c r="D2897" s="32" t="n">
        <v>11.78</v>
      </c>
      <c r="E2897" s="32" t="n">
        <v>177.317</v>
      </c>
      <c r="F2897" s="32" t="n">
        <v>7892.756</v>
      </c>
      <c r="G2897" s="32" t="n">
        <v>1416</v>
      </c>
      <c r="H2897" s="32" t="inlineStr">
        <is>
          <t>bb</t>
        </is>
      </c>
      <c r="K2897" s="32" t="inlineStr">
        <is>
          <t>20250514-41</t>
        </is>
      </c>
    </row>
    <row r="2898">
      <c r="A2898" s="32" t="n">
        <v>31</v>
      </c>
      <c r="B2898" s="32" t="inlineStr">
        <is>
          <t>MeOH</t>
        </is>
      </c>
      <c r="D2898" s="32" t="n">
        <v>11.78</v>
      </c>
      <c r="E2898" s="32" t="n">
        <v>226.512</v>
      </c>
      <c r="F2898" s="32" t="n">
        <v>79.38200000000001</v>
      </c>
      <c r="G2898" s="32" t="n">
        <v>1935</v>
      </c>
      <c r="H2898" s="32" t="inlineStr">
        <is>
          <t>bb</t>
        </is>
      </c>
      <c r="K2898" s="32" t="inlineStr">
        <is>
          <t>20250514-42</t>
        </is>
      </c>
    </row>
    <row r="2899">
      <c r="A2899" s="32" t="n">
        <v>32</v>
      </c>
      <c r="B2899" s="32" t="inlineStr">
        <is>
          <t>K3-1A</t>
        </is>
      </c>
      <c r="D2899" s="32" t="n">
        <v>11.69</v>
      </c>
      <c r="E2899" s="32" t="n">
        <v>134.193</v>
      </c>
      <c r="F2899" s="32" t="n">
        <v>9463.556</v>
      </c>
      <c r="G2899" s="32" t="n">
        <v>738</v>
      </c>
      <c r="H2899" s="32" t="inlineStr">
        <is>
          <t>bb</t>
        </is>
      </c>
      <c r="K2899" s="32" t="inlineStr">
        <is>
          <t>20250514-43</t>
        </is>
      </c>
    </row>
    <row r="2900">
      <c r="A2900" s="32" t="n">
        <v>33</v>
      </c>
      <c r="B2900" s="32" t="inlineStr">
        <is>
          <t>K3-1B</t>
        </is>
      </c>
      <c r="D2900" s="32" t="n">
        <v>11.79</v>
      </c>
      <c r="E2900" s="32" t="n">
        <v>38.076</v>
      </c>
      <c r="F2900" s="32" t="n">
        <v>8614.062</v>
      </c>
      <c r="G2900" s="32" t="n">
        <v>201</v>
      </c>
      <c r="H2900" s="32" t="inlineStr">
        <is>
          <t>bb</t>
        </is>
      </c>
      <c r="K2900" s="32" t="inlineStr">
        <is>
          <t>20250514-44</t>
        </is>
      </c>
    </row>
    <row r="2901">
      <c r="A2901" s="32" t="n">
        <v>34</v>
      </c>
      <c r="B2901" s="32" t="inlineStr">
        <is>
          <t>K3-1C</t>
        </is>
      </c>
      <c r="D2901" s="32" t="n">
        <v>11.76</v>
      </c>
      <c r="E2901" s="32" t="n">
        <v>100.953</v>
      </c>
      <c r="F2901" s="32" t="n">
        <v>10580.468</v>
      </c>
      <c r="G2901" s="32" t="n">
        <v>2.857</v>
      </c>
      <c r="H2901" s="32" t="inlineStr">
        <is>
          <t>bb</t>
        </is>
      </c>
      <c r="K2901" s="32" t="inlineStr">
        <is>
          <t>20250514-45</t>
        </is>
      </c>
    </row>
    <row r="2902">
      <c r="A2902" s="32" t="n">
        <v>35</v>
      </c>
      <c r="B2902" s="32" t="inlineStr">
        <is>
          <t>K3-2A</t>
        </is>
      </c>
      <c r="D2902" s="32" t="n">
        <v>11.78</v>
      </c>
      <c r="E2902" s="32" t="n">
        <v>78.622</v>
      </c>
      <c r="F2902" s="32" t="n">
        <v>10118.425</v>
      </c>
      <c r="G2902" s="32" t="n">
        <v>671</v>
      </c>
      <c r="H2902" s="32" t="inlineStr">
        <is>
          <t>bb</t>
        </is>
      </c>
      <c r="K2902" s="32" t="inlineStr">
        <is>
          <t>20250514-46</t>
        </is>
      </c>
    </row>
    <row r="2903">
      <c r="A2903" s="32" t="n">
        <v>36</v>
      </c>
      <c r="B2903" s="32" t="inlineStr">
        <is>
          <t>K3-2B</t>
        </is>
      </c>
      <c r="F2903" s="32" t="n">
        <v>11670.299</v>
      </c>
      <c r="K2903" s="32" t="inlineStr">
        <is>
          <t>20250514-47</t>
        </is>
      </c>
    </row>
    <row r="2904">
      <c r="A2904" s="32" t="n">
        <v>37</v>
      </c>
      <c r="B2904" s="32" t="inlineStr">
        <is>
          <t>K3-2C</t>
        </is>
      </c>
      <c r="D2904" s="32" t="n">
        <v>11.78</v>
      </c>
      <c r="E2904" s="32" t="n">
        <v>104.013</v>
      </c>
      <c r="F2904" s="32" t="n">
        <v>10063.434</v>
      </c>
      <c r="G2904" s="32" t="n">
        <v>776</v>
      </c>
      <c r="H2904" s="32" t="inlineStr">
        <is>
          <t>bb</t>
        </is>
      </c>
      <c r="K2904" s="32" t="inlineStr">
        <is>
          <t>20250514-48</t>
        </is>
      </c>
    </row>
    <row r="2905">
      <c r="A2905" s="32" t="n">
        <v>38</v>
      </c>
      <c r="B2905" s="32" t="inlineStr">
        <is>
          <t>MeOH</t>
        </is>
      </c>
      <c r="D2905" s="32" t="n">
        <v>11.82</v>
      </c>
      <c r="E2905" s="32" t="n">
        <v>86.637</v>
      </c>
      <c r="F2905" s="32" t="n">
        <v>33.329</v>
      </c>
      <c r="G2905" s="32" t="n">
        <v>3.314</v>
      </c>
      <c r="H2905" s="32" t="inlineStr">
        <is>
          <t>bb</t>
        </is>
      </c>
      <c r="K2905" s="32" t="inlineStr">
        <is>
          <t>20250514-49</t>
        </is>
      </c>
    </row>
    <row r="2906">
      <c r="A2906" s="32" t="n">
        <v>39</v>
      </c>
      <c r="B2906" s="32" t="inlineStr">
        <is>
          <t>K3-3A</t>
        </is>
      </c>
      <c r="D2906" s="32" t="n">
        <v>11.81</v>
      </c>
      <c r="E2906" s="32" t="n">
        <v>46.902</v>
      </c>
      <c r="F2906" s="32" t="n">
        <v>9698.305</v>
      </c>
      <c r="G2906" s="32" t="n">
        <v>451</v>
      </c>
      <c r="H2906" s="32" t="inlineStr">
        <is>
          <t>bb</t>
        </is>
      </c>
      <c r="K2906" s="32" t="inlineStr">
        <is>
          <t>20250514-50</t>
        </is>
      </c>
    </row>
    <row r="2907">
      <c r="A2907" s="32" t="n">
        <v>40</v>
      </c>
      <c r="B2907" s="32" t="inlineStr">
        <is>
          <t>K3-3B</t>
        </is>
      </c>
      <c r="D2907" s="32" t="n">
        <v>11.85</v>
      </c>
      <c r="E2907" s="32" t="n">
        <v>147.728</v>
      </c>
      <c r="F2907" s="32" t="n">
        <v>11153.47</v>
      </c>
      <c r="G2907" s="32" t="n">
        <v>140.82</v>
      </c>
      <c r="H2907" s="32" t="inlineStr">
        <is>
          <t>bb</t>
        </is>
      </c>
      <c r="K2907" s="32" t="inlineStr">
        <is>
          <t>20250514-51</t>
        </is>
      </c>
    </row>
    <row r="2908">
      <c r="A2908" s="32" t="n">
        <v>41</v>
      </c>
      <c r="B2908" s="32" t="inlineStr">
        <is>
          <t>K3-3C</t>
        </is>
      </c>
      <c r="D2908" s="32" t="n">
        <v>11.81</v>
      </c>
      <c r="E2908" s="32" t="n">
        <v>14.235</v>
      </c>
      <c r="F2908" s="32" t="n">
        <v>13110.222</v>
      </c>
      <c r="G2908" s="32" t="n">
        <v>134</v>
      </c>
      <c r="H2908" s="32" t="inlineStr">
        <is>
          <t>bb</t>
        </is>
      </c>
      <c r="K2908" s="32" t="inlineStr">
        <is>
          <t>20250514-52</t>
        </is>
      </c>
    </row>
    <row r="2909">
      <c r="A2909" s="32" t="n">
        <v>42</v>
      </c>
      <c r="B2909" s="32" t="inlineStr">
        <is>
          <t>K3-4A</t>
        </is>
      </c>
      <c r="D2909" s="32" t="n">
        <v>11.91</v>
      </c>
      <c r="E2909" s="32" t="n">
        <v>20.144</v>
      </c>
      <c r="F2909" s="32" t="n">
        <v>13316.729</v>
      </c>
      <c r="G2909" s="32" t="n">
        <v>2.889</v>
      </c>
      <c r="H2909" s="32" t="inlineStr">
        <is>
          <t>bb</t>
        </is>
      </c>
      <c r="K2909" s="32" t="inlineStr">
        <is>
          <t>20250514-53</t>
        </is>
      </c>
    </row>
    <row r="2910">
      <c r="A2910" s="32" t="n">
        <v>43</v>
      </c>
      <c r="B2910" s="32" t="inlineStr">
        <is>
          <t>K3-4B</t>
        </is>
      </c>
      <c r="D2910" s="32" t="n">
        <v>11.91</v>
      </c>
      <c r="E2910" s="32" t="n">
        <v>209.483</v>
      </c>
      <c r="F2910" s="32" t="n">
        <v>13406.583</v>
      </c>
      <c r="G2910" s="32" t="n">
        <v>5.074</v>
      </c>
      <c r="H2910" s="32" t="inlineStr">
        <is>
          <t>bb</t>
        </is>
      </c>
      <c r="K2910" s="32" t="inlineStr">
        <is>
          <t>20250514-54</t>
        </is>
      </c>
    </row>
    <row r="2911">
      <c r="A2911" s="32" t="n">
        <v>44</v>
      </c>
      <c r="B2911" s="32" t="inlineStr">
        <is>
          <t>K3-4C</t>
        </is>
      </c>
      <c r="D2911" s="32" t="n">
        <v>11.92</v>
      </c>
      <c r="E2911" s="32" t="n">
        <v>137.553</v>
      </c>
      <c r="F2911" s="32" t="n">
        <v>15237.138</v>
      </c>
      <c r="G2911" s="32" t="n">
        <v>1164</v>
      </c>
      <c r="H2911" s="32" t="inlineStr">
        <is>
          <t>bb</t>
        </is>
      </c>
      <c r="K2911" s="32" t="inlineStr">
        <is>
          <t>20250514-55</t>
        </is>
      </c>
    </row>
    <row r="2912">
      <c r="A2912" s="32" t="n">
        <v>45</v>
      </c>
      <c r="B2912" s="32" t="inlineStr">
        <is>
          <t>MeOH</t>
        </is>
      </c>
      <c r="D2912" s="32" t="n">
        <v>11.96</v>
      </c>
      <c r="E2912" s="32" t="n">
        <v>225.063</v>
      </c>
      <c r="G2912" s="32" t="n">
        <v>122.556</v>
      </c>
      <c r="H2912" s="32" t="inlineStr">
        <is>
          <t>bb</t>
        </is>
      </c>
      <c r="K2912" s="32" t="inlineStr">
        <is>
          <t>20250514-56</t>
        </is>
      </c>
    </row>
    <row r="2913">
      <c r="A2913" s="32" t="n">
        <v>46</v>
      </c>
      <c r="B2913" s="32" t="inlineStr">
        <is>
          <t>K3-6A</t>
        </is>
      </c>
      <c r="D2913" s="32" t="n">
        <v>11.91</v>
      </c>
      <c r="E2913" s="32" t="n">
        <v>57.444</v>
      </c>
      <c r="F2913" s="32" t="n">
        <v>12951.722</v>
      </c>
      <c r="G2913" s="32" t="n">
        <v>488</v>
      </c>
      <c r="H2913" s="32" t="inlineStr">
        <is>
          <t>bb</t>
        </is>
      </c>
      <c r="K2913" s="32" t="inlineStr">
        <is>
          <t>20250514-57</t>
        </is>
      </c>
    </row>
    <row r="2914">
      <c r="A2914" s="32" t="n">
        <v>47</v>
      </c>
      <c r="B2914" s="32" t="inlineStr">
        <is>
          <t>K3-6B</t>
        </is>
      </c>
      <c r="D2914" s="32" t="n">
        <v>10.46</v>
      </c>
      <c r="E2914" s="32" t="n">
        <v>8.888</v>
      </c>
      <c r="F2914" s="32" t="n">
        <v>12128.479</v>
      </c>
      <c r="G2914" s="32" t="n">
        <v>98</v>
      </c>
      <c r="H2914" s="32" t="inlineStr">
        <is>
          <t>MM</t>
        </is>
      </c>
      <c r="K2914" s="32" t="inlineStr">
        <is>
          <t>20250514-58</t>
        </is>
      </c>
    </row>
    <row r="2915">
      <c r="A2915" s="32" t="n">
        <v>48</v>
      </c>
      <c r="B2915" s="32" t="inlineStr">
        <is>
          <t>K3-6C</t>
        </is>
      </c>
      <c r="D2915" s="32" t="n">
        <v>12.08</v>
      </c>
      <c r="E2915" s="32" t="n">
        <v>31.238</v>
      </c>
      <c r="F2915" s="32" t="n">
        <v>10764.568</v>
      </c>
      <c r="G2915" s="32" t="n">
        <v>275</v>
      </c>
      <c r="H2915" s="32" t="inlineStr">
        <is>
          <t>bb</t>
        </is>
      </c>
      <c r="K2915" s="32" t="inlineStr">
        <is>
          <t>20250514-59</t>
        </is>
      </c>
    </row>
    <row r="2917">
      <c r="A2917" s="32" t="inlineStr">
        <is>
          <t>Compound 57:  6:2 FTS 2</t>
        </is>
      </c>
    </row>
    <row r="2919">
      <c r="B2919" s="32" t="inlineStr">
        <is>
          <t>Sample Text</t>
        </is>
      </c>
      <c r="C2919" s="32" t="inlineStr">
        <is>
          <t>Std. Conc</t>
        </is>
      </c>
      <c r="D2919" s="32" t="inlineStr">
        <is>
          <t>RT</t>
        </is>
      </c>
      <c r="E2919" s="32" t="inlineStr">
        <is>
          <t>Area</t>
        </is>
      </c>
      <c r="F2919" s="32" t="inlineStr">
        <is>
          <t>IS Area</t>
        </is>
      </c>
      <c r="G2919" s="32" t="inlineStr">
        <is>
          <t>S/N</t>
        </is>
      </c>
      <c r="H2919" s="32" t="inlineStr">
        <is>
          <t>Primary Flags</t>
        </is>
      </c>
      <c r="I2919" s="32" t="inlineStr">
        <is>
          <t>Response</t>
        </is>
      </c>
      <c r="J2919" s="32" t="inlineStr">
        <is>
          <t>Conc.</t>
        </is>
      </c>
      <c r="K2919" s="32" t="inlineStr">
        <is>
          <t>Name</t>
        </is>
      </c>
    </row>
    <row r="2920">
      <c r="A2920" s="32" t="n">
        <v>1</v>
      </c>
      <c r="B2920" s="32" t="inlineStr">
        <is>
          <t>EPA1633 &amp; diPAPs Calibration 0 ppb</t>
        </is>
      </c>
      <c r="D2920" s="32" t="n">
        <v>11.75</v>
      </c>
      <c r="E2920" s="32" t="n">
        <v>42.583</v>
      </c>
      <c r="F2920" s="32" t="n">
        <v>22113.453</v>
      </c>
      <c r="G2920" s="32" t="n">
        <v>398</v>
      </c>
      <c r="H2920" s="32" t="inlineStr">
        <is>
          <t>MM</t>
        </is>
      </c>
      <c r="K2920" s="32" t="inlineStr">
        <is>
          <t>20250514-12</t>
        </is>
      </c>
    </row>
    <row r="2921">
      <c r="A2921" s="32" t="n">
        <v>2</v>
      </c>
      <c r="B2921" s="32" t="inlineStr">
        <is>
          <t>EPA1633 &amp; diPAPs Calibration 0.02 ppb</t>
        </is>
      </c>
      <c r="D2921" s="32" t="n">
        <v>11.77</v>
      </c>
      <c r="E2921" s="32" t="n">
        <v>331.859</v>
      </c>
      <c r="F2921" s="32" t="n">
        <v>19727.258</v>
      </c>
      <c r="G2921" s="32" t="n">
        <v>2318</v>
      </c>
      <c r="H2921" s="32" t="inlineStr">
        <is>
          <t>MM</t>
        </is>
      </c>
      <c r="K2921" s="32" t="inlineStr">
        <is>
          <t>20250514-13</t>
        </is>
      </c>
    </row>
    <row r="2922">
      <c r="A2922" s="32" t="n">
        <v>3</v>
      </c>
      <c r="B2922" s="32" t="inlineStr">
        <is>
          <t>EPA1633 &amp; diPAPs Calibration 0.1 ppb</t>
        </is>
      </c>
      <c r="D2922" s="32" t="n">
        <v>11.78</v>
      </c>
      <c r="E2922" s="32" t="n">
        <v>233.394</v>
      </c>
      <c r="F2922" s="32" t="n">
        <v>21608.316</v>
      </c>
      <c r="G2922" s="32" t="n">
        <v>6.973</v>
      </c>
      <c r="H2922" s="32" t="inlineStr">
        <is>
          <t>MM</t>
        </is>
      </c>
      <c r="K2922" s="32" t="inlineStr">
        <is>
          <t>20250514-14</t>
        </is>
      </c>
    </row>
    <row r="2923">
      <c r="A2923" s="32" t="n">
        <v>4</v>
      </c>
      <c r="B2923" s="32" t="inlineStr">
        <is>
          <t>EPA1633 &amp; diPAPs Calibration 0.4 ppb</t>
        </is>
      </c>
      <c r="D2923" s="32" t="n">
        <v>11.76</v>
      </c>
      <c r="E2923" s="32" t="n">
        <v>1415.713</v>
      </c>
      <c r="F2923" s="32" t="n">
        <v>17922.152</v>
      </c>
      <c r="G2923" s="32" t="n">
        <v>27.486</v>
      </c>
      <c r="H2923" s="32" t="inlineStr">
        <is>
          <t>MM</t>
        </is>
      </c>
      <c r="K2923" s="32" t="inlineStr">
        <is>
          <t>20250514-15</t>
        </is>
      </c>
    </row>
    <row r="2924">
      <c r="A2924" s="32" t="n">
        <v>5</v>
      </c>
      <c r="B2924" s="32" t="inlineStr">
        <is>
          <t>EPA1633 &amp; diPAPs Calibration 1 ppb</t>
        </is>
      </c>
      <c r="D2924" s="32" t="n">
        <v>11.78</v>
      </c>
      <c r="E2924" s="32" t="n">
        <v>2474.941</v>
      </c>
      <c r="F2924" s="32" t="n">
        <v>21861.023</v>
      </c>
      <c r="G2924" s="32" t="n">
        <v>17581</v>
      </c>
      <c r="H2924" s="32" t="inlineStr">
        <is>
          <t>MM</t>
        </is>
      </c>
      <c r="K2924" s="32" t="inlineStr">
        <is>
          <t>20250514-16</t>
        </is>
      </c>
    </row>
    <row r="2925">
      <c r="A2925" s="32" t="n">
        <v>6</v>
      </c>
      <c r="B2925" s="32" t="inlineStr">
        <is>
          <t>EPA1633 &amp; diPAPs Calibration 5 ppb</t>
        </is>
      </c>
      <c r="D2925" s="32" t="n">
        <v>11.68</v>
      </c>
      <c r="E2925" s="32" t="n">
        <v>9933.911</v>
      </c>
      <c r="F2925" s="32" t="n">
        <v>19662.793</v>
      </c>
      <c r="G2925" s="32" t="n">
        <v>74270</v>
      </c>
      <c r="H2925" s="32" t="inlineStr">
        <is>
          <t>MM</t>
        </is>
      </c>
      <c r="K2925" s="32" t="inlineStr">
        <is>
          <t>20250514-17</t>
        </is>
      </c>
    </row>
    <row r="2926">
      <c r="A2926" s="32" t="n">
        <v>7</v>
      </c>
      <c r="B2926" s="32" t="inlineStr">
        <is>
          <t>EPA1633 &amp; diPAPs Calibration 10 ppb</t>
        </is>
      </c>
      <c r="D2926" s="32" t="n">
        <v>11.71</v>
      </c>
      <c r="E2926" s="32" t="n">
        <v>18972.219</v>
      </c>
      <c r="F2926" s="32" t="n">
        <v>17115.689</v>
      </c>
      <c r="G2926" s="32" t="n">
        <v>478.084</v>
      </c>
      <c r="H2926" s="32" t="inlineStr">
        <is>
          <t>MM</t>
        </is>
      </c>
      <c r="K2926" s="32" t="inlineStr">
        <is>
          <t>20250514-18</t>
        </is>
      </c>
    </row>
    <row r="2927">
      <c r="A2927" s="32" t="n">
        <v>8</v>
      </c>
      <c r="B2927" s="32" t="inlineStr">
        <is>
          <t>EPA1633 &amp; diPAPs Calibration 20 ppb</t>
        </is>
      </c>
      <c r="D2927" s="32" t="n">
        <v>11.74</v>
      </c>
      <c r="E2927" s="32" t="n">
        <v>36518.539</v>
      </c>
      <c r="F2927" s="32" t="n">
        <v>21588.051</v>
      </c>
      <c r="G2927" s="32" t="n">
        <v>4380.492</v>
      </c>
      <c r="H2927" s="32" t="inlineStr">
        <is>
          <t>MM</t>
        </is>
      </c>
      <c r="K2927" s="32" t="inlineStr">
        <is>
          <t>20250514-19</t>
        </is>
      </c>
    </row>
    <row r="2928">
      <c r="A2928" s="32" t="n">
        <v>9</v>
      </c>
      <c r="B2928" s="32" t="inlineStr">
        <is>
          <t>MeOH</t>
        </is>
      </c>
      <c r="F2928" s="32" t="n">
        <v>29.33</v>
      </c>
      <c r="K2928" s="32" t="inlineStr">
        <is>
          <t>20250514-20</t>
        </is>
      </c>
    </row>
    <row r="2929">
      <c r="A2929" s="32" t="n">
        <v>10</v>
      </c>
      <c r="B2929" s="32" t="inlineStr">
        <is>
          <t>MeOH</t>
        </is>
      </c>
      <c r="F2929" s="32" t="n">
        <v>4.523</v>
      </c>
      <c r="K2929" s="32" t="inlineStr">
        <is>
          <t>20250514-21</t>
        </is>
      </c>
    </row>
    <row r="2930">
      <c r="A2930" s="32" t="n">
        <v>11</v>
      </c>
      <c r="B2930" s="32" t="inlineStr">
        <is>
          <t>SB1</t>
        </is>
      </c>
      <c r="D2930" s="32" t="n">
        <v>11.79</v>
      </c>
      <c r="E2930" s="32" t="n">
        <v>76.735</v>
      </c>
      <c r="F2930" s="32" t="n">
        <v>8290.896000000001</v>
      </c>
      <c r="G2930" s="32" t="n">
        <v>3.036</v>
      </c>
      <c r="H2930" s="32" t="inlineStr">
        <is>
          <t>MM</t>
        </is>
      </c>
      <c r="K2930" s="32" t="inlineStr">
        <is>
          <t>20250514-22</t>
        </is>
      </c>
    </row>
    <row r="2931">
      <c r="A2931" s="32" t="n">
        <v>12</v>
      </c>
      <c r="B2931" s="32" t="inlineStr">
        <is>
          <t>SB2</t>
        </is>
      </c>
      <c r="D2931" s="32" t="n">
        <v>12.47</v>
      </c>
      <c r="E2931" s="32" t="n">
        <v>1.906</v>
      </c>
      <c r="F2931" s="32" t="n">
        <v>7311.854</v>
      </c>
      <c r="G2931" s="32" t="n">
        <v>18</v>
      </c>
      <c r="H2931" s="32" t="inlineStr">
        <is>
          <t>MM</t>
        </is>
      </c>
      <c r="K2931" s="32" t="inlineStr">
        <is>
          <t>20250514-23</t>
        </is>
      </c>
    </row>
    <row r="2932">
      <c r="A2932" s="32" t="n">
        <v>13</v>
      </c>
      <c r="B2932" s="32" t="inlineStr">
        <is>
          <t>SB3</t>
        </is>
      </c>
      <c r="D2932" s="32" t="n">
        <v>11.81</v>
      </c>
      <c r="E2932" s="32" t="n">
        <v>19.958</v>
      </c>
      <c r="F2932" s="32" t="n">
        <v>6894.442</v>
      </c>
      <c r="G2932" s="32" t="n">
        <v>170</v>
      </c>
      <c r="H2932" s="32" t="inlineStr">
        <is>
          <t>MM</t>
        </is>
      </c>
      <c r="K2932" s="32" t="inlineStr">
        <is>
          <t>20250514-24</t>
        </is>
      </c>
    </row>
    <row r="2933">
      <c r="A2933" s="32" t="n">
        <v>14</v>
      </c>
      <c r="B2933" s="32" t="inlineStr">
        <is>
          <t>SS1</t>
        </is>
      </c>
      <c r="D2933" s="32" t="n">
        <v>11.82</v>
      </c>
      <c r="E2933" s="32" t="n">
        <v>7798.752</v>
      </c>
      <c r="F2933" s="32" t="n">
        <v>8442.453</v>
      </c>
      <c r="G2933" s="32" t="n">
        <v>55315</v>
      </c>
      <c r="H2933" s="32" t="inlineStr">
        <is>
          <t>MM</t>
        </is>
      </c>
      <c r="K2933" s="32" t="inlineStr">
        <is>
          <t>20250514-25</t>
        </is>
      </c>
    </row>
    <row r="2934">
      <c r="A2934" s="32" t="n">
        <v>15</v>
      </c>
      <c r="B2934" s="32" t="inlineStr">
        <is>
          <t>SS2</t>
        </is>
      </c>
      <c r="D2934" s="32" t="n">
        <v>11.83</v>
      </c>
      <c r="E2934" s="32" t="n">
        <v>7846.34</v>
      </c>
      <c r="F2934" s="32" t="n">
        <v>9012.263999999999</v>
      </c>
      <c r="G2934" s="32" t="n">
        <v>162.992</v>
      </c>
      <c r="H2934" s="32" t="inlineStr">
        <is>
          <t>MM</t>
        </is>
      </c>
      <c r="K2934" s="32" t="inlineStr">
        <is>
          <t>20250514-26</t>
        </is>
      </c>
    </row>
    <row r="2935">
      <c r="A2935" s="32" t="n">
        <v>16</v>
      </c>
      <c r="B2935" s="32" t="inlineStr">
        <is>
          <t>SS3</t>
        </is>
      </c>
      <c r="D2935" s="32" t="n">
        <v>11.84</v>
      </c>
      <c r="E2935" s="32" t="n">
        <v>6916.217</v>
      </c>
      <c r="F2935" s="32" t="n">
        <v>7925.868</v>
      </c>
      <c r="G2935" s="32" t="n">
        <v>1704.635</v>
      </c>
      <c r="H2935" s="32" t="inlineStr">
        <is>
          <t>MM</t>
        </is>
      </c>
      <c r="K2935" s="32" t="inlineStr">
        <is>
          <t>20250514-27</t>
        </is>
      </c>
    </row>
    <row r="2936">
      <c r="A2936" s="32" t="n">
        <v>17</v>
      </c>
      <c r="B2936" s="32" t="inlineStr">
        <is>
          <t>MeOH</t>
        </is>
      </c>
      <c r="K2936" s="32" t="inlineStr">
        <is>
          <t>20250514-28</t>
        </is>
      </c>
    </row>
    <row r="2937">
      <c r="A2937" s="32" t="n">
        <v>18</v>
      </c>
      <c r="B2937" s="32" t="inlineStr">
        <is>
          <t>K4-1A</t>
        </is>
      </c>
      <c r="D2937" s="32" t="n">
        <v>11.83</v>
      </c>
      <c r="E2937" s="32" t="n">
        <v>36.341</v>
      </c>
      <c r="F2937" s="32" t="n">
        <v>8643.662</v>
      </c>
      <c r="G2937" s="32" t="n">
        <v>319</v>
      </c>
      <c r="H2937" s="32" t="inlineStr">
        <is>
          <t>MM</t>
        </is>
      </c>
      <c r="K2937" s="32" t="inlineStr">
        <is>
          <t>20250514-29</t>
        </is>
      </c>
    </row>
    <row r="2938">
      <c r="A2938" s="32" t="n">
        <v>19</v>
      </c>
      <c r="B2938" s="32" t="inlineStr">
        <is>
          <t>K4-1B</t>
        </is>
      </c>
      <c r="F2938" s="32" t="n">
        <v>7778.754</v>
      </c>
      <c r="K2938" s="32" t="inlineStr">
        <is>
          <t>20250514-30</t>
        </is>
      </c>
    </row>
    <row r="2939">
      <c r="A2939" s="32" t="n">
        <v>20</v>
      </c>
      <c r="B2939" s="32" t="inlineStr">
        <is>
          <t>K4-1C</t>
        </is>
      </c>
      <c r="F2939" s="32" t="n">
        <v>8090.841</v>
      </c>
      <c r="K2939" s="32" t="inlineStr">
        <is>
          <t>20250514-31</t>
        </is>
      </c>
    </row>
    <row r="2940">
      <c r="A2940" s="32" t="n">
        <v>21</v>
      </c>
      <c r="B2940" s="32" t="inlineStr">
        <is>
          <t>K4-2A</t>
        </is>
      </c>
      <c r="D2940" s="32" t="n">
        <v>11.86</v>
      </c>
      <c r="E2940" s="32" t="n">
        <v>50.084</v>
      </c>
      <c r="F2940" s="32" t="n">
        <v>8274.536</v>
      </c>
      <c r="G2940" s="32" t="n">
        <v>4.047</v>
      </c>
      <c r="H2940" s="32" t="inlineStr">
        <is>
          <t>MM</t>
        </is>
      </c>
      <c r="K2940" s="32" t="inlineStr">
        <is>
          <t>20250514-32</t>
        </is>
      </c>
    </row>
    <row r="2941">
      <c r="A2941" s="32" t="n">
        <v>22</v>
      </c>
      <c r="B2941" s="32" t="inlineStr">
        <is>
          <t>K4-2B</t>
        </is>
      </c>
      <c r="F2941" s="32" t="n">
        <v>7255.211</v>
      </c>
      <c r="K2941" s="32" t="inlineStr">
        <is>
          <t>20250514-33</t>
        </is>
      </c>
    </row>
    <row r="2942">
      <c r="A2942" s="32" t="n">
        <v>23</v>
      </c>
      <c r="B2942" s="32" t="inlineStr">
        <is>
          <t>K4-2C</t>
        </is>
      </c>
      <c r="D2942" s="32" t="n">
        <v>11.89</v>
      </c>
      <c r="E2942" s="32" t="n">
        <v>20.209</v>
      </c>
      <c r="F2942" s="32" t="n">
        <v>6344.476</v>
      </c>
      <c r="G2942" s="32" t="n">
        <v>179</v>
      </c>
      <c r="H2942" s="32" t="inlineStr">
        <is>
          <t>MM</t>
        </is>
      </c>
      <c r="K2942" s="32" t="inlineStr">
        <is>
          <t>20250514-34</t>
        </is>
      </c>
    </row>
    <row r="2943">
      <c r="A2943" s="32" t="n">
        <v>24</v>
      </c>
      <c r="B2943" s="32" t="inlineStr">
        <is>
          <t>MeOH</t>
        </is>
      </c>
      <c r="D2943" s="32" t="n">
        <v>11.89</v>
      </c>
      <c r="E2943" s="32" t="n">
        <v>42.73</v>
      </c>
      <c r="F2943" s="32" t="n">
        <v>0.76</v>
      </c>
      <c r="G2943" s="32" t="n">
        <v>7.126</v>
      </c>
      <c r="H2943" s="32" t="inlineStr">
        <is>
          <t>MM</t>
        </is>
      </c>
      <c r="K2943" s="32" t="inlineStr">
        <is>
          <t>20250514-35</t>
        </is>
      </c>
    </row>
    <row r="2944">
      <c r="A2944" s="32" t="n">
        <v>25</v>
      </c>
      <c r="B2944" s="32" t="inlineStr">
        <is>
          <t>K4-4A</t>
        </is>
      </c>
      <c r="F2944" s="32" t="n">
        <v>8255.324000000001</v>
      </c>
      <c r="K2944" s="32" t="inlineStr">
        <is>
          <t>20250514-36</t>
        </is>
      </c>
    </row>
    <row r="2945">
      <c r="A2945" s="32" t="n">
        <v>26</v>
      </c>
      <c r="B2945" s="32" t="inlineStr">
        <is>
          <t>K4-4B</t>
        </is>
      </c>
      <c r="D2945" s="32" t="n">
        <v>11.89</v>
      </c>
      <c r="E2945" s="32" t="n">
        <v>2.931</v>
      </c>
      <c r="F2945" s="32" t="n">
        <v>8700.057000000001</v>
      </c>
      <c r="G2945" s="32" t="n">
        <v>28</v>
      </c>
      <c r="H2945" s="32" t="inlineStr">
        <is>
          <t>MM</t>
        </is>
      </c>
      <c r="K2945" s="32" t="inlineStr">
        <is>
          <t>20250514-37</t>
        </is>
      </c>
    </row>
    <row r="2946">
      <c r="A2946" s="32" t="n">
        <v>27</v>
      </c>
      <c r="B2946" s="32" t="inlineStr">
        <is>
          <t>K4-4C</t>
        </is>
      </c>
      <c r="F2946" s="32" t="n">
        <v>8862.481</v>
      </c>
      <c r="K2946" s="32" t="inlineStr">
        <is>
          <t>20250514-38</t>
        </is>
      </c>
    </row>
    <row r="2947">
      <c r="A2947" s="32" t="n">
        <v>28</v>
      </c>
      <c r="B2947" s="32" t="inlineStr">
        <is>
          <t>K4-5A</t>
        </is>
      </c>
      <c r="F2947" s="32" t="n">
        <v>7566.267</v>
      </c>
      <c r="K2947" s="32" t="inlineStr">
        <is>
          <t>20250514-39</t>
        </is>
      </c>
    </row>
    <row r="2948">
      <c r="A2948" s="32" t="n">
        <v>29</v>
      </c>
      <c r="B2948" s="32" t="inlineStr">
        <is>
          <t>K4-5B</t>
        </is>
      </c>
      <c r="D2948" s="32" t="n">
        <v>11.86</v>
      </c>
      <c r="E2948" s="32" t="n">
        <v>3.625</v>
      </c>
      <c r="F2948" s="32" t="n">
        <v>7728.61</v>
      </c>
      <c r="G2948" s="32" t="n">
        <v>34</v>
      </c>
      <c r="H2948" s="32" t="inlineStr">
        <is>
          <t>MM</t>
        </is>
      </c>
      <c r="K2948" s="32" t="inlineStr">
        <is>
          <t>20250514-40</t>
        </is>
      </c>
    </row>
    <row r="2949">
      <c r="A2949" s="32" t="n">
        <v>30</v>
      </c>
      <c r="B2949" s="32" t="inlineStr">
        <is>
          <t>K4-5C</t>
        </is>
      </c>
      <c r="F2949" s="32" t="n">
        <v>7892.756</v>
      </c>
      <c r="K2949" s="32" t="inlineStr">
        <is>
          <t>20250514-41</t>
        </is>
      </c>
    </row>
    <row r="2950">
      <c r="A2950" s="32" t="n">
        <v>31</v>
      </c>
      <c r="B2950" s="32" t="inlineStr">
        <is>
          <t>MeOH</t>
        </is>
      </c>
      <c r="F2950" s="32" t="n">
        <v>79.38200000000001</v>
      </c>
      <c r="K2950" s="32" t="inlineStr">
        <is>
          <t>20250514-42</t>
        </is>
      </c>
    </row>
    <row r="2951">
      <c r="A2951" s="32" t="n">
        <v>32</v>
      </c>
      <c r="B2951" s="32" t="inlineStr">
        <is>
          <t>K3-1A</t>
        </is>
      </c>
      <c r="D2951" s="32" t="n">
        <v>11.76</v>
      </c>
      <c r="E2951" s="32" t="n">
        <v>1.75</v>
      </c>
      <c r="F2951" s="32" t="n">
        <v>9463.556</v>
      </c>
      <c r="G2951" s="32" t="n">
        <v>17</v>
      </c>
      <c r="H2951" s="32" t="inlineStr">
        <is>
          <t>MM</t>
        </is>
      </c>
      <c r="K2951" s="32" t="inlineStr">
        <is>
          <t>20250514-43</t>
        </is>
      </c>
    </row>
    <row r="2952">
      <c r="A2952" s="32" t="n">
        <v>33</v>
      </c>
      <c r="B2952" s="32" t="inlineStr">
        <is>
          <t>K3-1B</t>
        </is>
      </c>
      <c r="D2952" s="32" t="n">
        <v>11.68</v>
      </c>
      <c r="E2952" s="32" t="n">
        <v>13.006</v>
      </c>
      <c r="F2952" s="32" t="n">
        <v>8614.062</v>
      </c>
      <c r="G2952" s="32" t="n">
        <v>138</v>
      </c>
      <c r="H2952" s="32" t="inlineStr">
        <is>
          <t>MM</t>
        </is>
      </c>
      <c r="K2952" s="32" t="inlineStr">
        <is>
          <t>20250514-44</t>
        </is>
      </c>
    </row>
    <row r="2953">
      <c r="A2953" s="32" t="n">
        <v>34</v>
      </c>
      <c r="B2953" s="32" t="inlineStr">
        <is>
          <t>K3-1C</t>
        </is>
      </c>
      <c r="F2953" s="32" t="n">
        <v>10580.468</v>
      </c>
      <c r="K2953" s="32" t="inlineStr">
        <is>
          <t>20250514-45</t>
        </is>
      </c>
    </row>
    <row r="2954">
      <c r="A2954" s="32" t="n">
        <v>35</v>
      </c>
      <c r="B2954" s="32" t="inlineStr">
        <is>
          <t>K3-2A</t>
        </is>
      </c>
      <c r="D2954" s="32" t="n">
        <v>11.78</v>
      </c>
      <c r="E2954" s="32" t="n">
        <v>22.801</v>
      </c>
      <c r="F2954" s="32" t="n">
        <v>10118.425</v>
      </c>
      <c r="G2954" s="32" t="n">
        <v>216</v>
      </c>
      <c r="H2954" s="32" t="inlineStr">
        <is>
          <t>MM</t>
        </is>
      </c>
      <c r="K2954" s="32" t="inlineStr">
        <is>
          <t>20250514-46</t>
        </is>
      </c>
    </row>
    <row r="2955">
      <c r="A2955" s="32" t="n">
        <v>36</v>
      </c>
      <c r="B2955" s="32" t="inlineStr">
        <is>
          <t>K3-2B</t>
        </is>
      </c>
      <c r="F2955" s="32" t="n">
        <v>11670.299</v>
      </c>
      <c r="K2955" s="32" t="inlineStr">
        <is>
          <t>20250514-47</t>
        </is>
      </c>
    </row>
    <row r="2956">
      <c r="A2956" s="32" t="n">
        <v>37</v>
      </c>
      <c r="B2956" s="32" t="inlineStr">
        <is>
          <t>K3-2C</t>
        </is>
      </c>
      <c r="D2956" s="32" t="n">
        <v>11.76</v>
      </c>
      <c r="E2956" s="32" t="n">
        <v>2.61</v>
      </c>
      <c r="F2956" s="32" t="n">
        <v>10063.434</v>
      </c>
      <c r="G2956" s="32" t="n">
        <v>23</v>
      </c>
      <c r="H2956" s="32" t="inlineStr">
        <is>
          <t>MM</t>
        </is>
      </c>
      <c r="K2956" s="32" t="inlineStr">
        <is>
          <t>20250514-48</t>
        </is>
      </c>
    </row>
    <row r="2957">
      <c r="A2957" s="32" t="n">
        <v>38</v>
      </c>
      <c r="B2957" s="32" t="inlineStr">
        <is>
          <t>MeOH</t>
        </is>
      </c>
      <c r="D2957" s="32" t="n">
        <v>11.82</v>
      </c>
      <c r="E2957" s="32" t="n">
        <v>50.909</v>
      </c>
      <c r="F2957" s="32" t="n">
        <v>33.329</v>
      </c>
      <c r="G2957" s="32" t="n">
        <v>3.079</v>
      </c>
      <c r="H2957" s="32" t="inlineStr">
        <is>
          <t>MM</t>
        </is>
      </c>
      <c r="K2957" s="32" t="inlineStr">
        <is>
          <t>20250514-49</t>
        </is>
      </c>
    </row>
    <row r="2958">
      <c r="A2958" s="32" t="n">
        <v>39</v>
      </c>
      <c r="B2958" s="32" t="inlineStr">
        <is>
          <t>K3-3A</t>
        </is>
      </c>
      <c r="D2958" s="32" t="n">
        <v>11.76</v>
      </c>
      <c r="E2958" s="32" t="n">
        <v>2.465</v>
      </c>
      <c r="F2958" s="32" t="n">
        <v>9698.305</v>
      </c>
      <c r="G2958" s="32" t="n">
        <v>24</v>
      </c>
      <c r="H2958" s="32" t="inlineStr">
        <is>
          <t>MM</t>
        </is>
      </c>
      <c r="K2958" s="32" t="inlineStr">
        <is>
          <t>20250514-50</t>
        </is>
      </c>
    </row>
    <row r="2959">
      <c r="A2959" s="32" t="n">
        <v>40</v>
      </c>
      <c r="B2959" s="32" t="inlineStr">
        <is>
          <t>K3-3B</t>
        </is>
      </c>
      <c r="D2959" s="32" t="n">
        <v>11.84</v>
      </c>
      <c r="E2959" s="32" t="n">
        <v>20.064</v>
      </c>
      <c r="F2959" s="32" t="n">
        <v>11153.47</v>
      </c>
      <c r="G2959" s="32" t="n">
        <v>187</v>
      </c>
      <c r="H2959" s="32" t="inlineStr">
        <is>
          <t>MM</t>
        </is>
      </c>
      <c r="K2959" s="32" t="inlineStr">
        <is>
          <t>20250514-51</t>
        </is>
      </c>
    </row>
    <row r="2960">
      <c r="A2960" s="32" t="n">
        <v>41</v>
      </c>
      <c r="B2960" s="32" t="inlineStr">
        <is>
          <t>K3-3C</t>
        </is>
      </c>
      <c r="D2960" s="32" t="n">
        <v>11.84</v>
      </c>
      <c r="E2960" s="32" t="n">
        <v>16.408</v>
      </c>
      <c r="F2960" s="32" t="n">
        <v>13110.222</v>
      </c>
      <c r="G2960" s="32" t="n">
        <v>157</v>
      </c>
      <c r="H2960" s="32" t="inlineStr">
        <is>
          <t>MM</t>
        </is>
      </c>
      <c r="K2960" s="32" t="inlineStr">
        <is>
          <t>20250514-52</t>
        </is>
      </c>
    </row>
    <row r="2961">
      <c r="A2961" s="32" t="n">
        <v>42</v>
      </c>
      <c r="B2961" s="32" t="inlineStr">
        <is>
          <t>K3-4A</t>
        </is>
      </c>
      <c r="D2961" s="32" t="n">
        <v>11.86</v>
      </c>
      <c r="E2961" s="32" t="n">
        <v>7.867</v>
      </c>
      <c r="F2961" s="32" t="n">
        <v>13316.729</v>
      </c>
      <c r="G2961" s="32" t="n">
        <v>72</v>
      </c>
      <c r="H2961" s="32" t="inlineStr">
        <is>
          <t>MM</t>
        </is>
      </c>
      <c r="K2961" s="32" t="inlineStr">
        <is>
          <t>20250514-53</t>
        </is>
      </c>
    </row>
    <row r="2962">
      <c r="A2962" s="32" t="n">
        <v>43</v>
      </c>
      <c r="B2962" s="32" t="inlineStr">
        <is>
          <t>K3-4B</t>
        </is>
      </c>
      <c r="D2962" s="32" t="n">
        <v>11.84</v>
      </c>
      <c r="E2962" s="32" t="n">
        <v>4.022</v>
      </c>
      <c r="F2962" s="32" t="n">
        <v>13406.583</v>
      </c>
      <c r="G2962" s="32" t="n">
        <v>38</v>
      </c>
      <c r="H2962" s="32" t="inlineStr">
        <is>
          <t>MM</t>
        </is>
      </c>
      <c r="K2962" s="32" t="inlineStr">
        <is>
          <t>20250514-54</t>
        </is>
      </c>
    </row>
    <row r="2963">
      <c r="A2963" s="32" t="n">
        <v>44</v>
      </c>
      <c r="B2963" s="32" t="inlineStr">
        <is>
          <t>K3-4C</t>
        </is>
      </c>
      <c r="D2963" s="32" t="n">
        <v>12.26</v>
      </c>
      <c r="E2963" s="32" t="n">
        <v>15.069</v>
      </c>
      <c r="F2963" s="32" t="n">
        <v>15237.138</v>
      </c>
      <c r="G2963" s="32" t="n">
        <v>141</v>
      </c>
      <c r="H2963" s="32" t="inlineStr">
        <is>
          <t>MM</t>
        </is>
      </c>
      <c r="K2963" s="32" t="inlineStr">
        <is>
          <t>20250514-55</t>
        </is>
      </c>
    </row>
    <row r="2964">
      <c r="A2964" s="32" t="n">
        <v>45</v>
      </c>
      <c r="B2964" s="32" t="inlineStr">
        <is>
          <t>MeOH</t>
        </is>
      </c>
      <c r="K2964" s="32" t="inlineStr">
        <is>
          <t>20250514-56</t>
        </is>
      </c>
    </row>
    <row r="2965">
      <c r="A2965" s="32" t="n">
        <v>46</v>
      </c>
      <c r="B2965" s="32" t="inlineStr">
        <is>
          <t>K3-6A</t>
        </is>
      </c>
      <c r="D2965" s="32" t="n">
        <v>11.41</v>
      </c>
      <c r="E2965" s="32" t="n">
        <v>0.722</v>
      </c>
      <c r="F2965" s="32" t="n">
        <v>12951.722</v>
      </c>
      <c r="G2965" s="32" t="n">
        <v>7</v>
      </c>
      <c r="H2965" s="32" t="inlineStr">
        <is>
          <t>MM</t>
        </is>
      </c>
      <c r="K2965" s="32" t="inlineStr">
        <is>
          <t>20250514-57</t>
        </is>
      </c>
    </row>
    <row r="2966">
      <c r="A2966" s="32" t="n">
        <v>47</v>
      </c>
      <c r="B2966" s="32" t="inlineStr">
        <is>
          <t>K3-6B</t>
        </is>
      </c>
      <c r="F2966" s="32" t="n">
        <v>12128.479</v>
      </c>
      <c r="K2966" s="32" t="inlineStr">
        <is>
          <t>20250514-58</t>
        </is>
      </c>
    </row>
    <row r="2967">
      <c r="A2967" s="32" t="n">
        <v>48</v>
      </c>
      <c r="B2967" s="32" t="inlineStr">
        <is>
          <t>K3-6C</t>
        </is>
      </c>
      <c r="D2967" s="32" t="n">
        <v>11.94</v>
      </c>
      <c r="E2967" s="32" t="n">
        <v>0.416</v>
      </c>
      <c r="F2967" s="32" t="n">
        <v>10764.568</v>
      </c>
      <c r="G2967" s="32" t="n">
        <v>4</v>
      </c>
      <c r="H2967" s="32" t="inlineStr">
        <is>
          <t>MM</t>
        </is>
      </c>
      <c r="K2967" s="32" t="inlineStr">
        <is>
          <t>20250514-59</t>
        </is>
      </c>
    </row>
    <row r="2969">
      <c r="A2969" s="32" t="inlineStr">
        <is>
          <t>Compound 58:  m2 6:2 FTS 1</t>
        </is>
      </c>
    </row>
    <row r="2971">
      <c r="B2971" s="32" t="inlineStr">
        <is>
          <t>Sample Text</t>
        </is>
      </c>
      <c r="C2971" s="32" t="inlineStr">
        <is>
          <t>Std. Conc</t>
        </is>
      </c>
      <c r="D2971" s="32" t="inlineStr">
        <is>
          <t>RT</t>
        </is>
      </c>
      <c r="E2971" s="32" t="inlineStr">
        <is>
          <t>Area</t>
        </is>
      </c>
      <c r="F2971" s="32" t="inlineStr">
        <is>
          <t>IS Area</t>
        </is>
      </c>
      <c r="G2971" s="32" t="inlineStr">
        <is>
          <t>S/N</t>
        </is>
      </c>
      <c r="H2971" s="32" t="inlineStr">
        <is>
          <t>Primary Flags</t>
        </is>
      </c>
      <c r="I2971" s="32" t="inlineStr">
        <is>
          <t>Response</t>
        </is>
      </c>
      <c r="J2971" s="32" t="inlineStr">
        <is>
          <t>Conc.</t>
        </is>
      </c>
      <c r="K2971" s="32" t="inlineStr">
        <is>
          <t>Name</t>
        </is>
      </c>
    </row>
    <row r="2972">
      <c r="A2972" s="32" t="n">
        <v>1</v>
      </c>
      <c r="B2972" s="32" t="inlineStr">
        <is>
          <t>EPA1633 &amp; diPAPs Calibration 0 ppb</t>
        </is>
      </c>
      <c r="D2972" s="32" t="n">
        <v>11.72</v>
      </c>
      <c r="E2972" s="32" t="n">
        <v>22113.453</v>
      </c>
      <c r="G2972" s="32" t="n">
        <v>165191</v>
      </c>
      <c r="H2972" s="32" t="inlineStr">
        <is>
          <t>bb</t>
        </is>
      </c>
      <c r="I2972" s="32" t="n">
        <v>22113.453</v>
      </c>
      <c r="K2972" s="32" t="inlineStr">
        <is>
          <t>20250514-12</t>
        </is>
      </c>
    </row>
    <row r="2973">
      <c r="A2973" s="32" t="n">
        <v>2</v>
      </c>
      <c r="B2973" s="32" t="inlineStr">
        <is>
          <t>EPA1633 &amp; diPAPs Calibration 0.02 ppb</t>
        </is>
      </c>
      <c r="D2973" s="32" t="n">
        <v>11.75</v>
      </c>
      <c r="E2973" s="32" t="n">
        <v>19727.258</v>
      </c>
      <c r="G2973" s="32" t="n">
        <v>146811</v>
      </c>
      <c r="H2973" s="32" t="inlineStr">
        <is>
          <t>bb</t>
        </is>
      </c>
      <c r="I2973" s="32" t="n">
        <v>19727.258</v>
      </c>
      <c r="K2973" s="32" t="inlineStr">
        <is>
          <t>20250514-13</t>
        </is>
      </c>
    </row>
    <row r="2974">
      <c r="A2974" s="32" t="n">
        <v>3</v>
      </c>
      <c r="B2974" s="32" t="inlineStr">
        <is>
          <t>EPA1633 &amp; diPAPs Calibration 0.1 ppb</t>
        </is>
      </c>
      <c r="D2974" s="32" t="n">
        <v>11.77</v>
      </c>
      <c r="E2974" s="32" t="n">
        <v>21608.316</v>
      </c>
      <c r="G2974" s="32" t="n">
        <v>352.487</v>
      </c>
      <c r="H2974" s="32" t="inlineStr">
        <is>
          <t>bb</t>
        </is>
      </c>
      <c r="I2974" s="32" t="n">
        <v>21608.316</v>
      </c>
      <c r="K2974" s="32" t="inlineStr">
        <is>
          <t>20250514-14</t>
        </is>
      </c>
    </row>
    <row r="2975">
      <c r="A2975" s="32" t="n">
        <v>4</v>
      </c>
      <c r="B2975" s="32" t="inlineStr">
        <is>
          <t>EPA1633 &amp; diPAPs Calibration 0.4 ppb</t>
        </is>
      </c>
      <c r="D2975" s="32" t="n">
        <v>11.77</v>
      </c>
      <c r="E2975" s="32" t="n">
        <v>17922.152</v>
      </c>
      <c r="G2975" s="32" t="n">
        <v>2274.358</v>
      </c>
      <c r="H2975" s="32" t="inlineStr">
        <is>
          <t>bb</t>
        </is>
      </c>
      <c r="I2975" s="32" t="n">
        <v>17922.152</v>
      </c>
      <c r="K2975" s="32" t="inlineStr">
        <is>
          <t>20250514-15</t>
        </is>
      </c>
    </row>
    <row r="2976">
      <c r="A2976" s="32" t="n">
        <v>5</v>
      </c>
      <c r="B2976" s="32" t="inlineStr">
        <is>
          <t>EPA1633 &amp; diPAPs Calibration 1 ppb</t>
        </is>
      </c>
      <c r="D2976" s="32" t="n">
        <v>11.79</v>
      </c>
      <c r="E2976" s="32" t="n">
        <v>21861.023</v>
      </c>
      <c r="G2976" s="32" t="n">
        <v>1237.077</v>
      </c>
      <c r="H2976" s="32" t="inlineStr">
        <is>
          <t>bb</t>
        </is>
      </c>
      <c r="I2976" s="32" t="n">
        <v>21861.023</v>
      </c>
      <c r="K2976" s="32" t="inlineStr">
        <is>
          <t>20250514-16</t>
        </is>
      </c>
    </row>
    <row r="2977">
      <c r="A2977" s="32" t="n">
        <v>6</v>
      </c>
      <c r="B2977" s="32" t="inlineStr">
        <is>
          <t>EPA1633 &amp; diPAPs Calibration 5 ppb</t>
        </is>
      </c>
      <c r="D2977" s="32" t="n">
        <v>11.68</v>
      </c>
      <c r="E2977" s="32" t="n">
        <v>19662.793</v>
      </c>
      <c r="G2977" s="32" t="n">
        <v>525.577</v>
      </c>
      <c r="H2977" s="32" t="inlineStr">
        <is>
          <t>bb</t>
        </is>
      </c>
      <c r="I2977" s="32" t="n">
        <v>19662.793</v>
      </c>
      <c r="K2977" s="32" t="inlineStr">
        <is>
          <t>20250514-17</t>
        </is>
      </c>
    </row>
    <row r="2978">
      <c r="A2978" s="32" t="n">
        <v>7</v>
      </c>
      <c r="B2978" s="32" t="inlineStr">
        <is>
          <t>EPA1633 &amp; diPAPs Calibration 10 ppb</t>
        </is>
      </c>
      <c r="D2978" s="32" t="n">
        <v>11.71</v>
      </c>
      <c r="E2978" s="32" t="n">
        <v>17115.689</v>
      </c>
      <c r="G2978" s="32" t="n">
        <v>602.497</v>
      </c>
      <c r="H2978" s="32" t="inlineStr">
        <is>
          <t>bb</t>
        </is>
      </c>
      <c r="I2978" s="32" t="n">
        <v>17115.689</v>
      </c>
      <c r="K2978" s="32" t="inlineStr">
        <is>
          <t>20250514-18</t>
        </is>
      </c>
    </row>
    <row r="2979">
      <c r="A2979" s="32" t="n">
        <v>8</v>
      </c>
      <c r="B2979" s="32" t="inlineStr">
        <is>
          <t>EPA1633 &amp; diPAPs Calibration 20 ppb</t>
        </is>
      </c>
      <c r="D2979" s="32" t="n">
        <v>11.74</v>
      </c>
      <c r="E2979" s="32" t="n">
        <v>21588.051</v>
      </c>
      <c r="G2979" s="32" t="n">
        <v>360.724</v>
      </c>
      <c r="H2979" s="32" t="inlineStr">
        <is>
          <t>bb</t>
        </is>
      </c>
      <c r="I2979" s="32" t="n">
        <v>21588.051</v>
      </c>
      <c r="K2979" s="32" t="inlineStr">
        <is>
          <t>20250514-19</t>
        </is>
      </c>
    </row>
    <row r="2980">
      <c r="A2980" s="32" t="n">
        <v>9</v>
      </c>
      <c r="B2980" s="32" t="inlineStr">
        <is>
          <t>MeOH</t>
        </is>
      </c>
      <c r="D2980" s="32" t="n">
        <v>11.76</v>
      </c>
      <c r="E2980" s="32" t="n">
        <v>29.33</v>
      </c>
      <c r="G2980" s="32" t="n">
        <v>279</v>
      </c>
      <c r="H2980" s="32" t="inlineStr">
        <is>
          <t>bb</t>
        </is>
      </c>
      <c r="I2980" s="32" t="n">
        <v>29.33</v>
      </c>
      <c r="K2980" s="32" t="inlineStr">
        <is>
          <t>20250514-20</t>
        </is>
      </c>
    </row>
    <row r="2981">
      <c r="A2981" s="32" t="n">
        <v>10</v>
      </c>
      <c r="B2981" s="32" t="inlineStr">
        <is>
          <t>MeOH</t>
        </is>
      </c>
      <c r="D2981" s="32" t="n">
        <v>11.76</v>
      </c>
      <c r="E2981" s="32" t="n">
        <v>4.523</v>
      </c>
      <c r="G2981" s="32" t="n">
        <v>44</v>
      </c>
      <c r="H2981" s="32" t="inlineStr">
        <is>
          <t>bb</t>
        </is>
      </c>
      <c r="I2981" s="32" t="n">
        <v>4.523</v>
      </c>
      <c r="K2981" s="32" t="inlineStr">
        <is>
          <t>20250514-21</t>
        </is>
      </c>
    </row>
    <row r="2982">
      <c r="A2982" s="32" t="n">
        <v>11</v>
      </c>
      <c r="B2982" s="32" t="inlineStr">
        <is>
          <t>SB1</t>
        </is>
      </c>
      <c r="D2982" s="32" t="n">
        <v>11.78</v>
      </c>
      <c r="E2982" s="32" t="n">
        <v>8290.896000000001</v>
      </c>
      <c r="G2982" s="32" t="n">
        <v>595.701</v>
      </c>
      <c r="H2982" s="32" t="inlineStr">
        <is>
          <t>bb</t>
        </is>
      </c>
      <c r="I2982" s="32" t="n">
        <v>8290.896000000001</v>
      </c>
      <c r="K2982" s="32" t="inlineStr">
        <is>
          <t>20250514-22</t>
        </is>
      </c>
    </row>
    <row r="2983">
      <c r="A2983" s="32" t="n">
        <v>12</v>
      </c>
      <c r="B2983" s="32" t="inlineStr">
        <is>
          <t>SB2</t>
        </is>
      </c>
      <c r="D2983" s="32" t="n">
        <v>11.79</v>
      </c>
      <c r="E2983" s="32" t="n">
        <v>7311.854</v>
      </c>
      <c r="G2983" s="32" t="n">
        <v>121.564</v>
      </c>
      <c r="H2983" s="32" t="inlineStr">
        <is>
          <t>bb</t>
        </is>
      </c>
      <c r="I2983" s="32" t="n">
        <v>7311.854</v>
      </c>
      <c r="K2983" s="32" t="inlineStr">
        <is>
          <t>20250514-23</t>
        </is>
      </c>
    </row>
    <row r="2984">
      <c r="A2984" s="32" t="n">
        <v>13</v>
      </c>
      <c r="B2984" s="32" t="inlineStr">
        <is>
          <t>SB3</t>
        </is>
      </c>
      <c r="D2984" s="32" t="n">
        <v>11.79</v>
      </c>
      <c r="E2984" s="32" t="n">
        <v>6894.442</v>
      </c>
      <c r="G2984" s="32" t="n">
        <v>178.676</v>
      </c>
      <c r="H2984" s="32" t="inlineStr">
        <is>
          <t>bb</t>
        </is>
      </c>
      <c r="I2984" s="32" t="n">
        <v>6894.442</v>
      </c>
      <c r="K2984" s="32" t="inlineStr">
        <is>
          <t>20250514-24</t>
        </is>
      </c>
    </row>
    <row r="2985">
      <c r="A2985" s="32" t="n">
        <v>14</v>
      </c>
      <c r="B2985" s="32" t="inlineStr">
        <is>
          <t>SS1</t>
        </is>
      </c>
      <c r="D2985" s="32" t="n">
        <v>11.82</v>
      </c>
      <c r="E2985" s="32" t="n">
        <v>8442.453</v>
      </c>
      <c r="G2985" s="32" t="n">
        <v>2794.959</v>
      </c>
      <c r="H2985" s="32" t="inlineStr">
        <is>
          <t>bb</t>
        </is>
      </c>
      <c r="I2985" s="32" t="n">
        <v>8442.453</v>
      </c>
      <c r="K2985" s="32" t="inlineStr">
        <is>
          <t>20250514-25</t>
        </is>
      </c>
    </row>
    <row r="2986">
      <c r="A2986" s="32" t="n">
        <v>15</v>
      </c>
      <c r="B2986" s="32" t="inlineStr">
        <is>
          <t>SS2</t>
        </is>
      </c>
      <c r="D2986" s="32" t="n">
        <v>11.84</v>
      </c>
      <c r="E2986" s="32" t="n">
        <v>9012.263999999999</v>
      </c>
      <c r="G2986" s="32" t="n">
        <v>65937</v>
      </c>
      <c r="H2986" s="32" t="inlineStr">
        <is>
          <t>bb</t>
        </is>
      </c>
      <c r="I2986" s="32" t="n">
        <v>9012.263999999999</v>
      </c>
      <c r="K2986" s="32" t="inlineStr">
        <is>
          <t>20250514-26</t>
        </is>
      </c>
    </row>
    <row r="2987">
      <c r="A2987" s="32" t="n">
        <v>16</v>
      </c>
      <c r="B2987" s="32" t="inlineStr">
        <is>
          <t>SS3</t>
        </is>
      </c>
      <c r="D2987" s="32" t="n">
        <v>11.84</v>
      </c>
      <c r="E2987" s="32" t="n">
        <v>7925.868</v>
      </c>
      <c r="G2987" s="32" t="n">
        <v>56642</v>
      </c>
      <c r="H2987" s="32" t="inlineStr">
        <is>
          <t>bb</t>
        </is>
      </c>
      <c r="I2987" s="32" t="n">
        <v>7925.868</v>
      </c>
      <c r="K2987" s="32" t="inlineStr">
        <is>
          <t>20250514-27</t>
        </is>
      </c>
    </row>
    <row r="2988">
      <c r="A2988" s="32" t="n">
        <v>17</v>
      </c>
      <c r="B2988" s="32" t="inlineStr">
        <is>
          <t>MeOH</t>
        </is>
      </c>
      <c r="K2988" s="32" t="inlineStr">
        <is>
          <t>20250514-28</t>
        </is>
      </c>
    </row>
    <row r="2989">
      <c r="A2989" s="32" t="n">
        <v>18</v>
      </c>
      <c r="B2989" s="32" t="inlineStr">
        <is>
          <t>K4-1A</t>
        </is>
      </c>
      <c r="D2989" s="32" t="n">
        <v>11.85</v>
      </c>
      <c r="E2989" s="32" t="n">
        <v>8643.662</v>
      </c>
      <c r="G2989" s="32" t="n">
        <v>63892</v>
      </c>
      <c r="H2989" s="32" t="inlineStr">
        <is>
          <t>bb</t>
        </is>
      </c>
      <c r="I2989" s="32" t="n">
        <v>8643.662</v>
      </c>
      <c r="K2989" s="32" t="inlineStr">
        <is>
          <t>20250514-29</t>
        </is>
      </c>
    </row>
    <row r="2990">
      <c r="A2990" s="32" t="n">
        <v>19</v>
      </c>
      <c r="B2990" s="32" t="inlineStr">
        <is>
          <t>K4-1B</t>
        </is>
      </c>
      <c r="D2990" s="32" t="n">
        <v>11.84</v>
      </c>
      <c r="E2990" s="32" t="n">
        <v>7778.754</v>
      </c>
      <c r="G2990" s="32" t="n">
        <v>2730.965</v>
      </c>
      <c r="H2990" s="32" t="inlineStr">
        <is>
          <t>bb</t>
        </is>
      </c>
      <c r="I2990" s="32" t="n">
        <v>7778.754</v>
      </c>
      <c r="K2990" s="32" t="inlineStr">
        <is>
          <t>20250514-30</t>
        </is>
      </c>
    </row>
    <row r="2991">
      <c r="A2991" s="32" t="n">
        <v>20</v>
      </c>
      <c r="B2991" s="32" t="inlineStr">
        <is>
          <t>K4-1C</t>
        </is>
      </c>
      <c r="D2991" s="32" t="n">
        <v>11.85</v>
      </c>
      <c r="E2991" s="32" t="n">
        <v>8090.841</v>
      </c>
      <c r="G2991" s="32" t="n">
        <v>58626</v>
      </c>
      <c r="H2991" s="32" t="inlineStr">
        <is>
          <t>bb</t>
        </is>
      </c>
      <c r="I2991" s="32" t="n">
        <v>8090.841</v>
      </c>
      <c r="K2991" s="32" t="inlineStr">
        <is>
          <t>20250514-31</t>
        </is>
      </c>
    </row>
    <row r="2992">
      <c r="A2992" s="32" t="n">
        <v>21</v>
      </c>
      <c r="B2992" s="32" t="inlineStr">
        <is>
          <t>K4-2A</t>
        </is>
      </c>
      <c r="D2992" s="32" t="n">
        <v>11.85</v>
      </c>
      <c r="E2992" s="32" t="n">
        <v>8274.536</v>
      </c>
      <c r="G2992" s="32" t="n">
        <v>68.419</v>
      </c>
      <c r="H2992" s="32" t="inlineStr">
        <is>
          <t>bb</t>
        </is>
      </c>
      <c r="I2992" s="32" t="n">
        <v>8274.536</v>
      </c>
      <c r="K2992" s="32" t="inlineStr">
        <is>
          <t>20250514-32</t>
        </is>
      </c>
    </row>
    <row r="2993">
      <c r="A2993" s="32" t="n">
        <v>22</v>
      </c>
      <c r="B2993" s="32" t="inlineStr">
        <is>
          <t>K4-2B</t>
        </is>
      </c>
      <c r="D2993" s="32" t="n">
        <v>11.87</v>
      </c>
      <c r="E2993" s="32" t="n">
        <v>7255.211</v>
      </c>
      <c r="G2993" s="32" t="n">
        <v>352.942</v>
      </c>
      <c r="H2993" s="32" t="inlineStr">
        <is>
          <t>bb</t>
        </is>
      </c>
      <c r="I2993" s="32" t="n">
        <v>7255.211</v>
      </c>
      <c r="K2993" s="32" t="inlineStr">
        <is>
          <t>20250514-33</t>
        </is>
      </c>
    </row>
    <row r="2994">
      <c r="A2994" s="32" t="n">
        <v>23</v>
      </c>
      <c r="B2994" s="32" t="inlineStr">
        <is>
          <t>K4-2C</t>
        </is>
      </c>
      <c r="D2994" s="32" t="n">
        <v>11.86</v>
      </c>
      <c r="E2994" s="32" t="n">
        <v>6344.476</v>
      </c>
      <c r="G2994" s="32" t="n">
        <v>45816</v>
      </c>
      <c r="H2994" s="32" t="inlineStr">
        <is>
          <t>bb</t>
        </is>
      </c>
      <c r="I2994" s="32" t="n">
        <v>6344.476</v>
      </c>
      <c r="K2994" s="32" t="inlineStr">
        <is>
          <t>20250514-34</t>
        </is>
      </c>
    </row>
    <row r="2995">
      <c r="A2995" s="32" t="n">
        <v>24</v>
      </c>
      <c r="B2995" s="32" t="inlineStr">
        <is>
          <t>MeOH</t>
        </is>
      </c>
      <c r="D2995" s="32" t="n">
        <v>11.91</v>
      </c>
      <c r="E2995" s="32" t="n">
        <v>0.76</v>
      </c>
      <c r="G2995" s="32" t="n">
        <v>7</v>
      </c>
      <c r="H2995" s="32" t="inlineStr">
        <is>
          <t>bb</t>
        </is>
      </c>
      <c r="I2995" s="32" t="n">
        <v>0.76</v>
      </c>
      <c r="K2995" s="32" t="inlineStr">
        <is>
          <t>20250514-35</t>
        </is>
      </c>
    </row>
    <row r="2996">
      <c r="A2996" s="32" t="n">
        <v>25</v>
      </c>
      <c r="B2996" s="32" t="inlineStr">
        <is>
          <t>K4-4A</t>
        </is>
      </c>
      <c r="D2996" s="32" t="n">
        <v>11.88</v>
      </c>
      <c r="E2996" s="32" t="n">
        <v>8255.324000000001</v>
      </c>
      <c r="G2996" s="32" t="n">
        <v>70.011</v>
      </c>
      <c r="H2996" s="32" t="inlineStr">
        <is>
          <t>bb</t>
        </is>
      </c>
      <c r="I2996" s="32" t="n">
        <v>8255.324000000001</v>
      </c>
      <c r="K2996" s="32" t="inlineStr">
        <is>
          <t>20250514-36</t>
        </is>
      </c>
    </row>
    <row r="2997">
      <c r="A2997" s="32" t="n">
        <v>26</v>
      </c>
      <c r="B2997" s="32" t="inlineStr">
        <is>
          <t>K4-4B</t>
        </is>
      </c>
      <c r="D2997" s="32" t="n">
        <v>11.89</v>
      </c>
      <c r="E2997" s="32" t="n">
        <v>8700.057000000001</v>
      </c>
      <c r="G2997" s="32" t="n">
        <v>811.275</v>
      </c>
      <c r="H2997" s="32" t="inlineStr">
        <is>
          <t>bb</t>
        </is>
      </c>
      <c r="I2997" s="32" t="n">
        <v>8700.057000000001</v>
      </c>
      <c r="K2997" s="32" t="inlineStr">
        <is>
          <t>20250514-37</t>
        </is>
      </c>
    </row>
    <row r="2998">
      <c r="A2998" s="32" t="n">
        <v>27</v>
      </c>
      <c r="B2998" s="32" t="inlineStr">
        <is>
          <t>K4-4C</t>
        </is>
      </c>
      <c r="D2998" s="32" t="n">
        <v>11.89</v>
      </c>
      <c r="E2998" s="32" t="n">
        <v>8862.481</v>
      </c>
      <c r="G2998" s="32" t="n">
        <v>62820</v>
      </c>
      <c r="H2998" s="32" t="inlineStr">
        <is>
          <t>bb</t>
        </is>
      </c>
      <c r="I2998" s="32" t="n">
        <v>8862.481</v>
      </c>
      <c r="K2998" s="32" t="inlineStr">
        <is>
          <t>20250514-38</t>
        </is>
      </c>
    </row>
    <row r="2999">
      <c r="A2999" s="32" t="n">
        <v>28</v>
      </c>
      <c r="B2999" s="32" t="inlineStr">
        <is>
          <t>K4-5A</t>
        </is>
      </c>
      <c r="D2999" s="32" t="n">
        <v>11.88</v>
      </c>
      <c r="E2999" s="32" t="n">
        <v>7566.267</v>
      </c>
      <c r="G2999" s="32" t="n">
        <v>56931</v>
      </c>
      <c r="H2999" s="32" t="inlineStr">
        <is>
          <t>bb</t>
        </is>
      </c>
      <c r="I2999" s="32" t="n">
        <v>7566.267</v>
      </c>
      <c r="K2999" s="32" t="inlineStr">
        <is>
          <t>20250514-39</t>
        </is>
      </c>
    </row>
    <row r="3000">
      <c r="A3000" s="32" t="n">
        <v>29</v>
      </c>
      <c r="B3000" s="32" t="inlineStr">
        <is>
          <t>K4-5B</t>
        </is>
      </c>
      <c r="D3000" s="32" t="n">
        <v>11.84</v>
      </c>
      <c r="E3000" s="32" t="n">
        <v>7728.61</v>
      </c>
      <c r="G3000" s="32" t="n">
        <v>2081.284</v>
      </c>
      <c r="H3000" s="32" t="inlineStr">
        <is>
          <t>bb</t>
        </is>
      </c>
      <c r="I3000" s="32" t="n">
        <v>7728.61</v>
      </c>
      <c r="K3000" s="32" t="inlineStr">
        <is>
          <t>20250514-40</t>
        </is>
      </c>
    </row>
    <row r="3001">
      <c r="A3001" s="32" t="n">
        <v>30</v>
      </c>
      <c r="B3001" s="32" t="inlineStr">
        <is>
          <t>K4-5C</t>
        </is>
      </c>
      <c r="D3001" s="32" t="n">
        <v>11.77</v>
      </c>
      <c r="E3001" s="32" t="n">
        <v>7892.756</v>
      </c>
      <c r="G3001" s="32" t="n">
        <v>4509.818</v>
      </c>
      <c r="H3001" s="32" t="inlineStr">
        <is>
          <t>bb</t>
        </is>
      </c>
      <c r="I3001" s="32" t="n">
        <v>7892.756</v>
      </c>
      <c r="K3001" s="32" t="inlineStr">
        <is>
          <t>20250514-41</t>
        </is>
      </c>
    </row>
    <row r="3002">
      <c r="A3002" s="32" t="n">
        <v>31</v>
      </c>
      <c r="B3002" s="32" t="inlineStr">
        <is>
          <t>MeOH</t>
        </is>
      </c>
      <c r="D3002" s="32" t="n">
        <v>11.76</v>
      </c>
      <c r="E3002" s="32" t="n">
        <v>79.38200000000001</v>
      </c>
      <c r="G3002" s="32" t="n">
        <v>746</v>
      </c>
      <c r="H3002" s="32" t="inlineStr">
        <is>
          <t>bb</t>
        </is>
      </c>
      <c r="I3002" s="32" t="n">
        <v>79.38200000000001</v>
      </c>
      <c r="K3002" s="32" t="inlineStr">
        <is>
          <t>20250514-42</t>
        </is>
      </c>
    </row>
    <row r="3003">
      <c r="A3003" s="32" t="n">
        <v>32</v>
      </c>
      <c r="B3003" s="32" t="inlineStr">
        <is>
          <t>K3-1A</t>
        </is>
      </c>
      <c r="D3003" s="32" t="n">
        <v>11.7</v>
      </c>
      <c r="E3003" s="32" t="n">
        <v>9463.556</v>
      </c>
      <c r="G3003" s="32" t="n">
        <v>69394</v>
      </c>
      <c r="H3003" s="32" t="inlineStr">
        <is>
          <t>bb</t>
        </is>
      </c>
      <c r="I3003" s="32" t="n">
        <v>9463.556</v>
      </c>
      <c r="K3003" s="32" t="inlineStr">
        <is>
          <t>20250514-43</t>
        </is>
      </c>
    </row>
    <row r="3004">
      <c r="A3004" s="32" t="n">
        <v>33</v>
      </c>
      <c r="B3004" s="32" t="inlineStr">
        <is>
          <t>K3-1B</t>
        </is>
      </c>
      <c r="D3004" s="32" t="n">
        <v>11.71</v>
      </c>
      <c r="E3004" s="32" t="n">
        <v>8614.062</v>
      </c>
      <c r="G3004" s="32" t="n">
        <v>234.42</v>
      </c>
      <c r="H3004" s="32" t="inlineStr">
        <is>
          <t>bb</t>
        </is>
      </c>
      <c r="I3004" s="32" t="n">
        <v>8614.062</v>
      </c>
      <c r="K3004" s="32" t="inlineStr">
        <is>
          <t>20250514-44</t>
        </is>
      </c>
    </row>
    <row r="3005">
      <c r="A3005" s="32" t="n">
        <v>34</v>
      </c>
      <c r="B3005" s="32" t="inlineStr">
        <is>
          <t>K3-1C</t>
        </is>
      </c>
      <c r="D3005" s="32" t="n">
        <v>11.77</v>
      </c>
      <c r="E3005" s="32" t="n">
        <v>10580.468</v>
      </c>
      <c r="G3005" s="32" t="n">
        <v>214.932</v>
      </c>
      <c r="H3005" s="32" t="inlineStr">
        <is>
          <t>bb</t>
        </is>
      </c>
      <c r="I3005" s="32" t="n">
        <v>10580.468</v>
      </c>
      <c r="K3005" s="32" t="inlineStr">
        <is>
          <t>20250514-45</t>
        </is>
      </c>
    </row>
    <row r="3006">
      <c r="A3006" s="32" t="n">
        <v>35</v>
      </c>
      <c r="B3006" s="32" t="inlineStr">
        <is>
          <t>K3-2A</t>
        </is>
      </c>
      <c r="D3006" s="32" t="n">
        <v>11.79</v>
      </c>
      <c r="E3006" s="32" t="n">
        <v>10118.425</v>
      </c>
      <c r="G3006" s="32" t="n">
        <v>72254</v>
      </c>
      <c r="H3006" s="32" t="inlineStr">
        <is>
          <t>bb</t>
        </is>
      </c>
      <c r="I3006" s="32" t="n">
        <v>10118.425</v>
      </c>
      <c r="K3006" s="32" t="inlineStr">
        <is>
          <t>20250514-46</t>
        </is>
      </c>
    </row>
    <row r="3007">
      <c r="A3007" s="32" t="n">
        <v>36</v>
      </c>
      <c r="B3007" s="32" t="inlineStr">
        <is>
          <t>K3-2B</t>
        </is>
      </c>
      <c r="D3007" s="32" t="n">
        <v>11.78</v>
      </c>
      <c r="E3007" s="32" t="n">
        <v>11670.299</v>
      </c>
      <c r="G3007" s="32" t="n">
        <v>88487</v>
      </c>
      <c r="H3007" s="32" t="inlineStr">
        <is>
          <t>bb</t>
        </is>
      </c>
      <c r="I3007" s="32" t="n">
        <v>11670.299</v>
      </c>
      <c r="K3007" s="32" t="inlineStr">
        <is>
          <t>20250514-47</t>
        </is>
      </c>
    </row>
    <row r="3008">
      <c r="A3008" s="32" t="n">
        <v>37</v>
      </c>
      <c r="B3008" s="32" t="inlineStr">
        <is>
          <t>K3-2C</t>
        </is>
      </c>
      <c r="D3008" s="32" t="n">
        <v>11.78</v>
      </c>
      <c r="E3008" s="32" t="n">
        <v>10063.434</v>
      </c>
      <c r="G3008" s="32" t="n">
        <v>2044.976</v>
      </c>
      <c r="H3008" s="32" t="inlineStr">
        <is>
          <t>bb</t>
        </is>
      </c>
      <c r="I3008" s="32" t="n">
        <v>10063.434</v>
      </c>
      <c r="K3008" s="32" t="inlineStr">
        <is>
          <t>20250514-48</t>
        </is>
      </c>
    </row>
    <row r="3009">
      <c r="A3009" s="32" t="n">
        <v>38</v>
      </c>
      <c r="B3009" s="32" t="inlineStr">
        <is>
          <t>MeOH</t>
        </is>
      </c>
      <c r="D3009" s="32" t="n">
        <v>11.86</v>
      </c>
      <c r="E3009" s="32" t="n">
        <v>33.329</v>
      </c>
      <c r="G3009" s="32" t="n">
        <v>280</v>
      </c>
      <c r="H3009" s="32" t="inlineStr">
        <is>
          <t>bb</t>
        </is>
      </c>
      <c r="I3009" s="32" t="n">
        <v>33.329</v>
      </c>
      <c r="K3009" s="32" t="inlineStr">
        <is>
          <t>20250514-49</t>
        </is>
      </c>
    </row>
    <row r="3010">
      <c r="A3010" s="32" t="n">
        <v>39</v>
      </c>
      <c r="B3010" s="32" t="inlineStr">
        <is>
          <t>K3-3A</t>
        </is>
      </c>
      <c r="D3010" s="32" t="n">
        <v>11.81</v>
      </c>
      <c r="E3010" s="32" t="n">
        <v>9698.305</v>
      </c>
      <c r="G3010" s="32" t="n">
        <v>72348</v>
      </c>
      <c r="H3010" s="32" t="inlineStr">
        <is>
          <t>bb</t>
        </is>
      </c>
      <c r="I3010" s="32" t="n">
        <v>9698.305</v>
      </c>
      <c r="K3010" s="32" t="inlineStr">
        <is>
          <t>20250514-50</t>
        </is>
      </c>
    </row>
    <row r="3011">
      <c r="A3011" s="32" t="n">
        <v>40</v>
      </c>
      <c r="B3011" s="32" t="inlineStr">
        <is>
          <t>K3-3B</t>
        </is>
      </c>
      <c r="D3011" s="32" t="n">
        <v>11.84</v>
      </c>
      <c r="E3011" s="32" t="n">
        <v>11153.47</v>
      </c>
      <c r="G3011" s="32" t="n">
        <v>174.259</v>
      </c>
      <c r="H3011" s="32" t="inlineStr">
        <is>
          <t>bb</t>
        </is>
      </c>
      <c r="I3011" s="32" t="n">
        <v>11153.47</v>
      </c>
      <c r="K3011" s="32" t="inlineStr">
        <is>
          <t>20250514-51</t>
        </is>
      </c>
    </row>
    <row r="3012">
      <c r="A3012" s="32" t="n">
        <v>41</v>
      </c>
      <c r="B3012" s="32" t="inlineStr">
        <is>
          <t>K3-3C</t>
        </is>
      </c>
      <c r="D3012" s="32" t="n">
        <v>11.82</v>
      </c>
      <c r="E3012" s="32" t="n">
        <v>13110.222</v>
      </c>
      <c r="G3012" s="32" t="n">
        <v>120.799</v>
      </c>
      <c r="H3012" s="32" t="inlineStr">
        <is>
          <t>bb</t>
        </is>
      </c>
      <c r="I3012" s="32" t="n">
        <v>13110.222</v>
      </c>
      <c r="K3012" s="32" t="inlineStr">
        <is>
          <t>20250514-52</t>
        </is>
      </c>
    </row>
    <row r="3013">
      <c r="A3013" s="32" t="n">
        <v>42</v>
      </c>
      <c r="B3013" s="32" t="inlineStr">
        <is>
          <t>K3-4A</t>
        </is>
      </c>
      <c r="D3013" s="32" t="n">
        <v>11.89</v>
      </c>
      <c r="E3013" s="32" t="n">
        <v>13316.729</v>
      </c>
      <c r="G3013" s="32" t="n">
        <v>385.868</v>
      </c>
      <c r="H3013" s="32" t="inlineStr">
        <is>
          <t>bb</t>
        </is>
      </c>
      <c r="I3013" s="32" t="n">
        <v>13316.729</v>
      </c>
      <c r="K3013" s="32" t="inlineStr">
        <is>
          <t>20250514-53</t>
        </is>
      </c>
    </row>
    <row r="3014">
      <c r="A3014" s="32" t="n">
        <v>43</v>
      </c>
      <c r="B3014" s="32" t="inlineStr">
        <is>
          <t>K3-4B</t>
        </is>
      </c>
      <c r="D3014" s="32" t="n">
        <v>11.86</v>
      </c>
      <c r="E3014" s="32" t="n">
        <v>13406.583</v>
      </c>
      <c r="G3014" s="32" t="n">
        <v>2370.719</v>
      </c>
      <c r="H3014" s="32" t="inlineStr">
        <is>
          <t>bb</t>
        </is>
      </c>
      <c r="I3014" s="32" t="n">
        <v>13406.583</v>
      </c>
      <c r="K3014" s="32" t="inlineStr">
        <is>
          <t>20250514-54</t>
        </is>
      </c>
    </row>
    <row r="3015">
      <c r="A3015" s="32" t="n">
        <v>44</v>
      </c>
      <c r="B3015" s="32" t="inlineStr">
        <is>
          <t>K3-4C</t>
        </is>
      </c>
      <c r="D3015" s="32" t="n">
        <v>11.91</v>
      </c>
      <c r="E3015" s="32" t="n">
        <v>15237.138</v>
      </c>
      <c r="G3015" s="32" t="n">
        <v>19724.692</v>
      </c>
      <c r="H3015" s="32" t="inlineStr">
        <is>
          <t>bb</t>
        </is>
      </c>
      <c r="I3015" s="32" t="n">
        <v>15237.138</v>
      </c>
      <c r="K3015" s="32" t="inlineStr">
        <is>
          <t>20250514-55</t>
        </is>
      </c>
    </row>
    <row r="3016">
      <c r="A3016" s="32" t="n">
        <v>45</v>
      </c>
      <c r="B3016" s="32" t="inlineStr">
        <is>
          <t>MeOH</t>
        </is>
      </c>
      <c r="K3016" s="32" t="inlineStr">
        <is>
          <t>20250514-56</t>
        </is>
      </c>
    </row>
    <row r="3017">
      <c r="A3017" s="32" t="n">
        <v>46</v>
      </c>
      <c r="B3017" s="32" t="inlineStr">
        <is>
          <t>K3-6A</t>
        </is>
      </c>
      <c r="D3017" s="32" t="n">
        <v>11.92</v>
      </c>
      <c r="E3017" s="32" t="n">
        <v>12951.722</v>
      </c>
      <c r="G3017" s="32" t="n">
        <v>156.619</v>
      </c>
      <c r="H3017" s="32" t="inlineStr">
        <is>
          <t>bb</t>
        </is>
      </c>
      <c r="I3017" s="32" t="n">
        <v>12951.722</v>
      </c>
      <c r="K3017" s="32" t="inlineStr">
        <is>
          <t>20250514-57</t>
        </is>
      </c>
    </row>
    <row r="3018">
      <c r="A3018" s="32" t="n">
        <v>47</v>
      </c>
      <c r="B3018" s="32" t="inlineStr">
        <is>
          <t>K3-6B</t>
        </is>
      </c>
      <c r="D3018" s="32" t="n">
        <v>11.89</v>
      </c>
      <c r="E3018" s="32" t="n">
        <v>12128.479</v>
      </c>
      <c r="G3018" s="32" t="n">
        <v>227.325</v>
      </c>
      <c r="H3018" s="32" t="inlineStr">
        <is>
          <t>bb</t>
        </is>
      </c>
      <c r="I3018" s="32" t="n">
        <v>12128.479</v>
      </c>
      <c r="K3018" s="32" t="inlineStr">
        <is>
          <t>20250514-58</t>
        </is>
      </c>
    </row>
    <row r="3019">
      <c r="A3019" s="32" t="n">
        <v>48</v>
      </c>
      <c r="B3019" s="32" t="inlineStr">
        <is>
          <t>K3-6C</t>
        </is>
      </c>
      <c r="D3019" s="32" t="n">
        <v>11.89</v>
      </c>
      <c r="E3019" s="32" t="n">
        <v>10764.568</v>
      </c>
      <c r="G3019" s="32" t="n">
        <v>169.792</v>
      </c>
      <c r="H3019" s="32" t="inlineStr">
        <is>
          <t>bb</t>
        </is>
      </c>
      <c r="I3019" s="32" t="n">
        <v>10764.568</v>
      </c>
      <c r="K3019" s="32" t="inlineStr">
        <is>
          <t>20250514-59</t>
        </is>
      </c>
    </row>
    <row r="3021">
      <c r="A3021" s="32" t="inlineStr">
        <is>
          <t>Compound 59:  m2 6:2 FTS 2</t>
        </is>
      </c>
    </row>
    <row r="3023">
      <c r="B3023" s="32" t="inlineStr">
        <is>
          <t>Sample Text</t>
        </is>
      </c>
      <c r="C3023" s="32" t="inlineStr">
        <is>
          <t>Std. Conc</t>
        </is>
      </c>
      <c r="D3023" s="32" t="inlineStr">
        <is>
          <t>RT</t>
        </is>
      </c>
      <c r="E3023" s="32" t="inlineStr">
        <is>
          <t>Area</t>
        </is>
      </c>
      <c r="F3023" s="32" t="inlineStr">
        <is>
          <t>IS Area</t>
        </is>
      </c>
      <c r="G3023" s="32" t="inlineStr">
        <is>
          <t>S/N</t>
        </is>
      </c>
      <c r="H3023" s="32" t="inlineStr">
        <is>
          <t>Primary Flags</t>
        </is>
      </c>
      <c r="I3023" s="32" t="inlineStr">
        <is>
          <t>Response</t>
        </is>
      </c>
      <c r="J3023" s="32" t="inlineStr">
        <is>
          <t>Conc.</t>
        </is>
      </c>
      <c r="K3023" s="32" t="inlineStr">
        <is>
          <t>Name</t>
        </is>
      </c>
    </row>
    <row r="3024">
      <c r="A3024" s="32" t="n">
        <v>1</v>
      </c>
      <c r="B3024" s="32" t="inlineStr">
        <is>
          <t>EPA1633 &amp; diPAPs Calibration 0 ppb</t>
        </is>
      </c>
      <c r="D3024" s="32" t="n">
        <v>11.74</v>
      </c>
      <c r="E3024" s="32" t="n">
        <v>5974.822</v>
      </c>
      <c r="G3024" s="32" t="n">
        <v>227.689</v>
      </c>
      <c r="H3024" s="32" t="inlineStr">
        <is>
          <t>MM</t>
        </is>
      </c>
      <c r="I3024" s="32" t="n">
        <v>5974.822</v>
      </c>
      <c r="K3024" s="32" t="inlineStr">
        <is>
          <t>20250514-12</t>
        </is>
      </c>
    </row>
    <row r="3025">
      <c r="A3025" s="32" t="n">
        <v>2</v>
      </c>
      <c r="B3025" s="32" t="inlineStr">
        <is>
          <t>EPA1633 &amp; diPAPs Calibration 0.02 ppb</t>
        </is>
      </c>
      <c r="D3025" s="32" t="n">
        <v>11.77</v>
      </c>
      <c r="E3025" s="32" t="n">
        <v>5818.436</v>
      </c>
      <c r="G3025" s="32" t="n">
        <v>42441</v>
      </c>
      <c r="H3025" s="32" t="inlineStr">
        <is>
          <t>MM</t>
        </is>
      </c>
      <c r="I3025" s="32" t="n">
        <v>5818.436</v>
      </c>
      <c r="K3025" s="32" t="inlineStr">
        <is>
          <t>20250514-13</t>
        </is>
      </c>
    </row>
    <row r="3026">
      <c r="A3026" s="32" t="n">
        <v>3</v>
      </c>
      <c r="B3026" s="32" t="inlineStr">
        <is>
          <t>EPA1633 &amp; diPAPs Calibration 0.1 ppb</t>
        </is>
      </c>
      <c r="D3026" s="32" t="n">
        <v>11.77</v>
      </c>
      <c r="E3026" s="32" t="n">
        <v>5632.186</v>
      </c>
      <c r="G3026" s="32" t="n">
        <v>413.593</v>
      </c>
      <c r="H3026" s="32" t="inlineStr">
        <is>
          <t>MM</t>
        </is>
      </c>
      <c r="I3026" s="32" t="n">
        <v>5632.186</v>
      </c>
      <c r="K3026" s="32" t="inlineStr">
        <is>
          <t>20250514-14</t>
        </is>
      </c>
    </row>
    <row r="3027">
      <c r="A3027" s="32" t="n">
        <v>4</v>
      </c>
      <c r="B3027" s="32" t="inlineStr">
        <is>
          <t>EPA1633 &amp; diPAPs Calibration 0.4 ppb</t>
        </is>
      </c>
      <c r="D3027" s="32" t="n">
        <v>11.78</v>
      </c>
      <c r="E3027" s="32" t="n">
        <v>5215.639</v>
      </c>
      <c r="G3027" s="32" t="n">
        <v>37951</v>
      </c>
      <c r="H3027" s="32" t="inlineStr">
        <is>
          <t>MM</t>
        </is>
      </c>
      <c r="I3027" s="32" t="n">
        <v>5215.639</v>
      </c>
      <c r="K3027" s="32" t="inlineStr">
        <is>
          <t>20250514-15</t>
        </is>
      </c>
    </row>
    <row r="3028">
      <c r="A3028" s="32" t="n">
        <v>5</v>
      </c>
      <c r="B3028" s="32" t="inlineStr">
        <is>
          <t>EPA1633 &amp; diPAPs Calibration 1 ppb</t>
        </is>
      </c>
      <c r="D3028" s="32" t="n">
        <v>11.78</v>
      </c>
      <c r="E3028" s="32" t="n">
        <v>5937.976</v>
      </c>
      <c r="G3028" s="32" t="n">
        <v>45.859</v>
      </c>
      <c r="H3028" s="32" t="inlineStr">
        <is>
          <t>MM</t>
        </is>
      </c>
      <c r="I3028" s="32" t="n">
        <v>5937.976</v>
      </c>
      <c r="K3028" s="32" t="inlineStr">
        <is>
          <t>20250514-16</t>
        </is>
      </c>
    </row>
    <row r="3029">
      <c r="A3029" s="32" t="n">
        <v>6</v>
      </c>
      <c r="B3029" s="32" t="inlineStr">
        <is>
          <t>EPA1633 &amp; diPAPs Calibration 5 ppb</t>
        </is>
      </c>
      <c r="D3029" s="32" t="n">
        <v>11.68</v>
      </c>
      <c r="E3029" s="32" t="n">
        <v>4613.658</v>
      </c>
      <c r="G3029" s="32" t="n">
        <v>33410</v>
      </c>
      <c r="H3029" s="32" t="inlineStr">
        <is>
          <t>MM</t>
        </is>
      </c>
      <c r="I3029" s="32" t="n">
        <v>4613.658</v>
      </c>
      <c r="K3029" s="32" t="inlineStr">
        <is>
          <t>20250514-17</t>
        </is>
      </c>
    </row>
    <row r="3030">
      <c r="A3030" s="32" t="n">
        <v>7</v>
      </c>
      <c r="B3030" s="32" t="inlineStr">
        <is>
          <t>EPA1633 &amp; diPAPs Calibration 10 ppb</t>
        </is>
      </c>
      <c r="D3030" s="32" t="n">
        <v>11.71</v>
      </c>
      <c r="E3030" s="32" t="n">
        <v>4321.106</v>
      </c>
      <c r="G3030" s="32" t="n">
        <v>2235.937</v>
      </c>
      <c r="H3030" s="32" t="inlineStr">
        <is>
          <t>MM</t>
        </is>
      </c>
      <c r="I3030" s="32" t="n">
        <v>4321.106</v>
      </c>
      <c r="K3030" s="32" t="inlineStr">
        <is>
          <t>20250514-18</t>
        </is>
      </c>
    </row>
    <row r="3031">
      <c r="A3031" s="32" t="n">
        <v>8</v>
      </c>
      <c r="B3031" s="32" t="inlineStr">
        <is>
          <t>EPA1633 &amp; diPAPs Calibration 20 ppb</t>
        </is>
      </c>
      <c r="D3031" s="32" t="n">
        <v>11.74</v>
      </c>
      <c r="E3031" s="32" t="n">
        <v>4115.025</v>
      </c>
      <c r="G3031" s="32" t="n">
        <v>637.059</v>
      </c>
      <c r="H3031" s="32" t="inlineStr">
        <is>
          <t>MM</t>
        </is>
      </c>
      <c r="I3031" s="32" t="n">
        <v>4115.025</v>
      </c>
      <c r="K3031" s="32" t="inlineStr">
        <is>
          <t>20250514-19</t>
        </is>
      </c>
    </row>
    <row r="3032">
      <c r="A3032" s="32" t="n">
        <v>9</v>
      </c>
      <c r="B3032" s="32" t="inlineStr">
        <is>
          <t>MeOH</t>
        </is>
      </c>
      <c r="K3032" s="32" t="inlineStr">
        <is>
          <t>20250514-20</t>
        </is>
      </c>
    </row>
    <row r="3033">
      <c r="A3033" s="32" t="n">
        <v>10</v>
      </c>
      <c r="B3033" s="32" t="inlineStr">
        <is>
          <t>MeOH</t>
        </is>
      </c>
      <c r="K3033" s="32" t="inlineStr">
        <is>
          <t>20250514-21</t>
        </is>
      </c>
    </row>
    <row r="3034">
      <c r="A3034" s="32" t="n">
        <v>11</v>
      </c>
      <c r="B3034" s="32" t="inlineStr">
        <is>
          <t>SB1</t>
        </is>
      </c>
      <c r="K3034" s="32" t="inlineStr">
        <is>
          <t>20250514-22</t>
        </is>
      </c>
    </row>
    <row r="3035">
      <c r="A3035" s="32" t="n">
        <v>12</v>
      </c>
      <c r="B3035" s="32" t="inlineStr">
        <is>
          <t>SB2</t>
        </is>
      </c>
      <c r="K3035" s="32" t="inlineStr">
        <is>
          <t>20250514-23</t>
        </is>
      </c>
    </row>
    <row r="3036">
      <c r="A3036" s="32" t="n">
        <v>13</v>
      </c>
      <c r="B3036" s="32" t="inlineStr">
        <is>
          <t>SB3</t>
        </is>
      </c>
      <c r="K3036" s="32" t="inlineStr">
        <is>
          <t>20250514-24</t>
        </is>
      </c>
    </row>
    <row r="3037">
      <c r="A3037" s="32" t="n">
        <v>14</v>
      </c>
      <c r="B3037" s="32" t="inlineStr">
        <is>
          <t>SS1</t>
        </is>
      </c>
      <c r="K3037" s="32" t="inlineStr">
        <is>
          <t>20250514-25</t>
        </is>
      </c>
    </row>
    <row r="3038">
      <c r="A3038" s="32" t="n">
        <v>15</v>
      </c>
      <c r="B3038" s="32" t="inlineStr">
        <is>
          <t>SS2</t>
        </is>
      </c>
      <c r="K3038" s="32" t="inlineStr">
        <is>
          <t>20250514-26</t>
        </is>
      </c>
    </row>
    <row r="3039">
      <c r="A3039" s="32" t="n">
        <v>16</v>
      </c>
      <c r="B3039" s="32" t="inlineStr">
        <is>
          <t>SS3</t>
        </is>
      </c>
      <c r="K3039" s="32" t="inlineStr">
        <is>
          <t>20250514-27</t>
        </is>
      </c>
    </row>
    <row r="3040">
      <c r="A3040" s="32" t="n">
        <v>17</v>
      </c>
      <c r="B3040" s="32" t="inlineStr">
        <is>
          <t>MeOH</t>
        </is>
      </c>
      <c r="K3040" s="32" t="inlineStr">
        <is>
          <t>20250514-28</t>
        </is>
      </c>
    </row>
    <row r="3041">
      <c r="A3041" s="32" t="n">
        <v>18</v>
      </c>
      <c r="B3041" s="32" t="inlineStr">
        <is>
          <t>K4-1A</t>
        </is>
      </c>
      <c r="K3041" s="32" t="inlineStr">
        <is>
          <t>20250514-29</t>
        </is>
      </c>
    </row>
    <row r="3042">
      <c r="A3042" s="32" t="n">
        <v>19</v>
      </c>
      <c r="B3042" s="32" t="inlineStr">
        <is>
          <t>K4-1B</t>
        </is>
      </c>
      <c r="K3042" s="32" t="inlineStr">
        <is>
          <t>20250514-30</t>
        </is>
      </c>
    </row>
    <row r="3043">
      <c r="A3043" s="32" t="n">
        <v>20</v>
      </c>
      <c r="B3043" s="32" t="inlineStr">
        <is>
          <t>K4-1C</t>
        </is>
      </c>
      <c r="K3043" s="32" t="inlineStr">
        <is>
          <t>20250514-31</t>
        </is>
      </c>
    </row>
    <row r="3044">
      <c r="A3044" s="32" t="n">
        <v>21</v>
      </c>
      <c r="B3044" s="32" t="inlineStr">
        <is>
          <t>K4-2A</t>
        </is>
      </c>
      <c r="K3044" s="32" t="inlineStr">
        <is>
          <t>20250514-32</t>
        </is>
      </c>
    </row>
    <row r="3045">
      <c r="A3045" s="32" t="n">
        <v>22</v>
      </c>
      <c r="B3045" s="32" t="inlineStr">
        <is>
          <t>K4-2B</t>
        </is>
      </c>
      <c r="K3045" s="32" t="inlineStr">
        <is>
          <t>20250514-33</t>
        </is>
      </c>
    </row>
    <row r="3046">
      <c r="A3046" s="32" t="n">
        <v>23</v>
      </c>
      <c r="B3046" s="32" t="inlineStr">
        <is>
          <t>K4-2C</t>
        </is>
      </c>
      <c r="K3046" s="32" t="inlineStr">
        <is>
          <t>20250514-34</t>
        </is>
      </c>
    </row>
    <row r="3047">
      <c r="A3047" s="32" t="n">
        <v>24</v>
      </c>
      <c r="B3047" s="32" t="inlineStr">
        <is>
          <t>MeOH</t>
        </is>
      </c>
      <c r="K3047" s="32" t="inlineStr">
        <is>
          <t>20250514-35</t>
        </is>
      </c>
    </row>
    <row r="3048">
      <c r="A3048" s="32" t="n">
        <v>25</v>
      </c>
      <c r="B3048" s="32" t="inlineStr">
        <is>
          <t>K4-4A</t>
        </is>
      </c>
      <c r="K3048" s="32" t="inlineStr">
        <is>
          <t>20250514-36</t>
        </is>
      </c>
    </row>
    <row r="3049">
      <c r="A3049" s="32" t="n">
        <v>26</v>
      </c>
      <c r="B3049" s="32" t="inlineStr">
        <is>
          <t>K4-4B</t>
        </is>
      </c>
      <c r="K3049" s="32" t="inlineStr">
        <is>
          <t>20250514-37</t>
        </is>
      </c>
    </row>
    <row r="3050">
      <c r="A3050" s="32" t="n">
        <v>27</v>
      </c>
      <c r="B3050" s="32" t="inlineStr">
        <is>
          <t>K4-4C</t>
        </is>
      </c>
      <c r="K3050" s="32" t="inlineStr">
        <is>
          <t>20250514-38</t>
        </is>
      </c>
    </row>
    <row r="3051">
      <c r="A3051" s="32" t="n">
        <v>28</v>
      </c>
      <c r="B3051" s="32" t="inlineStr">
        <is>
          <t>K4-5A</t>
        </is>
      </c>
      <c r="K3051" s="32" t="inlineStr">
        <is>
          <t>20250514-39</t>
        </is>
      </c>
    </row>
    <row r="3052">
      <c r="A3052" s="32" t="n">
        <v>29</v>
      </c>
      <c r="B3052" s="32" t="inlineStr">
        <is>
          <t>K4-5B</t>
        </is>
      </c>
      <c r="K3052" s="32" t="inlineStr">
        <is>
          <t>20250514-40</t>
        </is>
      </c>
    </row>
    <row r="3053">
      <c r="A3053" s="32" t="n">
        <v>30</v>
      </c>
      <c r="B3053" s="32" t="inlineStr">
        <is>
          <t>K4-5C</t>
        </is>
      </c>
      <c r="K3053" s="32" t="inlineStr">
        <is>
          <t>20250514-41</t>
        </is>
      </c>
    </row>
    <row r="3054">
      <c r="A3054" s="32" t="n">
        <v>31</v>
      </c>
      <c r="B3054" s="32" t="inlineStr">
        <is>
          <t>MeOH</t>
        </is>
      </c>
      <c r="K3054" s="32" t="inlineStr">
        <is>
          <t>20250514-42</t>
        </is>
      </c>
    </row>
    <row r="3055">
      <c r="A3055" s="32" t="n">
        <v>32</v>
      </c>
      <c r="B3055" s="32" t="inlineStr">
        <is>
          <t>K3-1A</t>
        </is>
      </c>
      <c r="K3055" s="32" t="inlineStr">
        <is>
          <t>20250514-43</t>
        </is>
      </c>
    </row>
    <row r="3056">
      <c r="A3056" s="32" t="n">
        <v>33</v>
      </c>
      <c r="B3056" s="32" t="inlineStr">
        <is>
          <t>K3-1B</t>
        </is>
      </c>
      <c r="K3056" s="32" t="inlineStr">
        <is>
          <t>20250514-44</t>
        </is>
      </c>
    </row>
    <row r="3057">
      <c r="A3057" s="32" t="n">
        <v>34</v>
      </c>
      <c r="B3057" s="32" t="inlineStr">
        <is>
          <t>K3-1C</t>
        </is>
      </c>
      <c r="K3057" s="32" t="inlineStr">
        <is>
          <t>20250514-45</t>
        </is>
      </c>
    </row>
    <row r="3058">
      <c r="A3058" s="32" t="n">
        <v>35</v>
      </c>
      <c r="B3058" s="32" t="inlineStr">
        <is>
          <t>K3-2A</t>
        </is>
      </c>
      <c r="K3058" s="32" t="inlineStr">
        <is>
          <t>20250514-46</t>
        </is>
      </c>
    </row>
    <row r="3059">
      <c r="A3059" s="32" t="n">
        <v>36</v>
      </c>
      <c r="B3059" s="32" t="inlineStr">
        <is>
          <t>K3-2B</t>
        </is>
      </c>
      <c r="K3059" s="32" t="inlineStr">
        <is>
          <t>20250514-47</t>
        </is>
      </c>
    </row>
    <row r="3060">
      <c r="A3060" s="32" t="n">
        <v>37</v>
      </c>
      <c r="B3060" s="32" t="inlineStr">
        <is>
          <t>K3-2C</t>
        </is>
      </c>
      <c r="K3060" s="32" t="inlineStr">
        <is>
          <t>20250514-48</t>
        </is>
      </c>
    </row>
    <row r="3061">
      <c r="A3061" s="32" t="n">
        <v>38</v>
      </c>
      <c r="B3061" s="32" t="inlineStr">
        <is>
          <t>MeOH</t>
        </is>
      </c>
      <c r="K3061" s="32" t="inlineStr">
        <is>
          <t>20250514-49</t>
        </is>
      </c>
    </row>
    <row r="3062">
      <c r="A3062" s="32" t="n">
        <v>39</v>
      </c>
      <c r="B3062" s="32" t="inlineStr">
        <is>
          <t>K3-3A</t>
        </is>
      </c>
      <c r="K3062" s="32" t="inlineStr">
        <is>
          <t>20250514-50</t>
        </is>
      </c>
    </row>
    <row r="3063">
      <c r="A3063" s="32" t="n">
        <v>40</v>
      </c>
      <c r="B3063" s="32" t="inlineStr">
        <is>
          <t>K3-3B</t>
        </is>
      </c>
      <c r="K3063" s="32" t="inlineStr">
        <is>
          <t>20250514-51</t>
        </is>
      </c>
    </row>
    <row r="3064">
      <c r="A3064" s="32" t="n">
        <v>41</v>
      </c>
      <c r="B3064" s="32" t="inlineStr">
        <is>
          <t>K3-3C</t>
        </is>
      </c>
      <c r="K3064" s="32" t="inlineStr">
        <is>
          <t>20250514-52</t>
        </is>
      </c>
    </row>
    <row r="3065">
      <c r="A3065" s="32" t="n">
        <v>42</v>
      </c>
      <c r="B3065" s="32" t="inlineStr">
        <is>
          <t>K3-4A</t>
        </is>
      </c>
      <c r="K3065" s="32" t="inlineStr">
        <is>
          <t>20250514-53</t>
        </is>
      </c>
    </row>
    <row r="3066">
      <c r="A3066" s="32" t="n">
        <v>43</v>
      </c>
      <c r="B3066" s="32" t="inlineStr">
        <is>
          <t>K3-4B</t>
        </is>
      </c>
      <c r="K3066" s="32" t="inlineStr">
        <is>
          <t>20250514-54</t>
        </is>
      </c>
    </row>
    <row r="3067">
      <c r="A3067" s="32" t="n">
        <v>44</v>
      </c>
      <c r="B3067" s="32" t="inlineStr">
        <is>
          <t>K3-4C</t>
        </is>
      </c>
      <c r="K3067" s="32" t="inlineStr">
        <is>
          <t>20250514-55</t>
        </is>
      </c>
    </row>
    <row r="3068">
      <c r="A3068" s="32" t="n">
        <v>45</v>
      </c>
      <c r="B3068" s="32" t="inlineStr">
        <is>
          <t>MeOH</t>
        </is>
      </c>
      <c r="K3068" s="32" t="inlineStr">
        <is>
          <t>20250514-56</t>
        </is>
      </c>
    </row>
    <row r="3069">
      <c r="A3069" s="32" t="n">
        <v>46</v>
      </c>
      <c r="B3069" s="32" t="inlineStr">
        <is>
          <t>K3-6A</t>
        </is>
      </c>
      <c r="K3069" s="32" t="inlineStr">
        <is>
          <t>20250514-57</t>
        </is>
      </c>
    </row>
    <row r="3070">
      <c r="A3070" s="32" t="n">
        <v>47</v>
      </c>
      <c r="B3070" s="32" t="inlineStr">
        <is>
          <t>K3-6B</t>
        </is>
      </c>
      <c r="K3070" s="32" t="inlineStr">
        <is>
          <t>20250514-58</t>
        </is>
      </c>
    </row>
    <row r="3071">
      <c r="A3071" s="32" t="n">
        <v>48</v>
      </c>
      <c r="B3071" s="32" t="inlineStr">
        <is>
          <t>K3-6C</t>
        </is>
      </c>
      <c r="K3071" s="32" t="inlineStr">
        <is>
          <t>20250514-59</t>
        </is>
      </c>
    </row>
    <row r="3073">
      <c r="A3073" s="32" t="inlineStr">
        <is>
          <t>Compound 60:  7:3 FTCA 1</t>
        </is>
      </c>
    </row>
    <row r="3075">
      <c r="B3075" s="32" t="inlineStr">
        <is>
          <t>Sample Text</t>
        </is>
      </c>
      <c r="C3075" s="32" t="inlineStr">
        <is>
          <t>Std. Conc</t>
        </is>
      </c>
      <c r="D3075" s="32" t="inlineStr">
        <is>
          <t>RT</t>
        </is>
      </c>
      <c r="E3075" s="32" t="inlineStr">
        <is>
          <t>Area</t>
        </is>
      </c>
      <c r="F3075" s="32" t="inlineStr">
        <is>
          <t>IS Area</t>
        </is>
      </c>
      <c r="G3075" s="32" t="inlineStr">
        <is>
          <t>S/N</t>
        </is>
      </c>
      <c r="H3075" s="32" t="inlineStr">
        <is>
          <t>Primary Flags</t>
        </is>
      </c>
      <c r="I3075" s="32" t="inlineStr">
        <is>
          <t>Response</t>
        </is>
      </c>
      <c r="J3075" s="32" t="inlineStr">
        <is>
          <t>Conc.</t>
        </is>
      </c>
      <c r="K3075" s="32" t="inlineStr">
        <is>
          <t>Name</t>
        </is>
      </c>
    </row>
    <row r="3076">
      <c r="A3076" s="32" t="n">
        <v>1</v>
      </c>
      <c r="B3076" s="32" t="inlineStr">
        <is>
          <t>EPA1633 &amp; diPAPs Calibration 0 ppb</t>
        </is>
      </c>
      <c r="D3076" s="32" t="n">
        <v>13.23</v>
      </c>
      <c r="E3076" s="32" t="n">
        <v>1694.257</v>
      </c>
      <c r="F3076" s="32" t="n">
        <v>300.866</v>
      </c>
      <c r="G3076" s="32" t="n">
        <v>10654</v>
      </c>
      <c r="H3076" s="32" t="inlineStr">
        <is>
          <t>bb</t>
        </is>
      </c>
      <c r="K3076" s="32" t="inlineStr">
        <is>
          <t>20250514-12</t>
        </is>
      </c>
    </row>
    <row r="3077">
      <c r="A3077" s="32" t="n">
        <v>2</v>
      </c>
      <c r="B3077" s="32" t="inlineStr">
        <is>
          <t>EPA1633 &amp; diPAPs Calibration 0.02 ppb</t>
        </is>
      </c>
      <c r="D3077" s="32" t="n">
        <v>13.26</v>
      </c>
      <c r="E3077" s="32" t="n">
        <v>2473.444</v>
      </c>
      <c r="F3077" s="32" t="n">
        <v>321.662</v>
      </c>
      <c r="G3077" s="32" t="n">
        <v>25.135</v>
      </c>
      <c r="H3077" s="32" t="inlineStr">
        <is>
          <t>bb</t>
        </is>
      </c>
      <c r="K3077" s="32" t="inlineStr">
        <is>
          <t>20250514-13</t>
        </is>
      </c>
    </row>
    <row r="3078">
      <c r="A3078" s="32" t="n">
        <v>3</v>
      </c>
      <c r="B3078" s="32" t="inlineStr">
        <is>
          <t>EPA1633 &amp; diPAPs Calibration 0.1 ppb</t>
        </is>
      </c>
      <c r="D3078" s="32" t="n">
        <v>13.26</v>
      </c>
      <c r="E3078" s="32" t="n">
        <v>5976.64</v>
      </c>
      <c r="F3078" s="32" t="n">
        <v>271.981</v>
      </c>
      <c r="G3078" s="32" t="n">
        <v>38973</v>
      </c>
      <c r="H3078" s="32" t="inlineStr">
        <is>
          <t>bb</t>
        </is>
      </c>
      <c r="K3078" s="32" t="inlineStr">
        <is>
          <t>20250514-14</t>
        </is>
      </c>
    </row>
    <row r="3079">
      <c r="A3079" s="32" t="n">
        <v>4</v>
      </c>
      <c r="B3079" s="32" t="inlineStr">
        <is>
          <t>EPA1633 &amp; diPAPs Calibration 0.4 ppb</t>
        </is>
      </c>
      <c r="D3079" s="32" t="n">
        <v>13.26</v>
      </c>
      <c r="E3079" s="32" t="n">
        <v>18215.34</v>
      </c>
      <c r="F3079" s="32" t="n">
        <v>574.953</v>
      </c>
      <c r="G3079" s="32" t="n">
        <v>112927</v>
      </c>
      <c r="H3079" s="32" t="inlineStr">
        <is>
          <t>bb</t>
        </is>
      </c>
      <c r="K3079" s="32" t="inlineStr">
        <is>
          <t>20250514-15</t>
        </is>
      </c>
    </row>
    <row r="3080">
      <c r="A3080" s="32" t="n">
        <v>5</v>
      </c>
      <c r="B3080" s="32" t="inlineStr">
        <is>
          <t>EPA1633 &amp; diPAPs Calibration 1 ppb</t>
        </is>
      </c>
      <c r="D3080" s="32" t="n">
        <v>13.28</v>
      </c>
      <c r="E3080" s="32" t="n">
        <v>31488.873</v>
      </c>
      <c r="F3080" s="32" t="n">
        <v>121.731</v>
      </c>
      <c r="G3080" s="32" t="n">
        <v>1490.741</v>
      </c>
      <c r="H3080" s="32" t="inlineStr">
        <is>
          <t>bb</t>
        </is>
      </c>
      <c r="K3080" s="32" t="inlineStr">
        <is>
          <t>20250514-16</t>
        </is>
      </c>
    </row>
    <row r="3081">
      <c r="A3081" s="32" t="n">
        <v>6</v>
      </c>
      <c r="B3081" s="32" t="inlineStr">
        <is>
          <t>EPA1633 &amp; diPAPs Calibration 5 ppb</t>
        </is>
      </c>
      <c r="D3081" s="32" t="n">
        <v>13.2</v>
      </c>
      <c r="E3081" s="32" t="n">
        <v>133790.734</v>
      </c>
      <c r="F3081" s="32" t="n">
        <v>630.125</v>
      </c>
      <c r="G3081" s="32" t="n">
        <v>3442.159</v>
      </c>
      <c r="H3081" s="32" t="inlineStr">
        <is>
          <t>bb</t>
        </is>
      </c>
      <c r="K3081" s="32" t="inlineStr">
        <is>
          <t>20250514-17</t>
        </is>
      </c>
    </row>
    <row r="3082">
      <c r="A3082" s="32" t="n">
        <v>7</v>
      </c>
      <c r="B3082" s="32" t="inlineStr">
        <is>
          <t>EPA1633 &amp; diPAPs Calibration 10 ppb</t>
        </is>
      </c>
      <c r="D3082" s="32" t="n">
        <v>13.21</v>
      </c>
      <c r="E3082" s="32" t="n">
        <v>230732.938</v>
      </c>
      <c r="F3082" s="32" t="n">
        <v>189.153</v>
      </c>
      <c r="G3082" s="32" t="n">
        <v>3647.747</v>
      </c>
      <c r="H3082" s="32" t="inlineStr">
        <is>
          <t>bb</t>
        </is>
      </c>
      <c r="K3082" s="32" t="inlineStr">
        <is>
          <t>20250514-18</t>
        </is>
      </c>
    </row>
    <row r="3083">
      <c r="A3083" s="32" t="n">
        <v>8</v>
      </c>
      <c r="B3083" s="32" t="inlineStr">
        <is>
          <t>EPA1633 &amp; diPAPs Calibration 20 ppb</t>
        </is>
      </c>
      <c r="D3083" s="32" t="n">
        <v>13.24</v>
      </c>
      <c r="E3083" s="32" t="n">
        <v>456151.25</v>
      </c>
      <c r="F3083" s="32" t="n">
        <v>34.629</v>
      </c>
      <c r="G3083" s="32" t="n">
        <v>3552.021</v>
      </c>
      <c r="H3083" s="32" t="inlineStr">
        <is>
          <t>bb</t>
        </is>
      </c>
      <c r="K3083" s="32" t="inlineStr">
        <is>
          <t>20250514-19</t>
        </is>
      </c>
    </row>
    <row r="3084">
      <c r="A3084" s="32" t="n">
        <v>9</v>
      </c>
      <c r="B3084" s="32" t="inlineStr">
        <is>
          <t>MeOH</t>
        </is>
      </c>
      <c r="D3084" s="32" t="n">
        <v>13.26</v>
      </c>
      <c r="E3084" s="32" t="n">
        <v>771.564</v>
      </c>
      <c r="G3084" s="32" t="n">
        <v>432.46</v>
      </c>
      <c r="H3084" s="32" t="inlineStr">
        <is>
          <t>bb</t>
        </is>
      </c>
      <c r="K3084" s="32" t="inlineStr">
        <is>
          <t>20250514-20</t>
        </is>
      </c>
    </row>
    <row r="3085">
      <c r="A3085" s="32" t="n">
        <v>10</v>
      </c>
      <c r="B3085" s="32" t="inlineStr">
        <is>
          <t>MeOH</t>
        </is>
      </c>
      <c r="D3085" s="32" t="n">
        <v>13.26</v>
      </c>
      <c r="E3085" s="32" t="n">
        <v>410.223</v>
      </c>
      <c r="G3085" s="32" t="n">
        <v>12.236</v>
      </c>
      <c r="H3085" s="32" t="inlineStr">
        <is>
          <t>bb</t>
        </is>
      </c>
      <c r="K3085" s="32" t="inlineStr">
        <is>
          <t>20250514-21</t>
        </is>
      </c>
    </row>
    <row r="3086">
      <c r="A3086" s="32" t="n">
        <v>11</v>
      </c>
      <c r="B3086" s="32" t="inlineStr">
        <is>
          <t>SB1</t>
        </is>
      </c>
      <c r="D3086" s="32" t="n">
        <v>13.29</v>
      </c>
      <c r="E3086" s="32" t="n">
        <v>165.528</v>
      </c>
      <c r="F3086" s="32" t="n">
        <v>61.924</v>
      </c>
      <c r="G3086" s="32" t="n">
        <v>5.625</v>
      </c>
      <c r="H3086" s="32" t="inlineStr">
        <is>
          <t>bb</t>
        </is>
      </c>
      <c r="K3086" s="32" t="inlineStr">
        <is>
          <t>20250514-22</t>
        </is>
      </c>
    </row>
    <row r="3087">
      <c r="A3087" s="32" t="n">
        <v>12</v>
      </c>
      <c r="B3087" s="32" t="inlineStr">
        <is>
          <t>SB2</t>
        </is>
      </c>
      <c r="D3087" s="32" t="n">
        <v>13.26</v>
      </c>
      <c r="E3087" s="32" t="n">
        <v>2.333</v>
      </c>
      <c r="F3087" s="32" t="n">
        <v>37.859</v>
      </c>
      <c r="G3087" s="32" t="n">
        <v>20</v>
      </c>
      <c r="H3087" s="32" t="inlineStr">
        <is>
          <t>bb</t>
        </is>
      </c>
      <c r="K3087" s="32" t="inlineStr">
        <is>
          <t>20250514-23</t>
        </is>
      </c>
    </row>
    <row r="3088">
      <c r="A3088" s="32" t="n">
        <v>13</v>
      </c>
      <c r="B3088" s="32" t="inlineStr">
        <is>
          <t>SB3</t>
        </is>
      </c>
      <c r="F3088" s="32" t="n">
        <v>151.1</v>
      </c>
      <c r="K3088" s="32" t="inlineStr">
        <is>
          <t>20250514-24</t>
        </is>
      </c>
    </row>
    <row r="3089">
      <c r="A3089" s="32" t="n">
        <v>14</v>
      </c>
      <c r="B3089" s="32" t="inlineStr">
        <is>
          <t>SS1</t>
        </is>
      </c>
      <c r="D3089" s="32" t="n">
        <v>13.31</v>
      </c>
      <c r="E3089" s="32" t="n">
        <v>77207.367</v>
      </c>
      <c r="F3089" s="32" t="n">
        <v>120.184</v>
      </c>
      <c r="G3089" s="32" t="n">
        <v>1733.472</v>
      </c>
      <c r="H3089" s="32" t="inlineStr">
        <is>
          <t>bb</t>
        </is>
      </c>
      <c r="K3089" s="32" t="inlineStr">
        <is>
          <t>20250514-25</t>
        </is>
      </c>
    </row>
    <row r="3090">
      <c r="A3090" s="32" t="n">
        <v>15</v>
      </c>
      <c r="B3090" s="32" t="inlineStr">
        <is>
          <t>SS2</t>
        </is>
      </c>
      <c r="D3090" s="32" t="n">
        <v>13.32</v>
      </c>
      <c r="E3090" s="32" t="n">
        <v>85687.25</v>
      </c>
      <c r="F3090" s="32" t="n">
        <v>140.114</v>
      </c>
      <c r="G3090" s="32" t="n">
        <v>1363.483</v>
      </c>
      <c r="H3090" s="32" t="inlineStr">
        <is>
          <t>bb</t>
        </is>
      </c>
      <c r="K3090" s="32" t="inlineStr">
        <is>
          <t>20250514-26</t>
        </is>
      </c>
    </row>
    <row r="3091">
      <c r="A3091" s="32" t="n">
        <v>16</v>
      </c>
      <c r="B3091" s="32" t="inlineStr">
        <is>
          <t>SS3</t>
        </is>
      </c>
      <c r="D3091" s="32" t="n">
        <v>13.32</v>
      </c>
      <c r="E3091" s="32" t="n">
        <v>75303.367</v>
      </c>
      <c r="F3091" s="32" t="n">
        <v>104.483</v>
      </c>
      <c r="G3091" s="32" t="n">
        <v>885.455</v>
      </c>
      <c r="H3091" s="32" t="inlineStr">
        <is>
          <t>bb</t>
        </is>
      </c>
      <c r="K3091" s="32" t="inlineStr">
        <is>
          <t>20250514-27</t>
        </is>
      </c>
    </row>
    <row r="3092">
      <c r="A3092" s="32" t="n">
        <v>17</v>
      </c>
      <c r="B3092" s="32" t="inlineStr">
        <is>
          <t>MeOH</t>
        </is>
      </c>
      <c r="D3092" s="32" t="n">
        <v>13.34</v>
      </c>
      <c r="E3092" s="32" t="n">
        <v>956.083</v>
      </c>
      <c r="G3092" s="32" t="n">
        <v>6.016</v>
      </c>
      <c r="H3092" s="32" t="inlineStr">
        <is>
          <t>bb</t>
        </is>
      </c>
      <c r="K3092" s="32" t="inlineStr">
        <is>
          <t>20250514-28</t>
        </is>
      </c>
    </row>
    <row r="3093">
      <c r="A3093" s="32" t="n">
        <v>18</v>
      </c>
      <c r="B3093" s="32" t="inlineStr">
        <is>
          <t>K4-1A</t>
        </is>
      </c>
      <c r="D3093" s="32" t="n">
        <v>13.32</v>
      </c>
      <c r="E3093" s="32" t="n">
        <v>167.659</v>
      </c>
      <c r="F3093" s="32" t="n">
        <v>293.287</v>
      </c>
      <c r="G3093" s="32" t="n">
        <v>1155</v>
      </c>
      <c r="H3093" s="32" t="inlineStr">
        <is>
          <t>MM</t>
        </is>
      </c>
      <c r="K3093" s="32" t="inlineStr">
        <is>
          <t>20250514-29</t>
        </is>
      </c>
    </row>
    <row r="3094">
      <c r="A3094" s="32" t="n">
        <v>19</v>
      </c>
      <c r="B3094" s="32" t="inlineStr">
        <is>
          <t>K4-1B</t>
        </is>
      </c>
      <c r="F3094" s="32" t="n">
        <v>121.913</v>
      </c>
      <c r="K3094" s="32" t="inlineStr">
        <is>
          <t>20250514-30</t>
        </is>
      </c>
    </row>
    <row r="3095">
      <c r="A3095" s="32" t="n">
        <v>20</v>
      </c>
      <c r="B3095" s="32" t="inlineStr">
        <is>
          <t>K4-1C</t>
        </is>
      </c>
      <c r="D3095" s="32" t="n">
        <v>13.32</v>
      </c>
      <c r="E3095" s="32" t="n">
        <v>81.762</v>
      </c>
      <c r="F3095" s="32" t="n">
        <v>278.029</v>
      </c>
      <c r="G3095" s="32" t="n">
        <v>35.307</v>
      </c>
      <c r="H3095" s="32" t="inlineStr">
        <is>
          <t>bb</t>
        </is>
      </c>
      <c r="K3095" s="32" t="inlineStr">
        <is>
          <t>20250514-31</t>
        </is>
      </c>
    </row>
    <row r="3096">
      <c r="A3096" s="32" t="n">
        <v>21</v>
      </c>
      <c r="B3096" s="32" t="inlineStr">
        <is>
          <t>K4-2A</t>
        </is>
      </c>
      <c r="D3096" s="32" t="n">
        <v>13.34</v>
      </c>
      <c r="E3096" s="32" t="n">
        <v>13.068</v>
      </c>
      <c r="F3096" s="32" t="n">
        <v>80.721</v>
      </c>
      <c r="G3096" s="32" t="n">
        <v>110</v>
      </c>
      <c r="H3096" s="32" t="inlineStr">
        <is>
          <t>bb</t>
        </is>
      </c>
      <c r="K3096" s="32" t="inlineStr">
        <is>
          <t>20250514-32</t>
        </is>
      </c>
    </row>
    <row r="3097">
      <c r="A3097" s="32" t="n">
        <v>22</v>
      </c>
      <c r="B3097" s="32" t="inlineStr">
        <is>
          <t>K4-2B</t>
        </is>
      </c>
      <c r="F3097" s="32" t="n">
        <v>1.117</v>
      </c>
      <c r="K3097" s="32" t="inlineStr">
        <is>
          <t>20250514-33</t>
        </is>
      </c>
    </row>
    <row r="3098">
      <c r="A3098" s="32" t="n">
        <v>23</v>
      </c>
      <c r="B3098" s="32" t="inlineStr">
        <is>
          <t>K4-2C</t>
        </is>
      </c>
      <c r="D3098" s="32" t="n">
        <v>13.34</v>
      </c>
      <c r="E3098" s="32" t="n">
        <v>16.898</v>
      </c>
      <c r="F3098" s="32" t="n">
        <v>64.84699999999999</v>
      </c>
      <c r="G3098" s="32" t="n">
        <v>135</v>
      </c>
      <c r="H3098" s="32" t="inlineStr">
        <is>
          <t>bb</t>
        </is>
      </c>
      <c r="K3098" s="32" t="inlineStr">
        <is>
          <t>20250514-34</t>
        </is>
      </c>
    </row>
    <row r="3099">
      <c r="A3099" s="32" t="n">
        <v>24</v>
      </c>
      <c r="B3099" s="32" t="inlineStr">
        <is>
          <t>MeOH</t>
        </is>
      </c>
      <c r="D3099" s="32" t="n">
        <v>13.36</v>
      </c>
      <c r="E3099" s="32" t="n">
        <v>369.447</v>
      </c>
      <c r="G3099" s="32" t="n">
        <v>2329</v>
      </c>
      <c r="H3099" s="32" t="inlineStr">
        <is>
          <t>MM</t>
        </is>
      </c>
      <c r="K3099" s="32" t="inlineStr">
        <is>
          <t>20250514-35</t>
        </is>
      </c>
    </row>
    <row r="3100">
      <c r="A3100" s="32" t="n">
        <v>25</v>
      </c>
      <c r="B3100" s="32" t="inlineStr">
        <is>
          <t>K4-4A</t>
        </is>
      </c>
      <c r="F3100" s="32" t="n">
        <v>92.72199999999999</v>
      </c>
      <c r="K3100" s="32" t="inlineStr">
        <is>
          <t>20250514-36</t>
        </is>
      </c>
    </row>
    <row r="3101">
      <c r="A3101" s="32" t="n">
        <v>26</v>
      </c>
      <c r="B3101" s="32" t="inlineStr">
        <is>
          <t>K4-4B</t>
        </is>
      </c>
      <c r="F3101" s="32" t="n">
        <v>96.197</v>
      </c>
      <c r="K3101" s="32" t="inlineStr">
        <is>
          <t>20250514-37</t>
        </is>
      </c>
    </row>
    <row r="3102">
      <c r="A3102" s="32" t="n">
        <v>27</v>
      </c>
      <c r="B3102" s="32" t="inlineStr">
        <is>
          <t>K4-4C</t>
        </is>
      </c>
      <c r="D3102" s="32" t="n">
        <v>13.02</v>
      </c>
      <c r="E3102" s="32" t="n">
        <v>1.665</v>
      </c>
      <c r="F3102" s="32" t="n">
        <v>122.295</v>
      </c>
      <c r="G3102" s="32" t="n">
        <v>16</v>
      </c>
      <c r="H3102" s="32" t="inlineStr">
        <is>
          <t>bb</t>
        </is>
      </c>
      <c r="K3102" s="32" t="inlineStr">
        <is>
          <t>20250514-38</t>
        </is>
      </c>
    </row>
    <row r="3103">
      <c r="A3103" s="32" t="n">
        <v>28</v>
      </c>
      <c r="B3103" s="32" t="inlineStr">
        <is>
          <t>K4-5A</t>
        </is>
      </c>
      <c r="F3103" s="32" t="n">
        <v>195.191</v>
      </c>
      <c r="K3103" s="32" t="inlineStr">
        <is>
          <t>20250514-39</t>
        </is>
      </c>
    </row>
    <row r="3104">
      <c r="A3104" s="32" t="n">
        <v>29</v>
      </c>
      <c r="B3104" s="32" t="inlineStr">
        <is>
          <t>K4-5B</t>
        </is>
      </c>
      <c r="D3104" s="32" t="n">
        <v>13.31</v>
      </c>
      <c r="E3104" s="32" t="n">
        <v>69.748</v>
      </c>
      <c r="F3104" s="32" t="n">
        <v>113.956</v>
      </c>
      <c r="G3104" s="32" t="n">
        <v>575</v>
      </c>
      <c r="H3104" s="32" t="inlineStr">
        <is>
          <t>bb</t>
        </is>
      </c>
      <c r="K3104" s="32" t="inlineStr">
        <is>
          <t>20250514-40</t>
        </is>
      </c>
    </row>
    <row r="3105">
      <c r="A3105" s="32" t="n">
        <v>30</v>
      </c>
      <c r="B3105" s="32" t="inlineStr">
        <is>
          <t>K4-5C</t>
        </is>
      </c>
      <c r="F3105" s="32" t="n">
        <v>84.712</v>
      </c>
      <c r="K3105" s="32" t="inlineStr">
        <is>
          <t>20250514-41</t>
        </is>
      </c>
    </row>
    <row r="3106">
      <c r="A3106" s="32" t="n">
        <v>31</v>
      </c>
      <c r="B3106" s="32" t="inlineStr">
        <is>
          <t>MeOH</t>
        </is>
      </c>
      <c r="D3106" s="32" t="n">
        <v>13.21</v>
      </c>
      <c r="E3106" s="32" t="n">
        <v>123.719</v>
      </c>
      <c r="G3106" s="32" t="n">
        <v>5.829</v>
      </c>
      <c r="H3106" s="32" t="inlineStr">
        <is>
          <t>bb</t>
        </is>
      </c>
      <c r="K3106" s="32" t="inlineStr">
        <is>
          <t>20250514-42</t>
        </is>
      </c>
    </row>
    <row r="3107">
      <c r="A3107" s="32" t="n">
        <v>32</v>
      </c>
      <c r="B3107" s="32" t="inlineStr">
        <is>
          <t>K3-1A</t>
        </is>
      </c>
      <c r="D3107" s="32" t="n">
        <v>13.34</v>
      </c>
      <c r="E3107" s="32" t="n">
        <v>18.681</v>
      </c>
      <c r="F3107" s="32" t="n">
        <v>8.545999999999999</v>
      </c>
      <c r="G3107" s="32" t="n">
        <v>150</v>
      </c>
      <c r="H3107" s="32" t="inlineStr">
        <is>
          <t>bb</t>
        </is>
      </c>
      <c r="K3107" s="32" t="inlineStr">
        <is>
          <t>20250514-43</t>
        </is>
      </c>
    </row>
    <row r="3108">
      <c r="A3108" s="32" t="n">
        <v>33</v>
      </c>
      <c r="B3108" s="32" t="inlineStr">
        <is>
          <t>K3-1B</t>
        </is>
      </c>
      <c r="F3108" s="32" t="n">
        <v>51.544</v>
      </c>
      <c r="K3108" s="32" t="inlineStr">
        <is>
          <t>20250514-44</t>
        </is>
      </c>
    </row>
    <row r="3109">
      <c r="A3109" s="32" t="n">
        <v>34</v>
      </c>
      <c r="B3109" s="32" t="inlineStr">
        <is>
          <t>K3-1C</t>
        </is>
      </c>
      <c r="F3109" s="32" t="n">
        <v>205.27</v>
      </c>
      <c r="K3109" s="32" t="inlineStr">
        <is>
          <t>20250514-45</t>
        </is>
      </c>
    </row>
    <row r="3110">
      <c r="A3110" s="32" t="n">
        <v>35</v>
      </c>
      <c r="B3110" s="32" t="inlineStr">
        <is>
          <t>K3-2A</t>
        </is>
      </c>
      <c r="F3110" s="32" t="n">
        <v>175.825</v>
      </c>
      <c r="K3110" s="32" t="inlineStr">
        <is>
          <t>20250514-46</t>
        </is>
      </c>
    </row>
    <row r="3111">
      <c r="A3111" s="32" t="n">
        <v>36</v>
      </c>
      <c r="B3111" s="32" t="inlineStr">
        <is>
          <t>K3-2B</t>
        </is>
      </c>
      <c r="D3111" s="32" t="n">
        <v>14.71</v>
      </c>
      <c r="E3111" s="32" t="n">
        <v>0.647</v>
      </c>
      <c r="F3111" s="32" t="n">
        <v>73.20399999999999</v>
      </c>
      <c r="G3111" s="32" t="n">
        <v>6</v>
      </c>
      <c r="H3111" s="32" t="inlineStr">
        <is>
          <t>MM</t>
        </is>
      </c>
      <c r="K3111" s="32" t="inlineStr">
        <is>
          <t>20250514-47</t>
        </is>
      </c>
    </row>
    <row r="3112">
      <c r="A3112" s="32" t="n">
        <v>37</v>
      </c>
      <c r="B3112" s="32" t="inlineStr">
        <is>
          <t>K3-2C</t>
        </is>
      </c>
      <c r="F3112" s="32" t="n">
        <v>179.966</v>
      </c>
      <c r="K3112" s="32" t="inlineStr">
        <is>
          <t>20250514-48</t>
        </is>
      </c>
    </row>
    <row r="3113">
      <c r="A3113" s="32" t="n">
        <v>38</v>
      </c>
      <c r="B3113" s="32" t="inlineStr">
        <is>
          <t>MeOH</t>
        </is>
      </c>
      <c r="D3113" s="32" t="n">
        <v>13.32</v>
      </c>
      <c r="E3113" s="32" t="n">
        <v>322.548</v>
      </c>
      <c r="G3113" s="32" t="n">
        <v>2313</v>
      </c>
      <c r="H3113" s="32" t="inlineStr">
        <is>
          <t>MM</t>
        </is>
      </c>
      <c r="K3113" s="32" t="inlineStr">
        <is>
          <t>20250514-49</t>
        </is>
      </c>
    </row>
    <row r="3114">
      <c r="A3114" s="32" t="n">
        <v>39</v>
      </c>
      <c r="B3114" s="32" t="inlineStr">
        <is>
          <t>K3-3A</t>
        </is>
      </c>
      <c r="D3114" s="32" t="n">
        <v>12.97</v>
      </c>
      <c r="E3114" s="32" t="n">
        <v>0.786</v>
      </c>
      <c r="F3114" s="32" t="n">
        <v>243.306</v>
      </c>
      <c r="G3114" s="32" t="n">
        <v>7</v>
      </c>
      <c r="H3114" s="32" t="inlineStr">
        <is>
          <t>bb</t>
        </is>
      </c>
      <c r="K3114" s="32" t="inlineStr">
        <is>
          <t>20250514-50</t>
        </is>
      </c>
    </row>
    <row r="3115">
      <c r="A3115" s="32" t="n">
        <v>40</v>
      </c>
      <c r="B3115" s="32" t="inlineStr">
        <is>
          <t>K3-3B</t>
        </is>
      </c>
      <c r="F3115" s="32" t="n">
        <v>281.241</v>
      </c>
      <c r="K3115" s="32" t="inlineStr">
        <is>
          <t>20250514-51</t>
        </is>
      </c>
    </row>
    <row r="3116">
      <c r="A3116" s="32" t="n">
        <v>41</v>
      </c>
      <c r="B3116" s="32" t="inlineStr">
        <is>
          <t>K3-3C</t>
        </is>
      </c>
      <c r="D3116" s="32" t="n">
        <v>13.66</v>
      </c>
      <c r="E3116" s="32" t="n">
        <v>5.61</v>
      </c>
      <c r="F3116" s="32" t="n">
        <v>124.019</v>
      </c>
      <c r="G3116" s="32" t="n">
        <v>56</v>
      </c>
      <c r="H3116" s="32" t="inlineStr">
        <is>
          <t>bb</t>
        </is>
      </c>
      <c r="K3116" s="32" t="inlineStr">
        <is>
          <t>20250514-52</t>
        </is>
      </c>
    </row>
    <row r="3117">
      <c r="A3117" s="32" t="n">
        <v>42</v>
      </c>
      <c r="B3117" s="32" t="inlineStr">
        <is>
          <t>K3-4A</t>
        </is>
      </c>
      <c r="F3117" s="32" t="n">
        <v>154.358</v>
      </c>
      <c r="K3117" s="32" t="inlineStr">
        <is>
          <t>20250514-53</t>
        </is>
      </c>
    </row>
    <row r="3118">
      <c r="A3118" s="32" t="n">
        <v>43</v>
      </c>
      <c r="B3118" s="32" t="inlineStr">
        <is>
          <t>K3-4B</t>
        </is>
      </c>
      <c r="D3118" s="32" t="n">
        <v>12.55</v>
      </c>
      <c r="E3118" s="32" t="n">
        <v>1.349</v>
      </c>
      <c r="F3118" s="32" t="n">
        <v>149.228</v>
      </c>
      <c r="G3118" s="32" t="n">
        <v>13</v>
      </c>
      <c r="H3118" s="32" t="inlineStr">
        <is>
          <t>bb</t>
        </is>
      </c>
      <c r="K3118" s="32" t="inlineStr">
        <is>
          <t>20250514-54</t>
        </is>
      </c>
    </row>
    <row r="3119">
      <c r="A3119" s="32" t="n">
        <v>44</v>
      </c>
      <c r="B3119" s="32" t="inlineStr">
        <is>
          <t>K3-4C</t>
        </is>
      </c>
      <c r="F3119" s="32" t="n">
        <v>244.215</v>
      </c>
      <c r="K3119" s="32" t="inlineStr">
        <is>
          <t>20250514-55</t>
        </is>
      </c>
    </row>
    <row r="3120">
      <c r="A3120" s="32" t="n">
        <v>45</v>
      </c>
      <c r="B3120" s="32" t="inlineStr">
        <is>
          <t>MeOH</t>
        </is>
      </c>
      <c r="D3120" s="32" t="n">
        <v>13.44</v>
      </c>
      <c r="E3120" s="32" t="n">
        <v>455.913</v>
      </c>
      <c r="G3120" s="32" t="n">
        <v>13.139</v>
      </c>
      <c r="H3120" s="32" t="inlineStr">
        <is>
          <t>bb</t>
        </is>
      </c>
      <c r="K3120" s="32" t="inlineStr">
        <is>
          <t>20250514-56</t>
        </is>
      </c>
    </row>
    <row r="3121">
      <c r="A3121" s="32" t="n">
        <v>46</v>
      </c>
      <c r="B3121" s="32" t="inlineStr">
        <is>
          <t>K3-6A</t>
        </is>
      </c>
      <c r="D3121" s="32" t="n">
        <v>13.45</v>
      </c>
      <c r="E3121" s="32" t="n">
        <v>18.388</v>
      </c>
      <c r="F3121" s="32" t="n">
        <v>9.898999999999999</v>
      </c>
      <c r="G3121" s="32" t="n">
        <v>161</v>
      </c>
      <c r="H3121" s="32" t="inlineStr">
        <is>
          <t>bb</t>
        </is>
      </c>
      <c r="K3121" s="32" t="inlineStr">
        <is>
          <t>20250514-57</t>
        </is>
      </c>
    </row>
    <row r="3122">
      <c r="A3122" s="32" t="n">
        <v>47</v>
      </c>
      <c r="B3122" s="32" t="inlineStr">
        <is>
          <t>K3-6B</t>
        </is>
      </c>
      <c r="D3122" s="32" t="n">
        <v>13.41</v>
      </c>
      <c r="E3122" s="32" t="n">
        <v>1.546</v>
      </c>
      <c r="F3122" s="32" t="n">
        <v>87.55200000000001</v>
      </c>
      <c r="G3122" s="32" t="n">
        <v>13</v>
      </c>
      <c r="H3122" s="32" t="inlineStr">
        <is>
          <t>bb</t>
        </is>
      </c>
      <c r="K3122" s="32" t="inlineStr">
        <is>
          <t>20250514-58</t>
        </is>
      </c>
    </row>
    <row r="3123">
      <c r="A3123" s="32" t="n">
        <v>48</v>
      </c>
      <c r="B3123" s="32" t="inlineStr">
        <is>
          <t>K3-6C</t>
        </is>
      </c>
      <c r="F3123" s="32" t="n">
        <v>231.601</v>
      </c>
      <c r="K3123" s="32" t="inlineStr">
        <is>
          <t>20250514-59</t>
        </is>
      </c>
    </row>
    <row r="3125">
      <c r="A3125" s="32" t="inlineStr">
        <is>
          <t>Compound 61:  7:3 FTCA 2</t>
        </is>
      </c>
    </row>
    <row r="3127">
      <c r="B3127" s="32" t="inlineStr">
        <is>
          <t>Sample Text</t>
        </is>
      </c>
      <c r="C3127" s="32" t="inlineStr">
        <is>
          <t>Std. Conc</t>
        </is>
      </c>
      <c r="D3127" s="32" t="inlineStr">
        <is>
          <t>RT</t>
        </is>
      </c>
      <c r="E3127" s="32" t="inlineStr">
        <is>
          <t>Area</t>
        </is>
      </c>
      <c r="F3127" s="32" t="inlineStr">
        <is>
          <t>IS Area</t>
        </is>
      </c>
      <c r="G3127" s="32" t="inlineStr">
        <is>
          <t>S/N</t>
        </is>
      </c>
      <c r="H3127" s="32" t="inlineStr">
        <is>
          <t>Primary Flags</t>
        </is>
      </c>
      <c r="I3127" s="32" t="inlineStr">
        <is>
          <t>Response</t>
        </is>
      </c>
      <c r="J3127" s="32" t="inlineStr">
        <is>
          <t>Conc.</t>
        </is>
      </c>
      <c r="K3127" s="32" t="inlineStr">
        <is>
          <t>Name</t>
        </is>
      </c>
    </row>
    <row r="3128">
      <c r="A3128" s="32" t="n">
        <v>1</v>
      </c>
      <c r="B3128" s="32" t="inlineStr">
        <is>
          <t>EPA1633 &amp; diPAPs Calibration 0 ppb</t>
        </is>
      </c>
      <c r="D3128" s="32" t="n">
        <v>13.21</v>
      </c>
      <c r="E3128" s="32" t="n">
        <v>531.333</v>
      </c>
      <c r="F3128" s="32" t="n">
        <v>999.471</v>
      </c>
      <c r="G3128" s="32" t="n">
        <v>14.587</v>
      </c>
      <c r="H3128" s="32" t="inlineStr">
        <is>
          <t>bb</t>
        </is>
      </c>
      <c r="K3128" s="32" t="inlineStr">
        <is>
          <t>20250514-12</t>
        </is>
      </c>
    </row>
    <row r="3129">
      <c r="A3129" s="32" t="n">
        <v>2</v>
      </c>
      <c r="B3129" s="32" t="inlineStr">
        <is>
          <t>EPA1633 &amp; diPAPs Calibration 0.02 ppb</t>
        </is>
      </c>
      <c r="D3129" s="32" t="n">
        <v>13.26</v>
      </c>
      <c r="E3129" s="32" t="n">
        <v>958.515</v>
      </c>
      <c r="F3129" s="32" t="n">
        <v>573.056</v>
      </c>
      <c r="G3129" s="32" t="n">
        <v>6405</v>
      </c>
      <c r="H3129" s="32" t="inlineStr">
        <is>
          <t>bb</t>
        </is>
      </c>
      <c r="K3129" s="32" t="inlineStr">
        <is>
          <t>20250514-13</t>
        </is>
      </c>
    </row>
    <row r="3130">
      <c r="A3130" s="32" t="n">
        <v>3</v>
      </c>
      <c r="B3130" s="32" t="inlineStr">
        <is>
          <t>EPA1633 &amp; diPAPs Calibration 0.1 ppb</t>
        </is>
      </c>
      <c r="D3130" s="32" t="n">
        <v>13.26</v>
      </c>
      <c r="E3130" s="32" t="n">
        <v>2079.131</v>
      </c>
      <c r="F3130" s="32" t="n">
        <v>733.905</v>
      </c>
      <c r="G3130" s="32" t="n">
        <v>98.297</v>
      </c>
      <c r="H3130" s="32" t="inlineStr">
        <is>
          <t>bb</t>
        </is>
      </c>
      <c r="K3130" s="32" t="inlineStr">
        <is>
          <t>20250514-14</t>
        </is>
      </c>
    </row>
    <row r="3131">
      <c r="A3131" s="32" t="n">
        <v>4</v>
      </c>
      <c r="B3131" s="32" t="inlineStr">
        <is>
          <t>EPA1633 &amp; diPAPs Calibration 0.4 ppb</t>
        </is>
      </c>
      <c r="D3131" s="32" t="n">
        <v>13.26</v>
      </c>
      <c r="E3131" s="32" t="n">
        <v>6087.128</v>
      </c>
      <c r="F3131" s="32" t="n">
        <v>1000.62</v>
      </c>
      <c r="G3131" s="32" t="n">
        <v>36174</v>
      </c>
      <c r="H3131" s="32" t="inlineStr">
        <is>
          <t>bb</t>
        </is>
      </c>
      <c r="K3131" s="32" t="inlineStr">
        <is>
          <t>20250514-15</t>
        </is>
      </c>
    </row>
    <row r="3132">
      <c r="A3132" s="32" t="n">
        <v>5</v>
      </c>
      <c r="B3132" s="32" t="inlineStr">
        <is>
          <t>EPA1633 &amp; diPAPs Calibration 1 ppb</t>
        </is>
      </c>
      <c r="D3132" s="32" t="n">
        <v>13.28</v>
      </c>
      <c r="E3132" s="32" t="n">
        <v>10089.198</v>
      </c>
      <c r="F3132" s="32" t="n">
        <v>767.744</v>
      </c>
      <c r="G3132" s="32" t="n">
        <v>212.614</v>
      </c>
      <c r="H3132" s="32" t="inlineStr">
        <is>
          <t>bb</t>
        </is>
      </c>
      <c r="K3132" s="32" t="inlineStr">
        <is>
          <t>20250514-16</t>
        </is>
      </c>
    </row>
    <row r="3133">
      <c r="A3133" s="32" t="n">
        <v>6</v>
      </c>
      <c r="B3133" s="32" t="inlineStr">
        <is>
          <t>EPA1633 &amp; diPAPs Calibration 5 ppb</t>
        </is>
      </c>
      <c r="D3133" s="32" t="n">
        <v>13.2</v>
      </c>
      <c r="E3133" s="32" t="n">
        <v>44445.461</v>
      </c>
      <c r="F3133" s="32" t="n">
        <v>650.651</v>
      </c>
      <c r="G3133" s="32" t="n">
        <v>794.994</v>
      </c>
      <c r="H3133" s="32" t="inlineStr">
        <is>
          <t>bb</t>
        </is>
      </c>
      <c r="K3133" s="32" t="inlineStr">
        <is>
          <t>20250514-17</t>
        </is>
      </c>
    </row>
    <row r="3134">
      <c r="A3134" s="32" t="n">
        <v>7</v>
      </c>
      <c r="B3134" s="32" t="inlineStr">
        <is>
          <t>EPA1633 &amp; diPAPs Calibration 10 ppb</t>
        </is>
      </c>
      <c r="D3134" s="32" t="n">
        <v>13.21</v>
      </c>
      <c r="E3134" s="32" t="n">
        <v>79404.914</v>
      </c>
      <c r="F3134" s="32" t="n">
        <v>544.612</v>
      </c>
      <c r="G3134" s="32" t="n">
        <v>599.616</v>
      </c>
      <c r="H3134" s="32" t="inlineStr">
        <is>
          <t>bb</t>
        </is>
      </c>
      <c r="K3134" s="32" t="inlineStr">
        <is>
          <t>20250514-18</t>
        </is>
      </c>
    </row>
    <row r="3135">
      <c r="A3135" s="32" t="n">
        <v>8</v>
      </c>
      <c r="B3135" s="32" t="inlineStr">
        <is>
          <t>EPA1633 &amp; diPAPs Calibration 20 ppb</t>
        </is>
      </c>
      <c r="D3135" s="32" t="n">
        <v>13.23</v>
      </c>
      <c r="E3135" s="32" t="n">
        <v>150821.391</v>
      </c>
      <c r="F3135" s="32" t="n">
        <v>739.226</v>
      </c>
      <c r="G3135" s="32" t="n">
        <v>3347.477</v>
      </c>
      <c r="H3135" s="32" t="inlineStr">
        <is>
          <t>bb</t>
        </is>
      </c>
      <c r="K3135" s="32" t="inlineStr">
        <is>
          <t>20250514-19</t>
        </is>
      </c>
    </row>
    <row r="3136">
      <c r="A3136" s="32" t="n">
        <v>9</v>
      </c>
      <c r="B3136" s="32" t="inlineStr">
        <is>
          <t>MeOH</t>
        </is>
      </c>
      <c r="D3136" s="32" t="n">
        <v>13.24</v>
      </c>
      <c r="E3136" s="32" t="n">
        <v>177.35</v>
      </c>
      <c r="G3136" s="32" t="n">
        <v>1364</v>
      </c>
      <c r="H3136" s="32" t="inlineStr">
        <is>
          <t>bb</t>
        </is>
      </c>
      <c r="K3136" s="32" t="inlineStr">
        <is>
          <t>20250514-20</t>
        </is>
      </c>
    </row>
    <row r="3137">
      <c r="A3137" s="32" t="n">
        <v>10</v>
      </c>
      <c r="B3137" s="32" t="inlineStr">
        <is>
          <t>MeOH</t>
        </is>
      </c>
      <c r="D3137" s="32" t="n">
        <v>13.28</v>
      </c>
      <c r="E3137" s="32" t="n">
        <v>117.893</v>
      </c>
      <c r="G3137" s="32" t="n">
        <v>6.03</v>
      </c>
      <c r="H3137" s="32" t="inlineStr">
        <is>
          <t>bb</t>
        </is>
      </c>
      <c r="K3137" s="32" t="inlineStr">
        <is>
          <t>20250514-21</t>
        </is>
      </c>
    </row>
    <row r="3138">
      <c r="A3138" s="32" t="n">
        <v>11</v>
      </c>
      <c r="B3138" s="32" t="inlineStr">
        <is>
          <t>SB1</t>
        </is>
      </c>
      <c r="D3138" s="32" t="n">
        <v>13.31</v>
      </c>
      <c r="E3138" s="32" t="n">
        <v>93.092</v>
      </c>
      <c r="F3138" s="32" t="n">
        <v>78.959</v>
      </c>
      <c r="G3138" s="32" t="n">
        <v>3.426</v>
      </c>
      <c r="H3138" s="32" t="inlineStr">
        <is>
          <t>bb</t>
        </is>
      </c>
      <c r="K3138" s="32" t="inlineStr">
        <is>
          <t>20250514-22</t>
        </is>
      </c>
    </row>
    <row r="3139">
      <c r="A3139" s="32" t="n">
        <v>12</v>
      </c>
      <c r="B3139" s="32" t="inlineStr">
        <is>
          <t>SB2</t>
        </is>
      </c>
      <c r="F3139" s="32" t="n">
        <v>226.09</v>
      </c>
      <c r="K3139" s="32" t="inlineStr">
        <is>
          <t>20250514-23</t>
        </is>
      </c>
    </row>
    <row r="3140">
      <c r="A3140" s="32" t="n">
        <v>13</v>
      </c>
      <c r="B3140" s="32" t="inlineStr">
        <is>
          <t>SB3</t>
        </is>
      </c>
      <c r="F3140" s="32" t="n">
        <v>208.117</v>
      </c>
      <c r="K3140" s="32" t="inlineStr">
        <is>
          <t>20250514-24</t>
        </is>
      </c>
    </row>
    <row r="3141">
      <c r="A3141" s="32" t="n">
        <v>14</v>
      </c>
      <c r="B3141" s="32" t="inlineStr">
        <is>
          <t>SS1</t>
        </is>
      </c>
      <c r="D3141" s="32" t="n">
        <v>13.31</v>
      </c>
      <c r="E3141" s="32" t="n">
        <v>25797.387</v>
      </c>
      <c r="F3141" s="32" t="n">
        <v>255.416</v>
      </c>
      <c r="G3141" s="32" t="n">
        <v>970.654</v>
      </c>
      <c r="H3141" s="32" t="inlineStr">
        <is>
          <t>bb</t>
        </is>
      </c>
      <c r="K3141" s="32" t="inlineStr">
        <is>
          <t>20250514-25</t>
        </is>
      </c>
    </row>
    <row r="3142">
      <c r="A3142" s="32" t="n">
        <v>15</v>
      </c>
      <c r="B3142" s="32" t="inlineStr">
        <is>
          <t>SS2</t>
        </is>
      </c>
      <c r="D3142" s="32" t="n">
        <v>13.32</v>
      </c>
      <c r="E3142" s="32" t="n">
        <v>27394.631</v>
      </c>
      <c r="F3142" s="32" t="n">
        <v>196.185</v>
      </c>
      <c r="G3142" s="32" t="n">
        <v>182.739</v>
      </c>
      <c r="H3142" s="32" t="inlineStr">
        <is>
          <t>bb</t>
        </is>
      </c>
      <c r="K3142" s="32" t="inlineStr">
        <is>
          <t>20250514-26</t>
        </is>
      </c>
    </row>
    <row r="3143">
      <c r="A3143" s="32" t="n">
        <v>16</v>
      </c>
      <c r="B3143" s="32" t="inlineStr">
        <is>
          <t>SS3</t>
        </is>
      </c>
      <c r="D3143" s="32" t="n">
        <v>13.32</v>
      </c>
      <c r="E3143" s="32" t="n">
        <v>23621.74</v>
      </c>
      <c r="F3143" s="32" t="n">
        <v>226.935</v>
      </c>
      <c r="G3143" s="32" t="n">
        <v>2275.061</v>
      </c>
      <c r="H3143" s="32" t="inlineStr">
        <is>
          <t>bb</t>
        </is>
      </c>
      <c r="K3143" s="32" t="inlineStr">
        <is>
          <t>20250514-27</t>
        </is>
      </c>
    </row>
    <row r="3144">
      <c r="A3144" s="32" t="n">
        <v>17</v>
      </c>
      <c r="B3144" s="32" t="inlineStr">
        <is>
          <t>MeOH</t>
        </is>
      </c>
      <c r="D3144" s="32" t="n">
        <v>13.28</v>
      </c>
      <c r="E3144" s="32" t="n">
        <v>102.436</v>
      </c>
      <c r="G3144" s="32" t="n">
        <v>631</v>
      </c>
      <c r="H3144" s="32" t="inlineStr">
        <is>
          <t>bb</t>
        </is>
      </c>
      <c r="K3144" s="32" t="inlineStr">
        <is>
          <t>20250514-28</t>
        </is>
      </c>
    </row>
    <row r="3145">
      <c r="A3145" s="32" t="n">
        <v>18</v>
      </c>
      <c r="B3145" s="32" t="inlineStr">
        <is>
          <t>K4-1A</t>
        </is>
      </c>
      <c r="D3145" s="32" t="n">
        <v>13.34</v>
      </c>
      <c r="E3145" s="32" t="n">
        <v>58.952</v>
      </c>
      <c r="F3145" s="32" t="n">
        <v>384.068</v>
      </c>
      <c r="G3145" s="32" t="n">
        <v>483</v>
      </c>
      <c r="H3145" s="32" t="inlineStr">
        <is>
          <t>bb</t>
        </is>
      </c>
      <c r="K3145" s="32" t="inlineStr">
        <is>
          <t>20250514-29</t>
        </is>
      </c>
    </row>
    <row r="3146">
      <c r="A3146" s="32" t="n">
        <v>19</v>
      </c>
      <c r="B3146" s="32" t="inlineStr">
        <is>
          <t>K4-1B</t>
        </is>
      </c>
      <c r="F3146" s="32" t="n">
        <v>333.688</v>
      </c>
      <c r="K3146" s="32" t="inlineStr">
        <is>
          <t>20250514-30</t>
        </is>
      </c>
    </row>
    <row r="3147">
      <c r="A3147" s="32" t="n">
        <v>20</v>
      </c>
      <c r="B3147" s="32" t="inlineStr">
        <is>
          <t>K4-1C</t>
        </is>
      </c>
      <c r="D3147" s="32" t="n">
        <v>13.34</v>
      </c>
      <c r="E3147" s="32" t="n">
        <v>14.002</v>
      </c>
      <c r="F3147" s="32" t="n">
        <v>158.296</v>
      </c>
      <c r="G3147" s="32" t="n">
        <v>115</v>
      </c>
      <c r="H3147" s="32" t="inlineStr">
        <is>
          <t>bb</t>
        </is>
      </c>
      <c r="K3147" s="32" t="inlineStr">
        <is>
          <t>20250514-31</t>
        </is>
      </c>
    </row>
    <row r="3148">
      <c r="A3148" s="32" t="n">
        <v>21</v>
      </c>
      <c r="B3148" s="32" t="inlineStr">
        <is>
          <t>K4-2A</t>
        </is>
      </c>
      <c r="F3148" s="32" t="n">
        <v>157.419</v>
      </c>
      <c r="K3148" s="32" t="inlineStr">
        <is>
          <t>20250514-32</t>
        </is>
      </c>
    </row>
    <row r="3149">
      <c r="A3149" s="32" t="n">
        <v>22</v>
      </c>
      <c r="B3149" s="32" t="inlineStr">
        <is>
          <t>K4-2B</t>
        </is>
      </c>
      <c r="D3149" s="32" t="n">
        <v>13.44</v>
      </c>
      <c r="E3149" s="32" t="n">
        <v>5.014</v>
      </c>
      <c r="F3149" s="32" t="n">
        <v>327.013</v>
      </c>
      <c r="G3149" s="32" t="n">
        <v>44</v>
      </c>
      <c r="H3149" s="32" t="inlineStr">
        <is>
          <t>bb</t>
        </is>
      </c>
      <c r="K3149" s="32" t="inlineStr">
        <is>
          <t>20250514-33</t>
        </is>
      </c>
    </row>
    <row r="3150">
      <c r="A3150" s="32" t="n">
        <v>23</v>
      </c>
      <c r="B3150" s="32" t="inlineStr">
        <is>
          <t>K4-2C</t>
        </is>
      </c>
      <c r="D3150" s="32" t="n">
        <v>13.5</v>
      </c>
      <c r="E3150" s="32" t="n">
        <v>8.297000000000001</v>
      </c>
      <c r="F3150" s="32" t="n">
        <v>170.863</v>
      </c>
      <c r="G3150" s="32" t="n">
        <v>79</v>
      </c>
      <c r="H3150" s="32" t="inlineStr">
        <is>
          <t>bb</t>
        </is>
      </c>
      <c r="K3150" s="32" t="inlineStr">
        <is>
          <t>20250514-34</t>
        </is>
      </c>
    </row>
    <row r="3151">
      <c r="A3151" s="32" t="n">
        <v>24</v>
      </c>
      <c r="B3151" s="32" t="inlineStr">
        <is>
          <t>MeOH</t>
        </is>
      </c>
      <c r="K3151" s="32" t="inlineStr">
        <is>
          <t>20250514-35</t>
        </is>
      </c>
    </row>
    <row r="3152">
      <c r="A3152" s="32" t="n">
        <v>25</v>
      </c>
      <c r="B3152" s="32" t="inlineStr">
        <is>
          <t>K4-4A</t>
        </is>
      </c>
      <c r="F3152" s="32" t="n">
        <v>327.307</v>
      </c>
      <c r="K3152" s="32" t="inlineStr">
        <is>
          <t>20250514-36</t>
        </is>
      </c>
    </row>
    <row r="3153">
      <c r="A3153" s="32" t="n">
        <v>26</v>
      </c>
      <c r="B3153" s="32" t="inlineStr">
        <is>
          <t>K4-4B</t>
        </is>
      </c>
      <c r="F3153" s="32" t="n">
        <v>387.554</v>
      </c>
      <c r="K3153" s="32" t="inlineStr">
        <is>
          <t>20250514-37</t>
        </is>
      </c>
    </row>
    <row r="3154">
      <c r="A3154" s="32" t="n">
        <v>27</v>
      </c>
      <c r="B3154" s="32" t="inlineStr">
        <is>
          <t>K4-4C</t>
        </is>
      </c>
      <c r="D3154" s="32" t="n">
        <v>13.11</v>
      </c>
      <c r="E3154" s="32" t="n">
        <v>0.313</v>
      </c>
      <c r="F3154" s="32" t="n">
        <v>384.708</v>
      </c>
      <c r="G3154" s="32" t="n">
        <v>3</v>
      </c>
      <c r="H3154" s="32" t="inlineStr">
        <is>
          <t>bb</t>
        </is>
      </c>
      <c r="K3154" s="32" t="inlineStr">
        <is>
          <t>20250514-38</t>
        </is>
      </c>
    </row>
    <row r="3155">
      <c r="A3155" s="32" t="n">
        <v>28</v>
      </c>
      <c r="B3155" s="32" t="inlineStr">
        <is>
          <t>K4-5A</t>
        </is>
      </c>
      <c r="D3155" s="32" t="n">
        <v>12.83</v>
      </c>
      <c r="E3155" s="32" t="n">
        <v>11.594</v>
      </c>
      <c r="F3155" s="32" t="n">
        <v>460.966</v>
      </c>
      <c r="G3155" s="32" t="n">
        <v>113</v>
      </c>
      <c r="H3155" s="32" t="inlineStr">
        <is>
          <t>bb</t>
        </is>
      </c>
      <c r="K3155" s="32" t="inlineStr">
        <is>
          <t>20250514-39</t>
        </is>
      </c>
    </row>
    <row r="3156">
      <c r="A3156" s="32" t="n">
        <v>29</v>
      </c>
      <c r="B3156" s="32" t="inlineStr">
        <is>
          <t>K4-5B</t>
        </is>
      </c>
      <c r="F3156" s="32" t="n">
        <v>279.508</v>
      </c>
      <c r="K3156" s="32" t="inlineStr">
        <is>
          <t>20250514-40</t>
        </is>
      </c>
    </row>
    <row r="3157">
      <c r="A3157" s="32" t="n">
        <v>30</v>
      </c>
      <c r="B3157" s="32" t="inlineStr">
        <is>
          <t>K4-5C</t>
        </is>
      </c>
      <c r="F3157" s="32" t="n">
        <v>181.064</v>
      </c>
      <c r="K3157" s="32" t="inlineStr">
        <is>
          <t>20250514-41</t>
        </is>
      </c>
    </row>
    <row r="3158">
      <c r="A3158" s="32" t="n">
        <v>31</v>
      </c>
      <c r="B3158" s="32" t="inlineStr">
        <is>
          <t>MeOH</t>
        </is>
      </c>
      <c r="D3158" s="32" t="n">
        <v>13.26</v>
      </c>
      <c r="E3158" s="32" t="n">
        <v>47.249</v>
      </c>
      <c r="G3158" s="32" t="n">
        <v>323</v>
      </c>
      <c r="H3158" s="32" t="inlineStr">
        <is>
          <t>bb</t>
        </is>
      </c>
      <c r="K3158" s="32" t="inlineStr">
        <is>
          <t>20250514-42</t>
        </is>
      </c>
    </row>
    <row r="3159">
      <c r="A3159" s="32" t="n">
        <v>32</v>
      </c>
      <c r="B3159" s="32" t="inlineStr">
        <is>
          <t>K3-1A</t>
        </is>
      </c>
      <c r="F3159" s="32" t="n">
        <v>311.962</v>
      </c>
      <c r="K3159" s="32" t="inlineStr">
        <is>
          <t>20250514-43</t>
        </is>
      </c>
    </row>
    <row r="3160">
      <c r="A3160" s="32" t="n">
        <v>33</v>
      </c>
      <c r="B3160" s="32" t="inlineStr">
        <is>
          <t>K3-1B</t>
        </is>
      </c>
      <c r="F3160" s="32" t="n">
        <v>262.757</v>
      </c>
      <c r="K3160" s="32" t="inlineStr">
        <is>
          <t>20250514-44</t>
        </is>
      </c>
    </row>
    <row r="3161">
      <c r="A3161" s="32" t="n">
        <v>34</v>
      </c>
      <c r="B3161" s="32" t="inlineStr">
        <is>
          <t>K3-1C</t>
        </is>
      </c>
      <c r="F3161" s="32" t="n">
        <v>314.864</v>
      </c>
      <c r="K3161" s="32" t="inlineStr">
        <is>
          <t>20250514-45</t>
        </is>
      </c>
    </row>
    <row r="3162">
      <c r="A3162" s="32" t="n">
        <v>35</v>
      </c>
      <c r="B3162" s="32" t="inlineStr">
        <is>
          <t>K3-2A</t>
        </is>
      </c>
      <c r="F3162" s="32" t="n">
        <v>270.571</v>
      </c>
      <c r="K3162" s="32" t="inlineStr">
        <is>
          <t>20250514-46</t>
        </is>
      </c>
    </row>
    <row r="3163">
      <c r="A3163" s="32" t="n">
        <v>36</v>
      </c>
      <c r="B3163" s="32" t="inlineStr">
        <is>
          <t>K3-2B</t>
        </is>
      </c>
      <c r="F3163" s="32" t="n">
        <v>294.775</v>
      </c>
      <c r="K3163" s="32" t="inlineStr">
        <is>
          <t>20250514-47</t>
        </is>
      </c>
    </row>
    <row r="3164">
      <c r="A3164" s="32" t="n">
        <v>37</v>
      </c>
      <c r="B3164" s="32" t="inlineStr">
        <is>
          <t>K3-2C</t>
        </is>
      </c>
      <c r="D3164" s="32" t="n">
        <v>13.57</v>
      </c>
      <c r="E3164" s="32" t="n">
        <v>5.188</v>
      </c>
      <c r="F3164" s="32" t="n">
        <v>125.278</v>
      </c>
      <c r="G3164" s="32" t="n">
        <v>53</v>
      </c>
      <c r="H3164" s="32" t="inlineStr">
        <is>
          <t>bb</t>
        </is>
      </c>
      <c r="K3164" s="32" t="inlineStr">
        <is>
          <t>20250514-48</t>
        </is>
      </c>
    </row>
    <row r="3165">
      <c r="A3165" s="32" t="n">
        <v>38</v>
      </c>
      <c r="B3165" s="32" t="inlineStr">
        <is>
          <t>MeOH</t>
        </is>
      </c>
      <c r="D3165" s="32" t="n">
        <v>13.31</v>
      </c>
      <c r="E3165" s="32" t="n">
        <v>41.085</v>
      </c>
      <c r="G3165" s="32" t="n">
        <v>307</v>
      </c>
      <c r="H3165" s="32" t="inlineStr">
        <is>
          <t>bb</t>
        </is>
      </c>
      <c r="K3165" s="32" t="inlineStr">
        <is>
          <t>20250514-49</t>
        </is>
      </c>
    </row>
    <row r="3166">
      <c r="A3166" s="32" t="n">
        <v>39</v>
      </c>
      <c r="B3166" s="32" t="inlineStr">
        <is>
          <t>K3-3A</t>
        </is>
      </c>
      <c r="D3166" s="32" t="n">
        <v>13.17</v>
      </c>
      <c r="E3166" s="32" t="n">
        <v>15.487</v>
      </c>
      <c r="F3166" s="32" t="n">
        <v>284.371</v>
      </c>
      <c r="G3166" s="32" t="n">
        <v>138</v>
      </c>
      <c r="H3166" s="32" t="inlineStr">
        <is>
          <t>bb</t>
        </is>
      </c>
      <c r="K3166" s="32" t="inlineStr">
        <is>
          <t>20250514-50</t>
        </is>
      </c>
    </row>
    <row r="3167">
      <c r="A3167" s="32" t="n">
        <v>40</v>
      </c>
      <c r="B3167" s="32" t="inlineStr">
        <is>
          <t>K3-3B</t>
        </is>
      </c>
      <c r="D3167" s="32" t="n">
        <v>13.02</v>
      </c>
      <c r="E3167" s="32" t="n">
        <v>3.927</v>
      </c>
      <c r="F3167" s="32" t="n">
        <v>313.979</v>
      </c>
      <c r="G3167" s="32" t="n">
        <v>37</v>
      </c>
      <c r="H3167" s="32" t="inlineStr">
        <is>
          <t>bb</t>
        </is>
      </c>
      <c r="K3167" s="32" t="inlineStr">
        <is>
          <t>20250514-51</t>
        </is>
      </c>
    </row>
    <row r="3168">
      <c r="A3168" s="32" t="n">
        <v>41</v>
      </c>
      <c r="B3168" s="32" t="inlineStr">
        <is>
          <t>K3-3C</t>
        </is>
      </c>
      <c r="D3168" s="32" t="n">
        <v>12.92</v>
      </c>
      <c r="E3168" s="32" t="n">
        <v>0.309</v>
      </c>
      <c r="F3168" s="32" t="n">
        <v>496.198</v>
      </c>
      <c r="G3168" s="32" t="n">
        <v>3</v>
      </c>
      <c r="H3168" s="32" t="inlineStr">
        <is>
          <t>bb</t>
        </is>
      </c>
      <c r="K3168" s="32" t="inlineStr">
        <is>
          <t>20250514-52</t>
        </is>
      </c>
    </row>
    <row r="3169">
      <c r="A3169" s="32" t="n">
        <v>42</v>
      </c>
      <c r="B3169" s="32" t="inlineStr">
        <is>
          <t>K3-4A</t>
        </is>
      </c>
      <c r="D3169" s="32" t="n">
        <v>13.41</v>
      </c>
      <c r="E3169" s="32" t="n">
        <v>6.852</v>
      </c>
      <c r="F3169" s="32" t="n">
        <v>478.689</v>
      </c>
      <c r="G3169" s="32" t="n">
        <v>58</v>
      </c>
      <c r="H3169" s="32" t="inlineStr">
        <is>
          <t>bb</t>
        </is>
      </c>
      <c r="K3169" s="32" t="inlineStr">
        <is>
          <t>20250514-53</t>
        </is>
      </c>
    </row>
    <row r="3170">
      <c r="A3170" s="32" t="n">
        <v>43</v>
      </c>
      <c r="B3170" s="32" t="inlineStr">
        <is>
          <t>K3-4B</t>
        </is>
      </c>
      <c r="D3170" s="32" t="n">
        <v>13.23</v>
      </c>
      <c r="E3170" s="32" t="n">
        <v>15.377</v>
      </c>
      <c r="F3170" s="32" t="n">
        <v>526.578</v>
      </c>
      <c r="G3170" s="32" t="n">
        <v>122</v>
      </c>
      <c r="H3170" s="32" t="inlineStr">
        <is>
          <t>bb</t>
        </is>
      </c>
      <c r="K3170" s="32" t="inlineStr">
        <is>
          <t>20250514-54</t>
        </is>
      </c>
    </row>
    <row r="3171">
      <c r="A3171" s="32" t="n">
        <v>44</v>
      </c>
      <c r="B3171" s="32" t="inlineStr">
        <is>
          <t>K3-4C</t>
        </is>
      </c>
      <c r="F3171" s="32" t="n">
        <v>461.389</v>
      </c>
      <c r="K3171" s="32" t="inlineStr">
        <is>
          <t>20250514-55</t>
        </is>
      </c>
    </row>
    <row r="3172">
      <c r="A3172" s="32" t="n">
        <v>45</v>
      </c>
      <c r="B3172" s="32" t="inlineStr">
        <is>
          <t>MeOH</t>
        </is>
      </c>
      <c r="D3172" s="32" t="n">
        <v>13.47</v>
      </c>
      <c r="E3172" s="32" t="n">
        <v>204.789</v>
      </c>
      <c r="G3172" s="32" t="n">
        <v>1614</v>
      </c>
      <c r="H3172" s="32" t="inlineStr">
        <is>
          <t>bb</t>
        </is>
      </c>
      <c r="K3172" s="32" t="inlineStr">
        <is>
          <t>20250514-56</t>
        </is>
      </c>
    </row>
    <row r="3173">
      <c r="A3173" s="32" t="n">
        <v>46</v>
      </c>
      <c r="B3173" s="32" t="inlineStr">
        <is>
          <t>K3-6A</t>
        </is>
      </c>
      <c r="F3173" s="32" t="n">
        <v>82.629</v>
      </c>
      <c r="K3173" s="32" t="inlineStr">
        <is>
          <t>20250514-57</t>
        </is>
      </c>
    </row>
    <row r="3174">
      <c r="A3174" s="32" t="n">
        <v>47</v>
      </c>
      <c r="B3174" s="32" t="inlineStr">
        <is>
          <t>K3-6B</t>
        </is>
      </c>
      <c r="F3174" s="32" t="n">
        <v>409.3</v>
      </c>
      <c r="K3174" s="32" t="inlineStr">
        <is>
          <t>20250514-58</t>
        </is>
      </c>
    </row>
    <row r="3175">
      <c r="A3175" s="32" t="n">
        <v>48</v>
      </c>
      <c r="B3175" s="32" t="inlineStr">
        <is>
          <t>K3-6C</t>
        </is>
      </c>
      <c r="F3175" s="32" t="n">
        <v>162.093</v>
      </c>
      <c r="K3175" s="32" t="inlineStr">
        <is>
          <t>20250514-59</t>
        </is>
      </c>
    </row>
    <row r="3177">
      <c r="A3177" s="32" t="inlineStr">
        <is>
          <t>Compound 62:  NBP1 1</t>
        </is>
      </c>
    </row>
    <row r="3179">
      <c r="B3179" s="32" t="inlineStr">
        <is>
          <t>Sample Text</t>
        </is>
      </c>
      <c r="C3179" s="32" t="inlineStr">
        <is>
          <t>Std. Conc</t>
        </is>
      </c>
      <c r="D3179" s="32" t="inlineStr">
        <is>
          <t>RT</t>
        </is>
      </c>
      <c r="E3179" s="32" t="inlineStr">
        <is>
          <t>Area</t>
        </is>
      </c>
      <c r="F3179" s="32" t="inlineStr">
        <is>
          <t>IS Area</t>
        </is>
      </c>
      <c r="G3179" s="32" t="inlineStr">
        <is>
          <t>S/N</t>
        </is>
      </c>
      <c r="H3179" s="32" t="inlineStr">
        <is>
          <t>Primary Flags</t>
        </is>
      </c>
      <c r="I3179" s="32" t="inlineStr">
        <is>
          <t>Response</t>
        </is>
      </c>
      <c r="J3179" s="32" t="inlineStr">
        <is>
          <t>Conc.</t>
        </is>
      </c>
      <c r="K3179" s="32" t="inlineStr">
        <is>
          <t>Name</t>
        </is>
      </c>
    </row>
    <row r="3180">
      <c r="A3180" s="32" t="n">
        <v>1</v>
      </c>
      <c r="B3180" s="32" t="inlineStr">
        <is>
          <t>EPA1633 &amp; diPAPs Calibration 0 ppb</t>
        </is>
      </c>
      <c r="D3180" s="32" t="n">
        <v>11.51</v>
      </c>
      <c r="E3180" s="32" t="n">
        <v>29.021</v>
      </c>
      <c r="G3180" s="32" t="n">
        <v>3.857</v>
      </c>
      <c r="H3180" s="32" t="inlineStr">
        <is>
          <t>MM</t>
        </is>
      </c>
      <c r="I3180" s="32" t="n">
        <v>29.021</v>
      </c>
      <c r="K3180" s="32" t="inlineStr">
        <is>
          <t>20250514-12</t>
        </is>
      </c>
    </row>
    <row r="3181">
      <c r="A3181" s="32" t="n">
        <v>2</v>
      </c>
      <c r="B3181" s="32" t="inlineStr">
        <is>
          <t>EPA1633 &amp; diPAPs Calibration 0.02 ppb</t>
        </is>
      </c>
      <c r="D3181" s="32" t="n">
        <v>11.59</v>
      </c>
      <c r="E3181" s="32" t="n">
        <v>18.079</v>
      </c>
      <c r="G3181" s="32" t="n">
        <v>0.76</v>
      </c>
      <c r="H3181" s="32" t="inlineStr">
        <is>
          <t>bb</t>
        </is>
      </c>
      <c r="I3181" s="32" t="n">
        <v>18.079</v>
      </c>
      <c r="K3181" s="32" t="inlineStr">
        <is>
          <t>20250514-13</t>
        </is>
      </c>
    </row>
    <row r="3182">
      <c r="A3182" s="32" t="n">
        <v>3</v>
      </c>
      <c r="B3182" s="32" t="inlineStr">
        <is>
          <t>EPA1633 &amp; diPAPs Calibration 0.1 ppb</t>
        </is>
      </c>
      <c r="D3182" s="32" t="n">
        <v>11.56</v>
      </c>
      <c r="E3182" s="32" t="n">
        <v>257.153</v>
      </c>
      <c r="G3182" s="32" t="n">
        <v>5.812</v>
      </c>
      <c r="H3182" s="32" t="inlineStr">
        <is>
          <t>bb</t>
        </is>
      </c>
      <c r="I3182" s="32" t="n">
        <v>257.153</v>
      </c>
      <c r="K3182" s="32" t="inlineStr">
        <is>
          <t>20250514-14</t>
        </is>
      </c>
    </row>
    <row r="3183">
      <c r="A3183" s="32" t="n">
        <v>4</v>
      </c>
      <c r="B3183" s="32" t="inlineStr">
        <is>
          <t>EPA1633 &amp; diPAPs Calibration 0.4 ppb</t>
        </is>
      </c>
      <c r="D3183" s="32" t="n">
        <v>11.56</v>
      </c>
      <c r="E3183" s="32" t="n">
        <v>889.227</v>
      </c>
      <c r="G3183" s="32" t="n">
        <v>37.122</v>
      </c>
      <c r="H3183" s="32" t="inlineStr">
        <is>
          <t>bb</t>
        </is>
      </c>
      <c r="I3183" s="32" t="n">
        <v>889.227</v>
      </c>
      <c r="K3183" s="32" t="inlineStr">
        <is>
          <t>20250514-15</t>
        </is>
      </c>
    </row>
    <row r="3184">
      <c r="A3184" s="32" t="n">
        <v>5</v>
      </c>
      <c r="B3184" s="32" t="inlineStr">
        <is>
          <t>EPA1633 &amp; diPAPs Calibration 1 ppb</t>
        </is>
      </c>
      <c r="D3184" s="32" t="n">
        <v>11.57</v>
      </c>
      <c r="E3184" s="32" t="n">
        <v>1541.285</v>
      </c>
      <c r="G3184" s="32" t="n">
        <v>51.701</v>
      </c>
      <c r="H3184" s="32" t="inlineStr">
        <is>
          <t>bb</t>
        </is>
      </c>
      <c r="I3184" s="32" t="n">
        <v>1541.285</v>
      </c>
      <c r="K3184" s="32" t="inlineStr">
        <is>
          <t>20250514-16</t>
        </is>
      </c>
    </row>
    <row r="3185">
      <c r="A3185" s="32" t="n">
        <v>6</v>
      </c>
      <c r="B3185" s="32" t="inlineStr">
        <is>
          <t>EPA1633 &amp; diPAPs Calibration 5 ppb</t>
        </is>
      </c>
      <c r="D3185" s="32" t="n">
        <v>11.46</v>
      </c>
      <c r="E3185" s="32" t="n">
        <v>5552.39</v>
      </c>
      <c r="G3185" s="32" t="n">
        <v>94.502</v>
      </c>
      <c r="H3185" s="32" t="inlineStr">
        <is>
          <t>MM</t>
        </is>
      </c>
      <c r="I3185" s="32" t="n">
        <v>5552.39</v>
      </c>
      <c r="K3185" s="32" t="inlineStr">
        <is>
          <t>20250514-17</t>
        </is>
      </c>
    </row>
    <row r="3186">
      <c r="A3186" s="32" t="n">
        <v>7</v>
      </c>
      <c r="B3186" s="32" t="inlineStr">
        <is>
          <t>EPA1633 &amp; diPAPs Calibration 10 ppb</t>
        </is>
      </c>
      <c r="D3186" s="32" t="n">
        <v>11.49</v>
      </c>
      <c r="E3186" s="32" t="n">
        <v>9949.161</v>
      </c>
      <c r="G3186" s="32" t="n">
        <v>228.799</v>
      </c>
      <c r="H3186" s="32" t="inlineStr">
        <is>
          <t>bb</t>
        </is>
      </c>
      <c r="I3186" s="32" t="n">
        <v>9949.161</v>
      </c>
      <c r="K3186" s="32" t="inlineStr">
        <is>
          <t>20250514-18</t>
        </is>
      </c>
    </row>
    <row r="3187">
      <c r="A3187" s="32" t="n">
        <v>8</v>
      </c>
      <c r="B3187" s="32" t="inlineStr">
        <is>
          <t>EPA1633 &amp; diPAPs Calibration 20 ppb</t>
        </is>
      </c>
      <c r="D3187" s="32" t="n">
        <v>11.53</v>
      </c>
      <c r="E3187" s="32" t="n">
        <v>20879.131</v>
      </c>
      <c r="G3187" s="32" t="n">
        <v>472.153</v>
      </c>
      <c r="H3187" s="32" t="inlineStr">
        <is>
          <t>bb</t>
        </is>
      </c>
      <c r="I3187" s="32" t="n">
        <v>20879.131</v>
      </c>
      <c r="K3187" s="32" t="inlineStr">
        <is>
          <t>20250514-19</t>
        </is>
      </c>
    </row>
    <row r="3188">
      <c r="A3188" s="32" t="n">
        <v>9</v>
      </c>
      <c r="B3188" s="32" t="inlineStr">
        <is>
          <t>MeOH</t>
        </is>
      </c>
      <c r="D3188" s="32" t="n">
        <v>11.17</v>
      </c>
      <c r="E3188" s="32" t="n">
        <v>13.497</v>
      </c>
      <c r="G3188" s="32" t="n">
        <v>1.32</v>
      </c>
      <c r="H3188" s="32" t="inlineStr">
        <is>
          <t>bb</t>
        </is>
      </c>
      <c r="I3188" s="32" t="n">
        <v>13.497</v>
      </c>
      <c r="K3188" s="32" t="inlineStr">
        <is>
          <t>20250514-20</t>
        </is>
      </c>
    </row>
    <row r="3189">
      <c r="A3189" s="32" t="n">
        <v>10</v>
      </c>
      <c r="B3189" s="32" t="inlineStr">
        <is>
          <t>MeOH</t>
        </is>
      </c>
      <c r="D3189" s="32" t="n">
        <v>11.61</v>
      </c>
      <c r="E3189" s="32" t="n">
        <v>11.835</v>
      </c>
      <c r="G3189" s="32" t="n">
        <v>100</v>
      </c>
      <c r="H3189" s="32" t="inlineStr">
        <is>
          <t>bb</t>
        </is>
      </c>
      <c r="I3189" s="32" t="n">
        <v>11.835</v>
      </c>
      <c r="K3189" s="32" t="inlineStr">
        <is>
          <t>20250514-21</t>
        </is>
      </c>
    </row>
    <row r="3190">
      <c r="A3190" s="32" t="n">
        <v>11</v>
      </c>
      <c r="B3190" s="32" t="inlineStr">
        <is>
          <t>SB1</t>
        </is>
      </c>
      <c r="K3190" s="32" t="inlineStr">
        <is>
          <t>20250514-22</t>
        </is>
      </c>
    </row>
    <row r="3191">
      <c r="A3191" s="32" t="n">
        <v>12</v>
      </c>
      <c r="B3191" s="32" t="inlineStr">
        <is>
          <t>SB2</t>
        </is>
      </c>
      <c r="D3191" s="32" t="n">
        <v>11.84</v>
      </c>
      <c r="E3191" s="32" t="n">
        <v>2.338</v>
      </c>
      <c r="G3191" s="32" t="n">
        <v>22</v>
      </c>
      <c r="H3191" s="32" t="inlineStr">
        <is>
          <t>bb</t>
        </is>
      </c>
      <c r="I3191" s="32" t="n">
        <v>2.338</v>
      </c>
      <c r="K3191" s="32" t="inlineStr">
        <is>
          <t>20250514-23</t>
        </is>
      </c>
    </row>
    <row r="3192">
      <c r="A3192" s="32" t="n">
        <v>13</v>
      </c>
      <c r="B3192" s="32" t="inlineStr">
        <is>
          <t>SB3</t>
        </is>
      </c>
      <c r="D3192" s="32" t="n">
        <v>11.27</v>
      </c>
      <c r="E3192" s="32" t="n">
        <v>36.663</v>
      </c>
      <c r="G3192" s="32" t="n">
        <v>350</v>
      </c>
      <c r="H3192" s="32" t="inlineStr">
        <is>
          <t>bb</t>
        </is>
      </c>
      <c r="I3192" s="32" t="n">
        <v>36.663</v>
      </c>
      <c r="K3192" s="32" t="inlineStr">
        <is>
          <t>20250514-24</t>
        </is>
      </c>
    </row>
    <row r="3193">
      <c r="A3193" s="32" t="n">
        <v>14</v>
      </c>
      <c r="B3193" s="32" t="inlineStr">
        <is>
          <t>SS1</t>
        </is>
      </c>
      <c r="D3193" s="32" t="n">
        <v>11.6</v>
      </c>
      <c r="E3193" s="32" t="n">
        <v>3877.506</v>
      </c>
      <c r="G3193" s="32" t="n">
        <v>117.362</v>
      </c>
      <c r="H3193" s="32" t="inlineStr">
        <is>
          <t>bb</t>
        </is>
      </c>
      <c r="I3193" s="32" t="n">
        <v>3877.506</v>
      </c>
      <c r="K3193" s="32" t="inlineStr">
        <is>
          <t>20250514-25</t>
        </is>
      </c>
    </row>
    <row r="3194">
      <c r="A3194" s="32" t="n">
        <v>15</v>
      </c>
      <c r="B3194" s="32" t="inlineStr">
        <is>
          <t>SS2</t>
        </is>
      </c>
      <c r="D3194" s="32" t="n">
        <v>11.61</v>
      </c>
      <c r="E3194" s="32" t="n">
        <v>3750.636</v>
      </c>
      <c r="G3194" s="32" t="n">
        <v>74.76300000000001</v>
      </c>
      <c r="H3194" s="32" t="inlineStr">
        <is>
          <t>bb</t>
        </is>
      </c>
      <c r="I3194" s="32" t="n">
        <v>3750.636</v>
      </c>
      <c r="K3194" s="32" t="inlineStr">
        <is>
          <t>20250514-26</t>
        </is>
      </c>
    </row>
    <row r="3195">
      <c r="A3195" s="32" t="n">
        <v>16</v>
      </c>
      <c r="B3195" s="32" t="inlineStr">
        <is>
          <t>SS3</t>
        </is>
      </c>
      <c r="D3195" s="32" t="n">
        <v>11.61</v>
      </c>
      <c r="E3195" s="32" t="n">
        <v>4148.715</v>
      </c>
      <c r="G3195" s="32" t="n">
        <v>173.505</v>
      </c>
      <c r="H3195" s="32" t="inlineStr">
        <is>
          <t>bb</t>
        </is>
      </c>
      <c r="I3195" s="32" t="n">
        <v>4148.715</v>
      </c>
      <c r="K3195" s="32" t="inlineStr">
        <is>
          <t>20250514-27</t>
        </is>
      </c>
    </row>
    <row r="3196">
      <c r="A3196" s="32" t="n">
        <v>17</v>
      </c>
      <c r="B3196" s="32" t="inlineStr">
        <is>
          <t>MeOH</t>
        </is>
      </c>
      <c r="D3196" s="32" t="n">
        <v>11.61</v>
      </c>
      <c r="E3196" s="32" t="n">
        <v>36.457</v>
      </c>
      <c r="G3196" s="32" t="n">
        <v>288</v>
      </c>
      <c r="H3196" s="32" t="inlineStr">
        <is>
          <t>bb</t>
        </is>
      </c>
      <c r="I3196" s="32" t="n">
        <v>36.457</v>
      </c>
      <c r="K3196" s="32" t="inlineStr">
        <is>
          <t>20250514-28</t>
        </is>
      </c>
    </row>
    <row r="3197">
      <c r="A3197" s="32" t="n">
        <v>18</v>
      </c>
      <c r="B3197" s="32" t="inlineStr">
        <is>
          <t>K4-1A</t>
        </is>
      </c>
      <c r="K3197" s="32" t="inlineStr">
        <is>
          <t>20250514-29</t>
        </is>
      </c>
    </row>
    <row r="3198">
      <c r="A3198" s="32" t="n">
        <v>19</v>
      </c>
      <c r="B3198" s="32" t="inlineStr">
        <is>
          <t>K4-1B</t>
        </is>
      </c>
      <c r="K3198" s="32" t="inlineStr">
        <is>
          <t>20250514-30</t>
        </is>
      </c>
    </row>
    <row r="3199">
      <c r="A3199" s="32" t="n">
        <v>20</v>
      </c>
      <c r="B3199" s="32" t="inlineStr">
        <is>
          <t>K4-1C</t>
        </is>
      </c>
      <c r="K3199" s="32" t="inlineStr">
        <is>
          <t>20250514-31</t>
        </is>
      </c>
    </row>
    <row r="3200">
      <c r="A3200" s="32" t="n">
        <v>21</v>
      </c>
      <c r="B3200" s="32" t="inlineStr">
        <is>
          <t>K4-2A</t>
        </is>
      </c>
      <c r="D3200" s="32" t="n">
        <v>11.12</v>
      </c>
      <c r="E3200" s="32" t="n">
        <v>2.527</v>
      </c>
      <c r="G3200" s="32" t="n">
        <v>17</v>
      </c>
      <c r="H3200" s="32" t="inlineStr">
        <is>
          <t>bb</t>
        </is>
      </c>
      <c r="I3200" s="32" t="n">
        <v>2.527</v>
      </c>
      <c r="K3200" s="32" t="inlineStr">
        <is>
          <t>20250514-32</t>
        </is>
      </c>
    </row>
    <row r="3201">
      <c r="A3201" s="32" t="n">
        <v>22</v>
      </c>
      <c r="B3201" s="32" t="inlineStr">
        <is>
          <t>K4-2B</t>
        </is>
      </c>
      <c r="D3201" s="32" t="n">
        <v>11.64</v>
      </c>
      <c r="E3201" s="32" t="n">
        <v>0.277</v>
      </c>
      <c r="G3201" s="32" t="n">
        <v>3</v>
      </c>
      <c r="H3201" s="32" t="inlineStr">
        <is>
          <t>MM</t>
        </is>
      </c>
      <c r="I3201" s="32" t="n">
        <v>0.277</v>
      </c>
      <c r="K3201" s="32" t="inlineStr">
        <is>
          <t>20250514-33</t>
        </is>
      </c>
    </row>
    <row r="3202">
      <c r="A3202" s="32" t="n">
        <v>23</v>
      </c>
      <c r="B3202" s="32" t="inlineStr">
        <is>
          <t>K4-2C</t>
        </is>
      </c>
      <c r="D3202" s="32" t="n">
        <v>12.3</v>
      </c>
      <c r="E3202" s="32" t="n">
        <v>15.614</v>
      </c>
      <c r="G3202" s="32" t="n">
        <v>144</v>
      </c>
      <c r="H3202" s="32" t="inlineStr">
        <is>
          <t>MM</t>
        </is>
      </c>
      <c r="I3202" s="32" t="n">
        <v>15.614</v>
      </c>
      <c r="K3202" s="32" t="inlineStr">
        <is>
          <t>20250514-34</t>
        </is>
      </c>
    </row>
    <row r="3203">
      <c r="A3203" s="32" t="n">
        <v>24</v>
      </c>
      <c r="B3203" s="32" t="inlineStr">
        <is>
          <t>MeOH</t>
        </is>
      </c>
      <c r="D3203" s="32" t="n">
        <v>11.67</v>
      </c>
      <c r="E3203" s="32" t="n">
        <v>21.635</v>
      </c>
      <c r="G3203" s="32" t="n">
        <v>171</v>
      </c>
      <c r="H3203" s="32" t="inlineStr">
        <is>
          <t>bb</t>
        </is>
      </c>
      <c r="I3203" s="32" t="n">
        <v>21.635</v>
      </c>
      <c r="K3203" s="32" t="inlineStr">
        <is>
          <t>20250514-35</t>
        </is>
      </c>
    </row>
    <row r="3204">
      <c r="A3204" s="32" t="n">
        <v>25</v>
      </c>
      <c r="B3204" s="32" t="inlineStr">
        <is>
          <t>K4-4A</t>
        </is>
      </c>
      <c r="D3204" s="32" t="n">
        <v>11.75</v>
      </c>
      <c r="E3204" s="32" t="n">
        <v>5.507</v>
      </c>
      <c r="G3204" s="32" t="n">
        <v>3.716</v>
      </c>
      <c r="H3204" s="32" t="inlineStr">
        <is>
          <t>bb</t>
        </is>
      </c>
      <c r="I3204" s="32" t="n">
        <v>5.507</v>
      </c>
      <c r="K3204" s="32" t="inlineStr">
        <is>
          <t>20250514-36</t>
        </is>
      </c>
    </row>
    <row r="3205">
      <c r="A3205" s="32" t="n">
        <v>26</v>
      </c>
      <c r="B3205" s="32" t="inlineStr">
        <is>
          <t>K4-4B</t>
        </is>
      </c>
      <c r="D3205" s="32" t="n">
        <v>12.01</v>
      </c>
      <c r="E3205" s="32" t="n">
        <v>16.84</v>
      </c>
      <c r="G3205" s="32" t="n">
        <v>152</v>
      </c>
      <c r="H3205" s="32" t="inlineStr">
        <is>
          <t>bb</t>
        </is>
      </c>
      <c r="I3205" s="32" t="n">
        <v>16.84</v>
      </c>
      <c r="K3205" s="32" t="inlineStr">
        <is>
          <t>20250514-37</t>
        </is>
      </c>
    </row>
    <row r="3206">
      <c r="A3206" s="32" t="n">
        <v>27</v>
      </c>
      <c r="B3206" s="32" t="inlineStr">
        <is>
          <t>K4-4C</t>
        </is>
      </c>
      <c r="D3206" s="32" t="n">
        <v>12.02</v>
      </c>
      <c r="E3206" s="32" t="n">
        <v>0.316</v>
      </c>
      <c r="G3206" s="32" t="n">
        <v>3</v>
      </c>
      <c r="H3206" s="32" t="inlineStr">
        <is>
          <t>bb</t>
        </is>
      </c>
      <c r="I3206" s="32" t="n">
        <v>0.316</v>
      </c>
      <c r="K3206" s="32" t="inlineStr">
        <is>
          <t>20250514-38</t>
        </is>
      </c>
    </row>
    <row r="3207">
      <c r="A3207" s="32" t="n">
        <v>28</v>
      </c>
      <c r="B3207" s="32" t="inlineStr">
        <is>
          <t>K4-5A</t>
        </is>
      </c>
      <c r="D3207" s="32" t="n">
        <v>11.67</v>
      </c>
      <c r="E3207" s="32" t="n">
        <v>0.652</v>
      </c>
      <c r="G3207" s="32" t="n">
        <v>6</v>
      </c>
      <c r="H3207" s="32" t="inlineStr">
        <is>
          <t>bb</t>
        </is>
      </c>
      <c r="I3207" s="32" t="n">
        <v>0.652</v>
      </c>
      <c r="K3207" s="32" t="inlineStr">
        <is>
          <t>20250514-39</t>
        </is>
      </c>
    </row>
    <row r="3208">
      <c r="A3208" s="32" t="n">
        <v>29</v>
      </c>
      <c r="B3208" s="32" t="inlineStr">
        <is>
          <t>K4-5B</t>
        </is>
      </c>
      <c r="D3208" s="32" t="n">
        <v>12.22</v>
      </c>
      <c r="E3208" s="32" t="n">
        <v>21.819</v>
      </c>
      <c r="G3208" s="32" t="n">
        <v>197</v>
      </c>
      <c r="H3208" s="32" t="inlineStr">
        <is>
          <t>bb</t>
        </is>
      </c>
      <c r="I3208" s="32" t="n">
        <v>21.819</v>
      </c>
      <c r="K3208" s="32" t="inlineStr">
        <is>
          <t>20250514-40</t>
        </is>
      </c>
    </row>
    <row r="3209">
      <c r="A3209" s="32" t="n">
        <v>30</v>
      </c>
      <c r="B3209" s="32" t="inlineStr">
        <is>
          <t>K4-5C</t>
        </is>
      </c>
      <c r="D3209" s="32" t="n">
        <v>11.09</v>
      </c>
      <c r="E3209" s="32" t="n">
        <v>21.181</v>
      </c>
      <c r="G3209" s="32" t="n">
        <v>205</v>
      </c>
      <c r="H3209" s="32" t="inlineStr">
        <is>
          <t>bb</t>
        </is>
      </c>
      <c r="I3209" s="32" t="n">
        <v>21.181</v>
      </c>
      <c r="K3209" s="32" t="inlineStr">
        <is>
          <t>20250514-41</t>
        </is>
      </c>
    </row>
    <row r="3210">
      <c r="A3210" s="32" t="n">
        <v>31</v>
      </c>
      <c r="B3210" s="32" t="inlineStr">
        <is>
          <t>MeOH</t>
        </is>
      </c>
      <c r="H3210" s="32" t="inlineStr">
        <is>
          <t>MM-</t>
        </is>
      </c>
      <c r="K3210" s="32" t="inlineStr">
        <is>
          <t>20250514-42</t>
        </is>
      </c>
    </row>
    <row r="3211">
      <c r="A3211" s="32" t="n">
        <v>32</v>
      </c>
      <c r="B3211" s="32" t="inlineStr">
        <is>
          <t>K3-1A</t>
        </is>
      </c>
      <c r="K3211" s="32" t="inlineStr">
        <is>
          <t>20250514-43</t>
        </is>
      </c>
    </row>
    <row r="3212">
      <c r="A3212" s="32" t="n">
        <v>33</v>
      </c>
      <c r="B3212" s="32" t="inlineStr">
        <is>
          <t>K3-1B</t>
        </is>
      </c>
      <c r="K3212" s="32" t="inlineStr">
        <is>
          <t>20250514-44</t>
        </is>
      </c>
    </row>
    <row r="3213">
      <c r="A3213" s="32" t="n">
        <v>34</v>
      </c>
      <c r="B3213" s="32" t="inlineStr">
        <is>
          <t>K3-1C</t>
        </is>
      </c>
      <c r="D3213" s="32" t="n">
        <v>12.09</v>
      </c>
      <c r="E3213" s="32" t="n">
        <v>35.631</v>
      </c>
      <c r="G3213" s="32" t="n">
        <v>307</v>
      </c>
      <c r="H3213" s="32" t="inlineStr">
        <is>
          <t>bb</t>
        </is>
      </c>
      <c r="I3213" s="32" t="n">
        <v>35.631</v>
      </c>
      <c r="K3213" s="32" t="inlineStr">
        <is>
          <t>20250514-45</t>
        </is>
      </c>
    </row>
    <row r="3214">
      <c r="A3214" s="32" t="n">
        <v>35</v>
      </c>
      <c r="B3214" s="32" t="inlineStr">
        <is>
          <t>K3-2A</t>
        </is>
      </c>
      <c r="K3214" s="32" t="inlineStr">
        <is>
          <t>20250514-46</t>
        </is>
      </c>
    </row>
    <row r="3215">
      <c r="A3215" s="32" t="n">
        <v>36</v>
      </c>
      <c r="B3215" s="32" t="inlineStr">
        <is>
          <t>K3-2B</t>
        </is>
      </c>
      <c r="D3215" s="32" t="n">
        <v>12.1</v>
      </c>
      <c r="E3215" s="32" t="n">
        <v>2.029</v>
      </c>
      <c r="G3215" s="32" t="n">
        <v>18</v>
      </c>
      <c r="H3215" s="32" t="inlineStr">
        <is>
          <t>bb</t>
        </is>
      </c>
      <c r="I3215" s="32" t="n">
        <v>2.029</v>
      </c>
      <c r="K3215" s="32" t="inlineStr">
        <is>
          <t>20250514-47</t>
        </is>
      </c>
    </row>
    <row r="3216">
      <c r="A3216" s="32" t="n">
        <v>37</v>
      </c>
      <c r="B3216" s="32" t="inlineStr">
        <is>
          <t>K3-2C</t>
        </is>
      </c>
      <c r="K3216" s="32" t="inlineStr">
        <is>
          <t>20250514-48</t>
        </is>
      </c>
    </row>
    <row r="3217">
      <c r="A3217" s="32" t="n">
        <v>38</v>
      </c>
      <c r="B3217" s="32" t="inlineStr">
        <is>
          <t>MeOH</t>
        </is>
      </c>
      <c r="D3217" s="32" t="n">
        <v>11.63</v>
      </c>
      <c r="E3217" s="32" t="n">
        <v>41.71</v>
      </c>
      <c r="G3217" s="32" t="n">
        <v>405</v>
      </c>
      <c r="H3217" s="32" t="inlineStr">
        <is>
          <t>bb</t>
        </is>
      </c>
      <c r="I3217" s="32" t="n">
        <v>41.71</v>
      </c>
      <c r="K3217" s="32" t="inlineStr">
        <is>
          <t>20250514-49</t>
        </is>
      </c>
    </row>
    <row r="3218">
      <c r="A3218" s="32" t="n">
        <v>39</v>
      </c>
      <c r="B3218" s="32" t="inlineStr">
        <is>
          <t>K3-3A</t>
        </is>
      </c>
      <c r="D3218" s="32" t="n">
        <v>11.65</v>
      </c>
      <c r="E3218" s="32" t="n">
        <v>44.267</v>
      </c>
      <c r="G3218" s="32" t="n">
        <v>396</v>
      </c>
      <c r="H3218" s="32" t="inlineStr">
        <is>
          <t>bb</t>
        </is>
      </c>
      <c r="I3218" s="32" t="n">
        <v>44.267</v>
      </c>
      <c r="K3218" s="32" t="inlineStr">
        <is>
          <t>20250514-50</t>
        </is>
      </c>
    </row>
    <row r="3219">
      <c r="A3219" s="32" t="n">
        <v>40</v>
      </c>
      <c r="B3219" s="32" t="inlineStr">
        <is>
          <t>K3-3B</t>
        </is>
      </c>
      <c r="K3219" s="32" t="inlineStr">
        <is>
          <t>20250514-51</t>
        </is>
      </c>
    </row>
    <row r="3220">
      <c r="A3220" s="32" t="n">
        <v>41</v>
      </c>
      <c r="B3220" s="32" t="inlineStr">
        <is>
          <t>K3-3C</t>
        </is>
      </c>
      <c r="D3220" s="32" t="n">
        <v>10.81</v>
      </c>
      <c r="E3220" s="32" t="n">
        <v>0.541</v>
      </c>
      <c r="G3220" s="32" t="n">
        <v>6</v>
      </c>
      <c r="H3220" s="32" t="inlineStr">
        <is>
          <t>bb</t>
        </is>
      </c>
      <c r="I3220" s="32" t="n">
        <v>0.541</v>
      </c>
      <c r="K3220" s="32" t="inlineStr">
        <is>
          <t>20250514-52</t>
        </is>
      </c>
    </row>
    <row r="3221">
      <c r="A3221" s="32" t="n">
        <v>42</v>
      </c>
      <c r="B3221" s="32" t="inlineStr">
        <is>
          <t>K3-4A</t>
        </is>
      </c>
      <c r="D3221" s="32" t="n">
        <v>11.61</v>
      </c>
      <c r="E3221" s="32" t="n">
        <v>6.797</v>
      </c>
      <c r="G3221" s="32" t="n">
        <v>67</v>
      </c>
      <c r="H3221" s="32" t="inlineStr">
        <is>
          <t>bb</t>
        </is>
      </c>
      <c r="I3221" s="32" t="n">
        <v>6.797</v>
      </c>
      <c r="K3221" s="32" t="inlineStr">
        <is>
          <t>20250514-53</t>
        </is>
      </c>
    </row>
    <row r="3222">
      <c r="A3222" s="32" t="n">
        <v>43</v>
      </c>
      <c r="B3222" s="32" t="inlineStr">
        <is>
          <t>K3-4B</t>
        </is>
      </c>
      <c r="D3222" s="32" t="n">
        <v>11.41</v>
      </c>
      <c r="E3222" s="32" t="n">
        <v>0.569</v>
      </c>
      <c r="G3222" s="32" t="n">
        <v>6</v>
      </c>
      <c r="H3222" s="32" t="inlineStr">
        <is>
          <t>bb</t>
        </is>
      </c>
      <c r="I3222" s="32" t="n">
        <v>0.569</v>
      </c>
      <c r="K3222" s="32" t="inlineStr">
        <is>
          <t>20250514-54</t>
        </is>
      </c>
    </row>
    <row r="3223">
      <c r="A3223" s="32" t="n">
        <v>44</v>
      </c>
      <c r="B3223" s="32" t="inlineStr">
        <is>
          <t>K3-4C</t>
        </is>
      </c>
      <c r="D3223" s="32" t="n">
        <v>11.94</v>
      </c>
      <c r="E3223" s="32" t="n">
        <v>46.632</v>
      </c>
      <c r="G3223" s="32" t="n">
        <v>2.641</v>
      </c>
      <c r="H3223" s="32" t="inlineStr">
        <is>
          <t>bb</t>
        </is>
      </c>
      <c r="I3223" s="32" t="n">
        <v>46.632</v>
      </c>
      <c r="K3223" s="32" t="inlineStr">
        <is>
          <t>20250514-55</t>
        </is>
      </c>
    </row>
    <row r="3224">
      <c r="A3224" s="32" t="n">
        <v>45</v>
      </c>
      <c r="B3224" s="32" t="inlineStr">
        <is>
          <t>MeOH</t>
        </is>
      </c>
      <c r="H3224" s="32" t="inlineStr">
        <is>
          <t>MM-</t>
        </is>
      </c>
      <c r="K3224" s="32" t="inlineStr">
        <is>
          <t>20250514-56</t>
        </is>
      </c>
    </row>
    <row r="3225">
      <c r="A3225" s="32" t="n">
        <v>46</v>
      </c>
      <c r="B3225" s="32" t="inlineStr">
        <is>
          <t>K3-6A</t>
        </is>
      </c>
      <c r="D3225" s="32" t="n">
        <v>11.91</v>
      </c>
      <c r="E3225" s="32" t="n">
        <v>22.691</v>
      </c>
      <c r="G3225" s="32" t="n">
        <v>206</v>
      </c>
      <c r="H3225" s="32" t="inlineStr">
        <is>
          <t>bb</t>
        </is>
      </c>
      <c r="I3225" s="32" t="n">
        <v>22.691</v>
      </c>
      <c r="K3225" s="32" t="inlineStr">
        <is>
          <t>20250514-57</t>
        </is>
      </c>
    </row>
    <row r="3226">
      <c r="A3226" s="32" t="n">
        <v>47</v>
      </c>
      <c r="B3226" s="32" t="inlineStr">
        <is>
          <t>K3-6B</t>
        </is>
      </c>
      <c r="K3226" s="32" t="inlineStr">
        <is>
          <t>20250514-58</t>
        </is>
      </c>
    </row>
    <row r="3227">
      <c r="A3227" s="32" t="n">
        <v>48</v>
      </c>
      <c r="B3227" s="32" t="inlineStr">
        <is>
          <t>K3-6C</t>
        </is>
      </c>
      <c r="D3227" s="32" t="n">
        <v>10.88</v>
      </c>
      <c r="E3227" s="32" t="n">
        <v>1.486</v>
      </c>
      <c r="G3227" s="32" t="n">
        <v>15</v>
      </c>
      <c r="H3227" s="32" t="inlineStr">
        <is>
          <t>bb</t>
        </is>
      </c>
      <c r="I3227" s="32" t="n">
        <v>1.486</v>
      </c>
      <c r="K3227" s="32" t="inlineStr">
        <is>
          <t>20250514-59</t>
        </is>
      </c>
    </row>
    <row r="3229">
      <c r="A3229" s="32" t="inlineStr">
        <is>
          <t>Compound 63:  NBP1 2</t>
        </is>
      </c>
    </row>
    <row r="3231">
      <c r="B3231" s="32" t="inlineStr">
        <is>
          <t>Sample Text</t>
        </is>
      </c>
      <c r="C3231" s="32" t="inlineStr">
        <is>
          <t>Std. Conc</t>
        </is>
      </c>
      <c r="D3231" s="32" t="inlineStr">
        <is>
          <t>RT</t>
        </is>
      </c>
      <c r="E3231" s="32" t="inlineStr">
        <is>
          <t>Area</t>
        </is>
      </c>
      <c r="F3231" s="32" t="inlineStr">
        <is>
          <t>IS Area</t>
        </is>
      </c>
      <c r="G3231" s="32" t="inlineStr">
        <is>
          <t>S/N</t>
        </is>
      </c>
      <c r="H3231" s="32" t="inlineStr">
        <is>
          <t>Primary Flags</t>
        </is>
      </c>
      <c r="I3231" s="32" t="inlineStr">
        <is>
          <t>Response</t>
        </is>
      </c>
      <c r="J3231" s="32" t="inlineStr">
        <is>
          <t>Conc.</t>
        </is>
      </c>
      <c r="K3231" s="32" t="inlineStr">
        <is>
          <t>Name</t>
        </is>
      </c>
    </row>
    <row r="3232">
      <c r="A3232" s="32" t="n">
        <v>1</v>
      </c>
      <c r="B3232" s="32" t="inlineStr">
        <is>
          <t>EPA1633 &amp; diPAPs Calibration 0 ppb</t>
        </is>
      </c>
      <c r="D3232" s="32" t="n">
        <v>11.52</v>
      </c>
      <c r="E3232" s="32" t="n">
        <v>194.964</v>
      </c>
      <c r="G3232" s="32" t="n">
        <v>1627</v>
      </c>
      <c r="H3232" s="32" t="inlineStr">
        <is>
          <t>bb</t>
        </is>
      </c>
      <c r="I3232" s="32" t="n">
        <v>194.964</v>
      </c>
      <c r="K3232" s="32" t="inlineStr">
        <is>
          <t>20250514-12</t>
        </is>
      </c>
    </row>
    <row r="3233">
      <c r="A3233" s="32" t="n">
        <v>2</v>
      </c>
      <c r="B3233" s="32" t="inlineStr">
        <is>
          <t>EPA1633 &amp; diPAPs Calibration 0.02 ppb</t>
        </is>
      </c>
      <c r="D3233" s="32" t="n">
        <v>11.56</v>
      </c>
      <c r="E3233" s="32" t="n">
        <v>923.289</v>
      </c>
      <c r="G3233" s="32" t="n">
        <v>809.573</v>
      </c>
      <c r="H3233" s="32" t="inlineStr">
        <is>
          <t>bb</t>
        </is>
      </c>
      <c r="I3233" s="32" t="n">
        <v>923.289</v>
      </c>
      <c r="K3233" s="32" t="inlineStr">
        <is>
          <t>20250514-13</t>
        </is>
      </c>
    </row>
    <row r="3234">
      <c r="A3234" s="32" t="n">
        <v>3</v>
      </c>
      <c r="B3234" s="32" t="inlineStr">
        <is>
          <t>EPA1633 &amp; diPAPs Calibration 0.1 ppb</t>
        </is>
      </c>
      <c r="D3234" s="32" t="n">
        <v>11.56</v>
      </c>
      <c r="E3234" s="32" t="n">
        <v>733.72</v>
      </c>
      <c r="G3234" s="32" t="n">
        <v>4586</v>
      </c>
      <c r="H3234" s="32" t="inlineStr">
        <is>
          <t>bb</t>
        </is>
      </c>
      <c r="I3234" s="32" t="n">
        <v>733.72</v>
      </c>
      <c r="K3234" s="32" t="inlineStr">
        <is>
          <t>20250514-14</t>
        </is>
      </c>
    </row>
    <row r="3235">
      <c r="A3235" s="32" t="n">
        <v>4</v>
      </c>
      <c r="B3235" s="32" t="inlineStr">
        <is>
          <t>EPA1633 &amp; diPAPs Calibration 0.4 ppb</t>
        </is>
      </c>
      <c r="D3235" s="32" t="n">
        <v>11.56</v>
      </c>
      <c r="E3235" s="32" t="n">
        <v>3804.713</v>
      </c>
      <c r="G3235" s="32" t="n">
        <v>34.609</v>
      </c>
      <c r="H3235" s="32" t="inlineStr">
        <is>
          <t>bb</t>
        </is>
      </c>
      <c r="I3235" s="32" t="n">
        <v>3804.713</v>
      </c>
      <c r="K3235" s="32" t="inlineStr">
        <is>
          <t>20250514-15</t>
        </is>
      </c>
    </row>
    <row r="3236">
      <c r="A3236" s="32" t="n">
        <v>5</v>
      </c>
      <c r="B3236" s="32" t="inlineStr">
        <is>
          <t>EPA1633 &amp; diPAPs Calibration 1 ppb</t>
        </is>
      </c>
      <c r="D3236" s="32" t="n">
        <v>11.57</v>
      </c>
      <c r="E3236" s="32" t="n">
        <v>6137.07</v>
      </c>
      <c r="G3236" s="32" t="n">
        <v>1302.585</v>
      </c>
      <c r="H3236" s="32" t="inlineStr">
        <is>
          <t>bb</t>
        </is>
      </c>
      <c r="I3236" s="32" t="n">
        <v>6137.07</v>
      </c>
      <c r="K3236" s="32" t="inlineStr">
        <is>
          <t>20250514-16</t>
        </is>
      </c>
    </row>
    <row r="3237">
      <c r="A3237" s="32" t="n">
        <v>6</v>
      </c>
      <c r="B3237" s="32" t="inlineStr">
        <is>
          <t>EPA1633 &amp; diPAPs Calibration 5 ppb</t>
        </is>
      </c>
      <c r="D3237" s="32" t="n">
        <v>11.46</v>
      </c>
      <c r="E3237" s="32" t="n">
        <v>26769.188</v>
      </c>
      <c r="G3237" s="32" t="n">
        <v>200802</v>
      </c>
      <c r="H3237" s="32" t="inlineStr">
        <is>
          <t>bb</t>
        </is>
      </c>
      <c r="I3237" s="32" t="n">
        <v>26769.188</v>
      </c>
      <c r="K3237" s="32" t="inlineStr">
        <is>
          <t>20250514-17</t>
        </is>
      </c>
    </row>
    <row r="3238">
      <c r="A3238" s="32" t="n">
        <v>7</v>
      </c>
      <c r="B3238" s="32" t="inlineStr">
        <is>
          <t>EPA1633 &amp; diPAPs Calibration 10 ppb</t>
        </is>
      </c>
      <c r="D3238" s="32" t="n">
        <v>11.49</v>
      </c>
      <c r="E3238" s="32" t="n">
        <v>48568.988</v>
      </c>
      <c r="G3238" s="32" t="n">
        <v>1938.638</v>
      </c>
      <c r="H3238" s="32" t="inlineStr">
        <is>
          <t>bb</t>
        </is>
      </c>
      <c r="I3238" s="32" t="n">
        <v>48568.988</v>
      </c>
      <c r="K3238" s="32" t="inlineStr">
        <is>
          <t>20250514-18</t>
        </is>
      </c>
    </row>
    <row r="3239">
      <c r="A3239" s="32" t="n">
        <v>8</v>
      </c>
      <c r="B3239" s="32" t="inlineStr">
        <is>
          <t>EPA1633 &amp; diPAPs Calibration 20 ppb</t>
        </is>
      </c>
      <c r="D3239" s="32" t="n">
        <v>11.53</v>
      </c>
      <c r="E3239" s="32" t="n">
        <v>98993.898</v>
      </c>
      <c r="G3239" s="32" t="n">
        <v>3633.145</v>
      </c>
      <c r="H3239" s="32" t="inlineStr">
        <is>
          <t>bb</t>
        </is>
      </c>
      <c r="I3239" s="32" t="n">
        <v>98993.898</v>
      </c>
      <c r="K3239" s="32" t="inlineStr">
        <is>
          <t>20250514-19</t>
        </is>
      </c>
    </row>
    <row r="3240">
      <c r="A3240" s="32" t="n">
        <v>9</v>
      </c>
      <c r="B3240" s="32" t="inlineStr">
        <is>
          <t>MeOH</t>
        </is>
      </c>
      <c r="D3240" s="32" t="n">
        <v>11.55</v>
      </c>
      <c r="E3240" s="32" t="n">
        <v>69.694</v>
      </c>
      <c r="G3240" s="32" t="n">
        <v>8.555999999999999</v>
      </c>
      <c r="H3240" s="32" t="inlineStr">
        <is>
          <t>bb</t>
        </is>
      </c>
      <c r="I3240" s="32" t="n">
        <v>69.694</v>
      </c>
      <c r="K3240" s="32" t="inlineStr">
        <is>
          <t>20250514-20</t>
        </is>
      </c>
    </row>
    <row r="3241">
      <c r="A3241" s="32" t="n">
        <v>10</v>
      </c>
      <c r="B3241" s="32" t="inlineStr">
        <is>
          <t>MeOH</t>
        </is>
      </c>
      <c r="D3241" s="32" t="n">
        <v>11.56</v>
      </c>
      <c r="E3241" s="32" t="n">
        <v>235.791</v>
      </c>
      <c r="G3241" s="32" t="n">
        <v>7.641</v>
      </c>
      <c r="H3241" s="32" t="inlineStr">
        <is>
          <t>bb</t>
        </is>
      </c>
      <c r="I3241" s="32" t="n">
        <v>235.791</v>
      </c>
      <c r="K3241" s="32" t="inlineStr">
        <is>
          <t>20250514-21</t>
        </is>
      </c>
    </row>
    <row r="3242">
      <c r="A3242" s="32" t="n">
        <v>11</v>
      </c>
      <c r="B3242" s="32" t="inlineStr">
        <is>
          <t>SB1</t>
        </is>
      </c>
      <c r="D3242" s="32" t="n">
        <v>11.56</v>
      </c>
      <c r="E3242" s="32" t="n">
        <v>78.72799999999999</v>
      </c>
      <c r="G3242" s="32" t="n">
        <v>657</v>
      </c>
      <c r="H3242" s="32" t="inlineStr">
        <is>
          <t>bb</t>
        </is>
      </c>
      <c r="I3242" s="32" t="n">
        <v>78.72799999999999</v>
      </c>
      <c r="K3242" s="32" t="inlineStr">
        <is>
          <t>20250514-22</t>
        </is>
      </c>
    </row>
    <row r="3243">
      <c r="A3243" s="32" t="n">
        <v>12</v>
      </c>
      <c r="B3243" s="32" t="inlineStr">
        <is>
          <t>SB2</t>
        </is>
      </c>
      <c r="D3243" s="32" t="n">
        <v>11.61</v>
      </c>
      <c r="E3243" s="32" t="n">
        <v>6.774</v>
      </c>
      <c r="G3243" s="32" t="n">
        <v>41</v>
      </c>
      <c r="H3243" s="32" t="inlineStr">
        <is>
          <t>bb</t>
        </is>
      </c>
      <c r="I3243" s="32" t="n">
        <v>6.774</v>
      </c>
      <c r="K3243" s="32" t="inlineStr">
        <is>
          <t>20250514-23</t>
        </is>
      </c>
    </row>
    <row r="3244">
      <c r="A3244" s="32" t="n">
        <v>13</v>
      </c>
      <c r="B3244" s="32" t="inlineStr">
        <is>
          <t>SB3</t>
        </is>
      </c>
      <c r="D3244" s="32" t="n">
        <v>11.57</v>
      </c>
      <c r="E3244" s="32" t="n">
        <v>19.033</v>
      </c>
      <c r="G3244" s="32" t="n">
        <v>166</v>
      </c>
      <c r="H3244" s="32" t="inlineStr">
        <is>
          <t>bb</t>
        </is>
      </c>
      <c r="I3244" s="32" t="n">
        <v>19.033</v>
      </c>
      <c r="K3244" s="32" t="inlineStr">
        <is>
          <t>20250514-24</t>
        </is>
      </c>
    </row>
    <row r="3245">
      <c r="A3245" s="32" t="n">
        <v>14</v>
      </c>
      <c r="B3245" s="32" t="inlineStr">
        <is>
          <t>SS1</t>
        </is>
      </c>
      <c r="D3245" s="32" t="n">
        <v>11.6</v>
      </c>
      <c r="E3245" s="32" t="n">
        <v>19556.543</v>
      </c>
      <c r="G3245" s="32" t="n">
        <v>1272.246</v>
      </c>
      <c r="H3245" s="32" t="inlineStr">
        <is>
          <t>bb</t>
        </is>
      </c>
      <c r="I3245" s="32" t="n">
        <v>19556.543</v>
      </c>
      <c r="K3245" s="32" t="inlineStr">
        <is>
          <t>20250514-25</t>
        </is>
      </c>
    </row>
    <row r="3246">
      <c r="A3246" s="32" t="n">
        <v>15</v>
      </c>
      <c r="B3246" s="32" t="inlineStr">
        <is>
          <t>SS2</t>
        </is>
      </c>
      <c r="D3246" s="32" t="n">
        <v>11.61</v>
      </c>
      <c r="E3246" s="32" t="n">
        <v>20232.305</v>
      </c>
      <c r="G3246" s="32" t="n">
        <v>9720.161</v>
      </c>
      <c r="H3246" s="32" t="inlineStr">
        <is>
          <t>bb</t>
        </is>
      </c>
      <c r="I3246" s="32" t="n">
        <v>20232.305</v>
      </c>
      <c r="K3246" s="32" t="inlineStr">
        <is>
          <t>20250514-26</t>
        </is>
      </c>
    </row>
    <row r="3247">
      <c r="A3247" s="32" t="n">
        <v>16</v>
      </c>
      <c r="B3247" s="32" t="inlineStr">
        <is>
          <t>SS3</t>
        </is>
      </c>
      <c r="D3247" s="32" t="n">
        <v>11.63</v>
      </c>
      <c r="E3247" s="32" t="n">
        <v>18778.289</v>
      </c>
      <c r="G3247" s="32" t="n">
        <v>138846</v>
      </c>
      <c r="H3247" s="32" t="inlineStr">
        <is>
          <t>bb</t>
        </is>
      </c>
      <c r="I3247" s="32" t="n">
        <v>18778.289</v>
      </c>
      <c r="K3247" s="32" t="inlineStr">
        <is>
          <t>20250514-27</t>
        </is>
      </c>
    </row>
    <row r="3248">
      <c r="A3248" s="32" t="n">
        <v>17</v>
      </c>
      <c r="B3248" s="32" t="inlineStr">
        <is>
          <t>MeOH</t>
        </is>
      </c>
      <c r="D3248" s="32" t="n">
        <v>11.6</v>
      </c>
      <c r="E3248" s="32" t="n">
        <v>84.167</v>
      </c>
      <c r="G3248" s="32" t="n">
        <v>4.6</v>
      </c>
      <c r="H3248" s="32" t="inlineStr">
        <is>
          <t>bb</t>
        </is>
      </c>
      <c r="I3248" s="32" t="n">
        <v>84.167</v>
      </c>
      <c r="K3248" s="32" t="inlineStr">
        <is>
          <t>20250514-28</t>
        </is>
      </c>
    </row>
    <row r="3249">
      <c r="A3249" s="32" t="n">
        <v>18</v>
      </c>
      <c r="B3249" s="32" t="inlineStr">
        <is>
          <t>K4-1A</t>
        </is>
      </c>
      <c r="D3249" s="32" t="n">
        <v>11.6</v>
      </c>
      <c r="E3249" s="32" t="n">
        <v>16.342</v>
      </c>
      <c r="G3249" s="32" t="n">
        <v>84.66500000000001</v>
      </c>
      <c r="H3249" s="32" t="inlineStr">
        <is>
          <t>bb</t>
        </is>
      </c>
      <c r="I3249" s="32" t="n">
        <v>16.342</v>
      </c>
      <c r="K3249" s="32" t="inlineStr">
        <is>
          <t>20250514-29</t>
        </is>
      </c>
    </row>
    <row r="3250">
      <c r="A3250" s="32" t="n">
        <v>19</v>
      </c>
      <c r="B3250" s="32" t="inlineStr">
        <is>
          <t>K4-1B</t>
        </is>
      </c>
      <c r="K3250" s="32" t="inlineStr">
        <is>
          <t>20250514-30</t>
        </is>
      </c>
    </row>
    <row r="3251">
      <c r="A3251" s="32" t="n">
        <v>20</v>
      </c>
      <c r="B3251" s="32" t="inlineStr">
        <is>
          <t>K4-1C</t>
        </is>
      </c>
      <c r="K3251" s="32" t="inlineStr">
        <is>
          <t>20250514-31</t>
        </is>
      </c>
    </row>
    <row r="3252">
      <c r="A3252" s="32" t="n">
        <v>21</v>
      </c>
      <c r="B3252" s="32" t="inlineStr">
        <is>
          <t>K4-2A</t>
        </is>
      </c>
      <c r="K3252" s="32" t="inlineStr">
        <is>
          <t>20250514-32</t>
        </is>
      </c>
    </row>
    <row r="3253">
      <c r="A3253" s="32" t="n">
        <v>22</v>
      </c>
      <c r="B3253" s="32" t="inlineStr">
        <is>
          <t>K4-2B</t>
        </is>
      </c>
      <c r="K3253" s="32" t="inlineStr">
        <is>
          <t>20250514-33</t>
        </is>
      </c>
    </row>
    <row r="3254">
      <c r="A3254" s="32" t="n">
        <v>23</v>
      </c>
      <c r="B3254" s="32" t="inlineStr">
        <is>
          <t>K4-2C</t>
        </is>
      </c>
      <c r="K3254" s="32" t="inlineStr">
        <is>
          <t>20250514-34</t>
        </is>
      </c>
    </row>
    <row r="3255">
      <c r="A3255" s="32" t="n">
        <v>24</v>
      </c>
      <c r="B3255" s="32" t="inlineStr">
        <is>
          <t>MeOH</t>
        </is>
      </c>
      <c r="D3255" s="32" t="n">
        <v>11.65</v>
      </c>
      <c r="E3255" s="32" t="n">
        <v>45.267</v>
      </c>
      <c r="G3255" s="32" t="n">
        <v>376</v>
      </c>
      <c r="H3255" s="32" t="inlineStr">
        <is>
          <t>bb</t>
        </is>
      </c>
      <c r="I3255" s="32" t="n">
        <v>45.267</v>
      </c>
      <c r="K3255" s="32" t="inlineStr">
        <is>
          <t>20250514-35</t>
        </is>
      </c>
    </row>
    <row r="3256">
      <c r="A3256" s="32" t="n">
        <v>25</v>
      </c>
      <c r="B3256" s="32" t="inlineStr">
        <is>
          <t>K4-4A</t>
        </is>
      </c>
      <c r="K3256" s="32" t="inlineStr">
        <is>
          <t>20250514-36</t>
        </is>
      </c>
    </row>
    <row r="3257">
      <c r="A3257" s="32" t="n">
        <v>26</v>
      </c>
      <c r="B3257" s="32" t="inlineStr">
        <is>
          <t>K4-4B</t>
        </is>
      </c>
      <c r="D3257" s="32" t="n">
        <v>11.65</v>
      </c>
      <c r="E3257" s="32" t="n">
        <v>2.621</v>
      </c>
      <c r="G3257" s="32" t="n">
        <v>26</v>
      </c>
      <c r="H3257" s="32" t="inlineStr">
        <is>
          <t>bb</t>
        </is>
      </c>
      <c r="I3257" s="32" t="n">
        <v>2.621</v>
      </c>
      <c r="K3257" s="32" t="inlineStr">
        <is>
          <t>20250514-37</t>
        </is>
      </c>
    </row>
    <row r="3258">
      <c r="A3258" s="32" t="n">
        <v>27</v>
      </c>
      <c r="B3258" s="32" t="inlineStr">
        <is>
          <t>K4-4C</t>
        </is>
      </c>
      <c r="K3258" s="32" t="inlineStr">
        <is>
          <t>20250514-38</t>
        </is>
      </c>
    </row>
    <row r="3259">
      <c r="A3259" s="32" t="n">
        <v>28</v>
      </c>
      <c r="B3259" s="32" t="inlineStr">
        <is>
          <t>K4-5A</t>
        </is>
      </c>
      <c r="K3259" s="32" t="inlineStr">
        <is>
          <t>20250514-39</t>
        </is>
      </c>
    </row>
    <row r="3260">
      <c r="A3260" s="32" t="n">
        <v>29</v>
      </c>
      <c r="B3260" s="32" t="inlineStr">
        <is>
          <t>K4-5B</t>
        </is>
      </c>
      <c r="K3260" s="32" t="inlineStr">
        <is>
          <t>20250514-40</t>
        </is>
      </c>
    </row>
    <row r="3261">
      <c r="A3261" s="32" t="n">
        <v>30</v>
      </c>
      <c r="B3261" s="32" t="inlineStr">
        <is>
          <t>K4-5C</t>
        </is>
      </c>
      <c r="K3261" s="32" t="inlineStr">
        <is>
          <t>20250514-41</t>
        </is>
      </c>
    </row>
    <row r="3262">
      <c r="A3262" s="32" t="n">
        <v>31</v>
      </c>
      <c r="B3262" s="32" t="inlineStr">
        <is>
          <t>MeOH</t>
        </is>
      </c>
      <c r="D3262" s="32" t="n">
        <v>11.56</v>
      </c>
      <c r="E3262" s="32" t="n">
        <v>77.81999999999999</v>
      </c>
      <c r="G3262" s="32" t="n">
        <v>4.766</v>
      </c>
      <c r="H3262" s="32" t="inlineStr">
        <is>
          <t>bb</t>
        </is>
      </c>
      <c r="I3262" s="32" t="n">
        <v>77.81999999999999</v>
      </c>
      <c r="K3262" s="32" t="inlineStr">
        <is>
          <t>20250514-42</t>
        </is>
      </c>
    </row>
    <row r="3263">
      <c r="A3263" s="32" t="n">
        <v>32</v>
      </c>
      <c r="B3263" s="32" t="inlineStr">
        <is>
          <t>K3-1A</t>
        </is>
      </c>
      <c r="K3263" s="32" t="inlineStr">
        <is>
          <t>20250514-43</t>
        </is>
      </c>
    </row>
    <row r="3264">
      <c r="A3264" s="32" t="n">
        <v>33</v>
      </c>
      <c r="B3264" s="32" t="inlineStr">
        <is>
          <t>K3-1B</t>
        </is>
      </c>
      <c r="D3264" s="32" t="n">
        <v>11.48</v>
      </c>
      <c r="E3264" s="32" t="n">
        <v>10.814</v>
      </c>
      <c r="G3264" s="32" t="n">
        <v>5.555</v>
      </c>
      <c r="H3264" s="32" t="inlineStr">
        <is>
          <t>bb</t>
        </is>
      </c>
      <c r="I3264" s="32" t="n">
        <v>10.814</v>
      </c>
      <c r="K3264" s="32" t="inlineStr">
        <is>
          <t>20250514-44</t>
        </is>
      </c>
    </row>
    <row r="3265">
      <c r="A3265" s="32" t="n">
        <v>34</v>
      </c>
      <c r="B3265" s="32" t="inlineStr">
        <is>
          <t>K3-1C</t>
        </is>
      </c>
      <c r="K3265" s="32" t="inlineStr">
        <is>
          <t>20250514-45</t>
        </is>
      </c>
    </row>
    <row r="3266">
      <c r="A3266" s="32" t="n">
        <v>35</v>
      </c>
      <c r="B3266" s="32" t="inlineStr">
        <is>
          <t>K3-2A</t>
        </is>
      </c>
      <c r="D3266" s="32" t="n">
        <v>11.56</v>
      </c>
      <c r="E3266" s="32" t="n">
        <v>21.721</v>
      </c>
      <c r="G3266" s="32" t="n">
        <v>215</v>
      </c>
      <c r="H3266" s="32" t="inlineStr">
        <is>
          <t>bb</t>
        </is>
      </c>
      <c r="I3266" s="32" t="n">
        <v>21.721</v>
      </c>
      <c r="K3266" s="32" t="inlineStr">
        <is>
          <t>20250514-46</t>
        </is>
      </c>
    </row>
    <row r="3267">
      <c r="A3267" s="32" t="n">
        <v>36</v>
      </c>
      <c r="B3267" s="32" t="inlineStr">
        <is>
          <t>K3-2B</t>
        </is>
      </c>
      <c r="D3267" s="32" t="n">
        <v>11.56</v>
      </c>
      <c r="E3267" s="32" t="n">
        <v>7.648</v>
      </c>
      <c r="G3267" s="32" t="n">
        <v>78</v>
      </c>
      <c r="H3267" s="32" t="inlineStr">
        <is>
          <t>bb</t>
        </is>
      </c>
      <c r="I3267" s="32" t="n">
        <v>7.648</v>
      </c>
      <c r="K3267" s="32" t="inlineStr">
        <is>
          <t>20250514-47</t>
        </is>
      </c>
    </row>
    <row r="3268">
      <c r="A3268" s="32" t="n">
        <v>37</v>
      </c>
      <c r="B3268" s="32" t="inlineStr">
        <is>
          <t>K3-2C</t>
        </is>
      </c>
      <c r="K3268" s="32" t="inlineStr">
        <is>
          <t>20250514-48</t>
        </is>
      </c>
    </row>
    <row r="3269">
      <c r="A3269" s="32" t="n">
        <v>38</v>
      </c>
      <c r="B3269" s="32" t="inlineStr">
        <is>
          <t>MeOH</t>
        </is>
      </c>
      <c r="D3269" s="32" t="n">
        <v>11.61</v>
      </c>
      <c r="E3269" s="32" t="n">
        <v>8.051</v>
      </c>
      <c r="G3269" s="32" t="n">
        <v>78</v>
      </c>
      <c r="H3269" s="32" t="inlineStr">
        <is>
          <t>bb</t>
        </is>
      </c>
      <c r="I3269" s="32" t="n">
        <v>8.051</v>
      </c>
      <c r="K3269" s="32" t="inlineStr">
        <is>
          <t>20250514-49</t>
        </is>
      </c>
    </row>
    <row r="3270">
      <c r="A3270" s="32" t="n">
        <v>39</v>
      </c>
      <c r="B3270" s="32" t="inlineStr">
        <is>
          <t>K3-3A</t>
        </is>
      </c>
      <c r="K3270" s="32" t="inlineStr">
        <is>
          <t>20250514-50</t>
        </is>
      </c>
    </row>
    <row r="3271">
      <c r="A3271" s="32" t="n">
        <v>40</v>
      </c>
      <c r="B3271" s="32" t="inlineStr">
        <is>
          <t>K3-3B</t>
        </is>
      </c>
      <c r="K3271" s="32" t="inlineStr">
        <is>
          <t>20250514-51</t>
        </is>
      </c>
    </row>
    <row r="3272">
      <c r="A3272" s="32" t="n">
        <v>41</v>
      </c>
      <c r="B3272" s="32" t="inlineStr">
        <is>
          <t>K3-3C</t>
        </is>
      </c>
      <c r="K3272" s="32" t="inlineStr">
        <is>
          <t>20250514-52</t>
        </is>
      </c>
    </row>
    <row r="3273">
      <c r="A3273" s="32" t="n">
        <v>42</v>
      </c>
      <c r="B3273" s="32" t="inlineStr">
        <is>
          <t>K3-4A</t>
        </is>
      </c>
      <c r="D3273" s="32" t="n">
        <v>11.65</v>
      </c>
      <c r="E3273" s="32" t="n">
        <v>23.723</v>
      </c>
      <c r="G3273" s="32" t="n">
        <v>229</v>
      </c>
      <c r="H3273" s="32" t="inlineStr">
        <is>
          <t>bb</t>
        </is>
      </c>
      <c r="I3273" s="32" t="n">
        <v>23.723</v>
      </c>
      <c r="K3273" s="32" t="inlineStr">
        <is>
          <t>20250514-53</t>
        </is>
      </c>
    </row>
    <row r="3274">
      <c r="A3274" s="32" t="n">
        <v>43</v>
      </c>
      <c r="B3274" s="32" t="inlineStr">
        <is>
          <t>K3-4B</t>
        </is>
      </c>
      <c r="K3274" s="32" t="inlineStr">
        <is>
          <t>20250514-54</t>
        </is>
      </c>
    </row>
    <row r="3275">
      <c r="A3275" s="32" t="n">
        <v>44</v>
      </c>
      <c r="B3275" s="32" t="inlineStr">
        <is>
          <t>K3-4C</t>
        </is>
      </c>
      <c r="K3275" s="32" t="inlineStr">
        <is>
          <t>20250514-55</t>
        </is>
      </c>
    </row>
    <row r="3276">
      <c r="A3276" s="32" t="n">
        <v>45</v>
      </c>
      <c r="B3276" s="32" t="inlineStr">
        <is>
          <t>MeOH</t>
        </is>
      </c>
      <c r="D3276" s="32" t="n">
        <v>11.74</v>
      </c>
      <c r="E3276" s="32" t="n">
        <v>215.829</v>
      </c>
      <c r="G3276" s="32" t="n">
        <v>7.123</v>
      </c>
      <c r="H3276" s="32" t="inlineStr">
        <is>
          <t>bb</t>
        </is>
      </c>
      <c r="I3276" s="32" t="n">
        <v>215.829</v>
      </c>
      <c r="K3276" s="32" t="inlineStr">
        <is>
          <t>20250514-56</t>
        </is>
      </c>
    </row>
    <row r="3277">
      <c r="A3277" s="32" t="n">
        <v>46</v>
      </c>
      <c r="B3277" s="32" t="inlineStr">
        <is>
          <t>K3-6A</t>
        </is>
      </c>
      <c r="D3277" s="32" t="n">
        <v>11.72</v>
      </c>
      <c r="E3277" s="32" t="n">
        <v>28.019</v>
      </c>
      <c r="G3277" s="32" t="n">
        <v>4.377</v>
      </c>
      <c r="H3277" s="32" t="inlineStr">
        <is>
          <t>bb</t>
        </is>
      </c>
      <c r="I3277" s="32" t="n">
        <v>28.019</v>
      </c>
      <c r="K3277" s="32" t="inlineStr">
        <is>
          <t>20250514-57</t>
        </is>
      </c>
    </row>
    <row r="3278">
      <c r="A3278" s="32" t="n">
        <v>47</v>
      </c>
      <c r="B3278" s="32" t="inlineStr">
        <is>
          <t>K3-6B</t>
        </is>
      </c>
      <c r="K3278" s="32" t="inlineStr">
        <is>
          <t>20250514-58</t>
        </is>
      </c>
    </row>
    <row r="3279">
      <c r="A3279" s="32" t="n">
        <v>48</v>
      </c>
      <c r="B3279" s="32" t="inlineStr">
        <is>
          <t>K3-6C</t>
        </is>
      </c>
      <c r="D3279" s="32" t="n">
        <v>11.4</v>
      </c>
      <c r="E3279" s="32" t="n">
        <v>1.082</v>
      </c>
      <c r="G3279" s="32" t="n">
        <v>9</v>
      </c>
      <c r="H3279" s="32" t="inlineStr">
        <is>
          <t>bb</t>
        </is>
      </c>
      <c r="I3279" s="32" t="n">
        <v>1.082</v>
      </c>
      <c r="K3279" s="32" t="inlineStr">
        <is>
          <t>20250514-59</t>
        </is>
      </c>
    </row>
    <row r="3281">
      <c r="A3281" s="32" t="inlineStr">
        <is>
          <t>Compound 64:  PFHpS 1</t>
        </is>
      </c>
    </row>
    <row r="3283">
      <c r="B3283" s="32" t="inlineStr">
        <is>
          <t>Sample Text</t>
        </is>
      </c>
      <c r="C3283" s="32" t="inlineStr">
        <is>
          <t>Std. Conc</t>
        </is>
      </c>
      <c r="D3283" s="32" t="inlineStr">
        <is>
          <t>RT</t>
        </is>
      </c>
      <c r="E3283" s="32" t="inlineStr">
        <is>
          <t>Area</t>
        </is>
      </c>
      <c r="F3283" s="32" t="inlineStr">
        <is>
          <t>IS Area</t>
        </is>
      </c>
      <c r="G3283" s="32" t="inlineStr">
        <is>
          <t>S/N</t>
        </is>
      </c>
      <c r="H3283" s="32" t="inlineStr">
        <is>
          <t>Primary Flags</t>
        </is>
      </c>
      <c r="I3283" s="32" t="inlineStr">
        <is>
          <t>Response</t>
        </is>
      </c>
      <c r="J3283" s="32" t="inlineStr">
        <is>
          <t>Conc.</t>
        </is>
      </c>
      <c r="K3283" s="32" t="inlineStr">
        <is>
          <t>Name</t>
        </is>
      </c>
    </row>
    <row r="3284">
      <c r="A3284" s="32" t="n">
        <v>1</v>
      </c>
      <c r="B3284" s="32" t="inlineStr">
        <is>
          <t>EPA1633 &amp; diPAPs Calibration 0 ppb</t>
        </is>
      </c>
      <c r="F3284" s="32" t="n">
        <v>16637.717</v>
      </c>
      <c r="K3284" s="32" t="inlineStr">
        <is>
          <t>20250514-12</t>
        </is>
      </c>
    </row>
    <row r="3285">
      <c r="A3285" s="32" t="n">
        <v>2</v>
      </c>
      <c r="B3285" s="32" t="inlineStr">
        <is>
          <t>EPA1633 &amp; diPAPs Calibration 0.02 ppb</t>
        </is>
      </c>
      <c r="D3285" s="32" t="n">
        <v>11.97</v>
      </c>
      <c r="E3285" s="32" t="n">
        <v>19.077</v>
      </c>
      <c r="F3285" s="32" t="n">
        <v>14442.151</v>
      </c>
      <c r="G3285" s="32" t="n">
        <v>175</v>
      </c>
      <c r="H3285" s="32" t="inlineStr">
        <is>
          <t>bb</t>
        </is>
      </c>
      <c r="K3285" s="32" t="inlineStr">
        <is>
          <t>20250514-13</t>
        </is>
      </c>
    </row>
    <row r="3286">
      <c r="A3286" s="32" t="n">
        <v>3</v>
      </c>
      <c r="B3286" s="32" t="inlineStr">
        <is>
          <t>EPA1633 &amp; diPAPs Calibration 0.1 ppb</t>
        </is>
      </c>
      <c r="D3286" s="32" t="n">
        <v>11.98</v>
      </c>
      <c r="E3286" s="32" t="n">
        <v>22.566</v>
      </c>
      <c r="F3286" s="32" t="n">
        <v>14939.226</v>
      </c>
      <c r="G3286" s="32" t="n">
        <v>206</v>
      </c>
      <c r="H3286" s="32" t="inlineStr">
        <is>
          <t>bb</t>
        </is>
      </c>
      <c r="K3286" s="32" t="inlineStr">
        <is>
          <t>20250514-14</t>
        </is>
      </c>
    </row>
    <row r="3287">
      <c r="A3287" s="32" t="n">
        <v>4</v>
      </c>
      <c r="B3287" s="32" t="inlineStr">
        <is>
          <t>EPA1633 &amp; diPAPs Calibration 0.4 ppb</t>
        </is>
      </c>
      <c r="D3287" s="32" t="n">
        <v>12.01</v>
      </c>
      <c r="E3287" s="32" t="n">
        <v>97.345</v>
      </c>
      <c r="F3287" s="32" t="n">
        <v>14017.551</v>
      </c>
      <c r="G3287" s="32" t="n">
        <v>755</v>
      </c>
      <c r="H3287" s="32" t="inlineStr">
        <is>
          <t>bb</t>
        </is>
      </c>
      <c r="K3287" s="32" t="inlineStr">
        <is>
          <t>20250514-15</t>
        </is>
      </c>
    </row>
    <row r="3288">
      <c r="A3288" s="32" t="n">
        <v>5</v>
      </c>
      <c r="B3288" s="32" t="inlineStr">
        <is>
          <t>EPA1633 &amp; diPAPs Calibration 1 ppb</t>
        </is>
      </c>
      <c r="D3288" s="32" t="n">
        <v>12.04</v>
      </c>
      <c r="E3288" s="32" t="n">
        <v>201.055</v>
      </c>
      <c r="F3288" s="32" t="n">
        <v>15819.927</v>
      </c>
      <c r="G3288" s="32" t="n">
        <v>11.556</v>
      </c>
      <c r="H3288" s="32" t="inlineStr">
        <is>
          <t>MM</t>
        </is>
      </c>
      <c r="K3288" s="32" t="inlineStr">
        <is>
          <t>20250514-16</t>
        </is>
      </c>
    </row>
    <row r="3289">
      <c r="A3289" s="32" t="n">
        <v>6</v>
      </c>
      <c r="B3289" s="32" t="inlineStr">
        <is>
          <t>EPA1633 &amp; diPAPs Calibration 5 ppb</t>
        </is>
      </c>
      <c r="D3289" s="32" t="n">
        <v>11.91</v>
      </c>
      <c r="E3289" s="32" t="n">
        <v>1344.277</v>
      </c>
      <c r="F3289" s="32" t="n">
        <v>14259.822</v>
      </c>
      <c r="G3289" s="32" t="n">
        <v>43.997</v>
      </c>
      <c r="H3289" s="32" t="inlineStr">
        <is>
          <t>bb</t>
        </is>
      </c>
      <c r="K3289" s="32" t="inlineStr">
        <is>
          <t>20250514-17</t>
        </is>
      </c>
    </row>
    <row r="3290">
      <c r="A3290" s="32" t="n">
        <v>7</v>
      </c>
      <c r="B3290" s="32" t="inlineStr">
        <is>
          <t>EPA1633 &amp; diPAPs Calibration 10 ppb</t>
        </is>
      </c>
      <c r="D3290" s="32" t="n">
        <v>11.94</v>
      </c>
      <c r="E3290" s="32" t="n">
        <v>2955.396</v>
      </c>
      <c r="F3290" s="32" t="n">
        <v>11049.457</v>
      </c>
      <c r="G3290" s="32" t="n">
        <v>21932</v>
      </c>
      <c r="H3290" s="32" t="inlineStr">
        <is>
          <t>bb</t>
        </is>
      </c>
      <c r="K3290" s="32" t="inlineStr">
        <is>
          <t>20250514-18</t>
        </is>
      </c>
    </row>
    <row r="3291">
      <c r="A3291" s="32" t="n">
        <v>8</v>
      </c>
      <c r="B3291" s="32" t="inlineStr">
        <is>
          <t>EPA1633 &amp; diPAPs Calibration 20 ppb</t>
        </is>
      </c>
      <c r="D3291" s="32" t="n">
        <v>11.97</v>
      </c>
      <c r="E3291" s="32" t="n">
        <v>4788.935</v>
      </c>
      <c r="F3291" s="32" t="n">
        <v>12460.612</v>
      </c>
      <c r="G3291" s="32" t="n">
        <v>34766</v>
      </c>
      <c r="H3291" s="32" t="inlineStr">
        <is>
          <t>bb</t>
        </is>
      </c>
      <c r="K3291" s="32" t="inlineStr">
        <is>
          <t>20250514-19</t>
        </is>
      </c>
    </row>
    <row r="3292">
      <c r="A3292" s="32" t="n">
        <v>9</v>
      </c>
      <c r="B3292" s="32" t="inlineStr">
        <is>
          <t>MeOH</t>
        </is>
      </c>
      <c r="F3292" s="32" t="n">
        <v>4.973</v>
      </c>
      <c r="K3292" s="32" t="inlineStr">
        <is>
          <t>20250514-20</t>
        </is>
      </c>
    </row>
    <row r="3293">
      <c r="A3293" s="32" t="n">
        <v>10</v>
      </c>
      <c r="B3293" s="32" t="inlineStr">
        <is>
          <t>MeOH</t>
        </is>
      </c>
      <c r="F3293" s="32" t="n">
        <v>0.6820000000000001</v>
      </c>
      <c r="K3293" s="32" t="inlineStr">
        <is>
          <t>20250514-21</t>
        </is>
      </c>
    </row>
    <row r="3294">
      <c r="A3294" s="32" t="n">
        <v>11</v>
      </c>
      <c r="B3294" s="32" t="inlineStr">
        <is>
          <t>SB1</t>
        </is>
      </c>
      <c r="F3294" s="32" t="n">
        <v>6414.278</v>
      </c>
      <c r="K3294" s="32" t="inlineStr">
        <is>
          <t>20250514-22</t>
        </is>
      </c>
    </row>
    <row r="3295">
      <c r="A3295" s="32" t="n">
        <v>12</v>
      </c>
      <c r="B3295" s="32" t="inlineStr">
        <is>
          <t>SB2</t>
        </is>
      </c>
      <c r="D3295" s="32" t="n">
        <v>12.15</v>
      </c>
      <c r="E3295" s="32" t="n">
        <v>10.161</v>
      </c>
      <c r="F3295" s="32" t="n">
        <v>5459.898</v>
      </c>
      <c r="G3295" s="32" t="n">
        <v>90</v>
      </c>
      <c r="H3295" s="32" t="inlineStr">
        <is>
          <t>bb</t>
        </is>
      </c>
      <c r="K3295" s="32" t="inlineStr">
        <is>
          <t>20250514-23</t>
        </is>
      </c>
    </row>
    <row r="3296">
      <c r="A3296" s="32" t="n">
        <v>13</v>
      </c>
      <c r="B3296" s="32" t="inlineStr">
        <is>
          <t>SB3</t>
        </is>
      </c>
      <c r="F3296" s="32" t="n">
        <v>5569.052</v>
      </c>
      <c r="K3296" s="32" t="inlineStr">
        <is>
          <t>20250514-24</t>
        </is>
      </c>
    </row>
    <row r="3297">
      <c r="A3297" s="32" t="n">
        <v>14</v>
      </c>
      <c r="B3297" s="32" t="inlineStr">
        <is>
          <t>SS1</t>
        </is>
      </c>
      <c r="D3297" s="32" t="n">
        <v>12.05</v>
      </c>
      <c r="E3297" s="32" t="n">
        <v>685.371</v>
      </c>
      <c r="F3297" s="32" t="n">
        <v>5405.744</v>
      </c>
      <c r="G3297" s="32" t="n">
        <v>118.744</v>
      </c>
      <c r="H3297" s="32" t="inlineStr">
        <is>
          <t>bb</t>
        </is>
      </c>
      <c r="K3297" s="32" t="inlineStr">
        <is>
          <t>20250514-25</t>
        </is>
      </c>
    </row>
    <row r="3298">
      <c r="A3298" s="32" t="n">
        <v>15</v>
      </c>
      <c r="B3298" s="32" t="inlineStr">
        <is>
          <t>SS2</t>
        </is>
      </c>
      <c r="D3298" s="32" t="n">
        <v>12.05</v>
      </c>
      <c r="E3298" s="32" t="n">
        <v>775.087</v>
      </c>
      <c r="F3298" s="32" t="n">
        <v>5358.604</v>
      </c>
      <c r="G3298" s="32" t="n">
        <v>5491</v>
      </c>
      <c r="H3298" s="32" t="inlineStr">
        <is>
          <t>bb</t>
        </is>
      </c>
      <c r="K3298" s="32" t="inlineStr">
        <is>
          <t>20250514-26</t>
        </is>
      </c>
    </row>
    <row r="3299">
      <c r="A3299" s="32" t="n">
        <v>16</v>
      </c>
      <c r="B3299" s="32" t="inlineStr">
        <is>
          <t>SS3</t>
        </is>
      </c>
      <c r="D3299" s="32" t="n">
        <v>12.05</v>
      </c>
      <c r="E3299" s="32" t="n">
        <v>542.578</v>
      </c>
      <c r="F3299" s="32" t="n">
        <v>5299.512</v>
      </c>
      <c r="G3299" s="32" t="n">
        <v>3685</v>
      </c>
      <c r="H3299" s="32" t="inlineStr">
        <is>
          <t>bb</t>
        </is>
      </c>
      <c r="K3299" s="32" t="inlineStr">
        <is>
          <t>20250514-27</t>
        </is>
      </c>
    </row>
    <row r="3300">
      <c r="A3300" s="32" t="n">
        <v>17</v>
      </c>
      <c r="B3300" s="32" t="inlineStr">
        <is>
          <t>MeOH</t>
        </is>
      </c>
      <c r="K3300" s="32" t="inlineStr">
        <is>
          <t>20250514-28</t>
        </is>
      </c>
    </row>
    <row r="3301">
      <c r="A3301" s="32" t="n">
        <v>18</v>
      </c>
      <c r="B3301" s="32" t="inlineStr">
        <is>
          <t>K4-1A</t>
        </is>
      </c>
      <c r="F3301" s="32" t="n">
        <v>7333.607</v>
      </c>
      <c r="K3301" s="32" t="inlineStr">
        <is>
          <t>20250514-29</t>
        </is>
      </c>
    </row>
    <row r="3302">
      <c r="A3302" s="32" t="n">
        <v>19</v>
      </c>
      <c r="B3302" s="32" t="inlineStr">
        <is>
          <t>K4-1B</t>
        </is>
      </c>
      <c r="F3302" s="32" t="n">
        <v>7556.923</v>
      </c>
      <c r="K3302" s="32" t="inlineStr">
        <is>
          <t>20250514-30</t>
        </is>
      </c>
    </row>
    <row r="3303">
      <c r="A3303" s="32" t="n">
        <v>20</v>
      </c>
      <c r="B3303" s="32" t="inlineStr">
        <is>
          <t>K4-1C</t>
        </is>
      </c>
      <c r="F3303" s="32" t="n">
        <v>7543.019</v>
      </c>
      <c r="K3303" s="32" t="inlineStr">
        <is>
          <t>20250514-31</t>
        </is>
      </c>
    </row>
    <row r="3304">
      <c r="A3304" s="32" t="n">
        <v>21</v>
      </c>
      <c r="B3304" s="32" t="inlineStr">
        <is>
          <t>K4-2A</t>
        </is>
      </c>
      <c r="F3304" s="32" t="n">
        <v>8613.116</v>
      </c>
      <c r="K3304" s="32" t="inlineStr">
        <is>
          <t>20250514-32</t>
        </is>
      </c>
    </row>
    <row r="3305">
      <c r="A3305" s="32" t="n">
        <v>22</v>
      </c>
      <c r="B3305" s="32" t="inlineStr">
        <is>
          <t>K4-2B</t>
        </is>
      </c>
      <c r="F3305" s="32" t="n">
        <v>6789.031</v>
      </c>
      <c r="K3305" s="32" t="inlineStr">
        <is>
          <t>20250514-33</t>
        </is>
      </c>
    </row>
    <row r="3306">
      <c r="A3306" s="32" t="n">
        <v>23</v>
      </c>
      <c r="B3306" s="32" t="inlineStr">
        <is>
          <t>K4-2C</t>
        </is>
      </c>
      <c r="F3306" s="32" t="n">
        <v>6441.085</v>
      </c>
      <c r="K3306" s="32" t="inlineStr">
        <is>
          <t>20250514-34</t>
        </is>
      </c>
    </row>
    <row r="3307">
      <c r="A3307" s="32" t="n">
        <v>24</v>
      </c>
      <c r="B3307" s="32" t="inlineStr">
        <is>
          <t>MeOH</t>
        </is>
      </c>
      <c r="K3307" s="32" t="inlineStr">
        <is>
          <t>20250514-35</t>
        </is>
      </c>
    </row>
    <row r="3308">
      <c r="A3308" s="32" t="n">
        <v>25</v>
      </c>
      <c r="B3308" s="32" t="inlineStr">
        <is>
          <t>K4-4A</t>
        </is>
      </c>
      <c r="F3308" s="32" t="n">
        <v>6856.379</v>
      </c>
      <c r="K3308" s="32" t="inlineStr">
        <is>
          <t>20250514-36</t>
        </is>
      </c>
    </row>
    <row r="3309">
      <c r="A3309" s="32" t="n">
        <v>26</v>
      </c>
      <c r="B3309" s="32" t="inlineStr">
        <is>
          <t>K4-4B</t>
        </is>
      </c>
      <c r="F3309" s="32" t="n">
        <v>8361.857</v>
      </c>
      <c r="K3309" s="32" t="inlineStr">
        <is>
          <t>20250514-37</t>
        </is>
      </c>
    </row>
    <row r="3310">
      <c r="A3310" s="32" t="n">
        <v>27</v>
      </c>
      <c r="B3310" s="32" t="inlineStr">
        <is>
          <t>K4-4C</t>
        </is>
      </c>
      <c r="F3310" s="32" t="n">
        <v>8247.347</v>
      </c>
      <c r="K3310" s="32" t="inlineStr">
        <is>
          <t>20250514-38</t>
        </is>
      </c>
    </row>
    <row r="3311">
      <c r="A3311" s="32" t="n">
        <v>28</v>
      </c>
      <c r="B3311" s="32" t="inlineStr">
        <is>
          <t>K4-5A</t>
        </is>
      </c>
      <c r="F3311" s="32" t="n">
        <v>7625.911</v>
      </c>
      <c r="K3311" s="32" t="inlineStr">
        <is>
          <t>20250514-39</t>
        </is>
      </c>
    </row>
    <row r="3312">
      <c r="A3312" s="32" t="n">
        <v>29</v>
      </c>
      <c r="B3312" s="32" t="inlineStr">
        <is>
          <t>K4-5B</t>
        </is>
      </c>
      <c r="F3312" s="32" t="n">
        <v>7830.348</v>
      </c>
      <c r="K3312" s="32" t="inlineStr">
        <is>
          <t>20250514-40</t>
        </is>
      </c>
    </row>
    <row r="3313">
      <c r="A3313" s="32" t="n">
        <v>30</v>
      </c>
      <c r="B3313" s="32" t="inlineStr">
        <is>
          <t>K4-5C</t>
        </is>
      </c>
      <c r="F3313" s="32" t="n">
        <v>6655.14</v>
      </c>
      <c r="K3313" s="32" t="inlineStr">
        <is>
          <t>20250514-41</t>
        </is>
      </c>
    </row>
    <row r="3314">
      <c r="A3314" s="32" t="n">
        <v>31</v>
      </c>
      <c r="B3314" s="32" t="inlineStr">
        <is>
          <t>MeOH</t>
        </is>
      </c>
      <c r="K3314" s="32" t="inlineStr">
        <is>
          <t>20250514-42</t>
        </is>
      </c>
    </row>
    <row r="3315">
      <c r="A3315" s="32" t="n">
        <v>32</v>
      </c>
      <c r="B3315" s="32" t="inlineStr">
        <is>
          <t>K3-1A</t>
        </is>
      </c>
      <c r="F3315" s="32" t="n">
        <v>8732.843000000001</v>
      </c>
      <c r="K3315" s="32" t="inlineStr">
        <is>
          <t>20250514-43</t>
        </is>
      </c>
    </row>
    <row r="3316">
      <c r="A3316" s="32" t="n">
        <v>33</v>
      </c>
      <c r="B3316" s="32" t="inlineStr">
        <is>
          <t>K3-1B</t>
        </is>
      </c>
      <c r="F3316" s="32" t="n">
        <v>7852.211</v>
      </c>
      <c r="K3316" s="32" t="inlineStr">
        <is>
          <t>20250514-44</t>
        </is>
      </c>
    </row>
    <row r="3317">
      <c r="A3317" s="32" t="n">
        <v>34</v>
      </c>
      <c r="B3317" s="32" t="inlineStr">
        <is>
          <t>K3-1C</t>
        </is>
      </c>
      <c r="F3317" s="32" t="n">
        <v>9807.196</v>
      </c>
      <c r="K3317" s="32" t="inlineStr">
        <is>
          <t>20250514-45</t>
        </is>
      </c>
    </row>
    <row r="3318">
      <c r="A3318" s="32" t="n">
        <v>35</v>
      </c>
      <c r="B3318" s="32" t="inlineStr">
        <is>
          <t>K3-2A</t>
        </is>
      </c>
      <c r="F3318" s="32" t="n">
        <v>10189.86</v>
      </c>
      <c r="K3318" s="32" t="inlineStr">
        <is>
          <t>20250514-46</t>
        </is>
      </c>
    </row>
    <row r="3319">
      <c r="A3319" s="32" t="n">
        <v>36</v>
      </c>
      <c r="B3319" s="32" t="inlineStr">
        <is>
          <t>K3-2B</t>
        </is>
      </c>
      <c r="F3319" s="32" t="n">
        <v>10207.86</v>
      </c>
      <c r="K3319" s="32" t="inlineStr">
        <is>
          <t>20250514-47</t>
        </is>
      </c>
    </row>
    <row r="3320">
      <c r="A3320" s="32" t="n">
        <v>37</v>
      </c>
      <c r="B3320" s="32" t="inlineStr">
        <is>
          <t>K3-2C</t>
        </is>
      </c>
      <c r="F3320" s="32" t="n">
        <v>8814.884</v>
      </c>
      <c r="K3320" s="32" t="inlineStr">
        <is>
          <t>20250514-48</t>
        </is>
      </c>
    </row>
    <row r="3321">
      <c r="A3321" s="32" t="n">
        <v>38</v>
      </c>
      <c r="B3321" s="32" t="inlineStr">
        <is>
          <t>MeOH</t>
        </is>
      </c>
      <c r="K3321" s="32" t="inlineStr">
        <is>
          <t>20250514-49</t>
        </is>
      </c>
    </row>
    <row r="3322">
      <c r="A3322" s="32" t="n">
        <v>39</v>
      </c>
      <c r="B3322" s="32" t="inlineStr">
        <is>
          <t>K3-3A</t>
        </is>
      </c>
      <c r="F3322" s="32" t="n">
        <v>8410.066000000001</v>
      </c>
      <c r="K3322" s="32" t="inlineStr">
        <is>
          <t>20250514-50</t>
        </is>
      </c>
    </row>
    <row r="3323">
      <c r="A3323" s="32" t="n">
        <v>40</v>
      </c>
      <c r="B3323" s="32" t="inlineStr">
        <is>
          <t>K3-3B</t>
        </is>
      </c>
      <c r="F3323" s="32" t="n">
        <v>8557.771000000001</v>
      </c>
      <c r="K3323" s="32" t="inlineStr">
        <is>
          <t>20250514-51</t>
        </is>
      </c>
    </row>
    <row r="3324">
      <c r="A3324" s="32" t="n">
        <v>41</v>
      </c>
      <c r="B3324" s="32" t="inlineStr">
        <is>
          <t>K3-3C</t>
        </is>
      </c>
      <c r="F3324" s="32" t="n">
        <v>9876.084000000001</v>
      </c>
      <c r="K3324" s="32" t="inlineStr">
        <is>
          <t>20250514-52</t>
        </is>
      </c>
    </row>
    <row r="3325">
      <c r="A3325" s="32" t="n">
        <v>42</v>
      </c>
      <c r="B3325" s="32" t="inlineStr">
        <is>
          <t>K3-4A</t>
        </is>
      </c>
      <c r="F3325" s="32" t="n">
        <v>10133.361</v>
      </c>
      <c r="K3325" s="32" t="inlineStr">
        <is>
          <t>20250514-53</t>
        </is>
      </c>
    </row>
    <row r="3326">
      <c r="A3326" s="32" t="n">
        <v>43</v>
      </c>
      <c r="B3326" s="32" t="inlineStr">
        <is>
          <t>K3-4B</t>
        </is>
      </c>
      <c r="D3326" s="32" t="n">
        <v>12.07</v>
      </c>
      <c r="E3326" s="32" t="n">
        <v>1.921</v>
      </c>
      <c r="F3326" s="32" t="n">
        <v>10043.649</v>
      </c>
      <c r="G3326" s="32" t="n">
        <v>17</v>
      </c>
      <c r="H3326" s="32" t="inlineStr">
        <is>
          <t>bb</t>
        </is>
      </c>
      <c r="K3326" s="32" t="inlineStr">
        <is>
          <t>20250514-54</t>
        </is>
      </c>
    </row>
    <row r="3327">
      <c r="A3327" s="32" t="n">
        <v>44</v>
      </c>
      <c r="B3327" s="32" t="inlineStr">
        <is>
          <t>K3-4C</t>
        </is>
      </c>
      <c r="F3327" s="32" t="n">
        <v>9604.054</v>
      </c>
      <c r="K3327" s="32" t="inlineStr">
        <is>
          <t>20250514-55</t>
        </is>
      </c>
    </row>
    <row r="3328">
      <c r="A3328" s="32" t="n">
        <v>45</v>
      </c>
      <c r="B3328" s="32" t="inlineStr">
        <is>
          <t>MeOH</t>
        </is>
      </c>
      <c r="K3328" s="32" t="inlineStr">
        <is>
          <t>20250514-56</t>
        </is>
      </c>
    </row>
    <row r="3329">
      <c r="A3329" s="32" t="n">
        <v>46</v>
      </c>
      <c r="B3329" s="32" t="inlineStr">
        <is>
          <t>K3-6A</t>
        </is>
      </c>
      <c r="F3329" s="32" t="n">
        <v>9362.067999999999</v>
      </c>
      <c r="K3329" s="32" t="inlineStr">
        <is>
          <t>20250514-57</t>
        </is>
      </c>
    </row>
    <row r="3330">
      <c r="A3330" s="32" t="n">
        <v>47</v>
      </c>
      <c r="B3330" s="32" t="inlineStr">
        <is>
          <t>K3-6B</t>
        </is>
      </c>
      <c r="F3330" s="32" t="n">
        <v>7438.873</v>
      </c>
      <c r="K3330" s="32" t="inlineStr">
        <is>
          <t>20250514-58</t>
        </is>
      </c>
    </row>
    <row r="3331">
      <c r="A3331" s="32" t="n">
        <v>48</v>
      </c>
      <c r="B3331" s="32" t="inlineStr">
        <is>
          <t>K3-6C</t>
        </is>
      </c>
      <c r="F3331" s="32" t="n">
        <v>7497.73</v>
      </c>
      <c r="K3331" s="32" t="inlineStr">
        <is>
          <t>20250514-59</t>
        </is>
      </c>
    </row>
    <row r="3333">
      <c r="A3333" s="32" t="inlineStr">
        <is>
          <t>Compound 65:  PFHpS 2</t>
        </is>
      </c>
    </row>
    <row r="3335">
      <c r="B3335" s="32" t="inlineStr">
        <is>
          <t>Sample Text</t>
        </is>
      </c>
      <c r="C3335" s="32" t="inlineStr">
        <is>
          <t>Std. Conc</t>
        </is>
      </c>
      <c r="D3335" s="32" t="inlineStr">
        <is>
          <t>RT</t>
        </is>
      </c>
      <c r="E3335" s="32" t="inlineStr">
        <is>
          <t>Area</t>
        </is>
      </c>
      <c r="F3335" s="32" t="inlineStr">
        <is>
          <t>IS Area</t>
        </is>
      </c>
      <c r="G3335" s="32" t="inlineStr">
        <is>
          <t>S/N</t>
        </is>
      </c>
      <c r="H3335" s="32" t="inlineStr">
        <is>
          <t>Primary Flags</t>
        </is>
      </c>
      <c r="I3335" s="32" t="inlineStr">
        <is>
          <t>Response</t>
        </is>
      </c>
      <c r="J3335" s="32" t="inlineStr">
        <is>
          <t>Conc.</t>
        </is>
      </c>
      <c r="K3335" s="32" t="inlineStr">
        <is>
          <t>Name</t>
        </is>
      </c>
    </row>
    <row r="3336">
      <c r="A3336" s="32" t="n">
        <v>1</v>
      </c>
      <c r="B3336" s="32" t="inlineStr">
        <is>
          <t>EPA1633 &amp; diPAPs Calibration 0 ppb</t>
        </is>
      </c>
      <c r="D3336" s="32" t="n">
        <v>11.7</v>
      </c>
      <c r="E3336" s="32" t="n">
        <v>6.925</v>
      </c>
      <c r="F3336" s="32" t="n">
        <v>16637.717</v>
      </c>
      <c r="G3336" s="32" t="n">
        <v>0.529</v>
      </c>
      <c r="H3336" s="32" t="inlineStr">
        <is>
          <t>MM</t>
        </is>
      </c>
      <c r="K3336" s="32" t="inlineStr">
        <is>
          <t>20250514-12</t>
        </is>
      </c>
    </row>
    <row r="3337">
      <c r="A3337" s="32" t="n">
        <v>2</v>
      </c>
      <c r="B3337" s="32" t="inlineStr">
        <is>
          <t>EPA1633 &amp; diPAPs Calibration 0.02 ppb</t>
        </is>
      </c>
      <c r="D3337" s="32" t="n">
        <v>11.98</v>
      </c>
      <c r="E3337" s="32" t="n">
        <v>3.918</v>
      </c>
      <c r="F3337" s="32" t="n">
        <v>14442.151</v>
      </c>
      <c r="G3337" s="32" t="n">
        <v>0.273</v>
      </c>
      <c r="H3337" s="32" t="inlineStr">
        <is>
          <t>MM</t>
        </is>
      </c>
      <c r="K3337" s="32" t="inlineStr">
        <is>
          <t>20250514-13</t>
        </is>
      </c>
    </row>
    <row r="3338">
      <c r="A3338" s="32" t="n">
        <v>3</v>
      </c>
      <c r="B3338" s="32" t="inlineStr">
        <is>
          <t>EPA1633 &amp; diPAPs Calibration 0.1 ppb</t>
        </is>
      </c>
      <c r="D3338" s="32" t="n">
        <v>11.95</v>
      </c>
      <c r="E3338" s="32" t="n">
        <v>54.681</v>
      </c>
      <c r="F3338" s="32" t="n">
        <v>14939.226</v>
      </c>
      <c r="G3338" s="32" t="n">
        <v>482</v>
      </c>
      <c r="H3338" s="32" t="inlineStr">
        <is>
          <t>MM</t>
        </is>
      </c>
      <c r="K3338" s="32" t="inlineStr">
        <is>
          <t>20250514-14</t>
        </is>
      </c>
    </row>
    <row r="3339">
      <c r="A3339" s="32" t="n">
        <v>4</v>
      </c>
      <c r="B3339" s="32" t="inlineStr">
        <is>
          <t>EPA1633 &amp; diPAPs Calibration 0.4 ppb</t>
        </is>
      </c>
      <c r="D3339" s="32" t="n">
        <v>12.01</v>
      </c>
      <c r="E3339" s="32" t="n">
        <v>187.094</v>
      </c>
      <c r="F3339" s="32" t="n">
        <v>14017.551</v>
      </c>
      <c r="G3339" s="32" t="n">
        <v>28.065</v>
      </c>
      <c r="H3339" s="32" t="inlineStr">
        <is>
          <t>MM</t>
        </is>
      </c>
      <c r="K3339" s="32" t="inlineStr">
        <is>
          <t>20250514-15</t>
        </is>
      </c>
    </row>
    <row r="3340">
      <c r="A3340" s="32" t="n">
        <v>5</v>
      </c>
      <c r="B3340" s="32" t="inlineStr">
        <is>
          <t>EPA1633 &amp; diPAPs Calibration 1 ppb</t>
        </is>
      </c>
      <c r="D3340" s="32" t="n">
        <v>11.99</v>
      </c>
      <c r="E3340" s="32" t="n">
        <v>355.249</v>
      </c>
      <c r="F3340" s="32" t="n">
        <v>15819.927</v>
      </c>
      <c r="G3340" s="32" t="n">
        <v>2573</v>
      </c>
      <c r="H3340" s="32" t="inlineStr">
        <is>
          <t>MM</t>
        </is>
      </c>
      <c r="K3340" s="32" t="inlineStr">
        <is>
          <t>20250514-16</t>
        </is>
      </c>
    </row>
    <row r="3341">
      <c r="A3341" s="32" t="n">
        <v>6</v>
      </c>
      <c r="B3341" s="32" t="inlineStr">
        <is>
          <t>EPA1633 &amp; diPAPs Calibration 5 ppb</t>
        </is>
      </c>
      <c r="D3341" s="32" t="n">
        <v>11.91</v>
      </c>
      <c r="E3341" s="32" t="n">
        <v>872.671</v>
      </c>
      <c r="F3341" s="32" t="n">
        <v>14259.822</v>
      </c>
      <c r="G3341" s="32" t="n">
        <v>148.256</v>
      </c>
      <c r="H3341" s="32" t="inlineStr">
        <is>
          <t>MM</t>
        </is>
      </c>
      <c r="K3341" s="32" t="inlineStr">
        <is>
          <t>20250514-17</t>
        </is>
      </c>
    </row>
    <row r="3342">
      <c r="A3342" s="32" t="n">
        <v>7</v>
      </c>
      <c r="B3342" s="32" t="inlineStr">
        <is>
          <t>EPA1633 &amp; diPAPs Calibration 10 ppb</t>
        </is>
      </c>
      <c r="D3342" s="32" t="n">
        <v>11.92</v>
      </c>
      <c r="E3342" s="32" t="n">
        <v>2422.013</v>
      </c>
      <c r="F3342" s="32" t="n">
        <v>11049.457</v>
      </c>
      <c r="G3342" s="32" t="n">
        <v>79.04900000000001</v>
      </c>
      <c r="H3342" s="32" t="inlineStr">
        <is>
          <t>MM</t>
        </is>
      </c>
      <c r="K3342" s="32" t="inlineStr">
        <is>
          <t>20250514-18</t>
        </is>
      </c>
    </row>
    <row r="3343">
      <c r="A3343" s="32" t="n">
        <v>8</v>
      </c>
      <c r="B3343" s="32" t="inlineStr">
        <is>
          <t>EPA1633 &amp; diPAPs Calibration 20 ppb</t>
        </is>
      </c>
      <c r="D3343" s="32" t="n">
        <v>11.97</v>
      </c>
      <c r="E3343" s="32" t="n">
        <v>4070.887</v>
      </c>
      <c r="F3343" s="32" t="n">
        <v>12460.612</v>
      </c>
      <c r="G3343" s="32" t="n">
        <v>195.129</v>
      </c>
      <c r="H3343" s="32" t="inlineStr">
        <is>
          <t>MM</t>
        </is>
      </c>
      <c r="K3343" s="32" t="inlineStr">
        <is>
          <t>20250514-19</t>
        </is>
      </c>
    </row>
    <row r="3344">
      <c r="A3344" s="32" t="n">
        <v>9</v>
      </c>
      <c r="B3344" s="32" t="inlineStr">
        <is>
          <t>MeOH</t>
        </is>
      </c>
      <c r="F3344" s="32" t="n">
        <v>4.973</v>
      </c>
      <c r="K3344" s="32" t="inlineStr">
        <is>
          <t>20250514-20</t>
        </is>
      </c>
    </row>
    <row r="3345">
      <c r="A3345" s="32" t="n">
        <v>10</v>
      </c>
      <c r="B3345" s="32" t="inlineStr">
        <is>
          <t>MeOH</t>
        </is>
      </c>
      <c r="F3345" s="32" t="n">
        <v>0.6820000000000001</v>
      </c>
      <c r="K3345" s="32" t="inlineStr">
        <is>
          <t>20250514-21</t>
        </is>
      </c>
    </row>
    <row r="3346">
      <c r="A3346" s="32" t="n">
        <v>11</v>
      </c>
      <c r="B3346" s="32" t="inlineStr">
        <is>
          <t>SB1</t>
        </is>
      </c>
      <c r="F3346" s="32" t="n">
        <v>6414.278</v>
      </c>
      <c r="K3346" s="32" t="inlineStr">
        <is>
          <t>20250514-22</t>
        </is>
      </c>
    </row>
    <row r="3347">
      <c r="A3347" s="32" t="n">
        <v>12</v>
      </c>
      <c r="B3347" s="32" t="inlineStr">
        <is>
          <t>SB2</t>
        </is>
      </c>
      <c r="F3347" s="32" t="n">
        <v>5459.898</v>
      </c>
      <c r="K3347" s="32" t="inlineStr">
        <is>
          <t>20250514-23</t>
        </is>
      </c>
    </row>
    <row r="3348">
      <c r="A3348" s="32" t="n">
        <v>13</v>
      </c>
      <c r="B3348" s="32" t="inlineStr">
        <is>
          <t>SB3</t>
        </is>
      </c>
      <c r="F3348" s="32" t="n">
        <v>5569.052</v>
      </c>
      <c r="K3348" s="32" t="inlineStr">
        <is>
          <t>20250514-24</t>
        </is>
      </c>
    </row>
    <row r="3349">
      <c r="A3349" s="32" t="n">
        <v>14</v>
      </c>
      <c r="B3349" s="32" t="inlineStr">
        <is>
          <t>SS1</t>
        </is>
      </c>
      <c r="F3349" s="32" t="n">
        <v>5405.744</v>
      </c>
      <c r="K3349" s="32" t="inlineStr">
        <is>
          <t>20250514-25</t>
        </is>
      </c>
    </row>
    <row r="3350">
      <c r="A3350" s="32" t="n">
        <v>15</v>
      </c>
      <c r="B3350" s="32" t="inlineStr">
        <is>
          <t>SS2</t>
        </is>
      </c>
      <c r="F3350" s="32" t="n">
        <v>5358.604</v>
      </c>
      <c r="K3350" s="32" t="inlineStr">
        <is>
          <t>20250514-26</t>
        </is>
      </c>
    </row>
    <row r="3351">
      <c r="A3351" s="32" t="n">
        <v>16</v>
      </c>
      <c r="B3351" s="32" t="inlineStr">
        <is>
          <t>SS3</t>
        </is>
      </c>
      <c r="F3351" s="32" t="n">
        <v>5299.512</v>
      </c>
      <c r="K3351" s="32" t="inlineStr">
        <is>
          <t>20250514-27</t>
        </is>
      </c>
    </row>
    <row r="3352">
      <c r="A3352" s="32" t="n">
        <v>17</v>
      </c>
      <c r="B3352" s="32" t="inlineStr">
        <is>
          <t>MeOH</t>
        </is>
      </c>
      <c r="K3352" s="32" t="inlineStr">
        <is>
          <t>20250514-28</t>
        </is>
      </c>
    </row>
    <row r="3353">
      <c r="A3353" s="32" t="n">
        <v>18</v>
      </c>
      <c r="B3353" s="32" t="inlineStr">
        <is>
          <t>K4-1A</t>
        </is>
      </c>
      <c r="F3353" s="32" t="n">
        <v>7333.607</v>
      </c>
      <c r="K3353" s="32" t="inlineStr">
        <is>
          <t>20250514-29</t>
        </is>
      </c>
    </row>
    <row r="3354">
      <c r="A3354" s="32" t="n">
        <v>19</v>
      </c>
      <c r="B3354" s="32" t="inlineStr">
        <is>
          <t>K4-1B</t>
        </is>
      </c>
      <c r="F3354" s="32" t="n">
        <v>7556.923</v>
      </c>
      <c r="K3354" s="32" t="inlineStr">
        <is>
          <t>20250514-30</t>
        </is>
      </c>
    </row>
    <row r="3355">
      <c r="A3355" s="32" t="n">
        <v>20</v>
      </c>
      <c r="B3355" s="32" t="inlineStr">
        <is>
          <t>K4-1C</t>
        </is>
      </c>
      <c r="F3355" s="32" t="n">
        <v>7543.019</v>
      </c>
      <c r="K3355" s="32" t="inlineStr">
        <is>
          <t>20250514-31</t>
        </is>
      </c>
    </row>
    <row r="3356">
      <c r="A3356" s="32" t="n">
        <v>21</v>
      </c>
      <c r="B3356" s="32" t="inlineStr">
        <is>
          <t>K4-2A</t>
        </is>
      </c>
      <c r="F3356" s="32" t="n">
        <v>8613.116</v>
      </c>
      <c r="K3356" s="32" t="inlineStr">
        <is>
          <t>20250514-32</t>
        </is>
      </c>
    </row>
    <row r="3357">
      <c r="A3357" s="32" t="n">
        <v>22</v>
      </c>
      <c r="B3357" s="32" t="inlineStr">
        <is>
          <t>K4-2B</t>
        </is>
      </c>
      <c r="F3357" s="32" t="n">
        <v>6789.031</v>
      </c>
      <c r="K3357" s="32" t="inlineStr">
        <is>
          <t>20250514-33</t>
        </is>
      </c>
    </row>
    <row r="3358">
      <c r="A3358" s="32" t="n">
        <v>23</v>
      </c>
      <c r="B3358" s="32" t="inlineStr">
        <is>
          <t>K4-2C</t>
        </is>
      </c>
      <c r="F3358" s="32" t="n">
        <v>6441.085</v>
      </c>
      <c r="K3358" s="32" t="inlineStr">
        <is>
          <t>20250514-34</t>
        </is>
      </c>
    </row>
    <row r="3359">
      <c r="A3359" s="32" t="n">
        <v>24</v>
      </c>
      <c r="B3359" s="32" t="inlineStr">
        <is>
          <t>MeOH</t>
        </is>
      </c>
      <c r="K3359" s="32" t="inlineStr">
        <is>
          <t>20250514-35</t>
        </is>
      </c>
    </row>
    <row r="3360">
      <c r="A3360" s="32" t="n">
        <v>25</v>
      </c>
      <c r="B3360" s="32" t="inlineStr">
        <is>
          <t>K4-4A</t>
        </is>
      </c>
      <c r="F3360" s="32" t="n">
        <v>6856.379</v>
      </c>
      <c r="K3360" s="32" t="inlineStr">
        <is>
          <t>20250514-36</t>
        </is>
      </c>
    </row>
    <row r="3361">
      <c r="A3361" s="32" t="n">
        <v>26</v>
      </c>
      <c r="B3361" s="32" t="inlineStr">
        <is>
          <t>K4-4B</t>
        </is>
      </c>
      <c r="F3361" s="32" t="n">
        <v>8361.857</v>
      </c>
      <c r="K3361" s="32" t="inlineStr">
        <is>
          <t>20250514-37</t>
        </is>
      </c>
    </row>
    <row r="3362">
      <c r="A3362" s="32" t="n">
        <v>27</v>
      </c>
      <c r="B3362" s="32" t="inlineStr">
        <is>
          <t>K4-4C</t>
        </is>
      </c>
      <c r="F3362" s="32" t="n">
        <v>8247.347</v>
      </c>
      <c r="K3362" s="32" t="inlineStr">
        <is>
          <t>20250514-38</t>
        </is>
      </c>
    </row>
    <row r="3363">
      <c r="A3363" s="32" t="n">
        <v>28</v>
      </c>
      <c r="B3363" s="32" t="inlineStr">
        <is>
          <t>K4-5A</t>
        </is>
      </c>
      <c r="F3363" s="32" t="n">
        <v>7625.911</v>
      </c>
      <c r="K3363" s="32" t="inlineStr">
        <is>
          <t>20250514-39</t>
        </is>
      </c>
    </row>
    <row r="3364">
      <c r="A3364" s="32" t="n">
        <v>29</v>
      </c>
      <c r="B3364" s="32" t="inlineStr">
        <is>
          <t>K4-5B</t>
        </is>
      </c>
      <c r="F3364" s="32" t="n">
        <v>7830.348</v>
      </c>
      <c r="K3364" s="32" t="inlineStr">
        <is>
          <t>20250514-40</t>
        </is>
      </c>
    </row>
    <row r="3365">
      <c r="A3365" s="32" t="n">
        <v>30</v>
      </c>
      <c r="B3365" s="32" t="inlineStr">
        <is>
          <t>K4-5C</t>
        </is>
      </c>
      <c r="F3365" s="32" t="n">
        <v>6655.14</v>
      </c>
      <c r="K3365" s="32" t="inlineStr">
        <is>
          <t>20250514-41</t>
        </is>
      </c>
    </row>
    <row r="3366">
      <c r="A3366" s="32" t="n">
        <v>31</v>
      </c>
      <c r="B3366" s="32" t="inlineStr">
        <is>
          <t>MeOH</t>
        </is>
      </c>
      <c r="K3366" s="32" t="inlineStr">
        <is>
          <t>20250514-42</t>
        </is>
      </c>
    </row>
    <row r="3367">
      <c r="A3367" s="32" t="n">
        <v>32</v>
      </c>
      <c r="B3367" s="32" t="inlineStr">
        <is>
          <t>K3-1A</t>
        </is>
      </c>
      <c r="F3367" s="32" t="n">
        <v>8732.843000000001</v>
      </c>
      <c r="K3367" s="32" t="inlineStr">
        <is>
          <t>20250514-43</t>
        </is>
      </c>
    </row>
    <row r="3368">
      <c r="A3368" s="32" t="n">
        <v>33</v>
      </c>
      <c r="B3368" s="32" t="inlineStr">
        <is>
          <t>K3-1B</t>
        </is>
      </c>
      <c r="F3368" s="32" t="n">
        <v>7852.211</v>
      </c>
      <c r="K3368" s="32" t="inlineStr">
        <is>
          <t>20250514-44</t>
        </is>
      </c>
    </row>
    <row r="3369">
      <c r="A3369" s="32" t="n">
        <v>34</v>
      </c>
      <c r="B3369" s="32" t="inlineStr">
        <is>
          <t>K3-1C</t>
        </is>
      </c>
      <c r="F3369" s="32" t="n">
        <v>9807.196</v>
      </c>
      <c r="K3369" s="32" t="inlineStr">
        <is>
          <t>20250514-45</t>
        </is>
      </c>
    </row>
    <row r="3370">
      <c r="A3370" s="32" t="n">
        <v>35</v>
      </c>
      <c r="B3370" s="32" t="inlineStr">
        <is>
          <t>K3-2A</t>
        </is>
      </c>
      <c r="F3370" s="32" t="n">
        <v>10189.86</v>
      </c>
      <c r="K3370" s="32" t="inlineStr">
        <is>
          <t>20250514-46</t>
        </is>
      </c>
    </row>
    <row r="3371">
      <c r="A3371" s="32" t="n">
        <v>36</v>
      </c>
      <c r="B3371" s="32" t="inlineStr">
        <is>
          <t>K3-2B</t>
        </is>
      </c>
      <c r="F3371" s="32" t="n">
        <v>10207.86</v>
      </c>
      <c r="K3371" s="32" t="inlineStr">
        <is>
          <t>20250514-47</t>
        </is>
      </c>
    </row>
    <row r="3372">
      <c r="A3372" s="32" t="n">
        <v>37</v>
      </c>
      <c r="B3372" s="32" t="inlineStr">
        <is>
          <t>K3-2C</t>
        </is>
      </c>
      <c r="F3372" s="32" t="n">
        <v>8814.884</v>
      </c>
      <c r="K3372" s="32" t="inlineStr">
        <is>
          <t>20250514-48</t>
        </is>
      </c>
    </row>
    <row r="3373">
      <c r="A3373" s="32" t="n">
        <v>38</v>
      </c>
      <c r="B3373" s="32" t="inlineStr">
        <is>
          <t>MeOH</t>
        </is>
      </c>
      <c r="K3373" s="32" t="inlineStr">
        <is>
          <t>20250514-49</t>
        </is>
      </c>
    </row>
    <row r="3374">
      <c r="A3374" s="32" t="n">
        <v>39</v>
      </c>
      <c r="B3374" s="32" t="inlineStr">
        <is>
          <t>K3-3A</t>
        </is>
      </c>
      <c r="F3374" s="32" t="n">
        <v>8410.066000000001</v>
      </c>
      <c r="K3374" s="32" t="inlineStr">
        <is>
          <t>20250514-50</t>
        </is>
      </c>
    </row>
    <row r="3375">
      <c r="A3375" s="32" t="n">
        <v>40</v>
      </c>
      <c r="B3375" s="32" t="inlineStr">
        <is>
          <t>K3-3B</t>
        </is>
      </c>
      <c r="F3375" s="32" t="n">
        <v>8557.771000000001</v>
      </c>
      <c r="K3375" s="32" t="inlineStr">
        <is>
          <t>20250514-51</t>
        </is>
      </c>
    </row>
    <row r="3376">
      <c r="A3376" s="32" t="n">
        <v>41</v>
      </c>
      <c r="B3376" s="32" t="inlineStr">
        <is>
          <t>K3-3C</t>
        </is>
      </c>
      <c r="F3376" s="32" t="n">
        <v>9876.084000000001</v>
      </c>
      <c r="K3376" s="32" t="inlineStr">
        <is>
          <t>20250514-52</t>
        </is>
      </c>
    </row>
    <row r="3377">
      <c r="A3377" s="32" t="n">
        <v>42</v>
      </c>
      <c r="B3377" s="32" t="inlineStr">
        <is>
          <t>K3-4A</t>
        </is>
      </c>
      <c r="F3377" s="32" t="n">
        <v>10133.361</v>
      </c>
      <c r="K3377" s="32" t="inlineStr">
        <is>
          <t>20250514-53</t>
        </is>
      </c>
    </row>
    <row r="3378">
      <c r="A3378" s="32" t="n">
        <v>43</v>
      </c>
      <c r="B3378" s="32" t="inlineStr">
        <is>
          <t>K3-4B</t>
        </is>
      </c>
      <c r="F3378" s="32" t="n">
        <v>10043.649</v>
      </c>
      <c r="K3378" s="32" t="inlineStr">
        <is>
          <t>20250514-54</t>
        </is>
      </c>
    </row>
    <row r="3379">
      <c r="A3379" s="32" t="n">
        <v>44</v>
      </c>
      <c r="B3379" s="32" t="inlineStr">
        <is>
          <t>K3-4C</t>
        </is>
      </c>
      <c r="F3379" s="32" t="n">
        <v>9604.054</v>
      </c>
      <c r="K3379" s="32" t="inlineStr">
        <is>
          <t>20250514-55</t>
        </is>
      </c>
    </row>
    <row r="3380">
      <c r="A3380" s="32" t="n">
        <v>45</v>
      </c>
      <c r="B3380" s="32" t="inlineStr">
        <is>
          <t>MeOH</t>
        </is>
      </c>
      <c r="K3380" s="32" t="inlineStr">
        <is>
          <t>20250514-56</t>
        </is>
      </c>
    </row>
    <row r="3381">
      <c r="A3381" s="32" t="n">
        <v>46</v>
      </c>
      <c r="B3381" s="32" t="inlineStr">
        <is>
          <t>K3-6A</t>
        </is>
      </c>
      <c r="F3381" s="32" t="n">
        <v>9362.067999999999</v>
      </c>
      <c r="K3381" s="32" t="inlineStr">
        <is>
          <t>20250514-57</t>
        </is>
      </c>
    </row>
    <row r="3382">
      <c r="A3382" s="32" t="n">
        <v>47</v>
      </c>
      <c r="B3382" s="32" t="inlineStr">
        <is>
          <t>K3-6B</t>
        </is>
      </c>
      <c r="F3382" s="32" t="n">
        <v>7438.873</v>
      </c>
      <c r="K3382" s="32" t="inlineStr">
        <is>
          <t>20250514-58</t>
        </is>
      </c>
    </row>
    <row r="3383">
      <c r="A3383" s="32" t="n">
        <v>48</v>
      </c>
      <c r="B3383" s="32" t="inlineStr">
        <is>
          <t>K3-6C</t>
        </is>
      </c>
      <c r="F3383" s="32" t="n">
        <v>7497.73</v>
      </c>
      <c r="K3383" s="32" t="inlineStr">
        <is>
          <t>20250514-59</t>
        </is>
      </c>
    </row>
    <row r="3385">
      <c r="A3385" s="32" t="inlineStr">
        <is>
          <t>Compound 66:  m2 8:2 FTUCA</t>
        </is>
      </c>
    </row>
    <row r="3387">
      <c r="B3387" s="32" t="inlineStr">
        <is>
          <t>Sample Text</t>
        </is>
      </c>
      <c r="C3387" s="32" t="inlineStr">
        <is>
          <t>Std. Conc</t>
        </is>
      </c>
      <c r="D3387" s="32" t="inlineStr">
        <is>
          <t>RT</t>
        </is>
      </c>
      <c r="E3387" s="32" t="inlineStr">
        <is>
          <t>Area</t>
        </is>
      </c>
      <c r="F3387" s="32" t="inlineStr">
        <is>
          <t>IS Area</t>
        </is>
      </c>
      <c r="G3387" s="32" t="inlineStr">
        <is>
          <t>S/N</t>
        </is>
      </c>
      <c r="H3387" s="32" t="inlineStr">
        <is>
          <t>Primary Flags</t>
        </is>
      </c>
      <c r="I3387" s="32" t="inlineStr">
        <is>
          <t>Response</t>
        </is>
      </c>
      <c r="J3387" s="32" t="inlineStr">
        <is>
          <t>Conc.</t>
        </is>
      </c>
      <c r="K3387" s="32" t="inlineStr">
        <is>
          <t>Name</t>
        </is>
      </c>
    </row>
    <row r="3388">
      <c r="A3388" s="32" t="n">
        <v>1</v>
      </c>
      <c r="B3388" s="32" t="inlineStr">
        <is>
          <t>EPA1633 &amp; diPAPs Calibration 0 ppb</t>
        </is>
      </c>
      <c r="D3388" s="32" t="n">
        <v>13.33</v>
      </c>
      <c r="E3388" s="32" t="n">
        <v>40689.801</v>
      </c>
      <c r="G3388" s="32" t="n">
        <v>1723.39</v>
      </c>
      <c r="H3388" s="32" t="inlineStr">
        <is>
          <t>bb</t>
        </is>
      </c>
      <c r="I3388" s="32" t="n">
        <v>40689.801</v>
      </c>
      <c r="K3388" s="32" t="inlineStr">
        <is>
          <t>20250514-12</t>
        </is>
      </c>
    </row>
    <row r="3389">
      <c r="A3389" s="32" t="n">
        <v>2</v>
      </c>
      <c r="B3389" s="32" t="inlineStr">
        <is>
          <t>EPA1633 &amp; diPAPs Calibration 0.02 ppb</t>
        </is>
      </c>
      <c r="D3389" s="32" t="n">
        <v>13.34</v>
      </c>
      <c r="E3389" s="32" t="n">
        <v>36095.207</v>
      </c>
      <c r="G3389" s="32" t="n">
        <v>216.44</v>
      </c>
      <c r="H3389" s="32" t="inlineStr">
        <is>
          <t>bb</t>
        </is>
      </c>
      <c r="I3389" s="32" t="n">
        <v>36095.207</v>
      </c>
      <c r="K3389" s="32" t="inlineStr">
        <is>
          <t>20250514-13</t>
        </is>
      </c>
    </row>
    <row r="3390">
      <c r="A3390" s="32" t="n">
        <v>3</v>
      </c>
      <c r="B3390" s="32" t="inlineStr">
        <is>
          <t>EPA1633 &amp; diPAPs Calibration 0.1 ppb</t>
        </is>
      </c>
      <c r="D3390" s="32" t="n">
        <v>13.36</v>
      </c>
      <c r="E3390" s="32" t="n">
        <v>37979.938</v>
      </c>
      <c r="G3390" s="32" t="n">
        <v>641.215</v>
      </c>
      <c r="H3390" s="32" t="inlineStr">
        <is>
          <t>bb</t>
        </is>
      </c>
      <c r="I3390" s="32" t="n">
        <v>37979.938</v>
      </c>
      <c r="K3390" s="32" t="inlineStr">
        <is>
          <t>20250514-14</t>
        </is>
      </c>
    </row>
    <row r="3391">
      <c r="A3391" s="32" t="n">
        <v>4</v>
      </c>
      <c r="B3391" s="32" t="inlineStr">
        <is>
          <t>EPA1633 &amp; diPAPs Calibration 0.4 ppb</t>
        </is>
      </c>
      <c r="D3391" s="32" t="n">
        <v>13.36</v>
      </c>
      <c r="E3391" s="32" t="n">
        <v>33747.172</v>
      </c>
      <c r="G3391" s="32" t="n">
        <v>669.564</v>
      </c>
      <c r="H3391" s="32" t="inlineStr">
        <is>
          <t>bb</t>
        </is>
      </c>
      <c r="I3391" s="32" t="n">
        <v>33747.172</v>
      </c>
      <c r="K3391" s="32" t="inlineStr">
        <is>
          <t>20250514-15</t>
        </is>
      </c>
    </row>
    <row r="3392">
      <c r="A3392" s="32" t="n">
        <v>5</v>
      </c>
      <c r="B3392" s="32" t="inlineStr">
        <is>
          <t>EPA1633 &amp; diPAPs Calibration 1 ppb</t>
        </is>
      </c>
      <c r="D3392" s="32" t="n">
        <v>13.36</v>
      </c>
      <c r="E3392" s="32" t="n">
        <v>39159.301</v>
      </c>
      <c r="G3392" s="32" t="n">
        <v>872.5069999999999</v>
      </c>
      <c r="H3392" s="32" t="inlineStr">
        <is>
          <t>bb</t>
        </is>
      </c>
      <c r="I3392" s="32" t="n">
        <v>39159.301</v>
      </c>
      <c r="K3392" s="32" t="inlineStr">
        <is>
          <t>20250514-16</t>
        </is>
      </c>
    </row>
    <row r="3393">
      <c r="A3393" s="32" t="n">
        <v>6</v>
      </c>
      <c r="B3393" s="32" t="inlineStr">
        <is>
          <t>EPA1633 &amp; diPAPs Calibration 5 ppb</t>
        </is>
      </c>
      <c r="D3393" s="32" t="n">
        <v>13.29</v>
      </c>
      <c r="E3393" s="32" t="n">
        <v>31353.115</v>
      </c>
      <c r="G3393" s="32" t="n">
        <v>163.155</v>
      </c>
      <c r="H3393" s="32" t="inlineStr">
        <is>
          <t>bb</t>
        </is>
      </c>
      <c r="I3393" s="32" t="n">
        <v>31353.115</v>
      </c>
      <c r="K3393" s="32" t="inlineStr">
        <is>
          <t>20250514-17</t>
        </is>
      </c>
    </row>
    <row r="3394">
      <c r="A3394" s="32" t="n">
        <v>7</v>
      </c>
      <c r="B3394" s="32" t="inlineStr">
        <is>
          <t>EPA1633 &amp; diPAPs Calibration 10 ppb</t>
        </is>
      </c>
      <c r="D3394" s="32" t="n">
        <v>13.31</v>
      </c>
      <c r="E3394" s="32" t="n">
        <v>24876.852</v>
      </c>
      <c r="G3394" s="32" t="n">
        <v>267.158</v>
      </c>
      <c r="H3394" s="32" t="inlineStr">
        <is>
          <t>bb</t>
        </is>
      </c>
      <c r="I3394" s="32" t="n">
        <v>24876.852</v>
      </c>
      <c r="K3394" s="32" t="inlineStr">
        <is>
          <t>20250514-18</t>
        </is>
      </c>
    </row>
    <row r="3395">
      <c r="A3395" s="32" t="n">
        <v>8</v>
      </c>
      <c r="B3395" s="32" t="inlineStr">
        <is>
          <t>EPA1633 &amp; diPAPs Calibration 20 ppb</t>
        </is>
      </c>
      <c r="D3395" s="32" t="n">
        <v>13.33</v>
      </c>
      <c r="E3395" s="32" t="n">
        <v>27180.736</v>
      </c>
      <c r="G3395" s="32" t="n">
        <v>84.465</v>
      </c>
      <c r="H3395" s="32" t="inlineStr">
        <is>
          <t>bb</t>
        </is>
      </c>
      <c r="I3395" s="32" t="n">
        <v>27180.736</v>
      </c>
      <c r="K3395" s="32" t="inlineStr">
        <is>
          <t>20250514-19</t>
        </is>
      </c>
    </row>
    <row r="3396">
      <c r="A3396" s="32" t="n">
        <v>9</v>
      </c>
      <c r="B3396" s="32" t="inlineStr">
        <is>
          <t>MeOH</t>
        </is>
      </c>
      <c r="D3396" s="32" t="n">
        <v>13.39</v>
      </c>
      <c r="E3396" s="32" t="n">
        <v>104.067</v>
      </c>
      <c r="G3396" s="32" t="n">
        <v>4.809</v>
      </c>
      <c r="H3396" s="32" t="inlineStr">
        <is>
          <t>bb</t>
        </is>
      </c>
      <c r="I3396" s="32" t="n">
        <v>104.067</v>
      </c>
      <c r="K3396" s="32" t="inlineStr">
        <is>
          <t>20250514-20</t>
        </is>
      </c>
    </row>
    <row r="3397">
      <c r="A3397" s="32" t="n">
        <v>10</v>
      </c>
      <c r="B3397" s="32" t="inlineStr">
        <is>
          <t>MeOH</t>
        </is>
      </c>
      <c r="K3397" s="32" t="inlineStr">
        <is>
          <t>20250514-21</t>
        </is>
      </c>
    </row>
    <row r="3398">
      <c r="A3398" s="32" t="n">
        <v>11</v>
      </c>
      <c r="B3398" s="32" t="inlineStr">
        <is>
          <t>SB1</t>
        </is>
      </c>
      <c r="D3398" s="32" t="n">
        <v>13.37</v>
      </c>
      <c r="E3398" s="32" t="n">
        <v>11892.281</v>
      </c>
      <c r="G3398" s="32" t="n">
        <v>479.455</v>
      </c>
      <c r="H3398" s="32" t="inlineStr">
        <is>
          <t>bb</t>
        </is>
      </c>
      <c r="I3398" s="32" t="n">
        <v>11892.281</v>
      </c>
      <c r="K3398" s="32" t="inlineStr">
        <is>
          <t>20250514-22</t>
        </is>
      </c>
    </row>
    <row r="3399">
      <c r="A3399" s="32" t="n">
        <v>12</v>
      </c>
      <c r="B3399" s="32" t="inlineStr">
        <is>
          <t>SB2</t>
        </is>
      </c>
      <c r="D3399" s="32" t="n">
        <v>13.37</v>
      </c>
      <c r="E3399" s="32" t="n">
        <v>11647.292</v>
      </c>
      <c r="G3399" s="32" t="n">
        <v>451.319</v>
      </c>
      <c r="H3399" s="32" t="inlineStr">
        <is>
          <t>bb</t>
        </is>
      </c>
      <c r="I3399" s="32" t="n">
        <v>11647.292</v>
      </c>
      <c r="K3399" s="32" t="inlineStr">
        <is>
          <t>20250514-23</t>
        </is>
      </c>
    </row>
    <row r="3400">
      <c r="A3400" s="32" t="n">
        <v>13</v>
      </c>
      <c r="B3400" s="32" t="inlineStr">
        <is>
          <t>SB3</t>
        </is>
      </c>
      <c r="D3400" s="32" t="n">
        <v>13.37</v>
      </c>
      <c r="E3400" s="32" t="n">
        <v>11095.197</v>
      </c>
      <c r="G3400" s="32" t="n">
        <v>75.405</v>
      </c>
      <c r="H3400" s="32" t="inlineStr">
        <is>
          <t>bb</t>
        </is>
      </c>
      <c r="I3400" s="32" t="n">
        <v>11095.197</v>
      </c>
      <c r="K3400" s="32" t="inlineStr">
        <is>
          <t>20250514-24</t>
        </is>
      </c>
    </row>
    <row r="3401">
      <c r="A3401" s="32" t="n">
        <v>14</v>
      </c>
      <c r="B3401" s="32" t="inlineStr">
        <is>
          <t>SS1</t>
        </is>
      </c>
      <c r="D3401" s="32" t="n">
        <v>13.41</v>
      </c>
      <c r="E3401" s="32" t="n">
        <v>11531.352</v>
      </c>
      <c r="G3401" s="32" t="n">
        <v>113.83</v>
      </c>
      <c r="H3401" s="32" t="inlineStr">
        <is>
          <t>bb</t>
        </is>
      </c>
      <c r="I3401" s="32" t="n">
        <v>11531.352</v>
      </c>
      <c r="K3401" s="32" t="inlineStr">
        <is>
          <t>20250514-25</t>
        </is>
      </c>
    </row>
    <row r="3402">
      <c r="A3402" s="32" t="n">
        <v>15</v>
      </c>
      <c r="B3402" s="32" t="inlineStr">
        <is>
          <t>SS2</t>
        </is>
      </c>
      <c r="D3402" s="32" t="n">
        <v>13.41</v>
      </c>
      <c r="E3402" s="32" t="n">
        <v>12029.308</v>
      </c>
      <c r="G3402" s="32" t="n">
        <v>247.896</v>
      </c>
      <c r="H3402" s="32" t="inlineStr">
        <is>
          <t>bb</t>
        </is>
      </c>
      <c r="I3402" s="32" t="n">
        <v>12029.308</v>
      </c>
      <c r="K3402" s="32" t="inlineStr">
        <is>
          <t>20250514-26</t>
        </is>
      </c>
    </row>
    <row r="3403">
      <c r="A3403" s="32" t="n">
        <v>16</v>
      </c>
      <c r="B3403" s="32" t="inlineStr">
        <is>
          <t>SS3</t>
        </is>
      </c>
      <c r="D3403" s="32" t="n">
        <v>13.42</v>
      </c>
      <c r="E3403" s="32" t="n">
        <v>11215.118</v>
      </c>
      <c r="G3403" s="32" t="n">
        <v>1064.23</v>
      </c>
      <c r="H3403" s="32" t="inlineStr">
        <is>
          <t>bb</t>
        </is>
      </c>
      <c r="I3403" s="32" t="n">
        <v>11215.118</v>
      </c>
      <c r="K3403" s="32" t="inlineStr">
        <is>
          <t>20250514-27</t>
        </is>
      </c>
    </row>
    <row r="3404">
      <c r="A3404" s="32" t="n">
        <v>17</v>
      </c>
      <c r="B3404" s="32" t="inlineStr">
        <is>
          <t>MeOH</t>
        </is>
      </c>
      <c r="K3404" s="32" t="inlineStr">
        <is>
          <t>20250514-28</t>
        </is>
      </c>
    </row>
    <row r="3405">
      <c r="A3405" s="32" t="n">
        <v>18</v>
      </c>
      <c r="B3405" s="32" t="inlineStr">
        <is>
          <t>K4-1A</t>
        </is>
      </c>
      <c r="D3405" s="32" t="n">
        <v>13.42</v>
      </c>
      <c r="E3405" s="32" t="n">
        <v>14303.523</v>
      </c>
      <c r="G3405" s="32" t="n">
        <v>91096.55100000001</v>
      </c>
      <c r="H3405" s="32" t="inlineStr">
        <is>
          <t>bb</t>
        </is>
      </c>
      <c r="I3405" s="32" t="n">
        <v>14303.523</v>
      </c>
      <c r="K3405" s="32" t="inlineStr">
        <is>
          <t>20250514-29</t>
        </is>
      </c>
    </row>
    <row r="3406">
      <c r="A3406" s="32" t="n">
        <v>19</v>
      </c>
      <c r="B3406" s="32" t="inlineStr">
        <is>
          <t>K4-1B</t>
        </is>
      </c>
      <c r="D3406" s="32" t="n">
        <v>13.42</v>
      </c>
      <c r="E3406" s="32" t="n">
        <v>13586.268</v>
      </c>
      <c r="G3406" s="32" t="n">
        <v>1555.966</v>
      </c>
      <c r="H3406" s="32" t="inlineStr">
        <is>
          <t>bb</t>
        </is>
      </c>
      <c r="I3406" s="32" t="n">
        <v>13586.268</v>
      </c>
      <c r="K3406" s="32" t="inlineStr">
        <is>
          <t>20250514-30</t>
        </is>
      </c>
    </row>
    <row r="3407">
      <c r="A3407" s="32" t="n">
        <v>20</v>
      </c>
      <c r="B3407" s="32" t="inlineStr">
        <is>
          <t>K4-1C</t>
        </is>
      </c>
      <c r="D3407" s="32" t="n">
        <v>13.44</v>
      </c>
      <c r="E3407" s="32" t="n">
        <v>14246.736</v>
      </c>
      <c r="G3407" s="32" t="n">
        <v>1384.852</v>
      </c>
      <c r="H3407" s="32" t="inlineStr">
        <is>
          <t>bb</t>
        </is>
      </c>
      <c r="I3407" s="32" t="n">
        <v>14246.736</v>
      </c>
      <c r="K3407" s="32" t="inlineStr">
        <is>
          <t>20250514-31</t>
        </is>
      </c>
    </row>
    <row r="3408">
      <c r="A3408" s="32" t="n">
        <v>21</v>
      </c>
      <c r="B3408" s="32" t="inlineStr">
        <is>
          <t>K4-2A</t>
        </is>
      </c>
      <c r="D3408" s="32" t="n">
        <v>13.44</v>
      </c>
      <c r="E3408" s="32" t="n">
        <v>12497.551</v>
      </c>
      <c r="G3408" s="32" t="n">
        <v>189.924</v>
      </c>
      <c r="H3408" s="32" t="inlineStr">
        <is>
          <t>bb</t>
        </is>
      </c>
      <c r="I3408" s="32" t="n">
        <v>12497.551</v>
      </c>
      <c r="K3408" s="32" t="inlineStr">
        <is>
          <t>20250514-32</t>
        </is>
      </c>
    </row>
    <row r="3409">
      <c r="A3409" s="32" t="n">
        <v>22</v>
      </c>
      <c r="B3409" s="32" t="inlineStr">
        <is>
          <t>K4-2B</t>
        </is>
      </c>
      <c r="D3409" s="32" t="n">
        <v>13.44</v>
      </c>
      <c r="E3409" s="32" t="n">
        <v>11936.793</v>
      </c>
      <c r="G3409" s="32" t="n">
        <v>3182.717</v>
      </c>
      <c r="H3409" s="32" t="inlineStr">
        <is>
          <t>bb</t>
        </is>
      </c>
      <c r="I3409" s="32" t="n">
        <v>11936.793</v>
      </c>
      <c r="K3409" s="32" t="inlineStr">
        <is>
          <t>20250514-33</t>
        </is>
      </c>
    </row>
    <row r="3410">
      <c r="A3410" s="32" t="n">
        <v>23</v>
      </c>
      <c r="B3410" s="32" t="inlineStr">
        <is>
          <t>K4-2C</t>
        </is>
      </c>
      <c r="D3410" s="32" t="n">
        <v>13.46</v>
      </c>
      <c r="E3410" s="32" t="n">
        <v>10641.741</v>
      </c>
      <c r="G3410" s="32" t="n">
        <v>67818</v>
      </c>
      <c r="H3410" s="32" t="inlineStr">
        <is>
          <t>bb</t>
        </is>
      </c>
      <c r="I3410" s="32" t="n">
        <v>10641.741</v>
      </c>
      <c r="K3410" s="32" t="inlineStr">
        <is>
          <t>20250514-34</t>
        </is>
      </c>
    </row>
    <row r="3411">
      <c r="A3411" s="32" t="n">
        <v>24</v>
      </c>
      <c r="B3411" s="32" t="inlineStr">
        <is>
          <t>MeOH</t>
        </is>
      </c>
      <c r="D3411" s="32" t="n">
        <v>13.49</v>
      </c>
      <c r="E3411" s="32" t="n">
        <v>43.982</v>
      </c>
      <c r="G3411" s="32" t="n">
        <v>2.853</v>
      </c>
      <c r="H3411" s="32" t="inlineStr">
        <is>
          <t>bb</t>
        </is>
      </c>
      <c r="I3411" s="32" t="n">
        <v>43.982</v>
      </c>
      <c r="K3411" s="32" t="inlineStr">
        <is>
          <t>20250514-35</t>
        </is>
      </c>
    </row>
    <row r="3412">
      <c r="A3412" s="32" t="n">
        <v>25</v>
      </c>
      <c r="B3412" s="32" t="inlineStr">
        <is>
          <t>K4-4A</t>
        </is>
      </c>
      <c r="D3412" s="32" t="n">
        <v>13.47</v>
      </c>
      <c r="E3412" s="32" t="n">
        <v>11983.559</v>
      </c>
      <c r="G3412" s="32" t="n">
        <v>437.66</v>
      </c>
      <c r="H3412" s="32" t="inlineStr">
        <is>
          <t>bb</t>
        </is>
      </c>
      <c r="I3412" s="32" t="n">
        <v>11983.559</v>
      </c>
      <c r="K3412" s="32" t="inlineStr">
        <is>
          <t>20250514-36</t>
        </is>
      </c>
    </row>
    <row r="3413">
      <c r="A3413" s="32" t="n">
        <v>26</v>
      </c>
      <c r="B3413" s="32" t="inlineStr">
        <is>
          <t>K4-4B</t>
        </is>
      </c>
      <c r="D3413" s="32" t="n">
        <v>13.47</v>
      </c>
      <c r="E3413" s="32" t="n">
        <v>11308.573</v>
      </c>
      <c r="G3413" s="32" t="n">
        <v>185.637</v>
      </c>
      <c r="H3413" s="32" t="inlineStr">
        <is>
          <t>bb</t>
        </is>
      </c>
      <c r="I3413" s="32" t="n">
        <v>11308.573</v>
      </c>
      <c r="K3413" s="32" t="inlineStr">
        <is>
          <t>20250514-37</t>
        </is>
      </c>
    </row>
    <row r="3414">
      <c r="A3414" s="32" t="n">
        <v>27</v>
      </c>
      <c r="B3414" s="32" t="inlineStr">
        <is>
          <t>K4-4C</t>
        </is>
      </c>
      <c r="D3414" s="32" t="n">
        <v>13.47</v>
      </c>
      <c r="E3414" s="32" t="n">
        <v>11266.559</v>
      </c>
      <c r="G3414" s="32" t="n">
        <v>925.572</v>
      </c>
      <c r="H3414" s="32" t="inlineStr">
        <is>
          <t>bb</t>
        </is>
      </c>
      <c r="I3414" s="32" t="n">
        <v>11266.559</v>
      </c>
      <c r="K3414" s="32" t="inlineStr">
        <is>
          <t>20250514-38</t>
        </is>
      </c>
    </row>
    <row r="3415">
      <c r="A3415" s="32" t="n">
        <v>28</v>
      </c>
      <c r="B3415" s="32" t="inlineStr">
        <is>
          <t>K4-5A</t>
        </is>
      </c>
      <c r="D3415" s="32" t="n">
        <v>13.45</v>
      </c>
      <c r="E3415" s="32" t="n">
        <v>11589.213</v>
      </c>
      <c r="G3415" s="32" t="n">
        <v>240.185</v>
      </c>
      <c r="H3415" s="32" t="inlineStr">
        <is>
          <t>bb</t>
        </is>
      </c>
      <c r="I3415" s="32" t="n">
        <v>11589.213</v>
      </c>
      <c r="K3415" s="32" t="inlineStr">
        <is>
          <t>20250514-39</t>
        </is>
      </c>
    </row>
    <row r="3416">
      <c r="A3416" s="32" t="n">
        <v>29</v>
      </c>
      <c r="B3416" s="32" t="inlineStr">
        <is>
          <t>K4-5B</t>
        </is>
      </c>
      <c r="D3416" s="32" t="n">
        <v>13.42</v>
      </c>
      <c r="E3416" s="32" t="n">
        <v>11507.958</v>
      </c>
      <c r="G3416" s="32" t="n">
        <v>1420.731</v>
      </c>
      <c r="H3416" s="32" t="inlineStr">
        <is>
          <t>bb</t>
        </is>
      </c>
      <c r="I3416" s="32" t="n">
        <v>11507.958</v>
      </c>
      <c r="K3416" s="32" t="inlineStr">
        <is>
          <t>20250514-40</t>
        </is>
      </c>
    </row>
    <row r="3417">
      <c r="A3417" s="32" t="n">
        <v>30</v>
      </c>
      <c r="B3417" s="32" t="inlineStr">
        <is>
          <t>K4-5C</t>
        </is>
      </c>
      <c r="D3417" s="32" t="n">
        <v>13.36</v>
      </c>
      <c r="E3417" s="32" t="n">
        <v>11597.774</v>
      </c>
      <c r="G3417" s="32" t="n">
        <v>2117.344</v>
      </c>
      <c r="H3417" s="32" t="inlineStr">
        <is>
          <t>bb</t>
        </is>
      </c>
      <c r="I3417" s="32" t="n">
        <v>11597.774</v>
      </c>
      <c r="K3417" s="32" t="inlineStr">
        <is>
          <t>20250514-41</t>
        </is>
      </c>
    </row>
    <row r="3418">
      <c r="A3418" s="32" t="n">
        <v>31</v>
      </c>
      <c r="B3418" s="32" t="inlineStr">
        <is>
          <t>MeOH</t>
        </is>
      </c>
      <c r="K3418" s="32" t="inlineStr">
        <is>
          <t>20250514-42</t>
        </is>
      </c>
    </row>
    <row r="3419">
      <c r="A3419" s="32" t="n">
        <v>32</v>
      </c>
      <c r="B3419" s="32" t="inlineStr">
        <is>
          <t>K3-1A</t>
        </is>
      </c>
      <c r="D3419" s="32" t="n">
        <v>13.31</v>
      </c>
      <c r="E3419" s="32" t="n">
        <v>11413.747</v>
      </c>
      <c r="G3419" s="32" t="n">
        <v>171.42</v>
      </c>
      <c r="H3419" s="32" t="inlineStr">
        <is>
          <t>bb</t>
        </is>
      </c>
      <c r="I3419" s="32" t="n">
        <v>11413.747</v>
      </c>
      <c r="K3419" s="32" t="inlineStr">
        <is>
          <t>20250514-43</t>
        </is>
      </c>
    </row>
    <row r="3420">
      <c r="A3420" s="32" t="n">
        <v>33</v>
      </c>
      <c r="B3420" s="32" t="inlineStr">
        <is>
          <t>K3-1B</t>
        </is>
      </c>
      <c r="D3420" s="32" t="n">
        <v>13.33</v>
      </c>
      <c r="E3420" s="32" t="n">
        <v>10497.812</v>
      </c>
      <c r="G3420" s="32" t="n">
        <v>382.168</v>
      </c>
      <c r="H3420" s="32" t="inlineStr">
        <is>
          <t>bb</t>
        </is>
      </c>
      <c r="I3420" s="32" t="n">
        <v>10497.812</v>
      </c>
      <c r="K3420" s="32" t="inlineStr">
        <is>
          <t>20250514-44</t>
        </is>
      </c>
    </row>
    <row r="3421">
      <c r="A3421" s="32" t="n">
        <v>34</v>
      </c>
      <c r="B3421" s="32" t="inlineStr">
        <is>
          <t>K3-1C</t>
        </is>
      </c>
      <c r="D3421" s="32" t="n">
        <v>13.37</v>
      </c>
      <c r="E3421" s="32" t="n">
        <v>15723.158</v>
      </c>
      <c r="G3421" s="32" t="n">
        <v>526.133</v>
      </c>
      <c r="H3421" s="32" t="inlineStr">
        <is>
          <t>bb</t>
        </is>
      </c>
      <c r="I3421" s="32" t="n">
        <v>15723.158</v>
      </c>
      <c r="K3421" s="32" t="inlineStr">
        <is>
          <t>20250514-45</t>
        </is>
      </c>
    </row>
    <row r="3422">
      <c r="A3422" s="32" t="n">
        <v>35</v>
      </c>
      <c r="B3422" s="32" t="inlineStr">
        <is>
          <t>K3-2A</t>
        </is>
      </c>
      <c r="D3422" s="32" t="n">
        <v>13.39</v>
      </c>
      <c r="E3422" s="32" t="n">
        <v>14455.79</v>
      </c>
      <c r="G3422" s="32" t="n">
        <v>91132</v>
      </c>
      <c r="H3422" s="32" t="inlineStr">
        <is>
          <t>bb</t>
        </is>
      </c>
      <c r="I3422" s="32" t="n">
        <v>14455.79</v>
      </c>
      <c r="K3422" s="32" t="inlineStr">
        <is>
          <t>20250514-46</t>
        </is>
      </c>
    </row>
    <row r="3423">
      <c r="A3423" s="32" t="n">
        <v>36</v>
      </c>
      <c r="B3423" s="32" t="inlineStr">
        <is>
          <t>K3-2B</t>
        </is>
      </c>
      <c r="D3423" s="32" t="n">
        <v>13.39</v>
      </c>
      <c r="E3423" s="32" t="n">
        <v>18298.676</v>
      </c>
      <c r="G3423" s="32" t="n">
        <v>136.629</v>
      </c>
      <c r="H3423" s="32" t="inlineStr">
        <is>
          <t>bb</t>
        </is>
      </c>
      <c r="I3423" s="32" t="n">
        <v>18298.676</v>
      </c>
      <c r="K3423" s="32" t="inlineStr">
        <is>
          <t>20250514-47</t>
        </is>
      </c>
    </row>
    <row r="3424">
      <c r="A3424" s="32" t="n">
        <v>37</v>
      </c>
      <c r="B3424" s="32" t="inlineStr">
        <is>
          <t>K3-2C</t>
        </is>
      </c>
      <c r="D3424" s="32" t="n">
        <v>13.39</v>
      </c>
      <c r="E3424" s="32" t="n">
        <v>14690.529</v>
      </c>
      <c r="G3424" s="32" t="n">
        <v>167.864</v>
      </c>
      <c r="H3424" s="32" t="inlineStr">
        <is>
          <t>bb</t>
        </is>
      </c>
      <c r="I3424" s="32" t="n">
        <v>14690.529</v>
      </c>
      <c r="K3424" s="32" t="inlineStr">
        <is>
          <t>20250514-48</t>
        </is>
      </c>
    </row>
    <row r="3425">
      <c r="A3425" s="32" t="n">
        <v>38</v>
      </c>
      <c r="B3425" s="32" t="inlineStr">
        <is>
          <t>MeOH</t>
        </is>
      </c>
      <c r="K3425" s="32" t="inlineStr">
        <is>
          <t>20250514-49</t>
        </is>
      </c>
    </row>
    <row r="3426">
      <c r="A3426" s="32" t="n">
        <v>39</v>
      </c>
      <c r="B3426" s="32" t="inlineStr">
        <is>
          <t>K3-3A</t>
        </is>
      </c>
      <c r="D3426" s="32" t="n">
        <v>13.42</v>
      </c>
      <c r="E3426" s="32" t="n">
        <v>13657.874</v>
      </c>
      <c r="G3426" s="32" t="n">
        <v>91.29900000000001</v>
      </c>
      <c r="H3426" s="32" t="inlineStr">
        <is>
          <t>bb</t>
        </is>
      </c>
      <c r="I3426" s="32" t="n">
        <v>13657.874</v>
      </c>
      <c r="K3426" s="32" t="inlineStr">
        <is>
          <t>20250514-50</t>
        </is>
      </c>
    </row>
    <row r="3427">
      <c r="A3427" s="32" t="n">
        <v>40</v>
      </c>
      <c r="B3427" s="32" t="inlineStr">
        <is>
          <t>K3-3B</t>
        </is>
      </c>
      <c r="D3427" s="32" t="n">
        <v>13.42</v>
      </c>
      <c r="E3427" s="32" t="n">
        <v>15926.61</v>
      </c>
      <c r="G3427" s="32" t="n">
        <v>99452</v>
      </c>
      <c r="H3427" s="32" t="inlineStr">
        <is>
          <t>bb</t>
        </is>
      </c>
      <c r="I3427" s="32" t="n">
        <v>15926.61</v>
      </c>
      <c r="K3427" s="32" t="inlineStr">
        <is>
          <t>20250514-51</t>
        </is>
      </c>
    </row>
    <row r="3428">
      <c r="A3428" s="32" t="n">
        <v>41</v>
      </c>
      <c r="B3428" s="32" t="inlineStr">
        <is>
          <t>K3-3C</t>
        </is>
      </c>
      <c r="D3428" s="32" t="n">
        <v>13.42</v>
      </c>
      <c r="E3428" s="32" t="n">
        <v>17799.131</v>
      </c>
      <c r="G3428" s="32" t="n">
        <v>1161.874</v>
      </c>
      <c r="H3428" s="32" t="inlineStr">
        <is>
          <t>bb</t>
        </is>
      </c>
      <c r="I3428" s="32" t="n">
        <v>17799.131</v>
      </c>
      <c r="K3428" s="32" t="inlineStr">
        <is>
          <t>20250514-52</t>
        </is>
      </c>
    </row>
    <row r="3429">
      <c r="A3429" s="32" t="n">
        <v>42</v>
      </c>
      <c r="B3429" s="32" t="inlineStr">
        <is>
          <t>K3-4A</t>
        </is>
      </c>
      <c r="D3429" s="32" t="n">
        <v>13.47</v>
      </c>
      <c r="E3429" s="32" t="n">
        <v>18321.529</v>
      </c>
      <c r="G3429" s="32" t="n">
        <v>1438.97</v>
      </c>
      <c r="H3429" s="32" t="inlineStr">
        <is>
          <t>bb</t>
        </is>
      </c>
      <c r="I3429" s="32" t="n">
        <v>18321.529</v>
      </c>
      <c r="K3429" s="32" t="inlineStr">
        <is>
          <t>20250514-53</t>
        </is>
      </c>
    </row>
    <row r="3430">
      <c r="A3430" s="32" t="n">
        <v>43</v>
      </c>
      <c r="B3430" s="32" t="inlineStr">
        <is>
          <t>K3-4B</t>
        </is>
      </c>
      <c r="D3430" s="32" t="n">
        <v>13.46</v>
      </c>
      <c r="E3430" s="32" t="n">
        <v>17738.742</v>
      </c>
      <c r="G3430" s="32" t="n">
        <v>114331</v>
      </c>
      <c r="H3430" s="32" t="inlineStr">
        <is>
          <t>bb</t>
        </is>
      </c>
      <c r="I3430" s="32" t="n">
        <v>17738.742</v>
      </c>
      <c r="K3430" s="32" t="inlineStr">
        <is>
          <t>20250514-54</t>
        </is>
      </c>
    </row>
    <row r="3431">
      <c r="A3431" s="32" t="n">
        <v>44</v>
      </c>
      <c r="B3431" s="32" t="inlineStr">
        <is>
          <t>K3-4C</t>
        </is>
      </c>
      <c r="D3431" s="32" t="n">
        <v>13.5</v>
      </c>
      <c r="E3431" s="32" t="n">
        <v>19555.072</v>
      </c>
      <c r="G3431" s="32" t="n">
        <v>1983.844</v>
      </c>
      <c r="H3431" s="32" t="inlineStr">
        <is>
          <t>bb</t>
        </is>
      </c>
      <c r="I3431" s="32" t="n">
        <v>19555.072</v>
      </c>
      <c r="K3431" s="32" t="inlineStr">
        <is>
          <t>20250514-55</t>
        </is>
      </c>
    </row>
    <row r="3432">
      <c r="A3432" s="32" t="n">
        <v>45</v>
      </c>
      <c r="B3432" s="32" t="inlineStr">
        <is>
          <t>MeOH</t>
        </is>
      </c>
      <c r="D3432" s="32" t="n">
        <v>13.5</v>
      </c>
      <c r="E3432" s="32" t="n">
        <v>23.206</v>
      </c>
      <c r="G3432" s="32" t="n">
        <v>3.751</v>
      </c>
      <c r="H3432" s="32" t="inlineStr">
        <is>
          <t>bb</t>
        </is>
      </c>
      <c r="I3432" s="32" t="n">
        <v>23.206</v>
      </c>
      <c r="K3432" s="32" t="inlineStr">
        <is>
          <t>20250514-56</t>
        </is>
      </c>
    </row>
    <row r="3433">
      <c r="A3433" s="32" t="n">
        <v>46</v>
      </c>
      <c r="B3433" s="32" t="inlineStr">
        <is>
          <t>K3-6A</t>
        </is>
      </c>
      <c r="D3433" s="32" t="n">
        <v>13.5</v>
      </c>
      <c r="E3433" s="32" t="n">
        <v>18234.711</v>
      </c>
      <c r="G3433" s="32" t="n">
        <v>714.509</v>
      </c>
      <c r="H3433" s="32" t="inlineStr">
        <is>
          <t>bb</t>
        </is>
      </c>
      <c r="I3433" s="32" t="n">
        <v>18234.711</v>
      </c>
      <c r="K3433" s="32" t="inlineStr">
        <is>
          <t>20250514-57</t>
        </is>
      </c>
    </row>
    <row r="3434">
      <c r="A3434" s="32" t="n">
        <v>47</v>
      </c>
      <c r="B3434" s="32" t="inlineStr">
        <is>
          <t>K3-6B</t>
        </is>
      </c>
      <c r="D3434" s="32" t="n">
        <v>13.5</v>
      </c>
      <c r="E3434" s="32" t="n">
        <v>14472.663</v>
      </c>
      <c r="G3434" s="32" t="n">
        <v>96179</v>
      </c>
      <c r="H3434" s="32" t="inlineStr">
        <is>
          <t>bb</t>
        </is>
      </c>
      <c r="I3434" s="32" t="n">
        <v>14472.663</v>
      </c>
      <c r="K3434" s="32" t="inlineStr">
        <is>
          <t>20250514-58</t>
        </is>
      </c>
    </row>
    <row r="3435">
      <c r="A3435" s="32" t="n">
        <v>48</v>
      </c>
      <c r="B3435" s="32" t="inlineStr">
        <is>
          <t>K3-6C</t>
        </is>
      </c>
      <c r="D3435" s="32" t="n">
        <v>13.49</v>
      </c>
      <c r="E3435" s="32" t="n">
        <v>14478.732</v>
      </c>
      <c r="G3435" s="32" t="n">
        <v>542.622</v>
      </c>
      <c r="H3435" s="32" t="inlineStr">
        <is>
          <t>bb</t>
        </is>
      </c>
      <c r="I3435" s="32" t="n">
        <v>14478.732</v>
      </c>
      <c r="K3435" s="32" t="inlineStr">
        <is>
          <t>20250514-59</t>
        </is>
      </c>
    </row>
    <row r="3437">
      <c r="A3437" s="32" t="inlineStr">
        <is>
          <t>Compound 67:  PFNA 1</t>
        </is>
      </c>
    </row>
    <row r="3439">
      <c r="B3439" s="32" t="inlineStr">
        <is>
          <t>Sample Text</t>
        </is>
      </c>
      <c r="C3439" s="32" t="inlineStr">
        <is>
          <t>Std. Conc</t>
        </is>
      </c>
      <c r="D3439" s="32" t="inlineStr">
        <is>
          <t>RT</t>
        </is>
      </c>
      <c r="E3439" s="32" t="inlineStr">
        <is>
          <t>Area</t>
        </is>
      </c>
      <c r="F3439" s="32" t="inlineStr">
        <is>
          <t>IS Area</t>
        </is>
      </c>
      <c r="G3439" s="32" t="inlineStr">
        <is>
          <t>S/N</t>
        </is>
      </c>
      <c r="H3439" s="32" t="inlineStr">
        <is>
          <t>Primary Flags</t>
        </is>
      </c>
      <c r="I3439" s="32" t="inlineStr">
        <is>
          <t>Response</t>
        </is>
      </c>
      <c r="J3439" s="32" t="inlineStr">
        <is>
          <t>Conc.</t>
        </is>
      </c>
      <c r="K3439" s="32" t="inlineStr">
        <is>
          <t>Name</t>
        </is>
      </c>
    </row>
    <row r="3440">
      <c r="A3440" s="32" t="n">
        <v>1</v>
      </c>
      <c r="B3440" s="32" t="inlineStr">
        <is>
          <t>EPA1633 &amp; diPAPs Calibration 0 ppb</t>
        </is>
      </c>
      <c r="D3440" s="32" t="n">
        <v>13.12</v>
      </c>
      <c r="E3440" s="32" t="n">
        <v>582.0890000000001</v>
      </c>
      <c r="F3440" s="32" t="n">
        <v>8092.868</v>
      </c>
      <c r="G3440" s="32" t="n">
        <v>6.546</v>
      </c>
      <c r="H3440" s="32" t="inlineStr">
        <is>
          <t>MM</t>
        </is>
      </c>
      <c r="K3440" s="32" t="inlineStr">
        <is>
          <t>20250514-12</t>
        </is>
      </c>
    </row>
    <row r="3441">
      <c r="A3441" s="32" t="n">
        <v>2</v>
      </c>
      <c r="B3441" s="32" t="inlineStr">
        <is>
          <t>EPA1633 &amp; diPAPs Calibration 0.02 ppb</t>
        </is>
      </c>
      <c r="D3441" s="32" t="n">
        <v>13.08</v>
      </c>
      <c r="E3441" s="32" t="n">
        <v>655.582</v>
      </c>
      <c r="F3441" s="32" t="n">
        <v>8014.825</v>
      </c>
      <c r="G3441" s="32" t="n">
        <v>11.614</v>
      </c>
      <c r="H3441" s="32" t="inlineStr">
        <is>
          <t>MM</t>
        </is>
      </c>
      <c r="K3441" s="32" t="inlineStr">
        <is>
          <t>20250514-13</t>
        </is>
      </c>
    </row>
    <row r="3442">
      <c r="A3442" s="32" t="n">
        <v>3</v>
      </c>
      <c r="B3442" s="32" t="inlineStr">
        <is>
          <t>EPA1633 &amp; diPAPs Calibration 0.1 ppb</t>
        </is>
      </c>
      <c r="D3442" s="32" t="n">
        <v>13.06</v>
      </c>
      <c r="E3442" s="32" t="n">
        <v>1201.664</v>
      </c>
      <c r="F3442" s="32" t="n">
        <v>7789.75</v>
      </c>
      <c r="G3442" s="32" t="n">
        <v>8.529999999999999</v>
      </c>
      <c r="H3442" s="32" t="inlineStr">
        <is>
          <t>MM</t>
        </is>
      </c>
      <c r="K3442" s="32" t="inlineStr">
        <is>
          <t>20250514-14</t>
        </is>
      </c>
    </row>
    <row r="3443">
      <c r="A3443" s="32" t="n">
        <v>4</v>
      </c>
      <c r="B3443" s="32" t="inlineStr">
        <is>
          <t>EPA1633 &amp; diPAPs Calibration 0.4 ppb</t>
        </is>
      </c>
      <c r="D3443" s="32" t="n">
        <v>13.03</v>
      </c>
      <c r="E3443" s="32" t="n">
        <v>1572.106</v>
      </c>
      <c r="F3443" s="32" t="n">
        <v>7364.624</v>
      </c>
      <c r="G3443" s="32" t="n">
        <v>10.553</v>
      </c>
      <c r="H3443" s="32" t="inlineStr">
        <is>
          <t>bb</t>
        </is>
      </c>
      <c r="K3443" s="32" t="inlineStr">
        <is>
          <t>20250514-15</t>
        </is>
      </c>
    </row>
    <row r="3444">
      <c r="A3444" s="32" t="n">
        <v>5</v>
      </c>
      <c r="B3444" s="32" t="inlineStr">
        <is>
          <t>EPA1633 &amp; diPAPs Calibration 1 ppb</t>
        </is>
      </c>
      <c r="D3444" s="32" t="n">
        <v>13.05</v>
      </c>
      <c r="E3444" s="32" t="n">
        <v>2271.313</v>
      </c>
      <c r="F3444" s="32" t="n">
        <v>8117.523</v>
      </c>
      <c r="G3444" s="32" t="n">
        <v>29.189</v>
      </c>
      <c r="H3444" s="32" t="inlineStr">
        <is>
          <t>bb</t>
        </is>
      </c>
      <c r="K3444" s="32" t="inlineStr">
        <is>
          <t>20250514-16</t>
        </is>
      </c>
    </row>
    <row r="3445">
      <c r="A3445" s="32" t="n">
        <v>6</v>
      </c>
      <c r="B3445" s="32" t="inlineStr">
        <is>
          <t>EPA1633 &amp; diPAPs Calibration 5 ppb</t>
        </is>
      </c>
      <c r="D3445" s="32" t="n">
        <v>12.96</v>
      </c>
      <c r="E3445" s="32" t="n">
        <v>8166.67</v>
      </c>
      <c r="F3445" s="32" t="n">
        <v>6441.461</v>
      </c>
      <c r="G3445" s="32" t="n">
        <v>183.309</v>
      </c>
      <c r="H3445" s="32" t="inlineStr">
        <is>
          <t>db</t>
        </is>
      </c>
      <c r="K3445" s="32" t="inlineStr">
        <is>
          <t>20250514-17</t>
        </is>
      </c>
    </row>
    <row r="3446">
      <c r="A3446" s="32" t="n">
        <v>7</v>
      </c>
      <c r="B3446" s="32" t="inlineStr">
        <is>
          <t>EPA1633 &amp; diPAPs Calibration 10 ppb</t>
        </is>
      </c>
      <c r="D3446" s="32" t="n">
        <v>12.96</v>
      </c>
      <c r="E3446" s="32" t="n">
        <v>13376.505</v>
      </c>
      <c r="F3446" s="32" t="n">
        <v>5311.949</v>
      </c>
      <c r="G3446" s="32" t="n">
        <v>149.528</v>
      </c>
      <c r="H3446" s="32" t="inlineStr">
        <is>
          <t>MM</t>
        </is>
      </c>
      <c r="K3446" s="32" t="inlineStr">
        <is>
          <t>20250514-18</t>
        </is>
      </c>
    </row>
    <row r="3447">
      <c r="A3447" s="32" t="n">
        <v>8</v>
      </c>
      <c r="B3447" s="32" t="inlineStr">
        <is>
          <t>EPA1633 &amp; diPAPs Calibration 20 ppb</t>
        </is>
      </c>
      <c r="D3447" s="32" t="n">
        <v>12.99</v>
      </c>
      <c r="E3447" s="32" t="n">
        <v>26634.781</v>
      </c>
      <c r="F3447" s="32" t="n">
        <v>4766.589</v>
      </c>
      <c r="G3447" s="32" t="n">
        <v>321.497</v>
      </c>
      <c r="H3447" s="32" t="inlineStr">
        <is>
          <t>MM</t>
        </is>
      </c>
      <c r="K3447" s="32" t="inlineStr">
        <is>
          <t>20250514-19</t>
        </is>
      </c>
    </row>
    <row r="3448">
      <c r="A3448" s="32" t="n">
        <v>9</v>
      </c>
      <c r="B3448" s="32" t="inlineStr">
        <is>
          <t>MeOH</t>
        </is>
      </c>
      <c r="K3448" s="32" t="inlineStr">
        <is>
          <t>20250514-20</t>
        </is>
      </c>
    </row>
    <row r="3449">
      <c r="A3449" s="32" t="n">
        <v>10</v>
      </c>
      <c r="B3449" s="32" t="inlineStr">
        <is>
          <t>MeOH</t>
        </is>
      </c>
      <c r="D3449" s="32" t="n">
        <v>13.2</v>
      </c>
      <c r="E3449" s="32" t="n">
        <v>501.355</v>
      </c>
      <c r="G3449" s="32" t="n">
        <v>4.841</v>
      </c>
      <c r="H3449" s="32" t="inlineStr">
        <is>
          <t>bb</t>
        </is>
      </c>
      <c r="K3449" s="32" t="inlineStr">
        <is>
          <t>20250514-21</t>
        </is>
      </c>
    </row>
    <row r="3450">
      <c r="A3450" s="32" t="n">
        <v>11</v>
      </c>
      <c r="B3450" s="32" t="inlineStr">
        <is>
          <t>SB1</t>
        </is>
      </c>
      <c r="D3450" s="32" t="n">
        <v>13.03</v>
      </c>
      <c r="E3450" s="32" t="n">
        <v>3584.243</v>
      </c>
      <c r="F3450" s="32" t="n">
        <v>2451.924</v>
      </c>
      <c r="G3450" s="32" t="n">
        <v>56.209</v>
      </c>
      <c r="H3450" s="32" t="inlineStr">
        <is>
          <t>bb</t>
        </is>
      </c>
      <c r="K3450" s="32" t="inlineStr">
        <is>
          <t>20250514-22</t>
        </is>
      </c>
    </row>
    <row r="3451">
      <c r="A3451" s="32" t="n">
        <v>12</v>
      </c>
      <c r="B3451" s="32" t="inlineStr">
        <is>
          <t>SB2</t>
        </is>
      </c>
      <c r="D3451" s="32" t="n">
        <v>13.09</v>
      </c>
      <c r="E3451" s="32" t="n">
        <v>395.061</v>
      </c>
      <c r="F3451" s="32" t="n">
        <v>2271.8</v>
      </c>
      <c r="G3451" s="32" t="n">
        <v>7.892</v>
      </c>
      <c r="H3451" s="32" t="inlineStr">
        <is>
          <t>MM</t>
        </is>
      </c>
      <c r="K3451" s="32" t="inlineStr">
        <is>
          <t>20250514-23</t>
        </is>
      </c>
    </row>
    <row r="3452">
      <c r="A3452" s="32" t="n">
        <v>13</v>
      </c>
      <c r="B3452" s="32" t="inlineStr">
        <is>
          <t>SB3</t>
        </is>
      </c>
      <c r="D3452" s="32" t="n">
        <v>13.11</v>
      </c>
      <c r="E3452" s="32" t="n">
        <v>394.23</v>
      </c>
      <c r="F3452" s="32" t="n">
        <v>1817.396</v>
      </c>
      <c r="G3452" s="32" t="n">
        <v>4.042</v>
      </c>
      <c r="H3452" s="32" t="inlineStr">
        <is>
          <t>bb</t>
        </is>
      </c>
      <c r="K3452" s="32" t="inlineStr">
        <is>
          <t>20250514-24</t>
        </is>
      </c>
    </row>
    <row r="3453">
      <c r="A3453" s="32" t="n">
        <v>14</v>
      </c>
      <c r="B3453" s="32" t="inlineStr">
        <is>
          <t>SS1</t>
        </is>
      </c>
      <c r="D3453" s="32" t="n">
        <v>13.06</v>
      </c>
      <c r="E3453" s="32" t="n">
        <v>5492.266</v>
      </c>
      <c r="F3453" s="32" t="n">
        <v>2217.159</v>
      </c>
      <c r="G3453" s="32" t="n">
        <v>97.759</v>
      </c>
      <c r="H3453" s="32" t="inlineStr">
        <is>
          <t>bb</t>
        </is>
      </c>
      <c r="K3453" s="32" t="inlineStr">
        <is>
          <t>20250514-25</t>
        </is>
      </c>
    </row>
    <row r="3454">
      <c r="A3454" s="32" t="n">
        <v>15</v>
      </c>
      <c r="B3454" s="32" t="inlineStr">
        <is>
          <t>SS2</t>
        </is>
      </c>
      <c r="D3454" s="32" t="n">
        <v>13.08</v>
      </c>
      <c r="E3454" s="32" t="n">
        <v>7511.217</v>
      </c>
      <c r="F3454" s="32" t="n">
        <v>2505.109</v>
      </c>
      <c r="G3454" s="32" t="n">
        <v>71.327</v>
      </c>
      <c r="H3454" s="32" t="inlineStr">
        <is>
          <t>MM</t>
        </is>
      </c>
      <c r="K3454" s="32" t="inlineStr">
        <is>
          <t>20250514-26</t>
        </is>
      </c>
    </row>
    <row r="3455">
      <c r="A3455" s="32" t="n">
        <v>16</v>
      </c>
      <c r="B3455" s="32" t="inlineStr">
        <is>
          <t>SS3</t>
        </is>
      </c>
      <c r="D3455" s="32" t="n">
        <v>13.08</v>
      </c>
      <c r="E3455" s="32" t="n">
        <v>5234.285</v>
      </c>
      <c r="F3455" s="32" t="n">
        <v>1762.056</v>
      </c>
      <c r="G3455" s="32" t="n">
        <v>141.337</v>
      </c>
      <c r="H3455" s="32" t="inlineStr">
        <is>
          <t>MM</t>
        </is>
      </c>
      <c r="K3455" s="32" t="inlineStr">
        <is>
          <t>20250514-27</t>
        </is>
      </c>
    </row>
    <row r="3456">
      <c r="A3456" s="32" t="n">
        <v>17</v>
      </c>
      <c r="B3456" s="32" t="inlineStr">
        <is>
          <t>MeOH</t>
        </is>
      </c>
      <c r="H3456" s="32" t="inlineStr">
        <is>
          <t>MM-</t>
        </is>
      </c>
      <c r="K3456" s="32" t="inlineStr">
        <is>
          <t>20250514-28</t>
        </is>
      </c>
    </row>
    <row r="3457">
      <c r="A3457" s="32" t="n">
        <v>18</v>
      </c>
      <c r="B3457" s="32" t="inlineStr">
        <is>
          <t>K4-1A</t>
        </is>
      </c>
      <c r="D3457" s="32" t="n">
        <v>13.11</v>
      </c>
      <c r="E3457" s="32" t="n">
        <v>639.808</v>
      </c>
      <c r="F3457" s="32" t="n">
        <v>3034.158</v>
      </c>
      <c r="G3457" s="32" t="n">
        <v>11.66</v>
      </c>
      <c r="H3457" s="32" t="inlineStr">
        <is>
          <t>MM</t>
        </is>
      </c>
      <c r="K3457" s="32" t="inlineStr">
        <is>
          <t>20250514-29</t>
        </is>
      </c>
    </row>
    <row r="3458">
      <c r="A3458" s="32" t="n">
        <v>19</v>
      </c>
      <c r="B3458" s="32" t="inlineStr">
        <is>
          <t>K4-1B</t>
        </is>
      </c>
      <c r="D3458" s="32" t="n">
        <v>13.12</v>
      </c>
      <c r="E3458" s="32" t="n">
        <v>505.925</v>
      </c>
      <c r="F3458" s="32" t="n">
        <v>3000.833</v>
      </c>
      <c r="G3458" s="32" t="n">
        <v>4.532</v>
      </c>
      <c r="H3458" s="32" t="inlineStr">
        <is>
          <t>bb</t>
        </is>
      </c>
      <c r="K3458" s="32" t="inlineStr">
        <is>
          <t>20250514-30</t>
        </is>
      </c>
    </row>
    <row r="3459">
      <c r="A3459" s="32" t="n">
        <v>20</v>
      </c>
      <c r="B3459" s="32" t="inlineStr">
        <is>
          <t>K4-1C</t>
        </is>
      </c>
      <c r="D3459" s="32" t="n">
        <v>13.11</v>
      </c>
      <c r="E3459" s="32" t="n">
        <v>454.594</v>
      </c>
      <c r="F3459" s="32" t="n">
        <v>2957.755</v>
      </c>
      <c r="G3459" s="32" t="n">
        <v>9.218</v>
      </c>
      <c r="H3459" s="32" t="inlineStr">
        <is>
          <t>bb</t>
        </is>
      </c>
      <c r="K3459" s="32" t="inlineStr">
        <is>
          <t>20250514-31</t>
        </is>
      </c>
    </row>
    <row r="3460">
      <c r="A3460" s="32" t="n">
        <v>21</v>
      </c>
      <c r="B3460" s="32" t="inlineStr">
        <is>
          <t>K4-2A</t>
        </is>
      </c>
      <c r="D3460" s="32" t="n">
        <v>13.11</v>
      </c>
      <c r="E3460" s="32" t="n">
        <v>975.433</v>
      </c>
      <c r="F3460" s="32" t="n">
        <v>2249.78</v>
      </c>
      <c r="G3460" s="32" t="n">
        <v>16.151</v>
      </c>
      <c r="H3460" s="32" t="inlineStr">
        <is>
          <t>MM</t>
        </is>
      </c>
      <c r="K3460" s="32" t="inlineStr">
        <is>
          <t>20250514-32</t>
        </is>
      </c>
    </row>
    <row r="3461">
      <c r="A3461" s="32" t="n">
        <v>22</v>
      </c>
      <c r="B3461" s="32" t="inlineStr">
        <is>
          <t>K4-2B</t>
        </is>
      </c>
      <c r="D3461" s="32" t="n">
        <v>13.12</v>
      </c>
      <c r="E3461" s="32" t="n">
        <v>294.048</v>
      </c>
      <c r="F3461" s="32" t="n">
        <v>2723.332</v>
      </c>
      <c r="G3461" s="32" t="n">
        <v>6.586</v>
      </c>
      <c r="H3461" s="32" t="inlineStr">
        <is>
          <t>MM</t>
        </is>
      </c>
      <c r="K3461" s="32" t="inlineStr">
        <is>
          <t>20250514-33</t>
        </is>
      </c>
    </row>
    <row r="3462">
      <c r="A3462" s="32" t="n">
        <v>23</v>
      </c>
      <c r="B3462" s="32" t="inlineStr">
        <is>
          <t>K4-2C</t>
        </is>
      </c>
      <c r="D3462" s="32" t="n">
        <v>13.15</v>
      </c>
      <c r="E3462" s="32" t="n">
        <v>163.969</v>
      </c>
      <c r="F3462" s="32" t="n">
        <v>2283.646</v>
      </c>
      <c r="G3462" s="32" t="n">
        <v>3.632</v>
      </c>
      <c r="H3462" s="32" t="inlineStr">
        <is>
          <t>MM</t>
        </is>
      </c>
      <c r="K3462" s="32" t="inlineStr">
        <is>
          <t>20250514-34</t>
        </is>
      </c>
    </row>
    <row r="3463">
      <c r="A3463" s="32" t="n">
        <v>24</v>
      </c>
      <c r="B3463" s="32" t="inlineStr">
        <is>
          <t>MeOH</t>
        </is>
      </c>
      <c r="D3463" s="32" t="n">
        <v>13.17</v>
      </c>
      <c r="E3463" s="32" t="n">
        <v>137.084</v>
      </c>
      <c r="G3463" s="32" t="n">
        <v>2.773</v>
      </c>
      <c r="H3463" s="32" t="inlineStr">
        <is>
          <t>bb</t>
        </is>
      </c>
      <c r="K3463" s="32" t="inlineStr">
        <is>
          <t>20250514-35</t>
        </is>
      </c>
    </row>
    <row r="3464">
      <c r="A3464" s="32" t="n">
        <v>25</v>
      </c>
      <c r="B3464" s="32" t="inlineStr">
        <is>
          <t>K4-4A</t>
        </is>
      </c>
      <c r="D3464" s="32" t="n">
        <v>13.17</v>
      </c>
      <c r="E3464" s="32" t="n">
        <v>527.724</v>
      </c>
      <c r="F3464" s="32" t="n">
        <v>1724.848</v>
      </c>
      <c r="G3464" s="32" t="n">
        <v>8.891999999999999</v>
      </c>
      <c r="H3464" s="32" t="inlineStr">
        <is>
          <t>bb</t>
        </is>
      </c>
      <c r="K3464" s="32" t="inlineStr">
        <is>
          <t>20250514-36</t>
        </is>
      </c>
    </row>
    <row r="3465">
      <c r="A3465" s="32" t="n">
        <v>26</v>
      </c>
      <c r="B3465" s="32" t="inlineStr">
        <is>
          <t>K4-4B</t>
        </is>
      </c>
      <c r="D3465" s="32" t="n">
        <v>13.14</v>
      </c>
      <c r="E3465" s="32" t="n">
        <v>485.422</v>
      </c>
      <c r="F3465" s="32" t="n">
        <v>2218.471</v>
      </c>
      <c r="G3465" s="32" t="n">
        <v>12.22</v>
      </c>
      <c r="H3465" s="32" t="inlineStr">
        <is>
          <t>bd</t>
        </is>
      </c>
      <c r="K3465" s="32" t="inlineStr">
        <is>
          <t>20250514-37</t>
        </is>
      </c>
    </row>
    <row r="3466">
      <c r="A3466" s="32" t="n">
        <v>27</v>
      </c>
      <c r="B3466" s="32" t="inlineStr">
        <is>
          <t>K4-4C</t>
        </is>
      </c>
      <c r="D3466" s="32" t="n">
        <v>13.15</v>
      </c>
      <c r="E3466" s="32" t="n">
        <v>359.635</v>
      </c>
      <c r="F3466" s="32" t="n">
        <v>2598.377</v>
      </c>
      <c r="G3466" s="32" t="n">
        <v>4.496</v>
      </c>
      <c r="H3466" s="32" t="inlineStr">
        <is>
          <t>bb</t>
        </is>
      </c>
      <c r="K3466" s="32" t="inlineStr">
        <is>
          <t>20250514-38</t>
        </is>
      </c>
    </row>
    <row r="3467">
      <c r="A3467" s="32" t="n">
        <v>28</v>
      </c>
      <c r="B3467" s="32" t="inlineStr">
        <is>
          <t>K4-5A</t>
        </is>
      </c>
      <c r="D3467" s="32" t="n">
        <v>13.15</v>
      </c>
      <c r="E3467" s="32" t="n">
        <v>384.76</v>
      </c>
      <c r="F3467" s="32" t="n">
        <v>2438.789</v>
      </c>
      <c r="G3467" s="32" t="n">
        <v>3.399</v>
      </c>
      <c r="H3467" s="32" t="inlineStr">
        <is>
          <t>bb</t>
        </is>
      </c>
      <c r="K3467" s="32" t="inlineStr">
        <is>
          <t>20250514-39</t>
        </is>
      </c>
    </row>
    <row r="3468">
      <c r="A3468" s="32" t="n">
        <v>29</v>
      </c>
      <c r="B3468" s="32" t="inlineStr">
        <is>
          <t>K4-5B</t>
        </is>
      </c>
      <c r="D3468" s="32" t="n">
        <v>13.09</v>
      </c>
      <c r="E3468" s="32" t="n">
        <v>950.977</v>
      </c>
      <c r="F3468" s="32" t="n">
        <v>1988.313</v>
      </c>
      <c r="G3468" s="32" t="n">
        <v>14.144</v>
      </c>
      <c r="H3468" s="32" t="inlineStr">
        <is>
          <t>MM</t>
        </is>
      </c>
      <c r="K3468" s="32" t="inlineStr">
        <is>
          <t>20250514-40</t>
        </is>
      </c>
    </row>
    <row r="3469">
      <c r="A3469" s="32" t="n">
        <v>30</v>
      </c>
      <c r="B3469" s="32" t="inlineStr">
        <is>
          <t>K4-5C</t>
        </is>
      </c>
      <c r="D3469" s="32" t="n">
        <v>13.07</v>
      </c>
      <c r="E3469" s="32" t="n">
        <v>397.025</v>
      </c>
      <c r="F3469" s="32" t="n">
        <v>2087.422</v>
      </c>
      <c r="G3469" s="32" t="n">
        <v>7.543</v>
      </c>
      <c r="H3469" s="32" t="inlineStr">
        <is>
          <t>bb</t>
        </is>
      </c>
      <c r="K3469" s="32" t="inlineStr">
        <is>
          <t>20250514-41</t>
        </is>
      </c>
    </row>
    <row r="3470">
      <c r="A3470" s="32" t="n">
        <v>31</v>
      </c>
      <c r="B3470" s="32" t="inlineStr">
        <is>
          <t>MeOH</t>
        </is>
      </c>
      <c r="H3470" s="32" t="inlineStr">
        <is>
          <t>MM-</t>
        </is>
      </c>
      <c r="K3470" s="32" t="inlineStr">
        <is>
          <t>20250514-42</t>
        </is>
      </c>
    </row>
    <row r="3471">
      <c r="A3471" s="32" t="n">
        <v>32</v>
      </c>
      <c r="B3471" s="32" t="inlineStr">
        <is>
          <t>K3-1A</t>
        </is>
      </c>
      <c r="D3471" s="32" t="n">
        <v>12.96</v>
      </c>
      <c r="E3471" s="32" t="n">
        <v>2217.233</v>
      </c>
      <c r="F3471" s="32" t="n">
        <v>2907.094</v>
      </c>
      <c r="G3471" s="32" t="n">
        <v>43.125</v>
      </c>
      <c r="H3471" s="32" t="inlineStr">
        <is>
          <t>MM</t>
        </is>
      </c>
      <c r="K3471" s="32" t="inlineStr">
        <is>
          <t>20250514-43</t>
        </is>
      </c>
    </row>
    <row r="3472">
      <c r="A3472" s="32" t="n">
        <v>33</v>
      </c>
      <c r="B3472" s="32" t="inlineStr">
        <is>
          <t>K3-1B</t>
        </is>
      </c>
      <c r="D3472" s="32" t="n">
        <v>12.96</v>
      </c>
      <c r="E3472" s="32" t="n">
        <v>488.18</v>
      </c>
      <c r="F3472" s="32" t="n">
        <v>2080.127</v>
      </c>
      <c r="G3472" s="32" t="n">
        <v>9.696</v>
      </c>
      <c r="H3472" s="32" t="inlineStr">
        <is>
          <t>MM</t>
        </is>
      </c>
      <c r="K3472" s="32" t="inlineStr">
        <is>
          <t>20250514-44</t>
        </is>
      </c>
    </row>
    <row r="3473">
      <c r="A3473" s="32" t="n">
        <v>34</v>
      </c>
      <c r="B3473" s="32" t="inlineStr">
        <is>
          <t>K3-1C</t>
        </is>
      </c>
      <c r="D3473" s="32" t="n">
        <v>13.03</v>
      </c>
      <c r="E3473" s="32" t="n">
        <v>407.01</v>
      </c>
      <c r="F3473" s="32" t="n">
        <v>3637.841</v>
      </c>
      <c r="G3473" s="32" t="n">
        <v>9.851000000000001</v>
      </c>
      <c r="H3473" s="32" t="inlineStr">
        <is>
          <t>MM</t>
        </is>
      </c>
      <c r="K3473" s="32" t="inlineStr">
        <is>
          <t>20250514-45</t>
        </is>
      </c>
    </row>
    <row r="3474">
      <c r="A3474" s="32" t="n">
        <v>35</v>
      </c>
      <c r="B3474" s="32" t="inlineStr">
        <is>
          <t>K3-2A</t>
        </is>
      </c>
      <c r="D3474" s="32" t="n">
        <v>13.03</v>
      </c>
      <c r="E3474" s="32" t="n">
        <v>748.018</v>
      </c>
      <c r="F3474" s="32" t="n">
        <v>2822.439</v>
      </c>
      <c r="G3474" s="32" t="n">
        <v>12.573</v>
      </c>
      <c r="H3474" s="32" t="inlineStr">
        <is>
          <t>MM</t>
        </is>
      </c>
      <c r="K3474" s="32" t="inlineStr">
        <is>
          <t>20250514-46</t>
        </is>
      </c>
    </row>
    <row r="3475">
      <c r="A3475" s="32" t="n">
        <v>36</v>
      </c>
      <c r="B3475" s="32" t="inlineStr">
        <is>
          <t>K3-2B</t>
        </is>
      </c>
      <c r="D3475" s="32" t="n">
        <v>13.07</v>
      </c>
      <c r="E3475" s="32" t="n">
        <v>926.506</v>
      </c>
      <c r="F3475" s="32" t="n">
        <v>3615.067</v>
      </c>
      <c r="G3475" s="32" t="n">
        <v>7.394</v>
      </c>
      <c r="H3475" s="32" t="inlineStr">
        <is>
          <t>bb</t>
        </is>
      </c>
      <c r="K3475" s="32" t="inlineStr">
        <is>
          <t>20250514-47</t>
        </is>
      </c>
    </row>
    <row r="3476">
      <c r="A3476" s="32" t="n">
        <v>37</v>
      </c>
      <c r="B3476" s="32" t="inlineStr">
        <is>
          <t>K3-2C</t>
        </is>
      </c>
      <c r="D3476" s="32" t="n">
        <v>13.05</v>
      </c>
      <c r="E3476" s="32" t="n">
        <v>749.6079999999999</v>
      </c>
      <c r="F3476" s="32" t="n">
        <v>3528.332</v>
      </c>
      <c r="G3476" s="32" t="n">
        <v>11.862</v>
      </c>
      <c r="H3476" s="32" t="inlineStr">
        <is>
          <t>bb</t>
        </is>
      </c>
      <c r="K3476" s="32" t="inlineStr">
        <is>
          <t>20250514-48</t>
        </is>
      </c>
    </row>
    <row r="3477">
      <c r="A3477" s="32" t="n">
        <v>38</v>
      </c>
      <c r="B3477" s="32" t="inlineStr">
        <is>
          <t>MeOH</t>
        </is>
      </c>
      <c r="H3477" s="32" t="inlineStr">
        <is>
          <t>MM-</t>
        </is>
      </c>
      <c r="K3477" s="32" t="inlineStr">
        <is>
          <t>20250514-49</t>
        </is>
      </c>
    </row>
    <row r="3478">
      <c r="A3478" s="32" t="n">
        <v>39</v>
      </c>
      <c r="B3478" s="32" t="inlineStr">
        <is>
          <t>K3-3A</t>
        </is>
      </c>
      <c r="D3478" s="32" t="n">
        <v>13.09</v>
      </c>
      <c r="E3478" s="32" t="n">
        <v>628.421</v>
      </c>
      <c r="F3478" s="32" t="n">
        <v>2678.696</v>
      </c>
      <c r="G3478" s="32" t="n">
        <v>8.622999999999999</v>
      </c>
      <c r="H3478" s="32" t="inlineStr">
        <is>
          <t>bb</t>
        </is>
      </c>
      <c r="K3478" s="32" t="inlineStr">
        <is>
          <t>20250514-50</t>
        </is>
      </c>
    </row>
    <row r="3479">
      <c r="A3479" s="32" t="n">
        <v>40</v>
      </c>
      <c r="B3479" s="32" t="inlineStr">
        <is>
          <t>K3-3B</t>
        </is>
      </c>
      <c r="D3479" s="32" t="n">
        <v>13.09</v>
      </c>
      <c r="E3479" s="32" t="n">
        <v>895.456</v>
      </c>
      <c r="F3479" s="32" t="n">
        <v>2726.988</v>
      </c>
      <c r="G3479" s="32" t="n">
        <v>15.805</v>
      </c>
      <c r="H3479" s="32" t="inlineStr">
        <is>
          <t>bb</t>
        </is>
      </c>
      <c r="K3479" s="32" t="inlineStr">
        <is>
          <t>20250514-51</t>
        </is>
      </c>
    </row>
    <row r="3480">
      <c r="A3480" s="32" t="n">
        <v>41</v>
      </c>
      <c r="B3480" s="32" t="inlineStr">
        <is>
          <t>K3-3C</t>
        </is>
      </c>
      <c r="D3480" s="32" t="n">
        <v>13.09</v>
      </c>
      <c r="E3480" s="32" t="n">
        <v>1019.333</v>
      </c>
      <c r="F3480" s="32" t="n">
        <v>5082.269</v>
      </c>
      <c r="G3480" s="32" t="n">
        <v>17.598</v>
      </c>
      <c r="H3480" s="32" t="inlineStr">
        <is>
          <t>MM</t>
        </is>
      </c>
      <c r="K3480" s="32" t="inlineStr">
        <is>
          <t>20250514-52</t>
        </is>
      </c>
    </row>
    <row r="3481">
      <c r="A3481" s="32" t="n">
        <v>42</v>
      </c>
      <c r="B3481" s="32" t="inlineStr">
        <is>
          <t>K3-4A</t>
        </is>
      </c>
      <c r="D3481" s="32" t="n">
        <v>13.14</v>
      </c>
      <c r="E3481" s="32" t="n">
        <v>1100.625</v>
      </c>
      <c r="F3481" s="32" t="n">
        <v>4210.385</v>
      </c>
      <c r="G3481" s="32" t="n">
        <v>13.365</v>
      </c>
      <c r="H3481" s="32" t="inlineStr">
        <is>
          <t>bb</t>
        </is>
      </c>
      <c r="K3481" s="32" t="inlineStr">
        <is>
          <t>20250514-53</t>
        </is>
      </c>
    </row>
    <row r="3482">
      <c r="A3482" s="32" t="n">
        <v>43</v>
      </c>
      <c r="B3482" s="32" t="inlineStr">
        <is>
          <t>K3-4B</t>
        </is>
      </c>
      <c r="D3482" s="32" t="n">
        <v>13.12</v>
      </c>
      <c r="E3482" s="32" t="n">
        <v>1031.01</v>
      </c>
      <c r="F3482" s="32" t="n">
        <v>3844.751</v>
      </c>
      <c r="G3482" s="32" t="n">
        <v>11.883</v>
      </c>
      <c r="H3482" s="32" t="inlineStr">
        <is>
          <t>MM</t>
        </is>
      </c>
      <c r="K3482" s="32" t="inlineStr">
        <is>
          <t>20250514-54</t>
        </is>
      </c>
    </row>
    <row r="3483">
      <c r="A3483" s="32" t="n">
        <v>44</v>
      </c>
      <c r="B3483" s="32" t="inlineStr">
        <is>
          <t>K3-4C</t>
        </is>
      </c>
      <c r="D3483" s="32" t="n">
        <v>13.2</v>
      </c>
      <c r="E3483" s="32" t="n">
        <v>832.063</v>
      </c>
      <c r="F3483" s="32" t="n">
        <v>3926.421</v>
      </c>
      <c r="G3483" s="32" t="n">
        <v>10.266</v>
      </c>
      <c r="H3483" s="32" t="inlineStr">
        <is>
          <t>bb</t>
        </is>
      </c>
      <c r="K3483" s="32" t="inlineStr">
        <is>
          <t>20250514-55</t>
        </is>
      </c>
    </row>
    <row r="3484">
      <c r="A3484" s="32" t="n">
        <v>45</v>
      </c>
      <c r="B3484" s="32" t="inlineStr">
        <is>
          <t>MeOH</t>
        </is>
      </c>
      <c r="D3484" s="32" t="n">
        <v>13.31</v>
      </c>
      <c r="E3484" s="32" t="n">
        <v>309.778</v>
      </c>
      <c r="G3484" s="32" t="n">
        <v>2.258</v>
      </c>
      <c r="H3484" s="32" t="inlineStr">
        <is>
          <t>MM</t>
        </is>
      </c>
      <c r="K3484" s="32" t="inlineStr">
        <is>
          <t>20250514-56</t>
        </is>
      </c>
    </row>
    <row r="3485">
      <c r="A3485" s="32" t="n">
        <v>46</v>
      </c>
      <c r="B3485" s="32" t="inlineStr">
        <is>
          <t>K3-6A</t>
        </is>
      </c>
      <c r="D3485" s="32" t="n">
        <v>13.17</v>
      </c>
      <c r="E3485" s="32" t="n">
        <v>1079.215</v>
      </c>
      <c r="F3485" s="32" t="n">
        <v>4791.03</v>
      </c>
      <c r="G3485" s="32" t="n">
        <v>8.789999999999999</v>
      </c>
      <c r="H3485" s="32" t="inlineStr">
        <is>
          <t>bb</t>
        </is>
      </c>
      <c r="K3485" s="32" t="inlineStr">
        <is>
          <t>20250514-57</t>
        </is>
      </c>
    </row>
    <row r="3486">
      <c r="A3486" s="32" t="n">
        <v>47</v>
      </c>
      <c r="B3486" s="32" t="inlineStr">
        <is>
          <t>K3-6B</t>
        </is>
      </c>
      <c r="D3486" s="32" t="n">
        <v>13.18</v>
      </c>
      <c r="E3486" s="32" t="n">
        <v>175.987</v>
      </c>
      <c r="F3486" s="32" t="n">
        <v>3140.853</v>
      </c>
      <c r="G3486" s="32" t="n">
        <v>2.785</v>
      </c>
      <c r="H3486" s="32" t="inlineStr">
        <is>
          <t>MM</t>
        </is>
      </c>
      <c r="K3486" s="32" t="inlineStr">
        <is>
          <t>20250514-58</t>
        </is>
      </c>
    </row>
    <row r="3487">
      <c r="A3487" s="32" t="n">
        <v>48</v>
      </c>
      <c r="B3487" s="32" t="inlineStr">
        <is>
          <t>K3-6C</t>
        </is>
      </c>
      <c r="D3487" s="32" t="n">
        <v>13.15</v>
      </c>
      <c r="E3487" s="32" t="n">
        <v>760.162</v>
      </c>
      <c r="F3487" s="32" t="n">
        <v>3659.982</v>
      </c>
      <c r="G3487" s="32" t="n">
        <v>12.368</v>
      </c>
      <c r="H3487" s="32" t="inlineStr">
        <is>
          <t>bb</t>
        </is>
      </c>
      <c r="K3487" s="32" t="inlineStr">
        <is>
          <t>20250514-59</t>
        </is>
      </c>
    </row>
    <row r="3489">
      <c r="A3489" s="32" t="inlineStr">
        <is>
          <t>Compound 68:  PFNA 2</t>
        </is>
      </c>
    </row>
    <row r="3491">
      <c r="B3491" s="32" t="inlineStr">
        <is>
          <t>Sample Text</t>
        </is>
      </c>
      <c r="C3491" s="32" t="inlineStr">
        <is>
          <t>Std. Conc</t>
        </is>
      </c>
      <c r="D3491" s="32" t="inlineStr">
        <is>
          <t>RT</t>
        </is>
      </c>
      <c r="E3491" s="32" t="inlineStr">
        <is>
          <t>Area</t>
        </is>
      </c>
      <c r="F3491" s="32" t="inlineStr">
        <is>
          <t>IS Area</t>
        </is>
      </c>
      <c r="G3491" s="32" t="inlineStr">
        <is>
          <t>S/N</t>
        </is>
      </c>
      <c r="H3491" s="32" t="inlineStr">
        <is>
          <t>Primary Flags</t>
        </is>
      </c>
      <c r="I3491" s="32" t="inlineStr">
        <is>
          <t>Response</t>
        </is>
      </c>
      <c r="J3491" s="32" t="inlineStr">
        <is>
          <t>Conc.</t>
        </is>
      </c>
      <c r="K3491" s="32" t="inlineStr">
        <is>
          <t>Name</t>
        </is>
      </c>
    </row>
    <row r="3492">
      <c r="A3492" s="32" t="n">
        <v>1</v>
      </c>
      <c r="B3492" s="32" t="inlineStr">
        <is>
          <t>EPA1633 &amp; diPAPs Calibration 0 ppb</t>
        </is>
      </c>
      <c r="D3492" s="32" t="n">
        <v>13.18</v>
      </c>
      <c r="E3492" s="32" t="n">
        <v>68.773</v>
      </c>
      <c r="F3492" s="32" t="n">
        <v>8092.868</v>
      </c>
      <c r="G3492" s="32" t="n">
        <v>65.175</v>
      </c>
      <c r="H3492" s="32" t="inlineStr">
        <is>
          <t>MM</t>
        </is>
      </c>
      <c r="K3492" s="32" t="inlineStr">
        <is>
          <t>20250514-12</t>
        </is>
      </c>
    </row>
    <row r="3493">
      <c r="A3493" s="32" t="n">
        <v>2</v>
      </c>
      <c r="B3493" s="32" t="inlineStr">
        <is>
          <t>EPA1633 &amp; diPAPs Calibration 0.02 ppb</t>
        </is>
      </c>
      <c r="D3493" s="32" t="n">
        <v>13.05</v>
      </c>
      <c r="E3493" s="32" t="n">
        <v>90.023</v>
      </c>
      <c r="F3493" s="32" t="n">
        <v>8014.825</v>
      </c>
      <c r="G3493" s="32" t="n">
        <v>7.331</v>
      </c>
      <c r="H3493" s="32" t="inlineStr">
        <is>
          <t>bb</t>
        </is>
      </c>
      <c r="K3493" s="32" t="inlineStr">
        <is>
          <t>20250514-13</t>
        </is>
      </c>
    </row>
    <row r="3494">
      <c r="A3494" s="32" t="n">
        <v>3</v>
      </c>
      <c r="B3494" s="32" t="inlineStr">
        <is>
          <t>EPA1633 &amp; diPAPs Calibration 0.1 ppb</t>
        </is>
      </c>
      <c r="D3494" s="32" t="n">
        <v>13.06</v>
      </c>
      <c r="E3494" s="32" t="n">
        <v>75.61</v>
      </c>
      <c r="F3494" s="32" t="n">
        <v>7789.75</v>
      </c>
      <c r="G3494" s="32" t="n">
        <v>8.609999999999999</v>
      </c>
      <c r="H3494" s="32" t="inlineStr">
        <is>
          <t>MM</t>
        </is>
      </c>
      <c r="K3494" s="32" t="inlineStr">
        <is>
          <t>20250514-14</t>
        </is>
      </c>
    </row>
    <row r="3495">
      <c r="A3495" s="32" t="n">
        <v>4</v>
      </c>
      <c r="B3495" s="32" t="inlineStr">
        <is>
          <t>EPA1633 &amp; diPAPs Calibration 0.4 ppb</t>
        </is>
      </c>
      <c r="D3495" s="32" t="n">
        <v>13.05</v>
      </c>
      <c r="E3495" s="32" t="n">
        <v>103.085</v>
      </c>
      <c r="F3495" s="32" t="n">
        <v>7364.624</v>
      </c>
      <c r="G3495" s="32" t="n">
        <v>1.28</v>
      </c>
      <c r="H3495" s="32" t="inlineStr">
        <is>
          <t>MM</t>
        </is>
      </c>
      <c r="K3495" s="32" t="inlineStr">
        <is>
          <t>20250514-15</t>
        </is>
      </c>
    </row>
    <row r="3496">
      <c r="A3496" s="32" t="n">
        <v>5</v>
      </c>
      <c r="B3496" s="32" t="inlineStr">
        <is>
          <t>EPA1633 &amp; diPAPs Calibration 1 ppb</t>
        </is>
      </c>
      <c r="D3496" s="32" t="n">
        <v>13.03</v>
      </c>
      <c r="E3496" s="32" t="n">
        <v>740.186</v>
      </c>
      <c r="F3496" s="32" t="n">
        <v>8117.523</v>
      </c>
      <c r="G3496" s="32" t="n">
        <v>48.471</v>
      </c>
      <c r="H3496" s="32" t="inlineStr">
        <is>
          <t>bb</t>
        </is>
      </c>
      <c r="K3496" s="32" t="inlineStr">
        <is>
          <t>20250514-16</t>
        </is>
      </c>
    </row>
    <row r="3497">
      <c r="A3497" s="32" t="n">
        <v>6</v>
      </c>
      <c r="B3497" s="32" t="inlineStr">
        <is>
          <t>EPA1633 &amp; diPAPs Calibration 5 ppb</t>
        </is>
      </c>
      <c r="D3497" s="32" t="n">
        <v>12.95</v>
      </c>
      <c r="E3497" s="32" t="n">
        <v>2133.471</v>
      </c>
      <c r="F3497" s="32" t="n">
        <v>6441.461</v>
      </c>
      <c r="G3497" s="32" t="n">
        <v>35.579</v>
      </c>
      <c r="H3497" s="32" t="inlineStr">
        <is>
          <t>bb</t>
        </is>
      </c>
      <c r="K3497" s="32" t="inlineStr">
        <is>
          <t>20250514-17</t>
        </is>
      </c>
    </row>
    <row r="3498">
      <c r="A3498" s="32" t="n">
        <v>7</v>
      </c>
      <c r="B3498" s="32" t="inlineStr">
        <is>
          <t>EPA1633 &amp; diPAPs Calibration 10 ppb</t>
        </is>
      </c>
      <c r="D3498" s="32" t="n">
        <v>12.98</v>
      </c>
      <c r="E3498" s="32" t="n">
        <v>4445.396</v>
      </c>
      <c r="F3498" s="32" t="n">
        <v>5311.949</v>
      </c>
      <c r="G3498" s="32" t="n">
        <v>82.383</v>
      </c>
      <c r="H3498" s="32" t="inlineStr">
        <is>
          <t>bb</t>
        </is>
      </c>
      <c r="K3498" s="32" t="inlineStr">
        <is>
          <t>20250514-18</t>
        </is>
      </c>
    </row>
    <row r="3499">
      <c r="A3499" s="32" t="n">
        <v>8</v>
      </c>
      <c r="B3499" s="32" t="inlineStr">
        <is>
          <t>EPA1633 &amp; diPAPs Calibration 20 ppb</t>
        </is>
      </c>
      <c r="D3499" s="32" t="n">
        <v>13</v>
      </c>
      <c r="E3499" s="32" t="n">
        <v>8187.567</v>
      </c>
      <c r="F3499" s="32" t="n">
        <v>4766.589</v>
      </c>
      <c r="G3499" s="32" t="n">
        <v>152.197</v>
      </c>
      <c r="H3499" s="32" t="inlineStr">
        <is>
          <t>bb</t>
        </is>
      </c>
      <c r="K3499" s="32" t="inlineStr">
        <is>
          <t>20250514-19</t>
        </is>
      </c>
    </row>
    <row r="3500">
      <c r="A3500" s="32" t="n">
        <v>9</v>
      </c>
      <c r="B3500" s="32" t="inlineStr">
        <is>
          <t>MeOH</t>
        </is>
      </c>
      <c r="D3500" s="32" t="n">
        <v>13.29</v>
      </c>
      <c r="E3500" s="32" t="n">
        <v>40.417</v>
      </c>
      <c r="G3500" s="32" t="n">
        <v>312</v>
      </c>
      <c r="H3500" s="32" t="inlineStr">
        <is>
          <t>bb</t>
        </is>
      </c>
      <c r="K3500" s="32" t="inlineStr">
        <is>
          <t>20250514-20</t>
        </is>
      </c>
    </row>
    <row r="3501">
      <c r="A3501" s="32" t="n">
        <v>10</v>
      </c>
      <c r="B3501" s="32" t="inlineStr">
        <is>
          <t>MeOH</t>
        </is>
      </c>
      <c r="D3501" s="32" t="n">
        <v>13.09</v>
      </c>
      <c r="E3501" s="32" t="n">
        <v>154.803</v>
      </c>
      <c r="G3501" s="32" t="n">
        <v>8.173</v>
      </c>
      <c r="H3501" s="32" t="inlineStr">
        <is>
          <t>bb</t>
        </is>
      </c>
      <c r="K3501" s="32" t="inlineStr">
        <is>
          <t>20250514-21</t>
        </is>
      </c>
    </row>
    <row r="3502">
      <c r="A3502" s="32" t="n">
        <v>11</v>
      </c>
      <c r="B3502" s="32" t="inlineStr">
        <is>
          <t>SB1</t>
        </is>
      </c>
      <c r="D3502" s="32" t="n">
        <v>13.02</v>
      </c>
      <c r="E3502" s="32" t="n">
        <v>1057.32</v>
      </c>
      <c r="F3502" s="32" t="n">
        <v>2451.924</v>
      </c>
      <c r="G3502" s="32" t="n">
        <v>7399</v>
      </c>
      <c r="H3502" s="32" t="inlineStr">
        <is>
          <t>bb</t>
        </is>
      </c>
      <c r="K3502" s="32" t="inlineStr">
        <is>
          <t>20250514-22</t>
        </is>
      </c>
    </row>
    <row r="3503">
      <c r="A3503" s="32" t="n">
        <v>12</v>
      </c>
      <c r="B3503" s="32" t="inlineStr">
        <is>
          <t>SB2</t>
        </is>
      </c>
      <c r="D3503" s="32" t="n">
        <v>13.11</v>
      </c>
      <c r="E3503" s="32" t="n">
        <v>202.253</v>
      </c>
      <c r="F3503" s="32" t="n">
        <v>2271.8</v>
      </c>
      <c r="G3503" s="32" t="n">
        <v>1129</v>
      </c>
      <c r="H3503" s="32" t="inlineStr">
        <is>
          <t>bb</t>
        </is>
      </c>
      <c r="K3503" s="32" t="inlineStr">
        <is>
          <t>20250514-23</t>
        </is>
      </c>
    </row>
    <row r="3504">
      <c r="A3504" s="32" t="n">
        <v>13</v>
      </c>
      <c r="B3504" s="32" t="inlineStr">
        <is>
          <t>SB3</t>
        </is>
      </c>
      <c r="D3504" s="32" t="n">
        <v>13.08</v>
      </c>
      <c r="E3504" s="32" t="n">
        <v>4.207</v>
      </c>
      <c r="F3504" s="32" t="n">
        <v>1817.396</v>
      </c>
      <c r="G3504" s="32" t="n">
        <v>0.918</v>
      </c>
      <c r="H3504" s="32" t="inlineStr">
        <is>
          <t>MM</t>
        </is>
      </c>
      <c r="K3504" s="32" t="inlineStr">
        <is>
          <t>20250514-24</t>
        </is>
      </c>
    </row>
    <row r="3505">
      <c r="A3505" s="32" t="n">
        <v>14</v>
      </c>
      <c r="B3505" s="32" t="inlineStr">
        <is>
          <t>SS1</t>
        </is>
      </c>
      <c r="D3505" s="32" t="n">
        <v>13.06</v>
      </c>
      <c r="E3505" s="32" t="n">
        <v>1532.532</v>
      </c>
      <c r="F3505" s="32" t="n">
        <v>2217.159</v>
      </c>
      <c r="G3505" s="32" t="n">
        <v>11083</v>
      </c>
      <c r="H3505" s="32" t="inlineStr">
        <is>
          <t>bb</t>
        </is>
      </c>
      <c r="K3505" s="32" t="inlineStr">
        <is>
          <t>20250514-25</t>
        </is>
      </c>
    </row>
    <row r="3506">
      <c r="A3506" s="32" t="n">
        <v>15</v>
      </c>
      <c r="B3506" s="32" t="inlineStr">
        <is>
          <t>SS2</t>
        </is>
      </c>
      <c r="D3506" s="32" t="n">
        <v>13.08</v>
      </c>
      <c r="E3506" s="32" t="n">
        <v>2436.197</v>
      </c>
      <c r="F3506" s="32" t="n">
        <v>2505.109</v>
      </c>
      <c r="G3506" s="32" t="n">
        <v>462.908</v>
      </c>
      <c r="H3506" s="32" t="inlineStr">
        <is>
          <t>bb</t>
        </is>
      </c>
      <c r="K3506" s="32" t="inlineStr">
        <is>
          <t>20250514-26</t>
        </is>
      </c>
    </row>
    <row r="3507">
      <c r="A3507" s="32" t="n">
        <v>16</v>
      </c>
      <c r="B3507" s="32" t="inlineStr">
        <is>
          <t>SS3</t>
        </is>
      </c>
      <c r="D3507" s="32" t="n">
        <v>13.08</v>
      </c>
      <c r="E3507" s="32" t="n">
        <v>2026.125</v>
      </c>
      <c r="F3507" s="32" t="n">
        <v>1762.056</v>
      </c>
      <c r="G3507" s="32" t="n">
        <v>113.673</v>
      </c>
      <c r="H3507" s="32" t="inlineStr">
        <is>
          <t>bb</t>
        </is>
      </c>
      <c r="K3507" s="32" t="inlineStr">
        <is>
          <t>20250514-27</t>
        </is>
      </c>
    </row>
    <row r="3508">
      <c r="A3508" s="32" t="n">
        <v>17</v>
      </c>
      <c r="B3508" s="32" t="inlineStr">
        <is>
          <t>MeOH</t>
        </is>
      </c>
      <c r="H3508" s="32" t="inlineStr">
        <is>
          <t>MM-</t>
        </is>
      </c>
      <c r="K3508" s="32" t="inlineStr">
        <is>
          <t>20250514-28</t>
        </is>
      </c>
    </row>
    <row r="3509">
      <c r="A3509" s="32" t="n">
        <v>18</v>
      </c>
      <c r="B3509" s="32" t="inlineStr">
        <is>
          <t>K4-1A</t>
        </is>
      </c>
      <c r="D3509" s="32" t="n">
        <v>13.08</v>
      </c>
      <c r="E3509" s="32" t="n">
        <v>142.999</v>
      </c>
      <c r="F3509" s="32" t="n">
        <v>3034.158</v>
      </c>
      <c r="G3509" s="32" t="n">
        <v>1044</v>
      </c>
      <c r="H3509" s="32" t="inlineStr">
        <is>
          <t>bb</t>
        </is>
      </c>
      <c r="K3509" s="32" t="inlineStr">
        <is>
          <t>20250514-29</t>
        </is>
      </c>
    </row>
    <row r="3510">
      <c r="A3510" s="32" t="n">
        <v>19</v>
      </c>
      <c r="B3510" s="32" t="inlineStr">
        <is>
          <t>K4-1B</t>
        </is>
      </c>
      <c r="D3510" s="32" t="n">
        <v>13.12</v>
      </c>
      <c r="E3510" s="32" t="n">
        <v>46.895</v>
      </c>
      <c r="F3510" s="32" t="n">
        <v>3000.833</v>
      </c>
      <c r="G3510" s="32" t="n">
        <v>33.197</v>
      </c>
      <c r="H3510" s="32" t="inlineStr">
        <is>
          <t>MM</t>
        </is>
      </c>
      <c r="K3510" s="32" t="inlineStr">
        <is>
          <t>20250514-30</t>
        </is>
      </c>
    </row>
    <row r="3511">
      <c r="A3511" s="32" t="n">
        <v>20</v>
      </c>
      <c r="B3511" s="32" t="inlineStr">
        <is>
          <t>K4-1C</t>
        </is>
      </c>
      <c r="D3511" s="32" t="n">
        <v>13.15</v>
      </c>
      <c r="E3511" s="32" t="n">
        <v>82.099</v>
      </c>
      <c r="F3511" s="32" t="n">
        <v>2957.755</v>
      </c>
      <c r="G3511" s="32" t="n">
        <v>660</v>
      </c>
      <c r="H3511" s="32" t="inlineStr">
        <is>
          <t>bb</t>
        </is>
      </c>
      <c r="K3511" s="32" t="inlineStr">
        <is>
          <t>20250514-31</t>
        </is>
      </c>
    </row>
    <row r="3512">
      <c r="A3512" s="32" t="n">
        <v>21</v>
      </c>
      <c r="B3512" s="32" t="inlineStr">
        <is>
          <t>K4-2A</t>
        </is>
      </c>
      <c r="D3512" s="32" t="n">
        <v>13.11</v>
      </c>
      <c r="E3512" s="32" t="n">
        <v>254.459</v>
      </c>
      <c r="F3512" s="32" t="n">
        <v>2249.78</v>
      </c>
      <c r="G3512" s="32" t="n">
        <v>5.376</v>
      </c>
      <c r="H3512" s="32" t="inlineStr">
        <is>
          <t>bb</t>
        </is>
      </c>
      <c r="K3512" s="32" t="inlineStr">
        <is>
          <t>20250514-32</t>
        </is>
      </c>
    </row>
    <row r="3513">
      <c r="A3513" s="32" t="n">
        <v>22</v>
      </c>
      <c r="B3513" s="32" t="inlineStr">
        <is>
          <t>K4-2B</t>
        </is>
      </c>
      <c r="D3513" s="32" t="n">
        <v>13.18</v>
      </c>
      <c r="E3513" s="32" t="n">
        <v>139.475</v>
      </c>
      <c r="F3513" s="32" t="n">
        <v>2723.332</v>
      </c>
      <c r="G3513" s="32" t="n">
        <v>10.074</v>
      </c>
      <c r="H3513" s="32" t="inlineStr">
        <is>
          <t>bb</t>
        </is>
      </c>
      <c r="K3513" s="32" t="inlineStr">
        <is>
          <t>20250514-33</t>
        </is>
      </c>
    </row>
    <row r="3514">
      <c r="A3514" s="32" t="n">
        <v>23</v>
      </c>
      <c r="B3514" s="32" t="inlineStr">
        <is>
          <t>K4-2C</t>
        </is>
      </c>
      <c r="D3514" s="32" t="n">
        <v>13.11</v>
      </c>
      <c r="E3514" s="32" t="n">
        <v>164.523</v>
      </c>
      <c r="F3514" s="32" t="n">
        <v>2283.646</v>
      </c>
      <c r="G3514" s="32" t="n">
        <v>1274</v>
      </c>
      <c r="H3514" s="32" t="inlineStr">
        <is>
          <t>bb</t>
        </is>
      </c>
      <c r="K3514" s="32" t="inlineStr">
        <is>
          <t>20250514-34</t>
        </is>
      </c>
    </row>
    <row r="3515">
      <c r="A3515" s="32" t="n">
        <v>24</v>
      </c>
      <c r="B3515" s="32" t="inlineStr">
        <is>
          <t>MeOH</t>
        </is>
      </c>
      <c r="D3515" s="32" t="n">
        <v>13.18</v>
      </c>
      <c r="E3515" s="32" t="n">
        <v>49.062</v>
      </c>
      <c r="G3515" s="32" t="n">
        <v>327</v>
      </c>
      <c r="H3515" s="32" t="inlineStr">
        <is>
          <t>bb</t>
        </is>
      </c>
      <c r="K3515" s="32" t="inlineStr">
        <is>
          <t>20250514-35</t>
        </is>
      </c>
    </row>
    <row r="3516">
      <c r="A3516" s="32" t="n">
        <v>25</v>
      </c>
      <c r="B3516" s="32" t="inlineStr">
        <is>
          <t>K4-4A</t>
        </is>
      </c>
      <c r="D3516" s="32" t="n">
        <v>13.28</v>
      </c>
      <c r="E3516" s="32" t="n">
        <v>59.269</v>
      </c>
      <c r="F3516" s="32" t="n">
        <v>1724.848</v>
      </c>
      <c r="G3516" s="32" t="n">
        <v>3.391</v>
      </c>
      <c r="H3516" s="32" t="inlineStr">
        <is>
          <t>bb</t>
        </is>
      </c>
      <c r="K3516" s="32" t="inlineStr">
        <is>
          <t>20250514-36</t>
        </is>
      </c>
    </row>
    <row r="3517">
      <c r="A3517" s="32" t="n">
        <v>26</v>
      </c>
      <c r="B3517" s="32" t="inlineStr">
        <is>
          <t>K4-4B</t>
        </is>
      </c>
      <c r="D3517" s="32" t="n">
        <v>13.12</v>
      </c>
      <c r="E3517" s="32" t="n">
        <v>189.989</v>
      </c>
      <c r="F3517" s="32" t="n">
        <v>2218.471</v>
      </c>
      <c r="G3517" s="32" t="n">
        <v>5.837</v>
      </c>
      <c r="H3517" s="32" t="inlineStr">
        <is>
          <t>bb</t>
        </is>
      </c>
      <c r="K3517" s="32" t="inlineStr">
        <is>
          <t>20250514-37</t>
        </is>
      </c>
    </row>
    <row r="3518">
      <c r="A3518" s="32" t="n">
        <v>27</v>
      </c>
      <c r="B3518" s="32" t="inlineStr">
        <is>
          <t>K4-4C</t>
        </is>
      </c>
      <c r="D3518" s="32" t="n">
        <v>13.11</v>
      </c>
      <c r="E3518" s="32" t="n">
        <v>29.377</v>
      </c>
      <c r="F3518" s="32" t="n">
        <v>2598.377</v>
      </c>
      <c r="G3518" s="32" t="n">
        <v>254</v>
      </c>
      <c r="H3518" s="32" t="inlineStr">
        <is>
          <t>MM</t>
        </is>
      </c>
      <c r="K3518" s="32" t="inlineStr">
        <is>
          <t>20250514-38</t>
        </is>
      </c>
    </row>
    <row r="3519">
      <c r="A3519" s="32" t="n">
        <v>28</v>
      </c>
      <c r="B3519" s="32" t="inlineStr">
        <is>
          <t>K4-5A</t>
        </is>
      </c>
      <c r="D3519" s="32" t="n">
        <v>13.08</v>
      </c>
      <c r="E3519" s="32" t="n">
        <v>21.349</v>
      </c>
      <c r="F3519" s="32" t="n">
        <v>2438.789</v>
      </c>
      <c r="G3519" s="32" t="n">
        <v>177</v>
      </c>
      <c r="H3519" s="32" t="inlineStr">
        <is>
          <t>bb</t>
        </is>
      </c>
      <c r="K3519" s="32" t="inlineStr">
        <is>
          <t>20250514-39</t>
        </is>
      </c>
    </row>
    <row r="3520">
      <c r="A3520" s="32" t="n">
        <v>29</v>
      </c>
      <c r="B3520" s="32" t="inlineStr">
        <is>
          <t>K4-5B</t>
        </is>
      </c>
      <c r="D3520" s="32" t="n">
        <v>13.12</v>
      </c>
      <c r="E3520" s="32" t="n">
        <v>276.052</v>
      </c>
      <c r="F3520" s="32" t="n">
        <v>1988.313</v>
      </c>
      <c r="G3520" s="32" t="n">
        <v>9.167</v>
      </c>
      <c r="H3520" s="32" t="inlineStr">
        <is>
          <t>bb</t>
        </is>
      </c>
      <c r="K3520" s="32" t="inlineStr">
        <is>
          <t>20250514-40</t>
        </is>
      </c>
    </row>
    <row r="3521">
      <c r="A3521" s="32" t="n">
        <v>30</v>
      </c>
      <c r="B3521" s="32" t="inlineStr">
        <is>
          <t>K4-5C</t>
        </is>
      </c>
      <c r="D3521" s="32" t="n">
        <v>13.23</v>
      </c>
      <c r="E3521" s="32" t="n">
        <v>43.072</v>
      </c>
      <c r="F3521" s="32" t="n">
        <v>2087.422</v>
      </c>
      <c r="G3521" s="32" t="n">
        <v>208</v>
      </c>
      <c r="H3521" s="32" t="inlineStr">
        <is>
          <t>bb</t>
        </is>
      </c>
      <c r="K3521" s="32" t="inlineStr">
        <is>
          <t>20250514-41</t>
        </is>
      </c>
    </row>
    <row r="3522">
      <c r="A3522" s="32" t="n">
        <v>31</v>
      </c>
      <c r="B3522" s="32" t="inlineStr">
        <is>
          <t>MeOH</t>
        </is>
      </c>
      <c r="H3522" s="32" t="inlineStr">
        <is>
          <t>MM-</t>
        </is>
      </c>
      <c r="K3522" s="32" t="inlineStr">
        <is>
          <t>20250514-42</t>
        </is>
      </c>
    </row>
    <row r="3523">
      <c r="A3523" s="32" t="n">
        <v>32</v>
      </c>
      <c r="B3523" s="32" t="inlineStr">
        <is>
          <t>K3-1A</t>
        </is>
      </c>
      <c r="D3523" s="32" t="n">
        <v>12.99</v>
      </c>
      <c r="E3523" s="32" t="n">
        <v>367.342</v>
      </c>
      <c r="F3523" s="32" t="n">
        <v>2907.094</v>
      </c>
      <c r="G3523" s="32" t="n">
        <v>2685</v>
      </c>
      <c r="H3523" s="32" t="inlineStr">
        <is>
          <t>bb</t>
        </is>
      </c>
      <c r="K3523" s="32" t="inlineStr">
        <is>
          <t>20250514-43</t>
        </is>
      </c>
    </row>
    <row r="3524">
      <c r="A3524" s="32" t="n">
        <v>33</v>
      </c>
      <c r="B3524" s="32" t="inlineStr">
        <is>
          <t>K3-1B</t>
        </is>
      </c>
      <c r="D3524" s="32" t="n">
        <v>12.98</v>
      </c>
      <c r="E3524" s="32" t="n">
        <v>167.857</v>
      </c>
      <c r="F3524" s="32" t="n">
        <v>2080.127</v>
      </c>
      <c r="G3524" s="32" t="n">
        <v>7.577</v>
      </c>
      <c r="H3524" s="32" t="inlineStr">
        <is>
          <t>bb</t>
        </is>
      </c>
      <c r="K3524" s="32" t="inlineStr">
        <is>
          <t>20250514-44</t>
        </is>
      </c>
    </row>
    <row r="3525">
      <c r="A3525" s="32" t="n">
        <v>34</v>
      </c>
      <c r="B3525" s="32" t="inlineStr">
        <is>
          <t>K3-1C</t>
        </is>
      </c>
      <c r="D3525" s="32" t="n">
        <v>13.03</v>
      </c>
      <c r="E3525" s="32" t="n">
        <v>168.516</v>
      </c>
      <c r="F3525" s="32" t="n">
        <v>3637.841</v>
      </c>
      <c r="G3525" s="32" t="n">
        <v>11.205</v>
      </c>
      <c r="H3525" s="32" t="inlineStr">
        <is>
          <t>bb</t>
        </is>
      </c>
      <c r="K3525" s="32" t="inlineStr">
        <is>
          <t>20250514-45</t>
        </is>
      </c>
    </row>
    <row r="3526">
      <c r="A3526" s="32" t="n">
        <v>35</v>
      </c>
      <c r="B3526" s="32" t="inlineStr">
        <is>
          <t>K3-2A</t>
        </is>
      </c>
      <c r="D3526" s="32" t="n">
        <v>13.05</v>
      </c>
      <c r="E3526" s="32" t="n">
        <v>250.044</v>
      </c>
      <c r="F3526" s="32" t="n">
        <v>2822.439</v>
      </c>
      <c r="G3526" s="32" t="n">
        <v>4.422</v>
      </c>
      <c r="H3526" s="32" t="inlineStr">
        <is>
          <t>bb</t>
        </is>
      </c>
      <c r="K3526" s="32" t="inlineStr">
        <is>
          <t>20250514-46</t>
        </is>
      </c>
    </row>
    <row r="3527">
      <c r="A3527" s="32" t="n">
        <v>36</v>
      </c>
      <c r="B3527" s="32" t="inlineStr">
        <is>
          <t>K3-2B</t>
        </is>
      </c>
      <c r="D3527" s="32" t="n">
        <v>13.04</v>
      </c>
      <c r="E3527" s="32" t="n">
        <v>138.595</v>
      </c>
      <c r="F3527" s="32" t="n">
        <v>3615.067</v>
      </c>
      <c r="G3527" s="32" t="n">
        <v>3.275</v>
      </c>
      <c r="H3527" s="32" t="inlineStr">
        <is>
          <t>bb</t>
        </is>
      </c>
      <c r="K3527" s="32" t="inlineStr">
        <is>
          <t>20250514-47</t>
        </is>
      </c>
    </row>
    <row r="3528">
      <c r="A3528" s="32" t="n">
        <v>37</v>
      </c>
      <c r="B3528" s="32" t="inlineStr">
        <is>
          <t>K3-2C</t>
        </is>
      </c>
      <c r="D3528" s="32" t="n">
        <v>13.08</v>
      </c>
      <c r="E3528" s="32" t="n">
        <v>80.574</v>
      </c>
      <c r="F3528" s="32" t="n">
        <v>3528.332</v>
      </c>
      <c r="G3528" s="32" t="n">
        <v>2.988</v>
      </c>
      <c r="H3528" s="32" t="inlineStr">
        <is>
          <t>MM</t>
        </is>
      </c>
      <c r="K3528" s="32" t="inlineStr">
        <is>
          <t>20250514-48</t>
        </is>
      </c>
    </row>
    <row r="3529">
      <c r="A3529" s="32" t="n">
        <v>38</v>
      </c>
      <c r="B3529" s="32" t="inlineStr">
        <is>
          <t>MeOH</t>
        </is>
      </c>
      <c r="H3529" s="32" t="inlineStr">
        <is>
          <t>MM-</t>
        </is>
      </c>
      <c r="K3529" s="32" t="inlineStr">
        <is>
          <t>20250514-49</t>
        </is>
      </c>
    </row>
    <row r="3530">
      <c r="A3530" s="32" t="n">
        <v>39</v>
      </c>
      <c r="B3530" s="32" t="inlineStr">
        <is>
          <t>K3-3A</t>
        </is>
      </c>
      <c r="D3530" s="32" t="n">
        <v>13.06</v>
      </c>
      <c r="E3530" s="32" t="n">
        <v>385.068</v>
      </c>
      <c r="F3530" s="32" t="n">
        <v>2678.696</v>
      </c>
      <c r="G3530" s="32" t="n">
        <v>5.191</v>
      </c>
      <c r="H3530" s="32" t="inlineStr">
        <is>
          <t>bb</t>
        </is>
      </c>
      <c r="K3530" s="32" t="inlineStr">
        <is>
          <t>20250514-50</t>
        </is>
      </c>
    </row>
    <row r="3531">
      <c r="A3531" s="32" t="n">
        <v>40</v>
      </c>
      <c r="B3531" s="32" t="inlineStr">
        <is>
          <t>K3-3B</t>
        </is>
      </c>
      <c r="D3531" s="32" t="n">
        <v>13.08</v>
      </c>
      <c r="E3531" s="32" t="n">
        <v>327.471</v>
      </c>
      <c r="F3531" s="32" t="n">
        <v>2726.988</v>
      </c>
      <c r="G3531" s="32" t="n">
        <v>13.887</v>
      </c>
      <c r="H3531" s="32" t="inlineStr">
        <is>
          <t>bb</t>
        </is>
      </c>
      <c r="K3531" s="32" t="inlineStr">
        <is>
          <t>20250514-51</t>
        </is>
      </c>
    </row>
    <row r="3532">
      <c r="A3532" s="32" t="n">
        <v>41</v>
      </c>
      <c r="B3532" s="32" t="inlineStr">
        <is>
          <t>K3-3C</t>
        </is>
      </c>
      <c r="D3532" s="32" t="n">
        <v>13.11</v>
      </c>
      <c r="E3532" s="32" t="n">
        <v>159.293</v>
      </c>
      <c r="F3532" s="32" t="n">
        <v>5082.269</v>
      </c>
      <c r="G3532" s="32" t="n">
        <v>37.622</v>
      </c>
      <c r="H3532" s="32" t="inlineStr">
        <is>
          <t>bb</t>
        </is>
      </c>
      <c r="K3532" s="32" t="inlineStr">
        <is>
          <t>20250514-52</t>
        </is>
      </c>
    </row>
    <row r="3533">
      <c r="A3533" s="32" t="n">
        <v>42</v>
      </c>
      <c r="B3533" s="32" t="inlineStr">
        <is>
          <t>K3-4A</t>
        </is>
      </c>
      <c r="D3533" s="32" t="n">
        <v>13.15</v>
      </c>
      <c r="E3533" s="32" t="n">
        <v>250.466</v>
      </c>
      <c r="F3533" s="32" t="n">
        <v>4210.385</v>
      </c>
      <c r="G3533" s="32" t="n">
        <v>2.639</v>
      </c>
      <c r="H3533" s="32" t="inlineStr">
        <is>
          <t>bb</t>
        </is>
      </c>
      <c r="K3533" s="32" t="inlineStr">
        <is>
          <t>20250514-53</t>
        </is>
      </c>
    </row>
    <row r="3534">
      <c r="A3534" s="32" t="n">
        <v>43</v>
      </c>
      <c r="B3534" s="32" t="inlineStr">
        <is>
          <t>K3-4B</t>
        </is>
      </c>
      <c r="D3534" s="32" t="n">
        <v>13.17</v>
      </c>
      <c r="E3534" s="32" t="n">
        <v>167.848</v>
      </c>
      <c r="F3534" s="32" t="n">
        <v>3844.751</v>
      </c>
      <c r="G3534" s="32" t="n">
        <v>1150</v>
      </c>
      <c r="H3534" s="32" t="inlineStr">
        <is>
          <t>bb</t>
        </is>
      </c>
      <c r="K3534" s="32" t="inlineStr">
        <is>
          <t>20250514-54</t>
        </is>
      </c>
    </row>
    <row r="3535">
      <c r="A3535" s="32" t="n">
        <v>44</v>
      </c>
      <c r="B3535" s="32" t="inlineStr">
        <is>
          <t>K3-4C</t>
        </is>
      </c>
      <c r="D3535" s="32" t="n">
        <v>13.17</v>
      </c>
      <c r="E3535" s="32" t="n">
        <v>310.66</v>
      </c>
      <c r="F3535" s="32" t="n">
        <v>3926.421</v>
      </c>
      <c r="G3535" s="32" t="n">
        <v>26.738</v>
      </c>
      <c r="H3535" s="32" t="inlineStr">
        <is>
          <t>bb</t>
        </is>
      </c>
      <c r="K3535" s="32" t="inlineStr">
        <is>
          <t>20250514-55</t>
        </is>
      </c>
    </row>
    <row r="3536">
      <c r="A3536" s="32" t="n">
        <v>45</v>
      </c>
      <c r="B3536" s="32" t="inlineStr">
        <is>
          <t>MeOH</t>
        </is>
      </c>
      <c r="H3536" s="32" t="inlineStr">
        <is>
          <t>MM-</t>
        </is>
      </c>
      <c r="K3536" s="32" t="inlineStr">
        <is>
          <t>20250514-56</t>
        </is>
      </c>
    </row>
    <row r="3537">
      <c r="A3537" s="32" t="n">
        <v>46</v>
      </c>
      <c r="B3537" s="32" t="inlineStr">
        <is>
          <t>K3-6A</t>
        </is>
      </c>
      <c r="D3537" s="32" t="n">
        <v>13.18</v>
      </c>
      <c r="E3537" s="32" t="n">
        <v>166.798</v>
      </c>
      <c r="F3537" s="32" t="n">
        <v>4791.03</v>
      </c>
      <c r="G3537" s="32" t="n">
        <v>1.862</v>
      </c>
      <c r="H3537" s="32" t="inlineStr">
        <is>
          <t>MM</t>
        </is>
      </c>
      <c r="K3537" s="32" t="inlineStr">
        <is>
          <t>20250514-57</t>
        </is>
      </c>
    </row>
    <row r="3538">
      <c r="A3538" s="32" t="n">
        <v>47</v>
      </c>
      <c r="B3538" s="32" t="inlineStr">
        <is>
          <t>K3-6B</t>
        </is>
      </c>
      <c r="D3538" s="32" t="n">
        <v>13.17</v>
      </c>
      <c r="E3538" s="32" t="n">
        <v>201.047</v>
      </c>
      <c r="F3538" s="32" t="n">
        <v>3140.853</v>
      </c>
      <c r="G3538" s="32" t="n">
        <v>3.897</v>
      </c>
      <c r="H3538" s="32" t="inlineStr">
        <is>
          <t>bb</t>
        </is>
      </c>
      <c r="K3538" s="32" t="inlineStr">
        <is>
          <t>20250514-58</t>
        </is>
      </c>
    </row>
    <row r="3539">
      <c r="A3539" s="32" t="n">
        <v>48</v>
      </c>
      <c r="B3539" s="32" t="inlineStr">
        <is>
          <t>K3-6C</t>
        </is>
      </c>
      <c r="D3539" s="32" t="n">
        <v>13.15</v>
      </c>
      <c r="E3539" s="32" t="n">
        <v>199.393</v>
      </c>
      <c r="F3539" s="32" t="n">
        <v>3659.982</v>
      </c>
      <c r="G3539" s="32" t="n">
        <v>5.56</v>
      </c>
      <c r="H3539" s="32" t="inlineStr">
        <is>
          <t>bb</t>
        </is>
      </c>
      <c r="K3539" s="32" t="inlineStr">
        <is>
          <t>20250514-59</t>
        </is>
      </c>
    </row>
    <row r="3541">
      <c r="A3541" s="32" t="inlineStr">
        <is>
          <t>Compound 69:  m5 PFNA</t>
        </is>
      </c>
    </row>
    <row r="3543">
      <c r="B3543" s="32" t="inlineStr">
        <is>
          <t>Sample Text</t>
        </is>
      </c>
      <c r="C3543" s="32" t="inlineStr">
        <is>
          <t>Std. Conc</t>
        </is>
      </c>
      <c r="D3543" s="32" t="inlineStr">
        <is>
          <t>RT</t>
        </is>
      </c>
      <c r="E3543" s="32" t="inlineStr">
        <is>
          <t>Area</t>
        </is>
      </c>
      <c r="F3543" s="32" t="inlineStr">
        <is>
          <t>IS Area</t>
        </is>
      </c>
      <c r="G3543" s="32" t="inlineStr">
        <is>
          <t>S/N</t>
        </is>
      </c>
      <c r="H3543" s="32" t="inlineStr">
        <is>
          <t>Primary Flags</t>
        </is>
      </c>
      <c r="I3543" s="32" t="inlineStr">
        <is>
          <t>Response</t>
        </is>
      </c>
      <c r="J3543" s="32" t="inlineStr">
        <is>
          <t>Conc.</t>
        </is>
      </c>
      <c r="K3543" s="32" t="inlineStr">
        <is>
          <t>Name</t>
        </is>
      </c>
    </row>
    <row r="3544">
      <c r="A3544" s="32" t="n">
        <v>1</v>
      </c>
      <c r="F3544" s="32" t="n">
        <v>8092.868</v>
      </c>
      <c r="K3544" s="32" t="inlineStr">
        <is>
          <t>20250514-12</t>
        </is>
      </c>
    </row>
    <row r="3545">
      <c r="A3545" s="32" t="n">
        <v>2</v>
      </c>
      <c r="F3545" s="32" t="n">
        <v>8014.825</v>
      </c>
      <c r="K3545" s="32" t="inlineStr">
        <is>
          <t>20250514-13</t>
        </is>
      </c>
    </row>
    <row r="3546">
      <c r="A3546" s="32" t="n">
        <v>3</v>
      </c>
      <c r="F3546" s="32" t="n">
        <v>7789.75</v>
      </c>
      <c r="K3546" s="32" t="inlineStr">
        <is>
          <t>20250514-14</t>
        </is>
      </c>
    </row>
    <row r="3547">
      <c r="A3547" s="32" t="n">
        <v>4</v>
      </c>
      <c r="F3547" s="32" t="n">
        <v>7364.624</v>
      </c>
      <c r="K3547" s="32" t="inlineStr">
        <is>
          <t>20250514-15</t>
        </is>
      </c>
    </row>
    <row r="3548">
      <c r="A3548" s="32" t="n">
        <v>5</v>
      </c>
      <c r="F3548" s="32" t="n">
        <v>8117.523</v>
      </c>
      <c r="K3548" s="32" t="inlineStr">
        <is>
          <t>20250514-16</t>
        </is>
      </c>
    </row>
    <row r="3549">
      <c r="A3549" s="32" t="n">
        <v>6</v>
      </c>
      <c r="F3549" s="32" t="n">
        <v>6441.461</v>
      </c>
      <c r="K3549" s="32" t="inlineStr">
        <is>
          <t>20250514-17</t>
        </is>
      </c>
    </row>
    <row r="3550">
      <c r="A3550" s="32" t="n">
        <v>7</v>
      </c>
      <c r="F3550" s="32" t="n">
        <v>5311.949</v>
      </c>
      <c r="K3550" s="32" t="inlineStr">
        <is>
          <t>20250514-18</t>
        </is>
      </c>
    </row>
    <row r="3551">
      <c r="A3551" s="32" t="n">
        <v>8</v>
      </c>
      <c r="F3551" s="32" t="n">
        <v>4766.589</v>
      </c>
      <c r="K3551" s="32" t="inlineStr">
        <is>
          <t>20250514-19</t>
        </is>
      </c>
    </row>
    <row r="3552">
      <c r="A3552" s="32" t="n">
        <v>9</v>
      </c>
      <c r="K3552" s="32" t="inlineStr">
        <is>
          <t>20250514-20</t>
        </is>
      </c>
    </row>
    <row r="3553">
      <c r="A3553" s="32" t="n">
        <v>10</v>
      </c>
      <c r="K3553" s="32" t="inlineStr">
        <is>
          <t>20250514-21</t>
        </is>
      </c>
    </row>
    <row r="3554">
      <c r="A3554" s="32" t="n">
        <v>11</v>
      </c>
      <c r="F3554" s="32" t="n">
        <v>2451.924</v>
      </c>
      <c r="K3554" s="32" t="inlineStr">
        <is>
          <t>20250514-22</t>
        </is>
      </c>
    </row>
    <row r="3555">
      <c r="A3555" s="32" t="n">
        <v>12</v>
      </c>
      <c r="F3555" s="32" t="n">
        <v>2271.8</v>
      </c>
      <c r="K3555" s="32" t="inlineStr">
        <is>
          <t>20250514-23</t>
        </is>
      </c>
    </row>
    <row r="3556">
      <c r="A3556" s="32" t="n">
        <v>13</v>
      </c>
      <c r="F3556" s="32" t="n">
        <v>1817.396</v>
      </c>
      <c r="K3556" s="32" t="inlineStr">
        <is>
          <t>20250514-24</t>
        </is>
      </c>
    </row>
    <row r="3557">
      <c r="A3557" s="32" t="n">
        <v>14</v>
      </c>
      <c r="F3557" s="32" t="n">
        <v>2217.159</v>
      </c>
      <c r="K3557" s="32" t="inlineStr">
        <is>
          <t>20250514-25</t>
        </is>
      </c>
    </row>
    <row r="3558">
      <c r="A3558" s="32" t="n">
        <v>15</v>
      </c>
      <c r="F3558" s="32" t="n">
        <v>2505.109</v>
      </c>
      <c r="K3558" s="32" t="inlineStr">
        <is>
          <t>20250514-26</t>
        </is>
      </c>
    </row>
    <row r="3559">
      <c r="A3559" s="32" t="n">
        <v>16</v>
      </c>
      <c r="F3559" s="32" t="n">
        <v>1762.056</v>
      </c>
      <c r="K3559" s="32" t="inlineStr">
        <is>
          <t>20250514-27</t>
        </is>
      </c>
    </row>
    <row r="3560">
      <c r="A3560" s="32" t="n">
        <v>17</v>
      </c>
      <c r="K3560" s="32" t="inlineStr">
        <is>
          <t>20250514-28</t>
        </is>
      </c>
    </row>
    <row r="3561">
      <c r="A3561" s="32" t="n">
        <v>18</v>
      </c>
      <c r="F3561" s="32" t="n">
        <v>3034.158</v>
      </c>
      <c r="K3561" s="32" t="inlineStr">
        <is>
          <t>20250514-29</t>
        </is>
      </c>
    </row>
    <row r="3562">
      <c r="A3562" s="32" t="n">
        <v>19</v>
      </c>
      <c r="F3562" s="32" t="n">
        <v>3000.833</v>
      </c>
      <c r="K3562" s="32" t="inlineStr">
        <is>
          <t>20250514-30</t>
        </is>
      </c>
    </row>
    <row r="3563">
      <c r="A3563" s="32" t="n">
        <v>20</v>
      </c>
      <c r="F3563" s="32" t="n">
        <v>2957.755</v>
      </c>
      <c r="K3563" s="32" t="inlineStr">
        <is>
          <t>20250514-31</t>
        </is>
      </c>
    </row>
    <row r="3564">
      <c r="A3564" s="32" t="n">
        <v>21</v>
      </c>
      <c r="F3564" s="32" t="n">
        <v>2249.78</v>
      </c>
      <c r="K3564" s="32" t="inlineStr">
        <is>
          <t>20250514-32</t>
        </is>
      </c>
    </row>
    <row r="3565">
      <c r="A3565" s="32" t="n">
        <v>22</v>
      </c>
      <c r="F3565" s="32" t="n">
        <v>2723.332</v>
      </c>
      <c r="K3565" s="32" t="inlineStr">
        <is>
          <t>20250514-33</t>
        </is>
      </c>
    </row>
    <row r="3566">
      <c r="A3566" s="32" t="n">
        <v>23</v>
      </c>
      <c r="F3566" s="32" t="n">
        <v>2283.646</v>
      </c>
      <c r="K3566" s="32" t="inlineStr">
        <is>
          <t>20250514-34</t>
        </is>
      </c>
    </row>
    <row r="3567">
      <c r="A3567" s="32" t="n">
        <v>24</v>
      </c>
      <c r="K3567" s="32" t="inlineStr">
        <is>
          <t>20250514-35</t>
        </is>
      </c>
    </row>
    <row r="3568">
      <c r="A3568" s="32" t="n">
        <v>25</v>
      </c>
      <c r="F3568" s="32" t="n">
        <v>1724.848</v>
      </c>
      <c r="K3568" s="32" t="inlineStr">
        <is>
          <t>20250514-36</t>
        </is>
      </c>
    </row>
    <row r="3569">
      <c r="A3569" s="32" t="n">
        <v>26</v>
      </c>
      <c r="F3569" s="32" t="n">
        <v>2218.471</v>
      </c>
      <c r="K3569" s="32" t="inlineStr">
        <is>
          <t>20250514-37</t>
        </is>
      </c>
    </row>
    <row r="3570">
      <c r="A3570" s="32" t="n">
        <v>27</v>
      </c>
      <c r="F3570" s="32" t="n">
        <v>2598.377</v>
      </c>
      <c r="K3570" s="32" t="inlineStr">
        <is>
          <t>20250514-38</t>
        </is>
      </c>
    </row>
    <row r="3571">
      <c r="A3571" s="32" t="n">
        <v>28</v>
      </c>
      <c r="F3571" s="32" t="n">
        <v>2438.789</v>
      </c>
      <c r="K3571" s="32" t="inlineStr">
        <is>
          <t>20250514-39</t>
        </is>
      </c>
    </row>
    <row r="3572">
      <c r="A3572" s="32" t="n">
        <v>29</v>
      </c>
      <c r="F3572" s="32" t="n">
        <v>1988.313</v>
      </c>
      <c r="K3572" s="32" t="inlineStr">
        <is>
          <t>20250514-40</t>
        </is>
      </c>
    </row>
    <row r="3573">
      <c r="A3573" s="32" t="n">
        <v>30</v>
      </c>
      <c r="F3573" s="32" t="n">
        <v>2087.422</v>
      </c>
      <c r="K3573" s="32" t="inlineStr">
        <is>
          <t>20250514-41</t>
        </is>
      </c>
    </row>
    <row r="3574">
      <c r="A3574" s="32" t="n">
        <v>31</v>
      </c>
      <c r="K3574" s="32" t="inlineStr">
        <is>
          <t>20250514-42</t>
        </is>
      </c>
    </row>
    <row r="3575">
      <c r="A3575" s="32" t="n">
        <v>32</v>
      </c>
      <c r="F3575" s="32" t="n">
        <v>2907.094</v>
      </c>
      <c r="K3575" s="32" t="inlineStr">
        <is>
          <t>20250514-43</t>
        </is>
      </c>
    </row>
    <row r="3576">
      <c r="A3576" s="32" t="n">
        <v>33</v>
      </c>
      <c r="F3576" s="32" t="n">
        <v>2080.127</v>
      </c>
      <c r="K3576" s="32" t="inlineStr">
        <is>
          <t>20250514-44</t>
        </is>
      </c>
    </row>
    <row r="3577">
      <c r="A3577" s="32" t="n">
        <v>34</v>
      </c>
      <c r="F3577" s="32" t="n">
        <v>3637.841</v>
      </c>
      <c r="K3577" s="32" t="inlineStr">
        <is>
          <t>20250514-45</t>
        </is>
      </c>
    </row>
    <row r="3578">
      <c r="A3578" s="32" t="n">
        <v>35</v>
      </c>
      <c r="F3578" s="32" t="n">
        <v>2822.439</v>
      </c>
      <c r="K3578" s="32" t="inlineStr">
        <is>
          <t>20250514-46</t>
        </is>
      </c>
    </row>
    <row r="3579">
      <c r="A3579" s="32" t="n">
        <v>36</v>
      </c>
      <c r="F3579" s="32" t="n">
        <v>3615.067</v>
      </c>
      <c r="K3579" s="32" t="inlineStr">
        <is>
          <t>20250514-47</t>
        </is>
      </c>
    </row>
    <row r="3580">
      <c r="A3580" s="32" t="n">
        <v>37</v>
      </c>
      <c r="F3580" s="32" t="n">
        <v>3528.332</v>
      </c>
      <c r="K3580" s="32" t="inlineStr">
        <is>
          <t>20250514-48</t>
        </is>
      </c>
    </row>
    <row r="3581">
      <c r="A3581" s="32" t="n">
        <v>38</v>
      </c>
      <c r="K3581" s="32" t="inlineStr">
        <is>
          <t>20250514-49</t>
        </is>
      </c>
    </row>
    <row r="3582">
      <c r="A3582" s="32" t="n">
        <v>39</v>
      </c>
      <c r="F3582" s="32" t="n">
        <v>2678.696</v>
      </c>
      <c r="K3582" s="32" t="inlineStr">
        <is>
          <t>20250514-50</t>
        </is>
      </c>
    </row>
    <row r="3583">
      <c r="A3583" s="32" t="n">
        <v>40</v>
      </c>
      <c r="F3583" s="32" t="n">
        <v>2726.988</v>
      </c>
      <c r="K3583" s="32" t="inlineStr">
        <is>
          <t>20250514-51</t>
        </is>
      </c>
    </row>
    <row r="3584">
      <c r="A3584" s="32" t="n">
        <v>41</v>
      </c>
      <c r="F3584" s="32" t="n">
        <v>5082.269</v>
      </c>
      <c r="K3584" s="32" t="inlineStr">
        <is>
          <t>20250514-52</t>
        </is>
      </c>
    </row>
    <row r="3585">
      <c r="A3585" s="32" t="n">
        <v>42</v>
      </c>
      <c r="F3585" s="32" t="n">
        <v>4210.385</v>
      </c>
      <c r="K3585" s="32" t="inlineStr">
        <is>
          <t>20250514-53</t>
        </is>
      </c>
    </row>
    <row r="3586">
      <c r="A3586" s="32" t="n">
        <v>43</v>
      </c>
      <c r="F3586" s="32" t="n">
        <v>3844.751</v>
      </c>
      <c r="K3586" s="32" t="inlineStr">
        <is>
          <t>20250514-54</t>
        </is>
      </c>
    </row>
    <row r="3587">
      <c r="A3587" s="32" t="n">
        <v>44</v>
      </c>
      <c r="F3587" s="32" t="n">
        <v>3926.421</v>
      </c>
      <c r="K3587" s="32" t="inlineStr">
        <is>
          <t>20250514-55</t>
        </is>
      </c>
    </row>
    <row r="3588">
      <c r="A3588" s="32" t="n">
        <v>45</v>
      </c>
      <c r="K3588" s="32" t="inlineStr">
        <is>
          <t>20250514-56</t>
        </is>
      </c>
    </row>
    <row r="3589">
      <c r="A3589" s="32" t="n">
        <v>46</v>
      </c>
      <c r="F3589" s="32" t="n">
        <v>4791.03</v>
      </c>
      <c r="K3589" s="32" t="inlineStr">
        <is>
          <t>20250514-57</t>
        </is>
      </c>
    </row>
    <row r="3590">
      <c r="A3590" s="32" t="n">
        <v>47</v>
      </c>
      <c r="F3590" s="32" t="n">
        <v>3140.853</v>
      </c>
      <c r="K3590" s="32" t="inlineStr">
        <is>
          <t>20250514-58</t>
        </is>
      </c>
    </row>
    <row r="3591">
      <c r="A3591" s="32" t="n">
        <v>48</v>
      </c>
      <c r="F3591" s="32" t="n">
        <v>3659.982</v>
      </c>
      <c r="K3591" s="32" t="inlineStr">
        <is>
          <t>20250514-59</t>
        </is>
      </c>
    </row>
    <row r="3593">
      <c r="A3593" s="32" t="inlineStr">
        <is>
          <t>Compound 70:  NBP2</t>
        </is>
      </c>
    </row>
    <row r="3595">
      <c r="B3595" s="32" t="inlineStr">
        <is>
          <t>Sample Text</t>
        </is>
      </c>
      <c r="C3595" s="32" t="inlineStr">
        <is>
          <t>Std. Conc</t>
        </is>
      </c>
      <c r="D3595" s="32" t="inlineStr">
        <is>
          <t>RT</t>
        </is>
      </c>
      <c r="E3595" s="32" t="inlineStr">
        <is>
          <t>Area</t>
        </is>
      </c>
      <c r="F3595" s="32" t="inlineStr">
        <is>
          <t>IS Area</t>
        </is>
      </c>
      <c r="G3595" s="32" t="inlineStr">
        <is>
          <t>S/N</t>
        </is>
      </c>
      <c r="H3595" s="32" t="inlineStr">
        <is>
          <t>Primary Flags</t>
        </is>
      </c>
      <c r="I3595" s="32" t="inlineStr">
        <is>
          <t>Response</t>
        </is>
      </c>
      <c r="J3595" s="32" t="inlineStr">
        <is>
          <t>Conc.</t>
        </is>
      </c>
      <c r="K3595" s="32" t="inlineStr">
        <is>
          <t>Name</t>
        </is>
      </c>
    </row>
    <row r="3596">
      <c r="A3596" s="32" t="n">
        <v>1</v>
      </c>
      <c r="B3596" s="32" t="inlineStr">
        <is>
          <t>EPA1633 &amp; diPAPs Calibration 0 ppb</t>
        </is>
      </c>
      <c r="D3596" s="32" t="n">
        <v>11.08</v>
      </c>
      <c r="E3596" s="32" t="n">
        <v>112.808</v>
      </c>
      <c r="G3596" s="32" t="n">
        <v>969</v>
      </c>
      <c r="H3596" s="32" t="inlineStr">
        <is>
          <t>MM</t>
        </is>
      </c>
      <c r="I3596" s="32" t="n">
        <v>112.808</v>
      </c>
      <c r="K3596" s="32" t="inlineStr">
        <is>
          <t>20250514-12</t>
        </is>
      </c>
    </row>
    <row r="3597">
      <c r="A3597" s="32" t="n">
        <v>2</v>
      </c>
      <c r="B3597" s="32" t="inlineStr">
        <is>
          <t>EPA1633 &amp; diPAPs Calibration 0.02 ppb</t>
        </is>
      </c>
      <c r="D3597" s="32" t="n">
        <v>11.11</v>
      </c>
      <c r="E3597" s="32" t="n">
        <v>181.578</v>
      </c>
      <c r="G3597" s="32" t="n">
        <v>1583</v>
      </c>
      <c r="H3597" s="32" t="inlineStr">
        <is>
          <t>MM</t>
        </is>
      </c>
      <c r="I3597" s="32" t="n">
        <v>181.578</v>
      </c>
      <c r="K3597" s="32" t="inlineStr">
        <is>
          <t>20250514-13</t>
        </is>
      </c>
    </row>
    <row r="3598">
      <c r="A3598" s="32" t="n">
        <v>3</v>
      </c>
      <c r="B3598" s="32" t="inlineStr">
        <is>
          <t>EPA1633 &amp; diPAPs Calibration 0.1 ppb</t>
        </is>
      </c>
      <c r="D3598" s="32" t="n">
        <v>11.08</v>
      </c>
      <c r="E3598" s="32" t="n">
        <v>472.326</v>
      </c>
      <c r="G3598" s="32" t="n">
        <v>4808</v>
      </c>
      <c r="H3598" s="32" t="inlineStr">
        <is>
          <t>MM</t>
        </is>
      </c>
      <c r="I3598" s="32" t="n">
        <v>472.326</v>
      </c>
      <c r="K3598" s="32" t="inlineStr">
        <is>
          <t>20250514-14</t>
        </is>
      </c>
    </row>
    <row r="3599">
      <c r="A3599" s="32" t="n">
        <v>4</v>
      </c>
      <c r="B3599" s="32" t="inlineStr">
        <is>
          <t>EPA1633 &amp; diPAPs Calibration 0.4 ppb</t>
        </is>
      </c>
      <c r="D3599" s="32" t="n">
        <v>11.09</v>
      </c>
      <c r="E3599" s="32" t="n">
        <v>1470.944</v>
      </c>
      <c r="G3599" s="32" t="n">
        <v>109.841</v>
      </c>
      <c r="H3599" s="32" t="inlineStr">
        <is>
          <t>MM</t>
        </is>
      </c>
      <c r="I3599" s="32" t="n">
        <v>1470.944</v>
      </c>
      <c r="K3599" s="32" t="inlineStr">
        <is>
          <t>20250514-15</t>
        </is>
      </c>
    </row>
    <row r="3600">
      <c r="A3600" s="32" t="n">
        <v>5</v>
      </c>
      <c r="B3600" s="32" t="inlineStr">
        <is>
          <t>EPA1633 &amp; diPAPs Calibration 1 ppb</t>
        </is>
      </c>
      <c r="D3600" s="32" t="n">
        <v>11.1</v>
      </c>
      <c r="E3600" s="32" t="n">
        <v>973.304</v>
      </c>
      <c r="G3600" s="32" t="n">
        <v>15.938</v>
      </c>
      <c r="H3600" s="32" t="inlineStr">
        <is>
          <t>MM</t>
        </is>
      </c>
      <c r="I3600" s="32" t="n">
        <v>973.304</v>
      </c>
      <c r="K3600" s="32" t="inlineStr">
        <is>
          <t>20250514-16</t>
        </is>
      </c>
    </row>
    <row r="3601">
      <c r="A3601" s="32" t="n">
        <v>6</v>
      </c>
      <c r="B3601" s="32" t="inlineStr">
        <is>
          <t>EPA1633 &amp; diPAPs Calibration 5 ppb</t>
        </is>
      </c>
      <c r="D3601" s="32" t="n">
        <v>10.99</v>
      </c>
      <c r="E3601" s="32" t="n">
        <v>7500.388</v>
      </c>
      <c r="G3601" s="32" t="n">
        <v>275.695</v>
      </c>
      <c r="H3601" s="32" t="inlineStr">
        <is>
          <t>MM</t>
        </is>
      </c>
      <c r="I3601" s="32" t="n">
        <v>7500.388</v>
      </c>
      <c r="K3601" s="32" t="inlineStr">
        <is>
          <t>20250514-17</t>
        </is>
      </c>
    </row>
    <row r="3602">
      <c r="A3602" s="32" t="n">
        <v>7</v>
      </c>
      <c r="B3602" s="32" t="inlineStr">
        <is>
          <t>EPA1633 &amp; diPAPs Calibration 10 ppb</t>
        </is>
      </c>
      <c r="D3602" s="32" t="n">
        <v>11.03</v>
      </c>
      <c r="E3602" s="32" t="n">
        <v>14316.549</v>
      </c>
      <c r="G3602" s="32" t="n">
        <v>125634</v>
      </c>
      <c r="H3602" s="32" t="inlineStr">
        <is>
          <t>MM</t>
        </is>
      </c>
      <c r="I3602" s="32" t="n">
        <v>14316.549</v>
      </c>
      <c r="K3602" s="32" t="inlineStr">
        <is>
          <t>20250514-18</t>
        </is>
      </c>
    </row>
    <row r="3603">
      <c r="A3603" s="32" t="n">
        <v>8</v>
      </c>
      <c r="B3603" s="32" t="inlineStr">
        <is>
          <t>EPA1633 &amp; diPAPs Calibration 20 ppb</t>
        </is>
      </c>
      <c r="D3603" s="32" t="n">
        <v>11.06</v>
      </c>
      <c r="E3603" s="32" t="n">
        <v>29608.896</v>
      </c>
      <c r="G3603" s="32" t="n">
        <v>961.425</v>
      </c>
      <c r="H3603" s="32" t="inlineStr">
        <is>
          <t>MM</t>
        </is>
      </c>
      <c r="I3603" s="32" t="n">
        <v>29608.896</v>
      </c>
      <c r="K3603" s="32" t="inlineStr">
        <is>
          <t>20250514-19</t>
        </is>
      </c>
    </row>
    <row r="3604">
      <c r="A3604" s="32" t="n">
        <v>9</v>
      </c>
      <c r="B3604" s="32" t="inlineStr">
        <is>
          <t>MeOH</t>
        </is>
      </c>
      <c r="K3604" s="32" t="inlineStr">
        <is>
          <t>20250514-20</t>
        </is>
      </c>
    </row>
    <row r="3605">
      <c r="A3605" s="32" t="n">
        <v>10</v>
      </c>
      <c r="B3605" s="32" t="inlineStr">
        <is>
          <t>MeOH</t>
        </is>
      </c>
      <c r="K3605" s="32" t="inlineStr">
        <is>
          <t>20250514-21</t>
        </is>
      </c>
    </row>
    <row r="3606">
      <c r="A3606" s="32" t="n">
        <v>11</v>
      </c>
      <c r="B3606" s="32" t="inlineStr">
        <is>
          <t>SB1</t>
        </is>
      </c>
      <c r="D3606" s="32" t="n">
        <v>11.09</v>
      </c>
      <c r="E3606" s="32" t="n">
        <v>85.714</v>
      </c>
      <c r="G3606" s="32" t="n">
        <v>753</v>
      </c>
      <c r="H3606" s="32" t="inlineStr">
        <is>
          <t>MM</t>
        </is>
      </c>
      <c r="I3606" s="32" t="n">
        <v>85.714</v>
      </c>
      <c r="K3606" s="32" t="inlineStr">
        <is>
          <t>20250514-22</t>
        </is>
      </c>
    </row>
    <row r="3607">
      <c r="A3607" s="32" t="n">
        <v>12</v>
      </c>
      <c r="B3607" s="32" t="inlineStr">
        <is>
          <t>SB2</t>
        </is>
      </c>
      <c r="K3607" s="32" t="inlineStr">
        <is>
          <t>20250514-23</t>
        </is>
      </c>
    </row>
    <row r="3608">
      <c r="A3608" s="32" t="n">
        <v>13</v>
      </c>
      <c r="B3608" s="32" t="inlineStr">
        <is>
          <t>SB3</t>
        </is>
      </c>
      <c r="K3608" s="32" t="inlineStr">
        <is>
          <t>20250514-24</t>
        </is>
      </c>
    </row>
    <row r="3609">
      <c r="A3609" s="32" t="n">
        <v>14</v>
      </c>
      <c r="B3609" s="32" t="inlineStr">
        <is>
          <t>SS1</t>
        </is>
      </c>
      <c r="D3609" s="32" t="n">
        <v>11.15</v>
      </c>
      <c r="E3609" s="32" t="n">
        <v>5334.121</v>
      </c>
      <c r="G3609" s="32" t="n">
        <v>94.46599999999999</v>
      </c>
      <c r="H3609" s="32" t="inlineStr">
        <is>
          <t>MM</t>
        </is>
      </c>
      <c r="I3609" s="32" t="n">
        <v>5334.121</v>
      </c>
      <c r="K3609" s="32" t="inlineStr">
        <is>
          <t>20250514-25</t>
        </is>
      </c>
    </row>
    <row r="3610">
      <c r="A3610" s="32" t="n">
        <v>15</v>
      </c>
      <c r="B3610" s="32" t="inlineStr">
        <is>
          <t>SS2</t>
        </is>
      </c>
      <c r="D3610" s="32" t="n">
        <v>11.15</v>
      </c>
      <c r="E3610" s="32" t="n">
        <v>5038.068</v>
      </c>
      <c r="G3610" s="32" t="n">
        <v>96.748</v>
      </c>
      <c r="H3610" s="32" t="inlineStr">
        <is>
          <t>MM</t>
        </is>
      </c>
      <c r="I3610" s="32" t="n">
        <v>5038.068</v>
      </c>
      <c r="K3610" s="32" t="inlineStr">
        <is>
          <t>20250514-26</t>
        </is>
      </c>
    </row>
    <row r="3611">
      <c r="A3611" s="32" t="n">
        <v>16</v>
      </c>
      <c r="B3611" s="32" t="inlineStr">
        <is>
          <t>SS3</t>
        </is>
      </c>
      <c r="D3611" s="32" t="n">
        <v>11.16</v>
      </c>
      <c r="E3611" s="32" t="n">
        <v>5206.902</v>
      </c>
      <c r="G3611" s="32" t="n">
        <v>47098</v>
      </c>
      <c r="H3611" s="32" t="inlineStr">
        <is>
          <t>MM</t>
        </is>
      </c>
      <c r="I3611" s="32" t="n">
        <v>5206.902</v>
      </c>
      <c r="K3611" s="32" t="inlineStr">
        <is>
          <t>20250514-27</t>
        </is>
      </c>
    </row>
    <row r="3612">
      <c r="A3612" s="32" t="n">
        <v>17</v>
      </c>
      <c r="B3612" s="32" t="inlineStr">
        <is>
          <t>MeOH</t>
        </is>
      </c>
      <c r="D3612" s="32" t="n">
        <v>11.13</v>
      </c>
      <c r="E3612" s="32" t="n">
        <v>20.026</v>
      </c>
      <c r="G3612" s="32" t="n">
        <v>0.761</v>
      </c>
      <c r="H3612" s="32" t="inlineStr">
        <is>
          <t>MM</t>
        </is>
      </c>
      <c r="I3612" s="32" t="n">
        <v>20.026</v>
      </c>
      <c r="K3612" s="32" t="inlineStr">
        <is>
          <t>20250514-28</t>
        </is>
      </c>
    </row>
    <row r="3613">
      <c r="A3613" s="32" t="n">
        <v>18</v>
      </c>
      <c r="B3613" s="32" t="inlineStr">
        <is>
          <t>K4-1A</t>
        </is>
      </c>
      <c r="K3613" s="32" t="inlineStr">
        <is>
          <t>20250514-29</t>
        </is>
      </c>
    </row>
    <row r="3614">
      <c r="A3614" s="32" t="n">
        <v>19</v>
      </c>
      <c r="B3614" s="32" t="inlineStr">
        <is>
          <t>K4-1B</t>
        </is>
      </c>
      <c r="K3614" s="32" t="inlineStr">
        <is>
          <t>20250514-30</t>
        </is>
      </c>
    </row>
    <row r="3615">
      <c r="A3615" s="32" t="n">
        <v>20</v>
      </c>
      <c r="B3615" s="32" t="inlineStr">
        <is>
          <t>K4-1C</t>
        </is>
      </c>
      <c r="D3615" s="32" t="n">
        <v>11.13</v>
      </c>
      <c r="E3615" s="32" t="n">
        <v>3.463</v>
      </c>
      <c r="G3615" s="32" t="n">
        <v>34</v>
      </c>
      <c r="H3615" s="32" t="inlineStr">
        <is>
          <t>MM</t>
        </is>
      </c>
      <c r="I3615" s="32" t="n">
        <v>3.463</v>
      </c>
      <c r="K3615" s="32" t="inlineStr">
        <is>
          <t>20250514-31</t>
        </is>
      </c>
    </row>
    <row r="3616">
      <c r="A3616" s="32" t="n">
        <v>21</v>
      </c>
      <c r="B3616" s="32" t="inlineStr">
        <is>
          <t>K4-2A</t>
        </is>
      </c>
      <c r="K3616" s="32" t="inlineStr">
        <is>
          <t>20250514-32</t>
        </is>
      </c>
    </row>
    <row r="3617">
      <c r="A3617" s="32" t="n">
        <v>22</v>
      </c>
      <c r="B3617" s="32" t="inlineStr">
        <is>
          <t>K4-2B</t>
        </is>
      </c>
      <c r="K3617" s="32" t="inlineStr">
        <is>
          <t>20250514-33</t>
        </is>
      </c>
    </row>
    <row r="3618">
      <c r="A3618" s="32" t="n">
        <v>23</v>
      </c>
      <c r="B3618" s="32" t="inlineStr">
        <is>
          <t>K4-2C</t>
        </is>
      </c>
      <c r="K3618" s="32" t="inlineStr">
        <is>
          <t>20250514-34</t>
        </is>
      </c>
    </row>
    <row r="3619">
      <c r="A3619" s="32" t="n">
        <v>24</v>
      </c>
      <c r="B3619" s="32" t="inlineStr">
        <is>
          <t>MeOH</t>
        </is>
      </c>
      <c r="K3619" s="32" t="inlineStr">
        <is>
          <t>20250514-35</t>
        </is>
      </c>
    </row>
    <row r="3620">
      <c r="A3620" s="32" t="n">
        <v>25</v>
      </c>
      <c r="B3620" s="32" t="inlineStr">
        <is>
          <t>K4-4A</t>
        </is>
      </c>
      <c r="K3620" s="32" t="inlineStr">
        <is>
          <t>20250514-36</t>
        </is>
      </c>
    </row>
    <row r="3621">
      <c r="A3621" s="32" t="n">
        <v>26</v>
      </c>
      <c r="B3621" s="32" t="inlineStr">
        <is>
          <t>K4-4B</t>
        </is>
      </c>
      <c r="K3621" s="32" t="inlineStr">
        <is>
          <t>20250514-37</t>
        </is>
      </c>
    </row>
    <row r="3622">
      <c r="A3622" s="32" t="n">
        <v>27</v>
      </c>
      <c r="B3622" s="32" t="inlineStr">
        <is>
          <t>K4-4C</t>
        </is>
      </c>
      <c r="D3622" s="32" t="n">
        <v>11.05</v>
      </c>
      <c r="E3622" s="32" t="n">
        <v>0.306</v>
      </c>
      <c r="G3622" s="32" t="n">
        <v>3</v>
      </c>
      <c r="H3622" s="32" t="inlineStr">
        <is>
          <t>MM</t>
        </is>
      </c>
      <c r="I3622" s="32" t="n">
        <v>0.306</v>
      </c>
      <c r="K3622" s="32" t="inlineStr">
        <is>
          <t>20250514-38</t>
        </is>
      </c>
    </row>
    <row r="3623">
      <c r="A3623" s="32" t="n">
        <v>28</v>
      </c>
      <c r="B3623" s="32" t="inlineStr">
        <is>
          <t>K4-5A</t>
        </is>
      </c>
      <c r="K3623" s="32" t="inlineStr">
        <is>
          <t>20250514-39</t>
        </is>
      </c>
    </row>
    <row r="3624">
      <c r="A3624" s="32" t="n">
        <v>29</v>
      </c>
      <c r="B3624" s="32" t="inlineStr">
        <is>
          <t>K4-5B</t>
        </is>
      </c>
      <c r="K3624" s="32" t="inlineStr">
        <is>
          <t>20250514-40</t>
        </is>
      </c>
    </row>
    <row r="3625">
      <c r="A3625" s="32" t="n">
        <v>30</v>
      </c>
      <c r="B3625" s="32" t="inlineStr">
        <is>
          <t>K4-5C</t>
        </is>
      </c>
      <c r="K3625" s="32" t="inlineStr">
        <is>
          <t>20250514-41</t>
        </is>
      </c>
    </row>
    <row r="3626">
      <c r="A3626" s="32" t="n">
        <v>31</v>
      </c>
      <c r="B3626" s="32" t="inlineStr">
        <is>
          <t>MeOH</t>
        </is>
      </c>
      <c r="K3626" s="32" t="inlineStr">
        <is>
          <t>20250514-42</t>
        </is>
      </c>
    </row>
    <row r="3627">
      <c r="A3627" s="32" t="n">
        <v>32</v>
      </c>
      <c r="B3627" s="32" t="inlineStr">
        <is>
          <t>K3-1A</t>
        </is>
      </c>
      <c r="D3627" s="32" t="n">
        <v>10.79</v>
      </c>
      <c r="E3627" s="32" t="n">
        <v>4.092</v>
      </c>
      <c r="G3627" s="32" t="n">
        <v>44</v>
      </c>
      <c r="H3627" s="32" t="inlineStr">
        <is>
          <t>MM</t>
        </is>
      </c>
      <c r="I3627" s="32" t="n">
        <v>4.092</v>
      </c>
      <c r="K3627" s="32" t="inlineStr">
        <is>
          <t>20250514-43</t>
        </is>
      </c>
    </row>
    <row r="3628">
      <c r="A3628" s="32" t="n">
        <v>33</v>
      </c>
      <c r="B3628" s="32" t="inlineStr">
        <is>
          <t>K3-1B</t>
        </is>
      </c>
      <c r="K3628" s="32" t="inlineStr">
        <is>
          <t>20250514-44</t>
        </is>
      </c>
    </row>
    <row r="3629">
      <c r="A3629" s="32" t="n">
        <v>34</v>
      </c>
      <c r="B3629" s="32" t="inlineStr">
        <is>
          <t>K3-1C</t>
        </is>
      </c>
      <c r="K3629" s="32" t="inlineStr">
        <is>
          <t>20250514-45</t>
        </is>
      </c>
    </row>
    <row r="3630">
      <c r="A3630" s="32" t="n">
        <v>35</v>
      </c>
      <c r="B3630" s="32" t="inlineStr">
        <is>
          <t>K3-2A</t>
        </is>
      </c>
      <c r="D3630" s="32" t="n">
        <v>11.13</v>
      </c>
      <c r="E3630" s="32" t="n">
        <v>0.611</v>
      </c>
      <c r="G3630" s="32" t="n">
        <v>6</v>
      </c>
      <c r="H3630" s="32" t="inlineStr">
        <is>
          <t>MM</t>
        </is>
      </c>
      <c r="I3630" s="32" t="n">
        <v>0.611</v>
      </c>
      <c r="K3630" s="32" t="inlineStr">
        <is>
          <t>20250514-46</t>
        </is>
      </c>
    </row>
    <row r="3631">
      <c r="A3631" s="32" t="n">
        <v>36</v>
      </c>
      <c r="B3631" s="32" t="inlineStr">
        <is>
          <t>K3-2B</t>
        </is>
      </c>
      <c r="D3631" s="32" t="n">
        <v>11.09</v>
      </c>
      <c r="E3631" s="32" t="n">
        <v>12.352</v>
      </c>
      <c r="G3631" s="32" t="n">
        <v>3.351</v>
      </c>
      <c r="H3631" s="32" t="inlineStr">
        <is>
          <t>MM</t>
        </is>
      </c>
      <c r="I3631" s="32" t="n">
        <v>12.352</v>
      </c>
      <c r="K3631" s="32" t="inlineStr">
        <is>
          <t>20250514-47</t>
        </is>
      </c>
    </row>
    <row r="3632">
      <c r="A3632" s="32" t="n">
        <v>37</v>
      </c>
      <c r="B3632" s="32" t="inlineStr">
        <is>
          <t>K3-2C</t>
        </is>
      </c>
      <c r="D3632" s="32" t="n">
        <v>10.45</v>
      </c>
      <c r="E3632" s="32" t="n">
        <v>0.481</v>
      </c>
      <c r="G3632" s="32" t="n">
        <v>5</v>
      </c>
      <c r="H3632" s="32" t="inlineStr">
        <is>
          <t>MM</t>
        </is>
      </c>
      <c r="I3632" s="32" t="n">
        <v>0.481</v>
      </c>
      <c r="K3632" s="32" t="inlineStr">
        <is>
          <t>20250514-48</t>
        </is>
      </c>
    </row>
    <row r="3633">
      <c r="A3633" s="32" t="n">
        <v>38</v>
      </c>
      <c r="B3633" s="32" t="inlineStr">
        <is>
          <t>MeOH</t>
        </is>
      </c>
      <c r="K3633" s="32" t="inlineStr">
        <is>
          <t>20250514-49</t>
        </is>
      </c>
    </row>
    <row r="3634">
      <c r="A3634" s="32" t="n">
        <v>39</v>
      </c>
      <c r="B3634" s="32" t="inlineStr">
        <is>
          <t>K3-3A</t>
        </is>
      </c>
      <c r="K3634" s="32" t="inlineStr">
        <is>
          <t>20250514-50</t>
        </is>
      </c>
    </row>
    <row r="3635">
      <c r="A3635" s="32" t="n">
        <v>40</v>
      </c>
      <c r="B3635" s="32" t="inlineStr">
        <is>
          <t>K3-3B</t>
        </is>
      </c>
      <c r="K3635" s="32" t="inlineStr">
        <is>
          <t>20250514-51</t>
        </is>
      </c>
    </row>
    <row r="3636">
      <c r="A3636" s="32" t="n">
        <v>41</v>
      </c>
      <c r="B3636" s="32" t="inlineStr">
        <is>
          <t>K3-3C</t>
        </is>
      </c>
      <c r="K3636" s="32" t="inlineStr">
        <is>
          <t>20250514-52</t>
        </is>
      </c>
    </row>
    <row r="3637">
      <c r="A3637" s="32" t="n">
        <v>42</v>
      </c>
      <c r="B3637" s="32" t="inlineStr">
        <is>
          <t>K3-4A</t>
        </is>
      </c>
      <c r="D3637" s="32" t="n">
        <v>11.68</v>
      </c>
      <c r="E3637" s="32" t="n">
        <v>7.653</v>
      </c>
      <c r="G3637" s="32" t="n">
        <v>75</v>
      </c>
      <c r="H3637" s="32" t="inlineStr">
        <is>
          <t>MM</t>
        </is>
      </c>
      <c r="I3637" s="32" t="n">
        <v>7.653</v>
      </c>
      <c r="K3637" s="32" t="inlineStr">
        <is>
          <t>20250514-53</t>
        </is>
      </c>
    </row>
    <row r="3638">
      <c r="A3638" s="32" t="n">
        <v>43</v>
      </c>
      <c r="B3638" s="32" t="inlineStr">
        <is>
          <t>K3-4B</t>
        </is>
      </c>
      <c r="K3638" s="32" t="inlineStr">
        <is>
          <t>20250514-54</t>
        </is>
      </c>
    </row>
    <row r="3639">
      <c r="A3639" s="32" t="n">
        <v>44</v>
      </c>
      <c r="B3639" s="32" t="inlineStr">
        <is>
          <t>K3-4C</t>
        </is>
      </c>
      <c r="D3639" s="32" t="n">
        <v>11.7</v>
      </c>
      <c r="E3639" s="32" t="n">
        <v>0.418</v>
      </c>
      <c r="G3639" s="32" t="n">
        <v>4</v>
      </c>
      <c r="H3639" s="32" t="inlineStr">
        <is>
          <t>MM</t>
        </is>
      </c>
      <c r="I3639" s="32" t="n">
        <v>0.418</v>
      </c>
      <c r="K3639" s="32" t="inlineStr">
        <is>
          <t>20250514-55</t>
        </is>
      </c>
    </row>
    <row r="3640">
      <c r="A3640" s="32" t="n">
        <v>45</v>
      </c>
      <c r="B3640" s="32" t="inlineStr">
        <is>
          <t>MeOH</t>
        </is>
      </c>
      <c r="K3640" s="32" t="inlineStr">
        <is>
          <t>20250514-56</t>
        </is>
      </c>
    </row>
    <row r="3641">
      <c r="A3641" s="32" t="n">
        <v>46</v>
      </c>
      <c r="B3641" s="32" t="inlineStr">
        <is>
          <t>K3-6A</t>
        </is>
      </c>
      <c r="D3641" s="32" t="n">
        <v>11.22</v>
      </c>
      <c r="E3641" s="32" t="n">
        <v>33.219</v>
      </c>
      <c r="G3641" s="32" t="n">
        <v>1.891</v>
      </c>
      <c r="H3641" s="32" t="inlineStr">
        <is>
          <t>MM</t>
        </is>
      </c>
      <c r="I3641" s="32" t="n">
        <v>33.219</v>
      </c>
      <c r="K3641" s="32" t="inlineStr">
        <is>
          <t>20250514-57</t>
        </is>
      </c>
    </row>
    <row r="3642">
      <c r="A3642" s="32" t="n">
        <v>47</v>
      </c>
      <c r="B3642" s="32" t="inlineStr">
        <is>
          <t>K3-6B</t>
        </is>
      </c>
      <c r="D3642" s="32" t="n">
        <v>11.05</v>
      </c>
      <c r="E3642" s="32" t="n">
        <v>3.629</v>
      </c>
      <c r="G3642" s="32" t="n">
        <v>40</v>
      </c>
      <c r="H3642" s="32" t="inlineStr">
        <is>
          <t>bb</t>
        </is>
      </c>
      <c r="I3642" s="32" t="n">
        <v>3.629</v>
      </c>
      <c r="K3642" s="32" t="inlineStr">
        <is>
          <t>20250514-58</t>
        </is>
      </c>
    </row>
    <row r="3643">
      <c r="A3643" s="32" t="n">
        <v>48</v>
      </c>
      <c r="B3643" s="32" t="inlineStr">
        <is>
          <t>K3-6C</t>
        </is>
      </c>
      <c r="D3643" s="32" t="n">
        <v>11.04</v>
      </c>
      <c r="E3643" s="32" t="n">
        <v>2.091</v>
      </c>
      <c r="G3643" s="32" t="n">
        <v>17</v>
      </c>
      <c r="H3643" s="32" t="inlineStr">
        <is>
          <t>MM</t>
        </is>
      </c>
      <c r="I3643" s="32" t="n">
        <v>2.091</v>
      </c>
      <c r="K3643" s="32" t="inlineStr">
        <is>
          <t>20250514-59</t>
        </is>
      </c>
    </row>
    <row r="3645">
      <c r="A3645" s="32" t="inlineStr">
        <is>
          <t>Compound 71:  m9 PFNA 1</t>
        </is>
      </c>
    </row>
    <row r="3647">
      <c r="B3647" s="32" t="inlineStr">
        <is>
          <t>Sample Text</t>
        </is>
      </c>
      <c r="C3647" s="32" t="inlineStr">
        <is>
          <t>Std. Conc</t>
        </is>
      </c>
      <c r="D3647" s="32" t="inlineStr">
        <is>
          <t>RT</t>
        </is>
      </c>
      <c r="E3647" s="32" t="inlineStr">
        <is>
          <t>Area</t>
        </is>
      </c>
      <c r="F3647" s="32" t="inlineStr">
        <is>
          <t>IS Area</t>
        </is>
      </c>
      <c r="G3647" s="32" t="inlineStr">
        <is>
          <t>S/N</t>
        </is>
      </c>
      <c r="H3647" s="32" t="inlineStr">
        <is>
          <t>Primary Flags</t>
        </is>
      </c>
      <c r="I3647" s="32" t="inlineStr">
        <is>
          <t>Response</t>
        </is>
      </c>
      <c r="J3647" s="32" t="inlineStr">
        <is>
          <t>Conc.</t>
        </is>
      </c>
      <c r="K3647" s="32" t="inlineStr">
        <is>
          <t>Name</t>
        </is>
      </c>
    </row>
    <row r="3648">
      <c r="A3648" s="32" t="n">
        <v>1</v>
      </c>
      <c r="B3648" s="32" t="inlineStr">
        <is>
          <t>EPA1633 &amp; diPAPs Calibration 0 ppb</t>
        </is>
      </c>
      <c r="D3648" s="32" t="n">
        <v>12.99</v>
      </c>
      <c r="E3648" s="32" t="n">
        <v>8092.868</v>
      </c>
      <c r="G3648" s="32" t="n">
        <v>57363</v>
      </c>
      <c r="H3648" s="32" t="inlineStr">
        <is>
          <t>bb</t>
        </is>
      </c>
      <c r="I3648" s="32" t="n">
        <v>8092.868</v>
      </c>
      <c r="K3648" s="32" t="inlineStr">
        <is>
          <t>20250514-12</t>
        </is>
      </c>
    </row>
    <row r="3649">
      <c r="A3649" s="32" t="n">
        <v>2</v>
      </c>
      <c r="B3649" s="32" t="inlineStr">
        <is>
          <t>EPA1633 &amp; diPAPs Calibration 0.02 ppb</t>
        </is>
      </c>
      <c r="D3649" s="32" t="n">
        <v>13.01</v>
      </c>
      <c r="E3649" s="32" t="n">
        <v>8014.825</v>
      </c>
      <c r="G3649" s="32" t="n">
        <v>859.668</v>
      </c>
      <c r="H3649" s="32" t="inlineStr">
        <is>
          <t>bb</t>
        </is>
      </c>
      <c r="I3649" s="32" t="n">
        <v>8014.825</v>
      </c>
      <c r="K3649" s="32" t="inlineStr">
        <is>
          <t>20250514-13</t>
        </is>
      </c>
    </row>
    <row r="3650">
      <c r="A3650" s="32" t="n">
        <v>3</v>
      </c>
      <c r="B3650" s="32" t="inlineStr">
        <is>
          <t>EPA1633 &amp; diPAPs Calibration 0.1 ppb</t>
        </is>
      </c>
      <c r="D3650" s="32" t="n">
        <v>13.01</v>
      </c>
      <c r="E3650" s="32" t="n">
        <v>7789.75</v>
      </c>
      <c r="G3650" s="32" t="n">
        <v>284.072</v>
      </c>
      <c r="H3650" s="32" t="inlineStr">
        <is>
          <t>bb</t>
        </is>
      </c>
      <c r="I3650" s="32" t="n">
        <v>7789.75</v>
      </c>
      <c r="K3650" s="32" t="inlineStr">
        <is>
          <t>20250514-14</t>
        </is>
      </c>
    </row>
    <row r="3651">
      <c r="A3651" s="32" t="n">
        <v>4</v>
      </c>
      <c r="B3651" s="32" t="inlineStr">
        <is>
          <t>EPA1633 &amp; diPAPs Calibration 0.4 ppb</t>
        </is>
      </c>
      <c r="D3651" s="32" t="n">
        <v>13.02</v>
      </c>
      <c r="E3651" s="32" t="n">
        <v>7364.624</v>
      </c>
      <c r="G3651" s="32" t="n">
        <v>93.70699999999999</v>
      </c>
      <c r="H3651" s="32" t="inlineStr">
        <is>
          <t>bb</t>
        </is>
      </c>
      <c r="I3651" s="32" t="n">
        <v>7364.624</v>
      </c>
      <c r="K3651" s="32" t="inlineStr">
        <is>
          <t>20250514-15</t>
        </is>
      </c>
    </row>
    <row r="3652">
      <c r="A3652" s="32" t="n">
        <v>5</v>
      </c>
      <c r="B3652" s="32" t="inlineStr">
        <is>
          <t>EPA1633 &amp; diPAPs Calibration 1 ppb</t>
        </is>
      </c>
      <c r="D3652" s="32" t="n">
        <v>13.03</v>
      </c>
      <c r="E3652" s="32" t="n">
        <v>8117.523</v>
      </c>
      <c r="G3652" s="32" t="n">
        <v>185.111</v>
      </c>
      <c r="H3652" s="32" t="inlineStr">
        <is>
          <t>bb</t>
        </is>
      </c>
      <c r="I3652" s="32" t="n">
        <v>8117.523</v>
      </c>
      <c r="K3652" s="32" t="inlineStr">
        <is>
          <t>20250514-16</t>
        </is>
      </c>
    </row>
    <row r="3653">
      <c r="A3653" s="32" t="n">
        <v>6</v>
      </c>
      <c r="B3653" s="32" t="inlineStr">
        <is>
          <t>EPA1633 &amp; diPAPs Calibration 5 ppb</t>
        </is>
      </c>
      <c r="D3653" s="32" t="n">
        <v>12.96</v>
      </c>
      <c r="E3653" s="32" t="n">
        <v>6441.461</v>
      </c>
      <c r="G3653" s="32" t="n">
        <v>569.761</v>
      </c>
      <c r="H3653" s="32" t="inlineStr">
        <is>
          <t>bb</t>
        </is>
      </c>
      <c r="I3653" s="32" t="n">
        <v>6441.461</v>
      </c>
      <c r="K3653" s="32" t="inlineStr">
        <is>
          <t>20250514-17</t>
        </is>
      </c>
    </row>
    <row r="3654">
      <c r="A3654" s="32" t="n">
        <v>7</v>
      </c>
      <c r="B3654" s="32" t="inlineStr">
        <is>
          <t>EPA1633 &amp; diPAPs Calibration 10 ppb</t>
        </is>
      </c>
      <c r="D3654" s="32" t="n">
        <v>12.98</v>
      </c>
      <c r="E3654" s="32" t="n">
        <v>5311.949</v>
      </c>
      <c r="G3654" s="32" t="n">
        <v>38562</v>
      </c>
      <c r="H3654" s="32" t="inlineStr">
        <is>
          <t>bb</t>
        </is>
      </c>
      <c r="I3654" s="32" t="n">
        <v>5311.949</v>
      </c>
      <c r="K3654" s="32" t="inlineStr">
        <is>
          <t>20250514-18</t>
        </is>
      </c>
    </row>
    <row r="3655">
      <c r="A3655" s="32" t="n">
        <v>8</v>
      </c>
      <c r="B3655" s="32" t="inlineStr">
        <is>
          <t>EPA1633 &amp; diPAPs Calibration 20 ppb</t>
        </is>
      </c>
      <c r="D3655" s="32" t="n">
        <v>13</v>
      </c>
      <c r="E3655" s="32" t="n">
        <v>4766.589</v>
      </c>
      <c r="G3655" s="32" t="n">
        <v>326.584</v>
      </c>
      <c r="H3655" s="32" t="inlineStr">
        <is>
          <t>bb</t>
        </is>
      </c>
      <c r="I3655" s="32" t="n">
        <v>4766.589</v>
      </c>
      <c r="K3655" s="32" t="inlineStr">
        <is>
          <t>20250514-19</t>
        </is>
      </c>
    </row>
    <row r="3656">
      <c r="A3656" s="32" t="n">
        <v>9</v>
      </c>
      <c r="B3656" s="32" t="inlineStr">
        <is>
          <t>MeOH</t>
        </is>
      </c>
      <c r="K3656" s="32" t="inlineStr">
        <is>
          <t>20250514-20</t>
        </is>
      </c>
    </row>
    <row r="3657">
      <c r="A3657" s="32" t="n">
        <v>10</v>
      </c>
      <c r="B3657" s="32" t="inlineStr">
        <is>
          <t>MeOH</t>
        </is>
      </c>
      <c r="K3657" s="32" t="inlineStr">
        <is>
          <t>20250514-21</t>
        </is>
      </c>
    </row>
    <row r="3658">
      <c r="A3658" s="32" t="n">
        <v>11</v>
      </c>
      <c r="B3658" s="32" t="inlineStr">
        <is>
          <t>SB1</t>
        </is>
      </c>
      <c r="D3658" s="32" t="n">
        <v>13.03</v>
      </c>
      <c r="E3658" s="32" t="n">
        <v>2451.924</v>
      </c>
      <c r="G3658" s="32" t="n">
        <v>17225</v>
      </c>
      <c r="H3658" s="32" t="inlineStr">
        <is>
          <t>bb</t>
        </is>
      </c>
      <c r="I3658" s="32" t="n">
        <v>2451.924</v>
      </c>
      <c r="K3658" s="32" t="inlineStr">
        <is>
          <t>20250514-22</t>
        </is>
      </c>
    </row>
    <row r="3659">
      <c r="A3659" s="32" t="n">
        <v>12</v>
      </c>
      <c r="B3659" s="32" t="inlineStr">
        <is>
          <t>SB2</t>
        </is>
      </c>
      <c r="D3659" s="32" t="n">
        <v>13.05</v>
      </c>
      <c r="E3659" s="32" t="n">
        <v>2271.8</v>
      </c>
      <c r="G3659" s="32" t="n">
        <v>16629</v>
      </c>
      <c r="H3659" s="32" t="inlineStr">
        <is>
          <t>bb</t>
        </is>
      </c>
      <c r="I3659" s="32" t="n">
        <v>2271.8</v>
      </c>
      <c r="K3659" s="32" t="inlineStr">
        <is>
          <t>20250514-23</t>
        </is>
      </c>
    </row>
    <row r="3660">
      <c r="A3660" s="32" t="n">
        <v>13</v>
      </c>
      <c r="B3660" s="32" t="inlineStr">
        <is>
          <t>SB3</t>
        </is>
      </c>
      <c r="D3660" s="32" t="n">
        <v>13.05</v>
      </c>
      <c r="E3660" s="32" t="n">
        <v>1817.396</v>
      </c>
      <c r="G3660" s="32" t="n">
        <v>12254</v>
      </c>
      <c r="H3660" s="32" t="inlineStr">
        <is>
          <t>bb</t>
        </is>
      </c>
      <c r="I3660" s="32" t="n">
        <v>1817.396</v>
      </c>
      <c r="K3660" s="32" t="inlineStr">
        <is>
          <t>20250514-24</t>
        </is>
      </c>
    </row>
    <row r="3661">
      <c r="A3661" s="32" t="n">
        <v>14</v>
      </c>
      <c r="B3661" s="32" t="inlineStr">
        <is>
          <t>SS1</t>
        </is>
      </c>
      <c r="D3661" s="32" t="n">
        <v>13.05</v>
      </c>
      <c r="E3661" s="32" t="n">
        <v>2217.159</v>
      </c>
      <c r="G3661" s="32" t="n">
        <v>15212</v>
      </c>
      <c r="H3661" s="32" t="inlineStr">
        <is>
          <t>bb</t>
        </is>
      </c>
      <c r="I3661" s="32" t="n">
        <v>2217.159</v>
      </c>
      <c r="K3661" s="32" t="inlineStr">
        <is>
          <t>20250514-25</t>
        </is>
      </c>
    </row>
    <row r="3662">
      <c r="A3662" s="32" t="n">
        <v>15</v>
      </c>
      <c r="B3662" s="32" t="inlineStr">
        <is>
          <t>SS2</t>
        </is>
      </c>
      <c r="D3662" s="32" t="n">
        <v>13.08</v>
      </c>
      <c r="E3662" s="32" t="n">
        <v>2505.109</v>
      </c>
      <c r="G3662" s="32" t="n">
        <v>16672</v>
      </c>
      <c r="H3662" s="32" t="inlineStr">
        <is>
          <t>bb</t>
        </is>
      </c>
      <c r="I3662" s="32" t="n">
        <v>2505.109</v>
      </c>
      <c r="K3662" s="32" t="inlineStr">
        <is>
          <t>20250514-26</t>
        </is>
      </c>
    </row>
    <row r="3663">
      <c r="A3663" s="32" t="n">
        <v>16</v>
      </c>
      <c r="B3663" s="32" t="inlineStr">
        <is>
          <t>SS3</t>
        </is>
      </c>
      <c r="D3663" s="32" t="n">
        <v>13.08</v>
      </c>
      <c r="E3663" s="32" t="n">
        <v>1762.056</v>
      </c>
      <c r="G3663" s="32" t="n">
        <v>13009</v>
      </c>
      <c r="H3663" s="32" t="inlineStr">
        <is>
          <t>bb</t>
        </is>
      </c>
      <c r="I3663" s="32" t="n">
        <v>1762.056</v>
      </c>
      <c r="K3663" s="32" t="inlineStr">
        <is>
          <t>20250514-27</t>
        </is>
      </c>
    </row>
    <row r="3664">
      <c r="A3664" s="32" t="n">
        <v>17</v>
      </c>
      <c r="B3664" s="32" t="inlineStr">
        <is>
          <t>MeOH</t>
        </is>
      </c>
      <c r="H3664" s="32" t="inlineStr">
        <is>
          <t>MM-</t>
        </is>
      </c>
      <c r="K3664" s="32" t="inlineStr">
        <is>
          <t>20250514-28</t>
        </is>
      </c>
    </row>
    <row r="3665">
      <c r="A3665" s="32" t="n">
        <v>18</v>
      </c>
      <c r="B3665" s="32" t="inlineStr">
        <is>
          <t>K4-1A</t>
        </is>
      </c>
      <c r="D3665" s="32" t="n">
        <v>13.09</v>
      </c>
      <c r="E3665" s="32" t="n">
        <v>3034.158</v>
      </c>
      <c r="G3665" s="32" t="n">
        <v>22319</v>
      </c>
      <c r="H3665" s="32" t="inlineStr">
        <is>
          <t>bb</t>
        </is>
      </c>
      <c r="I3665" s="32" t="n">
        <v>3034.158</v>
      </c>
      <c r="K3665" s="32" t="inlineStr">
        <is>
          <t>20250514-29</t>
        </is>
      </c>
    </row>
    <row r="3666">
      <c r="A3666" s="32" t="n">
        <v>19</v>
      </c>
      <c r="B3666" s="32" t="inlineStr">
        <is>
          <t>K4-1B</t>
        </is>
      </c>
      <c r="D3666" s="32" t="n">
        <v>13.09</v>
      </c>
      <c r="E3666" s="32" t="n">
        <v>3000.833</v>
      </c>
      <c r="G3666" s="32" t="n">
        <v>21169</v>
      </c>
      <c r="H3666" s="32" t="inlineStr">
        <is>
          <t>bb</t>
        </is>
      </c>
      <c r="I3666" s="32" t="n">
        <v>3000.833</v>
      </c>
      <c r="K3666" s="32" t="inlineStr">
        <is>
          <t>20250514-30</t>
        </is>
      </c>
    </row>
    <row r="3667">
      <c r="A3667" s="32" t="n">
        <v>20</v>
      </c>
      <c r="B3667" s="32" t="inlineStr">
        <is>
          <t>K4-1C</t>
        </is>
      </c>
      <c r="D3667" s="32" t="n">
        <v>13.09</v>
      </c>
      <c r="E3667" s="32" t="n">
        <v>2957.755</v>
      </c>
      <c r="G3667" s="32" t="n">
        <v>509.159</v>
      </c>
      <c r="H3667" s="32" t="inlineStr">
        <is>
          <t>bb</t>
        </is>
      </c>
      <c r="I3667" s="32" t="n">
        <v>2957.755</v>
      </c>
      <c r="K3667" s="32" t="inlineStr">
        <is>
          <t>20250514-31</t>
        </is>
      </c>
    </row>
    <row r="3668">
      <c r="A3668" s="32" t="n">
        <v>21</v>
      </c>
      <c r="B3668" s="32" t="inlineStr">
        <is>
          <t>K4-2A</t>
        </is>
      </c>
      <c r="D3668" s="32" t="n">
        <v>13.11</v>
      </c>
      <c r="E3668" s="32" t="n">
        <v>2249.78</v>
      </c>
      <c r="G3668" s="32" t="n">
        <v>72.815</v>
      </c>
      <c r="H3668" s="32" t="inlineStr">
        <is>
          <t>bb</t>
        </is>
      </c>
      <c r="I3668" s="32" t="n">
        <v>2249.78</v>
      </c>
      <c r="K3668" s="32" t="inlineStr">
        <is>
          <t>20250514-32</t>
        </is>
      </c>
    </row>
    <row r="3669">
      <c r="A3669" s="32" t="n">
        <v>22</v>
      </c>
      <c r="B3669" s="32" t="inlineStr">
        <is>
          <t>K4-2B</t>
        </is>
      </c>
      <c r="D3669" s="32" t="n">
        <v>13.1</v>
      </c>
      <c r="E3669" s="32" t="n">
        <v>2723.332</v>
      </c>
      <c r="G3669" s="32" t="n">
        <v>259.404</v>
      </c>
      <c r="H3669" s="32" t="inlineStr">
        <is>
          <t>bb</t>
        </is>
      </c>
      <c r="I3669" s="32" t="n">
        <v>2723.332</v>
      </c>
      <c r="K3669" s="32" t="inlineStr">
        <is>
          <t>20250514-33</t>
        </is>
      </c>
    </row>
    <row r="3670">
      <c r="A3670" s="32" t="n">
        <v>23</v>
      </c>
      <c r="B3670" s="32" t="inlineStr">
        <is>
          <t>K4-2C</t>
        </is>
      </c>
      <c r="D3670" s="32" t="n">
        <v>13.11</v>
      </c>
      <c r="E3670" s="32" t="n">
        <v>2283.646</v>
      </c>
      <c r="G3670" s="32" t="n">
        <v>16007</v>
      </c>
      <c r="H3670" s="32" t="inlineStr">
        <is>
          <t>bb</t>
        </is>
      </c>
      <c r="I3670" s="32" t="n">
        <v>2283.646</v>
      </c>
      <c r="K3670" s="32" t="inlineStr">
        <is>
          <t>20250514-34</t>
        </is>
      </c>
    </row>
    <row r="3671">
      <c r="A3671" s="32" t="n">
        <v>24</v>
      </c>
      <c r="B3671" s="32" t="inlineStr">
        <is>
          <t>MeOH</t>
        </is>
      </c>
      <c r="K3671" s="32" t="inlineStr">
        <is>
          <t>20250514-35</t>
        </is>
      </c>
    </row>
    <row r="3672">
      <c r="A3672" s="32" t="n">
        <v>25</v>
      </c>
      <c r="B3672" s="32" t="inlineStr">
        <is>
          <t>K4-4A</t>
        </is>
      </c>
      <c r="D3672" s="32" t="n">
        <v>13.12</v>
      </c>
      <c r="E3672" s="32" t="n">
        <v>1724.848</v>
      </c>
      <c r="G3672" s="32" t="n">
        <v>11607</v>
      </c>
      <c r="H3672" s="32" t="inlineStr">
        <is>
          <t>bb</t>
        </is>
      </c>
      <c r="I3672" s="32" t="n">
        <v>1724.848</v>
      </c>
      <c r="K3672" s="32" t="inlineStr">
        <is>
          <t>20250514-36</t>
        </is>
      </c>
    </row>
    <row r="3673">
      <c r="A3673" s="32" t="n">
        <v>26</v>
      </c>
      <c r="B3673" s="32" t="inlineStr">
        <is>
          <t>K4-4B</t>
        </is>
      </c>
      <c r="D3673" s="32" t="n">
        <v>13.14</v>
      </c>
      <c r="E3673" s="32" t="n">
        <v>2218.471</v>
      </c>
      <c r="G3673" s="32" t="n">
        <v>73.295</v>
      </c>
      <c r="H3673" s="32" t="inlineStr">
        <is>
          <t>bb</t>
        </is>
      </c>
      <c r="I3673" s="32" t="n">
        <v>2218.471</v>
      </c>
      <c r="K3673" s="32" t="inlineStr">
        <is>
          <t>20250514-37</t>
        </is>
      </c>
    </row>
    <row r="3674">
      <c r="A3674" s="32" t="n">
        <v>27</v>
      </c>
      <c r="B3674" s="32" t="inlineStr">
        <is>
          <t>K4-4C</t>
        </is>
      </c>
      <c r="D3674" s="32" t="n">
        <v>13.14</v>
      </c>
      <c r="E3674" s="32" t="n">
        <v>2598.377</v>
      </c>
      <c r="G3674" s="32" t="n">
        <v>18103</v>
      </c>
      <c r="H3674" s="32" t="inlineStr">
        <is>
          <t>bb</t>
        </is>
      </c>
      <c r="I3674" s="32" t="n">
        <v>2598.377</v>
      </c>
      <c r="K3674" s="32" t="inlineStr">
        <is>
          <t>20250514-38</t>
        </is>
      </c>
    </row>
    <row r="3675">
      <c r="A3675" s="32" t="n">
        <v>28</v>
      </c>
      <c r="B3675" s="32" t="inlineStr">
        <is>
          <t>K4-5A</t>
        </is>
      </c>
      <c r="D3675" s="32" t="n">
        <v>13.11</v>
      </c>
      <c r="E3675" s="32" t="n">
        <v>2438.789</v>
      </c>
      <c r="G3675" s="32" t="n">
        <v>16991</v>
      </c>
      <c r="H3675" s="32" t="inlineStr">
        <is>
          <t>bb</t>
        </is>
      </c>
      <c r="I3675" s="32" t="n">
        <v>2438.789</v>
      </c>
      <c r="K3675" s="32" t="inlineStr">
        <is>
          <t>20250514-39</t>
        </is>
      </c>
    </row>
    <row r="3676">
      <c r="A3676" s="32" t="n">
        <v>29</v>
      </c>
      <c r="B3676" s="32" t="inlineStr">
        <is>
          <t>K4-5B</t>
        </is>
      </c>
      <c r="D3676" s="32" t="n">
        <v>13.08</v>
      </c>
      <c r="E3676" s="32" t="n">
        <v>1988.313</v>
      </c>
      <c r="G3676" s="32" t="n">
        <v>358.405</v>
      </c>
      <c r="H3676" s="32" t="inlineStr">
        <is>
          <t>bb</t>
        </is>
      </c>
      <c r="I3676" s="32" t="n">
        <v>1988.313</v>
      </c>
      <c r="K3676" s="32" t="inlineStr">
        <is>
          <t>20250514-40</t>
        </is>
      </c>
    </row>
    <row r="3677">
      <c r="A3677" s="32" t="n">
        <v>30</v>
      </c>
      <c r="B3677" s="32" t="inlineStr">
        <is>
          <t>K4-5C</t>
        </is>
      </c>
      <c r="D3677" s="32" t="n">
        <v>13.02</v>
      </c>
      <c r="E3677" s="32" t="n">
        <v>2087.422</v>
      </c>
      <c r="G3677" s="32" t="n">
        <v>79.655</v>
      </c>
      <c r="H3677" s="32" t="inlineStr">
        <is>
          <t>bb</t>
        </is>
      </c>
      <c r="I3677" s="32" t="n">
        <v>2087.422</v>
      </c>
      <c r="K3677" s="32" t="inlineStr">
        <is>
          <t>20250514-41</t>
        </is>
      </c>
    </row>
    <row r="3678">
      <c r="A3678" s="32" t="n">
        <v>31</v>
      </c>
      <c r="B3678" s="32" t="inlineStr">
        <is>
          <t>MeOH</t>
        </is>
      </c>
      <c r="H3678" s="32" t="inlineStr">
        <is>
          <t>MM-</t>
        </is>
      </c>
      <c r="K3678" s="32" t="inlineStr">
        <is>
          <t>20250514-42</t>
        </is>
      </c>
    </row>
    <row r="3679">
      <c r="A3679" s="32" t="n">
        <v>32</v>
      </c>
      <c r="B3679" s="32" t="inlineStr">
        <is>
          <t>K3-1A</t>
        </is>
      </c>
      <c r="D3679" s="32" t="n">
        <v>12.96</v>
      </c>
      <c r="E3679" s="32" t="n">
        <v>2907.094</v>
      </c>
      <c r="G3679" s="32" t="n">
        <v>1255.719</v>
      </c>
      <c r="H3679" s="32" t="inlineStr">
        <is>
          <t>bb</t>
        </is>
      </c>
      <c r="I3679" s="32" t="n">
        <v>2907.094</v>
      </c>
      <c r="K3679" s="32" t="inlineStr">
        <is>
          <t>20250514-43</t>
        </is>
      </c>
    </row>
    <row r="3680">
      <c r="A3680" s="32" t="n">
        <v>33</v>
      </c>
      <c r="B3680" s="32" t="inlineStr">
        <is>
          <t>K3-1B</t>
        </is>
      </c>
      <c r="D3680" s="32" t="n">
        <v>12.98</v>
      </c>
      <c r="E3680" s="32" t="n">
        <v>2080.127</v>
      </c>
      <c r="G3680" s="32" t="n">
        <v>15174</v>
      </c>
      <c r="H3680" s="32" t="inlineStr">
        <is>
          <t>bb</t>
        </is>
      </c>
      <c r="I3680" s="32" t="n">
        <v>2080.127</v>
      </c>
      <c r="K3680" s="32" t="inlineStr">
        <is>
          <t>20250514-44</t>
        </is>
      </c>
    </row>
    <row r="3681">
      <c r="A3681" s="32" t="n">
        <v>34</v>
      </c>
      <c r="B3681" s="32" t="inlineStr">
        <is>
          <t>K3-1C</t>
        </is>
      </c>
      <c r="D3681" s="32" t="n">
        <v>13.03</v>
      </c>
      <c r="E3681" s="32" t="n">
        <v>3637.841</v>
      </c>
      <c r="G3681" s="32" t="n">
        <v>493.37</v>
      </c>
      <c r="H3681" s="32" t="inlineStr">
        <is>
          <t>bb</t>
        </is>
      </c>
      <c r="I3681" s="32" t="n">
        <v>3637.841</v>
      </c>
      <c r="K3681" s="32" t="inlineStr">
        <is>
          <t>20250514-45</t>
        </is>
      </c>
    </row>
    <row r="3682">
      <c r="A3682" s="32" t="n">
        <v>35</v>
      </c>
      <c r="B3682" s="32" t="inlineStr">
        <is>
          <t>K3-2A</t>
        </is>
      </c>
      <c r="D3682" s="32" t="n">
        <v>13.05</v>
      </c>
      <c r="E3682" s="32" t="n">
        <v>2822.439</v>
      </c>
      <c r="G3682" s="32" t="n">
        <v>20369</v>
      </c>
      <c r="H3682" s="32" t="inlineStr">
        <is>
          <t>bb</t>
        </is>
      </c>
      <c r="I3682" s="32" t="n">
        <v>2822.439</v>
      </c>
      <c r="K3682" s="32" t="inlineStr">
        <is>
          <t>20250514-46</t>
        </is>
      </c>
    </row>
    <row r="3683">
      <c r="A3683" s="32" t="n">
        <v>36</v>
      </c>
      <c r="B3683" s="32" t="inlineStr">
        <is>
          <t>K3-2B</t>
        </is>
      </c>
      <c r="D3683" s="32" t="n">
        <v>13.04</v>
      </c>
      <c r="E3683" s="32" t="n">
        <v>3615.067</v>
      </c>
      <c r="G3683" s="32" t="n">
        <v>23415</v>
      </c>
      <c r="H3683" s="32" t="inlineStr">
        <is>
          <t>bb</t>
        </is>
      </c>
      <c r="I3683" s="32" t="n">
        <v>3615.067</v>
      </c>
      <c r="K3683" s="32" t="inlineStr">
        <is>
          <t>20250514-47</t>
        </is>
      </c>
    </row>
    <row r="3684">
      <c r="A3684" s="32" t="n">
        <v>37</v>
      </c>
      <c r="B3684" s="32" t="inlineStr">
        <is>
          <t>K3-2C</t>
        </is>
      </c>
      <c r="D3684" s="32" t="n">
        <v>13.03</v>
      </c>
      <c r="E3684" s="32" t="n">
        <v>3528.332</v>
      </c>
      <c r="G3684" s="32" t="n">
        <v>24492</v>
      </c>
      <c r="H3684" s="32" t="inlineStr">
        <is>
          <t>bb</t>
        </is>
      </c>
      <c r="I3684" s="32" t="n">
        <v>3528.332</v>
      </c>
      <c r="K3684" s="32" t="inlineStr">
        <is>
          <t>20250514-48</t>
        </is>
      </c>
    </row>
    <row r="3685">
      <c r="A3685" s="32" t="n">
        <v>38</v>
      </c>
      <c r="B3685" s="32" t="inlineStr">
        <is>
          <t>MeOH</t>
        </is>
      </c>
      <c r="K3685" s="32" t="inlineStr">
        <is>
          <t>20250514-49</t>
        </is>
      </c>
    </row>
    <row r="3686">
      <c r="A3686" s="32" t="n">
        <v>39</v>
      </c>
      <c r="B3686" s="32" t="inlineStr">
        <is>
          <t>K3-3A</t>
        </is>
      </c>
      <c r="D3686" s="32" t="n">
        <v>13.06</v>
      </c>
      <c r="E3686" s="32" t="n">
        <v>2678.696</v>
      </c>
      <c r="G3686" s="32" t="n">
        <v>1236.749</v>
      </c>
      <c r="H3686" s="32" t="inlineStr">
        <is>
          <t>bb</t>
        </is>
      </c>
      <c r="I3686" s="32" t="n">
        <v>2678.696</v>
      </c>
      <c r="K3686" s="32" t="inlineStr">
        <is>
          <t>20250514-50</t>
        </is>
      </c>
    </row>
    <row r="3687">
      <c r="A3687" s="32" t="n">
        <v>40</v>
      </c>
      <c r="B3687" s="32" t="inlineStr">
        <is>
          <t>K3-3B</t>
        </is>
      </c>
      <c r="D3687" s="32" t="n">
        <v>13.09</v>
      </c>
      <c r="E3687" s="32" t="n">
        <v>2726.988</v>
      </c>
      <c r="G3687" s="32" t="n">
        <v>645.058</v>
      </c>
      <c r="H3687" s="32" t="inlineStr">
        <is>
          <t>bb</t>
        </is>
      </c>
      <c r="I3687" s="32" t="n">
        <v>2726.988</v>
      </c>
      <c r="K3687" s="32" t="inlineStr">
        <is>
          <t>20250514-51</t>
        </is>
      </c>
    </row>
    <row r="3688">
      <c r="A3688" s="32" t="n">
        <v>41</v>
      </c>
      <c r="B3688" s="32" t="inlineStr">
        <is>
          <t>K3-3C</t>
        </is>
      </c>
      <c r="D3688" s="32" t="n">
        <v>13.08</v>
      </c>
      <c r="E3688" s="32" t="n">
        <v>5082.269</v>
      </c>
      <c r="G3688" s="32" t="n">
        <v>94.45399999999999</v>
      </c>
      <c r="H3688" s="32" t="inlineStr">
        <is>
          <t>bb</t>
        </is>
      </c>
      <c r="I3688" s="32" t="n">
        <v>5082.269</v>
      </c>
      <c r="K3688" s="32" t="inlineStr">
        <is>
          <t>20250514-52</t>
        </is>
      </c>
    </row>
    <row r="3689">
      <c r="A3689" s="32" t="n">
        <v>42</v>
      </c>
      <c r="B3689" s="32" t="inlineStr">
        <is>
          <t>K3-4A</t>
        </is>
      </c>
      <c r="D3689" s="32" t="n">
        <v>13.14</v>
      </c>
      <c r="E3689" s="32" t="n">
        <v>4210.385</v>
      </c>
      <c r="G3689" s="32" t="n">
        <v>29561</v>
      </c>
      <c r="H3689" s="32" t="inlineStr">
        <is>
          <t>bb</t>
        </is>
      </c>
      <c r="I3689" s="32" t="n">
        <v>4210.385</v>
      </c>
      <c r="K3689" s="32" t="inlineStr">
        <is>
          <t>20250514-53</t>
        </is>
      </c>
    </row>
    <row r="3690">
      <c r="A3690" s="32" t="n">
        <v>43</v>
      </c>
      <c r="B3690" s="32" t="inlineStr">
        <is>
          <t>K3-4B</t>
        </is>
      </c>
      <c r="D3690" s="32" t="n">
        <v>13.11</v>
      </c>
      <c r="E3690" s="32" t="n">
        <v>3844.751</v>
      </c>
      <c r="G3690" s="32" t="n">
        <v>28127</v>
      </c>
      <c r="H3690" s="32" t="inlineStr">
        <is>
          <t>bb</t>
        </is>
      </c>
      <c r="I3690" s="32" t="n">
        <v>3844.751</v>
      </c>
      <c r="K3690" s="32" t="inlineStr">
        <is>
          <t>20250514-54</t>
        </is>
      </c>
    </row>
    <row r="3691">
      <c r="A3691" s="32" t="n">
        <v>44</v>
      </c>
      <c r="B3691" s="32" t="inlineStr">
        <is>
          <t>K3-4C</t>
        </is>
      </c>
      <c r="D3691" s="32" t="n">
        <v>13.15</v>
      </c>
      <c r="E3691" s="32" t="n">
        <v>3926.421</v>
      </c>
      <c r="G3691" s="32" t="n">
        <v>27292</v>
      </c>
      <c r="H3691" s="32" t="inlineStr">
        <is>
          <t>bb</t>
        </is>
      </c>
      <c r="I3691" s="32" t="n">
        <v>3926.421</v>
      </c>
      <c r="K3691" s="32" t="inlineStr">
        <is>
          <t>20250514-55</t>
        </is>
      </c>
    </row>
    <row r="3692">
      <c r="A3692" s="32" t="n">
        <v>45</v>
      </c>
      <c r="B3692" s="32" t="inlineStr">
        <is>
          <t>MeOH</t>
        </is>
      </c>
      <c r="H3692" s="32" t="inlineStr">
        <is>
          <t>MM-</t>
        </is>
      </c>
      <c r="K3692" s="32" t="inlineStr">
        <is>
          <t>20250514-56</t>
        </is>
      </c>
    </row>
    <row r="3693">
      <c r="A3693" s="32" t="n">
        <v>46</v>
      </c>
      <c r="B3693" s="32" t="inlineStr">
        <is>
          <t>K3-6A</t>
        </is>
      </c>
      <c r="D3693" s="32" t="n">
        <v>13.17</v>
      </c>
      <c r="E3693" s="32" t="n">
        <v>4791.03</v>
      </c>
      <c r="G3693" s="32" t="n">
        <v>32278</v>
      </c>
      <c r="H3693" s="32" t="inlineStr">
        <is>
          <t>bb</t>
        </is>
      </c>
      <c r="I3693" s="32" t="n">
        <v>4791.03</v>
      </c>
      <c r="K3693" s="32" t="inlineStr">
        <is>
          <t>20250514-57</t>
        </is>
      </c>
    </row>
    <row r="3694">
      <c r="A3694" s="32" t="n">
        <v>47</v>
      </c>
      <c r="B3694" s="32" t="inlineStr">
        <is>
          <t>K3-6B</t>
        </is>
      </c>
      <c r="D3694" s="32" t="n">
        <v>13.15</v>
      </c>
      <c r="E3694" s="32" t="n">
        <v>3140.853</v>
      </c>
      <c r="G3694" s="32" t="n">
        <v>22.549</v>
      </c>
      <c r="H3694" s="32" t="inlineStr">
        <is>
          <t>bb</t>
        </is>
      </c>
      <c r="I3694" s="32" t="n">
        <v>3140.853</v>
      </c>
      <c r="K3694" s="32" t="inlineStr">
        <is>
          <t>20250514-58</t>
        </is>
      </c>
    </row>
    <row r="3695">
      <c r="A3695" s="32" t="n">
        <v>48</v>
      </c>
      <c r="B3695" s="32" t="inlineStr">
        <is>
          <t>K3-6C</t>
        </is>
      </c>
      <c r="D3695" s="32" t="n">
        <v>13.14</v>
      </c>
      <c r="E3695" s="32" t="n">
        <v>3659.982</v>
      </c>
      <c r="G3695" s="32" t="n">
        <v>197.149</v>
      </c>
      <c r="H3695" s="32" t="inlineStr">
        <is>
          <t>bb</t>
        </is>
      </c>
      <c r="I3695" s="32" t="n">
        <v>3659.982</v>
      </c>
      <c r="K3695" s="32" t="inlineStr">
        <is>
          <t>20250514-59</t>
        </is>
      </c>
    </row>
    <row r="3697">
      <c r="A3697" s="32" t="inlineStr">
        <is>
          <t>Compound 72:  m9 PFNA 2</t>
        </is>
      </c>
    </row>
    <row r="3699">
      <c r="B3699" s="32" t="inlineStr">
        <is>
          <t>Sample Text</t>
        </is>
      </c>
      <c r="C3699" s="32" t="inlineStr">
        <is>
          <t>Std. Conc</t>
        </is>
      </c>
      <c r="D3699" s="32" t="inlineStr">
        <is>
          <t>RT</t>
        </is>
      </c>
      <c r="E3699" s="32" t="inlineStr">
        <is>
          <t>Area</t>
        </is>
      </c>
      <c r="F3699" s="32" t="inlineStr">
        <is>
          <t>IS Area</t>
        </is>
      </c>
      <c r="G3699" s="32" t="inlineStr">
        <is>
          <t>S/N</t>
        </is>
      </c>
      <c r="H3699" s="32" t="inlineStr">
        <is>
          <t>Primary Flags</t>
        </is>
      </c>
      <c r="I3699" s="32" t="inlineStr">
        <is>
          <t>Response</t>
        </is>
      </c>
      <c r="J3699" s="32" t="inlineStr">
        <is>
          <t>Conc.</t>
        </is>
      </c>
      <c r="K3699" s="32" t="inlineStr">
        <is>
          <t>Name</t>
        </is>
      </c>
    </row>
    <row r="3700">
      <c r="A3700" s="32" t="n">
        <v>1</v>
      </c>
      <c r="B3700" s="32" t="inlineStr">
        <is>
          <t>EPA1633 &amp; diPAPs Calibration 0 ppb</t>
        </is>
      </c>
      <c r="D3700" s="32" t="n">
        <v>12.98</v>
      </c>
      <c r="E3700" s="32" t="n">
        <v>2831.308</v>
      </c>
      <c r="G3700" s="32" t="n">
        <v>20628</v>
      </c>
      <c r="H3700" s="32" t="inlineStr">
        <is>
          <t>bb</t>
        </is>
      </c>
      <c r="I3700" s="32" t="n">
        <v>2831.308</v>
      </c>
      <c r="K3700" s="32" t="inlineStr">
        <is>
          <t>20250514-12</t>
        </is>
      </c>
    </row>
    <row r="3701">
      <c r="A3701" s="32" t="n">
        <v>2</v>
      </c>
      <c r="B3701" s="32" t="inlineStr">
        <is>
          <t>EPA1633 &amp; diPAPs Calibration 0.02 ppb</t>
        </is>
      </c>
      <c r="D3701" s="32" t="n">
        <v>13.02</v>
      </c>
      <c r="E3701" s="32" t="n">
        <v>2619.608</v>
      </c>
      <c r="G3701" s="32" t="n">
        <v>18494</v>
      </c>
      <c r="H3701" s="32" t="inlineStr">
        <is>
          <t>bb</t>
        </is>
      </c>
      <c r="I3701" s="32" t="n">
        <v>2619.608</v>
      </c>
      <c r="K3701" s="32" t="inlineStr">
        <is>
          <t>20250514-13</t>
        </is>
      </c>
    </row>
    <row r="3702">
      <c r="A3702" s="32" t="n">
        <v>3</v>
      </c>
      <c r="B3702" s="32" t="inlineStr">
        <is>
          <t>EPA1633 &amp; diPAPs Calibration 0.1 ppb</t>
        </is>
      </c>
      <c r="D3702" s="32" t="n">
        <v>13.02</v>
      </c>
      <c r="E3702" s="32" t="n">
        <v>2699.614</v>
      </c>
      <c r="G3702" s="32" t="n">
        <v>19690</v>
      </c>
      <c r="H3702" s="32" t="inlineStr">
        <is>
          <t>bb</t>
        </is>
      </c>
      <c r="I3702" s="32" t="n">
        <v>2699.614</v>
      </c>
      <c r="K3702" s="32" t="inlineStr">
        <is>
          <t>20250514-14</t>
        </is>
      </c>
    </row>
    <row r="3703">
      <c r="A3703" s="32" t="n">
        <v>4</v>
      </c>
      <c r="B3703" s="32" t="inlineStr">
        <is>
          <t>EPA1633 &amp; diPAPs Calibration 0.4 ppb</t>
        </is>
      </c>
      <c r="D3703" s="32" t="n">
        <v>13.02</v>
      </c>
      <c r="E3703" s="32" t="n">
        <v>2691.37</v>
      </c>
      <c r="G3703" s="32" t="n">
        <v>19175</v>
      </c>
      <c r="H3703" s="32" t="inlineStr">
        <is>
          <t>bb</t>
        </is>
      </c>
      <c r="I3703" s="32" t="n">
        <v>2691.37</v>
      </c>
      <c r="K3703" s="32" t="inlineStr">
        <is>
          <t>20250514-15</t>
        </is>
      </c>
    </row>
    <row r="3704">
      <c r="A3704" s="32" t="n">
        <v>5</v>
      </c>
      <c r="B3704" s="32" t="inlineStr">
        <is>
          <t>EPA1633 &amp; diPAPs Calibration 1 ppb</t>
        </is>
      </c>
      <c r="D3704" s="32" t="n">
        <v>13.02</v>
      </c>
      <c r="E3704" s="32" t="n">
        <v>2702.2</v>
      </c>
      <c r="G3704" s="32" t="n">
        <v>86.09</v>
      </c>
      <c r="H3704" s="32" t="inlineStr">
        <is>
          <t>bb</t>
        </is>
      </c>
      <c r="I3704" s="32" t="n">
        <v>2702.2</v>
      </c>
      <c r="K3704" s="32" t="inlineStr">
        <is>
          <t>20250514-16</t>
        </is>
      </c>
    </row>
    <row r="3705">
      <c r="A3705" s="32" t="n">
        <v>6</v>
      </c>
      <c r="B3705" s="32" t="inlineStr">
        <is>
          <t>EPA1633 &amp; diPAPs Calibration 5 ppb</t>
        </is>
      </c>
      <c r="D3705" s="32" t="n">
        <v>12.95</v>
      </c>
      <c r="E3705" s="32" t="n">
        <v>1880.133</v>
      </c>
      <c r="G3705" s="32" t="n">
        <v>2663.819</v>
      </c>
      <c r="H3705" s="32" t="inlineStr">
        <is>
          <t>bb</t>
        </is>
      </c>
      <c r="I3705" s="32" t="n">
        <v>1880.133</v>
      </c>
      <c r="K3705" s="32" t="inlineStr">
        <is>
          <t>20250514-17</t>
        </is>
      </c>
    </row>
    <row r="3706">
      <c r="A3706" s="32" t="n">
        <v>7</v>
      </c>
      <c r="B3706" s="32" t="inlineStr">
        <is>
          <t>EPA1633 &amp; diPAPs Calibration 10 ppb</t>
        </is>
      </c>
      <c r="D3706" s="32" t="n">
        <v>12.98</v>
      </c>
      <c r="E3706" s="32" t="n">
        <v>1719.867</v>
      </c>
      <c r="G3706" s="32" t="n">
        <v>11453</v>
      </c>
      <c r="H3706" s="32" t="inlineStr">
        <is>
          <t>bb</t>
        </is>
      </c>
      <c r="I3706" s="32" t="n">
        <v>1719.867</v>
      </c>
      <c r="K3706" s="32" t="inlineStr">
        <is>
          <t>20250514-18</t>
        </is>
      </c>
    </row>
    <row r="3707">
      <c r="A3707" s="32" t="n">
        <v>8</v>
      </c>
      <c r="B3707" s="32" t="inlineStr">
        <is>
          <t>EPA1633 &amp; diPAPs Calibration 20 ppb</t>
        </is>
      </c>
      <c r="D3707" s="32" t="n">
        <v>12.99</v>
      </c>
      <c r="E3707" s="32" t="n">
        <v>1543.522</v>
      </c>
      <c r="G3707" s="32" t="n">
        <v>111.369</v>
      </c>
      <c r="H3707" s="32" t="inlineStr">
        <is>
          <t>bb</t>
        </is>
      </c>
      <c r="I3707" s="32" t="n">
        <v>1543.522</v>
      </c>
      <c r="K3707" s="32" t="inlineStr">
        <is>
          <t>20250514-19</t>
        </is>
      </c>
    </row>
    <row r="3708">
      <c r="A3708" s="32" t="n">
        <v>9</v>
      </c>
      <c r="B3708" s="32" t="inlineStr">
        <is>
          <t>MeOH</t>
        </is>
      </c>
      <c r="K3708" s="32" t="inlineStr">
        <is>
          <t>20250514-20</t>
        </is>
      </c>
    </row>
    <row r="3709">
      <c r="A3709" s="32" t="n">
        <v>10</v>
      </c>
      <c r="B3709" s="32" t="inlineStr">
        <is>
          <t>MeOH</t>
        </is>
      </c>
      <c r="K3709" s="32" t="inlineStr">
        <is>
          <t>20250514-21</t>
        </is>
      </c>
    </row>
    <row r="3710">
      <c r="A3710" s="32" t="n">
        <v>11</v>
      </c>
      <c r="B3710" s="32" t="inlineStr">
        <is>
          <t>SB1</t>
        </is>
      </c>
      <c r="D3710" s="32" t="n">
        <v>13.03</v>
      </c>
      <c r="E3710" s="32" t="n">
        <v>672.533</v>
      </c>
      <c r="G3710" s="32" t="n">
        <v>42.088</v>
      </c>
      <c r="H3710" s="32" t="inlineStr">
        <is>
          <t>bb</t>
        </is>
      </c>
      <c r="I3710" s="32" t="n">
        <v>672.533</v>
      </c>
      <c r="K3710" s="32" t="inlineStr">
        <is>
          <t>20250514-22</t>
        </is>
      </c>
    </row>
    <row r="3711">
      <c r="A3711" s="32" t="n">
        <v>12</v>
      </c>
      <c r="B3711" s="32" t="inlineStr">
        <is>
          <t>SB2</t>
        </is>
      </c>
      <c r="D3711" s="32" t="n">
        <v>13.03</v>
      </c>
      <c r="E3711" s="32" t="n">
        <v>548.9880000000001</v>
      </c>
      <c r="G3711" s="32" t="n">
        <v>566.2</v>
      </c>
      <c r="H3711" s="32" t="inlineStr">
        <is>
          <t>bb</t>
        </is>
      </c>
      <c r="I3711" s="32" t="n">
        <v>548.9880000000001</v>
      </c>
      <c r="K3711" s="32" t="inlineStr">
        <is>
          <t>20250514-23</t>
        </is>
      </c>
    </row>
    <row r="3712">
      <c r="A3712" s="32" t="n">
        <v>13</v>
      </c>
      <c r="B3712" s="32" t="inlineStr">
        <is>
          <t>SB3</t>
        </is>
      </c>
      <c r="D3712" s="32" t="n">
        <v>13.05</v>
      </c>
      <c r="E3712" s="32" t="n">
        <v>641.673</v>
      </c>
      <c r="G3712" s="32" t="n">
        <v>4326</v>
      </c>
      <c r="H3712" s="32" t="inlineStr">
        <is>
          <t>bb</t>
        </is>
      </c>
      <c r="I3712" s="32" t="n">
        <v>641.673</v>
      </c>
      <c r="K3712" s="32" t="inlineStr">
        <is>
          <t>20250514-24</t>
        </is>
      </c>
    </row>
    <row r="3713">
      <c r="A3713" s="32" t="n">
        <v>14</v>
      </c>
      <c r="B3713" s="32" t="inlineStr">
        <is>
          <t>SS1</t>
        </is>
      </c>
      <c r="D3713" s="32" t="n">
        <v>13.06</v>
      </c>
      <c r="E3713" s="32" t="n">
        <v>746.11</v>
      </c>
      <c r="G3713" s="32" t="n">
        <v>18.799</v>
      </c>
      <c r="H3713" s="32" t="inlineStr">
        <is>
          <t>bb</t>
        </is>
      </c>
      <c r="I3713" s="32" t="n">
        <v>746.11</v>
      </c>
      <c r="K3713" s="32" t="inlineStr">
        <is>
          <t>20250514-25</t>
        </is>
      </c>
    </row>
    <row r="3714">
      <c r="A3714" s="32" t="n">
        <v>15</v>
      </c>
      <c r="B3714" s="32" t="inlineStr">
        <is>
          <t>SS2</t>
        </is>
      </c>
      <c r="D3714" s="32" t="n">
        <v>13.08</v>
      </c>
      <c r="E3714" s="32" t="n">
        <v>732.299</v>
      </c>
      <c r="G3714" s="32" t="n">
        <v>34.876</v>
      </c>
      <c r="H3714" s="32" t="inlineStr">
        <is>
          <t>bb</t>
        </is>
      </c>
      <c r="I3714" s="32" t="n">
        <v>732.299</v>
      </c>
      <c r="K3714" s="32" t="inlineStr">
        <is>
          <t>20250514-26</t>
        </is>
      </c>
    </row>
    <row r="3715">
      <c r="A3715" s="32" t="n">
        <v>16</v>
      </c>
      <c r="B3715" s="32" t="inlineStr">
        <is>
          <t>SS3</t>
        </is>
      </c>
      <c r="D3715" s="32" t="n">
        <v>13.09</v>
      </c>
      <c r="E3715" s="32" t="n">
        <v>639.246</v>
      </c>
      <c r="G3715" s="32" t="n">
        <v>13.9</v>
      </c>
      <c r="H3715" s="32" t="inlineStr">
        <is>
          <t>bb</t>
        </is>
      </c>
      <c r="I3715" s="32" t="n">
        <v>639.246</v>
      </c>
      <c r="K3715" s="32" t="inlineStr">
        <is>
          <t>20250514-27</t>
        </is>
      </c>
    </row>
    <row r="3716">
      <c r="A3716" s="32" t="n">
        <v>17</v>
      </c>
      <c r="B3716" s="32" t="inlineStr">
        <is>
          <t>MeOH</t>
        </is>
      </c>
      <c r="K3716" s="32" t="inlineStr">
        <is>
          <t>20250514-28</t>
        </is>
      </c>
    </row>
    <row r="3717">
      <c r="A3717" s="32" t="n">
        <v>18</v>
      </c>
      <c r="B3717" s="32" t="inlineStr">
        <is>
          <t>K4-1A</t>
        </is>
      </c>
      <c r="D3717" s="32" t="n">
        <v>13.11</v>
      </c>
      <c r="E3717" s="32" t="n">
        <v>920.3630000000001</v>
      </c>
      <c r="G3717" s="32" t="n">
        <v>128.003</v>
      </c>
      <c r="H3717" s="32" t="inlineStr">
        <is>
          <t>bb</t>
        </is>
      </c>
      <c r="I3717" s="32" t="n">
        <v>920.3630000000001</v>
      </c>
      <c r="K3717" s="32" t="inlineStr">
        <is>
          <t>20250514-29</t>
        </is>
      </c>
    </row>
    <row r="3718">
      <c r="A3718" s="32" t="n">
        <v>19</v>
      </c>
      <c r="B3718" s="32" t="inlineStr">
        <is>
          <t>K4-1B</t>
        </is>
      </c>
      <c r="D3718" s="32" t="n">
        <v>13.09</v>
      </c>
      <c r="E3718" s="32" t="n">
        <v>831.304</v>
      </c>
      <c r="G3718" s="32" t="n">
        <v>51.647</v>
      </c>
      <c r="H3718" s="32" t="inlineStr">
        <is>
          <t>bb</t>
        </is>
      </c>
      <c r="I3718" s="32" t="n">
        <v>831.304</v>
      </c>
      <c r="K3718" s="32" t="inlineStr">
        <is>
          <t>20250514-30</t>
        </is>
      </c>
    </row>
    <row r="3719">
      <c r="A3719" s="32" t="n">
        <v>20</v>
      </c>
      <c r="B3719" s="32" t="inlineStr">
        <is>
          <t>K4-1C</t>
        </is>
      </c>
      <c r="D3719" s="32" t="n">
        <v>13.09</v>
      </c>
      <c r="E3719" s="32" t="n">
        <v>575.635</v>
      </c>
      <c r="G3719" s="32" t="n">
        <v>6.989</v>
      </c>
      <c r="H3719" s="32" t="inlineStr">
        <is>
          <t>bb</t>
        </is>
      </c>
      <c r="I3719" s="32" t="n">
        <v>575.635</v>
      </c>
      <c r="K3719" s="32" t="inlineStr">
        <is>
          <t>20250514-31</t>
        </is>
      </c>
    </row>
    <row r="3720">
      <c r="A3720" s="32" t="n">
        <v>21</v>
      </c>
      <c r="B3720" s="32" t="inlineStr">
        <is>
          <t>K4-2A</t>
        </is>
      </c>
      <c r="D3720" s="32" t="n">
        <v>13.09</v>
      </c>
      <c r="E3720" s="32" t="n">
        <v>1257.208</v>
      </c>
      <c r="G3720" s="32" t="n">
        <v>11.197</v>
      </c>
      <c r="H3720" s="32" t="inlineStr">
        <is>
          <t>bb</t>
        </is>
      </c>
      <c r="I3720" s="32" t="n">
        <v>1257.208</v>
      </c>
      <c r="K3720" s="32" t="inlineStr">
        <is>
          <t>20250514-32</t>
        </is>
      </c>
    </row>
    <row r="3721">
      <c r="A3721" s="32" t="n">
        <v>22</v>
      </c>
      <c r="B3721" s="32" t="inlineStr">
        <is>
          <t>K4-2B</t>
        </is>
      </c>
      <c r="D3721" s="32" t="n">
        <v>13.11</v>
      </c>
      <c r="E3721" s="32" t="n">
        <v>819.403</v>
      </c>
      <c r="G3721" s="32" t="n">
        <v>9.141</v>
      </c>
      <c r="H3721" s="32" t="inlineStr">
        <is>
          <t>bb</t>
        </is>
      </c>
      <c r="I3721" s="32" t="n">
        <v>819.403</v>
      </c>
      <c r="K3721" s="32" t="inlineStr">
        <is>
          <t>20250514-33</t>
        </is>
      </c>
    </row>
    <row r="3722">
      <c r="A3722" s="32" t="n">
        <v>23</v>
      </c>
      <c r="B3722" s="32" t="inlineStr">
        <is>
          <t>K4-2C</t>
        </is>
      </c>
      <c r="D3722" s="32" t="n">
        <v>13.12</v>
      </c>
      <c r="E3722" s="32" t="n">
        <v>482.677</v>
      </c>
      <c r="G3722" s="32" t="n">
        <v>3238</v>
      </c>
      <c r="H3722" s="32" t="inlineStr">
        <is>
          <t>bb</t>
        </is>
      </c>
      <c r="I3722" s="32" t="n">
        <v>482.677</v>
      </c>
      <c r="K3722" s="32" t="inlineStr">
        <is>
          <t>20250514-34</t>
        </is>
      </c>
    </row>
    <row r="3723">
      <c r="A3723" s="32" t="n">
        <v>24</v>
      </c>
      <c r="B3723" s="32" t="inlineStr">
        <is>
          <t>MeOH</t>
        </is>
      </c>
      <c r="K3723" s="32" t="inlineStr">
        <is>
          <t>20250514-35</t>
        </is>
      </c>
    </row>
    <row r="3724">
      <c r="A3724" s="32" t="n">
        <v>25</v>
      </c>
      <c r="B3724" s="32" t="inlineStr">
        <is>
          <t>K4-4A</t>
        </is>
      </c>
      <c r="D3724" s="32" t="n">
        <v>13.14</v>
      </c>
      <c r="E3724" s="32" t="n">
        <v>548.153</v>
      </c>
      <c r="G3724" s="32" t="n">
        <v>51.955</v>
      </c>
      <c r="H3724" s="32" t="inlineStr">
        <is>
          <t>bb</t>
        </is>
      </c>
      <c r="I3724" s="32" t="n">
        <v>548.153</v>
      </c>
      <c r="K3724" s="32" t="inlineStr">
        <is>
          <t>20250514-36</t>
        </is>
      </c>
    </row>
    <row r="3725">
      <c r="A3725" s="32" t="n">
        <v>26</v>
      </c>
      <c r="B3725" s="32" t="inlineStr">
        <is>
          <t>K4-4B</t>
        </is>
      </c>
      <c r="D3725" s="32" t="n">
        <v>13.14</v>
      </c>
      <c r="E3725" s="32" t="n">
        <v>527.4059999999999</v>
      </c>
      <c r="G3725" s="32" t="n">
        <v>3138</v>
      </c>
      <c r="H3725" s="32" t="inlineStr">
        <is>
          <t>bb</t>
        </is>
      </c>
      <c r="I3725" s="32" t="n">
        <v>527.4059999999999</v>
      </c>
      <c r="K3725" s="32" t="inlineStr">
        <is>
          <t>20250514-37</t>
        </is>
      </c>
    </row>
    <row r="3726">
      <c r="A3726" s="32" t="n">
        <v>27</v>
      </c>
      <c r="B3726" s="32" t="inlineStr">
        <is>
          <t>K4-4C</t>
        </is>
      </c>
      <c r="D3726" s="32" t="n">
        <v>13.12</v>
      </c>
      <c r="E3726" s="32" t="n">
        <v>650.481</v>
      </c>
      <c r="G3726" s="32" t="n">
        <v>4663</v>
      </c>
      <c r="H3726" s="32" t="inlineStr">
        <is>
          <t>bb</t>
        </is>
      </c>
      <c r="I3726" s="32" t="n">
        <v>650.481</v>
      </c>
      <c r="K3726" s="32" t="inlineStr">
        <is>
          <t>20250514-38</t>
        </is>
      </c>
    </row>
    <row r="3727">
      <c r="A3727" s="32" t="n">
        <v>28</v>
      </c>
      <c r="B3727" s="32" t="inlineStr">
        <is>
          <t>K4-5A</t>
        </is>
      </c>
      <c r="D3727" s="32" t="n">
        <v>13.11</v>
      </c>
      <c r="E3727" s="32" t="n">
        <v>828.111</v>
      </c>
      <c r="G3727" s="32" t="n">
        <v>362.871</v>
      </c>
      <c r="H3727" s="32" t="inlineStr">
        <is>
          <t>bb</t>
        </is>
      </c>
      <c r="I3727" s="32" t="n">
        <v>828.111</v>
      </c>
      <c r="K3727" s="32" t="inlineStr">
        <is>
          <t>20250514-39</t>
        </is>
      </c>
    </row>
    <row r="3728">
      <c r="A3728" s="32" t="n">
        <v>29</v>
      </c>
      <c r="B3728" s="32" t="inlineStr">
        <is>
          <t>K4-5B</t>
        </is>
      </c>
      <c r="D3728" s="32" t="n">
        <v>13.09</v>
      </c>
      <c r="E3728" s="32" t="n">
        <v>620.655</v>
      </c>
      <c r="G3728" s="32" t="n">
        <v>4516</v>
      </c>
      <c r="H3728" s="32" t="inlineStr">
        <is>
          <t>bb</t>
        </is>
      </c>
      <c r="I3728" s="32" t="n">
        <v>620.655</v>
      </c>
      <c r="K3728" s="32" t="inlineStr">
        <is>
          <t>20250514-40</t>
        </is>
      </c>
    </row>
    <row r="3729">
      <c r="A3729" s="32" t="n">
        <v>30</v>
      </c>
      <c r="B3729" s="32" t="inlineStr">
        <is>
          <t>K4-5C</t>
        </is>
      </c>
      <c r="D3729" s="32" t="n">
        <v>13.02</v>
      </c>
      <c r="E3729" s="32" t="n">
        <v>857.463</v>
      </c>
      <c r="G3729" s="32" t="n">
        <v>15.728</v>
      </c>
      <c r="H3729" s="32" t="inlineStr">
        <is>
          <t>bb</t>
        </is>
      </c>
      <c r="I3729" s="32" t="n">
        <v>857.463</v>
      </c>
      <c r="K3729" s="32" t="inlineStr">
        <is>
          <t>20250514-41</t>
        </is>
      </c>
    </row>
    <row r="3730">
      <c r="A3730" s="32" t="n">
        <v>31</v>
      </c>
      <c r="B3730" s="32" t="inlineStr">
        <is>
          <t>MeOH</t>
        </is>
      </c>
      <c r="K3730" s="32" t="inlineStr">
        <is>
          <t>20250514-42</t>
        </is>
      </c>
    </row>
    <row r="3731">
      <c r="A3731" s="32" t="n">
        <v>32</v>
      </c>
      <c r="B3731" s="32" t="inlineStr">
        <is>
          <t>K3-1A</t>
        </is>
      </c>
      <c r="D3731" s="32" t="n">
        <v>12.96</v>
      </c>
      <c r="E3731" s="32" t="n">
        <v>1167.911</v>
      </c>
      <c r="G3731" s="32" t="n">
        <v>239.581</v>
      </c>
      <c r="H3731" s="32" t="inlineStr">
        <is>
          <t>bb</t>
        </is>
      </c>
      <c r="I3731" s="32" t="n">
        <v>1167.911</v>
      </c>
      <c r="K3731" s="32" t="inlineStr">
        <is>
          <t>20250514-43</t>
        </is>
      </c>
    </row>
    <row r="3732">
      <c r="A3732" s="32" t="n">
        <v>33</v>
      </c>
      <c r="B3732" s="32" t="inlineStr">
        <is>
          <t>K3-1B</t>
        </is>
      </c>
      <c r="D3732" s="32" t="n">
        <v>12.98</v>
      </c>
      <c r="E3732" s="32" t="n">
        <v>700.939</v>
      </c>
      <c r="G3732" s="32" t="n">
        <v>150</v>
      </c>
      <c r="H3732" s="32" t="inlineStr">
        <is>
          <t>bb</t>
        </is>
      </c>
      <c r="I3732" s="32" t="n">
        <v>700.939</v>
      </c>
      <c r="K3732" s="32" t="inlineStr">
        <is>
          <t>20250514-44</t>
        </is>
      </c>
    </row>
    <row r="3733">
      <c r="A3733" s="32" t="n">
        <v>34</v>
      </c>
      <c r="B3733" s="32" t="inlineStr">
        <is>
          <t>K3-1C</t>
        </is>
      </c>
      <c r="D3733" s="32" t="n">
        <v>13.03</v>
      </c>
      <c r="E3733" s="32" t="n">
        <v>1044.698</v>
      </c>
      <c r="G3733" s="32" t="n">
        <v>7313</v>
      </c>
      <c r="H3733" s="32" t="inlineStr">
        <is>
          <t>bb</t>
        </is>
      </c>
      <c r="I3733" s="32" t="n">
        <v>1044.698</v>
      </c>
      <c r="K3733" s="32" t="inlineStr">
        <is>
          <t>20250514-45</t>
        </is>
      </c>
    </row>
    <row r="3734">
      <c r="A3734" s="32" t="n">
        <v>35</v>
      </c>
      <c r="B3734" s="32" t="inlineStr">
        <is>
          <t>K3-2A</t>
        </is>
      </c>
      <c r="D3734" s="32" t="n">
        <v>13.05</v>
      </c>
      <c r="E3734" s="32" t="n">
        <v>927.946</v>
      </c>
      <c r="G3734" s="32" t="n">
        <v>6770</v>
      </c>
      <c r="H3734" s="32" t="inlineStr">
        <is>
          <t>bb</t>
        </is>
      </c>
      <c r="I3734" s="32" t="n">
        <v>927.946</v>
      </c>
      <c r="K3734" s="32" t="inlineStr">
        <is>
          <t>20250514-46</t>
        </is>
      </c>
    </row>
    <row r="3735">
      <c r="A3735" s="32" t="n">
        <v>36</v>
      </c>
      <c r="B3735" s="32" t="inlineStr">
        <is>
          <t>K3-2B</t>
        </is>
      </c>
      <c r="D3735" s="32" t="n">
        <v>13.05</v>
      </c>
      <c r="E3735" s="32" t="n">
        <v>933.991</v>
      </c>
      <c r="G3735" s="32" t="n">
        <v>36.23</v>
      </c>
      <c r="H3735" s="32" t="inlineStr">
        <is>
          <t>bb</t>
        </is>
      </c>
      <c r="I3735" s="32" t="n">
        <v>933.991</v>
      </c>
      <c r="K3735" s="32" t="inlineStr">
        <is>
          <t>20250514-47</t>
        </is>
      </c>
    </row>
    <row r="3736">
      <c r="A3736" s="32" t="n">
        <v>37</v>
      </c>
      <c r="B3736" s="32" t="inlineStr">
        <is>
          <t>K3-2C</t>
        </is>
      </c>
      <c r="D3736" s="32" t="n">
        <v>13.06</v>
      </c>
      <c r="E3736" s="32" t="n">
        <v>918.989</v>
      </c>
      <c r="G3736" s="32" t="n">
        <v>88.488</v>
      </c>
      <c r="H3736" s="32" t="inlineStr">
        <is>
          <t>bb</t>
        </is>
      </c>
      <c r="I3736" s="32" t="n">
        <v>918.989</v>
      </c>
      <c r="K3736" s="32" t="inlineStr">
        <is>
          <t>20250514-48</t>
        </is>
      </c>
    </row>
    <row r="3737">
      <c r="A3737" s="32" t="n">
        <v>38</v>
      </c>
      <c r="B3737" s="32" t="inlineStr">
        <is>
          <t>MeOH</t>
        </is>
      </c>
      <c r="K3737" s="32" t="inlineStr">
        <is>
          <t>20250514-49</t>
        </is>
      </c>
    </row>
    <row r="3738">
      <c r="A3738" s="32" t="n">
        <v>39</v>
      </c>
      <c r="B3738" s="32" t="inlineStr">
        <is>
          <t>K3-3A</t>
        </is>
      </c>
      <c r="D3738" s="32" t="n">
        <v>13.06</v>
      </c>
      <c r="E3738" s="32" t="n">
        <v>1063.891</v>
      </c>
      <c r="G3738" s="32" t="n">
        <v>151.847</v>
      </c>
      <c r="H3738" s="32" t="inlineStr">
        <is>
          <t>bb</t>
        </is>
      </c>
      <c r="I3738" s="32" t="n">
        <v>1063.891</v>
      </c>
      <c r="K3738" s="32" t="inlineStr">
        <is>
          <t>20250514-50</t>
        </is>
      </c>
    </row>
    <row r="3739">
      <c r="A3739" s="32" t="n">
        <v>40</v>
      </c>
      <c r="B3739" s="32" t="inlineStr">
        <is>
          <t>K3-3B</t>
        </is>
      </c>
      <c r="D3739" s="32" t="n">
        <v>13.09</v>
      </c>
      <c r="E3739" s="32" t="n">
        <v>955.169</v>
      </c>
      <c r="G3739" s="32" t="n">
        <v>7019</v>
      </c>
      <c r="H3739" s="32" t="inlineStr">
        <is>
          <t>bb</t>
        </is>
      </c>
      <c r="I3739" s="32" t="n">
        <v>955.169</v>
      </c>
      <c r="K3739" s="32" t="inlineStr">
        <is>
          <t>20250514-51</t>
        </is>
      </c>
    </row>
    <row r="3740">
      <c r="A3740" s="32" t="n">
        <v>41</v>
      </c>
      <c r="B3740" s="32" t="inlineStr">
        <is>
          <t>K3-3C</t>
        </is>
      </c>
      <c r="D3740" s="32" t="n">
        <v>13.06</v>
      </c>
      <c r="E3740" s="32" t="n">
        <v>1310.101</v>
      </c>
      <c r="G3740" s="32" t="n">
        <v>44.185</v>
      </c>
      <c r="H3740" s="32" t="inlineStr">
        <is>
          <t>bb</t>
        </is>
      </c>
      <c r="I3740" s="32" t="n">
        <v>1310.101</v>
      </c>
      <c r="K3740" s="32" t="inlineStr">
        <is>
          <t>20250514-52</t>
        </is>
      </c>
    </row>
    <row r="3741">
      <c r="A3741" s="32" t="n">
        <v>42</v>
      </c>
      <c r="B3741" s="32" t="inlineStr">
        <is>
          <t>K3-4A</t>
        </is>
      </c>
      <c r="D3741" s="32" t="n">
        <v>13.14</v>
      </c>
      <c r="E3741" s="32" t="n">
        <v>994.819</v>
      </c>
      <c r="G3741" s="32" t="n">
        <v>7369</v>
      </c>
      <c r="H3741" s="32" t="inlineStr">
        <is>
          <t>bb</t>
        </is>
      </c>
      <c r="I3741" s="32" t="n">
        <v>994.819</v>
      </c>
      <c r="K3741" s="32" t="inlineStr">
        <is>
          <t>20250514-53</t>
        </is>
      </c>
    </row>
    <row r="3742">
      <c r="A3742" s="32" t="n">
        <v>43</v>
      </c>
      <c r="B3742" s="32" t="inlineStr">
        <is>
          <t>K3-4B</t>
        </is>
      </c>
      <c r="D3742" s="32" t="n">
        <v>13.11</v>
      </c>
      <c r="E3742" s="32" t="n">
        <v>1440.548</v>
      </c>
      <c r="G3742" s="32" t="n">
        <v>9785</v>
      </c>
      <c r="H3742" s="32" t="inlineStr">
        <is>
          <t>bb</t>
        </is>
      </c>
      <c r="I3742" s="32" t="n">
        <v>1440.548</v>
      </c>
      <c r="K3742" s="32" t="inlineStr">
        <is>
          <t>20250514-54</t>
        </is>
      </c>
    </row>
    <row r="3743">
      <c r="A3743" s="32" t="n">
        <v>44</v>
      </c>
      <c r="B3743" s="32" t="inlineStr">
        <is>
          <t>K3-4C</t>
        </is>
      </c>
      <c r="D3743" s="32" t="n">
        <v>13.15</v>
      </c>
      <c r="E3743" s="32" t="n">
        <v>1157.666</v>
      </c>
      <c r="G3743" s="32" t="n">
        <v>74.009</v>
      </c>
      <c r="H3743" s="32" t="inlineStr">
        <is>
          <t>bb</t>
        </is>
      </c>
      <c r="I3743" s="32" t="n">
        <v>1157.666</v>
      </c>
      <c r="K3743" s="32" t="inlineStr">
        <is>
          <t>20250514-55</t>
        </is>
      </c>
    </row>
    <row r="3744">
      <c r="A3744" s="32" t="n">
        <v>45</v>
      </c>
      <c r="B3744" s="32" t="inlineStr">
        <is>
          <t>MeOH</t>
        </is>
      </c>
      <c r="K3744" s="32" t="inlineStr">
        <is>
          <t>20250514-56</t>
        </is>
      </c>
    </row>
    <row r="3745">
      <c r="A3745" s="32" t="n">
        <v>46</v>
      </c>
      <c r="B3745" s="32" t="inlineStr">
        <is>
          <t>K3-6A</t>
        </is>
      </c>
      <c r="D3745" s="32" t="n">
        <v>13.17</v>
      </c>
      <c r="E3745" s="32" t="n">
        <v>1242.992</v>
      </c>
      <c r="G3745" s="32" t="n">
        <v>12.257</v>
      </c>
      <c r="H3745" s="32" t="inlineStr">
        <is>
          <t>bb</t>
        </is>
      </c>
      <c r="I3745" s="32" t="n">
        <v>1242.992</v>
      </c>
      <c r="K3745" s="32" t="inlineStr">
        <is>
          <t>20250514-57</t>
        </is>
      </c>
    </row>
    <row r="3746">
      <c r="A3746" s="32" t="n">
        <v>47</v>
      </c>
      <c r="B3746" s="32" t="inlineStr">
        <is>
          <t>K3-6B</t>
        </is>
      </c>
      <c r="D3746" s="32" t="n">
        <v>13.15</v>
      </c>
      <c r="E3746" s="32" t="n">
        <v>885.144</v>
      </c>
      <c r="G3746" s="32" t="n">
        <v>34.272</v>
      </c>
      <c r="H3746" s="32" t="inlineStr">
        <is>
          <t>bb</t>
        </is>
      </c>
      <c r="I3746" s="32" t="n">
        <v>885.144</v>
      </c>
      <c r="K3746" s="32" t="inlineStr">
        <is>
          <t>20250514-58</t>
        </is>
      </c>
    </row>
    <row r="3747">
      <c r="A3747" s="32" t="n">
        <v>48</v>
      </c>
      <c r="B3747" s="32" t="inlineStr">
        <is>
          <t>K3-6C</t>
        </is>
      </c>
      <c r="D3747" s="32" t="n">
        <v>13.15</v>
      </c>
      <c r="E3747" s="32" t="n">
        <v>958.568</v>
      </c>
      <c r="G3747" s="32" t="n">
        <v>7015</v>
      </c>
      <c r="H3747" s="32" t="inlineStr">
        <is>
          <t>bb</t>
        </is>
      </c>
      <c r="I3747" s="32" t="n">
        <v>958.568</v>
      </c>
      <c r="K3747" s="32" t="inlineStr">
        <is>
          <t>20250514-59</t>
        </is>
      </c>
    </row>
    <row r="3749">
      <c r="A3749" s="32" t="inlineStr">
        <is>
          <t>Compound 73:  8:2 FTCA</t>
        </is>
      </c>
    </row>
    <row r="3751">
      <c r="B3751" s="32" t="inlineStr">
        <is>
          <t>Sample Text</t>
        </is>
      </c>
      <c r="C3751" s="32" t="inlineStr">
        <is>
          <t>Std. Conc</t>
        </is>
      </c>
      <c r="D3751" s="32" t="inlineStr">
        <is>
          <t>RT</t>
        </is>
      </c>
      <c r="E3751" s="32" t="inlineStr">
        <is>
          <t>Area</t>
        </is>
      </c>
      <c r="F3751" s="32" t="inlineStr">
        <is>
          <t>IS Area</t>
        </is>
      </c>
      <c r="G3751" s="32" t="inlineStr">
        <is>
          <t>S/N</t>
        </is>
      </c>
      <c r="H3751" s="32" t="inlineStr">
        <is>
          <t>Primary Flags</t>
        </is>
      </c>
      <c r="I3751" s="32" t="inlineStr">
        <is>
          <t>Response</t>
        </is>
      </c>
      <c r="J3751" s="32" t="inlineStr">
        <is>
          <t>Conc.</t>
        </is>
      </c>
      <c r="K3751" s="32" t="inlineStr">
        <is>
          <t>Name</t>
        </is>
      </c>
    </row>
    <row r="3752">
      <c r="A3752" s="32" t="n">
        <v>1</v>
      </c>
      <c r="B3752" s="32" t="inlineStr">
        <is>
          <t>EPA1633 &amp; diPAPs Calibration 0 ppb</t>
        </is>
      </c>
      <c r="K3752" s="32" t="inlineStr">
        <is>
          <t>20250514-12</t>
        </is>
      </c>
    </row>
    <row r="3753">
      <c r="A3753" s="32" t="n">
        <v>2</v>
      </c>
      <c r="B3753" s="32" t="inlineStr">
        <is>
          <t>EPA1633 &amp; diPAPs Calibration 0.02 ppb</t>
        </is>
      </c>
      <c r="K3753" s="32" t="inlineStr">
        <is>
          <t>20250514-13</t>
        </is>
      </c>
    </row>
    <row r="3754">
      <c r="A3754" s="32" t="n">
        <v>3</v>
      </c>
      <c r="B3754" s="32" t="inlineStr">
        <is>
          <t>EPA1633 &amp; diPAPs Calibration 0.1 ppb</t>
        </is>
      </c>
      <c r="K3754" s="32" t="inlineStr">
        <is>
          <t>20250514-14</t>
        </is>
      </c>
    </row>
    <row r="3755">
      <c r="A3755" s="32" t="n">
        <v>4</v>
      </c>
      <c r="B3755" s="32" t="inlineStr">
        <is>
          <t>EPA1633 &amp; diPAPs Calibration 0.4 ppb</t>
        </is>
      </c>
      <c r="K3755" s="32" t="inlineStr">
        <is>
          <t>20250514-15</t>
        </is>
      </c>
    </row>
    <row r="3756">
      <c r="A3756" s="32" t="n">
        <v>5</v>
      </c>
      <c r="B3756" s="32" t="inlineStr">
        <is>
          <t>EPA1633 &amp; diPAPs Calibration 1 ppb</t>
        </is>
      </c>
      <c r="D3756" s="32" t="n">
        <v>13.34</v>
      </c>
      <c r="E3756" s="32" t="n">
        <v>49.435</v>
      </c>
      <c r="G3756" s="32" t="n">
        <v>350</v>
      </c>
      <c r="H3756" s="32" t="inlineStr">
        <is>
          <t>bb</t>
        </is>
      </c>
      <c r="I3756" s="32" t="n">
        <v>49.435</v>
      </c>
      <c r="K3756" s="32" t="inlineStr">
        <is>
          <t>20250514-16</t>
        </is>
      </c>
    </row>
    <row r="3757">
      <c r="A3757" s="32" t="n">
        <v>6</v>
      </c>
      <c r="B3757" s="32" t="inlineStr">
        <is>
          <t>EPA1633 &amp; diPAPs Calibration 5 ppb</t>
        </is>
      </c>
      <c r="K3757" s="32" t="inlineStr">
        <is>
          <t>20250514-17</t>
        </is>
      </c>
    </row>
    <row r="3758">
      <c r="A3758" s="32" t="n">
        <v>7</v>
      </c>
      <c r="B3758" s="32" t="inlineStr">
        <is>
          <t>EPA1633 &amp; diPAPs Calibration 10 ppb</t>
        </is>
      </c>
      <c r="D3758" s="32" t="n">
        <v>13.34</v>
      </c>
      <c r="E3758" s="32" t="n">
        <v>41.284</v>
      </c>
      <c r="G3758" s="32" t="n">
        <v>6.405</v>
      </c>
      <c r="H3758" s="32" t="inlineStr">
        <is>
          <t>bb</t>
        </is>
      </c>
      <c r="I3758" s="32" t="n">
        <v>41.284</v>
      </c>
      <c r="K3758" s="32" t="inlineStr">
        <is>
          <t>20250514-18</t>
        </is>
      </c>
    </row>
    <row r="3759">
      <c r="A3759" s="32" t="n">
        <v>8</v>
      </c>
      <c r="B3759" s="32" t="inlineStr">
        <is>
          <t>EPA1633 &amp; diPAPs Calibration 20 ppb</t>
        </is>
      </c>
      <c r="D3759" s="32" t="n">
        <v>13.38</v>
      </c>
      <c r="E3759" s="32" t="n">
        <v>224.692</v>
      </c>
      <c r="G3759" s="32" t="n">
        <v>3.057</v>
      </c>
      <c r="H3759" s="32" t="inlineStr">
        <is>
          <t>bb</t>
        </is>
      </c>
      <c r="I3759" s="32" t="n">
        <v>224.692</v>
      </c>
      <c r="K3759" s="32" t="inlineStr">
        <is>
          <t>20250514-19</t>
        </is>
      </c>
    </row>
    <row r="3760">
      <c r="A3760" s="32" t="n">
        <v>9</v>
      </c>
      <c r="B3760" s="32" t="inlineStr">
        <is>
          <t>MeOH</t>
        </is>
      </c>
      <c r="K3760" s="32" t="inlineStr">
        <is>
          <t>20250514-20</t>
        </is>
      </c>
    </row>
    <row r="3761">
      <c r="A3761" s="32" t="n">
        <v>10</v>
      </c>
      <c r="B3761" s="32" t="inlineStr">
        <is>
          <t>MeOH</t>
        </is>
      </c>
      <c r="K3761" s="32" t="inlineStr">
        <is>
          <t>20250514-21</t>
        </is>
      </c>
    </row>
    <row r="3762">
      <c r="A3762" s="32" t="n">
        <v>11</v>
      </c>
      <c r="B3762" s="32" t="inlineStr">
        <is>
          <t>SB1</t>
        </is>
      </c>
      <c r="K3762" s="32" t="inlineStr">
        <is>
          <t>20250514-22</t>
        </is>
      </c>
    </row>
    <row r="3763">
      <c r="A3763" s="32" t="n">
        <v>12</v>
      </c>
      <c r="B3763" s="32" t="inlineStr">
        <is>
          <t>SB2</t>
        </is>
      </c>
      <c r="K3763" s="32" t="inlineStr">
        <is>
          <t>20250514-23</t>
        </is>
      </c>
    </row>
    <row r="3764">
      <c r="A3764" s="32" t="n">
        <v>13</v>
      </c>
      <c r="B3764" s="32" t="inlineStr">
        <is>
          <t>SB3</t>
        </is>
      </c>
      <c r="D3764" s="32" t="n">
        <v>13</v>
      </c>
      <c r="E3764" s="32" t="n">
        <v>8.259</v>
      </c>
      <c r="G3764" s="32" t="n">
        <v>78</v>
      </c>
      <c r="H3764" s="32" t="inlineStr">
        <is>
          <t>bb</t>
        </is>
      </c>
      <c r="I3764" s="32" t="n">
        <v>8.259</v>
      </c>
      <c r="K3764" s="32" t="inlineStr">
        <is>
          <t>20250514-24</t>
        </is>
      </c>
    </row>
    <row r="3765">
      <c r="A3765" s="32" t="n">
        <v>14</v>
      </c>
      <c r="B3765" s="32" t="inlineStr">
        <is>
          <t>SS1</t>
        </is>
      </c>
      <c r="K3765" s="32" t="inlineStr">
        <is>
          <t>20250514-25</t>
        </is>
      </c>
    </row>
    <row r="3766">
      <c r="A3766" s="32" t="n">
        <v>15</v>
      </c>
      <c r="B3766" s="32" t="inlineStr">
        <is>
          <t>SS2</t>
        </is>
      </c>
      <c r="K3766" s="32" t="inlineStr">
        <is>
          <t>20250514-26</t>
        </is>
      </c>
    </row>
    <row r="3767">
      <c r="A3767" s="32" t="n">
        <v>16</v>
      </c>
      <c r="B3767" s="32" t="inlineStr">
        <is>
          <t>SS3</t>
        </is>
      </c>
      <c r="K3767" s="32" t="inlineStr">
        <is>
          <t>20250514-27</t>
        </is>
      </c>
    </row>
    <row r="3768">
      <c r="A3768" s="32" t="n">
        <v>17</v>
      </c>
      <c r="B3768" s="32" t="inlineStr">
        <is>
          <t>MeOH</t>
        </is>
      </c>
      <c r="K3768" s="32" t="inlineStr">
        <is>
          <t>20250514-28</t>
        </is>
      </c>
    </row>
    <row r="3769">
      <c r="A3769" s="32" t="n">
        <v>18</v>
      </c>
      <c r="B3769" s="32" t="inlineStr">
        <is>
          <t>K4-1A</t>
        </is>
      </c>
      <c r="K3769" s="32" t="inlineStr">
        <is>
          <t>20250514-29</t>
        </is>
      </c>
    </row>
    <row r="3770">
      <c r="A3770" s="32" t="n">
        <v>19</v>
      </c>
      <c r="B3770" s="32" t="inlineStr">
        <is>
          <t>K4-1B</t>
        </is>
      </c>
      <c r="K3770" s="32" t="inlineStr">
        <is>
          <t>20250514-30</t>
        </is>
      </c>
    </row>
    <row r="3771">
      <c r="A3771" s="32" t="n">
        <v>20</v>
      </c>
      <c r="B3771" s="32" t="inlineStr">
        <is>
          <t>K4-1C</t>
        </is>
      </c>
      <c r="K3771" s="32" t="inlineStr">
        <is>
          <t>20250514-31</t>
        </is>
      </c>
    </row>
    <row r="3772">
      <c r="A3772" s="32" t="n">
        <v>21</v>
      </c>
      <c r="B3772" s="32" t="inlineStr">
        <is>
          <t>K4-2A</t>
        </is>
      </c>
      <c r="K3772" s="32" t="inlineStr">
        <is>
          <t>20250514-32</t>
        </is>
      </c>
    </row>
    <row r="3773">
      <c r="A3773" s="32" t="n">
        <v>22</v>
      </c>
      <c r="B3773" s="32" t="inlineStr">
        <is>
          <t>K4-2B</t>
        </is>
      </c>
      <c r="K3773" s="32" t="inlineStr">
        <is>
          <t>20250514-33</t>
        </is>
      </c>
    </row>
    <row r="3774">
      <c r="A3774" s="32" t="n">
        <v>23</v>
      </c>
      <c r="B3774" s="32" t="inlineStr">
        <is>
          <t>K4-2C</t>
        </is>
      </c>
      <c r="K3774" s="32" t="inlineStr">
        <is>
          <t>20250514-34</t>
        </is>
      </c>
    </row>
    <row r="3775">
      <c r="A3775" s="32" t="n">
        <v>24</v>
      </c>
      <c r="B3775" s="32" t="inlineStr">
        <is>
          <t>MeOH</t>
        </is>
      </c>
      <c r="K3775" s="32" t="inlineStr">
        <is>
          <t>20250514-35</t>
        </is>
      </c>
    </row>
    <row r="3776">
      <c r="A3776" s="32" t="n">
        <v>25</v>
      </c>
      <c r="B3776" s="32" t="inlineStr">
        <is>
          <t>K4-4A</t>
        </is>
      </c>
      <c r="K3776" s="32" t="inlineStr">
        <is>
          <t>20250514-36</t>
        </is>
      </c>
    </row>
    <row r="3777">
      <c r="A3777" s="32" t="n">
        <v>26</v>
      </c>
      <c r="B3777" s="32" t="inlineStr">
        <is>
          <t>K4-4B</t>
        </is>
      </c>
      <c r="K3777" s="32" t="inlineStr">
        <is>
          <t>20250514-37</t>
        </is>
      </c>
    </row>
    <row r="3778">
      <c r="A3778" s="32" t="n">
        <v>27</v>
      </c>
      <c r="B3778" s="32" t="inlineStr">
        <is>
          <t>K4-4C</t>
        </is>
      </c>
      <c r="D3778" s="32" t="n">
        <v>13.05</v>
      </c>
      <c r="E3778" s="32" t="n">
        <v>0.606</v>
      </c>
      <c r="G3778" s="32" t="n">
        <v>6</v>
      </c>
      <c r="H3778" s="32" t="inlineStr">
        <is>
          <t>bb</t>
        </is>
      </c>
      <c r="I3778" s="32" t="n">
        <v>0.606</v>
      </c>
      <c r="K3778" s="32" t="inlineStr">
        <is>
          <t>20250514-38</t>
        </is>
      </c>
    </row>
    <row r="3779">
      <c r="A3779" s="32" t="n">
        <v>28</v>
      </c>
      <c r="B3779" s="32" t="inlineStr">
        <is>
          <t>K4-5A</t>
        </is>
      </c>
      <c r="K3779" s="32" t="inlineStr">
        <is>
          <t>20250514-39</t>
        </is>
      </c>
    </row>
    <row r="3780">
      <c r="A3780" s="32" t="n">
        <v>29</v>
      </c>
      <c r="B3780" s="32" t="inlineStr">
        <is>
          <t>K4-5B</t>
        </is>
      </c>
      <c r="K3780" s="32" t="inlineStr">
        <is>
          <t>20250514-40</t>
        </is>
      </c>
    </row>
    <row r="3781">
      <c r="A3781" s="32" t="n">
        <v>30</v>
      </c>
      <c r="B3781" s="32" t="inlineStr">
        <is>
          <t>K4-5C</t>
        </is>
      </c>
      <c r="K3781" s="32" t="inlineStr">
        <is>
          <t>20250514-41</t>
        </is>
      </c>
    </row>
    <row r="3782">
      <c r="A3782" s="32" t="n">
        <v>31</v>
      </c>
      <c r="B3782" s="32" t="inlineStr">
        <is>
          <t>MeOH</t>
        </is>
      </c>
      <c r="K3782" s="32" t="inlineStr">
        <is>
          <t>20250514-42</t>
        </is>
      </c>
    </row>
    <row r="3783">
      <c r="A3783" s="32" t="n">
        <v>32</v>
      </c>
      <c r="B3783" s="32" t="inlineStr">
        <is>
          <t>K3-1A</t>
        </is>
      </c>
      <c r="D3783" s="32" t="n">
        <v>13.42</v>
      </c>
      <c r="E3783" s="32" t="n">
        <v>2.538</v>
      </c>
      <c r="G3783" s="32" t="n">
        <v>21</v>
      </c>
      <c r="H3783" s="32" t="inlineStr">
        <is>
          <t>bb</t>
        </is>
      </c>
      <c r="I3783" s="32" t="n">
        <v>2.538</v>
      </c>
      <c r="K3783" s="32" t="inlineStr">
        <is>
          <t>20250514-43</t>
        </is>
      </c>
    </row>
    <row r="3784">
      <c r="A3784" s="32" t="n">
        <v>33</v>
      </c>
      <c r="B3784" s="32" t="inlineStr">
        <is>
          <t>K3-1B</t>
        </is>
      </c>
      <c r="K3784" s="32" t="inlineStr">
        <is>
          <t>20250514-44</t>
        </is>
      </c>
    </row>
    <row r="3785">
      <c r="A3785" s="32" t="n">
        <v>34</v>
      </c>
      <c r="B3785" s="32" t="inlineStr">
        <is>
          <t>K3-1C</t>
        </is>
      </c>
      <c r="K3785" s="32" t="inlineStr">
        <is>
          <t>20250514-45</t>
        </is>
      </c>
    </row>
    <row r="3786">
      <c r="A3786" s="32" t="n">
        <v>35</v>
      </c>
      <c r="B3786" s="32" t="inlineStr">
        <is>
          <t>K3-2A</t>
        </is>
      </c>
      <c r="D3786" s="32" t="n">
        <v>13.5</v>
      </c>
      <c r="E3786" s="32" t="n">
        <v>30.903</v>
      </c>
      <c r="G3786" s="32" t="n">
        <v>284</v>
      </c>
      <c r="H3786" s="32" t="inlineStr">
        <is>
          <t>bb</t>
        </is>
      </c>
      <c r="I3786" s="32" t="n">
        <v>30.903</v>
      </c>
      <c r="K3786" s="32" t="inlineStr">
        <is>
          <t>20250514-46</t>
        </is>
      </c>
    </row>
    <row r="3787">
      <c r="A3787" s="32" t="n">
        <v>36</v>
      </c>
      <c r="B3787" s="32" t="inlineStr">
        <is>
          <t>K3-2B</t>
        </is>
      </c>
      <c r="K3787" s="32" t="inlineStr">
        <is>
          <t>20250514-47</t>
        </is>
      </c>
    </row>
    <row r="3788">
      <c r="A3788" s="32" t="n">
        <v>37</v>
      </c>
      <c r="B3788" s="32" t="inlineStr">
        <is>
          <t>K3-2C</t>
        </is>
      </c>
      <c r="K3788" s="32" t="inlineStr">
        <is>
          <t>20250514-48</t>
        </is>
      </c>
    </row>
    <row r="3789">
      <c r="A3789" s="32" t="n">
        <v>38</v>
      </c>
      <c r="B3789" s="32" t="inlineStr">
        <is>
          <t>MeOH</t>
        </is>
      </c>
      <c r="K3789" s="32" t="inlineStr">
        <is>
          <t>20250514-49</t>
        </is>
      </c>
    </row>
    <row r="3790">
      <c r="A3790" s="32" t="n">
        <v>39</v>
      </c>
      <c r="B3790" s="32" t="inlineStr">
        <is>
          <t>K3-3A</t>
        </is>
      </c>
      <c r="K3790" s="32" t="inlineStr">
        <is>
          <t>20250514-50</t>
        </is>
      </c>
    </row>
    <row r="3791">
      <c r="A3791" s="32" t="n">
        <v>40</v>
      </c>
      <c r="B3791" s="32" t="inlineStr">
        <is>
          <t>K3-3B</t>
        </is>
      </c>
      <c r="K3791" s="32" t="inlineStr">
        <is>
          <t>20250514-51</t>
        </is>
      </c>
    </row>
    <row r="3792">
      <c r="A3792" s="32" t="n">
        <v>41</v>
      </c>
      <c r="B3792" s="32" t="inlineStr">
        <is>
          <t>K3-3C</t>
        </is>
      </c>
      <c r="K3792" s="32" t="inlineStr">
        <is>
          <t>20250514-52</t>
        </is>
      </c>
    </row>
    <row r="3793">
      <c r="A3793" s="32" t="n">
        <v>42</v>
      </c>
      <c r="B3793" s="32" t="inlineStr">
        <is>
          <t>K3-4A</t>
        </is>
      </c>
      <c r="K3793" s="32" t="inlineStr">
        <is>
          <t>20250514-53</t>
        </is>
      </c>
    </row>
    <row r="3794">
      <c r="A3794" s="32" t="n">
        <v>43</v>
      </c>
      <c r="B3794" s="32" t="inlineStr">
        <is>
          <t>K3-4B</t>
        </is>
      </c>
      <c r="K3794" s="32" t="inlineStr">
        <is>
          <t>20250514-54</t>
        </is>
      </c>
    </row>
    <row r="3795">
      <c r="A3795" s="32" t="n">
        <v>44</v>
      </c>
      <c r="B3795" s="32" t="inlineStr">
        <is>
          <t>K3-4C</t>
        </is>
      </c>
      <c r="K3795" s="32" t="inlineStr">
        <is>
          <t>20250514-55</t>
        </is>
      </c>
    </row>
    <row r="3796">
      <c r="A3796" s="32" t="n">
        <v>45</v>
      </c>
      <c r="B3796" s="32" t="inlineStr">
        <is>
          <t>MeOH</t>
        </is>
      </c>
      <c r="K3796" s="32" t="inlineStr">
        <is>
          <t>20250514-56</t>
        </is>
      </c>
    </row>
    <row r="3797">
      <c r="A3797" s="32" t="n">
        <v>46</v>
      </c>
      <c r="B3797" s="32" t="inlineStr">
        <is>
          <t>K3-6A</t>
        </is>
      </c>
      <c r="D3797" s="32" t="n">
        <v>13.02</v>
      </c>
      <c r="E3797" s="32" t="n">
        <v>3.168</v>
      </c>
      <c r="G3797" s="32" t="n">
        <v>30</v>
      </c>
      <c r="H3797" s="32" t="inlineStr">
        <is>
          <t>bb</t>
        </is>
      </c>
      <c r="I3797" s="32" t="n">
        <v>3.168</v>
      </c>
      <c r="K3797" s="32" t="inlineStr">
        <is>
          <t>20250514-57</t>
        </is>
      </c>
    </row>
    <row r="3798">
      <c r="A3798" s="32" t="n">
        <v>47</v>
      </c>
      <c r="B3798" s="32" t="inlineStr">
        <is>
          <t>K3-6B</t>
        </is>
      </c>
      <c r="D3798" s="32" t="n">
        <v>13.02</v>
      </c>
      <c r="E3798" s="32" t="n">
        <v>14.585</v>
      </c>
      <c r="G3798" s="32" t="n">
        <v>136</v>
      </c>
      <c r="H3798" s="32" t="inlineStr">
        <is>
          <t>bb</t>
        </is>
      </c>
      <c r="I3798" s="32" t="n">
        <v>14.585</v>
      </c>
      <c r="K3798" s="32" t="inlineStr">
        <is>
          <t>20250514-58</t>
        </is>
      </c>
    </row>
    <row r="3799">
      <c r="A3799" s="32" t="n">
        <v>48</v>
      </c>
      <c r="B3799" s="32" t="inlineStr">
        <is>
          <t>K3-6C</t>
        </is>
      </c>
      <c r="K3799" s="32" t="inlineStr">
        <is>
          <t>20250514-59</t>
        </is>
      </c>
    </row>
    <row r="3801">
      <c r="A3801" s="32" t="inlineStr">
        <is>
          <t>Compound 74:  m2 8:2 FTCA</t>
        </is>
      </c>
    </row>
    <row r="3803">
      <c r="B3803" s="32" t="inlineStr">
        <is>
          <t>Sample Text</t>
        </is>
      </c>
      <c r="C3803" s="32" t="inlineStr">
        <is>
          <t>Std. Conc</t>
        </is>
      </c>
      <c r="D3803" s="32" t="inlineStr">
        <is>
          <t>RT</t>
        </is>
      </c>
      <c r="E3803" s="32" t="inlineStr">
        <is>
          <t>Area</t>
        </is>
      </c>
      <c r="F3803" s="32" t="inlineStr">
        <is>
          <t>IS Area</t>
        </is>
      </c>
      <c r="G3803" s="32" t="inlineStr">
        <is>
          <t>S/N</t>
        </is>
      </c>
      <c r="H3803" s="32" t="inlineStr">
        <is>
          <t>Primary Flags</t>
        </is>
      </c>
      <c r="I3803" s="32" t="inlineStr">
        <is>
          <t>Response</t>
        </is>
      </c>
      <c r="J3803" s="32" t="inlineStr">
        <is>
          <t>Conc.</t>
        </is>
      </c>
      <c r="K3803" s="32" t="inlineStr">
        <is>
          <t>Name</t>
        </is>
      </c>
    </row>
    <row r="3804">
      <c r="A3804" s="32" t="n">
        <v>1</v>
      </c>
      <c r="B3804" s="32" t="inlineStr">
        <is>
          <t>EPA1633 &amp; diPAPs Calibration 0 ppb</t>
        </is>
      </c>
      <c r="K3804" s="32" t="inlineStr">
        <is>
          <t>20250514-12</t>
        </is>
      </c>
    </row>
    <row r="3805">
      <c r="A3805" s="32" t="n">
        <v>2</v>
      </c>
      <c r="B3805" s="32" t="inlineStr">
        <is>
          <t>EPA1633 &amp; diPAPs Calibration 0.02 ppb</t>
        </is>
      </c>
      <c r="K3805" s="32" t="inlineStr">
        <is>
          <t>20250514-13</t>
        </is>
      </c>
    </row>
    <row r="3806">
      <c r="A3806" s="32" t="n">
        <v>3</v>
      </c>
      <c r="B3806" s="32" t="inlineStr">
        <is>
          <t>EPA1633 &amp; diPAPs Calibration 0.1 ppb</t>
        </is>
      </c>
      <c r="K3806" s="32" t="inlineStr">
        <is>
          <t>20250514-14</t>
        </is>
      </c>
    </row>
    <row r="3807">
      <c r="A3807" s="32" t="n">
        <v>4</v>
      </c>
      <c r="B3807" s="32" t="inlineStr">
        <is>
          <t>EPA1633 &amp; diPAPs Calibration 0.4 ppb</t>
        </is>
      </c>
      <c r="D3807" s="32" t="n">
        <v>13.52</v>
      </c>
      <c r="E3807" s="32" t="n">
        <v>3.914</v>
      </c>
      <c r="G3807" s="32" t="n">
        <v>38</v>
      </c>
      <c r="H3807" s="32" t="inlineStr">
        <is>
          <t>bb</t>
        </is>
      </c>
      <c r="I3807" s="32" t="n">
        <v>3.914</v>
      </c>
      <c r="K3807" s="32" t="inlineStr">
        <is>
          <t>20250514-15</t>
        </is>
      </c>
    </row>
    <row r="3808">
      <c r="A3808" s="32" t="n">
        <v>5</v>
      </c>
      <c r="B3808" s="32" t="inlineStr">
        <is>
          <t>EPA1633 &amp; diPAPs Calibration 1 ppb</t>
        </is>
      </c>
      <c r="K3808" s="32" t="inlineStr">
        <is>
          <t>20250514-16</t>
        </is>
      </c>
    </row>
    <row r="3809">
      <c r="A3809" s="32" t="n">
        <v>6</v>
      </c>
      <c r="B3809" s="32" t="inlineStr">
        <is>
          <t>EPA1633 &amp; diPAPs Calibration 5 ppb</t>
        </is>
      </c>
      <c r="K3809" s="32" t="inlineStr">
        <is>
          <t>20250514-17</t>
        </is>
      </c>
    </row>
    <row r="3810">
      <c r="A3810" s="32" t="n">
        <v>7</v>
      </c>
      <c r="B3810" s="32" t="inlineStr">
        <is>
          <t>EPA1633 &amp; diPAPs Calibration 10 ppb</t>
        </is>
      </c>
      <c r="D3810" s="32" t="n">
        <v>13.28</v>
      </c>
      <c r="E3810" s="32" t="n">
        <v>5.442</v>
      </c>
      <c r="G3810" s="32" t="n">
        <v>46</v>
      </c>
      <c r="H3810" s="32" t="inlineStr">
        <is>
          <t>bb</t>
        </is>
      </c>
      <c r="I3810" s="32" t="n">
        <v>5.442</v>
      </c>
      <c r="K3810" s="32" t="inlineStr">
        <is>
          <t>20250514-18</t>
        </is>
      </c>
    </row>
    <row r="3811">
      <c r="A3811" s="32" t="n">
        <v>8</v>
      </c>
      <c r="B3811" s="32" t="inlineStr">
        <is>
          <t>EPA1633 &amp; diPAPs Calibration 20 ppb</t>
        </is>
      </c>
      <c r="K3811" s="32" t="inlineStr">
        <is>
          <t>20250514-19</t>
        </is>
      </c>
    </row>
    <row r="3812">
      <c r="A3812" s="32" t="n">
        <v>9</v>
      </c>
      <c r="B3812" s="32" t="inlineStr">
        <is>
          <t>MeOH</t>
        </is>
      </c>
      <c r="K3812" s="32" t="inlineStr">
        <is>
          <t>20250514-20</t>
        </is>
      </c>
    </row>
    <row r="3813">
      <c r="A3813" s="32" t="n">
        <v>10</v>
      </c>
      <c r="B3813" s="32" t="inlineStr">
        <is>
          <t>MeOH</t>
        </is>
      </c>
      <c r="K3813" s="32" t="inlineStr">
        <is>
          <t>20250514-21</t>
        </is>
      </c>
    </row>
    <row r="3814">
      <c r="A3814" s="32" t="n">
        <v>11</v>
      </c>
      <c r="B3814" s="32" t="inlineStr">
        <is>
          <t>SB1</t>
        </is>
      </c>
      <c r="D3814" s="32" t="n">
        <v>13.79</v>
      </c>
      <c r="E3814" s="32" t="n">
        <v>9.566000000000001</v>
      </c>
      <c r="G3814" s="32" t="n">
        <v>92</v>
      </c>
      <c r="H3814" s="32" t="inlineStr">
        <is>
          <t>bb</t>
        </is>
      </c>
      <c r="I3814" s="32" t="n">
        <v>9.566000000000001</v>
      </c>
      <c r="K3814" s="32" t="inlineStr">
        <is>
          <t>20250514-22</t>
        </is>
      </c>
    </row>
    <row r="3815">
      <c r="A3815" s="32" t="n">
        <v>12</v>
      </c>
      <c r="B3815" s="32" t="inlineStr">
        <is>
          <t>SB2</t>
        </is>
      </c>
      <c r="K3815" s="32" t="inlineStr">
        <is>
          <t>20250514-23</t>
        </is>
      </c>
    </row>
    <row r="3816">
      <c r="A3816" s="32" t="n">
        <v>13</v>
      </c>
      <c r="B3816" s="32" t="inlineStr">
        <is>
          <t>SB3</t>
        </is>
      </c>
      <c r="K3816" s="32" t="inlineStr">
        <is>
          <t>20250514-24</t>
        </is>
      </c>
    </row>
    <row r="3817">
      <c r="A3817" s="32" t="n">
        <v>14</v>
      </c>
      <c r="B3817" s="32" t="inlineStr">
        <is>
          <t>SS1</t>
        </is>
      </c>
      <c r="K3817" s="32" t="inlineStr">
        <is>
          <t>20250514-25</t>
        </is>
      </c>
    </row>
    <row r="3818">
      <c r="A3818" s="32" t="n">
        <v>15</v>
      </c>
      <c r="B3818" s="32" t="inlineStr">
        <is>
          <t>SS2</t>
        </is>
      </c>
      <c r="K3818" s="32" t="inlineStr">
        <is>
          <t>20250514-26</t>
        </is>
      </c>
    </row>
    <row r="3819">
      <c r="A3819" s="32" t="n">
        <v>16</v>
      </c>
      <c r="B3819" s="32" t="inlineStr">
        <is>
          <t>SS3</t>
        </is>
      </c>
      <c r="K3819" s="32" t="inlineStr">
        <is>
          <t>20250514-27</t>
        </is>
      </c>
    </row>
    <row r="3820">
      <c r="A3820" s="32" t="n">
        <v>17</v>
      </c>
      <c r="B3820" s="32" t="inlineStr">
        <is>
          <t>MeOH</t>
        </is>
      </c>
      <c r="D3820" s="32" t="n">
        <v>13.2</v>
      </c>
      <c r="E3820" s="32" t="n">
        <v>20.022</v>
      </c>
      <c r="G3820" s="32" t="n">
        <v>175</v>
      </c>
      <c r="H3820" s="32" t="inlineStr">
        <is>
          <t>bb</t>
        </is>
      </c>
      <c r="I3820" s="32" t="n">
        <v>20.022</v>
      </c>
      <c r="K3820" s="32" t="inlineStr">
        <is>
          <t>20250514-28</t>
        </is>
      </c>
    </row>
    <row r="3821">
      <c r="A3821" s="32" t="n">
        <v>18</v>
      </c>
      <c r="B3821" s="32" t="inlineStr">
        <is>
          <t>K4-1A</t>
        </is>
      </c>
      <c r="K3821" s="32" t="inlineStr">
        <is>
          <t>20250514-29</t>
        </is>
      </c>
    </row>
    <row r="3822">
      <c r="A3822" s="32" t="n">
        <v>19</v>
      </c>
      <c r="B3822" s="32" t="inlineStr">
        <is>
          <t>K4-1B</t>
        </is>
      </c>
      <c r="K3822" s="32" t="inlineStr">
        <is>
          <t>20250514-30</t>
        </is>
      </c>
    </row>
    <row r="3823">
      <c r="A3823" s="32" t="n">
        <v>20</v>
      </c>
      <c r="B3823" s="32" t="inlineStr">
        <is>
          <t>K4-1C</t>
        </is>
      </c>
      <c r="K3823" s="32" t="inlineStr">
        <is>
          <t>20250514-31</t>
        </is>
      </c>
    </row>
    <row r="3824">
      <c r="A3824" s="32" t="n">
        <v>21</v>
      </c>
      <c r="B3824" s="32" t="inlineStr">
        <is>
          <t>K4-2A</t>
        </is>
      </c>
      <c r="D3824" s="32" t="n">
        <v>13.66</v>
      </c>
      <c r="E3824" s="32" t="n">
        <v>3.576</v>
      </c>
      <c r="G3824" s="32" t="n">
        <v>35</v>
      </c>
      <c r="H3824" s="32" t="inlineStr">
        <is>
          <t>bb</t>
        </is>
      </c>
      <c r="I3824" s="32" t="n">
        <v>3.576</v>
      </c>
      <c r="K3824" s="32" t="inlineStr">
        <is>
          <t>20250514-32</t>
        </is>
      </c>
    </row>
    <row r="3825">
      <c r="A3825" s="32" t="n">
        <v>22</v>
      </c>
      <c r="B3825" s="32" t="inlineStr">
        <is>
          <t>K4-2B</t>
        </is>
      </c>
      <c r="K3825" s="32" t="inlineStr">
        <is>
          <t>20250514-33</t>
        </is>
      </c>
    </row>
    <row r="3826">
      <c r="A3826" s="32" t="n">
        <v>23</v>
      </c>
      <c r="B3826" s="32" t="inlineStr">
        <is>
          <t>K4-2C</t>
        </is>
      </c>
      <c r="D3826" s="32" t="n">
        <v>13.54</v>
      </c>
      <c r="E3826" s="32" t="n">
        <v>18.463</v>
      </c>
      <c r="G3826" s="32" t="n">
        <v>186</v>
      </c>
      <c r="H3826" s="32" t="inlineStr">
        <is>
          <t>bb</t>
        </is>
      </c>
      <c r="I3826" s="32" t="n">
        <v>18.463</v>
      </c>
      <c r="K3826" s="32" t="inlineStr">
        <is>
          <t>20250514-34</t>
        </is>
      </c>
    </row>
    <row r="3827">
      <c r="A3827" s="32" t="n">
        <v>24</v>
      </c>
      <c r="B3827" s="32" t="inlineStr">
        <is>
          <t>MeOH</t>
        </is>
      </c>
      <c r="K3827" s="32" t="inlineStr">
        <is>
          <t>20250514-35</t>
        </is>
      </c>
    </row>
    <row r="3828">
      <c r="A3828" s="32" t="n">
        <v>25</v>
      </c>
      <c r="B3828" s="32" t="inlineStr">
        <is>
          <t>K4-4A</t>
        </is>
      </c>
      <c r="K3828" s="32" t="inlineStr">
        <is>
          <t>20250514-36</t>
        </is>
      </c>
    </row>
    <row r="3829">
      <c r="A3829" s="32" t="n">
        <v>26</v>
      </c>
      <c r="B3829" s="32" t="inlineStr">
        <is>
          <t>K4-4B</t>
        </is>
      </c>
      <c r="K3829" s="32" t="inlineStr">
        <is>
          <t>20250514-37</t>
        </is>
      </c>
    </row>
    <row r="3830">
      <c r="A3830" s="32" t="n">
        <v>27</v>
      </c>
      <c r="B3830" s="32" t="inlineStr">
        <is>
          <t>K4-4C</t>
        </is>
      </c>
      <c r="K3830" s="32" t="inlineStr">
        <is>
          <t>20250514-38</t>
        </is>
      </c>
    </row>
    <row r="3831">
      <c r="A3831" s="32" t="n">
        <v>28</v>
      </c>
      <c r="B3831" s="32" t="inlineStr">
        <is>
          <t>K4-5A</t>
        </is>
      </c>
      <c r="K3831" s="32" t="inlineStr">
        <is>
          <t>20250514-39</t>
        </is>
      </c>
    </row>
    <row r="3832">
      <c r="A3832" s="32" t="n">
        <v>29</v>
      </c>
      <c r="B3832" s="32" t="inlineStr">
        <is>
          <t>K4-5B</t>
        </is>
      </c>
      <c r="K3832" s="32" t="inlineStr">
        <is>
          <t>20250514-40</t>
        </is>
      </c>
    </row>
    <row r="3833">
      <c r="A3833" s="32" t="n">
        <v>30</v>
      </c>
      <c r="B3833" s="32" t="inlineStr">
        <is>
          <t>K4-5C</t>
        </is>
      </c>
      <c r="K3833" s="32" t="inlineStr">
        <is>
          <t>20250514-41</t>
        </is>
      </c>
    </row>
    <row r="3834">
      <c r="A3834" s="32" t="n">
        <v>31</v>
      </c>
      <c r="B3834" s="32" t="inlineStr">
        <is>
          <t>MeOH</t>
        </is>
      </c>
      <c r="K3834" s="32" t="inlineStr">
        <is>
          <t>20250514-42</t>
        </is>
      </c>
    </row>
    <row r="3835">
      <c r="A3835" s="32" t="n">
        <v>32</v>
      </c>
      <c r="B3835" s="32" t="inlineStr">
        <is>
          <t>K3-1A</t>
        </is>
      </c>
      <c r="K3835" s="32" t="inlineStr">
        <is>
          <t>20250514-43</t>
        </is>
      </c>
    </row>
    <row r="3836">
      <c r="A3836" s="32" t="n">
        <v>33</v>
      </c>
      <c r="B3836" s="32" t="inlineStr">
        <is>
          <t>K3-1B</t>
        </is>
      </c>
      <c r="K3836" s="32" t="inlineStr">
        <is>
          <t>20250514-44</t>
        </is>
      </c>
    </row>
    <row r="3837">
      <c r="A3837" s="32" t="n">
        <v>34</v>
      </c>
      <c r="B3837" s="32" t="inlineStr">
        <is>
          <t>K3-1C</t>
        </is>
      </c>
      <c r="K3837" s="32" t="inlineStr">
        <is>
          <t>20250514-45</t>
        </is>
      </c>
    </row>
    <row r="3838">
      <c r="A3838" s="32" t="n">
        <v>35</v>
      </c>
      <c r="B3838" s="32" t="inlineStr">
        <is>
          <t>K3-2A</t>
        </is>
      </c>
      <c r="K3838" s="32" t="inlineStr">
        <is>
          <t>20250514-46</t>
        </is>
      </c>
    </row>
    <row r="3839">
      <c r="A3839" s="32" t="n">
        <v>36</v>
      </c>
      <c r="B3839" s="32" t="inlineStr">
        <is>
          <t>K3-2B</t>
        </is>
      </c>
      <c r="K3839" s="32" t="inlineStr">
        <is>
          <t>20250514-47</t>
        </is>
      </c>
    </row>
    <row r="3840">
      <c r="A3840" s="32" t="n">
        <v>37</v>
      </c>
      <c r="B3840" s="32" t="inlineStr">
        <is>
          <t>K3-2C</t>
        </is>
      </c>
      <c r="K3840" s="32" t="inlineStr">
        <is>
          <t>20250514-48</t>
        </is>
      </c>
    </row>
    <row r="3841">
      <c r="A3841" s="32" t="n">
        <v>38</v>
      </c>
      <c r="B3841" s="32" t="inlineStr">
        <is>
          <t>MeOH</t>
        </is>
      </c>
      <c r="K3841" s="32" t="inlineStr">
        <is>
          <t>20250514-49</t>
        </is>
      </c>
    </row>
    <row r="3842">
      <c r="A3842" s="32" t="n">
        <v>39</v>
      </c>
      <c r="B3842" s="32" t="inlineStr">
        <is>
          <t>K3-3A</t>
        </is>
      </c>
      <c r="K3842" s="32" t="inlineStr">
        <is>
          <t>20250514-50</t>
        </is>
      </c>
    </row>
    <row r="3843">
      <c r="A3843" s="32" t="n">
        <v>40</v>
      </c>
      <c r="B3843" s="32" t="inlineStr">
        <is>
          <t>K3-3B</t>
        </is>
      </c>
      <c r="K3843" s="32" t="inlineStr">
        <is>
          <t>20250514-51</t>
        </is>
      </c>
    </row>
    <row r="3844">
      <c r="A3844" s="32" t="n">
        <v>41</v>
      </c>
      <c r="B3844" s="32" t="inlineStr">
        <is>
          <t>K3-3C</t>
        </is>
      </c>
      <c r="K3844" s="32" t="inlineStr">
        <is>
          <t>20250514-52</t>
        </is>
      </c>
    </row>
    <row r="3845">
      <c r="A3845" s="32" t="n">
        <v>42</v>
      </c>
      <c r="B3845" s="32" t="inlineStr">
        <is>
          <t>K3-4A</t>
        </is>
      </c>
      <c r="K3845" s="32" t="inlineStr">
        <is>
          <t>20250514-53</t>
        </is>
      </c>
    </row>
    <row r="3846">
      <c r="A3846" s="32" t="n">
        <v>43</v>
      </c>
      <c r="B3846" s="32" t="inlineStr">
        <is>
          <t>K3-4B</t>
        </is>
      </c>
      <c r="K3846" s="32" t="inlineStr">
        <is>
          <t>20250514-54</t>
        </is>
      </c>
    </row>
    <row r="3847">
      <c r="A3847" s="32" t="n">
        <v>44</v>
      </c>
      <c r="B3847" s="32" t="inlineStr">
        <is>
          <t>K3-4C</t>
        </is>
      </c>
      <c r="K3847" s="32" t="inlineStr">
        <is>
          <t>20250514-55</t>
        </is>
      </c>
    </row>
    <row r="3848">
      <c r="A3848" s="32" t="n">
        <v>45</v>
      </c>
      <c r="B3848" s="32" t="inlineStr">
        <is>
          <t>MeOH</t>
        </is>
      </c>
      <c r="K3848" s="32" t="inlineStr">
        <is>
          <t>20250514-56</t>
        </is>
      </c>
    </row>
    <row r="3849">
      <c r="A3849" s="32" t="n">
        <v>46</v>
      </c>
      <c r="B3849" s="32" t="inlineStr">
        <is>
          <t>K3-6A</t>
        </is>
      </c>
      <c r="K3849" s="32" t="inlineStr">
        <is>
          <t>20250514-57</t>
        </is>
      </c>
    </row>
    <row r="3850">
      <c r="A3850" s="32" t="n">
        <v>47</v>
      </c>
      <c r="B3850" s="32" t="inlineStr">
        <is>
          <t>K3-6B</t>
        </is>
      </c>
      <c r="K3850" s="32" t="inlineStr">
        <is>
          <t>20250514-58</t>
        </is>
      </c>
    </row>
    <row r="3851">
      <c r="A3851" s="32" t="n">
        <v>48</v>
      </c>
      <c r="B3851" s="32" t="inlineStr">
        <is>
          <t>K3-6C</t>
        </is>
      </c>
      <c r="K3851" s="32" t="inlineStr">
        <is>
          <t>20250514-59</t>
        </is>
      </c>
    </row>
    <row r="3853">
      <c r="A3853" s="32" t="inlineStr">
        <is>
          <t>Compound 75:  FOSA 1</t>
        </is>
      </c>
    </row>
    <row r="3855">
      <c r="B3855" s="32" t="inlineStr">
        <is>
          <t>Sample Text</t>
        </is>
      </c>
      <c r="C3855" s="32" t="inlineStr">
        <is>
          <t>Std. Conc</t>
        </is>
      </c>
      <c r="D3855" s="32" t="inlineStr">
        <is>
          <t>RT</t>
        </is>
      </c>
      <c r="E3855" s="32" t="inlineStr">
        <is>
          <t>Area</t>
        </is>
      </c>
      <c r="F3855" s="32" t="inlineStr">
        <is>
          <t>IS Area</t>
        </is>
      </c>
      <c r="G3855" s="32" t="inlineStr">
        <is>
          <t>S/N</t>
        </is>
      </c>
      <c r="H3855" s="32" t="inlineStr">
        <is>
          <t>Primary Flags</t>
        </is>
      </c>
      <c r="I3855" s="32" t="inlineStr">
        <is>
          <t>Response</t>
        </is>
      </c>
      <c r="J3855" s="32" t="inlineStr">
        <is>
          <t>Conc.</t>
        </is>
      </c>
      <c r="K3855" s="32" t="inlineStr">
        <is>
          <t>Name</t>
        </is>
      </c>
    </row>
    <row r="3856">
      <c r="A3856" s="32" t="n">
        <v>1</v>
      </c>
      <c r="B3856" s="32" t="inlineStr">
        <is>
          <t>EPA1633 &amp; diPAPs Calibration 0 ppb</t>
        </is>
      </c>
      <c r="D3856" s="32" t="n">
        <v>13.09</v>
      </c>
      <c r="E3856" s="32" t="n">
        <v>100.982</v>
      </c>
      <c r="F3856" s="32" t="n">
        <v>13205.621</v>
      </c>
      <c r="G3856" s="32" t="n">
        <v>4.571</v>
      </c>
      <c r="H3856" s="32" t="inlineStr">
        <is>
          <t>bb</t>
        </is>
      </c>
      <c r="K3856" s="32" t="inlineStr">
        <is>
          <t>20250514-12</t>
        </is>
      </c>
    </row>
    <row r="3857">
      <c r="A3857" s="32" t="n">
        <v>2</v>
      </c>
      <c r="B3857" s="32" t="inlineStr">
        <is>
          <t>EPA1633 &amp; diPAPs Calibration 0.02 ppb</t>
        </is>
      </c>
      <c r="D3857" s="32" t="n">
        <v>13.13</v>
      </c>
      <c r="E3857" s="32" t="n">
        <v>29.256</v>
      </c>
      <c r="F3857" s="32" t="n">
        <v>13259.294</v>
      </c>
      <c r="G3857" s="32" t="n">
        <v>213</v>
      </c>
      <c r="H3857" s="32" t="inlineStr">
        <is>
          <t>bb</t>
        </is>
      </c>
      <c r="K3857" s="32" t="inlineStr">
        <is>
          <t>20250514-13</t>
        </is>
      </c>
    </row>
    <row r="3858">
      <c r="A3858" s="32" t="n">
        <v>3</v>
      </c>
      <c r="B3858" s="32" t="inlineStr">
        <is>
          <t>EPA1633 &amp; diPAPs Calibration 0.1 ppb</t>
        </is>
      </c>
      <c r="D3858" s="32" t="n">
        <v>13.16</v>
      </c>
      <c r="E3858" s="32" t="n">
        <v>554.35</v>
      </c>
      <c r="F3858" s="32" t="n">
        <v>14266.168</v>
      </c>
      <c r="G3858" s="32" t="n">
        <v>14.607</v>
      </c>
      <c r="H3858" s="32" t="inlineStr">
        <is>
          <t>bb</t>
        </is>
      </c>
      <c r="K3858" s="32" t="inlineStr">
        <is>
          <t>20250514-14</t>
        </is>
      </c>
    </row>
    <row r="3859">
      <c r="A3859" s="32" t="n">
        <v>4</v>
      </c>
      <c r="B3859" s="32" t="inlineStr">
        <is>
          <t>EPA1633 &amp; diPAPs Calibration 0.4 ppb</t>
        </is>
      </c>
      <c r="D3859" s="32" t="n">
        <v>13.17</v>
      </c>
      <c r="E3859" s="32" t="n">
        <v>1532.081</v>
      </c>
      <c r="F3859" s="32" t="n">
        <v>12275.191</v>
      </c>
      <c r="G3859" s="32" t="n">
        <v>13.18</v>
      </c>
      <c r="H3859" s="32" t="inlineStr">
        <is>
          <t>MM</t>
        </is>
      </c>
      <c r="K3859" s="32" t="inlineStr">
        <is>
          <t>20250514-15</t>
        </is>
      </c>
    </row>
    <row r="3860">
      <c r="A3860" s="32" t="n">
        <v>5</v>
      </c>
      <c r="B3860" s="32" t="inlineStr">
        <is>
          <t>EPA1633 &amp; diPAPs Calibration 1 ppb</t>
        </is>
      </c>
      <c r="D3860" s="32" t="n">
        <v>13.17</v>
      </c>
      <c r="E3860" s="32" t="n">
        <v>1987.902</v>
      </c>
      <c r="F3860" s="32" t="n">
        <v>14683.087</v>
      </c>
      <c r="G3860" s="32" t="n">
        <v>335.888</v>
      </c>
      <c r="H3860" s="32" t="inlineStr">
        <is>
          <t>bb</t>
        </is>
      </c>
      <c r="K3860" s="32" t="inlineStr">
        <is>
          <t>20250514-16</t>
        </is>
      </c>
    </row>
    <row r="3861">
      <c r="A3861" s="32" t="n">
        <v>6</v>
      </c>
      <c r="B3861" s="32" t="inlineStr">
        <is>
          <t>EPA1633 &amp; diPAPs Calibration 5 ppb</t>
        </is>
      </c>
      <c r="D3861" s="32" t="n">
        <v>13.09</v>
      </c>
      <c r="E3861" s="32" t="n">
        <v>9972.636</v>
      </c>
      <c r="F3861" s="32" t="n">
        <v>12289.724</v>
      </c>
      <c r="G3861" s="32" t="n">
        <v>132.641</v>
      </c>
      <c r="H3861" s="32" t="inlineStr">
        <is>
          <t>bb</t>
        </is>
      </c>
      <c r="K3861" s="32" t="inlineStr">
        <is>
          <t>20250514-17</t>
        </is>
      </c>
    </row>
    <row r="3862">
      <c r="A3862" s="32" t="n">
        <v>7</v>
      </c>
      <c r="B3862" s="32" t="inlineStr">
        <is>
          <t>EPA1633 &amp; diPAPs Calibration 10 ppb</t>
        </is>
      </c>
      <c r="D3862" s="32" t="n">
        <v>13.11</v>
      </c>
      <c r="E3862" s="32" t="n">
        <v>17594.711</v>
      </c>
      <c r="F3862" s="32" t="n">
        <v>9146.025</v>
      </c>
      <c r="G3862" s="32" t="n">
        <v>1701.693</v>
      </c>
      <c r="H3862" s="32" t="inlineStr">
        <is>
          <t>bb</t>
        </is>
      </c>
      <c r="K3862" s="32" t="inlineStr">
        <is>
          <t>20250514-18</t>
        </is>
      </c>
    </row>
    <row r="3863">
      <c r="A3863" s="32" t="n">
        <v>8</v>
      </c>
      <c r="B3863" s="32" t="inlineStr">
        <is>
          <t>EPA1633 &amp; diPAPs Calibration 20 ppb</t>
        </is>
      </c>
      <c r="D3863" s="32" t="n">
        <v>13.12</v>
      </c>
      <c r="E3863" s="32" t="n">
        <v>38660.688</v>
      </c>
      <c r="F3863" s="32" t="n">
        <v>10540.908</v>
      </c>
      <c r="G3863" s="32" t="n">
        <v>339.359</v>
      </c>
      <c r="H3863" s="32" t="inlineStr">
        <is>
          <t>bb</t>
        </is>
      </c>
      <c r="K3863" s="32" t="inlineStr">
        <is>
          <t>20250514-19</t>
        </is>
      </c>
    </row>
    <row r="3864">
      <c r="A3864" s="32" t="n">
        <v>9</v>
      </c>
      <c r="B3864" s="32" t="inlineStr">
        <is>
          <t>MeOH</t>
        </is>
      </c>
      <c r="D3864" s="32" t="n">
        <v>12.82</v>
      </c>
      <c r="E3864" s="32" t="n">
        <v>5.313</v>
      </c>
      <c r="G3864" s="32" t="n">
        <v>52</v>
      </c>
      <c r="H3864" s="32" t="inlineStr">
        <is>
          <t>bb</t>
        </is>
      </c>
      <c r="K3864" s="32" t="inlineStr">
        <is>
          <t>20250514-20</t>
        </is>
      </c>
    </row>
    <row r="3865">
      <c r="A3865" s="32" t="n">
        <v>10</v>
      </c>
      <c r="B3865" s="32" t="inlineStr">
        <is>
          <t>MeOH</t>
        </is>
      </c>
      <c r="D3865" s="32" t="n">
        <v>13.17</v>
      </c>
      <c r="E3865" s="32" t="n">
        <v>73.82899999999999</v>
      </c>
      <c r="G3865" s="32" t="n">
        <v>13.354</v>
      </c>
      <c r="H3865" s="32" t="inlineStr">
        <is>
          <t>bb</t>
        </is>
      </c>
      <c r="K3865" s="32" t="inlineStr">
        <is>
          <t>20250514-21</t>
        </is>
      </c>
    </row>
    <row r="3866">
      <c r="A3866" s="32" t="n">
        <v>11</v>
      </c>
      <c r="B3866" s="32" t="inlineStr">
        <is>
          <t>SB1</t>
        </is>
      </c>
      <c r="D3866" s="32" t="n">
        <v>13.17</v>
      </c>
      <c r="E3866" s="32" t="n">
        <v>8.913</v>
      </c>
      <c r="F3866" s="32" t="n">
        <v>4312.337</v>
      </c>
      <c r="G3866" s="32" t="n">
        <v>1.275</v>
      </c>
      <c r="H3866" s="32" t="inlineStr">
        <is>
          <t>MM</t>
        </is>
      </c>
      <c r="K3866" s="32" t="inlineStr">
        <is>
          <t>20250514-22</t>
        </is>
      </c>
    </row>
    <row r="3867">
      <c r="A3867" s="32" t="n">
        <v>12</v>
      </c>
      <c r="B3867" s="32" t="inlineStr">
        <is>
          <t>SB2</t>
        </is>
      </c>
      <c r="F3867" s="32" t="n">
        <v>3563.555</v>
      </c>
      <c r="K3867" s="32" t="inlineStr">
        <is>
          <t>20250514-23</t>
        </is>
      </c>
    </row>
    <row r="3868">
      <c r="A3868" s="32" t="n">
        <v>13</v>
      </c>
      <c r="B3868" s="32" t="inlineStr">
        <is>
          <t>SB3</t>
        </is>
      </c>
      <c r="D3868" s="32" t="n">
        <v>13.17</v>
      </c>
      <c r="E3868" s="32" t="n">
        <v>16.847</v>
      </c>
      <c r="F3868" s="32" t="n">
        <v>4440.152</v>
      </c>
      <c r="G3868" s="32" t="n">
        <v>149</v>
      </c>
      <c r="H3868" s="32" t="inlineStr">
        <is>
          <t>bb</t>
        </is>
      </c>
      <c r="K3868" s="32" t="inlineStr">
        <is>
          <t>20250514-24</t>
        </is>
      </c>
    </row>
    <row r="3869">
      <c r="A3869" s="32" t="n">
        <v>14</v>
      </c>
      <c r="B3869" s="32" t="inlineStr">
        <is>
          <t>SS1</t>
        </is>
      </c>
      <c r="D3869" s="32" t="n">
        <v>13.2</v>
      </c>
      <c r="E3869" s="32" t="n">
        <v>6559.153</v>
      </c>
      <c r="F3869" s="32" t="n">
        <v>4327.706</v>
      </c>
      <c r="G3869" s="32" t="n">
        <v>1002.67</v>
      </c>
      <c r="H3869" s="32" t="inlineStr">
        <is>
          <t>bb</t>
        </is>
      </c>
      <c r="K3869" s="32" t="inlineStr">
        <is>
          <t>20250514-25</t>
        </is>
      </c>
    </row>
    <row r="3870">
      <c r="A3870" s="32" t="n">
        <v>15</v>
      </c>
      <c r="B3870" s="32" t="inlineStr">
        <is>
          <t>SS2</t>
        </is>
      </c>
      <c r="D3870" s="32" t="n">
        <v>13.21</v>
      </c>
      <c r="E3870" s="32" t="n">
        <v>7005.298</v>
      </c>
      <c r="F3870" s="32" t="n">
        <v>4560.75</v>
      </c>
      <c r="G3870" s="32" t="n">
        <v>562.583</v>
      </c>
      <c r="H3870" s="32" t="inlineStr">
        <is>
          <t>MM</t>
        </is>
      </c>
      <c r="K3870" s="32" t="inlineStr">
        <is>
          <t>20250514-26</t>
        </is>
      </c>
    </row>
    <row r="3871">
      <c r="A3871" s="32" t="n">
        <v>16</v>
      </c>
      <c r="B3871" s="32" t="inlineStr">
        <is>
          <t>SS3</t>
        </is>
      </c>
      <c r="D3871" s="32" t="n">
        <v>13.21</v>
      </c>
      <c r="E3871" s="32" t="n">
        <v>6847.048</v>
      </c>
      <c r="F3871" s="32" t="n">
        <v>4386.909</v>
      </c>
      <c r="G3871" s="32" t="n">
        <v>1706.56</v>
      </c>
      <c r="H3871" s="32" t="inlineStr">
        <is>
          <t>bb</t>
        </is>
      </c>
      <c r="K3871" s="32" t="inlineStr">
        <is>
          <t>20250514-27</t>
        </is>
      </c>
    </row>
    <row r="3872">
      <c r="A3872" s="32" t="n">
        <v>17</v>
      </c>
      <c r="B3872" s="32" t="inlineStr">
        <is>
          <t>MeOH</t>
        </is>
      </c>
      <c r="D3872" s="32" t="n">
        <v>13.23</v>
      </c>
      <c r="E3872" s="32" t="n">
        <v>3.894</v>
      </c>
      <c r="G3872" s="32" t="n">
        <v>33</v>
      </c>
      <c r="H3872" s="32" t="inlineStr">
        <is>
          <t>bb</t>
        </is>
      </c>
      <c r="K3872" s="32" t="inlineStr">
        <is>
          <t>20250514-28</t>
        </is>
      </c>
    </row>
    <row r="3873">
      <c r="A3873" s="32" t="n">
        <v>18</v>
      </c>
      <c r="B3873" s="32" t="inlineStr">
        <is>
          <t>K4-1A</t>
        </is>
      </c>
      <c r="D3873" s="32" t="n">
        <v>13.2</v>
      </c>
      <c r="E3873" s="32" t="n">
        <v>119.214</v>
      </c>
      <c r="F3873" s="32" t="n">
        <v>6129.653</v>
      </c>
      <c r="G3873" s="32" t="n">
        <v>5.571</v>
      </c>
      <c r="H3873" s="32" t="inlineStr">
        <is>
          <t>bb</t>
        </is>
      </c>
      <c r="K3873" s="32" t="inlineStr">
        <is>
          <t>20250514-29</t>
        </is>
      </c>
    </row>
    <row r="3874">
      <c r="A3874" s="32" t="n">
        <v>19</v>
      </c>
      <c r="B3874" s="32" t="inlineStr">
        <is>
          <t>K4-1B</t>
        </is>
      </c>
      <c r="F3874" s="32" t="n">
        <v>6202.174</v>
      </c>
      <c r="K3874" s="32" t="inlineStr">
        <is>
          <t>20250514-30</t>
        </is>
      </c>
    </row>
    <row r="3875">
      <c r="A3875" s="32" t="n">
        <v>20</v>
      </c>
      <c r="B3875" s="32" t="inlineStr">
        <is>
          <t>K4-1C</t>
        </is>
      </c>
      <c r="D3875" s="32" t="n">
        <v>13.23</v>
      </c>
      <c r="E3875" s="32" t="n">
        <v>18.458</v>
      </c>
      <c r="F3875" s="32" t="n">
        <v>5567.882</v>
      </c>
      <c r="G3875" s="32" t="n">
        <v>4.083</v>
      </c>
      <c r="H3875" s="32" t="inlineStr">
        <is>
          <t>bb</t>
        </is>
      </c>
      <c r="K3875" s="32" t="inlineStr">
        <is>
          <t>20250514-31</t>
        </is>
      </c>
    </row>
    <row r="3876">
      <c r="A3876" s="32" t="n">
        <v>21</v>
      </c>
      <c r="B3876" s="32" t="inlineStr">
        <is>
          <t>K4-2A</t>
        </is>
      </c>
      <c r="D3876" s="32" t="n">
        <v>13.25</v>
      </c>
      <c r="E3876" s="32" t="n">
        <v>16.422</v>
      </c>
      <c r="F3876" s="32" t="n">
        <v>5829.725</v>
      </c>
      <c r="G3876" s="32" t="n">
        <v>2.515</v>
      </c>
      <c r="H3876" s="32" t="inlineStr">
        <is>
          <t>MM</t>
        </is>
      </c>
      <c r="K3876" s="32" t="inlineStr">
        <is>
          <t>20250514-32</t>
        </is>
      </c>
    </row>
    <row r="3877">
      <c r="A3877" s="32" t="n">
        <v>22</v>
      </c>
      <c r="B3877" s="32" t="inlineStr">
        <is>
          <t>K4-2B</t>
        </is>
      </c>
      <c r="D3877" s="32" t="n">
        <v>13.22</v>
      </c>
      <c r="E3877" s="32" t="n">
        <v>98.80800000000001</v>
      </c>
      <c r="F3877" s="32" t="n">
        <v>5298.286</v>
      </c>
      <c r="G3877" s="32" t="n">
        <v>729</v>
      </c>
      <c r="H3877" s="32" t="inlineStr">
        <is>
          <t>bb</t>
        </is>
      </c>
      <c r="K3877" s="32" t="inlineStr">
        <is>
          <t>20250514-33</t>
        </is>
      </c>
    </row>
    <row r="3878">
      <c r="A3878" s="32" t="n">
        <v>23</v>
      </c>
      <c r="B3878" s="32" t="inlineStr">
        <is>
          <t>K4-2C</t>
        </is>
      </c>
      <c r="D3878" s="32" t="n">
        <v>13.25</v>
      </c>
      <c r="E3878" s="32" t="n">
        <v>11.623</v>
      </c>
      <c r="F3878" s="32" t="n">
        <v>5070.005</v>
      </c>
      <c r="G3878" s="32" t="n">
        <v>99</v>
      </c>
      <c r="H3878" s="32" t="inlineStr">
        <is>
          <t>bb</t>
        </is>
      </c>
      <c r="K3878" s="32" t="inlineStr">
        <is>
          <t>20250514-34</t>
        </is>
      </c>
    </row>
    <row r="3879">
      <c r="A3879" s="32" t="n">
        <v>24</v>
      </c>
      <c r="B3879" s="32" t="inlineStr">
        <is>
          <t>MeOH</t>
        </is>
      </c>
      <c r="D3879" s="32" t="n">
        <v>13.26</v>
      </c>
      <c r="E3879" s="32" t="n">
        <v>30.588</v>
      </c>
      <c r="G3879" s="32" t="n">
        <v>252</v>
      </c>
      <c r="H3879" s="32" t="inlineStr">
        <is>
          <t>bb</t>
        </is>
      </c>
      <c r="K3879" s="32" t="inlineStr">
        <is>
          <t>20250514-35</t>
        </is>
      </c>
    </row>
    <row r="3880">
      <c r="A3880" s="32" t="n">
        <v>25</v>
      </c>
      <c r="B3880" s="32" t="inlineStr">
        <is>
          <t>K4-4A</t>
        </is>
      </c>
      <c r="F3880" s="32" t="n">
        <v>5768.776</v>
      </c>
      <c r="K3880" s="32" t="inlineStr">
        <is>
          <t>20250514-36</t>
        </is>
      </c>
    </row>
    <row r="3881">
      <c r="A3881" s="32" t="n">
        <v>26</v>
      </c>
      <c r="B3881" s="32" t="inlineStr">
        <is>
          <t>K4-4B</t>
        </is>
      </c>
      <c r="D3881" s="32" t="n">
        <v>13.26</v>
      </c>
      <c r="E3881" s="32" t="n">
        <v>4.601</v>
      </c>
      <c r="F3881" s="32" t="n">
        <v>5622.463</v>
      </c>
      <c r="G3881" s="32" t="n">
        <v>39</v>
      </c>
      <c r="H3881" s="32" t="inlineStr">
        <is>
          <t>bb</t>
        </is>
      </c>
      <c r="K3881" s="32" t="inlineStr">
        <is>
          <t>20250514-37</t>
        </is>
      </c>
    </row>
    <row r="3882">
      <c r="A3882" s="32" t="n">
        <v>27</v>
      </c>
      <c r="B3882" s="32" t="inlineStr">
        <is>
          <t>K4-4C</t>
        </is>
      </c>
      <c r="D3882" s="32" t="n">
        <v>13.28</v>
      </c>
      <c r="E3882" s="32" t="n">
        <v>3.812</v>
      </c>
      <c r="F3882" s="32" t="n">
        <v>6493.59</v>
      </c>
      <c r="G3882" s="32" t="n">
        <v>32</v>
      </c>
      <c r="H3882" s="32" t="inlineStr">
        <is>
          <t>bb</t>
        </is>
      </c>
      <c r="K3882" s="32" t="inlineStr">
        <is>
          <t>20250514-38</t>
        </is>
      </c>
    </row>
    <row r="3883">
      <c r="A3883" s="32" t="n">
        <v>28</v>
      </c>
      <c r="B3883" s="32" t="inlineStr">
        <is>
          <t>K4-5A</t>
        </is>
      </c>
      <c r="F3883" s="32" t="n">
        <v>5176.378</v>
      </c>
      <c r="K3883" s="32" t="inlineStr">
        <is>
          <t>20250514-39</t>
        </is>
      </c>
    </row>
    <row r="3884">
      <c r="A3884" s="32" t="n">
        <v>29</v>
      </c>
      <c r="B3884" s="32" t="inlineStr">
        <is>
          <t>K4-5B</t>
        </is>
      </c>
      <c r="D3884" s="32" t="n">
        <v>13.39</v>
      </c>
      <c r="E3884" s="32" t="n">
        <v>8.090999999999999</v>
      </c>
      <c r="F3884" s="32" t="n">
        <v>4979.178</v>
      </c>
      <c r="G3884" s="32" t="n">
        <v>68</v>
      </c>
      <c r="H3884" s="32" t="inlineStr">
        <is>
          <t>bb</t>
        </is>
      </c>
      <c r="K3884" s="32" t="inlineStr">
        <is>
          <t>20250514-40</t>
        </is>
      </c>
    </row>
    <row r="3885">
      <c r="A3885" s="32" t="n">
        <v>30</v>
      </c>
      <c r="B3885" s="32" t="inlineStr">
        <is>
          <t>K4-5C</t>
        </is>
      </c>
      <c r="D3885" s="32" t="n">
        <v>13.19</v>
      </c>
      <c r="E3885" s="32" t="n">
        <v>8.577999999999999</v>
      </c>
      <c r="F3885" s="32" t="n">
        <v>5149.499</v>
      </c>
      <c r="G3885" s="32" t="n">
        <v>4.069</v>
      </c>
      <c r="H3885" s="32" t="inlineStr">
        <is>
          <t>MM</t>
        </is>
      </c>
      <c r="K3885" s="32" t="inlineStr">
        <is>
          <t>20250514-41</t>
        </is>
      </c>
    </row>
    <row r="3886">
      <c r="A3886" s="32" t="n">
        <v>31</v>
      </c>
      <c r="B3886" s="32" t="inlineStr">
        <is>
          <t>MeOH</t>
        </is>
      </c>
      <c r="D3886" s="32" t="n">
        <v>13.17</v>
      </c>
      <c r="E3886" s="32" t="n">
        <v>37.986</v>
      </c>
      <c r="G3886" s="32" t="n">
        <v>10.332</v>
      </c>
      <c r="H3886" s="32" t="inlineStr">
        <is>
          <t>bb</t>
        </is>
      </c>
      <c r="K3886" s="32" t="inlineStr">
        <is>
          <t>20250514-42</t>
        </is>
      </c>
    </row>
    <row r="3887">
      <c r="A3887" s="32" t="n">
        <v>32</v>
      </c>
      <c r="B3887" s="32" t="inlineStr">
        <is>
          <t>K3-1A</t>
        </is>
      </c>
      <c r="D3887" s="32" t="n">
        <v>13.12</v>
      </c>
      <c r="E3887" s="32" t="n">
        <v>59.136</v>
      </c>
      <c r="F3887" s="32" t="n">
        <v>6155.055</v>
      </c>
      <c r="G3887" s="32" t="n">
        <v>11.9</v>
      </c>
      <c r="H3887" s="32" t="inlineStr">
        <is>
          <t>bb</t>
        </is>
      </c>
      <c r="K3887" s="32" t="inlineStr">
        <is>
          <t>20250514-43</t>
        </is>
      </c>
    </row>
    <row r="3888">
      <c r="A3888" s="32" t="n">
        <v>33</v>
      </c>
      <c r="B3888" s="32" t="inlineStr">
        <is>
          <t>K3-1B</t>
        </is>
      </c>
      <c r="D3888" s="32" t="n">
        <v>13.17</v>
      </c>
      <c r="E3888" s="32" t="n">
        <v>2.656</v>
      </c>
      <c r="F3888" s="32" t="n">
        <v>5160.451</v>
      </c>
      <c r="G3888" s="32" t="n">
        <v>24</v>
      </c>
      <c r="H3888" s="32" t="inlineStr">
        <is>
          <t>bb</t>
        </is>
      </c>
      <c r="K3888" s="32" t="inlineStr">
        <is>
          <t>20250514-44</t>
        </is>
      </c>
    </row>
    <row r="3889">
      <c r="A3889" s="32" t="n">
        <v>34</v>
      </c>
      <c r="B3889" s="32" t="inlineStr">
        <is>
          <t>K3-1C</t>
        </is>
      </c>
      <c r="D3889" s="32" t="n">
        <v>13.17</v>
      </c>
      <c r="E3889" s="32" t="n">
        <v>0.855</v>
      </c>
      <c r="F3889" s="32" t="n">
        <v>7465.032</v>
      </c>
      <c r="G3889" s="32" t="n">
        <v>8</v>
      </c>
      <c r="H3889" s="32" t="inlineStr">
        <is>
          <t>bb</t>
        </is>
      </c>
      <c r="K3889" s="32" t="inlineStr">
        <is>
          <t>20250514-45</t>
        </is>
      </c>
    </row>
    <row r="3890">
      <c r="A3890" s="32" t="n">
        <v>35</v>
      </c>
      <c r="B3890" s="32" t="inlineStr">
        <is>
          <t>K3-2A</t>
        </is>
      </c>
      <c r="D3890" s="32" t="n">
        <v>13.18</v>
      </c>
      <c r="E3890" s="32" t="n">
        <v>135.966</v>
      </c>
      <c r="F3890" s="32" t="n">
        <v>7342.454</v>
      </c>
      <c r="G3890" s="32" t="n">
        <v>6.585</v>
      </c>
      <c r="H3890" s="32" t="inlineStr">
        <is>
          <t>bb</t>
        </is>
      </c>
      <c r="K3890" s="32" t="inlineStr">
        <is>
          <t>20250514-46</t>
        </is>
      </c>
    </row>
    <row r="3891">
      <c r="A3891" s="32" t="n">
        <v>36</v>
      </c>
      <c r="B3891" s="32" t="inlineStr">
        <is>
          <t>K3-2B</t>
        </is>
      </c>
      <c r="D3891" s="32" t="n">
        <v>13.08</v>
      </c>
      <c r="E3891" s="32" t="n">
        <v>13.218</v>
      </c>
      <c r="F3891" s="32" t="n">
        <v>8155.675</v>
      </c>
      <c r="G3891" s="32" t="n">
        <v>121</v>
      </c>
      <c r="H3891" s="32" t="inlineStr">
        <is>
          <t>bb</t>
        </is>
      </c>
      <c r="K3891" s="32" t="inlineStr">
        <is>
          <t>20250514-47</t>
        </is>
      </c>
    </row>
    <row r="3892">
      <c r="A3892" s="32" t="n">
        <v>37</v>
      </c>
      <c r="B3892" s="32" t="inlineStr">
        <is>
          <t>K3-2C</t>
        </is>
      </c>
      <c r="D3892" s="32" t="n">
        <v>12.95</v>
      </c>
      <c r="E3892" s="32" t="n">
        <v>13.503</v>
      </c>
      <c r="F3892" s="32" t="n">
        <v>5978.155</v>
      </c>
      <c r="G3892" s="32" t="n">
        <v>128</v>
      </c>
      <c r="H3892" s="32" t="inlineStr">
        <is>
          <t>bb</t>
        </is>
      </c>
      <c r="K3892" s="32" t="inlineStr">
        <is>
          <t>20250514-48</t>
        </is>
      </c>
    </row>
    <row r="3893">
      <c r="A3893" s="32" t="n">
        <v>38</v>
      </c>
      <c r="B3893" s="32" t="inlineStr">
        <is>
          <t>MeOH</t>
        </is>
      </c>
      <c r="K3893" s="32" t="inlineStr">
        <is>
          <t>20250514-49</t>
        </is>
      </c>
    </row>
    <row r="3894">
      <c r="A3894" s="32" t="n">
        <v>39</v>
      </c>
      <c r="B3894" s="32" t="inlineStr">
        <is>
          <t>K3-3A</t>
        </is>
      </c>
      <c r="F3894" s="32" t="n">
        <v>5182.681</v>
      </c>
      <c r="K3894" s="32" t="inlineStr">
        <is>
          <t>20250514-50</t>
        </is>
      </c>
    </row>
    <row r="3895">
      <c r="A3895" s="32" t="n">
        <v>40</v>
      </c>
      <c r="B3895" s="32" t="inlineStr">
        <is>
          <t>K3-3B</t>
        </is>
      </c>
      <c r="D3895" s="32" t="n">
        <v>13.2</v>
      </c>
      <c r="E3895" s="32" t="n">
        <v>15.983</v>
      </c>
      <c r="F3895" s="32" t="n">
        <v>6315.599</v>
      </c>
      <c r="G3895" s="32" t="n">
        <v>91</v>
      </c>
      <c r="H3895" s="32" t="inlineStr">
        <is>
          <t>bb</t>
        </is>
      </c>
      <c r="K3895" s="32" t="inlineStr">
        <is>
          <t>20250514-51</t>
        </is>
      </c>
    </row>
    <row r="3896">
      <c r="A3896" s="32" t="n">
        <v>41</v>
      </c>
      <c r="B3896" s="32" t="inlineStr">
        <is>
          <t>K3-3C</t>
        </is>
      </c>
      <c r="D3896" s="32" t="n">
        <v>13.21</v>
      </c>
      <c r="E3896" s="32" t="n">
        <v>7.39</v>
      </c>
      <c r="F3896" s="32" t="n">
        <v>7248.654</v>
      </c>
      <c r="G3896" s="32" t="n">
        <v>64</v>
      </c>
      <c r="H3896" s="32" t="inlineStr">
        <is>
          <t>bb</t>
        </is>
      </c>
      <c r="K3896" s="32" t="inlineStr">
        <is>
          <t>20250514-52</t>
        </is>
      </c>
    </row>
    <row r="3897">
      <c r="A3897" s="32" t="n">
        <v>42</v>
      </c>
      <c r="B3897" s="32" t="inlineStr">
        <is>
          <t>K3-4A</t>
        </is>
      </c>
      <c r="D3897" s="32" t="n">
        <v>13.26</v>
      </c>
      <c r="E3897" s="32" t="n">
        <v>34.374</v>
      </c>
      <c r="F3897" s="32" t="n">
        <v>7757.742</v>
      </c>
      <c r="G3897" s="32" t="n">
        <v>276</v>
      </c>
      <c r="H3897" s="32" t="inlineStr">
        <is>
          <t>MM</t>
        </is>
      </c>
      <c r="K3897" s="32" t="inlineStr">
        <is>
          <t>20250514-53</t>
        </is>
      </c>
    </row>
    <row r="3898">
      <c r="A3898" s="32" t="n">
        <v>43</v>
      </c>
      <c r="B3898" s="32" t="inlineStr">
        <is>
          <t>K3-4B</t>
        </is>
      </c>
      <c r="D3898" s="32" t="n">
        <v>13.22</v>
      </c>
      <c r="E3898" s="32" t="n">
        <v>23.937</v>
      </c>
      <c r="F3898" s="32" t="n">
        <v>7034.812</v>
      </c>
      <c r="G3898" s="32" t="n">
        <v>193</v>
      </c>
      <c r="H3898" s="32" t="inlineStr">
        <is>
          <t>bb</t>
        </is>
      </c>
      <c r="K3898" s="32" t="inlineStr">
        <is>
          <t>20250514-54</t>
        </is>
      </c>
    </row>
    <row r="3899">
      <c r="A3899" s="32" t="n">
        <v>44</v>
      </c>
      <c r="B3899" s="32" t="inlineStr">
        <is>
          <t>K3-4C</t>
        </is>
      </c>
      <c r="D3899" s="32" t="n">
        <v>13.33</v>
      </c>
      <c r="E3899" s="32" t="n">
        <v>36.789</v>
      </c>
      <c r="F3899" s="32" t="n">
        <v>7000.271</v>
      </c>
      <c r="G3899" s="32" t="n">
        <v>309</v>
      </c>
      <c r="H3899" s="32" t="inlineStr">
        <is>
          <t>bb</t>
        </is>
      </c>
      <c r="K3899" s="32" t="inlineStr">
        <is>
          <t>20250514-55</t>
        </is>
      </c>
    </row>
    <row r="3900">
      <c r="A3900" s="32" t="n">
        <v>45</v>
      </c>
      <c r="B3900" s="32" t="inlineStr">
        <is>
          <t>MeOH</t>
        </is>
      </c>
      <c r="D3900" s="32" t="n">
        <v>13.47</v>
      </c>
      <c r="E3900" s="32" t="n">
        <v>19.543</v>
      </c>
      <c r="F3900" s="32" t="n">
        <v>7.624</v>
      </c>
      <c r="G3900" s="32" t="n">
        <v>170</v>
      </c>
      <c r="H3900" s="32" t="inlineStr">
        <is>
          <t>bb</t>
        </is>
      </c>
      <c r="K3900" s="32" t="inlineStr">
        <is>
          <t>20250514-56</t>
        </is>
      </c>
    </row>
    <row r="3901">
      <c r="A3901" s="32" t="n">
        <v>46</v>
      </c>
      <c r="B3901" s="32" t="inlineStr">
        <is>
          <t>K3-6A</t>
        </is>
      </c>
      <c r="D3901" s="32" t="n">
        <v>13.39</v>
      </c>
      <c r="E3901" s="32" t="n">
        <v>64.899</v>
      </c>
      <c r="F3901" s="32" t="n">
        <v>6690.938</v>
      </c>
      <c r="G3901" s="32" t="n">
        <v>487</v>
      </c>
      <c r="H3901" s="32" t="inlineStr">
        <is>
          <t>bb</t>
        </is>
      </c>
      <c r="K3901" s="32" t="inlineStr">
        <is>
          <t>20250514-57</t>
        </is>
      </c>
    </row>
    <row r="3902">
      <c r="A3902" s="32" t="n">
        <v>47</v>
      </c>
      <c r="B3902" s="32" t="inlineStr">
        <is>
          <t>K3-6B</t>
        </is>
      </c>
      <c r="F3902" s="32" t="n">
        <v>5311.462</v>
      </c>
      <c r="K3902" s="32" t="inlineStr">
        <is>
          <t>20250514-58</t>
        </is>
      </c>
    </row>
    <row r="3903">
      <c r="A3903" s="32" t="n">
        <v>48</v>
      </c>
      <c r="B3903" s="32" t="inlineStr">
        <is>
          <t>K3-6C</t>
        </is>
      </c>
      <c r="F3903" s="32" t="n">
        <v>5807.998</v>
      </c>
      <c r="K3903" s="32" t="inlineStr">
        <is>
          <t>20250514-59</t>
        </is>
      </c>
    </row>
    <row r="3905">
      <c r="A3905" s="32" t="inlineStr">
        <is>
          <t>Compound 76:  FOSA 2</t>
        </is>
      </c>
    </row>
    <row r="3907">
      <c r="B3907" s="32" t="inlineStr">
        <is>
          <t>Sample Text</t>
        </is>
      </c>
      <c r="C3907" s="32" t="inlineStr">
        <is>
          <t>Std. Conc</t>
        </is>
      </c>
      <c r="D3907" s="32" t="inlineStr">
        <is>
          <t>RT</t>
        </is>
      </c>
      <c r="E3907" s="32" t="inlineStr">
        <is>
          <t>Area</t>
        </is>
      </c>
      <c r="F3907" s="32" t="inlineStr">
        <is>
          <t>IS Area</t>
        </is>
      </c>
      <c r="G3907" s="32" t="inlineStr">
        <is>
          <t>S/N</t>
        </is>
      </c>
      <c r="H3907" s="32" t="inlineStr">
        <is>
          <t>Primary Flags</t>
        </is>
      </c>
      <c r="I3907" s="32" t="inlineStr">
        <is>
          <t>Response</t>
        </is>
      </c>
      <c r="J3907" s="32" t="inlineStr">
        <is>
          <t>Conc.</t>
        </is>
      </c>
      <c r="K3907" s="32" t="inlineStr">
        <is>
          <t>Name</t>
        </is>
      </c>
    </row>
    <row r="3908">
      <c r="A3908" s="32" t="n">
        <v>1</v>
      </c>
      <c r="B3908" s="32" t="inlineStr">
        <is>
          <t>EPA1633 &amp; diPAPs Calibration 0 ppb</t>
        </is>
      </c>
      <c r="F3908" s="32" t="n">
        <v>491.389</v>
      </c>
      <c r="K3908" s="32" t="inlineStr">
        <is>
          <t>20250514-12</t>
        </is>
      </c>
    </row>
    <row r="3909">
      <c r="A3909" s="32" t="n">
        <v>2</v>
      </c>
      <c r="B3909" s="32" t="inlineStr">
        <is>
          <t>EPA1633 &amp; diPAPs Calibration 0.02 ppb</t>
        </is>
      </c>
      <c r="D3909" s="32" t="n">
        <v>12.84</v>
      </c>
      <c r="E3909" s="32" t="n">
        <v>9.394</v>
      </c>
      <c r="F3909" s="32" t="n">
        <v>390.028</v>
      </c>
      <c r="G3909" s="32" t="n">
        <v>91</v>
      </c>
      <c r="H3909" s="32" t="inlineStr">
        <is>
          <t>bb</t>
        </is>
      </c>
      <c r="K3909" s="32" t="inlineStr">
        <is>
          <t>20250514-13</t>
        </is>
      </c>
    </row>
    <row r="3910">
      <c r="A3910" s="32" t="n">
        <v>3</v>
      </c>
      <c r="B3910" s="32" t="inlineStr">
        <is>
          <t>EPA1633 &amp; diPAPs Calibration 0.1 ppb</t>
        </is>
      </c>
      <c r="F3910" s="32" t="n">
        <v>359.321</v>
      </c>
      <c r="K3910" s="32" t="inlineStr">
        <is>
          <t>20250514-14</t>
        </is>
      </c>
    </row>
    <row r="3911">
      <c r="A3911" s="32" t="n">
        <v>4</v>
      </c>
      <c r="B3911" s="32" t="inlineStr">
        <is>
          <t>EPA1633 &amp; diPAPs Calibration 0.4 ppb</t>
        </is>
      </c>
      <c r="D3911" s="32" t="n">
        <v>13.15</v>
      </c>
      <c r="E3911" s="32" t="n">
        <v>5.885</v>
      </c>
      <c r="F3911" s="32" t="n">
        <v>464.166</v>
      </c>
      <c r="G3911" s="32" t="n">
        <v>44</v>
      </c>
      <c r="H3911" s="32" t="inlineStr">
        <is>
          <t>bb</t>
        </is>
      </c>
      <c r="K3911" s="32" t="inlineStr">
        <is>
          <t>20250514-15</t>
        </is>
      </c>
    </row>
    <row r="3912">
      <c r="A3912" s="32" t="n">
        <v>5</v>
      </c>
      <c r="B3912" s="32" t="inlineStr">
        <is>
          <t>EPA1633 &amp; diPAPs Calibration 1 ppb</t>
        </is>
      </c>
      <c r="D3912" s="32" t="n">
        <v>13.8</v>
      </c>
      <c r="E3912" s="32" t="n">
        <v>0.297</v>
      </c>
      <c r="F3912" s="32" t="n">
        <v>220.859</v>
      </c>
      <c r="G3912" s="32" t="n">
        <v>3</v>
      </c>
      <c r="H3912" s="32" t="inlineStr">
        <is>
          <t>bb</t>
        </is>
      </c>
      <c r="K3912" s="32" t="inlineStr">
        <is>
          <t>20250514-16</t>
        </is>
      </c>
    </row>
    <row r="3913">
      <c r="A3913" s="32" t="n">
        <v>6</v>
      </c>
      <c r="B3913" s="32" t="inlineStr">
        <is>
          <t>EPA1633 &amp; diPAPs Calibration 5 ppb</t>
        </is>
      </c>
      <c r="D3913" s="32" t="n">
        <v>13.09</v>
      </c>
      <c r="E3913" s="32" t="n">
        <v>411.606</v>
      </c>
      <c r="F3913" s="32" t="n">
        <v>555.775</v>
      </c>
      <c r="G3913" s="32" t="n">
        <v>4.81</v>
      </c>
      <c r="H3913" s="32" t="inlineStr">
        <is>
          <t>MM</t>
        </is>
      </c>
      <c r="K3913" s="32" t="inlineStr">
        <is>
          <t>20250514-17</t>
        </is>
      </c>
    </row>
    <row r="3914">
      <c r="A3914" s="32" t="n">
        <v>7</v>
      </c>
      <c r="B3914" s="32" t="inlineStr">
        <is>
          <t>EPA1633 &amp; diPAPs Calibration 10 ppb</t>
        </is>
      </c>
      <c r="D3914" s="32" t="n">
        <v>13.11</v>
      </c>
      <c r="E3914" s="32" t="n">
        <v>496.832</v>
      </c>
      <c r="F3914" s="32" t="n">
        <v>571.982</v>
      </c>
      <c r="G3914" s="32" t="n">
        <v>12.394</v>
      </c>
      <c r="H3914" s="32" t="inlineStr">
        <is>
          <t>bb</t>
        </is>
      </c>
      <c r="K3914" s="32" t="inlineStr">
        <is>
          <t>20250514-18</t>
        </is>
      </c>
    </row>
    <row r="3915">
      <c r="A3915" s="32" t="n">
        <v>8</v>
      </c>
      <c r="B3915" s="32" t="inlineStr">
        <is>
          <t>EPA1633 &amp; diPAPs Calibration 20 ppb</t>
        </is>
      </c>
      <c r="D3915" s="32" t="n">
        <v>13.14</v>
      </c>
      <c r="E3915" s="32" t="n">
        <v>1172.394</v>
      </c>
      <c r="F3915" s="32" t="n">
        <v>516.349</v>
      </c>
      <c r="G3915" s="32" t="n">
        <v>12.404</v>
      </c>
      <c r="H3915" s="32" t="inlineStr">
        <is>
          <t>bb</t>
        </is>
      </c>
      <c r="K3915" s="32" t="inlineStr">
        <is>
          <t>20250514-19</t>
        </is>
      </c>
    </row>
    <row r="3916">
      <c r="A3916" s="32" t="n">
        <v>9</v>
      </c>
      <c r="B3916" s="32" t="inlineStr">
        <is>
          <t>MeOH</t>
        </is>
      </c>
      <c r="F3916" s="32" t="n">
        <v>1.579</v>
      </c>
      <c r="K3916" s="32" t="inlineStr">
        <is>
          <t>20250514-20</t>
        </is>
      </c>
    </row>
    <row r="3917">
      <c r="A3917" s="32" t="n">
        <v>10</v>
      </c>
      <c r="B3917" s="32" t="inlineStr">
        <is>
          <t>MeOH</t>
        </is>
      </c>
      <c r="K3917" s="32" t="inlineStr">
        <is>
          <t>20250514-21</t>
        </is>
      </c>
    </row>
    <row r="3918">
      <c r="A3918" s="32" t="n">
        <v>11</v>
      </c>
      <c r="B3918" s="32" t="inlineStr">
        <is>
          <t>SB1</t>
        </is>
      </c>
      <c r="D3918" s="32" t="n">
        <v>13.18</v>
      </c>
      <c r="E3918" s="32" t="n">
        <v>8.217000000000001</v>
      </c>
      <c r="F3918" s="32" t="n">
        <v>61.863</v>
      </c>
      <c r="G3918" s="32" t="n">
        <v>69</v>
      </c>
      <c r="H3918" s="32" t="inlineStr">
        <is>
          <t>bb</t>
        </is>
      </c>
      <c r="K3918" s="32" t="inlineStr">
        <is>
          <t>20250514-22</t>
        </is>
      </c>
    </row>
    <row r="3919">
      <c r="A3919" s="32" t="n">
        <v>12</v>
      </c>
      <c r="B3919" s="32" t="inlineStr">
        <is>
          <t>SB2</t>
        </is>
      </c>
      <c r="F3919" s="32" t="n">
        <v>127.898</v>
      </c>
      <c r="K3919" s="32" t="inlineStr">
        <is>
          <t>20250514-23</t>
        </is>
      </c>
    </row>
    <row r="3920">
      <c r="A3920" s="32" t="n">
        <v>13</v>
      </c>
      <c r="B3920" s="32" t="inlineStr">
        <is>
          <t>SB3</t>
        </is>
      </c>
      <c r="F3920" s="32" t="n">
        <v>26.182</v>
      </c>
      <c r="K3920" s="32" t="inlineStr">
        <is>
          <t>20250514-24</t>
        </is>
      </c>
    </row>
    <row r="3921">
      <c r="A3921" s="32" t="n">
        <v>14</v>
      </c>
      <c r="B3921" s="32" t="inlineStr">
        <is>
          <t>SS1</t>
        </is>
      </c>
      <c r="D3921" s="32" t="n">
        <v>13.21</v>
      </c>
      <c r="E3921" s="32" t="n">
        <v>167.503</v>
      </c>
      <c r="F3921" s="32" t="n">
        <v>32.047</v>
      </c>
      <c r="G3921" s="32" t="n">
        <v>1.022</v>
      </c>
      <c r="H3921" s="32" t="inlineStr">
        <is>
          <t>bb</t>
        </is>
      </c>
      <c r="K3921" s="32" t="inlineStr">
        <is>
          <t>20250514-25</t>
        </is>
      </c>
    </row>
    <row r="3922">
      <c r="A3922" s="32" t="n">
        <v>15</v>
      </c>
      <c r="B3922" s="32" t="inlineStr">
        <is>
          <t>SS2</t>
        </is>
      </c>
      <c r="D3922" s="32" t="n">
        <v>13.21</v>
      </c>
      <c r="E3922" s="32" t="n">
        <v>248.751</v>
      </c>
      <c r="F3922" s="32" t="n">
        <v>61.008</v>
      </c>
      <c r="G3922" s="32" t="n">
        <v>2.593</v>
      </c>
      <c r="H3922" s="32" t="inlineStr">
        <is>
          <t>bb</t>
        </is>
      </c>
      <c r="K3922" s="32" t="inlineStr">
        <is>
          <t>20250514-26</t>
        </is>
      </c>
    </row>
    <row r="3923">
      <c r="A3923" s="32" t="n">
        <v>16</v>
      </c>
      <c r="B3923" s="32" t="inlineStr">
        <is>
          <t>SS3</t>
        </is>
      </c>
      <c r="D3923" s="32" t="n">
        <v>12.92</v>
      </c>
      <c r="E3923" s="32" t="n">
        <v>224.934</v>
      </c>
      <c r="F3923" s="32" t="n">
        <v>63.737</v>
      </c>
      <c r="G3923" s="32" t="n">
        <v>1.045</v>
      </c>
      <c r="H3923" s="32" t="inlineStr">
        <is>
          <t>bb</t>
        </is>
      </c>
      <c r="K3923" s="32" t="inlineStr">
        <is>
          <t>20250514-27</t>
        </is>
      </c>
    </row>
    <row r="3924">
      <c r="A3924" s="32" t="n">
        <v>17</v>
      </c>
      <c r="B3924" s="32" t="inlineStr">
        <is>
          <t>MeOH</t>
        </is>
      </c>
      <c r="K3924" s="32" t="inlineStr">
        <is>
          <t>20250514-28</t>
        </is>
      </c>
    </row>
    <row r="3925">
      <c r="A3925" s="32" t="n">
        <v>18</v>
      </c>
      <c r="B3925" s="32" t="inlineStr">
        <is>
          <t>K4-1A</t>
        </is>
      </c>
      <c r="F3925" s="32" t="n">
        <v>287.778</v>
      </c>
      <c r="K3925" s="32" t="inlineStr">
        <is>
          <t>20250514-29</t>
        </is>
      </c>
    </row>
    <row r="3926">
      <c r="A3926" s="32" t="n">
        <v>19</v>
      </c>
      <c r="B3926" s="32" t="inlineStr">
        <is>
          <t>K4-1B</t>
        </is>
      </c>
      <c r="F3926" s="32" t="n">
        <v>256.124</v>
      </c>
      <c r="K3926" s="32" t="inlineStr">
        <is>
          <t>20250514-30</t>
        </is>
      </c>
    </row>
    <row r="3927">
      <c r="A3927" s="32" t="n">
        <v>20</v>
      </c>
      <c r="B3927" s="32" t="inlineStr">
        <is>
          <t>K4-1C</t>
        </is>
      </c>
      <c r="F3927" s="32" t="n">
        <v>152.274</v>
      </c>
      <c r="K3927" s="32" t="inlineStr">
        <is>
          <t>20250514-31</t>
        </is>
      </c>
    </row>
    <row r="3928">
      <c r="A3928" s="32" t="n">
        <v>21</v>
      </c>
      <c r="B3928" s="32" t="inlineStr">
        <is>
          <t>K4-2A</t>
        </is>
      </c>
      <c r="F3928" s="32" t="n">
        <v>472.889</v>
      </c>
      <c r="K3928" s="32" t="inlineStr">
        <is>
          <t>20250514-32</t>
        </is>
      </c>
    </row>
    <row r="3929">
      <c r="A3929" s="32" t="n">
        <v>22</v>
      </c>
      <c r="B3929" s="32" t="inlineStr">
        <is>
          <t>K4-2B</t>
        </is>
      </c>
      <c r="F3929" s="32" t="n">
        <v>69.223</v>
      </c>
      <c r="K3929" s="32" t="inlineStr">
        <is>
          <t>20250514-33</t>
        </is>
      </c>
    </row>
    <row r="3930">
      <c r="A3930" s="32" t="n">
        <v>23</v>
      </c>
      <c r="B3930" s="32" t="inlineStr">
        <is>
          <t>K4-2C</t>
        </is>
      </c>
      <c r="F3930" s="32" t="n">
        <v>146.243</v>
      </c>
      <c r="K3930" s="32" t="inlineStr">
        <is>
          <t>20250514-34</t>
        </is>
      </c>
    </row>
    <row r="3931">
      <c r="A3931" s="32" t="n">
        <v>24</v>
      </c>
      <c r="B3931" s="32" t="inlineStr">
        <is>
          <t>MeOH</t>
        </is>
      </c>
      <c r="K3931" s="32" t="inlineStr">
        <is>
          <t>20250514-35</t>
        </is>
      </c>
    </row>
    <row r="3932">
      <c r="A3932" s="32" t="n">
        <v>25</v>
      </c>
      <c r="B3932" s="32" t="inlineStr">
        <is>
          <t>K4-4A</t>
        </is>
      </c>
      <c r="F3932" s="32" t="n">
        <v>76.39400000000001</v>
      </c>
      <c r="K3932" s="32" t="inlineStr">
        <is>
          <t>20250514-36</t>
        </is>
      </c>
    </row>
    <row r="3933">
      <c r="A3933" s="32" t="n">
        <v>26</v>
      </c>
      <c r="B3933" s="32" t="inlineStr">
        <is>
          <t>K4-4B</t>
        </is>
      </c>
      <c r="F3933" s="32" t="n">
        <v>159.293</v>
      </c>
      <c r="K3933" s="32" t="inlineStr">
        <is>
          <t>20250514-37</t>
        </is>
      </c>
    </row>
    <row r="3934">
      <c r="A3934" s="32" t="n">
        <v>27</v>
      </c>
      <c r="B3934" s="32" t="inlineStr">
        <is>
          <t>K4-4C</t>
        </is>
      </c>
      <c r="F3934" s="32" t="n">
        <v>53.688</v>
      </c>
      <c r="K3934" s="32" t="inlineStr">
        <is>
          <t>20250514-38</t>
        </is>
      </c>
    </row>
    <row r="3935">
      <c r="A3935" s="32" t="n">
        <v>28</v>
      </c>
      <c r="B3935" s="32" t="inlineStr">
        <is>
          <t>K4-5A</t>
        </is>
      </c>
      <c r="F3935" s="32" t="n">
        <v>88.872</v>
      </c>
      <c r="K3935" s="32" t="inlineStr">
        <is>
          <t>20250514-39</t>
        </is>
      </c>
    </row>
    <row r="3936">
      <c r="A3936" s="32" t="n">
        <v>29</v>
      </c>
      <c r="B3936" s="32" t="inlineStr">
        <is>
          <t>K4-5B</t>
        </is>
      </c>
      <c r="F3936" s="32" t="n">
        <v>208.933</v>
      </c>
      <c r="K3936" s="32" t="inlineStr">
        <is>
          <t>20250514-40</t>
        </is>
      </c>
    </row>
    <row r="3937">
      <c r="A3937" s="32" t="n">
        <v>30</v>
      </c>
      <c r="B3937" s="32" t="inlineStr">
        <is>
          <t>K4-5C</t>
        </is>
      </c>
      <c r="F3937" s="32" t="n">
        <v>82.61799999999999</v>
      </c>
      <c r="K3937" s="32" t="inlineStr">
        <is>
          <t>20250514-41</t>
        </is>
      </c>
    </row>
    <row r="3938">
      <c r="A3938" s="32" t="n">
        <v>31</v>
      </c>
      <c r="B3938" s="32" t="inlineStr">
        <is>
          <t>MeOH</t>
        </is>
      </c>
      <c r="K3938" s="32" t="inlineStr">
        <is>
          <t>20250514-42</t>
        </is>
      </c>
    </row>
    <row r="3939">
      <c r="A3939" s="32" t="n">
        <v>32</v>
      </c>
      <c r="B3939" s="32" t="inlineStr">
        <is>
          <t>K3-1A</t>
        </is>
      </c>
      <c r="F3939" s="32" t="n">
        <v>146.583</v>
      </c>
      <c r="K3939" s="32" t="inlineStr">
        <is>
          <t>20250514-43</t>
        </is>
      </c>
    </row>
    <row r="3940">
      <c r="A3940" s="32" t="n">
        <v>33</v>
      </c>
      <c r="B3940" s="32" t="inlineStr">
        <is>
          <t>K3-1B</t>
        </is>
      </c>
      <c r="F3940" s="32" t="n">
        <v>10.965</v>
      </c>
      <c r="K3940" s="32" t="inlineStr">
        <is>
          <t>20250514-44</t>
        </is>
      </c>
    </row>
    <row r="3941">
      <c r="A3941" s="32" t="n">
        <v>34</v>
      </c>
      <c r="B3941" s="32" t="inlineStr">
        <is>
          <t>K3-1C</t>
        </is>
      </c>
      <c r="F3941" s="32" t="n">
        <v>255.644</v>
      </c>
      <c r="K3941" s="32" t="inlineStr">
        <is>
          <t>20250514-45</t>
        </is>
      </c>
    </row>
    <row r="3942">
      <c r="A3942" s="32" t="n">
        <v>35</v>
      </c>
      <c r="B3942" s="32" t="inlineStr">
        <is>
          <t>K3-2A</t>
        </is>
      </c>
      <c r="D3942" s="32" t="n">
        <v>13.14</v>
      </c>
      <c r="E3942" s="32" t="n">
        <v>21.295</v>
      </c>
      <c r="F3942" s="32" t="n">
        <v>141.416</v>
      </c>
      <c r="G3942" s="32" t="n">
        <v>193</v>
      </c>
      <c r="H3942" s="32" t="inlineStr">
        <is>
          <t>bb</t>
        </is>
      </c>
      <c r="K3942" s="32" t="inlineStr">
        <is>
          <t>20250514-46</t>
        </is>
      </c>
    </row>
    <row r="3943">
      <c r="A3943" s="32" t="n">
        <v>36</v>
      </c>
      <c r="B3943" s="32" t="inlineStr">
        <is>
          <t>K3-2B</t>
        </is>
      </c>
      <c r="D3943" s="32" t="n">
        <v>13.85</v>
      </c>
      <c r="E3943" s="32" t="n">
        <v>0.894</v>
      </c>
      <c r="G3943" s="32" t="n">
        <v>8</v>
      </c>
      <c r="H3943" s="32" t="inlineStr">
        <is>
          <t>bb</t>
        </is>
      </c>
      <c r="K3943" s="32" t="inlineStr">
        <is>
          <t>20250514-47</t>
        </is>
      </c>
    </row>
    <row r="3944">
      <c r="A3944" s="32" t="n">
        <v>37</v>
      </c>
      <c r="B3944" s="32" t="inlineStr">
        <is>
          <t>K3-2C</t>
        </is>
      </c>
      <c r="D3944" s="32" t="n">
        <v>13.38</v>
      </c>
      <c r="E3944" s="32" t="n">
        <v>8.253</v>
      </c>
      <c r="F3944" s="32" t="n">
        <v>178.071</v>
      </c>
      <c r="G3944" s="32" t="n">
        <v>69</v>
      </c>
      <c r="H3944" s="32" t="inlineStr">
        <is>
          <t>bb</t>
        </is>
      </c>
      <c r="K3944" s="32" t="inlineStr">
        <is>
          <t>20250514-48</t>
        </is>
      </c>
    </row>
    <row r="3945">
      <c r="A3945" s="32" t="n">
        <v>38</v>
      </c>
      <c r="B3945" s="32" t="inlineStr">
        <is>
          <t>MeOH</t>
        </is>
      </c>
      <c r="K3945" s="32" t="inlineStr">
        <is>
          <t>20250514-49</t>
        </is>
      </c>
    </row>
    <row r="3946">
      <c r="A3946" s="32" t="n">
        <v>39</v>
      </c>
      <c r="B3946" s="32" t="inlineStr">
        <is>
          <t>K3-3A</t>
        </is>
      </c>
      <c r="F3946" s="32" t="n">
        <v>173.32</v>
      </c>
      <c r="K3946" s="32" t="inlineStr">
        <is>
          <t>20250514-50</t>
        </is>
      </c>
    </row>
    <row r="3947">
      <c r="A3947" s="32" t="n">
        <v>40</v>
      </c>
      <c r="B3947" s="32" t="inlineStr">
        <is>
          <t>K3-3B</t>
        </is>
      </c>
      <c r="F3947" s="32" t="n">
        <v>348.971</v>
      </c>
      <c r="K3947" s="32" t="inlineStr">
        <is>
          <t>20250514-51</t>
        </is>
      </c>
    </row>
    <row r="3948">
      <c r="A3948" s="32" t="n">
        <v>41</v>
      </c>
      <c r="B3948" s="32" t="inlineStr">
        <is>
          <t>K3-3C</t>
        </is>
      </c>
      <c r="F3948" s="32" t="n">
        <v>281.935</v>
      </c>
      <c r="K3948" s="32" t="inlineStr">
        <is>
          <t>20250514-52</t>
        </is>
      </c>
    </row>
    <row r="3949">
      <c r="A3949" s="32" t="n">
        <v>42</v>
      </c>
      <c r="B3949" s="32" t="inlineStr">
        <is>
          <t>K3-4A</t>
        </is>
      </c>
      <c r="D3949" s="32" t="n">
        <v>13.9</v>
      </c>
      <c r="E3949" s="32" t="n">
        <v>12.244</v>
      </c>
      <c r="F3949" s="32" t="n">
        <v>53.822</v>
      </c>
      <c r="G3949" s="32" t="n">
        <v>117</v>
      </c>
      <c r="H3949" s="32" t="inlineStr">
        <is>
          <t>bb</t>
        </is>
      </c>
      <c r="K3949" s="32" t="inlineStr">
        <is>
          <t>20250514-53</t>
        </is>
      </c>
    </row>
    <row r="3950">
      <c r="A3950" s="32" t="n">
        <v>43</v>
      </c>
      <c r="B3950" s="32" t="inlineStr">
        <is>
          <t>K3-4B</t>
        </is>
      </c>
      <c r="D3950" s="32" t="n">
        <v>13.3</v>
      </c>
      <c r="E3950" s="32" t="n">
        <v>17.046</v>
      </c>
      <c r="F3950" s="32" t="n">
        <v>316.537</v>
      </c>
      <c r="G3950" s="32" t="n">
        <v>141</v>
      </c>
      <c r="H3950" s="32" t="inlineStr">
        <is>
          <t>bb</t>
        </is>
      </c>
      <c r="K3950" s="32" t="inlineStr">
        <is>
          <t>20250514-54</t>
        </is>
      </c>
    </row>
    <row r="3951">
      <c r="A3951" s="32" t="n">
        <v>44</v>
      </c>
      <c r="B3951" s="32" t="inlineStr">
        <is>
          <t>K3-4C</t>
        </is>
      </c>
      <c r="F3951" s="32" t="n">
        <v>287.021</v>
      </c>
      <c r="K3951" s="32" t="inlineStr">
        <is>
          <t>20250514-55</t>
        </is>
      </c>
    </row>
    <row r="3952">
      <c r="A3952" s="32" t="n">
        <v>45</v>
      </c>
      <c r="B3952" s="32" t="inlineStr">
        <is>
          <t>MeOH</t>
        </is>
      </c>
      <c r="K3952" s="32" t="inlineStr">
        <is>
          <t>20250514-56</t>
        </is>
      </c>
    </row>
    <row r="3953">
      <c r="A3953" s="32" t="n">
        <v>46</v>
      </c>
      <c r="B3953" s="32" t="inlineStr">
        <is>
          <t>K3-6A</t>
        </is>
      </c>
      <c r="D3953" s="32" t="n">
        <v>12.63</v>
      </c>
      <c r="E3953" s="32" t="n">
        <v>47.885</v>
      </c>
      <c r="F3953" s="32" t="n">
        <v>251.719</v>
      </c>
      <c r="G3953" s="32" t="n">
        <v>456</v>
      </c>
      <c r="H3953" s="32" t="inlineStr">
        <is>
          <t>bb</t>
        </is>
      </c>
      <c r="K3953" s="32" t="inlineStr">
        <is>
          <t>20250514-57</t>
        </is>
      </c>
    </row>
    <row r="3954">
      <c r="A3954" s="32" t="n">
        <v>47</v>
      </c>
      <c r="B3954" s="32" t="inlineStr">
        <is>
          <t>K3-6B</t>
        </is>
      </c>
      <c r="F3954" s="32" t="n">
        <v>130.221</v>
      </c>
      <c r="K3954" s="32" t="inlineStr">
        <is>
          <t>20250514-58</t>
        </is>
      </c>
    </row>
    <row r="3955">
      <c r="A3955" s="32" t="n">
        <v>48</v>
      </c>
      <c r="B3955" s="32" t="inlineStr">
        <is>
          <t>K3-6C</t>
        </is>
      </c>
      <c r="F3955" s="32" t="n">
        <v>153.609</v>
      </c>
      <c r="K3955" s="32" t="inlineStr">
        <is>
          <t>20250514-59</t>
        </is>
      </c>
    </row>
    <row r="3957">
      <c r="A3957" s="32" t="inlineStr">
        <is>
          <t>Compound 77:  m8 FOSA 1</t>
        </is>
      </c>
    </row>
    <row r="3959">
      <c r="B3959" s="32" t="inlineStr">
        <is>
          <t>Sample Text</t>
        </is>
      </c>
      <c r="C3959" s="32" t="inlineStr">
        <is>
          <t>Std. Conc</t>
        </is>
      </c>
      <c r="D3959" s="32" t="inlineStr">
        <is>
          <t>RT</t>
        </is>
      </c>
      <c r="E3959" s="32" t="inlineStr">
        <is>
          <t>Area</t>
        </is>
      </c>
      <c r="F3959" s="32" t="inlineStr">
        <is>
          <t>IS Area</t>
        </is>
      </c>
      <c r="G3959" s="32" t="inlineStr">
        <is>
          <t>S/N</t>
        </is>
      </c>
      <c r="H3959" s="32" t="inlineStr">
        <is>
          <t>Primary Flags</t>
        </is>
      </c>
      <c r="I3959" s="32" t="inlineStr">
        <is>
          <t>Response</t>
        </is>
      </c>
      <c r="J3959" s="32" t="inlineStr">
        <is>
          <t>Conc.</t>
        </is>
      </c>
      <c r="K3959" s="32" t="inlineStr">
        <is>
          <t>Name</t>
        </is>
      </c>
    </row>
    <row r="3960">
      <c r="A3960" s="32" t="n">
        <v>1</v>
      </c>
      <c r="B3960" s="32" t="inlineStr">
        <is>
          <t>EPA1633 &amp; diPAPs Calibration 0 ppb</t>
        </is>
      </c>
      <c r="D3960" s="32" t="n">
        <v>13.13</v>
      </c>
      <c r="E3960" s="32" t="n">
        <v>13205.621</v>
      </c>
      <c r="G3960" s="32" t="n">
        <v>1766.381</v>
      </c>
      <c r="H3960" s="32" t="inlineStr">
        <is>
          <t>bb</t>
        </is>
      </c>
      <c r="I3960" s="32" t="n">
        <v>13205.621</v>
      </c>
      <c r="K3960" s="32" t="inlineStr">
        <is>
          <t>20250514-12</t>
        </is>
      </c>
    </row>
    <row r="3961">
      <c r="A3961" s="32" t="n">
        <v>2</v>
      </c>
      <c r="B3961" s="32" t="inlineStr">
        <is>
          <t>EPA1633 &amp; diPAPs Calibration 0.02 ppb</t>
        </is>
      </c>
      <c r="D3961" s="32" t="n">
        <v>13.16</v>
      </c>
      <c r="E3961" s="32" t="n">
        <v>13259.294</v>
      </c>
      <c r="G3961" s="32" t="n">
        <v>92150</v>
      </c>
      <c r="H3961" s="32" t="inlineStr">
        <is>
          <t>bb</t>
        </is>
      </c>
      <c r="I3961" s="32" t="n">
        <v>13259.294</v>
      </c>
      <c r="K3961" s="32" t="inlineStr">
        <is>
          <t>20250514-13</t>
        </is>
      </c>
    </row>
    <row r="3962">
      <c r="A3962" s="32" t="n">
        <v>3</v>
      </c>
      <c r="B3962" s="32" t="inlineStr">
        <is>
          <t>EPA1633 &amp; diPAPs Calibration 0.1 ppb</t>
        </is>
      </c>
      <c r="D3962" s="32" t="n">
        <v>13.14</v>
      </c>
      <c r="E3962" s="32" t="n">
        <v>14266.168</v>
      </c>
      <c r="G3962" s="32" t="n">
        <v>283.087</v>
      </c>
      <c r="H3962" s="32" t="inlineStr">
        <is>
          <t>bb</t>
        </is>
      </c>
      <c r="I3962" s="32" t="n">
        <v>14266.168</v>
      </c>
      <c r="K3962" s="32" t="inlineStr">
        <is>
          <t>20250514-14</t>
        </is>
      </c>
    </row>
    <row r="3963">
      <c r="A3963" s="32" t="n">
        <v>4</v>
      </c>
      <c r="B3963" s="32" t="inlineStr">
        <is>
          <t>EPA1633 &amp; diPAPs Calibration 0.4 ppb</t>
        </is>
      </c>
      <c r="D3963" s="32" t="n">
        <v>13.15</v>
      </c>
      <c r="E3963" s="32" t="n">
        <v>12275.191</v>
      </c>
      <c r="G3963" s="32" t="n">
        <v>165.497</v>
      </c>
      <c r="H3963" s="32" t="inlineStr">
        <is>
          <t>bb</t>
        </is>
      </c>
      <c r="I3963" s="32" t="n">
        <v>12275.191</v>
      </c>
      <c r="K3963" s="32" t="inlineStr">
        <is>
          <t>20250514-15</t>
        </is>
      </c>
    </row>
    <row r="3964">
      <c r="A3964" s="32" t="n">
        <v>5</v>
      </c>
      <c r="B3964" s="32" t="inlineStr">
        <is>
          <t>EPA1633 &amp; diPAPs Calibration 1 ppb</t>
        </is>
      </c>
      <c r="D3964" s="32" t="n">
        <v>13.17</v>
      </c>
      <c r="E3964" s="32" t="n">
        <v>14683.087</v>
      </c>
      <c r="G3964" s="32" t="n">
        <v>101559</v>
      </c>
      <c r="H3964" s="32" t="inlineStr">
        <is>
          <t>bb</t>
        </is>
      </c>
      <c r="I3964" s="32" t="n">
        <v>14683.087</v>
      </c>
      <c r="K3964" s="32" t="inlineStr">
        <is>
          <t>20250514-16</t>
        </is>
      </c>
    </row>
    <row r="3965">
      <c r="A3965" s="32" t="n">
        <v>6</v>
      </c>
      <c r="B3965" s="32" t="inlineStr">
        <is>
          <t>EPA1633 &amp; diPAPs Calibration 5 ppb</t>
        </is>
      </c>
      <c r="D3965" s="32" t="n">
        <v>13.1</v>
      </c>
      <c r="E3965" s="32" t="n">
        <v>12289.724</v>
      </c>
      <c r="G3965" s="32" t="n">
        <v>86755</v>
      </c>
      <c r="H3965" s="32" t="inlineStr">
        <is>
          <t>bb</t>
        </is>
      </c>
      <c r="I3965" s="32" t="n">
        <v>12289.724</v>
      </c>
      <c r="K3965" s="32" t="inlineStr">
        <is>
          <t>20250514-17</t>
        </is>
      </c>
    </row>
    <row r="3966">
      <c r="A3966" s="32" t="n">
        <v>7</v>
      </c>
      <c r="B3966" s="32" t="inlineStr">
        <is>
          <t>EPA1633 &amp; diPAPs Calibration 10 ppb</t>
        </is>
      </c>
      <c r="D3966" s="32" t="n">
        <v>13.1</v>
      </c>
      <c r="E3966" s="32" t="n">
        <v>9146.025</v>
      </c>
      <c r="G3966" s="32" t="n">
        <v>202.479</v>
      </c>
      <c r="H3966" s="32" t="inlineStr">
        <is>
          <t>bb</t>
        </is>
      </c>
      <c r="I3966" s="32" t="n">
        <v>9146.025</v>
      </c>
      <c r="K3966" s="32" t="inlineStr">
        <is>
          <t>20250514-18</t>
        </is>
      </c>
    </row>
    <row r="3967">
      <c r="A3967" s="32" t="n">
        <v>8</v>
      </c>
      <c r="B3967" s="32" t="inlineStr">
        <is>
          <t>EPA1633 &amp; diPAPs Calibration 20 ppb</t>
        </is>
      </c>
      <c r="D3967" s="32" t="n">
        <v>13.12</v>
      </c>
      <c r="E3967" s="32" t="n">
        <v>10540.908</v>
      </c>
      <c r="G3967" s="32" t="n">
        <v>165.121</v>
      </c>
      <c r="H3967" s="32" t="inlineStr">
        <is>
          <t>bb</t>
        </is>
      </c>
      <c r="I3967" s="32" t="n">
        <v>10540.908</v>
      </c>
      <c r="K3967" s="32" t="inlineStr">
        <is>
          <t>20250514-19</t>
        </is>
      </c>
    </row>
    <row r="3968">
      <c r="A3968" s="32" t="n">
        <v>9</v>
      </c>
      <c r="B3968" s="32" t="inlineStr">
        <is>
          <t>MeOH</t>
        </is>
      </c>
      <c r="K3968" s="32" t="inlineStr">
        <is>
          <t>20250514-20</t>
        </is>
      </c>
    </row>
    <row r="3969">
      <c r="A3969" s="32" t="n">
        <v>10</v>
      </c>
      <c r="B3969" s="32" t="inlineStr">
        <is>
          <t>MeOH</t>
        </is>
      </c>
      <c r="K3969" s="32" t="inlineStr">
        <is>
          <t>20250514-21</t>
        </is>
      </c>
    </row>
    <row r="3970">
      <c r="A3970" s="32" t="n">
        <v>11</v>
      </c>
      <c r="B3970" s="32" t="inlineStr">
        <is>
          <t>SB1</t>
        </is>
      </c>
      <c r="D3970" s="32" t="n">
        <v>13.17</v>
      </c>
      <c r="E3970" s="32" t="n">
        <v>4312.337</v>
      </c>
      <c r="G3970" s="32" t="n">
        <v>29112</v>
      </c>
      <c r="H3970" s="32" t="inlineStr">
        <is>
          <t>bb</t>
        </is>
      </c>
      <c r="I3970" s="32" t="n">
        <v>4312.337</v>
      </c>
      <c r="K3970" s="32" t="inlineStr">
        <is>
          <t>20250514-22</t>
        </is>
      </c>
    </row>
    <row r="3971">
      <c r="A3971" s="32" t="n">
        <v>12</v>
      </c>
      <c r="B3971" s="32" t="inlineStr">
        <is>
          <t>SB2</t>
        </is>
      </c>
      <c r="D3971" s="32" t="n">
        <v>13.18</v>
      </c>
      <c r="E3971" s="32" t="n">
        <v>3563.555</v>
      </c>
      <c r="G3971" s="32" t="n">
        <v>188.085</v>
      </c>
      <c r="H3971" s="32" t="inlineStr">
        <is>
          <t>bb</t>
        </is>
      </c>
      <c r="I3971" s="32" t="n">
        <v>3563.555</v>
      </c>
      <c r="K3971" s="32" t="inlineStr">
        <is>
          <t>20250514-23</t>
        </is>
      </c>
    </row>
    <row r="3972">
      <c r="A3972" s="32" t="n">
        <v>13</v>
      </c>
      <c r="B3972" s="32" t="inlineStr">
        <is>
          <t>SB3</t>
        </is>
      </c>
      <c r="D3972" s="32" t="n">
        <v>13.18</v>
      </c>
      <c r="E3972" s="32" t="n">
        <v>4440.152</v>
      </c>
      <c r="G3972" s="32" t="n">
        <v>1094.624</v>
      </c>
      <c r="H3972" s="32" t="inlineStr">
        <is>
          <t>bb</t>
        </is>
      </c>
      <c r="I3972" s="32" t="n">
        <v>4440.152</v>
      </c>
      <c r="K3972" s="32" t="inlineStr">
        <is>
          <t>20250514-24</t>
        </is>
      </c>
    </row>
    <row r="3973">
      <c r="A3973" s="32" t="n">
        <v>14</v>
      </c>
      <c r="B3973" s="32" t="inlineStr">
        <is>
          <t>SS1</t>
        </is>
      </c>
      <c r="D3973" s="32" t="n">
        <v>13.2</v>
      </c>
      <c r="E3973" s="32" t="n">
        <v>4327.706</v>
      </c>
      <c r="G3973" s="32" t="n">
        <v>115.983</v>
      </c>
      <c r="H3973" s="32" t="inlineStr">
        <is>
          <t>bb</t>
        </is>
      </c>
      <c r="I3973" s="32" t="n">
        <v>4327.706</v>
      </c>
      <c r="K3973" s="32" t="inlineStr">
        <is>
          <t>20250514-25</t>
        </is>
      </c>
    </row>
    <row r="3974">
      <c r="A3974" s="32" t="n">
        <v>15</v>
      </c>
      <c r="B3974" s="32" t="inlineStr">
        <is>
          <t>SS2</t>
        </is>
      </c>
      <c r="D3974" s="32" t="n">
        <v>13.22</v>
      </c>
      <c r="E3974" s="32" t="n">
        <v>4560.75</v>
      </c>
      <c r="G3974" s="32" t="n">
        <v>1297.448</v>
      </c>
      <c r="H3974" s="32" t="inlineStr">
        <is>
          <t>bb</t>
        </is>
      </c>
      <c r="I3974" s="32" t="n">
        <v>4560.75</v>
      </c>
      <c r="K3974" s="32" t="inlineStr">
        <is>
          <t>20250514-26</t>
        </is>
      </c>
    </row>
    <row r="3975">
      <c r="A3975" s="32" t="n">
        <v>16</v>
      </c>
      <c r="B3975" s="32" t="inlineStr">
        <is>
          <t>SS3</t>
        </is>
      </c>
      <c r="D3975" s="32" t="n">
        <v>13.22</v>
      </c>
      <c r="E3975" s="32" t="n">
        <v>4386.909</v>
      </c>
      <c r="G3975" s="32" t="n">
        <v>30138</v>
      </c>
      <c r="H3975" s="32" t="inlineStr">
        <is>
          <t>bb</t>
        </is>
      </c>
      <c r="I3975" s="32" t="n">
        <v>4386.909</v>
      </c>
      <c r="K3975" s="32" t="inlineStr">
        <is>
          <t>20250514-27</t>
        </is>
      </c>
    </row>
    <row r="3976">
      <c r="A3976" s="32" t="n">
        <v>17</v>
      </c>
      <c r="B3976" s="32" t="inlineStr">
        <is>
          <t>MeOH</t>
        </is>
      </c>
      <c r="K3976" s="32" t="inlineStr">
        <is>
          <t>20250514-28</t>
        </is>
      </c>
    </row>
    <row r="3977">
      <c r="A3977" s="32" t="n">
        <v>18</v>
      </c>
      <c r="B3977" s="32" t="inlineStr">
        <is>
          <t>K4-1A</t>
        </is>
      </c>
      <c r="D3977" s="32" t="n">
        <v>13.23</v>
      </c>
      <c r="E3977" s="32" t="n">
        <v>6129.653</v>
      </c>
      <c r="G3977" s="32" t="n">
        <v>41453</v>
      </c>
      <c r="H3977" s="32" t="inlineStr">
        <is>
          <t>bb</t>
        </is>
      </c>
      <c r="I3977" s="32" t="n">
        <v>6129.653</v>
      </c>
      <c r="K3977" s="32" t="inlineStr">
        <is>
          <t>20250514-29</t>
        </is>
      </c>
    </row>
    <row r="3978">
      <c r="A3978" s="32" t="n">
        <v>19</v>
      </c>
      <c r="B3978" s="32" t="inlineStr">
        <is>
          <t>K4-1B</t>
        </is>
      </c>
      <c r="D3978" s="32" t="n">
        <v>13.23</v>
      </c>
      <c r="E3978" s="32" t="n">
        <v>6202.174</v>
      </c>
      <c r="G3978" s="32" t="n">
        <v>55</v>
      </c>
      <c r="H3978" s="32" t="inlineStr">
        <is>
          <t>bb</t>
        </is>
      </c>
      <c r="I3978" s="32" t="n">
        <v>6202.174</v>
      </c>
      <c r="K3978" s="32" t="inlineStr">
        <is>
          <t>20250514-30</t>
        </is>
      </c>
    </row>
    <row r="3979">
      <c r="A3979" s="32" t="n">
        <v>20</v>
      </c>
      <c r="B3979" s="32" t="inlineStr">
        <is>
          <t>K4-1C</t>
        </is>
      </c>
      <c r="D3979" s="32" t="n">
        <v>13.23</v>
      </c>
      <c r="E3979" s="32" t="n">
        <v>5567.882</v>
      </c>
      <c r="G3979" s="32" t="n">
        <v>15313.486</v>
      </c>
      <c r="H3979" s="32" t="inlineStr">
        <is>
          <t>bb</t>
        </is>
      </c>
      <c r="I3979" s="32" t="n">
        <v>5567.882</v>
      </c>
      <c r="K3979" s="32" t="inlineStr">
        <is>
          <t>20250514-31</t>
        </is>
      </c>
    </row>
    <row r="3980">
      <c r="A3980" s="32" t="n">
        <v>21</v>
      </c>
      <c r="B3980" s="32" t="inlineStr">
        <is>
          <t>K4-2A</t>
        </is>
      </c>
      <c r="D3980" s="32" t="n">
        <v>13.25</v>
      </c>
      <c r="E3980" s="32" t="n">
        <v>5829.725</v>
      </c>
      <c r="G3980" s="32" t="n">
        <v>4286.484</v>
      </c>
      <c r="H3980" s="32" t="inlineStr">
        <is>
          <t>bb</t>
        </is>
      </c>
      <c r="I3980" s="32" t="n">
        <v>5829.725</v>
      </c>
      <c r="K3980" s="32" t="inlineStr">
        <is>
          <t>20250514-32</t>
        </is>
      </c>
    </row>
    <row r="3981">
      <c r="A3981" s="32" t="n">
        <v>22</v>
      </c>
      <c r="B3981" s="32" t="inlineStr">
        <is>
          <t>K4-2B</t>
        </is>
      </c>
      <c r="D3981" s="32" t="n">
        <v>13.23</v>
      </c>
      <c r="E3981" s="32" t="n">
        <v>5298.286</v>
      </c>
      <c r="G3981" s="32" t="n">
        <v>35120</v>
      </c>
      <c r="H3981" s="32" t="inlineStr">
        <is>
          <t>bb</t>
        </is>
      </c>
      <c r="I3981" s="32" t="n">
        <v>5298.286</v>
      </c>
      <c r="K3981" s="32" t="inlineStr">
        <is>
          <t>20250514-33</t>
        </is>
      </c>
    </row>
    <row r="3982">
      <c r="A3982" s="32" t="n">
        <v>23</v>
      </c>
      <c r="B3982" s="32" t="inlineStr">
        <is>
          <t>K4-2C</t>
        </is>
      </c>
      <c r="D3982" s="32" t="n">
        <v>13.25</v>
      </c>
      <c r="E3982" s="32" t="n">
        <v>5070.005</v>
      </c>
      <c r="G3982" s="32" t="n">
        <v>35325</v>
      </c>
      <c r="H3982" s="32" t="inlineStr">
        <is>
          <t>bb</t>
        </is>
      </c>
      <c r="I3982" s="32" t="n">
        <v>5070.005</v>
      </c>
      <c r="K3982" s="32" t="inlineStr">
        <is>
          <t>20250514-34</t>
        </is>
      </c>
    </row>
    <row r="3983">
      <c r="A3983" s="32" t="n">
        <v>24</v>
      </c>
      <c r="B3983" s="32" t="inlineStr">
        <is>
          <t>MeOH</t>
        </is>
      </c>
      <c r="K3983" s="32" t="inlineStr">
        <is>
          <t>20250514-35</t>
        </is>
      </c>
    </row>
    <row r="3984">
      <c r="A3984" s="32" t="n">
        <v>25</v>
      </c>
      <c r="B3984" s="32" t="inlineStr">
        <is>
          <t>K4-4A</t>
        </is>
      </c>
      <c r="D3984" s="32" t="n">
        <v>13.26</v>
      </c>
      <c r="E3984" s="32" t="n">
        <v>5768.776</v>
      </c>
      <c r="G3984" s="32" t="n">
        <v>802.144</v>
      </c>
      <c r="H3984" s="32" t="inlineStr">
        <is>
          <t>bb</t>
        </is>
      </c>
      <c r="I3984" s="32" t="n">
        <v>5768.776</v>
      </c>
      <c r="K3984" s="32" t="inlineStr">
        <is>
          <t>20250514-36</t>
        </is>
      </c>
    </row>
    <row r="3985">
      <c r="A3985" s="32" t="n">
        <v>26</v>
      </c>
      <c r="B3985" s="32" t="inlineStr">
        <is>
          <t>K4-4B</t>
        </is>
      </c>
      <c r="D3985" s="32" t="n">
        <v>13.26</v>
      </c>
      <c r="E3985" s="32" t="n">
        <v>5622.463</v>
      </c>
      <c r="G3985" s="32" t="n">
        <v>140.221</v>
      </c>
      <c r="H3985" s="32" t="inlineStr">
        <is>
          <t>bb</t>
        </is>
      </c>
      <c r="I3985" s="32" t="n">
        <v>5622.463</v>
      </c>
      <c r="K3985" s="32" t="inlineStr">
        <is>
          <t>20250514-37</t>
        </is>
      </c>
    </row>
    <row r="3986">
      <c r="A3986" s="32" t="n">
        <v>27</v>
      </c>
      <c r="B3986" s="32" t="inlineStr">
        <is>
          <t>K4-4C</t>
        </is>
      </c>
      <c r="D3986" s="32" t="n">
        <v>13.26</v>
      </c>
      <c r="E3986" s="32" t="n">
        <v>6493.59</v>
      </c>
      <c r="G3986" s="32" t="n">
        <v>329.404</v>
      </c>
      <c r="H3986" s="32" t="inlineStr">
        <is>
          <t>bb</t>
        </is>
      </c>
      <c r="I3986" s="32" t="n">
        <v>6493.59</v>
      </c>
      <c r="K3986" s="32" t="inlineStr">
        <is>
          <t>20250514-38</t>
        </is>
      </c>
    </row>
    <row r="3987">
      <c r="A3987" s="32" t="n">
        <v>28</v>
      </c>
      <c r="B3987" s="32" t="inlineStr">
        <is>
          <t>K4-5A</t>
        </is>
      </c>
      <c r="D3987" s="32" t="n">
        <v>13.25</v>
      </c>
      <c r="E3987" s="32" t="n">
        <v>5176.378</v>
      </c>
      <c r="G3987" s="32" t="n">
        <v>35310</v>
      </c>
      <c r="H3987" s="32" t="inlineStr">
        <is>
          <t>bb</t>
        </is>
      </c>
      <c r="I3987" s="32" t="n">
        <v>5176.378</v>
      </c>
      <c r="K3987" s="32" t="inlineStr">
        <is>
          <t>20250514-39</t>
        </is>
      </c>
    </row>
    <row r="3988">
      <c r="A3988" s="32" t="n">
        <v>29</v>
      </c>
      <c r="B3988" s="32" t="inlineStr">
        <is>
          <t>K4-5B</t>
        </is>
      </c>
      <c r="D3988" s="32" t="n">
        <v>13.22</v>
      </c>
      <c r="E3988" s="32" t="n">
        <v>4979.178</v>
      </c>
      <c r="G3988" s="32" t="n">
        <v>34106</v>
      </c>
      <c r="H3988" s="32" t="inlineStr">
        <is>
          <t>bb</t>
        </is>
      </c>
      <c r="I3988" s="32" t="n">
        <v>4979.178</v>
      </c>
      <c r="K3988" s="32" t="inlineStr">
        <is>
          <t>20250514-40</t>
        </is>
      </c>
    </row>
    <row r="3989">
      <c r="A3989" s="32" t="n">
        <v>30</v>
      </c>
      <c r="B3989" s="32" t="inlineStr">
        <is>
          <t>K4-5C</t>
        </is>
      </c>
      <c r="D3989" s="32" t="n">
        <v>13.17</v>
      </c>
      <c r="E3989" s="32" t="n">
        <v>5149.499</v>
      </c>
      <c r="G3989" s="32" t="n">
        <v>440</v>
      </c>
      <c r="H3989" s="32" t="inlineStr">
        <is>
          <t>bb</t>
        </is>
      </c>
      <c r="I3989" s="32" t="n">
        <v>5149.499</v>
      </c>
      <c r="K3989" s="32" t="inlineStr">
        <is>
          <t>20250514-41</t>
        </is>
      </c>
    </row>
    <row r="3990">
      <c r="A3990" s="32" t="n">
        <v>31</v>
      </c>
      <c r="B3990" s="32" t="inlineStr">
        <is>
          <t>MeOH</t>
        </is>
      </c>
      <c r="K3990" s="32" t="inlineStr">
        <is>
          <t>20250514-42</t>
        </is>
      </c>
    </row>
    <row r="3991">
      <c r="A3991" s="32" t="n">
        <v>32</v>
      </c>
      <c r="B3991" s="32" t="inlineStr">
        <is>
          <t>K3-1A</t>
        </is>
      </c>
      <c r="D3991" s="32" t="n">
        <v>13.1</v>
      </c>
      <c r="E3991" s="32" t="n">
        <v>6155.055</v>
      </c>
      <c r="G3991" s="32" t="n">
        <v>14774.414</v>
      </c>
      <c r="H3991" s="32" t="inlineStr">
        <is>
          <t>bb</t>
        </is>
      </c>
      <c r="I3991" s="32" t="n">
        <v>6155.055</v>
      </c>
      <c r="K3991" s="32" t="inlineStr">
        <is>
          <t>20250514-43</t>
        </is>
      </c>
    </row>
    <row r="3992">
      <c r="A3992" s="32" t="n">
        <v>33</v>
      </c>
      <c r="B3992" s="32" t="inlineStr">
        <is>
          <t>K3-1B</t>
        </is>
      </c>
      <c r="D3992" s="32" t="n">
        <v>13.11</v>
      </c>
      <c r="E3992" s="32" t="n">
        <v>5160.451</v>
      </c>
      <c r="G3992" s="32" t="n">
        <v>605.0650000000001</v>
      </c>
      <c r="H3992" s="32" t="inlineStr">
        <is>
          <t>bb</t>
        </is>
      </c>
      <c r="I3992" s="32" t="n">
        <v>5160.451</v>
      </c>
      <c r="K3992" s="32" t="inlineStr">
        <is>
          <t>20250514-44</t>
        </is>
      </c>
    </row>
    <row r="3993">
      <c r="A3993" s="32" t="n">
        <v>34</v>
      </c>
      <c r="B3993" s="32" t="inlineStr">
        <is>
          <t>K3-1C</t>
        </is>
      </c>
      <c r="D3993" s="32" t="n">
        <v>13.17</v>
      </c>
      <c r="E3993" s="32" t="n">
        <v>7465.032</v>
      </c>
      <c r="G3993" s="32" t="n">
        <v>3799.503</v>
      </c>
      <c r="H3993" s="32" t="inlineStr">
        <is>
          <t>bb</t>
        </is>
      </c>
      <c r="I3993" s="32" t="n">
        <v>7465.032</v>
      </c>
      <c r="K3993" s="32" t="inlineStr">
        <is>
          <t>20250514-45</t>
        </is>
      </c>
    </row>
    <row r="3994">
      <c r="A3994" s="32" t="n">
        <v>35</v>
      </c>
      <c r="B3994" s="32" t="inlineStr">
        <is>
          <t>K3-2A</t>
        </is>
      </c>
      <c r="D3994" s="32" t="n">
        <v>13.18</v>
      </c>
      <c r="E3994" s="32" t="n">
        <v>7342.454</v>
      </c>
      <c r="G3994" s="32" t="n">
        <v>2120.419</v>
      </c>
      <c r="H3994" s="32" t="inlineStr">
        <is>
          <t>bb</t>
        </is>
      </c>
      <c r="I3994" s="32" t="n">
        <v>7342.454</v>
      </c>
      <c r="K3994" s="32" t="inlineStr">
        <is>
          <t>20250514-46</t>
        </is>
      </c>
    </row>
    <row r="3995">
      <c r="A3995" s="32" t="n">
        <v>36</v>
      </c>
      <c r="B3995" s="32" t="inlineStr">
        <is>
          <t>K3-2B</t>
        </is>
      </c>
      <c r="D3995" s="32" t="n">
        <v>13.19</v>
      </c>
      <c r="E3995" s="32" t="n">
        <v>8155.675</v>
      </c>
      <c r="G3995" s="32" t="n">
        <v>2442.867</v>
      </c>
      <c r="H3995" s="32" t="inlineStr">
        <is>
          <t>bb</t>
        </is>
      </c>
      <c r="I3995" s="32" t="n">
        <v>8155.675</v>
      </c>
      <c r="K3995" s="32" t="inlineStr">
        <is>
          <t>20250514-47</t>
        </is>
      </c>
    </row>
    <row r="3996">
      <c r="A3996" s="32" t="n">
        <v>37</v>
      </c>
      <c r="B3996" s="32" t="inlineStr">
        <is>
          <t>K3-2C</t>
        </is>
      </c>
      <c r="D3996" s="32" t="n">
        <v>13.18</v>
      </c>
      <c r="E3996" s="32" t="n">
        <v>5978.155</v>
      </c>
      <c r="G3996" s="32" t="n">
        <v>1391.069</v>
      </c>
      <c r="H3996" s="32" t="inlineStr">
        <is>
          <t>bb</t>
        </is>
      </c>
      <c r="I3996" s="32" t="n">
        <v>5978.155</v>
      </c>
      <c r="K3996" s="32" t="inlineStr">
        <is>
          <t>20250514-48</t>
        </is>
      </c>
    </row>
    <row r="3997">
      <c r="A3997" s="32" t="n">
        <v>38</v>
      </c>
      <c r="B3997" s="32" t="inlineStr">
        <is>
          <t>MeOH</t>
        </is>
      </c>
      <c r="K3997" s="32" t="inlineStr">
        <is>
          <t>20250514-49</t>
        </is>
      </c>
    </row>
    <row r="3998">
      <c r="A3998" s="32" t="n">
        <v>39</v>
      </c>
      <c r="B3998" s="32" t="inlineStr">
        <is>
          <t>K3-3A</t>
        </is>
      </c>
      <c r="D3998" s="32" t="n">
        <v>13.22</v>
      </c>
      <c r="E3998" s="32" t="n">
        <v>5182.681</v>
      </c>
      <c r="G3998" s="32" t="n">
        <v>113.252</v>
      </c>
      <c r="H3998" s="32" t="inlineStr">
        <is>
          <t>bb</t>
        </is>
      </c>
      <c r="I3998" s="32" t="n">
        <v>5182.681</v>
      </c>
      <c r="K3998" s="32" t="inlineStr">
        <is>
          <t>20250514-50</t>
        </is>
      </c>
    </row>
    <row r="3999">
      <c r="A3999" s="32" t="n">
        <v>40</v>
      </c>
      <c r="B3999" s="32" t="inlineStr">
        <is>
          <t>K3-3B</t>
        </is>
      </c>
      <c r="D3999" s="32" t="n">
        <v>13.23</v>
      </c>
      <c r="E3999" s="32" t="n">
        <v>6315.599</v>
      </c>
      <c r="G3999" s="32" t="n">
        <v>43746</v>
      </c>
      <c r="H3999" s="32" t="inlineStr">
        <is>
          <t>bb</t>
        </is>
      </c>
      <c r="I3999" s="32" t="n">
        <v>6315.599</v>
      </c>
      <c r="K3999" s="32" t="inlineStr">
        <is>
          <t>20250514-51</t>
        </is>
      </c>
    </row>
    <row r="4000">
      <c r="A4000" s="32" t="n">
        <v>41</v>
      </c>
      <c r="B4000" s="32" t="inlineStr">
        <is>
          <t>K3-3C</t>
        </is>
      </c>
      <c r="D4000" s="32" t="n">
        <v>13.23</v>
      </c>
      <c r="E4000" s="32" t="n">
        <v>7248.654</v>
      </c>
      <c r="G4000" s="32" t="n">
        <v>13002.812</v>
      </c>
      <c r="H4000" s="32" t="inlineStr">
        <is>
          <t>bb</t>
        </is>
      </c>
      <c r="I4000" s="32" t="n">
        <v>7248.654</v>
      </c>
      <c r="K4000" s="32" t="inlineStr">
        <is>
          <t>20250514-52</t>
        </is>
      </c>
    </row>
    <row r="4001">
      <c r="A4001" s="32" t="n">
        <v>42</v>
      </c>
      <c r="B4001" s="32" t="inlineStr">
        <is>
          <t>K3-4A</t>
        </is>
      </c>
      <c r="D4001" s="32" t="n">
        <v>13.28</v>
      </c>
      <c r="E4001" s="32" t="n">
        <v>7757.742</v>
      </c>
      <c r="G4001" s="32" t="n">
        <v>258.389</v>
      </c>
      <c r="H4001" s="32" t="inlineStr">
        <is>
          <t>bb</t>
        </is>
      </c>
      <c r="I4001" s="32" t="n">
        <v>7757.742</v>
      </c>
      <c r="K4001" s="32" t="inlineStr">
        <is>
          <t>20250514-53</t>
        </is>
      </c>
    </row>
    <row r="4002">
      <c r="A4002" s="32" t="n">
        <v>43</v>
      </c>
      <c r="B4002" s="32" t="inlineStr">
        <is>
          <t>K3-4B</t>
        </is>
      </c>
      <c r="D4002" s="32" t="n">
        <v>13.25</v>
      </c>
      <c r="E4002" s="32" t="n">
        <v>7034.812</v>
      </c>
      <c r="G4002" s="32" t="n">
        <v>47987</v>
      </c>
      <c r="H4002" s="32" t="inlineStr">
        <is>
          <t>bb</t>
        </is>
      </c>
      <c r="I4002" s="32" t="n">
        <v>7034.812</v>
      </c>
      <c r="K4002" s="32" t="inlineStr">
        <is>
          <t>20250514-54</t>
        </is>
      </c>
    </row>
    <row r="4003">
      <c r="A4003" s="32" t="n">
        <v>44</v>
      </c>
      <c r="B4003" s="32" t="inlineStr">
        <is>
          <t>K3-4C</t>
        </is>
      </c>
      <c r="D4003" s="32" t="n">
        <v>13.3</v>
      </c>
      <c r="E4003" s="32" t="n">
        <v>7000.271</v>
      </c>
      <c r="G4003" s="32" t="n">
        <v>535.566</v>
      </c>
      <c r="H4003" s="32" t="inlineStr">
        <is>
          <t>bb</t>
        </is>
      </c>
      <c r="I4003" s="32" t="n">
        <v>7000.271</v>
      </c>
      <c r="K4003" s="32" t="inlineStr">
        <is>
          <t>20250514-55</t>
        </is>
      </c>
    </row>
    <row r="4004">
      <c r="A4004" s="32" t="n">
        <v>45</v>
      </c>
      <c r="B4004" s="32" t="inlineStr">
        <is>
          <t>MeOH</t>
        </is>
      </c>
      <c r="D4004" s="32" t="n">
        <v>13.33</v>
      </c>
      <c r="E4004" s="32" t="n">
        <v>7.624</v>
      </c>
      <c r="G4004" s="32" t="n">
        <v>64</v>
      </c>
      <c r="H4004" s="32" t="inlineStr">
        <is>
          <t>bb</t>
        </is>
      </c>
      <c r="I4004" s="32" t="n">
        <v>7.624</v>
      </c>
      <c r="K4004" s="32" t="inlineStr">
        <is>
          <t>20250514-56</t>
        </is>
      </c>
    </row>
    <row r="4005">
      <c r="A4005" s="32" t="n">
        <v>46</v>
      </c>
      <c r="B4005" s="32" t="inlineStr">
        <is>
          <t>K3-6A</t>
        </is>
      </c>
      <c r="D4005" s="32" t="n">
        <v>13.3</v>
      </c>
      <c r="E4005" s="32" t="n">
        <v>6690.938</v>
      </c>
      <c r="G4005" s="32" t="n">
        <v>796.271</v>
      </c>
      <c r="H4005" s="32" t="inlineStr">
        <is>
          <t>bb</t>
        </is>
      </c>
      <c r="I4005" s="32" t="n">
        <v>6690.938</v>
      </c>
      <c r="K4005" s="32" t="inlineStr">
        <is>
          <t>20250514-57</t>
        </is>
      </c>
    </row>
    <row r="4006">
      <c r="A4006" s="32" t="n">
        <v>47</v>
      </c>
      <c r="B4006" s="32" t="inlineStr">
        <is>
          <t>K3-6B</t>
        </is>
      </c>
      <c r="D4006" s="32" t="n">
        <v>13.3</v>
      </c>
      <c r="E4006" s="32" t="n">
        <v>5311.462</v>
      </c>
      <c r="G4006" s="32" t="n">
        <v>145.679</v>
      </c>
      <c r="H4006" s="32" t="inlineStr">
        <is>
          <t>bb</t>
        </is>
      </c>
      <c r="I4006" s="32" t="n">
        <v>5311.462</v>
      </c>
      <c r="K4006" s="32" t="inlineStr">
        <is>
          <t>20250514-58</t>
        </is>
      </c>
    </row>
    <row r="4007">
      <c r="A4007" s="32" t="n">
        <v>48</v>
      </c>
      <c r="B4007" s="32" t="inlineStr">
        <is>
          <t>K3-6C</t>
        </is>
      </c>
      <c r="D4007" s="32" t="n">
        <v>13.28</v>
      </c>
      <c r="E4007" s="32" t="n">
        <v>5807.998</v>
      </c>
      <c r="G4007" s="32" t="n">
        <v>582.174</v>
      </c>
      <c r="H4007" s="32" t="inlineStr">
        <is>
          <t>bb</t>
        </is>
      </c>
      <c r="I4007" s="32" t="n">
        <v>5807.998</v>
      </c>
      <c r="K4007" s="32" t="inlineStr">
        <is>
          <t>20250514-59</t>
        </is>
      </c>
    </row>
    <row r="4009">
      <c r="A4009" s="32" t="inlineStr">
        <is>
          <t>Compound 78:  m8 FOSA 2</t>
        </is>
      </c>
    </row>
    <row r="4011">
      <c r="B4011" s="32" t="inlineStr">
        <is>
          <t>Sample Text</t>
        </is>
      </c>
      <c r="C4011" s="32" t="inlineStr">
        <is>
          <t>Std. Conc</t>
        </is>
      </c>
      <c r="D4011" s="32" t="inlineStr">
        <is>
          <t>RT</t>
        </is>
      </c>
      <c r="E4011" s="32" t="inlineStr">
        <is>
          <t>Area</t>
        </is>
      </c>
      <c r="F4011" s="32" t="inlineStr">
        <is>
          <t>IS Area</t>
        </is>
      </c>
      <c r="G4011" s="32" t="inlineStr">
        <is>
          <t>S/N</t>
        </is>
      </c>
      <c r="H4011" s="32" t="inlineStr">
        <is>
          <t>Primary Flags</t>
        </is>
      </c>
      <c r="I4011" s="32" t="inlineStr">
        <is>
          <t>Response</t>
        </is>
      </c>
      <c r="J4011" s="32" t="inlineStr">
        <is>
          <t>Conc.</t>
        </is>
      </c>
      <c r="K4011" s="32" t="inlineStr">
        <is>
          <t>Name</t>
        </is>
      </c>
    </row>
    <row r="4012">
      <c r="A4012" s="32" t="n">
        <v>1</v>
      </c>
      <c r="B4012" s="32" t="inlineStr">
        <is>
          <t>EPA1633 &amp; diPAPs Calibration 0 ppb</t>
        </is>
      </c>
      <c r="D4012" s="32" t="n">
        <v>13.14</v>
      </c>
      <c r="E4012" s="32" t="n">
        <v>491.389</v>
      </c>
      <c r="G4012" s="32" t="n">
        <v>3550</v>
      </c>
      <c r="H4012" s="32" t="inlineStr">
        <is>
          <t>bb</t>
        </is>
      </c>
      <c r="I4012" s="32" t="n">
        <v>491.389</v>
      </c>
      <c r="K4012" s="32" t="inlineStr">
        <is>
          <t>20250514-12</t>
        </is>
      </c>
    </row>
    <row r="4013">
      <c r="A4013" s="32" t="n">
        <v>2</v>
      </c>
      <c r="B4013" s="32" t="inlineStr">
        <is>
          <t>EPA1633 &amp; diPAPs Calibration 0.02 ppb</t>
        </is>
      </c>
      <c r="D4013" s="32" t="n">
        <v>13.14</v>
      </c>
      <c r="E4013" s="32" t="n">
        <v>390.028</v>
      </c>
      <c r="G4013" s="32" t="n">
        <v>3116</v>
      </c>
      <c r="H4013" s="32" t="inlineStr">
        <is>
          <t>bb</t>
        </is>
      </c>
      <c r="I4013" s="32" t="n">
        <v>390.028</v>
      </c>
      <c r="K4013" s="32" t="inlineStr">
        <is>
          <t>20250514-13</t>
        </is>
      </c>
    </row>
    <row r="4014">
      <c r="A4014" s="32" t="n">
        <v>3</v>
      </c>
      <c r="B4014" s="32" t="inlineStr">
        <is>
          <t>EPA1633 &amp; diPAPs Calibration 0.1 ppb</t>
        </is>
      </c>
      <c r="D4014" s="32" t="n">
        <v>13.14</v>
      </c>
      <c r="E4014" s="32" t="n">
        <v>359.321</v>
      </c>
      <c r="G4014" s="32" t="n">
        <v>2601</v>
      </c>
      <c r="H4014" s="32" t="inlineStr">
        <is>
          <t>bb</t>
        </is>
      </c>
      <c r="I4014" s="32" t="n">
        <v>359.321</v>
      </c>
      <c r="K4014" s="32" t="inlineStr">
        <is>
          <t>20250514-14</t>
        </is>
      </c>
    </row>
    <row r="4015">
      <c r="A4015" s="32" t="n">
        <v>4</v>
      </c>
      <c r="B4015" s="32" t="inlineStr">
        <is>
          <t>EPA1633 &amp; diPAPs Calibration 0.4 ppb</t>
        </is>
      </c>
      <c r="D4015" s="32" t="n">
        <v>13.17</v>
      </c>
      <c r="E4015" s="32" t="n">
        <v>464.166</v>
      </c>
      <c r="G4015" s="32" t="n">
        <v>3315</v>
      </c>
      <c r="H4015" s="32" t="inlineStr">
        <is>
          <t>bb</t>
        </is>
      </c>
      <c r="I4015" s="32" t="n">
        <v>464.166</v>
      </c>
      <c r="K4015" s="32" t="inlineStr">
        <is>
          <t>20250514-15</t>
        </is>
      </c>
    </row>
    <row r="4016">
      <c r="A4016" s="32" t="n">
        <v>5</v>
      </c>
      <c r="B4016" s="32" t="inlineStr">
        <is>
          <t>EPA1633 &amp; diPAPs Calibration 1 ppb</t>
        </is>
      </c>
      <c r="D4016" s="32" t="n">
        <v>13.15</v>
      </c>
      <c r="E4016" s="32" t="n">
        <v>220.859</v>
      </c>
      <c r="G4016" s="32" t="n">
        <v>1651</v>
      </c>
      <c r="H4016" s="32" t="inlineStr">
        <is>
          <t>bb</t>
        </is>
      </c>
      <c r="I4016" s="32" t="n">
        <v>220.859</v>
      </c>
      <c r="K4016" s="32" t="inlineStr">
        <is>
          <t>20250514-16</t>
        </is>
      </c>
    </row>
    <row r="4017">
      <c r="A4017" s="32" t="n">
        <v>6</v>
      </c>
      <c r="B4017" s="32" t="inlineStr">
        <is>
          <t>EPA1633 &amp; diPAPs Calibration 5 ppb</t>
        </is>
      </c>
      <c r="D4017" s="32" t="n">
        <v>13.11</v>
      </c>
      <c r="E4017" s="32" t="n">
        <v>555.775</v>
      </c>
      <c r="G4017" s="32" t="n">
        <v>3.374</v>
      </c>
      <c r="H4017" s="32" t="inlineStr">
        <is>
          <t>bb</t>
        </is>
      </c>
      <c r="I4017" s="32" t="n">
        <v>555.775</v>
      </c>
      <c r="K4017" s="32" t="inlineStr">
        <is>
          <t>20250514-17</t>
        </is>
      </c>
    </row>
    <row r="4018">
      <c r="A4018" s="32" t="n">
        <v>7</v>
      </c>
      <c r="B4018" s="32" t="inlineStr">
        <is>
          <t>EPA1633 &amp; diPAPs Calibration 10 ppb</t>
        </is>
      </c>
      <c r="D4018" s="32" t="n">
        <v>13.11</v>
      </c>
      <c r="E4018" s="32" t="n">
        <v>571.982</v>
      </c>
      <c r="G4018" s="32" t="n">
        <v>31.47</v>
      </c>
      <c r="H4018" s="32" t="inlineStr">
        <is>
          <t>bb</t>
        </is>
      </c>
      <c r="I4018" s="32" t="n">
        <v>571.982</v>
      </c>
      <c r="K4018" s="32" t="inlineStr">
        <is>
          <t>20250514-18</t>
        </is>
      </c>
    </row>
    <row r="4019">
      <c r="A4019" s="32" t="n">
        <v>8</v>
      </c>
      <c r="B4019" s="32" t="inlineStr">
        <is>
          <t>EPA1633 &amp; diPAPs Calibration 20 ppb</t>
        </is>
      </c>
      <c r="D4019" s="32" t="n">
        <v>13.12</v>
      </c>
      <c r="E4019" s="32" t="n">
        <v>516.349</v>
      </c>
      <c r="G4019" s="32" t="n">
        <v>70.471</v>
      </c>
      <c r="H4019" s="32" t="inlineStr">
        <is>
          <t>bb</t>
        </is>
      </c>
      <c r="I4019" s="32" t="n">
        <v>516.349</v>
      </c>
      <c r="K4019" s="32" t="inlineStr">
        <is>
          <t>20250514-19</t>
        </is>
      </c>
    </row>
    <row r="4020">
      <c r="A4020" s="32" t="n">
        <v>9</v>
      </c>
      <c r="B4020" s="32" t="inlineStr">
        <is>
          <t>MeOH</t>
        </is>
      </c>
      <c r="D4020" s="32" t="n">
        <v>13.43</v>
      </c>
      <c r="E4020" s="32" t="n">
        <v>1.579</v>
      </c>
      <c r="G4020" s="32" t="n">
        <v>13</v>
      </c>
      <c r="H4020" s="32" t="inlineStr">
        <is>
          <t>bb</t>
        </is>
      </c>
      <c r="I4020" s="32" t="n">
        <v>1.579</v>
      </c>
      <c r="K4020" s="32" t="inlineStr">
        <is>
          <t>20250514-20</t>
        </is>
      </c>
    </row>
    <row r="4021">
      <c r="A4021" s="32" t="n">
        <v>10</v>
      </c>
      <c r="B4021" s="32" t="inlineStr">
        <is>
          <t>MeOH</t>
        </is>
      </c>
      <c r="K4021" s="32" t="inlineStr">
        <is>
          <t>20250514-21</t>
        </is>
      </c>
    </row>
    <row r="4022">
      <c r="A4022" s="32" t="n">
        <v>11</v>
      </c>
      <c r="B4022" s="32" t="inlineStr">
        <is>
          <t>SB1</t>
        </is>
      </c>
      <c r="D4022" s="32" t="n">
        <v>13.2</v>
      </c>
      <c r="E4022" s="32" t="n">
        <v>61.863</v>
      </c>
      <c r="G4022" s="32" t="n">
        <v>3.683</v>
      </c>
      <c r="H4022" s="32" t="inlineStr">
        <is>
          <t>bb</t>
        </is>
      </c>
      <c r="I4022" s="32" t="n">
        <v>61.863</v>
      </c>
      <c r="K4022" s="32" t="inlineStr">
        <is>
          <t>20250514-22</t>
        </is>
      </c>
    </row>
    <row r="4023">
      <c r="A4023" s="32" t="n">
        <v>12</v>
      </c>
      <c r="B4023" s="32" t="inlineStr">
        <is>
          <t>SB2</t>
        </is>
      </c>
      <c r="D4023" s="32" t="n">
        <v>13.2</v>
      </c>
      <c r="E4023" s="32" t="n">
        <v>127.898</v>
      </c>
      <c r="G4023" s="32" t="n">
        <v>889</v>
      </c>
      <c r="H4023" s="32" t="inlineStr">
        <is>
          <t>bb</t>
        </is>
      </c>
      <c r="I4023" s="32" t="n">
        <v>127.898</v>
      </c>
      <c r="K4023" s="32" t="inlineStr">
        <is>
          <t>20250514-23</t>
        </is>
      </c>
    </row>
    <row r="4024">
      <c r="A4024" s="32" t="n">
        <v>13</v>
      </c>
      <c r="B4024" s="32" t="inlineStr">
        <is>
          <t>SB3</t>
        </is>
      </c>
      <c r="D4024" s="32" t="n">
        <v>13.15</v>
      </c>
      <c r="E4024" s="32" t="n">
        <v>26.182</v>
      </c>
      <c r="G4024" s="32" t="n">
        <v>215</v>
      </c>
      <c r="H4024" s="32" t="inlineStr">
        <is>
          <t>bb</t>
        </is>
      </c>
      <c r="I4024" s="32" t="n">
        <v>26.182</v>
      </c>
      <c r="K4024" s="32" t="inlineStr">
        <is>
          <t>20250514-24</t>
        </is>
      </c>
    </row>
    <row r="4025">
      <c r="A4025" s="32" t="n">
        <v>14</v>
      </c>
      <c r="B4025" s="32" t="inlineStr">
        <is>
          <t>SS1</t>
        </is>
      </c>
      <c r="D4025" s="32" t="n">
        <v>13.18</v>
      </c>
      <c r="E4025" s="32" t="n">
        <v>32.047</v>
      </c>
      <c r="G4025" s="32" t="n">
        <v>281</v>
      </c>
      <c r="H4025" s="32" t="inlineStr">
        <is>
          <t>bb</t>
        </is>
      </c>
      <c r="I4025" s="32" t="n">
        <v>32.047</v>
      </c>
      <c r="K4025" s="32" t="inlineStr">
        <is>
          <t>20250514-25</t>
        </is>
      </c>
    </row>
    <row r="4026">
      <c r="A4026" s="32" t="n">
        <v>15</v>
      </c>
      <c r="B4026" s="32" t="inlineStr">
        <is>
          <t>SS2</t>
        </is>
      </c>
      <c r="D4026" s="32" t="n">
        <v>13.23</v>
      </c>
      <c r="E4026" s="32" t="n">
        <v>61.008</v>
      </c>
      <c r="G4026" s="32" t="n">
        <v>447</v>
      </c>
      <c r="H4026" s="32" t="inlineStr">
        <is>
          <t>bb</t>
        </is>
      </c>
      <c r="I4026" s="32" t="n">
        <v>61.008</v>
      </c>
      <c r="K4026" s="32" t="inlineStr">
        <is>
          <t>20250514-26</t>
        </is>
      </c>
    </row>
    <row r="4027">
      <c r="A4027" s="32" t="n">
        <v>16</v>
      </c>
      <c r="B4027" s="32" t="inlineStr">
        <is>
          <t>SS3</t>
        </is>
      </c>
      <c r="D4027" s="32" t="n">
        <v>13.2</v>
      </c>
      <c r="E4027" s="32" t="n">
        <v>63.737</v>
      </c>
      <c r="G4027" s="32" t="n">
        <v>7.995</v>
      </c>
      <c r="H4027" s="32" t="inlineStr">
        <is>
          <t>bb</t>
        </is>
      </c>
      <c r="I4027" s="32" t="n">
        <v>63.737</v>
      </c>
      <c r="K4027" s="32" t="inlineStr">
        <is>
          <t>20250514-27</t>
        </is>
      </c>
    </row>
    <row r="4028">
      <c r="A4028" s="32" t="n">
        <v>17</v>
      </c>
      <c r="B4028" s="32" t="inlineStr">
        <is>
          <t>MeOH</t>
        </is>
      </c>
      <c r="K4028" s="32" t="inlineStr">
        <is>
          <t>20250514-28</t>
        </is>
      </c>
    </row>
    <row r="4029">
      <c r="A4029" s="32" t="n">
        <v>18</v>
      </c>
      <c r="B4029" s="32" t="inlineStr">
        <is>
          <t>K4-1A</t>
        </is>
      </c>
      <c r="D4029" s="32" t="n">
        <v>13.23</v>
      </c>
      <c r="E4029" s="32" t="n">
        <v>287.778</v>
      </c>
      <c r="G4029" s="32" t="n">
        <v>4.873</v>
      </c>
      <c r="H4029" s="32" t="inlineStr">
        <is>
          <t>bb</t>
        </is>
      </c>
      <c r="I4029" s="32" t="n">
        <v>287.778</v>
      </c>
      <c r="K4029" s="32" t="inlineStr">
        <is>
          <t>20250514-29</t>
        </is>
      </c>
    </row>
    <row r="4030">
      <c r="A4030" s="32" t="n">
        <v>19</v>
      </c>
      <c r="B4030" s="32" t="inlineStr">
        <is>
          <t>K4-1B</t>
        </is>
      </c>
      <c r="D4030" s="32" t="n">
        <v>13.25</v>
      </c>
      <c r="E4030" s="32" t="n">
        <v>256.124</v>
      </c>
      <c r="G4030" s="32" t="n">
        <v>1710</v>
      </c>
      <c r="H4030" s="32" t="inlineStr">
        <is>
          <t>bb</t>
        </is>
      </c>
      <c r="I4030" s="32" t="n">
        <v>256.124</v>
      </c>
      <c r="K4030" s="32" t="inlineStr">
        <is>
          <t>20250514-30</t>
        </is>
      </c>
    </row>
    <row r="4031">
      <c r="A4031" s="32" t="n">
        <v>20</v>
      </c>
      <c r="B4031" s="32" t="inlineStr">
        <is>
          <t>K4-1C</t>
        </is>
      </c>
      <c r="D4031" s="32" t="n">
        <v>13.23</v>
      </c>
      <c r="E4031" s="32" t="n">
        <v>152.274</v>
      </c>
      <c r="G4031" s="32" t="n">
        <v>1183</v>
      </c>
      <c r="H4031" s="32" t="inlineStr">
        <is>
          <t>bb</t>
        </is>
      </c>
      <c r="I4031" s="32" t="n">
        <v>152.274</v>
      </c>
      <c r="K4031" s="32" t="inlineStr">
        <is>
          <t>20250514-31</t>
        </is>
      </c>
    </row>
    <row r="4032">
      <c r="A4032" s="32" t="n">
        <v>21</v>
      </c>
      <c r="B4032" s="32" t="inlineStr">
        <is>
          <t>K4-2A</t>
        </is>
      </c>
      <c r="D4032" s="32" t="n">
        <v>13.25</v>
      </c>
      <c r="E4032" s="32" t="n">
        <v>472.889</v>
      </c>
      <c r="G4032" s="32" t="n">
        <v>3365</v>
      </c>
      <c r="H4032" s="32" t="inlineStr">
        <is>
          <t>bb</t>
        </is>
      </c>
      <c r="I4032" s="32" t="n">
        <v>472.889</v>
      </c>
      <c r="K4032" s="32" t="inlineStr">
        <is>
          <t>20250514-32</t>
        </is>
      </c>
    </row>
    <row r="4033">
      <c r="A4033" s="32" t="n">
        <v>22</v>
      </c>
      <c r="B4033" s="32" t="inlineStr">
        <is>
          <t>K4-2B</t>
        </is>
      </c>
      <c r="D4033" s="32" t="n">
        <v>13.25</v>
      </c>
      <c r="E4033" s="32" t="n">
        <v>69.223</v>
      </c>
      <c r="G4033" s="32" t="n">
        <v>527</v>
      </c>
      <c r="H4033" s="32" t="inlineStr">
        <is>
          <t>bb</t>
        </is>
      </c>
      <c r="I4033" s="32" t="n">
        <v>69.223</v>
      </c>
      <c r="K4033" s="32" t="inlineStr">
        <is>
          <t>20250514-33</t>
        </is>
      </c>
    </row>
    <row r="4034">
      <c r="A4034" s="32" t="n">
        <v>23</v>
      </c>
      <c r="B4034" s="32" t="inlineStr">
        <is>
          <t>K4-2C</t>
        </is>
      </c>
      <c r="D4034" s="32" t="n">
        <v>13.26</v>
      </c>
      <c r="E4034" s="32" t="n">
        <v>146.243</v>
      </c>
      <c r="G4034" s="32" t="n">
        <v>13.448</v>
      </c>
      <c r="H4034" s="32" t="inlineStr">
        <is>
          <t>bb</t>
        </is>
      </c>
      <c r="I4034" s="32" t="n">
        <v>146.243</v>
      </c>
      <c r="K4034" s="32" t="inlineStr">
        <is>
          <t>20250514-34</t>
        </is>
      </c>
    </row>
    <row r="4035">
      <c r="A4035" s="32" t="n">
        <v>24</v>
      </c>
      <c r="B4035" s="32" t="inlineStr">
        <is>
          <t>MeOH</t>
        </is>
      </c>
      <c r="K4035" s="32" t="inlineStr">
        <is>
          <t>20250514-35</t>
        </is>
      </c>
    </row>
    <row r="4036">
      <c r="A4036" s="32" t="n">
        <v>25</v>
      </c>
      <c r="B4036" s="32" t="inlineStr">
        <is>
          <t>K4-4A</t>
        </is>
      </c>
      <c r="D4036" s="32" t="n">
        <v>13.31</v>
      </c>
      <c r="E4036" s="32" t="n">
        <v>76.39400000000001</v>
      </c>
      <c r="G4036" s="32" t="n">
        <v>3.824</v>
      </c>
      <c r="H4036" s="32" t="inlineStr">
        <is>
          <t>bb</t>
        </is>
      </c>
      <c r="I4036" s="32" t="n">
        <v>76.39400000000001</v>
      </c>
      <c r="K4036" s="32" t="inlineStr">
        <is>
          <t>20250514-36</t>
        </is>
      </c>
    </row>
    <row r="4037">
      <c r="A4037" s="32" t="n">
        <v>26</v>
      </c>
      <c r="B4037" s="32" t="inlineStr">
        <is>
          <t>K4-4B</t>
        </is>
      </c>
      <c r="D4037" s="32" t="n">
        <v>13.26</v>
      </c>
      <c r="E4037" s="32" t="n">
        <v>159.293</v>
      </c>
      <c r="G4037" s="32" t="n">
        <v>1107</v>
      </c>
      <c r="H4037" s="32" t="inlineStr">
        <is>
          <t>bb</t>
        </is>
      </c>
      <c r="I4037" s="32" t="n">
        <v>159.293</v>
      </c>
      <c r="K4037" s="32" t="inlineStr">
        <is>
          <t>20250514-37</t>
        </is>
      </c>
    </row>
    <row r="4038">
      <c r="A4038" s="32" t="n">
        <v>27</v>
      </c>
      <c r="B4038" s="32" t="inlineStr">
        <is>
          <t>K4-4C</t>
        </is>
      </c>
      <c r="D4038" s="32" t="n">
        <v>13.25</v>
      </c>
      <c r="E4038" s="32" t="n">
        <v>53.688</v>
      </c>
      <c r="G4038" s="32" t="n">
        <v>453</v>
      </c>
      <c r="H4038" s="32" t="inlineStr">
        <is>
          <t>bb</t>
        </is>
      </c>
      <c r="I4038" s="32" t="n">
        <v>53.688</v>
      </c>
      <c r="K4038" s="32" t="inlineStr">
        <is>
          <t>20250514-38</t>
        </is>
      </c>
    </row>
    <row r="4039">
      <c r="A4039" s="32" t="n">
        <v>28</v>
      </c>
      <c r="B4039" s="32" t="inlineStr">
        <is>
          <t>K4-5A</t>
        </is>
      </c>
      <c r="D4039" s="32" t="n">
        <v>13.25</v>
      </c>
      <c r="E4039" s="32" t="n">
        <v>88.872</v>
      </c>
      <c r="G4039" s="32" t="n">
        <v>603</v>
      </c>
      <c r="H4039" s="32" t="inlineStr">
        <is>
          <t>bb</t>
        </is>
      </c>
      <c r="I4039" s="32" t="n">
        <v>88.872</v>
      </c>
      <c r="K4039" s="32" t="inlineStr">
        <is>
          <t>20250514-39</t>
        </is>
      </c>
    </row>
    <row r="4040">
      <c r="A4040" s="32" t="n">
        <v>29</v>
      </c>
      <c r="B4040" s="32" t="inlineStr">
        <is>
          <t>K4-5B</t>
        </is>
      </c>
      <c r="D4040" s="32" t="n">
        <v>13.23</v>
      </c>
      <c r="E4040" s="32" t="n">
        <v>208.933</v>
      </c>
      <c r="G4040" s="32" t="n">
        <v>70.95699999999999</v>
      </c>
      <c r="H4040" s="32" t="inlineStr">
        <is>
          <t>bb</t>
        </is>
      </c>
      <c r="I4040" s="32" t="n">
        <v>208.933</v>
      </c>
      <c r="K4040" s="32" t="inlineStr">
        <is>
          <t>20250514-40</t>
        </is>
      </c>
    </row>
    <row r="4041">
      <c r="A4041" s="32" t="n">
        <v>30</v>
      </c>
      <c r="B4041" s="32" t="inlineStr">
        <is>
          <t>K4-5C</t>
        </is>
      </c>
      <c r="D4041" s="32" t="n">
        <v>13.14</v>
      </c>
      <c r="E4041" s="32" t="n">
        <v>82.61799999999999</v>
      </c>
      <c r="G4041" s="32" t="n">
        <v>683</v>
      </c>
      <c r="H4041" s="32" t="inlineStr">
        <is>
          <t>bb</t>
        </is>
      </c>
      <c r="I4041" s="32" t="n">
        <v>82.61799999999999</v>
      </c>
      <c r="K4041" s="32" t="inlineStr">
        <is>
          <t>20250514-41</t>
        </is>
      </c>
    </row>
    <row r="4042">
      <c r="A4042" s="32" t="n">
        <v>31</v>
      </c>
      <c r="B4042" s="32" t="inlineStr">
        <is>
          <t>MeOH</t>
        </is>
      </c>
      <c r="K4042" s="32" t="inlineStr">
        <is>
          <t>20250514-42</t>
        </is>
      </c>
    </row>
    <row r="4043">
      <c r="A4043" s="32" t="n">
        <v>32</v>
      </c>
      <c r="B4043" s="32" t="inlineStr">
        <is>
          <t>K3-1A</t>
        </is>
      </c>
      <c r="D4043" s="32" t="n">
        <v>13.1</v>
      </c>
      <c r="E4043" s="32" t="n">
        <v>146.583</v>
      </c>
      <c r="G4043" s="32" t="n">
        <v>4.465</v>
      </c>
      <c r="H4043" s="32" t="inlineStr">
        <is>
          <t>bb</t>
        </is>
      </c>
      <c r="I4043" s="32" t="n">
        <v>146.583</v>
      </c>
      <c r="K4043" s="32" t="inlineStr">
        <is>
          <t>20250514-43</t>
        </is>
      </c>
    </row>
    <row r="4044">
      <c r="A4044" s="32" t="n">
        <v>33</v>
      </c>
      <c r="B4044" s="32" t="inlineStr">
        <is>
          <t>K3-1B</t>
        </is>
      </c>
      <c r="D4044" s="32" t="n">
        <v>13.08</v>
      </c>
      <c r="E4044" s="32" t="n">
        <v>10.965</v>
      </c>
      <c r="G4044" s="32" t="n">
        <v>100</v>
      </c>
      <c r="H4044" s="32" t="inlineStr">
        <is>
          <t>bb</t>
        </is>
      </c>
      <c r="I4044" s="32" t="n">
        <v>10.965</v>
      </c>
      <c r="K4044" s="32" t="inlineStr">
        <is>
          <t>20250514-44</t>
        </is>
      </c>
    </row>
    <row r="4045">
      <c r="A4045" s="32" t="n">
        <v>34</v>
      </c>
      <c r="B4045" s="32" t="inlineStr">
        <is>
          <t>K3-1C</t>
        </is>
      </c>
      <c r="D4045" s="32" t="n">
        <v>13.15</v>
      </c>
      <c r="E4045" s="32" t="n">
        <v>255.644</v>
      </c>
      <c r="G4045" s="32" t="n">
        <v>3.079</v>
      </c>
      <c r="H4045" s="32" t="inlineStr">
        <is>
          <t>bb</t>
        </is>
      </c>
      <c r="I4045" s="32" t="n">
        <v>255.644</v>
      </c>
      <c r="K4045" s="32" t="inlineStr">
        <is>
          <t>20250514-45</t>
        </is>
      </c>
    </row>
    <row r="4046">
      <c r="A4046" s="32" t="n">
        <v>35</v>
      </c>
      <c r="B4046" s="32" t="inlineStr">
        <is>
          <t>K3-2A</t>
        </is>
      </c>
      <c r="D4046" s="32" t="n">
        <v>13.21</v>
      </c>
      <c r="E4046" s="32" t="n">
        <v>141.416</v>
      </c>
      <c r="G4046" s="32" t="n">
        <v>4.229</v>
      </c>
      <c r="H4046" s="32" t="inlineStr">
        <is>
          <t>bb</t>
        </is>
      </c>
      <c r="I4046" s="32" t="n">
        <v>141.416</v>
      </c>
      <c r="K4046" s="32" t="inlineStr">
        <is>
          <t>20250514-46</t>
        </is>
      </c>
    </row>
    <row r="4047">
      <c r="A4047" s="32" t="n">
        <v>36</v>
      </c>
      <c r="B4047" s="32" t="inlineStr">
        <is>
          <t>K3-2B</t>
        </is>
      </c>
      <c r="K4047" s="32" t="inlineStr">
        <is>
          <t>20250514-47</t>
        </is>
      </c>
    </row>
    <row r="4048">
      <c r="A4048" s="32" t="n">
        <v>37</v>
      </c>
      <c r="B4048" s="32" t="inlineStr">
        <is>
          <t>K3-2C</t>
        </is>
      </c>
      <c r="D4048" s="32" t="n">
        <v>13.17</v>
      </c>
      <c r="E4048" s="32" t="n">
        <v>178.071</v>
      </c>
      <c r="G4048" s="32" t="n">
        <v>78.54600000000001</v>
      </c>
      <c r="H4048" s="32" t="inlineStr">
        <is>
          <t>bb</t>
        </is>
      </c>
      <c r="I4048" s="32" t="n">
        <v>178.071</v>
      </c>
      <c r="K4048" s="32" t="inlineStr">
        <is>
          <t>20250514-48</t>
        </is>
      </c>
    </row>
    <row r="4049">
      <c r="A4049" s="32" t="n">
        <v>38</v>
      </c>
      <c r="B4049" s="32" t="inlineStr">
        <is>
          <t>MeOH</t>
        </is>
      </c>
      <c r="K4049" s="32" t="inlineStr">
        <is>
          <t>20250514-49</t>
        </is>
      </c>
    </row>
    <row r="4050">
      <c r="A4050" s="32" t="n">
        <v>39</v>
      </c>
      <c r="B4050" s="32" t="inlineStr">
        <is>
          <t>K3-3A</t>
        </is>
      </c>
      <c r="D4050" s="32" t="n">
        <v>13.2</v>
      </c>
      <c r="E4050" s="32" t="n">
        <v>173.32</v>
      </c>
      <c r="G4050" s="32" t="n">
        <v>1393</v>
      </c>
      <c r="H4050" s="32" t="inlineStr">
        <is>
          <t>bb</t>
        </is>
      </c>
      <c r="I4050" s="32" t="n">
        <v>173.32</v>
      </c>
      <c r="K4050" s="32" t="inlineStr">
        <is>
          <t>20250514-50</t>
        </is>
      </c>
    </row>
    <row r="4051">
      <c r="A4051" s="32" t="n">
        <v>40</v>
      </c>
      <c r="B4051" s="32" t="inlineStr">
        <is>
          <t>K3-3B</t>
        </is>
      </c>
      <c r="D4051" s="32" t="n">
        <v>13.22</v>
      </c>
      <c r="E4051" s="32" t="n">
        <v>348.971</v>
      </c>
      <c r="G4051" s="32" t="n">
        <v>14.912</v>
      </c>
      <c r="H4051" s="32" t="inlineStr">
        <is>
          <t>bb</t>
        </is>
      </c>
      <c r="I4051" s="32" t="n">
        <v>348.971</v>
      </c>
      <c r="K4051" s="32" t="inlineStr">
        <is>
          <t>20250514-51</t>
        </is>
      </c>
    </row>
    <row r="4052">
      <c r="A4052" s="32" t="n">
        <v>41</v>
      </c>
      <c r="B4052" s="32" t="inlineStr">
        <is>
          <t>K3-3C</t>
        </is>
      </c>
      <c r="D4052" s="32" t="n">
        <v>13.23</v>
      </c>
      <c r="E4052" s="32" t="n">
        <v>281.935</v>
      </c>
      <c r="G4052" s="32" t="n">
        <v>2063</v>
      </c>
      <c r="H4052" s="32" t="inlineStr">
        <is>
          <t>bb</t>
        </is>
      </c>
      <c r="I4052" s="32" t="n">
        <v>281.935</v>
      </c>
      <c r="K4052" s="32" t="inlineStr">
        <is>
          <t>20250514-52</t>
        </is>
      </c>
    </row>
    <row r="4053">
      <c r="A4053" s="32" t="n">
        <v>42</v>
      </c>
      <c r="B4053" s="32" t="inlineStr">
        <is>
          <t>K3-4A</t>
        </is>
      </c>
      <c r="D4053" s="32" t="n">
        <v>13.3</v>
      </c>
      <c r="E4053" s="32" t="n">
        <v>53.822</v>
      </c>
      <c r="G4053" s="32" t="n">
        <v>404</v>
      </c>
      <c r="H4053" s="32" t="inlineStr">
        <is>
          <t>bb</t>
        </is>
      </c>
      <c r="I4053" s="32" t="n">
        <v>53.822</v>
      </c>
      <c r="K4053" s="32" t="inlineStr">
        <is>
          <t>20250514-53</t>
        </is>
      </c>
    </row>
    <row r="4054">
      <c r="A4054" s="32" t="n">
        <v>43</v>
      </c>
      <c r="B4054" s="32" t="inlineStr">
        <is>
          <t>K3-4B</t>
        </is>
      </c>
      <c r="D4054" s="32" t="n">
        <v>13.22</v>
      </c>
      <c r="E4054" s="32" t="n">
        <v>316.537</v>
      </c>
      <c r="G4054" s="32" t="n">
        <v>26.09</v>
      </c>
      <c r="H4054" s="32" t="inlineStr">
        <is>
          <t>bb</t>
        </is>
      </c>
      <c r="I4054" s="32" t="n">
        <v>316.537</v>
      </c>
      <c r="K4054" s="32" t="inlineStr">
        <is>
          <t>20250514-54</t>
        </is>
      </c>
    </row>
    <row r="4055">
      <c r="A4055" s="32" t="n">
        <v>44</v>
      </c>
      <c r="B4055" s="32" t="inlineStr">
        <is>
          <t>K3-4C</t>
        </is>
      </c>
      <c r="D4055" s="32" t="n">
        <v>13.3</v>
      </c>
      <c r="E4055" s="32" t="n">
        <v>287.021</v>
      </c>
      <c r="G4055" s="32" t="n">
        <v>1951</v>
      </c>
      <c r="H4055" s="32" t="inlineStr">
        <is>
          <t>bb</t>
        </is>
      </c>
      <c r="I4055" s="32" t="n">
        <v>287.021</v>
      </c>
      <c r="K4055" s="32" t="inlineStr">
        <is>
          <t>20250514-55</t>
        </is>
      </c>
    </row>
    <row r="4056">
      <c r="A4056" s="32" t="n">
        <v>45</v>
      </c>
      <c r="B4056" s="32" t="inlineStr">
        <is>
          <t>MeOH</t>
        </is>
      </c>
      <c r="K4056" s="32" t="inlineStr">
        <is>
          <t>20250514-56</t>
        </is>
      </c>
    </row>
    <row r="4057">
      <c r="A4057" s="32" t="n">
        <v>46</v>
      </c>
      <c r="B4057" s="32" t="inlineStr">
        <is>
          <t>K3-6A</t>
        </is>
      </c>
      <c r="D4057" s="32" t="n">
        <v>13.33</v>
      </c>
      <c r="E4057" s="32" t="n">
        <v>251.719</v>
      </c>
      <c r="G4057" s="32" t="n">
        <v>2013</v>
      </c>
      <c r="H4057" s="32" t="inlineStr">
        <is>
          <t>bb</t>
        </is>
      </c>
      <c r="I4057" s="32" t="n">
        <v>251.719</v>
      </c>
      <c r="K4057" s="32" t="inlineStr">
        <is>
          <t>20250514-57</t>
        </is>
      </c>
    </row>
    <row r="4058">
      <c r="A4058" s="32" t="n">
        <v>47</v>
      </c>
      <c r="B4058" s="32" t="inlineStr">
        <is>
          <t>K3-6B</t>
        </is>
      </c>
      <c r="D4058" s="32" t="n">
        <v>13.31</v>
      </c>
      <c r="E4058" s="32" t="n">
        <v>130.221</v>
      </c>
      <c r="G4058" s="32" t="n">
        <v>983</v>
      </c>
      <c r="H4058" s="32" t="inlineStr">
        <is>
          <t>bb</t>
        </is>
      </c>
      <c r="I4058" s="32" t="n">
        <v>130.221</v>
      </c>
      <c r="K4058" s="32" t="inlineStr">
        <is>
          <t>20250514-58</t>
        </is>
      </c>
    </row>
    <row r="4059">
      <c r="A4059" s="32" t="n">
        <v>48</v>
      </c>
      <c r="B4059" s="32" t="inlineStr">
        <is>
          <t>K3-6C</t>
        </is>
      </c>
      <c r="D4059" s="32" t="n">
        <v>13.27</v>
      </c>
      <c r="E4059" s="32" t="n">
        <v>153.609</v>
      </c>
      <c r="G4059" s="32" t="n">
        <v>57.579</v>
      </c>
      <c r="H4059" s="32" t="inlineStr">
        <is>
          <t>bb</t>
        </is>
      </c>
      <c r="I4059" s="32" t="n">
        <v>153.609</v>
      </c>
      <c r="K4059" s="32" t="inlineStr">
        <is>
          <t>20250514-59</t>
        </is>
      </c>
    </row>
    <row r="4061">
      <c r="A4061" s="32" t="inlineStr">
        <is>
          <t>Compound 79:  PFOS 1</t>
        </is>
      </c>
    </row>
    <row r="4063">
      <c r="B4063" s="32" t="inlineStr">
        <is>
          <t>Sample Text</t>
        </is>
      </c>
      <c r="C4063" s="32" t="inlineStr">
        <is>
          <t>Std. Conc</t>
        </is>
      </c>
      <c r="D4063" s="32" t="inlineStr">
        <is>
          <t>RT</t>
        </is>
      </c>
      <c r="E4063" s="32" t="inlineStr">
        <is>
          <t>Area</t>
        </is>
      </c>
      <c r="F4063" s="32" t="inlineStr">
        <is>
          <t>IS Area</t>
        </is>
      </c>
      <c r="G4063" s="32" t="inlineStr">
        <is>
          <t>S/N</t>
        </is>
      </c>
      <c r="H4063" s="32" t="inlineStr">
        <is>
          <t>Primary Flags</t>
        </is>
      </c>
      <c r="I4063" s="32" t="inlineStr">
        <is>
          <t>Response</t>
        </is>
      </c>
      <c r="J4063" s="32" t="inlineStr">
        <is>
          <t>Conc.</t>
        </is>
      </c>
      <c r="K4063" s="32" t="inlineStr">
        <is>
          <t>Name</t>
        </is>
      </c>
    </row>
    <row r="4064">
      <c r="A4064" s="32" t="n">
        <v>1</v>
      </c>
      <c r="B4064" s="32" t="inlineStr">
        <is>
          <t>EPA1633 &amp; diPAPs Calibration 0 ppb</t>
        </is>
      </c>
      <c r="D4064" s="32" t="n">
        <v>13.04</v>
      </c>
      <c r="E4064" s="32" t="n">
        <v>96.84</v>
      </c>
      <c r="F4064" s="32" t="n">
        <v>16637.717</v>
      </c>
      <c r="G4064" s="32" t="n">
        <v>2.767</v>
      </c>
      <c r="H4064" s="32" t="inlineStr">
        <is>
          <t>bb</t>
        </is>
      </c>
      <c r="K4064" s="32" t="inlineStr">
        <is>
          <t>20250514-12</t>
        </is>
      </c>
    </row>
    <row r="4065">
      <c r="A4065" s="32" t="n">
        <v>2</v>
      </c>
      <c r="B4065" s="32" t="inlineStr">
        <is>
          <t>EPA1633 &amp; diPAPs Calibration 0.02 ppb</t>
        </is>
      </c>
      <c r="D4065" s="32" t="n">
        <v>13.04</v>
      </c>
      <c r="E4065" s="32" t="n">
        <v>455.526</v>
      </c>
      <c r="F4065" s="32" t="n">
        <v>14442.151</v>
      </c>
      <c r="G4065" s="32" t="n">
        <v>28.569</v>
      </c>
      <c r="H4065" s="32" t="inlineStr">
        <is>
          <t>bb</t>
        </is>
      </c>
      <c r="K4065" s="32" t="inlineStr">
        <is>
          <t>20250514-13</t>
        </is>
      </c>
    </row>
    <row r="4066">
      <c r="A4066" s="32" t="n">
        <v>3</v>
      </c>
      <c r="B4066" s="32" t="inlineStr">
        <is>
          <t>EPA1633 &amp; diPAPs Calibration 0.1 ppb</t>
        </is>
      </c>
      <c r="D4066" s="32" t="n">
        <v>13.05</v>
      </c>
      <c r="E4066" s="32" t="n">
        <v>447.818</v>
      </c>
      <c r="F4066" s="32" t="n">
        <v>14939.226</v>
      </c>
      <c r="G4066" s="32" t="n">
        <v>30.537</v>
      </c>
      <c r="H4066" s="32" t="inlineStr">
        <is>
          <t>bb</t>
        </is>
      </c>
      <c r="K4066" s="32" t="inlineStr">
        <is>
          <t>20250514-14</t>
        </is>
      </c>
    </row>
    <row r="4067">
      <c r="A4067" s="32" t="n">
        <v>4</v>
      </c>
      <c r="B4067" s="32" t="inlineStr">
        <is>
          <t>EPA1633 &amp; diPAPs Calibration 0.4 ppb</t>
        </is>
      </c>
      <c r="D4067" s="32" t="n">
        <v>13.05</v>
      </c>
      <c r="E4067" s="32" t="n">
        <v>1981.462</v>
      </c>
      <c r="F4067" s="32" t="n">
        <v>14017.551</v>
      </c>
      <c r="G4067" s="32" t="n">
        <v>103.198</v>
      </c>
      <c r="H4067" s="32" t="inlineStr">
        <is>
          <t>bb</t>
        </is>
      </c>
      <c r="K4067" s="32" t="inlineStr">
        <is>
          <t>20250514-15</t>
        </is>
      </c>
    </row>
    <row r="4068">
      <c r="A4068" s="32" t="n">
        <v>5</v>
      </c>
      <c r="B4068" s="32" t="inlineStr">
        <is>
          <t>EPA1633 &amp; diPAPs Calibration 1 ppb</t>
        </is>
      </c>
      <c r="D4068" s="32" t="n">
        <v>13.05</v>
      </c>
      <c r="E4068" s="32" t="n">
        <v>2359.058</v>
      </c>
      <c r="F4068" s="32" t="n">
        <v>15819.927</v>
      </c>
      <c r="G4068" s="32" t="n">
        <v>36.117</v>
      </c>
      <c r="H4068" s="32" t="inlineStr">
        <is>
          <t>MM</t>
        </is>
      </c>
      <c r="K4068" s="32" t="inlineStr">
        <is>
          <t>20250514-16</t>
        </is>
      </c>
    </row>
    <row r="4069">
      <c r="A4069" s="32" t="n">
        <v>6</v>
      </c>
      <c r="B4069" s="32" t="inlineStr">
        <is>
          <t>EPA1633 &amp; diPAPs Calibration 5 ppb</t>
        </is>
      </c>
      <c r="D4069" s="32" t="n">
        <v>12.98</v>
      </c>
      <c r="E4069" s="32" t="n">
        <v>11010.469</v>
      </c>
      <c r="F4069" s="32" t="n">
        <v>14259.822</v>
      </c>
      <c r="G4069" s="32" t="n">
        <v>78472</v>
      </c>
      <c r="H4069" s="32" t="inlineStr">
        <is>
          <t>MM</t>
        </is>
      </c>
      <c r="K4069" s="32" t="inlineStr">
        <is>
          <t>20250514-17</t>
        </is>
      </c>
    </row>
    <row r="4070">
      <c r="A4070" s="32" t="n">
        <v>7</v>
      </c>
      <c r="B4070" s="32" t="inlineStr">
        <is>
          <t>EPA1633 &amp; diPAPs Calibration 10 ppb</t>
        </is>
      </c>
      <c r="D4070" s="32" t="n">
        <v>12.99</v>
      </c>
      <c r="E4070" s="32" t="n">
        <v>23011.617</v>
      </c>
      <c r="F4070" s="32" t="n">
        <v>11049.457</v>
      </c>
      <c r="G4070" s="32" t="n">
        <v>2058.277</v>
      </c>
      <c r="H4070" s="32" t="inlineStr">
        <is>
          <t>MM</t>
        </is>
      </c>
      <c r="K4070" s="32" t="inlineStr">
        <is>
          <t>20250514-18</t>
        </is>
      </c>
    </row>
    <row r="4071">
      <c r="A4071" s="32" t="n">
        <v>8</v>
      </c>
      <c r="B4071" s="32" t="inlineStr">
        <is>
          <t>EPA1633 &amp; diPAPs Calibration 20 ppb</t>
        </is>
      </c>
      <c r="D4071" s="32" t="n">
        <v>13.01</v>
      </c>
      <c r="E4071" s="32" t="n">
        <v>45815.148</v>
      </c>
      <c r="F4071" s="32" t="n">
        <v>12460.612</v>
      </c>
      <c r="G4071" s="32" t="n">
        <v>2089.385</v>
      </c>
      <c r="H4071" s="32" t="inlineStr">
        <is>
          <t>db</t>
        </is>
      </c>
      <c r="K4071" s="32" t="inlineStr">
        <is>
          <t>20250514-19</t>
        </is>
      </c>
    </row>
    <row r="4072">
      <c r="A4072" s="32" t="n">
        <v>9</v>
      </c>
      <c r="B4072" s="32" t="inlineStr">
        <is>
          <t>MeOH</t>
        </is>
      </c>
      <c r="D4072" s="32" t="n">
        <v>13.02</v>
      </c>
      <c r="E4072" s="32" t="n">
        <v>285.305</v>
      </c>
      <c r="F4072" s="32" t="n">
        <v>4.973</v>
      </c>
      <c r="G4072" s="32" t="n">
        <v>5.039</v>
      </c>
      <c r="H4072" s="32" t="inlineStr">
        <is>
          <t>bb</t>
        </is>
      </c>
      <c r="K4072" s="32" t="inlineStr">
        <is>
          <t>20250514-20</t>
        </is>
      </c>
    </row>
    <row r="4073">
      <c r="A4073" s="32" t="n">
        <v>10</v>
      </c>
      <c r="B4073" s="32" t="inlineStr">
        <is>
          <t>MeOH</t>
        </is>
      </c>
      <c r="D4073" s="32" t="n">
        <v>13.08</v>
      </c>
      <c r="E4073" s="32" t="n">
        <v>115.938</v>
      </c>
      <c r="F4073" s="32" t="n">
        <v>0.6820000000000001</v>
      </c>
      <c r="G4073" s="32" t="n">
        <v>13.274</v>
      </c>
      <c r="H4073" s="32" t="inlineStr">
        <is>
          <t>bb</t>
        </is>
      </c>
      <c r="K4073" s="32" t="inlineStr">
        <is>
          <t>20250514-21</t>
        </is>
      </c>
    </row>
    <row r="4074">
      <c r="A4074" s="32" t="n">
        <v>11</v>
      </c>
      <c r="B4074" s="32" t="inlineStr">
        <is>
          <t>SB1</t>
        </is>
      </c>
      <c r="D4074" s="32" t="n">
        <v>13.05</v>
      </c>
      <c r="E4074" s="32" t="n">
        <v>621.849</v>
      </c>
      <c r="F4074" s="32" t="n">
        <v>6414.278</v>
      </c>
      <c r="G4074" s="32" t="n">
        <v>4.434</v>
      </c>
      <c r="H4074" s="32" t="inlineStr">
        <is>
          <t>bb</t>
        </is>
      </c>
      <c r="K4074" s="32" t="inlineStr">
        <is>
          <t>20250514-22</t>
        </is>
      </c>
    </row>
    <row r="4075">
      <c r="A4075" s="32" t="n">
        <v>12</v>
      </c>
      <c r="B4075" s="32" t="inlineStr">
        <is>
          <t>SB2</t>
        </is>
      </c>
      <c r="D4075" s="32" t="n">
        <v>13.06</v>
      </c>
      <c r="E4075" s="32" t="n">
        <v>432.236</v>
      </c>
      <c r="F4075" s="32" t="n">
        <v>5459.898</v>
      </c>
      <c r="G4075" s="32" t="n">
        <v>13.6</v>
      </c>
      <c r="H4075" s="32" t="inlineStr">
        <is>
          <t>bb</t>
        </is>
      </c>
      <c r="K4075" s="32" t="inlineStr">
        <is>
          <t>20250514-23</t>
        </is>
      </c>
    </row>
    <row r="4076">
      <c r="A4076" s="32" t="n">
        <v>13</v>
      </c>
      <c r="B4076" s="32" t="inlineStr">
        <is>
          <t>SB3</t>
        </is>
      </c>
      <c r="D4076" s="32" t="n">
        <v>13.08</v>
      </c>
      <c r="E4076" s="32" t="n">
        <v>249.687</v>
      </c>
      <c r="F4076" s="32" t="n">
        <v>5569.052</v>
      </c>
      <c r="G4076" s="32" t="n">
        <v>24.701</v>
      </c>
      <c r="H4076" s="32" t="inlineStr">
        <is>
          <t>bb</t>
        </is>
      </c>
      <c r="K4076" s="32" t="inlineStr">
        <is>
          <t>20250514-24</t>
        </is>
      </c>
    </row>
    <row r="4077">
      <c r="A4077" s="32" t="n">
        <v>14</v>
      </c>
      <c r="B4077" s="32" t="inlineStr">
        <is>
          <t>SS1</t>
        </is>
      </c>
      <c r="D4077" s="32" t="n">
        <v>13.08</v>
      </c>
      <c r="E4077" s="32" t="n">
        <v>8665.169</v>
      </c>
      <c r="F4077" s="32" t="n">
        <v>5405.744</v>
      </c>
      <c r="G4077" s="32" t="n">
        <v>115.831</v>
      </c>
      <c r="H4077" s="32" t="inlineStr">
        <is>
          <t>MM</t>
        </is>
      </c>
      <c r="K4077" s="32" t="inlineStr">
        <is>
          <t>20250514-25</t>
        </is>
      </c>
    </row>
    <row r="4078">
      <c r="A4078" s="32" t="n">
        <v>15</v>
      </c>
      <c r="B4078" s="32" t="inlineStr">
        <is>
          <t>SS2</t>
        </is>
      </c>
      <c r="D4078" s="32" t="n">
        <v>13.09</v>
      </c>
      <c r="E4078" s="32" t="n">
        <v>9815.486999999999</v>
      </c>
      <c r="F4078" s="32" t="n">
        <v>5358.604</v>
      </c>
      <c r="G4078" s="32" t="n">
        <v>274.073</v>
      </c>
      <c r="H4078" s="32" t="inlineStr">
        <is>
          <t>MM</t>
        </is>
      </c>
      <c r="K4078" s="32" t="inlineStr">
        <is>
          <t>20250514-26</t>
        </is>
      </c>
    </row>
    <row r="4079">
      <c r="A4079" s="32" t="n">
        <v>16</v>
      </c>
      <c r="B4079" s="32" t="inlineStr">
        <is>
          <t>SS3</t>
        </is>
      </c>
      <c r="D4079" s="32" t="n">
        <v>13.11</v>
      </c>
      <c r="E4079" s="32" t="n">
        <v>10325.898</v>
      </c>
      <c r="F4079" s="32" t="n">
        <v>5299.512</v>
      </c>
      <c r="G4079" s="32" t="n">
        <v>176.405</v>
      </c>
      <c r="H4079" s="32" t="inlineStr">
        <is>
          <t>bb</t>
        </is>
      </c>
      <c r="K4079" s="32" t="inlineStr">
        <is>
          <t>20250514-27</t>
        </is>
      </c>
    </row>
    <row r="4080">
      <c r="A4080" s="32" t="n">
        <v>17</v>
      </c>
      <c r="B4080" s="32" t="inlineStr">
        <is>
          <t>MeOH</t>
        </is>
      </c>
      <c r="K4080" s="32" t="inlineStr">
        <is>
          <t>20250514-28</t>
        </is>
      </c>
    </row>
    <row r="4081">
      <c r="A4081" s="32" t="n">
        <v>18</v>
      </c>
      <c r="B4081" s="32" t="inlineStr">
        <is>
          <t>K4-1A</t>
        </is>
      </c>
      <c r="D4081" s="32" t="n">
        <v>13.11</v>
      </c>
      <c r="E4081" s="32" t="n">
        <v>1747.074</v>
      </c>
      <c r="F4081" s="32" t="n">
        <v>7333.607</v>
      </c>
      <c r="G4081" s="32" t="n">
        <v>344.161</v>
      </c>
      <c r="H4081" s="32" t="inlineStr">
        <is>
          <t>bb</t>
        </is>
      </c>
      <c r="K4081" s="32" t="inlineStr">
        <is>
          <t>20250514-29</t>
        </is>
      </c>
    </row>
    <row r="4082">
      <c r="A4082" s="32" t="n">
        <v>19</v>
      </c>
      <c r="B4082" s="32" t="inlineStr">
        <is>
          <t>K4-1B</t>
        </is>
      </c>
      <c r="D4082" s="32" t="n">
        <v>13.11</v>
      </c>
      <c r="E4082" s="32" t="n">
        <v>1490.489</v>
      </c>
      <c r="F4082" s="32" t="n">
        <v>7556.923</v>
      </c>
      <c r="G4082" s="32" t="n">
        <v>47.148</v>
      </c>
      <c r="H4082" s="32" t="inlineStr">
        <is>
          <t>bb</t>
        </is>
      </c>
      <c r="K4082" s="32" t="inlineStr">
        <is>
          <t>20250514-30</t>
        </is>
      </c>
    </row>
    <row r="4083">
      <c r="A4083" s="32" t="n">
        <v>20</v>
      </c>
      <c r="B4083" s="32" t="inlineStr">
        <is>
          <t>K4-1C</t>
        </is>
      </c>
      <c r="D4083" s="32" t="n">
        <v>13.11</v>
      </c>
      <c r="E4083" s="32" t="n">
        <v>1895.908</v>
      </c>
      <c r="F4083" s="32" t="n">
        <v>7543.019</v>
      </c>
      <c r="G4083" s="32" t="n">
        <v>79.038</v>
      </c>
      <c r="H4083" s="32" t="inlineStr">
        <is>
          <t>bb</t>
        </is>
      </c>
      <c r="K4083" s="32" t="inlineStr">
        <is>
          <t>20250514-31</t>
        </is>
      </c>
    </row>
    <row r="4084">
      <c r="A4084" s="32" t="n">
        <v>21</v>
      </c>
      <c r="B4084" s="32" t="inlineStr">
        <is>
          <t>K4-2A</t>
        </is>
      </c>
      <c r="D4084" s="32" t="n">
        <v>13.11</v>
      </c>
      <c r="E4084" s="32" t="n">
        <v>2405.44</v>
      </c>
      <c r="F4084" s="32" t="n">
        <v>8613.116</v>
      </c>
      <c r="G4084" s="32" t="n">
        <v>17241</v>
      </c>
      <c r="H4084" s="32" t="inlineStr">
        <is>
          <t>bb</t>
        </is>
      </c>
      <c r="K4084" s="32" t="inlineStr">
        <is>
          <t>20250514-32</t>
        </is>
      </c>
    </row>
    <row r="4085">
      <c r="A4085" s="32" t="n">
        <v>22</v>
      </c>
      <c r="B4085" s="32" t="inlineStr">
        <is>
          <t>K4-2B</t>
        </is>
      </c>
      <c r="D4085" s="32" t="n">
        <v>13.13</v>
      </c>
      <c r="E4085" s="32" t="n">
        <v>1788.487</v>
      </c>
      <c r="F4085" s="32" t="n">
        <v>6789.031</v>
      </c>
      <c r="G4085" s="32" t="n">
        <v>248.759</v>
      </c>
      <c r="H4085" s="32" t="inlineStr">
        <is>
          <t>db</t>
        </is>
      </c>
      <c r="K4085" s="32" t="inlineStr">
        <is>
          <t>20250514-33</t>
        </is>
      </c>
    </row>
    <row r="4086">
      <c r="A4086" s="32" t="n">
        <v>23</v>
      </c>
      <c r="B4086" s="32" t="inlineStr">
        <is>
          <t>K4-2C</t>
        </is>
      </c>
      <c r="D4086" s="32" t="n">
        <v>13.12</v>
      </c>
      <c r="E4086" s="32" t="n">
        <v>1656.046</v>
      </c>
      <c r="F4086" s="32" t="n">
        <v>6441.085</v>
      </c>
      <c r="G4086" s="32" t="n">
        <v>91.003</v>
      </c>
      <c r="H4086" s="32" t="inlineStr">
        <is>
          <t>bb</t>
        </is>
      </c>
      <c r="K4086" s="32" t="inlineStr">
        <is>
          <t>20250514-34</t>
        </is>
      </c>
    </row>
    <row r="4087">
      <c r="A4087" s="32" t="n">
        <v>24</v>
      </c>
      <c r="B4087" s="32" t="inlineStr">
        <is>
          <t>MeOH</t>
        </is>
      </c>
      <c r="D4087" s="32" t="n">
        <v>13.15</v>
      </c>
      <c r="E4087" s="32" t="n">
        <v>134.681</v>
      </c>
      <c r="G4087" s="32" t="n">
        <v>2.696</v>
      </c>
      <c r="H4087" s="32" t="inlineStr">
        <is>
          <t>bb</t>
        </is>
      </c>
      <c r="K4087" s="32" t="inlineStr">
        <is>
          <t>20250514-35</t>
        </is>
      </c>
    </row>
    <row r="4088">
      <c r="A4088" s="32" t="n">
        <v>25</v>
      </c>
      <c r="B4088" s="32" t="inlineStr">
        <is>
          <t>K4-4A</t>
        </is>
      </c>
      <c r="D4088" s="32" t="n">
        <v>13.14</v>
      </c>
      <c r="E4088" s="32" t="n">
        <v>1660.847</v>
      </c>
      <c r="F4088" s="32" t="n">
        <v>6856.379</v>
      </c>
      <c r="G4088" s="32" t="n">
        <v>13.497</v>
      </c>
      <c r="H4088" s="32" t="inlineStr">
        <is>
          <t>MM</t>
        </is>
      </c>
      <c r="K4088" s="32" t="inlineStr">
        <is>
          <t>20250514-36</t>
        </is>
      </c>
    </row>
    <row r="4089">
      <c r="A4089" s="32" t="n">
        <v>26</v>
      </c>
      <c r="B4089" s="32" t="inlineStr">
        <is>
          <t>K4-4B</t>
        </is>
      </c>
      <c r="D4089" s="32" t="n">
        <v>13.15</v>
      </c>
      <c r="E4089" s="32" t="n">
        <v>1633.532</v>
      </c>
      <c r="F4089" s="32" t="n">
        <v>8361.857</v>
      </c>
      <c r="G4089" s="32" t="n">
        <v>126.285</v>
      </c>
      <c r="H4089" s="32" t="inlineStr">
        <is>
          <t>bb</t>
        </is>
      </c>
      <c r="K4089" s="32" t="inlineStr">
        <is>
          <t>20250514-37</t>
        </is>
      </c>
    </row>
    <row r="4090">
      <c r="A4090" s="32" t="n">
        <v>27</v>
      </c>
      <c r="B4090" s="32" t="inlineStr">
        <is>
          <t>K4-4C</t>
        </is>
      </c>
      <c r="D4090" s="32" t="n">
        <v>13.15</v>
      </c>
      <c r="E4090" s="32" t="n">
        <v>1522.114</v>
      </c>
      <c r="F4090" s="32" t="n">
        <v>8247.347</v>
      </c>
      <c r="G4090" s="32" t="n">
        <v>269.602</v>
      </c>
      <c r="H4090" s="32" t="inlineStr">
        <is>
          <t>bb</t>
        </is>
      </c>
      <c r="K4090" s="32" t="inlineStr">
        <is>
          <t>20250514-38</t>
        </is>
      </c>
    </row>
    <row r="4091">
      <c r="A4091" s="32" t="n">
        <v>28</v>
      </c>
      <c r="B4091" s="32" t="inlineStr">
        <is>
          <t>K4-5A</t>
        </is>
      </c>
      <c r="D4091" s="32" t="n">
        <v>13.14</v>
      </c>
      <c r="E4091" s="32" t="n">
        <v>1384.803</v>
      </c>
      <c r="F4091" s="32" t="n">
        <v>7625.911</v>
      </c>
      <c r="G4091" s="32" t="n">
        <v>13.487</v>
      </c>
      <c r="H4091" s="32" t="inlineStr">
        <is>
          <t>bb</t>
        </is>
      </c>
      <c r="K4091" s="32" t="inlineStr">
        <is>
          <t>20250514-39</t>
        </is>
      </c>
    </row>
    <row r="4092">
      <c r="A4092" s="32" t="n">
        <v>29</v>
      </c>
      <c r="B4092" s="32" t="inlineStr">
        <is>
          <t>K4-5B</t>
        </is>
      </c>
      <c r="D4092" s="32" t="n">
        <v>13.11</v>
      </c>
      <c r="E4092" s="32" t="n">
        <v>1515.453</v>
      </c>
      <c r="F4092" s="32" t="n">
        <v>7830.348</v>
      </c>
      <c r="G4092" s="32" t="n">
        <v>68.17700000000001</v>
      </c>
      <c r="H4092" s="32" t="inlineStr">
        <is>
          <t>bb</t>
        </is>
      </c>
      <c r="K4092" s="32" t="inlineStr">
        <is>
          <t>20250514-40</t>
        </is>
      </c>
    </row>
    <row r="4093">
      <c r="A4093" s="32" t="n">
        <v>30</v>
      </c>
      <c r="B4093" s="32" t="inlineStr">
        <is>
          <t>K4-5C</t>
        </is>
      </c>
      <c r="D4093" s="32" t="n">
        <v>13.04</v>
      </c>
      <c r="E4093" s="32" t="n">
        <v>1231.101</v>
      </c>
      <c r="F4093" s="32" t="n">
        <v>6655.14</v>
      </c>
      <c r="G4093" s="32" t="n">
        <v>48.219</v>
      </c>
      <c r="H4093" s="32" t="inlineStr">
        <is>
          <t>MM</t>
        </is>
      </c>
      <c r="K4093" s="32" t="inlineStr">
        <is>
          <t>20250514-41</t>
        </is>
      </c>
    </row>
    <row r="4094">
      <c r="A4094" s="32" t="n">
        <v>31</v>
      </c>
      <c r="B4094" s="32" t="inlineStr">
        <is>
          <t>MeOH</t>
        </is>
      </c>
      <c r="D4094" s="32" t="n">
        <v>13.01</v>
      </c>
      <c r="E4094" s="32" t="n">
        <v>166.852</v>
      </c>
      <c r="G4094" s="32" t="n">
        <v>3.587</v>
      </c>
      <c r="H4094" s="32" t="inlineStr">
        <is>
          <t>bb</t>
        </is>
      </c>
      <c r="K4094" s="32" t="inlineStr">
        <is>
          <t>20250514-42</t>
        </is>
      </c>
    </row>
    <row r="4095">
      <c r="A4095" s="32" t="n">
        <v>32</v>
      </c>
      <c r="B4095" s="32" t="inlineStr">
        <is>
          <t>K3-1A</t>
        </is>
      </c>
      <c r="D4095" s="32" t="n">
        <v>12.99</v>
      </c>
      <c r="E4095" s="32" t="n">
        <v>1939.733</v>
      </c>
      <c r="F4095" s="32" t="n">
        <v>8732.843000000001</v>
      </c>
      <c r="G4095" s="32" t="n">
        <v>72.17</v>
      </c>
      <c r="H4095" s="32" t="inlineStr">
        <is>
          <t>bb</t>
        </is>
      </c>
      <c r="K4095" s="32" t="inlineStr">
        <is>
          <t>20250514-43</t>
        </is>
      </c>
    </row>
    <row r="4096">
      <c r="A4096" s="32" t="n">
        <v>33</v>
      </c>
      <c r="B4096" s="32" t="inlineStr">
        <is>
          <t>K3-1B</t>
        </is>
      </c>
      <c r="D4096" s="32" t="n">
        <v>12.99</v>
      </c>
      <c r="E4096" s="32" t="n">
        <v>1959.561</v>
      </c>
      <c r="F4096" s="32" t="n">
        <v>7852.211</v>
      </c>
      <c r="G4096" s="32" t="n">
        <v>54.27</v>
      </c>
      <c r="H4096" s="32" t="inlineStr">
        <is>
          <t>bb</t>
        </is>
      </c>
      <c r="K4096" s="32" t="inlineStr">
        <is>
          <t>20250514-44</t>
        </is>
      </c>
    </row>
    <row r="4097">
      <c r="A4097" s="32" t="n">
        <v>34</v>
      </c>
      <c r="B4097" s="32" t="inlineStr">
        <is>
          <t>K3-1C</t>
        </is>
      </c>
      <c r="D4097" s="32" t="n">
        <v>13.04</v>
      </c>
      <c r="E4097" s="32" t="n">
        <v>2350.909</v>
      </c>
      <c r="F4097" s="32" t="n">
        <v>9807.196</v>
      </c>
      <c r="G4097" s="32" t="n">
        <v>151.166</v>
      </c>
      <c r="H4097" s="32" t="inlineStr">
        <is>
          <t>bb</t>
        </is>
      </c>
      <c r="K4097" s="32" t="inlineStr">
        <is>
          <t>20250514-45</t>
        </is>
      </c>
    </row>
    <row r="4098">
      <c r="A4098" s="32" t="n">
        <v>35</v>
      </c>
      <c r="B4098" s="32" t="inlineStr">
        <is>
          <t>K3-2A</t>
        </is>
      </c>
      <c r="D4098" s="32" t="n">
        <v>13.06</v>
      </c>
      <c r="E4098" s="32" t="n">
        <v>2778.413</v>
      </c>
      <c r="F4098" s="32" t="n">
        <v>10189.86</v>
      </c>
      <c r="G4098" s="32" t="n">
        <v>67.724</v>
      </c>
      <c r="H4098" s="32" t="inlineStr">
        <is>
          <t>MM</t>
        </is>
      </c>
      <c r="K4098" s="32" t="inlineStr">
        <is>
          <t>20250514-46</t>
        </is>
      </c>
    </row>
    <row r="4099">
      <c r="A4099" s="32" t="n">
        <v>36</v>
      </c>
      <c r="B4099" s="32" t="inlineStr">
        <is>
          <t>K3-2B</t>
        </is>
      </c>
      <c r="D4099" s="32" t="n">
        <v>13.05</v>
      </c>
      <c r="E4099" s="32" t="n">
        <v>2748.64</v>
      </c>
      <c r="F4099" s="32" t="n">
        <v>10207.86</v>
      </c>
      <c r="G4099" s="32" t="n">
        <v>118.902</v>
      </c>
      <c r="H4099" s="32" t="inlineStr">
        <is>
          <t>MM</t>
        </is>
      </c>
      <c r="K4099" s="32" t="inlineStr">
        <is>
          <t>20250514-47</t>
        </is>
      </c>
    </row>
    <row r="4100">
      <c r="A4100" s="32" t="n">
        <v>37</v>
      </c>
      <c r="B4100" s="32" t="inlineStr">
        <is>
          <t>K3-2C</t>
        </is>
      </c>
      <c r="D4100" s="32" t="n">
        <v>13.05</v>
      </c>
      <c r="E4100" s="32" t="n">
        <v>2565.152</v>
      </c>
      <c r="F4100" s="32" t="n">
        <v>8814.884</v>
      </c>
      <c r="G4100" s="32" t="n">
        <v>24.773</v>
      </c>
      <c r="H4100" s="32" t="inlineStr">
        <is>
          <t>bb</t>
        </is>
      </c>
      <c r="K4100" s="32" t="inlineStr">
        <is>
          <t>20250514-48</t>
        </is>
      </c>
    </row>
    <row r="4101">
      <c r="A4101" s="32" t="n">
        <v>38</v>
      </c>
      <c r="B4101" s="32" t="inlineStr">
        <is>
          <t>MeOH</t>
        </is>
      </c>
      <c r="D4101" s="32" t="n">
        <v>13.06</v>
      </c>
      <c r="E4101" s="32" t="n">
        <v>107.402</v>
      </c>
      <c r="G4101" s="32" t="n">
        <v>2.516</v>
      </c>
      <c r="H4101" s="32" t="inlineStr">
        <is>
          <t>bb</t>
        </is>
      </c>
      <c r="K4101" s="32" t="inlineStr">
        <is>
          <t>20250514-49</t>
        </is>
      </c>
    </row>
    <row r="4102">
      <c r="A4102" s="32" t="n">
        <v>39</v>
      </c>
      <c r="B4102" s="32" t="inlineStr">
        <is>
          <t>K3-3A</t>
        </is>
      </c>
      <c r="D4102" s="32" t="n">
        <v>13.08</v>
      </c>
      <c r="E4102" s="32" t="n">
        <v>2893.752</v>
      </c>
      <c r="F4102" s="32" t="n">
        <v>8410.066000000001</v>
      </c>
      <c r="G4102" s="32" t="n">
        <v>202.815</v>
      </c>
      <c r="H4102" s="32" t="inlineStr">
        <is>
          <t>bb</t>
        </is>
      </c>
      <c r="K4102" s="32" t="inlineStr">
        <is>
          <t>20250514-50</t>
        </is>
      </c>
    </row>
    <row r="4103">
      <c r="A4103" s="32" t="n">
        <v>40</v>
      </c>
      <c r="B4103" s="32" t="inlineStr">
        <is>
          <t>K3-3B</t>
        </is>
      </c>
      <c r="D4103" s="32" t="n">
        <v>13.11</v>
      </c>
      <c r="E4103" s="32" t="n">
        <v>3141.079</v>
      </c>
      <c r="F4103" s="32" t="n">
        <v>8557.771000000001</v>
      </c>
      <c r="G4103" s="32" t="n">
        <v>29.922</v>
      </c>
      <c r="H4103" s="32" t="inlineStr">
        <is>
          <t>MM</t>
        </is>
      </c>
      <c r="K4103" s="32" t="inlineStr">
        <is>
          <t>20250514-51</t>
        </is>
      </c>
    </row>
    <row r="4104">
      <c r="A4104" s="32" t="n">
        <v>41</v>
      </c>
      <c r="B4104" s="32" t="inlineStr">
        <is>
          <t>K3-3C</t>
        </is>
      </c>
      <c r="D4104" s="32" t="n">
        <v>13.09</v>
      </c>
      <c r="E4104" s="32" t="n">
        <v>2671.486</v>
      </c>
      <c r="F4104" s="32" t="n">
        <v>9876.084000000001</v>
      </c>
      <c r="G4104" s="32" t="n">
        <v>217.829</v>
      </c>
      <c r="H4104" s="32" t="inlineStr">
        <is>
          <t>bb</t>
        </is>
      </c>
      <c r="K4104" s="32" t="inlineStr">
        <is>
          <t>20250514-52</t>
        </is>
      </c>
    </row>
    <row r="4105">
      <c r="A4105" s="32" t="n">
        <v>42</v>
      </c>
      <c r="B4105" s="32" t="inlineStr">
        <is>
          <t>K3-4A</t>
        </is>
      </c>
      <c r="D4105" s="32" t="n">
        <v>13.15</v>
      </c>
      <c r="E4105" s="32" t="n">
        <v>3332.664</v>
      </c>
      <c r="F4105" s="32" t="n">
        <v>10133.361</v>
      </c>
      <c r="G4105" s="32" t="n">
        <v>88.316</v>
      </c>
      <c r="H4105" s="32" t="inlineStr">
        <is>
          <t>MM</t>
        </is>
      </c>
      <c r="K4105" s="32" t="inlineStr">
        <is>
          <t>20250514-53</t>
        </is>
      </c>
    </row>
    <row r="4106">
      <c r="A4106" s="32" t="n">
        <v>43</v>
      </c>
      <c r="B4106" s="32" t="inlineStr">
        <is>
          <t>K3-4B</t>
        </is>
      </c>
      <c r="D4106" s="32" t="n">
        <v>13.13</v>
      </c>
      <c r="E4106" s="32" t="n">
        <v>3035.029</v>
      </c>
      <c r="F4106" s="32" t="n">
        <v>10043.649</v>
      </c>
      <c r="G4106" s="32" t="n">
        <v>101.189</v>
      </c>
      <c r="H4106" s="32" t="inlineStr">
        <is>
          <t>MM</t>
        </is>
      </c>
      <c r="K4106" s="32" t="inlineStr">
        <is>
          <t>20250514-54</t>
        </is>
      </c>
    </row>
    <row r="4107">
      <c r="A4107" s="32" t="n">
        <v>44</v>
      </c>
      <c r="B4107" s="32" t="inlineStr">
        <is>
          <t>K3-4C</t>
        </is>
      </c>
      <c r="D4107" s="32" t="n">
        <v>13.17</v>
      </c>
      <c r="E4107" s="32" t="n">
        <v>3197.22</v>
      </c>
      <c r="F4107" s="32" t="n">
        <v>9604.054</v>
      </c>
      <c r="G4107" s="32" t="n">
        <v>252.285</v>
      </c>
      <c r="H4107" s="32" t="inlineStr">
        <is>
          <t>MM</t>
        </is>
      </c>
      <c r="K4107" s="32" t="inlineStr">
        <is>
          <t>20250514-55</t>
        </is>
      </c>
    </row>
    <row r="4108">
      <c r="A4108" s="32" t="n">
        <v>45</v>
      </c>
      <c r="B4108" s="32" t="inlineStr">
        <is>
          <t>MeOH</t>
        </is>
      </c>
      <c r="H4108" s="32" t="inlineStr">
        <is>
          <t>MM-</t>
        </is>
      </c>
      <c r="K4108" s="32" t="inlineStr">
        <is>
          <t>20250514-56</t>
        </is>
      </c>
    </row>
    <row r="4109">
      <c r="A4109" s="32" t="n">
        <v>46</v>
      </c>
      <c r="B4109" s="32" t="inlineStr">
        <is>
          <t>K3-6A</t>
        </is>
      </c>
      <c r="D4109" s="32" t="n">
        <v>13.17</v>
      </c>
      <c r="E4109" s="32" t="n">
        <v>2168.728</v>
      </c>
      <c r="F4109" s="32" t="n">
        <v>9362.067999999999</v>
      </c>
      <c r="G4109" s="32" t="n">
        <v>77.51600000000001</v>
      </c>
      <c r="H4109" s="32" t="inlineStr">
        <is>
          <t>bb</t>
        </is>
      </c>
      <c r="K4109" s="32" t="inlineStr">
        <is>
          <t>20250514-57</t>
        </is>
      </c>
    </row>
    <row r="4110">
      <c r="A4110" s="32" t="n">
        <v>47</v>
      </c>
      <c r="B4110" s="32" t="inlineStr">
        <is>
          <t>K3-6B</t>
        </is>
      </c>
      <c r="D4110" s="32" t="n">
        <v>13.15</v>
      </c>
      <c r="E4110" s="32" t="n">
        <v>1967.774</v>
      </c>
      <c r="F4110" s="32" t="n">
        <v>7438.873</v>
      </c>
      <c r="G4110" s="32" t="n">
        <v>85.624</v>
      </c>
      <c r="H4110" s="32" t="inlineStr">
        <is>
          <t>bb</t>
        </is>
      </c>
      <c r="K4110" s="32" t="inlineStr">
        <is>
          <t>20250514-58</t>
        </is>
      </c>
    </row>
    <row r="4111">
      <c r="A4111" s="32" t="n">
        <v>48</v>
      </c>
      <c r="B4111" s="32" t="inlineStr">
        <is>
          <t>K3-6C</t>
        </is>
      </c>
      <c r="D4111" s="32" t="n">
        <v>13.16</v>
      </c>
      <c r="E4111" s="32" t="n">
        <v>1822.744</v>
      </c>
      <c r="F4111" s="32" t="n">
        <v>7497.73</v>
      </c>
      <c r="G4111" s="32" t="n">
        <v>19.825</v>
      </c>
      <c r="H4111" s="32" t="inlineStr">
        <is>
          <t>bb</t>
        </is>
      </c>
      <c r="K4111" s="32" t="inlineStr">
        <is>
          <t>20250514-59</t>
        </is>
      </c>
    </row>
    <row r="4113">
      <c r="A4113" s="32" t="inlineStr">
        <is>
          <t>Compound 80:  PFOS 2</t>
        </is>
      </c>
    </row>
    <row r="4115">
      <c r="B4115" s="32" t="inlineStr">
        <is>
          <t>Sample Text</t>
        </is>
      </c>
      <c r="C4115" s="32" t="inlineStr">
        <is>
          <t>Std. Conc</t>
        </is>
      </c>
      <c r="D4115" s="32" t="inlineStr">
        <is>
          <t>RT</t>
        </is>
      </c>
      <c r="E4115" s="32" t="inlineStr">
        <is>
          <t>Area</t>
        </is>
      </c>
      <c r="F4115" s="32" t="inlineStr">
        <is>
          <t>IS Area</t>
        </is>
      </c>
      <c r="G4115" s="32" t="inlineStr">
        <is>
          <t>S/N</t>
        </is>
      </c>
      <c r="H4115" s="32" t="inlineStr">
        <is>
          <t>Primary Flags</t>
        </is>
      </c>
      <c r="I4115" s="32" t="inlineStr">
        <is>
          <t>Response</t>
        </is>
      </c>
      <c r="J4115" s="32" t="inlineStr">
        <is>
          <t>Conc.</t>
        </is>
      </c>
      <c r="K4115" s="32" t="inlineStr">
        <is>
          <t>Name</t>
        </is>
      </c>
    </row>
    <row r="4116">
      <c r="A4116" s="32" t="n">
        <v>1</v>
      </c>
      <c r="B4116" s="32" t="inlineStr">
        <is>
          <t>EPA1633 &amp; diPAPs Calibration 0 ppb</t>
        </is>
      </c>
      <c r="D4116" s="32" t="n">
        <v>13.04</v>
      </c>
      <c r="E4116" s="32" t="n">
        <v>183.445</v>
      </c>
      <c r="F4116" s="32" t="n">
        <v>16637.717</v>
      </c>
      <c r="G4116" s="32" t="n">
        <v>2.648</v>
      </c>
      <c r="H4116" s="32" t="inlineStr">
        <is>
          <t>MM</t>
        </is>
      </c>
      <c r="K4116" s="32" t="inlineStr">
        <is>
          <t>20250514-12</t>
        </is>
      </c>
    </row>
    <row r="4117">
      <c r="A4117" s="32" t="n">
        <v>2</v>
      </c>
      <c r="B4117" s="32" t="inlineStr">
        <is>
          <t>EPA1633 &amp; diPAPs Calibration 0.02 ppb</t>
        </is>
      </c>
      <c r="D4117" s="32" t="n">
        <v>13.04</v>
      </c>
      <c r="E4117" s="32" t="n">
        <v>306.318</v>
      </c>
      <c r="F4117" s="32" t="n">
        <v>14442.151</v>
      </c>
      <c r="G4117" s="32" t="n">
        <v>16.557</v>
      </c>
      <c r="H4117" s="32" t="inlineStr">
        <is>
          <t>bb</t>
        </is>
      </c>
      <c r="K4117" s="32" t="inlineStr">
        <is>
          <t>20250514-13</t>
        </is>
      </c>
    </row>
    <row r="4118">
      <c r="A4118" s="32" t="n">
        <v>3</v>
      </c>
      <c r="B4118" s="32" t="inlineStr">
        <is>
          <t>EPA1633 &amp; diPAPs Calibration 0.1 ppb</t>
        </is>
      </c>
      <c r="D4118" s="32" t="n">
        <v>13.04</v>
      </c>
      <c r="E4118" s="32" t="n">
        <v>448.289</v>
      </c>
      <c r="F4118" s="32" t="n">
        <v>14939.226</v>
      </c>
      <c r="G4118" s="32" t="n">
        <v>14.382</v>
      </c>
      <c r="H4118" s="32" t="inlineStr">
        <is>
          <t>MM</t>
        </is>
      </c>
      <c r="K4118" s="32" t="inlineStr">
        <is>
          <t>20250514-14</t>
        </is>
      </c>
    </row>
    <row r="4119">
      <c r="A4119" s="32" t="n">
        <v>4</v>
      </c>
      <c r="B4119" s="32" t="inlineStr">
        <is>
          <t>EPA1633 &amp; diPAPs Calibration 0.4 ppb</t>
        </is>
      </c>
      <c r="D4119" s="32" t="n">
        <v>13.04</v>
      </c>
      <c r="E4119" s="32" t="n">
        <v>1127.916</v>
      </c>
      <c r="F4119" s="32" t="n">
        <v>14017.551</v>
      </c>
      <c r="G4119" s="32" t="n">
        <v>25.434</v>
      </c>
      <c r="H4119" s="32" t="inlineStr">
        <is>
          <t>bb</t>
        </is>
      </c>
      <c r="K4119" s="32" t="inlineStr">
        <is>
          <t>20250514-15</t>
        </is>
      </c>
    </row>
    <row r="4120">
      <c r="A4120" s="32" t="n">
        <v>5</v>
      </c>
      <c r="B4120" s="32" t="inlineStr">
        <is>
          <t>EPA1633 &amp; diPAPs Calibration 1 ppb</t>
        </is>
      </c>
      <c r="D4120" s="32" t="n">
        <v>13.05</v>
      </c>
      <c r="E4120" s="32" t="n">
        <v>1860.092</v>
      </c>
      <c r="F4120" s="32" t="n">
        <v>15819.927</v>
      </c>
      <c r="G4120" s="32" t="n">
        <v>34.247</v>
      </c>
      <c r="H4120" s="32" t="inlineStr">
        <is>
          <t>MM</t>
        </is>
      </c>
      <c r="K4120" s="32" t="inlineStr">
        <is>
          <t>20250514-16</t>
        </is>
      </c>
    </row>
    <row r="4121">
      <c r="A4121" s="32" t="n">
        <v>6</v>
      </c>
      <c r="B4121" s="32" t="inlineStr">
        <is>
          <t>EPA1633 &amp; diPAPs Calibration 5 ppb</t>
        </is>
      </c>
      <c r="D4121" s="32" t="n">
        <v>12.96</v>
      </c>
      <c r="E4121" s="32" t="n">
        <v>6920.113</v>
      </c>
      <c r="F4121" s="32" t="n">
        <v>14259.822</v>
      </c>
      <c r="G4121" s="32" t="n">
        <v>426.75</v>
      </c>
      <c r="H4121" s="32" t="inlineStr">
        <is>
          <t>MM</t>
        </is>
      </c>
      <c r="K4121" s="32" t="inlineStr">
        <is>
          <t>20250514-17</t>
        </is>
      </c>
    </row>
    <row r="4122">
      <c r="A4122" s="32" t="n">
        <v>7</v>
      </c>
      <c r="B4122" s="32" t="inlineStr">
        <is>
          <t>EPA1633 &amp; diPAPs Calibration 10 ppb</t>
        </is>
      </c>
      <c r="D4122" s="32" t="n">
        <v>12.98</v>
      </c>
      <c r="E4122" s="32" t="n">
        <v>13270.287</v>
      </c>
      <c r="F4122" s="32" t="n">
        <v>11049.457</v>
      </c>
      <c r="G4122" s="32" t="n">
        <v>491.71</v>
      </c>
      <c r="H4122" s="32" t="inlineStr">
        <is>
          <t>MM</t>
        </is>
      </c>
      <c r="K4122" s="32" t="inlineStr">
        <is>
          <t>20250514-18</t>
        </is>
      </c>
    </row>
    <row r="4123">
      <c r="A4123" s="32" t="n">
        <v>8</v>
      </c>
      <c r="B4123" s="32" t="inlineStr">
        <is>
          <t>EPA1633 &amp; diPAPs Calibration 20 ppb</t>
        </is>
      </c>
      <c r="D4123" s="32" t="n">
        <v>13.01</v>
      </c>
      <c r="E4123" s="32" t="n">
        <v>27512.781</v>
      </c>
      <c r="F4123" s="32" t="n">
        <v>12460.612</v>
      </c>
      <c r="G4123" s="32" t="n">
        <v>1328.42</v>
      </c>
      <c r="H4123" s="32" t="inlineStr">
        <is>
          <t>MM</t>
        </is>
      </c>
      <c r="K4123" s="32" t="inlineStr">
        <is>
          <t>20250514-19</t>
        </is>
      </c>
    </row>
    <row r="4124">
      <c r="A4124" s="32" t="n">
        <v>9</v>
      </c>
      <c r="B4124" s="32" t="inlineStr">
        <is>
          <t>MeOH</t>
        </is>
      </c>
      <c r="D4124" s="32" t="n">
        <v>13.05</v>
      </c>
      <c r="E4124" s="32" t="n">
        <v>254.963</v>
      </c>
      <c r="F4124" s="32" t="n">
        <v>4.973</v>
      </c>
      <c r="G4124" s="32" t="n">
        <v>12.046</v>
      </c>
      <c r="H4124" s="32" t="inlineStr">
        <is>
          <t>bb</t>
        </is>
      </c>
      <c r="K4124" s="32" t="inlineStr">
        <is>
          <t>20250514-20</t>
        </is>
      </c>
    </row>
    <row r="4125">
      <c r="A4125" s="32" t="n">
        <v>10</v>
      </c>
      <c r="B4125" s="32" t="inlineStr">
        <is>
          <t>MeOH</t>
        </is>
      </c>
      <c r="F4125" s="32" t="n">
        <v>0.6820000000000001</v>
      </c>
      <c r="K4125" s="32" t="inlineStr">
        <is>
          <t>20250514-21</t>
        </is>
      </c>
    </row>
    <row r="4126">
      <c r="A4126" s="32" t="n">
        <v>11</v>
      </c>
      <c r="B4126" s="32" t="inlineStr">
        <is>
          <t>SB1</t>
        </is>
      </c>
      <c r="D4126" s="32" t="n">
        <v>13.06</v>
      </c>
      <c r="E4126" s="32" t="n">
        <v>398.226</v>
      </c>
      <c r="F4126" s="32" t="n">
        <v>6414.278</v>
      </c>
      <c r="G4126" s="32" t="n">
        <v>18.197</v>
      </c>
      <c r="H4126" s="32" t="inlineStr">
        <is>
          <t>bb</t>
        </is>
      </c>
      <c r="K4126" s="32" t="inlineStr">
        <is>
          <t>20250514-22</t>
        </is>
      </c>
    </row>
    <row r="4127">
      <c r="A4127" s="32" t="n">
        <v>12</v>
      </c>
      <c r="B4127" s="32" t="inlineStr">
        <is>
          <t>SB2</t>
        </is>
      </c>
      <c r="D4127" s="32" t="n">
        <v>13.06</v>
      </c>
      <c r="E4127" s="32" t="n">
        <v>248.303</v>
      </c>
      <c r="F4127" s="32" t="n">
        <v>5459.898</v>
      </c>
      <c r="G4127" s="32" t="n">
        <v>7.355</v>
      </c>
      <c r="H4127" s="32" t="inlineStr">
        <is>
          <t>bb</t>
        </is>
      </c>
      <c r="K4127" s="32" t="inlineStr">
        <is>
          <t>20250514-23</t>
        </is>
      </c>
    </row>
    <row r="4128">
      <c r="A4128" s="32" t="n">
        <v>13</v>
      </c>
      <c r="B4128" s="32" t="inlineStr">
        <is>
          <t>SB3</t>
        </is>
      </c>
      <c r="D4128" s="32" t="n">
        <v>13.04</v>
      </c>
      <c r="E4128" s="32" t="n">
        <v>357.179</v>
      </c>
      <c r="F4128" s="32" t="n">
        <v>5569.052</v>
      </c>
      <c r="G4128" s="32" t="n">
        <v>11.125</v>
      </c>
      <c r="H4128" s="32" t="inlineStr">
        <is>
          <t>bb</t>
        </is>
      </c>
      <c r="K4128" s="32" t="inlineStr">
        <is>
          <t>20250514-24</t>
        </is>
      </c>
    </row>
    <row r="4129">
      <c r="A4129" s="32" t="n">
        <v>14</v>
      </c>
      <c r="B4129" s="32" t="inlineStr">
        <is>
          <t>SS1</t>
        </is>
      </c>
      <c r="D4129" s="32" t="n">
        <v>13.08</v>
      </c>
      <c r="E4129" s="32" t="n">
        <v>7193.143</v>
      </c>
      <c r="F4129" s="32" t="n">
        <v>5405.744</v>
      </c>
      <c r="G4129" s="32" t="n">
        <v>44.969</v>
      </c>
      <c r="H4129" s="32" t="inlineStr">
        <is>
          <t>bb</t>
        </is>
      </c>
      <c r="K4129" s="32" t="inlineStr">
        <is>
          <t>20250514-25</t>
        </is>
      </c>
    </row>
    <row r="4130">
      <c r="A4130" s="32" t="n">
        <v>15</v>
      </c>
      <c r="B4130" s="32" t="inlineStr">
        <is>
          <t>SS2</t>
        </is>
      </c>
      <c r="D4130" s="32" t="n">
        <v>13.09</v>
      </c>
      <c r="E4130" s="32" t="n">
        <v>7545.697</v>
      </c>
      <c r="F4130" s="32" t="n">
        <v>5358.604</v>
      </c>
      <c r="G4130" s="32" t="n">
        <v>62.585</v>
      </c>
      <c r="H4130" s="32" t="inlineStr">
        <is>
          <t>bb</t>
        </is>
      </c>
      <c r="K4130" s="32" t="inlineStr">
        <is>
          <t>20250514-26</t>
        </is>
      </c>
    </row>
    <row r="4131">
      <c r="A4131" s="32" t="n">
        <v>16</v>
      </c>
      <c r="B4131" s="32" t="inlineStr">
        <is>
          <t>SS3</t>
        </is>
      </c>
      <c r="D4131" s="32" t="n">
        <v>13.09</v>
      </c>
      <c r="E4131" s="32" t="n">
        <v>6605.225</v>
      </c>
      <c r="F4131" s="32" t="n">
        <v>5299.512</v>
      </c>
      <c r="G4131" s="32" t="n">
        <v>124.756</v>
      </c>
      <c r="H4131" s="32" t="inlineStr">
        <is>
          <t>bb</t>
        </is>
      </c>
      <c r="K4131" s="32" t="inlineStr">
        <is>
          <t>20250514-27</t>
        </is>
      </c>
    </row>
    <row r="4132">
      <c r="A4132" s="32" t="n">
        <v>17</v>
      </c>
      <c r="B4132" s="32" t="inlineStr">
        <is>
          <t>MeOH</t>
        </is>
      </c>
      <c r="D4132" s="32" t="n">
        <v>12.49</v>
      </c>
      <c r="E4132" s="32" t="n">
        <v>24.438</v>
      </c>
      <c r="G4132" s="32" t="n">
        <v>1.832</v>
      </c>
      <c r="H4132" s="32" t="inlineStr">
        <is>
          <t>bb</t>
        </is>
      </c>
      <c r="K4132" s="32" t="inlineStr">
        <is>
          <t>20250514-28</t>
        </is>
      </c>
    </row>
    <row r="4133">
      <c r="A4133" s="32" t="n">
        <v>18</v>
      </c>
      <c r="B4133" s="32" t="inlineStr">
        <is>
          <t>K4-1A</t>
        </is>
      </c>
      <c r="D4133" s="32" t="n">
        <v>13.09</v>
      </c>
      <c r="E4133" s="32" t="n">
        <v>1536.253</v>
      </c>
      <c r="F4133" s="32" t="n">
        <v>7333.607</v>
      </c>
      <c r="G4133" s="32" t="n">
        <v>9.004</v>
      </c>
      <c r="H4133" s="32" t="inlineStr">
        <is>
          <t>bb</t>
        </is>
      </c>
      <c r="K4133" s="32" t="inlineStr">
        <is>
          <t>20250514-29</t>
        </is>
      </c>
    </row>
    <row r="4134">
      <c r="A4134" s="32" t="n">
        <v>19</v>
      </c>
      <c r="B4134" s="32" t="inlineStr">
        <is>
          <t>K4-1B</t>
        </is>
      </c>
      <c r="D4134" s="32" t="n">
        <v>13.11</v>
      </c>
      <c r="E4134" s="32" t="n">
        <v>1282.198</v>
      </c>
      <c r="F4134" s="32" t="n">
        <v>7556.923</v>
      </c>
      <c r="G4134" s="32" t="n">
        <v>38.077</v>
      </c>
      <c r="H4134" s="32" t="inlineStr">
        <is>
          <t>bb</t>
        </is>
      </c>
      <c r="K4134" s="32" t="inlineStr">
        <is>
          <t>20250514-30</t>
        </is>
      </c>
    </row>
    <row r="4135">
      <c r="A4135" s="32" t="n">
        <v>20</v>
      </c>
      <c r="B4135" s="32" t="inlineStr">
        <is>
          <t>K4-1C</t>
        </is>
      </c>
      <c r="D4135" s="32" t="n">
        <v>13.12</v>
      </c>
      <c r="E4135" s="32" t="n">
        <v>776.897</v>
      </c>
      <c r="F4135" s="32" t="n">
        <v>7543.019</v>
      </c>
      <c r="G4135" s="32" t="n">
        <v>11.022</v>
      </c>
      <c r="H4135" s="32" t="inlineStr">
        <is>
          <t>bb</t>
        </is>
      </c>
      <c r="K4135" s="32" t="inlineStr">
        <is>
          <t>20250514-31</t>
        </is>
      </c>
    </row>
    <row r="4136">
      <c r="A4136" s="32" t="n">
        <v>21</v>
      </c>
      <c r="B4136" s="32" t="inlineStr">
        <is>
          <t>K4-2A</t>
        </is>
      </c>
      <c r="D4136" s="32" t="n">
        <v>13.14</v>
      </c>
      <c r="E4136" s="32" t="n">
        <v>1139.363</v>
      </c>
      <c r="F4136" s="32" t="n">
        <v>8613.116</v>
      </c>
      <c r="G4136" s="32" t="n">
        <v>7.754</v>
      </c>
      <c r="H4136" s="32" t="inlineStr">
        <is>
          <t>bb</t>
        </is>
      </c>
      <c r="K4136" s="32" t="inlineStr">
        <is>
          <t>20250514-32</t>
        </is>
      </c>
    </row>
    <row r="4137">
      <c r="A4137" s="32" t="n">
        <v>22</v>
      </c>
      <c r="B4137" s="32" t="inlineStr">
        <is>
          <t>K4-2B</t>
        </is>
      </c>
      <c r="D4137" s="32" t="n">
        <v>13.13</v>
      </c>
      <c r="E4137" s="32" t="n">
        <v>1314.566</v>
      </c>
      <c r="F4137" s="32" t="n">
        <v>6789.031</v>
      </c>
      <c r="G4137" s="32" t="n">
        <v>61.25</v>
      </c>
      <c r="H4137" s="32" t="inlineStr">
        <is>
          <t>bb</t>
        </is>
      </c>
      <c r="K4137" s="32" t="inlineStr">
        <is>
          <t>20250514-33</t>
        </is>
      </c>
    </row>
    <row r="4138">
      <c r="A4138" s="32" t="n">
        <v>23</v>
      </c>
      <c r="B4138" s="32" t="inlineStr">
        <is>
          <t>K4-2C</t>
        </is>
      </c>
      <c r="D4138" s="32" t="n">
        <v>13.14</v>
      </c>
      <c r="E4138" s="32" t="n">
        <v>750.04</v>
      </c>
      <c r="F4138" s="32" t="n">
        <v>6441.085</v>
      </c>
      <c r="G4138" s="32" t="n">
        <v>18.338</v>
      </c>
      <c r="H4138" s="32" t="inlineStr">
        <is>
          <t>bb</t>
        </is>
      </c>
      <c r="K4138" s="32" t="inlineStr">
        <is>
          <t>20250514-34</t>
        </is>
      </c>
    </row>
    <row r="4139">
      <c r="A4139" s="32" t="n">
        <v>24</v>
      </c>
      <c r="B4139" s="32" t="inlineStr">
        <is>
          <t>MeOH</t>
        </is>
      </c>
      <c r="D4139" s="32" t="n">
        <v>13.14</v>
      </c>
      <c r="E4139" s="32" t="n">
        <v>45.666</v>
      </c>
      <c r="G4139" s="32" t="n">
        <v>2.614</v>
      </c>
      <c r="H4139" s="32" t="inlineStr">
        <is>
          <t>bb</t>
        </is>
      </c>
      <c r="K4139" s="32" t="inlineStr">
        <is>
          <t>20250514-35</t>
        </is>
      </c>
    </row>
    <row r="4140">
      <c r="A4140" s="32" t="n">
        <v>25</v>
      </c>
      <c r="B4140" s="32" t="inlineStr">
        <is>
          <t>K4-4A</t>
        </is>
      </c>
      <c r="D4140" s="32" t="n">
        <v>13.15</v>
      </c>
      <c r="E4140" s="32" t="n">
        <v>1149.713</v>
      </c>
      <c r="F4140" s="32" t="n">
        <v>6856.379</v>
      </c>
      <c r="G4140" s="32" t="n">
        <v>30.355</v>
      </c>
      <c r="H4140" s="32" t="inlineStr">
        <is>
          <t>bb</t>
        </is>
      </c>
      <c r="K4140" s="32" t="inlineStr">
        <is>
          <t>20250514-36</t>
        </is>
      </c>
    </row>
    <row r="4141">
      <c r="A4141" s="32" t="n">
        <v>26</v>
      </c>
      <c r="B4141" s="32" t="inlineStr">
        <is>
          <t>K4-4B</t>
        </is>
      </c>
      <c r="D4141" s="32" t="n">
        <v>13.14</v>
      </c>
      <c r="E4141" s="32" t="n">
        <v>767.778</v>
      </c>
      <c r="F4141" s="32" t="n">
        <v>8361.857</v>
      </c>
      <c r="G4141" s="32" t="n">
        <v>403.327</v>
      </c>
      <c r="H4141" s="32" t="inlineStr">
        <is>
          <t>bb</t>
        </is>
      </c>
      <c r="K4141" s="32" t="inlineStr">
        <is>
          <t>20250514-37</t>
        </is>
      </c>
    </row>
    <row r="4142">
      <c r="A4142" s="32" t="n">
        <v>27</v>
      </c>
      <c r="B4142" s="32" t="inlineStr">
        <is>
          <t>K4-4C</t>
        </is>
      </c>
      <c r="D4142" s="32" t="n">
        <v>13.15</v>
      </c>
      <c r="E4142" s="32" t="n">
        <v>1216.649</v>
      </c>
      <c r="F4142" s="32" t="n">
        <v>8247.347</v>
      </c>
      <c r="G4142" s="32" t="n">
        <v>71.76900000000001</v>
      </c>
      <c r="H4142" s="32" t="inlineStr">
        <is>
          <t>bb</t>
        </is>
      </c>
      <c r="K4142" s="32" t="inlineStr">
        <is>
          <t>20250514-38</t>
        </is>
      </c>
    </row>
    <row r="4143">
      <c r="A4143" s="32" t="n">
        <v>28</v>
      </c>
      <c r="B4143" s="32" t="inlineStr">
        <is>
          <t>K4-5A</t>
        </is>
      </c>
      <c r="D4143" s="32" t="n">
        <v>13.14</v>
      </c>
      <c r="E4143" s="32" t="n">
        <v>1059.928</v>
      </c>
      <c r="F4143" s="32" t="n">
        <v>7625.911</v>
      </c>
      <c r="G4143" s="32" t="n">
        <v>32.013</v>
      </c>
      <c r="H4143" s="32" t="inlineStr">
        <is>
          <t>bb</t>
        </is>
      </c>
      <c r="K4143" s="32" t="inlineStr">
        <is>
          <t>20250514-39</t>
        </is>
      </c>
    </row>
    <row r="4144">
      <c r="A4144" s="32" t="n">
        <v>29</v>
      </c>
      <c r="B4144" s="32" t="inlineStr">
        <is>
          <t>K4-5B</t>
        </is>
      </c>
      <c r="D4144" s="32" t="n">
        <v>13.1</v>
      </c>
      <c r="E4144" s="32" t="n">
        <v>1317.595</v>
      </c>
      <c r="F4144" s="32" t="n">
        <v>7830.348</v>
      </c>
      <c r="G4144" s="32" t="n">
        <v>78.464</v>
      </c>
      <c r="H4144" s="32" t="inlineStr">
        <is>
          <t>bb</t>
        </is>
      </c>
      <c r="K4144" s="32" t="inlineStr">
        <is>
          <t>20250514-40</t>
        </is>
      </c>
    </row>
    <row r="4145">
      <c r="A4145" s="32" t="n">
        <v>30</v>
      </c>
      <c r="B4145" s="32" t="inlineStr">
        <is>
          <t>K4-5C</t>
        </is>
      </c>
      <c r="D4145" s="32" t="n">
        <v>13.04</v>
      </c>
      <c r="E4145" s="32" t="n">
        <v>890.364</v>
      </c>
      <c r="F4145" s="32" t="n">
        <v>6655.14</v>
      </c>
      <c r="G4145" s="32" t="n">
        <v>2.584</v>
      </c>
      <c r="H4145" s="32" t="inlineStr">
        <is>
          <t>bb</t>
        </is>
      </c>
      <c r="K4145" s="32" t="inlineStr">
        <is>
          <t>20250514-41</t>
        </is>
      </c>
    </row>
    <row r="4146">
      <c r="A4146" s="32" t="n">
        <v>31</v>
      </c>
      <c r="B4146" s="32" t="inlineStr">
        <is>
          <t>MeOH</t>
        </is>
      </c>
      <c r="D4146" s="32" t="n">
        <v>13.2</v>
      </c>
      <c r="E4146" s="32" t="n">
        <v>2.244</v>
      </c>
      <c r="G4146" s="32" t="n">
        <v>20</v>
      </c>
      <c r="H4146" s="32" t="inlineStr">
        <is>
          <t>bb</t>
        </is>
      </c>
      <c r="K4146" s="32" t="inlineStr">
        <is>
          <t>20250514-42</t>
        </is>
      </c>
    </row>
    <row r="4147">
      <c r="A4147" s="32" t="n">
        <v>32</v>
      </c>
      <c r="B4147" s="32" t="inlineStr">
        <is>
          <t>K3-1A</t>
        </is>
      </c>
      <c r="D4147" s="32" t="n">
        <v>12.98</v>
      </c>
      <c r="E4147" s="32" t="n">
        <v>1600.379</v>
      </c>
      <c r="F4147" s="32" t="n">
        <v>8732.843000000001</v>
      </c>
      <c r="G4147" s="32" t="n">
        <v>59.3</v>
      </c>
      <c r="H4147" s="32" t="inlineStr">
        <is>
          <t>bb</t>
        </is>
      </c>
      <c r="K4147" s="32" t="inlineStr">
        <is>
          <t>20250514-43</t>
        </is>
      </c>
    </row>
    <row r="4148">
      <c r="A4148" s="32" t="n">
        <v>33</v>
      </c>
      <c r="B4148" s="32" t="inlineStr">
        <is>
          <t>K3-1B</t>
        </is>
      </c>
      <c r="D4148" s="32" t="n">
        <v>12.99</v>
      </c>
      <c r="E4148" s="32" t="n">
        <v>1236.969</v>
      </c>
      <c r="F4148" s="32" t="n">
        <v>7852.211</v>
      </c>
      <c r="G4148" s="32" t="n">
        <v>18.682</v>
      </c>
      <c r="H4148" s="32" t="inlineStr">
        <is>
          <t>bb</t>
        </is>
      </c>
      <c r="K4148" s="32" t="inlineStr">
        <is>
          <t>20250514-44</t>
        </is>
      </c>
    </row>
    <row r="4149">
      <c r="A4149" s="32" t="n">
        <v>34</v>
      </c>
      <c r="B4149" s="32" t="inlineStr">
        <is>
          <t>K3-1C</t>
        </is>
      </c>
      <c r="D4149" s="32" t="n">
        <v>13.05</v>
      </c>
      <c r="E4149" s="32" t="n">
        <v>1215.33</v>
      </c>
      <c r="F4149" s="32" t="n">
        <v>9807.196</v>
      </c>
      <c r="G4149" s="32" t="n">
        <v>60.252</v>
      </c>
      <c r="H4149" s="32" t="inlineStr">
        <is>
          <t>bb</t>
        </is>
      </c>
      <c r="K4149" s="32" t="inlineStr">
        <is>
          <t>20250514-45</t>
        </is>
      </c>
    </row>
    <row r="4150">
      <c r="A4150" s="32" t="n">
        <v>35</v>
      </c>
      <c r="B4150" s="32" t="inlineStr">
        <is>
          <t>K3-2A</t>
        </is>
      </c>
      <c r="D4150" s="32" t="n">
        <v>13.06</v>
      </c>
      <c r="E4150" s="32" t="n">
        <v>1888.139</v>
      </c>
      <c r="F4150" s="32" t="n">
        <v>10189.86</v>
      </c>
      <c r="G4150" s="32" t="n">
        <v>27.073</v>
      </c>
      <c r="H4150" s="32" t="inlineStr">
        <is>
          <t>bb</t>
        </is>
      </c>
      <c r="K4150" s="32" t="inlineStr">
        <is>
          <t>20250514-46</t>
        </is>
      </c>
    </row>
    <row r="4151">
      <c r="A4151" s="32" t="n">
        <v>36</v>
      </c>
      <c r="B4151" s="32" t="inlineStr">
        <is>
          <t>K3-2B</t>
        </is>
      </c>
      <c r="D4151" s="32" t="n">
        <v>13.05</v>
      </c>
      <c r="E4151" s="32" t="n">
        <v>1808.918</v>
      </c>
      <c r="F4151" s="32" t="n">
        <v>10207.86</v>
      </c>
      <c r="G4151" s="32" t="n">
        <v>40.256</v>
      </c>
      <c r="H4151" s="32" t="inlineStr">
        <is>
          <t>bb</t>
        </is>
      </c>
      <c r="K4151" s="32" t="inlineStr">
        <is>
          <t>20250514-47</t>
        </is>
      </c>
    </row>
    <row r="4152">
      <c r="A4152" s="32" t="n">
        <v>37</v>
      </c>
      <c r="B4152" s="32" t="inlineStr">
        <is>
          <t>K3-2C</t>
        </is>
      </c>
      <c r="D4152" s="32" t="n">
        <v>13.05</v>
      </c>
      <c r="E4152" s="32" t="n">
        <v>1608.677</v>
      </c>
      <c r="F4152" s="32" t="n">
        <v>8814.884</v>
      </c>
      <c r="G4152" s="32" t="n">
        <v>71.934</v>
      </c>
      <c r="H4152" s="32" t="inlineStr">
        <is>
          <t>bb</t>
        </is>
      </c>
      <c r="K4152" s="32" t="inlineStr">
        <is>
          <t>20250514-48</t>
        </is>
      </c>
    </row>
    <row r="4153">
      <c r="A4153" s="32" t="n">
        <v>38</v>
      </c>
      <c r="B4153" s="32" t="inlineStr">
        <is>
          <t>MeOH</t>
        </is>
      </c>
      <c r="D4153" s="32" t="n">
        <v>13.69</v>
      </c>
      <c r="E4153" s="32" t="n">
        <v>75.74299999999999</v>
      </c>
      <c r="G4153" s="32" t="n">
        <v>587</v>
      </c>
      <c r="H4153" s="32" t="inlineStr">
        <is>
          <t>bb</t>
        </is>
      </c>
      <c r="K4153" s="32" t="inlineStr">
        <is>
          <t>20250514-49</t>
        </is>
      </c>
    </row>
    <row r="4154">
      <c r="A4154" s="32" t="n">
        <v>39</v>
      </c>
      <c r="B4154" s="32" t="inlineStr">
        <is>
          <t>K3-3A</t>
        </is>
      </c>
      <c r="D4154" s="32" t="n">
        <v>13.08</v>
      </c>
      <c r="E4154" s="32" t="n">
        <v>1766.249</v>
      </c>
      <c r="F4154" s="32" t="n">
        <v>8410.066000000001</v>
      </c>
      <c r="G4154" s="32" t="n">
        <v>80.077</v>
      </c>
      <c r="H4154" s="32" t="inlineStr">
        <is>
          <t>bb</t>
        </is>
      </c>
      <c r="K4154" s="32" t="inlineStr">
        <is>
          <t>20250514-50</t>
        </is>
      </c>
    </row>
    <row r="4155">
      <c r="A4155" s="32" t="n">
        <v>40</v>
      </c>
      <c r="B4155" s="32" t="inlineStr">
        <is>
          <t>K3-3B</t>
        </is>
      </c>
      <c r="D4155" s="32" t="n">
        <v>13.09</v>
      </c>
      <c r="E4155" s="32" t="n">
        <v>1696.104</v>
      </c>
      <c r="F4155" s="32" t="n">
        <v>8557.771000000001</v>
      </c>
      <c r="G4155" s="32" t="n">
        <v>61.748</v>
      </c>
      <c r="H4155" s="32" t="inlineStr">
        <is>
          <t>bb</t>
        </is>
      </c>
      <c r="K4155" s="32" t="inlineStr">
        <is>
          <t>20250514-51</t>
        </is>
      </c>
    </row>
    <row r="4156">
      <c r="A4156" s="32" t="n">
        <v>41</v>
      </c>
      <c r="B4156" s="32" t="inlineStr">
        <is>
          <t>K3-3C</t>
        </is>
      </c>
      <c r="D4156" s="32" t="n">
        <v>13.09</v>
      </c>
      <c r="E4156" s="32" t="n">
        <v>1949.417</v>
      </c>
      <c r="F4156" s="32" t="n">
        <v>9876.084000000001</v>
      </c>
      <c r="G4156" s="32" t="n">
        <v>129.684</v>
      </c>
      <c r="H4156" s="32" t="inlineStr">
        <is>
          <t>bb</t>
        </is>
      </c>
      <c r="K4156" s="32" t="inlineStr">
        <is>
          <t>20250514-52</t>
        </is>
      </c>
    </row>
    <row r="4157">
      <c r="A4157" s="32" t="n">
        <v>42</v>
      </c>
      <c r="B4157" s="32" t="inlineStr">
        <is>
          <t>K3-4A</t>
        </is>
      </c>
      <c r="D4157" s="32" t="n">
        <v>13.15</v>
      </c>
      <c r="E4157" s="32" t="n">
        <v>2442.583</v>
      </c>
      <c r="F4157" s="32" t="n">
        <v>10133.361</v>
      </c>
      <c r="G4157" s="32" t="n">
        <v>230.188</v>
      </c>
      <c r="H4157" s="32" t="inlineStr">
        <is>
          <t>bb</t>
        </is>
      </c>
      <c r="K4157" s="32" t="inlineStr">
        <is>
          <t>20250514-53</t>
        </is>
      </c>
    </row>
    <row r="4158">
      <c r="A4158" s="32" t="n">
        <v>43</v>
      </c>
      <c r="B4158" s="32" t="inlineStr">
        <is>
          <t>K3-4B</t>
        </is>
      </c>
      <c r="D4158" s="32" t="n">
        <v>13.11</v>
      </c>
      <c r="E4158" s="32" t="n">
        <v>2765.527</v>
      </c>
      <c r="F4158" s="32" t="n">
        <v>10043.649</v>
      </c>
      <c r="G4158" s="32" t="n">
        <v>40.979</v>
      </c>
      <c r="H4158" s="32" t="inlineStr">
        <is>
          <t>bb</t>
        </is>
      </c>
      <c r="K4158" s="32" t="inlineStr">
        <is>
          <t>20250514-54</t>
        </is>
      </c>
    </row>
    <row r="4159">
      <c r="A4159" s="32" t="n">
        <v>44</v>
      </c>
      <c r="B4159" s="32" t="inlineStr">
        <is>
          <t>K3-4C</t>
        </is>
      </c>
      <c r="D4159" s="32" t="n">
        <v>13.17</v>
      </c>
      <c r="E4159" s="32" t="n">
        <v>2225.771</v>
      </c>
      <c r="F4159" s="32" t="n">
        <v>9604.054</v>
      </c>
      <c r="G4159" s="32" t="n">
        <v>83.89</v>
      </c>
      <c r="H4159" s="32" t="inlineStr">
        <is>
          <t>bb</t>
        </is>
      </c>
      <c r="K4159" s="32" t="inlineStr">
        <is>
          <t>20250514-55</t>
        </is>
      </c>
    </row>
    <row r="4160">
      <c r="A4160" s="32" t="n">
        <v>45</v>
      </c>
      <c r="B4160" s="32" t="inlineStr">
        <is>
          <t>MeOH</t>
        </is>
      </c>
      <c r="D4160" s="32" t="n">
        <v>13.28</v>
      </c>
      <c r="E4160" s="32" t="n">
        <v>88.68899999999999</v>
      </c>
      <c r="G4160" s="32" t="n">
        <v>1.698</v>
      </c>
      <c r="H4160" s="32" t="inlineStr">
        <is>
          <t>bb</t>
        </is>
      </c>
      <c r="K4160" s="32" t="inlineStr">
        <is>
          <t>20250514-56</t>
        </is>
      </c>
    </row>
    <row r="4161">
      <c r="A4161" s="32" t="n">
        <v>46</v>
      </c>
      <c r="B4161" s="32" t="inlineStr">
        <is>
          <t>K3-6A</t>
        </is>
      </c>
      <c r="D4161" s="32" t="n">
        <v>13.17</v>
      </c>
      <c r="E4161" s="32" t="n">
        <v>1365.062</v>
      </c>
      <c r="F4161" s="32" t="n">
        <v>9362.067999999999</v>
      </c>
      <c r="G4161" s="32" t="n">
        <v>99.06999999999999</v>
      </c>
      <c r="H4161" s="32" t="inlineStr">
        <is>
          <t>bb</t>
        </is>
      </c>
      <c r="K4161" s="32" t="inlineStr">
        <is>
          <t>20250514-57</t>
        </is>
      </c>
    </row>
    <row r="4162">
      <c r="A4162" s="32" t="n">
        <v>47</v>
      </c>
      <c r="B4162" s="32" t="inlineStr">
        <is>
          <t>K3-6B</t>
        </is>
      </c>
      <c r="D4162" s="32" t="n">
        <v>13.15</v>
      </c>
      <c r="E4162" s="32" t="n">
        <v>900.9450000000001</v>
      </c>
      <c r="F4162" s="32" t="n">
        <v>7438.873</v>
      </c>
      <c r="G4162" s="32" t="n">
        <v>19.358</v>
      </c>
      <c r="H4162" s="32" t="inlineStr">
        <is>
          <t>bb</t>
        </is>
      </c>
      <c r="K4162" s="32" t="inlineStr">
        <is>
          <t>20250514-58</t>
        </is>
      </c>
    </row>
    <row r="4163">
      <c r="A4163" s="32" t="n">
        <v>48</v>
      </c>
      <c r="B4163" s="32" t="inlineStr">
        <is>
          <t>K3-6C</t>
        </is>
      </c>
      <c r="D4163" s="32" t="n">
        <v>13.14</v>
      </c>
      <c r="E4163" s="32" t="n">
        <v>1134.604</v>
      </c>
      <c r="F4163" s="32" t="n">
        <v>7497.73</v>
      </c>
      <c r="G4163" s="32" t="n">
        <v>34.675</v>
      </c>
      <c r="H4163" s="32" t="inlineStr">
        <is>
          <t>bb</t>
        </is>
      </c>
      <c r="K4163" s="32" t="inlineStr">
        <is>
          <t>20250514-59</t>
        </is>
      </c>
    </row>
    <row r="4165">
      <c r="A4165" s="32" t="inlineStr">
        <is>
          <t>Compound 81:  m4 PFOS</t>
        </is>
      </c>
    </row>
    <row r="4167">
      <c r="B4167" s="32" t="inlineStr">
        <is>
          <t>Sample Text</t>
        </is>
      </c>
      <c r="C4167" s="32" t="inlineStr">
        <is>
          <t>Std. Conc</t>
        </is>
      </c>
      <c r="D4167" s="32" t="inlineStr">
        <is>
          <t>RT</t>
        </is>
      </c>
      <c r="E4167" s="32" t="inlineStr">
        <is>
          <t>Area</t>
        </is>
      </c>
      <c r="F4167" s="32" t="inlineStr">
        <is>
          <t>IS Area</t>
        </is>
      </c>
      <c r="G4167" s="32" t="inlineStr">
        <is>
          <t>S/N</t>
        </is>
      </c>
      <c r="H4167" s="32" t="inlineStr">
        <is>
          <t>Primary Flags</t>
        </is>
      </c>
      <c r="I4167" s="32" t="inlineStr">
        <is>
          <t>Response</t>
        </is>
      </c>
      <c r="J4167" s="32" t="inlineStr">
        <is>
          <t>Conc.</t>
        </is>
      </c>
      <c r="K4167" s="32" t="inlineStr">
        <is>
          <t>Name</t>
        </is>
      </c>
    </row>
    <row r="4168">
      <c r="A4168" s="32" t="n">
        <v>1</v>
      </c>
      <c r="F4168" s="32" t="n">
        <v>16637.717</v>
      </c>
      <c r="K4168" s="32" t="inlineStr">
        <is>
          <t>20250514-12</t>
        </is>
      </c>
    </row>
    <row r="4169">
      <c r="A4169" s="32" t="n">
        <v>2</v>
      </c>
      <c r="F4169" s="32" t="n">
        <v>14442.151</v>
      </c>
      <c r="K4169" s="32" t="inlineStr">
        <is>
          <t>20250514-13</t>
        </is>
      </c>
    </row>
    <row r="4170">
      <c r="A4170" s="32" t="n">
        <v>3</v>
      </c>
      <c r="F4170" s="32" t="n">
        <v>14939.226</v>
      </c>
      <c r="K4170" s="32" t="inlineStr">
        <is>
          <t>20250514-14</t>
        </is>
      </c>
    </row>
    <row r="4171">
      <c r="A4171" s="32" t="n">
        <v>4</v>
      </c>
      <c r="F4171" s="32" t="n">
        <v>14017.551</v>
      </c>
      <c r="K4171" s="32" t="inlineStr">
        <is>
          <t>20250514-15</t>
        </is>
      </c>
    </row>
    <row r="4172">
      <c r="A4172" s="32" t="n">
        <v>5</v>
      </c>
      <c r="F4172" s="32" t="n">
        <v>15819.927</v>
      </c>
      <c r="K4172" s="32" t="inlineStr">
        <is>
          <t>20250514-16</t>
        </is>
      </c>
    </row>
    <row r="4173">
      <c r="A4173" s="32" t="n">
        <v>6</v>
      </c>
      <c r="F4173" s="32" t="n">
        <v>14259.822</v>
      </c>
      <c r="K4173" s="32" t="inlineStr">
        <is>
          <t>20250514-17</t>
        </is>
      </c>
    </row>
    <row r="4174">
      <c r="A4174" s="32" t="n">
        <v>7</v>
      </c>
      <c r="F4174" s="32" t="n">
        <v>11049.457</v>
      </c>
      <c r="K4174" s="32" t="inlineStr">
        <is>
          <t>20250514-18</t>
        </is>
      </c>
    </row>
    <row r="4175">
      <c r="A4175" s="32" t="n">
        <v>8</v>
      </c>
      <c r="F4175" s="32" t="n">
        <v>12460.612</v>
      </c>
      <c r="K4175" s="32" t="inlineStr">
        <is>
          <t>20250514-19</t>
        </is>
      </c>
    </row>
    <row r="4176">
      <c r="A4176" s="32" t="n">
        <v>9</v>
      </c>
      <c r="F4176" s="32" t="n">
        <v>4.973</v>
      </c>
      <c r="K4176" s="32" t="inlineStr">
        <is>
          <t>20250514-20</t>
        </is>
      </c>
    </row>
    <row r="4177">
      <c r="A4177" s="32" t="n">
        <v>10</v>
      </c>
      <c r="F4177" s="32" t="n">
        <v>0.6820000000000001</v>
      </c>
      <c r="K4177" s="32" t="inlineStr">
        <is>
          <t>20250514-21</t>
        </is>
      </c>
    </row>
    <row r="4178">
      <c r="A4178" s="32" t="n">
        <v>11</v>
      </c>
      <c r="F4178" s="32" t="n">
        <v>6414.278</v>
      </c>
      <c r="K4178" s="32" t="inlineStr">
        <is>
          <t>20250514-22</t>
        </is>
      </c>
    </row>
    <row r="4179">
      <c r="A4179" s="32" t="n">
        <v>12</v>
      </c>
      <c r="F4179" s="32" t="n">
        <v>5459.898</v>
      </c>
      <c r="K4179" s="32" t="inlineStr">
        <is>
          <t>20250514-23</t>
        </is>
      </c>
    </row>
    <row r="4180">
      <c r="A4180" s="32" t="n">
        <v>13</v>
      </c>
      <c r="F4180" s="32" t="n">
        <v>5569.052</v>
      </c>
      <c r="K4180" s="32" t="inlineStr">
        <is>
          <t>20250514-24</t>
        </is>
      </c>
    </row>
    <row r="4181">
      <c r="A4181" s="32" t="n">
        <v>14</v>
      </c>
      <c r="F4181" s="32" t="n">
        <v>5405.744</v>
      </c>
      <c r="K4181" s="32" t="inlineStr">
        <is>
          <t>20250514-25</t>
        </is>
      </c>
    </row>
    <row r="4182">
      <c r="A4182" s="32" t="n">
        <v>15</v>
      </c>
      <c r="F4182" s="32" t="n">
        <v>5358.604</v>
      </c>
      <c r="K4182" s="32" t="inlineStr">
        <is>
          <t>20250514-26</t>
        </is>
      </c>
    </row>
    <row r="4183">
      <c r="A4183" s="32" t="n">
        <v>16</v>
      </c>
      <c r="F4183" s="32" t="n">
        <v>5299.512</v>
      </c>
      <c r="K4183" s="32" t="inlineStr">
        <is>
          <t>20250514-27</t>
        </is>
      </c>
    </row>
    <row r="4184">
      <c r="A4184" s="32" t="n">
        <v>17</v>
      </c>
      <c r="K4184" s="32" t="inlineStr">
        <is>
          <t>20250514-28</t>
        </is>
      </c>
    </row>
    <row r="4185">
      <c r="A4185" s="32" t="n">
        <v>18</v>
      </c>
      <c r="F4185" s="32" t="n">
        <v>7333.607</v>
      </c>
      <c r="K4185" s="32" t="inlineStr">
        <is>
          <t>20250514-29</t>
        </is>
      </c>
    </row>
    <row r="4186">
      <c r="A4186" s="32" t="n">
        <v>19</v>
      </c>
      <c r="F4186" s="32" t="n">
        <v>7556.923</v>
      </c>
      <c r="K4186" s="32" t="inlineStr">
        <is>
          <t>20250514-30</t>
        </is>
      </c>
    </row>
    <row r="4187">
      <c r="A4187" s="32" t="n">
        <v>20</v>
      </c>
      <c r="F4187" s="32" t="n">
        <v>7543.019</v>
      </c>
      <c r="K4187" s="32" t="inlineStr">
        <is>
          <t>20250514-31</t>
        </is>
      </c>
    </row>
    <row r="4188">
      <c r="A4188" s="32" t="n">
        <v>21</v>
      </c>
      <c r="F4188" s="32" t="n">
        <v>8613.116</v>
      </c>
      <c r="K4188" s="32" t="inlineStr">
        <is>
          <t>20250514-32</t>
        </is>
      </c>
    </row>
    <row r="4189">
      <c r="A4189" s="32" t="n">
        <v>22</v>
      </c>
      <c r="F4189" s="32" t="n">
        <v>6789.031</v>
      </c>
      <c r="K4189" s="32" t="inlineStr">
        <is>
          <t>20250514-33</t>
        </is>
      </c>
    </row>
    <row r="4190">
      <c r="A4190" s="32" t="n">
        <v>23</v>
      </c>
      <c r="F4190" s="32" t="n">
        <v>6441.085</v>
      </c>
      <c r="K4190" s="32" t="inlineStr">
        <is>
          <t>20250514-34</t>
        </is>
      </c>
    </row>
    <row r="4191">
      <c r="A4191" s="32" t="n">
        <v>24</v>
      </c>
      <c r="K4191" s="32" t="inlineStr">
        <is>
          <t>20250514-35</t>
        </is>
      </c>
    </row>
    <row r="4192">
      <c r="A4192" s="32" t="n">
        <v>25</v>
      </c>
      <c r="F4192" s="32" t="n">
        <v>6856.379</v>
      </c>
      <c r="K4192" s="32" t="inlineStr">
        <is>
          <t>20250514-36</t>
        </is>
      </c>
    </row>
    <row r="4193">
      <c r="A4193" s="32" t="n">
        <v>26</v>
      </c>
      <c r="F4193" s="32" t="n">
        <v>8361.857</v>
      </c>
      <c r="K4193" s="32" t="inlineStr">
        <is>
          <t>20250514-37</t>
        </is>
      </c>
    </row>
    <row r="4194">
      <c r="A4194" s="32" t="n">
        <v>27</v>
      </c>
      <c r="F4194" s="32" t="n">
        <v>8247.347</v>
      </c>
      <c r="K4194" s="32" t="inlineStr">
        <is>
          <t>20250514-38</t>
        </is>
      </c>
    </row>
    <row r="4195">
      <c r="A4195" s="32" t="n">
        <v>28</v>
      </c>
      <c r="F4195" s="32" t="n">
        <v>7625.911</v>
      </c>
      <c r="K4195" s="32" t="inlineStr">
        <is>
          <t>20250514-39</t>
        </is>
      </c>
    </row>
    <row r="4196">
      <c r="A4196" s="32" t="n">
        <v>29</v>
      </c>
      <c r="F4196" s="32" t="n">
        <v>7830.348</v>
      </c>
      <c r="K4196" s="32" t="inlineStr">
        <is>
          <t>20250514-40</t>
        </is>
      </c>
    </row>
    <row r="4197">
      <c r="A4197" s="32" t="n">
        <v>30</v>
      </c>
      <c r="F4197" s="32" t="n">
        <v>6655.14</v>
      </c>
      <c r="K4197" s="32" t="inlineStr">
        <is>
          <t>20250514-41</t>
        </is>
      </c>
    </row>
    <row r="4198">
      <c r="A4198" s="32" t="n">
        <v>31</v>
      </c>
      <c r="K4198" s="32" t="inlineStr">
        <is>
          <t>20250514-42</t>
        </is>
      </c>
    </row>
    <row r="4199">
      <c r="A4199" s="32" t="n">
        <v>32</v>
      </c>
      <c r="F4199" s="32" t="n">
        <v>8732.843000000001</v>
      </c>
      <c r="K4199" s="32" t="inlineStr">
        <is>
          <t>20250514-43</t>
        </is>
      </c>
    </row>
    <row r="4200">
      <c r="A4200" s="32" t="n">
        <v>33</v>
      </c>
      <c r="F4200" s="32" t="n">
        <v>7852.211</v>
      </c>
      <c r="K4200" s="32" t="inlineStr">
        <is>
          <t>20250514-44</t>
        </is>
      </c>
    </row>
    <row r="4201">
      <c r="A4201" s="32" t="n">
        <v>34</v>
      </c>
      <c r="F4201" s="32" t="n">
        <v>9807.196</v>
      </c>
      <c r="K4201" s="32" t="inlineStr">
        <is>
          <t>20250514-45</t>
        </is>
      </c>
    </row>
    <row r="4202">
      <c r="A4202" s="32" t="n">
        <v>35</v>
      </c>
      <c r="F4202" s="32" t="n">
        <v>10189.86</v>
      </c>
      <c r="K4202" s="32" t="inlineStr">
        <is>
          <t>20250514-46</t>
        </is>
      </c>
    </row>
    <row r="4203">
      <c r="A4203" s="32" t="n">
        <v>36</v>
      </c>
      <c r="F4203" s="32" t="n">
        <v>10207.86</v>
      </c>
      <c r="K4203" s="32" t="inlineStr">
        <is>
          <t>20250514-47</t>
        </is>
      </c>
    </row>
    <row r="4204">
      <c r="A4204" s="32" t="n">
        <v>37</v>
      </c>
      <c r="F4204" s="32" t="n">
        <v>8814.884</v>
      </c>
      <c r="K4204" s="32" t="inlineStr">
        <is>
          <t>20250514-48</t>
        </is>
      </c>
    </row>
    <row r="4205">
      <c r="A4205" s="32" t="n">
        <v>38</v>
      </c>
      <c r="K4205" s="32" t="inlineStr">
        <is>
          <t>20250514-49</t>
        </is>
      </c>
    </row>
    <row r="4206">
      <c r="A4206" s="32" t="n">
        <v>39</v>
      </c>
      <c r="F4206" s="32" t="n">
        <v>8410.066000000001</v>
      </c>
      <c r="K4206" s="32" t="inlineStr">
        <is>
          <t>20250514-50</t>
        </is>
      </c>
    </row>
    <row r="4207">
      <c r="A4207" s="32" t="n">
        <v>40</v>
      </c>
      <c r="F4207" s="32" t="n">
        <v>8557.771000000001</v>
      </c>
      <c r="K4207" s="32" t="inlineStr">
        <is>
          <t>20250514-51</t>
        </is>
      </c>
    </row>
    <row r="4208">
      <c r="A4208" s="32" t="n">
        <v>41</v>
      </c>
      <c r="F4208" s="32" t="n">
        <v>9876.084000000001</v>
      </c>
      <c r="K4208" s="32" t="inlineStr">
        <is>
          <t>20250514-52</t>
        </is>
      </c>
    </row>
    <row r="4209">
      <c r="A4209" s="32" t="n">
        <v>42</v>
      </c>
      <c r="F4209" s="32" t="n">
        <v>10133.361</v>
      </c>
      <c r="K4209" s="32" t="inlineStr">
        <is>
          <t>20250514-53</t>
        </is>
      </c>
    </row>
    <row r="4210">
      <c r="A4210" s="32" t="n">
        <v>43</v>
      </c>
      <c r="F4210" s="32" t="n">
        <v>10043.649</v>
      </c>
      <c r="K4210" s="32" t="inlineStr">
        <is>
          <t>20250514-54</t>
        </is>
      </c>
    </row>
    <row r="4211">
      <c r="A4211" s="32" t="n">
        <v>44</v>
      </c>
      <c r="F4211" s="32" t="n">
        <v>9604.054</v>
      </c>
      <c r="K4211" s="32" t="inlineStr">
        <is>
          <t>20250514-55</t>
        </is>
      </c>
    </row>
    <row r="4212">
      <c r="A4212" s="32" t="n">
        <v>45</v>
      </c>
      <c r="K4212" s="32" t="inlineStr">
        <is>
          <t>20250514-56</t>
        </is>
      </c>
    </row>
    <row r="4213">
      <c r="A4213" s="32" t="n">
        <v>46</v>
      </c>
      <c r="F4213" s="32" t="n">
        <v>9362.067999999999</v>
      </c>
      <c r="K4213" s="32" t="inlineStr">
        <is>
          <t>20250514-57</t>
        </is>
      </c>
    </row>
    <row r="4214">
      <c r="A4214" s="32" t="n">
        <v>47</v>
      </c>
      <c r="F4214" s="32" t="n">
        <v>7438.873</v>
      </c>
      <c r="K4214" s="32" t="inlineStr">
        <is>
          <t>20250514-58</t>
        </is>
      </c>
    </row>
    <row r="4215">
      <c r="A4215" s="32" t="n">
        <v>48</v>
      </c>
      <c r="F4215" s="32" t="n">
        <v>7497.73</v>
      </c>
      <c r="K4215" s="32" t="inlineStr">
        <is>
          <t>20250514-59</t>
        </is>
      </c>
    </row>
    <row r="4217">
      <c r="A4217" s="32" t="inlineStr">
        <is>
          <t>Compound 82:  m8 PFOS 1</t>
        </is>
      </c>
    </row>
    <row r="4219">
      <c r="B4219" s="32" t="inlineStr">
        <is>
          <t>Sample Text</t>
        </is>
      </c>
      <c r="C4219" s="32" t="inlineStr">
        <is>
          <t>Std. Conc</t>
        </is>
      </c>
      <c r="D4219" s="32" t="inlineStr">
        <is>
          <t>RT</t>
        </is>
      </c>
      <c r="E4219" s="32" t="inlineStr">
        <is>
          <t>Area</t>
        </is>
      </c>
      <c r="F4219" s="32" t="inlineStr">
        <is>
          <t>IS Area</t>
        </is>
      </c>
      <c r="G4219" s="32" t="inlineStr">
        <is>
          <t>S/N</t>
        </is>
      </c>
      <c r="H4219" s="32" t="inlineStr">
        <is>
          <t>Primary Flags</t>
        </is>
      </c>
      <c r="I4219" s="32" t="inlineStr">
        <is>
          <t>Response</t>
        </is>
      </c>
      <c r="J4219" s="32" t="inlineStr">
        <is>
          <t>Conc.</t>
        </is>
      </c>
      <c r="K4219" s="32" t="inlineStr">
        <is>
          <t>Name</t>
        </is>
      </c>
    </row>
    <row r="4220">
      <c r="A4220" s="32" t="n">
        <v>1</v>
      </c>
      <c r="B4220" s="32" t="inlineStr">
        <is>
          <t>EPA1633 &amp; diPAPs Calibration 0 ppb</t>
        </is>
      </c>
      <c r="D4220" s="32" t="n">
        <v>12.99</v>
      </c>
      <c r="E4220" s="32" t="n">
        <v>16637.717</v>
      </c>
      <c r="G4220" s="32" t="n">
        <v>135.326</v>
      </c>
      <c r="H4220" s="32" t="inlineStr">
        <is>
          <t>bb</t>
        </is>
      </c>
      <c r="I4220" s="32" t="n">
        <v>16637.717</v>
      </c>
      <c r="K4220" s="32" t="inlineStr">
        <is>
          <t>20250514-12</t>
        </is>
      </c>
    </row>
    <row r="4221">
      <c r="A4221" s="32" t="n">
        <v>2</v>
      </c>
      <c r="B4221" s="32" t="inlineStr">
        <is>
          <t>EPA1633 &amp; diPAPs Calibration 0.02 ppb</t>
        </is>
      </c>
      <c r="D4221" s="32" t="n">
        <v>13.04</v>
      </c>
      <c r="E4221" s="32" t="n">
        <v>14442.151</v>
      </c>
      <c r="G4221" s="32" t="n">
        <v>350.433</v>
      </c>
      <c r="H4221" s="32" t="inlineStr">
        <is>
          <t>bb</t>
        </is>
      </c>
      <c r="I4221" s="32" t="n">
        <v>14442.151</v>
      </c>
      <c r="K4221" s="32" t="inlineStr">
        <is>
          <t>20250514-13</t>
        </is>
      </c>
    </row>
    <row r="4222">
      <c r="A4222" s="32" t="n">
        <v>3</v>
      </c>
      <c r="B4222" s="32" t="inlineStr">
        <is>
          <t>EPA1633 &amp; diPAPs Calibration 0.1 ppb</t>
        </is>
      </c>
      <c r="D4222" s="32" t="n">
        <v>13.04</v>
      </c>
      <c r="E4222" s="32" t="n">
        <v>14939.226</v>
      </c>
      <c r="G4222" s="32" t="n">
        <v>105193</v>
      </c>
      <c r="H4222" s="32" t="inlineStr">
        <is>
          <t>bb</t>
        </is>
      </c>
      <c r="I4222" s="32" t="n">
        <v>14939.226</v>
      </c>
      <c r="K4222" s="32" t="inlineStr">
        <is>
          <t>20250514-14</t>
        </is>
      </c>
    </row>
    <row r="4223">
      <c r="A4223" s="32" t="n">
        <v>4</v>
      </c>
      <c r="B4223" s="32" t="inlineStr">
        <is>
          <t>EPA1633 &amp; diPAPs Calibration 0.4 ppb</t>
        </is>
      </c>
      <c r="D4223" s="32" t="n">
        <v>13.04</v>
      </c>
      <c r="E4223" s="32" t="n">
        <v>14017.551</v>
      </c>
      <c r="G4223" s="32" t="n">
        <v>103540</v>
      </c>
      <c r="H4223" s="32" t="inlineStr">
        <is>
          <t>bb</t>
        </is>
      </c>
      <c r="I4223" s="32" t="n">
        <v>14017.551</v>
      </c>
      <c r="K4223" s="32" t="inlineStr">
        <is>
          <t>20250514-15</t>
        </is>
      </c>
    </row>
    <row r="4224">
      <c r="A4224" s="32" t="n">
        <v>5</v>
      </c>
      <c r="B4224" s="32" t="inlineStr">
        <is>
          <t>EPA1633 &amp; diPAPs Calibration 1 ppb</t>
        </is>
      </c>
      <c r="D4224" s="32" t="n">
        <v>13.05</v>
      </c>
      <c r="E4224" s="32" t="n">
        <v>15819.927</v>
      </c>
      <c r="G4224" s="32" t="n">
        <v>698.886</v>
      </c>
      <c r="H4224" s="32" t="inlineStr">
        <is>
          <t>bb</t>
        </is>
      </c>
      <c r="I4224" s="32" t="n">
        <v>15819.927</v>
      </c>
      <c r="K4224" s="32" t="inlineStr">
        <is>
          <t>20250514-16</t>
        </is>
      </c>
    </row>
    <row r="4225">
      <c r="A4225" s="32" t="n">
        <v>6</v>
      </c>
      <c r="B4225" s="32" t="inlineStr">
        <is>
          <t>EPA1633 &amp; diPAPs Calibration 5 ppb</t>
        </is>
      </c>
      <c r="D4225" s="32" t="n">
        <v>12.98</v>
      </c>
      <c r="E4225" s="32" t="n">
        <v>14259.822</v>
      </c>
      <c r="G4225" s="32" t="n">
        <v>637.001</v>
      </c>
      <c r="H4225" s="32" t="inlineStr">
        <is>
          <t>bb</t>
        </is>
      </c>
      <c r="I4225" s="32" t="n">
        <v>14259.822</v>
      </c>
      <c r="K4225" s="32" t="inlineStr">
        <is>
          <t>20250514-17</t>
        </is>
      </c>
    </row>
    <row r="4226">
      <c r="A4226" s="32" t="n">
        <v>7</v>
      </c>
      <c r="B4226" s="32" t="inlineStr">
        <is>
          <t>EPA1633 &amp; diPAPs Calibration 10 ppb</t>
        </is>
      </c>
      <c r="D4226" s="32" t="n">
        <v>12.99</v>
      </c>
      <c r="E4226" s="32" t="n">
        <v>11049.457</v>
      </c>
      <c r="G4226" s="32" t="n">
        <v>477.642</v>
      </c>
      <c r="H4226" s="32" t="inlineStr">
        <is>
          <t>bb</t>
        </is>
      </c>
      <c r="I4226" s="32" t="n">
        <v>11049.457</v>
      </c>
      <c r="K4226" s="32" t="inlineStr">
        <is>
          <t>20250514-18</t>
        </is>
      </c>
    </row>
    <row r="4227">
      <c r="A4227" s="32" t="n">
        <v>8</v>
      </c>
      <c r="B4227" s="32" t="inlineStr">
        <is>
          <t>EPA1633 &amp; diPAPs Calibration 20 ppb</t>
        </is>
      </c>
      <c r="D4227" s="32" t="n">
        <v>13.01</v>
      </c>
      <c r="E4227" s="32" t="n">
        <v>12460.612</v>
      </c>
      <c r="G4227" s="32" t="n">
        <v>400.6</v>
      </c>
      <c r="H4227" s="32" t="inlineStr">
        <is>
          <t>bb</t>
        </is>
      </c>
      <c r="I4227" s="32" t="n">
        <v>12460.612</v>
      </c>
      <c r="K4227" s="32" t="inlineStr">
        <is>
          <t>20250514-19</t>
        </is>
      </c>
    </row>
    <row r="4228">
      <c r="A4228" s="32" t="n">
        <v>9</v>
      </c>
      <c r="B4228" s="32" t="inlineStr">
        <is>
          <t>MeOH</t>
        </is>
      </c>
      <c r="D4228" s="32" t="n">
        <v>12.95</v>
      </c>
      <c r="E4228" s="32" t="n">
        <v>4.973</v>
      </c>
      <c r="G4228" s="32" t="n">
        <v>48</v>
      </c>
      <c r="H4228" s="32" t="inlineStr">
        <is>
          <t>bb</t>
        </is>
      </c>
      <c r="I4228" s="32" t="n">
        <v>4.973</v>
      </c>
      <c r="K4228" s="32" t="inlineStr">
        <is>
          <t>20250514-20</t>
        </is>
      </c>
    </row>
    <row r="4229">
      <c r="A4229" s="32" t="n">
        <v>10</v>
      </c>
      <c r="B4229" s="32" t="inlineStr">
        <is>
          <t>MeOH</t>
        </is>
      </c>
      <c r="D4229" s="32" t="n">
        <v>13.6</v>
      </c>
      <c r="E4229" s="32" t="n">
        <v>0.6820000000000001</v>
      </c>
      <c r="G4229" s="32" t="n">
        <v>7</v>
      </c>
      <c r="H4229" s="32" t="inlineStr">
        <is>
          <t>bb</t>
        </is>
      </c>
      <c r="I4229" s="32" t="n">
        <v>0.6820000000000001</v>
      </c>
      <c r="K4229" s="32" t="inlineStr">
        <is>
          <t>20250514-21</t>
        </is>
      </c>
    </row>
    <row r="4230">
      <c r="A4230" s="32" t="n">
        <v>11</v>
      </c>
      <c r="B4230" s="32" t="inlineStr">
        <is>
          <t>SB1</t>
        </is>
      </c>
      <c r="D4230" s="32" t="n">
        <v>13.05</v>
      </c>
      <c r="E4230" s="32" t="n">
        <v>6414.278</v>
      </c>
      <c r="G4230" s="32" t="n">
        <v>262.304</v>
      </c>
      <c r="H4230" s="32" t="inlineStr">
        <is>
          <t>bb</t>
        </is>
      </c>
      <c r="I4230" s="32" t="n">
        <v>6414.278</v>
      </c>
      <c r="K4230" s="32" t="inlineStr">
        <is>
          <t>20250514-22</t>
        </is>
      </c>
    </row>
    <row r="4231">
      <c r="A4231" s="32" t="n">
        <v>12</v>
      </c>
      <c r="B4231" s="32" t="inlineStr">
        <is>
          <t>SB2</t>
        </is>
      </c>
      <c r="D4231" s="32" t="n">
        <v>13.07</v>
      </c>
      <c r="E4231" s="32" t="n">
        <v>5459.898</v>
      </c>
      <c r="G4231" s="32" t="n">
        <v>13618.425</v>
      </c>
      <c r="H4231" s="32" t="inlineStr">
        <is>
          <t>bb</t>
        </is>
      </c>
      <c r="I4231" s="32" t="n">
        <v>5459.898</v>
      </c>
      <c r="K4231" s="32" t="inlineStr">
        <is>
          <t>20250514-23</t>
        </is>
      </c>
    </row>
    <row r="4232">
      <c r="A4232" s="32" t="n">
        <v>13</v>
      </c>
      <c r="B4232" s="32" t="inlineStr">
        <is>
          <t>SB3</t>
        </is>
      </c>
      <c r="D4232" s="32" t="n">
        <v>13.07</v>
      </c>
      <c r="E4232" s="32" t="n">
        <v>5569.052</v>
      </c>
      <c r="G4232" s="32" t="n">
        <v>39066</v>
      </c>
      <c r="H4232" s="32" t="inlineStr">
        <is>
          <t>bb</t>
        </is>
      </c>
      <c r="I4232" s="32" t="n">
        <v>5569.052</v>
      </c>
      <c r="K4232" s="32" t="inlineStr">
        <is>
          <t>20250514-24</t>
        </is>
      </c>
    </row>
    <row r="4233">
      <c r="A4233" s="32" t="n">
        <v>14</v>
      </c>
      <c r="B4233" s="32" t="inlineStr">
        <is>
          <t>SS1</t>
        </is>
      </c>
      <c r="D4233" s="32" t="n">
        <v>13.08</v>
      </c>
      <c r="E4233" s="32" t="n">
        <v>5405.744</v>
      </c>
      <c r="G4233" s="32" t="n">
        <v>4576.29</v>
      </c>
      <c r="H4233" s="32" t="inlineStr">
        <is>
          <t>bb</t>
        </is>
      </c>
      <c r="I4233" s="32" t="n">
        <v>5405.744</v>
      </c>
      <c r="K4233" s="32" t="inlineStr">
        <is>
          <t>20250514-25</t>
        </is>
      </c>
    </row>
    <row r="4234">
      <c r="A4234" s="32" t="n">
        <v>15</v>
      </c>
      <c r="B4234" s="32" t="inlineStr">
        <is>
          <t>SS2</t>
        </is>
      </c>
      <c r="D4234" s="32" t="n">
        <v>13.08</v>
      </c>
      <c r="E4234" s="32" t="n">
        <v>5358.604</v>
      </c>
      <c r="G4234" s="32" t="n">
        <v>35702</v>
      </c>
      <c r="H4234" s="32" t="inlineStr">
        <is>
          <t>bb</t>
        </is>
      </c>
      <c r="I4234" s="32" t="n">
        <v>5358.604</v>
      </c>
      <c r="K4234" s="32" t="inlineStr">
        <is>
          <t>20250514-26</t>
        </is>
      </c>
    </row>
    <row r="4235">
      <c r="A4235" s="32" t="n">
        <v>16</v>
      </c>
      <c r="B4235" s="32" t="inlineStr">
        <is>
          <t>SS3</t>
        </is>
      </c>
      <c r="D4235" s="32" t="n">
        <v>13.1</v>
      </c>
      <c r="E4235" s="32" t="n">
        <v>5299.512</v>
      </c>
      <c r="G4235" s="32" t="n">
        <v>37629</v>
      </c>
      <c r="H4235" s="32" t="inlineStr">
        <is>
          <t>bb</t>
        </is>
      </c>
      <c r="I4235" s="32" t="n">
        <v>5299.512</v>
      </c>
      <c r="K4235" s="32" t="inlineStr">
        <is>
          <t>20250514-27</t>
        </is>
      </c>
    </row>
    <row r="4236">
      <c r="A4236" s="32" t="n">
        <v>17</v>
      </c>
      <c r="B4236" s="32" t="inlineStr">
        <is>
          <t>MeOH</t>
        </is>
      </c>
      <c r="H4236" s="32" t="inlineStr">
        <is>
          <t>MM-</t>
        </is>
      </c>
      <c r="K4236" s="32" t="inlineStr">
        <is>
          <t>20250514-28</t>
        </is>
      </c>
    </row>
    <row r="4237">
      <c r="A4237" s="32" t="n">
        <v>18</v>
      </c>
      <c r="B4237" s="32" t="inlineStr">
        <is>
          <t>K4-1A</t>
        </is>
      </c>
      <c r="D4237" s="32" t="n">
        <v>13.09</v>
      </c>
      <c r="E4237" s="32" t="n">
        <v>7333.607</v>
      </c>
      <c r="G4237" s="32" t="n">
        <v>49625</v>
      </c>
      <c r="H4237" s="32" t="inlineStr">
        <is>
          <t>bb</t>
        </is>
      </c>
      <c r="I4237" s="32" t="n">
        <v>7333.607</v>
      </c>
      <c r="K4237" s="32" t="inlineStr">
        <is>
          <t>20250514-29</t>
        </is>
      </c>
    </row>
    <row r="4238">
      <c r="A4238" s="32" t="n">
        <v>19</v>
      </c>
      <c r="B4238" s="32" t="inlineStr">
        <is>
          <t>K4-1B</t>
        </is>
      </c>
      <c r="D4238" s="32" t="n">
        <v>13.11</v>
      </c>
      <c r="E4238" s="32" t="n">
        <v>7556.923</v>
      </c>
      <c r="G4238" s="32" t="n">
        <v>77.023</v>
      </c>
      <c r="H4238" s="32" t="inlineStr">
        <is>
          <t>bb</t>
        </is>
      </c>
      <c r="I4238" s="32" t="n">
        <v>7556.923</v>
      </c>
      <c r="K4238" s="32" t="inlineStr">
        <is>
          <t>20250514-30</t>
        </is>
      </c>
    </row>
    <row r="4239">
      <c r="A4239" s="32" t="n">
        <v>20</v>
      </c>
      <c r="B4239" s="32" t="inlineStr">
        <is>
          <t>K4-1C</t>
        </is>
      </c>
      <c r="D4239" s="32" t="n">
        <v>13.11</v>
      </c>
      <c r="E4239" s="32" t="n">
        <v>7543.019</v>
      </c>
      <c r="G4239" s="32" t="n">
        <v>275.305</v>
      </c>
      <c r="H4239" s="32" t="inlineStr">
        <is>
          <t>bb</t>
        </is>
      </c>
      <c r="I4239" s="32" t="n">
        <v>7543.019</v>
      </c>
      <c r="K4239" s="32" t="inlineStr">
        <is>
          <t>20250514-31</t>
        </is>
      </c>
    </row>
    <row r="4240">
      <c r="A4240" s="32" t="n">
        <v>21</v>
      </c>
      <c r="B4240" s="32" t="inlineStr">
        <is>
          <t>K4-2A</t>
        </is>
      </c>
      <c r="D4240" s="32" t="n">
        <v>13.11</v>
      </c>
      <c r="E4240" s="32" t="n">
        <v>8613.116</v>
      </c>
      <c r="G4240" s="32" t="n">
        <v>402.733</v>
      </c>
      <c r="H4240" s="32" t="inlineStr">
        <is>
          <t>bb</t>
        </is>
      </c>
      <c r="I4240" s="32" t="n">
        <v>8613.116</v>
      </c>
      <c r="K4240" s="32" t="inlineStr">
        <is>
          <t>20250514-32</t>
        </is>
      </c>
    </row>
    <row r="4241">
      <c r="A4241" s="32" t="n">
        <v>22</v>
      </c>
      <c r="B4241" s="32" t="inlineStr">
        <is>
          <t>K4-2B</t>
        </is>
      </c>
      <c r="D4241" s="32" t="n">
        <v>13.13</v>
      </c>
      <c r="E4241" s="32" t="n">
        <v>6789.031</v>
      </c>
      <c r="G4241" s="32" t="n">
        <v>93.502</v>
      </c>
      <c r="H4241" s="32" t="inlineStr">
        <is>
          <t>bb</t>
        </is>
      </c>
      <c r="I4241" s="32" t="n">
        <v>6789.031</v>
      </c>
      <c r="K4241" s="32" t="inlineStr">
        <is>
          <t>20250514-33</t>
        </is>
      </c>
    </row>
    <row r="4242">
      <c r="A4242" s="32" t="n">
        <v>23</v>
      </c>
      <c r="B4242" s="32" t="inlineStr">
        <is>
          <t>K4-2C</t>
        </is>
      </c>
      <c r="D4242" s="32" t="n">
        <v>13.13</v>
      </c>
      <c r="E4242" s="32" t="n">
        <v>6441.085</v>
      </c>
      <c r="G4242" s="32" t="n">
        <v>64.495</v>
      </c>
      <c r="H4242" s="32" t="inlineStr">
        <is>
          <t>bb</t>
        </is>
      </c>
      <c r="I4242" s="32" t="n">
        <v>6441.085</v>
      </c>
      <c r="K4242" s="32" t="inlineStr">
        <is>
          <t>20250514-34</t>
        </is>
      </c>
    </row>
    <row r="4243">
      <c r="A4243" s="32" t="n">
        <v>24</v>
      </c>
      <c r="B4243" s="32" t="inlineStr">
        <is>
          <t>MeOH</t>
        </is>
      </c>
      <c r="H4243" s="32" t="inlineStr">
        <is>
          <t>MM-</t>
        </is>
      </c>
      <c r="K4243" s="32" t="inlineStr">
        <is>
          <t>20250514-35</t>
        </is>
      </c>
    </row>
    <row r="4244">
      <c r="A4244" s="32" t="n">
        <v>25</v>
      </c>
      <c r="B4244" s="32" t="inlineStr">
        <is>
          <t>K4-4A</t>
        </is>
      </c>
      <c r="D4244" s="32" t="n">
        <v>13.14</v>
      </c>
      <c r="E4244" s="32" t="n">
        <v>6856.379</v>
      </c>
      <c r="G4244" s="32" t="n">
        <v>48326</v>
      </c>
      <c r="H4244" s="32" t="inlineStr">
        <is>
          <t>bb</t>
        </is>
      </c>
      <c r="I4244" s="32" t="n">
        <v>6856.379</v>
      </c>
      <c r="K4244" s="32" t="inlineStr">
        <is>
          <t>20250514-36</t>
        </is>
      </c>
    </row>
    <row r="4245">
      <c r="A4245" s="32" t="n">
        <v>26</v>
      </c>
      <c r="B4245" s="32" t="inlineStr">
        <is>
          <t>K4-4B</t>
        </is>
      </c>
      <c r="D4245" s="32" t="n">
        <v>13.16</v>
      </c>
      <c r="E4245" s="32" t="n">
        <v>8361.857</v>
      </c>
      <c r="G4245" s="32" t="n">
        <v>56985</v>
      </c>
      <c r="H4245" s="32" t="inlineStr">
        <is>
          <t>bb</t>
        </is>
      </c>
      <c r="I4245" s="32" t="n">
        <v>8361.857</v>
      </c>
      <c r="K4245" s="32" t="inlineStr">
        <is>
          <t>20250514-37</t>
        </is>
      </c>
    </row>
    <row r="4246">
      <c r="A4246" s="32" t="n">
        <v>27</v>
      </c>
      <c r="B4246" s="32" t="inlineStr">
        <is>
          <t>K4-4C</t>
        </is>
      </c>
      <c r="D4246" s="32" t="n">
        <v>13.14</v>
      </c>
      <c r="E4246" s="32" t="n">
        <v>8247.347</v>
      </c>
      <c r="G4246" s="32" t="n">
        <v>183.174</v>
      </c>
      <c r="H4246" s="32" t="inlineStr">
        <is>
          <t>bb</t>
        </is>
      </c>
      <c r="I4246" s="32" t="n">
        <v>8247.347</v>
      </c>
      <c r="K4246" s="32" t="inlineStr">
        <is>
          <t>20250514-38</t>
        </is>
      </c>
    </row>
    <row r="4247">
      <c r="A4247" s="32" t="n">
        <v>28</v>
      </c>
      <c r="B4247" s="32" t="inlineStr">
        <is>
          <t>K4-5A</t>
        </is>
      </c>
      <c r="D4247" s="32" t="n">
        <v>13.12</v>
      </c>
      <c r="E4247" s="32" t="n">
        <v>7625.911</v>
      </c>
      <c r="G4247" s="32" t="n">
        <v>53274</v>
      </c>
      <c r="H4247" s="32" t="inlineStr">
        <is>
          <t>bb</t>
        </is>
      </c>
      <c r="I4247" s="32" t="n">
        <v>7625.911</v>
      </c>
      <c r="K4247" s="32" t="inlineStr">
        <is>
          <t>20250514-39</t>
        </is>
      </c>
    </row>
    <row r="4248">
      <c r="A4248" s="32" t="n">
        <v>29</v>
      </c>
      <c r="B4248" s="32" t="inlineStr">
        <is>
          <t>K4-5B</t>
        </is>
      </c>
      <c r="D4248" s="32" t="n">
        <v>13.1</v>
      </c>
      <c r="E4248" s="32" t="n">
        <v>7830.348</v>
      </c>
      <c r="G4248" s="32" t="n">
        <v>55286</v>
      </c>
      <c r="H4248" s="32" t="inlineStr">
        <is>
          <t>bb</t>
        </is>
      </c>
      <c r="I4248" s="32" t="n">
        <v>7830.348</v>
      </c>
      <c r="K4248" s="32" t="inlineStr">
        <is>
          <t>20250514-40</t>
        </is>
      </c>
    </row>
    <row r="4249">
      <c r="A4249" s="32" t="n">
        <v>30</v>
      </c>
      <c r="B4249" s="32" t="inlineStr">
        <is>
          <t>K4-5C</t>
        </is>
      </c>
      <c r="D4249" s="32" t="n">
        <v>13.04</v>
      </c>
      <c r="E4249" s="32" t="n">
        <v>6655.14</v>
      </c>
      <c r="G4249" s="32" t="n">
        <v>139.536</v>
      </c>
      <c r="H4249" s="32" t="inlineStr">
        <is>
          <t>bb</t>
        </is>
      </c>
      <c r="I4249" s="32" t="n">
        <v>6655.14</v>
      </c>
      <c r="K4249" s="32" t="inlineStr">
        <is>
          <t>20250514-41</t>
        </is>
      </c>
    </row>
    <row r="4250">
      <c r="A4250" s="32" t="n">
        <v>31</v>
      </c>
      <c r="B4250" s="32" t="inlineStr">
        <is>
          <t>MeOH</t>
        </is>
      </c>
      <c r="K4250" s="32" t="inlineStr">
        <is>
          <t>20250514-42</t>
        </is>
      </c>
    </row>
    <row r="4251">
      <c r="A4251" s="32" t="n">
        <v>32</v>
      </c>
      <c r="B4251" s="32" t="inlineStr">
        <is>
          <t>K3-1A</t>
        </is>
      </c>
      <c r="D4251" s="32" t="n">
        <v>12.98</v>
      </c>
      <c r="E4251" s="32" t="n">
        <v>8732.843000000001</v>
      </c>
      <c r="G4251" s="32" t="n">
        <v>146.55</v>
      </c>
      <c r="H4251" s="32" t="inlineStr">
        <is>
          <t>bb</t>
        </is>
      </c>
      <c r="I4251" s="32" t="n">
        <v>8732.843000000001</v>
      </c>
      <c r="K4251" s="32" t="inlineStr">
        <is>
          <t>20250514-43</t>
        </is>
      </c>
    </row>
    <row r="4252">
      <c r="A4252" s="32" t="n">
        <v>33</v>
      </c>
      <c r="B4252" s="32" t="inlineStr">
        <is>
          <t>K3-1B</t>
        </is>
      </c>
      <c r="D4252" s="32" t="n">
        <v>12.98</v>
      </c>
      <c r="E4252" s="32" t="n">
        <v>7852.211</v>
      </c>
      <c r="G4252" s="32" t="n">
        <v>1620.233</v>
      </c>
      <c r="H4252" s="32" t="inlineStr">
        <is>
          <t>bb</t>
        </is>
      </c>
      <c r="I4252" s="32" t="n">
        <v>7852.211</v>
      </c>
      <c r="K4252" s="32" t="inlineStr">
        <is>
          <t>20250514-44</t>
        </is>
      </c>
    </row>
    <row r="4253">
      <c r="A4253" s="32" t="n">
        <v>34</v>
      </c>
      <c r="B4253" s="32" t="inlineStr">
        <is>
          <t>K3-1C</t>
        </is>
      </c>
      <c r="D4253" s="32" t="n">
        <v>13.04</v>
      </c>
      <c r="E4253" s="32" t="n">
        <v>9807.196</v>
      </c>
      <c r="G4253" s="32" t="n">
        <v>44.427</v>
      </c>
      <c r="H4253" s="32" t="inlineStr">
        <is>
          <t>bb</t>
        </is>
      </c>
      <c r="I4253" s="32" t="n">
        <v>9807.196</v>
      </c>
      <c r="K4253" s="32" t="inlineStr">
        <is>
          <t>20250514-45</t>
        </is>
      </c>
    </row>
    <row r="4254">
      <c r="A4254" s="32" t="n">
        <v>35</v>
      </c>
      <c r="B4254" s="32" t="inlineStr">
        <is>
          <t>K3-2A</t>
        </is>
      </c>
      <c r="D4254" s="32" t="n">
        <v>13.05</v>
      </c>
      <c r="E4254" s="32" t="n">
        <v>10189.86</v>
      </c>
      <c r="G4254" s="32" t="n">
        <v>239.782</v>
      </c>
      <c r="H4254" s="32" t="inlineStr">
        <is>
          <t>bb</t>
        </is>
      </c>
      <c r="I4254" s="32" t="n">
        <v>10189.86</v>
      </c>
      <c r="K4254" s="32" t="inlineStr">
        <is>
          <t>20250514-46</t>
        </is>
      </c>
    </row>
    <row r="4255">
      <c r="A4255" s="32" t="n">
        <v>36</v>
      </c>
      <c r="B4255" s="32" t="inlineStr">
        <is>
          <t>K3-2B</t>
        </is>
      </c>
      <c r="D4255" s="32" t="n">
        <v>13.05</v>
      </c>
      <c r="E4255" s="32" t="n">
        <v>10207.86</v>
      </c>
      <c r="G4255" s="32" t="n">
        <v>73421</v>
      </c>
      <c r="H4255" s="32" t="inlineStr">
        <is>
          <t>bb</t>
        </is>
      </c>
      <c r="I4255" s="32" t="n">
        <v>10207.86</v>
      </c>
      <c r="K4255" s="32" t="inlineStr">
        <is>
          <t>20250514-47</t>
        </is>
      </c>
    </row>
    <row r="4256">
      <c r="A4256" s="32" t="n">
        <v>37</v>
      </c>
      <c r="B4256" s="32" t="inlineStr">
        <is>
          <t>K3-2C</t>
        </is>
      </c>
      <c r="D4256" s="32" t="n">
        <v>13.05</v>
      </c>
      <c r="E4256" s="32" t="n">
        <v>8814.884</v>
      </c>
      <c r="G4256" s="32" t="n">
        <v>7689.108</v>
      </c>
      <c r="H4256" s="32" t="inlineStr">
        <is>
          <t>bb</t>
        </is>
      </c>
      <c r="I4256" s="32" t="n">
        <v>8814.884</v>
      </c>
      <c r="K4256" s="32" t="inlineStr">
        <is>
          <t>20250514-48</t>
        </is>
      </c>
    </row>
    <row r="4257">
      <c r="A4257" s="32" t="n">
        <v>38</v>
      </c>
      <c r="B4257" s="32" t="inlineStr">
        <is>
          <t>MeOH</t>
        </is>
      </c>
      <c r="H4257" s="32" t="inlineStr">
        <is>
          <t>MM-</t>
        </is>
      </c>
      <c r="K4257" s="32" t="inlineStr">
        <is>
          <t>20250514-49</t>
        </is>
      </c>
    </row>
    <row r="4258">
      <c r="A4258" s="32" t="n">
        <v>39</v>
      </c>
      <c r="B4258" s="32" t="inlineStr">
        <is>
          <t>K3-3A</t>
        </is>
      </c>
      <c r="D4258" s="32" t="n">
        <v>13.08</v>
      </c>
      <c r="E4258" s="32" t="n">
        <v>8410.066000000001</v>
      </c>
      <c r="G4258" s="32" t="n">
        <v>34.499</v>
      </c>
      <c r="H4258" s="32" t="inlineStr">
        <is>
          <t>bb</t>
        </is>
      </c>
      <c r="I4258" s="32" t="n">
        <v>8410.066000000001</v>
      </c>
      <c r="K4258" s="32" t="inlineStr">
        <is>
          <t>20250514-50</t>
        </is>
      </c>
    </row>
    <row r="4259">
      <c r="A4259" s="32" t="n">
        <v>40</v>
      </c>
      <c r="B4259" s="32" t="inlineStr">
        <is>
          <t>K3-3B</t>
        </is>
      </c>
      <c r="D4259" s="32" t="n">
        <v>13.1</v>
      </c>
      <c r="E4259" s="32" t="n">
        <v>8557.771000000001</v>
      </c>
      <c r="G4259" s="32" t="n">
        <v>411.551</v>
      </c>
      <c r="H4259" s="32" t="inlineStr">
        <is>
          <t>bb</t>
        </is>
      </c>
      <c r="I4259" s="32" t="n">
        <v>8557.771000000001</v>
      </c>
      <c r="K4259" s="32" t="inlineStr">
        <is>
          <t>20250514-51</t>
        </is>
      </c>
    </row>
    <row r="4260">
      <c r="A4260" s="32" t="n">
        <v>41</v>
      </c>
      <c r="B4260" s="32" t="inlineStr">
        <is>
          <t>K3-3C</t>
        </is>
      </c>
      <c r="D4260" s="32" t="n">
        <v>13.1</v>
      </c>
      <c r="E4260" s="32" t="n">
        <v>9876.084000000001</v>
      </c>
      <c r="G4260" s="32" t="n">
        <v>297.75</v>
      </c>
      <c r="H4260" s="32" t="inlineStr">
        <is>
          <t>bb</t>
        </is>
      </c>
      <c r="I4260" s="32" t="n">
        <v>9876.084000000001</v>
      </c>
      <c r="K4260" s="32" t="inlineStr">
        <is>
          <t>20250514-52</t>
        </is>
      </c>
    </row>
    <row r="4261">
      <c r="A4261" s="32" t="n">
        <v>42</v>
      </c>
      <c r="B4261" s="32" t="inlineStr">
        <is>
          <t>K3-4A</t>
        </is>
      </c>
      <c r="D4261" s="32" t="n">
        <v>13.16</v>
      </c>
      <c r="E4261" s="32" t="n">
        <v>10133.361</v>
      </c>
      <c r="G4261" s="32" t="n">
        <v>3925.74</v>
      </c>
      <c r="H4261" s="32" t="inlineStr">
        <is>
          <t>bb</t>
        </is>
      </c>
      <c r="I4261" s="32" t="n">
        <v>10133.361</v>
      </c>
      <c r="K4261" s="32" t="inlineStr">
        <is>
          <t>20250514-53</t>
        </is>
      </c>
    </row>
    <row r="4262">
      <c r="A4262" s="32" t="n">
        <v>43</v>
      </c>
      <c r="B4262" s="32" t="inlineStr">
        <is>
          <t>K3-4B</t>
        </is>
      </c>
      <c r="D4262" s="32" t="n">
        <v>13.13</v>
      </c>
      <c r="E4262" s="32" t="n">
        <v>10043.649</v>
      </c>
      <c r="G4262" s="32" t="n">
        <v>11386.407</v>
      </c>
      <c r="H4262" s="32" t="inlineStr">
        <is>
          <t>bb</t>
        </is>
      </c>
      <c r="I4262" s="32" t="n">
        <v>10043.649</v>
      </c>
      <c r="K4262" s="32" t="inlineStr">
        <is>
          <t>20250514-54</t>
        </is>
      </c>
    </row>
    <row r="4263">
      <c r="A4263" s="32" t="n">
        <v>44</v>
      </c>
      <c r="B4263" s="32" t="inlineStr">
        <is>
          <t>K3-4C</t>
        </is>
      </c>
      <c r="D4263" s="32" t="n">
        <v>13.17</v>
      </c>
      <c r="E4263" s="32" t="n">
        <v>9604.054</v>
      </c>
      <c r="G4263" s="32" t="n">
        <v>43.192</v>
      </c>
      <c r="H4263" s="32" t="inlineStr">
        <is>
          <t>bb</t>
        </is>
      </c>
      <c r="I4263" s="32" t="n">
        <v>9604.054</v>
      </c>
      <c r="K4263" s="32" t="inlineStr">
        <is>
          <t>20250514-55</t>
        </is>
      </c>
    </row>
    <row r="4264">
      <c r="A4264" s="32" t="n">
        <v>45</v>
      </c>
      <c r="B4264" s="32" t="inlineStr">
        <is>
          <t>MeOH</t>
        </is>
      </c>
      <c r="K4264" s="32" t="inlineStr">
        <is>
          <t>20250514-56</t>
        </is>
      </c>
    </row>
    <row r="4265">
      <c r="A4265" s="32" t="n">
        <v>46</v>
      </c>
      <c r="B4265" s="32" t="inlineStr">
        <is>
          <t>K3-6A</t>
        </is>
      </c>
      <c r="D4265" s="32" t="n">
        <v>13.17</v>
      </c>
      <c r="E4265" s="32" t="n">
        <v>9362.067999999999</v>
      </c>
      <c r="G4265" s="32" t="n">
        <v>294.804</v>
      </c>
      <c r="H4265" s="32" t="inlineStr">
        <is>
          <t>bb</t>
        </is>
      </c>
      <c r="I4265" s="32" t="n">
        <v>9362.067999999999</v>
      </c>
      <c r="K4265" s="32" t="inlineStr">
        <is>
          <t>20250514-57</t>
        </is>
      </c>
    </row>
    <row r="4266">
      <c r="A4266" s="32" t="n">
        <v>47</v>
      </c>
      <c r="B4266" s="32" t="inlineStr">
        <is>
          <t>K3-6B</t>
        </is>
      </c>
      <c r="D4266" s="32" t="n">
        <v>13.17</v>
      </c>
      <c r="E4266" s="32" t="n">
        <v>7438.873</v>
      </c>
      <c r="G4266" s="32" t="n">
        <v>547.0170000000001</v>
      </c>
      <c r="H4266" s="32" t="inlineStr">
        <is>
          <t>bb</t>
        </is>
      </c>
      <c r="I4266" s="32" t="n">
        <v>7438.873</v>
      </c>
      <c r="K4266" s="32" t="inlineStr">
        <is>
          <t>20250514-58</t>
        </is>
      </c>
    </row>
    <row r="4267">
      <c r="A4267" s="32" t="n">
        <v>48</v>
      </c>
      <c r="B4267" s="32" t="inlineStr">
        <is>
          <t>K3-6C</t>
        </is>
      </c>
      <c r="D4267" s="32" t="n">
        <v>13.16</v>
      </c>
      <c r="E4267" s="32" t="n">
        <v>7497.73</v>
      </c>
      <c r="G4267" s="32" t="n">
        <v>53598</v>
      </c>
      <c r="H4267" s="32" t="inlineStr">
        <is>
          <t>bb</t>
        </is>
      </c>
      <c r="I4267" s="32" t="n">
        <v>7497.73</v>
      </c>
      <c r="K4267" s="32" t="inlineStr">
        <is>
          <t>20250514-59</t>
        </is>
      </c>
    </row>
    <row r="4269">
      <c r="A4269" s="32" t="inlineStr">
        <is>
          <t>Compound 83:  m8 PFOS 2</t>
        </is>
      </c>
    </row>
    <row r="4271">
      <c r="B4271" s="32" t="inlineStr">
        <is>
          <t>Sample Text</t>
        </is>
      </c>
      <c r="C4271" s="32" t="inlineStr">
        <is>
          <t>Std. Conc</t>
        </is>
      </c>
      <c r="D4271" s="32" t="inlineStr">
        <is>
          <t>RT</t>
        </is>
      </c>
      <c r="E4271" s="32" t="inlineStr">
        <is>
          <t>Area</t>
        </is>
      </c>
      <c r="F4271" s="32" t="inlineStr">
        <is>
          <t>IS Area</t>
        </is>
      </c>
      <c r="G4271" s="32" t="inlineStr">
        <is>
          <t>S/N</t>
        </is>
      </c>
      <c r="H4271" s="32" t="inlineStr">
        <is>
          <t>Primary Flags</t>
        </is>
      </c>
      <c r="I4271" s="32" t="inlineStr">
        <is>
          <t>Response</t>
        </is>
      </c>
      <c r="J4271" s="32" t="inlineStr">
        <is>
          <t>Conc.</t>
        </is>
      </c>
      <c r="K4271" s="32" t="inlineStr">
        <is>
          <t>Name</t>
        </is>
      </c>
    </row>
    <row r="4272">
      <c r="A4272" s="32" t="n">
        <v>1</v>
      </c>
      <c r="B4272" s="32" t="inlineStr">
        <is>
          <t>EPA1633 &amp; diPAPs Calibration 0 ppb</t>
        </is>
      </c>
      <c r="D4272" s="32" t="n">
        <v>12.99</v>
      </c>
      <c r="E4272" s="32" t="n">
        <v>9764.261</v>
      </c>
      <c r="G4272" s="32" t="n">
        <v>209.024</v>
      </c>
      <c r="H4272" s="32" t="inlineStr">
        <is>
          <t>MM</t>
        </is>
      </c>
      <c r="I4272" s="32" t="n">
        <v>9764.261</v>
      </c>
      <c r="K4272" s="32" t="inlineStr">
        <is>
          <t>20250514-12</t>
        </is>
      </c>
    </row>
    <row r="4273">
      <c r="A4273" s="32" t="n">
        <v>2</v>
      </c>
      <c r="B4273" s="32" t="inlineStr">
        <is>
          <t>EPA1633 &amp; diPAPs Calibration 0.02 ppb</t>
        </is>
      </c>
      <c r="D4273" s="32" t="n">
        <v>13.04</v>
      </c>
      <c r="E4273" s="32" t="n">
        <v>8929.66</v>
      </c>
      <c r="G4273" s="32" t="n">
        <v>82.661</v>
      </c>
      <c r="H4273" s="32" t="inlineStr">
        <is>
          <t>MM</t>
        </is>
      </c>
      <c r="I4273" s="32" t="n">
        <v>8929.66</v>
      </c>
      <c r="K4273" s="32" t="inlineStr">
        <is>
          <t>20250514-13</t>
        </is>
      </c>
    </row>
    <row r="4274">
      <c r="A4274" s="32" t="n">
        <v>3</v>
      </c>
      <c r="B4274" s="32" t="inlineStr">
        <is>
          <t>EPA1633 &amp; diPAPs Calibration 0.1 ppb</t>
        </is>
      </c>
      <c r="D4274" s="32" t="n">
        <v>13.04</v>
      </c>
      <c r="E4274" s="32" t="n">
        <v>9379.965</v>
      </c>
      <c r="G4274" s="32" t="n">
        <v>142.851</v>
      </c>
      <c r="H4274" s="32" t="inlineStr">
        <is>
          <t>MM</t>
        </is>
      </c>
      <c r="I4274" s="32" t="n">
        <v>9379.965</v>
      </c>
      <c r="K4274" s="32" t="inlineStr">
        <is>
          <t>20250514-14</t>
        </is>
      </c>
    </row>
    <row r="4275">
      <c r="A4275" s="32" t="n">
        <v>4</v>
      </c>
      <c r="B4275" s="32" t="inlineStr">
        <is>
          <t>EPA1633 &amp; diPAPs Calibration 0.4 ppb</t>
        </is>
      </c>
      <c r="D4275" s="32" t="n">
        <v>13.04</v>
      </c>
      <c r="E4275" s="32" t="n">
        <v>8056.576</v>
      </c>
      <c r="G4275" s="32" t="n">
        <v>145.918</v>
      </c>
      <c r="H4275" s="32" t="inlineStr">
        <is>
          <t>MM</t>
        </is>
      </c>
      <c r="I4275" s="32" t="n">
        <v>8056.576</v>
      </c>
      <c r="K4275" s="32" t="inlineStr">
        <is>
          <t>20250514-15</t>
        </is>
      </c>
    </row>
    <row r="4276">
      <c r="A4276" s="32" t="n">
        <v>5</v>
      </c>
      <c r="B4276" s="32" t="inlineStr">
        <is>
          <t>EPA1633 &amp; diPAPs Calibration 1 ppb</t>
        </is>
      </c>
      <c r="D4276" s="32" t="n">
        <v>13.04</v>
      </c>
      <c r="E4276" s="32" t="n">
        <v>9767.878000000001</v>
      </c>
      <c r="G4276" s="32" t="n">
        <v>525.034</v>
      </c>
      <c r="H4276" s="32" t="inlineStr">
        <is>
          <t>MM</t>
        </is>
      </c>
      <c r="I4276" s="32" t="n">
        <v>9767.878000000001</v>
      </c>
      <c r="K4276" s="32" t="inlineStr">
        <is>
          <t>20250514-16</t>
        </is>
      </c>
    </row>
    <row r="4277">
      <c r="A4277" s="32" t="n">
        <v>6</v>
      </c>
      <c r="B4277" s="32" t="inlineStr">
        <is>
          <t>EPA1633 &amp; diPAPs Calibration 5 ppb</t>
        </is>
      </c>
      <c r="D4277" s="32" t="n">
        <v>12.96</v>
      </c>
      <c r="E4277" s="32" t="n">
        <v>8132.479</v>
      </c>
      <c r="G4277" s="32" t="n">
        <v>293.066</v>
      </c>
      <c r="H4277" s="32" t="inlineStr">
        <is>
          <t>MM</t>
        </is>
      </c>
      <c r="I4277" s="32" t="n">
        <v>8132.479</v>
      </c>
      <c r="K4277" s="32" t="inlineStr">
        <is>
          <t>20250514-17</t>
        </is>
      </c>
    </row>
    <row r="4278">
      <c r="A4278" s="32" t="n">
        <v>7</v>
      </c>
      <c r="B4278" s="32" t="inlineStr">
        <is>
          <t>EPA1633 &amp; diPAPs Calibration 10 ppb</t>
        </is>
      </c>
      <c r="D4278" s="32" t="n">
        <v>12.98</v>
      </c>
      <c r="E4278" s="32" t="n">
        <v>6887.202</v>
      </c>
      <c r="G4278" s="32" t="n">
        <v>261.555</v>
      </c>
      <c r="H4278" s="32" t="inlineStr">
        <is>
          <t>MM</t>
        </is>
      </c>
      <c r="I4278" s="32" t="n">
        <v>6887.202</v>
      </c>
      <c r="K4278" s="32" t="inlineStr">
        <is>
          <t>20250514-18</t>
        </is>
      </c>
    </row>
    <row r="4279">
      <c r="A4279" s="32" t="n">
        <v>8</v>
      </c>
      <c r="B4279" s="32" t="inlineStr">
        <is>
          <t>EPA1633 &amp; diPAPs Calibration 20 ppb</t>
        </is>
      </c>
      <c r="D4279" s="32" t="n">
        <v>13.01</v>
      </c>
      <c r="E4279" s="32" t="n">
        <v>7233.189</v>
      </c>
      <c r="G4279" s="32" t="n">
        <v>206.918</v>
      </c>
      <c r="H4279" s="32" t="inlineStr">
        <is>
          <t>MM</t>
        </is>
      </c>
      <c r="I4279" s="32" t="n">
        <v>7233.189</v>
      </c>
      <c r="K4279" s="32" t="inlineStr">
        <is>
          <t>20250514-19</t>
        </is>
      </c>
    </row>
    <row r="4280">
      <c r="A4280" s="32" t="n">
        <v>9</v>
      </c>
      <c r="B4280" s="32" t="inlineStr">
        <is>
          <t>MeOH</t>
        </is>
      </c>
      <c r="K4280" s="32" t="inlineStr">
        <is>
          <t>20250514-20</t>
        </is>
      </c>
    </row>
    <row r="4281">
      <c r="A4281" s="32" t="n">
        <v>10</v>
      </c>
      <c r="B4281" s="32" t="inlineStr">
        <is>
          <t>MeOH</t>
        </is>
      </c>
      <c r="K4281" s="32" t="inlineStr">
        <is>
          <t>20250514-21</t>
        </is>
      </c>
    </row>
    <row r="4282">
      <c r="A4282" s="32" t="n">
        <v>11</v>
      </c>
      <c r="B4282" s="32" t="inlineStr">
        <is>
          <t>SB1</t>
        </is>
      </c>
      <c r="D4282" s="32" t="n">
        <v>13.05</v>
      </c>
      <c r="E4282" s="32" t="n">
        <v>3428.703</v>
      </c>
      <c r="G4282" s="32" t="n">
        <v>156.43</v>
      </c>
      <c r="H4282" s="32" t="inlineStr">
        <is>
          <t>MM</t>
        </is>
      </c>
      <c r="I4282" s="32" t="n">
        <v>3428.703</v>
      </c>
      <c r="K4282" s="32" t="inlineStr">
        <is>
          <t>20250514-22</t>
        </is>
      </c>
    </row>
    <row r="4283">
      <c r="A4283" s="32" t="n">
        <v>12</v>
      </c>
      <c r="B4283" s="32" t="inlineStr">
        <is>
          <t>SB2</t>
        </is>
      </c>
      <c r="D4283" s="32" t="n">
        <v>13.05</v>
      </c>
      <c r="E4283" s="32" t="n">
        <v>3090.275</v>
      </c>
      <c r="G4283" s="32" t="n">
        <v>1138.404</v>
      </c>
      <c r="H4283" s="32" t="inlineStr">
        <is>
          <t>MM</t>
        </is>
      </c>
      <c r="I4283" s="32" t="n">
        <v>3090.275</v>
      </c>
      <c r="K4283" s="32" t="inlineStr">
        <is>
          <t>20250514-23</t>
        </is>
      </c>
    </row>
    <row r="4284">
      <c r="A4284" s="32" t="n">
        <v>13</v>
      </c>
      <c r="B4284" s="32" t="inlineStr">
        <is>
          <t>SB3</t>
        </is>
      </c>
      <c r="D4284" s="32" t="n">
        <v>13.07</v>
      </c>
      <c r="E4284" s="32" t="n">
        <v>3670.917</v>
      </c>
      <c r="G4284" s="32" t="n">
        <v>138.873</v>
      </c>
      <c r="H4284" s="32" t="inlineStr">
        <is>
          <t>MM</t>
        </is>
      </c>
      <c r="I4284" s="32" t="n">
        <v>3670.917</v>
      </c>
      <c r="K4284" s="32" t="inlineStr">
        <is>
          <t>20250514-24</t>
        </is>
      </c>
    </row>
    <row r="4285">
      <c r="A4285" s="32" t="n">
        <v>14</v>
      </c>
      <c r="B4285" s="32" t="inlineStr">
        <is>
          <t>SS1</t>
        </is>
      </c>
      <c r="D4285" s="32" t="n">
        <v>13.08</v>
      </c>
      <c r="E4285" s="32" t="n">
        <v>3509.436</v>
      </c>
      <c r="G4285" s="32" t="n">
        <v>194.336</v>
      </c>
      <c r="H4285" s="32" t="inlineStr">
        <is>
          <t>MM</t>
        </is>
      </c>
      <c r="I4285" s="32" t="n">
        <v>3509.436</v>
      </c>
      <c r="K4285" s="32" t="inlineStr">
        <is>
          <t>20250514-25</t>
        </is>
      </c>
    </row>
    <row r="4286">
      <c r="A4286" s="32" t="n">
        <v>15</v>
      </c>
      <c r="B4286" s="32" t="inlineStr">
        <is>
          <t>SS2</t>
        </is>
      </c>
      <c r="D4286" s="32" t="n">
        <v>13.1</v>
      </c>
      <c r="E4286" s="32" t="n">
        <v>3793.294</v>
      </c>
      <c r="G4286" s="32" t="n">
        <v>187.365</v>
      </c>
      <c r="H4286" s="32" t="inlineStr">
        <is>
          <t>MM</t>
        </is>
      </c>
      <c r="I4286" s="32" t="n">
        <v>3793.294</v>
      </c>
      <c r="K4286" s="32" t="inlineStr">
        <is>
          <t>20250514-26</t>
        </is>
      </c>
    </row>
    <row r="4287">
      <c r="A4287" s="32" t="n">
        <v>16</v>
      </c>
      <c r="B4287" s="32" t="inlineStr">
        <is>
          <t>SS3</t>
        </is>
      </c>
      <c r="D4287" s="32" t="n">
        <v>13.1</v>
      </c>
      <c r="E4287" s="32" t="n">
        <v>4038.554</v>
      </c>
      <c r="G4287" s="32" t="n">
        <v>27424</v>
      </c>
      <c r="H4287" s="32" t="inlineStr">
        <is>
          <t>MM</t>
        </is>
      </c>
      <c r="I4287" s="32" t="n">
        <v>4038.554</v>
      </c>
      <c r="K4287" s="32" t="inlineStr">
        <is>
          <t>20250514-27</t>
        </is>
      </c>
    </row>
    <row r="4288">
      <c r="A4288" s="32" t="n">
        <v>17</v>
      </c>
      <c r="B4288" s="32" t="inlineStr">
        <is>
          <t>MeOH</t>
        </is>
      </c>
      <c r="K4288" s="32" t="inlineStr">
        <is>
          <t>20250514-28</t>
        </is>
      </c>
    </row>
    <row r="4289">
      <c r="A4289" s="32" t="n">
        <v>18</v>
      </c>
      <c r="B4289" s="32" t="inlineStr">
        <is>
          <t>K4-1A</t>
        </is>
      </c>
      <c r="D4289" s="32" t="n">
        <v>13.09</v>
      </c>
      <c r="E4289" s="32" t="n">
        <v>4390.72</v>
      </c>
      <c r="G4289" s="32" t="n">
        <v>109.263</v>
      </c>
      <c r="H4289" s="32" t="inlineStr">
        <is>
          <t>MM</t>
        </is>
      </c>
      <c r="I4289" s="32" t="n">
        <v>4390.72</v>
      </c>
      <c r="K4289" s="32" t="inlineStr">
        <is>
          <t>20250514-29</t>
        </is>
      </c>
    </row>
    <row r="4290">
      <c r="A4290" s="32" t="n">
        <v>19</v>
      </c>
      <c r="B4290" s="32" t="inlineStr">
        <is>
          <t>K4-1B</t>
        </is>
      </c>
      <c r="D4290" s="32" t="n">
        <v>13.11</v>
      </c>
      <c r="E4290" s="32" t="n">
        <v>4958.296</v>
      </c>
      <c r="G4290" s="32" t="n">
        <v>140.093</v>
      </c>
      <c r="H4290" s="32" t="inlineStr">
        <is>
          <t>MM</t>
        </is>
      </c>
      <c r="I4290" s="32" t="n">
        <v>4958.296</v>
      </c>
      <c r="K4290" s="32" t="inlineStr">
        <is>
          <t>20250514-30</t>
        </is>
      </c>
    </row>
    <row r="4291">
      <c r="A4291" s="32" t="n">
        <v>20</v>
      </c>
      <c r="B4291" s="32" t="inlineStr">
        <is>
          <t>K4-1C</t>
        </is>
      </c>
      <c r="D4291" s="32" t="n">
        <v>13.11</v>
      </c>
      <c r="E4291" s="32" t="n">
        <v>4371.351</v>
      </c>
      <c r="G4291" s="32" t="n">
        <v>61.426</v>
      </c>
      <c r="H4291" s="32" t="inlineStr">
        <is>
          <t>MM</t>
        </is>
      </c>
      <c r="I4291" s="32" t="n">
        <v>4371.351</v>
      </c>
      <c r="K4291" s="32" t="inlineStr">
        <is>
          <t>20250514-31</t>
        </is>
      </c>
    </row>
    <row r="4292">
      <c r="A4292" s="32" t="n">
        <v>21</v>
      </c>
      <c r="B4292" s="32" t="inlineStr">
        <is>
          <t>K4-2A</t>
        </is>
      </c>
      <c r="D4292" s="32" t="n">
        <v>13.11</v>
      </c>
      <c r="E4292" s="32" t="n">
        <v>4526.933</v>
      </c>
      <c r="G4292" s="32" t="n">
        <v>32087</v>
      </c>
      <c r="H4292" s="32" t="inlineStr">
        <is>
          <t>MM</t>
        </is>
      </c>
      <c r="I4292" s="32" t="n">
        <v>4526.933</v>
      </c>
      <c r="K4292" s="32" t="inlineStr">
        <is>
          <t>20250514-32</t>
        </is>
      </c>
    </row>
    <row r="4293">
      <c r="A4293" s="32" t="n">
        <v>22</v>
      </c>
      <c r="B4293" s="32" t="inlineStr">
        <is>
          <t>K4-2B</t>
        </is>
      </c>
      <c r="D4293" s="32" t="n">
        <v>13.11</v>
      </c>
      <c r="E4293" s="32" t="n">
        <v>3953.71</v>
      </c>
      <c r="G4293" s="32" t="n">
        <v>28241</v>
      </c>
      <c r="H4293" s="32" t="inlineStr">
        <is>
          <t>MM</t>
        </is>
      </c>
      <c r="I4293" s="32" t="n">
        <v>3953.71</v>
      </c>
      <c r="K4293" s="32" t="inlineStr">
        <is>
          <t>20250514-33</t>
        </is>
      </c>
    </row>
    <row r="4294">
      <c r="A4294" s="32" t="n">
        <v>23</v>
      </c>
      <c r="B4294" s="32" t="inlineStr">
        <is>
          <t>K4-2C</t>
        </is>
      </c>
      <c r="D4294" s="32" t="n">
        <v>13.13</v>
      </c>
      <c r="E4294" s="32" t="n">
        <v>4413.856</v>
      </c>
      <c r="G4294" s="32" t="n">
        <v>10.782</v>
      </c>
      <c r="H4294" s="32" t="inlineStr">
        <is>
          <t>MM</t>
        </is>
      </c>
      <c r="I4294" s="32" t="n">
        <v>4413.856</v>
      </c>
      <c r="K4294" s="32" t="inlineStr">
        <is>
          <t>20250514-34</t>
        </is>
      </c>
    </row>
    <row r="4295">
      <c r="A4295" s="32" t="n">
        <v>24</v>
      </c>
      <c r="B4295" s="32" t="inlineStr">
        <is>
          <t>MeOH</t>
        </is>
      </c>
      <c r="K4295" s="32" t="inlineStr">
        <is>
          <t>20250514-35</t>
        </is>
      </c>
    </row>
    <row r="4296">
      <c r="A4296" s="32" t="n">
        <v>25</v>
      </c>
      <c r="B4296" s="32" t="inlineStr">
        <is>
          <t>K4-4A</t>
        </is>
      </c>
      <c r="D4296" s="32" t="n">
        <v>13.16</v>
      </c>
      <c r="E4296" s="32" t="n">
        <v>4339.661</v>
      </c>
      <c r="G4296" s="32" t="n">
        <v>225.758</v>
      </c>
      <c r="H4296" s="32" t="inlineStr">
        <is>
          <t>MM</t>
        </is>
      </c>
      <c r="I4296" s="32" t="n">
        <v>4339.661</v>
      </c>
      <c r="K4296" s="32" t="inlineStr">
        <is>
          <t>20250514-36</t>
        </is>
      </c>
    </row>
    <row r="4297">
      <c r="A4297" s="32" t="n">
        <v>26</v>
      </c>
      <c r="B4297" s="32" t="inlineStr">
        <is>
          <t>K4-4B</t>
        </is>
      </c>
      <c r="D4297" s="32" t="n">
        <v>13.16</v>
      </c>
      <c r="E4297" s="32" t="n">
        <v>4622.056</v>
      </c>
      <c r="G4297" s="32" t="n">
        <v>403.084</v>
      </c>
      <c r="H4297" s="32" t="inlineStr">
        <is>
          <t>MM</t>
        </is>
      </c>
      <c r="I4297" s="32" t="n">
        <v>4622.056</v>
      </c>
      <c r="K4297" s="32" t="inlineStr">
        <is>
          <t>20250514-37</t>
        </is>
      </c>
    </row>
    <row r="4298">
      <c r="A4298" s="32" t="n">
        <v>27</v>
      </c>
      <c r="B4298" s="32" t="inlineStr">
        <is>
          <t>K4-4C</t>
        </is>
      </c>
      <c r="D4298" s="32" t="n">
        <v>13.14</v>
      </c>
      <c r="E4298" s="32" t="n">
        <v>4752.65</v>
      </c>
      <c r="G4298" s="32" t="n">
        <v>89.837</v>
      </c>
      <c r="H4298" s="32" t="inlineStr">
        <is>
          <t>MM</t>
        </is>
      </c>
      <c r="I4298" s="32" t="n">
        <v>4752.65</v>
      </c>
      <c r="K4298" s="32" t="inlineStr">
        <is>
          <t>20250514-38</t>
        </is>
      </c>
    </row>
    <row r="4299">
      <c r="A4299" s="32" t="n">
        <v>28</v>
      </c>
      <c r="B4299" s="32" t="inlineStr">
        <is>
          <t>K4-5A</t>
        </is>
      </c>
      <c r="D4299" s="32" t="n">
        <v>13.12</v>
      </c>
      <c r="E4299" s="32" t="n">
        <v>4486.193</v>
      </c>
      <c r="G4299" s="32" t="n">
        <v>126.08</v>
      </c>
      <c r="H4299" s="32" t="inlineStr">
        <is>
          <t>MM</t>
        </is>
      </c>
      <c r="I4299" s="32" t="n">
        <v>4486.193</v>
      </c>
      <c r="K4299" s="32" t="inlineStr">
        <is>
          <t>20250514-39</t>
        </is>
      </c>
    </row>
    <row r="4300">
      <c r="A4300" s="32" t="n">
        <v>29</v>
      </c>
      <c r="B4300" s="32" t="inlineStr">
        <is>
          <t>K4-5B</t>
        </is>
      </c>
      <c r="D4300" s="32" t="n">
        <v>13.1</v>
      </c>
      <c r="E4300" s="32" t="n">
        <v>4730.143</v>
      </c>
      <c r="G4300" s="32" t="n">
        <v>33771</v>
      </c>
      <c r="H4300" s="32" t="inlineStr">
        <is>
          <t>MM</t>
        </is>
      </c>
      <c r="I4300" s="32" t="n">
        <v>4730.143</v>
      </c>
      <c r="K4300" s="32" t="inlineStr">
        <is>
          <t>20250514-40</t>
        </is>
      </c>
    </row>
    <row r="4301">
      <c r="A4301" s="32" t="n">
        <v>30</v>
      </c>
      <c r="B4301" s="32" t="inlineStr">
        <is>
          <t>K4-5C</t>
        </is>
      </c>
      <c r="D4301" s="32" t="n">
        <v>13.04</v>
      </c>
      <c r="E4301" s="32" t="n">
        <v>4411.928</v>
      </c>
      <c r="G4301" s="32" t="n">
        <v>21.424</v>
      </c>
      <c r="H4301" s="32" t="inlineStr">
        <is>
          <t>MM</t>
        </is>
      </c>
      <c r="I4301" s="32" t="n">
        <v>4411.928</v>
      </c>
      <c r="K4301" s="32" t="inlineStr">
        <is>
          <t>20250514-41</t>
        </is>
      </c>
    </row>
    <row r="4302">
      <c r="A4302" s="32" t="n">
        <v>31</v>
      </c>
      <c r="B4302" s="32" t="inlineStr">
        <is>
          <t>MeOH</t>
        </is>
      </c>
      <c r="K4302" s="32" t="inlineStr">
        <is>
          <t>20250514-42</t>
        </is>
      </c>
    </row>
    <row r="4303">
      <c r="A4303" s="32" t="n">
        <v>32</v>
      </c>
      <c r="B4303" s="32" t="inlineStr">
        <is>
          <t>K3-1A</t>
        </is>
      </c>
      <c r="D4303" s="32" t="n">
        <v>12.98</v>
      </c>
      <c r="E4303" s="32" t="n">
        <v>4266.804</v>
      </c>
      <c r="G4303" s="32" t="n">
        <v>101.165</v>
      </c>
      <c r="H4303" s="32" t="inlineStr">
        <is>
          <t>MM</t>
        </is>
      </c>
      <c r="I4303" s="32" t="n">
        <v>4266.804</v>
      </c>
      <c r="K4303" s="32" t="inlineStr">
        <is>
          <t>20250514-43</t>
        </is>
      </c>
    </row>
    <row r="4304">
      <c r="A4304" s="32" t="n">
        <v>33</v>
      </c>
      <c r="B4304" s="32" t="inlineStr">
        <is>
          <t>K3-1B</t>
        </is>
      </c>
      <c r="D4304" s="32" t="n">
        <v>12.99</v>
      </c>
      <c r="E4304" s="32" t="n">
        <v>4226.579</v>
      </c>
      <c r="G4304" s="32" t="n">
        <v>271.266</v>
      </c>
      <c r="H4304" s="32" t="inlineStr">
        <is>
          <t>MM</t>
        </is>
      </c>
      <c r="I4304" s="32" t="n">
        <v>4226.579</v>
      </c>
      <c r="K4304" s="32" t="inlineStr">
        <is>
          <t>20250514-44</t>
        </is>
      </c>
    </row>
    <row r="4305">
      <c r="A4305" s="32" t="n">
        <v>34</v>
      </c>
      <c r="B4305" s="32" t="inlineStr">
        <is>
          <t>K3-1C</t>
        </is>
      </c>
      <c r="D4305" s="32" t="n">
        <v>13.04</v>
      </c>
      <c r="E4305" s="32" t="n">
        <v>6075.289</v>
      </c>
      <c r="G4305" s="32" t="n">
        <v>42359</v>
      </c>
      <c r="H4305" s="32" t="inlineStr">
        <is>
          <t>MM</t>
        </is>
      </c>
      <c r="I4305" s="32" t="n">
        <v>6075.289</v>
      </c>
      <c r="K4305" s="32" t="inlineStr">
        <is>
          <t>20250514-45</t>
        </is>
      </c>
    </row>
    <row r="4306">
      <c r="A4306" s="32" t="n">
        <v>35</v>
      </c>
      <c r="B4306" s="32" t="inlineStr">
        <is>
          <t>K3-2A</t>
        </is>
      </c>
      <c r="D4306" s="32" t="n">
        <v>13.05</v>
      </c>
      <c r="E4306" s="32" t="n">
        <v>4969.539</v>
      </c>
      <c r="G4306" s="32" t="n">
        <v>597.866</v>
      </c>
      <c r="H4306" s="32" t="inlineStr">
        <is>
          <t>MM</t>
        </is>
      </c>
      <c r="I4306" s="32" t="n">
        <v>4969.539</v>
      </c>
      <c r="K4306" s="32" t="inlineStr">
        <is>
          <t>20250514-46</t>
        </is>
      </c>
    </row>
    <row r="4307">
      <c r="A4307" s="32" t="n">
        <v>36</v>
      </c>
      <c r="B4307" s="32" t="inlineStr">
        <is>
          <t>K3-2B</t>
        </is>
      </c>
      <c r="D4307" s="32" t="n">
        <v>13.05</v>
      </c>
      <c r="E4307" s="32" t="n">
        <v>6335.351</v>
      </c>
      <c r="G4307" s="32" t="n">
        <v>256.043</v>
      </c>
      <c r="H4307" s="32" t="inlineStr">
        <is>
          <t>MM</t>
        </is>
      </c>
      <c r="I4307" s="32" t="n">
        <v>6335.351</v>
      </c>
      <c r="K4307" s="32" t="inlineStr">
        <is>
          <t>20250514-47</t>
        </is>
      </c>
    </row>
    <row r="4308">
      <c r="A4308" s="32" t="n">
        <v>37</v>
      </c>
      <c r="B4308" s="32" t="inlineStr">
        <is>
          <t>K3-2C</t>
        </is>
      </c>
      <c r="D4308" s="32" t="n">
        <v>13.05</v>
      </c>
      <c r="E4308" s="32" t="n">
        <v>5241.567</v>
      </c>
      <c r="G4308" s="32" t="n">
        <v>36620</v>
      </c>
      <c r="H4308" s="32" t="inlineStr">
        <is>
          <t>MM</t>
        </is>
      </c>
      <c r="I4308" s="32" t="n">
        <v>5241.567</v>
      </c>
      <c r="K4308" s="32" t="inlineStr">
        <is>
          <t>20250514-48</t>
        </is>
      </c>
    </row>
    <row r="4309">
      <c r="A4309" s="32" t="n">
        <v>38</v>
      </c>
      <c r="B4309" s="32" t="inlineStr">
        <is>
          <t>MeOH</t>
        </is>
      </c>
      <c r="K4309" s="32" t="inlineStr">
        <is>
          <t>20250514-49</t>
        </is>
      </c>
    </row>
    <row r="4310">
      <c r="A4310" s="32" t="n">
        <v>39</v>
      </c>
      <c r="B4310" s="32" t="inlineStr">
        <is>
          <t>K3-3A</t>
        </is>
      </c>
      <c r="D4310" s="32" t="n">
        <v>13.08</v>
      </c>
      <c r="E4310" s="32" t="n">
        <v>4732.999</v>
      </c>
      <c r="G4310" s="32" t="n">
        <v>141.389</v>
      </c>
      <c r="H4310" s="32" t="inlineStr">
        <is>
          <t>MM</t>
        </is>
      </c>
      <c r="I4310" s="32" t="n">
        <v>4732.999</v>
      </c>
      <c r="K4310" s="32" t="inlineStr">
        <is>
          <t>20250514-50</t>
        </is>
      </c>
    </row>
    <row r="4311">
      <c r="A4311" s="32" t="n">
        <v>40</v>
      </c>
      <c r="B4311" s="32" t="inlineStr">
        <is>
          <t>K3-3B</t>
        </is>
      </c>
      <c r="D4311" s="32" t="n">
        <v>13.1</v>
      </c>
      <c r="E4311" s="32" t="n">
        <v>5276.267</v>
      </c>
      <c r="G4311" s="32" t="n">
        <v>448.932</v>
      </c>
      <c r="H4311" s="32" t="inlineStr">
        <is>
          <t>MM</t>
        </is>
      </c>
      <c r="I4311" s="32" t="n">
        <v>5276.267</v>
      </c>
      <c r="K4311" s="32" t="inlineStr">
        <is>
          <t>20250514-51</t>
        </is>
      </c>
    </row>
    <row r="4312">
      <c r="A4312" s="32" t="n">
        <v>41</v>
      </c>
      <c r="B4312" s="32" t="inlineStr">
        <is>
          <t>K3-3C</t>
        </is>
      </c>
      <c r="D4312" s="32" t="n">
        <v>13.1</v>
      </c>
      <c r="E4312" s="32" t="n">
        <v>5766.285</v>
      </c>
      <c r="G4312" s="32" t="n">
        <v>80.56699999999999</v>
      </c>
      <c r="H4312" s="32" t="inlineStr">
        <is>
          <t>MM</t>
        </is>
      </c>
      <c r="I4312" s="32" t="n">
        <v>5766.285</v>
      </c>
      <c r="K4312" s="32" t="inlineStr">
        <is>
          <t>20250514-52</t>
        </is>
      </c>
    </row>
    <row r="4313">
      <c r="A4313" s="32" t="n">
        <v>42</v>
      </c>
      <c r="B4313" s="32" t="inlineStr">
        <is>
          <t>K3-4A</t>
        </is>
      </c>
      <c r="D4313" s="32" t="n">
        <v>13.16</v>
      </c>
      <c r="E4313" s="32" t="n">
        <v>6890.361</v>
      </c>
      <c r="G4313" s="32" t="n">
        <v>139.485</v>
      </c>
      <c r="H4313" s="32" t="inlineStr">
        <is>
          <t>MM</t>
        </is>
      </c>
      <c r="I4313" s="32" t="n">
        <v>6890.361</v>
      </c>
      <c r="K4313" s="32" t="inlineStr">
        <is>
          <t>20250514-53</t>
        </is>
      </c>
    </row>
    <row r="4314">
      <c r="A4314" s="32" t="n">
        <v>43</v>
      </c>
      <c r="B4314" s="32" t="inlineStr">
        <is>
          <t>K3-4B</t>
        </is>
      </c>
      <c r="D4314" s="32" t="n">
        <v>13.13</v>
      </c>
      <c r="E4314" s="32" t="n">
        <v>5919.835</v>
      </c>
      <c r="G4314" s="32" t="n">
        <v>244.445</v>
      </c>
      <c r="H4314" s="32" t="inlineStr">
        <is>
          <t>MM</t>
        </is>
      </c>
      <c r="I4314" s="32" t="n">
        <v>5919.835</v>
      </c>
      <c r="K4314" s="32" t="inlineStr">
        <is>
          <t>20250514-54</t>
        </is>
      </c>
    </row>
    <row r="4315">
      <c r="A4315" s="32" t="n">
        <v>44</v>
      </c>
      <c r="B4315" s="32" t="inlineStr">
        <is>
          <t>K3-4C</t>
        </is>
      </c>
      <c r="D4315" s="32" t="n">
        <v>13.17</v>
      </c>
      <c r="E4315" s="32" t="n">
        <v>6654.743</v>
      </c>
      <c r="G4315" s="32" t="n">
        <v>194.289</v>
      </c>
      <c r="H4315" s="32" t="inlineStr">
        <is>
          <t>MM</t>
        </is>
      </c>
      <c r="I4315" s="32" t="n">
        <v>6654.743</v>
      </c>
      <c r="K4315" s="32" t="inlineStr">
        <is>
          <t>20250514-55</t>
        </is>
      </c>
    </row>
    <row r="4316">
      <c r="A4316" s="32" t="n">
        <v>45</v>
      </c>
      <c r="B4316" s="32" t="inlineStr">
        <is>
          <t>MeOH</t>
        </is>
      </c>
      <c r="K4316" s="32" t="inlineStr">
        <is>
          <t>20250514-56</t>
        </is>
      </c>
    </row>
    <row r="4317">
      <c r="A4317" s="32" t="n">
        <v>46</v>
      </c>
      <c r="B4317" s="32" t="inlineStr">
        <is>
          <t>K3-6A</t>
        </is>
      </c>
      <c r="D4317" s="32" t="n">
        <v>13.17</v>
      </c>
      <c r="E4317" s="32" t="n">
        <v>5276.166</v>
      </c>
      <c r="G4317" s="32" t="n">
        <v>166.608</v>
      </c>
      <c r="H4317" s="32" t="inlineStr">
        <is>
          <t>MM</t>
        </is>
      </c>
      <c r="I4317" s="32" t="n">
        <v>5276.166</v>
      </c>
      <c r="K4317" s="32" t="inlineStr">
        <is>
          <t>20250514-57</t>
        </is>
      </c>
    </row>
    <row r="4318">
      <c r="A4318" s="32" t="n">
        <v>47</v>
      </c>
      <c r="B4318" s="32" t="inlineStr">
        <is>
          <t>K3-6B</t>
        </is>
      </c>
      <c r="D4318" s="32" t="n">
        <v>13.17</v>
      </c>
      <c r="E4318" s="32" t="n">
        <v>4645.106</v>
      </c>
      <c r="G4318" s="32" t="n">
        <v>173.247</v>
      </c>
      <c r="H4318" s="32" t="inlineStr">
        <is>
          <t>MM</t>
        </is>
      </c>
      <c r="I4318" s="32" t="n">
        <v>4645.106</v>
      </c>
      <c r="K4318" s="32" t="inlineStr">
        <is>
          <t>20250514-58</t>
        </is>
      </c>
    </row>
    <row r="4319">
      <c r="A4319" s="32" t="n">
        <v>48</v>
      </c>
      <c r="B4319" s="32" t="inlineStr">
        <is>
          <t>K3-6C</t>
        </is>
      </c>
      <c r="D4319" s="32" t="n">
        <v>13.16</v>
      </c>
      <c r="E4319" s="32" t="n">
        <v>4158.427</v>
      </c>
      <c r="G4319" s="32" t="n">
        <v>531.296</v>
      </c>
      <c r="H4319" s="32" t="inlineStr">
        <is>
          <t>MM</t>
        </is>
      </c>
      <c r="I4319" s="32" t="n">
        <v>4158.427</v>
      </c>
      <c r="K4319" s="32" t="inlineStr">
        <is>
          <t>20250514-59</t>
        </is>
      </c>
    </row>
    <row r="4321">
      <c r="A4321" s="32" t="inlineStr">
        <is>
          <t>Compound 84:  N-MeFOSA 1</t>
        </is>
      </c>
    </row>
    <row r="4323">
      <c r="B4323" s="32" t="inlineStr">
        <is>
          <t>Sample Text</t>
        </is>
      </c>
      <c r="C4323" s="32" t="inlineStr">
        <is>
          <t>Std. Conc</t>
        </is>
      </c>
      <c r="D4323" s="32" t="inlineStr">
        <is>
          <t>RT</t>
        </is>
      </c>
      <c r="E4323" s="32" t="inlineStr">
        <is>
          <t>Area</t>
        </is>
      </c>
      <c r="F4323" s="32" t="inlineStr">
        <is>
          <t>IS Area</t>
        </is>
      </c>
      <c r="G4323" s="32" t="inlineStr">
        <is>
          <t>S/N</t>
        </is>
      </c>
      <c r="H4323" s="32" t="inlineStr">
        <is>
          <t>Primary Flags</t>
        </is>
      </c>
      <c r="I4323" s="32" t="inlineStr">
        <is>
          <t>Response</t>
        </is>
      </c>
      <c r="J4323" s="32" t="inlineStr">
        <is>
          <t>Conc.</t>
        </is>
      </c>
      <c r="K4323" s="32" t="inlineStr">
        <is>
          <t>Name</t>
        </is>
      </c>
    </row>
    <row r="4324">
      <c r="A4324" s="32" t="n">
        <v>1</v>
      </c>
      <c r="B4324" s="32" t="inlineStr">
        <is>
          <t>EPA1633 &amp; diPAPs Calibration 0 ppb</t>
        </is>
      </c>
      <c r="D4324" s="32" t="n">
        <v>15.37</v>
      </c>
      <c r="E4324" s="32" t="n">
        <v>134.836</v>
      </c>
      <c r="F4324" s="32" t="n">
        <v>8855.373</v>
      </c>
      <c r="G4324" s="32" t="n">
        <v>0.782</v>
      </c>
      <c r="H4324" s="32" t="inlineStr">
        <is>
          <t>MM</t>
        </is>
      </c>
      <c r="K4324" s="32" t="inlineStr">
        <is>
          <t>20250514-12</t>
        </is>
      </c>
    </row>
    <row r="4325">
      <c r="A4325" s="32" t="n">
        <v>2</v>
      </c>
      <c r="B4325" s="32" t="inlineStr">
        <is>
          <t>EPA1633 &amp; diPAPs Calibration 0.02 ppb</t>
        </is>
      </c>
      <c r="D4325" s="32" t="n">
        <v>15.38</v>
      </c>
      <c r="E4325" s="32" t="n">
        <v>11.521</v>
      </c>
      <c r="F4325" s="32" t="n">
        <v>7451.587</v>
      </c>
      <c r="G4325" s="32" t="n">
        <v>0.342</v>
      </c>
      <c r="H4325" s="32" t="inlineStr">
        <is>
          <t>MM</t>
        </is>
      </c>
      <c r="K4325" s="32" t="inlineStr">
        <is>
          <t>20250514-13</t>
        </is>
      </c>
    </row>
    <row r="4326">
      <c r="A4326" s="32" t="n">
        <v>3</v>
      </c>
      <c r="B4326" s="32" t="inlineStr">
        <is>
          <t>EPA1633 &amp; diPAPs Calibration 0.1 ppb</t>
        </is>
      </c>
      <c r="D4326" s="32" t="n">
        <v>15.38</v>
      </c>
      <c r="E4326" s="32" t="n">
        <v>107.95</v>
      </c>
      <c r="F4326" s="32" t="n">
        <v>9747.741</v>
      </c>
      <c r="G4326" s="32" t="n">
        <v>1.324</v>
      </c>
      <c r="H4326" s="32" t="inlineStr">
        <is>
          <t>MM</t>
        </is>
      </c>
      <c r="K4326" s="32" t="inlineStr">
        <is>
          <t>20250514-14</t>
        </is>
      </c>
    </row>
    <row r="4327">
      <c r="A4327" s="32" t="n">
        <v>4</v>
      </c>
      <c r="B4327" s="32" t="inlineStr">
        <is>
          <t>EPA1633 &amp; diPAPs Calibration 0.4 ppb</t>
        </is>
      </c>
      <c r="D4327" s="32" t="n">
        <v>15.39</v>
      </c>
      <c r="E4327" s="32" t="n">
        <v>535.005</v>
      </c>
      <c r="F4327" s="32" t="n">
        <v>8367.638999999999</v>
      </c>
      <c r="G4327" s="32" t="n">
        <v>52.346</v>
      </c>
      <c r="H4327" s="32" t="inlineStr">
        <is>
          <t>MM</t>
        </is>
      </c>
      <c r="K4327" s="32" t="inlineStr">
        <is>
          <t>20250514-15</t>
        </is>
      </c>
    </row>
    <row r="4328">
      <c r="A4328" s="32" t="n">
        <v>5</v>
      </c>
      <c r="B4328" s="32" t="inlineStr">
        <is>
          <t>EPA1633 &amp; diPAPs Calibration 1 ppb</t>
        </is>
      </c>
      <c r="D4328" s="32" t="n">
        <v>15.37</v>
      </c>
      <c r="E4328" s="32" t="n">
        <v>735.872</v>
      </c>
      <c r="F4328" s="32" t="n">
        <v>9480.705</v>
      </c>
      <c r="G4328" s="32" t="n">
        <v>5357</v>
      </c>
      <c r="H4328" s="32" t="inlineStr">
        <is>
          <t>MM</t>
        </is>
      </c>
      <c r="K4328" s="32" t="inlineStr">
        <is>
          <t>20250514-16</t>
        </is>
      </c>
    </row>
    <row r="4329">
      <c r="A4329" s="32" t="n">
        <v>6</v>
      </c>
      <c r="B4329" s="32" t="inlineStr">
        <is>
          <t>EPA1633 &amp; diPAPs Calibration 5 ppb</t>
        </is>
      </c>
      <c r="D4329" s="32" t="n">
        <v>15.34</v>
      </c>
      <c r="E4329" s="32" t="n">
        <v>4448.286</v>
      </c>
      <c r="F4329" s="32" t="n">
        <v>7978.999</v>
      </c>
      <c r="G4329" s="32" t="n">
        <v>31261</v>
      </c>
      <c r="H4329" s="32" t="inlineStr">
        <is>
          <t>MM</t>
        </is>
      </c>
      <c r="K4329" s="32" t="inlineStr">
        <is>
          <t>20250514-17</t>
        </is>
      </c>
    </row>
    <row r="4330">
      <c r="A4330" s="32" t="n">
        <v>7</v>
      </c>
      <c r="B4330" s="32" t="inlineStr">
        <is>
          <t>EPA1633 &amp; diPAPs Calibration 10 ppb</t>
        </is>
      </c>
      <c r="D4330" s="32" t="n">
        <v>15.36</v>
      </c>
      <c r="E4330" s="32" t="n">
        <v>9227.802</v>
      </c>
      <c r="F4330" s="32" t="n">
        <v>6394.926</v>
      </c>
      <c r="G4330" s="32" t="n">
        <v>65645</v>
      </c>
      <c r="H4330" s="32" t="inlineStr">
        <is>
          <t>MM</t>
        </is>
      </c>
      <c r="K4330" s="32" t="inlineStr">
        <is>
          <t>20250514-18</t>
        </is>
      </c>
    </row>
    <row r="4331">
      <c r="A4331" s="32" t="n">
        <v>8</v>
      </c>
      <c r="B4331" s="32" t="inlineStr">
        <is>
          <t>EPA1633 &amp; diPAPs Calibration 20 ppb</t>
        </is>
      </c>
      <c r="D4331" s="32" t="n">
        <v>15.38</v>
      </c>
      <c r="E4331" s="32" t="n">
        <v>19508.637</v>
      </c>
      <c r="F4331" s="32" t="n">
        <v>6966.072</v>
      </c>
      <c r="G4331" s="32" t="n">
        <v>1829.865</v>
      </c>
      <c r="H4331" s="32" t="inlineStr">
        <is>
          <t>MM</t>
        </is>
      </c>
      <c r="K4331" s="32" t="inlineStr">
        <is>
          <t>20250514-19</t>
        </is>
      </c>
    </row>
    <row r="4332">
      <c r="A4332" s="32" t="n">
        <v>9</v>
      </c>
      <c r="B4332" s="32" t="inlineStr">
        <is>
          <t>MeOH</t>
        </is>
      </c>
      <c r="K4332" s="32" t="inlineStr">
        <is>
          <t>20250514-20</t>
        </is>
      </c>
    </row>
    <row r="4333">
      <c r="A4333" s="32" t="n">
        <v>10</v>
      </c>
      <c r="B4333" s="32" t="inlineStr">
        <is>
          <t>MeOH</t>
        </is>
      </c>
      <c r="K4333" s="32" t="inlineStr">
        <is>
          <t>20250514-21</t>
        </is>
      </c>
    </row>
    <row r="4334">
      <c r="A4334" s="32" t="n">
        <v>11</v>
      </c>
      <c r="B4334" s="32" t="inlineStr">
        <is>
          <t>SB1</t>
        </is>
      </c>
      <c r="F4334" s="32" t="n">
        <v>2413.944</v>
      </c>
      <c r="K4334" s="32" t="inlineStr">
        <is>
          <t>20250514-22</t>
        </is>
      </c>
    </row>
    <row r="4335">
      <c r="A4335" s="32" t="n">
        <v>12</v>
      </c>
      <c r="B4335" s="32" t="inlineStr">
        <is>
          <t>SB2</t>
        </is>
      </c>
      <c r="D4335" s="32" t="n">
        <v>14.98</v>
      </c>
      <c r="E4335" s="32" t="n">
        <v>14.819</v>
      </c>
      <c r="F4335" s="32" t="n">
        <v>2333.367</v>
      </c>
      <c r="G4335" s="32" t="n">
        <v>134</v>
      </c>
      <c r="H4335" s="32" t="inlineStr">
        <is>
          <t>MM</t>
        </is>
      </c>
      <c r="K4335" s="32" t="inlineStr">
        <is>
          <t>20250514-23</t>
        </is>
      </c>
    </row>
    <row r="4336">
      <c r="A4336" s="32" t="n">
        <v>13</v>
      </c>
      <c r="B4336" s="32" t="inlineStr">
        <is>
          <t>SB3</t>
        </is>
      </c>
      <c r="F4336" s="32" t="n">
        <v>3027.065</v>
      </c>
      <c r="K4336" s="32" t="inlineStr">
        <is>
          <t>20250514-24</t>
        </is>
      </c>
    </row>
    <row r="4337">
      <c r="A4337" s="32" t="n">
        <v>14</v>
      </c>
      <c r="B4337" s="32" t="inlineStr">
        <is>
          <t>SS1</t>
        </is>
      </c>
      <c r="D4337" s="32" t="n">
        <v>15.44</v>
      </c>
      <c r="E4337" s="32" t="n">
        <v>1542.108</v>
      </c>
      <c r="F4337" s="32" t="n">
        <v>1884.13</v>
      </c>
      <c r="G4337" s="32" t="n">
        <v>95.64100000000001</v>
      </c>
      <c r="H4337" s="32" t="inlineStr">
        <is>
          <t>MM</t>
        </is>
      </c>
      <c r="K4337" s="32" t="inlineStr">
        <is>
          <t>20250514-25</t>
        </is>
      </c>
    </row>
    <row r="4338">
      <c r="A4338" s="32" t="n">
        <v>15</v>
      </c>
      <c r="B4338" s="32" t="inlineStr">
        <is>
          <t>SS2</t>
        </is>
      </c>
      <c r="D4338" s="32" t="n">
        <v>15.44</v>
      </c>
      <c r="E4338" s="32" t="n">
        <v>2745.076</v>
      </c>
      <c r="F4338" s="32" t="n">
        <v>2408.635</v>
      </c>
      <c r="G4338" s="32" t="n">
        <v>20141</v>
      </c>
      <c r="H4338" s="32" t="inlineStr">
        <is>
          <t>MM</t>
        </is>
      </c>
      <c r="K4338" s="32" t="inlineStr">
        <is>
          <t>20250514-26</t>
        </is>
      </c>
    </row>
    <row r="4339">
      <c r="A4339" s="32" t="n">
        <v>16</v>
      </c>
      <c r="B4339" s="32" t="inlineStr">
        <is>
          <t>SS3</t>
        </is>
      </c>
      <c r="D4339" s="32" t="n">
        <v>15.46</v>
      </c>
      <c r="E4339" s="32" t="n">
        <v>2574.47</v>
      </c>
      <c r="F4339" s="32" t="n">
        <v>2091.666</v>
      </c>
      <c r="G4339" s="32" t="n">
        <v>18474</v>
      </c>
      <c r="H4339" s="32" t="inlineStr">
        <is>
          <t>MM</t>
        </is>
      </c>
      <c r="K4339" s="32" t="inlineStr">
        <is>
          <t>20250514-27</t>
        </is>
      </c>
    </row>
    <row r="4340">
      <c r="A4340" s="32" t="n">
        <v>17</v>
      </c>
      <c r="B4340" s="32" t="inlineStr">
        <is>
          <t>MeOH</t>
        </is>
      </c>
      <c r="K4340" s="32" t="inlineStr">
        <is>
          <t>20250514-28</t>
        </is>
      </c>
    </row>
    <row r="4341">
      <c r="A4341" s="32" t="n">
        <v>18</v>
      </c>
      <c r="B4341" s="32" t="inlineStr">
        <is>
          <t>K4-1A</t>
        </is>
      </c>
      <c r="F4341" s="32" t="n">
        <v>2980.241</v>
      </c>
      <c r="K4341" s="32" t="inlineStr">
        <is>
          <t>20250514-29</t>
        </is>
      </c>
    </row>
    <row r="4342">
      <c r="A4342" s="32" t="n">
        <v>19</v>
      </c>
      <c r="B4342" s="32" t="inlineStr">
        <is>
          <t>K4-1B</t>
        </is>
      </c>
      <c r="F4342" s="32" t="n">
        <v>3370.866</v>
      </c>
      <c r="K4342" s="32" t="inlineStr">
        <is>
          <t>20250514-30</t>
        </is>
      </c>
    </row>
    <row r="4343">
      <c r="A4343" s="32" t="n">
        <v>20</v>
      </c>
      <c r="B4343" s="32" t="inlineStr">
        <is>
          <t>K4-1C</t>
        </is>
      </c>
      <c r="F4343" s="32" t="n">
        <v>3902.349</v>
      </c>
      <c r="K4343" s="32" t="inlineStr">
        <is>
          <t>20250514-31</t>
        </is>
      </c>
    </row>
    <row r="4344">
      <c r="A4344" s="32" t="n">
        <v>21</v>
      </c>
      <c r="B4344" s="32" t="inlineStr">
        <is>
          <t>K4-2A</t>
        </is>
      </c>
      <c r="D4344" s="32" t="n">
        <v>15.18</v>
      </c>
      <c r="E4344" s="32" t="n">
        <v>0.777</v>
      </c>
      <c r="F4344" s="32" t="n">
        <v>2999.001</v>
      </c>
      <c r="G4344" s="32" t="n">
        <v>7</v>
      </c>
      <c r="H4344" s="32" t="inlineStr">
        <is>
          <t>MM</t>
        </is>
      </c>
      <c r="K4344" s="32" t="inlineStr">
        <is>
          <t>20250514-32</t>
        </is>
      </c>
    </row>
    <row r="4345">
      <c r="A4345" s="32" t="n">
        <v>22</v>
      </c>
      <c r="B4345" s="32" t="inlineStr">
        <is>
          <t>K4-2B</t>
        </is>
      </c>
      <c r="F4345" s="32" t="n">
        <v>2762.308</v>
      </c>
      <c r="K4345" s="32" t="inlineStr">
        <is>
          <t>20250514-33</t>
        </is>
      </c>
    </row>
    <row r="4346">
      <c r="A4346" s="32" t="n">
        <v>23</v>
      </c>
      <c r="B4346" s="32" t="inlineStr">
        <is>
          <t>K4-2C</t>
        </is>
      </c>
      <c r="F4346" s="32" t="n">
        <v>2086.286</v>
      </c>
      <c r="K4346" s="32" t="inlineStr">
        <is>
          <t>20250514-34</t>
        </is>
      </c>
    </row>
    <row r="4347">
      <c r="A4347" s="32" t="n">
        <v>24</v>
      </c>
      <c r="B4347" s="32" t="inlineStr">
        <is>
          <t>MeOH</t>
        </is>
      </c>
      <c r="K4347" s="32" t="inlineStr">
        <is>
          <t>20250514-35</t>
        </is>
      </c>
    </row>
    <row r="4348">
      <c r="A4348" s="32" t="n">
        <v>25</v>
      </c>
      <c r="B4348" s="32" t="inlineStr">
        <is>
          <t>K4-4A</t>
        </is>
      </c>
      <c r="F4348" s="32" t="n">
        <v>3231.483</v>
      </c>
      <c r="K4348" s="32" t="inlineStr">
        <is>
          <t>20250514-36</t>
        </is>
      </c>
    </row>
    <row r="4349">
      <c r="A4349" s="32" t="n">
        <v>26</v>
      </c>
      <c r="B4349" s="32" t="inlineStr">
        <is>
          <t>K4-4B</t>
        </is>
      </c>
      <c r="F4349" s="32" t="n">
        <v>3018.695</v>
      </c>
      <c r="K4349" s="32" t="inlineStr">
        <is>
          <t>20250514-37</t>
        </is>
      </c>
    </row>
    <row r="4350">
      <c r="A4350" s="32" t="n">
        <v>27</v>
      </c>
      <c r="B4350" s="32" t="inlineStr">
        <is>
          <t>K4-4C</t>
        </is>
      </c>
      <c r="D4350" s="32" t="n">
        <v>15.77</v>
      </c>
      <c r="E4350" s="32" t="n">
        <v>1.385</v>
      </c>
      <c r="F4350" s="32" t="n">
        <v>3164.893</v>
      </c>
      <c r="G4350" s="32" t="n">
        <v>12</v>
      </c>
      <c r="H4350" s="32" t="inlineStr">
        <is>
          <t>MM</t>
        </is>
      </c>
      <c r="K4350" s="32" t="inlineStr">
        <is>
          <t>20250514-38</t>
        </is>
      </c>
    </row>
    <row r="4351">
      <c r="A4351" s="32" t="n">
        <v>28</v>
      </c>
      <c r="B4351" s="32" t="inlineStr">
        <is>
          <t>K4-5A</t>
        </is>
      </c>
      <c r="F4351" s="32" t="n">
        <v>2396.031</v>
      </c>
      <c r="K4351" s="32" t="inlineStr">
        <is>
          <t>20250514-39</t>
        </is>
      </c>
    </row>
    <row r="4352">
      <c r="A4352" s="32" t="n">
        <v>29</v>
      </c>
      <c r="B4352" s="32" t="inlineStr">
        <is>
          <t>K4-5B</t>
        </is>
      </c>
      <c r="F4352" s="32" t="n">
        <v>2349.692</v>
      </c>
      <c r="K4352" s="32" t="inlineStr">
        <is>
          <t>20250514-40</t>
        </is>
      </c>
    </row>
    <row r="4353">
      <c r="A4353" s="32" t="n">
        <v>30</v>
      </c>
      <c r="B4353" s="32" t="inlineStr">
        <is>
          <t>K4-5C</t>
        </is>
      </c>
      <c r="F4353" s="32" t="n">
        <v>2260.231</v>
      </c>
      <c r="K4353" s="32" t="inlineStr">
        <is>
          <t>20250514-41</t>
        </is>
      </c>
    </row>
    <row r="4354">
      <c r="A4354" s="32" t="n">
        <v>31</v>
      </c>
      <c r="B4354" s="32" t="inlineStr">
        <is>
          <t>MeOH</t>
        </is>
      </c>
      <c r="K4354" s="32" t="inlineStr">
        <is>
          <t>20250514-42</t>
        </is>
      </c>
    </row>
    <row r="4355">
      <c r="A4355" s="32" t="n">
        <v>32</v>
      </c>
      <c r="B4355" s="32" t="inlineStr">
        <is>
          <t>K3-1A</t>
        </is>
      </c>
      <c r="D4355" s="32" t="n">
        <v>14.67</v>
      </c>
      <c r="E4355" s="32" t="n">
        <v>14.815</v>
      </c>
      <c r="F4355" s="32" t="n">
        <v>3351.362</v>
      </c>
      <c r="G4355" s="32" t="n">
        <v>134</v>
      </c>
      <c r="H4355" s="32" t="inlineStr">
        <is>
          <t>MM</t>
        </is>
      </c>
      <c r="K4355" s="32" t="inlineStr">
        <is>
          <t>20250514-43</t>
        </is>
      </c>
    </row>
    <row r="4356">
      <c r="A4356" s="32" t="n">
        <v>33</v>
      </c>
      <c r="B4356" s="32" t="inlineStr">
        <is>
          <t>K3-1B</t>
        </is>
      </c>
      <c r="F4356" s="32" t="n">
        <v>2810.073</v>
      </c>
      <c r="K4356" s="32" t="inlineStr">
        <is>
          <t>20250514-44</t>
        </is>
      </c>
    </row>
    <row r="4357">
      <c r="A4357" s="32" t="n">
        <v>34</v>
      </c>
      <c r="B4357" s="32" t="inlineStr">
        <is>
          <t>K3-1C</t>
        </is>
      </c>
      <c r="D4357" s="32" t="n">
        <v>15.07</v>
      </c>
      <c r="E4357" s="32" t="n">
        <v>1.122</v>
      </c>
      <c r="F4357" s="32" t="n">
        <v>4291.379</v>
      </c>
      <c r="G4357" s="32" t="n">
        <v>11</v>
      </c>
      <c r="H4357" s="32" t="inlineStr">
        <is>
          <t>MM</t>
        </is>
      </c>
      <c r="K4357" s="32" t="inlineStr">
        <is>
          <t>20250514-45</t>
        </is>
      </c>
    </row>
    <row r="4358">
      <c r="A4358" s="32" t="n">
        <v>35</v>
      </c>
      <c r="B4358" s="32" t="inlineStr">
        <is>
          <t>K3-2A</t>
        </is>
      </c>
      <c r="F4358" s="32" t="n">
        <v>4321.14</v>
      </c>
      <c r="K4358" s="32" t="inlineStr">
        <is>
          <t>20250514-46</t>
        </is>
      </c>
    </row>
    <row r="4359">
      <c r="A4359" s="32" t="n">
        <v>36</v>
      </c>
      <c r="B4359" s="32" t="inlineStr">
        <is>
          <t>K3-2B</t>
        </is>
      </c>
      <c r="F4359" s="32" t="n">
        <v>4280.789</v>
      </c>
      <c r="K4359" s="32" t="inlineStr">
        <is>
          <t>20250514-47</t>
        </is>
      </c>
    </row>
    <row r="4360">
      <c r="A4360" s="32" t="n">
        <v>37</v>
      </c>
      <c r="B4360" s="32" t="inlineStr">
        <is>
          <t>K3-2C</t>
        </is>
      </c>
      <c r="F4360" s="32" t="n">
        <v>2980.863</v>
      </c>
      <c r="K4360" s="32" t="inlineStr">
        <is>
          <t>20250514-48</t>
        </is>
      </c>
    </row>
    <row r="4361">
      <c r="A4361" s="32" t="n">
        <v>38</v>
      </c>
      <c r="B4361" s="32" t="inlineStr">
        <is>
          <t>MeOH</t>
        </is>
      </c>
      <c r="K4361" s="32" t="inlineStr">
        <is>
          <t>20250514-49</t>
        </is>
      </c>
    </row>
    <row r="4362">
      <c r="A4362" s="32" t="n">
        <v>39</v>
      </c>
      <c r="B4362" s="32" t="inlineStr">
        <is>
          <t>K3-3A</t>
        </is>
      </c>
      <c r="D4362" s="32" t="n">
        <v>16</v>
      </c>
      <c r="E4362" s="32" t="n">
        <v>1.005</v>
      </c>
      <c r="F4362" s="32" t="n">
        <v>2909.243</v>
      </c>
      <c r="G4362" s="32" t="n">
        <v>10</v>
      </c>
      <c r="H4362" s="32" t="inlineStr">
        <is>
          <t>MM</t>
        </is>
      </c>
      <c r="K4362" s="32" t="inlineStr">
        <is>
          <t>20250514-50</t>
        </is>
      </c>
    </row>
    <row r="4363">
      <c r="A4363" s="32" t="n">
        <v>40</v>
      </c>
      <c r="B4363" s="32" t="inlineStr">
        <is>
          <t>K3-3B</t>
        </is>
      </c>
      <c r="D4363" s="32" t="n">
        <v>16.23</v>
      </c>
      <c r="E4363" s="32" t="n">
        <v>1.045</v>
      </c>
      <c r="F4363" s="32" t="n">
        <v>2883.101</v>
      </c>
      <c r="G4363" s="32" t="n">
        <v>11</v>
      </c>
      <c r="H4363" s="32" t="inlineStr">
        <is>
          <t>MM</t>
        </is>
      </c>
      <c r="K4363" s="32" t="inlineStr">
        <is>
          <t>20250514-51</t>
        </is>
      </c>
    </row>
    <row r="4364">
      <c r="A4364" s="32" t="n">
        <v>41</v>
      </c>
      <c r="B4364" s="32" t="inlineStr">
        <is>
          <t>K3-3C</t>
        </is>
      </c>
      <c r="D4364" s="32" t="n">
        <v>14.44</v>
      </c>
      <c r="E4364" s="32" t="n">
        <v>10.629</v>
      </c>
      <c r="F4364" s="32" t="n">
        <v>3432.578</v>
      </c>
      <c r="G4364" s="32" t="n">
        <v>98</v>
      </c>
      <c r="H4364" s="32" t="inlineStr">
        <is>
          <t>MM</t>
        </is>
      </c>
      <c r="K4364" s="32" t="inlineStr">
        <is>
          <t>20250514-52</t>
        </is>
      </c>
    </row>
    <row r="4365">
      <c r="A4365" s="32" t="n">
        <v>42</v>
      </c>
      <c r="B4365" s="32" t="inlineStr">
        <is>
          <t>K3-4A</t>
        </is>
      </c>
      <c r="F4365" s="32" t="n">
        <v>4359.233</v>
      </c>
      <c r="K4365" s="32" t="inlineStr">
        <is>
          <t>20250514-53</t>
        </is>
      </c>
    </row>
    <row r="4366">
      <c r="A4366" s="32" t="n">
        <v>43</v>
      </c>
      <c r="B4366" s="32" t="inlineStr">
        <is>
          <t>K3-4B</t>
        </is>
      </c>
      <c r="F4366" s="32" t="n">
        <v>3811.07</v>
      </c>
      <c r="K4366" s="32" t="inlineStr">
        <is>
          <t>20250514-54</t>
        </is>
      </c>
    </row>
    <row r="4367">
      <c r="A4367" s="32" t="n">
        <v>44</v>
      </c>
      <c r="B4367" s="32" t="inlineStr">
        <is>
          <t>K3-4C</t>
        </is>
      </c>
      <c r="D4367" s="32" t="n">
        <v>14.81</v>
      </c>
      <c r="E4367" s="32" t="n">
        <v>0.315</v>
      </c>
      <c r="F4367" s="32" t="n">
        <v>2775.479</v>
      </c>
      <c r="G4367" s="32" t="n">
        <v>3</v>
      </c>
      <c r="H4367" s="32" t="inlineStr">
        <is>
          <t>MM</t>
        </is>
      </c>
      <c r="K4367" s="32" t="inlineStr">
        <is>
          <t>20250514-55</t>
        </is>
      </c>
    </row>
    <row r="4368">
      <c r="A4368" s="32" t="n">
        <v>45</v>
      </c>
      <c r="B4368" s="32" t="inlineStr">
        <is>
          <t>MeOH</t>
        </is>
      </c>
      <c r="K4368" s="32" t="inlineStr">
        <is>
          <t>20250514-56</t>
        </is>
      </c>
    </row>
    <row r="4369">
      <c r="A4369" s="32" t="n">
        <v>46</v>
      </c>
      <c r="B4369" s="32" t="inlineStr">
        <is>
          <t>K3-6A</t>
        </is>
      </c>
      <c r="F4369" s="32" t="n">
        <v>3570.69</v>
      </c>
      <c r="K4369" s="32" t="inlineStr">
        <is>
          <t>20250514-57</t>
        </is>
      </c>
    </row>
    <row r="4370">
      <c r="A4370" s="32" t="n">
        <v>47</v>
      </c>
      <c r="B4370" s="32" t="inlineStr">
        <is>
          <t>K3-6B</t>
        </is>
      </c>
      <c r="D4370" s="32" t="n">
        <v>15.97</v>
      </c>
      <c r="E4370" s="32" t="n">
        <v>0.572</v>
      </c>
      <c r="F4370" s="32" t="n">
        <v>2033.517</v>
      </c>
      <c r="G4370" s="32" t="n">
        <v>5</v>
      </c>
      <c r="H4370" s="32" t="inlineStr">
        <is>
          <t>MM</t>
        </is>
      </c>
      <c r="K4370" s="32" t="inlineStr">
        <is>
          <t>20250514-58</t>
        </is>
      </c>
    </row>
    <row r="4371">
      <c r="A4371" s="32" t="n">
        <v>48</v>
      </c>
      <c r="B4371" s="32" t="inlineStr">
        <is>
          <t>K3-6C</t>
        </is>
      </c>
      <c r="F4371" s="32" t="n">
        <v>2555.578</v>
      </c>
      <c r="K4371" s="32" t="inlineStr">
        <is>
          <t>20250514-59</t>
        </is>
      </c>
    </row>
    <row r="4373">
      <c r="A4373" s="32" t="inlineStr">
        <is>
          <t>Compound 85:  N-MeFOSA 2</t>
        </is>
      </c>
    </row>
    <row r="4375">
      <c r="B4375" s="32" t="inlineStr">
        <is>
          <t>Sample Text</t>
        </is>
      </c>
      <c r="C4375" s="32" t="inlineStr">
        <is>
          <t>Std. Conc</t>
        </is>
      </c>
      <c r="D4375" s="32" t="inlineStr">
        <is>
          <t>RT</t>
        </is>
      </c>
      <c r="E4375" s="32" t="inlineStr">
        <is>
          <t>Area</t>
        </is>
      </c>
      <c r="F4375" s="32" t="inlineStr">
        <is>
          <t>IS Area</t>
        </is>
      </c>
      <c r="G4375" s="32" t="inlineStr">
        <is>
          <t>S/N</t>
        </is>
      </c>
      <c r="H4375" s="32" t="inlineStr">
        <is>
          <t>Primary Flags</t>
        </is>
      </c>
      <c r="I4375" s="32" t="inlineStr">
        <is>
          <t>Response</t>
        </is>
      </c>
      <c r="J4375" s="32" t="inlineStr">
        <is>
          <t>Conc.</t>
        </is>
      </c>
      <c r="K4375" s="32" t="inlineStr">
        <is>
          <t>Name</t>
        </is>
      </c>
    </row>
    <row r="4376">
      <c r="A4376" s="32" t="n">
        <v>1</v>
      </c>
      <c r="B4376" s="32" t="inlineStr">
        <is>
          <t>EPA1633 &amp; diPAPs Calibration 0 ppb</t>
        </is>
      </c>
      <c r="D4376" s="32" t="n">
        <v>15.36</v>
      </c>
      <c r="E4376" s="32" t="n">
        <v>79.574</v>
      </c>
      <c r="F4376" s="32" t="n">
        <v>7975.143</v>
      </c>
      <c r="G4376" s="32" t="n">
        <v>5.141</v>
      </c>
      <c r="H4376" s="32" t="inlineStr">
        <is>
          <t>MM</t>
        </is>
      </c>
      <c r="K4376" s="32" t="inlineStr">
        <is>
          <t>20250514-12</t>
        </is>
      </c>
    </row>
    <row r="4377">
      <c r="A4377" s="32" t="n">
        <v>2</v>
      </c>
      <c r="B4377" s="32" t="inlineStr">
        <is>
          <t>EPA1633 &amp; diPAPs Calibration 0.02 ppb</t>
        </is>
      </c>
      <c r="D4377" s="32" t="n">
        <v>15.36</v>
      </c>
      <c r="E4377" s="32" t="n">
        <v>31.963</v>
      </c>
      <c r="F4377" s="32" t="n">
        <v>7630.099</v>
      </c>
      <c r="G4377" s="32" t="n">
        <v>256</v>
      </c>
      <c r="H4377" s="32" t="inlineStr">
        <is>
          <t>bb</t>
        </is>
      </c>
      <c r="K4377" s="32" t="inlineStr">
        <is>
          <t>20250514-13</t>
        </is>
      </c>
    </row>
    <row r="4378">
      <c r="A4378" s="32" t="n">
        <v>3</v>
      </c>
      <c r="B4378" s="32" t="inlineStr">
        <is>
          <t>EPA1633 &amp; diPAPs Calibration 0.1 ppb</t>
        </is>
      </c>
      <c r="D4378" s="32" t="n">
        <v>15.38</v>
      </c>
      <c r="E4378" s="32" t="n">
        <v>231.787</v>
      </c>
      <c r="F4378" s="32" t="n">
        <v>8112.798</v>
      </c>
      <c r="G4378" s="32" t="n">
        <v>81.238</v>
      </c>
      <c r="H4378" s="32" t="inlineStr">
        <is>
          <t>bb</t>
        </is>
      </c>
      <c r="K4378" s="32" t="inlineStr">
        <is>
          <t>20250514-14</t>
        </is>
      </c>
    </row>
    <row r="4379">
      <c r="A4379" s="32" t="n">
        <v>4</v>
      </c>
      <c r="B4379" s="32" t="inlineStr">
        <is>
          <t>EPA1633 &amp; diPAPs Calibration 0.4 ppb</t>
        </is>
      </c>
      <c r="D4379" s="32" t="n">
        <v>15.39</v>
      </c>
      <c r="E4379" s="32" t="n">
        <v>492.09</v>
      </c>
      <c r="F4379" s="32" t="n">
        <v>6439.29</v>
      </c>
      <c r="G4379" s="32" t="n">
        <v>3608</v>
      </c>
      <c r="H4379" s="32" t="inlineStr">
        <is>
          <t>bb</t>
        </is>
      </c>
      <c r="K4379" s="32" t="inlineStr">
        <is>
          <t>20250514-15</t>
        </is>
      </c>
    </row>
    <row r="4380">
      <c r="A4380" s="32" t="n">
        <v>5</v>
      </c>
      <c r="B4380" s="32" t="inlineStr">
        <is>
          <t>EPA1633 &amp; diPAPs Calibration 1 ppb</t>
        </is>
      </c>
      <c r="D4380" s="32" t="n">
        <v>15.39</v>
      </c>
      <c r="E4380" s="32" t="n">
        <v>1228.97</v>
      </c>
      <c r="F4380" s="32" t="n">
        <v>8406.959000000001</v>
      </c>
      <c r="G4380" s="32" t="n">
        <v>6.259</v>
      </c>
      <c r="H4380" s="32" t="inlineStr">
        <is>
          <t>bb</t>
        </is>
      </c>
      <c r="K4380" s="32" t="inlineStr">
        <is>
          <t>20250514-16</t>
        </is>
      </c>
    </row>
    <row r="4381">
      <c r="A4381" s="32" t="n">
        <v>6</v>
      </c>
      <c r="B4381" s="32" t="inlineStr">
        <is>
          <t>EPA1633 &amp; diPAPs Calibration 5 ppb</t>
        </is>
      </c>
      <c r="D4381" s="32" t="n">
        <v>15.34</v>
      </c>
      <c r="E4381" s="32" t="n">
        <v>5121.858</v>
      </c>
      <c r="F4381" s="32" t="n">
        <v>7936.719</v>
      </c>
      <c r="G4381" s="32" t="n">
        <v>35524</v>
      </c>
      <c r="H4381" s="32" t="inlineStr">
        <is>
          <t>bb</t>
        </is>
      </c>
      <c r="K4381" s="32" t="inlineStr">
        <is>
          <t>20250514-17</t>
        </is>
      </c>
    </row>
    <row r="4382">
      <c r="A4382" s="32" t="n">
        <v>7</v>
      </c>
      <c r="B4382" s="32" t="inlineStr">
        <is>
          <t>EPA1633 &amp; diPAPs Calibration 10 ppb</t>
        </is>
      </c>
      <c r="D4382" s="32" t="n">
        <v>15.36</v>
      </c>
      <c r="E4382" s="32" t="n">
        <v>8528.173000000001</v>
      </c>
      <c r="F4382" s="32" t="n">
        <v>6568.578</v>
      </c>
      <c r="G4382" s="32" t="n">
        <v>61.194</v>
      </c>
      <c r="H4382" s="32" t="inlineStr">
        <is>
          <t>bb</t>
        </is>
      </c>
      <c r="K4382" s="32" t="inlineStr">
        <is>
          <t>20250514-18</t>
        </is>
      </c>
    </row>
    <row r="4383">
      <c r="A4383" s="32" t="n">
        <v>8</v>
      </c>
      <c r="B4383" s="32" t="inlineStr">
        <is>
          <t>EPA1633 &amp; diPAPs Calibration 20 ppb</t>
        </is>
      </c>
      <c r="D4383" s="32" t="n">
        <v>15.38</v>
      </c>
      <c r="E4383" s="32" t="n">
        <v>20490.174</v>
      </c>
      <c r="F4383" s="32" t="n">
        <v>7690.905</v>
      </c>
      <c r="G4383" s="32" t="n">
        <v>205.832</v>
      </c>
      <c r="H4383" s="32" t="inlineStr">
        <is>
          <t>bb</t>
        </is>
      </c>
      <c r="K4383" s="32" t="inlineStr">
        <is>
          <t>20250514-19</t>
        </is>
      </c>
    </row>
    <row r="4384">
      <c r="A4384" s="32" t="n">
        <v>9</v>
      </c>
      <c r="B4384" s="32" t="inlineStr">
        <is>
          <t>MeOH</t>
        </is>
      </c>
      <c r="D4384" s="32" t="n">
        <v>15.44</v>
      </c>
      <c r="E4384" s="32" t="n">
        <v>30.542</v>
      </c>
      <c r="G4384" s="32" t="n">
        <v>253</v>
      </c>
      <c r="H4384" s="32" t="inlineStr">
        <is>
          <t>bb</t>
        </is>
      </c>
      <c r="K4384" s="32" t="inlineStr">
        <is>
          <t>20250514-20</t>
        </is>
      </c>
    </row>
    <row r="4385">
      <c r="A4385" s="32" t="n">
        <v>10</v>
      </c>
      <c r="B4385" s="32" t="inlineStr">
        <is>
          <t>MeOH</t>
        </is>
      </c>
      <c r="K4385" s="32" t="inlineStr">
        <is>
          <t>20250514-21</t>
        </is>
      </c>
    </row>
    <row r="4386">
      <c r="A4386" s="32" t="n">
        <v>11</v>
      </c>
      <c r="B4386" s="32" t="inlineStr">
        <is>
          <t>SB1</t>
        </is>
      </c>
      <c r="F4386" s="32" t="n">
        <v>2308.701</v>
      </c>
      <c r="K4386" s="32" t="inlineStr">
        <is>
          <t>20250514-22</t>
        </is>
      </c>
    </row>
    <row r="4387">
      <c r="A4387" s="32" t="n">
        <v>12</v>
      </c>
      <c r="B4387" s="32" t="inlineStr">
        <is>
          <t>SB2</t>
        </is>
      </c>
      <c r="F4387" s="32" t="n">
        <v>2165.114</v>
      </c>
      <c r="K4387" s="32" t="inlineStr">
        <is>
          <t>20250514-23</t>
        </is>
      </c>
    </row>
    <row r="4388">
      <c r="A4388" s="32" t="n">
        <v>13</v>
      </c>
      <c r="B4388" s="32" t="inlineStr">
        <is>
          <t>SB3</t>
        </is>
      </c>
      <c r="D4388" s="32" t="n">
        <v>15.41</v>
      </c>
      <c r="E4388" s="32" t="n">
        <v>1.045</v>
      </c>
      <c r="F4388" s="32" t="n">
        <v>2182.55</v>
      </c>
      <c r="G4388" s="32" t="n">
        <v>9</v>
      </c>
      <c r="H4388" s="32" t="inlineStr">
        <is>
          <t>bb</t>
        </is>
      </c>
      <c r="K4388" s="32" t="inlineStr">
        <is>
          <t>20250514-24</t>
        </is>
      </c>
    </row>
    <row r="4389">
      <c r="A4389" s="32" t="n">
        <v>14</v>
      </c>
      <c r="B4389" s="32" t="inlineStr">
        <is>
          <t>SS1</t>
        </is>
      </c>
      <c r="D4389" s="32" t="n">
        <v>15.44</v>
      </c>
      <c r="E4389" s="32" t="n">
        <v>2540.726</v>
      </c>
      <c r="F4389" s="32" t="n">
        <v>1848.181</v>
      </c>
      <c r="G4389" s="32" t="n">
        <v>17451</v>
      </c>
      <c r="H4389" s="32" t="inlineStr">
        <is>
          <t>MM</t>
        </is>
      </c>
      <c r="K4389" s="32" t="inlineStr">
        <is>
          <t>20250514-25</t>
        </is>
      </c>
    </row>
    <row r="4390">
      <c r="A4390" s="32" t="n">
        <v>15</v>
      </c>
      <c r="B4390" s="32" t="inlineStr">
        <is>
          <t>SS2</t>
        </is>
      </c>
      <c r="D4390" s="32" t="n">
        <v>15.44</v>
      </c>
      <c r="E4390" s="32" t="n">
        <v>2969.216</v>
      </c>
      <c r="F4390" s="32" t="n">
        <v>2620.178</v>
      </c>
      <c r="G4390" s="32" t="n">
        <v>83.05500000000001</v>
      </c>
      <c r="H4390" s="32" t="inlineStr">
        <is>
          <t>bb</t>
        </is>
      </c>
      <c r="K4390" s="32" t="inlineStr">
        <is>
          <t>20250514-26</t>
        </is>
      </c>
    </row>
    <row r="4391">
      <c r="A4391" s="32" t="n">
        <v>16</v>
      </c>
      <c r="B4391" s="32" t="inlineStr">
        <is>
          <t>SS3</t>
        </is>
      </c>
      <c r="D4391" s="32" t="n">
        <v>15.44</v>
      </c>
      <c r="E4391" s="32" t="n">
        <v>2289.851</v>
      </c>
      <c r="F4391" s="32" t="n">
        <v>2017.748</v>
      </c>
      <c r="G4391" s="32" t="n">
        <v>15990</v>
      </c>
      <c r="H4391" s="32" t="inlineStr">
        <is>
          <t>bb</t>
        </is>
      </c>
      <c r="K4391" s="32" t="inlineStr">
        <is>
          <t>20250514-27</t>
        </is>
      </c>
    </row>
    <row r="4392">
      <c r="A4392" s="32" t="n">
        <v>17</v>
      </c>
      <c r="B4392" s="32" t="inlineStr">
        <is>
          <t>MeOH</t>
        </is>
      </c>
      <c r="D4392" s="32" t="n">
        <v>15.18</v>
      </c>
      <c r="E4392" s="32" t="n">
        <v>3.996</v>
      </c>
      <c r="G4392" s="32" t="n">
        <v>36</v>
      </c>
      <c r="H4392" s="32" t="inlineStr">
        <is>
          <t>bb</t>
        </is>
      </c>
      <c r="K4392" s="32" t="inlineStr">
        <is>
          <t>20250514-28</t>
        </is>
      </c>
    </row>
    <row r="4393">
      <c r="A4393" s="32" t="n">
        <v>18</v>
      </c>
      <c r="B4393" s="32" t="inlineStr">
        <is>
          <t>K4-1A</t>
        </is>
      </c>
      <c r="D4393" s="32" t="n">
        <v>15.44</v>
      </c>
      <c r="E4393" s="32" t="n">
        <v>3.002</v>
      </c>
      <c r="F4393" s="32" t="n">
        <v>3576.972</v>
      </c>
      <c r="G4393" s="32" t="n">
        <v>25</v>
      </c>
      <c r="H4393" s="32" t="inlineStr">
        <is>
          <t>bb</t>
        </is>
      </c>
      <c r="K4393" s="32" t="inlineStr">
        <is>
          <t>20250514-29</t>
        </is>
      </c>
    </row>
    <row r="4394">
      <c r="A4394" s="32" t="n">
        <v>19</v>
      </c>
      <c r="B4394" s="32" t="inlineStr">
        <is>
          <t>K4-1B</t>
        </is>
      </c>
      <c r="D4394" s="32" t="n">
        <v>16.31</v>
      </c>
      <c r="E4394" s="32" t="n">
        <v>81.827</v>
      </c>
      <c r="F4394" s="32" t="n">
        <v>3118.307</v>
      </c>
      <c r="G4394" s="32" t="n">
        <v>869</v>
      </c>
      <c r="H4394" s="32" t="inlineStr">
        <is>
          <t>MM</t>
        </is>
      </c>
      <c r="K4394" s="32" t="inlineStr">
        <is>
          <t>20250514-30</t>
        </is>
      </c>
    </row>
    <row r="4395">
      <c r="A4395" s="32" t="n">
        <v>20</v>
      </c>
      <c r="B4395" s="32" t="inlineStr">
        <is>
          <t>K4-1C</t>
        </is>
      </c>
      <c r="F4395" s="32" t="n">
        <v>2946.94</v>
      </c>
      <c r="K4395" s="32" t="inlineStr">
        <is>
          <t>20250514-31</t>
        </is>
      </c>
    </row>
    <row r="4396">
      <c r="A4396" s="32" t="n">
        <v>21</v>
      </c>
      <c r="B4396" s="32" t="inlineStr">
        <is>
          <t>K4-2A</t>
        </is>
      </c>
      <c r="D4396" s="32" t="n">
        <v>16.18</v>
      </c>
      <c r="E4396" s="32" t="n">
        <v>0.498</v>
      </c>
      <c r="F4396" s="32" t="n">
        <v>3074.579</v>
      </c>
      <c r="G4396" s="32" t="n">
        <v>5</v>
      </c>
      <c r="H4396" s="32" t="inlineStr">
        <is>
          <t>MM</t>
        </is>
      </c>
      <c r="K4396" s="32" t="inlineStr">
        <is>
          <t>20250514-32</t>
        </is>
      </c>
    </row>
    <row r="4397">
      <c r="A4397" s="32" t="n">
        <v>22</v>
      </c>
      <c r="B4397" s="32" t="inlineStr">
        <is>
          <t>K4-2B</t>
        </is>
      </c>
      <c r="D4397" s="32" t="n">
        <v>15.18</v>
      </c>
      <c r="E4397" s="32" t="n">
        <v>1.302</v>
      </c>
      <c r="F4397" s="32" t="n">
        <v>2609.725</v>
      </c>
      <c r="G4397" s="32" t="n">
        <v>12</v>
      </c>
      <c r="H4397" s="32" t="inlineStr">
        <is>
          <t>bb</t>
        </is>
      </c>
      <c r="K4397" s="32" t="inlineStr">
        <is>
          <t>20250514-33</t>
        </is>
      </c>
    </row>
    <row r="4398">
      <c r="A4398" s="32" t="n">
        <v>23</v>
      </c>
      <c r="B4398" s="32" t="inlineStr">
        <is>
          <t>K4-2C</t>
        </is>
      </c>
      <c r="F4398" s="32" t="n">
        <v>2157.64</v>
      </c>
      <c r="K4398" s="32" t="inlineStr">
        <is>
          <t>20250514-34</t>
        </is>
      </c>
    </row>
    <row r="4399">
      <c r="A4399" s="32" t="n">
        <v>24</v>
      </c>
      <c r="B4399" s="32" t="inlineStr">
        <is>
          <t>MeOH</t>
        </is>
      </c>
      <c r="K4399" s="32" t="inlineStr">
        <is>
          <t>20250514-35</t>
        </is>
      </c>
    </row>
    <row r="4400">
      <c r="A4400" s="32" t="n">
        <v>25</v>
      </c>
      <c r="B4400" s="32" t="inlineStr">
        <is>
          <t>K4-4A</t>
        </is>
      </c>
      <c r="F4400" s="32" t="n">
        <v>2851.386</v>
      </c>
      <c r="K4400" s="32" t="inlineStr">
        <is>
          <t>20250514-36</t>
        </is>
      </c>
    </row>
    <row r="4401">
      <c r="A4401" s="32" t="n">
        <v>26</v>
      </c>
      <c r="B4401" s="32" t="inlineStr">
        <is>
          <t>K4-4B</t>
        </is>
      </c>
      <c r="F4401" s="32" t="n">
        <v>3255.363</v>
      </c>
      <c r="K4401" s="32" t="inlineStr">
        <is>
          <t>20250514-37</t>
        </is>
      </c>
    </row>
    <row r="4402">
      <c r="A4402" s="32" t="n">
        <v>27</v>
      </c>
      <c r="B4402" s="32" t="inlineStr">
        <is>
          <t>K4-4C</t>
        </is>
      </c>
      <c r="F4402" s="32" t="n">
        <v>3643.319</v>
      </c>
      <c r="K4402" s="32" t="inlineStr">
        <is>
          <t>20250514-38</t>
        </is>
      </c>
    </row>
    <row r="4403">
      <c r="A4403" s="32" t="n">
        <v>28</v>
      </c>
      <c r="B4403" s="32" t="inlineStr">
        <is>
          <t>K4-5A</t>
        </is>
      </c>
      <c r="F4403" s="32" t="n">
        <v>2703.768</v>
      </c>
      <c r="K4403" s="32" t="inlineStr">
        <is>
          <t>20250514-39</t>
        </is>
      </c>
    </row>
    <row r="4404">
      <c r="A4404" s="32" t="n">
        <v>29</v>
      </c>
      <c r="B4404" s="32" t="inlineStr">
        <is>
          <t>K4-5B</t>
        </is>
      </c>
      <c r="F4404" s="32" t="n">
        <v>2813.002</v>
      </c>
      <c r="K4404" s="32" t="inlineStr">
        <is>
          <t>20250514-40</t>
        </is>
      </c>
    </row>
    <row r="4405">
      <c r="A4405" s="32" t="n">
        <v>30</v>
      </c>
      <c r="B4405" s="32" t="inlineStr">
        <is>
          <t>K4-5C</t>
        </is>
      </c>
      <c r="F4405" s="32" t="n">
        <v>2276.678</v>
      </c>
      <c r="K4405" s="32" t="inlineStr">
        <is>
          <t>20250514-41</t>
        </is>
      </c>
    </row>
    <row r="4406">
      <c r="A4406" s="32" t="n">
        <v>31</v>
      </c>
      <c r="B4406" s="32" t="inlineStr">
        <is>
          <t>MeOH</t>
        </is>
      </c>
      <c r="K4406" s="32" t="inlineStr">
        <is>
          <t>20250514-42</t>
        </is>
      </c>
    </row>
    <row r="4407">
      <c r="A4407" s="32" t="n">
        <v>32</v>
      </c>
      <c r="B4407" s="32" t="inlineStr">
        <is>
          <t>K3-1A</t>
        </is>
      </c>
      <c r="F4407" s="32" t="n">
        <v>2220.878</v>
      </c>
      <c r="K4407" s="32" t="inlineStr">
        <is>
          <t>20250514-43</t>
        </is>
      </c>
    </row>
    <row r="4408">
      <c r="A4408" s="32" t="n">
        <v>33</v>
      </c>
      <c r="B4408" s="32" t="inlineStr">
        <is>
          <t>K3-1B</t>
        </is>
      </c>
      <c r="F4408" s="32" t="n">
        <v>2718.828</v>
      </c>
      <c r="K4408" s="32" t="inlineStr">
        <is>
          <t>20250514-44</t>
        </is>
      </c>
    </row>
    <row r="4409">
      <c r="A4409" s="32" t="n">
        <v>34</v>
      </c>
      <c r="B4409" s="32" t="inlineStr">
        <is>
          <t>K3-1C</t>
        </is>
      </c>
      <c r="F4409" s="32" t="n">
        <v>3063.519</v>
      </c>
      <c r="K4409" s="32" t="inlineStr">
        <is>
          <t>20250514-45</t>
        </is>
      </c>
    </row>
    <row r="4410">
      <c r="A4410" s="32" t="n">
        <v>35</v>
      </c>
      <c r="B4410" s="32" t="inlineStr">
        <is>
          <t>K3-2A</t>
        </is>
      </c>
      <c r="F4410" s="32" t="n">
        <v>3613.214</v>
      </c>
      <c r="K4410" s="32" t="inlineStr">
        <is>
          <t>20250514-46</t>
        </is>
      </c>
    </row>
    <row r="4411">
      <c r="A4411" s="32" t="n">
        <v>36</v>
      </c>
      <c r="B4411" s="32" t="inlineStr">
        <is>
          <t>K3-2B</t>
        </is>
      </c>
      <c r="F4411" s="32" t="n">
        <v>3882.148</v>
      </c>
      <c r="K4411" s="32" t="inlineStr">
        <is>
          <t>20250514-47</t>
        </is>
      </c>
    </row>
    <row r="4412">
      <c r="A4412" s="32" t="n">
        <v>37</v>
      </c>
      <c r="B4412" s="32" t="inlineStr">
        <is>
          <t>K3-2C</t>
        </is>
      </c>
      <c r="F4412" s="32" t="n">
        <v>3281.956</v>
      </c>
      <c r="K4412" s="32" t="inlineStr">
        <is>
          <t>20250514-48</t>
        </is>
      </c>
    </row>
    <row r="4413">
      <c r="A4413" s="32" t="n">
        <v>38</v>
      </c>
      <c r="B4413" s="32" t="inlineStr">
        <is>
          <t>MeOH</t>
        </is>
      </c>
      <c r="K4413" s="32" t="inlineStr">
        <is>
          <t>20250514-49</t>
        </is>
      </c>
    </row>
    <row r="4414">
      <c r="A4414" s="32" t="n">
        <v>39</v>
      </c>
      <c r="B4414" s="32" t="inlineStr">
        <is>
          <t>K3-3A</t>
        </is>
      </c>
      <c r="F4414" s="32" t="n">
        <v>3039.249</v>
      </c>
      <c r="K4414" s="32" t="inlineStr">
        <is>
          <t>20250514-50</t>
        </is>
      </c>
    </row>
    <row r="4415">
      <c r="A4415" s="32" t="n">
        <v>40</v>
      </c>
      <c r="B4415" s="32" t="inlineStr">
        <is>
          <t>K3-3B</t>
        </is>
      </c>
      <c r="F4415" s="32" t="n">
        <v>2425.191</v>
      </c>
      <c r="K4415" s="32" t="inlineStr">
        <is>
          <t>20250514-51</t>
        </is>
      </c>
    </row>
    <row r="4416">
      <c r="A4416" s="32" t="n">
        <v>41</v>
      </c>
      <c r="B4416" s="32" t="inlineStr">
        <is>
          <t>K3-3C</t>
        </is>
      </c>
      <c r="F4416" s="32" t="n">
        <v>2943.477</v>
      </c>
      <c r="K4416" s="32" t="inlineStr">
        <is>
          <t>20250514-52</t>
        </is>
      </c>
    </row>
    <row r="4417">
      <c r="A4417" s="32" t="n">
        <v>42</v>
      </c>
      <c r="B4417" s="32" t="inlineStr">
        <is>
          <t>K3-4A</t>
        </is>
      </c>
      <c r="F4417" s="32" t="n">
        <v>3418.142</v>
      </c>
      <c r="K4417" s="32" t="inlineStr">
        <is>
          <t>20250514-53</t>
        </is>
      </c>
    </row>
    <row r="4418">
      <c r="A4418" s="32" t="n">
        <v>43</v>
      </c>
      <c r="B4418" s="32" t="inlineStr">
        <is>
          <t>K3-4B</t>
        </is>
      </c>
      <c r="F4418" s="32" t="n">
        <v>3265.017</v>
      </c>
      <c r="K4418" s="32" t="inlineStr">
        <is>
          <t>20250514-54</t>
        </is>
      </c>
    </row>
    <row r="4419">
      <c r="A4419" s="32" t="n">
        <v>44</v>
      </c>
      <c r="B4419" s="32" t="inlineStr">
        <is>
          <t>K3-4C</t>
        </is>
      </c>
      <c r="F4419" s="32" t="n">
        <v>3466.543</v>
      </c>
      <c r="K4419" s="32" t="inlineStr">
        <is>
          <t>20250514-55</t>
        </is>
      </c>
    </row>
    <row r="4420">
      <c r="A4420" s="32" t="n">
        <v>45</v>
      </c>
      <c r="B4420" s="32" t="inlineStr">
        <is>
          <t>MeOH</t>
        </is>
      </c>
      <c r="K4420" s="32" t="inlineStr">
        <is>
          <t>20250514-56</t>
        </is>
      </c>
    </row>
    <row r="4421">
      <c r="A4421" s="32" t="n">
        <v>46</v>
      </c>
      <c r="B4421" s="32" t="inlineStr">
        <is>
          <t>K3-6A</t>
        </is>
      </c>
      <c r="F4421" s="32" t="n">
        <v>2720.231</v>
      </c>
      <c r="K4421" s="32" t="inlineStr">
        <is>
          <t>20250514-57</t>
        </is>
      </c>
    </row>
    <row r="4422">
      <c r="A4422" s="32" t="n">
        <v>47</v>
      </c>
      <c r="B4422" s="32" t="inlineStr">
        <is>
          <t>K3-6B</t>
        </is>
      </c>
      <c r="F4422" s="32" t="n">
        <v>2864.424</v>
      </c>
      <c r="K4422" s="32" t="inlineStr">
        <is>
          <t>20250514-58</t>
        </is>
      </c>
    </row>
    <row r="4423">
      <c r="A4423" s="32" t="n">
        <v>48</v>
      </c>
      <c r="B4423" s="32" t="inlineStr">
        <is>
          <t>K3-6C</t>
        </is>
      </c>
      <c r="F4423" s="32" t="n">
        <v>2500.621</v>
      </c>
      <c r="K4423" s="32" t="inlineStr">
        <is>
          <t>20250514-59</t>
        </is>
      </c>
    </row>
    <row r="4425">
      <c r="A4425" s="32" t="inlineStr">
        <is>
          <t>Compound 86:  PFDA 1</t>
        </is>
      </c>
    </row>
    <row r="4427">
      <c r="B4427" s="32" t="inlineStr">
        <is>
          <t>Sample Text</t>
        </is>
      </c>
      <c r="C4427" s="32" t="inlineStr">
        <is>
          <t>Std. Conc</t>
        </is>
      </c>
      <c r="D4427" s="32" t="inlineStr">
        <is>
          <t>RT</t>
        </is>
      </c>
      <c r="E4427" s="32" t="inlineStr">
        <is>
          <t>Area</t>
        </is>
      </c>
      <c r="F4427" s="32" t="inlineStr">
        <is>
          <t>IS Area</t>
        </is>
      </c>
      <c r="G4427" s="32" t="inlineStr">
        <is>
          <t>S/N</t>
        </is>
      </c>
      <c r="H4427" s="32" t="inlineStr">
        <is>
          <t>Primary Flags</t>
        </is>
      </c>
      <c r="I4427" s="32" t="inlineStr">
        <is>
          <t>Response</t>
        </is>
      </c>
      <c r="J4427" s="32" t="inlineStr">
        <is>
          <t>Conc.</t>
        </is>
      </c>
      <c r="K4427" s="32" t="inlineStr">
        <is>
          <t>Name</t>
        </is>
      </c>
    </row>
    <row r="4428">
      <c r="A4428" s="32" t="n">
        <v>1</v>
      </c>
      <c r="B4428" s="32" t="inlineStr">
        <is>
          <t>EPA1633 &amp; diPAPs Calibration 0 ppb</t>
        </is>
      </c>
      <c r="D4428" s="32" t="n">
        <v>14</v>
      </c>
      <c r="E4428" s="32" t="n">
        <v>212.436</v>
      </c>
      <c r="F4428" s="32" t="n">
        <v>300.866</v>
      </c>
      <c r="G4428" s="32" t="n">
        <v>3.663</v>
      </c>
      <c r="H4428" s="32" t="inlineStr">
        <is>
          <t>bb</t>
        </is>
      </c>
      <c r="K4428" s="32" t="inlineStr">
        <is>
          <t>20250514-12</t>
        </is>
      </c>
    </row>
    <row r="4429">
      <c r="A4429" s="32" t="n">
        <v>2</v>
      </c>
      <c r="B4429" s="32" t="inlineStr">
        <is>
          <t>EPA1633 &amp; diPAPs Calibration 0.02 ppb</t>
        </is>
      </c>
      <c r="D4429" s="32" t="n">
        <v>14.08</v>
      </c>
      <c r="E4429" s="32" t="n">
        <v>260.861</v>
      </c>
      <c r="F4429" s="32" t="n">
        <v>321.662</v>
      </c>
      <c r="G4429" s="32" t="n">
        <v>14.211</v>
      </c>
      <c r="H4429" s="32" t="inlineStr">
        <is>
          <t>bb</t>
        </is>
      </c>
      <c r="K4429" s="32" t="inlineStr">
        <is>
          <t>20250514-13</t>
        </is>
      </c>
    </row>
    <row r="4430">
      <c r="A4430" s="32" t="n">
        <v>3</v>
      </c>
      <c r="B4430" s="32" t="inlineStr">
        <is>
          <t>EPA1633 &amp; diPAPs Calibration 0.1 ppb</t>
        </is>
      </c>
      <c r="D4430" s="32" t="n">
        <v>13.99</v>
      </c>
      <c r="E4430" s="32" t="n">
        <v>432.717</v>
      </c>
      <c r="F4430" s="32" t="n">
        <v>271.981</v>
      </c>
      <c r="G4430" s="32" t="n">
        <v>5.538</v>
      </c>
      <c r="H4430" s="32" t="inlineStr">
        <is>
          <t>MM</t>
        </is>
      </c>
      <c r="K4430" s="32" t="inlineStr">
        <is>
          <t>20250514-14</t>
        </is>
      </c>
    </row>
    <row r="4431">
      <c r="A4431" s="32" t="n">
        <v>4</v>
      </c>
      <c r="B4431" s="32" t="inlineStr">
        <is>
          <t>EPA1633 &amp; diPAPs Calibration 0.4 ppb</t>
        </is>
      </c>
      <c r="D4431" s="32" t="n">
        <v>14</v>
      </c>
      <c r="E4431" s="32" t="n">
        <v>614.861</v>
      </c>
      <c r="F4431" s="32" t="n">
        <v>574.953</v>
      </c>
      <c r="G4431" s="32" t="n">
        <v>20.256</v>
      </c>
      <c r="H4431" s="32" t="inlineStr">
        <is>
          <t>bb</t>
        </is>
      </c>
      <c r="K4431" s="32" t="inlineStr">
        <is>
          <t>20250514-15</t>
        </is>
      </c>
    </row>
    <row r="4432">
      <c r="A4432" s="32" t="n">
        <v>5</v>
      </c>
      <c r="B4432" s="32" t="inlineStr">
        <is>
          <t>EPA1633 &amp; diPAPs Calibration 1 ppb</t>
        </is>
      </c>
      <c r="D4432" s="32" t="n">
        <v>13.99</v>
      </c>
      <c r="E4432" s="32" t="n">
        <v>796.458</v>
      </c>
      <c r="F4432" s="32" t="n">
        <v>121.731</v>
      </c>
      <c r="G4432" s="32" t="n">
        <v>39.326</v>
      </c>
      <c r="H4432" s="32" t="inlineStr">
        <is>
          <t>MM</t>
        </is>
      </c>
      <c r="K4432" s="32" t="inlineStr">
        <is>
          <t>20250514-16</t>
        </is>
      </c>
    </row>
    <row r="4433">
      <c r="A4433" s="32" t="n">
        <v>6</v>
      </c>
      <c r="B4433" s="32" t="inlineStr">
        <is>
          <t>EPA1633 &amp; diPAPs Calibration 5 ppb</t>
        </is>
      </c>
      <c r="D4433" s="32" t="n">
        <v>13.92</v>
      </c>
      <c r="E4433" s="32" t="n">
        <v>3454.264</v>
      </c>
      <c r="F4433" s="32" t="n">
        <v>630.125</v>
      </c>
      <c r="G4433" s="32" t="n">
        <v>23.296</v>
      </c>
      <c r="H4433" s="32" t="inlineStr">
        <is>
          <t>bb</t>
        </is>
      </c>
      <c r="K4433" s="32" t="inlineStr">
        <is>
          <t>20250514-17</t>
        </is>
      </c>
    </row>
    <row r="4434">
      <c r="A4434" s="32" t="n">
        <v>7</v>
      </c>
      <c r="B4434" s="32" t="inlineStr">
        <is>
          <t>EPA1633 &amp; diPAPs Calibration 10 ppb</t>
        </is>
      </c>
      <c r="D4434" s="32" t="n">
        <v>13.93</v>
      </c>
      <c r="E4434" s="32" t="n">
        <v>5960.041</v>
      </c>
      <c r="F4434" s="32" t="n">
        <v>189.153</v>
      </c>
      <c r="G4434" s="32" t="n">
        <v>103.052</v>
      </c>
      <c r="H4434" s="32" t="inlineStr">
        <is>
          <t>bb</t>
        </is>
      </c>
      <c r="K4434" s="32" t="inlineStr">
        <is>
          <t>20250514-18</t>
        </is>
      </c>
    </row>
    <row r="4435">
      <c r="A4435" s="32" t="n">
        <v>8</v>
      </c>
      <c r="B4435" s="32" t="inlineStr">
        <is>
          <t>EPA1633 &amp; diPAPs Calibration 20 ppb</t>
        </is>
      </c>
      <c r="D4435" s="32" t="n">
        <v>13.96</v>
      </c>
      <c r="E4435" s="32" t="n">
        <v>11033.229</v>
      </c>
      <c r="F4435" s="32" t="n">
        <v>34.629</v>
      </c>
      <c r="G4435" s="32" t="n">
        <v>47.206</v>
      </c>
      <c r="H4435" s="32" t="inlineStr">
        <is>
          <t>bb</t>
        </is>
      </c>
      <c r="K4435" s="32" t="inlineStr">
        <is>
          <t>20250514-19</t>
        </is>
      </c>
    </row>
    <row r="4436">
      <c r="A4436" s="32" t="n">
        <v>9</v>
      </c>
      <c r="B4436" s="32" t="inlineStr">
        <is>
          <t>MeOH</t>
        </is>
      </c>
      <c r="D4436" s="32" t="n">
        <v>14.05</v>
      </c>
      <c r="E4436" s="32" t="n">
        <v>153.122</v>
      </c>
      <c r="G4436" s="32" t="n">
        <v>1091</v>
      </c>
      <c r="H4436" s="32" t="inlineStr">
        <is>
          <t>bb</t>
        </is>
      </c>
      <c r="K4436" s="32" t="inlineStr">
        <is>
          <t>20250514-20</t>
        </is>
      </c>
    </row>
    <row r="4437">
      <c r="A4437" s="32" t="n">
        <v>10</v>
      </c>
      <c r="B4437" s="32" t="inlineStr">
        <is>
          <t>MeOH</t>
        </is>
      </c>
      <c r="D4437" s="32" t="n">
        <v>14.02</v>
      </c>
      <c r="E4437" s="32" t="n">
        <v>181.383</v>
      </c>
      <c r="G4437" s="32" t="n">
        <v>127.4</v>
      </c>
      <c r="H4437" s="32" t="inlineStr">
        <is>
          <t>bb</t>
        </is>
      </c>
      <c r="K4437" s="32" t="inlineStr">
        <is>
          <t>20250514-21</t>
        </is>
      </c>
    </row>
    <row r="4438">
      <c r="A4438" s="32" t="n">
        <v>11</v>
      </c>
      <c r="B4438" s="32" t="inlineStr">
        <is>
          <t>SB1</t>
        </is>
      </c>
      <c r="D4438" s="32" t="n">
        <v>13.99</v>
      </c>
      <c r="E4438" s="32" t="n">
        <v>154.719</v>
      </c>
      <c r="F4438" s="32" t="n">
        <v>61.924</v>
      </c>
      <c r="G4438" s="32" t="n">
        <v>4.242</v>
      </c>
      <c r="H4438" s="32" t="inlineStr">
        <is>
          <t>bb</t>
        </is>
      </c>
      <c r="K4438" s="32" t="inlineStr">
        <is>
          <t>20250514-22</t>
        </is>
      </c>
    </row>
    <row r="4439">
      <c r="A4439" s="32" t="n">
        <v>12</v>
      </c>
      <c r="B4439" s="32" t="inlineStr">
        <is>
          <t>SB2</t>
        </is>
      </c>
      <c r="D4439" s="32" t="n">
        <v>14</v>
      </c>
      <c r="E4439" s="32" t="n">
        <v>22.56</v>
      </c>
      <c r="F4439" s="32" t="n">
        <v>37.859</v>
      </c>
      <c r="G4439" s="32" t="n">
        <v>1.521</v>
      </c>
      <c r="H4439" s="32" t="inlineStr">
        <is>
          <t>MM</t>
        </is>
      </c>
      <c r="K4439" s="32" t="inlineStr">
        <is>
          <t>20250514-23</t>
        </is>
      </c>
    </row>
    <row r="4440">
      <c r="A4440" s="32" t="n">
        <v>13</v>
      </c>
      <c r="B4440" s="32" t="inlineStr">
        <is>
          <t>SB3</t>
        </is>
      </c>
      <c r="D4440" s="32" t="n">
        <v>14.03</v>
      </c>
      <c r="E4440" s="32" t="n">
        <v>224.878</v>
      </c>
      <c r="F4440" s="32" t="n">
        <v>151.1</v>
      </c>
      <c r="G4440" s="32" t="n">
        <v>17.378</v>
      </c>
      <c r="H4440" s="32" t="inlineStr">
        <is>
          <t>MM</t>
        </is>
      </c>
      <c r="K4440" s="32" t="inlineStr">
        <is>
          <t>20250514-24</t>
        </is>
      </c>
    </row>
    <row r="4441">
      <c r="A4441" s="32" t="n">
        <v>14</v>
      </c>
      <c r="B4441" s="32" t="inlineStr">
        <is>
          <t>SS1</t>
        </is>
      </c>
      <c r="D4441" s="32" t="n">
        <v>14.02</v>
      </c>
      <c r="E4441" s="32" t="n">
        <v>2284.392</v>
      </c>
      <c r="F4441" s="32" t="n">
        <v>120.184</v>
      </c>
      <c r="G4441" s="32" t="n">
        <v>87.626</v>
      </c>
      <c r="H4441" s="32" t="inlineStr">
        <is>
          <t>bb</t>
        </is>
      </c>
      <c r="K4441" s="32" t="inlineStr">
        <is>
          <t>20250514-25</t>
        </is>
      </c>
    </row>
    <row r="4442">
      <c r="A4442" s="32" t="n">
        <v>15</v>
      </c>
      <c r="B4442" s="32" t="inlineStr">
        <is>
          <t>SS2</t>
        </is>
      </c>
      <c r="D4442" s="32" t="n">
        <v>14.02</v>
      </c>
      <c r="E4442" s="32" t="n">
        <v>2148.452</v>
      </c>
      <c r="F4442" s="32" t="n">
        <v>140.114</v>
      </c>
      <c r="G4442" s="32" t="n">
        <v>56.566</v>
      </c>
      <c r="H4442" s="32" t="inlineStr">
        <is>
          <t>MM</t>
        </is>
      </c>
      <c r="K4442" s="32" t="inlineStr">
        <is>
          <t>20250514-26</t>
        </is>
      </c>
    </row>
    <row r="4443">
      <c r="A4443" s="32" t="n">
        <v>16</v>
      </c>
      <c r="B4443" s="32" t="inlineStr">
        <is>
          <t>SS3</t>
        </is>
      </c>
      <c r="D4443" s="32" t="n">
        <v>14.03</v>
      </c>
      <c r="E4443" s="32" t="n">
        <v>1883.769</v>
      </c>
      <c r="F4443" s="32" t="n">
        <v>104.483</v>
      </c>
      <c r="G4443" s="32" t="n">
        <v>131.751</v>
      </c>
      <c r="H4443" s="32" t="inlineStr">
        <is>
          <t>bb</t>
        </is>
      </c>
      <c r="K4443" s="32" t="inlineStr">
        <is>
          <t>20250514-27</t>
        </is>
      </c>
    </row>
    <row r="4444">
      <c r="A4444" s="32" t="n">
        <v>17</v>
      </c>
      <c r="B4444" s="32" t="inlineStr">
        <is>
          <t>MeOH</t>
        </is>
      </c>
      <c r="H4444" s="32" t="inlineStr">
        <is>
          <t>MM-</t>
        </is>
      </c>
      <c r="K4444" s="32" t="inlineStr">
        <is>
          <t>20250514-28</t>
        </is>
      </c>
    </row>
    <row r="4445">
      <c r="A4445" s="32" t="n">
        <v>18</v>
      </c>
      <c r="B4445" s="32" t="inlineStr">
        <is>
          <t>K4-1A</t>
        </is>
      </c>
      <c r="D4445" s="32" t="n">
        <v>14.05</v>
      </c>
      <c r="E4445" s="32" t="n">
        <v>258.784</v>
      </c>
      <c r="F4445" s="32" t="n">
        <v>293.287</v>
      </c>
      <c r="G4445" s="32" t="n">
        <v>1708</v>
      </c>
      <c r="H4445" s="32" t="inlineStr">
        <is>
          <t>bb</t>
        </is>
      </c>
      <c r="K4445" s="32" t="inlineStr">
        <is>
          <t>20250514-29</t>
        </is>
      </c>
    </row>
    <row r="4446">
      <c r="A4446" s="32" t="n">
        <v>19</v>
      </c>
      <c r="B4446" s="32" t="inlineStr">
        <is>
          <t>K4-1B</t>
        </is>
      </c>
      <c r="D4446" s="32" t="n">
        <v>14.09</v>
      </c>
      <c r="E4446" s="32" t="n">
        <v>226.117</v>
      </c>
      <c r="F4446" s="32" t="n">
        <v>121.913</v>
      </c>
      <c r="G4446" s="32" t="n">
        <v>1.881</v>
      </c>
      <c r="H4446" s="32" t="inlineStr">
        <is>
          <t>bb</t>
        </is>
      </c>
      <c r="K4446" s="32" t="inlineStr">
        <is>
          <t>20250514-30</t>
        </is>
      </c>
    </row>
    <row r="4447">
      <c r="A4447" s="32" t="n">
        <v>20</v>
      </c>
      <c r="B4447" s="32" t="inlineStr">
        <is>
          <t>K4-1C</t>
        </is>
      </c>
      <c r="D4447" s="32" t="n">
        <v>14.03</v>
      </c>
      <c r="E4447" s="32" t="n">
        <v>261.481</v>
      </c>
      <c r="F4447" s="32" t="n">
        <v>278.029</v>
      </c>
      <c r="G4447" s="32" t="n">
        <v>101.657</v>
      </c>
      <c r="H4447" s="32" t="inlineStr">
        <is>
          <t>bb</t>
        </is>
      </c>
      <c r="K4447" s="32" t="inlineStr">
        <is>
          <t>20250514-31</t>
        </is>
      </c>
    </row>
    <row r="4448">
      <c r="A4448" s="32" t="n">
        <v>21</v>
      </c>
      <c r="B4448" s="32" t="inlineStr">
        <is>
          <t>K4-2A</t>
        </is>
      </c>
      <c r="D4448" s="32" t="n">
        <v>14.05</v>
      </c>
      <c r="E4448" s="32" t="n">
        <v>23.92</v>
      </c>
      <c r="F4448" s="32" t="n">
        <v>80.721</v>
      </c>
      <c r="G4448" s="32" t="n">
        <v>179</v>
      </c>
      <c r="H4448" s="32" t="inlineStr">
        <is>
          <t>bb</t>
        </is>
      </c>
      <c r="K4448" s="32" t="inlineStr">
        <is>
          <t>20250514-32</t>
        </is>
      </c>
    </row>
    <row r="4449">
      <c r="A4449" s="32" t="n">
        <v>22</v>
      </c>
      <c r="B4449" s="32" t="inlineStr">
        <is>
          <t>K4-2B</t>
        </is>
      </c>
      <c r="D4449" s="32" t="n">
        <v>14.14</v>
      </c>
      <c r="E4449" s="32" t="n">
        <v>51.103</v>
      </c>
      <c r="F4449" s="32" t="n">
        <v>1.117</v>
      </c>
      <c r="G4449" s="32" t="n">
        <v>349</v>
      </c>
      <c r="H4449" s="32" t="inlineStr">
        <is>
          <t>bb</t>
        </is>
      </c>
      <c r="K4449" s="32" t="inlineStr">
        <is>
          <t>20250514-33</t>
        </is>
      </c>
    </row>
    <row r="4450">
      <c r="A4450" s="32" t="n">
        <v>23</v>
      </c>
      <c r="B4450" s="32" t="inlineStr">
        <is>
          <t>K4-2C</t>
        </is>
      </c>
      <c r="D4450" s="32" t="n">
        <v>14.12</v>
      </c>
      <c r="E4450" s="32" t="n">
        <v>108.897</v>
      </c>
      <c r="F4450" s="32" t="n">
        <v>64.84699999999999</v>
      </c>
      <c r="G4450" s="32" t="n">
        <v>819</v>
      </c>
      <c r="H4450" s="32" t="inlineStr">
        <is>
          <t>bb</t>
        </is>
      </c>
      <c r="K4450" s="32" t="inlineStr">
        <is>
          <t>20250514-34</t>
        </is>
      </c>
    </row>
    <row r="4451">
      <c r="A4451" s="32" t="n">
        <v>24</v>
      </c>
      <c r="B4451" s="32" t="inlineStr">
        <is>
          <t>MeOH</t>
        </is>
      </c>
      <c r="D4451" s="32" t="n">
        <v>14.09</v>
      </c>
      <c r="E4451" s="32" t="n">
        <v>15.163</v>
      </c>
      <c r="G4451" s="32" t="n">
        <v>134</v>
      </c>
      <c r="H4451" s="32" t="inlineStr">
        <is>
          <t>bb</t>
        </is>
      </c>
      <c r="K4451" s="32" t="inlineStr">
        <is>
          <t>20250514-35</t>
        </is>
      </c>
    </row>
    <row r="4452">
      <c r="A4452" s="32" t="n">
        <v>25</v>
      </c>
      <c r="B4452" s="32" t="inlineStr">
        <is>
          <t>K4-4A</t>
        </is>
      </c>
      <c r="D4452" s="32" t="n">
        <v>14.06</v>
      </c>
      <c r="E4452" s="32" t="n">
        <v>144.435</v>
      </c>
      <c r="F4452" s="32" t="n">
        <v>92.72199999999999</v>
      </c>
      <c r="G4452" s="32" t="n">
        <v>1153</v>
      </c>
      <c r="H4452" s="32" t="inlineStr">
        <is>
          <t>bb</t>
        </is>
      </c>
      <c r="K4452" s="32" t="inlineStr">
        <is>
          <t>20250514-36</t>
        </is>
      </c>
    </row>
    <row r="4453">
      <c r="A4453" s="32" t="n">
        <v>26</v>
      </c>
      <c r="B4453" s="32" t="inlineStr">
        <is>
          <t>K4-4B</t>
        </is>
      </c>
      <c r="D4453" s="32" t="n">
        <v>14.12</v>
      </c>
      <c r="E4453" s="32" t="n">
        <v>157.587</v>
      </c>
      <c r="F4453" s="32" t="n">
        <v>96.197</v>
      </c>
      <c r="G4453" s="32" t="n">
        <v>1126</v>
      </c>
      <c r="H4453" s="32" t="inlineStr">
        <is>
          <t>MM</t>
        </is>
      </c>
      <c r="K4453" s="32" t="inlineStr">
        <is>
          <t>20250514-37</t>
        </is>
      </c>
    </row>
    <row r="4454">
      <c r="A4454" s="32" t="n">
        <v>27</v>
      </c>
      <c r="B4454" s="32" t="inlineStr">
        <is>
          <t>K4-4C</t>
        </is>
      </c>
      <c r="D4454" s="32" t="n">
        <v>14.14</v>
      </c>
      <c r="E4454" s="32" t="n">
        <v>168.837</v>
      </c>
      <c r="F4454" s="32" t="n">
        <v>122.295</v>
      </c>
      <c r="G4454" s="32" t="n">
        <v>11.018</v>
      </c>
      <c r="H4454" s="32" t="inlineStr">
        <is>
          <t>bb</t>
        </is>
      </c>
      <c r="K4454" s="32" t="inlineStr">
        <is>
          <t>20250514-38</t>
        </is>
      </c>
    </row>
    <row r="4455">
      <c r="A4455" s="32" t="n">
        <v>28</v>
      </c>
      <c r="B4455" s="32" t="inlineStr">
        <is>
          <t>K4-5A</t>
        </is>
      </c>
      <c r="D4455" s="32" t="n">
        <v>14.09</v>
      </c>
      <c r="E4455" s="32" t="n">
        <v>117.18</v>
      </c>
      <c r="F4455" s="32" t="n">
        <v>195.191</v>
      </c>
      <c r="G4455" s="32" t="n">
        <v>2.969</v>
      </c>
      <c r="H4455" s="32" t="inlineStr">
        <is>
          <t>bb</t>
        </is>
      </c>
      <c r="K4455" s="32" t="inlineStr">
        <is>
          <t>20250514-39</t>
        </is>
      </c>
    </row>
    <row r="4456">
      <c r="A4456" s="32" t="n">
        <v>29</v>
      </c>
      <c r="B4456" s="32" t="inlineStr">
        <is>
          <t>K4-5B</t>
        </is>
      </c>
      <c r="D4456" s="32" t="n">
        <v>14.05</v>
      </c>
      <c r="E4456" s="32" t="n">
        <v>57.857</v>
      </c>
      <c r="F4456" s="32" t="n">
        <v>113.956</v>
      </c>
      <c r="G4456" s="32" t="n">
        <v>492</v>
      </c>
      <c r="H4456" s="32" t="inlineStr">
        <is>
          <t>bb</t>
        </is>
      </c>
      <c r="K4456" s="32" t="inlineStr">
        <is>
          <t>20250514-40</t>
        </is>
      </c>
    </row>
    <row r="4457">
      <c r="A4457" s="32" t="n">
        <v>30</v>
      </c>
      <c r="B4457" s="32" t="inlineStr">
        <is>
          <t>K4-5C</t>
        </is>
      </c>
      <c r="D4457" s="32" t="n">
        <v>14.02</v>
      </c>
      <c r="E4457" s="32" t="n">
        <v>47.482</v>
      </c>
      <c r="F4457" s="32" t="n">
        <v>84.712</v>
      </c>
      <c r="G4457" s="32" t="n">
        <v>2.599</v>
      </c>
      <c r="H4457" s="32" t="inlineStr">
        <is>
          <t>bb</t>
        </is>
      </c>
      <c r="K4457" s="32" t="inlineStr">
        <is>
          <t>20250514-41</t>
        </is>
      </c>
    </row>
    <row r="4458">
      <c r="A4458" s="32" t="n">
        <v>31</v>
      </c>
      <c r="B4458" s="32" t="inlineStr">
        <is>
          <t>MeOH</t>
        </is>
      </c>
      <c r="H4458" s="32" t="inlineStr">
        <is>
          <t>MM-</t>
        </is>
      </c>
      <c r="K4458" s="32" t="inlineStr">
        <is>
          <t>20250514-42</t>
        </is>
      </c>
    </row>
    <row r="4459">
      <c r="A4459" s="32" t="n">
        <v>32</v>
      </c>
      <c r="B4459" s="32" t="inlineStr">
        <is>
          <t>K3-1A</t>
        </is>
      </c>
      <c r="D4459" s="32" t="n">
        <v>14.03</v>
      </c>
      <c r="E4459" s="32" t="n">
        <v>94.94199999999999</v>
      </c>
      <c r="F4459" s="32" t="n">
        <v>8.545999999999999</v>
      </c>
      <c r="G4459" s="32" t="n">
        <v>630</v>
      </c>
      <c r="H4459" s="32" t="inlineStr">
        <is>
          <t>bb</t>
        </is>
      </c>
      <c r="K4459" s="32" t="inlineStr">
        <is>
          <t>20250514-43</t>
        </is>
      </c>
    </row>
    <row r="4460">
      <c r="A4460" s="32" t="n">
        <v>33</v>
      </c>
      <c r="B4460" s="32" t="inlineStr">
        <is>
          <t>K3-1B</t>
        </is>
      </c>
      <c r="D4460" s="32" t="n">
        <v>13.98</v>
      </c>
      <c r="E4460" s="32" t="n">
        <v>217.252</v>
      </c>
      <c r="F4460" s="32" t="n">
        <v>51.544</v>
      </c>
      <c r="G4460" s="32" t="n">
        <v>7.107</v>
      </c>
      <c r="H4460" s="32" t="inlineStr">
        <is>
          <t>MM</t>
        </is>
      </c>
      <c r="K4460" s="32" t="inlineStr">
        <is>
          <t>20250514-44</t>
        </is>
      </c>
    </row>
    <row r="4461">
      <c r="A4461" s="32" t="n">
        <v>34</v>
      </c>
      <c r="B4461" s="32" t="inlineStr">
        <is>
          <t>K3-1C</t>
        </is>
      </c>
      <c r="D4461" s="32" t="n">
        <v>14.02</v>
      </c>
      <c r="E4461" s="32" t="n">
        <v>119.685</v>
      </c>
      <c r="F4461" s="32" t="n">
        <v>205.27</v>
      </c>
      <c r="G4461" s="32" t="n">
        <v>845</v>
      </c>
      <c r="H4461" s="32" t="inlineStr">
        <is>
          <t>bb</t>
        </is>
      </c>
      <c r="K4461" s="32" t="inlineStr">
        <is>
          <t>20250514-45</t>
        </is>
      </c>
    </row>
    <row r="4462">
      <c r="A4462" s="32" t="n">
        <v>35</v>
      </c>
      <c r="B4462" s="32" t="inlineStr">
        <is>
          <t>K3-2A</t>
        </is>
      </c>
      <c r="D4462" s="32" t="n">
        <v>14.03</v>
      </c>
      <c r="E4462" s="32" t="n">
        <v>166.926</v>
      </c>
      <c r="F4462" s="32" t="n">
        <v>175.825</v>
      </c>
      <c r="G4462" s="32" t="n">
        <v>114.577</v>
      </c>
      <c r="H4462" s="32" t="inlineStr">
        <is>
          <t>MM</t>
        </is>
      </c>
      <c r="K4462" s="32" t="inlineStr">
        <is>
          <t>20250514-46</t>
        </is>
      </c>
    </row>
    <row r="4463">
      <c r="A4463" s="32" t="n">
        <v>36</v>
      </c>
      <c r="B4463" s="32" t="inlineStr">
        <is>
          <t>K3-2B</t>
        </is>
      </c>
      <c r="D4463" s="32" t="n">
        <v>13.99</v>
      </c>
      <c r="E4463" s="32" t="n">
        <v>474.997</v>
      </c>
      <c r="F4463" s="32" t="n">
        <v>73.20399999999999</v>
      </c>
      <c r="G4463" s="32" t="n">
        <v>9.154</v>
      </c>
      <c r="H4463" s="32" t="inlineStr">
        <is>
          <t>bb</t>
        </is>
      </c>
      <c r="K4463" s="32" t="inlineStr">
        <is>
          <t>20250514-47</t>
        </is>
      </c>
    </row>
    <row r="4464">
      <c r="A4464" s="32" t="n">
        <v>37</v>
      </c>
      <c r="B4464" s="32" t="inlineStr">
        <is>
          <t>K3-2C</t>
        </is>
      </c>
      <c r="D4464" s="32" t="n">
        <v>14.03</v>
      </c>
      <c r="E4464" s="32" t="n">
        <v>246.684</v>
      </c>
      <c r="F4464" s="32" t="n">
        <v>179.966</v>
      </c>
      <c r="G4464" s="32" t="n">
        <v>1757</v>
      </c>
      <c r="H4464" s="32" t="inlineStr">
        <is>
          <t>MM</t>
        </is>
      </c>
      <c r="K4464" s="32" t="inlineStr">
        <is>
          <t>20250514-48</t>
        </is>
      </c>
    </row>
    <row r="4465">
      <c r="A4465" s="32" t="n">
        <v>38</v>
      </c>
      <c r="B4465" s="32" t="inlineStr">
        <is>
          <t>MeOH</t>
        </is>
      </c>
      <c r="K4465" s="32" t="inlineStr">
        <is>
          <t>20250514-49</t>
        </is>
      </c>
    </row>
    <row r="4466">
      <c r="A4466" s="32" t="n">
        <v>39</v>
      </c>
      <c r="B4466" s="32" t="inlineStr">
        <is>
          <t>K3-3A</t>
        </is>
      </c>
      <c r="D4466" s="32" t="n">
        <v>14.08</v>
      </c>
      <c r="E4466" s="32" t="n">
        <v>135.191</v>
      </c>
      <c r="F4466" s="32" t="n">
        <v>243.306</v>
      </c>
      <c r="G4466" s="32" t="n">
        <v>2.709</v>
      </c>
      <c r="H4466" s="32" t="inlineStr">
        <is>
          <t>bb</t>
        </is>
      </c>
      <c r="K4466" s="32" t="inlineStr">
        <is>
          <t>20250514-50</t>
        </is>
      </c>
    </row>
    <row r="4467">
      <c r="A4467" s="32" t="n">
        <v>40</v>
      </c>
      <c r="B4467" s="32" t="inlineStr">
        <is>
          <t>K3-3B</t>
        </is>
      </c>
      <c r="D4467" s="32" t="n">
        <v>14.08</v>
      </c>
      <c r="E4467" s="32" t="n">
        <v>155.001</v>
      </c>
      <c r="F4467" s="32" t="n">
        <v>281.241</v>
      </c>
      <c r="G4467" s="32" t="n">
        <v>3.865</v>
      </c>
      <c r="H4467" s="32" t="inlineStr">
        <is>
          <t>bb</t>
        </is>
      </c>
      <c r="K4467" s="32" t="inlineStr">
        <is>
          <t>20250514-51</t>
        </is>
      </c>
    </row>
    <row r="4468">
      <c r="A4468" s="32" t="n">
        <v>41</v>
      </c>
      <c r="B4468" s="32" t="inlineStr">
        <is>
          <t>K3-3C</t>
        </is>
      </c>
      <c r="D4468" s="32" t="n">
        <v>14.06</v>
      </c>
      <c r="E4468" s="32" t="n">
        <v>226.409</v>
      </c>
      <c r="F4468" s="32" t="n">
        <v>124.019</v>
      </c>
      <c r="G4468" s="32" t="n">
        <v>6.724</v>
      </c>
      <c r="H4468" s="32" t="inlineStr">
        <is>
          <t>bb</t>
        </is>
      </c>
      <c r="K4468" s="32" t="inlineStr">
        <is>
          <t>20250514-52</t>
        </is>
      </c>
    </row>
    <row r="4469">
      <c r="A4469" s="32" t="n">
        <v>42</v>
      </c>
      <c r="B4469" s="32" t="inlineStr">
        <is>
          <t>K3-4A</t>
        </is>
      </c>
      <c r="D4469" s="32" t="n">
        <v>14.11</v>
      </c>
      <c r="E4469" s="32" t="n">
        <v>368.873</v>
      </c>
      <c r="F4469" s="32" t="n">
        <v>154.358</v>
      </c>
      <c r="G4469" s="32" t="n">
        <v>12.03</v>
      </c>
      <c r="H4469" s="32" t="inlineStr">
        <is>
          <t>MM</t>
        </is>
      </c>
      <c r="K4469" s="32" t="inlineStr">
        <is>
          <t>20250514-53</t>
        </is>
      </c>
    </row>
    <row r="4470">
      <c r="A4470" s="32" t="n">
        <v>43</v>
      </c>
      <c r="B4470" s="32" t="inlineStr">
        <is>
          <t>K3-4B</t>
        </is>
      </c>
      <c r="D4470" s="32" t="n">
        <v>14.08</v>
      </c>
      <c r="E4470" s="32" t="n">
        <v>410.789</v>
      </c>
      <c r="F4470" s="32" t="n">
        <v>149.228</v>
      </c>
      <c r="G4470" s="32" t="n">
        <v>7.682</v>
      </c>
      <c r="H4470" s="32" t="inlineStr">
        <is>
          <t>bb</t>
        </is>
      </c>
      <c r="K4470" s="32" t="inlineStr">
        <is>
          <t>20250514-54</t>
        </is>
      </c>
    </row>
    <row r="4471">
      <c r="A4471" s="32" t="n">
        <v>44</v>
      </c>
      <c r="B4471" s="32" t="inlineStr">
        <is>
          <t>K3-4C</t>
        </is>
      </c>
      <c r="D4471" s="32" t="n">
        <v>14.14</v>
      </c>
      <c r="E4471" s="32" t="n">
        <v>331.5</v>
      </c>
      <c r="F4471" s="32" t="n">
        <v>244.215</v>
      </c>
      <c r="G4471" s="32" t="n">
        <v>14.213</v>
      </c>
      <c r="H4471" s="32" t="inlineStr">
        <is>
          <t>bb</t>
        </is>
      </c>
      <c r="K4471" s="32" t="inlineStr">
        <is>
          <t>20250514-55</t>
        </is>
      </c>
    </row>
    <row r="4472">
      <c r="A4472" s="32" t="n">
        <v>45</v>
      </c>
      <c r="B4472" s="32" t="inlineStr">
        <is>
          <t>MeOH</t>
        </is>
      </c>
      <c r="H4472" s="32" t="inlineStr">
        <is>
          <t>MM-</t>
        </is>
      </c>
      <c r="K4472" s="32" t="inlineStr">
        <is>
          <t>20250514-56</t>
        </is>
      </c>
    </row>
    <row r="4473">
      <c r="A4473" s="32" t="n">
        <v>46</v>
      </c>
      <c r="B4473" s="32" t="inlineStr">
        <is>
          <t>K3-6A</t>
        </is>
      </c>
      <c r="D4473" s="32" t="n">
        <v>14.12</v>
      </c>
      <c r="E4473" s="32" t="n">
        <v>48.382</v>
      </c>
      <c r="F4473" s="32" t="n">
        <v>9.898999999999999</v>
      </c>
      <c r="G4473" s="32" t="n">
        <v>6.683</v>
      </c>
      <c r="H4473" s="32" t="inlineStr">
        <is>
          <t>bd</t>
        </is>
      </c>
      <c r="K4473" s="32" t="inlineStr">
        <is>
          <t>20250514-57</t>
        </is>
      </c>
    </row>
    <row r="4474">
      <c r="A4474" s="32" t="n">
        <v>47</v>
      </c>
      <c r="B4474" s="32" t="inlineStr">
        <is>
          <t>K3-6B</t>
        </is>
      </c>
      <c r="D4474" s="32" t="n">
        <v>14.15</v>
      </c>
      <c r="E4474" s="32" t="n">
        <v>146.342</v>
      </c>
      <c r="F4474" s="32" t="n">
        <v>87.55200000000001</v>
      </c>
      <c r="G4474" s="32" t="n">
        <v>802</v>
      </c>
      <c r="H4474" s="32" t="inlineStr">
        <is>
          <t>MM</t>
        </is>
      </c>
      <c r="K4474" s="32" t="inlineStr">
        <is>
          <t>20250514-58</t>
        </is>
      </c>
    </row>
    <row r="4475">
      <c r="A4475" s="32" t="n">
        <v>48</v>
      </c>
      <c r="B4475" s="32" t="inlineStr">
        <is>
          <t>K3-6C</t>
        </is>
      </c>
      <c r="D4475" s="32" t="n">
        <v>14.09</v>
      </c>
      <c r="E4475" s="32" t="n">
        <v>70.621</v>
      </c>
      <c r="F4475" s="32" t="n">
        <v>231.601</v>
      </c>
      <c r="G4475" s="32" t="n">
        <v>573</v>
      </c>
      <c r="H4475" s="32" t="inlineStr">
        <is>
          <t>bb</t>
        </is>
      </c>
      <c r="K4475" s="32" t="inlineStr">
        <is>
          <t>20250514-59</t>
        </is>
      </c>
    </row>
    <row r="4477">
      <c r="A4477" s="32" t="inlineStr">
        <is>
          <t>Compound 87:  PFDA 2</t>
        </is>
      </c>
    </row>
    <row r="4479">
      <c r="B4479" s="32" t="inlineStr">
        <is>
          <t>Sample Text</t>
        </is>
      </c>
      <c r="C4479" s="32" t="inlineStr">
        <is>
          <t>Std. Conc</t>
        </is>
      </c>
      <c r="D4479" s="32" t="inlineStr">
        <is>
          <t>RT</t>
        </is>
      </c>
      <c r="E4479" s="32" t="inlineStr">
        <is>
          <t>Area</t>
        </is>
      </c>
      <c r="F4479" s="32" t="inlineStr">
        <is>
          <t>IS Area</t>
        </is>
      </c>
      <c r="G4479" s="32" t="inlineStr">
        <is>
          <t>S/N</t>
        </is>
      </c>
      <c r="H4479" s="32" t="inlineStr">
        <is>
          <t>Primary Flags</t>
        </is>
      </c>
      <c r="I4479" s="32" t="inlineStr">
        <is>
          <t>Response</t>
        </is>
      </c>
      <c r="J4479" s="32" t="inlineStr">
        <is>
          <t>Conc.</t>
        </is>
      </c>
      <c r="K4479" s="32" t="inlineStr">
        <is>
          <t>Name</t>
        </is>
      </c>
    </row>
    <row r="4480">
      <c r="A4480" s="32" t="n">
        <v>1</v>
      </c>
      <c r="B4480" s="32" t="inlineStr">
        <is>
          <t>EPA1633 &amp; diPAPs Calibration 0 ppb</t>
        </is>
      </c>
      <c r="D4480" s="32" t="n">
        <v>14.02</v>
      </c>
      <c r="E4480" s="32" t="n">
        <v>220.791</v>
      </c>
      <c r="F4480" s="32" t="n">
        <v>300.866</v>
      </c>
      <c r="G4480" s="32" t="n">
        <v>4.576</v>
      </c>
      <c r="H4480" s="32" t="inlineStr">
        <is>
          <t>MM</t>
        </is>
      </c>
      <c r="K4480" s="32" t="inlineStr">
        <is>
          <t>20250514-12</t>
        </is>
      </c>
    </row>
    <row r="4481">
      <c r="A4481" s="32" t="n">
        <v>2</v>
      </c>
      <c r="B4481" s="32" t="inlineStr">
        <is>
          <t>EPA1633 &amp; diPAPs Calibration 0.02 ppb</t>
        </is>
      </c>
      <c r="D4481" s="32" t="n">
        <v>14.18</v>
      </c>
      <c r="E4481" s="32" t="n">
        <v>30.991</v>
      </c>
      <c r="F4481" s="32" t="n">
        <v>321.662</v>
      </c>
      <c r="G4481" s="32" t="n">
        <v>0.9340000000000001</v>
      </c>
      <c r="H4481" s="32" t="inlineStr">
        <is>
          <t>bb</t>
        </is>
      </c>
      <c r="K4481" s="32" t="inlineStr">
        <is>
          <t>20250514-13</t>
        </is>
      </c>
    </row>
    <row r="4482">
      <c r="A4482" s="32" t="n">
        <v>3</v>
      </c>
      <c r="B4482" s="32" t="inlineStr">
        <is>
          <t>EPA1633 &amp; diPAPs Calibration 0.1 ppb</t>
        </is>
      </c>
      <c r="D4482" s="32" t="n">
        <v>14.06</v>
      </c>
      <c r="E4482" s="32" t="n">
        <v>161.658</v>
      </c>
      <c r="F4482" s="32" t="n">
        <v>271.981</v>
      </c>
      <c r="G4482" s="32" t="n">
        <v>2.148</v>
      </c>
      <c r="H4482" s="32" t="inlineStr">
        <is>
          <t>bb</t>
        </is>
      </c>
      <c r="K4482" s="32" t="inlineStr">
        <is>
          <t>20250514-14</t>
        </is>
      </c>
    </row>
    <row r="4483">
      <c r="A4483" s="32" t="n">
        <v>4</v>
      </c>
      <c r="B4483" s="32" t="inlineStr">
        <is>
          <t>EPA1633 &amp; diPAPs Calibration 0.4 ppb</t>
        </is>
      </c>
      <c r="D4483" s="32" t="n">
        <v>13.96</v>
      </c>
      <c r="E4483" s="32" t="n">
        <v>114.85</v>
      </c>
      <c r="F4483" s="32" t="n">
        <v>574.953</v>
      </c>
      <c r="G4483" s="32" t="n">
        <v>1.695</v>
      </c>
      <c r="H4483" s="32" t="inlineStr">
        <is>
          <t>MM</t>
        </is>
      </c>
      <c r="K4483" s="32" t="inlineStr">
        <is>
          <t>20250514-15</t>
        </is>
      </c>
    </row>
    <row r="4484">
      <c r="A4484" s="32" t="n">
        <v>5</v>
      </c>
      <c r="B4484" s="32" t="inlineStr">
        <is>
          <t>EPA1633 &amp; diPAPs Calibration 1 ppb</t>
        </is>
      </c>
      <c r="D4484" s="32" t="n">
        <v>13.98</v>
      </c>
      <c r="E4484" s="32" t="n">
        <v>335.193</v>
      </c>
      <c r="F4484" s="32" t="n">
        <v>121.731</v>
      </c>
      <c r="G4484" s="32" t="n">
        <v>15.265</v>
      </c>
      <c r="H4484" s="32" t="inlineStr">
        <is>
          <t>bb</t>
        </is>
      </c>
      <c r="K4484" s="32" t="inlineStr">
        <is>
          <t>20250514-16</t>
        </is>
      </c>
    </row>
    <row r="4485">
      <c r="A4485" s="32" t="n">
        <v>6</v>
      </c>
      <c r="B4485" s="32" t="inlineStr">
        <is>
          <t>EPA1633 &amp; diPAPs Calibration 5 ppb</t>
        </is>
      </c>
      <c r="D4485" s="32" t="n">
        <v>13.93</v>
      </c>
      <c r="E4485" s="32" t="n">
        <v>723.08</v>
      </c>
      <c r="F4485" s="32" t="n">
        <v>630.125</v>
      </c>
      <c r="G4485" s="32" t="n">
        <v>13.89</v>
      </c>
      <c r="H4485" s="32" t="inlineStr">
        <is>
          <t>bb</t>
        </is>
      </c>
      <c r="K4485" s="32" t="inlineStr">
        <is>
          <t>20250514-17</t>
        </is>
      </c>
    </row>
    <row r="4486">
      <c r="A4486" s="32" t="n">
        <v>7</v>
      </c>
      <c r="B4486" s="32" t="inlineStr">
        <is>
          <t>EPA1633 &amp; diPAPs Calibration 10 ppb</t>
        </is>
      </c>
      <c r="D4486" s="32" t="n">
        <v>13.93</v>
      </c>
      <c r="E4486" s="32" t="n">
        <v>1216.5</v>
      </c>
      <c r="F4486" s="32" t="n">
        <v>189.153</v>
      </c>
      <c r="G4486" s="32" t="n">
        <v>18.074</v>
      </c>
      <c r="H4486" s="32" t="inlineStr">
        <is>
          <t>bb</t>
        </is>
      </c>
      <c r="K4486" s="32" t="inlineStr">
        <is>
          <t>20250514-18</t>
        </is>
      </c>
    </row>
    <row r="4487">
      <c r="A4487" s="32" t="n">
        <v>8</v>
      </c>
      <c r="B4487" s="32" t="inlineStr">
        <is>
          <t>EPA1633 &amp; diPAPs Calibration 20 ppb</t>
        </is>
      </c>
      <c r="D4487" s="32" t="n">
        <v>13.96</v>
      </c>
      <c r="E4487" s="32" t="n">
        <v>2831.887</v>
      </c>
      <c r="F4487" s="32" t="n">
        <v>34.629</v>
      </c>
      <c r="G4487" s="32" t="n">
        <v>67.864</v>
      </c>
      <c r="H4487" s="32" t="inlineStr">
        <is>
          <t>MM</t>
        </is>
      </c>
      <c r="K4487" s="32" t="inlineStr">
        <is>
          <t>20250514-19</t>
        </is>
      </c>
    </row>
    <row r="4488">
      <c r="A4488" s="32" t="n">
        <v>9</v>
      </c>
      <c r="B4488" s="32" t="inlineStr">
        <is>
          <t>MeOH</t>
        </is>
      </c>
      <c r="D4488" s="32" t="n">
        <v>13.49</v>
      </c>
      <c r="E4488" s="32" t="n">
        <v>28.584</v>
      </c>
      <c r="G4488" s="32" t="n">
        <v>0.9330000000000001</v>
      </c>
      <c r="H4488" s="32" t="inlineStr">
        <is>
          <t>bb</t>
        </is>
      </c>
      <c r="K4488" s="32" t="inlineStr">
        <is>
          <t>20250514-20</t>
        </is>
      </c>
    </row>
    <row r="4489">
      <c r="A4489" s="32" t="n">
        <v>10</v>
      </c>
      <c r="B4489" s="32" t="inlineStr">
        <is>
          <t>MeOH</t>
        </is>
      </c>
      <c r="D4489" s="32" t="n">
        <v>14.08</v>
      </c>
      <c r="E4489" s="32" t="n">
        <v>130.406</v>
      </c>
      <c r="G4489" s="32" t="n">
        <v>2.186</v>
      </c>
      <c r="H4489" s="32" t="inlineStr">
        <is>
          <t>bb</t>
        </is>
      </c>
      <c r="K4489" s="32" t="inlineStr">
        <is>
          <t>20250514-21</t>
        </is>
      </c>
    </row>
    <row r="4490">
      <c r="A4490" s="32" t="n">
        <v>11</v>
      </c>
      <c r="B4490" s="32" t="inlineStr">
        <is>
          <t>SB1</t>
        </is>
      </c>
      <c r="D4490" s="32" t="n">
        <v>14.03</v>
      </c>
      <c r="E4490" s="32" t="n">
        <v>106.602</v>
      </c>
      <c r="F4490" s="32" t="n">
        <v>61.924</v>
      </c>
      <c r="G4490" s="32" t="n">
        <v>4.967</v>
      </c>
      <c r="H4490" s="32" t="inlineStr">
        <is>
          <t>bb</t>
        </is>
      </c>
      <c r="K4490" s="32" t="inlineStr">
        <is>
          <t>20250514-22</t>
        </is>
      </c>
    </row>
    <row r="4491">
      <c r="A4491" s="32" t="n">
        <v>12</v>
      </c>
      <c r="B4491" s="32" t="inlineStr">
        <is>
          <t>SB2</t>
        </is>
      </c>
      <c r="F4491" s="32" t="n">
        <v>37.859</v>
      </c>
      <c r="K4491" s="32" t="inlineStr">
        <is>
          <t>20250514-23</t>
        </is>
      </c>
    </row>
    <row r="4492">
      <c r="A4492" s="32" t="n">
        <v>13</v>
      </c>
      <c r="B4492" s="32" t="inlineStr">
        <is>
          <t>SB3</t>
        </is>
      </c>
      <c r="D4492" s="32" t="n">
        <v>14.2</v>
      </c>
      <c r="E4492" s="32" t="n">
        <v>124.137</v>
      </c>
      <c r="F4492" s="32" t="n">
        <v>151.1</v>
      </c>
      <c r="G4492" s="32" t="n">
        <v>1.76</v>
      </c>
      <c r="H4492" s="32" t="inlineStr">
        <is>
          <t>bb</t>
        </is>
      </c>
      <c r="K4492" s="32" t="inlineStr">
        <is>
          <t>20250514-24</t>
        </is>
      </c>
    </row>
    <row r="4493">
      <c r="A4493" s="32" t="n">
        <v>14</v>
      </c>
      <c r="B4493" s="32" t="inlineStr">
        <is>
          <t>SS1</t>
        </is>
      </c>
      <c r="D4493" s="32" t="n">
        <v>14.02</v>
      </c>
      <c r="E4493" s="32" t="n">
        <v>829.455</v>
      </c>
      <c r="F4493" s="32" t="n">
        <v>120.184</v>
      </c>
      <c r="G4493" s="32" t="n">
        <v>20.961</v>
      </c>
      <c r="H4493" s="32" t="inlineStr">
        <is>
          <t>bb</t>
        </is>
      </c>
      <c r="K4493" s="32" t="inlineStr">
        <is>
          <t>20250514-25</t>
        </is>
      </c>
    </row>
    <row r="4494">
      <c r="A4494" s="32" t="n">
        <v>15</v>
      </c>
      <c r="B4494" s="32" t="inlineStr">
        <is>
          <t>SS2</t>
        </is>
      </c>
      <c r="D4494" s="32" t="n">
        <v>14.03</v>
      </c>
      <c r="E4494" s="32" t="n">
        <v>682.225</v>
      </c>
      <c r="F4494" s="32" t="n">
        <v>140.114</v>
      </c>
      <c r="G4494" s="32" t="n">
        <v>37.061</v>
      </c>
      <c r="H4494" s="32" t="inlineStr">
        <is>
          <t>bb</t>
        </is>
      </c>
      <c r="K4494" s="32" t="inlineStr">
        <is>
          <t>20250514-26</t>
        </is>
      </c>
    </row>
    <row r="4495">
      <c r="A4495" s="32" t="n">
        <v>16</v>
      </c>
      <c r="B4495" s="32" t="inlineStr">
        <is>
          <t>SS3</t>
        </is>
      </c>
      <c r="D4495" s="32" t="n">
        <v>14.03</v>
      </c>
      <c r="E4495" s="32" t="n">
        <v>433.474</v>
      </c>
      <c r="F4495" s="32" t="n">
        <v>104.483</v>
      </c>
      <c r="G4495" s="32" t="n">
        <v>8.302</v>
      </c>
      <c r="H4495" s="32" t="inlineStr">
        <is>
          <t>bb</t>
        </is>
      </c>
      <c r="K4495" s="32" t="inlineStr">
        <is>
          <t>20250514-27</t>
        </is>
      </c>
    </row>
    <row r="4496">
      <c r="A4496" s="32" t="n">
        <v>17</v>
      </c>
      <c r="B4496" s="32" t="inlineStr">
        <is>
          <t>MeOH</t>
        </is>
      </c>
      <c r="K4496" s="32" t="inlineStr">
        <is>
          <t>20250514-28</t>
        </is>
      </c>
    </row>
    <row r="4497">
      <c r="A4497" s="32" t="n">
        <v>18</v>
      </c>
      <c r="B4497" s="32" t="inlineStr">
        <is>
          <t>K4-1A</t>
        </is>
      </c>
      <c r="D4497" s="32" t="n">
        <v>14.03</v>
      </c>
      <c r="E4497" s="32" t="n">
        <v>232.954</v>
      </c>
      <c r="F4497" s="32" t="n">
        <v>293.287</v>
      </c>
      <c r="G4497" s="32" t="n">
        <v>2.059</v>
      </c>
      <c r="H4497" s="32" t="inlineStr">
        <is>
          <t>bb</t>
        </is>
      </c>
      <c r="K4497" s="32" t="inlineStr">
        <is>
          <t>20250514-29</t>
        </is>
      </c>
    </row>
    <row r="4498">
      <c r="A4498" s="32" t="n">
        <v>19</v>
      </c>
      <c r="B4498" s="32" t="inlineStr">
        <is>
          <t>K4-1B</t>
        </is>
      </c>
      <c r="D4498" s="32" t="n">
        <v>14.28</v>
      </c>
      <c r="E4498" s="32" t="n">
        <v>85.592</v>
      </c>
      <c r="F4498" s="32" t="n">
        <v>121.913</v>
      </c>
      <c r="G4498" s="32" t="n">
        <v>2.842</v>
      </c>
      <c r="H4498" s="32" t="inlineStr">
        <is>
          <t>bb</t>
        </is>
      </c>
      <c r="K4498" s="32" t="inlineStr">
        <is>
          <t>20250514-30</t>
        </is>
      </c>
    </row>
    <row r="4499">
      <c r="A4499" s="32" t="n">
        <v>20</v>
      </c>
      <c r="B4499" s="32" t="inlineStr">
        <is>
          <t>K4-1C</t>
        </is>
      </c>
      <c r="D4499" s="32" t="n">
        <v>14.43</v>
      </c>
      <c r="E4499" s="32" t="n">
        <v>155.854</v>
      </c>
      <c r="F4499" s="32" t="n">
        <v>278.029</v>
      </c>
      <c r="G4499" s="32" t="n">
        <v>1.256</v>
      </c>
      <c r="H4499" s="32" t="inlineStr">
        <is>
          <t>bb</t>
        </is>
      </c>
      <c r="K4499" s="32" t="inlineStr">
        <is>
          <t>20250514-31</t>
        </is>
      </c>
    </row>
    <row r="4500">
      <c r="A4500" s="32" t="n">
        <v>21</v>
      </c>
      <c r="B4500" s="32" t="inlineStr">
        <is>
          <t>K4-2A</t>
        </is>
      </c>
      <c r="F4500" s="32" t="n">
        <v>80.721</v>
      </c>
      <c r="K4500" s="32" t="inlineStr">
        <is>
          <t>20250514-32</t>
        </is>
      </c>
    </row>
    <row r="4501">
      <c r="A4501" s="32" t="n">
        <v>22</v>
      </c>
      <c r="B4501" s="32" t="inlineStr">
        <is>
          <t>K4-2B</t>
        </is>
      </c>
      <c r="D4501" s="32" t="n">
        <v>14.4</v>
      </c>
      <c r="E4501" s="32" t="n">
        <v>32.742</v>
      </c>
      <c r="F4501" s="32" t="n">
        <v>1.117</v>
      </c>
      <c r="G4501" s="32" t="n">
        <v>1.04</v>
      </c>
      <c r="H4501" s="32" t="inlineStr">
        <is>
          <t>bb</t>
        </is>
      </c>
      <c r="K4501" s="32" t="inlineStr">
        <is>
          <t>20250514-33</t>
        </is>
      </c>
    </row>
    <row r="4502">
      <c r="A4502" s="32" t="n">
        <v>23</v>
      </c>
      <c r="B4502" s="32" t="inlineStr">
        <is>
          <t>K4-2C</t>
        </is>
      </c>
      <c r="D4502" s="32" t="n">
        <v>14.08</v>
      </c>
      <c r="E4502" s="32" t="n">
        <v>46.7</v>
      </c>
      <c r="F4502" s="32" t="n">
        <v>64.84699999999999</v>
      </c>
      <c r="G4502" s="32" t="n">
        <v>2.095</v>
      </c>
      <c r="H4502" s="32" t="inlineStr">
        <is>
          <t>bb</t>
        </is>
      </c>
      <c r="K4502" s="32" t="inlineStr">
        <is>
          <t>20250514-34</t>
        </is>
      </c>
    </row>
    <row r="4503">
      <c r="A4503" s="32" t="n">
        <v>24</v>
      </c>
      <c r="B4503" s="32" t="inlineStr">
        <is>
          <t>MeOH</t>
        </is>
      </c>
      <c r="K4503" s="32" t="inlineStr">
        <is>
          <t>20250514-35</t>
        </is>
      </c>
    </row>
    <row r="4504">
      <c r="A4504" s="32" t="n">
        <v>25</v>
      </c>
      <c r="B4504" s="32" t="inlineStr">
        <is>
          <t>K4-4A</t>
        </is>
      </c>
      <c r="D4504" s="32" t="n">
        <v>14.12</v>
      </c>
      <c r="E4504" s="32" t="n">
        <v>78.629</v>
      </c>
      <c r="F4504" s="32" t="n">
        <v>92.72199999999999</v>
      </c>
      <c r="G4504" s="32" t="n">
        <v>1.323</v>
      </c>
      <c r="H4504" s="32" t="inlineStr">
        <is>
          <t>bb</t>
        </is>
      </c>
      <c r="K4504" s="32" t="inlineStr">
        <is>
          <t>20250514-36</t>
        </is>
      </c>
    </row>
    <row r="4505">
      <c r="A4505" s="32" t="n">
        <v>26</v>
      </c>
      <c r="B4505" s="32" t="inlineStr">
        <is>
          <t>K4-4B</t>
        </is>
      </c>
      <c r="D4505" s="32" t="n">
        <v>14.44</v>
      </c>
      <c r="E4505" s="32" t="n">
        <v>43.318</v>
      </c>
      <c r="F4505" s="32" t="n">
        <v>96.197</v>
      </c>
      <c r="G4505" s="32" t="n">
        <v>0.847</v>
      </c>
      <c r="H4505" s="32" t="inlineStr">
        <is>
          <t>bb</t>
        </is>
      </c>
      <c r="K4505" s="32" t="inlineStr">
        <is>
          <t>20250514-37</t>
        </is>
      </c>
    </row>
    <row r="4506">
      <c r="A4506" s="32" t="n">
        <v>27</v>
      </c>
      <c r="B4506" s="32" t="inlineStr">
        <is>
          <t>K4-4C</t>
        </is>
      </c>
      <c r="D4506" s="32" t="n">
        <v>13.71</v>
      </c>
      <c r="E4506" s="32" t="n">
        <v>51.616</v>
      </c>
      <c r="F4506" s="32" t="n">
        <v>122.295</v>
      </c>
      <c r="G4506" s="32" t="n">
        <v>2.681</v>
      </c>
      <c r="H4506" s="32" t="inlineStr">
        <is>
          <t>bb</t>
        </is>
      </c>
      <c r="K4506" s="32" t="inlineStr">
        <is>
          <t>20250514-38</t>
        </is>
      </c>
    </row>
    <row r="4507">
      <c r="A4507" s="32" t="n">
        <v>28</v>
      </c>
      <c r="B4507" s="32" t="inlineStr">
        <is>
          <t>K4-5A</t>
        </is>
      </c>
      <c r="D4507" s="32" t="n">
        <v>14.4</v>
      </c>
      <c r="E4507" s="32" t="n">
        <v>62.482</v>
      </c>
      <c r="F4507" s="32" t="n">
        <v>195.191</v>
      </c>
      <c r="G4507" s="32" t="n">
        <v>1.736</v>
      </c>
      <c r="H4507" s="32" t="inlineStr">
        <is>
          <t>bb</t>
        </is>
      </c>
      <c r="K4507" s="32" t="inlineStr">
        <is>
          <t>20250514-39</t>
        </is>
      </c>
    </row>
    <row r="4508">
      <c r="A4508" s="32" t="n">
        <v>29</v>
      </c>
      <c r="B4508" s="32" t="inlineStr">
        <is>
          <t>K4-5B</t>
        </is>
      </c>
      <c r="D4508" s="32" t="n">
        <v>14.05</v>
      </c>
      <c r="E4508" s="32" t="n">
        <v>72.042</v>
      </c>
      <c r="F4508" s="32" t="n">
        <v>113.956</v>
      </c>
      <c r="G4508" s="32" t="n">
        <v>1.575</v>
      </c>
      <c r="H4508" s="32" t="inlineStr">
        <is>
          <t>bb</t>
        </is>
      </c>
      <c r="K4508" s="32" t="inlineStr">
        <is>
          <t>20250514-40</t>
        </is>
      </c>
    </row>
    <row r="4509">
      <c r="A4509" s="32" t="n">
        <v>30</v>
      </c>
      <c r="B4509" s="32" t="inlineStr">
        <is>
          <t>K4-5C</t>
        </is>
      </c>
      <c r="D4509" s="32" t="n">
        <v>13.48</v>
      </c>
      <c r="E4509" s="32" t="n">
        <v>54.787</v>
      </c>
      <c r="F4509" s="32" t="n">
        <v>84.712</v>
      </c>
      <c r="G4509" s="32" t="n">
        <v>1.23</v>
      </c>
      <c r="H4509" s="32" t="inlineStr">
        <is>
          <t>bb</t>
        </is>
      </c>
      <c r="K4509" s="32" t="inlineStr">
        <is>
          <t>20250514-41</t>
        </is>
      </c>
    </row>
    <row r="4510">
      <c r="A4510" s="32" t="n">
        <v>31</v>
      </c>
      <c r="B4510" s="32" t="inlineStr">
        <is>
          <t>MeOH</t>
        </is>
      </c>
      <c r="D4510" s="32" t="n">
        <v>13.48</v>
      </c>
      <c r="E4510" s="32" t="n">
        <v>38.572</v>
      </c>
      <c r="G4510" s="32" t="n">
        <v>0.907</v>
      </c>
      <c r="H4510" s="32" t="inlineStr">
        <is>
          <t>bb</t>
        </is>
      </c>
      <c r="K4510" s="32" t="inlineStr">
        <is>
          <t>20250514-42</t>
        </is>
      </c>
    </row>
    <row r="4511">
      <c r="A4511" s="32" t="n">
        <v>32</v>
      </c>
      <c r="B4511" s="32" t="inlineStr">
        <is>
          <t>K3-1A</t>
        </is>
      </c>
      <c r="D4511" s="32" t="n">
        <v>13.95</v>
      </c>
      <c r="E4511" s="32" t="n">
        <v>61.673</v>
      </c>
      <c r="F4511" s="32" t="n">
        <v>8.545999999999999</v>
      </c>
      <c r="G4511" s="32" t="n">
        <v>0.646</v>
      </c>
      <c r="H4511" s="32" t="inlineStr">
        <is>
          <t>bb</t>
        </is>
      </c>
      <c r="K4511" s="32" t="inlineStr">
        <is>
          <t>20250514-43</t>
        </is>
      </c>
    </row>
    <row r="4512">
      <c r="A4512" s="32" t="n">
        <v>33</v>
      </c>
      <c r="B4512" s="32" t="inlineStr">
        <is>
          <t>K3-1B</t>
        </is>
      </c>
      <c r="D4512" s="32" t="n">
        <v>14.08</v>
      </c>
      <c r="E4512" s="32" t="n">
        <v>184.372</v>
      </c>
      <c r="F4512" s="32" t="n">
        <v>51.544</v>
      </c>
      <c r="G4512" s="32" t="n">
        <v>1.015</v>
      </c>
      <c r="H4512" s="32" t="inlineStr">
        <is>
          <t>bb</t>
        </is>
      </c>
      <c r="K4512" s="32" t="inlineStr">
        <is>
          <t>20250514-44</t>
        </is>
      </c>
    </row>
    <row r="4513">
      <c r="A4513" s="32" t="n">
        <v>34</v>
      </c>
      <c r="B4513" s="32" t="inlineStr">
        <is>
          <t>K3-1C</t>
        </is>
      </c>
      <c r="D4513" s="32" t="n">
        <v>14.44</v>
      </c>
      <c r="E4513" s="32" t="n">
        <v>147.088</v>
      </c>
      <c r="F4513" s="32" t="n">
        <v>205.27</v>
      </c>
      <c r="G4513" s="32" t="n">
        <v>1.861</v>
      </c>
      <c r="H4513" s="32" t="inlineStr">
        <is>
          <t>bb</t>
        </is>
      </c>
      <c r="K4513" s="32" t="inlineStr">
        <is>
          <t>20250514-45</t>
        </is>
      </c>
    </row>
    <row r="4514">
      <c r="A4514" s="32" t="n">
        <v>35</v>
      </c>
      <c r="B4514" s="32" t="inlineStr">
        <is>
          <t>K3-2A</t>
        </is>
      </c>
      <c r="D4514" s="32" t="n">
        <v>14.25</v>
      </c>
      <c r="E4514" s="32" t="n">
        <v>76.572</v>
      </c>
      <c r="F4514" s="32" t="n">
        <v>175.825</v>
      </c>
      <c r="G4514" s="32" t="n">
        <v>1.324</v>
      </c>
      <c r="H4514" s="32" t="inlineStr">
        <is>
          <t>bb</t>
        </is>
      </c>
      <c r="K4514" s="32" t="inlineStr">
        <is>
          <t>20250514-46</t>
        </is>
      </c>
    </row>
    <row r="4515">
      <c r="A4515" s="32" t="n">
        <v>36</v>
      </c>
      <c r="B4515" s="32" t="inlineStr">
        <is>
          <t>K3-2B</t>
        </is>
      </c>
      <c r="F4515" s="32" t="n">
        <v>73.20399999999999</v>
      </c>
      <c r="K4515" s="32" t="inlineStr">
        <is>
          <t>20250514-47</t>
        </is>
      </c>
    </row>
    <row r="4516">
      <c r="A4516" s="32" t="n">
        <v>37</v>
      </c>
      <c r="B4516" s="32" t="inlineStr">
        <is>
          <t>K3-2C</t>
        </is>
      </c>
      <c r="D4516" s="32" t="n">
        <v>13.98</v>
      </c>
      <c r="E4516" s="32" t="n">
        <v>35.502</v>
      </c>
      <c r="F4516" s="32" t="n">
        <v>179.966</v>
      </c>
      <c r="G4516" s="32" t="n">
        <v>0.782</v>
      </c>
      <c r="H4516" s="32" t="inlineStr">
        <is>
          <t>bb</t>
        </is>
      </c>
      <c r="K4516" s="32" t="inlineStr">
        <is>
          <t>20250514-48</t>
        </is>
      </c>
    </row>
    <row r="4517">
      <c r="A4517" s="32" t="n">
        <v>38</v>
      </c>
      <c r="B4517" s="32" t="inlineStr">
        <is>
          <t>MeOH</t>
        </is>
      </c>
      <c r="D4517" s="32" t="n">
        <v>14.21</v>
      </c>
      <c r="E4517" s="32" t="n">
        <v>343.55</v>
      </c>
      <c r="G4517" s="32" t="n">
        <v>4.313</v>
      </c>
      <c r="H4517" s="32" t="inlineStr">
        <is>
          <t>bb</t>
        </is>
      </c>
      <c r="K4517" s="32" t="inlineStr">
        <is>
          <t>20250514-49</t>
        </is>
      </c>
    </row>
    <row r="4518">
      <c r="A4518" s="32" t="n">
        <v>39</v>
      </c>
      <c r="B4518" s="32" t="inlineStr">
        <is>
          <t>K3-3A</t>
        </is>
      </c>
      <c r="D4518" s="32" t="n">
        <v>14.09</v>
      </c>
      <c r="E4518" s="32" t="n">
        <v>314.244</v>
      </c>
      <c r="F4518" s="32" t="n">
        <v>243.306</v>
      </c>
      <c r="G4518" s="32" t="n">
        <v>3.937</v>
      </c>
      <c r="H4518" s="32" t="inlineStr">
        <is>
          <t>bb</t>
        </is>
      </c>
      <c r="K4518" s="32" t="inlineStr">
        <is>
          <t>20250514-50</t>
        </is>
      </c>
    </row>
    <row r="4519">
      <c r="A4519" s="32" t="n">
        <v>40</v>
      </c>
      <c r="B4519" s="32" t="inlineStr">
        <is>
          <t>K3-3B</t>
        </is>
      </c>
      <c r="D4519" s="32" t="n">
        <v>14.06</v>
      </c>
      <c r="E4519" s="32" t="n">
        <v>147.382</v>
      </c>
      <c r="F4519" s="32" t="n">
        <v>281.241</v>
      </c>
      <c r="G4519" s="32" t="n">
        <v>1.06</v>
      </c>
      <c r="H4519" s="32" t="inlineStr">
        <is>
          <t>bb</t>
        </is>
      </c>
      <c r="K4519" s="32" t="inlineStr">
        <is>
          <t>20250514-51</t>
        </is>
      </c>
    </row>
    <row r="4520">
      <c r="A4520" s="32" t="n">
        <v>41</v>
      </c>
      <c r="B4520" s="32" t="inlineStr">
        <is>
          <t>K3-3C</t>
        </is>
      </c>
      <c r="D4520" s="32" t="n">
        <v>14.14</v>
      </c>
      <c r="E4520" s="32" t="n">
        <v>181.218</v>
      </c>
      <c r="F4520" s="32" t="n">
        <v>124.019</v>
      </c>
      <c r="G4520" s="32" t="n">
        <v>2.981</v>
      </c>
      <c r="H4520" s="32" t="inlineStr">
        <is>
          <t>bb</t>
        </is>
      </c>
      <c r="K4520" s="32" t="inlineStr">
        <is>
          <t>20250514-52</t>
        </is>
      </c>
    </row>
    <row r="4521">
      <c r="A4521" s="32" t="n">
        <v>42</v>
      </c>
      <c r="B4521" s="32" t="inlineStr">
        <is>
          <t>K3-4A</t>
        </is>
      </c>
      <c r="D4521" s="32" t="n">
        <v>14.08</v>
      </c>
      <c r="E4521" s="32" t="n">
        <v>411.62</v>
      </c>
      <c r="F4521" s="32" t="n">
        <v>154.358</v>
      </c>
      <c r="G4521" s="32" t="n">
        <v>4.017</v>
      </c>
      <c r="H4521" s="32" t="inlineStr">
        <is>
          <t>bb</t>
        </is>
      </c>
      <c r="K4521" s="32" t="inlineStr">
        <is>
          <t>20250514-53</t>
        </is>
      </c>
    </row>
    <row r="4522">
      <c r="A4522" s="32" t="n">
        <v>43</v>
      </c>
      <c r="B4522" s="32" t="inlineStr">
        <is>
          <t>K3-4B</t>
        </is>
      </c>
      <c r="D4522" s="32" t="n">
        <v>14.06</v>
      </c>
      <c r="E4522" s="32" t="n">
        <v>239.08</v>
      </c>
      <c r="F4522" s="32" t="n">
        <v>149.228</v>
      </c>
      <c r="G4522" s="32" t="n">
        <v>2.478</v>
      </c>
      <c r="H4522" s="32" t="inlineStr">
        <is>
          <t>bb</t>
        </is>
      </c>
      <c r="K4522" s="32" t="inlineStr">
        <is>
          <t>20250514-54</t>
        </is>
      </c>
    </row>
    <row r="4523">
      <c r="A4523" s="32" t="n">
        <v>44</v>
      </c>
      <c r="B4523" s="32" t="inlineStr">
        <is>
          <t>K3-4C</t>
        </is>
      </c>
      <c r="D4523" s="32" t="n">
        <v>14.11</v>
      </c>
      <c r="E4523" s="32" t="n">
        <v>579.381</v>
      </c>
      <c r="F4523" s="32" t="n">
        <v>244.215</v>
      </c>
      <c r="G4523" s="32" t="n">
        <v>3.908</v>
      </c>
      <c r="H4523" s="32" t="inlineStr">
        <is>
          <t>bb</t>
        </is>
      </c>
      <c r="K4523" s="32" t="inlineStr">
        <is>
          <t>20250514-55</t>
        </is>
      </c>
    </row>
    <row r="4524">
      <c r="A4524" s="32" t="n">
        <v>45</v>
      </c>
      <c r="B4524" s="32" t="inlineStr">
        <is>
          <t>MeOH</t>
        </is>
      </c>
      <c r="D4524" s="32" t="n">
        <v>13.72</v>
      </c>
      <c r="E4524" s="32" t="n">
        <v>55.953</v>
      </c>
      <c r="G4524" s="32" t="n">
        <v>1.879</v>
      </c>
      <c r="H4524" s="32" t="inlineStr">
        <is>
          <t>bb</t>
        </is>
      </c>
      <c r="K4524" s="32" t="inlineStr">
        <is>
          <t>20250514-56</t>
        </is>
      </c>
    </row>
    <row r="4525">
      <c r="A4525" s="32" t="n">
        <v>46</v>
      </c>
      <c r="B4525" s="32" t="inlineStr">
        <is>
          <t>K3-6A</t>
        </is>
      </c>
      <c r="D4525" s="32" t="n">
        <v>14.14</v>
      </c>
      <c r="E4525" s="32" t="n">
        <v>115.108</v>
      </c>
      <c r="F4525" s="32" t="n">
        <v>9.898999999999999</v>
      </c>
      <c r="G4525" s="32" t="n">
        <v>2.209</v>
      </c>
      <c r="H4525" s="32" t="inlineStr">
        <is>
          <t>bb</t>
        </is>
      </c>
      <c r="K4525" s="32" t="inlineStr">
        <is>
          <t>20250514-57</t>
        </is>
      </c>
    </row>
    <row r="4526">
      <c r="A4526" s="32" t="n">
        <v>47</v>
      </c>
      <c r="B4526" s="32" t="inlineStr">
        <is>
          <t>K3-6B</t>
        </is>
      </c>
      <c r="D4526" s="32" t="n">
        <v>14.36</v>
      </c>
      <c r="E4526" s="32" t="n">
        <v>119.439</v>
      </c>
      <c r="F4526" s="32" t="n">
        <v>87.55200000000001</v>
      </c>
      <c r="G4526" s="32" t="n">
        <v>1.244</v>
      </c>
      <c r="H4526" s="32" t="inlineStr">
        <is>
          <t>bb</t>
        </is>
      </c>
      <c r="K4526" s="32" t="inlineStr">
        <is>
          <t>20250514-58</t>
        </is>
      </c>
    </row>
    <row r="4527">
      <c r="A4527" s="32" t="n">
        <v>48</v>
      </c>
      <c r="B4527" s="32" t="inlineStr">
        <is>
          <t>K3-6C</t>
        </is>
      </c>
      <c r="D4527" s="32" t="n">
        <v>13.49</v>
      </c>
      <c r="E4527" s="32" t="n">
        <v>161.727</v>
      </c>
      <c r="F4527" s="32" t="n">
        <v>231.601</v>
      </c>
      <c r="G4527" s="32" t="n">
        <v>7.059</v>
      </c>
      <c r="H4527" s="32" t="inlineStr">
        <is>
          <t>bb</t>
        </is>
      </c>
      <c r="K4527" s="32" t="inlineStr">
        <is>
          <t>20250514-59</t>
        </is>
      </c>
    </row>
    <row r="4529">
      <c r="A4529" s="32" t="inlineStr">
        <is>
          <t>Compound 88:  m2 PFDA</t>
        </is>
      </c>
    </row>
    <row r="4531">
      <c r="B4531" s="32" t="inlineStr">
        <is>
          <t>Sample Text</t>
        </is>
      </c>
      <c r="C4531" s="32" t="inlineStr">
        <is>
          <t>Std. Conc</t>
        </is>
      </c>
      <c r="D4531" s="32" t="inlineStr">
        <is>
          <t>RT</t>
        </is>
      </c>
      <c r="E4531" s="32" t="inlineStr">
        <is>
          <t>Area</t>
        </is>
      </c>
      <c r="F4531" s="32" t="inlineStr">
        <is>
          <t>IS Area</t>
        </is>
      </c>
      <c r="G4531" s="32" t="inlineStr">
        <is>
          <t>S/N</t>
        </is>
      </c>
      <c r="H4531" s="32" t="inlineStr">
        <is>
          <t>Primary Flags</t>
        </is>
      </c>
      <c r="I4531" s="32" t="inlineStr">
        <is>
          <t>Response</t>
        </is>
      </c>
      <c r="J4531" s="32" t="inlineStr">
        <is>
          <t>Conc.</t>
        </is>
      </c>
      <c r="K4531" s="32" t="inlineStr">
        <is>
          <t>Name</t>
        </is>
      </c>
    </row>
    <row r="4532">
      <c r="A4532" s="32" t="n">
        <v>1</v>
      </c>
      <c r="F4532" s="32" t="n">
        <v>300.866</v>
      </c>
      <c r="K4532" s="32" t="inlineStr">
        <is>
          <t>20250514-12</t>
        </is>
      </c>
    </row>
    <row r="4533">
      <c r="A4533" s="32" t="n">
        <v>2</v>
      </c>
      <c r="F4533" s="32" t="n">
        <v>321.662</v>
      </c>
      <c r="K4533" s="32" t="inlineStr">
        <is>
          <t>20250514-13</t>
        </is>
      </c>
    </row>
    <row r="4534">
      <c r="A4534" s="32" t="n">
        <v>3</v>
      </c>
      <c r="F4534" s="32" t="n">
        <v>271.981</v>
      </c>
      <c r="K4534" s="32" t="inlineStr">
        <is>
          <t>20250514-14</t>
        </is>
      </c>
    </row>
    <row r="4535">
      <c r="A4535" s="32" t="n">
        <v>4</v>
      </c>
      <c r="F4535" s="32" t="n">
        <v>574.953</v>
      </c>
      <c r="K4535" s="32" t="inlineStr">
        <is>
          <t>20250514-15</t>
        </is>
      </c>
    </row>
    <row r="4536">
      <c r="A4536" s="32" t="n">
        <v>5</v>
      </c>
      <c r="F4536" s="32" t="n">
        <v>121.731</v>
      </c>
      <c r="K4536" s="32" t="inlineStr">
        <is>
          <t>20250514-16</t>
        </is>
      </c>
    </row>
    <row r="4537">
      <c r="A4537" s="32" t="n">
        <v>6</v>
      </c>
      <c r="F4537" s="32" t="n">
        <v>630.125</v>
      </c>
      <c r="K4537" s="32" t="inlineStr">
        <is>
          <t>20250514-17</t>
        </is>
      </c>
    </row>
    <row r="4538">
      <c r="A4538" s="32" t="n">
        <v>7</v>
      </c>
      <c r="F4538" s="32" t="n">
        <v>189.153</v>
      </c>
      <c r="K4538" s="32" t="inlineStr">
        <is>
          <t>20250514-18</t>
        </is>
      </c>
    </row>
    <row r="4539">
      <c r="A4539" s="32" t="n">
        <v>8</v>
      </c>
      <c r="F4539" s="32" t="n">
        <v>34.629</v>
      </c>
      <c r="K4539" s="32" t="inlineStr">
        <is>
          <t>20250514-19</t>
        </is>
      </c>
    </row>
    <row r="4540">
      <c r="A4540" s="32" t="n">
        <v>9</v>
      </c>
      <c r="K4540" s="32" t="inlineStr">
        <is>
          <t>20250514-20</t>
        </is>
      </c>
    </row>
    <row r="4541">
      <c r="A4541" s="32" t="n">
        <v>10</v>
      </c>
      <c r="K4541" s="32" t="inlineStr">
        <is>
          <t>20250514-21</t>
        </is>
      </c>
    </row>
    <row r="4542">
      <c r="A4542" s="32" t="n">
        <v>11</v>
      </c>
      <c r="F4542" s="32" t="n">
        <v>61.924</v>
      </c>
      <c r="K4542" s="32" t="inlineStr">
        <is>
          <t>20250514-22</t>
        </is>
      </c>
    </row>
    <row r="4543">
      <c r="A4543" s="32" t="n">
        <v>12</v>
      </c>
      <c r="F4543" s="32" t="n">
        <v>37.859</v>
      </c>
      <c r="K4543" s="32" t="inlineStr">
        <is>
          <t>20250514-23</t>
        </is>
      </c>
    </row>
    <row r="4544">
      <c r="A4544" s="32" t="n">
        <v>13</v>
      </c>
      <c r="F4544" s="32" t="n">
        <v>151.1</v>
      </c>
      <c r="K4544" s="32" t="inlineStr">
        <is>
          <t>20250514-24</t>
        </is>
      </c>
    </row>
    <row r="4545">
      <c r="A4545" s="32" t="n">
        <v>14</v>
      </c>
      <c r="F4545" s="32" t="n">
        <v>120.184</v>
      </c>
      <c r="K4545" s="32" t="inlineStr">
        <is>
          <t>20250514-25</t>
        </is>
      </c>
    </row>
    <row r="4546">
      <c r="A4546" s="32" t="n">
        <v>15</v>
      </c>
      <c r="F4546" s="32" t="n">
        <v>140.114</v>
      </c>
      <c r="K4546" s="32" t="inlineStr">
        <is>
          <t>20250514-26</t>
        </is>
      </c>
    </row>
    <row r="4547">
      <c r="A4547" s="32" t="n">
        <v>16</v>
      </c>
      <c r="F4547" s="32" t="n">
        <v>104.483</v>
      </c>
      <c r="K4547" s="32" t="inlineStr">
        <is>
          <t>20250514-27</t>
        </is>
      </c>
    </row>
    <row r="4548">
      <c r="A4548" s="32" t="n">
        <v>17</v>
      </c>
      <c r="K4548" s="32" t="inlineStr">
        <is>
          <t>20250514-28</t>
        </is>
      </c>
    </row>
    <row r="4549">
      <c r="A4549" s="32" t="n">
        <v>18</v>
      </c>
      <c r="F4549" s="32" t="n">
        <v>293.287</v>
      </c>
      <c r="K4549" s="32" t="inlineStr">
        <is>
          <t>20250514-29</t>
        </is>
      </c>
    </row>
    <row r="4550">
      <c r="A4550" s="32" t="n">
        <v>19</v>
      </c>
      <c r="F4550" s="32" t="n">
        <v>121.913</v>
      </c>
      <c r="K4550" s="32" t="inlineStr">
        <is>
          <t>20250514-30</t>
        </is>
      </c>
    </row>
    <row r="4551">
      <c r="A4551" s="32" t="n">
        <v>20</v>
      </c>
      <c r="F4551" s="32" t="n">
        <v>278.029</v>
      </c>
      <c r="K4551" s="32" t="inlineStr">
        <is>
          <t>20250514-31</t>
        </is>
      </c>
    </row>
    <row r="4552">
      <c r="A4552" s="32" t="n">
        <v>21</v>
      </c>
      <c r="F4552" s="32" t="n">
        <v>80.721</v>
      </c>
      <c r="K4552" s="32" t="inlineStr">
        <is>
          <t>20250514-32</t>
        </is>
      </c>
    </row>
    <row r="4553">
      <c r="A4553" s="32" t="n">
        <v>22</v>
      </c>
      <c r="F4553" s="32" t="n">
        <v>1.117</v>
      </c>
      <c r="K4553" s="32" t="inlineStr">
        <is>
          <t>20250514-33</t>
        </is>
      </c>
    </row>
    <row r="4554">
      <c r="A4554" s="32" t="n">
        <v>23</v>
      </c>
      <c r="F4554" s="32" t="n">
        <v>64.84699999999999</v>
      </c>
      <c r="K4554" s="32" t="inlineStr">
        <is>
          <t>20250514-34</t>
        </is>
      </c>
    </row>
    <row r="4555">
      <c r="A4555" s="32" t="n">
        <v>24</v>
      </c>
      <c r="K4555" s="32" t="inlineStr">
        <is>
          <t>20250514-35</t>
        </is>
      </c>
    </row>
    <row r="4556">
      <c r="A4556" s="32" t="n">
        <v>25</v>
      </c>
      <c r="F4556" s="32" t="n">
        <v>92.72199999999999</v>
      </c>
      <c r="K4556" s="32" t="inlineStr">
        <is>
          <t>20250514-36</t>
        </is>
      </c>
    </row>
    <row r="4557">
      <c r="A4557" s="32" t="n">
        <v>26</v>
      </c>
      <c r="F4557" s="32" t="n">
        <v>96.197</v>
      </c>
      <c r="K4557" s="32" t="inlineStr">
        <is>
          <t>20250514-37</t>
        </is>
      </c>
    </row>
    <row r="4558">
      <c r="A4558" s="32" t="n">
        <v>27</v>
      </c>
      <c r="F4558" s="32" t="n">
        <v>122.295</v>
      </c>
      <c r="K4558" s="32" t="inlineStr">
        <is>
          <t>20250514-38</t>
        </is>
      </c>
    </row>
    <row r="4559">
      <c r="A4559" s="32" t="n">
        <v>28</v>
      </c>
      <c r="F4559" s="32" t="n">
        <v>195.191</v>
      </c>
      <c r="K4559" s="32" t="inlineStr">
        <is>
          <t>20250514-39</t>
        </is>
      </c>
    </row>
    <row r="4560">
      <c r="A4560" s="32" t="n">
        <v>29</v>
      </c>
      <c r="F4560" s="32" t="n">
        <v>113.956</v>
      </c>
      <c r="K4560" s="32" t="inlineStr">
        <is>
          <t>20250514-40</t>
        </is>
      </c>
    </row>
    <row r="4561">
      <c r="A4561" s="32" t="n">
        <v>30</v>
      </c>
      <c r="F4561" s="32" t="n">
        <v>84.712</v>
      </c>
      <c r="K4561" s="32" t="inlineStr">
        <is>
          <t>20250514-41</t>
        </is>
      </c>
    </row>
    <row r="4562">
      <c r="A4562" s="32" t="n">
        <v>31</v>
      </c>
      <c r="K4562" s="32" t="inlineStr">
        <is>
          <t>20250514-42</t>
        </is>
      </c>
    </row>
    <row r="4563">
      <c r="A4563" s="32" t="n">
        <v>32</v>
      </c>
      <c r="F4563" s="32" t="n">
        <v>8.545999999999999</v>
      </c>
      <c r="K4563" s="32" t="inlineStr">
        <is>
          <t>20250514-43</t>
        </is>
      </c>
    </row>
    <row r="4564">
      <c r="A4564" s="32" t="n">
        <v>33</v>
      </c>
      <c r="F4564" s="32" t="n">
        <v>51.544</v>
      </c>
      <c r="K4564" s="32" t="inlineStr">
        <is>
          <t>20250514-44</t>
        </is>
      </c>
    </row>
    <row r="4565">
      <c r="A4565" s="32" t="n">
        <v>34</v>
      </c>
      <c r="F4565" s="32" t="n">
        <v>205.27</v>
      </c>
      <c r="K4565" s="32" t="inlineStr">
        <is>
          <t>20250514-45</t>
        </is>
      </c>
    </row>
    <row r="4566">
      <c r="A4566" s="32" t="n">
        <v>35</v>
      </c>
      <c r="F4566" s="32" t="n">
        <v>175.825</v>
      </c>
      <c r="K4566" s="32" t="inlineStr">
        <is>
          <t>20250514-46</t>
        </is>
      </c>
    </row>
    <row r="4567">
      <c r="A4567" s="32" t="n">
        <v>36</v>
      </c>
      <c r="F4567" s="32" t="n">
        <v>73.20399999999999</v>
      </c>
      <c r="K4567" s="32" t="inlineStr">
        <is>
          <t>20250514-47</t>
        </is>
      </c>
    </row>
    <row r="4568">
      <c r="A4568" s="32" t="n">
        <v>37</v>
      </c>
      <c r="F4568" s="32" t="n">
        <v>179.966</v>
      </c>
      <c r="K4568" s="32" t="inlineStr">
        <is>
          <t>20250514-48</t>
        </is>
      </c>
    </row>
    <row r="4569">
      <c r="A4569" s="32" t="n">
        <v>38</v>
      </c>
      <c r="K4569" s="32" t="inlineStr">
        <is>
          <t>20250514-49</t>
        </is>
      </c>
    </row>
    <row r="4570">
      <c r="A4570" s="32" t="n">
        <v>39</v>
      </c>
      <c r="F4570" s="32" t="n">
        <v>243.306</v>
      </c>
      <c r="K4570" s="32" t="inlineStr">
        <is>
          <t>20250514-50</t>
        </is>
      </c>
    </row>
    <row r="4571">
      <c r="A4571" s="32" t="n">
        <v>40</v>
      </c>
      <c r="F4571" s="32" t="n">
        <v>281.241</v>
      </c>
      <c r="K4571" s="32" t="inlineStr">
        <is>
          <t>20250514-51</t>
        </is>
      </c>
    </row>
    <row r="4572">
      <c r="A4572" s="32" t="n">
        <v>41</v>
      </c>
      <c r="F4572" s="32" t="n">
        <v>124.019</v>
      </c>
      <c r="K4572" s="32" t="inlineStr">
        <is>
          <t>20250514-52</t>
        </is>
      </c>
    </row>
    <row r="4573">
      <c r="A4573" s="32" t="n">
        <v>42</v>
      </c>
      <c r="F4573" s="32" t="n">
        <v>154.358</v>
      </c>
      <c r="K4573" s="32" t="inlineStr">
        <is>
          <t>20250514-53</t>
        </is>
      </c>
    </row>
    <row r="4574">
      <c r="A4574" s="32" t="n">
        <v>43</v>
      </c>
      <c r="F4574" s="32" t="n">
        <v>149.228</v>
      </c>
      <c r="K4574" s="32" t="inlineStr">
        <is>
          <t>20250514-54</t>
        </is>
      </c>
    </row>
    <row r="4575">
      <c r="A4575" s="32" t="n">
        <v>44</v>
      </c>
      <c r="F4575" s="32" t="n">
        <v>244.215</v>
      </c>
      <c r="K4575" s="32" t="inlineStr">
        <is>
          <t>20250514-55</t>
        </is>
      </c>
    </row>
    <row r="4576">
      <c r="A4576" s="32" t="n">
        <v>45</v>
      </c>
      <c r="K4576" s="32" t="inlineStr">
        <is>
          <t>20250514-56</t>
        </is>
      </c>
    </row>
    <row r="4577">
      <c r="A4577" s="32" t="n">
        <v>46</v>
      </c>
      <c r="F4577" s="32" t="n">
        <v>9.898999999999999</v>
      </c>
      <c r="K4577" s="32" t="inlineStr">
        <is>
          <t>20250514-57</t>
        </is>
      </c>
    </row>
    <row r="4578">
      <c r="A4578" s="32" t="n">
        <v>47</v>
      </c>
      <c r="F4578" s="32" t="n">
        <v>87.55200000000001</v>
      </c>
      <c r="K4578" s="32" t="inlineStr">
        <is>
          <t>20250514-58</t>
        </is>
      </c>
    </row>
    <row r="4579">
      <c r="A4579" s="32" t="n">
        <v>48</v>
      </c>
      <c r="F4579" s="32" t="n">
        <v>231.601</v>
      </c>
      <c r="K4579" s="32" t="inlineStr">
        <is>
          <t>20250514-59</t>
        </is>
      </c>
    </row>
    <row r="4581">
      <c r="A4581" s="32" t="inlineStr">
        <is>
          <t>Compound 89:  m3 N-MeFOSA 1</t>
        </is>
      </c>
    </row>
    <row r="4583">
      <c r="B4583" s="32" t="inlineStr">
        <is>
          <t>Sample Text</t>
        </is>
      </c>
      <c r="C4583" s="32" t="inlineStr">
        <is>
          <t>Std. Conc</t>
        </is>
      </c>
      <c r="D4583" s="32" t="inlineStr">
        <is>
          <t>RT</t>
        </is>
      </c>
      <c r="E4583" s="32" t="inlineStr">
        <is>
          <t>Area</t>
        </is>
      </c>
      <c r="F4583" s="32" t="inlineStr">
        <is>
          <t>IS Area</t>
        </is>
      </c>
      <c r="G4583" s="32" t="inlineStr">
        <is>
          <t>S/N</t>
        </is>
      </c>
      <c r="H4583" s="32" t="inlineStr">
        <is>
          <t>Primary Flags</t>
        </is>
      </c>
      <c r="I4583" s="32" t="inlineStr">
        <is>
          <t>Response</t>
        </is>
      </c>
      <c r="J4583" s="32" t="inlineStr">
        <is>
          <t>Conc.</t>
        </is>
      </c>
      <c r="K4583" s="32" t="inlineStr">
        <is>
          <t>Name</t>
        </is>
      </c>
    </row>
    <row r="4584">
      <c r="A4584" s="32" t="n">
        <v>1</v>
      </c>
      <c r="B4584" s="32" t="inlineStr">
        <is>
          <t>EPA1633 &amp; diPAPs Calibration 0 ppb</t>
        </is>
      </c>
      <c r="D4584" s="32" t="n">
        <v>15.42</v>
      </c>
      <c r="E4584" s="32" t="n">
        <v>8855.373</v>
      </c>
      <c r="G4584" s="32" t="n">
        <v>70.23399999999999</v>
      </c>
      <c r="H4584" s="32" t="inlineStr">
        <is>
          <t>MM</t>
        </is>
      </c>
      <c r="I4584" s="32" t="n">
        <v>8855.373</v>
      </c>
      <c r="K4584" s="32" t="inlineStr">
        <is>
          <t>20250514-12</t>
        </is>
      </c>
    </row>
    <row r="4585">
      <c r="A4585" s="32" t="n">
        <v>2</v>
      </c>
      <c r="B4585" s="32" t="inlineStr">
        <is>
          <t>EPA1633 &amp; diPAPs Calibration 0.02 ppb</t>
        </is>
      </c>
      <c r="D4585" s="32" t="n">
        <v>15.44</v>
      </c>
      <c r="E4585" s="32" t="n">
        <v>7451.587</v>
      </c>
      <c r="G4585" s="32" t="n">
        <v>5989.483</v>
      </c>
      <c r="H4585" s="32" t="inlineStr">
        <is>
          <t>MM</t>
        </is>
      </c>
      <c r="I4585" s="32" t="n">
        <v>7451.587</v>
      </c>
      <c r="K4585" s="32" t="inlineStr">
        <is>
          <t>20250514-13</t>
        </is>
      </c>
    </row>
    <row r="4586">
      <c r="A4586" s="32" t="n">
        <v>3</v>
      </c>
      <c r="B4586" s="32" t="inlineStr">
        <is>
          <t>EPA1633 &amp; diPAPs Calibration 0.1 ppb</t>
        </is>
      </c>
      <c r="D4586" s="32" t="n">
        <v>15.46</v>
      </c>
      <c r="E4586" s="32" t="n">
        <v>9747.741</v>
      </c>
      <c r="G4586" s="32" t="n">
        <v>337.828</v>
      </c>
      <c r="H4586" s="32" t="inlineStr">
        <is>
          <t>MM</t>
        </is>
      </c>
      <c r="I4586" s="32" t="n">
        <v>9747.741</v>
      </c>
      <c r="K4586" s="32" t="inlineStr">
        <is>
          <t>20250514-14</t>
        </is>
      </c>
    </row>
    <row r="4587">
      <c r="A4587" s="32" t="n">
        <v>4</v>
      </c>
      <c r="B4587" s="32" t="inlineStr">
        <is>
          <t>EPA1633 &amp; diPAPs Calibration 0.4 ppb</t>
        </is>
      </c>
      <c r="D4587" s="32" t="n">
        <v>15.46</v>
      </c>
      <c r="E4587" s="32" t="n">
        <v>8367.638999999999</v>
      </c>
      <c r="G4587" s="32" t="n">
        <v>641.261</v>
      </c>
      <c r="H4587" s="32" t="inlineStr">
        <is>
          <t>MM</t>
        </is>
      </c>
      <c r="I4587" s="32" t="n">
        <v>8367.638999999999</v>
      </c>
      <c r="K4587" s="32" t="inlineStr">
        <is>
          <t>20250514-15</t>
        </is>
      </c>
    </row>
    <row r="4588">
      <c r="A4588" s="32" t="n">
        <v>5</v>
      </c>
      <c r="B4588" s="32" t="inlineStr">
        <is>
          <t>EPA1633 &amp; diPAPs Calibration 1 ppb</t>
        </is>
      </c>
      <c r="D4588" s="32" t="n">
        <v>15.44</v>
      </c>
      <c r="E4588" s="32" t="n">
        <v>9480.705</v>
      </c>
      <c r="G4588" s="32" t="n">
        <v>395.632</v>
      </c>
      <c r="H4588" s="32" t="inlineStr">
        <is>
          <t>MM</t>
        </is>
      </c>
      <c r="I4588" s="32" t="n">
        <v>9480.705</v>
      </c>
      <c r="K4588" s="32" t="inlineStr">
        <is>
          <t>20250514-16</t>
        </is>
      </c>
    </row>
    <row r="4589">
      <c r="A4589" s="32" t="n">
        <v>6</v>
      </c>
      <c r="B4589" s="32" t="inlineStr">
        <is>
          <t>EPA1633 &amp; diPAPs Calibration 5 ppb</t>
        </is>
      </c>
      <c r="D4589" s="32" t="n">
        <v>15.42</v>
      </c>
      <c r="E4589" s="32" t="n">
        <v>7978.999</v>
      </c>
      <c r="G4589" s="32" t="n">
        <v>982.7809999999999</v>
      </c>
      <c r="H4589" s="32" t="inlineStr">
        <is>
          <t>MM</t>
        </is>
      </c>
      <c r="I4589" s="32" t="n">
        <v>7978.999</v>
      </c>
      <c r="K4589" s="32" t="inlineStr">
        <is>
          <t>20250514-17</t>
        </is>
      </c>
    </row>
    <row r="4590">
      <c r="A4590" s="32" t="n">
        <v>7</v>
      </c>
      <c r="B4590" s="32" t="inlineStr">
        <is>
          <t>EPA1633 &amp; diPAPs Calibration 10 ppb</t>
        </is>
      </c>
      <c r="D4590" s="32" t="n">
        <v>15.43</v>
      </c>
      <c r="E4590" s="32" t="n">
        <v>6394.926</v>
      </c>
      <c r="G4590" s="32" t="n">
        <v>144.631</v>
      </c>
      <c r="H4590" s="32" t="inlineStr">
        <is>
          <t>MM</t>
        </is>
      </c>
      <c r="I4590" s="32" t="n">
        <v>6394.926</v>
      </c>
      <c r="K4590" s="32" t="inlineStr">
        <is>
          <t>20250514-18</t>
        </is>
      </c>
    </row>
    <row r="4591">
      <c r="A4591" s="32" t="n">
        <v>8</v>
      </c>
      <c r="B4591" s="32" t="inlineStr">
        <is>
          <t>EPA1633 &amp; diPAPs Calibration 20 ppb</t>
        </is>
      </c>
      <c r="D4591" s="32" t="n">
        <v>15.44</v>
      </c>
      <c r="E4591" s="32" t="n">
        <v>6966.072</v>
      </c>
      <c r="G4591" s="32" t="n">
        <v>270.16</v>
      </c>
      <c r="H4591" s="32" t="inlineStr">
        <is>
          <t>MM</t>
        </is>
      </c>
      <c r="I4591" s="32" t="n">
        <v>6966.072</v>
      </c>
      <c r="K4591" s="32" t="inlineStr">
        <is>
          <t>20250514-19</t>
        </is>
      </c>
    </row>
    <row r="4592">
      <c r="A4592" s="32" t="n">
        <v>9</v>
      </c>
      <c r="B4592" s="32" t="inlineStr">
        <is>
          <t>MeOH</t>
        </is>
      </c>
      <c r="K4592" s="32" t="inlineStr">
        <is>
          <t>20250514-20</t>
        </is>
      </c>
    </row>
    <row r="4593">
      <c r="A4593" s="32" t="n">
        <v>10</v>
      </c>
      <c r="B4593" s="32" t="inlineStr">
        <is>
          <t>MeOH</t>
        </is>
      </c>
      <c r="K4593" s="32" t="inlineStr">
        <is>
          <t>20250514-21</t>
        </is>
      </c>
    </row>
    <row r="4594">
      <c r="A4594" s="32" t="n">
        <v>11</v>
      </c>
      <c r="B4594" s="32" t="inlineStr">
        <is>
          <t>SB1</t>
        </is>
      </c>
      <c r="D4594" s="32" t="n">
        <v>15.47</v>
      </c>
      <c r="E4594" s="32" t="n">
        <v>2413.944</v>
      </c>
      <c r="G4594" s="32" t="n">
        <v>160.336</v>
      </c>
      <c r="H4594" s="32" t="inlineStr">
        <is>
          <t>MM</t>
        </is>
      </c>
      <c r="I4594" s="32" t="n">
        <v>2413.944</v>
      </c>
      <c r="K4594" s="32" t="inlineStr">
        <is>
          <t>20250514-22</t>
        </is>
      </c>
    </row>
    <row r="4595">
      <c r="A4595" s="32" t="n">
        <v>12</v>
      </c>
      <c r="B4595" s="32" t="inlineStr">
        <is>
          <t>SB2</t>
        </is>
      </c>
      <c r="D4595" s="32" t="n">
        <v>15.49</v>
      </c>
      <c r="E4595" s="32" t="n">
        <v>2333.367</v>
      </c>
      <c r="G4595" s="32" t="n">
        <v>49.661</v>
      </c>
      <c r="H4595" s="32" t="inlineStr">
        <is>
          <t>MM</t>
        </is>
      </c>
      <c r="I4595" s="32" t="n">
        <v>2333.367</v>
      </c>
      <c r="K4595" s="32" t="inlineStr">
        <is>
          <t>20250514-23</t>
        </is>
      </c>
    </row>
    <row r="4596">
      <c r="A4596" s="32" t="n">
        <v>13</v>
      </c>
      <c r="B4596" s="32" t="inlineStr">
        <is>
          <t>SB3</t>
        </is>
      </c>
      <c r="D4596" s="32" t="n">
        <v>15.48</v>
      </c>
      <c r="E4596" s="32" t="n">
        <v>3027.065</v>
      </c>
      <c r="G4596" s="32" t="n">
        <v>147.732</v>
      </c>
      <c r="H4596" s="32" t="inlineStr">
        <is>
          <t>MM</t>
        </is>
      </c>
      <c r="I4596" s="32" t="n">
        <v>3027.065</v>
      </c>
      <c r="K4596" s="32" t="inlineStr">
        <is>
          <t>20250514-24</t>
        </is>
      </c>
    </row>
    <row r="4597">
      <c r="A4597" s="32" t="n">
        <v>14</v>
      </c>
      <c r="B4597" s="32" t="inlineStr">
        <is>
          <t>SS1</t>
        </is>
      </c>
      <c r="D4597" s="32" t="n">
        <v>15.51</v>
      </c>
      <c r="E4597" s="32" t="n">
        <v>1884.13</v>
      </c>
      <c r="G4597" s="32" t="n">
        <v>44.19</v>
      </c>
      <c r="H4597" s="32" t="inlineStr">
        <is>
          <t>MM</t>
        </is>
      </c>
      <c r="I4597" s="32" t="n">
        <v>1884.13</v>
      </c>
      <c r="K4597" s="32" t="inlineStr">
        <is>
          <t>20250514-25</t>
        </is>
      </c>
    </row>
    <row r="4598">
      <c r="A4598" s="32" t="n">
        <v>15</v>
      </c>
      <c r="B4598" s="32" t="inlineStr">
        <is>
          <t>SS2</t>
        </is>
      </c>
      <c r="D4598" s="32" t="n">
        <v>15.52</v>
      </c>
      <c r="E4598" s="32" t="n">
        <v>2408.635</v>
      </c>
      <c r="G4598" s="32" t="n">
        <v>55.468</v>
      </c>
      <c r="H4598" s="32" t="inlineStr">
        <is>
          <t>MM</t>
        </is>
      </c>
      <c r="I4598" s="32" t="n">
        <v>2408.635</v>
      </c>
      <c r="K4598" s="32" t="inlineStr">
        <is>
          <t>20250514-26</t>
        </is>
      </c>
    </row>
    <row r="4599">
      <c r="A4599" s="32" t="n">
        <v>16</v>
      </c>
      <c r="B4599" s="32" t="inlineStr">
        <is>
          <t>SS3</t>
        </is>
      </c>
      <c r="D4599" s="32" t="n">
        <v>15.52</v>
      </c>
      <c r="E4599" s="32" t="n">
        <v>2091.666</v>
      </c>
      <c r="G4599" s="32" t="n">
        <v>32.604</v>
      </c>
      <c r="H4599" s="32" t="inlineStr">
        <is>
          <t>MM</t>
        </is>
      </c>
      <c r="I4599" s="32" t="n">
        <v>2091.666</v>
      </c>
      <c r="K4599" s="32" t="inlineStr">
        <is>
          <t>20250514-27</t>
        </is>
      </c>
    </row>
    <row r="4600">
      <c r="A4600" s="32" t="n">
        <v>17</v>
      </c>
      <c r="B4600" s="32" t="inlineStr">
        <is>
          <t>MeOH</t>
        </is>
      </c>
      <c r="K4600" s="32" t="inlineStr">
        <is>
          <t>20250514-28</t>
        </is>
      </c>
    </row>
    <row r="4601">
      <c r="A4601" s="32" t="n">
        <v>18</v>
      </c>
      <c r="B4601" s="32" t="inlineStr">
        <is>
          <t>K4-1A</t>
        </is>
      </c>
      <c r="D4601" s="32" t="n">
        <v>15.54</v>
      </c>
      <c r="E4601" s="32" t="n">
        <v>2980.241</v>
      </c>
      <c r="G4601" s="32" t="n">
        <v>100.352</v>
      </c>
      <c r="H4601" s="32" t="inlineStr">
        <is>
          <t>MM</t>
        </is>
      </c>
      <c r="I4601" s="32" t="n">
        <v>2980.241</v>
      </c>
      <c r="K4601" s="32" t="inlineStr">
        <is>
          <t>20250514-29</t>
        </is>
      </c>
    </row>
    <row r="4602">
      <c r="A4602" s="32" t="n">
        <v>19</v>
      </c>
      <c r="B4602" s="32" t="inlineStr">
        <is>
          <t>K4-1B</t>
        </is>
      </c>
      <c r="D4602" s="32" t="n">
        <v>15.54</v>
      </c>
      <c r="E4602" s="32" t="n">
        <v>3370.866</v>
      </c>
      <c r="G4602" s="32" t="n">
        <v>85.31</v>
      </c>
      <c r="H4602" s="32" t="inlineStr">
        <is>
          <t>MM</t>
        </is>
      </c>
      <c r="I4602" s="32" t="n">
        <v>3370.866</v>
      </c>
      <c r="K4602" s="32" t="inlineStr">
        <is>
          <t>20250514-30</t>
        </is>
      </c>
    </row>
    <row r="4603">
      <c r="A4603" s="32" t="n">
        <v>20</v>
      </c>
      <c r="B4603" s="32" t="inlineStr">
        <is>
          <t>K4-1C</t>
        </is>
      </c>
      <c r="D4603" s="32" t="n">
        <v>15.54</v>
      </c>
      <c r="E4603" s="32" t="n">
        <v>3902.349</v>
      </c>
      <c r="G4603" s="32" t="n">
        <v>159.28</v>
      </c>
      <c r="H4603" s="32" t="inlineStr">
        <is>
          <t>MM</t>
        </is>
      </c>
      <c r="I4603" s="32" t="n">
        <v>3902.349</v>
      </c>
      <c r="K4603" s="32" t="inlineStr">
        <is>
          <t>20250514-31</t>
        </is>
      </c>
    </row>
    <row r="4604">
      <c r="A4604" s="32" t="n">
        <v>21</v>
      </c>
      <c r="B4604" s="32" t="inlineStr">
        <is>
          <t>K4-2A</t>
        </is>
      </c>
      <c r="D4604" s="32" t="n">
        <v>15.54</v>
      </c>
      <c r="E4604" s="32" t="n">
        <v>2999.001</v>
      </c>
      <c r="G4604" s="32" t="n">
        <v>119.241</v>
      </c>
      <c r="H4604" s="32" t="inlineStr">
        <is>
          <t>MM</t>
        </is>
      </c>
      <c r="I4604" s="32" t="n">
        <v>2999.001</v>
      </c>
      <c r="K4604" s="32" t="inlineStr">
        <is>
          <t>20250514-32</t>
        </is>
      </c>
    </row>
    <row r="4605">
      <c r="A4605" s="32" t="n">
        <v>22</v>
      </c>
      <c r="B4605" s="32" t="inlineStr">
        <is>
          <t>K4-2B</t>
        </is>
      </c>
      <c r="D4605" s="32" t="n">
        <v>15.55</v>
      </c>
      <c r="E4605" s="32" t="n">
        <v>2762.308</v>
      </c>
      <c r="G4605" s="32" t="n">
        <v>409.216</v>
      </c>
      <c r="H4605" s="32" t="inlineStr">
        <is>
          <t>MM</t>
        </is>
      </c>
      <c r="I4605" s="32" t="n">
        <v>2762.308</v>
      </c>
      <c r="K4605" s="32" t="inlineStr">
        <is>
          <t>20250514-33</t>
        </is>
      </c>
    </row>
    <row r="4606">
      <c r="A4606" s="32" t="n">
        <v>23</v>
      </c>
      <c r="B4606" s="32" t="inlineStr">
        <is>
          <t>K4-2C</t>
        </is>
      </c>
      <c r="D4606" s="32" t="n">
        <v>15.55</v>
      </c>
      <c r="E4606" s="32" t="n">
        <v>2086.286</v>
      </c>
      <c r="G4606" s="32" t="n">
        <v>6.984</v>
      </c>
      <c r="H4606" s="32" t="inlineStr">
        <is>
          <t>MM</t>
        </is>
      </c>
      <c r="I4606" s="32" t="n">
        <v>2086.286</v>
      </c>
      <c r="K4606" s="32" t="inlineStr">
        <is>
          <t>20250514-34</t>
        </is>
      </c>
    </row>
    <row r="4607">
      <c r="A4607" s="32" t="n">
        <v>24</v>
      </c>
      <c r="B4607" s="32" t="inlineStr">
        <is>
          <t>MeOH</t>
        </is>
      </c>
      <c r="K4607" s="32" t="inlineStr">
        <is>
          <t>20250514-35</t>
        </is>
      </c>
    </row>
    <row r="4608">
      <c r="A4608" s="32" t="n">
        <v>25</v>
      </c>
      <c r="B4608" s="32" t="inlineStr">
        <is>
          <t>K4-4A</t>
        </is>
      </c>
      <c r="D4608" s="32" t="n">
        <v>15.58</v>
      </c>
      <c r="E4608" s="32" t="n">
        <v>3231.483</v>
      </c>
      <c r="G4608" s="32" t="n">
        <v>195.579</v>
      </c>
      <c r="H4608" s="32" t="inlineStr">
        <is>
          <t>MM</t>
        </is>
      </c>
      <c r="I4608" s="32" t="n">
        <v>3231.483</v>
      </c>
      <c r="K4608" s="32" t="inlineStr">
        <is>
          <t>20250514-36</t>
        </is>
      </c>
    </row>
    <row r="4609">
      <c r="A4609" s="32" t="n">
        <v>26</v>
      </c>
      <c r="B4609" s="32" t="inlineStr">
        <is>
          <t>K4-4B</t>
        </is>
      </c>
      <c r="D4609" s="32" t="n">
        <v>15.59</v>
      </c>
      <c r="E4609" s="32" t="n">
        <v>3018.695</v>
      </c>
      <c r="G4609" s="32" t="n">
        <v>21.743</v>
      </c>
      <c r="H4609" s="32" t="inlineStr">
        <is>
          <t>MM</t>
        </is>
      </c>
      <c r="I4609" s="32" t="n">
        <v>3018.695</v>
      </c>
      <c r="K4609" s="32" t="inlineStr">
        <is>
          <t>20250514-37</t>
        </is>
      </c>
    </row>
    <row r="4610">
      <c r="A4610" s="32" t="n">
        <v>27</v>
      </c>
      <c r="B4610" s="32" t="inlineStr">
        <is>
          <t>K4-4C</t>
        </is>
      </c>
      <c r="D4610" s="32" t="n">
        <v>15.58</v>
      </c>
      <c r="E4610" s="32" t="n">
        <v>3164.893</v>
      </c>
      <c r="G4610" s="32" t="n">
        <v>112.256</v>
      </c>
      <c r="H4610" s="32" t="inlineStr">
        <is>
          <t>MM</t>
        </is>
      </c>
      <c r="I4610" s="32" t="n">
        <v>3164.893</v>
      </c>
      <c r="K4610" s="32" t="inlineStr">
        <is>
          <t>20250514-38</t>
        </is>
      </c>
    </row>
    <row r="4611">
      <c r="A4611" s="32" t="n">
        <v>28</v>
      </c>
      <c r="B4611" s="32" t="inlineStr">
        <is>
          <t>K4-5A</t>
        </is>
      </c>
      <c r="D4611" s="32" t="n">
        <v>15.57</v>
      </c>
      <c r="E4611" s="32" t="n">
        <v>2396.031</v>
      </c>
      <c r="G4611" s="32" t="n">
        <v>16786</v>
      </c>
      <c r="H4611" s="32" t="inlineStr">
        <is>
          <t>MM</t>
        </is>
      </c>
      <c r="I4611" s="32" t="n">
        <v>2396.031</v>
      </c>
      <c r="K4611" s="32" t="inlineStr">
        <is>
          <t>20250514-39</t>
        </is>
      </c>
    </row>
    <row r="4612">
      <c r="A4612" s="32" t="n">
        <v>29</v>
      </c>
      <c r="B4612" s="32" t="inlineStr">
        <is>
          <t>K4-5B</t>
        </is>
      </c>
      <c r="D4612" s="32" t="n">
        <v>15.55</v>
      </c>
      <c r="E4612" s="32" t="n">
        <v>2349.692</v>
      </c>
      <c r="G4612" s="32" t="n">
        <v>222.307</v>
      </c>
      <c r="H4612" s="32" t="inlineStr">
        <is>
          <t>MM</t>
        </is>
      </c>
      <c r="I4612" s="32" t="n">
        <v>2349.692</v>
      </c>
      <c r="K4612" s="32" t="inlineStr">
        <is>
          <t>20250514-40</t>
        </is>
      </c>
    </row>
    <row r="4613">
      <c r="A4613" s="32" t="n">
        <v>30</v>
      </c>
      <c r="B4613" s="32" t="inlineStr">
        <is>
          <t>K4-5C</t>
        </is>
      </c>
      <c r="D4613" s="32" t="n">
        <v>15.51</v>
      </c>
      <c r="E4613" s="32" t="n">
        <v>2260.231</v>
      </c>
      <c r="G4613" s="32" t="n">
        <v>478.631</v>
      </c>
      <c r="H4613" s="32" t="inlineStr">
        <is>
          <t>MM</t>
        </is>
      </c>
      <c r="I4613" s="32" t="n">
        <v>2260.231</v>
      </c>
      <c r="K4613" s="32" t="inlineStr">
        <is>
          <t>20250514-41</t>
        </is>
      </c>
    </row>
    <row r="4614">
      <c r="A4614" s="32" t="n">
        <v>31</v>
      </c>
      <c r="B4614" s="32" t="inlineStr">
        <is>
          <t>MeOH</t>
        </is>
      </c>
      <c r="K4614" s="32" t="inlineStr">
        <is>
          <t>20250514-42</t>
        </is>
      </c>
    </row>
    <row r="4615">
      <c r="A4615" s="32" t="n">
        <v>32</v>
      </c>
      <c r="B4615" s="32" t="inlineStr">
        <is>
          <t>K3-1A</t>
        </is>
      </c>
      <c r="D4615" s="32" t="n">
        <v>15.49</v>
      </c>
      <c r="E4615" s="32" t="n">
        <v>3351.362</v>
      </c>
      <c r="G4615" s="32" t="n">
        <v>220.789</v>
      </c>
      <c r="H4615" s="32" t="inlineStr">
        <is>
          <t>MM</t>
        </is>
      </c>
      <c r="I4615" s="32" t="n">
        <v>3351.362</v>
      </c>
      <c r="K4615" s="32" t="inlineStr">
        <is>
          <t>20250514-43</t>
        </is>
      </c>
    </row>
    <row r="4616">
      <c r="A4616" s="32" t="n">
        <v>33</v>
      </c>
      <c r="B4616" s="32" t="inlineStr">
        <is>
          <t>K3-1B</t>
        </is>
      </c>
      <c r="D4616" s="32" t="n">
        <v>15.51</v>
      </c>
      <c r="E4616" s="32" t="n">
        <v>2810.073</v>
      </c>
      <c r="G4616" s="32" t="n">
        <v>27.443</v>
      </c>
      <c r="H4616" s="32" t="inlineStr">
        <is>
          <t>MM</t>
        </is>
      </c>
      <c r="I4616" s="32" t="n">
        <v>2810.073</v>
      </c>
      <c r="K4616" s="32" t="inlineStr">
        <is>
          <t>20250514-44</t>
        </is>
      </c>
    </row>
    <row r="4617">
      <c r="A4617" s="32" t="n">
        <v>34</v>
      </c>
      <c r="B4617" s="32" t="inlineStr">
        <is>
          <t>K3-1C</t>
        </is>
      </c>
      <c r="D4617" s="32" t="n">
        <v>15.52</v>
      </c>
      <c r="E4617" s="32" t="n">
        <v>4291.379</v>
      </c>
      <c r="G4617" s="32" t="n">
        <v>48.936</v>
      </c>
      <c r="H4617" s="32" t="inlineStr">
        <is>
          <t>MM</t>
        </is>
      </c>
      <c r="I4617" s="32" t="n">
        <v>4291.379</v>
      </c>
      <c r="K4617" s="32" t="inlineStr">
        <is>
          <t>20250514-45</t>
        </is>
      </c>
    </row>
    <row r="4618">
      <c r="A4618" s="32" t="n">
        <v>35</v>
      </c>
      <c r="B4618" s="32" t="inlineStr">
        <is>
          <t>K3-2A</t>
        </is>
      </c>
      <c r="D4618" s="32" t="n">
        <v>15.54</v>
      </c>
      <c r="E4618" s="32" t="n">
        <v>4321.14</v>
      </c>
      <c r="G4618" s="32" t="n">
        <v>74.63</v>
      </c>
      <c r="H4618" s="32" t="inlineStr">
        <is>
          <t>MM</t>
        </is>
      </c>
      <c r="I4618" s="32" t="n">
        <v>4321.14</v>
      </c>
      <c r="K4618" s="32" t="inlineStr">
        <is>
          <t>20250514-46</t>
        </is>
      </c>
    </row>
    <row r="4619">
      <c r="A4619" s="32" t="n">
        <v>36</v>
      </c>
      <c r="B4619" s="32" t="inlineStr">
        <is>
          <t>K3-2B</t>
        </is>
      </c>
      <c r="D4619" s="32" t="n">
        <v>15.54</v>
      </c>
      <c r="E4619" s="32" t="n">
        <v>4280.789</v>
      </c>
      <c r="G4619" s="32" t="n">
        <v>126.859</v>
      </c>
      <c r="H4619" s="32" t="inlineStr">
        <is>
          <t>MM</t>
        </is>
      </c>
      <c r="I4619" s="32" t="n">
        <v>4280.789</v>
      </c>
      <c r="K4619" s="32" t="inlineStr">
        <is>
          <t>20250514-47</t>
        </is>
      </c>
    </row>
    <row r="4620">
      <c r="A4620" s="32" t="n">
        <v>37</v>
      </c>
      <c r="B4620" s="32" t="inlineStr">
        <is>
          <t>K3-2C</t>
        </is>
      </c>
      <c r="D4620" s="32" t="n">
        <v>15.55</v>
      </c>
      <c r="E4620" s="32" t="n">
        <v>2980.863</v>
      </c>
      <c r="G4620" s="32" t="n">
        <v>267.727</v>
      </c>
      <c r="H4620" s="32" t="inlineStr">
        <is>
          <t>MM</t>
        </is>
      </c>
      <c r="I4620" s="32" t="n">
        <v>2980.863</v>
      </c>
      <c r="K4620" s="32" t="inlineStr">
        <is>
          <t>20250514-48</t>
        </is>
      </c>
    </row>
    <row r="4621">
      <c r="A4621" s="32" t="n">
        <v>38</v>
      </c>
      <c r="B4621" s="32" t="inlineStr">
        <is>
          <t>MeOH</t>
        </is>
      </c>
      <c r="K4621" s="32" t="inlineStr">
        <is>
          <t>20250514-49</t>
        </is>
      </c>
    </row>
    <row r="4622">
      <c r="A4622" s="32" t="n">
        <v>39</v>
      </c>
      <c r="B4622" s="32" t="inlineStr">
        <is>
          <t>K3-3A</t>
        </is>
      </c>
      <c r="D4622" s="32" t="n">
        <v>15.58</v>
      </c>
      <c r="E4622" s="32" t="n">
        <v>2909.243</v>
      </c>
      <c r="G4622" s="32" t="n">
        <v>39.052</v>
      </c>
      <c r="H4622" s="32" t="inlineStr">
        <is>
          <t>MM</t>
        </is>
      </c>
      <c r="I4622" s="32" t="n">
        <v>2909.243</v>
      </c>
      <c r="K4622" s="32" t="inlineStr">
        <is>
          <t>20250514-50</t>
        </is>
      </c>
    </row>
    <row r="4623">
      <c r="A4623" s="32" t="n">
        <v>40</v>
      </c>
      <c r="B4623" s="32" t="inlineStr">
        <is>
          <t>K3-3B</t>
        </is>
      </c>
      <c r="D4623" s="32" t="n">
        <v>15.6</v>
      </c>
      <c r="E4623" s="32" t="n">
        <v>2883.101</v>
      </c>
      <c r="G4623" s="32" t="n">
        <v>77.55500000000001</v>
      </c>
      <c r="H4623" s="32" t="inlineStr">
        <is>
          <t>MM</t>
        </is>
      </c>
      <c r="I4623" s="32" t="n">
        <v>2883.101</v>
      </c>
      <c r="K4623" s="32" t="inlineStr">
        <is>
          <t>20250514-51</t>
        </is>
      </c>
    </row>
    <row r="4624">
      <c r="A4624" s="32" t="n">
        <v>41</v>
      </c>
      <c r="B4624" s="32" t="inlineStr">
        <is>
          <t>K3-3C</t>
        </is>
      </c>
      <c r="D4624" s="32" t="n">
        <v>15.6</v>
      </c>
      <c r="E4624" s="32" t="n">
        <v>3432.578</v>
      </c>
      <c r="G4624" s="32" t="n">
        <v>39.77</v>
      </c>
      <c r="H4624" s="32" t="inlineStr">
        <is>
          <t>MM</t>
        </is>
      </c>
      <c r="I4624" s="32" t="n">
        <v>3432.578</v>
      </c>
      <c r="K4624" s="32" t="inlineStr">
        <is>
          <t>20250514-52</t>
        </is>
      </c>
    </row>
    <row r="4625">
      <c r="A4625" s="32" t="n">
        <v>42</v>
      </c>
      <c r="B4625" s="32" t="inlineStr">
        <is>
          <t>K3-4A</t>
        </is>
      </c>
      <c r="D4625" s="32" t="n">
        <v>15.63</v>
      </c>
      <c r="E4625" s="32" t="n">
        <v>4359.233</v>
      </c>
      <c r="G4625" s="32" t="n">
        <v>113.086</v>
      </c>
      <c r="H4625" s="32" t="inlineStr">
        <is>
          <t>MM</t>
        </is>
      </c>
      <c r="I4625" s="32" t="n">
        <v>4359.233</v>
      </c>
      <c r="K4625" s="32" t="inlineStr">
        <is>
          <t>20250514-53</t>
        </is>
      </c>
    </row>
    <row r="4626">
      <c r="A4626" s="32" t="n">
        <v>43</v>
      </c>
      <c r="B4626" s="32" t="inlineStr">
        <is>
          <t>K3-4B</t>
        </is>
      </c>
      <c r="D4626" s="32" t="n">
        <v>15.63</v>
      </c>
      <c r="E4626" s="32" t="n">
        <v>3811.07</v>
      </c>
      <c r="G4626" s="32" t="n">
        <v>74.06</v>
      </c>
      <c r="H4626" s="32" t="inlineStr">
        <is>
          <t>MM</t>
        </is>
      </c>
      <c r="I4626" s="32" t="n">
        <v>3811.07</v>
      </c>
      <c r="K4626" s="32" t="inlineStr">
        <is>
          <t>20250514-54</t>
        </is>
      </c>
    </row>
    <row r="4627">
      <c r="A4627" s="32" t="n">
        <v>44</v>
      </c>
      <c r="B4627" s="32" t="inlineStr">
        <is>
          <t>K3-4C</t>
        </is>
      </c>
      <c r="D4627" s="32" t="n">
        <v>15.66</v>
      </c>
      <c r="E4627" s="32" t="n">
        <v>2775.479</v>
      </c>
      <c r="G4627" s="32" t="n">
        <v>58.212</v>
      </c>
      <c r="H4627" s="32" t="inlineStr">
        <is>
          <t>MM</t>
        </is>
      </c>
      <c r="I4627" s="32" t="n">
        <v>2775.479</v>
      </c>
      <c r="K4627" s="32" t="inlineStr">
        <is>
          <t>20250514-55</t>
        </is>
      </c>
    </row>
    <row r="4628">
      <c r="A4628" s="32" t="n">
        <v>45</v>
      </c>
      <c r="B4628" s="32" t="inlineStr">
        <is>
          <t>MeOH</t>
        </is>
      </c>
      <c r="K4628" s="32" t="inlineStr">
        <is>
          <t>20250514-56</t>
        </is>
      </c>
    </row>
    <row r="4629">
      <c r="A4629" s="32" t="n">
        <v>46</v>
      </c>
      <c r="B4629" s="32" t="inlineStr">
        <is>
          <t>K3-6A</t>
        </is>
      </c>
      <c r="D4629" s="32" t="n">
        <v>15.68</v>
      </c>
      <c r="E4629" s="32" t="n">
        <v>3570.69</v>
      </c>
      <c r="G4629" s="32" t="n">
        <v>59.817</v>
      </c>
      <c r="H4629" s="32" t="inlineStr">
        <is>
          <t>MM</t>
        </is>
      </c>
      <c r="I4629" s="32" t="n">
        <v>3570.69</v>
      </c>
      <c r="K4629" s="32" t="inlineStr">
        <is>
          <t>20250514-57</t>
        </is>
      </c>
    </row>
    <row r="4630">
      <c r="A4630" s="32" t="n">
        <v>47</v>
      </c>
      <c r="B4630" s="32" t="inlineStr">
        <is>
          <t>K3-6B</t>
        </is>
      </c>
      <c r="D4630" s="32" t="n">
        <v>15.66</v>
      </c>
      <c r="E4630" s="32" t="n">
        <v>2033.517</v>
      </c>
      <c r="G4630" s="32" t="n">
        <v>133.77</v>
      </c>
      <c r="H4630" s="32" t="inlineStr">
        <is>
          <t>MM</t>
        </is>
      </c>
      <c r="I4630" s="32" t="n">
        <v>2033.517</v>
      </c>
      <c r="K4630" s="32" t="inlineStr">
        <is>
          <t>20250514-58</t>
        </is>
      </c>
    </row>
    <row r="4631">
      <c r="A4631" s="32" t="n">
        <v>48</v>
      </c>
      <c r="B4631" s="32" t="inlineStr">
        <is>
          <t>K3-6C</t>
        </is>
      </c>
      <c r="D4631" s="32" t="n">
        <v>15.63</v>
      </c>
      <c r="E4631" s="32" t="n">
        <v>2555.578</v>
      </c>
      <c r="G4631" s="32" t="n">
        <v>81.527</v>
      </c>
      <c r="H4631" s="32" t="inlineStr">
        <is>
          <t>MM</t>
        </is>
      </c>
      <c r="I4631" s="32" t="n">
        <v>2555.578</v>
      </c>
      <c r="K4631" s="32" t="inlineStr">
        <is>
          <t>20250514-59</t>
        </is>
      </c>
    </row>
    <row r="4633">
      <c r="A4633" s="32" t="inlineStr">
        <is>
          <t>Compound 90:  m3 N-MeFOSA 2</t>
        </is>
      </c>
    </row>
    <row r="4635">
      <c r="B4635" s="32" t="inlineStr">
        <is>
          <t>Sample Text</t>
        </is>
      </c>
      <c r="C4635" s="32" t="inlineStr">
        <is>
          <t>Std. Conc</t>
        </is>
      </c>
      <c r="D4635" s="32" t="inlineStr">
        <is>
          <t>RT</t>
        </is>
      </c>
      <c r="E4635" s="32" t="inlineStr">
        <is>
          <t>Area</t>
        </is>
      </c>
      <c r="F4635" s="32" t="inlineStr">
        <is>
          <t>IS Area</t>
        </is>
      </c>
      <c r="G4635" s="32" t="inlineStr">
        <is>
          <t>S/N</t>
        </is>
      </c>
      <c r="H4635" s="32" t="inlineStr">
        <is>
          <t>Primary Flags</t>
        </is>
      </c>
      <c r="I4635" s="32" t="inlineStr">
        <is>
          <t>Response</t>
        </is>
      </c>
      <c r="J4635" s="32" t="inlineStr">
        <is>
          <t>Conc.</t>
        </is>
      </c>
      <c r="K4635" s="32" t="inlineStr">
        <is>
          <t>Name</t>
        </is>
      </c>
    </row>
    <row r="4636">
      <c r="A4636" s="32" t="n">
        <v>1</v>
      </c>
      <c r="B4636" s="32" t="inlineStr">
        <is>
          <t>EPA1633 &amp; diPAPs Calibration 0 ppb</t>
        </is>
      </c>
      <c r="D4636" s="32" t="n">
        <v>15.42</v>
      </c>
      <c r="E4636" s="32" t="n">
        <v>7975.143</v>
      </c>
      <c r="G4636" s="32" t="n">
        <v>53993</v>
      </c>
      <c r="H4636" s="32" t="inlineStr">
        <is>
          <t>MM</t>
        </is>
      </c>
      <c r="I4636" s="32" t="n">
        <v>7975.143</v>
      </c>
      <c r="K4636" s="32" t="inlineStr">
        <is>
          <t>20250514-12</t>
        </is>
      </c>
    </row>
    <row r="4637">
      <c r="A4637" s="32" t="n">
        <v>2</v>
      </c>
      <c r="B4637" s="32" t="inlineStr">
        <is>
          <t>EPA1633 &amp; diPAPs Calibration 0.02 ppb</t>
        </is>
      </c>
      <c r="D4637" s="32" t="n">
        <v>15.46</v>
      </c>
      <c r="E4637" s="32" t="n">
        <v>7630.099</v>
      </c>
      <c r="G4637" s="32" t="n">
        <v>297.439</v>
      </c>
      <c r="H4637" s="32" t="inlineStr">
        <is>
          <t>MM</t>
        </is>
      </c>
      <c r="I4637" s="32" t="n">
        <v>7630.099</v>
      </c>
      <c r="K4637" s="32" t="inlineStr">
        <is>
          <t>20250514-13</t>
        </is>
      </c>
    </row>
    <row r="4638">
      <c r="A4638" s="32" t="n">
        <v>3</v>
      </c>
      <c r="B4638" s="32" t="inlineStr">
        <is>
          <t>EPA1633 &amp; diPAPs Calibration 0.1 ppb</t>
        </is>
      </c>
      <c r="D4638" s="32" t="n">
        <v>15.46</v>
      </c>
      <c r="E4638" s="32" t="n">
        <v>8112.798</v>
      </c>
      <c r="G4638" s="32" t="n">
        <v>366.29</v>
      </c>
      <c r="H4638" s="32" t="inlineStr">
        <is>
          <t>MM</t>
        </is>
      </c>
      <c r="I4638" s="32" t="n">
        <v>8112.798</v>
      </c>
      <c r="K4638" s="32" t="inlineStr">
        <is>
          <t>20250514-14</t>
        </is>
      </c>
    </row>
    <row r="4639">
      <c r="A4639" s="32" t="n">
        <v>4</v>
      </c>
      <c r="B4639" s="32" t="inlineStr">
        <is>
          <t>EPA1633 &amp; diPAPs Calibration 0.4 ppb</t>
        </is>
      </c>
      <c r="D4639" s="32" t="n">
        <v>15.46</v>
      </c>
      <c r="E4639" s="32" t="n">
        <v>6439.29</v>
      </c>
      <c r="G4639" s="32" t="n">
        <v>259.03</v>
      </c>
      <c r="H4639" s="32" t="inlineStr">
        <is>
          <t>MM</t>
        </is>
      </c>
      <c r="I4639" s="32" t="n">
        <v>6439.29</v>
      </c>
      <c r="K4639" s="32" t="inlineStr">
        <is>
          <t>20250514-15</t>
        </is>
      </c>
    </row>
    <row r="4640">
      <c r="A4640" s="32" t="n">
        <v>5</v>
      </c>
      <c r="B4640" s="32" t="inlineStr">
        <is>
          <t>EPA1633 &amp; diPAPs Calibration 1 ppb</t>
        </is>
      </c>
      <c r="D4640" s="32" t="n">
        <v>15.44</v>
      </c>
      <c r="E4640" s="32" t="n">
        <v>8406.959000000001</v>
      </c>
      <c r="G4640" s="32" t="n">
        <v>55887</v>
      </c>
      <c r="H4640" s="32" t="inlineStr">
        <is>
          <t>MM</t>
        </is>
      </c>
      <c r="I4640" s="32" t="n">
        <v>8406.959000000001</v>
      </c>
      <c r="K4640" s="32" t="inlineStr">
        <is>
          <t>20250514-16</t>
        </is>
      </c>
    </row>
    <row r="4641">
      <c r="A4641" s="32" t="n">
        <v>6</v>
      </c>
      <c r="B4641" s="32" t="inlineStr">
        <is>
          <t>EPA1633 &amp; diPAPs Calibration 5 ppb</t>
        </is>
      </c>
      <c r="D4641" s="32" t="n">
        <v>15.41</v>
      </c>
      <c r="E4641" s="32" t="n">
        <v>7936.719</v>
      </c>
      <c r="G4641" s="32" t="n">
        <v>293.505</v>
      </c>
      <c r="H4641" s="32" t="inlineStr">
        <is>
          <t>MM</t>
        </is>
      </c>
      <c r="I4641" s="32" t="n">
        <v>7936.719</v>
      </c>
      <c r="K4641" s="32" t="inlineStr">
        <is>
          <t>20250514-17</t>
        </is>
      </c>
    </row>
    <row r="4642">
      <c r="A4642" s="32" t="n">
        <v>7</v>
      </c>
      <c r="B4642" s="32" t="inlineStr">
        <is>
          <t>EPA1633 &amp; diPAPs Calibration 10 ppb</t>
        </is>
      </c>
      <c r="D4642" s="32" t="n">
        <v>15.43</v>
      </c>
      <c r="E4642" s="32" t="n">
        <v>6568.578</v>
      </c>
      <c r="G4642" s="32" t="n">
        <v>100.973</v>
      </c>
      <c r="H4642" s="32" t="inlineStr">
        <is>
          <t>MM</t>
        </is>
      </c>
      <c r="I4642" s="32" t="n">
        <v>6568.578</v>
      </c>
      <c r="K4642" s="32" t="inlineStr">
        <is>
          <t>20250514-18</t>
        </is>
      </c>
    </row>
    <row r="4643">
      <c r="A4643" s="32" t="n">
        <v>8</v>
      </c>
      <c r="B4643" s="32" t="inlineStr">
        <is>
          <t>EPA1633 &amp; diPAPs Calibration 20 ppb</t>
        </is>
      </c>
      <c r="D4643" s="32" t="n">
        <v>15.44</v>
      </c>
      <c r="E4643" s="32" t="n">
        <v>7690.905</v>
      </c>
      <c r="G4643" s="32" t="n">
        <v>93.628</v>
      </c>
      <c r="H4643" s="32" t="inlineStr">
        <is>
          <t>MM</t>
        </is>
      </c>
      <c r="I4643" s="32" t="n">
        <v>7690.905</v>
      </c>
      <c r="K4643" s="32" t="inlineStr">
        <is>
          <t>20250514-19</t>
        </is>
      </c>
    </row>
    <row r="4644">
      <c r="A4644" s="32" t="n">
        <v>9</v>
      </c>
      <c r="B4644" s="32" t="inlineStr">
        <is>
          <t>MeOH</t>
        </is>
      </c>
      <c r="K4644" s="32" t="inlineStr">
        <is>
          <t>20250514-20</t>
        </is>
      </c>
    </row>
    <row r="4645">
      <c r="A4645" s="32" t="n">
        <v>10</v>
      </c>
      <c r="B4645" s="32" t="inlineStr">
        <is>
          <t>MeOH</t>
        </is>
      </c>
      <c r="K4645" s="32" t="inlineStr">
        <is>
          <t>20250514-21</t>
        </is>
      </c>
    </row>
    <row r="4646">
      <c r="A4646" s="32" t="n">
        <v>11</v>
      </c>
      <c r="B4646" s="32" t="inlineStr">
        <is>
          <t>SB1</t>
        </is>
      </c>
      <c r="D4646" s="32" t="n">
        <v>15.47</v>
      </c>
      <c r="E4646" s="32" t="n">
        <v>2308.701</v>
      </c>
      <c r="G4646" s="32" t="n">
        <v>46.56</v>
      </c>
      <c r="H4646" s="32" t="inlineStr">
        <is>
          <t>MM</t>
        </is>
      </c>
      <c r="I4646" s="32" t="n">
        <v>2308.701</v>
      </c>
      <c r="K4646" s="32" t="inlineStr">
        <is>
          <t>20250514-22</t>
        </is>
      </c>
    </row>
    <row r="4647">
      <c r="A4647" s="32" t="n">
        <v>12</v>
      </c>
      <c r="B4647" s="32" t="inlineStr">
        <is>
          <t>SB2</t>
        </is>
      </c>
      <c r="D4647" s="32" t="n">
        <v>15.49</v>
      </c>
      <c r="E4647" s="32" t="n">
        <v>2165.114</v>
      </c>
      <c r="G4647" s="32" t="n">
        <v>15398</v>
      </c>
      <c r="H4647" s="32" t="inlineStr">
        <is>
          <t>MM</t>
        </is>
      </c>
      <c r="I4647" s="32" t="n">
        <v>2165.114</v>
      </c>
      <c r="K4647" s="32" t="inlineStr">
        <is>
          <t>20250514-23</t>
        </is>
      </c>
    </row>
    <row r="4648">
      <c r="A4648" s="32" t="n">
        <v>13</v>
      </c>
      <c r="B4648" s="32" t="inlineStr">
        <is>
          <t>SB3</t>
        </is>
      </c>
      <c r="D4648" s="32" t="n">
        <v>15.49</v>
      </c>
      <c r="E4648" s="32" t="n">
        <v>2182.55</v>
      </c>
      <c r="G4648" s="32" t="n">
        <v>298.298</v>
      </c>
      <c r="H4648" s="32" t="inlineStr">
        <is>
          <t>MM</t>
        </is>
      </c>
      <c r="I4648" s="32" t="n">
        <v>2182.55</v>
      </c>
      <c r="K4648" s="32" t="inlineStr">
        <is>
          <t>20250514-24</t>
        </is>
      </c>
    </row>
    <row r="4649">
      <c r="A4649" s="32" t="n">
        <v>14</v>
      </c>
      <c r="B4649" s="32" t="inlineStr">
        <is>
          <t>SS1</t>
        </is>
      </c>
      <c r="D4649" s="32" t="n">
        <v>15.51</v>
      </c>
      <c r="E4649" s="32" t="n">
        <v>1848.181</v>
      </c>
      <c r="G4649" s="32" t="n">
        <v>38.993</v>
      </c>
      <c r="H4649" s="32" t="inlineStr">
        <is>
          <t>MM</t>
        </is>
      </c>
      <c r="I4649" s="32" t="n">
        <v>1848.181</v>
      </c>
      <c r="K4649" s="32" t="inlineStr">
        <is>
          <t>20250514-25</t>
        </is>
      </c>
    </row>
    <row r="4650">
      <c r="A4650" s="32" t="n">
        <v>15</v>
      </c>
      <c r="B4650" s="32" t="inlineStr">
        <is>
          <t>SS2</t>
        </is>
      </c>
      <c r="D4650" s="32" t="n">
        <v>15.52</v>
      </c>
      <c r="E4650" s="32" t="n">
        <v>2620.178</v>
      </c>
      <c r="G4650" s="32" t="n">
        <v>17952</v>
      </c>
      <c r="H4650" s="32" t="inlineStr">
        <is>
          <t>MM</t>
        </is>
      </c>
      <c r="I4650" s="32" t="n">
        <v>2620.178</v>
      </c>
      <c r="K4650" s="32" t="inlineStr">
        <is>
          <t>20250514-26</t>
        </is>
      </c>
    </row>
    <row r="4651">
      <c r="A4651" s="32" t="n">
        <v>16</v>
      </c>
      <c r="B4651" s="32" t="inlineStr">
        <is>
          <t>SS3</t>
        </is>
      </c>
      <c r="D4651" s="32" t="n">
        <v>15.54</v>
      </c>
      <c r="E4651" s="32" t="n">
        <v>2017.748</v>
      </c>
      <c r="G4651" s="32" t="n">
        <v>72.788</v>
      </c>
      <c r="H4651" s="32" t="inlineStr">
        <is>
          <t>MM</t>
        </is>
      </c>
      <c r="I4651" s="32" t="n">
        <v>2017.748</v>
      </c>
      <c r="K4651" s="32" t="inlineStr">
        <is>
          <t>20250514-27</t>
        </is>
      </c>
    </row>
    <row r="4652">
      <c r="A4652" s="32" t="n">
        <v>17</v>
      </c>
      <c r="B4652" s="32" t="inlineStr">
        <is>
          <t>MeOH</t>
        </is>
      </c>
      <c r="K4652" s="32" t="inlineStr">
        <is>
          <t>20250514-28</t>
        </is>
      </c>
    </row>
    <row r="4653">
      <c r="A4653" s="32" t="n">
        <v>18</v>
      </c>
      <c r="B4653" s="32" t="inlineStr">
        <is>
          <t>K4-1A</t>
        </is>
      </c>
      <c r="D4653" s="32" t="n">
        <v>15.54</v>
      </c>
      <c r="E4653" s="32" t="n">
        <v>3576.972</v>
      </c>
      <c r="G4653" s="32" t="n">
        <v>366.433</v>
      </c>
      <c r="H4653" s="32" t="inlineStr">
        <is>
          <t>MM</t>
        </is>
      </c>
      <c r="I4653" s="32" t="n">
        <v>3576.972</v>
      </c>
      <c r="K4653" s="32" t="inlineStr">
        <is>
          <t>20250514-29</t>
        </is>
      </c>
    </row>
    <row r="4654">
      <c r="A4654" s="32" t="n">
        <v>19</v>
      </c>
      <c r="B4654" s="32" t="inlineStr">
        <is>
          <t>K4-1B</t>
        </is>
      </c>
      <c r="D4654" s="32" t="n">
        <v>15.54</v>
      </c>
      <c r="E4654" s="32" t="n">
        <v>3118.307</v>
      </c>
      <c r="G4654" s="32" t="n">
        <v>21602</v>
      </c>
      <c r="H4654" s="32" t="inlineStr">
        <is>
          <t>MM</t>
        </is>
      </c>
      <c r="I4654" s="32" t="n">
        <v>3118.307</v>
      </c>
      <c r="K4654" s="32" t="inlineStr">
        <is>
          <t>20250514-30</t>
        </is>
      </c>
    </row>
    <row r="4655">
      <c r="A4655" s="32" t="n">
        <v>20</v>
      </c>
      <c r="B4655" s="32" t="inlineStr">
        <is>
          <t>K4-1C</t>
        </is>
      </c>
      <c r="D4655" s="32" t="n">
        <v>15.54</v>
      </c>
      <c r="E4655" s="32" t="n">
        <v>2946.94</v>
      </c>
      <c r="G4655" s="32" t="n">
        <v>81.80800000000001</v>
      </c>
      <c r="H4655" s="32" t="inlineStr">
        <is>
          <t>MM</t>
        </is>
      </c>
      <c r="I4655" s="32" t="n">
        <v>2946.94</v>
      </c>
      <c r="K4655" s="32" t="inlineStr">
        <is>
          <t>20250514-31</t>
        </is>
      </c>
    </row>
    <row r="4656">
      <c r="A4656" s="32" t="n">
        <v>21</v>
      </c>
      <c r="B4656" s="32" t="inlineStr">
        <is>
          <t>K4-2A</t>
        </is>
      </c>
      <c r="D4656" s="32" t="n">
        <v>15.55</v>
      </c>
      <c r="E4656" s="32" t="n">
        <v>3074.579</v>
      </c>
      <c r="G4656" s="32" t="n">
        <v>20919</v>
      </c>
      <c r="H4656" s="32" t="inlineStr">
        <is>
          <t>MM</t>
        </is>
      </c>
      <c r="I4656" s="32" t="n">
        <v>3074.579</v>
      </c>
      <c r="K4656" s="32" t="inlineStr">
        <is>
          <t>20250514-32</t>
        </is>
      </c>
    </row>
    <row r="4657">
      <c r="A4657" s="32" t="n">
        <v>22</v>
      </c>
      <c r="B4657" s="32" t="inlineStr">
        <is>
          <t>K4-2B</t>
        </is>
      </c>
      <c r="D4657" s="32" t="n">
        <v>15.55</v>
      </c>
      <c r="E4657" s="32" t="n">
        <v>2609.725</v>
      </c>
      <c r="G4657" s="32" t="n">
        <v>101.702</v>
      </c>
      <c r="H4657" s="32" t="inlineStr">
        <is>
          <t>MM</t>
        </is>
      </c>
      <c r="I4657" s="32" t="n">
        <v>2609.725</v>
      </c>
      <c r="K4657" s="32" t="inlineStr">
        <is>
          <t>20250514-33</t>
        </is>
      </c>
    </row>
    <row r="4658">
      <c r="A4658" s="32" t="n">
        <v>23</v>
      </c>
      <c r="B4658" s="32" t="inlineStr">
        <is>
          <t>K4-2C</t>
        </is>
      </c>
      <c r="D4658" s="32" t="n">
        <v>15.55</v>
      </c>
      <c r="E4658" s="32" t="n">
        <v>2157.64</v>
      </c>
      <c r="G4658" s="32" t="n">
        <v>14198</v>
      </c>
      <c r="H4658" s="32" t="inlineStr">
        <is>
          <t>MM</t>
        </is>
      </c>
      <c r="I4658" s="32" t="n">
        <v>2157.64</v>
      </c>
      <c r="K4658" s="32" t="inlineStr">
        <is>
          <t>20250514-34</t>
        </is>
      </c>
    </row>
    <row r="4659">
      <c r="A4659" s="32" t="n">
        <v>24</v>
      </c>
      <c r="B4659" s="32" t="inlineStr">
        <is>
          <t>MeOH</t>
        </is>
      </c>
      <c r="K4659" s="32" t="inlineStr">
        <is>
          <t>20250514-35</t>
        </is>
      </c>
    </row>
    <row r="4660">
      <c r="A4660" s="32" t="n">
        <v>25</v>
      </c>
      <c r="B4660" s="32" t="inlineStr">
        <is>
          <t>K4-4A</t>
        </is>
      </c>
      <c r="D4660" s="32" t="n">
        <v>15.57</v>
      </c>
      <c r="E4660" s="32" t="n">
        <v>2851.386</v>
      </c>
      <c r="G4660" s="32" t="n">
        <v>39.835</v>
      </c>
      <c r="H4660" s="32" t="inlineStr">
        <is>
          <t>MM</t>
        </is>
      </c>
      <c r="I4660" s="32" t="n">
        <v>2851.386</v>
      </c>
      <c r="K4660" s="32" t="inlineStr">
        <is>
          <t>20250514-36</t>
        </is>
      </c>
    </row>
    <row r="4661">
      <c r="A4661" s="32" t="n">
        <v>26</v>
      </c>
      <c r="B4661" s="32" t="inlineStr">
        <is>
          <t>K4-4B</t>
        </is>
      </c>
      <c r="D4661" s="32" t="n">
        <v>15.59</v>
      </c>
      <c r="E4661" s="32" t="n">
        <v>3255.363</v>
      </c>
      <c r="G4661" s="32" t="n">
        <v>23246</v>
      </c>
      <c r="H4661" s="32" t="inlineStr">
        <is>
          <t>MM</t>
        </is>
      </c>
      <c r="I4661" s="32" t="n">
        <v>3255.363</v>
      </c>
      <c r="K4661" s="32" t="inlineStr">
        <is>
          <t>20250514-37</t>
        </is>
      </c>
    </row>
    <row r="4662">
      <c r="A4662" s="32" t="n">
        <v>27</v>
      </c>
      <c r="B4662" s="32" t="inlineStr">
        <is>
          <t>K4-4C</t>
        </is>
      </c>
      <c r="D4662" s="32" t="n">
        <v>15.57</v>
      </c>
      <c r="E4662" s="32" t="n">
        <v>3643.319</v>
      </c>
      <c r="G4662" s="32" t="n">
        <v>143.165</v>
      </c>
      <c r="H4662" s="32" t="inlineStr">
        <is>
          <t>MM</t>
        </is>
      </c>
      <c r="I4662" s="32" t="n">
        <v>3643.319</v>
      </c>
      <c r="K4662" s="32" t="inlineStr">
        <is>
          <t>20250514-38</t>
        </is>
      </c>
    </row>
    <row r="4663">
      <c r="A4663" s="32" t="n">
        <v>28</v>
      </c>
      <c r="B4663" s="32" t="inlineStr">
        <is>
          <t>K4-5A</t>
        </is>
      </c>
      <c r="D4663" s="32" t="n">
        <v>15.57</v>
      </c>
      <c r="E4663" s="32" t="n">
        <v>2703.768</v>
      </c>
      <c r="G4663" s="32" t="n">
        <v>273.236</v>
      </c>
      <c r="H4663" s="32" t="inlineStr">
        <is>
          <t>MM</t>
        </is>
      </c>
      <c r="I4663" s="32" t="n">
        <v>2703.768</v>
      </c>
      <c r="K4663" s="32" t="inlineStr">
        <is>
          <t>20250514-39</t>
        </is>
      </c>
    </row>
    <row r="4664">
      <c r="A4664" s="32" t="n">
        <v>29</v>
      </c>
      <c r="B4664" s="32" t="inlineStr">
        <is>
          <t>K4-5B</t>
        </is>
      </c>
      <c r="D4664" s="32" t="n">
        <v>15.55</v>
      </c>
      <c r="E4664" s="32" t="n">
        <v>2813.002</v>
      </c>
      <c r="G4664" s="32" t="n">
        <v>17.25</v>
      </c>
      <c r="H4664" s="32" t="inlineStr">
        <is>
          <t>MM</t>
        </is>
      </c>
      <c r="I4664" s="32" t="n">
        <v>2813.002</v>
      </c>
      <c r="K4664" s="32" t="inlineStr">
        <is>
          <t>20250514-40</t>
        </is>
      </c>
    </row>
    <row r="4665">
      <c r="A4665" s="32" t="n">
        <v>30</v>
      </c>
      <c r="B4665" s="32" t="inlineStr">
        <is>
          <t>K4-5C</t>
        </is>
      </c>
      <c r="D4665" s="32" t="n">
        <v>15.51</v>
      </c>
      <c r="E4665" s="32" t="n">
        <v>2276.678</v>
      </c>
      <c r="G4665" s="32" t="n">
        <v>1750.728</v>
      </c>
      <c r="H4665" s="32" t="inlineStr">
        <is>
          <t>MM</t>
        </is>
      </c>
      <c r="I4665" s="32" t="n">
        <v>2276.678</v>
      </c>
      <c r="K4665" s="32" t="inlineStr">
        <is>
          <t>20250514-41</t>
        </is>
      </c>
    </row>
    <row r="4666">
      <c r="A4666" s="32" t="n">
        <v>31</v>
      </c>
      <c r="B4666" s="32" t="inlineStr">
        <is>
          <t>MeOH</t>
        </is>
      </c>
      <c r="K4666" s="32" t="inlineStr">
        <is>
          <t>20250514-42</t>
        </is>
      </c>
    </row>
    <row r="4667">
      <c r="A4667" s="32" t="n">
        <v>32</v>
      </c>
      <c r="B4667" s="32" t="inlineStr">
        <is>
          <t>K3-1A</t>
        </is>
      </c>
      <c r="D4667" s="32" t="n">
        <v>15.48</v>
      </c>
      <c r="E4667" s="32" t="n">
        <v>2220.878</v>
      </c>
      <c r="G4667" s="32" t="n">
        <v>87.422</v>
      </c>
      <c r="H4667" s="32" t="inlineStr">
        <is>
          <t>MM</t>
        </is>
      </c>
      <c r="I4667" s="32" t="n">
        <v>2220.878</v>
      </c>
      <c r="K4667" s="32" t="inlineStr">
        <is>
          <t>20250514-43</t>
        </is>
      </c>
    </row>
    <row r="4668">
      <c r="A4668" s="32" t="n">
        <v>33</v>
      </c>
      <c r="B4668" s="32" t="inlineStr">
        <is>
          <t>K3-1B</t>
        </is>
      </c>
      <c r="D4668" s="32" t="n">
        <v>15.49</v>
      </c>
      <c r="E4668" s="32" t="n">
        <v>2718.828</v>
      </c>
      <c r="G4668" s="32" t="n">
        <v>37.47</v>
      </c>
      <c r="H4668" s="32" t="inlineStr">
        <is>
          <t>MM</t>
        </is>
      </c>
      <c r="I4668" s="32" t="n">
        <v>2718.828</v>
      </c>
      <c r="K4668" s="32" t="inlineStr">
        <is>
          <t>20250514-44</t>
        </is>
      </c>
    </row>
    <row r="4669">
      <c r="A4669" s="32" t="n">
        <v>34</v>
      </c>
      <c r="B4669" s="32" t="inlineStr">
        <is>
          <t>K3-1C</t>
        </is>
      </c>
      <c r="D4669" s="32" t="n">
        <v>15.52</v>
      </c>
      <c r="E4669" s="32" t="n">
        <v>3063.519</v>
      </c>
      <c r="G4669" s="32" t="n">
        <v>58.386</v>
      </c>
      <c r="H4669" s="32" t="inlineStr">
        <is>
          <t>MM</t>
        </is>
      </c>
      <c r="I4669" s="32" t="n">
        <v>3063.519</v>
      </c>
      <c r="K4669" s="32" t="inlineStr">
        <is>
          <t>20250514-45</t>
        </is>
      </c>
    </row>
    <row r="4670">
      <c r="A4670" s="32" t="n">
        <v>35</v>
      </c>
      <c r="B4670" s="32" t="inlineStr">
        <is>
          <t>K3-2A</t>
        </is>
      </c>
      <c r="D4670" s="32" t="n">
        <v>15.54</v>
      </c>
      <c r="E4670" s="32" t="n">
        <v>3613.214</v>
      </c>
      <c r="G4670" s="32" t="n">
        <v>143.81</v>
      </c>
      <c r="H4670" s="32" t="inlineStr">
        <is>
          <t>MM</t>
        </is>
      </c>
      <c r="I4670" s="32" t="n">
        <v>3613.214</v>
      </c>
      <c r="K4670" s="32" t="inlineStr">
        <is>
          <t>20250514-46</t>
        </is>
      </c>
    </row>
    <row r="4671">
      <c r="A4671" s="32" t="n">
        <v>36</v>
      </c>
      <c r="B4671" s="32" t="inlineStr">
        <is>
          <t>K3-2B</t>
        </is>
      </c>
      <c r="D4671" s="32" t="n">
        <v>15.54</v>
      </c>
      <c r="E4671" s="32" t="n">
        <v>3882.148</v>
      </c>
      <c r="G4671" s="32" t="n">
        <v>164.498</v>
      </c>
      <c r="H4671" s="32" t="inlineStr">
        <is>
          <t>MM</t>
        </is>
      </c>
      <c r="I4671" s="32" t="n">
        <v>3882.148</v>
      </c>
      <c r="K4671" s="32" t="inlineStr">
        <is>
          <t>20250514-47</t>
        </is>
      </c>
    </row>
    <row r="4672">
      <c r="A4672" s="32" t="n">
        <v>37</v>
      </c>
      <c r="B4672" s="32" t="inlineStr">
        <is>
          <t>K3-2C</t>
        </is>
      </c>
      <c r="D4672" s="32" t="n">
        <v>15.55</v>
      </c>
      <c r="E4672" s="32" t="n">
        <v>3281.956</v>
      </c>
      <c r="G4672" s="32" t="n">
        <v>57.56</v>
      </c>
      <c r="H4672" s="32" t="inlineStr">
        <is>
          <t>MM</t>
        </is>
      </c>
      <c r="I4672" s="32" t="n">
        <v>3281.956</v>
      </c>
      <c r="K4672" s="32" t="inlineStr">
        <is>
          <t>20250514-48</t>
        </is>
      </c>
    </row>
    <row r="4673">
      <c r="A4673" s="32" t="n">
        <v>38</v>
      </c>
      <c r="B4673" s="32" t="inlineStr">
        <is>
          <t>MeOH</t>
        </is>
      </c>
      <c r="K4673" s="32" t="inlineStr">
        <is>
          <t>20250514-49</t>
        </is>
      </c>
    </row>
    <row r="4674">
      <c r="A4674" s="32" t="n">
        <v>39</v>
      </c>
      <c r="B4674" s="32" t="inlineStr">
        <is>
          <t>K3-3A</t>
        </is>
      </c>
      <c r="D4674" s="32" t="n">
        <v>15.58</v>
      </c>
      <c r="E4674" s="32" t="n">
        <v>3039.249</v>
      </c>
      <c r="G4674" s="32" t="n">
        <v>125.615</v>
      </c>
      <c r="H4674" s="32" t="inlineStr">
        <is>
          <t>MM</t>
        </is>
      </c>
      <c r="I4674" s="32" t="n">
        <v>3039.249</v>
      </c>
      <c r="K4674" s="32" t="inlineStr">
        <is>
          <t>20250514-50</t>
        </is>
      </c>
    </row>
    <row r="4675">
      <c r="A4675" s="32" t="n">
        <v>40</v>
      </c>
      <c r="B4675" s="32" t="inlineStr">
        <is>
          <t>K3-3B</t>
        </is>
      </c>
      <c r="D4675" s="32" t="n">
        <v>15.6</v>
      </c>
      <c r="E4675" s="32" t="n">
        <v>2425.191</v>
      </c>
      <c r="G4675" s="32" t="n">
        <v>60.846</v>
      </c>
      <c r="H4675" s="32" t="inlineStr">
        <is>
          <t>MM</t>
        </is>
      </c>
      <c r="I4675" s="32" t="n">
        <v>2425.191</v>
      </c>
      <c r="K4675" s="32" t="inlineStr">
        <is>
          <t>20250514-51</t>
        </is>
      </c>
    </row>
    <row r="4676">
      <c r="A4676" s="32" t="n">
        <v>41</v>
      </c>
      <c r="B4676" s="32" t="inlineStr">
        <is>
          <t>K3-3C</t>
        </is>
      </c>
      <c r="D4676" s="32" t="n">
        <v>15.6</v>
      </c>
      <c r="E4676" s="32" t="n">
        <v>2943.477</v>
      </c>
      <c r="G4676" s="32" t="n">
        <v>19995</v>
      </c>
      <c r="H4676" s="32" t="inlineStr">
        <is>
          <t>MM</t>
        </is>
      </c>
      <c r="I4676" s="32" t="n">
        <v>2943.477</v>
      </c>
      <c r="K4676" s="32" t="inlineStr">
        <is>
          <t>20250514-52</t>
        </is>
      </c>
    </row>
    <row r="4677">
      <c r="A4677" s="32" t="n">
        <v>42</v>
      </c>
      <c r="B4677" s="32" t="inlineStr">
        <is>
          <t>K3-4A</t>
        </is>
      </c>
      <c r="D4677" s="32" t="n">
        <v>15.65</v>
      </c>
      <c r="E4677" s="32" t="n">
        <v>3418.142</v>
      </c>
      <c r="G4677" s="32" t="n">
        <v>196.843</v>
      </c>
      <c r="H4677" s="32" t="inlineStr">
        <is>
          <t>MM</t>
        </is>
      </c>
      <c r="I4677" s="32" t="n">
        <v>3418.142</v>
      </c>
      <c r="K4677" s="32" t="inlineStr">
        <is>
          <t>20250514-53</t>
        </is>
      </c>
    </row>
    <row r="4678">
      <c r="A4678" s="32" t="n">
        <v>43</v>
      </c>
      <c r="B4678" s="32" t="inlineStr">
        <is>
          <t>K3-4B</t>
        </is>
      </c>
      <c r="D4678" s="32" t="n">
        <v>15.63</v>
      </c>
      <c r="E4678" s="32" t="n">
        <v>3265.017</v>
      </c>
      <c r="G4678" s="32" t="n">
        <v>79.937</v>
      </c>
      <c r="H4678" s="32" t="inlineStr">
        <is>
          <t>MM</t>
        </is>
      </c>
      <c r="I4678" s="32" t="n">
        <v>3265.017</v>
      </c>
      <c r="K4678" s="32" t="inlineStr">
        <is>
          <t>20250514-54</t>
        </is>
      </c>
    </row>
    <row r="4679">
      <c r="A4679" s="32" t="n">
        <v>44</v>
      </c>
      <c r="B4679" s="32" t="inlineStr">
        <is>
          <t>K3-4C</t>
        </is>
      </c>
      <c r="D4679" s="32" t="n">
        <v>15.66</v>
      </c>
      <c r="E4679" s="32" t="n">
        <v>3466.543</v>
      </c>
      <c r="G4679" s="32" t="n">
        <v>28.051</v>
      </c>
      <c r="H4679" s="32" t="inlineStr">
        <is>
          <t>MM</t>
        </is>
      </c>
      <c r="I4679" s="32" t="n">
        <v>3466.543</v>
      </c>
      <c r="K4679" s="32" t="inlineStr">
        <is>
          <t>20250514-55</t>
        </is>
      </c>
    </row>
    <row r="4680">
      <c r="A4680" s="32" t="n">
        <v>45</v>
      </c>
      <c r="B4680" s="32" t="inlineStr">
        <is>
          <t>MeOH</t>
        </is>
      </c>
      <c r="K4680" s="32" t="inlineStr">
        <is>
          <t>20250514-56</t>
        </is>
      </c>
    </row>
    <row r="4681">
      <c r="A4681" s="32" t="n">
        <v>46</v>
      </c>
      <c r="B4681" s="32" t="inlineStr">
        <is>
          <t>K3-6A</t>
        </is>
      </c>
      <c r="D4681" s="32" t="n">
        <v>15.68</v>
      </c>
      <c r="E4681" s="32" t="n">
        <v>2720.231</v>
      </c>
      <c r="G4681" s="32" t="n">
        <v>109.967</v>
      </c>
      <c r="H4681" s="32" t="inlineStr">
        <is>
          <t>MM</t>
        </is>
      </c>
      <c r="I4681" s="32" t="n">
        <v>2720.231</v>
      </c>
      <c r="K4681" s="32" t="inlineStr">
        <is>
          <t>20250514-57</t>
        </is>
      </c>
    </row>
    <row r="4682">
      <c r="A4682" s="32" t="n">
        <v>47</v>
      </c>
      <c r="B4682" s="32" t="inlineStr">
        <is>
          <t>K3-6B</t>
        </is>
      </c>
      <c r="D4682" s="32" t="n">
        <v>15.67</v>
      </c>
      <c r="E4682" s="32" t="n">
        <v>2864.424</v>
      </c>
      <c r="G4682" s="32" t="n">
        <v>14129.708</v>
      </c>
      <c r="H4682" s="32" t="inlineStr">
        <is>
          <t>MM</t>
        </is>
      </c>
      <c r="I4682" s="32" t="n">
        <v>2864.424</v>
      </c>
      <c r="K4682" s="32" t="inlineStr">
        <is>
          <t>20250514-58</t>
        </is>
      </c>
    </row>
    <row r="4683">
      <c r="A4683" s="32" t="n">
        <v>48</v>
      </c>
      <c r="B4683" s="32" t="inlineStr">
        <is>
          <t>K3-6C</t>
        </is>
      </c>
      <c r="D4683" s="32" t="n">
        <v>15.65</v>
      </c>
      <c r="E4683" s="32" t="n">
        <v>2500.621</v>
      </c>
      <c r="G4683" s="32" t="n">
        <v>18285</v>
      </c>
      <c r="H4683" s="32" t="inlineStr">
        <is>
          <t>MM</t>
        </is>
      </c>
      <c r="I4683" s="32" t="n">
        <v>2500.621</v>
      </c>
      <c r="K4683" s="32" t="inlineStr">
        <is>
          <t>20250514-59</t>
        </is>
      </c>
    </row>
    <row r="4685">
      <c r="A4685" s="32" t="inlineStr">
        <is>
          <t>Compound 91:  m6 PFDA 1</t>
        </is>
      </c>
    </row>
    <row r="4687">
      <c r="B4687" s="32" t="inlineStr">
        <is>
          <t>Sample Text</t>
        </is>
      </c>
      <c r="C4687" s="32" t="inlineStr">
        <is>
          <t>Std. Conc</t>
        </is>
      </c>
      <c r="D4687" s="32" t="inlineStr">
        <is>
          <t>RT</t>
        </is>
      </c>
      <c r="E4687" s="32" t="inlineStr">
        <is>
          <t>Area</t>
        </is>
      </c>
      <c r="F4687" s="32" t="inlineStr">
        <is>
          <t>IS Area</t>
        </is>
      </c>
      <c r="G4687" s="32" t="inlineStr">
        <is>
          <t>S/N</t>
        </is>
      </c>
      <c r="H4687" s="32" t="inlineStr">
        <is>
          <t>Primary Flags</t>
        </is>
      </c>
      <c r="I4687" s="32" t="inlineStr">
        <is>
          <t>Response</t>
        </is>
      </c>
      <c r="J4687" s="32" t="inlineStr">
        <is>
          <t>Conc.</t>
        </is>
      </c>
      <c r="K4687" s="32" t="inlineStr">
        <is>
          <t>Name</t>
        </is>
      </c>
    </row>
    <row r="4688">
      <c r="A4688" s="32" t="n">
        <v>1</v>
      </c>
      <c r="B4688" s="32" t="inlineStr">
        <is>
          <t>EPA1633 &amp; diPAPs Calibration 0 ppb</t>
        </is>
      </c>
      <c r="D4688" s="32" t="n">
        <v>13.93</v>
      </c>
      <c r="E4688" s="32" t="n">
        <v>300.866</v>
      </c>
      <c r="G4688" s="32" t="n">
        <v>2157</v>
      </c>
      <c r="H4688" s="32" t="inlineStr">
        <is>
          <t>MM</t>
        </is>
      </c>
      <c r="I4688" s="32" t="n">
        <v>300.866</v>
      </c>
      <c r="K4688" s="32" t="inlineStr">
        <is>
          <t>20250514-12</t>
        </is>
      </c>
    </row>
    <row r="4689">
      <c r="A4689" s="32" t="n">
        <v>2</v>
      </c>
      <c r="B4689" s="32" t="inlineStr">
        <is>
          <t>EPA1633 &amp; diPAPs Calibration 0.02 ppb</t>
        </is>
      </c>
      <c r="D4689" s="32" t="n">
        <v>13.99</v>
      </c>
      <c r="E4689" s="32" t="n">
        <v>321.662</v>
      </c>
      <c r="G4689" s="32" t="n">
        <v>12.038</v>
      </c>
      <c r="H4689" s="32" t="inlineStr">
        <is>
          <t>MM</t>
        </is>
      </c>
      <c r="I4689" s="32" t="n">
        <v>321.662</v>
      </c>
      <c r="K4689" s="32" t="inlineStr">
        <is>
          <t>20250514-13</t>
        </is>
      </c>
    </row>
    <row r="4690">
      <c r="A4690" s="32" t="n">
        <v>3</v>
      </c>
      <c r="B4690" s="32" t="inlineStr">
        <is>
          <t>EPA1633 &amp; diPAPs Calibration 0.1 ppb</t>
        </is>
      </c>
      <c r="D4690" s="32" t="n">
        <v>13.96</v>
      </c>
      <c r="E4690" s="32" t="n">
        <v>271.981</v>
      </c>
      <c r="G4690" s="32" t="n">
        <v>891.052</v>
      </c>
      <c r="H4690" s="32" t="inlineStr">
        <is>
          <t>MM</t>
        </is>
      </c>
      <c r="I4690" s="32" t="n">
        <v>271.981</v>
      </c>
      <c r="K4690" s="32" t="inlineStr">
        <is>
          <t>20250514-14</t>
        </is>
      </c>
    </row>
    <row r="4691">
      <c r="A4691" s="32" t="n">
        <v>4</v>
      </c>
      <c r="B4691" s="32" t="inlineStr">
        <is>
          <t>EPA1633 &amp; diPAPs Calibration 0.4 ppb</t>
        </is>
      </c>
      <c r="D4691" s="32" t="n">
        <v>13.99</v>
      </c>
      <c r="E4691" s="32" t="n">
        <v>574.953</v>
      </c>
      <c r="G4691" s="32" t="n">
        <v>4340</v>
      </c>
      <c r="H4691" s="32" t="inlineStr">
        <is>
          <t>MM</t>
        </is>
      </c>
      <c r="I4691" s="32" t="n">
        <v>574.953</v>
      </c>
      <c r="K4691" s="32" t="inlineStr">
        <is>
          <t>20250514-15</t>
        </is>
      </c>
    </row>
    <row r="4692">
      <c r="A4692" s="32" t="n">
        <v>5</v>
      </c>
      <c r="B4692" s="32" t="inlineStr">
        <is>
          <t>EPA1633 &amp; diPAPs Calibration 1 ppb</t>
        </is>
      </c>
      <c r="D4692" s="32" t="n">
        <v>13.98</v>
      </c>
      <c r="E4692" s="32" t="n">
        <v>121.731</v>
      </c>
      <c r="G4692" s="32" t="n">
        <v>1081</v>
      </c>
      <c r="H4692" s="32" t="inlineStr">
        <is>
          <t>MM</t>
        </is>
      </c>
      <c r="I4692" s="32" t="n">
        <v>121.731</v>
      </c>
      <c r="K4692" s="32" t="inlineStr">
        <is>
          <t>20250514-16</t>
        </is>
      </c>
    </row>
    <row r="4693">
      <c r="A4693" s="32" t="n">
        <v>6</v>
      </c>
      <c r="B4693" s="32" t="inlineStr">
        <is>
          <t>EPA1633 &amp; diPAPs Calibration 5 ppb</t>
        </is>
      </c>
      <c r="D4693" s="32" t="n">
        <v>13.95</v>
      </c>
      <c r="E4693" s="32" t="n">
        <v>630.125</v>
      </c>
      <c r="G4693" s="32" t="n">
        <v>11.524</v>
      </c>
      <c r="H4693" s="32" t="inlineStr">
        <is>
          <t>MM</t>
        </is>
      </c>
      <c r="I4693" s="32" t="n">
        <v>630.125</v>
      </c>
      <c r="K4693" s="32" t="inlineStr">
        <is>
          <t>20250514-17</t>
        </is>
      </c>
    </row>
    <row r="4694">
      <c r="A4694" s="32" t="n">
        <v>7</v>
      </c>
      <c r="B4694" s="32" t="inlineStr">
        <is>
          <t>EPA1633 &amp; diPAPs Calibration 10 ppb</t>
        </is>
      </c>
      <c r="D4694" s="32" t="n">
        <v>13.95</v>
      </c>
      <c r="E4694" s="32" t="n">
        <v>189.153</v>
      </c>
      <c r="G4694" s="32" t="n">
        <v>1444</v>
      </c>
      <c r="H4694" s="32" t="inlineStr">
        <is>
          <t>MM</t>
        </is>
      </c>
      <c r="I4694" s="32" t="n">
        <v>189.153</v>
      </c>
      <c r="K4694" s="32" t="inlineStr">
        <is>
          <t>20250514-18</t>
        </is>
      </c>
    </row>
    <row r="4695">
      <c r="A4695" s="32" t="n">
        <v>8</v>
      </c>
      <c r="B4695" s="32" t="inlineStr">
        <is>
          <t>EPA1633 &amp; diPAPs Calibration 20 ppb</t>
        </is>
      </c>
      <c r="D4695" s="32" t="n">
        <v>13.98</v>
      </c>
      <c r="E4695" s="32" t="n">
        <v>34.629</v>
      </c>
      <c r="G4695" s="32" t="n">
        <v>276</v>
      </c>
      <c r="H4695" s="32" t="inlineStr">
        <is>
          <t>MM</t>
        </is>
      </c>
      <c r="I4695" s="32" t="n">
        <v>34.629</v>
      </c>
      <c r="K4695" s="32" t="inlineStr">
        <is>
          <t>20250514-19</t>
        </is>
      </c>
    </row>
    <row r="4696">
      <c r="A4696" s="32" t="n">
        <v>9</v>
      </c>
      <c r="B4696" s="32" t="inlineStr">
        <is>
          <t>MeOH</t>
        </is>
      </c>
      <c r="K4696" s="32" t="inlineStr">
        <is>
          <t>20250514-20</t>
        </is>
      </c>
    </row>
    <row r="4697">
      <c r="A4697" s="32" t="n">
        <v>10</v>
      </c>
      <c r="B4697" s="32" t="inlineStr">
        <is>
          <t>MeOH</t>
        </is>
      </c>
      <c r="K4697" s="32" t="inlineStr">
        <is>
          <t>20250514-21</t>
        </is>
      </c>
    </row>
    <row r="4698">
      <c r="A4698" s="32" t="n">
        <v>11</v>
      </c>
      <c r="B4698" s="32" t="inlineStr">
        <is>
          <t>SB1</t>
        </is>
      </c>
      <c r="D4698" s="32" t="n">
        <v>13.98</v>
      </c>
      <c r="E4698" s="32" t="n">
        <v>61.924</v>
      </c>
      <c r="G4698" s="32" t="n">
        <v>520</v>
      </c>
      <c r="H4698" s="32" t="inlineStr">
        <is>
          <t>MM</t>
        </is>
      </c>
      <c r="I4698" s="32" t="n">
        <v>61.924</v>
      </c>
      <c r="K4698" s="32" t="inlineStr">
        <is>
          <t>20250514-22</t>
        </is>
      </c>
    </row>
    <row r="4699">
      <c r="A4699" s="32" t="n">
        <v>12</v>
      </c>
      <c r="B4699" s="32" t="inlineStr">
        <is>
          <t>SB2</t>
        </is>
      </c>
      <c r="D4699" s="32" t="n">
        <v>14.06</v>
      </c>
      <c r="E4699" s="32" t="n">
        <v>37.859</v>
      </c>
      <c r="G4699" s="32" t="n">
        <v>336</v>
      </c>
      <c r="H4699" s="32" t="inlineStr">
        <is>
          <t>MM</t>
        </is>
      </c>
      <c r="I4699" s="32" t="n">
        <v>37.859</v>
      </c>
      <c r="K4699" s="32" t="inlineStr">
        <is>
          <t>20250514-23</t>
        </is>
      </c>
    </row>
    <row r="4700">
      <c r="A4700" s="32" t="n">
        <v>13</v>
      </c>
      <c r="B4700" s="32" t="inlineStr">
        <is>
          <t>SB3</t>
        </is>
      </c>
      <c r="D4700" s="32" t="n">
        <v>14.03</v>
      </c>
      <c r="E4700" s="32" t="n">
        <v>151.1</v>
      </c>
      <c r="G4700" s="32" t="n">
        <v>2.065</v>
      </c>
      <c r="H4700" s="32" t="inlineStr">
        <is>
          <t>MM</t>
        </is>
      </c>
      <c r="I4700" s="32" t="n">
        <v>151.1</v>
      </c>
      <c r="K4700" s="32" t="inlineStr">
        <is>
          <t>20250514-24</t>
        </is>
      </c>
    </row>
    <row r="4701">
      <c r="A4701" s="32" t="n">
        <v>14</v>
      </c>
      <c r="B4701" s="32" t="inlineStr">
        <is>
          <t>SS1</t>
        </is>
      </c>
      <c r="D4701" s="32" t="n">
        <v>14.05</v>
      </c>
      <c r="E4701" s="32" t="n">
        <v>120.184</v>
      </c>
      <c r="G4701" s="32" t="n">
        <v>1016</v>
      </c>
      <c r="H4701" s="32" t="inlineStr">
        <is>
          <t>MM</t>
        </is>
      </c>
      <c r="I4701" s="32" t="n">
        <v>120.184</v>
      </c>
      <c r="K4701" s="32" t="inlineStr">
        <is>
          <t>20250514-25</t>
        </is>
      </c>
    </row>
    <row r="4702">
      <c r="A4702" s="32" t="n">
        <v>15</v>
      </c>
      <c r="B4702" s="32" t="inlineStr">
        <is>
          <t>SS2</t>
        </is>
      </c>
      <c r="D4702" s="32" t="n">
        <v>14.04</v>
      </c>
      <c r="E4702" s="32" t="n">
        <v>140.114</v>
      </c>
      <c r="G4702" s="32" t="n">
        <v>10.113</v>
      </c>
      <c r="H4702" s="32" t="inlineStr">
        <is>
          <t>MM</t>
        </is>
      </c>
      <c r="I4702" s="32" t="n">
        <v>140.114</v>
      </c>
      <c r="K4702" s="32" t="inlineStr">
        <is>
          <t>20250514-26</t>
        </is>
      </c>
    </row>
    <row r="4703">
      <c r="A4703" s="32" t="n">
        <v>16</v>
      </c>
      <c r="B4703" s="32" t="inlineStr">
        <is>
          <t>SS3</t>
        </is>
      </c>
      <c r="D4703" s="32" t="n">
        <v>14.02</v>
      </c>
      <c r="E4703" s="32" t="n">
        <v>104.483</v>
      </c>
      <c r="G4703" s="32" t="n">
        <v>54.113</v>
      </c>
      <c r="H4703" s="32" t="inlineStr">
        <is>
          <t>MM</t>
        </is>
      </c>
      <c r="I4703" s="32" t="n">
        <v>104.483</v>
      </c>
      <c r="K4703" s="32" t="inlineStr">
        <is>
          <t>20250514-27</t>
        </is>
      </c>
    </row>
    <row r="4704">
      <c r="A4704" s="32" t="n">
        <v>17</v>
      </c>
      <c r="B4704" s="32" t="inlineStr">
        <is>
          <t>MeOH</t>
        </is>
      </c>
      <c r="K4704" s="32" t="inlineStr">
        <is>
          <t>20250514-28</t>
        </is>
      </c>
    </row>
    <row r="4705">
      <c r="A4705" s="32" t="n">
        <v>18</v>
      </c>
      <c r="B4705" s="32" t="inlineStr">
        <is>
          <t>K4-1A</t>
        </is>
      </c>
      <c r="D4705" s="32" t="n">
        <v>14.02</v>
      </c>
      <c r="E4705" s="32" t="n">
        <v>293.287</v>
      </c>
      <c r="G4705" s="32" t="n">
        <v>3.327</v>
      </c>
      <c r="H4705" s="32" t="inlineStr">
        <is>
          <t>MM</t>
        </is>
      </c>
      <c r="I4705" s="32" t="n">
        <v>293.287</v>
      </c>
      <c r="K4705" s="32" t="inlineStr">
        <is>
          <t>20250514-29</t>
        </is>
      </c>
    </row>
    <row r="4706">
      <c r="A4706" s="32" t="n">
        <v>19</v>
      </c>
      <c r="B4706" s="32" t="inlineStr">
        <is>
          <t>K4-1B</t>
        </is>
      </c>
      <c r="D4706" s="32" t="n">
        <v>14.03</v>
      </c>
      <c r="E4706" s="32" t="n">
        <v>121.913</v>
      </c>
      <c r="G4706" s="32" t="n">
        <v>4.149</v>
      </c>
      <c r="H4706" s="32" t="inlineStr">
        <is>
          <t>MM</t>
        </is>
      </c>
      <c r="I4706" s="32" t="n">
        <v>121.913</v>
      </c>
      <c r="K4706" s="32" t="inlineStr">
        <is>
          <t>20250514-30</t>
        </is>
      </c>
    </row>
    <row r="4707">
      <c r="A4707" s="32" t="n">
        <v>20</v>
      </c>
      <c r="B4707" s="32" t="inlineStr">
        <is>
          <t>K4-1C</t>
        </is>
      </c>
      <c r="D4707" s="32" t="n">
        <v>14.03</v>
      </c>
      <c r="E4707" s="32" t="n">
        <v>278.029</v>
      </c>
      <c r="G4707" s="32" t="n">
        <v>11.481</v>
      </c>
      <c r="H4707" s="32" t="inlineStr">
        <is>
          <t>MM</t>
        </is>
      </c>
      <c r="I4707" s="32" t="n">
        <v>278.029</v>
      </c>
      <c r="K4707" s="32" t="inlineStr">
        <is>
          <t>20250514-31</t>
        </is>
      </c>
    </row>
    <row r="4708">
      <c r="A4708" s="32" t="n">
        <v>21</v>
      </c>
      <c r="B4708" s="32" t="inlineStr">
        <is>
          <t>K4-2A</t>
        </is>
      </c>
      <c r="D4708" s="32" t="n">
        <v>14.06</v>
      </c>
      <c r="E4708" s="32" t="n">
        <v>80.721</v>
      </c>
      <c r="G4708" s="32" t="n">
        <v>4.38</v>
      </c>
      <c r="H4708" s="32" t="inlineStr">
        <is>
          <t>MM</t>
        </is>
      </c>
      <c r="I4708" s="32" t="n">
        <v>80.721</v>
      </c>
      <c r="K4708" s="32" t="inlineStr">
        <is>
          <t>20250514-32</t>
        </is>
      </c>
    </row>
    <row r="4709">
      <c r="A4709" s="32" t="n">
        <v>22</v>
      </c>
      <c r="B4709" s="32" t="inlineStr">
        <is>
          <t>K4-2B</t>
        </is>
      </c>
      <c r="D4709" s="32" t="n">
        <v>14.02</v>
      </c>
      <c r="E4709" s="32" t="n">
        <v>1.117</v>
      </c>
      <c r="G4709" s="32" t="n">
        <v>10</v>
      </c>
      <c r="H4709" s="32" t="inlineStr">
        <is>
          <t>MM</t>
        </is>
      </c>
      <c r="I4709" s="32" t="n">
        <v>1.117</v>
      </c>
      <c r="K4709" s="32" t="inlineStr">
        <is>
          <t>20250514-33</t>
        </is>
      </c>
    </row>
    <row r="4710">
      <c r="A4710" s="32" t="n">
        <v>23</v>
      </c>
      <c r="B4710" s="32" t="inlineStr">
        <is>
          <t>K4-2C</t>
        </is>
      </c>
      <c r="D4710" s="32" t="n">
        <v>14.05</v>
      </c>
      <c r="E4710" s="32" t="n">
        <v>64.84699999999999</v>
      </c>
      <c r="G4710" s="32" t="n">
        <v>4.326</v>
      </c>
      <c r="H4710" s="32" t="inlineStr">
        <is>
          <t>MM</t>
        </is>
      </c>
      <c r="I4710" s="32" t="n">
        <v>64.84699999999999</v>
      </c>
      <c r="K4710" s="32" t="inlineStr">
        <is>
          <t>20250514-34</t>
        </is>
      </c>
    </row>
    <row r="4711">
      <c r="A4711" s="32" t="n">
        <v>24</v>
      </c>
      <c r="B4711" s="32" t="inlineStr">
        <is>
          <t>MeOH</t>
        </is>
      </c>
      <c r="K4711" s="32" t="inlineStr">
        <is>
          <t>20250514-35</t>
        </is>
      </c>
    </row>
    <row r="4712">
      <c r="A4712" s="32" t="n">
        <v>25</v>
      </c>
      <c r="B4712" s="32" t="inlineStr">
        <is>
          <t>K4-4A</t>
        </is>
      </c>
      <c r="D4712" s="32" t="n">
        <v>14.06</v>
      </c>
      <c r="E4712" s="32" t="n">
        <v>92.72199999999999</v>
      </c>
      <c r="G4712" s="32" t="n">
        <v>3.791</v>
      </c>
      <c r="H4712" s="32" t="inlineStr">
        <is>
          <t>MM</t>
        </is>
      </c>
      <c r="I4712" s="32" t="n">
        <v>92.72199999999999</v>
      </c>
      <c r="K4712" s="32" t="inlineStr">
        <is>
          <t>20250514-36</t>
        </is>
      </c>
    </row>
    <row r="4713">
      <c r="A4713" s="32" t="n">
        <v>26</v>
      </c>
      <c r="B4713" s="32" t="inlineStr">
        <is>
          <t>K4-4B</t>
        </is>
      </c>
      <c r="D4713" s="32" t="n">
        <v>14.09</v>
      </c>
      <c r="E4713" s="32" t="n">
        <v>96.197</v>
      </c>
      <c r="G4713" s="32" t="n">
        <v>710</v>
      </c>
      <c r="H4713" s="32" t="inlineStr">
        <is>
          <t>MM</t>
        </is>
      </c>
      <c r="I4713" s="32" t="n">
        <v>96.197</v>
      </c>
      <c r="K4713" s="32" t="inlineStr">
        <is>
          <t>20250514-37</t>
        </is>
      </c>
    </row>
    <row r="4714">
      <c r="A4714" s="32" t="n">
        <v>27</v>
      </c>
      <c r="B4714" s="32" t="inlineStr">
        <is>
          <t>K4-4C</t>
        </is>
      </c>
      <c r="D4714" s="32" t="n">
        <v>14.08</v>
      </c>
      <c r="E4714" s="32" t="n">
        <v>122.295</v>
      </c>
      <c r="G4714" s="32" t="n">
        <v>18.455</v>
      </c>
      <c r="H4714" s="32" t="inlineStr">
        <is>
          <t>MM</t>
        </is>
      </c>
      <c r="I4714" s="32" t="n">
        <v>122.295</v>
      </c>
      <c r="K4714" s="32" t="inlineStr">
        <is>
          <t>20250514-38</t>
        </is>
      </c>
    </row>
    <row r="4715">
      <c r="A4715" s="32" t="n">
        <v>28</v>
      </c>
      <c r="B4715" s="32" t="inlineStr">
        <is>
          <t>K4-5A</t>
        </is>
      </c>
      <c r="D4715" s="32" t="n">
        <v>14.05</v>
      </c>
      <c r="E4715" s="32" t="n">
        <v>195.191</v>
      </c>
      <c r="G4715" s="32" t="n">
        <v>1700</v>
      </c>
      <c r="H4715" s="32" t="inlineStr">
        <is>
          <t>MM</t>
        </is>
      </c>
      <c r="I4715" s="32" t="n">
        <v>195.191</v>
      </c>
      <c r="K4715" s="32" t="inlineStr">
        <is>
          <t>20250514-39</t>
        </is>
      </c>
    </row>
    <row r="4716">
      <c r="A4716" s="32" t="n">
        <v>29</v>
      </c>
      <c r="B4716" s="32" t="inlineStr">
        <is>
          <t>K4-5B</t>
        </is>
      </c>
      <c r="D4716" s="32" t="n">
        <v>14.03</v>
      </c>
      <c r="E4716" s="32" t="n">
        <v>113.956</v>
      </c>
      <c r="G4716" s="32" t="n">
        <v>947</v>
      </c>
      <c r="H4716" s="32" t="inlineStr">
        <is>
          <t>MM</t>
        </is>
      </c>
      <c r="I4716" s="32" t="n">
        <v>113.956</v>
      </c>
      <c r="K4716" s="32" t="inlineStr">
        <is>
          <t>20250514-40</t>
        </is>
      </c>
    </row>
    <row r="4717">
      <c r="A4717" s="32" t="n">
        <v>30</v>
      </c>
      <c r="B4717" s="32" t="inlineStr">
        <is>
          <t>K4-5C</t>
        </is>
      </c>
      <c r="D4717" s="32" t="n">
        <v>13.98</v>
      </c>
      <c r="E4717" s="32" t="n">
        <v>84.712</v>
      </c>
      <c r="G4717" s="32" t="n">
        <v>662</v>
      </c>
      <c r="H4717" s="32" t="inlineStr">
        <is>
          <t>MM</t>
        </is>
      </c>
      <c r="I4717" s="32" t="n">
        <v>84.712</v>
      </c>
      <c r="K4717" s="32" t="inlineStr">
        <is>
          <t>20250514-41</t>
        </is>
      </c>
    </row>
    <row r="4718">
      <c r="A4718" s="32" t="n">
        <v>31</v>
      </c>
      <c r="B4718" s="32" t="inlineStr">
        <is>
          <t>MeOH</t>
        </is>
      </c>
      <c r="H4718" s="32" t="inlineStr">
        <is>
          <t>MM-</t>
        </is>
      </c>
      <c r="K4718" s="32" t="inlineStr">
        <is>
          <t>20250514-42</t>
        </is>
      </c>
    </row>
    <row r="4719">
      <c r="A4719" s="32" t="n">
        <v>32</v>
      </c>
      <c r="B4719" s="32" t="inlineStr">
        <is>
          <t>K3-1A</t>
        </is>
      </c>
      <c r="D4719" s="32" t="n">
        <v>13.91</v>
      </c>
      <c r="E4719" s="32" t="n">
        <v>8.545999999999999</v>
      </c>
      <c r="G4719" s="32" t="n">
        <v>64</v>
      </c>
      <c r="H4719" s="32" t="inlineStr">
        <is>
          <t>MM</t>
        </is>
      </c>
      <c r="I4719" s="32" t="n">
        <v>8.545999999999999</v>
      </c>
      <c r="K4719" s="32" t="inlineStr">
        <is>
          <t>20250514-43</t>
        </is>
      </c>
    </row>
    <row r="4720">
      <c r="A4720" s="32" t="n">
        <v>33</v>
      </c>
      <c r="B4720" s="32" t="inlineStr">
        <is>
          <t>K3-1B</t>
        </is>
      </c>
      <c r="D4720" s="32" t="n">
        <v>14.02</v>
      </c>
      <c r="E4720" s="32" t="n">
        <v>51.544</v>
      </c>
      <c r="G4720" s="32" t="n">
        <v>322</v>
      </c>
      <c r="H4720" s="32" t="inlineStr">
        <is>
          <t>MM</t>
        </is>
      </c>
      <c r="I4720" s="32" t="n">
        <v>51.544</v>
      </c>
      <c r="K4720" s="32" t="inlineStr">
        <is>
          <t>20250514-44</t>
        </is>
      </c>
    </row>
    <row r="4721">
      <c r="A4721" s="32" t="n">
        <v>34</v>
      </c>
      <c r="B4721" s="32" t="inlineStr">
        <is>
          <t>K3-1C</t>
        </is>
      </c>
      <c r="D4721" s="32" t="n">
        <v>13.98</v>
      </c>
      <c r="E4721" s="32" t="n">
        <v>205.27</v>
      </c>
      <c r="G4721" s="32" t="n">
        <v>61.578</v>
      </c>
      <c r="H4721" s="32" t="inlineStr">
        <is>
          <t>MM</t>
        </is>
      </c>
      <c r="I4721" s="32" t="n">
        <v>205.27</v>
      </c>
      <c r="K4721" s="32" t="inlineStr">
        <is>
          <t>20250514-45</t>
        </is>
      </c>
    </row>
    <row r="4722">
      <c r="A4722" s="32" t="n">
        <v>35</v>
      </c>
      <c r="B4722" s="32" t="inlineStr">
        <is>
          <t>K3-2A</t>
        </is>
      </c>
      <c r="D4722" s="32" t="n">
        <v>14.02</v>
      </c>
      <c r="E4722" s="32" t="n">
        <v>175.825</v>
      </c>
      <c r="G4722" s="32" t="n">
        <v>4.61</v>
      </c>
      <c r="H4722" s="32" t="inlineStr">
        <is>
          <t>MM</t>
        </is>
      </c>
      <c r="I4722" s="32" t="n">
        <v>175.825</v>
      </c>
      <c r="K4722" s="32" t="inlineStr">
        <is>
          <t>20250514-46</t>
        </is>
      </c>
    </row>
    <row r="4723">
      <c r="A4723" s="32" t="n">
        <v>36</v>
      </c>
      <c r="B4723" s="32" t="inlineStr">
        <is>
          <t>K3-2B</t>
        </is>
      </c>
      <c r="D4723" s="32" t="n">
        <v>14.05</v>
      </c>
      <c r="E4723" s="32" t="n">
        <v>73.20399999999999</v>
      </c>
      <c r="G4723" s="32" t="n">
        <v>454</v>
      </c>
      <c r="H4723" s="32" t="inlineStr">
        <is>
          <t>MM</t>
        </is>
      </c>
      <c r="I4723" s="32" t="n">
        <v>73.20399999999999</v>
      </c>
      <c r="K4723" s="32" t="inlineStr">
        <is>
          <t>20250514-47</t>
        </is>
      </c>
    </row>
    <row r="4724">
      <c r="A4724" s="32" t="n">
        <v>37</v>
      </c>
      <c r="B4724" s="32" t="inlineStr">
        <is>
          <t>K3-2C</t>
        </is>
      </c>
      <c r="D4724" s="32" t="n">
        <v>14.01</v>
      </c>
      <c r="E4724" s="32" t="n">
        <v>179.966</v>
      </c>
      <c r="G4724" s="32" t="n">
        <v>3.569</v>
      </c>
      <c r="H4724" s="32" t="inlineStr">
        <is>
          <t>MM</t>
        </is>
      </c>
      <c r="I4724" s="32" t="n">
        <v>179.966</v>
      </c>
      <c r="K4724" s="32" t="inlineStr">
        <is>
          <t>20250514-48</t>
        </is>
      </c>
    </row>
    <row r="4725">
      <c r="A4725" s="32" t="n">
        <v>38</v>
      </c>
      <c r="B4725" s="32" t="inlineStr">
        <is>
          <t>MeOH</t>
        </is>
      </c>
      <c r="K4725" s="32" t="inlineStr">
        <is>
          <t>20250514-49</t>
        </is>
      </c>
    </row>
    <row r="4726">
      <c r="A4726" s="32" t="n">
        <v>39</v>
      </c>
      <c r="B4726" s="32" t="inlineStr">
        <is>
          <t>K3-3A</t>
        </is>
      </c>
      <c r="D4726" s="32" t="n">
        <v>14.08</v>
      </c>
      <c r="E4726" s="32" t="n">
        <v>243.306</v>
      </c>
      <c r="G4726" s="32" t="n">
        <v>1524</v>
      </c>
      <c r="H4726" s="32" t="inlineStr">
        <is>
          <t>MM</t>
        </is>
      </c>
      <c r="I4726" s="32" t="n">
        <v>243.306</v>
      </c>
      <c r="K4726" s="32" t="inlineStr">
        <is>
          <t>20250514-50</t>
        </is>
      </c>
    </row>
    <row r="4727">
      <c r="A4727" s="32" t="n">
        <v>40</v>
      </c>
      <c r="B4727" s="32" t="inlineStr">
        <is>
          <t>K3-3B</t>
        </is>
      </c>
      <c r="D4727" s="32" t="n">
        <v>14.05</v>
      </c>
      <c r="E4727" s="32" t="n">
        <v>281.241</v>
      </c>
      <c r="G4727" s="32" t="n">
        <v>2317</v>
      </c>
      <c r="H4727" s="32" t="inlineStr">
        <is>
          <t>MM</t>
        </is>
      </c>
      <c r="I4727" s="32" t="n">
        <v>281.241</v>
      </c>
      <c r="K4727" s="32" t="inlineStr">
        <is>
          <t>20250514-51</t>
        </is>
      </c>
    </row>
    <row r="4728">
      <c r="A4728" s="32" t="n">
        <v>41</v>
      </c>
      <c r="B4728" s="32" t="inlineStr">
        <is>
          <t>K3-3C</t>
        </is>
      </c>
      <c r="D4728" s="32" t="n">
        <v>14.02</v>
      </c>
      <c r="E4728" s="32" t="n">
        <v>124.019</v>
      </c>
      <c r="G4728" s="32" t="n">
        <v>4.892</v>
      </c>
      <c r="H4728" s="32" t="inlineStr">
        <is>
          <t>MM</t>
        </is>
      </c>
      <c r="I4728" s="32" t="n">
        <v>124.019</v>
      </c>
      <c r="K4728" s="32" t="inlineStr">
        <is>
          <t>20250514-52</t>
        </is>
      </c>
    </row>
    <row r="4729">
      <c r="A4729" s="32" t="n">
        <v>42</v>
      </c>
      <c r="B4729" s="32" t="inlineStr">
        <is>
          <t>K3-4A</t>
        </is>
      </c>
      <c r="D4729" s="32" t="n">
        <v>14.08</v>
      </c>
      <c r="E4729" s="32" t="n">
        <v>154.358</v>
      </c>
      <c r="G4729" s="32" t="n">
        <v>23.214</v>
      </c>
      <c r="H4729" s="32" t="inlineStr">
        <is>
          <t>MM</t>
        </is>
      </c>
      <c r="I4729" s="32" t="n">
        <v>154.358</v>
      </c>
      <c r="K4729" s="32" t="inlineStr">
        <is>
          <t>20250514-53</t>
        </is>
      </c>
    </row>
    <row r="4730">
      <c r="A4730" s="32" t="n">
        <v>43</v>
      </c>
      <c r="B4730" s="32" t="inlineStr">
        <is>
          <t>K3-4B</t>
        </is>
      </c>
      <c r="D4730" s="32" t="n">
        <v>14.06</v>
      </c>
      <c r="E4730" s="32" t="n">
        <v>149.228</v>
      </c>
      <c r="G4730" s="32" t="n">
        <v>1166</v>
      </c>
      <c r="H4730" s="32" t="inlineStr">
        <is>
          <t>MM</t>
        </is>
      </c>
      <c r="I4730" s="32" t="n">
        <v>149.228</v>
      </c>
      <c r="K4730" s="32" t="inlineStr">
        <is>
          <t>20250514-54</t>
        </is>
      </c>
    </row>
    <row r="4731">
      <c r="A4731" s="32" t="n">
        <v>44</v>
      </c>
      <c r="B4731" s="32" t="inlineStr">
        <is>
          <t>K3-4C</t>
        </is>
      </c>
      <c r="D4731" s="32" t="n">
        <v>14.11</v>
      </c>
      <c r="E4731" s="32" t="n">
        <v>244.215</v>
      </c>
      <c r="G4731" s="32" t="n">
        <v>13.223</v>
      </c>
      <c r="H4731" s="32" t="inlineStr">
        <is>
          <t>MM</t>
        </is>
      </c>
      <c r="I4731" s="32" t="n">
        <v>244.215</v>
      </c>
      <c r="K4731" s="32" t="inlineStr">
        <is>
          <t>20250514-55</t>
        </is>
      </c>
    </row>
    <row r="4732">
      <c r="A4732" s="32" t="n">
        <v>45</v>
      </c>
      <c r="B4732" s="32" t="inlineStr">
        <is>
          <t>MeOH</t>
        </is>
      </c>
      <c r="K4732" s="32" t="inlineStr">
        <is>
          <t>20250514-56</t>
        </is>
      </c>
    </row>
    <row r="4733">
      <c r="A4733" s="32" t="n">
        <v>46</v>
      </c>
      <c r="B4733" s="32" t="inlineStr">
        <is>
          <t>K3-6A</t>
        </is>
      </c>
      <c r="D4733" s="32" t="n">
        <v>14.15</v>
      </c>
      <c r="E4733" s="32" t="n">
        <v>9.898999999999999</v>
      </c>
      <c r="G4733" s="32" t="n">
        <v>0.592</v>
      </c>
      <c r="H4733" s="32" t="inlineStr">
        <is>
          <t>MM</t>
        </is>
      </c>
      <c r="I4733" s="32" t="n">
        <v>9.898999999999999</v>
      </c>
      <c r="K4733" s="32" t="inlineStr">
        <is>
          <t>20250514-57</t>
        </is>
      </c>
    </row>
    <row r="4734">
      <c r="A4734" s="32" t="n">
        <v>47</v>
      </c>
      <c r="B4734" s="32" t="inlineStr">
        <is>
          <t>K3-6B</t>
        </is>
      </c>
      <c r="D4734" s="32" t="n">
        <v>14.11</v>
      </c>
      <c r="E4734" s="32" t="n">
        <v>87.55200000000001</v>
      </c>
      <c r="G4734" s="32" t="n">
        <v>712</v>
      </c>
      <c r="H4734" s="32" t="inlineStr">
        <is>
          <t>MM</t>
        </is>
      </c>
      <c r="I4734" s="32" t="n">
        <v>87.55200000000001</v>
      </c>
      <c r="K4734" s="32" t="inlineStr">
        <is>
          <t>20250514-58</t>
        </is>
      </c>
    </row>
    <row r="4735">
      <c r="A4735" s="32" t="n">
        <v>48</v>
      </c>
      <c r="B4735" s="32" t="inlineStr">
        <is>
          <t>K3-6C</t>
        </is>
      </c>
      <c r="D4735" s="32" t="n">
        <v>14.08</v>
      </c>
      <c r="E4735" s="32" t="n">
        <v>231.601</v>
      </c>
      <c r="G4735" s="32" t="n">
        <v>1851</v>
      </c>
      <c r="H4735" s="32" t="inlineStr">
        <is>
          <t>MM</t>
        </is>
      </c>
      <c r="I4735" s="32" t="n">
        <v>231.601</v>
      </c>
      <c r="K4735" s="32" t="inlineStr">
        <is>
          <t>20250514-59</t>
        </is>
      </c>
    </row>
    <row r="4737">
      <c r="A4737" s="32" t="inlineStr">
        <is>
          <t>Compound 92:  m6 PFDA 2</t>
        </is>
      </c>
    </row>
    <row r="4739">
      <c r="B4739" s="32" t="inlineStr">
        <is>
          <t>Sample Text</t>
        </is>
      </c>
      <c r="C4739" s="32" t="inlineStr">
        <is>
          <t>Std. Conc</t>
        </is>
      </c>
      <c r="D4739" s="32" t="inlineStr">
        <is>
          <t>RT</t>
        </is>
      </c>
      <c r="E4739" s="32" t="inlineStr">
        <is>
          <t>Area</t>
        </is>
      </c>
      <c r="F4739" s="32" t="inlineStr">
        <is>
          <t>IS Area</t>
        </is>
      </c>
      <c r="G4739" s="32" t="inlineStr">
        <is>
          <t>S/N</t>
        </is>
      </c>
      <c r="H4739" s="32" t="inlineStr">
        <is>
          <t>Primary Flags</t>
        </is>
      </c>
      <c r="I4739" s="32" t="inlineStr">
        <is>
          <t>Response</t>
        </is>
      </c>
      <c r="J4739" s="32" t="inlineStr">
        <is>
          <t>Conc.</t>
        </is>
      </c>
      <c r="K4739" s="32" t="inlineStr">
        <is>
          <t>Name</t>
        </is>
      </c>
    </row>
    <row r="4740">
      <c r="A4740" s="32" t="n">
        <v>1</v>
      </c>
      <c r="B4740" s="32" t="inlineStr">
        <is>
          <t>EPA1633 &amp; diPAPs Calibration 0 ppb</t>
        </is>
      </c>
      <c r="D4740" s="32" t="n">
        <v>13.92</v>
      </c>
      <c r="E4740" s="32" t="n">
        <v>999.471</v>
      </c>
      <c r="G4740" s="32" t="n">
        <v>25.07</v>
      </c>
      <c r="H4740" s="32" t="inlineStr">
        <is>
          <t>MM</t>
        </is>
      </c>
      <c r="I4740" s="32" t="n">
        <v>999.471</v>
      </c>
      <c r="K4740" s="32" t="inlineStr">
        <is>
          <t>20250514-12</t>
        </is>
      </c>
    </row>
    <row r="4741">
      <c r="A4741" s="32" t="n">
        <v>2</v>
      </c>
      <c r="B4741" s="32" t="inlineStr">
        <is>
          <t>EPA1633 &amp; diPAPs Calibration 0.02 ppb</t>
        </is>
      </c>
      <c r="D4741" s="32" t="n">
        <v>13.96</v>
      </c>
      <c r="E4741" s="32" t="n">
        <v>573.056</v>
      </c>
      <c r="G4741" s="32" t="n">
        <v>43.859</v>
      </c>
      <c r="H4741" s="32" t="inlineStr">
        <is>
          <t>MM</t>
        </is>
      </c>
      <c r="I4741" s="32" t="n">
        <v>573.056</v>
      </c>
      <c r="K4741" s="32" t="inlineStr">
        <is>
          <t>20250514-13</t>
        </is>
      </c>
    </row>
    <row r="4742">
      <c r="A4742" s="32" t="n">
        <v>3</v>
      </c>
      <c r="B4742" s="32" t="inlineStr">
        <is>
          <t>EPA1633 &amp; diPAPs Calibration 0.1 ppb</t>
        </is>
      </c>
      <c r="D4742" s="32" t="n">
        <v>13.99</v>
      </c>
      <c r="E4742" s="32" t="n">
        <v>733.905</v>
      </c>
      <c r="G4742" s="32" t="n">
        <v>14.249</v>
      </c>
      <c r="H4742" s="32" t="inlineStr">
        <is>
          <t>MM</t>
        </is>
      </c>
      <c r="I4742" s="32" t="n">
        <v>733.905</v>
      </c>
      <c r="K4742" s="32" t="inlineStr">
        <is>
          <t>20250514-14</t>
        </is>
      </c>
    </row>
    <row r="4743">
      <c r="A4743" s="32" t="n">
        <v>4</v>
      </c>
      <c r="B4743" s="32" t="inlineStr">
        <is>
          <t>EPA1633 &amp; diPAPs Calibration 0.4 ppb</t>
        </is>
      </c>
      <c r="D4743" s="32" t="n">
        <v>13.98</v>
      </c>
      <c r="E4743" s="32" t="n">
        <v>1000.62</v>
      </c>
      <c r="G4743" s="32" t="n">
        <v>25.549</v>
      </c>
      <c r="H4743" s="32" t="inlineStr">
        <is>
          <t>MM</t>
        </is>
      </c>
      <c r="I4743" s="32" t="n">
        <v>1000.62</v>
      </c>
      <c r="K4743" s="32" t="inlineStr">
        <is>
          <t>20250514-15</t>
        </is>
      </c>
    </row>
    <row r="4744">
      <c r="A4744" s="32" t="n">
        <v>5</v>
      </c>
      <c r="B4744" s="32" t="inlineStr">
        <is>
          <t>EPA1633 &amp; diPAPs Calibration 1 ppb</t>
        </is>
      </c>
      <c r="D4744" s="32" t="n">
        <v>13.98</v>
      </c>
      <c r="E4744" s="32" t="n">
        <v>767.744</v>
      </c>
      <c r="G4744" s="32" t="n">
        <v>313.071</v>
      </c>
      <c r="H4744" s="32" t="inlineStr">
        <is>
          <t>MM</t>
        </is>
      </c>
      <c r="I4744" s="32" t="n">
        <v>767.744</v>
      </c>
      <c r="K4744" s="32" t="inlineStr">
        <is>
          <t>20250514-16</t>
        </is>
      </c>
    </row>
    <row r="4745">
      <c r="A4745" s="32" t="n">
        <v>6</v>
      </c>
      <c r="B4745" s="32" t="inlineStr">
        <is>
          <t>EPA1633 &amp; diPAPs Calibration 5 ppb</t>
        </is>
      </c>
      <c r="D4745" s="32" t="n">
        <v>13.91</v>
      </c>
      <c r="E4745" s="32" t="n">
        <v>650.651</v>
      </c>
      <c r="G4745" s="32" t="n">
        <v>3.675</v>
      </c>
      <c r="H4745" s="32" t="inlineStr">
        <is>
          <t>MM</t>
        </is>
      </c>
      <c r="I4745" s="32" t="n">
        <v>650.651</v>
      </c>
      <c r="K4745" s="32" t="inlineStr">
        <is>
          <t>20250514-17</t>
        </is>
      </c>
    </row>
    <row r="4746">
      <c r="A4746" s="32" t="n">
        <v>7</v>
      </c>
      <c r="B4746" s="32" t="inlineStr">
        <is>
          <t>EPA1633 &amp; diPAPs Calibration 10 ppb</t>
        </is>
      </c>
      <c r="D4746" s="32" t="n">
        <v>13.93</v>
      </c>
      <c r="E4746" s="32" t="n">
        <v>544.612</v>
      </c>
      <c r="G4746" s="32" t="n">
        <v>7.463</v>
      </c>
      <c r="H4746" s="32" t="inlineStr">
        <is>
          <t>MM</t>
        </is>
      </c>
      <c r="I4746" s="32" t="n">
        <v>544.612</v>
      </c>
      <c r="K4746" s="32" t="inlineStr">
        <is>
          <t>20250514-18</t>
        </is>
      </c>
    </row>
    <row r="4747">
      <c r="A4747" s="32" t="n">
        <v>8</v>
      </c>
      <c r="B4747" s="32" t="inlineStr">
        <is>
          <t>EPA1633 &amp; diPAPs Calibration 20 ppb</t>
        </is>
      </c>
      <c r="D4747" s="32" t="n">
        <v>13.98</v>
      </c>
      <c r="E4747" s="32" t="n">
        <v>739.226</v>
      </c>
      <c r="G4747" s="32" t="n">
        <v>1.531</v>
      </c>
      <c r="H4747" s="32" t="inlineStr">
        <is>
          <t>MM</t>
        </is>
      </c>
      <c r="I4747" s="32" t="n">
        <v>739.226</v>
      </c>
      <c r="K4747" s="32" t="inlineStr">
        <is>
          <t>20250514-19</t>
        </is>
      </c>
    </row>
    <row r="4748">
      <c r="A4748" s="32" t="n">
        <v>9</v>
      </c>
      <c r="B4748" s="32" t="inlineStr">
        <is>
          <t>MeOH</t>
        </is>
      </c>
      <c r="K4748" s="32" t="inlineStr">
        <is>
          <t>20250514-20</t>
        </is>
      </c>
    </row>
    <row r="4749">
      <c r="A4749" s="32" t="n">
        <v>10</v>
      </c>
      <c r="B4749" s="32" t="inlineStr">
        <is>
          <t>MeOH</t>
        </is>
      </c>
      <c r="K4749" s="32" t="inlineStr">
        <is>
          <t>20250514-21</t>
        </is>
      </c>
    </row>
    <row r="4750">
      <c r="A4750" s="32" t="n">
        <v>11</v>
      </c>
      <c r="B4750" s="32" t="inlineStr">
        <is>
          <t>SB1</t>
        </is>
      </c>
      <c r="D4750" s="32" t="n">
        <v>13.98</v>
      </c>
      <c r="E4750" s="32" t="n">
        <v>78.959</v>
      </c>
      <c r="G4750" s="32" t="n">
        <v>2.45</v>
      </c>
      <c r="H4750" s="32" t="inlineStr">
        <is>
          <t>MM</t>
        </is>
      </c>
      <c r="I4750" s="32" t="n">
        <v>78.959</v>
      </c>
      <c r="K4750" s="32" t="inlineStr">
        <is>
          <t>20250514-22</t>
        </is>
      </c>
    </row>
    <row r="4751">
      <c r="A4751" s="32" t="n">
        <v>12</v>
      </c>
      <c r="B4751" s="32" t="inlineStr">
        <is>
          <t>SB2</t>
        </is>
      </c>
      <c r="D4751" s="32" t="n">
        <v>13.99</v>
      </c>
      <c r="E4751" s="32" t="n">
        <v>226.09</v>
      </c>
      <c r="G4751" s="32" t="n">
        <v>5.242</v>
      </c>
      <c r="H4751" s="32" t="inlineStr">
        <is>
          <t>MM</t>
        </is>
      </c>
      <c r="I4751" s="32" t="n">
        <v>226.09</v>
      </c>
      <c r="K4751" s="32" t="inlineStr">
        <is>
          <t>20250514-23</t>
        </is>
      </c>
    </row>
    <row r="4752">
      <c r="A4752" s="32" t="n">
        <v>13</v>
      </c>
      <c r="B4752" s="32" t="inlineStr">
        <is>
          <t>SB3</t>
        </is>
      </c>
      <c r="D4752" s="32" t="n">
        <v>14.01</v>
      </c>
      <c r="E4752" s="32" t="n">
        <v>208.117</v>
      </c>
      <c r="G4752" s="32" t="n">
        <v>2.508</v>
      </c>
      <c r="H4752" s="32" t="inlineStr">
        <is>
          <t>MM</t>
        </is>
      </c>
      <c r="I4752" s="32" t="n">
        <v>208.117</v>
      </c>
      <c r="K4752" s="32" t="inlineStr">
        <is>
          <t>20250514-24</t>
        </is>
      </c>
    </row>
    <row r="4753">
      <c r="A4753" s="32" t="n">
        <v>14</v>
      </c>
      <c r="B4753" s="32" t="inlineStr">
        <is>
          <t>SS1</t>
        </is>
      </c>
      <c r="D4753" s="32" t="n">
        <v>14.02</v>
      </c>
      <c r="E4753" s="32" t="n">
        <v>255.416</v>
      </c>
      <c r="G4753" s="32" t="n">
        <v>12.722</v>
      </c>
      <c r="H4753" s="32" t="inlineStr">
        <is>
          <t>MM</t>
        </is>
      </c>
      <c r="I4753" s="32" t="n">
        <v>255.416</v>
      </c>
      <c r="K4753" s="32" t="inlineStr">
        <is>
          <t>20250514-25</t>
        </is>
      </c>
    </row>
    <row r="4754">
      <c r="A4754" s="32" t="n">
        <v>15</v>
      </c>
      <c r="B4754" s="32" t="inlineStr">
        <is>
          <t>SS2</t>
        </is>
      </c>
      <c r="D4754" s="32" t="n">
        <v>14.05</v>
      </c>
      <c r="E4754" s="32" t="n">
        <v>196.185</v>
      </c>
      <c r="G4754" s="32" t="n">
        <v>8.750999999999999</v>
      </c>
      <c r="H4754" s="32" t="inlineStr">
        <is>
          <t>MM</t>
        </is>
      </c>
      <c r="I4754" s="32" t="n">
        <v>196.185</v>
      </c>
      <c r="K4754" s="32" t="inlineStr">
        <is>
          <t>20250514-26</t>
        </is>
      </c>
    </row>
    <row r="4755">
      <c r="A4755" s="32" t="n">
        <v>16</v>
      </c>
      <c r="B4755" s="32" t="inlineStr">
        <is>
          <t>SS3</t>
        </is>
      </c>
      <c r="D4755" s="32" t="n">
        <v>14.05</v>
      </c>
      <c r="E4755" s="32" t="n">
        <v>226.935</v>
      </c>
      <c r="G4755" s="32" t="n">
        <v>13.685</v>
      </c>
      <c r="H4755" s="32" t="inlineStr">
        <is>
          <t>MM</t>
        </is>
      </c>
      <c r="I4755" s="32" t="n">
        <v>226.935</v>
      </c>
      <c r="K4755" s="32" t="inlineStr">
        <is>
          <t>20250514-27</t>
        </is>
      </c>
    </row>
    <row r="4756">
      <c r="A4756" s="32" t="n">
        <v>17</v>
      </c>
      <c r="B4756" s="32" t="inlineStr">
        <is>
          <t>MeOH</t>
        </is>
      </c>
      <c r="K4756" s="32" t="inlineStr">
        <is>
          <t>20250514-28</t>
        </is>
      </c>
    </row>
    <row r="4757">
      <c r="A4757" s="32" t="n">
        <v>18</v>
      </c>
      <c r="B4757" s="32" t="inlineStr">
        <is>
          <t>K4-1A</t>
        </is>
      </c>
      <c r="D4757" s="32" t="n">
        <v>14.03</v>
      </c>
      <c r="E4757" s="32" t="n">
        <v>384.068</v>
      </c>
      <c r="G4757" s="32" t="n">
        <v>35.922</v>
      </c>
      <c r="H4757" s="32" t="inlineStr">
        <is>
          <t>MM</t>
        </is>
      </c>
      <c r="I4757" s="32" t="n">
        <v>384.068</v>
      </c>
      <c r="K4757" s="32" t="inlineStr">
        <is>
          <t>20250514-29</t>
        </is>
      </c>
    </row>
    <row r="4758">
      <c r="A4758" s="32" t="n">
        <v>19</v>
      </c>
      <c r="B4758" s="32" t="inlineStr">
        <is>
          <t>K4-1B</t>
        </is>
      </c>
      <c r="D4758" s="32" t="n">
        <v>14.05</v>
      </c>
      <c r="E4758" s="32" t="n">
        <v>333.688</v>
      </c>
      <c r="G4758" s="32" t="n">
        <v>8.75</v>
      </c>
      <c r="H4758" s="32" t="inlineStr">
        <is>
          <t>MM</t>
        </is>
      </c>
      <c r="I4758" s="32" t="n">
        <v>333.688</v>
      </c>
      <c r="K4758" s="32" t="inlineStr">
        <is>
          <t>20250514-30</t>
        </is>
      </c>
    </row>
    <row r="4759">
      <c r="A4759" s="32" t="n">
        <v>20</v>
      </c>
      <c r="B4759" s="32" t="inlineStr">
        <is>
          <t>K4-1C</t>
        </is>
      </c>
      <c r="D4759" s="32" t="n">
        <v>14.06</v>
      </c>
      <c r="E4759" s="32" t="n">
        <v>158.296</v>
      </c>
      <c r="G4759" s="32" t="n">
        <v>1158</v>
      </c>
      <c r="H4759" s="32" t="inlineStr">
        <is>
          <t>MM</t>
        </is>
      </c>
      <c r="I4759" s="32" t="n">
        <v>158.296</v>
      </c>
      <c r="K4759" s="32" t="inlineStr">
        <is>
          <t>20250514-31</t>
        </is>
      </c>
    </row>
    <row r="4760">
      <c r="A4760" s="32" t="n">
        <v>21</v>
      </c>
      <c r="B4760" s="32" t="inlineStr">
        <is>
          <t>K4-2A</t>
        </is>
      </c>
      <c r="D4760" s="32" t="n">
        <v>14.06</v>
      </c>
      <c r="E4760" s="32" t="n">
        <v>157.419</v>
      </c>
      <c r="G4760" s="32" t="n">
        <v>1118</v>
      </c>
      <c r="H4760" s="32" t="inlineStr">
        <is>
          <t>MM</t>
        </is>
      </c>
      <c r="I4760" s="32" t="n">
        <v>157.419</v>
      </c>
      <c r="K4760" s="32" t="inlineStr">
        <is>
          <t>20250514-32</t>
        </is>
      </c>
    </row>
    <row r="4761">
      <c r="A4761" s="32" t="n">
        <v>22</v>
      </c>
      <c r="B4761" s="32" t="inlineStr">
        <is>
          <t>K4-2B</t>
        </is>
      </c>
      <c r="D4761" s="32" t="n">
        <v>14.06</v>
      </c>
      <c r="E4761" s="32" t="n">
        <v>327.013</v>
      </c>
      <c r="G4761" s="32" t="n">
        <v>2448</v>
      </c>
      <c r="H4761" s="32" t="inlineStr">
        <is>
          <t>MM</t>
        </is>
      </c>
      <c r="I4761" s="32" t="n">
        <v>327.013</v>
      </c>
      <c r="K4761" s="32" t="inlineStr">
        <is>
          <t>20250514-33</t>
        </is>
      </c>
    </row>
    <row r="4762">
      <c r="A4762" s="32" t="n">
        <v>23</v>
      </c>
      <c r="B4762" s="32" t="inlineStr">
        <is>
          <t>K4-2C</t>
        </is>
      </c>
      <c r="D4762" s="32" t="n">
        <v>14.08</v>
      </c>
      <c r="E4762" s="32" t="n">
        <v>170.863</v>
      </c>
      <c r="G4762" s="32" t="n">
        <v>1.519</v>
      </c>
      <c r="H4762" s="32" t="inlineStr">
        <is>
          <t>MM</t>
        </is>
      </c>
      <c r="I4762" s="32" t="n">
        <v>170.863</v>
      </c>
      <c r="K4762" s="32" t="inlineStr">
        <is>
          <t>20250514-34</t>
        </is>
      </c>
    </row>
    <row r="4763">
      <c r="A4763" s="32" t="n">
        <v>24</v>
      </c>
      <c r="B4763" s="32" t="inlineStr">
        <is>
          <t>MeOH</t>
        </is>
      </c>
      <c r="K4763" s="32" t="inlineStr">
        <is>
          <t>20250514-35</t>
        </is>
      </c>
    </row>
    <row r="4764">
      <c r="A4764" s="32" t="n">
        <v>25</v>
      </c>
      <c r="B4764" s="32" t="inlineStr">
        <is>
          <t>K4-4A</t>
        </is>
      </c>
      <c r="D4764" s="32" t="n">
        <v>14.09</v>
      </c>
      <c r="E4764" s="32" t="n">
        <v>327.307</v>
      </c>
      <c r="G4764" s="32" t="n">
        <v>7.096</v>
      </c>
      <c r="H4764" s="32" t="inlineStr">
        <is>
          <t>MM</t>
        </is>
      </c>
      <c r="I4764" s="32" t="n">
        <v>327.307</v>
      </c>
      <c r="K4764" s="32" t="inlineStr">
        <is>
          <t>20250514-36</t>
        </is>
      </c>
    </row>
    <row r="4765">
      <c r="A4765" s="32" t="n">
        <v>26</v>
      </c>
      <c r="B4765" s="32" t="inlineStr">
        <is>
          <t>K4-4B</t>
        </is>
      </c>
      <c r="D4765" s="32" t="n">
        <v>14.09</v>
      </c>
      <c r="E4765" s="32" t="n">
        <v>387.554</v>
      </c>
      <c r="G4765" s="32" t="n">
        <v>16.692</v>
      </c>
      <c r="H4765" s="32" t="inlineStr">
        <is>
          <t>MM</t>
        </is>
      </c>
      <c r="I4765" s="32" t="n">
        <v>387.554</v>
      </c>
      <c r="K4765" s="32" t="inlineStr">
        <is>
          <t>20250514-37</t>
        </is>
      </c>
    </row>
    <row r="4766">
      <c r="A4766" s="32" t="n">
        <v>27</v>
      </c>
      <c r="B4766" s="32" t="inlineStr">
        <is>
          <t>K4-4C</t>
        </is>
      </c>
      <c r="D4766" s="32" t="n">
        <v>14.08</v>
      </c>
      <c r="E4766" s="32" t="n">
        <v>384.708</v>
      </c>
      <c r="G4766" s="32" t="n">
        <v>7.598</v>
      </c>
      <c r="H4766" s="32" t="inlineStr">
        <is>
          <t>MM</t>
        </is>
      </c>
      <c r="I4766" s="32" t="n">
        <v>384.708</v>
      </c>
      <c r="K4766" s="32" t="inlineStr">
        <is>
          <t>20250514-38</t>
        </is>
      </c>
    </row>
    <row r="4767">
      <c r="A4767" s="32" t="n">
        <v>28</v>
      </c>
      <c r="B4767" s="32" t="inlineStr">
        <is>
          <t>K4-5A</t>
        </is>
      </c>
      <c r="D4767" s="32" t="n">
        <v>14.08</v>
      </c>
      <c r="E4767" s="32" t="n">
        <v>460.966</v>
      </c>
      <c r="G4767" s="32" t="n">
        <v>226.428</v>
      </c>
      <c r="H4767" s="32" t="inlineStr">
        <is>
          <t>MM</t>
        </is>
      </c>
      <c r="I4767" s="32" t="n">
        <v>460.966</v>
      </c>
      <c r="K4767" s="32" t="inlineStr">
        <is>
          <t>20250514-39</t>
        </is>
      </c>
    </row>
    <row r="4768">
      <c r="A4768" s="32" t="n">
        <v>29</v>
      </c>
      <c r="B4768" s="32" t="inlineStr">
        <is>
          <t>K4-5B</t>
        </is>
      </c>
      <c r="D4768" s="32" t="n">
        <v>14.06</v>
      </c>
      <c r="E4768" s="32" t="n">
        <v>279.508</v>
      </c>
      <c r="G4768" s="32" t="n">
        <v>2164</v>
      </c>
      <c r="H4768" s="32" t="inlineStr">
        <is>
          <t>MM</t>
        </is>
      </c>
      <c r="I4768" s="32" t="n">
        <v>279.508</v>
      </c>
      <c r="K4768" s="32" t="inlineStr">
        <is>
          <t>20250514-40</t>
        </is>
      </c>
    </row>
    <row r="4769">
      <c r="A4769" s="32" t="n">
        <v>30</v>
      </c>
      <c r="B4769" s="32" t="inlineStr">
        <is>
          <t>K4-5C</t>
        </is>
      </c>
      <c r="D4769" s="32" t="n">
        <v>13.98</v>
      </c>
      <c r="E4769" s="32" t="n">
        <v>181.064</v>
      </c>
      <c r="G4769" s="32" t="n">
        <v>38.832</v>
      </c>
      <c r="H4769" s="32" t="inlineStr">
        <is>
          <t>MM</t>
        </is>
      </c>
      <c r="I4769" s="32" t="n">
        <v>181.064</v>
      </c>
      <c r="K4769" s="32" t="inlineStr">
        <is>
          <t>20250514-41</t>
        </is>
      </c>
    </row>
    <row r="4770">
      <c r="A4770" s="32" t="n">
        <v>31</v>
      </c>
      <c r="B4770" s="32" t="inlineStr">
        <is>
          <t>MeOH</t>
        </is>
      </c>
      <c r="K4770" s="32" t="inlineStr">
        <is>
          <t>20250514-42</t>
        </is>
      </c>
    </row>
    <row r="4771">
      <c r="A4771" s="32" t="n">
        <v>32</v>
      </c>
      <c r="B4771" s="32" t="inlineStr">
        <is>
          <t>K3-1A</t>
        </is>
      </c>
      <c r="D4771" s="32" t="n">
        <v>13.92</v>
      </c>
      <c r="E4771" s="32" t="n">
        <v>311.962</v>
      </c>
      <c r="G4771" s="32" t="n">
        <v>23.169</v>
      </c>
      <c r="H4771" s="32" t="inlineStr">
        <is>
          <t>MM</t>
        </is>
      </c>
      <c r="I4771" s="32" t="n">
        <v>311.962</v>
      </c>
      <c r="K4771" s="32" t="inlineStr">
        <is>
          <t>20250514-43</t>
        </is>
      </c>
    </row>
    <row r="4772">
      <c r="A4772" s="32" t="n">
        <v>33</v>
      </c>
      <c r="B4772" s="32" t="inlineStr">
        <is>
          <t>K3-1B</t>
        </is>
      </c>
      <c r="D4772" s="32" t="n">
        <v>13.96</v>
      </c>
      <c r="E4772" s="32" t="n">
        <v>262.757</v>
      </c>
      <c r="G4772" s="32" t="n">
        <v>6.54</v>
      </c>
      <c r="H4772" s="32" t="inlineStr">
        <is>
          <t>MM</t>
        </is>
      </c>
      <c r="I4772" s="32" t="n">
        <v>262.757</v>
      </c>
      <c r="K4772" s="32" t="inlineStr">
        <is>
          <t>20250514-44</t>
        </is>
      </c>
    </row>
    <row r="4773">
      <c r="A4773" s="32" t="n">
        <v>34</v>
      </c>
      <c r="B4773" s="32" t="inlineStr">
        <is>
          <t>K3-1C</t>
        </is>
      </c>
      <c r="D4773" s="32" t="n">
        <v>13.98</v>
      </c>
      <c r="E4773" s="32" t="n">
        <v>314.864</v>
      </c>
      <c r="G4773" s="32" t="n">
        <v>1.909</v>
      </c>
      <c r="H4773" s="32" t="inlineStr">
        <is>
          <t>MM</t>
        </is>
      </c>
      <c r="I4773" s="32" t="n">
        <v>314.864</v>
      </c>
      <c r="K4773" s="32" t="inlineStr">
        <is>
          <t>20250514-45</t>
        </is>
      </c>
    </row>
    <row r="4774">
      <c r="A4774" s="32" t="n">
        <v>35</v>
      </c>
      <c r="B4774" s="32" t="inlineStr">
        <is>
          <t>K3-2A</t>
        </is>
      </c>
      <c r="D4774" s="32" t="n">
        <v>14.01</v>
      </c>
      <c r="E4774" s="32" t="n">
        <v>270.571</v>
      </c>
      <c r="G4774" s="32" t="n">
        <v>8.233000000000001</v>
      </c>
      <c r="H4774" s="32" t="inlineStr">
        <is>
          <t>MM</t>
        </is>
      </c>
      <c r="I4774" s="32" t="n">
        <v>270.571</v>
      </c>
      <c r="K4774" s="32" t="inlineStr">
        <is>
          <t>20250514-46</t>
        </is>
      </c>
    </row>
    <row r="4775">
      <c r="A4775" s="32" t="n">
        <v>36</v>
      </c>
      <c r="B4775" s="32" t="inlineStr">
        <is>
          <t>K3-2B</t>
        </is>
      </c>
      <c r="D4775" s="32" t="n">
        <v>13.99</v>
      </c>
      <c r="E4775" s="32" t="n">
        <v>294.775</v>
      </c>
      <c r="G4775" s="32" t="n">
        <v>8.214</v>
      </c>
      <c r="H4775" s="32" t="inlineStr">
        <is>
          <t>MM</t>
        </is>
      </c>
      <c r="I4775" s="32" t="n">
        <v>294.775</v>
      </c>
      <c r="K4775" s="32" t="inlineStr">
        <is>
          <t>20250514-47</t>
        </is>
      </c>
    </row>
    <row r="4776">
      <c r="A4776" s="32" t="n">
        <v>37</v>
      </c>
      <c r="B4776" s="32" t="inlineStr">
        <is>
          <t>K3-2C</t>
        </is>
      </c>
      <c r="D4776" s="32" t="n">
        <v>14.02</v>
      </c>
      <c r="E4776" s="32" t="n">
        <v>125.278</v>
      </c>
      <c r="G4776" s="32" t="n">
        <v>3.125</v>
      </c>
      <c r="H4776" s="32" t="inlineStr">
        <is>
          <t>MM</t>
        </is>
      </c>
      <c r="I4776" s="32" t="n">
        <v>125.278</v>
      </c>
      <c r="K4776" s="32" t="inlineStr">
        <is>
          <t>20250514-48</t>
        </is>
      </c>
    </row>
    <row r="4777">
      <c r="A4777" s="32" t="n">
        <v>38</v>
      </c>
      <c r="B4777" s="32" t="inlineStr">
        <is>
          <t>MeOH</t>
        </is>
      </c>
      <c r="K4777" s="32" t="inlineStr">
        <is>
          <t>20250514-49</t>
        </is>
      </c>
    </row>
    <row r="4778">
      <c r="A4778" s="32" t="n">
        <v>39</v>
      </c>
      <c r="B4778" s="32" t="inlineStr">
        <is>
          <t>K3-3A</t>
        </is>
      </c>
      <c r="D4778" s="32" t="n">
        <v>14.02</v>
      </c>
      <c r="E4778" s="32" t="n">
        <v>284.371</v>
      </c>
      <c r="G4778" s="32" t="n">
        <v>13.885</v>
      </c>
      <c r="H4778" s="32" t="inlineStr">
        <is>
          <t>MM</t>
        </is>
      </c>
      <c r="I4778" s="32" t="n">
        <v>284.371</v>
      </c>
      <c r="K4778" s="32" t="inlineStr">
        <is>
          <t>20250514-50</t>
        </is>
      </c>
    </row>
    <row r="4779">
      <c r="A4779" s="32" t="n">
        <v>40</v>
      </c>
      <c r="B4779" s="32" t="inlineStr">
        <is>
          <t>K3-3B</t>
        </is>
      </c>
      <c r="D4779" s="32" t="n">
        <v>14.05</v>
      </c>
      <c r="E4779" s="32" t="n">
        <v>313.979</v>
      </c>
      <c r="G4779" s="32" t="n">
        <v>7.803</v>
      </c>
      <c r="H4779" s="32" t="inlineStr">
        <is>
          <t>MM</t>
        </is>
      </c>
      <c r="I4779" s="32" t="n">
        <v>313.979</v>
      </c>
      <c r="K4779" s="32" t="inlineStr">
        <is>
          <t>20250514-51</t>
        </is>
      </c>
    </row>
    <row r="4780">
      <c r="A4780" s="32" t="n">
        <v>41</v>
      </c>
      <c r="B4780" s="32" t="inlineStr">
        <is>
          <t>K3-3C</t>
        </is>
      </c>
      <c r="D4780" s="32" t="n">
        <v>14.05</v>
      </c>
      <c r="E4780" s="32" t="n">
        <v>496.198</v>
      </c>
      <c r="G4780" s="32" t="n">
        <v>17.282</v>
      </c>
      <c r="H4780" s="32" t="inlineStr">
        <is>
          <t>MM</t>
        </is>
      </c>
      <c r="I4780" s="32" t="n">
        <v>496.198</v>
      </c>
      <c r="K4780" s="32" t="inlineStr">
        <is>
          <t>20250514-52</t>
        </is>
      </c>
    </row>
    <row r="4781">
      <c r="A4781" s="32" t="n">
        <v>42</v>
      </c>
      <c r="B4781" s="32" t="inlineStr">
        <is>
          <t>K3-4A</t>
        </is>
      </c>
      <c r="D4781" s="32" t="n">
        <v>14.09</v>
      </c>
      <c r="E4781" s="32" t="n">
        <v>478.689</v>
      </c>
      <c r="G4781" s="32" t="n">
        <v>12.943</v>
      </c>
      <c r="H4781" s="32" t="inlineStr">
        <is>
          <t>MM</t>
        </is>
      </c>
      <c r="I4781" s="32" t="n">
        <v>478.689</v>
      </c>
      <c r="K4781" s="32" t="inlineStr">
        <is>
          <t>20250514-53</t>
        </is>
      </c>
    </row>
    <row r="4782">
      <c r="A4782" s="32" t="n">
        <v>43</v>
      </c>
      <c r="B4782" s="32" t="inlineStr">
        <is>
          <t>K3-4B</t>
        </is>
      </c>
      <c r="D4782" s="32" t="n">
        <v>14.06</v>
      </c>
      <c r="E4782" s="32" t="n">
        <v>526.578</v>
      </c>
      <c r="G4782" s="32" t="n">
        <v>2.913</v>
      </c>
      <c r="H4782" s="32" t="inlineStr">
        <is>
          <t>MM</t>
        </is>
      </c>
      <c r="I4782" s="32" t="n">
        <v>526.578</v>
      </c>
      <c r="K4782" s="32" t="inlineStr">
        <is>
          <t>20250514-54</t>
        </is>
      </c>
    </row>
    <row r="4783">
      <c r="A4783" s="32" t="n">
        <v>44</v>
      </c>
      <c r="B4783" s="32" t="inlineStr">
        <is>
          <t>K3-4C</t>
        </is>
      </c>
      <c r="D4783" s="32" t="n">
        <v>14.12</v>
      </c>
      <c r="E4783" s="32" t="n">
        <v>461.389</v>
      </c>
      <c r="G4783" s="32" t="n">
        <v>2.568</v>
      </c>
      <c r="H4783" s="32" t="inlineStr">
        <is>
          <t>MM</t>
        </is>
      </c>
      <c r="I4783" s="32" t="n">
        <v>461.389</v>
      </c>
      <c r="K4783" s="32" t="inlineStr">
        <is>
          <t>20250514-55</t>
        </is>
      </c>
    </row>
    <row r="4784">
      <c r="A4784" s="32" t="n">
        <v>45</v>
      </c>
      <c r="B4784" s="32" t="inlineStr">
        <is>
          <t>MeOH</t>
        </is>
      </c>
      <c r="K4784" s="32" t="inlineStr">
        <is>
          <t>20250514-56</t>
        </is>
      </c>
    </row>
    <row r="4785">
      <c r="A4785" s="32" t="n">
        <v>46</v>
      </c>
      <c r="B4785" s="32" t="inlineStr">
        <is>
          <t>K3-6A</t>
        </is>
      </c>
      <c r="D4785" s="32" t="n">
        <v>14.12</v>
      </c>
      <c r="E4785" s="32" t="n">
        <v>82.629</v>
      </c>
      <c r="G4785" s="32" t="n">
        <v>2.617</v>
      </c>
      <c r="H4785" s="32" t="inlineStr">
        <is>
          <t>MM</t>
        </is>
      </c>
      <c r="I4785" s="32" t="n">
        <v>82.629</v>
      </c>
      <c r="K4785" s="32" t="inlineStr">
        <is>
          <t>20250514-57</t>
        </is>
      </c>
    </row>
    <row r="4786">
      <c r="A4786" s="32" t="n">
        <v>47</v>
      </c>
      <c r="B4786" s="32" t="inlineStr">
        <is>
          <t>K3-6B</t>
        </is>
      </c>
      <c r="D4786" s="32" t="n">
        <v>14.11</v>
      </c>
      <c r="E4786" s="32" t="n">
        <v>409.3</v>
      </c>
      <c r="G4786" s="32" t="n">
        <v>7.617</v>
      </c>
      <c r="H4786" s="32" t="inlineStr">
        <is>
          <t>MM</t>
        </is>
      </c>
      <c r="I4786" s="32" t="n">
        <v>409.3</v>
      </c>
      <c r="K4786" s="32" t="inlineStr">
        <is>
          <t>20250514-58</t>
        </is>
      </c>
    </row>
    <row r="4787">
      <c r="A4787" s="32" t="n">
        <v>48</v>
      </c>
      <c r="B4787" s="32" t="inlineStr">
        <is>
          <t>K3-6C</t>
        </is>
      </c>
      <c r="D4787" s="32" t="n">
        <v>14.11</v>
      </c>
      <c r="E4787" s="32" t="n">
        <v>162.093</v>
      </c>
      <c r="G4787" s="32" t="n">
        <v>2.012</v>
      </c>
      <c r="H4787" s="32" t="inlineStr">
        <is>
          <t>MM</t>
        </is>
      </c>
      <c r="I4787" s="32" t="n">
        <v>162.093</v>
      </c>
      <c r="K4787" s="32" t="inlineStr">
        <is>
          <t>20250514-59</t>
        </is>
      </c>
    </row>
    <row r="4789">
      <c r="A4789" s="32" t="inlineStr">
        <is>
          <t>Compound 93:  N-EtFOSA 1</t>
        </is>
      </c>
    </row>
    <row r="4791">
      <c r="B4791" s="32" t="inlineStr">
        <is>
          <t>Sample Text</t>
        </is>
      </c>
      <c r="C4791" s="32" t="inlineStr">
        <is>
          <t>Std. Conc</t>
        </is>
      </c>
      <c r="D4791" s="32" t="inlineStr">
        <is>
          <t>RT</t>
        </is>
      </c>
      <c r="E4791" s="32" t="inlineStr">
        <is>
          <t>Area</t>
        </is>
      </c>
      <c r="F4791" s="32" t="inlineStr">
        <is>
          <t>IS Area</t>
        </is>
      </c>
      <c r="G4791" s="32" t="inlineStr">
        <is>
          <t>S/N</t>
        </is>
      </c>
      <c r="H4791" s="32" t="inlineStr">
        <is>
          <t>Primary Flags</t>
        </is>
      </c>
      <c r="I4791" s="32" t="inlineStr">
        <is>
          <t>Response</t>
        </is>
      </c>
      <c r="J4791" s="32" t="inlineStr">
        <is>
          <t>Conc.</t>
        </is>
      </c>
      <c r="K4791" s="32" t="inlineStr">
        <is>
          <t>Name</t>
        </is>
      </c>
    </row>
    <row r="4792">
      <c r="A4792" s="32" t="n">
        <v>1</v>
      </c>
      <c r="B4792" s="32" t="inlineStr">
        <is>
          <t>EPA1633 &amp; diPAPs Calibration 0 ppb</t>
        </is>
      </c>
      <c r="D4792" s="32" t="n">
        <v>16.43</v>
      </c>
      <c r="E4792" s="32" t="n">
        <v>84.759</v>
      </c>
      <c r="F4792" s="32" t="n">
        <v>9366.290999999999</v>
      </c>
      <c r="G4792" s="32" t="n">
        <v>2.131</v>
      </c>
      <c r="H4792" s="32" t="inlineStr">
        <is>
          <t>MM</t>
        </is>
      </c>
      <c r="K4792" s="32" t="inlineStr">
        <is>
          <t>20250514-12</t>
        </is>
      </c>
    </row>
    <row r="4793">
      <c r="A4793" s="32" t="n">
        <v>2</v>
      </c>
      <c r="B4793" s="32" t="inlineStr">
        <is>
          <t>EPA1633 &amp; diPAPs Calibration 0.02 ppb</t>
        </is>
      </c>
      <c r="D4793" s="32" t="n">
        <v>16.42</v>
      </c>
      <c r="E4793" s="32" t="n">
        <v>38.431</v>
      </c>
      <c r="F4793" s="32" t="n">
        <v>8227.450000000001</v>
      </c>
      <c r="G4793" s="32" t="n">
        <v>6.325</v>
      </c>
      <c r="H4793" s="32" t="inlineStr">
        <is>
          <t>bb</t>
        </is>
      </c>
      <c r="K4793" s="32" t="inlineStr">
        <is>
          <t>20250514-13</t>
        </is>
      </c>
    </row>
    <row r="4794">
      <c r="A4794" s="32" t="n">
        <v>3</v>
      </c>
      <c r="B4794" s="32" t="inlineStr">
        <is>
          <t>EPA1633 &amp; diPAPs Calibration 0.1 ppb</t>
        </is>
      </c>
      <c r="D4794" s="32" t="n">
        <v>16.44</v>
      </c>
      <c r="E4794" s="32" t="n">
        <v>153.103</v>
      </c>
      <c r="F4794" s="32" t="n">
        <v>8592.939</v>
      </c>
      <c r="G4794" s="32" t="n">
        <v>4.761</v>
      </c>
      <c r="H4794" s="32" t="inlineStr">
        <is>
          <t>MM</t>
        </is>
      </c>
      <c r="K4794" s="32" t="inlineStr">
        <is>
          <t>20250514-14</t>
        </is>
      </c>
    </row>
    <row r="4795">
      <c r="A4795" s="32" t="n">
        <v>4</v>
      </c>
      <c r="B4795" s="32" t="inlineStr">
        <is>
          <t>EPA1633 &amp; diPAPs Calibration 0.4 ppb</t>
        </is>
      </c>
      <c r="D4795" s="32" t="n">
        <v>16.44</v>
      </c>
      <c r="E4795" s="32" t="n">
        <v>534.498</v>
      </c>
      <c r="F4795" s="32" t="n">
        <v>8009.04</v>
      </c>
      <c r="G4795" s="32" t="n">
        <v>4.975</v>
      </c>
      <c r="H4795" s="32" t="inlineStr">
        <is>
          <t>MM</t>
        </is>
      </c>
      <c r="K4795" s="32" t="inlineStr">
        <is>
          <t>20250514-15</t>
        </is>
      </c>
    </row>
    <row r="4796">
      <c r="A4796" s="32" t="n">
        <v>5</v>
      </c>
      <c r="B4796" s="32" t="inlineStr">
        <is>
          <t>EPA1633 &amp; diPAPs Calibration 1 ppb</t>
        </is>
      </c>
      <c r="D4796" s="32" t="n">
        <v>16.42</v>
      </c>
      <c r="E4796" s="32" t="n">
        <v>894.811</v>
      </c>
      <c r="F4796" s="32" t="n">
        <v>9820.112999999999</v>
      </c>
      <c r="G4796" s="32" t="n">
        <v>6984</v>
      </c>
      <c r="H4796" s="32" t="inlineStr">
        <is>
          <t>MM</t>
        </is>
      </c>
      <c r="K4796" s="32" t="inlineStr">
        <is>
          <t>20250514-16</t>
        </is>
      </c>
    </row>
    <row r="4797">
      <c r="A4797" s="32" t="n">
        <v>6</v>
      </c>
      <c r="B4797" s="32" t="inlineStr">
        <is>
          <t>EPA1633 &amp; diPAPs Calibration 5 ppb</t>
        </is>
      </c>
      <c r="D4797" s="32" t="n">
        <v>16.4</v>
      </c>
      <c r="E4797" s="32" t="n">
        <v>5185.272</v>
      </c>
      <c r="F4797" s="32" t="n">
        <v>8875.213</v>
      </c>
      <c r="G4797" s="32" t="n">
        <v>23.241</v>
      </c>
      <c r="H4797" s="32" t="inlineStr">
        <is>
          <t>bb</t>
        </is>
      </c>
      <c r="K4797" s="32" t="inlineStr">
        <is>
          <t>20250514-17</t>
        </is>
      </c>
    </row>
    <row r="4798">
      <c r="A4798" s="32" t="n">
        <v>7</v>
      </c>
      <c r="B4798" s="32" t="inlineStr">
        <is>
          <t>EPA1633 &amp; diPAPs Calibration 10 ppb</t>
        </is>
      </c>
      <c r="D4798" s="32" t="n">
        <v>16.42</v>
      </c>
      <c r="E4798" s="32" t="n">
        <v>8629.624</v>
      </c>
      <c r="F4798" s="32" t="n">
        <v>6292.695</v>
      </c>
      <c r="G4798" s="32" t="n">
        <v>359.581</v>
      </c>
      <c r="H4798" s="32" t="inlineStr">
        <is>
          <t>MM</t>
        </is>
      </c>
      <c r="K4798" s="32" t="inlineStr">
        <is>
          <t>20250514-18</t>
        </is>
      </c>
    </row>
    <row r="4799">
      <c r="A4799" s="32" t="n">
        <v>8</v>
      </c>
      <c r="B4799" s="32" t="inlineStr">
        <is>
          <t>EPA1633 &amp; diPAPs Calibration 20 ppb</t>
        </is>
      </c>
      <c r="D4799" s="32" t="n">
        <v>16.43</v>
      </c>
      <c r="E4799" s="32" t="n">
        <v>20767.504</v>
      </c>
      <c r="F4799" s="32" t="n">
        <v>7803.31</v>
      </c>
      <c r="G4799" s="32" t="n">
        <v>894.763</v>
      </c>
      <c r="H4799" s="32" t="inlineStr">
        <is>
          <t>MM</t>
        </is>
      </c>
      <c r="K4799" s="32" t="inlineStr">
        <is>
          <t>20250514-19</t>
        </is>
      </c>
    </row>
    <row r="4800">
      <c r="A4800" s="32" t="n">
        <v>9</v>
      </c>
      <c r="B4800" s="32" t="inlineStr">
        <is>
          <t>MeOH</t>
        </is>
      </c>
      <c r="F4800" s="32" t="n">
        <v>19.677</v>
      </c>
      <c r="K4800" s="32" t="inlineStr">
        <is>
          <t>20250514-20</t>
        </is>
      </c>
    </row>
    <row r="4801">
      <c r="A4801" s="32" t="n">
        <v>10</v>
      </c>
      <c r="B4801" s="32" t="inlineStr">
        <is>
          <t>MeOH</t>
        </is>
      </c>
      <c r="D4801" s="32" t="n">
        <v>16.71</v>
      </c>
      <c r="E4801" s="32" t="n">
        <v>1.213</v>
      </c>
      <c r="F4801" s="32" t="n">
        <v>0.218</v>
      </c>
      <c r="G4801" s="32" t="n">
        <v>16</v>
      </c>
      <c r="H4801" s="32" t="inlineStr">
        <is>
          <t>bb</t>
        </is>
      </c>
      <c r="K4801" s="32" t="inlineStr">
        <is>
          <t>20250514-21</t>
        </is>
      </c>
    </row>
    <row r="4802">
      <c r="A4802" s="32" t="n">
        <v>11</v>
      </c>
      <c r="B4802" s="32" t="inlineStr">
        <is>
          <t>SB1</t>
        </is>
      </c>
      <c r="D4802" s="32" t="n">
        <v>16.45</v>
      </c>
      <c r="E4802" s="32" t="n">
        <v>104.554</v>
      </c>
      <c r="F4802" s="32" t="n">
        <v>1812.627</v>
      </c>
      <c r="G4802" s="32" t="n">
        <v>44.439</v>
      </c>
      <c r="H4802" s="32" t="inlineStr">
        <is>
          <t>MM</t>
        </is>
      </c>
      <c r="K4802" s="32" t="inlineStr">
        <is>
          <t>20250514-22</t>
        </is>
      </c>
    </row>
    <row r="4803">
      <c r="A4803" s="32" t="n">
        <v>12</v>
      </c>
      <c r="B4803" s="32" t="inlineStr">
        <is>
          <t>SB2</t>
        </is>
      </c>
      <c r="D4803" s="32" t="n">
        <v>16.51</v>
      </c>
      <c r="E4803" s="32" t="n">
        <v>1.071</v>
      </c>
      <c r="F4803" s="32" t="n">
        <v>2140.853</v>
      </c>
      <c r="G4803" s="32" t="n">
        <v>0.257</v>
      </c>
      <c r="H4803" s="32" t="inlineStr">
        <is>
          <t>MM</t>
        </is>
      </c>
      <c r="K4803" s="32" t="inlineStr">
        <is>
          <t>20250514-23</t>
        </is>
      </c>
    </row>
    <row r="4804">
      <c r="A4804" s="32" t="n">
        <v>13</v>
      </c>
      <c r="B4804" s="32" t="inlineStr">
        <is>
          <t>SB3</t>
        </is>
      </c>
      <c r="F4804" s="32" t="n">
        <v>2104.667</v>
      </c>
      <c r="K4804" s="32" t="inlineStr">
        <is>
          <t>20250514-24</t>
        </is>
      </c>
    </row>
    <row r="4805">
      <c r="A4805" s="32" t="n">
        <v>14</v>
      </c>
      <c r="B4805" s="32" t="inlineStr">
        <is>
          <t>SS1</t>
        </is>
      </c>
      <c r="D4805" s="32" t="n">
        <v>16.49</v>
      </c>
      <c r="E4805" s="32" t="n">
        <v>2626.52</v>
      </c>
      <c r="F4805" s="32" t="n">
        <v>2157.787</v>
      </c>
      <c r="G4805" s="32" t="n">
        <v>25444</v>
      </c>
      <c r="H4805" s="32" t="inlineStr">
        <is>
          <t>MM</t>
        </is>
      </c>
      <c r="K4805" s="32" t="inlineStr">
        <is>
          <t>20250514-25</t>
        </is>
      </c>
    </row>
    <row r="4806">
      <c r="A4806" s="32" t="n">
        <v>15</v>
      </c>
      <c r="B4806" s="32" t="inlineStr">
        <is>
          <t>SS2</t>
        </is>
      </c>
      <c r="D4806" s="32" t="n">
        <v>16.5</v>
      </c>
      <c r="E4806" s="32" t="n">
        <v>2659.155</v>
      </c>
      <c r="F4806" s="32" t="n">
        <v>2467.77</v>
      </c>
      <c r="G4806" s="32" t="n">
        <v>25115</v>
      </c>
      <c r="H4806" s="32" t="inlineStr">
        <is>
          <t>MM</t>
        </is>
      </c>
      <c r="K4806" s="32" t="inlineStr">
        <is>
          <t>20250514-26</t>
        </is>
      </c>
    </row>
    <row r="4807">
      <c r="A4807" s="32" t="n">
        <v>16</v>
      </c>
      <c r="B4807" s="32" t="inlineStr">
        <is>
          <t>SS3</t>
        </is>
      </c>
      <c r="D4807" s="32" t="n">
        <v>16.51</v>
      </c>
      <c r="E4807" s="32" t="n">
        <v>2371.318</v>
      </c>
      <c r="F4807" s="32" t="n">
        <v>2130.298</v>
      </c>
      <c r="G4807" s="32" t="n">
        <v>90.42700000000001</v>
      </c>
      <c r="H4807" s="32" t="inlineStr">
        <is>
          <t>MM</t>
        </is>
      </c>
      <c r="K4807" s="32" t="inlineStr">
        <is>
          <t>20250514-27</t>
        </is>
      </c>
    </row>
    <row r="4808">
      <c r="A4808" s="32" t="n">
        <v>17</v>
      </c>
      <c r="B4808" s="32" t="inlineStr">
        <is>
          <t>MeOH</t>
        </is>
      </c>
      <c r="H4808" s="32" t="inlineStr">
        <is>
          <t>MM-</t>
        </is>
      </c>
      <c r="K4808" s="32" t="inlineStr">
        <is>
          <t>20250514-28</t>
        </is>
      </c>
    </row>
    <row r="4809">
      <c r="A4809" s="32" t="n">
        <v>18</v>
      </c>
      <c r="B4809" s="32" t="inlineStr">
        <is>
          <t>K4-1A</t>
        </is>
      </c>
      <c r="D4809" s="32" t="n">
        <v>16.92</v>
      </c>
      <c r="E4809" s="32" t="n">
        <v>49.901</v>
      </c>
      <c r="F4809" s="32" t="n">
        <v>3005.722</v>
      </c>
      <c r="G4809" s="32" t="n">
        <v>2.621</v>
      </c>
      <c r="H4809" s="32" t="inlineStr">
        <is>
          <t>bb</t>
        </is>
      </c>
      <c r="K4809" s="32" t="inlineStr">
        <is>
          <t>20250514-29</t>
        </is>
      </c>
    </row>
    <row r="4810">
      <c r="A4810" s="32" t="n">
        <v>19</v>
      </c>
      <c r="B4810" s="32" t="inlineStr">
        <is>
          <t>K4-1B</t>
        </is>
      </c>
      <c r="D4810" s="32" t="n">
        <v>16.27</v>
      </c>
      <c r="E4810" s="32" t="n">
        <v>5.42</v>
      </c>
      <c r="F4810" s="32" t="n">
        <v>2753.095</v>
      </c>
      <c r="G4810" s="32" t="n">
        <v>55</v>
      </c>
      <c r="H4810" s="32" t="inlineStr">
        <is>
          <t>bb</t>
        </is>
      </c>
      <c r="K4810" s="32" t="inlineStr">
        <is>
          <t>20250514-30</t>
        </is>
      </c>
    </row>
    <row r="4811">
      <c r="A4811" s="32" t="n">
        <v>20</v>
      </c>
      <c r="B4811" s="32" t="inlineStr">
        <is>
          <t>K4-1C</t>
        </is>
      </c>
      <c r="D4811" s="32" t="n">
        <v>16.28</v>
      </c>
      <c r="E4811" s="32" t="n">
        <v>1.058</v>
      </c>
      <c r="F4811" s="32" t="n">
        <v>3219.148</v>
      </c>
      <c r="G4811" s="32" t="n">
        <v>11</v>
      </c>
      <c r="H4811" s="32" t="inlineStr">
        <is>
          <t>bb</t>
        </is>
      </c>
      <c r="K4811" s="32" t="inlineStr">
        <is>
          <t>20250514-31</t>
        </is>
      </c>
    </row>
    <row r="4812">
      <c r="A4812" s="32" t="n">
        <v>21</v>
      </c>
      <c r="B4812" s="32" t="inlineStr">
        <is>
          <t>K4-2A</t>
        </is>
      </c>
      <c r="D4812" s="32" t="n">
        <v>16.49</v>
      </c>
      <c r="E4812" s="32" t="n">
        <v>11.352</v>
      </c>
      <c r="F4812" s="32" t="n">
        <v>3074.921</v>
      </c>
      <c r="G4812" s="32" t="n">
        <v>137</v>
      </c>
      <c r="H4812" s="32" t="inlineStr">
        <is>
          <t>MM</t>
        </is>
      </c>
      <c r="K4812" s="32" t="inlineStr">
        <is>
          <t>20250514-32</t>
        </is>
      </c>
    </row>
    <row r="4813">
      <c r="A4813" s="32" t="n">
        <v>22</v>
      </c>
      <c r="B4813" s="32" t="inlineStr">
        <is>
          <t>K4-2B</t>
        </is>
      </c>
      <c r="D4813" s="32" t="n">
        <v>16.15</v>
      </c>
      <c r="E4813" s="32" t="n">
        <v>1.072</v>
      </c>
      <c r="F4813" s="32" t="n">
        <v>2113.953</v>
      </c>
      <c r="G4813" s="32" t="n">
        <v>11</v>
      </c>
      <c r="H4813" s="32" t="inlineStr">
        <is>
          <t>bb</t>
        </is>
      </c>
      <c r="K4813" s="32" t="inlineStr">
        <is>
          <t>20250514-33</t>
        </is>
      </c>
    </row>
    <row r="4814">
      <c r="A4814" s="32" t="n">
        <v>23</v>
      </c>
      <c r="B4814" s="32" t="inlineStr">
        <is>
          <t>K4-2C</t>
        </is>
      </c>
      <c r="F4814" s="32" t="n">
        <v>2043.23</v>
      </c>
      <c r="K4814" s="32" t="inlineStr">
        <is>
          <t>20250514-34</t>
        </is>
      </c>
    </row>
    <row r="4815">
      <c r="A4815" s="32" t="n">
        <v>24</v>
      </c>
      <c r="B4815" s="32" t="inlineStr">
        <is>
          <t>MeOH</t>
        </is>
      </c>
      <c r="K4815" s="32" t="inlineStr">
        <is>
          <t>20250514-35</t>
        </is>
      </c>
    </row>
    <row r="4816">
      <c r="A4816" s="32" t="n">
        <v>25</v>
      </c>
      <c r="B4816" s="32" t="inlineStr">
        <is>
          <t>K4-4A</t>
        </is>
      </c>
      <c r="F4816" s="32" t="n">
        <v>3196.453</v>
      </c>
      <c r="K4816" s="32" t="inlineStr">
        <is>
          <t>20250514-36</t>
        </is>
      </c>
    </row>
    <row r="4817">
      <c r="A4817" s="32" t="n">
        <v>26</v>
      </c>
      <c r="B4817" s="32" t="inlineStr">
        <is>
          <t>K4-4B</t>
        </is>
      </c>
      <c r="D4817" s="32" t="n">
        <v>16.59</v>
      </c>
      <c r="E4817" s="32" t="n">
        <v>1.192</v>
      </c>
      <c r="F4817" s="32" t="n">
        <v>2390.072</v>
      </c>
      <c r="G4817" s="32" t="n">
        <v>16</v>
      </c>
      <c r="H4817" s="32" t="inlineStr">
        <is>
          <t>MM</t>
        </is>
      </c>
      <c r="K4817" s="32" t="inlineStr">
        <is>
          <t>20250514-37</t>
        </is>
      </c>
    </row>
    <row r="4818">
      <c r="A4818" s="32" t="n">
        <v>27</v>
      </c>
      <c r="B4818" s="32" t="inlineStr">
        <is>
          <t>K4-4C</t>
        </is>
      </c>
      <c r="F4818" s="32" t="n">
        <v>2962.253</v>
      </c>
      <c r="K4818" s="32" t="inlineStr">
        <is>
          <t>20250514-38</t>
        </is>
      </c>
    </row>
    <row r="4819">
      <c r="A4819" s="32" t="n">
        <v>28</v>
      </c>
      <c r="B4819" s="32" t="inlineStr">
        <is>
          <t>K4-5A</t>
        </is>
      </c>
      <c r="D4819" s="32" t="n">
        <v>16.57</v>
      </c>
      <c r="E4819" s="32" t="n">
        <v>1.826</v>
      </c>
      <c r="F4819" s="32" t="n">
        <v>2517.348</v>
      </c>
      <c r="G4819" s="32" t="n">
        <v>0.398</v>
      </c>
      <c r="H4819" s="32" t="inlineStr">
        <is>
          <t>bb</t>
        </is>
      </c>
      <c r="K4819" s="32" t="inlineStr">
        <is>
          <t>20250514-39</t>
        </is>
      </c>
    </row>
    <row r="4820">
      <c r="A4820" s="32" t="n">
        <v>29</v>
      </c>
      <c r="B4820" s="32" t="inlineStr">
        <is>
          <t>K4-5B</t>
        </is>
      </c>
      <c r="D4820" s="32" t="n">
        <v>16.52</v>
      </c>
      <c r="E4820" s="32" t="n">
        <v>11.006</v>
      </c>
      <c r="F4820" s="32" t="n">
        <v>2760.21</v>
      </c>
      <c r="G4820" s="32" t="n">
        <v>139</v>
      </c>
      <c r="H4820" s="32" t="inlineStr">
        <is>
          <t>MM</t>
        </is>
      </c>
      <c r="K4820" s="32" t="inlineStr">
        <is>
          <t>20250514-40</t>
        </is>
      </c>
    </row>
    <row r="4821">
      <c r="A4821" s="32" t="n">
        <v>30</v>
      </c>
      <c r="B4821" s="32" t="inlineStr">
        <is>
          <t>K4-5C</t>
        </is>
      </c>
      <c r="D4821" s="32" t="n">
        <v>16.03</v>
      </c>
      <c r="E4821" s="32" t="n">
        <v>4.277</v>
      </c>
      <c r="F4821" s="32" t="n">
        <v>2323.882</v>
      </c>
      <c r="G4821" s="32" t="n">
        <v>44</v>
      </c>
      <c r="H4821" s="32" t="inlineStr">
        <is>
          <t>bb</t>
        </is>
      </c>
      <c r="K4821" s="32" t="inlineStr">
        <is>
          <t>20250514-41</t>
        </is>
      </c>
    </row>
    <row r="4822">
      <c r="A4822" s="32" t="n">
        <v>31</v>
      </c>
      <c r="B4822" s="32" t="inlineStr">
        <is>
          <t>MeOH</t>
        </is>
      </c>
      <c r="D4822" s="32" t="n">
        <v>16.47</v>
      </c>
      <c r="E4822" s="32" t="n">
        <v>9.835000000000001</v>
      </c>
      <c r="G4822" s="32" t="n">
        <v>113</v>
      </c>
      <c r="H4822" s="32" t="inlineStr">
        <is>
          <t>bb</t>
        </is>
      </c>
      <c r="K4822" s="32" t="inlineStr">
        <is>
          <t>20250514-42</t>
        </is>
      </c>
    </row>
    <row r="4823">
      <c r="A4823" s="32" t="n">
        <v>32</v>
      </c>
      <c r="B4823" s="32" t="inlineStr">
        <is>
          <t>K3-1A</t>
        </is>
      </c>
      <c r="F4823" s="32" t="n">
        <v>3000.735</v>
      </c>
      <c r="K4823" s="32" t="inlineStr">
        <is>
          <t>20250514-43</t>
        </is>
      </c>
    </row>
    <row r="4824">
      <c r="A4824" s="32" t="n">
        <v>33</v>
      </c>
      <c r="B4824" s="32" t="inlineStr">
        <is>
          <t>K3-1B</t>
        </is>
      </c>
      <c r="D4824" s="32" t="n">
        <v>16.5</v>
      </c>
      <c r="E4824" s="32" t="n">
        <v>1.102</v>
      </c>
      <c r="F4824" s="32" t="n">
        <v>1898.942</v>
      </c>
      <c r="G4824" s="32" t="n">
        <v>13</v>
      </c>
      <c r="H4824" s="32" t="inlineStr">
        <is>
          <t>bb</t>
        </is>
      </c>
      <c r="K4824" s="32" t="inlineStr">
        <is>
          <t>20250514-44</t>
        </is>
      </c>
    </row>
    <row r="4825">
      <c r="A4825" s="32" t="n">
        <v>34</v>
      </c>
      <c r="B4825" s="32" t="inlineStr">
        <is>
          <t>K3-1C</t>
        </is>
      </c>
      <c r="F4825" s="32" t="n">
        <v>3850.193</v>
      </c>
      <c r="K4825" s="32" t="inlineStr">
        <is>
          <t>20250514-45</t>
        </is>
      </c>
    </row>
    <row r="4826">
      <c r="A4826" s="32" t="n">
        <v>35</v>
      </c>
      <c r="B4826" s="32" t="inlineStr">
        <is>
          <t>K3-2A</t>
        </is>
      </c>
      <c r="D4826" s="32" t="n">
        <v>16.52</v>
      </c>
      <c r="E4826" s="32" t="n">
        <v>20.768</v>
      </c>
      <c r="F4826" s="32" t="n">
        <v>3639.932</v>
      </c>
      <c r="G4826" s="32" t="n">
        <v>4.785</v>
      </c>
      <c r="H4826" s="32" t="inlineStr">
        <is>
          <t>bb</t>
        </is>
      </c>
      <c r="K4826" s="32" t="inlineStr">
        <is>
          <t>20250514-46</t>
        </is>
      </c>
    </row>
    <row r="4827">
      <c r="A4827" s="32" t="n">
        <v>36</v>
      </c>
      <c r="B4827" s="32" t="inlineStr">
        <is>
          <t>K3-2B</t>
        </is>
      </c>
      <c r="D4827" s="32" t="n">
        <v>16.64</v>
      </c>
      <c r="E4827" s="32" t="n">
        <v>1.524</v>
      </c>
      <c r="F4827" s="32" t="n">
        <v>3692.815</v>
      </c>
      <c r="G4827" s="32" t="n">
        <v>0.175</v>
      </c>
      <c r="H4827" s="32" t="inlineStr">
        <is>
          <t>MM</t>
        </is>
      </c>
      <c r="K4827" s="32" t="inlineStr">
        <is>
          <t>20250514-47</t>
        </is>
      </c>
    </row>
    <row r="4828">
      <c r="A4828" s="32" t="n">
        <v>37</v>
      </c>
      <c r="B4828" s="32" t="inlineStr">
        <is>
          <t>K3-2C</t>
        </is>
      </c>
      <c r="F4828" s="32" t="n">
        <v>2895.058</v>
      </c>
      <c r="K4828" s="32" t="inlineStr">
        <is>
          <t>20250514-48</t>
        </is>
      </c>
    </row>
    <row r="4829">
      <c r="A4829" s="32" t="n">
        <v>38</v>
      </c>
      <c r="B4829" s="32" t="inlineStr">
        <is>
          <t>MeOH</t>
        </is>
      </c>
      <c r="D4829" s="32" t="n">
        <v>16.59</v>
      </c>
      <c r="E4829" s="32" t="n">
        <v>6.148</v>
      </c>
      <c r="G4829" s="32" t="n">
        <v>81</v>
      </c>
      <c r="H4829" s="32" t="inlineStr">
        <is>
          <t>bb</t>
        </is>
      </c>
      <c r="K4829" s="32" t="inlineStr">
        <is>
          <t>20250514-49</t>
        </is>
      </c>
    </row>
    <row r="4830">
      <c r="A4830" s="32" t="n">
        <v>39</v>
      </c>
      <c r="B4830" s="32" t="inlineStr">
        <is>
          <t>K3-3A</t>
        </is>
      </c>
      <c r="F4830" s="32" t="n">
        <v>2161.935</v>
      </c>
      <c r="K4830" s="32" t="inlineStr">
        <is>
          <t>20250514-50</t>
        </is>
      </c>
    </row>
    <row r="4831">
      <c r="A4831" s="32" t="n">
        <v>40</v>
      </c>
      <c r="B4831" s="32" t="inlineStr">
        <is>
          <t>K3-3B</t>
        </is>
      </c>
      <c r="D4831" s="32" t="n">
        <v>16.61</v>
      </c>
      <c r="E4831" s="32" t="n">
        <v>1.131</v>
      </c>
      <c r="F4831" s="32" t="n">
        <v>3048.598</v>
      </c>
      <c r="G4831" s="32" t="n">
        <v>15</v>
      </c>
      <c r="H4831" s="32" t="inlineStr">
        <is>
          <t>bb</t>
        </is>
      </c>
      <c r="K4831" s="32" t="inlineStr">
        <is>
          <t>20250514-51</t>
        </is>
      </c>
    </row>
    <row r="4832">
      <c r="A4832" s="32" t="n">
        <v>41</v>
      </c>
      <c r="B4832" s="32" t="inlineStr">
        <is>
          <t>K3-3C</t>
        </is>
      </c>
      <c r="D4832" s="32" t="n">
        <v>16.61</v>
      </c>
      <c r="E4832" s="32" t="n">
        <v>12.505</v>
      </c>
      <c r="F4832" s="32" t="n">
        <v>3225.971</v>
      </c>
      <c r="G4832" s="32" t="n">
        <v>155</v>
      </c>
      <c r="H4832" s="32" t="inlineStr">
        <is>
          <t>bb</t>
        </is>
      </c>
      <c r="K4832" s="32" t="inlineStr">
        <is>
          <t>20250514-52</t>
        </is>
      </c>
    </row>
    <row r="4833">
      <c r="A4833" s="32" t="n">
        <v>42</v>
      </c>
      <c r="B4833" s="32" t="inlineStr">
        <is>
          <t>K3-4A</t>
        </is>
      </c>
      <c r="F4833" s="32" t="n">
        <v>3658.864</v>
      </c>
      <c r="K4833" s="32" t="inlineStr">
        <is>
          <t>20250514-53</t>
        </is>
      </c>
    </row>
    <row r="4834">
      <c r="A4834" s="32" t="n">
        <v>43</v>
      </c>
      <c r="B4834" s="32" t="inlineStr">
        <is>
          <t>K3-4B</t>
        </is>
      </c>
      <c r="D4834" s="32" t="n">
        <v>16.39</v>
      </c>
      <c r="E4834" s="32" t="n">
        <v>7.001</v>
      </c>
      <c r="F4834" s="32" t="n">
        <v>3040.107</v>
      </c>
      <c r="G4834" s="32" t="n">
        <v>63</v>
      </c>
      <c r="H4834" s="32" t="inlineStr">
        <is>
          <t>MM</t>
        </is>
      </c>
      <c r="K4834" s="32" t="inlineStr">
        <is>
          <t>20250514-54</t>
        </is>
      </c>
    </row>
    <row r="4835">
      <c r="A4835" s="32" t="n">
        <v>44</v>
      </c>
      <c r="B4835" s="32" t="inlineStr">
        <is>
          <t>K3-4C</t>
        </is>
      </c>
      <c r="D4835" s="32" t="n">
        <v>15.83</v>
      </c>
      <c r="E4835" s="32" t="n">
        <v>17.124</v>
      </c>
      <c r="F4835" s="32" t="n">
        <v>3328.993</v>
      </c>
      <c r="G4835" s="32" t="n">
        <v>151</v>
      </c>
      <c r="H4835" s="32" t="inlineStr">
        <is>
          <t>MM</t>
        </is>
      </c>
      <c r="K4835" s="32" t="inlineStr">
        <is>
          <t>20250514-55</t>
        </is>
      </c>
    </row>
    <row r="4836">
      <c r="A4836" s="32" t="n">
        <v>45</v>
      </c>
      <c r="B4836" s="32" t="inlineStr">
        <is>
          <t>MeOH</t>
        </is>
      </c>
      <c r="F4836" s="32" t="n">
        <v>22.63</v>
      </c>
      <c r="H4836" s="32" t="inlineStr">
        <is>
          <t>MM-</t>
        </is>
      </c>
      <c r="K4836" s="32" t="inlineStr">
        <is>
          <t>20250514-56</t>
        </is>
      </c>
    </row>
    <row r="4837">
      <c r="A4837" s="32" t="n">
        <v>46</v>
      </c>
      <c r="B4837" s="32" t="inlineStr">
        <is>
          <t>K3-6A</t>
        </is>
      </c>
      <c r="D4837" s="32" t="n">
        <v>16.66</v>
      </c>
      <c r="E4837" s="32" t="n">
        <v>0.467</v>
      </c>
      <c r="F4837" s="32" t="n">
        <v>3672.744</v>
      </c>
      <c r="G4837" s="32" t="n">
        <v>6</v>
      </c>
      <c r="H4837" s="32" t="inlineStr">
        <is>
          <t>MM</t>
        </is>
      </c>
      <c r="K4837" s="32" t="inlineStr">
        <is>
          <t>20250514-57</t>
        </is>
      </c>
    </row>
    <row r="4838">
      <c r="A4838" s="32" t="n">
        <v>47</v>
      </c>
      <c r="B4838" s="32" t="inlineStr">
        <is>
          <t>K3-6B</t>
        </is>
      </c>
      <c r="D4838" s="32" t="n">
        <v>15.83</v>
      </c>
      <c r="E4838" s="32" t="n">
        <v>0.8149999999999999</v>
      </c>
      <c r="F4838" s="32" t="n">
        <v>2772.744</v>
      </c>
      <c r="G4838" s="32" t="n">
        <v>7</v>
      </c>
      <c r="H4838" s="32" t="inlineStr">
        <is>
          <t>MM</t>
        </is>
      </c>
      <c r="K4838" s="32" t="inlineStr">
        <is>
          <t>20250514-58</t>
        </is>
      </c>
    </row>
    <row r="4839">
      <c r="A4839" s="32" t="n">
        <v>48</v>
      </c>
      <c r="B4839" s="32" t="inlineStr">
        <is>
          <t>K3-6C</t>
        </is>
      </c>
      <c r="D4839" s="32" t="n">
        <v>16.3</v>
      </c>
      <c r="E4839" s="32" t="n">
        <v>4.174</v>
      </c>
      <c r="F4839" s="32" t="n">
        <v>2464.405</v>
      </c>
      <c r="G4839" s="32" t="n">
        <v>45</v>
      </c>
      <c r="H4839" s="32" t="inlineStr">
        <is>
          <t>bb</t>
        </is>
      </c>
      <c r="K4839" s="32" t="inlineStr">
        <is>
          <t>20250514-59</t>
        </is>
      </c>
    </row>
    <row r="4841">
      <c r="A4841" s="32" t="inlineStr">
        <is>
          <t>Compound 94:  N-EtFOSA 2</t>
        </is>
      </c>
    </row>
    <row r="4843">
      <c r="B4843" s="32" t="inlineStr">
        <is>
          <t>Sample Text</t>
        </is>
      </c>
      <c r="C4843" s="32" t="inlineStr">
        <is>
          <t>Std. Conc</t>
        </is>
      </c>
      <c r="D4843" s="32" t="inlineStr">
        <is>
          <t>RT</t>
        </is>
      </c>
      <c r="E4843" s="32" t="inlineStr">
        <is>
          <t>Area</t>
        </is>
      </c>
      <c r="F4843" s="32" t="inlineStr">
        <is>
          <t>IS Area</t>
        </is>
      </c>
      <c r="G4843" s="32" t="inlineStr">
        <is>
          <t>S/N</t>
        </is>
      </c>
      <c r="H4843" s="32" t="inlineStr">
        <is>
          <t>Primary Flags</t>
        </is>
      </c>
      <c r="I4843" s="32" t="inlineStr">
        <is>
          <t>Response</t>
        </is>
      </c>
      <c r="J4843" s="32" t="inlineStr">
        <is>
          <t>Conc.</t>
        </is>
      </c>
      <c r="K4843" s="32" t="inlineStr">
        <is>
          <t>Name</t>
        </is>
      </c>
    </row>
    <row r="4844">
      <c r="A4844" s="32" t="n">
        <v>1</v>
      </c>
      <c r="B4844" s="32" t="inlineStr">
        <is>
          <t>EPA1633 &amp; diPAPs Calibration 0 ppb</t>
        </is>
      </c>
      <c r="D4844" s="32" t="n">
        <v>16.44</v>
      </c>
      <c r="E4844" s="32" t="n">
        <v>72.907</v>
      </c>
      <c r="F4844" s="32" t="n">
        <v>8805.511</v>
      </c>
      <c r="G4844" s="32" t="n">
        <v>2.477</v>
      </c>
      <c r="H4844" s="32" t="inlineStr">
        <is>
          <t>bb</t>
        </is>
      </c>
      <c r="K4844" s="32" t="inlineStr">
        <is>
          <t>20250514-12</t>
        </is>
      </c>
    </row>
    <row r="4845">
      <c r="A4845" s="32" t="n">
        <v>2</v>
      </c>
      <c r="B4845" s="32" t="inlineStr">
        <is>
          <t>EPA1633 &amp; diPAPs Calibration 0.02 ppb</t>
        </is>
      </c>
      <c r="D4845" s="32" t="n">
        <v>16.43</v>
      </c>
      <c r="E4845" s="32" t="n">
        <v>100.898</v>
      </c>
      <c r="F4845" s="32" t="n">
        <v>8225.773999999999</v>
      </c>
      <c r="G4845" s="32" t="n">
        <v>3.341</v>
      </c>
      <c r="H4845" s="32" t="inlineStr">
        <is>
          <t>bb</t>
        </is>
      </c>
      <c r="K4845" s="32" t="inlineStr">
        <is>
          <t>20250514-13</t>
        </is>
      </c>
    </row>
    <row r="4846">
      <c r="A4846" s="32" t="n">
        <v>3</v>
      </c>
      <c r="B4846" s="32" t="inlineStr">
        <is>
          <t>EPA1633 &amp; diPAPs Calibration 0.1 ppb</t>
        </is>
      </c>
      <c r="D4846" s="32" t="n">
        <v>16.44</v>
      </c>
      <c r="E4846" s="32" t="n">
        <v>147.853</v>
      </c>
      <c r="F4846" s="32" t="n">
        <v>8206.088</v>
      </c>
      <c r="G4846" s="32" t="n">
        <v>4.81</v>
      </c>
      <c r="H4846" s="32" t="inlineStr">
        <is>
          <t>bb</t>
        </is>
      </c>
      <c r="K4846" s="32" t="inlineStr">
        <is>
          <t>20250514-14</t>
        </is>
      </c>
    </row>
    <row r="4847">
      <c r="A4847" s="32" t="n">
        <v>4</v>
      </c>
      <c r="B4847" s="32" t="inlineStr">
        <is>
          <t>EPA1633 &amp; diPAPs Calibration 0.4 ppb</t>
        </is>
      </c>
      <c r="D4847" s="32" t="n">
        <v>16.44</v>
      </c>
      <c r="E4847" s="32" t="n">
        <v>822.635</v>
      </c>
      <c r="F4847" s="32" t="n">
        <v>7974.231</v>
      </c>
      <c r="G4847" s="32" t="n">
        <v>14.554</v>
      </c>
      <c r="H4847" s="32" t="inlineStr">
        <is>
          <t>MM</t>
        </is>
      </c>
      <c r="K4847" s="32" t="inlineStr">
        <is>
          <t>20250514-15</t>
        </is>
      </c>
    </row>
    <row r="4848">
      <c r="A4848" s="32" t="n">
        <v>5</v>
      </c>
      <c r="B4848" s="32" t="inlineStr">
        <is>
          <t>EPA1633 &amp; diPAPs Calibration 1 ppb</t>
        </is>
      </c>
      <c r="D4848" s="32" t="n">
        <v>16.42</v>
      </c>
      <c r="E4848" s="32" t="n">
        <v>1277.525</v>
      </c>
      <c r="F4848" s="32" t="n">
        <v>9726.778</v>
      </c>
      <c r="G4848" s="32" t="n">
        <v>9.02</v>
      </c>
      <c r="H4848" s="32" t="inlineStr">
        <is>
          <t>bb</t>
        </is>
      </c>
      <c r="K4848" s="32" t="inlineStr">
        <is>
          <t>20250514-16</t>
        </is>
      </c>
    </row>
    <row r="4849">
      <c r="A4849" s="32" t="n">
        <v>6</v>
      </c>
      <c r="B4849" s="32" t="inlineStr">
        <is>
          <t>EPA1633 &amp; diPAPs Calibration 5 ppb</t>
        </is>
      </c>
      <c r="D4849" s="32" t="n">
        <v>16.4</v>
      </c>
      <c r="E4849" s="32" t="n">
        <v>4807.257</v>
      </c>
      <c r="F4849" s="32" t="n">
        <v>8449.726000000001</v>
      </c>
      <c r="G4849" s="32" t="n">
        <v>192.286</v>
      </c>
      <c r="H4849" s="32" t="inlineStr">
        <is>
          <t>bb</t>
        </is>
      </c>
      <c r="K4849" s="32" t="inlineStr">
        <is>
          <t>20250514-17</t>
        </is>
      </c>
    </row>
    <row r="4850">
      <c r="A4850" s="32" t="n">
        <v>7</v>
      </c>
      <c r="B4850" s="32" t="inlineStr">
        <is>
          <t>EPA1633 &amp; diPAPs Calibration 10 ppb</t>
        </is>
      </c>
      <c r="D4850" s="32" t="n">
        <v>16.42</v>
      </c>
      <c r="E4850" s="32" t="n">
        <v>9520.807000000001</v>
      </c>
      <c r="F4850" s="32" t="n">
        <v>6390.667</v>
      </c>
      <c r="G4850" s="32" t="n">
        <v>143.744</v>
      </c>
      <c r="H4850" s="32" t="inlineStr">
        <is>
          <t>bb</t>
        </is>
      </c>
      <c r="K4850" s="32" t="inlineStr">
        <is>
          <t>20250514-18</t>
        </is>
      </c>
    </row>
    <row r="4851">
      <c r="A4851" s="32" t="n">
        <v>8</v>
      </c>
      <c r="B4851" s="32" t="inlineStr">
        <is>
          <t>EPA1633 &amp; diPAPs Calibration 20 ppb</t>
        </is>
      </c>
      <c r="D4851" s="32" t="n">
        <v>16.43</v>
      </c>
      <c r="E4851" s="32" t="n">
        <v>20631.234</v>
      </c>
      <c r="F4851" s="32" t="n">
        <v>7988.824</v>
      </c>
      <c r="G4851" s="32" t="n">
        <v>336.812</v>
      </c>
      <c r="H4851" s="32" t="inlineStr">
        <is>
          <t>bb</t>
        </is>
      </c>
      <c r="K4851" s="32" t="inlineStr">
        <is>
          <t>20250514-19</t>
        </is>
      </c>
    </row>
    <row r="4852">
      <c r="A4852" s="32" t="n">
        <v>9</v>
      </c>
      <c r="B4852" s="32" t="inlineStr">
        <is>
          <t>MeOH</t>
        </is>
      </c>
      <c r="D4852" s="32" t="n">
        <v>16.44</v>
      </c>
      <c r="E4852" s="32" t="n">
        <v>46.602</v>
      </c>
      <c r="F4852" s="32" t="n">
        <v>12.127</v>
      </c>
      <c r="G4852" s="32" t="n">
        <v>6.041</v>
      </c>
      <c r="H4852" s="32" t="inlineStr">
        <is>
          <t>bb</t>
        </is>
      </c>
      <c r="K4852" s="32" t="inlineStr">
        <is>
          <t>20250514-20</t>
        </is>
      </c>
    </row>
    <row r="4853">
      <c r="A4853" s="32" t="n">
        <v>10</v>
      </c>
      <c r="B4853" s="32" t="inlineStr">
        <is>
          <t>MeOH</t>
        </is>
      </c>
      <c r="D4853" s="32" t="n">
        <v>16.13</v>
      </c>
      <c r="E4853" s="32" t="n">
        <v>5.379</v>
      </c>
      <c r="F4853" s="32" t="n">
        <v>0.467</v>
      </c>
      <c r="G4853" s="32" t="n">
        <v>57</v>
      </c>
      <c r="H4853" s="32" t="inlineStr">
        <is>
          <t>bb</t>
        </is>
      </c>
      <c r="K4853" s="32" t="inlineStr">
        <is>
          <t>20250514-21</t>
        </is>
      </c>
    </row>
    <row r="4854">
      <c r="A4854" s="32" t="n">
        <v>11</v>
      </c>
      <c r="B4854" s="32" t="inlineStr">
        <is>
          <t>SB1</t>
        </is>
      </c>
      <c r="D4854" s="32" t="n">
        <v>16.05</v>
      </c>
      <c r="E4854" s="32" t="n">
        <v>23.888</v>
      </c>
      <c r="F4854" s="32" t="n">
        <v>2056.203</v>
      </c>
      <c r="G4854" s="32" t="n">
        <v>242</v>
      </c>
      <c r="H4854" s="32" t="inlineStr">
        <is>
          <t>bb</t>
        </is>
      </c>
      <c r="K4854" s="32" t="inlineStr">
        <is>
          <t>20250514-22</t>
        </is>
      </c>
    </row>
    <row r="4855">
      <c r="A4855" s="32" t="n">
        <v>12</v>
      </c>
      <c r="B4855" s="32" t="inlineStr">
        <is>
          <t>SB2</t>
        </is>
      </c>
      <c r="D4855" s="32" t="n">
        <v>16.49</v>
      </c>
      <c r="E4855" s="32" t="n">
        <v>1.164</v>
      </c>
      <c r="F4855" s="32" t="n">
        <v>2037.142</v>
      </c>
      <c r="G4855" s="32" t="n">
        <v>14</v>
      </c>
      <c r="H4855" s="32" t="inlineStr">
        <is>
          <t>bb</t>
        </is>
      </c>
      <c r="K4855" s="32" t="inlineStr">
        <is>
          <t>20250514-23</t>
        </is>
      </c>
    </row>
    <row r="4856">
      <c r="A4856" s="32" t="n">
        <v>13</v>
      </c>
      <c r="B4856" s="32" t="inlineStr">
        <is>
          <t>SB3</t>
        </is>
      </c>
      <c r="D4856" s="32" t="n">
        <v>16.43</v>
      </c>
      <c r="E4856" s="32" t="n">
        <v>4.905</v>
      </c>
      <c r="F4856" s="32" t="n">
        <v>2209.288</v>
      </c>
      <c r="G4856" s="32" t="n">
        <v>54</v>
      </c>
      <c r="H4856" s="32" t="inlineStr">
        <is>
          <t>bb</t>
        </is>
      </c>
      <c r="K4856" s="32" t="inlineStr">
        <is>
          <t>20250514-24</t>
        </is>
      </c>
    </row>
    <row r="4857">
      <c r="A4857" s="32" t="n">
        <v>14</v>
      </c>
      <c r="B4857" s="32" t="inlineStr">
        <is>
          <t>SS1</t>
        </is>
      </c>
      <c r="D4857" s="32" t="n">
        <v>16.5</v>
      </c>
      <c r="E4857" s="32" t="n">
        <v>2290.933</v>
      </c>
      <c r="F4857" s="32" t="n">
        <v>1869.894</v>
      </c>
      <c r="G4857" s="32" t="n">
        <v>106.568</v>
      </c>
      <c r="H4857" s="32" t="inlineStr">
        <is>
          <t>bb</t>
        </is>
      </c>
      <c r="K4857" s="32" t="inlineStr">
        <is>
          <t>20250514-25</t>
        </is>
      </c>
    </row>
    <row r="4858">
      <c r="A4858" s="32" t="n">
        <v>15</v>
      </c>
      <c r="B4858" s="32" t="inlineStr">
        <is>
          <t>SS2</t>
        </is>
      </c>
      <c r="D4858" s="32" t="n">
        <v>16.5</v>
      </c>
      <c r="E4858" s="32" t="n">
        <v>5074.917</v>
      </c>
      <c r="F4858" s="32" t="n">
        <v>2527.979</v>
      </c>
      <c r="G4858" s="32" t="n">
        <v>26.871</v>
      </c>
      <c r="H4858" s="32" t="inlineStr">
        <is>
          <t>bb</t>
        </is>
      </c>
      <c r="K4858" s="32" t="inlineStr">
        <is>
          <t>20250514-26</t>
        </is>
      </c>
    </row>
    <row r="4859">
      <c r="A4859" s="32" t="n">
        <v>16</v>
      </c>
      <c r="B4859" s="32" t="inlineStr">
        <is>
          <t>SS3</t>
        </is>
      </c>
      <c r="D4859" s="32" t="n">
        <v>16.51</v>
      </c>
      <c r="E4859" s="32" t="n">
        <v>4508.486</v>
      </c>
      <c r="F4859" s="32" t="n">
        <v>2192.266</v>
      </c>
      <c r="G4859" s="32" t="n">
        <v>240.886</v>
      </c>
      <c r="H4859" s="32" t="inlineStr">
        <is>
          <t>bb</t>
        </is>
      </c>
      <c r="K4859" s="32" t="inlineStr">
        <is>
          <t>20250514-27</t>
        </is>
      </c>
    </row>
    <row r="4860">
      <c r="A4860" s="32" t="n">
        <v>17</v>
      </c>
      <c r="B4860" s="32" t="inlineStr">
        <is>
          <t>MeOH</t>
        </is>
      </c>
      <c r="F4860" s="32" t="n">
        <v>9.148</v>
      </c>
      <c r="K4860" s="32" t="inlineStr">
        <is>
          <t>20250514-28</t>
        </is>
      </c>
    </row>
    <row r="4861">
      <c r="A4861" s="32" t="n">
        <v>18</v>
      </c>
      <c r="B4861" s="32" t="inlineStr">
        <is>
          <t>K4-1A</t>
        </is>
      </c>
      <c r="F4861" s="32" t="n">
        <v>3424.464</v>
      </c>
      <c r="K4861" s="32" t="inlineStr">
        <is>
          <t>20250514-29</t>
        </is>
      </c>
    </row>
    <row r="4862">
      <c r="A4862" s="32" t="n">
        <v>19</v>
      </c>
      <c r="B4862" s="32" t="inlineStr">
        <is>
          <t>K4-1B</t>
        </is>
      </c>
      <c r="D4862" s="32" t="n">
        <v>16.49</v>
      </c>
      <c r="E4862" s="32" t="n">
        <v>13.724</v>
      </c>
      <c r="F4862" s="32" t="n">
        <v>3163.093</v>
      </c>
      <c r="G4862" s="32" t="n">
        <v>164</v>
      </c>
      <c r="H4862" s="32" t="inlineStr">
        <is>
          <t>bb</t>
        </is>
      </c>
      <c r="K4862" s="32" t="inlineStr">
        <is>
          <t>20250514-30</t>
        </is>
      </c>
    </row>
    <row r="4863">
      <c r="A4863" s="32" t="n">
        <v>20</v>
      </c>
      <c r="B4863" s="32" t="inlineStr">
        <is>
          <t>K4-1C</t>
        </is>
      </c>
      <c r="F4863" s="32" t="n">
        <v>2991.645</v>
      </c>
      <c r="K4863" s="32" t="inlineStr">
        <is>
          <t>20250514-31</t>
        </is>
      </c>
    </row>
    <row r="4864">
      <c r="A4864" s="32" t="n">
        <v>21</v>
      </c>
      <c r="B4864" s="32" t="inlineStr">
        <is>
          <t>K4-2A</t>
        </is>
      </c>
      <c r="F4864" s="32" t="n">
        <v>2385.256</v>
      </c>
      <c r="K4864" s="32" t="inlineStr">
        <is>
          <t>20250514-32</t>
        </is>
      </c>
    </row>
    <row r="4865">
      <c r="A4865" s="32" t="n">
        <v>22</v>
      </c>
      <c r="B4865" s="32" t="inlineStr">
        <is>
          <t>K4-2B</t>
        </is>
      </c>
      <c r="D4865" s="32" t="n">
        <v>16.22</v>
      </c>
      <c r="E4865" s="32" t="n">
        <v>51.411</v>
      </c>
      <c r="F4865" s="32" t="n">
        <v>3131.821</v>
      </c>
      <c r="G4865" s="32" t="n">
        <v>3.469</v>
      </c>
      <c r="H4865" s="32" t="inlineStr">
        <is>
          <t>bb</t>
        </is>
      </c>
      <c r="K4865" s="32" t="inlineStr">
        <is>
          <t>20250514-33</t>
        </is>
      </c>
    </row>
    <row r="4866">
      <c r="A4866" s="32" t="n">
        <v>23</v>
      </c>
      <c r="B4866" s="32" t="inlineStr">
        <is>
          <t>K4-2C</t>
        </is>
      </c>
      <c r="F4866" s="32" t="n">
        <v>2135.685</v>
      </c>
      <c r="K4866" s="32" t="inlineStr">
        <is>
          <t>20250514-34</t>
        </is>
      </c>
    </row>
    <row r="4867">
      <c r="A4867" s="32" t="n">
        <v>24</v>
      </c>
      <c r="B4867" s="32" t="inlineStr">
        <is>
          <t>MeOH</t>
        </is>
      </c>
      <c r="F4867" s="32" t="n">
        <v>59.006</v>
      </c>
      <c r="K4867" s="32" t="inlineStr">
        <is>
          <t>20250514-35</t>
        </is>
      </c>
    </row>
    <row r="4868">
      <c r="A4868" s="32" t="n">
        <v>25</v>
      </c>
      <c r="B4868" s="32" t="inlineStr">
        <is>
          <t>K4-4A</t>
        </is>
      </c>
      <c r="F4868" s="32" t="n">
        <v>2887.29</v>
      </c>
      <c r="K4868" s="32" t="inlineStr">
        <is>
          <t>20250514-36</t>
        </is>
      </c>
    </row>
    <row r="4869">
      <c r="A4869" s="32" t="n">
        <v>26</v>
      </c>
      <c r="B4869" s="32" t="inlineStr">
        <is>
          <t>K4-4B</t>
        </is>
      </c>
      <c r="D4869" s="32" t="n">
        <v>16.51</v>
      </c>
      <c r="E4869" s="32" t="n">
        <v>5.742</v>
      </c>
      <c r="F4869" s="32" t="n">
        <v>2919.135</v>
      </c>
      <c r="G4869" s="32" t="n">
        <v>57</v>
      </c>
      <c r="H4869" s="32" t="inlineStr">
        <is>
          <t>bb</t>
        </is>
      </c>
      <c r="K4869" s="32" t="inlineStr">
        <is>
          <t>20250514-37</t>
        </is>
      </c>
    </row>
    <row r="4870">
      <c r="A4870" s="32" t="n">
        <v>27</v>
      </c>
      <c r="B4870" s="32" t="inlineStr">
        <is>
          <t>K4-4C</t>
        </is>
      </c>
      <c r="D4870" s="32" t="n">
        <v>16.51</v>
      </c>
      <c r="E4870" s="32" t="n">
        <v>18.157</v>
      </c>
      <c r="F4870" s="32" t="n">
        <v>3329.32</v>
      </c>
      <c r="G4870" s="32" t="n">
        <v>222</v>
      </c>
      <c r="H4870" s="32" t="inlineStr">
        <is>
          <t>bb</t>
        </is>
      </c>
      <c r="K4870" s="32" t="inlineStr">
        <is>
          <t>20250514-38</t>
        </is>
      </c>
    </row>
    <row r="4871">
      <c r="A4871" s="32" t="n">
        <v>28</v>
      </c>
      <c r="B4871" s="32" t="inlineStr">
        <is>
          <t>K4-5A</t>
        </is>
      </c>
      <c r="F4871" s="32" t="n">
        <v>1977.385</v>
      </c>
      <c r="K4871" s="32" t="inlineStr">
        <is>
          <t>20250514-39</t>
        </is>
      </c>
    </row>
    <row r="4872">
      <c r="A4872" s="32" t="n">
        <v>29</v>
      </c>
      <c r="B4872" s="32" t="inlineStr">
        <is>
          <t>K4-5B</t>
        </is>
      </c>
      <c r="F4872" s="32" t="n">
        <v>3131.076</v>
      </c>
      <c r="K4872" s="32" t="inlineStr">
        <is>
          <t>20250514-40</t>
        </is>
      </c>
    </row>
    <row r="4873">
      <c r="A4873" s="32" t="n">
        <v>30</v>
      </c>
      <c r="B4873" s="32" t="inlineStr">
        <is>
          <t>K4-5C</t>
        </is>
      </c>
      <c r="D4873" s="32" t="n">
        <v>16.51</v>
      </c>
      <c r="E4873" s="32" t="n">
        <v>3.761</v>
      </c>
      <c r="F4873" s="32" t="n">
        <v>2297.892</v>
      </c>
      <c r="G4873" s="32" t="n">
        <v>47</v>
      </c>
      <c r="H4873" s="32" t="inlineStr">
        <is>
          <t>bb</t>
        </is>
      </c>
      <c r="K4873" s="32" t="inlineStr">
        <is>
          <t>20250514-41</t>
        </is>
      </c>
    </row>
    <row r="4874">
      <c r="A4874" s="32" t="n">
        <v>31</v>
      </c>
      <c r="B4874" s="32" t="inlineStr">
        <is>
          <t>MeOH</t>
        </is>
      </c>
      <c r="F4874" s="32" t="n">
        <v>38.744</v>
      </c>
      <c r="K4874" s="32" t="inlineStr">
        <is>
          <t>20250514-42</t>
        </is>
      </c>
    </row>
    <row r="4875">
      <c r="A4875" s="32" t="n">
        <v>32</v>
      </c>
      <c r="B4875" s="32" t="inlineStr">
        <is>
          <t>K3-1A</t>
        </is>
      </c>
      <c r="D4875" s="32" t="n">
        <v>16.49</v>
      </c>
      <c r="E4875" s="32" t="n">
        <v>4.894</v>
      </c>
      <c r="F4875" s="32" t="n">
        <v>2985.162</v>
      </c>
      <c r="G4875" s="32" t="n">
        <v>59</v>
      </c>
      <c r="H4875" s="32" t="inlineStr">
        <is>
          <t>bb</t>
        </is>
      </c>
      <c r="K4875" s="32" t="inlineStr">
        <is>
          <t>20250514-43</t>
        </is>
      </c>
    </row>
    <row r="4876">
      <c r="A4876" s="32" t="n">
        <v>33</v>
      </c>
      <c r="B4876" s="32" t="inlineStr">
        <is>
          <t>K3-1B</t>
        </is>
      </c>
      <c r="D4876" s="32" t="n">
        <v>16.46</v>
      </c>
      <c r="E4876" s="32" t="n">
        <v>1.659</v>
      </c>
      <c r="F4876" s="32" t="n">
        <v>2676.21</v>
      </c>
      <c r="G4876" s="32" t="n">
        <v>19</v>
      </c>
      <c r="H4876" s="32" t="inlineStr">
        <is>
          <t>bb</t>
        </is>
      </c>
      <c r="K4876" s="32" t="inlineStr">
        <is>
          <t>20250514-44</t>
        </is>
      </c>
    </row>
    <row r="4877">
      <c r="A4877" s="32" t="n">
        <v>34</v>
      </c>
      <c r="B4877" s="32" t="inlineStr">
        <is>
          <t>K3-1C</t>
        </is>
      </c>
      <c r="F4877" s="32" t="n">
        <v>3875.137</v>
      </c>
      <c r="K4877" s="32" t="inlineStr">
        <is>
          <t>20250514-45</t>
        </is>
      </c>
    </row>
    <row r="4878">
      <c r="A4878" s="32" t="n">
        <v>35</v>
      </c>
      <c r="B4878" s="32" t="inlineStr">
        <is>
          <t>K3-2A</t>
        </is>
      </c>
      <c r="D4878" s="32" t="n">
        <v>16.94</v>
      </c>
      <c r="E4878" s="32" t="n">
        <v>7.756</v>
      </c>
      <c r="F4878" s="32" t="n">
        <v>3168.367</v>
      </c>
      <c r="G4878" s="32" t="n">
        <v>65</v>
      </c>
      <c r="H4878" s="32" t="inlineStr">
        <is>
          <t>bb</t>
        </is>
      </c>
      <c r="K4878" s="32" t="inlineStr">
        <is>
          <t>20250514-46</t>
        </is>
      </c>
    </row>
    <row r="4879">
      <c r="A4879" s="32" t="n">
        <v>36</v>
      </c>
      <c r="B4879" s="32" t="inlineStr">
        <is>
          <t>K3-2B</t>
        </is>
      </c>
      <c r="F4879" s="32" t="n">
        <v>4417.959</v>
      </c>
      <c r="K4879" s="32" t="inlineStr">
        <is>
          <t>20250514-47</t>
        </is>
      </c>
    </row>
    <row r="4880">
      <c r="A4880" s="32" t="n">
        <v>37</v>
      </c>
      <c r="B4880" s="32" t="inlineStr">
        <is>
          <t>K3-2C</t>
        </is>
      </c>
      <c r="F4880" s="32" t="n">
        <v>2880.977</v>
      </c>
      <c r="K4880" s="32" t="inlineStr">
        <is>
          <t>20250514-48</t>
        </is>
      </c>
    </row>
    <row r="4881">
      <c r="A4881" s="32" t="n">
        <v>38</v>
      </c>
      <c r="B4881" s="32" t="inlineStr">
        <is>
          <t>MeOH</t>
        </is>
      </c>
      <c r="F4881" s="32" t="n">
        <v>1.617</v>
      </c>
      <c r="K4881" s="32" t="inlineStr">
        <is>
          <t>20250514-49</t>
        </is>
      </c>
    </row>
    <row r="4882">
      <c r="A4882" s="32" t="n">
        <v>39</v>
      </c>
      <c r="B4882" s="32" t="inlineStr">
        <is>
          <t>K3-3A</t>
        </is>
      </c>
      <c r="F4882" s="32" t="n">
        <v>2707.321</v>
      </c>
      <c r="K4882" s="32" t="inlineStr">
        <is>
          <t>20250514-50</t>
        </is>
      </c>
    </row>
    <row r="4883">
      <c r="A4883" s="32" t="n">
        <v>40</v>
      </c>
      <c r="B4883" s="32" t="inlineStr">
        <is>
          <t>K3-3B</t>
        </is>
      </c>
      <c r="F4883" s="32" t="n">
        <v>2642.736</v>
      </c>
      <c r="K4883" s="32" t="inlineStr">
        <is>
          <t>20250514-51</t>
        </is>
      </c>
    </row>
    <row r="4884">
      <c r="A4884" s="32" t="n">
        <v>41</v>
      </c>
      <c r="B4884" s="32" t="inlineStr">
        <is>
          <t>K3-3C</t>
        </is>
      </c>
      <c r="D4884" s="32" t="n">
        <v>16.57</v>
      </c>
      <c r="E4884" s="32" t="n">
        <v>18.532</v>
      </c>
      <c r="F4884" s="32" t="n">
        <v>3172.924</v>
      </c>
      <c r="G4884" s="32" t="n">
        <v>237</v>
      </c>
      <c r="H4884" s="32" t="inlineStr">
        <is>
          <t>bb</t>
        </is>
      </c>
      <c r="K4884" s="32" t="inlineStr">
        <is>
          <t>20250514-52</t>
        </is>
      </c>
    </row>
    <row r="4885">
      <c r="A4885" s="32" t="n">
        <v>42</v>
      </c>
      <c r="B4885" s="32" t="inlineStr">
        <is>
          <t>K3-4A</t>
        </is>
      </c>
      <c r="D4885" s="32" t="n">
        <v>16.73</v>
      </c>
      <c r="E4885" s="32" t="n">
        <v>8.66</v>
      </c>
      <c r="F4885" s="32" t="n">
        <v>3319.839</v>
      </c>
      <c r="G4885" s="32" t="n">
        <v>111</v>
      </c>
      <c r="H4885" s="32" t="inlineStr">
        <is>
          <t>bb</t>
        </is>
      </c>
      <c r="K4885" s="32" t="inlineStr">
        <is>
          <t>20250514-53</t>
        </is>
      </c>
    </row>
    <row r="4886">
      <c r="A4886" s="32" t="n">
        <v>43</v>
      </c>
      <c r="B4886" s="32" t="inlineStr">
        <is>
          <t>K3-4B</t>
        </is>
      </c>
      <c r="D4886" s="32" t="n">
        <v>16.46</v>
      </c>
      <c r="E4886" s="32" t="n">
        <v>36.294</v>
      </c>
      <c r="F4886" s="32" t="n">
        <v>3401.324</v>
      </c>
      <c r="G4886" s="32" t="n">
        <v>375</v>
      </c>
      <c r="H4886" s="32" t="inlineStr">
        <is>
          <t>bb</t>
        </is>
      </c>
      <c r="K4886" s="32" t="inlineStr">
        <is>
          <t>20250514-54</t>
        </is>
      </c>
    </row>
    <row r="4887">
      <c r="A4887" s="32" t="n">
        <v>44</v>
      </c>
      <c r="B4887" s="32" t="inlineStr">
        <is>
          <t>K3-4C</t>
        </is>
      </c>
      <c r="F4887" s="32" t="n">
        <v>3613.869</v>
      </c>
      <c r="K4887" s="32" t="inlineStr">
        <is>
          <t>20250514-55</t>
        </is>
      </c>
    </row>
    <row r="4888">
      <c r="A4888" s="32" t="n">
        <v>45</v>
      </c>
      <c r="B4888" s="32" t="inlineStr">
        <is>
          <t>MeOH</t>
        </is>
      </c>
      <c r="F4888" s="32" t="n">
        <v>15.748</v>
      </c>
      <c r="K4888" s="32" t="inlineStr">
        <is>
          <t>20250514-56</t>
        </is>
      </c>
    </row>
    <row r="4889">
      <c r="A4889" s="32" t="n">
        <v>46</v>
      </c>
      <c r="B4889" s="32" t="inlineStr">
        <is>
          <t>K3-6A</t>
        </is>
      </c>
      <c r="F4889" s="32" t="n">
        <v>2614.758</v>
      </c>
      <c r="K4889" s="32" t="inlineStr">
        <is>
          <t>20250514-57</t>
        </is>
      </c>
    </row>
    <row r="4890">
      <c r="A4890" s="32" t="n">
        <v>47</v>
      </c>
      <c r="B4890" s="32" t="inlineStr">
        <is>
          <t>K3-6B</t>
        </is>
      </c>
      <c r="F4890" s="32" t="n">
        <v>2672.94</v>
      </c>
      <c r="K4890" s="32" t="inlineStr">
        <is>
          <t>20250514-58</t>
        </is>
      </c>
    </row>
    <row r="4891">
      <c r="A4891" s="32" t="n">
        <v>48</v>
      </c>
      <c r="B4891" s="32" t="inlineStr">
        <is>
          <t>K3-6C</t>
        </is>
      </c>
      <c r="D4891" s="32" t="n">
        <v>16.3</v>
      </c>
      <c r="E4891" s="32" t="n">
        <v>53.191</v>
      </c>
      <c r="F4891" s="32" t="n">
        <v>2110.161</v>
      </c>
      <c r="G4891" s="32" t="n">
        <v>567</v>
      </c>
      <c r="H4891" s="32" t="inlineStr">
        <is>
          <t>bb</t>
        </is>
      </c>
      <c r="K4891" s="32" t="inlineStr">
        <is>
          <t>20250514-59</t>
        </is>
      </c>
    </row>
    <row r="4893">
      <c r="A4893" s="32" t="inlineStr">
        <is>
          <t>Compound 95:  8:2 FTS 1</t>
        </is>
      </c>
    </row>
    <row r="4895">
      <c r="B4895" s="32" t="inlineStr">
        <is>
          <t>Sample Text</t>
        </is>
      </c>
      <c r="C4895" s="32" t="inlineStr">
        <is>
          <t>Std. Conc</t>
        </is>
      </c>
      <c r="D4895" s="32" t="inlineStr">
        <is>
          <t>RT</t>
        </is>
      </c>
      <c r="E4895" s="32" t="inlineStr">
        <is>
          <t>Area</t>
        </is>
      </c>
      <c r="F4895" s="32" t="inlineStr">
        <is>
          <t>IS Area</t>
        </is>
      </c>
      <c r="G4895" s="32" t="inlineStr">
        <is>
          <t>S/N</t>
        </is>
      </c>
      <c r="H4895" s="32" t="inlineStr">
        <is>
          <t>Primary Flags</t>
        </is>
      </c>
      <c r="I4895" s="32" t="inlineStr">
        <is>
          <t>Response</t>
        </is>
      </c>
      <c r="J4895" s="32" t="inlineStr">
        <is>
          <t>Conc.</t>
        </is>
      </c>
      <c r="K4895" s="32" t="inlineStr">
        <is>
          <t>Name</t>
        </is>
      </c>
    </row>
    <row r="4896">
      <c r="A4896" s="32" t="n">
        <v>1</v>
      </c>
      <c r="B4896" s="32" t="inlineStr">
        <is>
          <t>EPA1633 &amp; diPAPs Calibration 0 ppb</t>
        </is>
      </c>
      <c r="D4896" s="32" t="n">
        <v>13.85</v>
      </c>
      <c r="E4896" s="32" t="n">
        <v>276.706</v>
      </c>
      <c r="F4896" s="32" t="n">
        <v>30965.986</v>
      </c>
      <c r="G4896" s="32" t="n">
        <v>8.314</v>
      </c>
      <c r="H4896" s="32" t="inlineStr">
        <is>
          <t>bb</t>
        </is>
      </c>
      <c r="K4896" s="32" t="inlineStr">
        <is>
          <t>20250514-12</t>
        </is>
      </c>
    </row>
    <row r="4897">
      <c r="A4897" s="32" t="n">
        <v>2</v>
      </c>
      <c r="B4897" s="32" t="inlineStr">
        <is>
          <t>EPA1633 &amp; diPAPs Calibration 0.02 ppb</t>
        </is>
      </c>
      <c r="D4897" s="32" t="n">
        <v>13.86</v>
      </c>
      <c r="E4897" s="32" t="n">
        <v>1018.703</v>
      </c>
      <c r="F4897" s="32" t="n">
        <v>26256.979</v>
      </c>
      <c r="G4897" s="32" t="n">
        <v>7885</v>
      </c>
      <c r="H4897" s="32" t="inlineStr">
        <is>
          <t>bb</t>
        </is>
      </c>
      <c r="K4897" s="32" t="inlineStr">
        <is>
          <t>20250514-13</t>
        </is>
      </c>
    </row>
    <row r="4898">
      <c r="A4898" s="32" t="n">
        <v>3</v>
      </c>
      <c r="B4898" s="32" t="inlineStr">
        <is>
          <t>EPA1633 &amp; diPAPs Calibration 0.1 ppb</t>
        </is>
      </c>
      <c r="D4898" s="32" t="n">
        <v>13.86</v>
      </c>
      <c r="E4898" s="32" t="n">
        <v>2584.64</v>
      </c>
      <c r="F4898" s="32" t="n">
        <v>29442.266</v>
      </c>
      <c r="G4898" s="32" t="n">
        <v>170.53</v>
      </c>
      <c r="H4898" s="32" t="inlineStr">
        <is>
          <t>bb</t>
        </is>
      </c>
      <c r="K4898" s="32" t="inlineStr">
        <is>
          <t>20250514-14</t>
        </is>
      </c>
    </row>
    <row r="4899">
      <c r="A4899" s="32" t="n">
        <v>4</v>
      </c>
      <c r="B4899" s="32" t="inlineStr">
        <is>
          <t>EPA1633 &amp; diPAPs Calibration 0.4 ppb</t>
        </is>
      </c>
      <c r="D4899" s="32" t="n">
        <v>13.88</v>
      </c>
      <c r="E4899" s="32" t="n">
        <v>6387.782</v>
      </c>
      <c r="F4899" s="32" t="n">
        <v>26004.189</v>
      </c>
      <c r="G4899" s="32" t="n">
        <v>417.713</v>
      </c>
      <c r="H4899" s="32" t="inlineStr">
        <is>
          <t>bb</t>
        </is>
      </c>
      <c r="K4899" s="32" t="inlineStr">
        <is>
          <t>20250514-15</t>
        </is>
      </c>
    </row>
    <row r="4900">
      <c r="A4900" s="32" t="n">
        <v>5</v>
      </c>
      <c r="B4900" s="32" t="inlineStr">
        <is>
          <t>EPA1633 &amp; diPAPs Calibration 1 ppb</t>
        </is>
      </c>
      <c r="D4900" s="32" t="n">
        <v>13.86</v>
      </c>
      <c r="E4900" s="32" t="n">
        <v>11925.851</v>
      </c>
      <c r="F4900" s="32" t="n">
        <v>33901.273</v>
      </c>
      <c r="G4900" s="32" t="n">
        <v>86642</v>
      </c>
      <c r="H4900" s="32" t="inlineStr">
        <is>
          <t>bb</t>
        </is>
      </c>
      <c r="K4900" s="32" t="inlineStr">
        <is>
          <t>20250514-16</t>
        </is>
      </c>
    </row>
    <row r="4901">
      <c r="A4901" s="32" t="n">
        <v>6</v>
      </c>
      <c r="B4901" s="32" t="inlineStr">
        <is>
          <t>EPA1633 &amp; diPAPs Calibration 5 ppb</t>
        </is>
      </c>
      <c r="D4901" s="32" t="n">
        <v>13.81</v>
      </c>
      <c r="E4901" s="32" t="n">
        <v>55993.508</v>
      </c>
      <c r="F4901" s="32" t="n">
        <v>29163.5</v>
      </c>
      <c r="G4901" s="32" t="n">
        <v>1422.991</v>
      </c>
      <c r="H4901" s="32" t="inlineStr">
        <is>
          <t>bb</t>
        </is>
      </c>
      <c r="K4901" s="32" t="inlineStr">
        <is>
          <t>20250514-17</t>
        </is>
      </c>
    </row>
    <row r="4902">
      <c r="A4902" s="32" t="n">
        <v>7</v>
      </c>
      <c r="B4902" s="32" t="inlineStr">
        <is>
          <t>EPA1633 &amp; diPAPs Calibration 10 ppb</t>
        </is>
      </c>
      <c r="D4902" s="32" t="n">
        <v>13.82</v>
      </c>
      <c r="E4902" s="32" t="n">
        <v>96105.359</v>
      </c>
      <c r="F4902" s="32" t="n">
        <v>26316.053</v>
      </c>
      <c r="G4902" s="32" t="n">
        <v>721.8099999999999</v>
      </c>
      <c r="H4902" s="32" t="inlineStr">
        <is>
          <t>bb</t>
        </is>
      </c>
      <c r="K4902" s="32" t="inlineStr">
        <is>
          <t>20250514-18</t>
        </is>
      </c>
    </row>
    <row r="4903">
      <c r="A4903" s="32" t="n">
        <v>8</v>
      </c>
      <c r="B4903" s="32" t="inlineStr">
        <is>
          <t>EPA1633 &amp; diPAPs Calibration 20 ppb</t>
        </is>
      </c>
      <c r="D4903" s="32" t="n">
        <v>13.85</v>
      </c>
      <c r="E4903" s="32" t="n">
        <v>196691.609</v>
      </c>
      <c r="F4903" s="32" t="n">
        <v>34970.711</v>
      </c>
      <c r="G4903" s="32" t="n">
        <v>1007.646</v>
      </c>
      <c r="H4903" s="32" t="inlineStr">
        <is>
          <t>bb</t>
        </is>
      </c>
      <c r="K4903" s="32" t="inlineStr">
        <is>
          <t>20250514-19</t>
        </is>
      </c>
    </row>
    <row r="4904">
      <c r="A4904" s="32" t="n">
        <v>9</v>
      </c>
      <c r="B4904" s="32" t="inlineStr">
        <is>
          <t>MeOH</t>
        </is>
      </c>
      <c r="D4904" s="32" t="n">
        <v>13.88</v>
      </c>
      <c r="E4904" s="32" t="n">
        <v>485.21</v>
      </c>
      <c r="F4904" s="32" t="n">
        <v>190.67</v>
      </c>
      <c r="G4904" s="32" t="n">
        <v>3967</v>
      </c>
      <c r="H4904" s="32" t="inlineStr">
        <is>
          <t>bb</t>
        </is>
      </c>
      <c r="K4904" s="32" t="inlineStr">
        <is>
          <t>20250514-20</t>
        </is>
      </c>
    </row>
    <row r="4905">
      <c r="A4905" s="32" t="n">
        <v>10</v>
      </c>
      <c r="B4905" s="32" t="inlineStr">
        <is>
          <t>MeOH</t>
        </is>
      </c>
      <c r="D4905" s="32" t="n">
        <v>13.92</v>
      </c>
      <c r="E4905" s="32" t="n">
        <v>278.556</v>
      </c>
      <c r="G4905" s="32" t="n">
        <v>8.02</v>
      </c>
      <c r="H4905" s="32" t="inlineStr">
        <is>
          <t>bb</t>
        </is>
      </c>
      <c r="K4905" s="32" t="inlineStr">
        <is>
          <t>20250514-21</t>
        </is>
      </c>
    </row>
    <row r="4906">
      <c r="A4906" s="32" t="n">
        <v>11</v>
      </c>
      <c r="B4906" s="32" t="inlineStr">
        <is>
          <t>SB1</t>
        </is>
      </c>
      <c r="D4906" s="32" t="n">
        <v>13.86</v>
      </c>
      <c r="E4906" s="32" t="n">
        <v>85.29000000000001</v>
      </c>
      <c r="F4906" s="32" t="n">
        <v>13138.81</v>
      </c>
      <c r="G4906" s="32" t="n">
        <v>681</v>
      </c>
      <c r="H4906" s="32" t="inlineStr">
        <is>
          <t>bb</t>
        </is>
      </c>
      <c r="K4906" s="32" t="inlineStr">
        <is>
          <t>20250514-22</t>
        </is>
      </c>
    </row>
    <row r="4907">
      <c r="A4907" s="32" t="n">
        <v>12</v>
      </c>
      <c r="B4907" s="32" t="inlineStr">
        <is>
          <t>SB2</t>
        </is>
      </c>
      <c r="D4907" s="32" t="n">
        <v>13.91</v>
      </c>
      <c r="E4907" s="32" t="n">
        <v>8.859</v>
      </c>
      <c r="F4907" s="32" t="n">
        <v>10766.206</v>
      </c>
      <c r="G4907" s="32" t="n">
        <v>85</v>
      </c>
      <c r="H4907" s="32" t="inlineStr">
        <is>
          <t>bb</t>
        </is>
      </c>
      <c r="K4907" s="32" t="inlineStr">
        <is>
          <t>20250514-23</t>
        </is>
      </c>
    </row>
    <row r="4908">
      <c r="A4908" s="32" t="n">
        <v>13</v>
      </c>
      <c r="B4908" s="32" t="inlineStr">
        <is>
          <t>SB3</t>
        </is>
      </c>
      <c r="D4908" s="32" t="n">
        <v>13.85</v>
      </c>
      <c r="E4908" s="32" t="n">
        <v>36.471</v>
      </c>
      <c r="F4908" s="32" t="n">
        <v>11886.97</v>
      </c>
      <c r="G4908" s="32" t="n">
        <v>13.742</v>
      </c>
      <c r="H4908" s="32" t="inlineStr">
        <is>
          <t>bb</t>
        </is>
      </c>
      <c r="K4908" s="32" t="inlineStr">
        <is>
          <t>20250514-24</t>
        </is>
      </c>
    </row>
    <row r="4909">
      <c r="A4909" s="32" t="n">
        <v>14</v>
      </c>
      <c r="B4909" s="32" t="inlineStr">
        <is>
          <t>SS1</t>
        </is>
      </c>
      <c r="D4909" s="32" t="n">
        <v>13.91</v>
      </c>
      <c r="E4909" s="32" t="n">
        <v>43100.574</v>
      </c>
      <c r="F4909" s="32" t="n">
        <v>13876.597</v>
      </c>
      <c r="G4909" s="32" t="n">
        <v>293.098</v>
      </c>
      <c r="H4909" s="32" t="inlineStr">
        <is>
          <t>bb</t>
        </is>
      </c>
      <c r="K4909" s="32" t="inlineStr">
        <is>
          <t>20250514-25</t>
        </is>
      </c>
    </row>
    <row r="4910">
      <c r="A4910" s="32" t="n">
        <v>15</v>
      </c>
      <c r="B4910" s="32" t="inlineStr">
        <is>
          <t>SS2</t>
        </is>
      </c>
      <c r="D4910" s="32" t="n">
        <v>13.92</v>
      </c>
      <c r="E4910" s="32" t="n">
        <v>44511.66</v>
      </c>
      <c r="F4910" s="32" t="n">
        <v>13576.301</v>
      </c>
      <c r="G4910" s="32" t="n">
        <v>1531.261</v>
      </c>
      <c r="H4910" s="32" t="inlineStr">
        <is>
          <t>bb</t>
        </is>
      </c>
      <c r="K4910" s="32" t="inlineStr">
        <is>
          <t>20250514-26</t>
        </is>
      </c>
    </row>
    <row r="4911">
      <c r="A4911" s="32" t="n">
        <v>16</v>
      </c>
      <c r="B4911" s="32" t="inlineStr">
        <is>
          <t>SS3</t>
        </is>
      </c>
      <c r="D4911" s="32" t="n">
        <v>13.94</v>
      </c>
      <c r="E4911" s="32" t="n">
        <v>43011.988</v>
      </c>
      <c r="F4911" s="32" t="n">
        <v>12674.324</v>
      </c>
      <c r="G4911" s="32" t="n">
        <v>272.056</v>
      </c>
      <c r="H4911" s="32" t="inlineStr">
        <is>
          <t>bb</t>
        </is>
      </c>
      <c r="K4911" s="32" t="inlineStr">
        <is>
          <t>20250514-27</t>
        </is>
      </c>
    </row>
    <row r="4912">
      <c r="A4912" s="32" t="n">
        <v>17</v>
      </c>
      <c r="B4912" s="32" t="inlineStr">
        <is>
          <t>MeOH</t>
        </is>
      </c>
      <c r="D4912" s="32" t="n">
        <v>13.94</v>
      </c>
      <c r="E4912" s="32" t="n">
        <v>347.219</v>
      </c>
      <c r="F4912" s="32" t="n">
        <v>87.821</v>
      </c>
      <c r="G4912" s="32" t="n">
        <v>2690</v>
      </c>
      <c r="H4912" s="32" t="inlineStr">
        <is>
          <t>bb</t>
        </is>
      </c>
      <c r="K4912" s="32" t="inlineStr">
        <is>
          <t>20250514-28</t>
        </is>
      </c>
    </row>
    <row r="4913">
      <c r="A4913" s="32" t="n">
        <v>18</v>
      </c>
      <c r="B4913" s="32" t="inlineStr">
        <is>
          <t>K4-1A</t>
        </is>
      </c>
      <c r="D4913" s="32" t="n">
        <v>13.91</v>
      </c>
      <c r="E4913" s="32" t="n">
        <v>119.703</v>
      </c>
      <c r="F4913" s="32" t="n">
        <v>14693.816</v>
      </c>
      <c r="G4913" s="32" t="n">
        <v>12.537</v>
      </c>
      <c r="H4913" s="32" t="inlineStr">
        <is>
          <t>bb</t>
        </is>
      </c>
      <c r="K4913" s="32" t="inlineStr">
        <is>
          <t>20250514-29</t>
        </is>
      </c>
    </row>
    <row r="4914">
      <c r="A4914" s="32" t="n">
        <v>19</v>
      </c>
      <c r="B4914" s="32" t="inlineStr">
        <is>
          <t>K4-1B</t>
        </is>
      </c>
      <c r="D4914" s="32" t="n">
        <v>13.92</v>
      </c>
      <c r="E4914" s="32" t="n">
        <v>0.797</v>
      </c>
      <c r="F4914" s="32" t="n">
        <v>13933.742</v>
      </c>
      <c r="G4914" s="32" t="n">
        <v>8</v>
      </c>
      <c r="H4914" s="32" t="inlineStr">
        <is>
          <t>bb</t>
        </is>
      </c>
      <c r="K4914" s="32" t="inlineStr">
        <is>
          <t>20250514-30</t>
        </is>
      </c>
    </row>
    <row r="4915">
      <c r="A4915" s="32" t="n">
        <v>20</v>
      </c>
      <c r="B4915" s="32" t="inlineStr">
        <is>
          <t>K4-1C</t>
        </is>
      </c>
      <c r="D4915" s="32" t="n">
        <v>13.89</v>
      </c>
      <c r="E4915" s="32" t="n">
        <v>16.122</v>
      </c>
      <c r="F4915" s="32" t="n">
        <v>14628.158</v>
      </c>
      <c r="G4915" s="32" t="n">
        <v>154</v>
      </c>
      <c r="H4915" s="32" t="inlineStr">
        <is>
          <t>bb</t>
        </is>
      </c>
      <c r="K4915" s="32" t="inlineStr">
        <is>
          <t>20250514-31</t>
        </is>
      </c>
    </row>
    <row r="4916">
      <c r="A4916" s="32" t="n">
        <v>21</v>
      </c>
      <c r="B4916" s="32" t="inlineStr">
        <is>
          <t>K4-2A</t>
        </is>
      </c>
      <c r="D4916" s="32" t="n">
        <v>13.96</v>
      </c>
      <c r="E4916" s="32" t="n">
        <v>12.869</v>
      </c>
      <c r="F4916" s="32" t="n">
        <v>15029.15</v>
      </c>
      <c r="G4916" s="32" t="n">
        <v>5.047</v>
      </c>
      <c r="H4916" s="32" t="inlineStr">
        <is>
          <t>bb</t>
        </is>
      </c>
      <c r="K4916" s="32" t="inlineStr">
        <is>
          <t>20250514-32</t>
        </is>
      </c>
    </row>
    <row r="4917">
      <c r="A4917" s="32" t="n">
        <v>22</v>
      </c>
      <c r="B4917" s="32" t="inlineStr">
        <is>
          <t>K4-2B</t>
        </is>
      </c>
      <c r="D4917" s="32" t="n">
        <v>13.95</v>
      </c>
      <c r="E4917" s="32" t="n">
        <v>11.621</v>
      </c>
      <c r="F4917" s="32" t="n">
        <v>13193.37</v>
      </c>
      <c r="G4917" s="32" t="n">
        <v>3.857</v>
      </c>
      <c r="H4917" s="32" t="inlineStr">
        <is>
          <t>bb</t>
        </is>
      </c>
      <c r="K4917" s="32" t="inlineStr">
        <is>
          <t>20250514-33</t>
        </is>
      </c>
    </row>
    <row r="4918">
      <c r="A4918" s="32" t="n">
        <v>23</v>
      </c>
      <c r="B4918" s="32" t="inlineStr">
        <is>
          <t>K4-2C</t>
        </is>
      </c>
      <c r="D4918" s="32" t="n">
        <v>13.99</v>
      </c>
      <c r="E4918" s="32" t="n">
        <v>1.771</v>
      </c>
      <c r="F4918" s="32" t="n">
        <v>11709.538</v>
      </c>
      <c r="G4918" s="32" t="n">
        <v>17</v>
      </c>
      <c r="H4918" s="32" t="inlineStr">
        <is>
          <t>bb</t>
        </is>
      </c>
      <c r="K4918" s="32" t="inlineStr">
        <is>
          <t>20250514-34</t>
        </is>
      </c>
    </row>
    <row r="4919">
      <c r="A4919" s="32" t="n">
        <v>24</v>
      </c>
      <c r="B4919" s="32" t="inlineStr">
        <is>
          <t>MeOH</t>
        </is>
      </c>
      <c r="D4919" s="32" t="n">
        <v>13.96</v>
      </c>
      <c r="E4919" s="32" t="n">
        <v>416.882</v>
      </c>
      <c r="F4919" s="32" t="n">
        <v>117.739</v>
      </c>
      <c r="G4919" s="32" t="n">
        <v>2873</v>
      </c>
      <c r="H4919" s="32" t="inlineStr">
        <is>
          <t>bb</t>
        </is>
      </c>
      <c r="K4919" s="32" t="inlineStr">
        <is>
          <t>20250514-35</t>
        </is>
      </c>
    </row>
    <row r="4920">
      <c r="A4920" s="32" t="n">
        <v>25</v>
      </c>
      <c r="B4920" s="32" t="inlineStr">
        <is>
          <t>K4-4A</t>
        </is>
      </c>
      <c r="D4920" s="32" t="n">
        <v>14.36</v>
      </c>
      <c r="E4920" s="32" t="n">
        <v>0.952</v>
      </c>
      <c r="F4920" s="32" t="n">
        <v>15668.421</v>
      </c>
      <c r="G4920" s="32" t="n">
        <v>9</v>
      </c>
      <c r="H4920" s="32" t="inlineStr">
        <is>
          <t>MM</t>
        </is>
      </c>
      <c r="K4920" s="32" t="inlineStr">
        <is>
          <t>20250514-36</t>
        </is>
      </c>
    </row>
    <row r="4921">
      <c r="A4921" s="32" t="n">
        <v>26</v>
      </c>
      <c r="B4921" s="32" t="inlineStr">
        <is>
          <t>K4-4B</t>
        </is>
      </c>
      <c r="D4921" s="32" t="n">
        <v>13.99</v>
      </c>
      <c r="E4921" s="32" t="n">
        <v>25.61</v>
      </c>
      <c r="F4921" s="32" t="n">
        <v>15767.02</v>
      </c>
      <c r="G4921" s="32" t="n">
        <v>238</v>
      </c>
      <c r="H4921" s="32" t="inlineStr">
        <is>
          <t>bb</t>
        </is>
      </c>
      <c r="K4921" s="32" t="inlineStr">
        <is>
          <t>20250514-37</t>
        </is>
      </c>
    </row>
    <row r="4922">
      <c r="A4922" s="32" t="n">
        <v>27</v>
      </c>
      <c r="B4922" s="32" t="inlineStr">
        <is>
          <t>K4-4C</t>
        </is>
      </c>
      <c r="D4922" s="32" t="n">
        <v>13.95</v>
      </c>
      <c r="E4922" s="32" t="n">
        <v>15.121</v>
      </c>
      <c r="F4922" s="32" t="n">
        <v>17637.92</v>
      </c>
      <c r="G4922" s="32" t="n">
        <v>144</v>
      </c>
      <c r="H4922" s="32" t="inlineStr">
        <is>
          <t>bb</t>
        </is>
      </c>
      <c r="K4922" s="32" t="inlineStr">
        <is>
          <t>20250514-38</t>
        </is>
      </c>
    </row>
    <row r="4923">
      <c r="A4923" s="32" t="n">
        <v>28</v>
      </c>
      <c r="B4923" s="32" t="inlineStr">
        <is>
          <t>K4-5A</t>
        </is>
      </c>
      <c r="F4923" s="32" t="n">
        <v>14951.4</v>
      </c>
      <c r="K4923" s="32" t="inlineStr">
        <is>
          <t>20250514-39</t>
        </is>
      </c>
    </row>
    <row r="4924">
      <c r="A4924" s="32" t="n">
        <v>29</v>
      </c>
      <c r="B4924" s="32" t="inlineStr">
        <is>
          <t>K4-5B</t>
        </is>
      </c>
      <c r="F4924" s="32" t="n">
        <v>14532.852</v>
      </c>
      <c r="K4924" s="32" t="inlineStr">
        <is>
          <t>20250514-40</t>
        </is>
      </c>
    </row>
    <row r="4925">
      <c r="A4925" s="32" t="n">
        <v>30</v>
      </c>
      <c r="B4925" s="32" t="inlineStr">
        <is>
          <t>K4-5C</t>
        </is>
      </c>
      <c r="D4925" s="32" t="n">
        <v>13.92</v>
      </c>
      <c r="E4925" s="32" t="n">
        <v>3.827</v>
      </c>
      <c r="F4925" s="32" t="n">
        <v>14835.213</v>
      </c>
      <c r="G4925" s="32" t="n">
        <v>37</v>
      </c>
      <c r="H4925" s="32" t="inlineStr">
        <is>
          <t>bb</t>
        </is>
      </c>
      <c r="K4925" s="32" t="inlineStr">
        <is>
          <t>20250514-41</t>
        </is>
      </c>
    </row>
    <row r="4926">
      <c r="A4926" s="32" t="n">
        <v>31</v>
      </c>
      <c r="B4926" s="32" t="inlineStr">
        <is>
          <t>MeOH</t>
        </is>
      </c>
      <c r="D4926" s="32" t="n">
        <v>13.82</v>
      </c>
      <c r="E4926" s="32" t="n">
        <v>232.598</v>
      </c>
      <c r="F4926" s="32" t="n">
        <v>24.159</v>
      </c>
      <c r="G4926" s="32" t="n">
        <v>1898</v>
      </c>
      <c r="H4926" s="32" t="inlineStr">
        <is>
          <t>bb</t>
        </is>
      </c>
      <c r="K4926" s="32" t="inlineStr">
        <is>
          <t>20250514-42</t>
        </is>
      </c>
    </row>
    <row r="4927">
      <c r="A4927" s="32" t="n">
        <v>32</v>
      </c>
      <c r="B4927" s="32" t="inlineStr">
        <is>
          <t>K3-1A</t>
        </is>
      </c>
      <c r="D4927" s="32" t="n">
        <v>13.76</v>
      </c>
      <c r="E4927" s="32" t="n">
        <v>0.406</v>
      </c>
      <c r="F4927" s="32" t="n">
        <v>15618.279</v>
      </c>
      <c r="G4927" s="32" t="n">
        <v>4</v>
      </c>
      <c r="H4927" s="32" t="inlineStr">
        <is>
          <t>bb</t>
        </is>
      </c>
      <c r="K4927" s="32" t="inlineStr">
        <is>
          <t>20250514-43</t>
        </is>
      </c>
    </row>
    <row r="4928">
      <c r="A4928" s="32" t="n">
        <v>33</v>
      </c>
      <c r="B4928" s="32" t="inlineStr">
        <is>
          <t>K3-1B</t>
        </is>
      </c>
      <c r="D4928" s="32" t="n">
        <v>13.85</v>
      </c>
      <c r="E4928" s="32" t="n">
        <v>35.68</v>
      </c>
      <c r="F4928" s="32" t="n">
        <v>15026.766</v>
      </c>
      <c r="G4928" s="32" t="n">
        <v>328</v>
      </c>
      <c r="H4928" s="32" t="inlineStr">
        <is>
          <t>bb</t>
        </is>
      </c>
      <c r="K4928" s="32" t="inlineStr">
        <is>
          <t>20250514-44</t>
        </is>
      </c>
    </row>
    <row r="4929">
      <c r="A4929" s="32" t="n">
        <v>34</v>
      </c>
      <c r="B4929" s="32" t="inlineStr">
        <is>
          <t>K3-1C</t>
        </is>
      </c>
      <c r="F4929" s="32" t="n">
        <v>20473.66</v>
      </c>
      <c r="K4929" s="32" t="inlineStr">
        <is>
          <t>20250514-45</t>
        </is>
      </c>
    </row>
    <row r="4930">
      <c r="A4930" s="32" t="n">
        <v>35</v>
      </c>
      <c r="B4930" s="32" t="inlineStr">
        <is>
          <t>K3-2A</t>
        </is>
      </c>
      <c r="D4930" s="32" t="n">
        <v>13.88</v>
      </c>
      <c r="E4930" s="32" t="n">
        <v>57.116</v>
      </c>
      <c r="F4930" s="32" t="n">
        <v>18932.715</v>
      </c>
      <c r="G4930" s="32" t="n">
        <v>3.817</v>
      </c>
      <c r="H4930" s="32" t="inlineStr">
        <is>
          <t>bb</t>
        </is>
      </c>
      <c r="K4930" s="32" t="inlineStr">
        <is>
          <t>20250514-46</t>
        </is>
      </c>
    </row>
    <row r="4931">
      <c r="A4931" s="32" t="n">
        <v>36</v>
      </c>
      <c r="B4931" s="32" t="inlineStr">
        <is>
          <t>K3-2B</t>
        </is>
      </c>
      <c r="F4931" s="32" t="n">
        <v>20441.465</v>
      </c>
      <c r="K4931" s="32" t="inlineStr">
        <is>
          <t>20250514-47</t>
        </is>
      </c>
    </row>
    <row r="4932">
      <c r="A4932" s="32" t="n">
        <v>37</v>
      </c>
      <c r="B4932" s="32" t="inlineStr">
        <is>
          <t>K3-2C</t>
        </is>
      </c>
      <c r="F4932" s="32" t="n">
        <v>16814.209</v>
      </c>
      <c r="K4932" s="32" t="inlineStr">
        <is>
          <t>20250514-48</t>
        </is>
      </c>
    </row>
    <row r="4933">
      <c r="A4933" s="32" t="n">
        <v>38</v>
      </c>
      <c r="B4933" s="32" t="inlineStr">
        <is>
          <t>MeOH</t>
        </is>
      </c>
      <c r="D4933" s="32" t="n">
        <v>13.94</v>
      </c>
      <c r="E4933" s="32" t="n">
        <v>170.804</v>
      </c>
      <c r="F4933" s="32" t="n">
        <v>58.43</v>
      </c>
      <c r="G4933" s="32" t="n">
        <v>1331</v>
      </c>
      <c r="H4933" s="32" t="inlineStr">
        <is>
          <t>bb</t>
        </is>
      </c>
      <c r="K4933" s="32" t="inlineStr">
        <is>
          <t>20250514-49</t>
        </is>
      </c>
    </row>
    <row r="4934">
      <c r="A4934" s="32" t="n">
        <v>39</v>
      </c>
      <c r="B4934" s="32" t="inlineStr">
        <is>
          <t>K3-3A</t>
        </is>
      </c>
      <c r="F4934" s="32" t="n">
        <v>15959.362</v>
      </c>
      <c r="K4934" s="32" t="inlineStr">
        <is>
          <t>20250514-50</t>
        </is>
      </c>
    </row>
    <row r="4935">
      <c r="A4935" s="32" t="n">
        <v>40</v>
      </c>
      <c r="B4935" s="32" t="inlineStr">
        <is>
          <t>K3-3B</t>
        </is>
      </c>
      <c r="D4935" s="32" t="n">
        <v>13.96</v>
      </c>
      <c r="E4935" s="32" t="n">
        <v>1.57</v>
      </c>
      <c r="F4935" s="32" t="n">
        <v>18827.549</v>
      </c>
      <c r="G4935" s="32" t="n">
        <v>15</v>
      </c>
      <c r="H4935" s="32" t="inlineStr">
        <is>
          <t>bb</t>
        </is>
      </c>
      <c r="K4935" s="32" t="inlineStr">
        <is>
          <t>20250514-51</t>
        </is>
      </c>
    </row>
    <row r="4936">
      <c r="A4936" s="32" t="n">
        <v>41</v>
      </c>
      <c r="B4936" s="32" t="inlineStr">
        <is>
          <t>K3-3C</t>
        </is>
      </c>
      <c r="D4936" s="32" t="n">
        <v>13.94</v>
      </c>
      <c r="E4936" s="32" t="n">
        <v>34.513</v>
      </c>
      <c r="F4936" s="32" t="n">
        <v>20731.822</v>
      </c>
      <c r="G4936" s="32" t="n">
        <v>316</v>
      </c>
      <c r="H4936" s="32" t="inlineStr">
        <is>
          <t>bb</t>
        </is>
      </c>
      <c r="K4936" s="32" t="inlineStr">
        <is>
          <t>20250514-52</t>
        </is>
      </c>
    </row>
    <row r="4937">
      <c r="A4937" s="32" t="n">
        <v>42</v>
      </c>
      <c r="B4937" s="32" t="inlineStr">
        <is>
          <t>K3-4A</t>
        </is>
      </c>
      <c r="D4937" s="32" t="n">
        <v>14.3</v>
      </c>
      <c r="E4937" s="32" t="n">
        <v>3.736</v>
      </c>
      <c r="F4937" s="32" t="n">
        <v>23327.654</v>
      </c>
      <c r="G4937" s="32" t="n">
        <v>35</v>
      </c>
      <c r="H4937" s="32" t="inlineStr">
        <is>
          <t>MM</t>
        </is>
      </c>
      <c r="K4937" s="32" t="inlineStr">
        <is>
          <t>20250514-53</t>
        </is>
      </c>
    </row>
    <row r="4938">
      <c r="A4938" s="32" t="n">
        <v>43</v>
      </c>
      <c r="B4938" s="32" t="inlineStr">
        <is>
          <t>K3-4B</t>
        </is>
      </c>
      <c r="F4938" s="32" t="n">
        <v>21138.484</v>
      </c>
      <c r="K4938" s="32" t="inlineStr">
        <is>
          <t>20250514-54</t>
        </is>
      </c>
    </row>
    <row r="4939">
      <c r="A4939" s="32" t="n">
        <v>44</v>
      </c>
      <c r="B4939" s="32" t="inlineStr">
        <is>
          <t>K3-4C</t>
        </is>
      </c>
      <c r="F4939" s="32" t="n">
        <v>24052.029</v>
      </c>
      <c r="K4939" s="32" t="inlineStr">
        <is>
          <t>20250514-55</t>
        </is>
      </c>
    </row>
    <row r="4940">
      <c r="A4940" s="32" t="n">
        <v>45</v>
      </c>
      <c r="B4940" s="32" t="inlineStr">
        <is>
          <t>MeOH</t>
        </is>
      </c>
      <c r="D4940" s="32" t="n">
        <v>14.01</v>
      </c>
      <c r="E4940" s="32" t="n">
        <v>283.935</v>
      </c>
      <c r="F4940" s="32" t="n">
        <v>18.776</v>
      </c>
      <c r="G4940" s="32" t="n">
        <v>7.114</v>
      </c>
      <c r="H4940" s="32" t="inlineStr">
        <is>
          <t>bb</t>
        </is>
      </c>
      <c r="K4940" s="32" t="inlineStr">
        <is>
          <t>20250514-56</t>
        </is>
      </c>
    </row>
    <row r="4941">
      <c r="A4941" s="32" t="n">
        <v>46</v>
      </c>
      <c r="B4941" s="32" t="inlineStr">
        <is>
          <t>K3-6A</t>
        </is>
      </c>
      <c r="F4941" s="32" t="n">
        <v>19976.734</v>
      </c>
      <c r="K4941" s="32" t="inlineStr">
        <is>
          <t>20250514-57</t>
        </is>
      </c>
    </row>
    <row r="4942">
      <c r="A4942" s="32" t="n">
        <v>47</v>
      </c>
      <c r="B4942" s="32" t="inlineStr">
        <is>
          <t>K3-6B</t>
        </is>
      </c>
      <c r="D4942" s="32" t="n">
        <v>14.08</v>
      </c>
      <c r="E4942" s="32" t="n">
        <v>62.805</v>
      </c>
      <c r="F4942" s="32" t="n">
        <v>15967.418</v>
      </c>
      <c r="G4942" s="32" t="n">
        <v>328</v>
      </c>
      <c r="H4942" s="32" t="inlineStr">
        <is>
          <t>bb</t>
        </is>
      </c>
      <c r="K4942" s="32" t="inlineStr">
        <is>
          <t>20250514-58</t>
        </is>
      </c>
    </row>
    <row r="4943">
      <c r="A4943" s="32" t="n">
        <v>48</v>
      </c>
      <c r="B4943" s="32" t="inlineStr">
        <is>
          <t>K3-6C</t>
        </is>
      </c>
      <c r="D4943" s="32" t="n">
        <v>14.11</v>
      </c>
      <c r="E4943" s="32" t="n">
        <v>31.911</v>
      </c>
      <c r="F4943" s="32" t="n">
        <v>14614.665</v>
      </c>
      <c r="G4943" s="32" t="n">
        <v>3.137</v>
      </c>
      <c r="H4943" s="32" t="inlineStr">
        <is>
          <t>bb</t>
        </is>
      </c>
      <c r="K4943" s="32" t="inlineStr">
        <is>
          <t>20250514-59</t>
        </is>
      </c>
    </row>
    <row r="4945">
      <c r="A4945" s="32" t="inlineStr">
        <is>
          <t>Compound 96:  8:2 FTS 2</t>
        </is>
      </c>
    </row>
    <row r="4947">
      <c r="B4947" s="32" t="inlineStr">
        <is>
          <t>Sample Text</t>
        </is>
      </c>
      <c r="C4947" s="32" t="inlineStr">
        <is>
          <t>Std. Conc</t>
        </is>
      </c>
      <c r="D4947" s="32" t="inlineStr">
        <is>
          <t>RT</t>
        </is>
      </c>
      <c r="E4947" s="32" t="inlineStr">
        <is>
          <t>Area</t>
        </is>
      </c>
      <c r="F4947" s="32" t="inlineStr">
        <is>
          <t>IS Area</t>
        </is>
      </c>
      <c r="G4947" s="32" t="inlineStr">
        <is>
          <t>S/N</t>
        </is>
      </c>
      <c r="H4947" s="32" t="inlineStr">
        <is>
          <t>Primary Flags</t>
        </is>
      </c>
      <c r="I4947" s="32" t="inlineStr">
        <is>
          <t>Response</t>
        </is>
      </c>
      <c r="J4947" s="32" t="inlineStr">
        <is>
          <t>Conc.</t>
        </is>
      </c>
      <c r="K4947" s="32" t="inlineStr">
        <is>
          <t>Name</t>
        </is>
      </c>
    </row>
    <row r="4948">
      <c r="A4948" s="32" t="n">
        <v>1</v>
      </c>
      <c r="B4948" s="32" t="inlineStr">
        <is>
          <t>EPA1633 &amp; diPAPs Calibration 0 ppb</t>
        </is>
      </c>
      <c r="D4948" s="32" t="n">
        <v>13.82</v>
      </c>
      <c r="E4948" s="32" t="n">
        <v>50.116</v>
      </c>
      <c r="F4948" s="32" t="n">
        <v>30965.986</v>
      </c>
      <c r="G4948" s="32" t="n">
        <v>408</v>
      </c>
      <c r="H4948" s="32" t="inlineStr">
        <is>
          <t>bb</t>
        </is>
      </c>
      <c r="K4948" s="32" t="inlineStr">
        <is>
          <t>20250514-12</t>
        </is>
      </c>
    </row>
    <row r="4949">
      <c r="A4949" s="32" t="n">
        <v>2</v>
      </c>
      <c r="B4949" s="32" t="inlineStr">
        <is>
          <t>EPA1633 &amp; diPAPs Calibration 0.02 ppb</t>
        </is>
      </c>
      <c r="D4949" s="32" t="n">
        <v>13.86</v>
      </c>
      <c r="E4949" s="32" t="n">
        <v>306.98</v>
      </c>
      <c r="F4949" s="32" t="n">
        <v>26256.979</v>
      </c>
      <c r="G4949" s="32" t="n">
        <v>2253</v>
      </c>
      <c r="H4949" s="32" t="inlineStr">
        <is>
          <t>MM</t>
        </is>
      </c>
      <c r="K4949" s="32" t="inlineStr">
        <is>
          <t>20250514-13</t>
        </is>
      </c>
    </row>
    <row r="4950">
      <c r="A4950" s="32" t="n">
        <v>3</v>
      </c>
      <c r="B4950" s="32" t="inlineStr">
        <is>
          <t>EPA1633 &amp; diPAPs Calibration 0.1 ppb</t>
        </is>
      </c>
      <c r="D4950" s="32" t="n">
        <v>13.86</v>
      </c>
      <c r="E4950" s="32" t="n">
        <v>633.0309999999999</v>
      </c>
      <c r="F4950" s="32" t="n">
        <v>29442.266</v>
      </c>
      <c r="G4950" s="32" t="n">
        <v>13.28</v>
      </c>
      <c r="H4950" s="32" t="inlineStr">
        <is>
          <t>bb</t>
        </is>
      </c>
      <c r="K4950" s="32" t="inlineStr">
        <is>
          <t>20250514-14</t>
        </is>
      </c>
    </row>
    <row r="4951">
      <c r="A4951" s="32" t="n">
        <v>4</v>
      </c>
      <c r="B4951" s="32" t="inlineStr">
        <is>
          <t>EPA1633 &amp; diPAPs Calibration 0.4 ppb</t>
        </is>
      </c>
      <c r="D4951" s="32" t="n">
        <v>13.88</v>
      </c>
      <c r="E4951" s="32" t="n">
        <v>1994.163</v>
      </c>
      <c r="F4951" s="32" t="n">
        <v>26004.189</v>
      </c>
      <c r="G4951" s="32" t="n">
        <v>219.203</v>
      </c>
      <c r="H4951" s="32" t="inlineStr">
        <is>
          <t>bb</t>
        </is>
      </c>
      <c r="K4951" s="32" t="inlineStr">
        <is>
          <t>20250514-15</t>
        </is>
      </c>
    </row>
    <row r="4952">
      <c r="A4952" s="32" t="n">
        <v>5</v>
      </c>
      <c r="B4952" s="32" t="inlineStr">
        <is>
          <t>EPA1633 &amp; diPAPs Calibration 1 ppb</t>
        </is>
      </c>
      <c r="D4952" s="32" t="n">
        <v>13.88</v>
      </c>
      <c r="E4952" s="32" t="n">
        <v>3033.921</v>
      </c>
      <c r="F4952" s="32" t="n">
        <v>33901.273</v>
      </c>
      <c r="G4952" s="32" t="n">
        <v>22438</v>
      </c>
      <c r="H4952" s="32" t="inlineStr">
        <is>
          <t>bb</t>
        </is>
      </c>
      <c r="K4952" s="32" t="inlineStr">
        <is>
          <t>20250514-16</t>
        </is>
      </c>
    </row>
    <row r="4953">
      <c r="A4953" s="32" t="n">
        <v>6</v>
      </c>
      <c r="B4953" s="32" t="inlineStr">
        <is>
          <t>EPA1633 &amp; diPAPs Calibration 5 ppb</t>
        </is>
      </c>
      <c r="D4953" s="32" t="n">
        <v>13.81</v>
      </c>
      <c r="E4953" s="32" t="n">
        <v>13576.984</v>
      </c>
      <c r="F4953" s="32" t="n">
        <v>29163.5</v>
      </c>
      <c r="G4953" s="32" t="n">
        <v>489.194</v>
      </c>
      <c r="H4953" s="32" t="inlineStr">
        <is>
          <t>bb</t>
        </is>
      </c>
      <c r="K4953" s="32" t="inlineStr">
        <is>
          <t>20250514-17</t>
        </is>
      </c>
    </row>
    <row r="4954">
      <c r="A4954" s="32" t="n">
        <v>7</v>
      </c>
      <c r="B4954" s="32" t="inlineStr">
        <is>
          <t>EPA1633 &amp; diPAPs Calibration 10 ppb</t>
        </is>
      </c>
      <c r="D4954" s="32" t="n">
        <v>13.82</v>
      </c>
      <c r="E4954" s="32" t="n">
        <v>24868.111</v>
      </c>
      <c r="F4954" s="32" t="n">
        <v>26316.053</v>
      </c>
      <c r="G4954" s="32" t="n">
        <v>175224</v>
      </c>
      <c r="H4954" s="32" t="inlineStr">
        <is>
          <t>bb</t>
        </is>
      </c>
      <c r="K4954" s="32" t="inlineStr">
        <is>
          <t>20250514-18</t>
        </is>
      </c>
    </row>
    <row r="4955">
      <c r="A4955" s="32" t="n">
        <v>8</v>
      </c>
      <c r="B4955" s="32" t="inlineStr">
        <is>
          <t>EPA1633 &amp; diPAPs Calibration 20 ppb</t>
        </is>
      </c>
      <c r="D4955" s="32" t="n">
        <v>13.85</v>
      </c>
      <c r="E4955" s="32" t="n">
        <v>48056.652</v>
      </c>
      <c r="F4955" s="32" t="n">
        <v>34970.711</v>
      </c>
      <c r="G4955" s="32" t="n">
        <v>1671.691</v>
      </c>
      <c r="H4955" s="32" t="inlineStr">
        <is>
          <t>bb</t>
        </is>
      </c>
      <c r="K4955" s="32" t="inlineStr">
        <is>
          <t>20250514-19</t>
        </is>
      </c>
    </row>
    <row r="4956">
      <c r="A4956" s="32" t="n">
        <v>9</v>
      </c>
      <c r="B4956" s="32" t="inlineStr">
        <is>
          <t>MeOH</t>
        </is>
      </c>
      <c r="D4956" s="32" t="n">
        <v>13.86</v>
      </c>
      <c r="E4956" s="32" t="n">
        <v>68.65000000000001</v>
      </c>
      <c r="F4956" s="32" t="n">
        <v>190.67</v>
      </c>
      <c r="G4956" s="32" t="n">
        <v>442</v>
      </c>
      <c r="H4956" s="32" t="inlineStr">
        <is>
          <t>bb</t>
        </is>
      </c>
      <c r="K4956" s="32" t="inlineStr">
        <is>
          <t>20250514-20</t>
        </is>
      </c>
    </row>
    <row r="4957">
      <c r="A4957" s="32" t="n">
        <v>10</v>
      </c>
      <c r="B4957" s="32" t="inlineStr">
        <is>
          <t>MeOH</t>
        </is>
      </c>
      <c r="D4957" s="32" t="n">
        <v>13.92</v>
      </c>
      <c r="E4957" s="32" t="n">
        <v>20.302</v>
      </c>
      <c r="G4957" s="32" t="n">
        <v>7.128</v>
      </c>
      <c r="H4957" s="32" t="inlineStr">
        <is>
          <t>bb</t>
        </is>
      </c>
      <c r="K4957" s="32" t="inlineStr">
        <is>
          <t>20250514-21</t>
        </is>
      </c>
    </row>
    <row r="4958">
      <c r="A4958" s="32" t="n">
        <v>11</v>
      </c>
      <c r="B4958" s="32" t="inlineStr">
        <is>
          <t>SB1</t>
        </is>
      </c>
      <c r="D4958" s="32" t="n">
        <v>13.91</v>
      </c>
      <c r="E4958" s="32" t="n">
        <v>41.239</v>
      </c>
      <c r="F4958" s="32" t="n">
        <v>13138.81</v>
      </c>
      <c r="G4958" s="32" t="n">
        <v>357</v>
      </c>
      <c r="H4958" s="32" t="inlineStr">
        <is>
          <t>bb</t>
        </is>
      </c>
      <c r="K4958" s="32" t="inlineStr">
        <is>
          <t>20250514-22</t>
        </is>
      </c>
    </row>
    <row r="4959">
      <c r="A4959" s="32" t="n">
        <v>12</v>
      </c>
      <c r="B4959" s="32" t="inlineStr">
        <is>
          <t>SB2</t>
        </is>
      </c>
      <c r="F4959" s="32" t="n">
        <v>10766.206</v>
      </c>
      <c r="K4959" s="32" t="inlineStr">
        <is>
          <t>20250514-23</t>
        </is>
      </c>
    </row>
    <row r="4960">
      <c r="A4960" s="32" t="n">
        <v>13</v>
      </c>
      <c r="B4960" s="32" t="inlineStr">
        <is>
          <t>SB3</t>
        </is>
      </c>
      <c r="F4960" s="32" t="n">
        <v>11886.97</v>
      </c>
      <c r="K4960" s="32" t="inlineStr">
        <is>
          <t>20250514-24</t>
        </is>
      </c>
    </row>
    <row r="4961">
      <c r="A4961" s="32" t="n">
        <v>14</v>
      </c>
      <c r="B4961" s="32" t="inlineStr">
        <is>
          <t>SS1</t>
        </is>
      </c>
      <c r="D4961" s="32" t="n">
        <v>13.91</v>
      </c>
      <c r="E4961" s="32" t="n">
        <v>11076.557</v>
      </c>
      <c r="F4961" s="32" t="n">
        <v>13876.597</v>
      </c>
      <c r="G4961" s="32" t="n">
        <v>79371</v>
      </c>
      <c r="H4961" s="32" t="inlineStr">
        <is>
          <t>bb</t>
        </is>
      </c>
      <c r="K4961" s="32" t="inlineStr">
        <is>
          <t>20250514-25</t>
        </is>
      </c>
    </row>
    <row r="4962">
      <c r="A4962" s="32" t="n">
        <v>15</v>
      </c>
      <c r="B4962" s="32" t="inlineStr">
        <is>
          <t>SS2</t>
        </is>
      </c>
      <c r="D4962" s="32" t="n">
        <v>13.92</v>
      </c>
      <c r="E4962" s="32" t="n">
        <v>11054.829</v>
      </c>
      <c r="F4962" s="32" t="n">
        <v>13576.301</v>
      </c>
      <c r="G4962" s="32" t="n">
        <v>77809</v>
      </c>
      <c r="H4962" s="32" t="inlineStr">
        <is>
          <t>bb</t>
        </is>
      </c>
      <c r="K4962" s="32" t="inlineStr">
        <is>
          <t>20250514-26</t>
        </is>
      </c>
    </row>
    <row r="4963">
      <c r="A4963" s="32" t="n">
        <v>16</v>
      </c>
      <c r="B4963" s="32" t="inlineStr">
        <is>
          <t>SS3</t>
        </is>
      </c>
      <c r="D4963" s="32" t="n">
        <v>13.94</v>
      </c>
      <c r="E4963" s="32" t="n">
        <v>10419.543</v>
      </c>
      <c r="F4963" s="32" t="n">
        <v>12674.324</v>
      </c>
      <c r="G4963" s="32" t="n">
        <v>74550</v>
      </c>
      <c r="H4963" s="32" t="inlineStr">
        <is>
          <t>bb</t>
        </is>
      </c>
      <c r="K4963" s="32" t="inlineStr">
        <is>
          <t>20250514-27</t>
        </is>
      </c>
    </row>
    <row r="4964">
      <c r="A4964" s="32" t="n">
        <v>17</v>
      </c>
      <c r="B4964" s="32" t="inlineStr">
        <is>
          <t>MeOH</t>
        </is>
      </c>
      <c r="D4964" s="32" t="n">
        <v>13.94</v>
      </c>
      <c r="E4964" s="32" t="n">
        <v>73.95</v>
      </c>
      <c r="F4964" s="32" t="n">
        <v>87.821</v>
      </c>
      <c r="G4964" s="32" t="n">
        <v>615</v>
      </c>
      <c r="H4964" s="32" t="inlineStr">
        <is>
          <t>bb</t>
        </is>
      </c>
      <c r="K4964" s="32" t="inlineStr">
        <is>
          <t>20250514-28</t>
        </is>
      </c>
    </row>
    <row r="4965">
      <c r="A4965" s="32" t="n">
        <v>18</v>
      </c>
      <c r="B4965" s="32" t="inlineStr">
        <is>
          <t>K4-1A</t>
        </is>
      </c>
      <c r="D4965" s="32" t="n">
        <v>13.92</v>
      </c>
      <c r="E4965" s="32" t="n">
        <v>32.755</v>
      </c>
      <c r="F4965" s="32" t="n">
        <v>14693.816</v>
      </c>
      <c r="G4965" s="32" t="n">
        <v>4.873</v>
      </c>
      <c r="H4965" s="32" t="inlineStr">
        <is>
          <t>bb</t>
        </is>
      </c>
      <c r="K4965" s="32" t="inlineStr">
        <is>
          <t>20250514-29</t>
        </is>
      </c>
    </row>
    <row r="4966">
      <c r="A4966" s="32" t="n">
        <v>19</v>
      </c>
      <c r="B4966" s="32" t="inlineStr">
        <is>
          <t>K4-1B</t>
        </is>
      </c>
      <c r="F4966" s="32" t="n">
        <v>13933.742</v>
      </c>
      <c r="K4966" s="32" t="inlineStr">
        <is>
          <t>20250514-30</t>
        </is>
      </c>
    </row>
    <row r="4967">
      <c r="A4967" s="32" t="n">
        <v>20</v>
      </c>
      <c r="B4967" s="32" t="inlineStr">
        <is>
          <t>K4-1C</t>
        </is>
      </c>
      <c r="F4967" s="32" t="n">
        <v>14628.158</v>
      </c>
      <c r="K4967" s="32" t="inlineStr">
        <is>
          <t>20250514-31</t>
        </is>
      </c>
    </row>
    <row r="4968">
      <c r="A4968" s="32" t="n">
        <v>21</v>
      </c>
      <c r="B4968" s="32" t="inlineStr">
        <is>
          <t>K4-2A</t>
        </is>
      </c>
      <c r="F4968" s="32" t="n">
        <v>15029.15</v>
      </c>
      <c r="K4968" s="32" t="inlineStr">
        <is>
          <t>20250514-32</t>
        </is>
      </c>
    </row>
    <row r="4969">
      <c r="A4969" s="32" t="n">
        <v>22</v>
      </c>
      <c r="B4969" s="32" t="inlineStr">
        <is>
          <t>K4-2B</t>
        </is>
      </c>
      <c r="F4969" s="32" t="n">
        <v>13193.37</v>
      </c>
      <c r="K4969" s="32" t="inlineStr">
        <is>
          <t>20250514-33</t>
        </is>
      </c>
    </row>
    <row r="4970">
      <c r="A4970" s="32" t="n">
        <v>23</v>
      </c>
      <c r="B4970" s="32" t="inlineStr">
        <is>
          <t>K4-2C</t>
        </is>
      </c>
      <c r="D4970" s="32" t="n">
        <v>13.67</v>
      </c>
      <c r="E4970" s="32" t="n">
        <v>5.688</v>
      </c>
      <c r="F4970" s="32" t="n">
        <v>11709.538</v>
      </c>
      <c r="G4970" s="32" t="n">
        <v>57</v>
      </c>
      <c r="H4970" s="32" t="inlineStr">
        <is>
          <t>bb</t>
        </is>
      </c>
      <c r="K4970" s="32" t="inlineStr">
        <is>
          <t>20250514-34</t>
        </is>
      </c>
    </row>
    <row r="4971">
      <c r="A4971" s="32" t="n">
        <v>24</v>
      </c>
      <c r="B4971" s="32" t="inlineStr">
        <is>
          <t>MeOH</t>
        </is>
      </c>
      <c r="D4971" s="32" t="n">
        <v>13.94</v>
      </c>
      <c r="E4971" s="32" t="n">
        <v>70.696</v>
      </c>
      <c r="F4971" s="32" t="n">
        <v>117.739</v>
      </c>
      <c r="G4971" s="32" t="n">
        <v>4.28</v>
      </c>
      <c r="H4971" s="32" t="inlineStr">
        <is>
          <t>bb</t>
        </is>
      </c>
      <c r="K4971" s="32" t="inlineStr">
        <is>
          <t>20250514-35</t>
        </is>
      </c>
    </row>
    <row r="4972">
      <c r="A4972" s="32" t="n">
        <v>25</v>
      </c>
      <c r="B4972" s="32" t="inlineStr">
        <is>
          <t>K4-4A</t>
        </is>
      </c>
      <c r="F4972" s="32" t="n">
        <v>15668.421</v>
      </c>
      <c r="K4972" s="32" t="inlineStr">
        <is>
          <t>20250514-36</t>
        </is>
      </c>
    </row>
    <row r="4973">
      <c r="A4973" s="32" t="n">
        <v>26</v>
      </c>
      <c r="B4973" s="32" t="inlineStr">
        <is>
          <t>K4-4B</t>
        </is>
      </c>
      <c r="F4973" s="32" t="n">
        <v>15767.02</v>
      </c>
      <c r="K4973" s="32" t="inlineStr">
        <is>
          <t>20250514-37</t>
        </is>
      </c>
    </row>
    <row r="4974">
      <c r="A4974" s="32" t="n">
        <v>27</v>
      </c>
      <c r="B4974" s="32" t="inlineStr">
        <is>
          <t>K4-4C</t>
        </is>
      </c>
      <c r="F4974" s="32" t="n">
        <v>17637.92</v>
      </c>
      <c r="K4974" s="32" t="inlineStr">
        <is>
          <t>20250514-38</t>
        </is>
      </c>
    </row>
    <row r="4975">
      <c r="A4975" s="32" t="n">
        <v>28</v>
      </c>
      <c r="B4975" s="32" t="inlineStr">
        <is>
          <t>K4-5A</t>
        </is>
      </c>
      <c r="D4975" s="32" t="n">
        <v>13.79</v>
      </c>
      <c r="E4975" s="32" t="n">
        <v>0.338</v>
      </c>
      <c r="F4975" s="32" t="n">
        <v>14951.4</v>
      </c>
      <c r="G4975" s="32" t="n">
        <v>3</v>
      </c>
      <c r="H4975" s="32" t="inlineStr">
        <is>
          <t>bb</t>
        </is>
      </c>
      <c r="K4975" s="32" t="inlineStr">
        <is>
          <t>20250514-39</t>
        </is>
      </c>
    </row>
    <row r="4976">
      <c r="A4976" s="32" t="n">
        <v>29</v>
      </c>
      <c r="B4976" s="32" t="inlineStr">
        <is>
          <t>K4-5B</t>
        </is>
      </c>
      <c r="F4976" s="32" t="n">
        <v>14532.852</v>
      </c>
      <c r="K4976" s="32" t="inlineStr">
        <is>
          <t>20250514-40</t>
        </is>
      </c>
    </row>
    <row r="4977">
      <c r="A4977" s="32" t="n">
        <v>30</v>
      </c>
      <c r="B4977" s="32" t="inlineStr">
        <is>
          <t>K4-5C</t>
        </is>
      </c>
      <c r="F4977" s="32" t="n">
        <v>14835.213</v>
      </c>
      <c r="K4977" s="32" t="inlineStr">
        <is>
          <t>20250514-41</t>
        </is>
      </c>
    </row>
    <row r="4978">
      <c r="A4978" s="32" t="n">
        <v>31</v>
      </c>
      <c r="B4978" s="32" t="inlineStr">
        <is>
          <t>MeOH</t>
        </is>
      </c>
      <c r="D4978" s="32" t="n">
        <v>13.84</v>
      </c>
      <c r="E4978" s="32" t="n">
        <v>48.967</v>
      </c>
      <c r="F4978" s="32" t="n">
        <v>24.159</v>
      </c>
      <c r="G4978" s="32" t="n">
        <v>5.771</v>
      </c>
      <c r="H4978" s="32" t="inlineStr">
        <is>
          <t>bb</t>
        </is>
      </c>
      <c r="K4978" s="32" t="inlineStr">
        <is>
          <t>20250514-42</t>
        </is>
      </c>
    </row>
    <row r="4979">
      <c r="A4979" s="32" t="n">
        <v>32</v>
      </c>
      <c r="B4979" s="32" t="inlineStr">
        <is>
          <t>K3-1A</t>
        </is>
      </c>
      <c r="F4979" s="32" t="n">
        <v>15618.279</v>
      </c>
      <c r="K4979" s="32" t="inlineStr">
        <is>
          <t>20250514-43</t>
        </is>
      </c>
    </row>
    <row r="4980">
      <c r="A4980" s="32" t="n">
        <v>33</v>
      </c>
      <c r="B4980" s="32" t="inlineStr">
        <is>
          <t>K3-1B</t>
        </is>
      </c>
      <c r="D4980" s="32" t="n">
        <v>13.85</v>
      </c>
      <c r="E4980" s="32" t="n">
        <v>2.909</v>
      </c>
      <c r="F4980" s="32" t="n">
        <v>15026.766</v>
      </c>
      <c r="G4980" s="32" t="n">
        <v>28</v>
      </c>
      <c r="H4980" s="32" t="inlineStr">
        <is>
          <t>bb</t>
        </is>
      </c>
      <c r="K4980" s="32" t="inlineStr">
        <is>
          <t>20250514-44</t>
        </is>
      </c>
    </row>
    <row r="4981">
      <c r="A4981" s="32" t="n">
        <v>34</v>
      </c>
      <c r="B4981" s="32" t="inlineStr">
        <is>
          <t>K3-1C</t>
        </is>
      </c>
      <c r="F4981" s="32" t="n">
        <v>20473.66</v>
      </c>
      <c r="K4981" s="32" t="inlineStr">
        <is>
          <t>20250514-45</t>
        </is>
      </c>
    </row>
    <row r="4982">
      <c r="A4982" s="32" t="n">
        <v>35</v>
      </c>
      <c r="B4982" s="32" t="inlineStr">
        <is>
          <t>K3-2A</t>
        </is>
      </c>
      <c r="F4982" s="32" t="n">
        <v>18932.715</v>
      </c>
      <c r="K4982" s="32" t="inlineStr">
        <is>
          <t>20250514-46</t>
        </is>
      </c>
    </row>
    <row r="4983">
      <c r="A4983" s="32" t="n">
        <v>36</v>
      </c>
      <c r="B4983" s="32" t="inlineStr">
        <is>
          <t>K3-2B</t>
        </is>
      </c>
      <c r="F4983" s="32" t="n">
        <v>20441.465</v>
      </c>
      <c r="K4983" s="32" t="inlineStr">
        <is>
          <t>20250514-47</t>
        </is>
      </c>
    </row>
    <row r="4984">
      <c r="A4984" s="32" t="n">
        <v>37</v>
      </c>
      <c r="B4984" s="32" t="inlineStr">
        <is>
          <t>K3-2C</t>
        </is>
      </c>
      <c r="D4984" s="32" t="n">
        <v>14.02</v>
      </c>
      <c r="E4984" s="32" t="n">
        <v>0.5659999999999999</v>
      </c>
      <c r="F4984" s="32" t="n">
        <v>16814.209</v>
      </c>
      <c r="G4984" s="32" t="n">
        <v>5</v>
      </c>
      <c r="H4984" s="32" t="inlineStr">
        <is>
          <t>bb</t>
        </is>
      </c>
      <c r="K4984" s="32" t="inlineStr">
        <is>
          <t>20250514-48</t>
        </is>
      </c>
    </row>
    <row r="4985">
      <c r="A4985" s="32" t="n">
        <v>38</v>
      </c>
      <c r="B4985" s="32" t="inlineStr">
        <is>
          <t>MeOH</t>
        </is>
      </c>
      <c r="D4985" s="32" t="n">
        <v>13.92</v>
      </c>
      <c r="E4985" s="32" t="n">
        <v>14.837</v>
      </c>
      <c r="F4985" s="32" t="n">
        <v>58.43</v>
      </c>
      <c r="G4985" s="32" t="n">
        <v>138</v>
      </c>
      <c r="H4985" s="32" t="inlineStr">
        <is>
          <t>bb</t>
        </is>
      </c>
      <c r="K4985" s="32" t="inlineStr">
        <is>
          <t>20250514-49</t>
        </is>
      </c>
    </row>
    <row r="4986">
      <c r="A4986" s="32" t="n">
        <v>39</v>
      </c>
      <c r="B4986" s="32" t="inlineStr">
        <is>
          <t>K3-3A</t>
        </is>
      </c>
      <c r="F4986" s="32" t="n">
        <v>15959.362</v>
      </c>
      <c r="K4986" s="32" t="inlineStr">
        <is>
          <t>20250514-50</t>
        </is>
      </c>
    </row>
    <row r="4987">
      <c r="A4987" s="32" t="n">
        <v>40</v>
      </c>
      <c r="B4987" s="32" t="inlineStr">
        <is>
          <t>K3-3B</t>
        </is>
      </c>
      <c r="F4987" s="32" t="n">
        <v>18827.549</v>
      </c>
      <c r="K4987" s="32" t="inlineStr">
        <is>
          <t>20250514-51</t>
        </is>
      </c>
    </row>
    <row r="4988">
      <c r="A4988" s="32" t="n">
        <v>41</v>
      </c>
      <c r="B4988" s="32" t="inlineStr">
        <is>
          <t>K3-3C</t>
        </is>
      </c>
      <c r="F4988" s="32" t="n">
        <v>20731.822</v>
      </c>
      <c r="K4988" s="32" t="inlineStr">
        <is>
          <t>20250514-52</t>
        </is>
      </c>
    </row>
    <row r="4989">
      <c r="A4989" s="32" t="n">
        <v>42</v>
      </c>
      <c r="B4989" s="32" t="inlineStr">
        <is>
          <t>K3-4A</t>
        </is>
      </c>
      <c r="F4989" s="32" t="n">
        <v>23327.654</v>
      </c>
      <c r="K4989" s="32" t="inlineStr">
        <is>
          <t>20250514-53</t>
        </is>
      </c>
    </row>
    <row r="4990">
      <c r="A4990" s="32" t="n">
        <v>43</v>
      </c>
      <c r="B4990" s="32" t="inlineStr">
        <is>
          <t>K3-4B</t>
        </is>
      </c>
      <c r="F4990" s="32" t="n">
        <v>21138.484</v>
      </c>
      <c r="K4990" s="32" t="inlineStr">
        <is>
          <t>20250514-54</t>
        </is>
      </c>
    </row>
    <row r="4991">
      <c r="A4991" s="32" t="n">
        <v>44</v>
      </c>
      <c r="B4991" s="32" t="inlineStr">
        <is>
          <t>K3-4C</t>
        </is>
      </c>
      <c r="F4991" s="32" t="n">
        <v>24052.029</v>
      </c>
      <c r="K4991" s="32" t="inlineStr">
        <is>
          <t>20250514-55</t>
        </is>
      </c>
    </row>
    <row r="4992">
      <c r="A4992" s="32" t="n">
        <v>45</v>
      </c>
      <c r="B4992" s="32" t="inlineStr">
        <is>
          <t>MeOH</t>
        </is>
      </c>
      <c r="D4992" s="32" t="n">
        <v>14.02</v>
      </c>
      <c r="E4992" s="32" t="n">
        <v>59.468</v>
      </c>
      <c r="F4992" s="32" t="n">
        <v>18.776</v>
      </c>
      <c r="G4992" s="32" t="n">
        <v>443</v>
      </c>
      <c r="H4992" s="32" t="inlineStr">
        <is>
          <t>bb</t>
        </is>
      </c>
      <c r="K4992" s="32" t="inlineStr">
        <is>
          <t>20250514-56</t>
        </is>
      </c>
    </row>
    <row r="4993">
      <c r="A4993" s="32" t="n">
        <v>46</v>
      </c>
      <c r="B4993" s="32" t="inlineStr">
        <is>
          <t>K3-6A</t>
        </is>
      </c>
      <c r="F4993" s="32" t="n">
        <v>19976.734</v>
      </c>
      <c r="K4993" s="32" t="inlineStr">
        <is>
          <t>20250514-57</t>
        </is>
      </c>
    </row>
    <row r="4994">
      <c r="A4994" s="32" t="n">
        <v>47</v>
      </c>
      <c r="B4994" s="32" t="inlineStr">
        <is>
          <t>K3-6B</t>
        </is>
      </c>
      <c r="F4994" s="32" t="n">
        <v>15967.418</v>
      </c>
      <c r="K4994" s="32" t="inlineStr">
        <is>
          <t>20250514-58</t>
        </is>
      </c>
    </row>
    <row r="4995">
      <c r="A4995" s="32" t="n">
        <v>48</v>
      </c>
      <c r="B4995" s="32" t="inlineStr">
        <is>
          <t>K3-6C</t>
        </is>
      </c>
      <c r="F4995" s="32" t="n">
        <v>14614.665</v>
      </c>
      <c r="K4995" s="32" t="inlineStr">
        <is>
          <t>20250514-59</t>
        </is>
      </c>
    </row>
    <row r="4997">
      <c r="A4997" s="32" t="inlineStr">
        <is>
          <t>Compound 97:  m2 8:2 FTS 1</t>
        </is>
      </c>
    </row>
    <row r="4999">
      <c r="B4999" s="32" t="inlineStr">
        <is>
          <t>Sample Text</t>
        </is>
      </c>
      <c r="C4999" s="32" t="inlineStr">
        <is>
          <t>Std. Conc</t>
        </is>
      </c>
      <c r="D4999" s="32" t="inlineStr">
        <is>
          <t>RT</t>
        </is>
      </c>
      <c r="E4999" s="32" t="inlineStr">
        <is>
          <t>Area</t>
        </is>
      </c>
      <c r="F4999" s="32" t="inlineStr">
        <is>
          <t>IS Area</t>
        </is>
      </c>
      <c r="G4999" s="32" t="inlineStr">
        <is>
          <t>S/N</t>
        </is>
      </c>
      <c r="H4999" s="32" t="inlineStr">
        <is>
          <t>Primary Flags</t>
        </is>
      </c>
      <c r="I4999" s="32" t="inlineStr">
        <is>
          <t>Response</t>
        </is>
      </c>
      <c r="J4999" s="32" t="inlineStr">
        <is>
          <t>Conc.</t>
        </is>
      </c>
      <c r="K4999" s="32" t="inlineStr">
        <is>
          <t>Name</t>
        </is>
      </c>
    </row>
    <row r="5000">
      <c r="A5000" s="32" t="n">
        <v>1</v>
      </c>
      <c r="B5000" s="32" t="inlineStr">
        <is>
          <t>EPA1633 &amp; diPAPs Calibration 0 ppb</t>
        </is>
      </c>
      <c r="D5000" s="32" t="n">
        <v>13.84</v>
      </c>
      <c r="E5000" s="32" t="n">
        <v>30965.986</v>
      </c>
      <c r="G5000" s="32" t="n">
        <v>504.949</v>
      </c>
      <c r="H5000" s="32" t="inlineStr">
        <is>
          <t>bb</t>
        </is>
      </c>
      <c r="I5000" s="32" t="n">
        <v>30965.986</v>
      </c>
      <c r="K5000" s="32" t="inlineStr">
        <is>
          <t>20250514-12</t>
        </is>
      </c>
    </row>
    <row r="5001">
      <c r="A5001" s="32" t="n">
        <v>2</v>
      </c>
      <c r="B5001" s="32" t="inlineStr">
        <is>
          <t>EPA1633 &amp; diPAPs Calibration 0.02 ppb</t>
        </is>
      </c>
      <c r="D5001" s="32" t="n">
        <v>13.86</v>
      </c>
      <c r="E5001" s="32" t="n">
        <v>26256.979</v>
      </c>
      <c r="G5001" s="32" t="n">
        <v>1059.389</v>
      </c>
      <c r="H5001" s="32" t="inlineStr">
        <is>
          <t>bb</t>
        </is>
      </c>
      <c r="I5001" s="32" t="n">
        <v>26256.979</v>
      </c>
      <c r="K5001" s="32" t="inlineStr">
        <is>
          <t>20250514-13</t>
        </is>
      </c>
    </row>
    <row r="5002">
      <c r="A5002" s="32" t="n">
        <v>3</v>
      </c>
      <c r="B5002" s="32" t="inlineStr">
        <is>
          <t>EPA1633 &amp; diPAPs Calibration 0.1 ppb</t>
        </is>
      </c>
      <c r="D5002" s="32" t="n">
        <v>13.86</v>
      </c>
      <c r="E5002" s="32" t="n">
        <v>29442.266</v>
      </c>
      <c r="G5002" s="32" t="n">
        <v>595.121</v>
      </c>
      <c r="H5002" s="32" t="inlineStr">
        <is>
          <t>bb</t>
        </is>
      </c>
      <c r="I5002" s="32" t="n">
        <v>29442.266</v>
      </c>
      <c r="K5002" s="32" t="inlineStr">
        <is>
          <t>20250514-14</t>
        </is>
      </c>
    </row>
    <row r="5003">
      <c r="A5003" s="32" t="n">
        <v>4</v>
      </c>
      <c r="B5003" s="32" t="inlineStr">
        <is>
          <t>EPA1633 &amp; diPAPs Calibration 0.4 ppb</t>
        </is>
      </c>
      <c r="D5003" s="32" t="n">
        <v>13.86</v>
      </c>
      <c r="E5003" s="32" t="n">
        <v>26004.189</v>
      </c>
      <c r="G5003" s="32" t="n">
        <v>1556.526</v>
      </c>
      <c r="H5003" s="32" t="inlineStr">
        <is>
          <t>bb</t>
        </is>
      </c>
      <c r="I5003" s="32" t="n">
        <v>26004.189</v>
      </c>
      <c r="K5003" s="32" t="inlineStr">
        <is>
          <t>20250514-15</t>
        </is>
      </c>
    </row>
    <row r="5004">
      <c r="A5004" s="32" t="n">
        <v>5</v>
      </c>
      <c r="B5004" s="32" t="inlineStr">
        <is>
          <t>EPA1633 &amp; diPAPs Calibration 1 ppb</t>
        </is>
      </c>
      <c r="D5004" s="32" t="n">
        <v>13.88</v>
      </c>
      <c r="E5004" s="32" t="n">
        <v>33901.273</v>
      </c>
      <c r="G5004" s="32" t="n">
        <v>7431.682</v>
      </c>
      <c r="H5004" s="32" t="inlineStr">
        <is>
          <t>bb</t>
        </is>
      </c>
      <c r="I5004" s="32" t="n">
        <v>33901.273</v>
      </c>
      <c r="K5004" s="32" t="inlineStr">
        <is>
          <t>20250514-16</t>
        </is>
      </c>
    </row>
    <row r="5005">
      <c r="A5005" s="32" t="n">
        <v>6</v>
      </c>
      <c r="B5005" s="32" t="inlineStr">
        <is>
          <t>EPA1633 &amp; diPAPs Calibration 5 ppb</t>
        </is>
      </c>
      <c r="D5005" s="32" t="n">
        <v>13.81</v>
      </c>
      <c r="E5005" s="32" t="n">
        <v>29163.5</v>
      </c>
      <c r="G5005" s="32" t="n">
        <v>153.954</v>
      </c>
      <c r="H5005" s="32" t="inlineStr">
        <is>
          <t>bb</t>
        </is>
      </c>
      <c r="I5005" s="32" t="n">
        <v>29163.5</v>
      </c>
      <c r="K5005" s="32" t="inlineStr">
        <is>
          <t>20250514-17</t>
        </is>
      </c>
    </row>
    <row r="5006">
      <c r="A5006" s="32" t="n">
        <v>7</v>
      </c>
      <c r="B5006" s="32" t="inlineStr">
        <is>
          <t>EPA1633 &amp; diPAPs Calibration 10 ppb</t>
        </is>
      </c>
      <c r="D5006" s="32" t="n">
        <v>13.82</v>
      </c>
      <c r="E5006" s="32" t="n">
        <v>26316.053</v>
      </c>
      <c r="G5006" s="32" t="n">
        <v>1509.911</v>
      </c>
      <c r="H5006" s="32" t="inlineStr">
        <is>
          <t>bb</t>
        </is>
      </c>
      <c r="I5006" s="32" t="n">
        <v>26316.053</v>
      </c>
      <c r="K5006" s="32" t="inlineStr">
        <is>
          <t>20250514-18</t>
        </is>
      </c>
    </row>
    <row r="5007">
      <c r="A5007" s="32" t="n">
        <v>8</v>
      </c>
      <c r="B5007" s="32" t="inlineStr">
        <is>
          <t>EPA1633 &amp; diPAPs Calibration 20 ppb</t>
        </is>
      </c>
      <c r="D5007" s="32" t="n">
        <v>13.85</v>
      </c>
      <c r="E5007" s="32" t="n">
        <v>34970.711</v>
      </c>
      <c r="G5007" s="32" t="n">
        <v>2217.427</v>
      </c>
      <c r="H5007" s="32" t="inlineStr">
        <is>
          <t>bb</t>
        </is>
      </c>
      <c r="I5007" s="32" t="n">
        <v>34970.711</v>
      </c>
      <c r="K5007" s="32" t="inlineStr">
        <is>
          <t>20250514-19</t>
        </is>
      </c>
    </row>
    <row r="5008">
      <c r="A5008" s="32" t="n">
        <v>9</v>
      </c>
      <c r="B5008" s="32" t="inlineStr">
        <is>
          <t>MeOH</t>
        </is>
      </c>
      <c r="D5008" s="32" t="n">
        <v>13.86</v>
      </c>
      <c r="E5008" s="32" t="n">
        <v>190.67</v>
      </c>
      <c r="G5008" s="32" t="n">
        <v>3.118</v>
      </c>
      <c r="H5008" s="32" t="inlineStr">
        <is>
          <t>bb</t>
        </is>
      </c>
      <c r="I5008" s="32" t="n">
        <v>190.67</v>
      </c>
      <c r="K5008" s="32" t="inlineStr">
        <is>
          <t>20250514-20</t>
        </is>
      </c>
    </row>
    <row r="5009">
      <c r="A5009" s="32" t="n">
        <v>10</v>
      </c>
      <c r="B5009" s="32" t="inlineStr">
        <is>
          <t>MeOH</t>
        </is>
      </c>
      <c r="K5009" s="32" t="inlineStr">
        <is>
          <t>20250514-21</t>
        </is>
      </c>
    </row>
    <row r="5010">
      <c r="A5010" s="32" t="n">
        <v>11</v>
      </c>
      <c r="B5010" s="32" t="inlineStr">
        <is>
          <t>SB1</t>
        </is>
      </c>
      <c r="D5010" s="32" t="n">
        <v>13.89</v>
      </c>
      <c r="E5010" s="32" t="n">
        <v>13138.81</v>
      </c>
      <c r="G5010" s="32" t="n">
        <v>2859.607</v>
      </c>
      <c r="H5010" s="32" t="inlineStr">
        <is>
          <t>bb</t>
        </is>
      </c>
      <c r="I5010" s="32" t="n">
        <v>13138.81</v>
      </c>
      <c r="K5010" s="32" t="inlineStr">
        <is>
          <t>20250514-22</t>
        </is>
      </c>
    </row>
    <row r="5011">
      <c r="A5011" s="32" t="n">
        <v>12</v>
      </c>
      <c r="B5011" s="32" t="inlineStr">
        <is>
          <t>SB2</t>
        </is>
      </c>
      <c r="D5011" s="32" t="n">
        <v>13.89</v>
      </c>
      <c r="E5011" s="32" t="n">
        <v>10766.206</v>
      </c>
      <c r="G5011" s="32" t="n">
        <v>37.38</v>
      </c>
      <c r="H5011" s="32" t="inlineStr">
        <is>
          <t>bb</t>
        </is>
      </c>
      <c r="I5011" s="32" t="n">
        <v>10766.206</v>
      </c>
      <c r="K5011" s="32" t="inlineStr">
        <is>
          <t>20250514-23</t>
        </is>
      </c>
    </row>
    <row r="5012">
      <c r="A5012" s="32" t="n">
        <v>13</v>
      </c>
      <c r="B5012" s="32" t="inlineStr">
        <is>
          <t>SB3</t>
        </is>
      </c>
      <c r="D5012" s="32" t="n">
        <v>13.89</v>
      </c>
      <c r="E5012" s="32" t="n">
        <v>11886.97</v>
      </c>
      <c r="G5012" s="32" t="n">
        <v>1240.488</v>
      </c>
      <c r="H5012" s="32" t="inlineStr">
        <is>
          <t>bb</t>
        </is>
      </c>
      <c r="I5012" s="32" t="n">
        <v>11886.97</v>
      </c>
      <c r="K5012" s="32" t="inlineStr">
        <is>
          <t>20250514-24</t>
        </is>
      </c>
    </row>
    <row r="5013">
      <c r="A5013" s="32" t="n">
        <v>14</v>
      </c>
      <c r="B5013" s="32" t="inlineStr">
        <is>
          <t>SS1</t>
        </is>
      </c>
      <c r="D5013" s="32" t="n">
        <v>13.92</v>
      </c>
      <c r="E5013" s="32" t="n">
        <v>13876.597</v>
      </c>
      <c r="G5013" s="32" t="n">
        <v>428.599</v>
      </c>
      <c r="H5013" s="32" t="inlineStr">
        <is>
          <t>bb</t>
        </is>
      </c>
      <c r="I5013" s="32" t="n">
        <v>13876.597</v>
      </c>
      <c r="K5013" s="32" t="inlineStr">
        <is>
          <t>20250514-25</t>
        </is>
      </c>
    </row>
    <row r="5014">
      <c r="A5014" s="32" t="n">
        <v>15</v>
      </c>
      <c r="B5014" s="32" t="inlineStr">
        <is>
          <t>SS2</t>
        </is>
      </c>
      <c r="D5014" s="32" t="n">
        <v>13.92</v>
      </c>
      <c r="E5014" s="32" t="n">
        <v>13576.301</v>
      </c>
      <c r="G5014" s="32" t="n">
        <v>1015.962</v>
      </c>
      <c r="H5014" s="32" t="inlineStr">
        <is>
          <t>bb</t>
        </is>
      </c>
      <c r="I5014" s="32" t="n">
        <v>13576.301</v>
      </c>
      <c r="K5014" s="32" t="inlineStr">
        <is>
          <t>20250514-26</t>
        </is>
      </c>
    </row>
    <row r="5015">
      <c r="A5015" s="32" t="n">
        <v>16</v>
      </c>
      <c r="B5015" s="32" t="inlineStr">
        <is>
          <t>SS3</t>
        </is>
      </c>
      <c r="D5015" s="32" t="n">
        <v>13.92</v>
      </c>
      <c r="E5015" s="32" t="n">
        <v>12674.324</v>
      </c>
      <c r="G5015" s="32" t="n">
        <v>88519</v>
      </c>
      <c r="H5015" s="32" t="inlineStr">
        <is>
          <t>bb</t>
        </is>
      </c>
      <c r="I5015" s="32" t="n">
        <v>12674.324</v>
      </c>
      <c r="K5015" s="32" t="inlineStr">
        <is>
          <t>20250514-27</t>
        </is>
      </c>
    </row>
    <row r="5016">
      <c r="A5016" s="32" t="n">
        <v>17</v>
      </c>
      <c r="B5016" s="32" t="inlineStr">
        <is>
          <t>MeOH</t>
        </is>
      </c>
      <c r="D5016" s="32" t="n">
        <v>13.92</v>
      </c>
      <c r="E5016" s="32" t="n">
        <v>87.821</v>
      </c>
      <c r="G5016" s="32" t="n">
        <v>745</v>
      </c>
      <c r="H5016" s="32" t="inlineStr">
        <is>
          <t>bb</t>
        </is>
      </c>
      <c r="I5016" s="32" t="n">
        <v>87.821</v>
      </c>
      <c r="K5016" s="32" t="inlineStr">
        <is>
          <t>20250514-28</t>
        </is>
      </c>
    </row>
    <row r="5017">
      <c r="A5017" s="32" t="n">
        <v>18</v>
      </c>
      <c r="B5017" s="32" t="inlineStr">
        <is>
          <t>K4-1A</t>
        </is>
      </c>
      <c r="D5017" s="32" t="n">
        <v>13.94</v>
      </c>
      <c r="E5017" s="32" t="n">
        <v>14693.816</v>
      </c>
      <c r="G5017" s="32" t="n">
        <v>842.918</v>
      </c>
      <c r="H5017" s="32" t="inlineStr">
        <is>
          <t>bb</t>
        </is>
      </c>
      <c r="I5017" s="32" t="n">
        <v>14693.816</v>
      </c>
      <c r="K5017" s="32" t="inlineStr">
        <is>
          <t>20250514-29</t>
        </is>
      </c>
    </row>
    <row r="5018">
      <c r="A5018" s="32" t="n">
        <v>19</v>
      </c>
      <c r="B5018" s="32" t="inlineStr">
        <is>
          <t>K4-1B</t>
        </is>
      </c>
      <c r="D5018" s="32" t="n">
        <v>13.94</v>
      </c>
      <c r="E5018" s="32" t="n">
        <v>13933.742</v>
      </c>
      <c r="G5018" s="32" t="n">
        <v>96269</v>
      </c>
      <c r="H5018" s="32" t="inlineStr">
        <is>
          <t>bb</t>
        </is>
      </c>
      <c r="I5018" s="32" t="n">
        <v>13933.742</v>
      </c>
      <c r="K5018" s="32" t="inlineStr">
        <is>
          <t>20250514-30</t>
        </is>
      </c>
    </row>
    <row r="5019">
      <c r="A5019" s="32" t="n">
        <v>20</v>
      </c>
      <c r="B5019" s="32" t="inlineStr">
        <is>
          <t>K4-1C</t>
        </is>
      </c>
      <c r="D5019" s="32" t="n">
        <v>13.94</v>
      </c>
      <c r="E5019" s="32" t="n">
        <v>14628.158</v>
      </c>
      <c r="G5019" s="32" t="n">
        <v>141.129</v>
      </c>
      <c r="H5019" s="32" t="inlineStr">
        <is>
          <t>bb</t>
        </is>
      </c>
      <c r="I5019" s="32" t="n">
        <v>14628.158</v>
      </c>
      <c r="K5019" s="32" t="inlineStr">
        <is>
          <t>20250514-31</t>
        </is>
      </c>
    </row>
    <row r="5020">
      <c r="A5020" s="32" t="n">
        <v>21</v>
      </c>
      <c r="B5020" s="32" t="inlineStr">
        <is>
          <t>K4-2A</t>
        </is>
      </c>
      <c r="D5020" s="32" t="n">
        <v>13.95</v>
      </c>
      <c r="E5020" s="32" t="n">
        <v>15029.15</v>
      </c>
      <c r="G5020" s="32" t="n">
        <v>49.044</v>
      </c>
      <c r="H5020" s="32" t="inlineStr">
        <is>
          <t>bb</t>
        </is>
      </c>
      <c r="I5020" s="32" t="n">
        <v>15029.15</v>
      </c>
      <c r="K5020" s="32" t="inlineStr">
        <is>
          <t>20250514-32</t>
        </is>
      </c>
    </row>
    <row r="5021">
      <c r="A5021" s="32" t="n">
        <v>22</v>
      </c>
      <c r="B5021" s="32" t="inlineStr">
        <is>
          <t>K4-2B</t>
        </is>
      </c>
      <c r="D5021" s="32" t="n">
        <v>13.95</v>
      </c>
      <c r="E5021" s="32" t="n">
        <v>13193.37</v>
      </c>
      <c r="G5021" s="32" t="n">
        <v>839.325</v>
      </c>
      <c r="H5021" s="32" t="inlineStr">
        <is>
          <t>bb</t>
        </is>
      </c>
      <c r="I5021" s="32" t="n">
        <v>13193.37</v>
      </c>
      <c r="K5021" s="32" t="inlineStr">
        <is>
          <t>20250514-33</t>
        </is>
      </c>
    </row>
    <row r="5022">
      <c r="A5022" s="32" t="n">
        <v>23</v>
      </c>
      <c r="B5022" s="32" t="inlineStr">
        <is>
          <t>K4-2C</t>
        </is>
      </c>
      <c r="D5022" s="32" t="n">
        <v>13.96</v>
      </c>
      <c r="E5022" s="32" t="n">
        <v>11709.538</v>
      </c>
      <c r="G5022" s="32" t="n">
        <v>82443</v>
      </c>
      <c r="H5022" s="32" t="inlineStr">
        <is>
          <t>bb</t>
        </is>
      </c>
      <c r="I5022" s="32" t="n">
        <v>11709.538</v>
      </c>
      <c r="K5022" s="32" t="inlineStr">
        <is>
          <t>20250514-34</t>
        </is>
      </c>
    </row>
    <row r="5023">
      <c r="A5023" s="32" t="n">
        <v>24</v>
      </c>
      <c r="B5023" s="32" t="inlineStr">
        <is>
          <t>MeOH</t>
        </is>
      </c>
      <c r="D5023" s="32" t="n">
        <v>13.95</v>
      </c>
      <c r="E5023" s="32" t="n">
        <v>117.739</v>
      </c>
      <c r="G5023" s="32" t="n">
        <v>1068</v>
      </c>
      <c r="H5023" s="32" t="inlineStr">
        <is>
          <t>bb</t>
        </is>
      </c>
      <c r="I5023" s="32" t="n">
        <v>117.739</v>
      </c>
      <c r="K5023" s="32" t="inlineStr">
        <is>
          <t>20250514-35</t>
        </is>
      </c>
    </row>
    <row r="5024">
      <c r="A5024" s="32" t="n">
        <v>25</v>
      </c>
      <c r="B5024" s="32" t="inlineStr">
        <is>
          <t>K4-4A</t>
        </is>
      </c>
      <c r="D5024" s="32" t="n">
        <v>13.98</v>
      </c>
      <c r="E5024" s="32" t="n">
        <v>15668.421</v>
      </c>
      <c r="G5024" s="32" t="n">
        <v>339.782</v>
      </c>
      <c r="H5024" s="32" t="inlineStr">
        <is>
          <t>bb</t>
        </is>
      </c>
      <c r="I5024" s="32" t="n">
        <v>15668.421</v>
      </c>
      <c r="K5024" s="32" t="inlineStr">
        <is>
          <t>20250514-36</t>
        </is>
      </c>
    </row>
    <row r="5025">
      <c r="A5025" s="32" t="n">
        <v>26</v>
      </c>
      <c r="B5025" s="32" t="inlineStr">
        <is>
          <t>K4-4B</t>
        </is>
      </c>
      <c r="D5025" s="32" t="n">
        <v>13.98</v>
      </c>
      <c r="E5025" s="32" t="n">
        <v>15767.02</v>
      </c>
      <c r="G5025" s="32" t="n">
        <v>897.0890000000001</v>
      </c>
      <c r="H5025" s="32" t="inlineStr">
        <is>
          <t>bb</t>
        </is>
      </c>
      <c r="I5025" s="32" t="n">
        <v>15767.02</v>
      </c>
      <c r="K5025" s="32" t="inlineStr">
        <is>
          <t>20250514-37</t>
        </is>
      </c>
    </row>
    <row r="5026">
      <c r="A5026" s="32" t="n">
        <v>27</v>
      </c>
      <c r="B5026" s="32" t="inlineStr">
        <is>
          <t>K4-4C</t>
        </is>
      </c>
      <c r="D5026" s="32" t="n">
        <v>13.98</v>
      </c>
      <c r="E5026" s="32" t="n">
        <v>17637.92</v>
      </c>
      <c r="G5026" s="32" t="n">
        <v>793.067</v>
      </c>
      <c r="H5026" s="32" t="inlineStr">
        <is>
          <t>bb</t>
        </is>
      </c>
      <c r="I5026" s="32" t="n">
        <v>17637.92</v>
      </c>
      <c r="K5026" s="32" t="inlineStr">
        <is>
          <t>20250514-38</t>
        </is>
      </c>
    </row>
    <row r="5027">
      <c r="A5027" s="32" t="n">
        <v>28</v>
      </c>
      <c r="B5027" s="32" t="inlineStr">
        <is>
          <t>K4-5A</t>
        </is>
      </c>
      <c r="D5027" s="32" t="n">
        <v>13.96</v>
      </c>
      <c r="E5027" s="32" t="n">
        <v>14951.4</v>
      </c>
      <c r="G5027" s="32" t="n">
        <v>103325</v>
      </c>
      <c r="H5027" s="32" t="inlineStr">
        <is>
          <t>bb</t>
        </is>
      </c>
      <c r="I5027" s="32" t="n">
        <v>14951.4</v>
      </c>
      <c r="K5027" s="32" t="inlineStr">
        <is>
          <t>20250514-39</t>
        </is>
      </c>
    </row>
    <row r="5028">
      <c r="A5028" s="32" t="n">
        <v>29</v>
      </c>
      <c r="B5028" s="32" t="inlineStr">
        <is>
          <t>K4-5B</t>
        </is>
      </c>
      <c r="D5028" s="32" t="n">
        <v>13.94</v>
      </c>
      <c r="E5028" s="32" t="n">
        <v>14532.852</v>
      </c>
      <c r="G5028" s="32" t="n">
        <v>248.922</v>
      </c>
      <c r="H5028" s="32" t="inlineStr">
        <is>
          <t>bb</t>
        </is>
      </c>
      <c r="I5028" s="32" t="n">
        <v>14532.852</v>
      </c>
      <c r="K5028" s="32" t="inlineStr">
        <is>
          <t>20250514-40</t>
        </is>
      </c>
    </row>
    <row r="5029">
      <c r="A5029" s="32" t="n">
        <v>30</v>
      </c>
      <c r="B5029" s="32" t="inlineStr">
        <is>
          <t>K4-5C</t>
        </is>
      </c>
      <c r="D5029" s="32" t="n">
        <v>13.88</v>
      </c>
      <c r="E5029" s="32" t="n">
        <v>14835.213</v>
      </c>
      <c r="G5029" s="32" t="n">
        <v>24105.034</v>
      </c>
      <c r="H5029" s="32" t="inlineStr">
        <is>
          <t>bb</t>
        </is>
      </c>
      <c r="I5029" s="32" t="n">
        <v>14835.213</v>
      </c>
      <c r="K5029" s="32" t="inlineStr">
        <is>
          <t>20250514-41</t>
        </is>
      </c>
    </row>
    <row r="5030">
      <c r="A5030" s="32" t="n">
        <v>31</v>
      </c>
      <c r="B5030" s="32" t="inlineStr">
        <is>
          <t>MeOH</t>
        </is>
      </c>
      <c r="D5030" s="32" t="n">
        <v>13.85</v>
      </c>
      <c r="E5030" s="32" t="n">
        <v>24.159</v>
      </c>
      <c r="G5030" s="32" t="n">
        <v>226</v>
      </c>
      <c r="H5030" s="32" t="inlineStr">
        <is>
          <t>bb</t>
        </is>
      </c>
      <c r="I5030" s="32" t="n">
        <v>24.159</v>
      </c>
      <c r="K5030" s="32" t="inlineStr">
        <is>
          <t>20250514-42</t>
        </is>
      </c>
    </row>
    <row r="5031">
      <c r="A5031" s="32" t="n">
        <v>32</v>
      </c>
      <c r="B5031" s="32" t="inlineStr">
        <is>
          <t>K3-1A</t>
        </is>
      </c>
      <c r="D5031" s="32" t="n">
        <v>13.84</v>
      </c>
      <c r="E5031" s="32" t="n">
        <v>15618.279</v>
      </c>
      <c r="G5031" s="32" t="n">
        <v>153.282</v>
      </c>
      <c r="H5031" s="32" t="inlineStr">
        <is>
          <t>bb</t>
        </is>
      </c>
      <c r="I5031" s="32" t="n">
        <v>15618.279</v>
      </c>
      <c r="K5031" s="32" t="inlineStr">
        <is>
          <t>20250514-43</t>
        </is>
      </c>
    </row>
    <row r="5032">
      <c r="A5032" s="32" t="n">
        <v>33</v>
      </c>
      <c r="B5032" s="32" t="inlineStr">
        <is>
          <t>K3-1B</t>
        </is>
      </c>
      <c r="D5032" s="32" t="n">
        <v>13.84</v>
      </c>
      <c r="E5032" s="32" t="n">
        <v>15026.766</v>
      </c>
      <c r="G5032" s="32" t="n">
        <v>105536</v>
      </c>
      <c r="H5032" s="32" t="inlineStr">
        <is>
          <t>bb</t>
        </is>
      </c>
      <c r="I5032" s="32" t="n">
        <v>15026.766</v>
      </c>
      <c r="K5032" s="32" t="inlineStr">
        <is>
          <t>20250514-44</t>
        </is>
      </c>
    </row>
    <row r="5033">
      <c r="A5033" s="32" t="n">
        <v>34</v>
      </c>
      <c r="B5033" s="32" t="inlineStr">
        <is>
          <t>K3-1C</t>
        </is>
      </c>
      <c r="D5033" s="32" t="n">
        <v>13.88</v>
      </c>
      <c r="E5033" s="32" t="n">
        <v>20473.66</v>
      </c>
      <c r="G5033" s="32" t="n">
        <v>141311</v>
      </c>
      <c r="H5033" s="32" t="inlineStr">
        <is>
          <t>bb</t>
        </is>
      </c>
      <c r="I5033" s="32" t="n">
        <v>20473.66</v>
      </c>
      <c r="K5033" s="32" t="inlineStr">
        <is>
          <t>20250514-45</t>
        </is>
      </c>
    </row>
    <row r="5034">
      <c r="A5034" s="32" t="n">
        <v>35</v>
      </c>
      <c r="B5034" s="32" t="inlineStr">
        <is>
          <t>K3-2A</t>
        </is>
      </c>
      <c r="D5034" s="32" t="n">
        <v>13.91</v>
      </c>
      <c r="E5034" s="32" t="n">
        <v>18932.715</v>
      </c>
      <c r="G5034" s="32" t="n">
        <v>108.997</v>
      </c>
      <c r="H5034" s="32" t="inlineStr">
        <is>
          <t>bb</t>
        </is>
      </c>
      <c r="I5034" s="32" t="n">
        <v>18932.715</v>
      </c>
      <c r="K5034" s="32" t="inlineStr">
        <is>
          <t>20250514-46</t>
        </is>
      </c>
    </row>
    <row r="5035">
      <c r="A5035" s="32" t="n">
        <v>36</v>
      </c>
      <c r="B5035" s="32" t="inlineStr">
        <is>
          <t>K3-2B</t>
        </is>
      </c>
      <c r="D5035" s="32" t="n">
        <v>13.89</v>
      </c>
      <c r="E5035" s="32" t="n">
        <v>20441.465</v>
      </c>
      <c r="G5035" s="32" t="n">
        <v>144398</v>
      </c>
      <c r="H5035" s="32" t="inlineStr">
        <is>
          <t>bb</t>
        </is>
      </c>
      <c r="I5035" s="32" t="n">
        <v>20441.465</v>
      </c>
      <c r="K5035" s="32" t="inlineStr">
        <is>
          <t>20250514-47</t>
        </is>
      </c>
    </row>
    <row r="5036">
      <c r="A5036" s="32" t="n">
        <v>37</v>
      </c>
      <c r="B5036" s="32" t="inlineStr">
        <is>
          <t>K3-2C</t>
        </is>
      </c>
      <c r="D5036" s="32" t="n">
        <v>13.91</v>
      </c>
      <c r="E5036" s="32" t="n">
        <v>16814.209</v>
      </c>
      <c r="G5036" s="32" t="n">
        <v>1031.626</v>
      </c>
      <c r="H5036" s="32" t="inlineStr">
        <is>
          <t>bb</t>
        </is>
      </c>
      <c r="I5036" s="32" t="n">
        <v>16814.209</v>
      </c>
      <c r="K5036" s="32" t="inlineStr">
        <is>
          <t>20250514-48</t>
        </is>
      </c>
    </row>
    <row r="5037">
      <c r="A5037" s="32" t="n">
        <v>38</v>
      </c>
      <c r="B5037" s="32" t="inlineStr">
        <is>
          <t>MeOH</t>
        </is>
      </c>
      <c r="D5037" s="32" t="n">
        <v>13.89</v>
      </c>
      <c r="E5037" s="32" t="n">
        <v>58.43</v>
      </c>
      <c r="G5037" s="32" t="n">
        <v>3.95</v>
      </c>
      <c r="H5037" s="32" t="inlineStr">
        <is>
          <t>bb</t>
        </is>
      </c>
      <c r="I5037" s="32" t="n">
        <v>58.43</v>
      </c>
      <c r="K5037" s="32" t="inlineStr">
        <is>
          <t>20250514-49</t>
        </is>
      </c>
    </row>
    <row r="5038">
      <c r="A5038" s="32" t="n">
        <v>39</v>
      </c>
      <c r="B5038" s="32" t="inlineStr">
        <is>
          <t>K3-3A</t>
        </is>
      </c>
      <c r="D5038" s="32" t="n">
        <v>13.92</v>
      </c>
      <c r="E5038" s="32" t="n">
        <v>15959.362</v>
      </c>
      <c r="G5038" s="32" t="n">
        <v>116508</v>
      </c>
      <c r="H5038" s="32" t="inlineStr">
        <is>
          <t>bb</t>
        </is>
      </c>
      <c r="I5038" s="32" t="n">
        <v>15959.362</v>
      </c>
      <c r="K5038" s="32" t="inlineStr">
        <is>
          <t>20250514-50</t>
        </is>
      </c>
    </row>
    <row r="5039">
      <c r="A5039" s="32" t="n">
        <v>40</v>
      </c>
      <c r="B5039" s="32" t="inlineStr">
        <is>
          <t>K3-3B</t>
        </is>
      </c>
      <c r="D5039" s="32" t="n">
        <v>13.94</v>
      </c>
      <c r="E5039" s="32" t="n">
        <v>18827.549</v>
      </c>
      <c r="G5039" s="32" t="n">
        <v>132257</v>
      </c>
      <c r="H5039" s="32" t="inlineStr">
        <is>
          <t>bb</t>
        </is>
      </c>
      <c r="I5039" s="32" t="n">
        <v>18827.549</v>
      </c>
      <c r="K5039" s="32" t="inlineStr">
        <is>
          <t>20250514-51</t>
        </is>
      </c>
    </row>
    <row r="5040">
      <c r="A5040" s="32" t="n">
        <v>41</v>
      </c>
      <c r="B5040" s="32" t="inlineStr">
        <is>
          <t>K3-3C</t>
        </is>
      </c>
      <c r="D5040" s="32" t="n">
        <v>13.94</v>
      </c>
      <c r="E5040" s="32" t="n">
        <v>20731.822</v>
      </c>
      <c r="G5040" s="32" t="n">
        <v>145339</v>
      </c>
      <c r="H5040" s="32" t="inlineStr">
        <is>
          <t>bb</t>
        </is>
      </c>
      <c r="I5040" s="32" t="n">
        <v>20731.822</v>
      </c>
      <c r="K5040" s="32" t="inlineStr">
        <is>
          <t>20250514-52</t>
        </is>
      </c>
    </row>
    <row r="5041">
      <c r="A5041" s="32" t="n">
        <v>42</v>
      </c>
      <c r="B5041" s="32" t="inlineStr">
        <is>
          <t>K3-4A</t>
        </is>
      </c>
      <c r="D5041" s="32" t="n">
        <v>13.98</v>
      </c>
      <c r="E5041" s="32" t="n">
        <v>23327.654</v>
      </c>
      <c r="G5041" s="32" t="n">
        <v>226.219</v>
      </c>
      <c r="H5041" s="32" t="inlineStr">
        <is>
          <t>bb</t>
        </is>
      </c>
      <c r="I5041" s="32" t="n">
        <v>23327.654</v>
      </c>
      <c r="K5041" s="32" t="inlineStr">
        <is>
          <t>20250514-53</t>
        </is>
      </c>
    </row>
    <row r="5042">
      <c r="A5042" s="32" t="n">
        <v>43</v>
      </c>
      <c r="B5042" s="32" t="inlineStr">
        <is>
          <t>K3-4B</t>
        </is>
      </c>
      <c r="D5042" s="32" t="n">
        <v>13.96</v>
      </c>
      <c r="E5042" s="32" t="n">
        <v>21138.484</v>
      </c>
      <c r="G5042" s="32" t="n">
        <v>443.251</v>
      </c>
      <c r="H5042" s="32" t="inlineStr">
        <is>
          <t>bb</t>
        </is>
      </c>
      <c r="I5042" s="32" t="n">
        <v>21138.484</v>
      </c>
      <c r="K5042" s="32" t="inlineStr">
        <is>
          <t>20250514-54</t>
        </is>
      </c>
    </row>
    <row r="5043">
      <c r="A5043" s="32" t="n">
        <v>44</v>
      </c>
      <c r="B5043" s="32" t="inlineStr">
        <is>
          <t>K3-4C</t>
        </is>
      </c>
      <c r="D5043" s="32" t="n">
        <v>14.01</v>
      </c>
      <c r="E5043" s="32" t="n">
        <v>24052.029</v>
      </c>
      <c r="G5043" s="32" t="n">
        <v>182.267</v>
      </c>
      <c r="H5043" s="32" t="inlineStr">
        <is>
          <t>bb</t>
        </is>
      </c>
      <c r="I5043" s="32" t="n">
        <v>24052.029</v>
      </c>
      <c r="K5043" s="32" t="inlineStr">
        <is>
          <t>20250514-55</t>
        </is>
      </c>
    </row>
    <row r="5044">
      <c r="A5044" s="32" t="n">
        <v>45</v>
      </c>
      <c r="B5044" s="32" t="inlineStr">
        <is>
          <t>MeOH</t>
        </is>
      </c>
      <c r="D5044" s="32" t="n">
        <v>14.01</v>
      </c>
      <c r="E5044" s="32" t="n">
        <v>18.776</v>
      </c>
      <c r="G5044" s="32" t="n">
        <v>177</v>
      </c>
      <c r="H5044" s="32" t="inlineStr">
        <is>
          <t>bb</t>
        </is>
      </c>
      <c r="I5044" s="32" t="n">
        <v>18.776</v>
      </c>
      <c r="K5044" s="32" t="inlineStr">
        <is>
          <t>20250514-56</t>
        </is>
      </c>
    </row>
    <row r="5045">
      <c r="A5045" s="32" t="n">
        <v>46</v>
      </c>
      <c r="B5045" s="32" t="inlineStr">
        <is>
          <t>K3-6A</t>
        </is>
      </c>
      <c r="D5045" s="32" t="n">
        <v>14.01</v>
      </c>
      <c r="E5045" s="32" t="n">
        <v>19976.734</v>
      </c>
      <c r="G5045" s="32" t="n">
        <v>929.782</v>
      </c>
      <c r="H5045" s="32" t="inlineStr">
        <is>
          <t>bb</t>
        </is>
      </c>
      <c r="I5045" s="32" t="n">
        <v>19976.734</v>
      </c>
      <c r="K5045" s="32" t="inlineStr">
        <is>
          <t>20250514-57</t>
        </is>
      </c>
    </row>
    <row r="5046">
      <c r="A5046" s="32" t="n">
        <v>47</v>
      </c>
      <c r="B5046" s="32" t="inlineStr">
        <is>
          <t>K3-6B</t>
        </is>
      </c>
      <c r="D5046" s="32" t="n">
        <v>14.01</v>
      </c>
      <c r="E5046" s="32" t="n">
        <v>15967.418</v>
      </c>
      <c r="G5046" s="32" t="n">
        <v>1461.75</v>
      </c>
      <c r="H5046" s="32" t="inlineStr">
        <is>
          <t>bb</t>
        </is>
      </c>
      <c r="I5046" s="32" t="n">
        <v>15967.418</v>
      </c>
      <c r="K5046" s="32" t="inlineStr">
        <is>
          <t>20250514-58</t>
        </is>
      </c>
    </row>
    <row r="5047">
      <c r="A5047" s="32" t="n">
        <v>48</v>
      </c>
      <c r="B5047" s="32" t="inlineStr">
        <is>
          <t>K3-6C</t>
        </is>
      </c>
      <c r="D5047" s="32" t="n">
        <v>13.99</v>
      </c>
      <c r="E5047" s="32" t="n">
        <v>14614.665</v>
      </c>
      <c r="G5047" s="32" t="n">
        <v>173.284</v>
      </c>
      <c r="H5047" s="32" t="inlineStr">
        <is>
          <t>bb</t>
        </is>
      </c>
      <c r="I5047" s="32" t="n">
        <v>14614.665</v>
      </c>
      <c r="K5047" s="32" t="inlineStr">
        <is>
          <t>20250514-59</t>
        </is>
      </c>
    </row>
    <row r="5049">
      <c r="A5049" s="32" t="inlineStr">
        <is>
          <t>Compound 98:  m2 8:2 FTS 2</t>
        </is>
      </c>
    </row>
    <row r="5051">
      <c r="B5051" s="32" t="inlineStr">
        <is>
          <t>Sample Text</t>
        </is>
      </c>
      <c r="C5051" s="32" t="inlineStr">
        <is>
          <t>Std. Conc</t>
        </is>
      </c>
      <c r="D5051" s="32" t="inlineStr">
        <is>
          <t>RT</t>
        </is>
      </c>
      <c r="E5051" s="32" t="inlineStr">
        <is>
          <t>Area</t>
        </is>
      </c>
      <c r="F5051" s="32" t="inlineStr">
        <is>
          <t>IS Area</t>
        </is>
      </c>
      <c r="G5051" s="32" t="inlineStr">
        <is>
          <t>S/N</t>
        </is>
      </c>
      <c r="H5051" s="32" t="inlineStr">
        <is>
          <t>Primary Flags</t>
        </is>
      </c>
      <c r="I5051" s="32" t="inlineStr">
        <is>
          <t>Response</t>
        </is>
      </c>
      <c r="J5051" s="32" t="inlineStr">
        <is>
          <t>Conc.</t>
        </is>
      </c>
      <c r="K5051" s="32" t="inlineStr">
        <is>
          <t>Name</t>
        </is>
      </c>
    </row>
    <row r="5052">
      <c r="A5052" s="32" t="n">
        <v>1</v>
      </c>
      <c r="B5052" s="32" t="inlineStr">
        <is>
          <t>EPA1633 &amp; diPAPs Calibration 0 ppb</t>
        </is>
      </c>
      <c r="D5052" s="32" t="n">
        <v>13.84</v>
      </c>
      <c r="E5052" s="32" t="n">
        <v>7445.884</v>
      </c>
      <c r="G5052" s="32" t="n">
        <v>54242</v>
      </c>
      <c r="H5052" s="32" t="inlineStr">
        <is>
          <t>bb</t>
        </is>
      </c>
      <c r="I5052" s="32" t="n">
        <v>7445.884</v>
      </c>
      <c r="K5052" s="32" t="inlineStr">
        <is>
          <t>20250514-12</t>
        </is>
      </c>
    </row>
    <row r="5053">
      <c r="A5053" s="32" t="n">
        <v>2</v>
      </c>
      <c r="B5053" s="32" t="inlineStr">
        <is>
          <t>EPA1633 &amp; diPAPs Calibration 0.02 ppb</t>
        </is>
      </c>
      <c r="D5053" s="32" t="n">
        <v>13.88</v>
      </c>
      <c r="E5053" s="32" t="n">
        <v>7029.203</v>
      </c>
      <c r="G5053" s="32" t="n">
        <v>237.922</v>
      </c>
      <c r="H5053" s="32" t="inlineStr">
        <is>
          <t>bb</t>
        </is>
      </c>
      <c r="I5053" s="32" t="n">
        <v>7029.203</v>
      </c>
      <c r="K5053" s="32" t="inlineStr">
        <is>
          <t>20250514-13</t>
        </is>
      </c>
    </row>
    <row r="5054">
      <c r="A5054" s="32" t="n">
        <v>3</v>
      </c>
      <c r="B5054" s="32" t="inlineStr">
        <is>
          <t>EPA1633 &amp; diPAPs Calibration 0.1 ppb</t>
        </is>
      </c>
      <c r="D5054" s="32" t="n">
        <v>13.86</v>
      </c>
      <c r="E5054" s="32" t="n">
        <v>7144.702</v>
      </c>
      <c r="G5054" s="32" t="n">
        <v>105.08</v>
      </c>
      <c r="H5054" s="32" t="inlineStr">
        <is>
          <t>bb</t>
        </is>
      </c>
      <c r="I5054" s="32" t="n">
        <v>7144.702</v>
      </c>
      <c r="K5054" s="32" t="inlineStr">
        <is>
          <t>20250514-14</t>
        </is>
      </c>
    </row>
    <row r="5055">
      <c r="A5055" s="32" t="n">
        <v>4</v>
      </c>
      <c r="B5055" s="32" t="inlineStr">
        <is>
          <t>EPA1633 &amp; diPAPs Calibration 0.4 ppb</t>
        </is>
      </c>
      <c r="D5055" s="32" t="n">
        <v>13.88</v>
      </c>
      <c r="E5055" s="32" t="n">
        <v>5913.394</v>
      </c>
      <c r="G5055" s="32" t="n">
        <v>237.778</v>
      </c>
      <c r="H5055" s="32" t="inlineStr">
        <is>
          <t>bb</t>
        </is>
      </c>
      <c r="I5055" s="32" t="n">
        <v>5913.394</v>
      </c>
      <c r="K5055" s="32" t="inlineStr">
        <is>
          <t>20250514-15</t>
        </is>
      </c>
    </row>
    <row r="5056">
      <c r="A5056" s="32" t="n">
        <v>5</v>
      </c>
      <c r="B5056" s="32" t="inlineStr">
        <is>
          <t>EPA1633 &amp; diPAPs Calibration 1 ppb</t>
        </is>
      </c>
      <c r="D5056" s="32" t="n">
        <v>13.86</v>
      </c>
      <c r="E5056" s="32" t="n">
        <v>7249.759</v>
      </c>
      <c r="G5056" s="32" t="n">
        <v>1527.417</v>
      </c>
      <c r="H5056" s="32" t="inlineStr">
        <is>
          <t>bb</t>
        </is>
      </c>
      <c r="I5056" s="32" t="n">
        <v>7249.759</v>
      </c>
      <c r="K5056" s="32" t="inlineStr">
        <is>
          <t>20250514-16</t>
        </is>
      </c>
    </row>
    <row r="5057">
      <c r="A5057" s="32" t="n">
        <v>6</v>
      </c>
      <c r="B5057" s="32" t="inlineStr">
        <is>
          <t>EPA1633 &amp; diPAPs Calibration 5 ppb</t>
        </is>
      </c>
      <c r="D5057" s="32" t="n">
        <v>13.82</v>
      </c>
      <c r="E5057" s="32" t="n">
        <v>6116.011</v>
      </c>
      <c r="G5057" s="32" t="n">
        <v>666.355</v>
      </c>
      <c r="H5057" s="32" t="inlineStr">
        <is>
          <t>bb</t>
        </is>
      </c>
      <c r="I5057" s="32" t="n">
        <v>6116.011</v>
      </c>
      <c r="K5057" s="32" t="inlineStr">
        <is>
          <t>20250514-17</t>
        </is>
      </c>
    </row>
    <row r="5058">
      <c r="A5058" s="32" t="n">
        <v>7</v>
      </c>
      <c r="B5058" s="32" t="inlineStr">
        <is>
          <t>EPA1633 &amp; diPAPs Calibration 10 ppb</t>
        </is>
      </c>
      <c r="D5058" s="32" t="n">
        <v>13.82</v>
      </c>
      <c r="E5058" s="32" t="n">
        <v>4776.336</v>
      </c>
      <c r="G5058" s="32" t="n">
        <v>33909</v>
      </c>
      <c r="H5058" s="32" t="inlineStr">
        <is>
          <t>bb</t>
        </is>
      </c>
      <c r="I5058" s="32" t="n">
        <v>4776.336</v>
      </c>
      <c r="K5058" s="32" t="inlineStr">
        <is>
          <t>20250514-18</t>
        </is>
      </c>
    </row>
    <row r="5059">
      <c r="A5059" s="32" t="n">
        <v>8</v>
      </c>
      <c r="B5059" s="32" t="inlineStr">
        <is>
          <t>EPA1633 &amp; diPAPs Calibration 20 ppb</t>
        </is>
      </c>
      <c r="D5059" s="32" t="n">
        <v>13.85</v>
      </c>
      <c r="E5059" s="32" t="n">
        <v>5429.761</v>
      </c>
      <c r="G5059" s="32" t="n">
        <v>919.694</v>
      </c>
      <c r="H5059" s="32" t="inlineStr">
        <is>
          <t>bb</t>
        </is>
      </c>
      <c r="I5059" s="32" t="n">
        <v>5429.761</v>
      </c>
      <c r="K5059" s="32" t="inlineStr">
        <is>
          <t>20250514-19</t>
        </is>
      </c>
    </row>
    <row r="5060">
      <c r="A5060" s="32" t="n">
        <v>9</v>
      </c>
      <c r="B5060" s="32" t="inlineStr">
        <is>
          <t>MeOH</t>
        </is>
      </c>
      <c r="K5060" s="32" t="inlineStr">
        <is>
          <t>20250514-20</t>
        </is>
      </c>
    </row>
    <row r="5061">
      <c r="A5061" s="32" t="n">
        <v>10</v>
      </c>
      <c r="B5061" s="32" t="inlineStr">
        <is>
          <t>MeOH</t>
        </is>
      </c>
      <c r="D5061" s="32" t="n">
        <v>13.86</v>
      </c>
      <c r="E5061" s="32" t="n">
        <v>3.039</v>
      </c>
      <c r="G5061" s="32" t="n">
        <v>29</v>
      </c>
      <c r="H5061" s="32" t="inlineStr">
        <is>
          <t>bb</t>
        </is>
      </c>
      <c r="I5061" s="32" t="n">
        <v>3.039</v>
      </c>
      <c r="K5061" s="32" t="inlineStr">
        <is>
          <t>20250514-21</t>
        </is>
      </c>
    </row>
    <row r="5062">
      <c r="A5062" s="32" t="n">
        <v>11</v>
      </c>
      <c r="B5062" s="32" t="inlineStr">
        <is>
          <t>SB1</t>
        </is>
      </c>
      <c r="D5062" s="32" t="n">
        <v>13.89</v>
      </c>
      <c r="E5062" s="32" t="n">
        <v>2844.639</v>
      </c>
      <c r="G5062" s="32" t="n">
        <v>20095</v>
      </c>
      <c r="H5062" s="32" t="inlineStr">
        <is>
          <t>bb</t>
        </is>
      </c>
      <c r="I5062" s="32" t="n">
        <v>2844.639</v>
      </c>
      <c r="K5062" s="32" t="inlineStr">
        <is>
          <t>20250514-22</t>
        </is>
      </c>
    </row>
    <row r="5063">
      <c r="A5063" s="32" t="n">
        <v>12</v>
      </c>
      <c r="B5063" s="32" t="inlineStr">
        <is>
          <t>SB2</t>
        </is>
      </c>
      <c r="D5063" s="32" t="n">
        <v>13.89</v>
      </c>
      <c r="E5063" s="32" t="n">
        <v>2844.536</v>
      </c>
      <c r="G5063" s="32" t="n">
        <v>27.385</v>
      </c>
      <c r="H5063" s="32" t="inlineStr">
        <is>
          <t>bb</t>
        </is>
      </c>
      <c r="I5063" s="32" t="n">
        <v>2844.536</v>
      </c>
      <c r="K5063" s="32" t="inlineStr">
        <is>
          <t>20250514-23</t>
        </is>
      </c>
    </row>
    <row r="5064">
      <c r="A5064" s="32" t="n">
        <v>13</v>
      </c>
      <c r="B5064" s="32" t="inlineStr">
        <is>
          <t>SB3</t>
        </is>
      </c>
      <c r="D5064" s="32" t="n">
        <v>13.89</v>
      </c>
      <c r="E5064" s="32" t="n">
        <v>3020.439</v>
      </c>
      <c r="G5064" s="32" t="n">
        <v>478.375</v>
      </c>
      <c r="H5064" s="32" t="inlineStr">
        <is>
          <t>bb</t>
        </is>
      </c>
      <c r="I5064" s="32" t="n">
        <v>3020.439</v>
      </c>
      <c r="K5064" s="32" t="inlineStr">
        <is>
          <t>20250514-24</t>
        </is>
      </c>
    </row>
    <row r="5065">
      <c r="A5065" s="32" t="n">
        <v>14</v>
      </c>
      <c r="B5065" s="32" t="inlineStr">
        <is>
          <t>SS1</t>
        </is>
      </c>
      <c r="D5065" s="32" t="n">
        <v>13.91</v>
      </c>
      <c r="E5065" s="32" t="n">
        <v>2437.281</v>
      </c>
      <c r="G5065" s="32" t="n">
        <v>17304</v>
      </c>
      <c r="H5065" s="32" t="inlineStr">
        <is>
          <t>bb</t>
        </is>
      </c>
      <c r="I5065" s="32" t="n">
        <v>2437.281</v>
      </c>
      <c r="K5065" s="32" t="inlineStr">
        <is>
          <t>20250514-25</t>
        </is>
      </c>
    </row>
    <row r="5066">
      <c r="A5066" s="32" t="n">
        <v>15</v>
      </c>
      <c r="B5066" s="32" t="inlineStr">
        <is>
          <t>SS2</t>
        </is>
      </c>
      <c r="D5066" s="32" t="n">
        <v>13.94</v>
      </c>
      <c r="E5066" s="32" t="n">
        <v>2738.092</v>
      </c>
      <c r="G5066" s="32" t="n">
        <v>19.321</v>
      </c>
      <c r="H5066" s="32" t="inlineStr">
        <is>
          <t>bb</t>
        </is>
      </c>
      <c r="I5066" s="32" t="n">
        <v>2738.092</v>
      </c>
      <c r="K5066" s="32" t="inlineStr">
        <is>
          <t>20250514-26</t>
        </is>
      </c>
    </row>
    <row r="5067">
      <c r="A5067" s="32" t="n">
        <v>16</v>
      </c>
      <c r="B5067" s="32" t="inlineStr">
        <is>
          <t>SS3</t>
        </is>
      </c>
      <c r="D5067" s="32" t="n">
        <v>13.94</v>
      </c>
      <c r="E5067" s="32" t="n">
        <v>2592.042</v>
      </c>
      <c r="G5067" s="32" t="n">
        <v>111.554</v>
      </c>
      <c r="H5067" s="32" t="inlineStr">
        <is>
          <t>bb</t>
        </is>
      </c>
      <c r="I5067" s="32" t="n">
        <v>2592.042</v>
      </c>
      <c r="K5067" s="32" t="inlineStr">
        <is>
          <t>20250514-27</t>
        </is>
      </c>
    </row>
    <row r="5068">
      <c r="A5068" s="32" t="n">
        <v>17</v>
      </c>
      <c r="B5068" s="32" t="inlineStr">
        <is>
          <t>MeOH</t>
        </is>
      </c>
      <c r="K5068" s="32" t="inlineStr">
        <is>
          <t>20250514-28</t>
        </is>
      </c>
    </row>
    <row r="5069">
      <c r="A5069" s="32" t="n">
        <v>18</v>
      </c>
      <c r="B5069" s="32" t="inlineStr">
        <is>
          <t>K4-1A</t>
        </is>
      </c>
      <c r="D5069" s="32" t="n">
        <v>13.94</v>
      </c>
      <c r="E5069" s="32" t="n">
        <v>3913.259</v>
      </c>
      <c r="G5069" s="32" t="n">
        <v>38.171</v>
      </c>
      <c r="H5069" s="32" t="inlineStr">
        <is>
          <t>bb</t>
        </is>
      </c>
      <c r="I5069" s="32" t="n">
        <v>3913.259</v>
      </c>
      <c r="K5069" s="32" t="inlineStr">
        <is>
          <t>20250514-29</t>
        </is>
      </c>
    </row>
    <row r="5070">
      <c r="A5070" s="32" t="n">
        <v>19</v>
      </c>
      <c r="B5070" s="32" t="inlineStr">
        <is>
          <t>K4-1B</t>
        </is>
      </c>
      <c r="D5070" s="32" t="n">
        <v>13.94</v>
      </c>
      <c r="E5070" s="32" t="n">
        <v>4037.735</v>
      </c>
      <c r="G5070" s="32" t="n">
        <v>471.793</v>
      </c>
      <c r="H5070" s="32" t="inlineStr">
        <is>
          <t>bb</t>
        </is>
      </c>
      <c r="I5070" s="32" t="n">
        <v>4037.735</v>
      </c>
      <c r="K5070" s="32" t="inlineStr">
        <is>
          <t>20250514-30</t>
        </is>
      </c>
    </row>
    <row r="5071">
      <c r="A5071" s="32" t="n">
        <v>20</v>
      </c>
      <c r="B5071" s="32" t="inlineStr">
        <is>
          <t>K4-1C</t>
        </is>
      </c>
      <c r="D5071" s="32" t="n">
        <v>13.94</v>
      </c>
      <c r="E5071" s="32" t="n">
        <v>3633.886</v>
      </c>
      <c r="G5071" s="32" t="n">
        <v>53.905</v>
      </c>
      <c r="H5071" s="32" t="inlineStr">
        <is>
          <t>bb</t>
        </is>
      </c>
      <c r="I5071" s="32" t="n">
        <v>3633.886</v>
      </c>
      <c r="K5071" s="32" t="inlineStr">
        <is>
          <t>20250514-31</t>
        </is>
      </c>
    </row>
    <row r="5072">
      <c r="A5072" s="32" t="n">
        <v>21</v>
      </c>
      <c r="B5072" s="32" t="inlineStr">
        <is>
          <t>K4-2A</t>
        </is>
      </c>
      <c r="D5072" s="32" t="n">
        <v>13.94</v>
      </c>
      <c r="E5072" s="32" t="n">
        <v>3590.479</v>
      </c>
      <c r="G5072" s="32" t="n">
        <v>50.529</v>
      </c>
      <c r="H5072" s="32" t="inlineStr">
        <is>
          <t>bb</t>
        </is>
      </c>
      <c r="I5072" s="32" t="n">
        <v>3590.479</v>
      </c>
      <c r="K5072" s="32" t="inlineStr">
        <is>
          <t>20250514-32</t>
        </is>
      </c>
    </row>
    <row r="5073">
      <c r="A5073" s="32" t="n">
        <v>22</v>
      </c>
      <c r="B5073" s="32" t="inlineStr">
        <is>
          <t>K4-2B</t>
        </is>
      </c>
      <c r="D5073" s="32" t="n">
        <v>13.95</v>
      </c>
      <c r="E5073" s="32" t="n">
        <v>3000.977</v>
      </c>
      <c r="G5073" s="32" t="n">
        <v>77.959</v>
      </c>
      <c r="H5073" s="32" t="inlineStr">
        <is>
          <t>bb</t>
        </is>
      </c>
      <c r="I5073" s="32" t="n">
        <v>3000.977</v>
      </c>
      <c r="K5073" s="32" t="inlineStr">
        <is>
          <t>20250514-33</t>
        </is>
      </c>
    </row>
    <row r="5074">
      <c r="A5074" s="32" t="n">
        <v>23</v>
      </c>
      <c r="B5074" s="32" t="inlineStr">
        <is>
          <t>K4-2C</t>
        </is>
      </c>
      <c r="D5074" s="32" t="n">
        <v>13.96</v>
      </c>
      <c r="E5074" s="32" t="n">
        <v>2687.606</v>
      </c>
      <c r="G5074" s="32" t="n">
        <v>18627</v>
      </c>
      <c r="H5074" s="32" t="inlineStr">
        <is>
          <t>bb</t>
        </is>
      </c>
      <c r="I5074" s="32" t="n">
        <v>2687.606</v>
      </c>
      <c r="K5074" s="32" t="inlineStr">
        <is>
          <t>20250514-34</t>
        </is>
      </c>
    </row>
    <row r="5075">
      <c r="A5075" s="32" t="n">
        <v>24</v>
      </c>
      <c r="B5075" s="32" t="inlineStr">
        <is>
          <t>MeOH</t>
        </is>
      </c>
      <c r="D5075" s="32" t="n">
        <v>13.92</v>
      </c>
      <c r="E5075" s="32" t="n">
        <v>1.707</v>
      </c>
      <c r="G5075" s="32" t="n">
        <v>16</v>
      </c>
      <c r="H5075" s="32" t="inlineStr">
        <is>
          <t>bb</t>
        </is>
      </c>
      <c r="I5075" s="32" t="n">
        <v>1.707</v>
      </c>
      <c r="K5075" s="32" t="inlineStr">
        <is>
          <t>20250514-35</t>
        </is>
      </c>
    </row>
    <row r="5076">
      <c r="A5076" s="32" t="n">
        <v>25</v>
      </c>
      <c r="B5076" s="32" t="inlineStr">
        <is>
          <t>K4-4A</t>
        </is>
      </c>
      <c r="D5076" s="32" t="n">
        <v>13.96</v>
      </c>
      <c r="E5076" s="32" t="n">
        <v>3610.808</v>
      </c>
      <c r="G5076" s="32" t="n">
        <v>349.278</v>
      </c>
      <c r="H5076" s="32" t="inlineStr">
        <is>
          <t>bb</t>
        </is>
      </c>
      <c r="I5076" s="32" t="n">
        <v>3610.808</v>
      </c>
      <c r="K5076" s="32" t="inlineStr">
        <is>
          <t>20250514-36</t>
        </is>
      </c>
    </row>
    <row r="5077">
      <c r="A5077" s="32" t="n">
        <v>26</v>
      </c>
      <c r="B5077" s="32" t="inlineStr">
        <is>
          <t>K4-4B</t>
        </is>
      </c>
      <c r="D5077" s="32" t="n">
        <v>13.96</v>
      </c>
      <c r="E5077" s="32" t="n">
        <v>3902.035</v>
      </c>
      <c r="G5077" s="32" t="n">
        <v>320.65</v>
      </c>
      <c r="H5077" s="32" t="inlineStr">
        <is>
          <t>bb</t>
        </is>
      </c>
      <c r="I5077" s="32" t="n">
        <v>3902.035</v>
      </c>
      <c r="K5077" s="32" t="inlineStr">
        <is>
          <t>20250514-37</t>
        </is>
      </c>
    </row>
    <row r="5078">
      <c r="A5078" s="32" t="n">
        <v>27</v>
      </c>
      <c r="B5078" s="32" t="inlineStr">
        <is>
          <t>K4-4C</t>
        </is>
      </c>
      <c r="D5078" s="32" t="n">
        <v>13.98</v>
      </c>
      <c r="E5078" s="32" t="n">
        <v>3629.824</v>
      </c>
      <c r="G5078" s="32" t="n">
        <v>25952</v>
      </c>
      <c r="H5078" s="32" t="inlineStr">
        <is>
          <t>bb</t>
        </is>
      </c>
      <c r="I5078" s="32" t="n">
        <v>3629.824</v>
      </c>
      <c r="K5078" s="32" t="inlineStr">
        <is>
          <t>20250514-38</t>
        </is>
      </c>
    </row>
    <row r="5079">
      <c r="A5079" s="32" t="n">
        <v>28</v>
      </c>
      <c r="B5079" s="32" t="inlineStr">
        <is>
          <t>K4-5A</t>
        </is>
      </c>
      <c r="D5079" s="32" t="n">
        <v>13.96</v>
      </c>
      <c r="E5079" s="32" t="n">
        <v>3754.7</v>
      </c>
      <c r="G5079" s="32" t="n">
        <v>2085.354</v>
      </c>
      <c r="H5079" s="32" t="inlineStr">
        <is>
          <t>bb</t>
        </is>
      </c>
      <c r="I5079" s="32" t="n">
        <v>3754.7</v>
      </c>
      <c r="K5079" s="32" t="inlineStr">
        <is>
          <t>20250514-39</t>
        </is>
      </c>
    </row>
    <row r="5080">
      <c r="A5080" s="32" t="n">
        <v>29</v>
      </c>
      <c r="B5080" s="32" t="inlineStr">
        <is>
          <t>K4-5B</t>
        </is>
      </c>
      <c r="D5080" s="32" t="n">
        <v>13.94</v>
      </c>
      <c r="E5080" s="32" t="n">
        <v>3328.258</v>
      </c>
      <c r="G5080" s="32" t="n">
        <v>13408.594</v>
      </c>
      <c r="H5080" s="32" t="inlineStr">
        <is>
          <t>bb</t>
        </is>
      </c>
      <c r="I5080" s="32" t="n">
        <v>3328.258</v>
      </c>
      <c r="K5080" s="32" t="inlineStr">
        <is>
          <t>20250514-40</t>
        </is>
      </c>
    </row>
    <row r="5081">
      <c r="A5081" s="32" t="n">
        <v>30</v>
      </c>
      <c r="B5081" s="32" t="inlineStr">
        <is>
          <t>K4-5C</t>
        </is>
      </c>
      <c r="D5081" s="32" t="n">
        <v>13.88</v>
      </c>
      <c r="E5081" s="32" t="n">
        <v>3659.381</v>
      </c>
      <c r="G5081" s="32" t="n">
        <v>1360.335</v>
      </c>
      <c r="H5081" s="32" t="inlineStr">
        <is>
          <t>bb</t>
        </is>
      </c>
      <c r="I5081" s="32" t="n">
        <v>3659.381</v>
      </c>
      <c r="K5081" s="32" t="inlineStr">
        <is>
          <t>20250514-41</t>
        </is>
      </c>
    </row>
    <row r="5082">
      <c r="A5082" s="32" t="n">
        <v>31</v>
      </c>
      <c r="B5082" s="32" t="inlineStr">
        <is>
          <t>MeOH</t>
        </is>
      </c>
      <c r="K5082" s="32" t="inlineStr">
        <is>
          <t>20250514-42</t>
        </is>
      </c>
    </row>
    <row r="5083">
      <c r="A5083" s="32" t="n">
        <v>32</v>
      </c>
      <c r="B5083" s="32" t="inlineStr">
        <is>
          <t>K3-1A</t>
        </is>
      </c>
      <c r="D5083" s="32" t="n">
        <v>13.84</v>
      </c>
      <c r="E5083" s="32" t="n">
        <v>3389.787</v>
      </c>
      <c r="G5083" s="32" t="n">
        <v>119.085</v>
      </c>
      <c r="H5083" s="32" t="inlineStr">
        <is>
          <t>bb</t>
        </is>
      </c>
      <c r="I5083" s="32" t="n">
        <v>3389.787</v>
      </c>
      <c r="K5083" s="32" t="inlineStr">
        <is>
          <t>20250514-43</t>
        </is>
      </c>
    </row>
    <row r="5084">
      <c r="A5084" s="32" t="n">
        <v>33</v>
      </c>
      <c r="B5084" s="32" t="inlineStr">
        <is>
          <t>K3-1B</t>
        </is>
      </c>
      <c r="D5084" s="32" t="n">
        <v>13.85</v>
      </c>
      <c r="E5084" s="32" t="n">
        <v>3184.794</v>
      </c>
      <c r="G5084" s="32" t="n">
        <v>20756</v>
      </c>
      <c r="H5084" s="32" t="inlineStr">
        <is>
          <t>bb</t>
        </is>
      </c>
      <c r="I5084" s="32" t="n">
        <v>3184.794</v>
      </c>
      <c r="K5084" s="32" t="inlineStr">
        <is>
          <t>20250514-44</t>
        </is>
      </c>
    </row>
    <row r="5085">
      <c r="A5085" s="32" t="n">
        <v>34</v>
      </c>
      <c r="B5085" s="32" t="inlineStr">
        <is>
          <t>K3-1C</t>
        </is>
      </c>
      <c r="D5085" s="32" t="n">
        <v>13.88</v>
      </c>
      <c r="E5085" s="32" t="n">
        <v>5584.681</v>
      </c>
      <c r="G5085" s="32" t="n">
        <v>39943</v>
      </c>
      <c r="H5085" s="32" t="inlineStr">
        <is>
          <t>bb</t>
        </is>
      </c>
      <c r="I5085" s="32" t="n">
        <v>5584.681</v>
      </c>
      <c r="K5085" s="32" t="inlineStr">
        <is>
          <t>20250514-45</t>
        </is>
      </c>
    </row>
    <row r="5086">
      <c r="A5086" s="32" t="n">
        <v>35</v>
      </c>
      <c r="B5086" s="32" t="inlineStr">
        <is>
          <t>K3-2A</t>
        </is>
      </c>
      <c r="D5086" s="32" t="n">
        <v>13.91</v>
      </c>
      <c r="E5086" s="32" t="n">
        <v>4599.162</v>
      </c>
      <c r="G5086" s="32" t="n">
        <v>115.879</v>
      </c>
      <c r="H5086" s="32" t="inlineStr">
        <is>
          <t>bb</t>
        </is>
      </c>
      <c r="I5086" s="32" t="n">
        <v>4599.162</v>
      </c>
      <c r="K5086" s="32" t="inlineStr">
        <is>
          <t>20250514-46</t>
        </is>
      </c>
    </row>
    <row r="5087">
      <c r="A5087" s="32" t="n">
        <v>36</v>
      </c>
      <c r="B5087" s="32" t="inlineStr">
        <is>
          <t>K3-2B</t>
        </is>
      </c>
      <c r="D5087" s="32" t="n">
        <v>13.91</v>
      </c>
      <c r="E5087" s="32" t="n">
        <v>4712.333</v>
      </c>
      <c r="G5087" s="32" t="n">
        <v>301.28</v>
      </c>
      <c r="H5087" s="32" t="inlineStr">
        <is>
          <t>bb</t>
        </is>
      </c>
      <c r="I5087" s="32" t="n">
        <v>4712.333</v>
      </c>
      <c r="K5087" s="32" t="inlineStr">
        <is>
          <t>20250514-47</t>
        </is>
      </c>
    </row>
    <row r="5088">
      <c r="A5088" s="32" t="n">
        <v>37</v>
      </c>
      <c r="B5088" s="32" t="inlineStr">
        <is>
          <t>K3-2C</t>
        </is>
      </c>
      <c r="D5088" s="32" t="n">
        <v>13.91</v>
      </c>
      <c r="E5088" s="32" t="n">
        <v>4263.168</v>
      </c>
      <c r="G5088" s="32" t="n">
        <v>522.102</v>
      </c>
      <c r="H5088" s="32" t="inlineStr">
        <is>
          <t>bb</t>
        </is>
      </c>
      <c r="I5088" s="32" t="n">
        <v>4263.168</v>
      </c>
      <c r="K5088" s="32" t="inlineStr">
        <is>
          <t>20250514-48</t>
        </is>
      </c>
    </row>
    <row r="5089">
      <c r="A5089" s="32" t="n">
        <v>38</v>
      </c>
      <c r="B5089" s="32" t="inlineStr">
        <is>
          <t>MeOH</t>
        </is>
      </c>
      <c r="D5089" s="32" t="n">
        <v>13.89</v>
      </c>
      <c r="E5089" s="32" t="n">
        <v>7.807</v>
      </c>
      <c r="G5089" s="32" t="n">
        <v>70</v>
      </c>
      <c r="H5089" s="32" t="inlineStr">
        <is>
          <t>bb</t>
        </is>
      </c>
      <c r="I5089" s="32" t="n">
        <v>7.807</v>
      </c>
      <c r="K5089" s="32" t="inlineStr">
        <is>
          <t>20250514-49</t>
        </is>
      </c>
    </row>
    <row r="5090">
      <c r="A5090" s="32" t="n">
        <v>39</v>
      </c>
      <c r="B5090" s="32" t="inlineStr">
        <is>
          <t>K3-3A</t>
        </is>
      </c>
      <c r="D5090" s="32" t="n">
        <v>13.92</v>
      </c>
      <c r="E5090" s="32" t="n">
        <v>4236.037</v>
      </c>
      <c r="G5090" s="32" t="n">
        <v>30212</v>
      </c>
      <c r="H5090" s="32" t="inlineStr">
        <is>
          <t>bb</t>
        </is>
      </c>
      <c r="I5090" s="32" t="n">
        <v>4236.037</v>
      </c>
      <c r="K5090" s="32" t="inlineStr">
        <is>
          <t>20250514-50</t>
        </is>
      </c>
    </row>
    <row r="5091">
      <c r="A5091" s="32" t="n">
        <v>40</v>
      </c>
      <c r="B5091" s="32" t="inlineStr">
        <is>
          <t>K3-3B</t>
        </is>
      </c>
      <c r="D5091" s="32" t="n">
        <v>13.94</v>
      </c>
      <c r="E5091" s="32" t="n">
        <v>4354.077</v>
      </c>
      <c r="G5091" s="32" t="n">
        <v>28737</v>
      </c>
      <c r="H5091" s="32" t="inlineStr">
        <is>
          <t>bb</t>
        </is>
      </c>
      <c r="I5091" s="32" t="n">
        <v>4354.077</v>
      </c>
      <c r="K5091" s="32" t="inlineStr">
        <is>
          <t>20250514-51</t>
        </is>
      </c>
    </row>
    <row r="5092">
      <c r="A5092" s="32" t="n">
        <v>41</v>
      </c>
      <c r="B5092" s="32" t="inlineStr">
        <is>
          <t>K3-3C</t>
        </is>
      </c>
      <c r="D5092" s="32" t="n">
        <v>13.95</v>
      </c>
      <c r="E5092" s="32" t="n">
        <v>5347.716</v>
      </c>
      <c r="G5092" s="32" t="n">
        <v>162.479</v>
      </c>
      <c r="H5092" s="32" t="inlineStr">
        <is>
          <t>bb</t>
        </is>
      </c>
      <c r="I5092" s="32" t="n">
        <v>5347.716</v>
      </c>
      <c r="K5092" s="32" t="inlineStr">
        <is>
          <t>20250514-52</t>
        </is>
      </c>
    </row>
    <row r="5093">
      <c r="A5093" s="32" t="n">
        <v>42</v>
      </c>
      <c r="B5093" s="32" t="inlineStr">
        <is>
          <t>K3-4A</t>
        </is>
      </c>
      <c r="D5093" s="32" t="n">
        <v>13.99</v>
      </c>
      <c r="E5093" s="32" t="n">
        <v>4947.275</v>
      </c>
      <c r="G5093" s="32" t="n">
        <v>472.834</v>
      </c>
      <c r="H5093" s="32" t="inlineStr">
        <is>
          <t>bb</t>
        </is>
      </c>
      <c r="I5093" s="32" t="n">
        <v>4947.275</v>
      </c>
      <c r="K5093" s="32" t="inlineStr">
        <is>
          <t>20250514-53</t>
        </is>
      </c>
    </row>
    <row r="5094">
      <c r="A5094" s="32" t="n">
        <v>43</v>
      </c>
      <c r="B5094" s="32" t="inlineStr">
        <is>
          <t>K3-4B</t>
        </is>
      </c>
      <c r="D5094" s="32" t="n">
        <v>13.96</v>
      </c>
      <c r="E5094" s="32" t="n">
        <v>4954.611</v>
      </c>
      <c r="G5094" s="32" t="n">
        <v>112.676</v>
      </c>
      <c r="H5094" s="32" t="inlineStr">
        <is>
          <t>bb</t>
        </is>
      </c>
      <c r="I5094" s="32" t="n">
        <v>4954.611</v>
      </c>
      <c r="K5094" s="32" t="inlineStr">
        <is>
          <t>20250514-54</t>
        </is>
      </c>
    </row>
    <row r="5095">
      <c r="A5095" s="32" t="n">
        <v>44</v>
      </c>
      <c r="B5095" s="32" t="inlineStr">
        <is>
          <t>K3-4C</t>
        </is>
      </c>
      <c r="D5095" s="32" t="n">
        <v>14.01</v>
      </c>
      <c r="E5095" s="32" t="n">
        <v>4999.269</v>
      </c>
      <c r="G5095" s="32" t="n">
        <v>36508</v>
      </c>
      <c r="H5095" s="32" t="inlineStr">
        <is>
          <t>bb</t>
        </is>
      </c>
      <c r="I5095" s="32" t="n">
        <v>4999.269</v>
      </c>
      <c r="K5095" s="32" t="inlineStr">
        <is>
          <t>20250514-55</t>
        </is>
      </c>
    </row>
    <row r="5096">
      <c r="A5096" s="32" t="n">
        <v>45</v>
      </c>
      <c r="B5096" s="32" t="inlineStr">
        <is>
          <t>MeOH</t>
        </is>
      </c>
      <c r="K5096" s="32" t="inlineStr">
        <is>
          <t>20250514-56</t>
        </is>
      </c>
    </row>
    <row r="5097">
      <c r="A5097" s="32" t="n">
        <v>46</v>
      </c>
      <c r="B5097" s="32" t="inlineStr">
        <is>
          <t>K3-6A</t>
        </is>
      </c>
      <c r="D5097" s="32" t="n">
        <v>14.01</v>
      </c>
      <c r="E5097" s="32" t="n">
        <v>4928.694</v>
      </c>
      <c r="G5097" s="32" t="n">
        <v>16211.7</v>
      </c>
      <c r="H5097" s="32" t="inlineStr">
        <is>
          <t>bb</t>
        </is>
      </c>
      <c r="I5097" s="32" t="n">
        <v>4928.694</v>
      </c>
      <c r="K5097" s="32" t="inlineStr">
        <is>
          <t>20250514-57</t>
        </is>
      </c>
    </row>
    <row r="5098">
      <c r="A5098" s="32" t="n">
        <v>47</v>
      </c>
      <c r="B5098" s="32" t="inlineStr">
        <is>
          <t>K3-6B</t>
        </is>
      </c>
      <c r="D5098" s="32" t="n">
        <v>14.01</v>
      </c>
      <c r="E5098" s="32" t="n">
        <v>3985.754</v>
      </c>
      <c r="G5098" s="32" t="n">
        <v>118.298</v>
      </c>
      <c r="H5098" s="32" t="inlineStr">
        <is>
          <t>bb</t>
        </is>
      </c>
      <c r="I5098" s="32" t="n">
        <v>3985.754</v>
      </c>
      <c r="K5098" s="32" t="inlineStr">
        <is>
          <t>20250514-58</t>
        </is>
      </c>
    </row>
    <row r="5099">
      <c r="A5099" s="32" t="n">
        <v>48</v>
      </c>
      <c r="B5099" s="32" t="inlineStr">
        <is>
          <t>K3-6C</t>
        </is>
      </c>
      <c r="D5099" s="32" t="n">
        <v>13.99</v>
      </c>
      <c r="E5099" s="32" t="n">
        <v>3403.593</v>
      </c>
      <c r="G5099" s="32" t="n">
        <v>23037</v>
      </c>
      <c r="H5099" s="32" t="inlineStr">
        <is>
          <t>bb</t>
        </is>
      </c>
      <c r="I5099" s="32" t="n">
        <v>3403.593</v>
      </c>
      <c r="K5099" s="32" t="inlineStr">
        <is>
          <t>20250514-59</t>
        </is>
      </c>
    </row>
    <row r="5101">
      <c r="A5101" s="32" t="inlineStr">
        <is>
          <t>Compound 99:  9Cl-PF3ONS 1</t>
        </is>
      </c>
    </row>
    <row r="5103">
      <c r="B5103" s="32" t="inlineStr">
        <is>
          <t>Sample Text</t>
        </is>
      </c>
      <c r="C5103" s="32" t="inlineStr">
        <is>
          <t>Std. Conc</t>
        </is>
      </c>
      <c r="D5103" s="32" t="inlineStr">
        <is>
          <t>RT</t>
        </is>
      </c>
      <c r="E5103" s="32" t="inlineStr">
        <is>
          <t>Area</t>
        </is>
      </c>
      <c r="F5103" s="32" t="inlineStr">
        <is>
          <t>IS Area</t>
        </is>
      </c>
      <c r="G5103" s="32" t="inlineStr">
        <is>
          <t>S/N</t>
        </is>
      </c>
      <c r="H5103" s="32" t="inlineStr">
        <is>
          <t>Primary Flags</t>
        </is>
      </c>
      <c r="I5103" s="32" t="inlineStr">
        <is>
          <t>Response</t>
        </is>
      </c>
      <c r="J5103" s="32" t="inlineStr">
        <is>
          <t>Conc.</t>
        </is>
      </c>
      <c r="K5103" s="32" t="inlineStr">
        <is>
          <t>Name</t>
        </is>
      </c>
    </row>
    <row r="5104">
      <c r="A5104" s="32" t="n">
        <v>1</v>
      </c>
      <c r="B5104" s="32" t="inlineStr">
        <is>
          <t>EPA1633 &amp; diPAPs Calibration 0 ppb</t>
        </is>
      </c>
      <c r="D5104" s="32" t="n">
        <v>13.59</v>
      </c>
      <c r="E5104" s="32" t="n">
        <v>2699.672</v>
      </c>
      <c r="F5104" s="32" t="n">
        <v>818.542</v>
      </c>
      <c r="G5104" s="32" t="n">
        <v>140.596</v>
      </c>
      <c r="H5104" s="32" t="inlineStr">
        <is>
          <t>bb</t>
        </is>
      </c>
      <c r="K5104" s="32" t="inlineStr">
        <is>
          <t>20250514-12</t>
        </is>
      </c>
    </row>
    <row r="5105">
      <c r="A5105" s="32" t="n">
        <v>2</v>
      </c>
      <c r="B5105" s="32" t="inlineStr">
        <is>
          <t>EPA1633 &amp; diPAPs Calibration 0.02 ppb</t>
        </is>
      </c>
      <c r="D5105" s="32" t="n">
        <v>13.62</v>
      </c>
      <c r="E5105" s="32" t="n">
        <v>6565.071</v>
      </c>
      <c r="F5105" s="32" t="n">
        <v>878.931</v>
      </c>
      <c r="G5105" s="32" t="n">
        <v>787.866</v>
      </c>
      <c r="H5105" s="32" t="inlineStr">
        <is>
          <t>bb</t>
        </is>
      </c>
      <c r="K5105" s="32" t="inlineStr">
        <is>
          <t>20250514-13</t>
        </is>
      </c>
    </row>
    <row r="5106">
      <c r="A5106" s="32" t="n">
        <v>3</v>
      </c>
      <c r="B5106" s="32" t="inlineStr">
        <is>
          <t>EPA1633 &amp; diPAPs Calibration 0.1 ppb</t>
        </is>
      </c>
      <c r="D5106" s="32" t="n">
        <v>13.62</v>
      </c>
      <c r="E5106" s="32" t="n">
        <v>12696.771</v>
      </c>
      <c r="F5106" s="32" t="n">
        <v>947.3</v>
      </c>
      <c r="G5106" s="32" t="n">
        <v>508.955</v>
      </c>
      <c r="H5106" s="32" t="inlineStr">
        <is>
          <t>bb</t>
        </is>
      </c>
      <c r="K5106" s="32" t="inlineStr">
        <is>
          <t>20250514-14</t>
        </is>
      </c>
    </row>
    <row r="5107">
      <c r="A5107" s="32" t="n">
        <v>4</v>
      </c>
      <c r="B5107" s="32" t="inlineStr">
        <is>
          <t>EPA1633 &amp; diPAPs Calibration 0.4 ppb</t>
        </is>
      </c>
      <c r="D5107" s="32" t="n">
        <v>13.61</v>
      </c>
      <c r="E5107" s="32" t="n">
        <v>38141.039</v>
      </c>
      <c r="F5107" s="32" t="n">
        <v>785.4690000000001</v>
      </c>
      <c r="G5107" s="32" t="n">
        <v>872.6849999999999</v>
      </c>
      <c r="H5107" s="32" t="inlineStr">
        <is>
          <t>bb</t>
        </is>
      </c>
      <c r="K5107" s="32" t="inlineStr">
        <is>
          <t>20250514-15</t>
        </is>
      </c>
    </row>
    <row r="5108">
      <c r="A5108" s="32" t="n">
        <v>5</v>
      </c>
      <c r="B5108" s="32" t="inlineStr">
        <is>
          <t>EPA1633 &amp; diPAPs Calibration 1 ppb</t>
        </is>
      </c>
      <c r="D5108" s="32" t="n">
        <v>13.63</v>
      </c>
      <c r="E5108" s="32" t="n">
        <v>63651.219</v>
      </c>
      <c r="F5108" s="32" t="n">
        <v>1347.024</v>
      </c>
      <c r="G5108" s="32" t="n">
        <v>1327.623</v>
      </c>
      <c r="H5108" s="32" t="inlineStr">
        <is>
          <t>bb</t>
        </is>
      </c>
      <c r="K5108" s="32" t="inlineStr">
        <is>
          <t>20250514-16</t>
        </is>
      </c>
    </row>
    <row r="5109">
      <c r="A5109" s="32" t="n">
        <v>6</v>
      </c>
      <c r="B5109" s="32" t="inlineStr">
        <is>
          <t>EPA1633 &amp; diPAPs Calibration 5 ppb</t>
        </is>
      </c>
      <c r="D5109" s="32" t="n">
        <v>13.56</v>
      </c>
      <c r="E5109" s="32" t="n">
        <v>300471.5</v>
      </c>
      <c r="F5109" s="32" t="n">
        <v>950.485</v>
      </c>
      <c r="G5109" s="32" t="n">
        <v>7424.08</v>
      </c>
      <c r="H5109" s="32" t="inlineStr">
        <is>
          <t>bb</t>
        </is>
      </c>
      <c r="K5109" s="32" t="inlineStr">
        <is>
          <t>20250514-17</t>
        </is>
      </c>
    </row>
    <row r="5110">
      <c r="A5110" s="32" t="n">
        <v>7</v>
      </c>
      <c r="B5110" s="32" t="inlineStr">
        <is>
          <t>EPA1633 &amp; diPAPs Calibration 10 ppb</t>
        </is>
      </c>
      <c r="D5110" s="32" t="n">
        <v>13.57</v>
      </c>
      <c r="E5110" s="32" t="n">
        <v>539908.75</v>
      </c>
      <c r="F5110" s="32" t="n">
        <v>675.6130000000001</v>
      </c>
      <c r="G5110" s="32" t="n">
        <v>7375.817</v>
      </c>
      <c r="H5110" s="32" t="inlineStr">
        <is>
          <t>bb</t>
        </is>
      </c>
      <c r="K5110" s="32" t="inlineStr">
        <is>
          <t>20250514-18</t>
        </is>
      </c>
    </row>
    <row r="5111">
      <c r="A5111" s="32" t="n">
        <v>8</v>
      </c>
      <c r="B5111" s="32" t="inlineStr">
        <is>
          <t>EPA1633 &amp; diPAPs Calibration 20 ppb</t>
        </is>
      </c>
      <c r="D5111" s="32" t="n">
        <v>13.59</v>
      </c>
      <c r="E5111" s="32" t="n">
        <v>1066024</v>
      </c>
      <c r="F5111" s="32" t="n">
        <v>669.518</v>
      </c>
      <c r="G5111" s="32" t="n">
        <v>3999.661</v>
      </c>
      <c r="H5111" s="32" t="inlineStr">
        <is>
          <t>bb</t>
        </is>
      </c>
      <c r="K5111" s="32" t="inlineStr">
        <is>
          <t>20250514-19</t>
        </is>
      </c>
    </row>
    <row r="5112">
      <c r="A5112" s="32" t="n">
        <v>9</v>
      </c>
      <c r="B5112" s="32" t="inlineStr">
        <is>
          <t>MeOH</t>
        </is>
      </c>
      <c r="D5112" s="32" t="n">
        <v>13.61</v>
      </c>
      <c r="E5112" s="32" t="n">
        <v>2658.124</v>
      </c>
      <c r="G5112" s="32" t="n">
        <v>183.5</v>
      </c>
      <c r="H5112" s="32" t="inlineStr">
        <is>
          <t>bb</t>
        </is>
      </c>
      <c r="K5112" s="32" t="inlineStr">
        <is>
          <t>20250514-20</t>
        </is>
      </c>
    </row>
    <row r="5113">
      <c r="A5113" s="32" t="n">
        <v>10</v>
      </c>
      <c r="B5113" s="32" t="inlineStr">
        <is>
          <t>MeOH</t>
        </is>
      </c>
      <c r="D5113" s="32" t="n">
        <v>13.63</v>
      </c>
      <c r="E5113" s="32" t="n">
        <v>1898.098</v>
      </c>
      <c r="G5113" s="32" t="n">
        <v>14492</v>
      </c>
      <c r="H5113" s="32" t="inlineStr">
        <is>
          <t>bb</t>
        </is>
      </c>
      <c r="K5113" s="32" t="inlineStr">
        <is>
          <t>20250514-21</t>
        </is>
      </c>
    </row>
    <row r="5114">
      <c r="A5114" s="32" t="n">
        <v>11</v>
      </c>
      <c r="B5114" s="32" t="inlineStr">
        <is>
          <t>SB1</t>
        </is>
      </c>
      <c r="D5114" s="32" t="n">
        <v>13.64</v>
      </c>
      <c r="E5114" s="32" t="n">
        <v>910.8</v>
      </c>
      <c r="F5114" s="32" t="n">
        <v>454.851</v>
      </c>
      <c r="G5114" s="32" t="n">
        <v>74.871</v>
      </c>
      <c r="H5114" s="32" t="inlineStr">
        <is>
          <t>bb</t>
        </is>
      </c>
      <c r="K5114" s="32" t="inlineStr">
        <is>
          <t>20250514-22</t>
        </is>
      </c>
    </row>
    <row r="5115">
      <c r="A5115" s="32" t="n">
        <v>12</v>
      </c>
      <c r="B5115" s="32" t="inlineStr">
        <is>
          <t>SB2</t>
        </is>
      </c>
      <c r="D5115" s="32" t="n">
        <v>13.64</v>
      </c>
      <c r="E5115" s="32" t="n">
        <v>22.324</v>
      </c>
      <c r="F5115" s="32" t="n">
        <v>327.91</v>
      </c>
      <c r="G5115" s="32" t="n">
        <v>199</v>
      </c>
      <c r="H5115" s="32" t="inlineStr">
        <is>
          <t>bb</t>
        </is>
      </c>
      <c r="K5115" s="32" t="inlineStr">
        <is>
          <t>20250514-23</t>
        </is>
      </c>
    </row>
    <row r="5116">
      <c r="A5116" s="32" t="n">
        <v>13</v>
      </c>
      <c r="B5116" s="32" t="inlineStr">
        <is>
          <t>SB3</t>
        </is>
      </c>
      <c r="D5116" s="32" t="n">
        <v>13.66</v>
      </c>
      <c r="E5116" s="32" t="n">
        <v>264.035</v>
      </c>
      <c r="F5116" s="32" t="n">
        <v>222.426</v>
      </c>
      <c r="G5116" s="32" t="n">
        <v>17.385</v>
      </c>
      <c r="H5116" s="32" t="inlineStr">
        <is>
          <t>bb</t>
        </is>
      </c>
      <c r="K5116" s="32" t="inlineStr">
        <is>
          <t>20250514-24</t>
        </is>
      </c>
    </row>
    <row r="5117">
      <c r="A5117" s="32" t="n">
        <v>14</v>
      </c>
      <c r="B5117" s="32" t="inlineStr">
        <is>
          <t>SS1</t>
        </is>
      </c>
      <c r="D5117" s="32" t="n">
        <v>13.66</v>
      </c>
      <c r="E5117" s="32" t="n">
        <v>208530.359</v>
      </c>
      <c r="F5117" s="32" t="n">
        <v>226.192</v>
      </c>
      <c r="G5117" s="32" t="n">
        <v>18871.507</v>
      </c>
      <c r="H5117" s="32" t="inlineStr">
        <is>
          <t>bb</t>
        </is>
      </c>
      <c r="K5117" s="32" t="inlineStr">
        <is>
          <t>20250514-25</t>
        </is>
      </c>
    </row>
    <row r="5118">
      <c r="A5118" s="32" t="n">
        <v>15</v>
      </c>
      <c r="B5118" s="32" t="inlineStr">
        <is>
          <t>SS2</t>
        </is>
      </c>
      <c r="D5118" s="32" t="n">
        <v>13.67</v>
      </c>
      <c r="E5118" s="32" t="n">
        <v>226677.25</v>
      </c>
      <c r="F5118" s="32" t="n">
        <v>314.009</v>
      </c>
      <c r="G5118" s="32" t="n">
        <v>1949.23</v>
      </c>
      <c r="H5118" s="32" t="inlineStr">
        <is>
          <t>bb</t>
        </is>
      </c>
      <c r="K5118" s="32" t="inlineStr">
        <is>
          <t>20250514-26</t>
        </is>
      </c>
    </row>
    <row r="5119">
      <c r="A5119" s="32" t="n">
        <v>16</v>
      </c>
      <c r="B5119" s="32" t="inlineStr">
        <is>
          <t>SS3</t>
        </is>
      </c>
      <c r="D5119" s="32" t="n">
        <v>13.68</v>
      </c>
      <c r="E5119" s="32" t="n">
        <v>212668.875</v>
      </c>
      <c r="F5119" s="32" t="n">
        <v>235.115</v>
      </c>
      <c r="G5119" s="32" t="n">
        <v>7448.838</v>
      </c>
      <c r="H5119" s="32" t="inlineStr">
        <is>
          <t>bb</t>
        </is>
      </c>
      <c r="K5119" s="32" t="inlineStr">
        <is>
          <t>20250514-27</t>
        </is>
      </c>
    </row>
    <row r="5120">
      <c r="A5120" s="32" t="n">
        <v>17</v>
      </c>
      <c r="B5120" s="32" t="inlineStr">
        <is>
          <t>MeOH</t>
        </is>
      </c>
      <c r="D5120" s="32" t="n">
        <v>13.67</v>
      </c>
      <c r="E5120" s="32" t="n">
        <v>2356.442</v>
      </c>
      <c r="G5120" s="32" t="n">
        <v>17663</v>
      </c>
      <c r="H5120" s="32" t="inlineStr">
        <is>
          <t>bb</t>
        </is>
      </c>
      <c r="K5120" s="32" t="inlineStr">
        <is>
          <t>20250514-28</t>
        </is>
      </c>
    </row>
    <row r="5121">
      <c r="A5121" s="32" t="n">
        <v>18</v>
      </c>
      <c r="B5121" s="32" t="inlineStr">
        <is>
          <t>K4-1A</t>
        </is>
      </c>
      <c r="D5121" s="32" t="n">
        <v>13.7</v>
      </c>
      <c r="E5121" s="32" t="n">
        <v>343.774</v>
      </c>
      <c r="F5121" s="32" t="n">
        <v>242.818</v>
      </c>
      <c r="G5121" s="32" t="n">
        <v>2634</v>
      </c>
      <c r="H5121" s="32" t="inlineStr">
        <is>
          <t>bb</t>
        </is>
      </c>
      <c r="K5121" s="32" t="inlineStr">
        <is>
          <t>20250514-29</t>
        </is>
      </c>
    </row>
    <row r="5122">
      <c r="A5122" s="32" t="n">
        <v>19</v>
      </c>
      <c r="B5122" s="32" t="inlineStr">
        <is>
          <t>K4-1B</t>
        </is>
      </c>
      <c r="D5122" s="32" t="n">
        <v>13.67</v>
      </c>
      <c r="E5122" s="32" t="n">
        <v>116.635</v>
      </c>
      <c r="F5122" s="32" t="n">
        <v>508.77</v>
      </c>
      <c r="G5122" s="32" t="n">
        <v>951</v>
      </c>
      <c r="H5122" s="32" t="inlineStr">
        <is>
          <t>bb</t>
        </is>
      </c>
      <c r="K5122" s="32" t="inlineStr">
        <is>
          <t>20250514-30</t>
        </is>
      </c>
    </row>
    <row r="5123">
      <c r="A5123" s="32" t="n">
        <v>20</v>
      </c>
      <c r="B5123" s="32" t="inlineStr">
        <is>
          <t>K4-1C</t>
        </is>
      </c>
      <c r="D5123" s="32" t="n">
        <v>13.71</v>
      </c>
      <c r="E5123" s="32" t="n">
        <v>181.267</v>
      </c>
      <c r="F5123" s="32" t="n">
        <v>189.276</v>
      </c>
      <c r="G5123" s="32" t="n">
        <v>3.925</v>
      </c>
      <c r="H5123" s="32" t="inlineStr">
        <is>
          <t>bb</t>
        </is>
      </c>
      <c r="K5123" s="32" t="inlineStr">
        <is>
          <t>20250514-31</t>
        </is>
      </c>
    </row>
    <row r="5124">
      <c r="A5124" s="32" t="n">
        <v>21</v>
      </c>
      <c r="B5124" s="32" t="inlineStr">
        <is>
          <t>K4-2A</t>
        </is>
      </c>
      <c r="D5124" s="32" t="n">
        <v>13.74</v>
      </c>
      <c r="E5124" s="32" t="n">
        <v>72.566</v>
      </c>
      <c r="F5124" s="32" t="n">
        <v>310.373</v>
      </c>
      <c r="G5124" s="32" t="n">
        <v>1.996</v>
      </c>
      <c r="H5124" s="32" t="inlineStr">
        <is>
          <t>bb</t>
        </is>
      </c>
      <c r="K5124" s="32" t="inlineStr">
        <is>
          <t>20250514-32</t>
        </is>
      </c>
    </row>
    <row r="5125">
      <c r="A5125" s="32" t="n">
        <v>22</v>
      </c>
      <c r="B5125" s="32" t="inlineStr">
        <is>
          <t>K4-2B</t>
        </is>
      </c>
      <c r="D5125" s="32" t="n">
        <v>13.68</v>
      </c>
      <c r="E5125" s="32" t="n">
        <v>19.759</v>
      </c>
      <c r="F5125" s="32" t="n">
        <v>608.7859999999999</v>
      </c>
      <c r="G5125" s="32" t="n">
        <v>1.197</v>
      </c>
      <c r="H5125" s="32" t="inlineStr">
        <is>
          <t>bb</t>
        </is>
      </c>
      <c r="K5125" s="32" t="inlineStr">
        <is>
          <t>20250514-33</t>
        </is>
      </c>
    </row>
    <row r="5126">
      <c r="A5126" s="32" t="n">
        <v>23</v>
      </c>
      <c r="B5126" s="32" t="inlineStr">
        <is>
          <t>K4-2C</t>
        </is>
      </c>
      <c r="D5126" s="32" t="n">
        <v>13.71</v>
      </c>
      <c r="E5126" s="32" t="n">
        <v>86.486</v>
      </c>
      <c r="F5126" s="32" t="n">
        <v>229.764</v>
      </c>
      <c r="G5126" s="32" t="n">
        <v>2.679</v>
      </c>
      <c r="H5126" s="32" t="inlineStr">
        <is>
          <t>bb</t>
        </is>
      </c>
      <c r="K5126" s="32" t="inlineStr">
        <is>
          <t>20250514-34</t>
        </is>
      </c>
    </row>
    <row r="5127">
      <c r="A5127" s="32" t="n">
        <v>24</v>
      </c>
      <c r="B5127" s="32" t="inlineStr">
        <is>
          <t>MeOH</t>
        </is>
      </c>
      <c r="H5127" s="32" t="inlineStr">
        <is>
          <t>MM-</t>
        </is>
      </c>
      <c r="K5127" s="32" t="inlineStr">
        <is>
          <t>20250514-35</t>
        </is>
      </c>
    </row>
    <row r="5128">
      <c r="A5128" s="32" t="n">
        <v>25</v>
      </c>
      <c r="B5128" s="32" t="inlineStr">
        <is>
          <t>K4-4A</t>
        </is>
      </c>
      <c r="D5128" s="32" t="n">
        <v>13.74</v>
      </c>
      <c r="E5128" s="32" t="n">
        <v>6.91</v>
      </c>
      <c r="F5128" s="32" t="n">
        <v>288.067</v>
      </c>
      <c r="G5128" s="32" t="n">
        <v>60</v>
      </c>
      <c r="H5128" s="32" t="inlineStr">
        <is>
          <t>bb</t>
        </is>
      </c>
      <c r="K5128" s="32" t="inlineStr">
        <is>
          <t>20250514-36</t>
        </is>
      </c>
    </row>
    <row r="5129">
      <c r="A5129" s="32" t="n">
        <v>26</v>
      </c>
      <c r="B5129" s="32" t="inlineStr">
        <is>
          <t>K4-4B</t>
        </is>
      </c>
      <c r="D5129" s="32" t="n">
        <v>13.71</v>
      </c>
      <c r="E5129" s="32" t="n">
        <v>99.43899999999999</v>
      </c>
      <c r="F5129" s="32" t="n">
        <v>219.81</v>
      </c>
      <c r="G5129" s="32" t="n">
        <v>936</v>
      </c>
      <c r="H5129" s="32" t="inlineStr">
        <is>
          <t>bb</t>
        </is>
      </c>
      <c r="K5129" s="32" t="inlineStr">
        <is>
          <t>20250514-37</t>
        </is>
      </c>
    </row>
    <row r="5130">
      <c r="A5130" s="32" t="n">
        <v>27</v>
      </c>
      <c r="B5130" s="32" t="inlineStr">
        <is>
          <t>K4-4C</t>
        </is>
      </c>
      <c r="D5130" s="32" t="n">
        <v>13.71</v>
      </c>
      <c r="E5130" s="32" t="n">
        <v>22.458</v>
      </c>
      <c r="F5130" s="32" t="n">
        <v>322.86</v>
      </c>
      <c r="G5130" s="32" t="n">
        <v>2.643</v>
      </c>
      <c r="H5130" s="32" t="inlineStr">
        <is>
          <t>bb</t>
        </is>
      </c>
      <c r="K5130" s="32" t="inlineStr">
        <is>
          <t>20250514-38</t>
        </is>
      </c>
    </row>
    <row r="5131">
      <c r="A5131" s="32" t="n">
        <v>28</v>
      </c>
      <c r="B5131" s="32" t="inlineStr">
        <is>
          <t>K4-5A</t>
        </is>
      </c>
      <c r="D5131" s="32" t="n">
        <v>13.7</v>
      </c>
      <c r="E5131" s="32" t="n">
        <v>96.556</v>
      </c>
      <c r="F5131" s="32" t="n">
        <v>302.863</v>
      </c>
      <c r="G5131" s="32" t="n">
        <v>702</v>
      </c>
      <c r="H5131" s="32" t="inlineStr">
        <is>
          <t>bb</t>
        </is>
      </c>
      <c r="K5131" s="32" t="inlineStr">
        <is>
          <t>20250514-39</t>
        </is>
      </c>
    </row>
    <row r="5132">
      <c r="A5132" s="32" t="n">
        <v>29</v>
      </c>
      <c r="B5132" s="32" t="inlineStr">
        <is>
          <t>K4-5B</t>
        </is>
      </c>
      <c r="D5132" s="32" t="n">
        <v>13.68</v>
      </c>
      <c r="E5132" s="32" t="n">
        <v>40.386</v>
      </c>
      <c r="F5132" s="32" t="n">
        <v>188.939</v>
      </c>
      <c r="G5132" s="32" t="n">
        <v>2.917</v>
      </c>
      <c r="H5132" s="32" t="inlineStr">
        <is>
          <t>bb</t>
        </is>
      </c>
      <c r="K5132" s="32" t="inlineStr">
        <is>
          <t>20250514-40</t>
        </is>
      </c>
    </row>
    <row r="5133">
      <c r="A5133" s="32" t="n">
        <v>30</v>
      </c>
      <c r="B5133" s="32" t="inlineStr">
        <is>
          <t>K4-5C</t>
        </is>
      </c>
      <c r="D5133" s="32" t="n">
        <v>13.24</v>
      </c>
      <c r="E5133" s="32" t="n">
        <v>3.91</v>
      </c>
      <c r="F5133" s="32" t="n">
        <v>386.08</v>
      </c>
      <c r="G5133" s="32" t="n">
        <v>33</v>
      </c>
      <c r="H5133" s="32" t="inlineStr">
        <is>
          <t>bb</t>
        </is>
      </c>
      <c r="K5133" s="32" t="inlineStr">
        <is>
          <t>20250514-41</t>
        </is>
      </c>
    </row>
    <row r="5134">
      <c r="A5134" s="32" t="n">
        <v>31</v>
      </c>
      <c r="B5134" s="32" t="inlineStr">
        <is>
          <t>MeOH</t>
        </is>
      </c>
      <c r="H5134" s="32" t="inlineStr">
        <is>
          <t>MM-</t>
        </is>
      </c>
      <c r="K5134" s="32" t="inlineStr">
        <is>
          <t>20250514-42</t>
        </is>
      </c>
    </row>
    <row r="5135">
      <c r="A5135" s="32" t="n">
        <v>32</v>
      </c>
      <c r="B5135" s="32" t="inlineStr">
        <is>
          <t>K3-1A</t>
        </is>
      </c>
      <c r="D5135" s="32" t="n">
        <v>13.6</v>
      </c>
      <c r="E5135" s="32" t="n">
        <v>164.905</v>
      </c>
      <c r="F5135" s="32" t="n">
        <v>273.068</v>
      </c>
      <c r="G5135" s="32" t="n">
        <v>4.676</v>
      </c>
      <c r="H5135" s="32" t="inlineStr">
        <is>
          <t>bb</t>
        </is>
      </c>
      <c r="K5135" s="32" t="inlineStr">
        <is>
          <t>20250514-43</t>
        </is>
      </c>
    </row>
    <row r="5136">
      <c r="A5136" s="32" t="n">
        <v>33</v>
      </c>
      <c r="B5136" s="32" t="inlineStr">
        <is>
          <t>K3-1B</t>
        </is>
      </c>
      <c r="D5136" s="32" t="n">
        <v>13.62</v>
      </c>
      <c r="E5136" s="32" t="n">
        <v>31.115</v>
      </c>
      <c r="F5136" s="32" t="n">
        <v>112.597</v>
      </c>
      <c r="G5136" s="32" t="n">
        <v>307</v>
      </c>
      <c r="H5136" s="32" t="inlineStr">
        <is>
          <t>bb</t>
        </is>
      </c>
      <c r="K5136" s="32" t="inlineStr">
        <is>
          <t>20250514-44</t>
        </is>
      </c>
    </row>
    <row r="5137">
      <c r="A5137" s="32" t="n">
        <v>34</v>
      </c>
      <c r="B5137" s="32" t="inlineStr">
        <is>
          <t>K3-1C</t>
        </is>
      </c>
      <c r="D5137" s="32" t="n">
        <v>13.63</v>
      </c>
      <c r="E5137" s="32" t="n">
        <v>7.239</v>
      </c>
      <c r="F5137" s="32" t="n">
        <v>575.867</v>
      </c>
      <c r="G5137" s="32" t="n">
        <v>73</v>
      </c>
      <c r="H5137" s="32" t="inlineStr">
        <is>
          <t>bb</t>
        </is>
      </c>
      <c r="K5137" s="32" t="inlineStr">
        <is>
          <t>20250514-45</t>
        </is>
      </c>
    </row>
    <row r="5138">
      <c r="A5138" s="32" t="n">
        <v>35</v>
      </c>
      <c r="B5138" s="32" t="inlineStr">
        <is>
          <t>K3-2A</t>
        </is>
      </c>
      <c r="D5138" s="32" t="n">
        <v>15.1</v>
      </c>
      <c r="E5138" s="32" t="n">
        <v>11.606</v>
      </c>
      <c r="F5138" s="32" t="n">
        <v>406.817</v>
      </c>
      <c r="G5138" s="32" t="n">
        <v>107</v>
      </c>
      <c r="H5138" s="32" t="inlineStr">
        <is>
          <t>MM</t>
        </is>
      </c>
      <c r="K5138" s="32" t="inlineStr">
        <is>
          <t>20250514-46</t>
        </is>
      </c>
    </row>
    <row r="5139">
      <c r="A5139" s="32" t="n">
        <v>36</v>
      </c>
      <c r="B5139" s="32" t="inlineStr">
        <is>
          <t>K3-2B</t>
        </is>
      </c>
      <c r="D5139" s="32" t="n">
        <v>13.66</v>
      </c>
      <c r="E5139" s="32" t="n">
        <v>33.37</v>
      </c>
      <c r="F5139" s="32" t="n">
        <v>266.099</v>
      </c>
      <c r="G5139" s="32" t="n">
        <v>334</v>
      </c>
      <c r="H5139" s="32" t="inlineStr">
        <is>
          <t>bb</t>
        </is>
      </c>
      <c r="K5139" s="32" t="inlineStr">
        <is>
          <t>20250514-47</t>
        </is>
      </c>
    </row>
    <row r="5140">
      <c r="A5140" s="32" t="n">
        <v>37</v>
      </c>
      <c r="B5140" s="32" t="inlineStr">
        <is>
          <t>K3-2C</t>
        </is>
      </c>
      <c r="D5140" s="32" t="n">
        <v>12.81</v>
      </c>
      <c r="E5140" s="32" t="n">
        <v>2.257</v>
      </c>
      <c r="F5140" s="32" t="n">
        <v>84.498</v>
      </c>
      <c r="G5140" s="32" t="n">
        <v>22</v>
      </c>
      <c r="H5140" s="32" t="inlineStr">
        <is>
          <t>MM</t>
        </is>
      </c>
      <c r="K5140" s="32" t="inlineStr">
        <is>
          <t>20250514-48</t>
        </is>
      </c>
    </row>
    <row r="5141">
      <c r="A5141" s="32" t="n">
        <v>38</v>
      </c>
      <c r="B5141" s="32" t="inlineStr">
        <is>
          <t>MeOH</t>
        </is>
      </c>
      <c r="H5141" s="32" t="inlineStr">
        <is>
          <t>MM-</t>
        </is>
      </c>
      <c r="K5141" s="32" t="inlineStr">
        <is>
          <t>20250514-49</t>
        </is>
      </c>
    </row>
    <row r="5142">
      <c r="A5142" s="32" t="n">
        <v>39</v>
      </c>
      <c r="B5142" s="32" t="inlineStr">
        <is>
          <t>K3-3A</t>
        </is>
      </c>
      <c r="D5142" s="32" t="n">
        <v>13.67</v>
      </c>
      <c r="E5142" s="32" t="n">
        <v>20.468</v>
      </c>
      <c r="F5142" s="32" t="n">
        <v>164.973</v>
      </c>
      <c r="G5142" s="32" t="n">
        <v>192</v>
      </c>
      <c r="H5142" s="32" t="inlineStr">
        <is>
          <t>bb</t>
        </is>
      </c>
      <c r="K5142" s="32" t="inlineStr">
        <is>
          <t>20250514-50</t>
        </is>
      </c>
    </row>
    <row r="5143">
      <c r="A5143" s="32" t="n">
        <v>40</v>
      </c>
      <c r="B5143" s="32" t="inlineStr">
        <is>
          <t>K3-3B</t>
        </is>
      </c>
      <c r="D5143" s="32" t="n">
        <v>13.3</v>
      </c>
      <c r="E5143" s="32" t="n">
        <v>56.14</v>
      </c>
      <c r="F5143" s="32" t="n">
        <v>375.679</v>
      </c>
      <c r="G5143" s="32" t="n">
        <v>449</v>
      </c>
      <c r="H5143" s="32" t="inlineStr">
        <is>
          <t>bb</t>
        </is>
      </c>
      <c r="K5143" s="32" t="inlineStr">
        <is>
          <t>20250514-51</t>
        </is>
      </c>
    </row>
    <row r="5144">
      <c r="A5144" s="32" t="n">
        <v>41</v>
      </c>
      <c r="B5144" s="32" t="inlineStr">
        <is>
          <t>K3-3C</t>
        </is>
      </c>
      <c r="D5144" s="32" t="n">
        <v>13.68</v>
      </c>
      <c r="E5144" s="32" t="n">
        <v>1.014</v>
      </c>
      <c r="F5144" s="32" t="n">
        <v>522.725</v>
      </c>
      <c r="G5144" s="32" t="n">
        <v>10</v>
      </c>
      <c r="H5144" s="32" t="inlineStr">
        <is>
          <t>bb</t>
        </is>
      </c>
      <c r="K5144" s="32" t="inlineStr">
        <is>
          <t>20250514-52</t>
        </is>
      </c>
    </row>
    <row r="5145">
      <c r="A5145" s="32" t="n">
        <v>42</v>
      </c>
      <c r="B5145" s="32" t="inlineStr">
        <is>
          <t>K3-4A</t>
        </is>
      </c>
      <c r="D5145" s="32" t="n">
        <v>13.72</v>
      </c>
      <c r="E5145" s="32" t="n">
        <v>0.863</v>
      </c>
      <c r="F5145" s="32" t="n">
        <v>299.257</v>
      </c>
      <c r="G5145" s="32" t="n">
        <v>6</v>
      </c>
      <c r="H5145" s="32" t="inlineStr">
        <is>
          <t>bb</t>
        </is>
      </c>
      <c r="K5145" s="32" t="inlineStr">
        <is>
          <t>20250514-53</t>
        </is>
      </c>
    </row>
    <row r="5146">
      <c r="A5146" s="32" t="n">
        <v>43</v>
      </c>
      <c r="B5146" s="32" t="inlineStr">
        <is>
          <t>K3-4B</t>
        </is>
      </c>
      <c r="D5146" s="32" t="n">
        <v>13.71</v>
      </c>
      <c r="E5146" s="32" t="n">
        <v>22.487</v>
      </c>
      <c r="F5146" s="32" t="n">
        <v>449.922</v>
      </c>
      <c r="G5146" s="32" t="n">
        <v>206</v>
      </c>
      <c r="H5146" s="32" t="inlineStr">
        <is>
          <t>bb</t>
        </is>
      </c>
      <c r="K5146" s="32" t="inlineStr">
        <is>
          <t>20250514-54</t>
        </is>
      </c>
    </row>
    <row r="5147">
      <c r="A5147" s="32" t="n">
        <v>44</v>
      </c>
      <c r="B5147" s="32" t="inlineStr">
        <is>
          <t>K3-4C</t>
        </is>
      </c>
      <c r="D5147" s="32" t="n">
        <v>13.86</v>
      </c>
      <c r="E5147" s="32" t="n">
        <v>0.298</v>
      </c>
      <c r="F5147" s="32" t="n">
        <v>357.082</v>
      </c>
      <c r="G5147" s="32" t="n">
        <v>3</v>
      </c>
      <c r="H5147" s="32" t="inlineStr">
        <is>
          <t>bb</t>
        </is>
      </c>
      <c r="K5147" s="32" t="inlineStr">
        <is>
          <t>20250514-55</t>
        </is>
      </c>
    </row>
    <row r="5148">
      <c r="A5148" s="32" t="n">
        <v>45</v>
      </c>
      <c r="B5148" s="32" t="inlineStr">
        <is>
          <t>MeOH</t>
        </is>
      </c>
      <c r="H5148" s="32" t="inlineStr">
        <is>
          <t>MM-</t>
        </is>
      </c>
      <c r="K5148" s="32" t="inlineStr">
        <is>
          <t>20250514-56</t>
        </is>
      </c>
    </row>
    <row r="5149">
      <c r="A5149" s="32" t="n">
        <v>46</v>
      </c>
      <c r="B5149" s="32" t="inlineStr">
        <is>
          <t>K3-6A</t>
        </is>
      </c>
      <c r="D5149" s="32" t="n">
        <v>13.79</v>
      </c>
      <c r="E5149" s="32" t="n">
        <v>12.23</v>
      </c>
      <c r="F5149" s="32" t="n">
        <v>481.186</v>
      </c>
      <c r="G5149" s="32" t="n">
        <v>106</v>
      </c>
      <c r="H5149" s="32" t="inlineStr">
        <is>
          <t>bb</t>
        </is>
      </c>
      <c r="K5149" s="32" t="inlineStr">
        <is>
          <t>20250514-57</t>
        </is>
      </c>
    </row>
    <row r="5150">
      <c r="A5150" s="32" t="n">
        <v>47</v>
      </c>
      <c r="B5150" s="32" t="inlineStr">
        <is>
          <t>K3-6B</t>
        </is>
      </c>
      <c r="D5150" s="32" t="n">
        <v>13.72</v>
      </c>
      <c r="E5150" s="32" t="n">
        <v>7.958</v>
      </c>
      <c r="F5150" s="32" t="n">
        <v>210.944</v>
      </c>
      <c r="G5150" s="32" t="n">
        <v>78</v>
      </c>
      <c r="H5150" s="32" t="inlineStr">
        <is>
          <t>bb</t>
        </is>
      </c>
      <c r="K5150" s="32" t="inlineStr">
        <is>
          <t>20250514-58</t>
        </is>
      </c>
    </row>
    <row r="5151">
      <c r="A5151" s="32" t="n">
        <v>48</v>
      </c>
      <c r="B5151" s="32" t="inlineStr">
        <is>
          <t>K3-6C</t>
        </is>
      </c>
      <c r="D5151" s="32" t="n">
        <v>13.38</v>
      </c>
      <c r="E5151" s="32" t="n">
        <v>0.712</v>
      </c>
      <c r="F5151" s="32" t="n">
        <v>445.594</v>
      </c>
      <c r="G5151" s="32" t="n">
        <v>6</v>
      </c>
      <c r="H5151" s="32" t="inlineStr">
        <is>
          <t>bb</t>
        </is>
      </c>
      <c r="K5151" s="32" t="inlineStr">
        <is>
          <t>20250514-59</t>
        </is>
      </c>
    </row>
    <row r="5153">
      <c r="A5153" s="32" t="inlineStr">
        <is>
          <t>Compound 100:  9Cl-PF3ONS 2</t>
        </is>
      </c>
    </row>
    <row r="5155">
      <c r="B5155" s="32" t="inlineStr">
        <is>
          <t>Sample Text</t>
        </is>
      </c>
      <c r="C5155" s="32" t="inlineStr">
        <is>
          <t>Std. Conc</t>
        </is>
      </c>
      <c r="D5155" s="32" t="inlineStr">
        <is>
          <t>RT</t>
        </is>
      </c>
      <c r="E5155" s="32" t="inlineStr">
        <is>
          <t>Area</t>
        </is>
      </c>
      <c r="F5155" s="32" t="inlineStr">
        <is>
          <t>IS Area</t>
        </is>
      </c>
      <c r="G5155" s="32" t="inlineStr">
        <is>
          <t>S/N</t>
        </is>
      </c>
      <c r="H5155" s="32" t="inlineStr">
        <is>
          <t>Primary Flags</t>
        </is>
      </c>
      <c r="I5155" s="32" t="inlineStr">
        <is>
          <t>Response</t>
        </is>
      </c>
      <c r="J5155" s="32" t="inlineStr">
        <is>
          <t>Conc.</t>
        </is>
      </c>
      <c r="K5155" s="32" t="inlineStr">
        <is>
          <t>Name</t>
        </is>
      </c>
    </row>
    <row r="5156">
      <c r="A5156" s="32" t="n">
        <v>1</v>
      </c>
      <c r="B5156" s="32" t="inlineStr">
        <is>
          <t>EPA1633 &amp; diPAPs Calibration 0 ppb</t>
        </is>
      </c>
      <c r="D5156" s="32" t="n">
        <v>13.6</v>
      </c>
      <c r="E5156" s="32" t="n">
        <v>51.123</v>
      </c>
      <c r="F5156" s="32" t="n">
        <v>818.542</v>
      </c>
      <c r="G5156" s="32" t="n">
        <v>5.487</v>
      </c>
      <c r="H5156" s="32" t="inlineStr">
        <is>
          <t>MM</t>
        </is>
      </c>
      <c r="K5156" s="32" t="inlineStr">
        <is>
          <t>20250514-12</t>
        </is>
      </c>
    </row>
    <row r="5157">
      <c r="A5157" s="32" t="n">
        <v>2</v>
      </c>
      <c r="B5157" s="32" t="inlineStr">
        <is>
          <t>EPA1633 &amp; diPAPs Calibration 0.02 ppb</t>
        </is>
      </c>
      <c r="D5157" s="32" t="n">
        <v>13.63</v>
      </c>
      <c r="E5157" s="32" t="n">
        <v>73.17400000000001</v>
      </c>
      <c r="F5157" s="32" t="n">
        <v>878.931</v>
      </c>
      <c r="G5157" s="32" t="n">
        <v>2.602</v>
      </c>
      <c r="H5157" s="32" t="inlineStr">
        <is>
          <t>MM</t>
        </is>
      </c>
      <c r="K5157" s="32" t="inlineStr">
        <is>
          <t>20250514-13</t>
        </is>
      </c>
    </row>
    <row r="5158">
      <c r="A5158" s="32" t="n">
        <v>3</v>
      </c>
      <c r="B5158" s="32" t="inlineStr">
        <is>
          <t>EPA1633 &amp; diPAPs Calibration 0.1 ppb</t>
        </is>
      </c>
      <c r="D5158" s="32" t="n">
        <v>13.63</v>
      </c>
      <c r="E5158" s="32" t="n">
        <v>281.191</v>
      </c>
      <c r="F5158" s="32" t="n">
        <v>947.3</v>
      </c>
      <c r="G5158" s="32" t="n">
        <v>0.772</v>
      </c>
      <c r="H5158" s="32" t="inlineStr">
        <is>
          <t>MM</t>
        </is>
      </c>
      <c r="K5158" s="32" t="inlineStr">
        <is>
          <t>20250514-14</t>
        </is>
      </c>
    </row>
    <row r="5159">
      <c r="A5159" s="32" t="n">
        <v>4</v>
      </c>
      <c r="B5159" s="32" t="inlineStr">
        <is>
          <t>EPA1633 &amp; diPAPs Calibration 0.4 ppb</t>
        </is>
      </c>
      <c r="D5159" s="32" t="n">
        <v>13.63</v>
      </c>
      <c r="E5159" s="32" t="n">
        <v>1353.247</v>
      </c>
      <c r="F5159" s="32" t="n">
        <v>785.4690000000001</v>
      </c>
      <c r="G5159" s="32" t="n">
        <v>10334</v>
      </c>
      <c r="H5159" s="32" t="inlineStr">
        <is>
          <t>bb</t>
        </is>
      </c>
      <c r="K5159" s="32" t="inlineStr">
        <is>
          <t>20250514-15</t>
        </is>
      </c>
    </row>
    <row r="5160">
      <c r="A5160" s="32" t="n">
        <v>5</v>
      </c>
      <c r="B5160" s="32" t="inlineStr">
        <is>
          <t>EPA1633 &amp; diPAPs Calibration 1 ppb</t>
        </is>
      </c>
      <c r="D5160" s="32" t="n">
        <v>13.63</v>
      </c>
      <c r="E5160" s="32" t="n">
        <v>1956.321</v>
      </c>
      <c r="F5160" s="32" t="n">
        <v>1347.024</v>
      </c>
      <c r="G5160" s="32" t="n">
        <v>45.922</v>
      </c>
      <c r="H5160" s="32" t="inlineStr">
        <is>
          <t>MM</t>
        </is>
      </c>
      <c r="K5160" s="32" t="inlineStr">
        <is>
          <t>20250514-16</t>
        </is>
      </c>
    </row>
    <row r="5161">
      <c r="A5161" s="32" t="n">
        <v>6</v>
      </c>
      <c r="B5161" s="32" t="inlineStr">
        <is>
          <t>EPA1633 &amp; diPAPs Calibration 5 ppb</t>
        </is>
      </c>
      <c r="D5161" s="32" t="n">
        <v>13.56</v>
      </c>
      <c r="E5161" s="32" t="n">
        <v>10835.795</v>
      </c>
      <c r="F5161" s="32" t="n">
        <v>950.485</v>
      </c>
      <c r="G5161" s="32" t="n">
        <v>382.152</v>
      </c>
      <c r="H5161" s="32" t="inlineStr">
        <is>
          <t>MM</t>
        </is>
      </c>
      <c r="K5161" s="32" t="inlineStr">
        <is>
          <t>20250514-17</t>
        </is>
      </c>
    </row>
    <row r="5162">
      <c r="A5162" s="32" t="n">
        <v>7</v>
      </c>
      <c r="B5162" s="32" t="inlineStr">
        <is>
          <t>EPA1633 &amp; diPAPs Calibration 10 ppb</t>
        </is>
      </c>
      <c r="D5162" s="32" t="n">
        <v>13.57</v>
      </c>
      <c r="E5162" s="32" t="n">
        <v>20806.695</v>
      </c>
      <c r="F5162" s="32" t="n">
        <v>675.6130000000001</v>
      </c>
      <c r="G5162" s="32" t="n">
        <v>136.848</v>
      </c>
      <c r="H5162" s="32" t="inlineStr">
        <is>
          <t>MM</t>
        </is>
      </c>
      <c r="K5162" s="32" t="inlineStr">
        <is>
          <t>20250514-18</t>
        </is>
      </c>
    </row>
    <row r="5163">
      <c r="A5163" s="32" t="n">
        <v>8</v>
      </c>
      <c r="B5163" s="32" t="inlineStr">
        <is>
          <t>EPA1633 &amp; diPAPs Calibration 20 ppb</t>
        </is>
      </c>
      <c r="D5163" s="32" t="n">
        <v>13.6</v>
      </c>
      <c r="E5163" s="32" t="n">
        <v>40225.934</v>
      </c>
      <c r="F5163" s="32" t="n">
        <v>669.518</v>
      </c>
      <c r="G5163" s="32" t="n">
        <v>1547.915</v>
      </c>
      <c r="H5163" s="32" t="inlineStr">
        <is>
          <t>bb</t>
        </is>
      </c>
      <c r="K5163" s="32" t="inlineStr">
        <is>
          <t>20250514-19</t>
        </is>
      </c>
    </row>
    <row r="5164">
      <c r="A5164" s="32" t="n">
        <v>9</v>
      </c>
      <c r="B5164" s="32" t="inlineStr">
        <is>
          <t>MeOH</t>
        </is>
      </c>
      <c r="D5164" s="32" t="n">
        <v>13.61</v>
      </c>
      <c r="E5164" s="32" t="n">
        <v>33.078</v>
      </c>
      <c r="G5164" s="32" t="n">
        <v>3.727</v>
      </c>
      <c r="H5164" s="32" t="inlineStr">
        <is>
          <t>bb</t>
        </is>
      </c>
      <c r="K5164" s="32" t="inlineStr">
        <is>
          <t>20250514-20</t>
        </is>
      </c>
    </row>
    <row r="5165">
      <c r="A5165" s="32" t="n">
        <v>10</v>
      </c>
      <c r="B5165" s="32" t="inlineStr">
        <is>
          <t>MeOH</t>
        </is>
      </c>
      <c r="D5165" s="32" t="n">
        <v>13.08</v>
      </c>
      <c r="E5165" s="32" t="n">
        <v>15.693</v>
      </c>
      <c r="G5165" s="32" t="n">
        <v>144</v>
      </c>
      <c r="H5165" s="32" t="inlineStr">
        <is>
          <t>bb</t>
        </is>
      </c>
      <c r="K5165" s="32" t="inlineStr">
        <is>
          <t>20250514-21</t>
        </is>
      </c>
    </row>
    <row r="5166">
      <c r="A5166" s="32" t="n">
        <v>11</v>
      </c>
      <c r="B5166" s="32" t="inlineStr">
        <is>
          <t>SB1</t>
        </is>
      </c>
      <c r="D5166" s="32" t="n">
        <v>13.89</v>
      </c>
      <c r="E5166" s="32" t="n">
        <v>247.531</v>
      </c>
      <c r="F5166" s="32" t="n">
        <v>454.851</v>
      </c>
      <c r="G5166" s="32" t="n">
        <v>2047</v>
      </c>
      <c r="H5166" s="32" t="inlineStr">
        <is>
          <t>bb</t>
        </is>
      </c>
      <c r="K5166" s="32" t="inlineStr">
        <is>
          <t>20250514-22</t>
        </is>
      </c>
    </row>
    <row r="5167">
      <c r="A5167" s="32" t="n">
        <v>12</v>
      </c>
      <c r="B5167" s="32" t="inlineStr">
        <is>
          <t>SB2</t>
        </is>
      </c>
      <c r="D5167" s="32" t="n">
        <v>13.89</v>
      </c>
      <c r="E5167" s="32" t="n">
        <v>173.193</v>
      </c>
      <c r="F5167" s="32" t="n">
        <v>327.91</v>
      </c>
      <c r="G5167" s="32" t="n">
        <v>4.339</v>
      </c>
      <c r="H5167" s="32" t="inlineStr">
        <is>
          <t>bb</t>
        </is>
      </c>
      <c r="K5167" s="32" t="inlineStr">
        <is>
          <t>20250514-23</t>
        </is>
      </c>
    </row>
    <row r="5168">
      <c r="A5168" s="32" t="n">
        <v>13</v>
      </c>
      <c r="B5168" s="32" t="inlineStr">
        <is>
          <t>SB3</t>
        </is>
      </c>
      <c r="D5168" s="32" t="n">
        <v>13.88</v>
      </c>
      <c r="E5168" s="32" t="n">
        <v>117.842</v>
      </c>
      <c r="F5168" s="32" t="n">
        <v>222.426</v>
      </c>
      <c r="G5168" s="32" t="n">
        <v>5.115</v>
      </c>
      <c r="H5168" s="32" t="inlineStr">
        <is>
          <t>MM</t>
        </is>
      </c>
      <c r="K5168" s="32" t="inlineStr">
        <is>
          <t>20250514-24</t>
        </is>
      </c>
    </row>
    <row r="5169">
      <c r="A5169" s="32" t="n">
        <v>14</v>
      </c>
      <c r="B5169" s="32" t="inlineStr">
        <is>
          <t>SS1</t>
        </is>
      </c>
      <c r="D5169" s="32" t="n">
        <v>13.66</v>
      </c>
      <c r="E5169" s="32" t="n">
        <v>7995.069</v>
      </c>
      <c r="F5169" s="32" t="n">
        <v>226.192</v>
      </c>
      <c r="G5169" s="32" t="n">
        <v>63972</v>
      </c>
      <c r="H5169" s="32" t="inlineStr">
        <is>
          <t>bb</t>
        </is>
      </c>
      <c r="K5169" s="32" t="inlineStr">
        <is>
          <t>20250514-25</t>
        </is>
      </c>
    </row>
    <row r="5170">
      <c r="A5170" s="32" t="n">
        <v>15</v>
      </c>
      <c r="B5170" s="32" t="inlineStr">
        <is>
          <t>SS2</t>
        </is>
      </c>
      <c r="D5170" s="32" t="n">
        <v>13.67</v>
      </c>
      <c r="E5170" s="32" t="n">
        <v>8570.555</v>
      </c>
      <c r="F5170" s="32" t="n">
        <v>314.009</v>
      </c>
      <c r="G5170" s="32" t="n">
        <v>511.156</v>
      </c>
      <c r="H5170" s="32" t="inlineStr">
        <is>
          <t>bb</t>
        </is>
      </c>
      <c r="K5170" s="32" t="inlineStr">
        <is>
          <t>20250514-26</t>
        </is>
      </c>
    </row>
    <row r="5171">
      <c r="A5171" s="32" t="n">
        <v>16</v>
      </c>
      <c r="B5171" s="32" t="inlineStr">
        <is>
          <t>SS3</t>
        </is>
      </c>
      <c r="D5171" s="32" t="n">
        <v>13.68</v>
      </c>
      <c r="E5171" s="32" t="n">
        <v>7812.568</v>
      </c>
      <c r="F5171" s="32" t="n">
        <v>235.115</v>
      </c>
      <c r="G5171" s="32" t="n">
        <v>420.322</v>
      </c>
      <c r="H5171" s="32" t="inlineStr">
        <is>
          <t>bb</t>
        </is>
      </c>
      <c r="K5171" s="32" t="inlineStr">
        <is>
          <t>20250514-27</t>
        </is>
      </c>
    </row>
    <row r="5172">
      <c r="A5172" s="32" t="n">
        <v>17</v>
      </c>
      <c r="B5172" s="32" t="inlineStr">
        <is>
          <t>MeOH</t>
        </is>
      </c>
      <c r="D5172" s="32" t="n">
        <v>13.68</v>
      </c>
      <c r="E5172" s="32" t="n">
        <v>136.577</v>
      </c>
      <c r="G5172" s="32" t="n">
        <v>1262</v>
      </c>
      <c r="H5172" s="32" t="inlineStr">
        <is>
          <t>bb</t>
        </is>
      </c>
      <c r="K5172" s="32" t="inlineStr">
        <is>
          <t>20250514-28</t>
        </is>
      </c>
    </row>
    <row r="5173">
      <c r="A5173" s="32" t="n">
        <v>18</v>
      </c>
      <c r="B5173" s="32" t="inlineStr">
        <is>
          <t>K4-1A</t>
        </is>
      </c>
      <c r="D5173" s="32" t="n">
        <v>13.92</v>
      </c>
      <c r="E5173" s="32" t="n">
        <v>379.711</v>
      </c>
      <c r="F5173" s="32" t="n">
        <v>242.818</v>
      </c>
      <c r="G5173" s="32" t="n">
        <v>3.735</v>
      </c>
      <c r="H5173" s="32" t="inlineStr">
        <is>
          <t>bb</t>
        </is>
      </c>
      <c r="K5173" s="32" t="inlineStr">
        <is>
          <t>20250514-29</t>
        </is>
      </c>
    </row>
    <row r="5174">
      <c r="A5174" s="32" t="n">
        <v>19</v>
      </c>
      <c r="B5174" s="32" t="inlineStr">
        <is>
          <t>K4-1B</t>
        </is>
      </c>
      <c r="D5174" s="32" t="n">
        <v>13.94</v>
      </c>
      <c r="E5174" s="32" t="n">
        <v>297.051</v>
      </c>
      <c r="F5174" s="32" t="n">
        <v>508.77</v>
      </c>
      <c r="G5174" s="32" t="n">
        <v>2118</v>
      </c>
      <c r="H5174" s="32" t="inlineStr">
        <is>
          <t>bb</t>
        </is>
      </c>
      <c r="K5174" s="32" t="inlineStr">
        <is>
          <t>20250514-30</t>
        </is>
      </c>
    </row>
    <row r="5175">
      <c r="A5175" s="32" t="n">
        <v>20</v>
      </c>
      <c r="B5175" s="32" t="inlineStr">
        <is>
          <t>K4-1C</t>
        </is>
      </c>
      <c r="D5175" s="32" t="n">
        <v>13.92</v>
      </c>
      <c r="E5175" s="32" t="n">
        <v>283.88</v>
      </c>
      <c r="F5175" s="32" t="n">
        <v>189.276</v>
      </c>
      <c r="G5175" s="32" t="n">
        <v>19.629</v>
      </c>
      <c r="H5175" s="32" t="inlineStr">
        <is>
          <t>bb</t>
        </is>
      </c>
      <c r="K5175" s="32" t="inlineStr">
        <is>
          <t>20250514-31</t>
        </is>
      </c>
    </row>
    <row r="5176">
      <c r="A5176" s="32" t="n">
        <v>21</v>
      </c>
      <c r="B5176" s="32" t="inlineStr">
        <is>
          <t>K4-2A</t>
        </is>
      </c>
      <c r="D5176" s="32" t="n">
        <v>13.98</v>
      </c>
      <c r="E5176" s="32" t="n">
        <v>156.212</v>
      </c>
      <c r="F5176" s="32" t="n">
        <v>310.373</v>
      </c>
      <c r="G5176" s="32" t="n">
        <v>2.298</v>
      </c>
      <c r="H5176" s="32" t="inlineStr">
        <is>
          <t>bb</t>
        </is>
      </c>
      <c r="K5176" s="32" t="inlineStr">
        <is>
          <t>20250514-32</t>
        </is>
      </c>
    </row>
    <row r="5177">
      <c r="A5177" s="32" t="n">
        <v>22</v>
      </c>
      <c r="B5177" s="32" t="inlineStr">
        <is>
          <t>K4-2B</t>
        </is>
      </c>
      <c r="D5177" s="32" t="n">
        <v>13.96</v>
      </c>
      <c r="E5177" s="32" t="n">
        <v>333.096</v>
      </c>
      <c r="F5177" s="32" t="n">
        <v>608.7859999999999</v>
      </c>
      <c r="G5177" s="32" t="n">
        <v>5.851</v>
      </c>
      <c r="H5177" s="32" t="inlineStr">
        <is>
          <t>bb</t>
        </is>
      </c>
      <c r="K5177" s="32" t="inlineStr">
        <is>
          <t>20250514-33</t>
        </is>
      </c>
    </row>
    <row r="5178">
      <c r="A5178" s="32" t="n">
        <v>23</v>
      </c>
      <c r="B5178" s="32" t="inlineStr">
        <is>
          <t>K4-2C</t>
        </is>
      </c>
      <c r="D5178" s="32" t="n">
        <v>13.96</v>
      </c>
      <c r="E5178" s="32" t="n">
        <v>301.496</v>
      </c>
      <c r="F5178" s="32" t="n">
        <v>229.764</v>
      </c>
      <c r="G5178" s="32" t="n">
        <v>2203</v>
      </c>
      <c r="H5178" s="32" t="inlineStr">
        <is>
          <t>bb</t>
        </is>
      </c>
      <c r="K5178" s="32" t="inlineStr">
        <is>
          <t>20250514-34</t>
        </is>
      </c>
    </row>
    <row r="5179">
      <c r="A5179" s="32" t="n">
        <v>24</v>
      </c>
      <c r="B5179" s="32" t="inlineStr">
        <is>
          <t>MeOH</t>
        </is>
      </c>
      <c r="D5179" s="32" t="n">
        <v>13.72</v>
      </c>
      <c r="E5179" s="32" t="n">
        <v>17.86</v>
      </c>
      <c r="G5179" s="32" t="n">
        <v>162</v>
      </c>
      <c r="H5179" s="32" t="inlineStr">
        <is>
          <t>bb</t>
        </is>
      </c>
      <c r="K5179" s="32" t="inlineStr">
        <is>
          <t>20250514-35</t>
        </is>
      </c>
    </row>
    <row r="5180">
      <c r="A5180" s="32" t="n">
        <v>25</v>
      </c>
      <c r="B5180" s="32" t="inlineStr">
        <is>
          <t>K4-4A</t>
        </is>
      </c>
      <c r="D5180" s="32" t="n">
        <v>13.98</v>
      </c>
      <c r="E5180" s="32" t="n">
        <v>401.673</v>
      </c>
      <c r="F5180" s="32" t="n">
        <v>288.067</v>
      </c>
      <c r="G5180" s="32" t="n">
        <v>102.917</v>
      </c>
      <c r="H5180" s="32" t="inlineStr">
        <is>
          <t>bb</t>
        </is>
      </c>
      <c r="K5180" s="32" t="inlineStr">
        <is>
          <t>20250514-36</t>
        </is>
      </c>
    </row>
    <row r="5181">
      <c r="A5181" s="32" t="n">
        <v>26</v>
      </c>
      <c r="B5181" s="32" t="inlineStr">
        <is>
          <t>K4-4B</t>
        </is>
      </c>
      <c r="D5181" s="32" t="n">
        <v>13.99</v>
      </c>
      <c r="E5181" s="32" t="n">
        <v>269.788</v>
      </c>
      <c r="F5181" s="32" t="n">
        <v>219.81</v>
      </c>
      <c r="G5181" s="32" t="n">
        <v>2057</v>
      </c>
      <c r="H5181" s="32" t="inlineStr">
        <is>
          <t>bb</t>
        </is>
      </c>
      <c r="K5181" s="32" t="inlineStr">
        <is>
          <t>20250514-37</t>
        </is>
      </c>
    </row>
    <row r="5182">
      <c r="A5182" s="32" t="n">
        <v>27</v>
      </c>
      <c r="B5182" s="32" t="inlineStr">
        <is>
          <t>K4-4C</t>
        </is>
      </c>
      <c r="D5182" s="32" t="n">
        <v>13.98</v>
      </c>
      <c r="E5182" s="32" t="n">
        <v>419.153</v>
      </c>
      <c r="F5182" s="32" t="n">
        <v>322.86</v>
      </c>
      <c r="G5182" s="32" t="n">
        <v>26.921</v>
      </c>
      <c r="H5182" s="32" t="inlineStr">
        <is>
          <t>bb</t>
        </is>
      </c>
      <c r="K5182" s="32" t="inlineStr">
        <is>
          <t>20250514-38</t>
        </is>
      </c>
    </row>
    <row r="5183">
      <c r="A5183" s="32" t="n">
        <v>28</v>
      </c>
      <c r="B5183" s="32" t="inlineStr">
        <is>
          <t>K4-5A</t>
        </is>
      </c>
      <c r="D5183" s="32" t="n">
        <v>13.95</v>
      </c>
      <c r="E5183" s="32" t="n">
        <v>234.142</v>
      </c>
      <c r="F5183" s="32" t="n">
        <v>302.863</v>
      </c>
      <c r="G5183" s="32" t="n">
        <v>1556</v>
      </c>
      <c r="H5183" s="32" t="inlineStr">
        <is>
          <t>bb</t>
        </is>
      </c>
      <c r="K5183" s="32" t="inlineStr">
        <is>
          <t>20250514-39</t>
        </is>
      </c>
    </row>
    <row r="5184">
      <c r="A5184" s="32" t="n">
        <v>29</v>
      </c>
      <c r="B5184" s="32" t="inlineStr">
        <is>
          <t>K4-5B</t>
        </is>
      </c>
      <c r="D5184" s="32" t="n">
        <v>13.95</v>
      </c>
      <c r="E5184" s="32" t="n">
        <v>353.638</v>
      </c>
      <c r="F5184" s="32" t="n">
        <v>188.939</v>
      </c>
      <c r="G5184" s="32" t="n">
        <v>17.532</v>
      </c>
      <c r="H5184" s="32" t="inlineStr">
        <is>
          <t>bb</t>
        </is>
      </c>
      <c r="K5184" s="32" t="inlineStr">
        <is>
          <t>20250514-40</t>
        </is>
      </c>
    </row>
    <row r="5185">
      <c r="A5185" s="32" t="n">
        <v>30</v>
      </c>
      <c r="B5185" s="32" t="inlineStr">
        <is>
          <t>K4-5C</t>
        </is>
      </c>
      <c r="D5185" s="32" t="n">
        <v>13.87</v>
      </c>
      <c r="E5185" s="32" t="n">
        <v>110.108</v>
      </c>
      <c r="F5185" s="32" t="n">
        <v>386.08</v>
      </c>
      <c r="G5185" s="32" t="n">
        <v>164.124</v>
      </c>
      <c r="H5185" s="32" t="inlineStr">
        <is>
          <t>bb</t>
        </is>
      </c>
      <c r="K5185" s="32" t="inlineStr">
        <is>
          <t>20250514-41</t>
        </is>
      </c>
    </row>
    <row r="5186">
      <c r="A5186" s="32" t="n">
        <v>31</v>
      </c>
      <c r="B5186" s="32" t="inlineStr">
        <is>
          <t>MeOH</t>
        </is>
      </c>
      <c r="D5186" s="32" t="n">
        <v>13.56</v>
      </c>
      <c r="E5186" s="32" t="n">
        <v>13.989</v>
      </c>
      <c r="G5186" s="32" t="n">
        <v>106</v>
      </c>
      <c r="H5186" s="32" t="inlineStr">
        <is>
          <t>bb</t>
        </is>
      </c>
      <c r="K5186" s="32" t="inlineStr">
        <is>
          <t>20250514-42</t>
        </is>
      </c>
    </row>
    <row r="5187">
      <c r="A5187" s="32" t="n">
        <v>32</v>
      </c>
      <c r="B5187" s="32" t="inlineStr">
        <is>
          <t>K3-1A</t>
        </is>
      </c>
      <c r="D5187" s="32" t="n">
        <v>13.82</v>
      </c>
      <c r="E5187" s="32" t="n">
        <v>332.377</v>
      </c>
      <c r="F5187" s="32" t="n">
        <v>273.068</v>
      </c>
      <c r="G5187" s="32" t="n">
        <v>6.662</v>
      </c>
      <c r="H5187" s="32" t="inlineStr">
        <is>
          <t>bb</t>
        </is>
      </c>
      <c r="K5187" s="32" t="inlineStr">
        <is>
          <t>20250514-43</t>
        </is>
      </c>
    </row>
    <row r="5188">
      <c r="A5188" s="32" t="n">
        <v>33</v>
      </c>
      <c r="B5188" s="32" t="inlineStr">
        <is>
          <t>K3-1B</t>
        </is>
      </c>
      <c r="D5188" s="32" t="n">
        <v>13.85</v>
      </c>
      <c r="E5188" s="32" t="n">
        <v>232.688</v>
      </c>
      <c r="F5188" s="32" t="n">
        <v>112.597</v>
      </c>
      <c r="G5188" s="32" t="n">
        <v>10.164</v>
      </c>
      <c r="H5188" s="32" t="inlineStr">
        <is>
          <t>bb</t>
        </is>
      </c>
      <c r="K5188" s="32" t="inlineStr">
        <is>
          <t>20250514-44</t>
        </is>
      </c>
    </row>
    <row r="5189">
      <c r="A5189" s="32" t="n">
        <v>34</v>
      </c>
      <c r="B5189" s="32" t="inlineStr">
        <is>
          <t>K3-1C</t>
        </is>
      </c>
      <c r="D5189" s="32" t="n">
        <v>13.88</v>
      </c>
      <c r="E5189" s="32" t="n">
        <v>501.713</v>
      </c>
      <c r="F5189" s="32" t="n">
        <v>575.867</v>
      </c>
      <c r="G5189" s="32" t="n">
        <v>3535</v>
      </c>
      <c r="H5189" s="32" t="inlineStr">
        <is>
          <t>bb</t>
        </is>
      </c>
      <c r="K5189" s="32" t="inlineStr">
        <is>
          <t>20250514-45</t>
        </is>
      </c>
    </row>
    <row r="5190">
      <c r="A5190" s="32" t="n">
        <v>35</v>
      </c>
      <c r="B5190" s="32" t="inlineStr">
        <is>
          <t>K3-2A</t>
        </is>
      </c>
      <c r="D5190" s="32" t="n">
        <v>13.89</v>
      </c>
      <c r="E5190" s="32" t="n">
        <v>446.14</v>
      </c>
      <c r="F5190" s="32" t="n">
        <v>406.817</v>
      </c>
      <c r="G5190" s="32" t="n">
        <v>3450</v>
      </c>
      <c r="H5190" s="32" t="inlineStr">
        <is>
          <t>bb</t>
        </is>
      </c>
      <c r="K5190" s="32" t="inlineStr">
        <is>
          <t>20250514-46</t>
        </is>
      </c>
    </row>
    <row r="5191">
      <c r="A5191" s="32" t="n">
        <v>36</v>
      </c>
      <c r="B5191" s="32" t="inlineStr">
        <is>
          <t>K3-2B</t>
        </is>
      </c>
      <c r="D5191" s="32" t="n">
        <v>13.91</v>
      </c>
      <c r="E5191" s="32" t="n">
        <v>464.805</v>
      </c>
      <c r="F5191" s="32" t="n">
        <v>266.099</v>
      </c>
      <c r="G5191" s="32" t="n">
        <v>21.759</v>
      </c>
      <c r="H5191" s="32" t="inlineStr">
        <is>
          <t>bb</t>
        </is>
      </c>
      <c r="K5191" s="32" t="inlineStr">
        <is>
          <t>20250514-47</t>
        </is>
      </c>
    </row>
    <row r="5192">
      <c r="A5192" s="32" t="n">
        <v>37</v>
      </c>
      <c r="B5192" s="32" t="inlineStr">
        <is>
          <t>K3-2C</t>
        </is>
      </c>
      <c r="D5192" s="32" t="n">
        <v>13.91</v>
      </c>
      <c r="E5192" s="32" t="n">
        <v>156.055</v>
      </c>
      <c r="F5192" s="32" t="n">
        <v>84.498</v>
      </c>
      <c r="G5192" s="32" t="n">
        <v>1142</v>
      </c>
      <c r="H5192" s="32" t="inlineStr">
        <is>
          <t>bb</t>
        </is>
      </c>
      <c r="K5192" s="32" t="inlineStr">
        <is>
          <t>20250514-48</t>
        </is>
      </c>
    </row>
    <row r="5193">
      <c r="A5193" s="32" t="n">
        <v>38</v>
      </c>
      <c r="B5193" s="32" t="inlineStr">
        <is>
          <t>MeOH</t>
        </is>
      </c>
      <c r="D5193" s="32" t="n">
        <v>13.66</v>
      </c>
      <c r="E5193" s="32" t="n">
        <v>13.711</v>
      </c>
      <c r="G5193" s="32" t="n">
        <v>129</v>
      </c>
      <c r="H5193" s="32" t="inlineStr">
        <is>
          <t>bb</t>
        </is>
      </c>
      <c r="K5193" s="32" t="inlineStr">
        <is>
          <t>20250514-49</t>
        </is>
      </c>
    </row>
    <row r="5194">
      <c r="A5194" s="32" t="n">
        <v>39</v>
      </c>
      <c r="B5194" s="32" t="inlineStr">
        <is>
          <t>K3-3A</t>
        </is>
      </c>
      <c r="D5194" s="32" t="n">
        <v>13.94</v>
      </c>
      <c r="E5194" s="32" t="n">
        <v>288.654</v>
      </c>
      <c r="F5194" s="32" t="n">
        <v>164.973</v>
      </c>
      <c r="G5194" s="32" t="n">
        <v>27.966</v>
      </c>
      <c r="H5194" s="32" t="inlineStr">
        <is>
          <t>bb</t>
        </is>
      </c>
      <c r="K5194" s="32" t="inlineStr">
        <is>
          <t>20250514-50</t>
        </is>
      </c>
    </row>
    <row r="5195">
      <c r="A5195" s="32" t="n">
        <v>40</v>
      </c>
      <c r="B5195" s="32" t="inlineStr">
        <is>
          <t>K3-3B</t>
        </is>
      </c>
      <c r="D5195" s="32" t="n">
        <v>13.94</v>
      </c>
      <c r="E5195" s="32" t="n">
        <v>246.015</v>
      </c>
      <c r="F5195" s="32" t="n">
        <v>375.679</v>
      </c>
      <c r="G5195" s="32" t="n">
        <v>1861</v>
      </c>
      <c r="H5195" s="32" t="inlineStr">
        <is>
          <t>bb</t>
        </is>
      </c>
      <c r="K5195" s="32" t="inlineStr">
        <is>
          <t>20250514-51</t>
        </is>
      </c>
    </row>
    <row r="5196">
      <c r="A5196" s="32" t="n">
        <v>41</v>
      </c>
      <c r="B5196" s="32" t="inlineStr">
        <is>
          <t>K3-3C</t>
        </is>
      </c>
      <c r="D5196" s="32" t="n">
        <v>13.95</v>
      </c>
      <c r="E5196" s="32" t="n">
        <v>337.241</v>
      </c>
      <c r="F5196" s="32" t="n">
        <v>522.725</v>
      </c>
      <c r="G5196" s="32" t="n">
        <v>2106</v>
      </c>
      <c r="H5196" s="32" t="inlineStr">
        <is>
          <t>MM</t>
        </is>
      </c>
      <c r="K5196" s="32" t="inlineStr">
        <is>
          <t>20250514-52</t>
        </is>
      </c>
    </row>
    <row r="5197">
      <c r="A5197" s="32" t="n">
        <v>42</v>
      </c>
      <c r="B5197" s="32" t="inlineStr">
        <is>
          <t>K3-4A</t>
        </is>
      </c>
      <c r="D5197" s="32" t="n">
        <v>13.98</v>
      </c>
      <c r="E5197" s="32" t="n">
        <v>393.136</v>
      </c>
      <c r="F5197" s="32" t="n">
        <v>299.257</v>
      </c>
      <c r="G5197" s="32" t="n">
        <v>68.81999999999999</v>
      </c>
      <c r="H5197" s="32" t="inlineStr">
        <is>
          <t>bb</t>
        </is>
      </c>
      <c r="K5197" s="32" t="inlineStr">
        <is>
          <t>20250514-53</t>
        </is>
      </c>
    </row>
    <row r="5198">
      <c r="A5198" s="32" t="n">
        <v>43</v>
      </c>
      <c r="B5198" s="32" t="inlineStr">
        <is>
          <t>K3-4B</t>
        </is>
      </c>
      <c r="D5198" s="32" t="n">
        <v>13.98</v>
      </c>
      <c r="E5198" s="32" t="n">
        <v>576.172</v>
      </c>
      <c r="F5198" s="32" t="n">
        <v>449.922</v>
      </c>
      <c r="G5198" s="32" t="n">
        <v>3888</v>
      </c>
      <c r="H5198" s="32" t="inlineStr">
        <is>
          <t>bb</t>
        </is>
      </c>
      <c r="K5198" s="32" t="inlineStr">
        <is>
          <t>20250514-54</t>
        </is>
      </c>
    </row>
    <row r="5199">
      <c r="A5199" s="32" t="n">
        <v>44</v>
      </c>
      <c r="B5199" s="32" t="inlineStr">
        <is>
          <t>K3-4C</t>
        </is>
      </c>
      <c r="D5199" s="32" t="n">
        <v>14.02</v>
      </c>
      <c r="E5199" s="32" t="n">
        <v>406.188</v>
      </c>
      <c r="F5199" s="32" t="n">
        <v>357.082</v>
      </c>
      <c r="G5199" s="32" t="n">
        <v>11.014</v>
      </c>
      <c r="H5199" s="32" t="inlineStr">
        <is>
          <t>bb</t>
        </is>
      </c>
      <c r="K5199" s="32" t="inlineStr">
        <is>
          <t>20250514-55</t>
        </is>
      </c>
    </row>
    <row r="5200">
      <c r="A5200" s="32" t="n">
        <v>45</v>
      </c>
      <c r="B5200" s="32" t="inlineStr">
        <is>
          <t>MeOH</t>
        </is>
      </c>
      <c r="D5200" s="32" t="n">
        <v>13.77</v>
      </c>
      <c r="E5200" s="32" t="n">
        <v>56.46</v>
      </c>
      <c r="G5200" s="32" t="n">
        <v>4.692</v>
      </c>
      <c r="H5200" s="32" t="inlineStr">
        <is>
          <t>bb</t>
        </is>
      </c>
      <c r="K5200" s="32" t="inlineStr">
        <is>
          <t>20250514-56</t>
        </is>
      </c>
    </row>
    <row r="5201">
      <c r="A5201" s="32" t="n">
        <v>46</v>
      </c>
      <c r="B5201" s="32" t="inlineStr">
        <is>
          <t>K3-6A</t>
        </is>
      </c>
      <c r="D5201" s="32" t="n">
        <v>14.01</v>
      </c>
      <c r="E5201" s="32" t="n">
        <v>346.514</v>
      </c>
      <c r="F5201" s="32" t="n">
        <v>481.186</v>
      </c>
      <c r="G5201" s="32" t="n">
        <v>2.19</v>
      </c>
      <c r="H5201" s="32" t="inlineStr">
        <is>
          <t>bb</t>
        </is>
      </c>
      <c r="K5201" s="32" t="inlineStr">
        <is>
          <t>20250514-57</t>
        </is>
      </c>
    </row>
    <row r="5202">
      <c r="A5202" s="32" t="n">
        <v>47</v>
      </c>
      <c r="B5202" s="32" t="inlineStr">
        <is>
          <t>K3-6B</t>
        </is>
      </c>
      <c r="D5202" s="32" t="n">
        <v>14.02</v>
      </c>
      <c r="E5202" s="32" t="n">
        <v>334.343</v>
      </c>
      <c r="F5202" s="32" t="n">
        <v>210.944</v>
      </c>
      <c r="G5202" s="32" t="n">
        <v>11.334</v>
      </c>
      <c r="H5202" s="32" t="inlineStr">
        <is>
          <t>bb</t>
        </is>
      </c>
      <c r="K5202" s="32" t="inlineStr">
        <is>
          <t>20250514-58</t>
        </is>
      </c>
    </row>
    <row r="5203">
      <c r="A5203" s="32" t="n">
        <v>48</v>
      </c>
      <c r="B5203" s="32" t="inlineStr">
        <is>
          <t>K3-6C</t>
        </is>
      </c>
      <c r="D5203" s="32" t="n">
        <v>13.96</v>
      </c>
      <c r="E5203" s="32" t="n">
        <v>291.619</v>
      </c>
      <c r="F5203" s="32" t="n">
        <v>445.594</v>
      </c>
      <c r="G5203" s="32" t="n">
        <v>22.708</v>
      </c>
      <c r="H5203" s="32" t="inlineStr">
        <is>
          <t>bb</t>
        </is>
      </c>
      <c r="K5203" s="32" t="inlineStr">
        <is>
          <t>20250514-59</t>
        </is>
      </c>
    </row>
    <row r="5205">
      <c r="A5205" s="32" t="inlineStr">
        <is>
          <t>Compound 101:  m5 N-EtFOSA 1</t>
        </is>
      </c>
    </row>
    <row r="5207">
      <c r="B5207" s="32" t="inlineStr">
        <is>
          <t>Sample Text</t>
        </is>
      </c>
      <c r="C5207" s="32" t="inlineStr">
        <is>
          <t>Std. Conc</t>
        </is>
      </c>
      <c r="D5207" s="32" t="inlineStr">
        <is>
          <t>RT</t>
        </is>
      </c>
      <c r="E5207" s="32" t="inlineStr">
        <is>
          <t>Area</t>
        </is>
      </c>
      <c r="F5207" s="32" t="inlineStr">
        <is>
          <t>IS Area</t>
        </is>
      </c>
      <c r="G5207" s="32" t="inlineStr">
        <is>
          <t>S/N</t>
        </is>
      </c>
      <c r="H5207" s="32" t="inlineStr">
        <is>
          <t>Primary Flags</t>
        </is>
      </c>
      <c r="I5207" s="32" t="inlineStr">
        <is>
          <t>Response</t>
        </is>
      </c>
      <c r="J5207" s="32" t="inlineStr">
        <is>
          <t>Conc.</t>
        </is>
      </c>
      <c r="K5207" s="32" t="inlineStr">
        <is>
          <t>Name</t>
        </is>
      </c>
    </row>
    <row r="5208">
      <c r="A5208" s="32" t="n">
        <v>1</v>
      </c>
      <c r="B5208" s="32" t="inlineStr">
        <is>
          <t>EPA1633 &amp; diPAPs Calibration 0 ppb</t>
        </is>
      </c>
      <c r="D5208" s="32" t="n">
        <v>16.49</v>
      </c>
      <c r="E5208" s="32" t="n">
        <v>9366.290999999999</v>
      </c>
      <c r="G5208" s="32" t="n">
        <v>268.813</v>
      </c>
      <c r="H5208" s="32" t="inlineStr">
        <is>
          <t>bb</t>
        </is>
      </c>
      <c r="I5208" s="32" t="n">
        <v>9366.290999999999</v>
      </c>
      <c r="K5208" s="32" t="inlineStr">
        <is>
          <t>20250514-12</t>
        </is>
      </c>
    </row>
    <row r="5209">
      <c r="A5209" s="32" t="n">
        <v>2</v>
      </c>
      <c r="B5209" s="32" t="inlineStr">
        <is>
          <t>EPA1633 &amp; diPAPs Calibration 0.02 ppb</t>
        </is>
      </c>
      <c r="D5209" s="32" t="n">
        <v>16.52</v>
      </c>
      <c r="E5209" s="32" t="n">
        <v>8227.450000000001</v>
      </c>
      <c r="G5209" s="32" t="n">
        <v>73245</v>
      </c>
      <c r="H5209" s="32" t="inlineStr">
        <is>
          <t>bb</t>
        </is>
      </c>
      <c r="I5209" s="32" t="n">
        <v>8227.450000000001</v>
      </c>
      <c r="K5209" s="32" t="inlineStr">
        <is>
          <t>20250514-13</t>
        </is>
      </c>
    </row>
    <row r="5210">
      <c r="A5210" s="32" t="n">
        <v>3</v>
      </c>
      <c r="B5210" s="32" t="inlineStr">
        <is>
          <t>EPA1633 &amp; diPAPs Calibration 0.1 ppb</t>
        </is>
      </c>
      <c r="D5210" s="32" t="n">
        <v>16.52</v>
      </c>
      <c r="E5210" s="32" t="n">
        <v>8592.939</v>
      </c>
      <c r="G5210" s="32" t="n">
        <v>465.227</v>
      </c>
      <c r="H5210" s="32" t="inlineStr">
        <is>
          <t>bb</t>
        </is>
      </c>
      <c r="I5210" s="32" t="n">
        <v>8592.939</v>
      </c>
      <c r="K5210" s="32" t="inlineStr">
        <is>
          <t>20250514-14</t>
        </is>
      </c>
    </row>
    <row r="5211">
      <c r="A5211" s="32" t="n">
        <v>4</v>
      </c>
      <c r="B5211" s="32" t="inlineStr">
        <is>
          <t>EPA1633 &amp; diPAPs Calibration 0.4 ppb</t>
        </is>
      </c>
      <c r="D5211" s="32" t="n">
        <v>16.51</v>
      </c>
      <c r="E5211" s="32" t="n">
        <v>8009.04</v>
      </c>
      <c r="G5211" s="32" t="n">
        <v>68369</v>
      </c>
      <c r="H5211" s="32" t="inlineStr">
        <is>
          <t>bb</t>
        </is>
      </c>
      <c r="I5211" s="32" t="n">
        <v>8009.04</v>
      </c>
      <c r="K5211" s="32" t="inlineStr">
        <is>
          <t>20250514-15</t>
        </is>
      </c>
    </row>
    <row r="5212">
      <c r="A5212" s="32" t="n">
        <v>5</v>
      </c>
      <c r="B5212" s="32" t="inlineStr">
        <is>
          <t>EPA1633 &amp; diPAPs Calibration 1 ppb</t>
        </is>
      </c>
      <c r="D5212" s="32" t="n">
        <v>16.5</v>
      </c>
      <c r="E5212" s="32" t="n">
        <v>9820.112999999999</v>
      </c>
      <c r="G5212" s="32" t="n">
        <v>88.962</v>
      </c>
      <c r="H5212" s="32" t="inlineStr">
        <is>
          <t>bb</t>
        </is>
      </c>
      <c r="I5212" s="32" t="n">
        <v>9820.112999999999</v>
      </c>
      <c r="K5212" s="32" t="inlineStr">
        <is>
          <t>20250514-16</t>
        </is>
      </c>
    </row>
    <row r="5213">
      <c r="A5213" s="32" t="n">
        <v>6</v>
      </c>
      <c r="B5213" s="32" t="inlineStr">
        <is>
          <t>EPA1633 &amp; diPAPs Calibration 5 ppb</t>
        </is>
      </c>
      <c r="D5213" s="32" t="n">
        <v>16.49</v>
      </c>
      <c r="E5213" s="32" t="n">
        <v>8875.213</v>
      </c>
      <c r="G5213" s="32" t="n">
        <v>77238</v>
      </c>
      <c r="H5213" s="32" t="inlineStr">
        <is>
          <t>bb</t>
        </is>
      </c>
      <c r="I5213" s="32" t="n">
        <v>8875.213</v>
      </c>
      <c r="K5213" s="32" t="inlineStr">
        <is>
          <t>20250514-17</t>
        </is>
      </c>
    </row>
    <row r="5214">
      <c r="A5214" s="32" t="n">
        <v>7</v>
      </c>
      <c r="B5214" s="32" t="inlineStr">
        <is>
          <t>EPA1633 &amp; diPAPs Calibration 10 ppb</t>
        </is>
      </c>
      <c r="D5214" s="32" t="n">
        <v>16.49</v>
      </c>
      <c r="E5214" s="32" t="n">
        <v>6292.695</v>
      </c>
      <c r="G5214" s="32" t="n">
        <v>53555</v>
      </c>
      <c r="H5214" s="32" t="inlineStr">
        <is>
          <t>bb</t>
        </is>
      </c>
      <c r="I5214" s="32" t="n">
        <v>6292.695</v>
      </c>
      <c r="K5214" s="32" t="inlineStr">
        <is>
          <t>20250514-18</t>
        </is>
      </c>
    </row>
    <row r="5215">
      <c r="A5215" s="32" t="n">
        <v>8</v>
      </c>
      <c r="B5215" s="32" t="inlineStr">
        <is>
          <t>EPA1633 &amp; diPAPs Calibration 20 ppb</t>
        </is>
      </c>
      <c r="D5215" s="32" t="n">
        <v>16.5</v>
      </c>
      <c r="E5215" s="32" t="n">
        <v>7803.31</v>
      </c>
      <c r="G5215" s="32" t="n">
        <v>68320</v>
      </c>
      <c r="H5215" s="32" t="inlineStr">
        <is>
          <t>bb</t>
        </is>
      </c>
      <c r="I5215" s="32" t="n">
        <v>7803.31</v>
      </c>
      <c r="K5215" s="32" t="inlineStr">
        <is>
          <t>20250514-19</t>
        </is>
      </c>
    </row>
    <row r="5216">
      <c r="A5216" s="32" t="n">
        <v>9</v>
      </c>
      <c r="B5216" s="32" t="inlineStr">
        <is>
          <t>MeOH</t>
        </is>
      </c>
      <c r="D5216" s="32" t="n">
        <v>16.51</v>
      </c>
      <c r="E5216" s="32" t="n">
        <v>19.677</v>
      </c>
      <c r="G5216" s="32" t="n">
        <v>193</v>
      </c>
      <c r="H5216" s="32" t="inlineStr">
        <is>
          <t>bb</t>
        </is>
      </c>
      <c r="I5216" s="32" t="n">
        <v>19.677</v>
      </c>
      <c r="K5216" s="32" t="inlineStr">
        <is>
          <t>20250514-20</t>
        </is>
      </c>
    </row>
    <row r="5217">
      <c r="A5217" s="32" t="n">
        <v>10</v>
      </c>
      <c r="B5217" s="32" t="inlineStr">
        <is>
          <t>MeOH</t>
        </is>
      </c>
      <c r="D5217" s="32" t="n">
        <v>16.64</v>
      </c>
      <c r="E5217" s="32" t="n">
        <v>0.218</v>
      </c>
      <c r="G5217" s="32" t="n">
        <v>3</v>
      </c>
      <c r="H5217" s="32" t="inlineStr">
        <is>
          <t>bb</t>
        </is>
      </c>
      <c r="I5217" s="32" t="n">
        <v>0.218</v>
      </c>
      <c r="K5217" s="32" t="inlineStr">
        <is>
          <t>20250514-21</t>
        </is>
      </c>
    </row>
    <row r="5218">
      <c r="A5218" s="32" t="n">
        <v>11</v>
      </c>
      <c r="B5218" s="32" t="inlineStr">
        <is>
          <t>SB1</t>
        </is>
      </c>
      <c r="D5218" s="32" t="n">
        <v>16.54</v>
      </c>
      <c r="E5218" s="32" t="n">
        <v>1812.627</v>
      </c>
      <c r="G5218" s="32" t="n">
        <v>15812</v>
      </c>
      <c r="H5218" s="32" t="inlineStr">
        <is>
          <t>bb</t>
        </is>
      </c>
      <c r="I5218" s="32" t="n">
        <v>1812.627</v>
      </c>
      <c r="K5218" s="32" t="inlineStr">
        <is>
          <t>20250514-22</t>
        </is>
      </c>
    </row>
    <row r="5219">
      <c r="A5219" s="32" t="n">
        <v>12</v>
      </c>
      <c r="B5219" s="32" t="inlineStr">
        <is>
          <t>SB2</t>
        </is>
      </c>
      <c r="D5219" s="32" t="n">
        <v>16.55</v>
      </c>
      <c r="E5219" s="32" t="n">
        <v>2140.853</v>
      </c>
      <c r="G5219" s="32" t="n">
        <v>52.127</v>
      </c>
      <c r="H5219" s="32" t="inlineStr">
        <is>
          <t>bb</t>
        </is>
      </c>
      <c r="I5219" s="32" t="n">
        <v>2140.853</v>
      </c>
      <c r="K5219" s="32" t="inlineStr">
        <is>
          <t>20250514-23</t>
        </is>
      </c>
    </row>
    <row r="5220">
      <c r="A5220" s="32" t="n">
        <v>13</v>
      </c>
      <c r="B5220" s="32" t="inlineStr">
        <is>
          <t>SB3</t>
        </is>
      </c>
      <c r="D5220" s="32" t="n">
        <v>16.56</v>
      </c>
      <c r="E5220" s="32" t="n">
        <v>2104.667</v>
      </c>
      <c r="G5220" s="32" t="n">
        <v>18920</v>
      </c>
      <c r="H5220" s="32" t="inlineStr">
        <is>
          <t>bb</t>
        </is>
      </c>
      <c r="I5220" s="32" t="n">
        <v>2104.667</v>
      </c>
      <c r="K5220" s="32" t="inlineStr">
        <is>
          <t>20250514-24</t>
        </is>
      </c>
    </row>
    <row r="5221">
      <c r="A5221" s="32" t="n">
        <v>14</v>
      </c>
      <c r="B5221" s="32" t="inlineStr">
        <is>
          <t>SS1</t>
        </is>
      </c>
      <c r="D5221" s="32" t="n">
        <v>16.57</v>
      </c>
      <c r="E5221" s="32" t="n">
        <v>2157.787</v>
      </c>
      <c r="G5221" s="32" t="n">
        <v>21009</v>
      </c>
      <c r="H5221" s="32" t="inlineStr">
        <is>
          <t>bb</t>
        </is>
      </c>
      <c r="I5221" s="32" t="n">
        <v>2157.787</v>
      </c>
      <c r="K5221" s="32" t="inlineStr">
        <is>
          <t>20250514-25</t>
        </is>
      </c>
    </row>
    <row r="5222">
      <c r="A5222" s="32" t="n">
        <v>15</v>
      </c>
      <c r="B5222" s="32" t="inlineStr">
        <is>
          <t>SS2</t>
        </is>
      </c>
      <c r="D5222" s="32" t="n">
        <v>16.58</v>
      </c>
      <c r="E5222" s="32" t="n">
        <v>2467.77</v>
      </c>
      <c r="G5222" s="32" t="n">
        <v>63.715</v>
      </c>
      <c r="H5222" s="32" t="inlineStr">
        <is>
          <t>bb</t>
        </is>
      </c>
      <c r="I5222" s="32" t="n">
        <v>2467.77</v>
      </c>
      <c r="K5222" s="32" t="inlineStr">
        <is>
          <t>20250514-26</t>
        </is>
      </c>
    </row>
    <row r="5223">
      <c r="A5223" s="32" t="n">
        <v>16</v>
      </c>
      <c r="B5223" s="32" t="inlineStr">
        <is>
          <t>SS3</t>
        </is>
      </c>
      <c r="D5223" s="32" t="n">
        <v>16.59</v>
      </c>
      <c r="E5223" s="32" t="n">
        <v>2130.298</v>
      </c>
      <c r="G5223" s="32" t="n">
        <v>56.977</v>
      </c>
      <c r="H5223" s="32" t="inlineStr">
        <is>
          <t>bb</t>
        </is>
      </c>
      <c r="I5223" s="32" t="n">
        <v>2130.298</v>
      </c>
      <c r="K5223" s="32" t="inlineStr">
        <is>
          <t>20250514-27</t>
        </is>
      </c>
    </row>
    <row r="5224">
      <c r="A5224" s="32" t="n">
        <v>17</v>
      </c>
      <c r="B5224" s="32" t="inlineStr">
        <is>
          <t>MeOH</t>
        </is>
      </c>
      <c r="K5224" s="32" t="inlineStr">
        <is>
          <t>20250514-28</t>
        </is>
      </c>
    </row>
    <row r="5225">
      <c r="A5225" s="32" t="n">
        <v>18</v>
      </c>
      <c r="B5225" s="32" t="inlineStr">
        <is>
          <t>K4-1A</t>
        </is>
      </c>
      <c r="D5225" s="32" t="n">
        <v>16.59</v>
      </c>
      <c r="E5225" s="32" t="n">
        <v>3005.722</v>
      </c>
      <c r="G5225" s="32" t="n">
        <v>85.029</v>
      </c>
      <c r="H5225" s="32" t="inlineStr">
        <is>
          <t>bb</t>
        </is>
      </c>
      <c r="I5225" s="32" t="n">
        <v>3005.722</v>
      </c>
      <c r="K5225" s="32" t="inlineStr">
        <is>
          <t>20250514-29</t>
        </is>
      </c>
    </row>
    <row r="5226">
      <c r="A5226" s="32" t="n">
        <v>19</v>
      </c>
      <c r="B5226" s="32" t="inlineStr">
        <is>
          <t>K4-1B</t>
        </is>
      </c>
      <c r="D5226" s="32" t="n">
        <v>16.6</v>
      </c>
      <c r="E5226" s="32" t="n">
        <v>2753.095</v>
      </c>
      <c r="G5226" s="32" t="n">
        <v>79.23699999999999</v>
      </c>
      <c r="H5226" s="32" t="inlineStr">
        <is>
          <t>bb</t>
        </is>
      </c>
      <c r="I5226" s="32" t="n">
        <v>2753.095</v>
      </c>
      <c r="K5226" s="32" t="inlineStr">
        <is>
          <t>20250514-30</t>
        </is>
      </c>
    </row>
    <row r="5227">
      <c r="A5227" s="32" t="n">
        <v>20</v>
      </c>
      <c r="B5227" s="32" t="inlineStr">
        <is>
          <t>K4-1C</t>
        </is>
      </c>
      <c r="D5227" s="32" t="n">
        <v>16.6</v>
      </c>
      <c r="E5227" s="32" t="n">
        <v>3219.148</v>
      </c>
      <c r="G5227" s="32" t="n">
        <v>30381</v>
      </c>
      <c r="H5227" s="32" t="inlineStr">
        <is>
          <t>bb</t>
        </is>
      </c>
      <c r="I5227" s="32" t="n">
        <v>3219.148</v>
      </c>
      <c r="K5227" s="32" t="inlineStr">
        <is>
          <t>20250514-31</t>
        </is>
      </c>
    </row>
    <row r="5228">
      <c r="A5228" s="32" t="n">
        <v>21</v>
      </c>
      <c r="B5228" s="32" t="inlineStr">
        <is>
          <t>K4-2A</t>
        </is>
      </c>
      <c r="D5228" s="32" t="n">
        <v>16.61</v>
      </c>
      <c r="E5228" s="32" t="n">
        <v>3074.921</v>
      </c>
      <c r="G5228" s="32" t="n">
        <v>20139.808</v>
      </c>
      <c r="H5228" s="32" t="inlineStr">
        <is>
          <t>bb</t>
        </is>
      </c>
      <c r="I5228" s="32" t="n">
        <v>3074.921</v>
      </c>
      <c r="K5228" s="32" t="inlineStr">
        <is>
          <t>20250514-32</t>
        </is>
      </c>
    </row>
    <row r="5229">
      <c r="A5229" s="32" t="n">
        <v>22</v>
      </c>
      <c r="B5229" s="32" t="inlineStr">
        <is>
          <t>K4-2B</t>
        </is>
      </c>
      <c r="D5229" s="32" t="n">
        <v>16.61</v>
      </c>
      <c r="E5229" s="32" t="n">
        <v>2113.953</v>
      </c>
      <c r="G5229" s="32" t="n">
        <v>18369</v>
      </c>
      <c r="H5229" s="32" t="inlineStr">
        <is>
          <t>bb</t>
        </is>
      </c>
      <c r="I5229" s="32" t="n">
        <v>2113.953</v>
      </c>
      <c r="K5229" s="32" t="inlineStr">
        <is>
          <t>20250514-33</t>
        </is>
      </c>
    </row>
    <row r="5230">
      <c r="A5230" s="32" t="n">
        <v>23</v>
      </c>
      <c r="B5230" s="32" t="inlineStr">
        <is>
          <t>K4-2C</t>
        </is>
      </c>
      <c r="D5230" s="32" t="n">
        <v>16.62</v>
      </c>
      <c r="E5230" s="32" t="n">
        <v>2043.23</v>
      </c>
      <c r="G5230" s="32" t="n">
        <v>419.625</v>
      </c>
      <c r="H5230" s="32" t="inlineStr">
        <is>
          <t>bb</t>
        </is>
      </c>
      <c r="I5230" s="32" t="n">
        <v>2043.23</v>
      </c>
      <c r="K5230" s="32" t="inlineStr">
        <is>
          <t>20250514-34</t>
        </is>
      </c>
    </row>
    <row r="5231">
      <c r="A5231" s="32" t="n">
        <v>24</v>
      </c>
      <c r="B5231" s="32" t="inlineStr">
        <is>
          <t>MeOH</t>
        </is>
      </c>
      <c r="K5231" s="32" t="inlineStr">
        <is>
          <t>20250514-35</t>
        </is>
      </c>
    </row>
    <row r="5232">
      <c r="A5232" s="32" t="n">
        <v>25</v>
      </c>
      <c r="B5232" s="32" t="inlineStr">
        <is>
          <t>K4-4A</t>
        </is>
      </c>
      <c r="D5232" s="32" t="n">
        <v>16.64</v>
      </c>
      <c r="E5232" s="32" t="n">
        <v>3196.453</v>
      </c>
      <c r="G5232" s="32" t="n">
        <v>100.454</v>
      </c>
      <c r="H5232" s="32" t="inlineStr">
        <is>
          <t>bb</t>
        </is>
      </c>
      <c r="I5232" s="32" t="n">
        <v>3196.453</v>
      </c>
      <c r="K5232" s="32" t="inlineStr">
        <is>
          <t>20250514-36</t>
        </is>
      </c>
    </row>
    <row r="5233">
      <c r="A5233" s="32" t="n">
        <v>26</v>
      </c>
      <c r="B5233" s="32" t="inlineStr">
        <is>
          <t>K4-4B</t>
        </is>
      </c>
      <c r="D5233" s="32" t="n">
        <v>16.64</v>
      </c>
      <c r="E5233" s="32" t="n">
        <v>2390.072</v>
      </c>
      <c r="G5233" s="32" t="n">
        <v>20446</v>
      </c>
      <c r="H5233" s="32" t="inlineStr">
        <is>
          <t>bb</t>
        </is>
      </c>
      <c r="I5233" s="32" t="n">
        <v>2390.072</v>
      </c>
      <c r="K5233" s="32" t="inlineStr">
        <is>
          <t>20250514-37</t>
        </is>
      </c>
    </row>
    <row r="5234">
      <c r="A5234" s="32" t="n">
        <v>27</v>
      </c>
      <c r="B5234" s="32" t="inlineStr">
        <is>
          <t>K4-4C</t>
        </is>
      </c>
      <c r="D5234" s="32" t="n">
        <v>16.64</v>
      </c>
      <c r="E5234" s="32" t="n">
        <v>2962.253</v>
      </c>
      <c r="G5234" s="32" t="n">
        <v>228.276</v>
      </c>
      <c r="H5234" s="32" t="inlineStr">
        <is>
          <t>bb</t>
        </is>
      </c>
      <c r="I5234" s="32" t="n">
        <v>2962.253</v>
      </c>
      <c r="K5234" s="32" t="inlineStr">
        <is>
          <t>20250514-38</t>
        </is>
      </c>
    </row>
    <row r="5235">
      <c r="A5235" s="32" t="n">
        <v>28</v>
      </c>
      <c r="B5235" s="32" t="inlineStr">
        <is>
          <t>K4-5A</t>
        </is>
      </c>
      <c r="D5235" s="32" t="n">
        <v>16.63</v>
      </c>
      <c r="E5235" s="32" t="n">
        <v>2517.348</v>
      </c>
      <c r="G5235" s="32" t="n">
        <v>269.659</v>
      </c>
      <c r="H5235" s="32" t="inlineStr">
        <is>
          <t>bb</t>
        </is>
      </c>
      <c r="I5235" s="32" t="n">
        <v>2517.348</v>
      </c>
      <c r="K5235" s="32" t="inlineStr">
        <is>
          <t>20250514-39</t>
        </is>
      </c>
    </row>
    <row r="5236">
      <c r="A5236" s="32" t="n">
        <v>29</v>
      </c>
      <c r="B5236" s="32" t="inlineStr">
        <is>
          <t>K4-5B</t>
        </is>
      </c>
      <c r="D5236" s="32" t="n">
        <v>16.62</v>
      </c>
      <c r="E5236" s="32" t="n">
        <v>2760.21</v>
      </c>
      <c r="G5236" s="32" t="n">
        <v>24569</v>
      </c>
      <c r="H5236" s="32" t="inlineStr">
        <is>
          <t>bb</t>
        </is>
      </c>
      <c r="I5236" s="32" t="n">
        <v>2760.21</v>
      </c>
      <c r="K5236" s="32" t="inlineStr">
        <is>
          <t>20250514-40</t>
        </is>
      </c>
    </row>
    <row r="5237">
      <c r="A5237" s="32" t="n">
        <v>30</v>
      </c>
      <c r="B5237" s="32" t="inlineStr">
        <is>
          <t>K4-5C</t>
        </is>
      </c>
      <c r="D5237" s="32" t="n">
        <v>16.58</v>
      </c>
      <c r="E5237" s="32" t="n">
        <v>2323.882</v>
      </c>
      <c r="G5237" s="32" t="n">
        <v>9.054</v>
      </c>
      <c r="H5237" s="32" t="inlineStr">
        <is>
          <t>bb</t>
        </is>
      </c>
      <c r="I5237" s="32" t="n">
        <v>2323.882</v>
      </c>
      <c r="K5237" s="32" t="inlineStr">
        <is>
          <t>20250514-41</t>
        </is>
      </c>
    </row>
    <row r="5238">
      <c r="A5238" s="32" t="n">
        <v>31</v>
      </c>
      <c r="B5238" s="32" t="inlineStr">
        <is>
          <t>MeOH</t>
        </is>
      </c>
      <c r="K5238" s="32" t="inlineStr">
        <is>
          <t>20250514-42</t>
        </is>
      </c>
    </row>
    <row r="5239">
      <c r="A5239" s="32" t="n">
        <v>32</v>
      </c>
      <c r="B5239" s="32" t="inlineStr">
        <is>
          <t>K3-1A</t>
        </is>
      </c>
      <c r="D5239" s="32" t="n">
        <v>16.57</v>
      </c>
      <c r="E5239" s="32" t="n">
        <v>3000.735</v>
      </c>
      <c r="G5239" s="32" t="n">
        <v>183.841</v>
      </c>
      <c r="H5239" s="32" t="inlineStr">
        <is>
          <t>bb</t>
        </is>
      </c>
      <c r="I5239" s="32" t="n">
        <v>3000.735</v>
      </c>
      <c r="K5239" s="32" t="inlineStr">
        <is>
          <t>20250514-43</t>
        </is>
      </c>
    </row>
    <row r="5240">
      <c r="A5240" s="32" t="n">
        <v>33</v>
      </c>
      <c r="B5240" s="32" t="inlineStr">
        <is>
          <t>K3-1B</t>
        </is>
      </c>
      <c r="D5240" s="32" t="n">
        <v>16.58</v>
      </c>
      <c r="E5240" s="32" t="n">
        <v>1898.942</v>
      </c>
      <c r="G5240" s="32" t="n">
        <v>16411</v>
      </c>
      <c r="H5240" s="32" t="inlineStr">
        <is>
          <t>bb</t>
        </is>
      </c>
      <c r="I5240" s="32" t="n">
        <v>1898.942</v>
      </c>
      <c r="K5240" s="32" t="inlineStr">
        <is>
          <t>20250514-44</t>
        </is>
      </c>
    </row>
    <row r="5241">
      <c r="A5241" s="32" t="n">
        <v>34</v>
      </c>
      <c r="B5241" s="32" t="inlineStr">
        <is>
          <t>K3-1C</t>
        </is>
      </c>
      <c r="D5241" s="32" t="n">
        <v>16.61</v>
      </c>
      <c r="E5241" s="32" t="n">
        <v>3850.193</v>
      </c>
      <c r="G5241" s="32" t="n">
        <v>34837</v>
      </c>
      <c r="H5241" s="32" t="inlineStr">
        <is>
          <t>bb</t>
        </is>
      </c>
      <c r="I5241" s="32" t="n">
        <v>3850.193</v>
      </c>
      <c r="K5241" s="32" t="inlineStr">
        <is>
          <t>20250514-45</t>
        </is>
      </c>
    </row>
    <row r="5242">
      <c r="A5242" s="32" t="n">
        <v>35</v>
      </c>
      <c r="B5242" s="32" t="inlineStr">
        <is>
          <t>K3-2A</t>
        </is>
      </c>
      <c r="D5242" s="32" t="n">
        <v>16.62</v>
      </c>
      <c r="E5242" s="32" t="n">
        <v>3639.932</v>
      </c>
      <c r="G5242" s="32" t="n">
        <v>34647</v>
      </c>
      <c r="H5242" s="32" t="inlineStr">
        <is>
          <t>bb</t>
        </is>
      </c>
      <c r="I5242" s="32" t="n">
        <v>3639.932</v>
      </c>
      <c r="K5242" s="32" t="inlineStr">
        <is>
          <t>20250514-46</t>
        </is>
      </c>
    </row>
    <row r="5243">
      <c r="A5243" s="32" t="n">
        <v>36</v>
      </c>
      <c r="B5243" s="32" t="inlineStr">
        <is>
          <t>K3-2B</t>
        </is>
      </c>
      <c r="D5243" s="32" t="n">
        <v>16.62</v>
      </c>
      <c r="E5243" s="32" t="n">
        <v>3692.815</v>
      </c>
      <c r="G5243" s="32" t="n">
        <v>751.625</v>
      </c>
      <c r="H5243" s="32" t="inlineStr">
        <is>
          <t>bb</t>
        </is>
      </c>
      <c r="I5243" s="32" t="n">
        <v>3692.815</v>
      </c>
      <c r="K5243" s="32" t="inlineStr">
        <is>
          <t>20250514-47</t>
        </is>
      </c>
    </row>
    <row r="5244">
      <c r="A5244" s="32" t="n">
        <v>37</v>
      </c>
      <c r="B5244" s="32" t="inlineStr">
        <is>
          <t>K3-2C</t>
        </is>
      </c>
      <c r="D5244" s="32" t="n">
        <v>16.64</v>
      </c>
      <c r="E5244" s="32" t="n">
        <v>2895.058</v>
      </c>
      <c r="G5244" s="32" t="n">
        <v>359.523</v>
      </c>
      <c r="H5244" s="32" t="inlineStr">
        <is>
          <t>bb</t>
        </is>
      </c>
      <c r="I5244" s="32" t="n">
        <v>2895.058</v>
      </c>
      <c r="K5244" s="32" t="inlineStr">
        <is>
          <t>20250514-48</t>
        </is>
      </c>
    </row>
    <row r="5245">
      <c r="A5245" s="32" t="n">
        <v>38</v>
      </c>
      <c r="B5245" s="32" t="inlineStr">
        <is>
          <t>MeOH</t>
        </is>
      </c>
      <c r="K5245" s="32" t="inlineStr">
        <is>
          <t>20250514-49</t>
        </is>
      </c>
    </row>
    <row r="5246">
      <c r="A5246" s="32" t="n">
        <v>39</v>
      </c>
      <c r="B5246" s="32" t="inlineStr">
        <is>
          <t>K3-3A</t>
        </is>
      </c>
      <c r="D5246" s="32" t="n">
        <v>16.65</v>
      </c>
      <c r="E5246" s="32" t="n">
        <v>2161.935</v>
      </c>
      <c r="G5246" s="32" t="n">
        <v>20548</v>
      </c>
      <c r="H5246" s="32" t="inlineStr">
        <is>
          <t>bb</t>
        </is>
      </c>
      <c r="I5246" s="32" t="n">
        <v>2161.935</v>
      </c>
      <c r="K5246" s="32" t="inlineStr">
        <is>
          <t>20250514-50</t>
        </is>
      </c>
    </row>
    <row r="5247">
      <c r="A5247" s="32" t="n">
        <v>40</v>
      </c>
      <c r="B5247" s="32" t="inlineStr">
        <is>
          <t>K3-3B</t>
        </is>
      </c>
      <c r="D5247" s="32" t="n">
        <v>16.67</v>
      </c>
      <c r="E5247" s="32" t="n">
        <v>3048.598</v>
      </c>
      <c r="G5247" s="32" t="n">
        <v>24524</v>
      </c>
      <c r="H5247" s="32" t="inlineStr">
        <is>
          <t>bb</t>
        </is>
      </c>
      <c r="I5247" s="32" t="n">
        <v>3048.598</v>
      </c>
      <c r="K5247" s="32" t="inlineStr">
        <is>
          <t>20250514-51</t>
        </is>
      </c>
    </row>
    <row r="5248">
      <c r="A5248" s="32" t="n">
        <v>41</v>
      </c>
      <c r="B5248" s="32" t="inlineStr">
        <is>
          <t>K3-3C</t>
        </is>
      </c>
      <c r="D5248" s="32" t="n">
        <v>16.67</v>
      </c>
      <c r="E5248" s="32" t="n">
        <v>3225.971</v>
      </c>
      <c r="G5248" s="32" t="n">
        <v>95.062</v>
      </c>
      <c r="H5248" s="32" t="inlineStr">
        <is>
          <t>bb</t>
        </is>
      </c>
      <c r="I5248" s="32" t="n">
        <v>3225.971</v>
      </c>
      <c r="K5248" s="32" t="inlineStr">
        <is>
          <t>20250514-52</t>
        </is>
      </c>
    </row>
    <row r="5249">
      <c r="A5249" s="32" t="n">
        <v>42</v>
      </c>
      <c r="B5249" s="32" t="inlineStr">
        <is>
          <t>K3-4A</t>
        </is>
      </c>
      <c r="D5249" s="32" t="n">
        <v>16.71</v>
      </c>
      <c r="E5249" s="32" t="n">
        <v>3658.864</v>
      </c>
      <c r="G5249" s="32" t="n">
        <v>644.114</v>
      </c>
      <c r="H5249" s="32" t="inlineStr">
        <is>
          <t>bb</t>
        </is>
      </c>
      <c r="I5249" s="32" t="n">
        <v>3658.864</v>
      </c>
      <c r="K5249" s="32" t="inlineStr">
        <is>
          <t>20250514-53</t>
        </is>
      </c>
    </row>
    <row r="5250">
      <c r="A5250" s="32" t="n">
        <v>43</v>
      </c>
      <c r="B5250" s="32" t="inlineStr">
        <is>
          <t>K3-4B</t>
        </is>
      </c>
      <c r="D5250" s="32" t="n">
        <v>16.7</v>
      </c>
      <c r="E5250" s="32" t="n">
        <v>3040.107</v>
      </c>
      <c r="G5250" s="32" t="n">
        <v>26630</v>
      </c>
      <c r="H5250" s="32" t="inlineStr">
        <is>
          <t>bb</t>
        </is>
      </c>
      <c r="I5250" s="32" t="n">
        <v>3040.107</v>
      </c>
      <c r="K5250" s="32" t="inlineStr">
        <is>
          <t>20250514-54</t>
        </is>
      </c>
    </row>
    <row r="5251">
      <c r="A5251" s="32" t="n">
        <v>44</v>
      </c>
      <c r="B5251" s="32" t="inlineStr">
        <is>
          <t>K3-4C</t>
        </is>
      </c>
      <c r="D5251" s="32" t="n">
        <v>16.74</v>
      </c>
      <c r="E5251" s="32" t="n">
        <v>3328.993</v>
      </c>
      <c r="G5251" s="32" t="n">
        <v>29036</v>
      </c>
      <c r="H5251" s="32" t="inlineStr">
        <is>
          <t>bb</t>
        </is>
      </c>
      <c r="I5251" s="32" t="n">
        <v>3328.993</v>
      </c>
      <c r="K5251" s="32" t="inlineStr">
        <is>
          <t>20250514-55</t>
        </is>
      </c>
    </row>
    <row r="5252">
      <c r="A5252" s="32" t="n">
        <v>45</v>
      </c>
      <c r="B5252" s="32" t="inlineStr">
        <is>
          <t>MeOH</t>
        </is>
      </c>
      <c r="D5252" s="32" t="n">
        <v>16.73</v>
      </c>
      <c r="E5252" s="32" t="n">
        <v>22.63</v>
      </c>
      <c r="G5252" s="32" t="n">
        <v>3.361</v>
      </c>
      <c r="H5252" s="32" t="inlineStr">
        <is>
          <t>bb</t>
        </is>
      </c>
      <c r="I5252" s="32" t="n">
        <v>22.63</v>
      </c>
      <c r="K5252" s="32" t="inlineStr">
        <is>
          <t>20250514-56</t>
        </is>
      </c>
    </row>
    <row r="5253">
      <c r="A5253" s="32" t="n">
        <v>46</v>
      </c>
      <c r="B5253" s="32" t="inlineStr">
        <is>
          <t>K3-6A</t>
        </is>
      </c>
      <c r="D5253" s="32" t="n">
        <v>16.74</v>
      </c>
      <c r="E5253" s="32" t="n">
        <v>3672.744</v>
      </c>
      <c r="G5253" s="32" t="n">
        <v>31021</v>
      </c>
      <c r="H5253" s="32" t="inlineStr">
        <is>
          <t>bb</t>
        </is>
      </c>
      <c r="I5253" s="32" t="n">
        <v>3672.744</v>
      </c>
      <c r="K5253" s="32" t="inlineStr">
        <is>
          <t>20250514-57</t>
        </is>
      </c>
    </row>
    <row r="5254">
      <c r="A5254" s="32" t="n">
        <v>47</v>
      </c>
      <c r="B5254" s="32" t="inlineStr">
        <is>
          <t>K3-6B</t>
        </is>
      </c>
      <c r="D5254" s="32" t="n">
        <v>16.73</v>
      </c>
      <c r="E5254" s="32" t="n">
        <v>2772.744</v>
      </c>
      <c r="G5254" s="32" t="n">
        <v>24065</v>
      </c>
      <c r="H5254" s="32" t="inlineStr">
        <is>
          <t>bb</t>
        </is>
      </c>
      <c r="I5254" s="32" t="n">
        <v>2772.744</v>
      </c>
      <c r="K5254" s="32" t="inlineStr">
        <is>
          <t>20250514-58</t>
        </is>
      </c>
    </row>
    <row r="5255">
      <c r="A5255" s="32" t="n">
        <v>48</v>
      </c>
      <c r="B5255" s="32" t="inlineStr">
        <is>
          <t>K3-6C</t>
        </is>
      </c>
      <c r="D5255" s="32" t="n">
        <v>16.71</v>
      </c>
      <c r="E5255" s="32" t="n">
        <v>2464.405</v>
      </c>
      <c r="G5255" s="32" t="n">
        <v>21726</v>
      </c>
      <c r="H5255" s="32" t="inlineStr">
        <is>
          <t>bb</t>
        </is>
      </c>
      <c r="I5255" s="32" t="n">
        <v>2464.405</v>
      </c>
      <c r="K5255" s="32" t="inlineStr">
        <is>
          <t>20250514-59</t>
        </is>
      </c>
    </row>
    <row r="5257">
      <c r="A5257" s="32" t="inlineStr">
        <is>
          <t>Compound 102:  m5 N-EtFOSA 2</t>
        </is>
      </c>
    </row>
    <row r="5259">
      <c r="B5259" s="32" t="inlineStr">
        <is>
          <t>Sample Text</t>
        </is>
      </c>
      <c r="C5259" s="32" t="inlineStr">
        <is>
          <t>Std. Conc</t>
        </is>
      </c>
      <c r="D5259" s="32" t="inlineStr">
        <is>
          <t>RT</t>
        </is>
      </c>
      <c r="E5259" s="32" t="inlineStr">
        <is>
          <t>Area</t>
        </is>
      </c>
      <c r="F5259" s="32" t="inlineStr">
        <is>
          <t>IS Area</t>
        </is>
      </c>
      <c r="G5259" s="32" t="inlineStr">
        <is>
          <t>S/N</t>
        </is>
      </c>
      <c r="H5259" s="32" t="inlineStr">
        <is>
          <t>Primary Flags</t>
        </is>
      </c>
      <c r="I5259" s="32" t="inlineStr">
        <is>
          <t>Response</t>
        </is>
      </c>
      <c r="J5259" s="32" t="inlineStr">
        <is>
          <t>Conc.</t>
        </is>
      </c>
      <c r="K5259" s="32" t="inlineStr">
        <is>
          <t>Name</t>
        </is>
      </c>
    </row>
    <row r="5260">
      <c r="A5260" s="32" t="n">
        <v>1</v>
      </c>
      <c r="B5260" s="32" t="inlineStr">
        <is>
          <t>EPA1633 &amp; diPAPs Calibration 0 ppb</t>
        </is>
      </c>
      <c r="D5260" s="32" t="n">
        <v>16.49</v>
      </c>
      <c r="E5260" s="32" t="n">
        <v>8805.511</v>
      </c>
      <c r="G5260" s="32" t="n">
        <v>311.753</v>
      </c>
      <c r="H5260" s="32" t="inlineStr">
        <is>
          <t>bb</t>
        </is>
      </c>
      <c r="I5260" s="32" t="n">
        <v>8805.511</v>
      </c>
      <c r="K5260" s="32" t="inlineStr">
        <is>
          <t>20250514-12</t>
        </is>
      </c>
    </row>
    <row r="5261">
      <c r="A5261" s="32" t="n">
        <v>2</v>
      </c>
      <c r="B5261" s="32" t="inlineStr">
        <is>
          <t>EPA1633 &amp; diPAPs Calibration 0.02 ppb</t>
        </is>
      </c>
      <c r="D5261" s="32" t="n">
        <v>16.52</v>
      </c>
      <c r="E5261" s="32" t="n">
        <v>8225.773999999999</v>
      </c>
      <c r="G5261" s="32" t="n">
        <v>687.333</v>
      </c>
      <c r="H5261" s="32" t="inlineStr">
        <is>
          <t>bb</t>
        </is>
      </c>
      <c r="I5261" s="32" t="n">
        <v>8225.773999999999</v>
      </c>
      <c r="K5261" s="32" t="inlineStr">
        <is>
          <t>20250514-13</t>
        </is>
      </c>
    </row>
    <row r="5262">
      <c r="A5262" s="32" t="n">
        <v>3</v>
      </c>
      <c r="B5262" s="32" t="inlineStr">
        <is>
          <t>EPA1633 &amp; diPAPs Calibration 0.1 ppb</t>
        </is>
      </c>
      <c r="D5262" s="32" t="n">
        <v>16.52</v>
      </c>
      <c r="E5262" s="32" t="n">
        <v>8206.088</v>
      </c>
      <c r="G5262" s="32" t="n">
        <v>72812</v>
      </c>
      <c r="H5262" s="32" t="inlineStr">
        <is>
          <t>bb</t>
        </is>
      </c>
      <c r="I5262" s="32" t="n">
        <v>8206.088</v>
      </c>
      <c r="K5262" s="32" t="inlineStr">
        <is>
          <t>20250514-14</t>
        </is>
      </c>
    </row>
    <row r="5263">
      <c r="A5263" s="32" t="n">
        <v>4</v>
      </c>
      <c r="B5263" s="32" t="inlineStr">
        <is>
          <t>EPA1633 &amp; diPAPs Calibration 0.4 ppb</t>
        </is>
      </c>
      <c r="D5263" s="32" t="n">
        <v>16.51</v>
      </c>
      <c r="E5263" s="32" t="n">
        <v>7974.231</v>
      </c>
      <c r="G5263" s="32" t="n">
        <v>917.388</v>
      </c>
      <c r="H5263" s="32" t="inlineStr">
        <is>
          <t>bb</t>
        </is>
      </c>
      <c r="I5263" s="32" t="n">
        <v>7974.231</v>
      </c>
      <c r="K5263" s="32" t="inlineStr">
        <is>
          <t>20250514-15</t>
        </is>
      </c>
    </row>
    <row r="5264">
      <c r="A5264" s="32" t="n">
        <v>5</v>
      </c>
      <c r="B5264" s="32" t="inlineStr">
        <is>
          <t>EPA1633 &amp; diPAPs Calibration 1 ppb</t>
        </is>
      </c>
      <c r="D5264" s="32" t="n">
        <v>16.5</v>
      </c>
      <c r="E5264" s="32" t="n">
        <v>9726.778</v>
      </c>
      <c r="G5264" s="32" t="n">
        <v>634.3339999999999</v>
      </c>
      <c r="H5264" s="32" t="inlineStr">
        <is>
          <t>bb</t>
        </is>
      </c>
      <c r="I5264" s="32" t="n">
        <v>9726.778</v>
      </c>
      <c r="K5264" s="32" t="inlineStr">
        <is>
          <t>20250514-16</t>
        </is>
      </c>
    </row>
    <row r="5265">
      <c r="A5265" s="32" t="n">
        <v>6</v>
      </c>
      <c r="B5265" s="32" t="inlineStr">
        <is>
          <t>EPA1633 &amp; diPAPs Calibration 5 ppb</t>
        </is>
      </c>
      <c r="D5265" s="32" t="n">
        <v>16.48</v>
      </c>
      <c r="E5265" s="32" t="n">
        <v>8449.726000000001</v>
      </c>
      <c r="G5265" s="32" t="n">
        <v>164.373</v>
      </c>
      <c r="H5265" s="32" t="inlineStr">
        <is>
          <t>bb</t>
        </is>
      </c>
      <c r="I5265" s="32" t="n">
        <v>8449.726000000001</v>
      </c>
      <c r="K5265" s="32" t="inlineStr">
        <is>
          <t>20250514-17</t>
        </is>
      </c>
    </row>
    <row r="5266">
      <c r="A5266" s="32" t="n">
        <v>7</v>
      </c>
      <c r="B5266" s="32" t="inlineStr">
        <is>
          <t>EPA1633 &amp; diPAPs Calibration 10 ppb</t>
        </is>
      </c>
      <c r="D5266" s="32" t="n">
        <v>16.49</v>
      </c>
      <c r="E5266" s="32" t="n">
        <v>6390.667</v>
      </c>
      <c r="G5266" s="32" t="n">
        <v>244.701</v>
      </c>
      <c r="H5266" s="32" t="inlineStr">
        <is>
          <t>bb</t>
        </is>
      </c>
      <c r="I5266" s="32" t="n">
        <v>6390.667</v>
      </c>
      <c r="K5266" s="32" t="inlineStr">
        <is>
          <t>20250514-18</t>
        </is>
      </c>
    </row>
    <row r="5267">
      <c r="A5267" s="32" t="n">
        <v>8</v>
      </c>
      <c r="B5267" s="32" t="inlineStr">
        <is>
          <t>EPA1633 &amp; diPAPs Calibration 20 ppb</t>
        </is>
      </c>
      <c r="D5267" s="32" t="n">
        <v>16.51</v>
      </c>
      <c r="E5267" s="32" t="n">
        <v>7988.824</v>
      </c>
      <c r="G5267" s="32" t="n">
        <v>1559.751</v>
      </c>
      <c r="H5267" s="32" t="inlineStr">
        <is>
          <t>bb</t>
        </is>
      </c>
      <c r="I5267" s="32" t="n">
        <v>7988.824</v>
      </c>
      <c r="K5267" s="32" t="inlineStr">
        <is>
          <t>20250514-19</t>
        </is>
      </c>
    </row>
    <row r="5268">
      <c r="A5268" s="32" t="n">
        <v>9</v>
      </c>
      <c r="B5268" s="32" t="inlineStr">
        <is>
          <t>MeOH</t>
        </is>
      </c>
      <c r="D5268" s="32" t="n">
        <v>16.42</v>
      </c>
      <c r="E5268" s="32" t="n">
        <v>12.127</v>
      </c>
      <c r="G5268" s="32" t="n">
        <v>117</v>
      </c>
      <c r="H5268" s="32" t="inlineStr">
        <is>
          <t>bb</t>
        </is>
      </c>
      <c r="I5268" s="32" t="n">
        <v>12.127</v>
      </c>
      <c r="K5268" s="32" t="inlineStr">
        <is>
          <t>20250514-20</t>
        </is>
      </c>
    </row>
    <row r="5269">
      <c r="A5269" s="32" t="n">
        <v>10</v>
      </c>
      <c r="B5269" s="32" t="inlineStr">
        <is>
          <t>MeOH</t>
        </is>
      </c>
      <c r="D5269" s="32" t="n">
        <v>16.58</v>
      </c>
      <c r="E5269" s="32" t="n">
        <v>0.467</v>
      </c>
      <c r="G5269" s="32" t="n">
        <v>6</v>
      </c>
      <c r="H5269" s="32" t="inlineStr">
        <is>
          <t>bb</t>
        </is>
      </c>
      <c r="I5269" s="32" t="n">
        <v>0.467</v>
      </c>
      <c r="K5269" s="32" t="inlineStr">
        <is>
          <t>20250514-21</t>
        </is>
      </c>
    </row>
    <row r="5270">
      <c r="A5270" s="32" t="n">
        <v>11</v>
      </c>
      <c r="B5270" s="32" t="inlineStr">
        <is>
          <t>SB1</t>
        </is>
      </c>
      <c r="D5270" s="32" t="n">
        <v>16.53</v>
      </c>
      <c r="E5270" s="32" t="n">
        <v>2056.203</v>
      </c>
      <c r="G5270" s="32" t="n">
        <v>18523</v>
      </c>
      <c r="H5270" s="32" t="inlineStr">
        <is>
          <t>bb</t>
        </is>
      </c>
      <c r="I5270" s="32" t="n">
        <v>2056.203</v>
      </c>
      <c r="K5270" s="32" t="inlineStr">
        <is>
          <t>20250514-22</t>
        </is>
      </c>
    </row>
    <row r="5271">
      <c r="A5271" s="32" t="n">
        <v>12</v>
      </c>
      <c r="B5271" s="32" t="inlineStr">
        <is>
          <t>SB2</t>
        </is>
      </c>
      <c r="D5271" s="32" t="n">
        <v>16.55</v>
      </c>
      <c r="E5271" s="32" t="n">
        <v>2037.142</v>
      </c>
      <c r="G5271" s="32" t="n">
        <v>172.241</v>
      </c>
      <c r="H5271" s="32" t="inlineStr">
        <is>
          <t>bb</t>
        </is>
      </c>
      <c r="I5271" s="32" t="n">
        <v>2037.142</v>
      </c>
      <c r="K5271" s="32" t="inlineStr">
        <is>
          <t>20250514-23</t>
        </is>
      </c>
    </row>
    <row r="5272">
      <c r="A5272" s="32" t="n">
        <v>13</v>
      </c>
      <c r="B5272" s="32" t="inlineStr">
        <is>
          <t>SB3</t>
        </is>
      </c>
      <c r="D5272" s="32" t="n">
        <v>16.56</v>
      </c>
      <c r="E5272" s="32" t="n">
        <v>2209.288</v>
      </c>
      <c r="G5272" s="32" t="n">
        <v>54.702</v>
      </c>
      <c r="H5272" s="32" t="inlineStr">
        <is>
          <t>bb</t>
        </is>
      </c>
      <c r="I5272" s="32" t="n">
        <v>2209.288</v>
      </c>
      <c r="K5272" s="32" t="inlineStr">
        <is>
          <t>20250514-24</t>
        </is>
      </c>
    </row>
    <row r="5273">
      <c r="A5273" s="32" t="n">
        <v>14</v>
      </c>
      <c r="B5273" s="32" t="inlineStr">
        <is>
          <t>SS1</t>
        </is>
      </c>
      <c r="D5273" s="32" t="n">
        <v>16.57</v>
      </c>
      <c r="E5273" s="32" t="n">
        <v>1869.894</v>
      </c>
      <c r="G5273" s="32" t="n">
        <v>163.95</v>
      </c>
      <c r="H5273" s="32" t="inlineStr">
        <is>
          <t>bb</t>
        </is>
      </c>
      <c r="I5273" s="32" t="n">
        <v>1869.894</v>
      </c>
      <c r="K5273" s="32" t="inlineStr">
        <is>
          <t>20250514-25</t>
        </is>
      </c>
    </row>
    <row r="5274">
      <c r="A5274" s="32" t="n">
        <v>15</v>
      </c>
      <c r="B5274" s="32" t="inlineStr">
        <is>
          <t>SS2</t>
        </is>
      </c>
      <c r="D5274" s="32" t="n">
        <v>16.58</v>
      </c>
      <c r="E5274" s="32" t="n">
        <v>2527.979</v>
      </c>
      <c r="G5274" s="32" t="n">
        <v>22463</v>
      </c>
      <c r="H5274" s="32" t="inlineStr">
        <is>
          <t>bb</t>
        </is>
      </c>
      <c r="I5274" s="32" t="n">
        <v>2527.979</v>
      </c>
      <c r="K5274" s="32" t="inlineStr">
        <is>
          <t>20250514-26</t>
        </is>
      </c>
    </row>
    <row r="5275">
      <c r="A5275" s="32" t="n">
        <v>16</v>
      </c>
      <c r="B5275" s="32" t="inlineStr">
        <is>
          <t>SS3</t>
        </is>
      </c>
      <c r="D5275" s="32" t="n">
        <v>16.59</v>
      </c>
      <c r="E5275" s="32" t="n">
        <v>2192.266</v>
      </c>
      <c r="G5275" s="32" t="n">
        <v>128.561</v>
      </c>
      <c r="H5275" s="32" t="inlineStr">
        <is>
          <t>bb</t>
        </is>
      </c>
      <c r="I5275" s="32" t="n">
        <v>2192.266</v>
      </c>
      <c r="K5275" s="32" t="inlineStr">
        <is>
          <t>20250514-27</t>
        </is>
      </c>
    </row>
    <row r="5276">
      <c r="A5276" s="32" t="n">
        <v>17</v>
      </c>
      <c r="B5276" s="32" t="inlineStr">
        <is>
          <t>MeOH</t>
        </is>
      </c>
      <c r="D5276" s="32" t="n">
        <v>17.03</v>
      </c>
      <c r="E5276" s="32" t="n">
        <v>9.148</v>
      </c>
      <c r="G5276" s="32" t="n">
        <v>90</v>
      </c>
      <c r="H5276" s="32" t="inlineStr">
        <is>
          <t>bb</t>
        </is>
      </c>
      <c r="I5276" s="32" t="n">
        <v>9.148</v>
      </c>
      <c r="K5276" s="32" t="inlineStr">
        <is>
          <t>20250514-28</t>
        </is>
      </c>
    </row>
    <row r="5277">
      <c r="A5277" s="32" t="n">
        <v>18</v>
      </c>
      <c r="B5277" s="32" t="inlineStr">
        <is>
          <t>K4-1A</t>
        </is>
      </c>
      <c r="D5277" s="32" t="n">
        <v>16.58</v>
      </c>
      <c r="E5277" s="32" t="n">
        <v>3424.464</v>
      </c>
      <c r="G5277" s="32" t="n">
        <v>30447</v>
      </c>
      <c r="H5277" s="32" t="inlineStr">
        <is>
          <t>bb</t>
        </is>
      </c>
      <c r="I5277" s="32" t="n">
        <v>3424.464</v>
      </c>
      <c r="K5277" s="32" t="inlineStr">
        <is>
          <t>20250514-29</t>
        </is>
      </c>
    </row>
    <row r="5278">
      <c r="A5278" s="32" t="n">
        <v>19</v>
      </c>
      <c r="B5278" s="32" t="inlineStr">
        <is>
          <t>K4-1B</t>
        </is>
      </c>
      <c r="D5278" s="32" t="n">
        <v>16.6</v>
      </c>
      <c r="E5278" s="32" t="n">
        <v>3163.093</v>
      </c>
      <c r="G5278" s="32" t="n">
        <v>136.217</v>
      </c>
      <c r="H5278" s="32" t="inlineStr">
        <is>
          <t>bb</t>
        </is>
      </c>
      <c r="I5278" s="32" t="n">
        <v>3163.093</v>
      </c>
      <c r="K5278" s="32" t="inlineStr">
        <is>
          <t>20250514-30</t>
        </is>
      </c>
    </row>
    <row r="5279">
      <c r="A5279" s="32" t="n">
        <v>20</v>
      </c>
      <c r="B5279" s="32" t="inlineStr">
        <is>
          <t>K4-1C</t>
        </is>
      </c>
      <c r="D5279" s="32" t="n">
        <v>16.6</v>
      </c>
      <c r="E5279" s="32" t="n">
        <v>2991.645</v>
      </c>
      <c r="G5279" s="32" t="n">
        <v>542.129</v>
      </c>
      <c r="H5279" s="32" t="inlineStr">
        <is>
          <t>bb</t>
        </is>
      </c>
      <c r="I5279" s="32" t="n">
        <v>2991.645</v>
      </c>
      <c r="K5279" s="32" t="inlineStr">
        <is>
          <t>20250514-31</t>
        </is>
      </c>
    </row>
    <row r="5280">
      <c r="A5280" s="32" t="n">
        <v>21</v>
      </c>
      <c r="B5280" s="32" t="inlineStr">
        <is>
          <t>K4-2A</t>
        </is>
      </c>
      <c r="D5280" s="32" t="n">
        <v>16.61</v>
      </c>
      <c r="E5280" s="32" t="n">
        <v>2385.256</v>
      </c>
      <c r="G5280" s="32" t="n">
        <v>95.887</v>
      </c>
      <c r="H5280" s="32" t="inlineStr">
        <is>
          <t>bb</t>
        </is>
      </c>
      <c r="I5280" s="32" t="n">
        <v>2385.256</v>
      </c>
      <c r="K5280" s="32" t="inlineStr">
        <is>
          <t>20250514-32</t>
        </is>
      </c>
    </row>
    <row r="5281">
      <c r="A5281" s="32" t="n">
        <v>22</v>
      </c>
      <c r="B5281" s="32" t="inlineStr">
        <is>
          <t>K4-2B</t>
        </is>
      </c>
      <c r="D5281" s="32" t="n">
        <v>16.61</v>
      </c>
      <c r="E5281" s="32" t="n">
        <v>3131.821</v>
      </c>
      <c r="G5281" s="32" t="n">
        <v>29285</v>
      </c>
      <c r="H5281" s="32" t="inlineStr">
        <is>
          <t>bb</t>
        </is>
      </c>
      <c r="I5281" s="32" t="n">
        <v>3131.821</v>
      </c>
      <c r="K5281" s="32" t="inlineStr">
        <is>
          <t>20250514-33</t>
        </is>
      </c>
    </row>
    <row r="5282">
      <c r="A5282" s="32" t="n">
        <v>23</v>
      </c>
      <c r="B5282" s="32" t="inlineStr">
        <is>
          <t>K4-2C</t>
        </is>
      </c>
      <c r="D5282" s="32" t="n">
        <v>16.62</v>
      </c>
      <c r="E5282" s="32" t="n">
        <v>2135.685</v>
      </c>
      <c r="G5282" s="32" t="n">
        <v>20151</v>
      </c>
      <c r="H5282" s="32" t="inlineStr">
        <is>
          <t>bb</t>
        </is>
      </c>
      <c r="I5282" s="32" t="n">
        <v>2135.685</v>
      </c>
      <c r="K5282" s="32" t="inlineStr">
        <is>
          <t>20250514-34</t>
        </is>
      </c>
    </row>
    <row r="5283">
      <c r="A5283" s="32" t="n">
        <v>24</v>
      </c>
      <c r="B5283" s="32" t="inlineStr">
        <is>
          <t>MeOH</t>
        </is>
      </c>
      <c r="D5283" s="32" t="n">
        <v>16.65</v>
      </c>
      <c r="E5283" s="32" t="n">
        <v>59.006</v>
      </c>
      <c r="G5283" s="32" t="n">
        <v>87.38</v>
      </c>
      <c r="H5283" s="32" t="inlineStr">
        <is>
          <t>bb</t>
        </is>
      </c>
      <c r="I5283" s="32" t="n">
        <v>59.006</v>
      </c>
      <c r="K5283" s="32" t="inlineStr">
        <is>
          <t>20250514-35</t>
        </is>
      </c>
    </row>
    <row r="5284">
      <c r="A5284" s="32" t="n">
        <v>25</v>
      </c>
      <c r="B5284" s="32" t="inlineStr">
        <is>
          <t>K4-4A</t>
        </is>
      </c>
      <c r="D5284" s="32" t="n">
        <v>16.64</v>
      </c>
      <c r="E5284" s="32" t="n">
        <v>2887.29</v>
      </c>
      <c r="G5284" s="32" t="n">
        <v>63.31</v>
      </c>
      <c r="H5284" s="32" t="inlineStr">
        <is>
          <t>bb</t>
        </is>
      </c>
      <c r="I5284" s="32" t="n">
        <v>2887.29</v>
      </c>
      <c r="K5284" s="32" t="inlineStr">
        <is>
          <t>20250514-36</t>
        </is>
      </c>
    </row>
    <row r="5285">
      <c r="A5285" s="32" t="n">
        <v>26</v>
      </c>
      <c r="B5285" s="32" t="inlineStr">
        <is>
          <t>K4-4B</t>
        </is>
      </c>
      <c r="D5285" s="32" t="n">
        <v>16.64</v>
      </c>
      <c r="E5285" s="32" t="n">
        <v>2919.135</v>
      </c>
      <c r="G5285" s="32" t="n">
        <v>321.15</v>
      </c>
      <c r="H5285" s="32" t="inlineStr">
        <is>
          <t>bb</t>
        </is>
      </c>
      <c r="I5285" s="32" t="n">
        <v>2919.135</v>
      </c>
      <c r="K5285" s="32" t="inlineStr">
        <is>
          <t>20250514-37</t>
        </is>
      </c>
    </row>
    <row r="5286">
      <c r="A5286" s="32" t="n">
        <v>27</v>
      </c>
      <c r="B5286" s="32" t="inlineStr">
        <is>
          <t>K4-4C</t>
        </is>
      </c>
      <c r="D5286" s="32" t="n">
        <v>16.64</v>
      </c>
      <c r="E5286" s="32" t="n">
        <v>3329.32</v>
      </c>
      <c r="G5286" s="32" t="n">
        <v>235.998</v>
      </c>
      <c r="H5286" s="32" t="inlineStr">
        <is>
          <t>bb</t>
        </is>
      </c>
      <c r="I5286" s="32" t="n">
        <v>3329.32</v>
      </c>
      <c r="K5286" s="32" t="inlineStr">
        <is>
          <t>20250514-38</t>
        </is>
      </c>
    </row>
    <row r="5287">
      <c r="A5287" s="32" t="n">
        <v>28</v>
      </c>
      <c r="B5287" s="32" t="inlineStr">
        <is>
          <t>K4-5A</t>
        </is>
      </c>
      <c r="D5287" s="32" t="n">
        <v>16.63</v>
      </c>
      <c r="E5287" s="32" t="n">
        <v>1977.385</v>
      </c>
      <c r="G5287" s="32" t="n">
        <v>17443</v>
      </c>
      <c r="H5287" s="32" t="inlineStr">
        <is>
          <t>bb</t>
        </is>
      </c>
      <c r="I5287" s="32" t="n">
        <v>1977.385</v>
      </c>
      <c r="K5287" s="32" t="inlineStr">
        <is>
          <t>20250514-39</t>
        </is>
      </c>
    </row>
    <row r="5288">
      <c r="A5288" s="32" t="n">
        <v>29</v>
      </c>
      <c r="B5288" s="32" t="inlineStr">
        <is>
          <t>K4-5B</t>
        </is>
      </c>
      <c r="D5288" s="32" t="n">
        <v>16.62</v>
      </c>
      <c r="E5288" s="32" t="n">
        <v>3131.076</v>
      </c>
      <c r="G5288" s="32" t="n">
        <v>29309</v>
      </c>
      <c r="H5288" s="32" t="inlineStr">
        <is>
          <t>bb</t>
        </is>
      </c>
      <c r="I5288" s="32" t="n">
        <v>3131.076</v>
      </c>
      <c r="K5288" s="32" t="inlineStr">
        <is>
          <t>20250514-40</t>
        </is>
      </c>
    </row>
    <row r="5289">
      <c r="A5289" s="32" t="n">
        <v>30</v>
      </c>
      <c r="B5289" s="32" t="inlineStr">
        <is>
          <t>K4-5C</t>
        </is>
      </c>
      <c r="D5289" s="32" t="n">
        <v>16.58</v>
      </c>
      <c r="E5289" s="32" t="n">
        <v>2297.892</v>
      </c>
      <c r="G5289" s="32" t="n">
        <v>138.487</v>
      </c>
      <c r="H5289" s="32" t="inlineStr">
        <is>
          <t>bb</t>
        </is>
      </c>
      <c r="I5289" s="32" t="n">
        <v>2297.892</v>
      </c>
      <c r="K5289" s="32" t="inlineStr">
        <is>
          <t>20250514-41</t>
        </is>
      </c>
    </row>
    <row r="5290">
      <c r="A5290" s="32" t="n">
        <v>31</v>
      </c>
      <c r="B5290" s="32" t="inlineStr">
        <is>
          <t>MeOH</t>
        </is>
      </c>
      <c r="D5290" s="32" t="n">
        <v>16.5</v>
      </c>
      <c r="E5290" s="32" t="n">
        <v>38.744</v>
      </c>
      <c r="G5290" s="32" t="n">
        <v>454</v>
      </c>
      <c r="H5290" s="32" t="inlineStr">
        <is>
          <t>bb</t>
        </is>
      </c>
      <c r="I5290" s="32" t="n">
        <v>38.744</v>
      </c>
      <c r="K5290" s="32" t="inlineStr">
        <is>
          <t>20250514-42</t>
        </is>
      </c>
    </row>
    <row r="5291">
      <c r="A5291" s="32" t="n">
        <v>32</v>
      </c>
      <c r="B5291" s="32" t="inlineStr">
        <is>
          <t>K3-1A</t>
        </is>
      </c>
      <c r="D5291" s="32" t="n">
        <v>16.57</v>
      </c>
      <c r="E5291" s="32" t="n">
        <v>2985.162</v>
      </c>
      <c r="G5291" s="32" t="n">
        <v>47.484</v>
      </c>
      <c r="H5291" s="32" t="inlineStr">
        <is>
          <t>bb</t>
        </is>
      </c>
      <c r="I5291" s="32" t="n">
        <v>2985.162</v>
      </c>
      <c r="K5291" s="32" t="inlineStr">
        <is>
          <t>20250514-43</t>
        </is>
      </c>
    </row>
    <row r="5292">
      <c r="A5292" s="32" t="n">
        <v>33</v>
      </c>
      <c r="B5292" s="32" t="inlineStr">
        <is>
          <t>K3-1B</t>
        </is>
      </c>
      <c r="D5292" s="32" t="n">
        <v>16.58</v>
      </c>
      <c r="E5292" s="32" t="n">
        <v>2676.21</v>
      </c>
      <c r="G5292" s="32" t="n">
        <v>502.492</v>
      </c>
      <c r="H5292" s="32" t="inlineStr">
        <is>
          <t>bb</t>
        </is>
      </c>
      <c r="I5292" s="32" t="n">
        <v>2676.21</v>
      </c>
      <c r="K5292" s="32" t="inlineStr">
        <is>
          <t>20250514-44</t>
        </is>
      </c>
    </row>
    <row r="5293">
      <c r="A5293" s="32" t="n">
        <v>34</v>
      </c>
      <c r="B5293" s="32" t="inlineStr">
        <is>
          <t>K3-1C</t>
        </is>
      </c>
      <c r="D5293" s="32" t="n">
        <v>16.61</v>
      </c>
      <c r="E5293" s="32" t="n">
        <v>3875.137</v>
      </c>
      <c r="G5293" s="32" t="n">
        <v>357.65</v>
      </c>
      <c r="H5293" s="32" t="inlineStr">
        <is>
          <t>bb</t>
        </is>
      </c>
      <c r="I5293" s="32" t="n">
        <v>3875.137</v>
      </c>
      <c r="K5293" s="32" t="inlineStr">
        <is>
          <t>20250514-45</t>
        </is>
      </c>
    </row>
    <row r="5294">
      <c r="A5294" s="32" t="n">
        <v>35</v>
      </c>
      <c r="B5294" s="32" t="inlineStr">
        <is>
          <t>K3-2A</t>
        </is>
      </c>
      <c r="D5294" s="32" t="n">
        <v>16.62</v>
      </c>
      <c r="E5294" s="32" t="n">
        <v>3168.367</v>
      </c>
      <c r="G5294" s="32" t="n">
        <v>489.773</v>
      </c>
      <c r="H5294" s="32" t="inlineStr">
        <is>
          <t>bb</t>
        </is>
      </c>
      <c r="I5294" s="32" t="n">
        <v>3168.367</v>
      </c>
      <c r="K5294" s="32" t="inlineStr">
        <is>
          <t>20250514-46</t>
        </is>
      </c>
    </row>
    <row r="5295">
      <c r="A5295" s="32" t="n">
        <v>36</v>
      </c>
      <c r="B5295" s="32" t="inlineStr">
        <is>
          <t>K3-2B</t>
        </is>
      </c>
      <c r="D5295" s="32" t="n">
        <v>16.61</v>
      </c>
      <c r="E5295" s="32" t="n">
        <v>4417.959</v>
      </c>
      <c r="G5295" s="32" t="n">
        <v>131.999</v>
      </c>
      <c r="H5295" s="32" t="inlineStr">
        <is>
          <t>bb</t>
        </is>
      </c>
      <c r="I5295" s="32" t="n">
        <v>4417.959</v>
      </c>
      <c r="K5295" s="32" t="inlineStr">
        <is>
          <t>20250514-47</t>
        </is>
      </c>
    </row>
    <row r="5296">
      <c r="A5296" s="32" t="n">
        <v>37</v>
      </c>
      <c r="B5296" s="32" t="inlineStr">
        <is>
          <t>K3-2C</t>
        </is>
      </c>
      <c r="D5296" s="32" t="n">
        <v>16.63</v>
      </c>
      <c r="E5296" s="32" t="n">
        <v>2880.977</v>
      </c>
      <c r="G5296" s="32" t="n">
        <v>186.474</v>
      </c>
      <c r="H5296" s="32" t="inlineStr">
        <is>
          <t>bb</t>
        </is>
      </c>
      <c r="I5296" s="32" t="n">
        <v>2880.977</v>
      </c>
      <c r="K5296" s="32" t="inlineStr">
        <is>
          <t>20250514-48</t>
        </is>
      </c>
    </row>
    <row r="5297">
      <c r="A5297" s="32" t="n">
        <v>38</v>
      </c>
      <c r="B5297" s="32" t="inlineStr">
        <is>
          <t>MeOH</t>
        </is>
      </c>
      <c r="D5297" s="32" t="n">
        <v>16.67</v>
      </c>
      <c r="E5297" s="32" t="n">
        <v>1.617</v>
      </c>
      <c r="G5297" s="32" t="n">
        <v>21</v>
      </c>
      <c r="H5297" s="32" t="inlineStr">
        <is>
          <t>bb</t>
        </is>
      </c>
      <c r="I5297" s="32" t="n">
        <v>1.617</v>
      </c>
      <c r="K5297" s="32" t="inlineStr">
        <is>
          <t>20250514-49</t>
        </is>
      </c>
    </row>
    <row r="5298">
      <c r="A5298" s="32" t="n">
        <v>39</v>
      </c>
      <c r="B5298" s="32" t="inlineStr">
        <is>
          <t>K3-3A</t>
        </is>
      </c>
      <c r="D5298" s="32" t="n">
        <v>16.65</v>
      </c>
      <c r="E5298" s="32" t="n">
        <v>2707.321</v>
      </c>
      <c r="G5298" s="32" t="n">
        <v>24192</v>
      </c>
      <c r="H5298" s="32" t="inlineStr">
        <is>
          <t>bb</t>
        </is>
      </c>
      <c r="I5298" s="32" t="n">
        <v>2707.321</v>
      </c>
      <c r="K5298" s="32" t="inlineStr">
        <is>
          <t>20250514-50</t>
        </is>
      </c>
    </row>
    <row r="5299">
      <c r="A5299" s="32" t="n">
        <v>40</v>
      </c>
      <c r="B5299" s="32" t="inlineStr">
        <is>
          <t>K3-3B</t>
        </is>
      </c>
      <c r="D5299" s="32" t="n">
        <v>16.67</v>
      </c>
      <c r="E5299" s="32" t="n">
        <v>2642.736</v>
      </c>
      <c r="G5299" s="32" t="n">
        <v>172.329</v>
      </c>
      <c r="H5299" s="32" t="inlineStr">
        <is>
          <t>bb</t>
        </is>
      </c>
      <c r="I5299" s="32" t="n">
        <v>2642.736</v>
      </c>
      <c r="K5299" s="32" t="inlineStr">
        <is>
          <t>20250514-51</t>
        </is>
      </c>
    </row>
    <row r="5300">
      <c r="A5300" s="32" t="n">
        <v>41</v>
      </c>
      <c r="B5300" s="32" t="inlineStr">
        <is>
          <t>K3-3C</t>
        </is>
      </c>
      <c r="D5300" s="32" t="n">
        <v>16.67</v>
      </c>
      <c r="E5300" s="32" t="n">
        <v>3172.924</v>
      </c>
      <c r="G5300" s="32" t="n">
        <v>222.292</v>
      </c>
      <c r="H5300" s="32" t="inlineStr">
        <is>
          <t>bb</t>
        </is>
      </c>
      <c r="I5300" s="32" t="n">
        <v>3172.924</v>
      </c>
      <c r="K5300" s="32" t="inlineStr">
        <is>
          <t>20250514-52</t>
        </is>
      </c>
    </row>
    <row r="5301">
      <c r="A5301" s="32" t="n">
        <v>42</v>
      </c>
      <c r="B5301" s="32" t="inlineStr">
        <is>
          <t>K3-4A</t>
        </is>
      </c>
      <c r="D5301" s="32" t="n">
        <v>16.71</v>
      </c>
      <c r="E5301" s="32" t="n">
        <v>3319.839</v>
      </c>
      <c r="G5301" s="32" t="n">
        <v>178.042</v>
      </c>
      <c r="H5301" s="32" t="inlineStr">
        <is>
          <t>bb</t>
        </is>
      </c>
      <c r="I5301" s="32" t="n">
        <v>3319.839</v>
      </c>
      <c r="K5301" s="32" t="inlineStr">
        <is>
          <t>20250514-53</t>
        </is>
      </c>
    </row>
    <row r="5302">
      <c r="A5302" s="32" t="n">
        <v>43</v>
      </c>
      <c r="B5302" s="32" t="inlineStr">
        <is>
          <t>K3-4B</t>
        </is>
      </c>
      <c r="D5302" s="32" t="n">
        <v>16.71</v>
      </c>
      <c r="E5302" s="32" t="n">
        <v>3401.324</v>
      </c>
      <c r="G5302" s="32" t="n">
        <v>625.933</v>
      </c>
      <c r="H5302" s="32" t="inlineStr">
        <is>
          <t>bb</t>
        </is>
      </c>
      <c r="I5302" s="32" t="n">
        <v>3401.324</v>
      </c>
      <c r="K5302" s="32" t="inlineStr">
        <is>
          <t>20250514-54</t>
        </is>
      </c>
    </row>
    <row r="5303">
      <c r="A5303" s="32" t="n">
        <v>44</v>
      </c>
      <c r="B5303" s="32" t="inlineStr">
        <is>
          <t>K3-4C</t>
        </is>
      </c>
      <c r="D5303" s="32" t="n">
        <v>16.73</v>
      </c>
      <c r="E5303" s="32" t="n">
        <v>3613.869</v>
      </c>
      <c r="G5303" s="32" t="n">
        <v>163.728</v>
      </c>
      <c r="H5303" s="32" t="inlineStr">
        <is>
          <t>bb</t>
        </is>
      </c>
      <c r="I5303" s="32" t="n">
        <v>3613.869</v>
      </c>
      <c r="K5303" s="32" t="inlineStr">
        <is>
          <t>20250514-55</t>
        </is>
      </c>
    </row>
    <row r="5304">
      <c r="A5304" s="32" t="n">
        <v>45</v>
      </c>
      <c r="B5304" s="32" t="inlineStr">
        <is>
          <t>MeOH</t>
        </is>
      </c>
      <c r="D5304" s="32" t="n">
        <v>16.74</v>
      </c>
      <c r="E5304" s="32" t="n">
        <v>15.748</v>
      </c>
      <c r="G5304" s="32" t="n">
        <v>190</v>
      </c>
      <c r="H5304" s="32" t="inlineStr">
        <is>
          <t>bb</t>
        </is>
      </c>
      <c r="I5304" s="32" t="n">
        <v>15.748</v>
      </c>
      <c r="K5304" s="32" t="inlineStr">
        <is>
          <t>20250514-56</t>
        </is>
      </c>
    </row>
    <row r="5305">
      <c r="A5305" s="32" t="n">
        <v>46</v>
      </c>
      <c r="B5305" s="32" t="inlineStr">
        <is>
          <t>K3-6A</t>
        </is>
      </c>
      <c r="D5305" s="32" t="n">
        <v>16.74</v>
      </c>
      <c r="E5305" s="32" t="n">
        <v>2614.758</v>
      </c>
      <c r="G5305" s="32" t="n">
        <v>51.303</v>
      </c>
      <c r="H5305" s="32" t="inlineStr">
        <is>
          <t>bb</t>
        </is>
      </c>
      <c r="I5305" s="32" t="n">
        <v>2614.758</v>
      </c>
      <c r="K5305" s="32" t="inlineStr">
        <is>
          <t>20250514-57</t>
        </is>
      </c>
    </row>
    <row r="5306">
      <c r="A5306" s="32" t="n">
        <v>47</v>
      </c>
      <c r="B5306" s="32" t="inlineStr">
        <is>
          <t>K3-6B</t>
        </is>
      </c>
      <c r="D5306" s="32" t="n">
        <v>16.73</v>
      </c>
      <c r="E5306" s="32" t="n">
        <v>2672.94</v>
      </c>
      <c r="G5306" s="32" t="n">
        <v>24167</v>
      </c>
      <c r="H5306" s="32" t="inlineStr">
        <is>
          <t>bb</t>
        </is>
      </c>
      <c r="I5306" s="32" t="n">
        <v>2672.94</v>
      </c>
      <c r="K5306" s="32" t="inlineStr">
        <is>
          <t>20250514-58</t>
        </is>
      </c>
    </row>
    <row r="5307">
      <c r="A5307" s="32" t="n">
        <v>48</v>
      </c>
      <c r="B5307" s="32" t="inlineStr">
        <is>
          <t>K3-6C</t>
        </is>
      </c>
      <c r="D5307" s="32" t="n">
        <v>16.72</v>
      </c>
      <c r="E5307" s="32" t="n">
        <v>2110.161</v>
      </c>
      <c r="G5307" s="32" t="n">
        <v>18340</v>
      </c>
      <c r="H5307" s="32" t="inlineStr">
        <is>
          <t>bb</t>
        </is>
      </c>
      <c r="I5307" s="32" t="n">
        <v>2110.161</v>
      </c>
      <c r="K5307" s="32" t="inlineStr">
        <is>
          <t>20250514-59</t>
        </is>
      </c>
    </row>
    <row r="5309">
      <c r="A5309" s="32" t="inlineStr">
        <is>
          <t>Compound 103:  10:2 FTUCA 1</t>
        </is>
      </c>
    </row>
    <row r="5311">
      <c r="B5311" s="32" t="inlineStr">
        <is>
          <t>Sample Text</t>
        </is>
      </c>
      <c r="C5311" s="32" t="inlineStr">
        <is>
          <t>Std. Conc</t>
        </is>
      </c>
      <c r="D5311" s="32" t="inlineStr">
        <is>
          <t>RT</t>
        </is>
      </c>
      <c r="E5311" s="32" t="inlineStr">
        <is>
          <t>Area</t>
        </is>
      </c>
      <c r="F5311" s="32" t="inlineStr">
        <is>
          <t>IS Area</t>
        </is>
      </c>
      <c r="G5311" s="32" t="inlineStr">
        <is>
          <t>S/N</t>
        </is>
      </c>
      <c r="H5311" s="32" t="inlineStr">
        <is>
          <t>Primary Flags</t>
        </is>
      </c>
      <c r="I5311" s="32" t="inlineStr">
        <is>
          <t>Response</t>
        </is>
      </c>
      <c r="J5311" s="32" t="inlineStr">
        <is>
          <t>Conc.</t>
        </is>
      </c>
      <c r="K5311" s="32" t="inlineStr">
        <is>
          <t>Name</t>
        </is>
      </c>
    </row>
    <row r="5312">
      <c r="A5312" s="32" t="n">
        <v>1</v>
      </c>
      <c r="B5312" s="32" t="inlineStr">
        <is>
          <t>EPA1633 &amp; diPAPs Calibration 0 ppb</t>
        </is>
      </c>
      <c r="D5312" s="32" t="n">
        <v>15.14</v>
      </c>
      <c r="E5312" s="32" t="n">
        <v>3983.531</v>
      </c>
      <c r="F5312" s="32" t="n">
        <v>68189.008</v>
      </c>
      <c r="G5312" s="32" t="n">
        <v>26.872</v>
      </c>
      <c r="H5312" s="32" t="inlineStr">
        <is>
          <t>bb</t>
        </is>
      </c>
      <c r="K5312" s="32" t="inlineStr">
        <is>
          <t>20250514-12</t>
        </is>
      </c>
    </row>
    <row r="5313">
      <c r="A5313" s="32" t="n">
        <v>2</v>
      </c>
      <c r="B5313" s="32" t="inlineStr">
        <is>
          <t>EPA1633 &amp; diPAPs Calibration 0.02 ppb</t>
        </is>
      </c>
      <c r="D5313" s="32" t="n">
        <v>15.17</v>
      </c>
      <c r="E5313" s="32" t="n">
        <v>6130.959</v>
      </c>
      <c r="F5313" s="32" t="n">
        <v>61484.391</v>
      </c>
      <c r="G5313" s="32" t="n">
        <v>164.126</v>
      </c>
      <c r="H5313" s="32" t="inlineStr">
        <is>
          <t>bb</t>
        </is>
      </c>
      <c r="K5313" s="32" t="inlineStr">
        <is>
          <t>20250514-13</t>
        </is>
      </c>
    </row>
    <row r="5314">
      <c r="A5314" s="32" t="n">
        <v>3</v>
      </c>
      <c r="B5314" s="32" t="inlineStr">
        <is>
          <t>EPA1633 &amp; diPAPs Calibration 0.1 ppb</t>
        </is>
      </c>
      <c r="D5314" s="32" t="n">
        <v>15.17</v>
      </c>
      <c r="E5314" s="32" t="n">
        <v>11482.545</v>
      </c>
      <c r="F5314" s="32" t="n">
        <v>63501.434</v>
      </c>
      <c r="G5314" s="32" t="n">
        <v>72902</v>
      </c>
      <c r="H5314" s="32" t="inlineStr">
        <is>
          <t>bb</t>
        </is>
      </c>
      <c r="K5314" s="32" t="inlineStr">
        <is>
          <t>20250514-14</t>
        </is>
      </c>
    </row>
    <row r="5315">
      <c r="A5315" s="32" t="n">
        <v>4</v>
      </c>
      <c r="B5315" s="32" t="inlineStr">
        <is>
          <t>EPA1633 &amp; diPAPs Calibration 0.4 ppb</t>
        </is>
      </c>
      <c r="D5315" s="32" t="n">
        <v>15.17</v>
      </c>
      <c r="E5315" s="32" t="n">
        <v>35478.27</v>
      </c>
      <c r="F5315" s="32" t="n">
        <v>57149.977</v>
      </c>
      <c r="G5315" s="32" t="n">
        <v>1015.565</v>
      </c>
      <c r="H5315" s="32" t="inlineStr">
        <is>
          <t>bb</t>
        </is>
      </c>
      <c r="K5315" s="32" t="inlineStr">
        <is>
          <t>20250514-15</t>
        </is>
      </c>
    </row>
    <row r="5316">
      <c r="A5316" s="32" t="n">
        <v>5</v>
      </c>
      <c r="B5316" s="32" t="inlineStr">
        <is>
          <t>EPA1633 &amp; diPAPs Calibration 1 ppb</t>
        </is>
      </c>
      <c r="D5316" s="32" t="n">
        <v>15.15</v>
      </c>
      <c r="E5316" s="32" t="n">
        <v>63231.914</v>
      </c>
      <c r="F5316" s="32" t="n">
        <v>71495.45299999999</v>
      </c>
      <c r="G5316" s="32" t="n">
        <v>2362.49</v>
      </c>
      <c r="H5316" s="32" t="inlineStr">
        <is>
          <t>bb</t>
        </is>
      </c>
      <c r="K5316" s="32" t="inlineStr">
        <is>
          <t>20250514-16</t>
        </is>
      </c>
    </row>
    <row r="5317">
      <c r="A5317" s="32" t="n">
        <v>6</v>
      </c>
      <c r="B5317" s="32" t="inlineStr">
        <is>
          <t>EPA1633 &amp; diPAPs Calibration 5 ppb</t>
        </is>
      </c>
      <c r="D5317" s="32" t="n">
        <v>15.13</v>
      </c>
      <c r="E5317" s="32" t="n">
        <v>265786.594</v>
      </c>
      <c r="F5317" s="32" t="n">
        <v>55511.488</v>
      </c>
      <c r="G5317" s="32" t="n">
        <v>997.176</v>
      </c>
      <c r="H5317" s="32" t="inlineStr">
        <is>
          <t>bb</t>
        </is>
      </c>
      <c r="K5317" s="32" t="inlineStr">
        <is>
          <t>20250514-17</t>
        </is>
      </c>
    </row>
    <row r="5318">
      <c r="A5318" s="32" t="n">
        <v>7</v>
      </c>
      <c r="B5318" s="32" t="inlineStr">
        <is>
          <t>EPA1633 &amp; diPAPs Calibration 10 ppb</t>
        </is>
      </c>
      <c r="D5318" s="32" t="n">
        <v>15.13</v>
      </c>
      <c r="E5318" s="32" t="n">
        <v>466660</v>
      </c>
      <c r="F5318" s="32" t="n">
        <v>42641.691</v>
      </c>
      <c r="G5318" s="32" t="n">
        <v>8034.862</v>
      </c>
      <c r="H5318" s="32" t="inlineStr">
        <is>
          <t>bb</t>
        </is>
      </c>
      <c r="K5318" s="32" t="inlineStr">
        <is>
          <t>20250514-18</t>
        </is>
      </c>
    </row>
    <row r="5319">
      <c r="A5319" s="32" t="n">
        <v>8</v>
      </c>
      <c r="B5319" s="32" t="inlineStr">
        <is>
          <t>EPA1633 &amp; diPAPs Calibration 20 ppb</t>
        </is>
      </c>
      <c r="D5319" s="32" t="n">
        <v>15.14</v>
      </c>
      <c r="E5319" s="32" t="n">
        <v>979481.875</v>
      </c>
      <c r="F5319" s="32" t="n">
        <v>48928.695</v>
      </c>
      <c r="G5319" s="32" t="n">
        <v>7103.993</v>
      </c>
      <c r="H5319" s="32" t="inlineStr">
        <is>
          <t>bb</t>
        </is>
      </c>
      <c r="K5319" s="32" t="inlineStr">
        <is>
          <t>20250514-19</t>
        </is>
      </c>
    </row>
    <row r="5320">
      <c r="A5320" s="32" t="n">
        <v>9</v>
      </c>
      <c r="B5320" s="32" t="inlineStr">
        <is>
          <t>MeOH</t>
        </is>
      </c>
      <c r="D5320" s="32" t="n">
        <v>15.17</v>
      </c>
      <c r="E5320" s="32" t="n">
        <v>2745.4</v>
      </c>
      <c r="F5320" s="32" t="n">
        <v>142.221</v>
      </c>
      <c r="G5320" s="32" t="n">
        <v>16394</v>
      </c>
      <c r="H5320" s="32" t="inlineStr">
        <is>
          <t>bb</t>
        </is>
      </c>
      <c r="K5320" s="32" t="inlineStr">
        <is>
          <t>20250514-20</t>
        </is>
      </c>
    </row>
    <row r="5321">
      <c r="A5321" s="32" t="n">
        <v>10</v>
      </c>
      <c r="B5321" s="32" t="inlineStr">
        <is>
          <t>MeOH</t>
        </is>
      </c>
      <c r="D5321" s="32" t="n">
        <v>15.18</v>
      </c>
      <c r="E5321" s="32" t="n">
        <v>1154.211</v>
      </c>
      <c r="F5321" s="32" t="n">
        <v>51.685</v>
      </c>
      <c r="G5321" s="32" t="n">
        <v>7210</v>
      </c>
      <c r="H5321" s="32" t="inlineStr">
        <is>
          <t>bb</t>
        </is>
      </c>
      <c r="K5321" s="32" t="inlineStr">
        <is>
          <t>20250514-21</t>
        </is>
      </c>
    </row>
    <row r="5322">
      <c r="A5322" s="32" t="n">
        <v>11</v>
      </c>
      <c r="B5322" s="32" t="inlineStr">
        <is>
          <t>SB1</t>
        </is>
      </c>
      <c r="D5322" s="32" t="n">
        <v>15.17</v>
      </c>
      <c r="E5322" s="32" t="n">
        <v>541.818</v>
      </c>
      <c r="F5322" s="32" t="n">
        <v>23240.385</v>
      </c>
      <c r="G5322" s="32" t="n">
        <v>10.423</v>
      </c>
      <c r="H5322" s="32" t="inlineStr">
        <is>
          <t>bb</t>
        </is>
      </c>
      <c r="K5322" s="32" t="inlineStr">
        <is>
          <t>20250514-22</t>
        </is>
      </c>
    </row>
    <row r="5323">
      <c r="A5323" s="32" t="n">
        <v>12</v>
      </c>
      <c r="B5323" s="32" t="inlineStr">
        <is>
          <t>SB2</t>
        </is>
      </c>
      <c r="D5323" s="32" t="n">
        <v>15.23</v>
      </c>
      <c r="E5323" s="32" t="n">
        <v>12.718</v>
      </c>
      <c r="F5323" s="32" t="n">
        <v>20862.051</v>
      </c>
      <c r="G5323" s="32" t="n">
        <v>108</v>
      </c>
      <c r="H5323" s="32" t="inlineStr">
        <is>
          <t>bb</t>
        </is>
      </c>
      <c r="K5323" s="32" t="inlineStr">
        <is>
          <t>20250514-23</t>
        </is>
      </c>
    </row>
    <row r="5324">
      <c r="A5324" s="32" t="n">
        <v>13</v>
      </c>
      <c r="B5324" s="32" t="inlineStr">
        <is>
          <t>SB3</t>
        </is>
      </c>
      <c r="D5324" s="32" t="n">
        <v>15.2</v>
      </c>
      <c r="E5324" s="32" t="n">
        <v>73.297</v>
      </c>
      <c r="F5324" s="32" t="n">
        <v>19219.836</v>
      </c>
      <c r="G5324" s="32" t="n">
        <v>475</v>
      </c>
      <c r="H5324" s="32" t="inlineStr">
        <is>
          <t>bb</t>
        </is>
      </c>
      <c r="K5324" s="32" t="inlineStr">
        <is>
          <t>20250514-24</t>
        </is>
      </c>
    </row>
    <row r="5325">
      <c r="A5325" s="32" t="n">
        <v>14</v>
      </c>
      <c r="B5325" s="32" t="inlineStr">
        <is>
          <t>SS1</t>
        </is>
      </c>
      <c r="D5325" s="32" t="n">
        <v>15.21</v>
      </c>
      <c r="E5325" s="32" t="n">
        <v>185035.766</v>
      </c>
      <c r="F5325" s="32" t="n">
        <v>19767.512</v>
      </c>
      <c r="G5325" s="32" t="n">
        <v>3214.406</v>
      </c>
      <c r="H5325" s="32" t="inlineStr">
        <is>
          <t>bb</t>
        </is>
      </c>
      <c r="K5325" s="32" t="inlineStr">
        <is>
          <t>20250514-25</t>
        </is>
      </c>
    </row>
    <row r="5326">
      <c r="A5326" s="32" t="n">
        <v>15</v>
      </c>
      <c r="B5326" s="32" t="inlineStr">
        <is>
          <t>SS2</t>
        </is>
      </c>
      <c r="D5326" s="32" t="n">
        <v>15.21</v>
      </c>
      <c r="E5326" s="32" t="n">
        <v>194341.172</v>
      </c>
      <c r="F5326" s="32" t="n">
        <v>20699.598</v>
      </c>
      <c r="G5326" s="32" t="n">
        <v>2008.061</v>
      </c>
      <c r="H5326" s="32" t="inlineStr">
        <is>
          <t>bb</t>
        </is>
      </c>
      <c r="K5326" s="32" t="inlineStr">
        <is>
          <t>20250514-26</t>
        </is>
      </c>
    </row>
    <row r="5327">
      <c r="A5327" s="32" t="n">
        <v>16</v>
      </c>
      <c r="B5327" s="32" t="inlineStr">
        <is>
          <t>SS3</t>
        </is>
      </c>
      <c r="D5327" s="32" t="n">
        <v>15.23</v>
      </c>
      <c r="E5327" s="32" t="n">
        <v>179323.094</v>
      </c>
      <c r="F5327" s="32" t="n">
        <v>17356.738</v>
      </c>
      <c r="G5327" s="32" t="n">
        <v>2044.404</v>
      </c>
      <c r="H5327" s="32" t="inlineStr">
        <is>
          <t>bb</t>
        </is>
      </c>
      <c r="K5327" s="32" t="inlineStr">
        <is>
          <t>20250514-27</t>
        </is>
      </c>
    </row>
    <row r="5328">
      <c r="A5328" s="32" t="n">
        <v>17</v>
      </c>
      <c r="B5328" s="32" t="inlineStr">
        <is>
          <t>MeOH</t>
        </is>
      </c>
      <c r="D5328" s="32" t="n">
        <v>15.21</v>
      </c>
      <c r="E5328" s="32" t="n">
        <v>1632.732</v>
      </c>
      <c r="F5328" s="32" t="n">
        <v>70.66800000000001</v>
      </c>
      <c r="G5328" s="32" t="n">
        <v>10137</v>
      </c>
      <c r="H5328" s="32" t="inlineStr">
        <is>
          <t>bb</t>
        </is>
      </c>
      <c r="K5328" s="32" t="inlineStr">
        <is>
          <t>20250514-28</t>
        </is>
      </c>
    </row>
    <row r="5329">
      <c r="A5329" s="32" t="n">
        <v>18</v>
      </c>
      <c r="B5329" s="32" t="inlineStr">
        <is>
          <t>K4-1A</t>
        </is>
      </c>
      <c r="D5329" s="32" t="n">
        <v>15.23</v>
      </c>
      <c r="E5329" s="32" t="n">
        <v>521.458</v>
      </c>
      <c r="F5329" s="32" t="n">
        <v>24821.027</v>
      </c>
      <c r="G5329" s="32" t="n">
        <v>3550</v>
      </c>
      <c r="H5329" s="32" t="inlineStr">
        <is>
          <t>bb</t>
        </is>
      </c>
      <c r="K5329" s="32" t="inlineStr">
        <is>
          <t>20250514-29</t>
        </is>
      </c>
    </row>
    <row r="5330">
      <c r="A5330" s="32" t="n">
        <v>19</v>
      </c>
      <c r="B5330" s="32" t="inlineStr">
        <is>
          <t>K4-1B</t>
        </is>
      </c>
      <c r="D5330" s="32" t="n">
        <v>15.23</v>
      </c>
      <c r="E5330" s="32" t="n">
        <v>181.737</v>
      </c>
      <c r="F5330" s="32" t="n">
        <v>24418.576</v>
      </c>
      <c r="G5330" s="32" t="n">
        <v>1252</v>
      </c>
      <c r="H5330" s="32" t="inlineStr">
        <is>
          <t>bb</t>
        </is>
      </c>
      <c r="K5330" s="32" t="inlineStr">
        <is>
          <t>20250514-30</t>
        </is>
      </c>
    </row>
    <row r="5331">
      <c r="A5331" s="32" t="n">
        <v>20</v>
      </c>
      <c r="B5331" s="32" t="inlineStr">
        <is>
          <t>K4-1C</t>
        </is>
      </c>
      <c r="D5331" s="32" t="n">
        <v>15.31</v>
      </c>
      <c r="E5331" s="32" t="n">
        <v>241.453</v>
      </c>
      <c r="F5331" s="32" t="n">
        <v>22987.746</v>
      </c>
      <c r="G5331" s="32" t="n">
        <v>1245</v>
      </c>
      <c r="H5331" s="32" t="inlineStr">
        <is>
          <t>bb</t>
        </is>
      </c>
      <c r="K5331" s="32" t="inlineStr">
        <is>
          <t>20250514-31</t>
        </is>
      </c>
    </row>
    <row r="5332">
      <c r="A5332" s="32" t="n">
        <v>21</v>
      </c>
      <c r="B5332" s="32" t="inlineStr">
        <is>
          <t>K4-2A</t>
        </is>
      </c>
      <c r="D5332" s="32" t="n">
        <v>15.26</v>
      </c>
      <c r="E5332" s="32" t="n">
        <v>84.518</v>
      </c>
      <c r="F5332" s="32" t="n">
        <v>22065.328</v>
      </c>
      <c r="G5332" s="32" t="n">
        <v>3.454</v>
      </c>
      <c r="H5332" s="32" t="inlineStr">
        <is>
          <t>bb</t>
        </is>
      </c>
      <c r="K5332" s="32" t="inlineStr">
        <is>
          <t>20250514-32</t>
        </is>
      </c>
    </row>
    <row r="5333">
      <c r="A5333" s="32" t="n">
        <v>22</v>
      </c>
      <c r="B5333" s="32" t="inlineStr">
        <is>
          <t>K4-2B</t>
        </is>
      </c>
      <c r="D5333" s="32" t="n">
        <v>15.31</v>
      </c>
      <c r="E5333" s="32" t="n">
        <v>52.84</v>
      </c>
      <c r="F5333" s="32" t="n">
        <v>22549.762</v>
      </c>
      <c r="G5333" s="32" t="n">
        <v>422</v>
      </c>
      <c r="H5333" s="32" t="inlineStr">
        <is>
          <t>bb</t>
        </is>
      </c>
      <c r="K5333" s="32" t="inlineStr">
        <is>
          <t>20250514-33</t>
        </is>
      </c>
    </row>
    <row r="5334">
      <c r="A5334" s="32" t="n">
        <v>23</v>
      </c>
      <c r="B5334" s="32" t="inlineStr">
        <is>
          <t>K4-2C</t>
        </is>
      </c>
      <c r="D5334" s="32" t="n">
        <v>15.3</v>
      </c>
      <c r="E5334" s="32" t="n">
        <v>56.226</v>
      </c>
      <c r="F5334" s="32" t="n">
        <v>21312.756</v>
      </c>
      <c r="G5334" s="32" t="n">
        <v>439</v>
      </c>
      <c r="H5334" s="32" t="inlineStr">
        <is>
          <t>bb</t>
        </is>
      </c>
      <c r="K5334" s="32" t="inlineStr">
        <is>
          <t>20250514-34</t>
        </is>
      </c>
    </row>
    <row r="5335">
      <c r="A5335" s="32" t="n">
        <v>24</v>
      </c>
      <c r="B5335" s="32" t="inlineStr">
        <is>
          <t>MeOH</t>
        </is>
      </c>
      <c r="D5335" s="32" t="n">
        <v>15.26</v>
      </c>
      <c r="E5335" s="32" t="n">
        <v>1374.403</v>
      </c>
      <c r="F5335" s="32" t="n">
        <v>200.351</v>
      </c>
      <c r="G5335" s="32" t="n">
        <v>8449</v>
      </c>
      <c r="H5335" s="32" t="inlineStr">
        <is>
          <t>bb</t>
        </is>
      </c>
      <c r="K5335" s="32" t="inlineStr">
        <is>
          <t>20250514-35</t>
        </is>
      </c>
    </row>
    <row r="5336">
      <c r="A5336" s="32" t="n">
        <v>25</v>
      </c>
      <c r="B5336" s="32" t="inlineStr">
        <is>
          <t>K4-4A</t>
        </is>
      </c>
      <c r="F5336" s="32" t="n">
        <v>23539.836</v>
      </c>
      <c r="K5336" s="32" t="inlineStr">
        <is>
          <t>20250514-36</t>
        </is>
      </c>
    </row>
    <row r="5337">
      <c r="A5337" s="32" t="n">
        <v>26</v>
      </c>
      <c r="B5337" s="32" t="inlineStr">
        <is>
          <t>K4-4B</t>
        </is>
      </c>
      <c r="D5337" s="32" t="n">
        <v>15.33</v>
      </c>
      <c r="E5337" s="32" t="n">
        <v>147.751</v>
      </c>
      <c r="F5337" s="32" t="n">
        <v>23990.521</v>
      </c>
      <c r="G5337" s="32" t="n">
        <v>4.375</v>
      </c>
      <c r="H5337" s="32" t="inlineStr">
        <is>
          <t>bb</t>
        </is>
      </c>
      <c r="K5337" s="32" t="inlineStr">
        <is>
          <t>20250514-37</t>
        </is>
      </c>
    </row>
    <row r="5338">
      <c r="A5338" s="32" t="n">
        <v>27</v>
      </c>
      <c r="B5338" s="32" t="inlineStr">
        <is>
          <t>K4-4C</t>
        </is>
      </c>
      <c r="F5338" s="32" t="n">
        <v>26560.857</v>
      </c>
      <c r="K5338" s="32" t="inlineStr">
        <is>
          <t>20250514-38</t>
        </is>
      </c>
    </row>
    <row r="5339">
      <c r="A5339" s="32" t="n">
        <v>28</v>
      </c>
      <c r="B5339" s="32" t="inlineStr">
        <is>
          <t>K4-5A</t>
        </is>
      </c>
      <c r="D5339" s="32" t="n">
        <v>15.21</v>
      </c>
      <c r="E5339" s="32" t="n">
        <v>82.849</v>
      </c>
      <c r="F5339" s="32" t="n">
        <v>21848.643</v>
      </c>
      <c r="G5339" s="32" t="n">
        <v>613</v>
      </c>
      <c r="H5339" s="32" t="inlineStr">
        <is>
          <t>bb</t>
        </is>
      </c>
      <c r="K5339" s="32" t="inlineStr">
        <is>
          <t>20250514-39</t>
        </is>
      </c>
    </row>
    <row r="5340">
      <c r="A5340" s="32" t="n">
        <v>29</v>
      </c>
      <c r="B5340" s="32" t="inlineStr">
        <is>
          <t>K4-5B</t>
        </is>
      </c>
      <c r="D5340" s="32" t="n">
        <v>15.44</v>
      </c>
      <c r="E5340" s="32" t="n">
        <v>13.442</v>
      </c>
      <c r="F5340" s="32" t="n">
        <v>22835.781</v>
      </c>
      <c r="G5340" s="32" t="n">
        <v>111</v>
      </c>
      <c r="H5340" s="32" t="inlineStr">
        <is>
          <t>bb</t>
        </is>
      </c>
      <c r="K5340" s="32" t="inlineStr">
        <is>
          <t>20250514-40</t>
        </is>
      </c>
    </row>
    <row r="5341">
      <c r="A5341" s="32" t="n">
        <v>30</v>
      </c>
      <c r="B5341" s="32" t="inlineStr">
        <is>
          <t>K4-5C</t>
        </is>
      </c>
      <c r="D5341" s="32" t="n">
        <v>15.23</v>
      </c>
      <c r="E5341" s="32" t="n">
        <v>5.86</v>
      </c>
      <c r="F5341" s="32" t="n">
        <v>22675.041</v>
      </c>
      <c r="G5341" s="32" t="n">
        <v>50</v>
      </c>
      <c r="H5341" s="32" t="inlineStr">
        <is>
          <t>bb</t>
        </is>
      </c>
      <c r="K5341" s="32" t="inlineStr">
        <is>
          <t>20250514-41</t>
        </is>
      </c>
    </row>
    <row r="5342">
      <c r="A5342" s="32" t="n">
        <v>31</v>
      </c>
      <c r="B5342" s="32" t="inlineStr">
        <is>
          <t>MeOH</t>
        </is>
      </c>
      <c r="D5342" s="32" t="n">
        <v>15.13</v>
      </c>
      <c r="E5342" s="32" t="n">
        <v>1079.139</v>
      </c>
      <c r="F5342" s="32" t="n">
        <v>110.806</v>
      </c>
      <c r="G5342" s="32" t="n">
        <v>7490</v>
      </c>
      <c r="H5342" s="32" t="inlineStr">
        <is>
          <t>bb</t>
        </is>
      </c>
      <c r="K5342" s="32" t="inlineStr">
        <is>
          <t>20250514-42</t>
        </is>
      </c>
    </row>
    <row r="5343">
      <c r="A5343" s="32" t="n">
        <v>32</v>
      </c>
      <c r="B5343" s="32" t="inlineStr">
        <is>
          <t>K3-1A</t>
        </is>
      </c>
      <c r="D5343" s="32" t="n">
        <v>15.18</v>
      </c>
      <c r="E5343" s="32" t="n">
        <v>77.554</v>
      </c>
      <c r="F5343" s="32" t="n">
        <v>26872.742</v>
      </c>
      <c r="G5343" s="32" t="n">
        <v>653</v>
      </c>
      <c r="H5343" s="32" t="inlineStr">
        <is>
          <t>bb</t>
        </is>
      </c>
      <c r="K5343" s="32" t="inlineStr">
        <is>
          <t>20250514-43</t>
        </is>
      </c>
    </row>
    <row r="5344">
      <c r="A5344" s="32" t="n">
        <v>33</v>
      </c>
      <c r="B5344" s="32" t="inlineStr">
        <is>
          <t>K3-1B</t>
        </is>
      </c>
      <c r="D5344" s="32" t="n">
        <v>15.18</v>
      </c>
      <c r="E5344" s="32" t="n">
        <v>40.314</v>
      </c>
      <c r="F5344" s="32" t="n">
        <v>21870.893</v>
      </c>
      <c r="G5344" s="32" t="n">
        <v>272</v>
      </c>
      <c r="H5344" s="32" t="inlineStr">
        <is>
          <t>bb</t>
        </is>
      </c>
      <c r="K5344" s="32" t="inlineStr">
        <is>
          <t>20250514-44</t>
        </is>
      </c>
    </row>
    <row r="5345">
      <c r="A5345" s="32" t="n">
        <v>34</v>
      </c>
      <c r="B5345" s="32" t="inlineStr">
        <is>
          <t>K3-1C</t>
        </is>
      </c>
      <c r="D5345" s="32" t="n">
        <v>15.21</v>
      </c>
      <c r="E5345" s="32" t="n">
        <v>122.296</v>
      </c>
      <c r="F5345" s="32" t="n">
        <v>32909.313</v>
      </c>
      <c r="G5345" s="32" t="n">
        <v>1023</v>
      </c>
      <c r="H5345" s="32" t="inlineStr">
        <is>
          <t>bb</t>
        </is>
      </c>
      <c r="K5345" s="32" t="inlineStr">
        <is>
          <t>20250514-45</t>
        </is>
      </c>
    </row>
    <row r="5346">
      <c r="A5346" s="32" t="n">
        <v>35</v>
      </c>
      <c r="B5346" s="32" t="inlineStr">
        <is>
          <t>K3-2A</t>
        </is>
      </c>
      <c r="D5346" s="32" t="n">
        <v>15.23</v>
      </c>
      <c r="E5346" s="32" t="n">
        <v>33.673</v>
      </c>
      <c r="F5346" s="32" t="n">
        <v>26168.053</v>
      </c>
      <c r="G5346" s="32" t="n">
        <v>281</v>
      </c>
      <c r="H5346" s="32" t="inlineStr">
        <is>
          <t>bb</t>
        </is>
      </c>
      <c r="K5346" s="32" t="inlineStr">
        <is>
          <t>20250514-46</t>
        </is>
      </c>
    </row>
    <row r="5347">
      <c r="A5347" s="32" t="n">
        <v>36</v>
      </c>
      <c r="B5347" s="32" t="inlineStr">
        <is>
          <t>K3-2B</t>
        </is>
      </c>
      <c r="D5347" s="32" t="n">
        <v>15.18</v>
      </c>
      <c r="E5347" s="32" t="n">
        <v>7.903</v>
      </c>
      <c r="F5347" s="32" t="n">
        <v>31361.701</v>
      </c>
      <c r="G5347" s="32" t="n">
        <v>71</v>
      </c>
      <c r="H5347" s="32" t="inlineStr">
        <is>
          <t>bb</t>
        </is>
      </c>
      <c r="K5347" s="32" t="inlineStr">
        <is>
          <t>20250514-47</t>
        </is>
      </c>
    </row>
    <row r="5348">
      <c r="A5348" s="32" t="n">
        <v>37</v>
      </c>
      <c r="B5348" s="32" t="inlineStr">
        <is>
          <t>K3-2C</t>
        </is>
      </c>
      <c r="D5348" s="32" t="n">
        <v>16.03</v>
      </c>
      <c r="E5348" s="32" t="n">
        <v>50.001</v>
      </c>
      <c r="F5348" s="32" t="n">
        <v>25991.197</v>
      </c>
      <c r="G5348" s="32" t="n">
        <v>504</v>
      </c>
      <c r="H5348" s="32" t="inlineStr">
        <is>
          <t>MM</t>
        </is>
      </c>
      <c r="K5348" s="32" t="inlineStr">
        <is>
          <t>20250514-48</t>
        </is>
      </c>
    </row>
    <row r="5349">
      <c r="A5349" s="32" t="n">
        <v>38</v>
      </c>
      <c r="B5349" s="32" t="inlineStr">
        <is>
          <t>MeOH</t>
        </is>
      </c>
      <c r="D5349" s="32" t="n">
        <v>15.26</v>
      </c>
      <c r="E5349" s="32" t="n">
        <v>1124.376</v>
      </c>
      <c r="F5349" s="32" t="n">
        <v>50.852</v>
      </c>
      <c r="G5349" s="32" t="n">
        <v>21.238</v>
      </c>
      <c r="H5349" s="32" t="inlineStr">
        <is>
          <t>bb</t>
        </is>
      </c>
      <c r="K5349" s="32" t="inlineStr">
        <is>
          <t>20250514-49</t>
        </is>
      </c>
    </row>
    <row r="5350">
      <c r="A5350" s="32" t="n">
        <v>39</v>
      </c>
      <c r="B5350" s="32" t="inlineStr">
        <is>
          <t>K3-3A</t>
        </is>
      </c>
      <c r="D5350" s="32" t="n">
        <v>15.23</v>
      </c>
      <c r="E5350" s="32" t="n">
        <v>60.186</v>
      </c>
      <c r="F5350" s="32" t="n">
        <v>22350.551</v>
      </c>
      <c r="G5350" s="32" t="n">
        <v>488</v>
      </c>
      <c r="H5350" s="32" t="inlineStr">
        <is>
          <t>bb</t>
        </is>
      </c>
      <c r="K5350" s="32" t="inlineStr">
        <is>
          <t>20250514-50</t>
        </is>
      </c>
    </row>
    <row r="5351">
      <c r="A5351" s="32" t="n">
        <v>40</v>
      </c>
      <c r="B5351" s="32" t="inlineStr">
        <is>
          <t>K3-3B</t>
        </is>
      </c>
      <c r="D5351" s="32" t="n">
        <v>15.26</v>
      </c>
      <c r="E5351" s="32" t="n">
        <v>9.75</v>
      </c>
      <c r="F5351" s="32" t="n">
        <v>25724.141</v>
      </c>
      <c r="G5351" s="32" t="n">
        <v>62</v>
      </c>
      <c r="H5351" s="32" t="inlineStr">
        <is>
          <t>bb</t>
        </is>
      </c>
      <c r="K5351" s="32" t="inlineStr">
        <is>
          <t>20250514-51</t>
        </is>
      </c>
    </row>
    <row r="5352">
      <c r="A5352" s="32" t="n">
        <v>41</v>
      </c>
      <c r="B5352" s="32" t="inlineStr">
        <is>
          <t>K3-3C</t>
        </is>
      </c>
      <c r="D5352" s="32" t="n">
        <v>15.28</v>
      </c>
      <c r="E5352" s="32" t="n">
        <v>25.568</v>
      </c>
      <c r="F5352" s="32" t="n">
        <v>29659.332</v>
      </c>
      <c r="G5352" s="32" t="n">
        <v>1.827</v>
      </c>
      <c r="H5352" s="32" t="inlineStr">
        <is>
          <t>bb</t>
        </is>
      </c>
      <c r="K5352" s="32" t="inlineStr">
        <is>
          <t>20250514-52</t>
        </is>
      </c>
    </row>
    <row r="5353">
      <c r="A5353" s="32" t="n">
        <v>42</v>
      </c>
      <c r="B5353" s="32" t="inlineStr">
        <is>
          <t>K3-4A</t>
        </is>
      </c>
      <c r="D5353" s="32" t="n">
        <v>15.4</v>
      </c>
      <c r="E5353" s="32" t="n">
        <v>48.419</v>
      </c>
      <c r="F5353" s="32" t="n">
        <v>31270.463</v>
      </c>
      <c r="G5353" s="32" t="n">
        <v>390</v>
      </c>
      <c r="H5353" s="32" t="inlineStr">
        <is>
          <t>bb</t>
        </is>
      </c>
      <c r="K5353" s="32" t="inlineStr">
        <is>
          <t>20250514-53</t>
        </is>
      </c>
    </row>
    <row r="5354">
      <c r="A5354" s="32" t="n">
        <v>43</v>
      </c>
      <c r="B5354" s="32" t="inlineStr">
        <is>
          <t>K3-4B</t>
        </is>
      </c>
      <c r="D5354" s="32" t="n">
        <v>15.36</v>
      </c>
      <c r="E5354" s="32" t="n">
        <v>0.733</v>
      </c>
      <c r="F5354" s="32" t="n">
        <v>30780.789</v>
      </c>
      <c r="G5354" s="32" t="n">
        <v>6</v>
      </c>
      <c r="H5354" s="32" t="inlineStr">
        <is>
          <t>bb</t>
        </is>
      </c>
      <c r="K5354" s="32" t="inlineStr">
        <is>
          <t>20250514-54</t>
        </is>
      </c>
    </row>
    <row r="5355">
      <c r="A5355" s="32" t="n">
        <v>44</v>
      </c>
      <c r="B5355" s="32" t="inlineStr">
        <is>
          <t>K3-4C</t>
        </is>
      </c>
      <c r="D5355" s="32" t="n">
        <v>15.28</v>
      </c>
      <c r="E5355" s="32" t="n">
        <v>43.694</v>
      </c>
      <c r="F5355" s="32" t="n">
        <v>31819.67</v>
      </c>
      <c r="G5355" s="32" t="n">
        <v>345</v>
      </c>
      <c r="H5355" s="32" t="inlineStr">
        <is>
          <t>bb</t>
        </is>
      </c>
      <c r="K5355" s="32" t="inlineStr">
        <is>
          <t>20250514-55</t>
        </is>
      </c>
    </row>
    <row r="5356">
      <c r="A5356" s="32" t="n">
        <v>45</v>
      </c>
      <c r="B5356" s="32" t="inlineStr">
        <is>
          <t>MeOH</t>
        </is>
      </c>
      <c r="D5356" s="32" t="n">
        <v>15.35</v>
      </c>
      <c r="E5356" s="32" t="n">
        <v>817.311</v>
      </c>
      <c r="F5356" s="32" t="n">
        <v>41.014</v>
      </c>
      <c r="G5356" s="32" t="n">
        <v>4.248</v>
      </c>
      <c r="H5356" s="32" t="inlineStr">
        <is>
          <t>bb</t>
        </is>
      </c>
      <c r="K5356" s="32" t="inlineStr">
        <is>
          <t>20250514-56</t>
        </is>
      </c>
    </row>
    <row r="5357">
      <c r="A5357" s="32" t="n">
        <v>46</v>
      </c>
      <c r="B5357" s="32" t="inlineStr">
        <is>
          <t>K3-6A</t>
        </is>
      </c>
      <c r="D5357" s="32" t="n">
        <v>15.3</v>
      </c>
      <c r="E5357" s="32" t="n">
        <v>1.231</v>
      </c>
      <c r="F5357" s="32" t="n">
        <v>28759.182</v>
      </c>
      <c r="G5357" s="32" t="n">
        <v>10</v>
      </c>
      <c r="H5357" s="32" t="inlineStr">
        <is>
          <t>bb</t>
        </is>
      </c>
      <c r="K5357" s="32" t="inlineStr">
        <is>
          <t>20250514-57</t>
        </is>
      </c>
    </row>
    <row r="5358">
      <c r="A5358" s="32" t="n">
        <v>47</v>
      </c>
      <c r="B5358" s="32" t="inlineStr">
        <is>
          <t>K3-6B</t>
        </is>
      </c>
      <c r="D5358" s="32" t="n">
        <v>15.33</v>
      </c>
      <c r="E5358" s="32" t="n">
        <v>42.467</v>
      </c>
      <c r="F5358" s="32" t="n">
        <v>24892.369</v>
      </c>
      <c r="G5358" s="32" t="n">
        <v>2.269</v>
      </c>
      <c r="H5358" s="32" t="inlineStr">
        <is>
          <t>bb</t>
        </is>
      </c>
      <c r="K5358" s="32" t="inlineStr">
        <is>
          <t>20250514-58</t>
        </is>
      </c>
    </row>
    <row r="5359">
      <c r="A5359" s="32" t="n">
        <v>48</v>
      </c>
      <c r="B5359" s="32" t="inlineStr">
        <is>
          <t>K3-6C</t>
        </is>
      </c>
      <c r="D5359" s="32" t="n">
        <v>14.45</v>
      </c>
      <c r="E5359" s="32" t="n">
        <v>0.295</v>
      </c>
      <c r="F5359" s="32" t="n">
        <v>20317.258</v>
      </c>
      <c r="G5359" s="32" t="n">
        <v>3</v>
      </c>
      <c r="H5359" s="32" t="inlineStr">
        <is>
          <t>MM</t>
        </is>
      </c>
      <c r="K5359" s="32" t="inlineStr">
        <is>
          <t>20250514-59</t>
        </is>
      </c>
    </row>
    <row r="5361">
      <c r="A5361" s="32" t="inlineStr">
        <is>
          <t>Compound 104:  m2 10:2 FTUCA 1</t>
        </is>
      </c>
    </row>
    <row r="5363">
      <c r="B5363" s="32" t="inlineStr">
        <is>
          <t>Sample Text</t>
        </is>
      </c>
      <c r="C5363" s="32" t="inlineStr">
        <is>
          <t>Std. Conc</t>
        </is>
      </c>
      <c r="D5363" s="32" t="inlineStr">
        <is>
          <t>RT</t>
        </is>
      </c>
      <c r="E5363" s="32" t="inlineStr">
        <is>
          <t>Area</t>
        </is>
      </c>
      <c r="F5363" s="32" t="inlineStr">
        <is>
          <t>IS Area</t>
        </is>
      </c>
      <c r="G5363" s="32" t="inlineStr">
        <is>
          <t>S/N</t>
        </is>
      </c>
      <c r="H5363" s="32" t="inlineStr">
        <is>
          <t>Primary Flags</t>
        </is>
      </c>
      <c r="I5363" s="32" t="inlineStr">
        <is>
          <t>Response</t>
        </is>
      </c>
      <c r="J5363" s="32" t="inlineStr">
        <is>
          <t>Conc.</t>
        </is>
      </c>
      <c r="K5363" s="32" t="inlineStr">
        <is>
          <t>Name</t>
        </is>
      </c>
    </row>
    <row r="5364">
      <c r="A5364" s="32" t="n">
        <v>1</v>
      </c>
      <c r="B5364" s="32" t="inlineStr">
        <is>
          <t>EPA1633 &amp; diPAPs Calibration 0 ppb</t>
        </is>
      </c>
      <c r="D5364" s="32" t="n">
        <v>15.14</v>
      </c>
      <c r="E5364" s="32" t="n">
        <v>68189.008</v>
      </c>
      <c r="G5364" s="32" t="n">
        <v>1342.261</v>
      </c>
      <c r="H5364" s="32" t="inlineStr">
        <is>
          <t>bb</t>
        </is>
      </c>
      <c r="I5364" s="32" t="n">
        <v>68189.008</v>
      </c>
      <c r="K5364" s="32" t="inlineStr">
        <is>
          <t>20250514-12</t>
        </is>
      </c>
    </row>
    <row r="5365">
      <c r="A5365" s="32" t="n">
        <v>2</v>
      </c>
      <c r="B5365" s="32" t="inlineStr">
        <is>
          <t>EPA1633 &amp; diPAPs Calibration 0.02 ppb</t>
        </is>
      </c>
      <c r="D5365" s="32" t="n">
        <v>15.17</v>
      </c>
      <c r="E5365" s="32" t="n">
        <v>61484.391</v>
      </c>
      <c r="G5365" s="32" t="n">
        <v>628.663</v>
      </c>
      <c r="H5365" s="32" t="inlineStr">
        <is>
          <t>bb</t>
        </is>
      </c>
      <c r="I5365" s="32" t="n">
        <v>61484.391</v>
      </c>
      <c r="K5365" s="32" t="inlineStr">
        <is>
          <t>20250514-13</t>
        </is>
      </c>
    </row>
    <row r="5366">
      <c r="A5366" s="32" t="n">
        <v>3</v>
      </c>
      <c r="B5366" s="32" t="inlineStr">
        <is>
          <t>EPA1633 &amp; diPAPs Calibration 0.1 ppb</t>
        </is>
      </c>
      <c r="D5366" s="32" t="n">
        <v>15.17</v>
      </c>
      <c r="E5366" s="32" t="n">
        <v>63501.434</v>
      </c>
      <c r="G5366" s="32" t="n">
        <v>690.821</v>
      </c>
      <c r="H5366" s="32" t="inlineStr">
        <is>
          <t>bb</t>
        </is>
      </c>
      <c r="I5366" s="32" t="n">
        <v>63501.434</v>
      </c>
      <c r="K5366" s="32" t="inlineStr">
        <is>
          <t>20250514-14</t>
        </is>
      </c>
    </row>
    <row r="5367">
      <c r="A5367" s="32" t="n">
        <v>4</v>
      </c>
      <c r="B5367" s="32" t="inlineStr">
        <is>
          <t>EPA1633 &amp; diPAPs Calibration 0.4 ppb</t>
        </is>
      </c>
      <c r="D5367" s="32" t="n">
        <v>15.17</v>
      </c>
      <c r="E5367" s="32" t="n">
        <v>57149.977</v>
      </c>
      <c r="G5367" s="32" t="n">
        <v>777.888</v>
      </c>
      <c r="H5367" s="32" t="inlineStr">
        <is>
          <t>bb</t>
        </is>
      </c>
      <c r="I5367" s="32" t="n">
        <v>57149.977</v>
      </c>
      <c r="K5367" s="32" t="inlineStr">
        <is>
          <t>20250514-15</t>
        </is>
      </c>
    </row>
    <row r="5368">
      <c r="A5368" s="32" t="n">
        <v>5</v>
      </c>
      <c r="B5368" s="32" t="inlineStr">
        <is>
          <t>EPA1633 &amp; diPAPs Calibration 1 ppb</t>
        </is>
      </c>
      <c r="D5368" s="32" t="n">
        <v>15.15</v>
      </c>
      <c r="E5368" s="32" t="n">
        <v>71495.45299999999</v>
      </c>
      <c r="G5368" s="32" t="n">
        <v>195.842</v>
      </c>
      <c r="H5368" s="32" t="inlineStr">
        <is>
          <t>bb</t>
        </is>
      </c>
      <c r="I5368" s="32" t="n">
        <v>71495.45299999999</v>
      </c>
      <c r="K5368" s="32" t="inlineStr">
        <is>
          <t>20250514-16</t>
        </is>
      </c>
    </row>
    <row r="5369">
      <c r="A5369" s="32" t="n">
        <v>6</v>
      </c>
      <c r="B5369" s="32" t="inlineStr">
        <is>
          <t>EPA1633 &amp; diPAPs Calibration 5 ppb</t>
        </is>
      </c>
      <c r="D5369" s="32" t="n">
        <v>15.13</v>
      </c>
      <c r="E5369" s="32" t="n">
        <v>55511.488</v>
      </c>
      <c r="G5369" s="32" t="n">
        <v>1431.417</v>
      </c>
      <c r="H5369" s="32" t="inlineStr">
        <is>
          <t>bb</t>
        </is>
      </c>
      <c r="I5369" s="32" t="n">
        <v>55511.488</v>
      </c>
      <c r="K5369" s="32" t="inlineStr">
        <is>
          <t>20250514-17</t>
        </is>
      </c>
    </row>
    <row r="5370">
      <c r="A5370" s="32" t="n">
        <v>7</v>
      </c>
      <c r="B5370" s="32" t="inlineStr">
        <is>
          <t>EPA1633 &amp; diPAPs Calibration 10 ppb</t>
        </is>
      </c>
      <c r="D5370" s="32" t="n">
        <v>15.13</v>
      </c>
      <c r="E5370" s="32" t="n">
        <v>42641.691</v>
      </c>
      <c r="G5370" s="32" t="n">
        <v>244.674</v>
      </c>
      <c r="H5370" s="32" t="inlineStr">
        <is>
          <t>bb</t>
        </is>
      </c>
      <c r="I5370" s="32" t="n">
        <v>42641.691</v>
      </c>
      <c r="K5370" s="32" t="inlineStr">
        <is>
          <t>20250514-18</t>
        </is>
      </c>
    </row>
    <row r="5371">
      <c r="A5371" s="32" t="n">
        <v>8</v>
      </c>
      <c r="B5371" s="32" t="inlineStr">
        <is>
          <t>EPA1633 &amp; diPAPs Calibration 20 ppb</t>
        </is>
      </c>
      <c r="D5371" s="32" t="n">
        <v>15.15</v>
      </c>
      <c r="E5371" s="32" t="n">
        <v>48928.695</v>
      </c>
      <c r="G5371" s="32" t="n">
        <v>1156.071</v>
      </c>
      <c r="H5371" s="32" t="inlineStr">
        <is>
          <t>bb</t>
        </is>
      </c>
      <c r="I5371" s="32" t="n">
        <v>48928.695</v>
      </c>
      <c r="K5371" s="32" t="inlineStr">
        <is>
          <t>20250514-19</t>
        </is>
      </c>
    </row>
    <row r="5372">
      <c r="A5372" s="32" t="n">
        <v>9</v>
      </c>
      <c r="B5372" s="32" t="inlineStr">
        <is>
          <t>MeOH</t>
        </is>
      </c>
      <c r="D5372" s="32" t="n">
        <v>15.14</v>
      </c>
      <c r="E5372" s="32" t="n">
        <v>142.221</v>
      </c>
      <c r="G5372" s="32" t="n">
        <v>1202</v>
      </c>
      <c r="H5372" s="32" t="inlineStr">
        <is>
          <t>bb</t>
        </is>
      </c>
      <c r="I5372" s="32" t="n">
        <v>142.221</v>
      </c>
      <c r="K5372" s="32" t="inlineStr">
        <is>
          <t>20250514-20</t>
        </is>
      </c>
    </row>
    <row r="5373">
      <c r="A5373" s="32" t="n">
        <v>10</v>
      </c>
      <c r="B5373" s="32" t="inlineStr">
        <is>
          <t>MeOH</t>
        </is>
      </c>
      <c r="D5373" s="32" t="n">
        <v>15.18</v>
      </c>
      <c r="E5373" s="32" t="n">
        <v>51.685</v>
      </c>
      <c r="G5373" s="32" t="n">
        <v>459</v>
      </c>
      <c r="H5373" s="32" t="inlineStr">
        <is>
          <t>bb</t>
        </is>
      </c>
      <c r="I5373" s="32" t="n">
        <v>51.685</v>
      </c>
      <c r="K5373" s="32" t="inlineStr">
        <is>
          <t>20250514-21</t>
        </is>
      </c>
    </row>
    <row r="5374">
      <c r="A5374" s="32" t="n">
        <v>11</v>
      </c>
      <c r="B5374" s="32" t="inlineStr">
        <is>
          <t>SB1</t>
        </is>
      </c>
      <c r="D5374" s="32" t="n">
        <v>15.18</v>
      </c>
      <c r="E5374" s="32" t="n">
        <v>23240.385</v>
      </c>
      <c r="G5374" s="32" t="n">
        <v>612.9160000000001</v>
      </c>
      <c r="H5374" s="32" t="inlineStr">
        <is>
          <t>bb</t>
        </is>
      </c>
      <c r="I5374" s="32" t="n">
        <v>23240.385</v>
      </c>
      <c r="K5374" s="32" t="inlineStr">
        <is>
          <t>20250514-22</t>
        </is>
      </c>
    </row>
    <row r="5375">
      <c r="A5375" s="32" t="n">
        <v>12</v>
      </c>
      <c r="B5375" s="32" t="inlineStr">
        <is>
          <t>SB2</t>
        </is>
      </c>
      <c r="D5375" s="32" t="n">
        <v>15.18</v>
      </c>
      <c r="E5375" s="32" t="n">
        <v>20862.051</v>
      </c>
      <c r="G5375" s="32" t="n">
        <v>466.954</v>
      </c>
      <c r="H5375" s="32" t="inlineStr">
        <is>
          <t>bb</t>
        </is>
      </c>
      <c r="I5375" s="32" t="n">
        <v>20862.051</v>
      </c>
      <c r="K5375" s="32" t="inlineStr">
        <is>
          <t>20250514-23</t>
        </is>
      </c>
    </row>
    <row r="5376">
      <c r="A5376" s="32" t="n">
        <v>13</v>
      </c>
      <c r="B5376" s="32" t="inlineStr">
        <is>
          <t>SB3</t>
        </is>
      </c>
      <c r="D5376" s="32" t="n">
        <v>15.2</v>
      </c>
      <c r="E5376" s="32" t="n">
        <v>19219.836</v>
      </c>
      <c r="G5376" s="32" t="n">
        <v>839.2430000000001</v>
      </c>
      <c r="H5376" s="32" t="inlineStr">
        <is>
          <t>bb</t>
        </is>
      </c>
      <c r="I5376" s="32" t="n">
        <v>19219.836</v>
      </c>
      <c r="K5376" s="32" t="inlineStr">
        <is>
          <t>20250514-24</t>
        </is>
      </c>
    </row>
    <row r="5377">
      <c r="A5377" s="32" t="n">
        <v>14</v>
      </c>
      <c r="B5377" s="32" t="inlineStr">
        <is>
          <t>SS1</t>
        </is>
      </c>
      <c r="D5377" s="32" t="n">
        <v>15.2</v>
      </c>
      <c r="E5377" s="32" t="n">
        <v>19767.512</v>
      </c>
      <c r="G5377" s="32" t="n">
        <v>252.647</v>
      </c>
      <c r="H5377" s="32" t="inlineStr">
        <is>
          <t>bb</t>
        </is>
      </c>
      <c r="I5377" s="32" t="n">
        <v>19767.512</v>
      </c>
      <c r="K5377" s="32" t="inlineStr">
        <is>
          <t>20250514-25</t>
        </is>
      </c>
    </row>
    <row r="5378">
      <c r="A5378" s="32" t="n">
        <v>15</v>
      </c>
      <c r="B5378" s="32" t="inlineStr">
        <is>
          <t>SS2</t>
        </is>
      </c>
      <c r="D5378" s="32" t="n">
        <v>15.23</v>
      </c>
      <c r="E5378" s="32" t="n">
        <v>20699.598</v>
      </c>
      <c r="G5378" s="32" t="n">
        <v>438.153</v>
      </c>
      <c r="H5378" s="32" t="inlineStr">
        <is>
          <t>bb</t>
        </is>
      </c>
      <c r="I5378" s="32" t="n">
        <v>20699.598</v>
      </c>
      <c r="K5378" s="32" t="inlineStr">
        <is>
          <t>20250514-26</t>
        </is>
      </c>
    </row>
    <row r="5379">
      <c r="A5379" s="32" t="n">
        <v>16</v>
      </c>
      <c r="B5379" s="32" t="inlineStr">
        <is>
          <t>SS3</t>
        </is>
      </c>
      <c r="D5379" s="32" t="n">
        <v>15.23</v>
      </c>
      <c r="E5379" s="32" t="n">
        <v>17356.738</v>
      </c>
      <c r="G5379" s="32" t="n">
        <v>582.908</v>
      </c>
      <c r="H5379" s="32" t="inlineStr">
        <is>
          <t>bb</t>
        </is>
      </c>
      <c r="I5379" s="32" t="n">
        <v>17356.738</v>
      </c>
      <c r="K5379" s="32" t="inlineStr">
        <is>
          <t>20250514-27</t>
        </is>
      </c>
    </row>
    <row r="5380">
      <c r="A5380" s="32" t="n">
        <v>17</v>
      </c>
      <c r="B5380" s="32" t="inlineStr">
        <is>
          <t>MeOH</t>
        </is>
      </c>
      <c r="D5380" s="32" t="n">
        <v>15.2</v>
      </c>
      <c r="E5380" s="32" t="n">
        <v>70.66800000000001</v>
      </c>
      <c r="G5380" s="32" t="n">
        <v>608</v>
      </c>
      <c r="H5380" s="32" t="inlineStr">
        <is>
          <t>bb</t>
        </is>
      </c>
      <c r="I5380" s="32" t="n">
        <v>70.66800000000001</v>
      </c>
      <c r="K5380" s="32" t="inlineStr">
        <is>
          <t>20250514-28</t>
        </is>
      </c>
    </row>
    <row r="5381">
      <c r="A5381" s="32" t="n">
        <v>18</v>
      </c>
      <c r="B5381" s="32" t="inlineStr">
        <is>
          <t>K4-1A</t>
        </is>
      </c>
      <c r="D5381" s="32" t="n">
        <v>15.23</v>
      </c>
      <c r="E5381" s="32" t="n">
        <v>24821.027</v>
      </c>
      <c r="G5381" s="32" t="n">
        <v>114.515</v>
      </c>
      <c r="H5381" s="32" t="inlineStr">
        <is>
          <t>bb</t>
        </is>
      </c>
      <c r="I5381" s="32" t="n">
        <v>24821.027</v>
      </c>
      <c r="K5381" s="32" t="inlineStr">
        <is>
          <t>20250514-29</t>
        </is>
      </c>
    </row>
    <row r="5382">
      <c r="A5382" s="32" t="n">
        <v>19</v>
      </c>
      <c r="B5382" s="32" t="inlineStr">
        <is>
          <t>K4-1B</t>
        </is>
      </c>
      <c r="D5382" s="32" t="n">
        <v>15.25</v>
      </c>
      <c r="E5382" s="32" t="n">
        <v>24418.576</v>
      </c>
      <c r="G5382" s="32" t="n">
        <v>148830</v>
      </c>
      <c r="H5382" s="32" t="inlineStr">
        <is>
          <t>bb</t>
        </is>
      </c>
      <c r="I5382" s="32" t="n">
        <v>24418.576</v>
      </c>
      <c r="K5382" s="32" t="inlineStr">
        <is>
          <t>20250514-30</t>
        </is>
      </c>
    </row>
    <row r="5383">
      <c r="A5383" s="32" t="n">
        <v>20</v>
      </c>
      <c r="B5383" s="32" t="inlineStr">
        <is>
          <t>K4-1C</t>
        </is>
      </c>
      <c r="D5383" s="32" t="n">
        <v>15.25</v>
      </c>
      <c r="E5383" s="32" t="n">
        <v>22987.746</v>
      </c>
      <c r="G5383" s="32" t="n">
        <v>2125.012</v>
      </c>
      <c r="H5383" s="32" t="inlineStr">
        <is>
          <t>bb</t>
        </is>
      </c>
      <c r="I5383" s="32" t="n">
        <v>22987.746</v>
      </c>
      <c r="K5383" s="32" t="inlineStr">
        <is>
          <t>20250514-31</t>
        </is>
      </c>
    </row>
    <row r="5384">
      <c r="A5384" s="32" t="n">
        <v>21</v>
      </c>
      <c r="B5384" s="32" t="inlineStr">
        <is>
          <t>K4-2A</t>
        </is>
      </c>
      <c r="D5384" s="32" t="n">
        <v>15.24</v>
      </c>
      <c r="E5384" s="32" t="n">
        <v>22065.328</v>
      </c>
      <c r="G5384" s="32" t="n">
        <v>83.208</v>
      </c>
      <c r="H5384" s="32" t="inlineStr">
        <is>
          <t>bb</t>
        </is>
      </c>
      <c r="I5384" s="32" t="n">
        <v>22065.328</v>
      </c>
      <c r="K5384" s="32" t="inlineStr">
        <is>
          <t>20250514-32</t>
        </is>
      </c>
    </row>
    <row r="5385">
      <c r="A5385" s="32" t="n">
        <v>22</v>
      </c>
      <c r="B5385" s="32" t="inlineStr">
        <is>
          <t>K4-2B</t>
        </is>
      </c>
      <c r="D5385" s="32" t="n">
        <v>15.25</v>
      </c>
      <c r="E5385" s="32" t="n">
        <v>22549.762</v>
      </c>
      <c r="G5385" s="32" t="n">
        <v>187.45</v>
      </c>
      <c r="H5385" s="32" t="inlineStr">
        <is>
          <t>bb</t>
        </is>
      </c>
      <c r="I5385" s="32" t="n">
        <v>22549.762</v>
      </c>
      <c r="K5385" s="32" t="inlineStr">
        <is>
          <t>20250514-33</t>
        </is>
      </c>
    </row>
    <row r="5386">
      <c r="A5386" s="32" t="n">
        <v>23</v>
      </c>
      <c r="B5386" s="32" t="inlineStr">
        <is>
          <t>K4-2C</t>
        </is>
      </c>
      <c r="D5386" s="32" t="n">
        <v>15.26</v>
      </c>
      <c r="E5386" s="32" t="n">
        <v>21312.756</v>
      </c>
      <c r="G5386" s="32" t="n">
        <v>190.634</v>
      </c>
      <c r="H5386" s="32" t="inlineStr">
        <is>
          <t>bb</t>
        </is>
      </c>
      <c r="I5386" s="32" t="n">
        <v>21312.756</v>
      </c>
      <c r="K5386" s="32" t="inlineStr">
        <is>
          <t>20250514-34</t>
        </is>
      </c>
    </row>
    <row r="5387">
      <c r="A5387" s="32" t="n">
        <v>24</v>
      </c>
      <c r="B5387" s="32" t="inlineStr">
        <is>
          <t>MeOH</t>
        </is>
      </c>
      <c r="D5387" s="32" t="n">
        <v>15.26</v>
      </c>
      <c r="E5387" s="32" t="n">
        <v>200.351</v>
      </c>
      <c r="G5387" s="32" t="n">
        <v>3.969</v>
      </c>
      <c r="H5387" s="32" t="inlineStr">
        <is>
          <t>bb</t>
        </is>
      </c>
      <c r="I5387" s="32" t="n">
        <v>200.351</v>
      </c>
      <c r="K5387" s="32" t="inlineStr">
        <is>
          <t>20250514-35</t>
        </is>
      </c>
    </row>
    <row r="5388">
      <c r="A5388" s="32" t="n">
        <v>25</v>
      </c>
      <c r="B5388" s="32" t="inlineStr">
        <is>
          <t>K4-4A</t>
        </is>
      </c>
      <c r="D5388" s="32" t="n">
        <v>15.28</v>
      </c>
      <c r="E5388" s="32" t="n">
        <v>23539.836</v>
      </c>
      <c r="G5388" s="32" t="n">
        <v>1043.283</v>
      </c>
      <c r="H5388" s="32" t="inlineStr">
        <is>
          <t>bb</t>
        </is>
      </c>
      <c r="I5388" s="32" t="n">
        <v>23539.836</v>
      </c>
      <c r="K5388" s="32" t="inlineStr">
        <is>
          <t>20250514-36</t>
        </is>
      </c>
    </row>
    <row r="5389">
      <c r="A5389" s="32" t="n">
        <v>26</v>
      </c>
      <c r="B5389" s="32" t="inlineStr">
        <is>
          <t>K4-4B</t>
        </is>
      </c>
      <c r="D5389" s="32" t="n">
        <v>15.28</v>
      </c>
      <c r="E5389" s="32" t="n">
        <v>23990.521</v>
      </c>
      <c r="G5389" s="32" t="n">
        <v>644.381</v>
      </c>
      <c r="H5389" s="32" t="inlineStr">
        <is>
          <t>bb</t>
        </is>
      </c>
      <c r="I5389" s="32" t="n">
        <v>23990.521</v>
      </c>
      <c r="K5389" s="32" t="inlineStr">
        <is>
          <t>20250514-37</t>
        </is>
      </c>
    </row>
    <row r="5390">
      <c r="A5390" s="32" t="n">
        <v>27</v>
      </c>
      <c r="B5390" s="32" t="inlineStr">
        <is>
          <t>K4-4C</t>
        </is>
      </c>
      <c r="D5390" s="32" t="n">
        <v>15.28</v>
      </c>
      <c r="E5390" s="32" t="n">
        <v>26560.857</v>
      </c>
      <c r="G5390" s="32" t="n">
        <v>900.677</v>
      </c>
      <c r="H5390" s="32" t="inlineStr">
        <is>
          <t>bb</t>
        </is>
      </c>
      <c r="I5390" s="32" t="n">
        <v>26560.857</v>
      </c>
      <c r="K5390" s="32" t="inlineStr">
        <is>
          <t>20250514-38</t>
        </is>
      </c>
    </row>
    <row r="5391">
      <c r="A5391" s="32" t="n">
        <v>28</v>
      </c>
      <c r="B5391" s="32" t="inlineStr">
        <is>
          <t>K4-5A</t>
        </is>
      </c>
      <c r="D5391" s="32" t="n">
        <v>15.26</v>
      </c>
      <c r="E5391" s="32" t="n">
        <v>21848.643</v>
      </c>
      <c r="G5391" s="32" t="n">
        <v>34.583</v>
      </c>
      <c r="H5391" s="32" t="inlineStr">
        <is>
          <t>bb</t>
        </is>
      </c>
      <c r="I5391" s="32" t="n">
        <v>21848.643</v>
      </c>
      <c r="K5391" s="32" t="inlineStr">
        <is>
          <t>20250514-39</t>
        </is>
      </c>
    </row>
    <row r="5392">
      <c r="A5392" s="32" t="n">
        <v>29</v>
      </c>
      <c r="B5392" s="32" t="inlineStr">
        <is>
          <t>K4-5B</t>
        </is>
      </c>
      <c r="D5392" s="32" t="n">
        <v>15.24</v>
      </c>
      <c r="E5392" s="32" t="n">
        <v>22835.781</v>
      </c>
      <c r="G5392" s="32" t="n">
        <v>51.119</v>
      </c>
      <c r="H5392" s="32" t="inlineStr">
        <is>
          <t>bb</t>
        </is>
      </c>
      <c r="I5392" s="32" t="n">
        <v>22835.781</v>
      </c>
      <c r="K5392" s="32" t="inlineStr">
        <is>
          <t>20250514-40</t>
        </is>
      </c>
    </row>
    <row r="5393">
      <c r="A5393" s="32" t="n">
        <v>30</v>
      </c>
      <c r="B5393" s="32" t="inlineStr">
        <is>
          <t>K4-5C</t>
        </is>
      </c>
      <c r="D5393" s="32" t="n">
        <v>15.2</v>
      </c>
      <c r="E5393" s="32" t="n">
        <v>22675.041</v>
      </c>
      <c r="G5393" s="32" t="n">
        <v>210.222</v>
      </c>
      <c r="H5393" s="32" t="inlineStr">
        <is>
          <t>bb</t>
        </is>
      </c>
      <c r="I5393" s="32" t="n">
        <v>22675.041</v>
      </c>
      <c r="K5393" s="32" t="inlineStr">
        <is>
          <t>20250514-41</t>
        </is>
      </c>
    </row>
    <row r="5394">
      <c r="A5394" s="32" t="n">
        <v>31</v>
      </c>
      <c r="B5394" s="32" t="inlineStr">
        <is>
          <t>MeOH</t>
        </is>
      </c>
      <c r="D5394" s="32" t="n">
        <v>15.11</v>
      </c>
      <c r="E5394" s="32" t="n">
        <v>110.806</v>
      </c>
      <c r="G5394" s="32" t="n">
        <v>650</v>
      </c>
      <c r="H5394" s="32" t="inlineStr">
        <is>
          <t>bb</t>
        </is>
      </c>
      <c r="I5394" s="32" t="n">
        <v>110.806</v>
      </c>
      <c r="K5394" s="32" t="inlineStr">
        <is>
          <t>20250514-42</t>
        </is>
      </c>
    </row>
    <row r="5395">
      <c r="A5395" s="32" t="n">
        <v>32</v>
      </c>
      <c r="B5395" s="32" t="inlineStr">
        <is>
          <t>K3-1A</t>
        </is>
      </c>
      <c r="D5395" s="32" t="n">
        <v>15.15</v>
      </c>
      <c r="E5395" s="32" t="n">
        <v>26872.742</v>
      </c>
      <c r="G5395" s="32" t="n">
        <v>576.436</v>
      </c>
      <c r="H5395" s="32" t="inlineStr">
        <is>
          <t>bb</t>
        </is>
      </c>
      <c r="I5395" s="32" t="n">
        <v>26872.742</v>
      </c>
      <c r="K5395" s="32" t="inlineStr">
        <is>
          <t>20250514-43</t>
        </is>
      </c>
    </row>
    <row r="5396">
      <c r="A5396" s="32" t="n">
        <v>33</v>
      </c>
      <c r="B5396" s="32" t="inlineStr">
        <is>
          <t>K3-1B</t>
        </is>
      </c>
      <c r="D5396" s="32" t="n">
        <v>15.17</v>
      </c>
      <c r="E5396" s="32" t="n">
        <v>21870.893</v>
      </c>
      <c r="G5396" s="32" t="n">
        <v>608.403</v>
      </c>
      <c r="H5396" s="32" t="inlineStr">
        <is>
          <t>bb</t>
        </is>
      </c>
      <c r="I5396" s="32" t="n">
        <v>21870.893</v>
      </c>
      <c r="K5396" s="32" t="inlineStr">
        <is>
          <t>20250514-44</t>
        </is>
      </c>
    </row>
    <row r="5397">
      <c r="A5397" s="32" t="n">
        <v>34</v>
      </c>
      <c r="B5397" s="32" t="inlineStr">
        <is>
          <t>K3-1C</t>
        </is>
      </c>
      <c r="D5397" s="32" t="n">
        <v>15.2</v>
      </c>
      <c r="E5397" s="32" t="n">
        <v>32909.313</v>
      </c>
      <c r="G5397" s="32" t="n">
        <v>365.097</v>
      </c>
      <c r="H5397" s="32" t="inlineStr">
        <is>
          <t>bb</t>
        </is>
      </c>
      <c r="I5397" s="32" t="n">
        <v>32909.313</v>
      </c>
      <c r="K5397" s="32" t="inlineStr">
        <is>
          <t>20250514-45</t>
        </is>
      </c>
    </row>
    <row r="5398">
      <c r="A5398" s="32" t="n">
        <v>35</v>
      </c>
      <c r="B5398" s="32" t="inlineStr">
        <is>
          <t>K3-2A</t>
        </is>
      </c>
      <c r="D5398" s="32" t="n">
        <v>15.21</v>
      </c>
      <c r="E5398" s="32" t="n">
        <v>26168.053</v>
      </c>
      <c r="G5398" s="32" t="n">
        <v>650.152</v>
      </c>
      <c r="H5398" s="32" t="inlineStr">
        <is>
          <t>bb</t>
        </is>
      </c>
      <c r="I5398" s="32" t="n">
        <v>26168.053</v>
      </c>
      <c r="K5398" s="32" t="inlineStr">
        <is>
          <t>20250514-46</t>
        </is>
      </c>
    </row>
    <row r="5399">
      <c r="A5399" s="32" t="n">
        <v>36</v>
      </c>
      <c r="B5399" s="32" t="inlineStr">
        <is>
          <t>K3-2B</t>
        </is>
      </c>
      <c r="D5399" s="32" t="n">
        <v>15.21</v>
      </c>
      <c r="E5399" s="32" t="n">
        <v>31361.701</v>
      </c>
      <c r="G5399" s="32" t="n">
        <v>179.589</v>
      </c>
      <c r="H5399" s="32" t="inlineStr">
        <is>
          <t>bb</t>
        </is>
      </c>
      <c r="I5399" s="32" t="n">
        <v>31361.701</v>
      </c>
      <c r="K5399" s="32" t="inlineStr">
        <is>
          <t>20250514-47</t>
        </is>
      </c>
    </row>
    <row r="5400">
      <c r="A5400" s="32" t="n">
        <v>37</v>
      </c>
      <c r="B5400" s="32" t="inlineStr">
        <is>
          <t>K3-2C</t>
        </is>
      </c>
      <c r="D5400" s="32" t="n">
        <v>15.21</v>
      </c>
      <c r="E5400" s="32" t="n">
        <v>25991.197</v>
      </c>
      <c r="G5400" s="32" t="n">
        <v>445.222</v>
      </c>
      <c r="H5400" s="32" t="inlineStr">
        <is>
          <t>bb</t>
        </is>
      </c>
      <c r="I5400" s="32" t="n">
        <v>25991.197</v>
      </c>
      <c r="K5400" s="32" t="inlineStr">
        <is>
          <t>20250514-48</t>
        </is>
      </c>
    </row>
    <row r="5401">
      <c r="A5401" s="32" t="n">
        <v>38</v>
      </c>
      <c r="B5401" s="32" t="inlineStr">
        <is>
          <t>MeOH</t>
        </is>
      </c>
      <c r="D5401" s="32" t="n">
        <v>15.23</v>
      </c>
      <c r="E5401" s="32" t="n">
        <v>50.852</v>
      </c>
      <c r="G5401" s="32" t="n">
        <v>290</v>
      </c>
      <c r="H5401" s="32" t="inlineStr">
        <is>
          <t>bb</t>
        </is>
      </c>
      <c r="I5401" s="32" t="n">
        <v>50.852</v>
      </c>
      <c r="K5401" s="32" t="inlineStr">
        <is>
          <t>20250514-49</t>
        </is>
      </c>
    </row>
    <row r="5402">
      <c r="A5402" s="32" t="n">
        <v>39</v>
      </c>
      <c r="B5402" s="32" t="inlineStr">
        <is>
          <t>K3-3A</t>
        </is>
      </c>
      <c r="D5402" s="32" t="n">
        <v>15.23</v>
      </c>
      <c r="E5402" s="32" t="n">
        <v>22350.551</v>
      </c>
      <c r="G5402" s="32" t="n">
        <v>1058.196</v>
      </c>
      <c r="H5402" s="32" t="inlineStr">
        <is>
          <t>bb</t>
        </is>
      </c>
      <c r="I5402" s="32" t="n">
        <v>22350.551</v>
      </c>
      <c r="K5402" s="32" t="inlineStr">
        <is>
          <t>20250514-50</t>
        </is>
      </c>
    </row>
    <row r="5403">
      <c r="A5403" s="32" t="n">
        <v>40</v>
      </c>
      <c r="B5403" s="32" t="inlineStr">
        <is>
          <t>K3-3B</t>
        </is>
      </c>
      <c r="D5403" s="32" t="n">
        <v>15.26</v>
      </c>
      <c r="E5403" s="32" t="n">
        <v>25724.141</v>
      </c>
      <c r="G5403" s="32" t="n">
        <v>155351</v>
      </c>
      <c r="H5403" s="32" t="inlineStr">
        <is>
          <t>bb</t>
        </is>
      </c>
      <c r="I5403" s="32" t="n">
        <v>25724.141</v>
      </c>
      <c r="K5403" s="32" t="inlineStr">
        <is>
          <t>20250514-51</t>
        </is>
      </c>
    </row>
    <row r="5404">
      <c r="A5404" s="32" t="n">
        <v>41</v>
      </c>
      <c r="B5404" s="32" t="inlineStr">
        <is>
          <t>K3-3C</t>
        </is>
      </c>
      <c r="D5404" s="32" t="n">
        <v>15.26</v>
      </c>
      <c r="E5404" s="32" t="n">
        <v>29659.332</v>
      </c>
      <c r="G5404" s="32" t="n">
        <v>367.053</v>
      </c>
      <c r="H5404" s="32" t="inlineStr">
        <is>
          <t>bb</t>
        </is>
      </c>
      <c r="I5404" s="32" t="n">
        <v>29659.332</v>
      </c>
      <c r="K5404" s="32" t="inlineStr">
        <is>
          <t>20250514-52</t>
        </is>
      </c>
    </row>
    <row r="5405">
      <c r="A5405" s="32" t="n">
        <v>42</v>
      </c>
      <c r="B5405" s="32" t="inlineStr">
        <is>
          <t>K3-4A</t>
        </is>
      </c>
      <c r="D5405" s="32" t="n">
        <v>15.3</v>
      </c>
      <c r="E5405" s="32" t="n">
        <v>31270.463</v>
      </c>
      <c r="G5405" s="32" t="n">
        <v>235.96</v>
      </c>
      <c r="H5405" s="32" t="inlineStr">
        <is>
          <t>bb</t>
        </is>
      </c>
      <c r="I5405" s="32" t="n">
        <v>31270.463</v>
      </c>
      <c r="K5405" s="32" t="inlineStr">
        <is>
          <t>20250514-53</t>
        </is>
      </c>
    </row>
    <row r="5406">
      <c r="A5406" s="32" t="n">
        <v>43</v>
      </c>
      <c r="B5406" s="32" t="inlineStr">
        <is>
          <t>K3-4B</t>
        </is>
      </c>
      <c r="D5406" s="32" t="n">
        <v>15.28</v>
      </c>
      <c r="E5406" s="32" t="n">
        <v>30780.789</v>
      </c>
      <c r="G5406" s="32" t="n">
        <v>658.503</v>
      </c>
      <c r="H5406" s="32" t="inlineStr">
        <is>
          <t>bb</t>
        </is>
      </c>
      <c r="I5406" s="32" t="n">
        <v>30780.789</v>
      </c>
      <c r="K5406" s="32" t="inlineStr">
        <is>
          <t>20250514-54</t>
        </is>
      </c>
    </row>
    <row r="5407">
      <c r="A5407" s="32" t="n">
        <v>44</v>
      </c>
      <c r="B5407" s="32" t="inlineStr">
        <is>
          <t>K3-4C</t>
        </is>
      </c>
      <c r="D5407" s="32" t="n">
        <v>15.31</v>
      </c>
      <c r="E5407" s="32" t="n">
        <v>31819.67</v>
      </c>
      <c r="G5407" s="32" t="n">
        <v>862.106</v>
      </c>
      <c r="H5407" s="32" t="inlineStr">
        <is>
          <t>bb</t>
        </is>
      </c>
      <c r="I5407" s="32" t="n">
        <v>31819.67</v>
      </c>
      <c r="K5407" s="32" t="inlineStr">
        <is>
          <t>20250514-55</t>
        </is>
      </c>
    </row>
    <row r="5408">
      <c r="A5408" s="32" t="n">
        <v>45</v>
      </c>
      <c r="B5408" s="32" t="inlineStr">
        <is>
          <t>MeOH</t>
        </is>
      </c>
      <c r="D5408" s="32" t="n">
        <v>15.4</v>
      </c>
      <c r="E5408" s="32" t="n">
        <v>41.014</v>
      </c>
      <c r="G5408" s="32" t="n">
        <v>294</v>
      </c>
      <c r="H5408" s="32" t="inlineStr">
        <is>
          <t>bb</t>
        </is>
      </c>
      <c r="I5408" s="32" t="n">
        <v>41.014</v>
      </c>
      <c r="K5408" s="32" t="inlineStr">
        <is>
          <t>20250514-56</t>
        </is>
      </c>
    </row>
    <row r="5409">
      <c r="A5409" s="32" t="n">
        <v>46</v>
      </c>
      <c r="B5409" s="32" t="inlineStr">
        <is>
          <t>K3-6A</t>
        </is>
      </c>
      <c r="D5409" s="32" t="n">
        <v>15.33</v>
      </c>
      <c r="E5409" s="32" t="n">
        <v>28759.182</v>
      </c>
      <c r="G5409" s="32" t="n">
        <v>767.588</v>
      </c>
      <c r="H5409" s="32" t="inlineStr">
        <is>
          <t>bb</t>
        </is>
      </c>
      <c r="I5409" s="32" t="n">
        <v>28759.182</v>
      </c>
      <c r="K5409" s="32" t="inlineStr">
        <is>
          <t>20250514-57</t>
        </is>
      </c>
    </row>
    <row r="5410">
      <c r="A5410" s="32" t="n">
        <v>47</v>
      </c>
      <c r="B5410" s="32" t="inlineStr">
        <is>
          <t>K3-6B</t>
        </is>
      </c>
      <c r="D5410" s="32" t="n">
        <v>15.33</v>
      </c>
      <c r="E5410" s="32" t="n">
        <v>24892.369</v>
      </c>
      <c r="G5410" s="32" t="n">
        <v>692.313</v>
      </c>
      <c r="H5410" s="32" t="inlineStr">
        <is>
          <t>bb</t>
        </is>
      </c>
      <c r="I5410" s="32" t="n">
        <v>24892.369</v>
      </c>
      <c r="K5410" s="32" t="inlineStr">
        <is>
          <t>20250514-58</t>
        </is>
      </c>
    </row>
    <row r="5411">
      <c r="A5411" s="32" t="n">
        <v>48</v>
      </c>
      <c r="B5411" s="32" t="inlineStr">
        <is>
          <t>K3-6C</t>
        </is>
      </c>
      <c r="D5411" s="32" t="n">
        <v>15.3</v>
      </c>
      <c r="E5411" s="32" t="n">
        <v>20317.258</v>
      </c>
      <c r="G5411" s="32" t="n">
        <v>618.082</v>
      </c>
      <c r="H5411" s="32" t="inlineStr">
        <is>
          <t>bb</t>
        </is>
      </c>
      <c r="I5411" s="32" t="n">
        <v>20317.258</v>
      </c>
      <c r="K5411" s="32" t="inlineStr">
        <is>
          <t>20250514-59</t>
        </is>
      </c>
    </row>
    <row r="5413">
      <c r="A5413" s="32" t="inlineStr">
        <is>
          <t>Compound 105:  PFUDA 1</t>
        </is>
      </c>
    </row>
    <row r="5415">
      <c r="B5415" s="32" t="inlineStr">
        <is>
          <t>Sample Text</t>
        </is>
      </c>
      <c r="C5415" s="32" t="inlineStr">
        <is>
          <t>Std. Conc</t>
        </is>
      </c>
      <c r="D5415" s="32" t="inlineStr">
        <is>
          <t>RT</t>
        </is>
      </c>
      <c r="E5415" s="32" t="inlineStr">
        <is>
          <t>Area</t>
        </is>
      </c>
      <c r="F5415" s="32" t="inlineStr">
        <is>
          <t>IS Area</t>
        </is>
      </c>
      <c r="G5415" s="32" t="inlineStr">
        <is>
          <t>S/N</t>
        </is>
      </c>
      <c r="H5415" s="32" t="inlineStr">
        <is>
          <t>Primary Flags</t>
        </is>
      </c>
      <c r="I5415" s="32" t="inlineStr">
        <is>
          <t>Response</t>
        </is>
      </c>
      <c r="J5415" s="32" t="inlineStr">
        <is>
          <t>Conc.</t>
        </is>
      </c>
      <c r="K5415" s="32" t="inlineStr">
        <is>
          <t>Name</t>
        </is>
      </c>
    </row>
    <row r="5416">
      <c r="A5416" s="32" t="n">
        <v>1</v>
      </c>
      <c r="B5416" s="32" t="inlineStr">
        <is>
          <t>EPA1633 &amp; diPAPs Calibration 0 ppb</t>
        </is>
      </c>
      <c r="D5416" s="32" t="n">
        <v>14.78</v>
      </c>
      <c r="E5416" s="32" t="n">
        <v>176.054</v>
      </c>
      <c r="F5416" s="32" t="n">
        <v>818.542</v>
      </c>
      <c r="G5416" s="32" t="n">
        <v>6.124</v>
      </c>
      <c r="H5416" s="32" t="inlineStr">
        <is>
          <t>bb</t>
        </is>
      </c>
      <c r="K5416" s="32" t="inlineStr">
        <is>
          <t>20250514-12</t>
        </is>
      </c>
    </row>
    <row r="5417">
      <c r="A5417" s="32" t="n">
        <v>2</v>
      </c>
      <c r="B5417" s="32" t="inlineStr">
        <is>
          <t>EPA1633 &amp; diPAPs Calibration 0.02 ppb</t>
        </is>
      </c>
      <c r="D5417" s="32" t="n">
        <v>14.81</v>
      </c>
      <c r="E5417" s="32" t="n">
        <v>138.09</v>
      </c>
      <c r="F5417" s="32" t="n">
        <v>878.931</v>
      </c>
      <c r="G5417" s="32" t="n">
        <v>5.083</v>
      </c>
      <c r="H5417" s="32" t="inlineStr">
        <is>
          <t>bb</t>
        </is>
      </c>
      <c r="K5417" s="32" t="inlineStr">
        <is>
          <t>20250514-13</t>
        </is>
      </c>
    </row>
    <row r="5418">
      <c r="A5418" s="32" t="n">
        <v>3</v>
      </c>
      <c r="B5418" s="32" t="inlineStr">
        <is>
          <t>EPA1633 &amp; diPAPs Calibration 0.1 ppb</t>
        </is>
      </c>
      <c r="D5418" s="32" t="n">
        <v>14.81</v>
      </c>
      <c r="E5418" s="32" t="n">
        <v>149.586</v>
      </c>
      <c r="F5418" s="32" t="n">
        <v>947.3</v>
      </c>
      <c r="G5418" s="32" t="n">
        <v>1060</v>
      </c>
      <c r="H5418" s="32" t="inlineStr">
        <is>
          <t>bb</t>
        </is>
      </c>
      <c r="K5418" s="32" t="inlineStr">
        <is>
          <t>20250514-14</t>
        </is>
      </c>
    </row>
    <row r="5419">
      <c r="A5419" s="32" t="n">
        <v>4</v>
      </c>
      <c r="B5419" s="32" t="inlineStr">
        <is>
          <t>EPA1633 &amp; diPAPs Calibration 0.4 ppb</t>
        </is>
      </c>
      <c r="D5419" s="32" t="n">
        <v>14.84</v>
      </c>
      <c r="E5419" s="32" t="n">
        <v>556.372</v>
      </c>
      <c r="F5419" s="32" t="n">
        <v>785.4690000000001</v>
      </c>
      <c r="G5419" s="32" t="n">
        <v>2.859</v>
      </c>
      <c r="H5419" s="32" t="inlineStr">
        <is>
          <t>MM</t>
        </is>
      </c>
      <c r="K5419" s="32" t="inlineStr">
        <is>
          <t>20250514-15</t>
        </is>
      </c>
    </row>
    <row r="5420">
      <c r="A5420" s="32" t="n">
        <v>5</v>
      </c>
      <c r="B5420" s="32" t="inlineStr">
        <is>
          <t>EPA1633 &amp; diPAPs Calibration 1 ppb</t>
        </is>
      </c>
      <c r="D5420" s="32" t="n">
        <v>14.8</v>
      </c>
      <c r="E5420" s="32" t="n">
        <v>854.277</v>
      </c>
      <c r="F5420" s="32" t="n">
        <v>1347.024</v>
      </c>
      <c r="G5420" s="32" t="n">
        <v>20.524</v>
      </c>
      <c r="H5420" s="32" t="inlineStr">
        <is>
          <t>bb</t>
        </is>
      </c>
      <c r="K5420" s="32" t="inlineStr">
        <is>
          <t>20250514-16</t>
        </is>
      </c>
    </row>
    <row r="5421">
      <c r="A5421" s="32" t="n">
        <v>6</v>
      </c>
      <c r="B5421" s="32" t="inlineStr">
        <is>
          <t>EPA1633 &amp; diPAPs Calibration 5 ppb</t>
        </is>
      </c>
      <c r="D5421" s="32" t="n">
        <v>14.77</v>
      </c>
      <c r="E5421" s="32" t="n">
        <v>2860.832</v>
      </c>
      <c r="F5421" s="32" t="n">
        <v>950.485</v>
      </c>
      <c r="G5421" s="32" t="n">
        <v>17855</v>
      </c>
      <c r="H5421" s="32" t="inlineStr">
        <is>
          <t>bb</t>
        </is>
      </c>
      <c r="K5421" s="32" t="inlineStr">
        <is>
          <t>20250514-17</t>
        </is>
      </c>
    </row>
    <row r="5422">
      <c r="A5422" s="32" t="n">
        <v>7</v>
      </c>
      <c r="B5422" s="32" t="inlineStr">
        <is>
          <t>EPA1633 &amp; diPAPs Calibration 10 ppb</t>
        </is>
      </c>
      <c r="D5422" s="32" t="n">
        <v>14.78</v>
      </c>
      <c r="E5422" s="32" t="n">
        <v>5530.637</v>
      </c>
      <c r="F5422" s="32" t="n">
        <v>675.6130000000001</v>
      </c>
      <c r="G5422" s="32" t="n">
        <v>31.346</v>
      </c>
      <c r="H5422" s="32" t="inlineStr">
        <is>
          <t>bb</t>
        </is>
      </c>
      <c r="K5422" s="32" t="inlineStr">
        <is>
          <t>20250514-18</t>
        </is>
      </c>
    </row>
    <row r="5423">
      <c r="A5423" s="32" t="n">
        <v>8</v>
      </c>
      <c r="B5423" s="32" t="inlineStr">
        <is>
          <t>EPA1633 &amp; diPAPs Calibration 20 ppb</t>
        </is>
      </c>
      <c r="D5423" s="32" t="n">
        <v>14.8</v>
      </c>
      <c r="E5423" s="32" t="n">
        <v>12096.596</v>
      </c>
      <c r="F5423" s="32" t="n">
        <v>669.518</v>
      </c>
      <c r="G5423" s="32" t="n">
        <v>295.236</v>
      </c>
      <c r="H5423" s="32" t="inlineStr">
        <is>
          <t>bb</t>
        </is>
      </c>
      <c r="K5423" s="32" t="inlineStr">
        <is>
          <t>20250514-19</t>
        </is>
      </c>
    </row>
    <row r="5424">
      <c r="A5424" s="32" t="n">
        <v>9</v>
      </c>
      <c r="B5424" s="32" t="inlineStr">
        <is>
          <t>MeOH</t>
        </is>
      </c>
      <c r="D5424" s="32" t="n">
        <v>14.83</v>
      </c>
      <c r="E5424" s="32" t="n">
        <v>67.35599999999999</v>
      </c>
      <c r="G5424" s="32" t="n">
        <v>456</v>
      </c>
      <c r="H5424" s="32" t="inlineStr">
        <is>
          <t>bb</t>
        </is>
      </c>
      <c r="K5424" s="32" t="inlineStr">
        <is>
          <t>20250514-20</t>
        </is>
      </c>
    </row>
    <row r="5425">
      <c r="A5425" s="32" t="n">
        <v>10</v>
      </c>
      <c r="B5425" s="32" t="inlineStr">
        <is>
          <t>MeOH</t>
        </is>
      </c>
      <c r="D5425" s="32" t="n">
        <v>14.97</v>
      </c>
      <c r="E5425" s="32" t="n">
        <v>56.265</v>
      </c>
      <c r="G5425" s="32" t="n">
        <v>345</v>
      </c>
      <c r="H5425" s="32" t="inlineStr">
        <is>
          <t>bb</t>
        </is>
      </c>
      <c r="K5425" s="32" t="inlineStr">
        <is>
          <t>20250514-21</t>
        </is>
      </c>
    </row>
    <row r="5426">
      <c r="A5426" s="32" t="n">
        <v>11</v>
      </c>
      <c r="B5426" s="32" t="inlineStr">
        <is>
          <t>SB1</t>
        </is>
      </c>
      <c r="D5426" s="32" t="n">
        <v>14.81</v>
      </c>
      <c r="E5426" s="32" t="n">
        <v>871.876</v>
      </c>
      <c r="F5426" s="32" t="n">
        <v>454.851</v>
      </c>
      <c r="G5426" s="32" t="n">
        <v>68.051</v>
      </c>
      <c r="H5426" s="32" t="inlineStr">
        <is>
          <t>bb</t>
        </is>
      </c>
      <c r="K5426" s="32" t="inlineStr">
        <is>
          <t>20250514-22</t>
        </is>
      </c>
    </row>
    <row r="5427">
      <c r="A5427" s="32" t="n">
        <v>12</v>
      </c>
      <c r="B5427" s="32" t="inlineStr">
        <is>
          <t>SB2</t>
        </is>
      </c>
      <c r="D5427" s="32" t="n">
        <v>14.83</v>
      </c>
      <c r="E5427" s="32" t="n">
        <v>58.474</v>
      </c>
      <c r="F5427" s="32" t="n">
        <v>327.91</v>
      </c>
      <c r="G5427" s="32" t="n">
        <v>368</v>
      </c>
      <c r="H5427" s="32" t="inlineStr">
        <is>
          <t>bb</t>
        </is>
      </c>
      <c r="K5427" s="32" t="inlineStr">
        <is>
          <t>20250514-23</t>
        </is>
      </c>
    </row>
    <row r="5428">
      <c r="A5428" s="32" t="n">
        <v>13</v>
      </c>
      <c r="B5428" s="32" t="inlineStr">
        <is>
          <t>SB3</t>
        </is>
      </c>
      <c r="D5428" s="32" t="n">
        <v>14.91</v>
      </c>
      <c r="E5428" s="32" t="n">
        <v>107.296</v>
      </c>
      <c r="F5428" s="32" t="n">
        <v>222.426</v>
      </c>
      <c r="G5428" s="32" t="n">
        <v>8.166</v>
      </c>
      <c r="H5428" s="32" t="inlineStr">
        <is>
          <t>bb</t>
        </is>
      </c>
      <c r="K5428" s="32" t="inlineStr">
        <is>
          <t>20250514-24</t>
        </is>
      </c>
    </row>
    <row r="5429">
      <c r="A5429" s="32" t="n">
        <v>14</v>
      </c>
      <c r="B5429" s="32" t="inlineStr">
        <is>
          <t>SS1</t>
        </is>
      </c>
      <c r="D5429" s="32" t="n">
        <v>14.84</v>
      </c>
      <c r="E5429" s="32" t="n">
        <v>2915.842</v>
      </c>
      <c r="F5429" s="32" t="n">
        <v>226.192</v>
      </c>
      <c r="G5429" s="32" t="n">
        <v>16.713</v>
      </c>
      <c r="H5429" s="32" t="inlineStr">
        <is>
          <t>MM</t>
        </is>
      </c>
      <c r="K5429" s="32" t="inlineStr">
        <is>
          <t>20250514-25</t>
        </is>
      </c>
    </row>
    <row r="5430">
      <c r="A5430" s="32" t="n">
        <v>15</v>
      </c>
      <c r="B5430" s="32" t="inlineStr">
        <is>
          <t>SS2</t>
        </is>
      </c>
      <c r="D5430" s="32" t="n">
        <v>14.88</v>
      </c>
      <c r="E5430" s="32" t="n">
        <v>2162.63</v>
      </c>
      <c r="F5430" s="32" t="n">
        <v>314.009</v>
      </c>
      <c r="G5430" s="32" t="n">
        <v>14188</v>
      </c>
      <c r="H5430" s="32" t="inlineStr">
        <is>
          <t>bb</t>
        </is>
      </c>
      <c r="K5430" s="32" t="inlineStr">
        <is>
          <t>20250514-26</t>
        </is>
      </c>
    </row>
    <row r="5431">
      <c r="A5431" s="32" t="n">
        <v>16</v>
      </c>
      <c r="B5431" s="32" t="inlineStr">
        <is>
          <t>SS3</t>
        </is>
      </c>
      <c r="D5431" s="32" t="n">
        <v>14.88</v>
      </c>
      <c r="E5431" s="32" t="n">
        <v>2602.307</v>
      </c>
      <c r="F5431" s="32" t="n">
        <v>235.115</v>
      </c>
      <c r="G5431" s="32" t="n">
        <v>59.633</v>
      </c>
      <c r="H5431" s="32" t="inlineStr">
        <is>
          <t>bb</t>
        </is>
      </c>
      <c r="K5431" s="32" t="inlineStr">
        <is>
          <t>20250514-27</t>
        </is>
      </c>
    </row>
    <row r="5432">
      <c r="A5432" s="32" t="n">
        <v>17</v>
      </c>
      <c r="B5432" s="32" t="inlineStr">
        <is>
          <t>MeOH</t>
        </is>
      </c>
      <c r="D5432" s="32" t="n">
        <v>14.86</v>
      </c>
      <c r="E5432" s="32" t="n">
        <v>88.351</v>
      </c>
      <c r="G5432" s="32" t="n">
        <v>3.374</v>
      </c>
      <c r="H5432" s="32" t="inlineStr">
        <is>
          <t>bb</t>
        </is>
      </c>
      <c r="K5432" s="32" t="inlineStr">
        <is>
          <t>20250514-28</t>
        </is>
      </c>
    </row>
    <row r="5433">
      <c r="A5433" s="32" t="n">
        <v>18</v>
      </c>
      <c r="B5433" s="32" t="inlineStr">
        <is>
          <t>K4-1A</t>
        </is>
      </c>
      <c r="D5433" s="32" t="n">
        <v>14.92</v>
      </c>
      <c r="E5433" s="32" t="n">
        <v>116.305</v>
      </c>
      <c r="F5433" s="32" t="n">
        <v>242.818</v>
      </c>
      <c r="G5433" s="32" t="n">
        <v>2.607</v>
      </c>
      <c r="H5433" s="32" t="inlineStr">
        <is>
          <t>bb</t>
        </is>
      </c>
      <c r="K5433" s="32" t="inlineStr">
        <is>
          <t>20250514-29</t>
        </is>
      </c>
    </row>
    <row r="5434">
      <c r="A5434" s="32" t="n">
        <v>19</v>
      </c>
      <c r="B5434" s="32" t="inlineStr">
        <is>
          <t>K4-1B</t>
        </is>
      </c>
      <c r="D5434" s="32" t="n">
        <v>14.88</v>
      </c>
      <c r="E5434" s="32" t="n">
        <v>31.993</v>
      </c>
      <c r="F5434" s="32" t="n">
        <v>508.77</v>
      </c>
      <c r="G5434" s="32" t="n">
        <v>262</v>
      </c>
      <c r="H5434" s="32" t="inlineStr">
        <is>
          <t>MM</t>
        </is>
      </c>
      <c r="K5434" s="32" t="inlineStr">
        <is>
          <t>20250514-30</t>
        </is>
      </c>
    </row>
    <row r="5435">
      <c r="A5435" s="32" t="n">
        <v>20</v>
      </c>
      <c r="B5435" s="32" t="inlineStr">
        <is>
          <t>K4-1C</t>
        </is>
      </c>
      <c r="D5435" s="32" t="n">
        <v>15.21</v>
      </c>
      <c r="E5435" s="32" t="n">
        <v>15.445</v>
      </c>
      <c r="F5435" s="32" t="n">
        <v>189.276</v>
      </c>
      <c r="G5435" s="32" t="n">
        <v>107</v>
      </c>
      <c r="H5435" s="32" t="inlineStr">
        <is>
          <t>bb</t>
        </is>
      </c>
      <c r="K5435" s="32" t="inlineStr">
        <is>
          <t>20250514-31</t>
        </is>
      </c>
    </row>
    <row r="5436">
      <c r="A5436" s="32" t="n">
        <v>21</v>
      </c>
      <c r="B5436" s="32" t="inlineStr">
        <is>
          <t>K4-2A</t>
        </is>
      </c>
      <c r="D5436" s="32" t="n">
        <v>14.89</v>
      </c>
      <c r="E5436" s="32" t="n">
        <v>74.479</v>
      </c>
      <c r="F5436" s="32" t="n">
        <v>310.373</v>
      </c>
      <c r="G5436" s="32" t="n">
        <v>2.835</v>
      </c>
      <c r="H5436" s="32" t="inlineStr">
        <is>
          <t>MM</t>
        </is>
      </c>
      <c r="K5436" s="32" t="inlineStr">
        <is>
          <t>20250514-32</t>
        </is>
      </c>
    </row>
    <row r="5437">
      <c r="A5437" s="32" t="n">
        <v>22</v>
      </c>
      <c r="B5437" s="32" t="inlineStr">
        <is>
          <t>K4-2B</t>
        </is>
      </c>
      <c r="D5437" s="32" t="n">
        <v>14.88</v>
      </c>
      <c r="E5437" s="32" t="n">
        <v>33.11</v>
      </c>
      <c r="F5437" s="32" t="n">
        <v>608.7859999999999</v>
      </c>
      <c r="G5437" s="32" t="n">
        <v>240</v>
      </c>
      <c r="H5437" s="32" t="inlineStr">
        <is>
          <t>bb</t>
        </is>
      </c>
      <c r="K5437" s="32" t="inlineStr">
        <is>
          <t>20250514-33</t>
        </is>
      </c>
    </row>
    <row r="5438">
      <c r="A5438" s="32" t="n">
        <v>23</v>
      </c>
      <c r="B5438" s="32" t="inlineStr">
        <is>
          <t>K4-2C</t>
        </is>
      </c>
      <c r="D5438" s="32" t="n">
        <v>14.92</v>
      </c>
      <c r="E5438" s="32" t="n">
        <v>254.143</v>
      </c>
      <c r="F5438" s="32" t="n">
        <v>229.764</v>
      </c>
      <c r="G5438" s="32" t="n">
        <v>30.804</v>
      </c>
      <c r="H5438" s="32" t="inlineStr">
        <is>
          <t>bb</t>
        </is>
      </c>
      <c r="K5438" s="32" t="inlineStr">
        <is>
          <t>20250514-34</t>
        </is>
      </c>
    </row>
    <row r="5439">
      <c r="A5439" s="32" t="n">
        <v>24</v>
      </c>
      <c r="B5439" s="32" t="inlineStr">
        <is>
          <t>MeOH</t>
        </is>
      </c>
      <c r="H5439" s="32" t="inlineStr">
        <is>
          <t>MM-</t>
        </is>
      </c>
      <c r="K5439" s="32" t="inlineStr">
        <is>
          <t>20250514-35</t>
        </is>
      </c>
    </row>
    <row r="5440">
      <c r="A5440" s="32" t="n">
        <v>25</v>
      </c>
      <c r="B5440" s="32" t="inlineStr">
        <is>
          <t>K4-4A</t>
        </is>
      </c>
      <c r="D5440" s="32" t="n">
        <v>14.92</v>
      </c>
      <c r="E5440" s="32" t="n">
        <v>97.292</v>
      </c>
      <c r="F5440" s="32" t="n">
        <v>288.067</v>
      </c>
      <c r="G5440" s="32" t="n">
        <v>725</v>
      </c>
      <c r="H5440" s="32" t="inlineStr">
        <is>
          <t>bb</t>
        </is>
      </c>
      <c r="K5440" s="32" t="inlineStr">
        <is>
          <t>20250514-36</t>
        </is>
      </c>
    </row>
    <row r="5441">
      <c r="A5441" s="32" t="n">
        <v>26</v>
      </c>
      <c r="B5441" s="32" t="inlineStr">
        <is>
          <t>K4-4B</t>
        </is>
      </c>
      <c r="D5441" s="32" t="n">
        <v>14.92</v>
      </c>
      <c r="E5441" s="32" t="n">
        <v>111.563</v>
      </c>
      <c r="F5441" s="32" t="n">
        <v>219.81</v>
      </c>
      <c r="G5441" s="32" t="n">
        <v>45.963</v>
      </c>
      <c r="H5441" s="32" t="inlineStr">
        <is>
          <t>bb</t>
        </is>
      </c>
      <c r="K5441" s="32" t="inlineStr">
        <is>
          <t>20250514-37</t>
        </is>
      </c>
    </row>
    <row r="5442">
      <c r="A5442" s="32" t="n">
        <v>27</v>
      </c>
      <c r="B5442" s="32" t="inlineStr">
        <is>
          <t>K4-4C</t>
        </is>
      </c>
      <c r="D5442" s="32" t="n">
        <v>14.94</v>
      </c>
      <c r="E5442" s="32" t="n">
        <v>18.054</v>
      </c>
      <c r="F5442" s="32" t="n">
        <v>322.86</v>
      </c>
      <c r="G5442" s="32" t="n">
        <v>156</v>
      </c>
      <c r="H5442" s="32" t="inlineStr">
        <is>
          <t>bb</t>
        </is>
      </c>
      <c r="K5442" s="32" t="inlineStr">
        <is>
          <t>20250514-38</t>
        </is>
      </c>
    </row>
    <row r="5443">
      <c r="A5443" s="32" t="n">
        <v>28</v>
      </c>
      <c r="B5443" s="32" t="inlineStr">
        <is>
          <t>K4-5A</t>
        </is>
      </c>
      <c r="D5443" s="32" t="n">
        <v>14.92</v>
      </c>
      <c r="E5443" s="32" t="n">
        <v>40.075</v>
      </c>
      <c r="F5443" s="32" t="n">
        <v>302.863</v>
      </c>
      <c r="G5443" s="32" t="n">
        <v>5.829</v>
      </c>
      <c r="H5443" s="32" t="inlineStr">
        <is>
          <t>bb</t>
        </is>
      </c>
      <c r="K5443" s="32" t="inlineStr">
        <is>
          <t>20250514-39</t>
        </is>
      </c>
    </row>
    <row r="5444">
      <c r="A5444" s="32" t="n">
        <v>29</v>
      </c>
      <c r="B5444" s="32" t="inlineStr">
        <is>
          <t>K4-5B</t>
        </is>
      </c>
      <c r="D5444" s="32" t="n">
        <v>14.84</v>
      </c>
      <c r="E5444" s="32" t="n">
        <v>87.521</v>
      </c>
      <c r="F5444" s="32" t="n">
        <v>188.939</v>
      </c>
      <c r="G5444" s="32" t="n">
        <v>2.63</v>
      </c>
      <c r="H5444" s="32" t="inlineStr">
        <is>
          <t>bb</t>
        </is>
      </c>
      <c r="K5444" s="32" t="inlineStr">
        <is>
          <t>20250514-40</t>
        </is>
      </c>
    </row>
    <row r="5445">
      <c r="A5445" s="32" t="n">
        <v>30</v>
      </c>
      <c r="B5445" s="32" t="inlineStr">
        <is>
          <t>K4-5C</t>
        </is>
      </c>
      <c r="D5445" s="32" t="n">
        <v>14.8</v>
      </c>
      <c r="E5445" s="32" t="n">
        <v>60.708</v>
      </c>
      <c r="F5445" s="32" t="n">
        <v>386.08</v>
      </c>
      <c r="G5445" s="32" t="n">
        <v>496</v>
      </c>
      <c r="H5445" s="32" t="inlineStr">
        <is>
          <t>MM</t>
        </is>
      </c>
      <c r="K5445" s="32" t="inlineStr">
        <is>
          <t>20250514-41</t>
        </is>
      </c>
    </row>
    <row r="5446">
      <c r="A5446" s="32" t="n">
        <v>31</v>
      </c>
      <c r="B5446" s="32" t="inlineStr">
        <is>
          <t>MeOH</t>
        </is>
      </c>
      <c r="H5446" s="32" t="inlineStr">
        <is>
          <t>MM-</t>
        </is>
      </c>
      <c r="K5446" s="32" t="inlineStr">
        <is>
          <t>20250514-42</t>
        </is>
      </c>
    </row>
    <row r="5447">
      <c r="A5447" s="32" t="n">
        <v>32</v>
      </c>
      <c r="B5447" s="32" t="inlineStr">
        <is>
          <t>K3-1A</t>
        </is>
      </c>
      <c r="D5447" s="32" t="n">
        <v>14.81</v>
      </c>
      <c r="E5447" s="32" t="n">
        <v>427.026</v>
      </c>
      <c r="F5447" s="32" t="n">
        <v>273.068</v>
      </c>
      <c r="G5447" s="32" t="n">
        <v>5.635</v>
      </c>
      <c r="H5447" s="32" t="inlineStr">
        <is>
          <t>bb</t>
        </is>
      </c>
      <c r="K5447" s="32" t="inlineStr">
        <is>
          <t>20250514-43</t>
        </is>
      </c>
    </row>
    <row r="5448">
      <c r="A5448" s="32" t="n">
        <v>33</v>
      </c>
      <c r="B5448" s="32" t="inlineStr">
        <is>
          <t>K3-1B</t>
        </is>
      </c>
      <c r="D5448" s="32" t="n">
        <v>14.81</v>
      </c>
      <c r="E5448" s="32" t="n">
        <v>12.344</v>
      </c>
      <c r="F5448" s="32" t="n">
        <v>112.597</v>
      </c>
      <c r="G5448" s="32" t="n">
        <v>8.893000000000001</v>
      </c>
      <c r="H5448" s="32" t="inlineStr">
        <is>
          <t>bb</t>
        </is>
      </c>
      <c r="K5448" s="32" t="inlineStr">
        <is>
          <t>20250514-44</t>
        </is>
      </c>
    </row>
    <row r="5449">
      <c r="A5449" s="32" t="n">
        <v>34</v>
      </c>
      <c r="B5449" s="32" t="inlineStr">
        <is>
          <t>K3-1C</t>
        </is>
      </c>
      <c r="D5449" s="32" t="n">
        <v>14.83</v>
      </c>
      <c r="E5449" s="32" t="n">
        <v>55.431</v>
      </c>
      <c r="F5449" s="32" t="n">
        <v>575.867</v>
      </c>
      <c r="G5449" s="32" t="n">
        <v>438</v>
      </c>
      <c r="H5449" s="32" t="inlineStr">
        <is>
          <t>bb</t>
        </is>
      </c>
      <c r="K5449" s="32" t="inlineStr">
        <is>
          <t>20250514-45</t>
        </is>
      </c>
    </row>
    <row r="5450">
      <c r="A5450" s="32" t="n">
        <v>35</v>
      </c>
      <c r="B5450" s="32" t="inlineStr">
        <is>
          <t>K3-2A</t>
        </is>
      </c>
      <c r="D5450" s="32" t="n">
        <v>14.88</v>
      </c>
      <c r="E5450" s="32" t="n">
        <v>35.019</v>
      </c>
      <c r="F5450" s="32" t="n">
        <v>406.817</v>
      </c>
      <c r="G5450" s="32" t="n">
        <v>3.175</v>
      </c>
      <c r="H5450" s="32" t="inlineStr">
        <is>
          <t>bb</t>
        </is>
      </c>
      <c r="K5450" s="32" t="inlineStr">
        <is>
          <t>20250514-46</t>
        </is>
      </c>
    </row>
    <row r="5451">
      <c r="A5451" s="32" t="n">
        <v>36</v>
      </c>
      <c r="B5451" s="32" t="inlineStr">
        <is>
          <t>K3-2B</t>
        </is>
      </c>
      <c r="D5451" s="32" t="n">
        <v>14.88</v>
      </c>
      <c r="E5451" s="32" t="n">
        <v>231.338</v>
      </c>
      <c r="F5451" s="32" t="n">
        <v>266.099</v>
      </c>
      <c r="G5451" s="32" t="n">
        <v>6.464</v>
      </c>
      <c r="H5451" s="32" t="inlineStr">
        <is>
          <t>bb</t>
        </is>
      </c>
      <c r="K5451" s="32" t="inlineStr">
        <is>
          <t>20250514-47</t>
        </is>
      </c>
    </row>
    <row r="5452">
      <c r="A5452" s="32" t="n">
        <v>37</v>
      </c>
      <c r="B5452" s="32" t="inlineStr">
        <is>
          <t>K3-2C</t>
        </is>
      </c>
      <c r="D5452" s="32" t="n">
        <v>14.89</v>
      </c>
      <c r="E5452" s="32" t="n">
        <v>45.943</v>
      </c>
      <c r="F5452" s="32" t="n">
        <v>84.498</v>
      </c>
      <c r="G5452" s="32" t="n">
        <v>2.904</v>
      </c>
      <c r="H5452" s="32" t="inlineStr">
        <is>
          <t>MM</t>
        </is>
      </c>
      <c r="K5452" s="32" t="inlineStr">
        <is>
          <t>20250514-48</t>
        </is>
      </c>
    </row>
    <row r="5453">
      <c r="A5453" s="32" t="n">
        <v>38</v>
      </c>
      <c r="B5453" s="32" t="inlineStr">
        <is>
          <t>MeOH</t>
        </is>
      </c>
      <c r="H5453" s="32" t="inlineStr">
        <is>
          <t>MM-</t>
        </is>
      </c>
      <c r="K5453" s="32" t="inlineStr">
        <is>
          <t>20250514-49</t>
        </is>
      </c>
    </row>
    <row r="5454">
      <c r="A5454" s="32" t="n">
        <v>39</v>
      </c>
      <c r="B5454" s="32" t="inlineStr">
        <is>
          <t>K3-3A</t>
        </is>
      </c>
      <c r="D5454" s="32" t="n">
        <v>14.91</v>
      </c>
      <c r="E5454" s="32" t="n">
        <v>95.76600000000001</v>
      </c>
      <c r="F5454" s="32" t="n">
        <v>164.973</v>
      </c>
      <c r="G5454" s="32" t="n">
        <v>655</v>
      </c>
      <c r="H5454" s="32" t="inlineStr">
        <is>
          <t>bb</t>
        </is>
      </c>
      <c r="K5454" s="32" t="inlineStr">
        <is>
          <t>20250514-50</t>
        </is>
      </c>
    </row>
    <row r="5455">
      <c r="A5455" s="32" t="n">
        <v>40</v>
      </c>
      <c r="B5455" s="32" t="inlineStr">
        <is>
          <t>K3-3B</t>
        </is>
      </c>
      <c r="D5455" s="32" t="n">
        <v>14.99</v>
      </c>
      <c r="E5455" s="32" t="n">
        <v>236.64</v>
      </c>
      <c r="F5455" s="32" t="n">
        <v>375.679</v>
      </c>
      <c r="G5455" s="32" t="n">
        <v>4.943</v>
      </c>
      <c r="H5455" s="32" t="inlineStr">
        <is>
          <t>bb</t>
        </is>
      </c>
      <c r="K5455" s="32" t="inlineStr">
        <is>
          <t>20250514-51</t>
        </is>
      </c>
    </row>
    <row r="5456">
      <c r="A5456" s="32" t="n">
        <v>41</v>
      </c>
      <c r="B5456" s="32" t="inlineStr">
        <is>
          <t>K3-3C</t>
        </is>
      </c>
      <c r="D5456" s="32" t="n">
        <v>14.91</v>
      </c>
      <c r="E5456" s="32" t="n">
        <v>47.31</v>
      </c>
      <c r="F5456" s="32" t="n">
        <v>522.725</v>
      </c>
      <c r="G5456" s="32" t="n">
        <v>339</v>
      </c>
      <c r="H5456" s="32" t="inlineStr">
        <is>
          <t>bb</t>
        </is>
      </c>
      <c r="K5456" s="32" t="inlineStr">
        <is>
          <t>20250514-52</t>
        </is>
      </c>
    </row>
    <row r="5457">
      <c r="A5457" s="32" t="n">
        <v>42</v>
      </c>
      <c r="B5457" s="32" t="inlineStr">
        <is>
          <t>K3-4A</t>
        </is>
      </c>
      <c r="D5457" s="32" t="n">
        <v>14.96</v>
      </c>
      <c r="E5457" s="32" t="n">
        <v>89.873</v>
      </c>
      <c r="F5457" s="32" t="n">
        <v>299.257</v>
      </c>
      <c r="G5457" s="32" t="n">
        <v>3.77</v>
      </c>
      <c r="H5457" s="32" t="inlineStr">
        <is>
          <t>bb</t>
        </is>
      </c>
      <c r="K5457" s="32" t="inlineStr">
        <is>
          <t>20250514-53</t>
        </is>
      </c>
    </row>
    <row r="5458">
      <c r="A5458" s="32" t="n">
        <v>43</v>
      </c>
      <c r="B5458" s="32" t="inlineStr">
        <is>
          <t>K3-4B</t>
        </is>
      </c>
      <c r="D5458" s="32" t="n">
        <v>14.94</v>
      </c>
      <c r="E5458" s="32" t="n">
        <v>58.598</v>
      </c>
      <c r="F5458" s="32" t="n">
        <v>449.922</v>
      </c>
      <c r="G5458" s="32" t="n">
        <v>374</v>
      </c>
      <c r="H5458" s="32" t="inlineStr">
        <is>
          <t>bb</t>
        </is>
      </c>
      <c r="K5458" s="32" t="inlineStr">
        <is>
          <t>20250514-54</t>
        </is>
      </c>
    </row>
    <row r="5459">
      <c r="A5459" s="32" t="n">
        <v>44</v>
      </c>
      <c r="B5459" s="32" t="inlineStr">
        <is>
          <t>K3-4C</t>
        </is>
      </c>
      <c r="D5459" s="32" t="n">
        <v>14.96</v>
      </c>
      <c r="E5459" s="32" t="n">
        <v>59.042</v>
      </c>
      <c r="F5459" s="32" t="n">
        <v>357.082</v>
      </c>
      <c r="G5459" s="32" t="n">
        <v>33.264</v>
      </c>
      <c r="H5459" s="32" t="inlineStr">
        <is>
          <t>bb</t>
        </is>
      </c>
      <c r="K5459" s="32" t="inlineStr">
        <is>
          <t>20250514-55</t>
        </is>
      </c>
    </row>
    <row r="5460">
      <c r="A5460" s="32" t="n">
        <v>45</v>
      </c>
      <c r="B5460" s="32" t="inlineStr">
        <is>
          <t>MeOH</t>
        </is>
      </c>
      <c r="D5460" s="32" t="n">
        <v>15.11</v>
      </c>
      <c r="E5460" s="32" t="n">
        <v>101.821</v>
      </c>
      <c r="G5460" s="32" t="n">
        <v>2.378</v>
      </c>
      <c r="H5460" s="32" t="inlineStr">
        <is>
          <t>bb</t>
        </is>
      </c>
      <c r="K5460" s="32" t="inlineStr">
        <is>
          <t>20250514-56</t>
        </is>
      </c>
    </row>
    <row r="5461">
      <c r="A5461" s="32" t="n">
        <v>46</v>
      </c>
      <c r="B5461" s="32" t="inlineStr">
        <is>
          <t>K3-6A</t>
        </is>
      </c>
      <c r="D5461" s="32" t="n">
        <v>14.96</v>
      </c>
      <c r="E5461" s="32" t="n">
        <v>59.196</v>
      </c>
      <c r="F5461" s="32" t="n">
        <v>481.186</v>
      </c>
      <c r="G5461" s="32" t="n">
        <v>2.887</v>
      </c>
      <c r="H5461" s="32" t="inlineStr">
        <is>
          <t>MM</t>
        </is>
      </c>
      <c r="K5461" s="32" t="inlineStr">
        <is>
          <t>20250514-57</t>
        </is>
      </c>
    </row>
    <row r="5462">
      <c r="A5462" s="32" t="n">
        <v>47</v>
      </c>
      <c r="B5462" s="32" t="inlineStr">
        <is>
          <t>K3-6B</t>
        </is>
      </c>
      <c r="D5462" s="32" t="n">
        <v>14.96</v>
      </c>
      <c r="E5462" s="32" t="n">
        <v>174.796</v>
      </c>
      <c r="F5462" s="32" t="n">
        <v>210.944</v>
      </c>
      <c r="G5462" s="32" t="n">
        <v>10.782</v>
      </c>
      <c r="H5462" s="32" t="inlineStr">
        <is>
          <t>MM</t>
        </is>
      </c>
      <c r="K5462" s="32" t="inlineStr">
        <is>
          <t>20250514-58</t>
        </is>
      </c>
    </row>
    <row r="5463">
      <c r="A5463" s="32" t="n">
        <v>48</v>
      </c>
      <c r="B5463" s="32" t="inlineStr">
        <is>
          <t>K3-6C</t>
        </is>
      </c>
      <c r="D5463" s="32" t="n">
        <v>15.07</v>
      </c>
      <c r="E5463" s="32" t="n">
        <v>77.514</v>
      </c>
      <c r="F5463" s="32" t="n">
        <v>445.594</v>
      </c>
      <c r="G5463" s="32" t="n">
        <v>487</v>
      </c>
      <c r="H5463" s="32" t="inlineStr">
        <is>
          <t>bb</t>
        </is>
      </c>
      <c r="K5463" s="32" t="inlineStr">
        <is>
          <t>20250514-59</t>
        </is>
      </c>
    </row>
    <row r="5465">
      <c r="A5465" s="32" t="inlineStr">
        <is>
          <t>Compound 106:  PFUDA 2</t>
        </is>
      </c>
    </row>
    <row r="5467">
      <c r="B5467" s="32" t="inlineStr">
        <is>
          <t>Sample Text</t>
        </is>
      </c>
      <c r="C5467" s="32" t="inlineStr">
        <is>
          <t>Std. Conc</t>
        </is>
      </c>
      <c r="D5467" s="32" t="inlineStr">
        <is>
          <t>RT</t>
        </is>
      </c>
      <c r="E5467" s="32" t="inlineStr">
        <is>
          <t>Area</t>
        </is>
      </c>
      <c r="F5467" s="32" t="inlineStr">
        <is>
          <t>IS Area</t>
        </is>
      </c>
      <c r="G5467" s="32" t="inlineStr">
        <is>
          <t>S/N</t>
        </is>
      </c>
      <c r="H5467" s="32" t="inlineStr">
        <is>
          <t>Primary Flags</t>
        </is>
      </c>
      <c r="I5467" s="32" t="inlineStr">
        <is>
          <t>Response</t>
        </is>
      </c>
      <c r="J5467" s="32" t="inlineStr">
        <is>
          <t>Conc.</t>
        </is>
      </c>
      <c r="K5467" s="32" t="inlineStr">
        <is>
          <t>Name</t>
        </is>
      </c>
    </row>
    <row r="5468">
      <c r="A5468" s="32" t="n">
        <v>1</v>
      </c>
      <c r="B5468" s="32" t="inlineStr">
        <is>
          <t>EPA1633 &amp; diPAPs Calibration 0 ppb</t>
        </is>
      </c>
      <c r="D5468" s="32" t="n">
        <v>14.83</v>
      </c>
      <c r="E5468" s="32" t="n">
        <v>49.954</v>
      </c>
      <c r="F5468" s="32" t="n">
        <v>818.542</v>
      </c>
      <c r="G5468" s="32" t="n">
        <v>2.019</v>
      </c>
      <c r="H5468" s="32" t="inlineStr">
        <is>
          <t>MM</t>
        </is>
      </c>
      <c r="K5468" s="32" t="inlineStr">
        <is>
          <t>20250514-12</t>
        </is>
      </c>
    </row>
    <row r="5469">
      <c r="A5469" s="32" t="n">
        <v>2</v>
      </c>
      <c r="B5469" s="32" t="inlineStr">
        <is>
          <t>EPA1633 &amp; diPAPs Calibration 0.02 ppb</t>
        </is>
      </c>
      <c r="D5469" s="32" t="n">
        <v>14.83</v>
      </c>
      <c r="E5469" s="32" t="n">
        <v>123.003</v>
      </c>
      <c r="F5469" s="32" t="n">
        <v>878.931</v>
      </c>
      <c r="G5469" s="32" t="n">
        <v>1.702</v>
      </c>
      <c r="H5469" s="32" t="inlineStr">
        <is>
          <t>MM</t>
        </is>
      </c>
      <c r="K5469" s="32" t="inlineStr">
        <is>
          <t>20250514-13</t>
        </is>
      </c>
    </row>
    <row r="5470">
      <c r="A5470" s="32" t="n">
        <v>3</v>
      </c>
      <c r="B5470" s="32" t="inlineStr">
        <is>
          <t>EPA1633 &amp; diPAPs Calibration 0.1 ppb</t>
        </is>
      </c>
      <c r="D5470" s="32" t="n">
        <v>15.03</v>
      </c>
      <c r="E5470" s="32" t="n">
        <v>25.109</v>
      </c>
      <c r="F5470" s="32" t="n">
        <v>947.3</v>
      </c>
      <c r="G5470" s="32" t="n">
        <v>118</v>
      </c>
      <c r="H5470" s="32" t="inlineStr">
        <is>
          <t>bb</t>
        </is>
      </c>
      <c r="K5470" s="32" t="inlineStr">
        <is>
          <t>20250514-14</t>
        </is>
      </c>
    </row>
    <row r="5471">
      <c r="A5471" s="32" t="n">
        <v>4</v>
      </c>
      <c r="B5471" s="32" t="inlineStr">
        <is>
          <t>EPA1633 &amp; diPAPs Calibration 0.4 ppb</t>
        </is>
      </c>
      <c r="D5471" s="32" t="n">
        <v>14.81</v>
      </c>
      <c r="E5471" s="32" t="n">
        <v>371.859</v>
      </c>
      <c r="F5471" s="32" t="n">
        <v>785.4690000000001</v>
      </c>
      <c r="G5471" s="32" t="n">
        <v>2.064</v>
      </c>
      <c r="H5471" s="32" t="inlineStr">
        <is>
          <t>bb</t>
        </is>
      </c>
      <c r="K5471" s="32" t="inlineStr">
        <is>
          <t>20250514-15</t>
        </is>
      </c>
    </row>
    <row r="5472">
      <c r="A5472" s="32" t="n">
        <v>5</v>
      </c>
      <c r="B5472" s="32" t="inlineStr">
        <is>
          <t>EPA1633 &amp; diPAPs Calibration 1 ppb</t>
        </is>
      </c>
      <c r="D5472" s="32" t="n">
        <v>14.83</v>
      </c>
      <c r="E5472" s="32" t="n">
        <v>375.427</v>
      </c>
      <c r="F5472" s="32" t="n">
        <v>1347.024</v>
      </c>
      <c r="G5472" s="32" t="n">
        <v>11.152</v>
      </c>
      <c r="H5472" s="32" t="inlineStr">
        <is>
          <t>bb</t>
        </is>
      </c>
      <c r="K5472" s="32" t="inlineStr">
        <is>
          <t>20250514-16</t>
        </is>
      </c>
    </row>
    <row r="5473">
      <c r="A5473" s="32" t="n">
        <v>6</v>
      </c>
      <c r="B5473" s="32" t="inlineStr">
        <is>
          <t>EPA1633 &amp; diPAPs Calibration 5 ppb</t>
        </is>
      </c>
      <c r="D5473" s="32" t="n">
        <v>14.77</v>
      </c>
      <c r="E5473" s="32" t="n">
        <v>1476.362</v>
      </c>
      <c r="F5473" s="32" t="n">
        <v>950.485</v>
      </c>
      <c r="G5473" s="32" t="n">
        <v>204.549</v>
      </c>
      <c r="H5473" s="32" t="inlineStr">
        <is>
          <t>bb</t>
        </is>
      </c>
      <c r="K5473" s="32" t="inlineStr">
        <is>
          <t>20250514-17</t>
        </is>
      </c>
    </row>
    <row r="5474">
      <c r="A5474" s="32" t="n">
        <v>7</v>
      </c>
      <c r="B5474" s="32" t="inlineStr">
        <is>
          <t>EPA1633 &amp; diPAPs Calibration 10 ppb</t>
        </is>
      </c>
      <c r="D5474" s="32" t="n">
        <v>14.78</v>
      </c>
      <c r="E5474" s="32" t="n">
        <v>2202.811</v>
      </c>
      <c r="F5474" s="32" t="n">
        <v>675.6130000000001</v>
      </c>
      <c r="G5474" s="32" t="n">
        <v>49.716</v>
      </c>
      <c r="H5474" s="32" t="inlineStr">
        <is>
          <t>bb</t>
        </is>
      </c>
      <c r="K5474" s="32" t="inlineStr">
        <is>
          <t>20250514-18</t>
        </is>
      </c>
    </row>
    <row r="5475">
      <c r="A5475" s="32" t="n">
        <v>8</v>
      </c>
      <c r="B5475" s="32" t="inlineStr">
        <is>
          <t>EPA1633 &amp; diPAPs Calibration 20 ppb</t>
        </is>
      </c>
      <c r="D5475" s="32" t="n">
        <v>14.8</v>
      </c>
      <c r="E5475" s="32" t="n">
        <v>5618.151</v>
      </c>
      <c r="F5475" s="32" t="n">
        <v>669.518</v>
      </c>
      <c r="G5475" s="32" t="n">
        <v>37914</v>
      </c>
      <c r="H5475" s="32" t="inlineStr">
        <is>
          <t>bb</t>
        </is>
      </c>
      <c r="K5475" s="32" t="inlineStr">
        <is>
          <t>20250514-19</t>
        </is>
      </c>
    </row>
    <row r="5476">
      <c r="A5476" s="32" t="n">
        <v>9</v>
      </c>
      <c r="B5476" s="32" t="inlineStr">
        <is>
          <t>MeOH</t>
        </is>
      </c>
      <c r="D5476" s="32" t="n">
        <v>14.86</v>
      </c>
      <c r="E5476" s="32" t="n">
        <v>66.559</v>
      </c>
      <c r="G5476" s="32" t="n">
        <v>1.386</v>
      </c>
      <c r="H5476" s="32" t="inlineStr">
        <is>
          <t>bb</t>
        </is>
      </c>
      <c r="K5476" s="32" t="inlineStr">
        <is>
          <t>20250514-20</t>
        </is>
      </c>
    </row>
    <row r="5477">
      <c r="A5477" s="32" t="n">
        <v>10</v>
      </c>
      <c r="B5477" s="32" t="inlineStr">
        <is>
          <t>MeOH</t>
        </is>
      </c>
      <c r="D5477" s="32" t="n">
        <v>14.83</v>
      </c>
      <c r="E5477" s="32" t="n">
        <v>25.604</v>
      </c>
      <c r="G5477" s="32" t="n">
        <v>216</v>
      </c>
      <c r="H5477" s="32" t="inlineStr">
        <is>
          <t>bb</t>
        </is>
      </c>
      <c r="K5477" s="32" t="inlineStr">
        <is>
          <t>20250514-21</t>
        </is>
      </c>
    </row>
    <row r="5478">
      <c r="A5478" s="32" t="n">
        <v>11</v>
      </c>
      <c r="B5478" s="32" t="inlineStr">
        <is>
          <t>SB1</t>
        </is>
      </c>
      <c r="D5478" s="32" t="n">
        <v>14.81</v>
      </c>
      <c r="E5478" s="32" t="n">
        <v>514.957</v>
      </c>
      <c r="F5478" s="32" t="n">
        <v>454.851</v>
      </c>
      <c r="G5478" s="32" t="n">
        <v>15.381</v>
      </c>
      <c r="H5478" s="32" t="inlineStr">
        <is>
          <t>bb</t>
        </is>
      </c>
      <c r="K5478" s="32" t="inlineStr">
        <is>
          <t>20250514-22</t>
        </is>
      </c>
    </row>
    <row r="5479">
      <c r="A5479" s="32" t="n">
        <v>12</v>
      </c>
      <c r="B5479" s="32" t="inlineStr">
        <is>
          <t>SB2</t>
        </is>
      </c>
      <c r="D5479" s="32" t="n">
        <v>14.7</v>
      </c>
      <c r="E5479" s="32" t="n">
        <v>28.093</v>
      </c>
      <c r="F5479" s="32" t="n">
        <v>327.91</v>
      </c>
      <c r="G5479" s="32" t="n">
        <v>18.657</v>
      </c>
      <c r="H5479" s="32" t="inlineStr">
        <is>
          <t>bb</t>
        </is>
      </c>
      <c r="K5479" s="32" t="inlineStr">
        <is>
          <t>20250514-23</t>
        </is>
      </c>
    </row>
    <row r="5480">
      <c r="A5480" s="32" t="n">
        <v>13</v>
      </c>
      <c r="B5480" s="32" t="inlineStr">
        <is>
          <t>SB3</t>
        </is>
      </c>
      <c r="D5480" s="32" t="n">
        <v>14.8</v>
      </c>
      <c r="E5480" s="32" t="n">
        <v>11.499</v>
      </c>
      <c r="F5480" s="32" t="n">
        <v>222.426</v>
      </c>
      <c r="G5480" s="32" t="n">
        <v>0.259</v>
      </c>
      <c r="H5480" s="32" t="inlineStr">
        <is>
          <t>bb</t>
        </is>
      </c>
      <c r="K5480" s="32" t="inlineStr">
        <is>
          <t>20250514-24</t>
        </is>
      </c>
    </row>
    <row r="5481">
      <c r="A5481" s="32" t="n">
        <v>14</v>
      </c>
      <c r="B5481" s="32" t="inlineStr">
        <is>
          <t>SS1</t>
        </is>
      </c>
      <c r="D5481" s="32" t="n">
        <v>14.86</v>
      </c>
      <c r="E5481" s="32" t="n">
        <v>1160.906</v>
      </c>
      <c r="F5481" s="32" t="n">
        <v>226.192</v>
      </c>
      <c r="G5481" s="32" t="n">
        <v>25.938</v>
      </c>
      <c r="H5481" s="32" t="inlineStr">
        <is>
          <t>bb</t>
        </is>
      </c>
      <c r="K5481" s="32" t="inlineStr">
        <is>
          <t>20250514-25</t>
        </is>
      </c>
    </row>
    <row r="5482">
      <c r="A5482" s="32" t="n">
        <v>15</v>
      </c>
      <c r="B5482" s="32" t="inlineStr">
        <is>
          <t>SS2</t>
        </is>
      </c>
      <c r="D5482" s="32" t="n">
        <v>14.88</v>
      </c>
      <c r="E5482" s="32" t="n">
        <v>979.415</v>
      </c>
      <c r="F5482" s="32" t="n">
        <v>314.009</v>
      </c>
      <c r="G5482" s="32" t="n">
        <v>95.30800000000001</v>
      </c>
      <c r="H5482" s="32" t="inlineStr">
        <is>
          <t>bb</t>
        </is>
      </c>
      <c r="K5482" s="32" t="inlineStr">
        <is>
          <t>20250514-26</t>
        </is>
      </c>
    </row>
    <row r="5483">
      <c r="A5483" s="32" t="n">
        <v>16</v>
      </c>
      <c r="B5483" s="32" t="inlineStr">
        <is>
          <t>SS3</t>
        </is>
      </c>
      <c r="D5483" s="32" t="n">
        <v>14.91</v>
      </c>
      <c r="E5483" s="32" t="n">
        <v>479.216</v>
      </c>
      <c r="F5483" s="32" t="n">
        <v>235.115</v>
      </c>
      <c r="G5483" s="32" t="n">
        <v>15.261</v>
      </c>
      <c r="H5483" s="32" t="inlineStr">
        <is>
          <t>bb</t>
        </is>
      </c>
      <c r="K5483" s="32" t="inlineStr">
        <is>
          <t>20250514-27</t>
        </is>
      </c>
    </row>
    <row r="5484">
      <c r="A5484" s="32" t="n">
        <v>17</v>
      </c>
      <c r="B5484" s="32" t="inlineStr">
        <is>
          <t>MeOH</t>
        </is>
      </c>
      <c r="D5484" s="32" t="n">
        <v>15.02</v>
      </c>
      <c r="E5484" s="32" t="n">
        <v>47.725</v>
      </c>
      <c r="G5484" s="32" t="n">
        <v>331</v>
      </c>
      <c r="H5484" s="32" t="inlineStr">
        <is>
          <t>bb</t>
        </is>
      </c>
      <c r="K5484" s="32" t="inlineStr">
        <is>
          <t>20250514-28</t>
        </is>
      </c>
    </row>
    <row r="5485">
      <c r="A5485" s="32" t="n">
        <v>18</v>
      </c>
      <c r="B5485" s="32" t="inlineStr">
        <is>
          <t>K4-1A</t>
        </is>
      </c>
      <c r="D5485" s="32" t="n">
        <v>15.15</v>
      </c>
      <c r="E5485" s="32" t="n">
        <v>8.004</v>
      </c>
      <c r="F5485" s="32" t="n">
        <v>242.818</v>
      </c>
      <c r="G5485" s="32" t="n">
        <v>77</v>
      </c>
      <c r="H5485" s="32" t="inlineStr">
        <is>
          <t>bb</t>
        </is>
      </c>
      <c r="K5485" s="32" t="inlineStr">
        <is>
          <t>20250514-29</t>
        </is>
      </c>
    </row>
    <row r="5486">
      <c r="A5486" s="32" t="n">
        <v>19</v>
      </c>
      <c r="B5486" s="32" t="inlineStr">
        <is>
          <t>K4-1B</t>
        </is>
      </c>
      <c r="D5486" s="32" t="n">
        <v>14.92</v>
      </c>
      <c r="E5486" s="32" t="n">
        <v>38.291</v>
      </c>
      <c r="F5486" s="32" t="n">
        <v>508.77</v>
      </c>
      <c r="G5486" s="32" t="n">
        <v>1.025</v>
      </c>
      <c r="H5486" s="32" t="inlineStr">
        <is>
          <t>bb</t>
        </is>
      </c>
      <c r="K5486" s="32" t="inlineStr">
        <is>
          <t>20250514-30</t>
        </is>
      </c>
    </row>
    <row r="5487">
      <c r="A5487" s="32" t="n">
        <v>20</v>
      </c>
      <c r="B5487" s="32" t="inlineStr">
        <is>
          <t>K4-1C</t>
        </is>
      </c>
      <c r="D5487" s="32" t="n">
        <v>14.91</v>
      </c>
      <c r="E5487" s="32" t="n">
        <v>32.499</v>
      </c>
      <c r="F5487" s="32" t="n">
        <v>189.276</v>
      </c>
      <c r="G5487" s="32" t="n">
        <v>0.804</v>
      </c>
      <c r="H5487" s="32" t="inlineStr">
        <is>
          <t>bb</t>
        </is>
      </c>
      <c r="K5487" s="32" t="inlineStr">
        <is>
          <t>20250514-31</t>
        </is>
      </c>
    </row>
    <row r="5488">
      <c r="A5488" s="32" t="n">
        <v>21</v>
      </c>
      <c r="B5488" s="32" t="inlineStr">
        <is>
          <t>K4-2A</t>
        </is>
      </c>
      <c r="D5488" s="32" t="n">
        <v>14.94</v>
      </c>
      <c r="E5488" s="32" t="n">
        <v>23.946</v>
      </c>
      <c r="F5488" s="32" t="n">
        <v>310.373</v>
      </c>
      <c r="G5488" s="32" t="n">
        <v>154</v>
      </c>
      <c r="H5488" s="32" t="inlineStr">
        <is>
          <t>bb</t>
        </is>
      </c>
      <c r="K5488" s="32" t="inlineStr">
        <is>
          <t>20250514-32</t>
        </is>
      </c>
    </row>
    <row r="5489">
      <c r="A5489" s="32" t="n">
        <v>22</v>
      </c>
      <c r="B5489" s="32" t="inlineStr">
        <is>
          <t>K4-2B</t>
        </is>
      </c>
      <c r="D5489" s="32" t="n">
        <v>15.1</v>
      </c>
      <c r="E5489" s="32" t="n">
        <v>24.455</v>
      </c>
      <c r="F5489" s="32" t="n">
        <v>608.7859999999999</v>
      </c>
      <c r="G5489" s="32" t="n">
        <v>119</v>
      </c>
      <c r="H5489" s="32" t="inlineStr">
        <is>
          <t>bb</t>
        </is>
      </c>
      <c r="K5489" s="32" t="inlineStr">
        <is>
          <t>20250514-33</t>
        </is>
      </c>
    </row>
    <row r="5490">
      <c r="A5490" s="32" t="n">
        <v>23</v>
      </c>
      <c r="B5490" s="32" t="inlineStr">
        <is>
          <t>K4-2C</t>
        </is>
      </c>
      <c r="D5490" s="32" t="n">
        <v>15.04</v>
      </c>
      <c r="E5490" s="32" t="n">
        <v>9.215999999999999</v>
      </c>
      <c r="F5490" s="32" t="n">
        <v>229.764</v>
      </c>
      <c r="G5490" s="32" t="n">
        <v>2.074</v>
      </c>
      <c r="H5490" s="32" t="inlineStr">
        <is>
          <t>bb</t>
        </is>
      </c>
      <c r="K5490" s="32" t="inlineStr">
        <is>
          <t>20250514-34</t>
        </is>
      </c>
    </row>
    <row r="5491">
      <c r="A5491" s="32" t="n">
        <v>24</v>
      </c>
      <c r="B5491" s="32" t="inlineStr">
        <is>
          <t>MeOH</t>
        </is>
      </c>
      <c r="D5491" s="32" t="n">
        <v>14.89</v>
      </c>
      <c r="E5491" s="32" t="n">
        <v>17.348</v>
      </c>
      <c r="G5491" s="32" t="n">
        <v>148</v>
      </c>
      <c r="H5491" s="32" t="inlineStr">
        <is>
          <t>bb</t>
        </is>
      </c>
      <c r="K5491" s="32" t="inlineStr">
        <is>
          <t>20250514-35</t>
        </is>
      </c>
    </row>
    <row r="5492">
      <c r="A5492" s="32" t="n">
        <v>25</v>
      </c>
      <c r="B5492" s="32" t="inlineStr">
        <is>
          <t>K4-4A</t>
        </is>
      </c>
      <c r="D5492" s="32" t="n">
        <v>14.91</v>
      </c>
      <c r="E5492" s="32" t="n">
        <v>84.289</v>
      </c>
      <c r="F5492" s="32" t="n">
        <v>288.067</v>
      </c>
      <c r="G5492" s="32" t="n">
        <v>3.374</v>
      </c>
      <c r="H5492" s="32" t="inlineStr">
        <is>
          <t>bb</t>
        </is>
      </c>
      <c r="K5492" s="32" t="inlineStr">
        <is>
          <t>20250514-36</t>
        </is>
      </c>
    </row>
    <row r="5493">
      <c r="A5493" s="32" t="n">
        <v>26</v>
      </c>
      <c r="B5493" s="32" t="inlineStr">
        <is>
          <t>K4-4B</t>
        </is>
      </c>
      <c r="D5493" s="32" t="n">
        <v>14.92</v>
      </c>
      <c r="E5493" s="32" t="n">
        <v>157.191</v>
      </c>
      <c r="F5493" s="32" t="n">
        <v>219.81</v>
      </c>
      <c r="G5493" s="32" t="n">
        <v>8.682</v>
      </c>
      <c r="H5493" s="32" t="inlineStr">
        <is>
          <t>bb</t>
        </is>
      </c>
      <c r="K5493" s="32" t="inlineStr">
        <is>
          <t>20250514-37</t>
        </is>
      </c>
    </row>
    <row r="5494">
      <c r="A5494" s="32" t="n">
        <v>27</v>
      </c>
      <c r="B5494" s="32" t="inlineStr">
        <is>
          <t>K4-4C</t>
        </is>
      </c>
      <c r="D5494" s="32" t="n">
        <v>14.92</v>
      </c>
      <c r="E5494" s="32" t="n">
        <v>19.76</v>
      </c>
      <c r="F5494" s="32" t="n">
        <v>322.86</v>
      </c>
      <c r="G5494" s="32" t="n">
        <v>166</v>
      </c>
      <c r="H5494" s="32" t="inlineStr">
        <is>
          <t>bb</t>
        </is>
      </c>
      <c r="K5494" s="32" t="inlineStr">
        <is>
          <t>20250514-38</t>
        </is>
      </c>
    </row>
    <row r="5495">
      <c r="A5495" s="32" t="n">
        <v>28</v>
      </c>
      <c r="B5495" s="32" t="inlineStr">
        <is>
          <t>K4-5A</t>
        </is>
      </c>
      <c r="D5495" s="32" t="n">
        <v>14.63</v>
      </c>
      <c r="E5495" s="32" t="n">
        <v>33.39</v>
      </c>
      <c r="F5495" s="32" t="n">
        <v>302.863</v>
      </c>
      <c r="G5495" s="32" t="n">
        <v>291</v>
      </c>
      <c r="H5495" s="32" t="inlineStr">
        <is>
          <t>bb</t>
        </is>
      </c>
      <c r="K5495" s="32" t="inlineStr">
        <is>
          <t>20250514-39</t>
        </is>
      </c>
    </row>
    <row r="5496">
      <c r="A5496" s="32" t="n">
        <v>29</v>
      </c>
      <c r="B5496" s="32" t="inlineStr">
        <is>
          <t>K4-5B</t>
        </is>
      </c>
      <c r="D5496" s="32" t="n">
        <v>14.73</v>
      </c>
      <c r="E5496" s="32" t="n">
        <v>56.653</v>
      </c>
      <c r="F5496" s="32" t="n">
        <v>188.939</v>
      </c>
      <c r="G5496" s="32" t="n">
        <v>11.016</v>
      </c>
      <c r="H5496" s="32" t="inlineStr">
        <is>
          <t>bb</t>
        </is>
      </c>
      <c r="K5496" s="32" t="inlineStr">
        <is>
          <t>20250514-40</t>
        </is>
      </c>
    </row>
    <row r="5497">
      <c r="A5497" s="32" t="n">
        <v>30</v>
      </c>
      <c r="B5497" s="32" t="inlineStr">
        <is>
          <t>K4-5C</t>
        </is>
      </c>
      <c r="D5497" s="32" t="n">
        <v>14.49</v>
      </c>
      <c r="E5497" s="32" t="n">
        <v>140.411</v>
      </c>
      <c r="F5497" s="32" t="n">
        <v>386.08</v>
      </c>
      <c r="G5497" s="32" t="n">
        <v>39.182</v>
      </c>
      <c r="H5497" s="32" t="inlineStr">
        <is>
          <t>bb</t>
        </is>
      </c>
      <c r="K5497" s="32" t="inlineStr">
        <is>
          <t>20250514-41</t>
        </is>
      </c>
    </row>
    <row r="5498">
      <c r="A5498" s="32" t="n">
        <v>31</v>
      </c>
      <c r="B5498" s="32" t="inlineStr">
        <is>
          <t>MeOH</t>
        </is>
      </c>
      <c r="D5498" s="32" t="n">
        <v>14.99</v>
      </c>
      <c r="E5498" s="32" t="n">
        <v>115.493</v>
      </c>
      <c r="G5498" s="32" t="n">
        <v>2.485</v>
      </c>
      <c r="H5498" s="32" t="inlineStr">
        <is>
          <t>bb</t>
        </is>
      </c>
      <c r="K5498" s="32" t="inlineStr">
        <is>
          <t>20250514-42</t>
        </is>
      </c>
    </row>
    <row r="5499">
      <c r="A5499" s="32" t="n">
        <v>32</v>
      </c>
      <c r="B5499" s="32" t="inlineStr">
        <is>
          <t>K3-1A</t>
        </is>
      </c>
      <c r="D5499" s="32" t="n">
        <v>14.84</v>
      </c>
      <c r="E5499" s="32" t="n">
        <v>76.396</v>
      </c>
      <c r="F5499" s="32" t="n">
        <v>273.068</v>
      </c>
      <c r="G5499" s="32" t="n">
        <v>11.235</v>
      </c>
      <c r="H5499" s="32" t="inlineStr">
        <is>
          <t>bb</t>
        </is>
      </c>
      <c r="K5499" s="32" t="inlineStr">
        <is>
          <t>20250514-43</t>
        </is>
      </c>
    </row>
    <row r="5500">
      <c r="A5500" s="32" t="n">
        <v>33</v>
      </c>
      <c r="B5500" s="32" t="inlineStr">
        <is>
          <t>K3-1B</t>
        </is>
      </c>
      <c r="D5500" s="32" t="n">
        <v>14.36</v>
      </c>
      <c r="E5500" s="32" t="n">
        <v>30.622</v>
      </c>
      <c r="F5500" s="32" t="n">
        <v>112.597</v>
      </c>
      <c r="G5500" s="32" t="n">
        <v>4.519</v>
      </c>
      <c r="H5500" s="32" t="inlineStr">
        <is>
          <t>bb</t>
        </is>
      </c>
      <c r="K5500" s="32" t="inlineStr">
        <is>
          <t>20250514-44</t>
        </is>
      </c>
    </row>
    <row r="5501">
      <c r="A5501" s="32" t="n">
        <v>34</v>
      </c>
      <c r="B5501" s="32" t="inlineStr">
        <is>
          <t>K3-1C</t>
        </is>
      </c>
      <c r="D5501" s="32" t="n">
        <v>14.37</v>
      </c>
      <c r="E5501" s="32" t="n">
        <v>91.872</v>
      </c>
      <c r="F5501" s="32" t="n">
        <v>575.867</v>
      </c>
      <c r="G5501" s="32" t="n">
        <v>6.71</v>
      </c>
      <c r="H5501" s="32" t="inlineStr">
        <is>
          <t>bb</t>
        </is>
      </c>
      <c r="K5501" s="32" t="inlineStr">
        <is>
          <t>20250514-45</t>
        </is>
      </c>
    </row>
    <row r="5502">
      <c r="A5502" s="32" t="n">
        <v>35</v>
      </c>
      <c r="B5502" s="32" t="inlineStr">
        <is>
          <t>K3-2A</t>
        </is>
      </c>
      <c r="D5502" s="32" t="n">
        <v>14.86</v>
      </c>
      <c r="E5502" s="32" t="n">
        <v>45.963</v>
      </c>
      <c r="F5502" s="32" t="n">
        <v>406.817</v>
      </c>
      <c r="G5502" s="32" t="n">
        <v>5.199</v>
      </c>
      <c r="H5502" s="32" t="inlineStr">
        <is>
          <t>bb</t>
        </is>
      </c>
      <c r="K5502" s="32" t="inlineStr">
        <is>
          <t>20250514-46</t>
        </is>
      </c>
    </row>
    <row r="5503">
      <c r="A5503" s="32" t="n">
        <v>36</v>
      </c>
      <c r="B5503" s="32" t="inlineStr">
        <is>
          <t>K3-2B</t>
        </is>
      </c>
      <c r="D5503" s="32" t="n">
        <v>15.07</v>
      </c>
      <c r="E5503" s="32" t="n">
        <v>131.369</v>
      </c>
      <c r="F5503" s="32" t="n">
        <v>266.099</v>
      </c>
      <c r="G5503" s="32" t="n">
        <v>1.345</v>
      </c>
      <c r="H5503" s="32" t="inlineStr">
        <is>
          <t>bb</t>
        </is>
      </c>
      <c r="K5503" s="32" t="inlineStr">
        <is>
          <t>20250514-47</t>
        </is>
      </c>
    </row>
    <row r="5504">
      <c r="A5504" s="32" t="n">
        <v>37</v>
      </c>
      <c r="B5504" s="32" t="inlineStr">
        <is>
          <t>K3-2C</t>
        </is>
      </c>
      <c r="D5504" s="32" t="n">
        <v>14.69</v>
      </c>
      <c r="E5504" s="32" t="n">
        <v>142.482</v>
      </c>
      <c r="F5504" s="32" t="n">
        <v>84.498</v>
      </c>
      <c r="G5504" s="32" t="n">
        <v>2.613</v>
      </c>
      <c r="H5504" s="32" t="inlineStr">
        <is>
          <t>bb</t>
        </is>
      </c>
      <c r="K5504" s="32" t="inlineStr">
        <is>
          <t>20250514-48</t>
        </is>
      </c>
    </row>
    <row r="5505">
      <c r="A5505" s="32" t="n">
        <v>38</v>
      </c>
      <c r="B5505" s="32" t="inlineStr">
        <is>
          <t>MeOH</t>
        </is>
      </c>
      <c r="D5505" s="32" t="n">
        <v>14.4</v>
      </c>
      <c r="E5505" s="32" t="n">
        <v>33.311</v>
      </c>
      <c r="G5505" s="32" t="n">
        <v>1.92</v>
      </c>
      <c r="H5505" s="32" t="inlineStr">
        <is>
          <t>bb</t>
        </is>
      </c>
      <c r="K5505" s="32" t="inlineStr">
        <is>
          <t>20250514-49</t>
        </is>
      </c>
    </row>
    <row r="5506">
      <c r="A5506" s="32" t="n">
        <v>39</v>
      </c>
      <c r="B5506" s="32" t="inlineStr">
        <is>
          <t>K3-3A</t>
        </is>
      </c>
      <c r="D5506" s="32" t="n">
        <v>14.75</v>
      </c>
      <c r="E5506" s="32" t="n">
        <v>209.636</v>
      </c>
      <c r="F5506" s="32" t="n">
        <v>164.973</v>
      </c>
      <c r="G5506" s="32" t="n">
        <v>2.004</v>
      </c>
      <c r="H5506" s="32" t="inlineStr">
        <is>
          <t>bb</t>
        </is>
      </c>
      <c r="K5506" s="32" t="inlineStr">
        <is>
          <t>20250514-50</t>
        </is>
      </c>
    </row>
    <row r="5507">
      <c r="A5507" s="32" t="n">
        <v>40</v>
      </c>
      <c r="B5507" s="32" t="inlineStr">
        <is>
          <t>K3-3B</t>
        </is>
      </c>
      <c r="D5507" s="32" t="n">
        <v>15.17</v>
      </c>
      <c r="E5507" s="32" t="n">
        <v>96.459</v>
      </c>
      <c r="F5507" s="32" t="n">
        <v>375.679</v>
      </c>
      <c r="G5507" s="32" t="n">
        <v>1.681</v>
      </c>
      <c r="H5507" s="32" t="inlineStr">
        <is>
          <t>bb</t>
        </is>
      </c>
      <c r="K5507" s="32" t="inlineStr">
        <is>
          <t>20250514-51</t>
        </is>
      </c>
    </row>
    <row r="5508">
      <c r="A5508" s="32" t="n">
        <v>41</v>
      </c>
      <c r="B5508" s="32" t="inlineStr">
        <is>
          <t>K3-3C</t>
        </is>
      </c>
      <c r="D5508" s="32" t="n">
        <v>14.91</v>
      </c>
      <c r="E5508" s="32" t="n">
        <v>65.598</v>
      </c>
      <c r="F5508" s="32" t="n">
        <v>522.725</v>
      </c>
      <c r="G5508" s="32" t="n">
        <v>1.386</v>
      </c>
      <c r="H5508" s="32" t="inlineStr">
        <is>
          <t>bb</t>
        </is>
      </c>
      <c r="K5508" s="32" t="inlineStr">
        <is>
          <t>20250514-52</t>
        </is>
      </c>
    </row>
    <row r="5509">
      <c r="A5509" s="32" t="n">
        <v>42</v>
      </c>
      <c r="B5509" s="32" t="inlineStr">
        <is>
          <t>K3-4A</t>
        </is>
      </c>
      <c r="D5509" s="32" t="n">
        <v>14.96</v>
      </c>
      <c r="E5509" s="32" t="n">
        <v>93.55500000000001</v>
      </c>
      <c r="F5509" s="32" t="n">
        <v>299.257</v>
      </c>
      <c r="G5509" s="32" t="n">
        <v>3.253</v>
      </c>
      <c r="H5509" s="32" t="inlineStr">
        <is>
          <t>bb</t>
        </is>
      </c>
      <c r="K5509" s="32" t="inlineStr">
        <is>
          <t>20250514-53</t>
        </is>
      </c>
    </row>
    <row r="5510">
      <c r="A5510" s="32" t="n">
        <v>43</v>
      </c>
      <c r="B5510" s="32" t="inlineStr">
        <is>
          <t>K3-4B</t>
        </is>
      </c>
      <c r="D5510" s="32" t="n">
        <v>14.72</v>
      </c>
      <c r="E5510" s="32" t="n">
        <v>120.574</v>
      </c>
      <c r="F5510" s="32" t="n">
        <v>449.922</v>
      </c>
      <c r="G5510" s="32" t="n">
        <v>5.137</v>
      </c>
      <c r="H5510" s="32" t="inlineStr">
        <is>
          <t>bb</t>
        </is>
      </c>
      <c r="K5510" s="32" t="inlineStr">
        <is>
          <t>20250514-54</t>
        </is>
      </c>
    </row>
    <row r="5511">
      <c r="A5511" s="32" t="n">
        <v>44</v>
      </c>
      <c r="B5511" s="32" t="inlineStr">
        <is>
          <t>K3-4C</t>
        </is>
      </c>
      <c r="D5511" s="32" t="n">
        <v>15.16</v>
      </c>
      <c r="E5511" s="32" t="n">
        <v>89.39400000000001</v>
      </c>
      <c r="F5511" s="32" t="n">
        <v>357.082</v>
      </c>
      <c r="G5511" s="32" t="n">
        <v>2.85</v>
      </c>
      <c r="H5511" s="32" t="inlineStr">
        <is>
          <t>db</t>
        </is>
      </c>
      <c r="K5511" s="32" t="inlineStr">
        <is>
          <t>20250514-55</t>
        </is>
      </c>
    </row>
    <row r="5512">
      <c r="A5512" s="32" t="n">
        <v>45</v>
      </c>
      <c r="B5512" s="32" t="inlineStr">
        <is>
          <t>MeOH</t>
        </is>
      </c>
      <c r="D5512" s="32" t="n">
        <v>15</v>
      </c>
      <c r="E5512" s="32" t="n">
        <v>154.64</v>
      </c>
      <c r="G5512" s="32" t="n">
        <v>4.396</v>
      </c>
      <c r="H5512" s="32" t="inlineStr">
        <is>
          <t>bb</t>
        </is>
      </c>
      <c r="K5512" s="32" t="inlineStr">
        <is>
          <t>20250514-56</t>
        </is>
      </c>
    </row>
    <row r="5513">
      <c r="A5513" s="32" t="n">
        <v>46</v>
      </c>
      <c r="B5513" s="32" t="inlineStr">
        <is>
          <t>K3-6A</t>
        </is>
      </c>
      <c r="D5513" s="32" t="n">
        <v>15</v>
      </c>
      <c r="E5513" s="32" t="n">
        <v>180.135</v>
      </c>
      <c r="F5513" s="32" t="n">
        <v>481.186</v>
      </c>
      <c r="G5513" s="32" t="n">
        <v>1.68</v>
      </c>
      <c r="H5513" s="32" t="inlineStr">
        <is>
          <t>bb</t>
        </is>
      </c>
      <c r="K5513" s="32" t="inlineStr">
        <is>
          <t>20250514-57</t>
        </is>
      </c>
    </row>
    <row r="5514">
      <c r="A5514" s="32" t="n">
        <v>47</v>
      </c>
      <c r="B5514" s="32" t="inlineStr">
        <is>
          <t>K3-6B</t>
        </is>
      </c>
      <c r="D5514" s="32" t="n">
        <v>14.97</v>
      </c>
      <c r="E5514" s="32" t="n">
        <v>49.389</v>
      </c>
      <c r="F5514" s="32" t="n">
        <v>210.944</v>
      </c>
      <c r="G5514" s="32" t="n">
        <v>373</v>
      </c>
      <c r="H5514" s="32" t="inlineStr">
        <is>
          <t>bb</t>
        </is>
      </c>
      <c r="K5514" s="32" t="inlineStr">
        <is>
          <t>20250514-58</t>
        </is>
      </c>
    </row>
    <row r="5515">
      <c r="A5515" s="32" t="n">
        <v>48</v>
      </c>
      <c r="B5515" s="32" t="inlineStr">
        <is>
          <t>K3-6C</t>
        </is>
      </c>
      <c r="D5515" s="32" t="n">
        <v>14.91</v>
      </c>
      <c r="E5515" s="32" t="n">
        <v>40.488</v>
      </c>
      <c r="F5515" s="32" t="n">
        <v>445.594</v>
      </c>
      <c r="G5515" s="32" t="n">
        <v>1.175</v>
      </c>
      <c r="H5515" s="32" t="inlineStr">
        <is>
          <t>bb</t>
        </is>
      </c>
      <c r="K5515" s="32" t="inlineStr">
        <is>
          <t>20250514-59</t>
        </is>
      </c>
    </row>
    <row r="5517">
      <c r="A5517" s="32" t="inlineStr">
        <is>
          <t>Compound 107:  m7 PFUDA 1</t>
        </is>
      </c>
    </row>
    <row r="5519">
      <c r="B5519" s="32" t="inlineStr">
        <is>
          <t>Sample Text</t>
        </is>
      </c>
      <c r="C5519" s="32" t="inlineStr">
        <is>
          <t>Std. Conc</t>
        </is>
      </c>
      <c r="D5519" s="32" t="inlineStr">
        <is>
          <t>RT</t>
        </is>
      </c>
      <c r="E5519" s="32" t="inlineStr">
        <is>
          <t>Area</t>
        </is>
      </c>
      <c r="F5519" s="32" t="inlineStr">
        <is>
          <t>IS Area</t>
        </is>
      </c>
      <c r="G5519" s="32" t="inlineStr">
        <is>
          <t>S/N</t>
        </is>
      </c>
      <c r="H5519" s="32" t="inlineStr">
        <is>
          <t>Primary Flags</t>
        </is>
      </c>
      <c r="I5519" s="32" t="inlineStr">
        <is>
          <t>Response</t>
        </is>
      </c>
      <c r="J5519" s="32" t="inlineStr">
        <is>
          <t>Conc.</t>
        </is>
      </c>
      <c r="K5519" s="32" t="inlineStr">
        <is>
          <t>Name</t>
        </is>
      </c>
    </row>
    <row r="5520">
      <c r="A5520" s="32" t="n">
        <v>1</v>
      </c>
      <c r="B5520" s="32" t="inlineStr">
        <is>
          <t>EPA1633 &amp; diPAPs Calibration 0 ppb</t>
        </is>
      </c>
      <c r="D5520" s="32" t="n">
        <v>14.78</v>
      </c>
      <c r="E5520" s="32" t="n">
        <v>818.542</v>
      </c>
      <c r="G5520" s="32" t="n">
        <v>28.517</v>
      </c>
      <c r="H5520" s="32" t="inlineStr">
        <is>
          <t>bb</t>
        </is>
      </c>
      <c r="I5520" s="32" t="n">
        <v>818.542</v>
      </c>
      <c r="K5520" s="32" t="inlineStr">
        <is>
          <t>20250514-12</t>
        </is>
      </c>
    </row>
    <row r="5521">
      <c r="A5521" s="32" t="n">
        <v>2</v>
      </c>
      <c r="B5521" s="32" t="inlineStr">
        <is>
          <t>EPA1633 &amp; diPAPs Calibration 0.02 ppb</t>
        </is>
      </c>
      <c r="D5521" s="32" t="n">
        <v>14.81</v>
      </c>
      <c r="E5521" s="32" t="n">
        <v>878.931</v>
      </c>
      <c r="G5521" s="32" t="n">
        <v>12.277</v>
      </c>
      <c r="H5521" s="32" t="inlineStr">
        <is>
          <t>bb</t>
        </is>
      </c>
      <c r="I5521" s="32" t="n">
        <v>878.931</v>
      </c>
      <c r="K5521" s="32" t="inlineStr">
        <is>
          <t>20250514-13</t>
        </is>
      </c>
    </row>
    <row r="5522">
      <c r="A5522" s="32" t="n">
        <v>3</v>
      </c>
      <c r="B5522" s="32" t="inlineStr">
        <is>
          <t>EPA1633 &amp; diPAPs Calibration 0.1 ppb</t>
        </is>
      </c>
      <c r="D5522" s="32" t="n">
        <v>14.83</v>
      </c>
      <c r="E5522" s="32" t="n">
        <v>947.3</v>
      </c>
      <c r="G5522" s="32" t="n">
        <v>41.297</v>
      </c>
      <c r="H5522" s="32" t="inlineStr">
        <is>
          <t>bb</t>
        </is>
      </c>
      <c r="I5522" s="32" t="n">
        <v>947.3</v>
      </c>
      <c r="K5522" s="32" t="inlineStr">
        <is>
          <t>20250514-14</t>
        </is>
      </c>
    </row>
    <row r="5523">
      <c r="A5523" s="32" t="n">
        <v>4</v>
      </c>
      <c r="B5523" s="32" t="inlineStr">
        <is>
          <t>EPA1633 &amp; diPAPs Calibration 0.4 ppb</t>
        </is>
      </c>
      <c r="D5523" s="32" t="n">
        <v>14.83</v>
      </c>
      <c r="E5523" s="32" t="n">
        <v>785.4690000000001</v>
      </c>
      <c r="G5523" s="32" t="n">
        <v>4.764</v>
      </c>
      <c r="H5523" s="32" t="inlineStr">
        <is>
          <t>bb</t>
        </is>
      </c>
      <c r="I5523" s="32" t="n">
        <v>785.4690000000001</v>
      </c>
      <c r="K5523" s="32" t="inlineStr">
        <is>
          <t>20250514-15</t>
        </is>
      </c>
    </row>
    <row r="5524">
      <c r="A5524" s="32" t="n">
        <v>5</v>
      </c>
      <c r="B5524" s="32" t="inlineStr">
        <is>
          <t>EPA1633 &amp; diPAPs Calibration 1 ppb</t>
        </is>
      </c>
      <c r="D5524" s="32" t="n">
        <v>14.81</v>
      </c>
      <c r="E5524" s="32" t="n">
        <v>1347.024</v>
      </c>
      <c r="G5524" s="32" t="n">
        <v>2.002</v>
      </c>
      <c r="H5524" s="32" t="inlineStr">
        <is>
          <t>bb</t>
        </is>
      </c>
      <c r="I5524" s="32" t="n">
        <v>1347.024</v>
      </c>
      <c r="K5524" s="32" t="inlineStr">
        <is>
          <t>20250514-16</t>
        </is>
      </c>
    </row>
    <row r="5525">
      <c r="A5525" s="32" t="n">
        <v>6</v>
      </c>
      <c r="B5525" s="32" t="inlineStr">
        <is>
          <t>EPA1633 &amp; diPAPs Calibration 5 ppb</t>
        </is>
      </c>
      <c r="D5525" s="32" t="n">
        <v>14.77</v>
      </c>
      <c r="E5525" s="32" t="n">
        <v>950.485</v>
      </c>
      <c r="G5525" s="32" t="n">
        <v>13.145</v>
      </c>
      <c r="H5525" s="32" t="inlineStr">
        <is>
          <t>bb</t>
        </is>
      </c>
      <c r="I5525" s="32" t="n">
        <v>950.485</v>
      </c>
      <c r="K5525" s="32" t="inlineStr">
        <is>
          <t>20250514-17</t>
        </is>
      </c>
    </row>
    <row r="5526">
      <c r="A5526" s="32" t="n">
        <v>7</v>
      </c>
      <c r="B5526" s="32" t="inlineStr">
        <is>
          <t>EPA1633 &amp; diPAPs Calibration 10 ppb</t>
        </is>
      </c>
      <c r="D5526" s="32" t="n">
        <v>14.77</v>
      </c>
      <c r="E5526" s="32" t="n">
        <v>675.6130000000001</v>
      </c>
      <c r="G5526" s="32" t="n">
        <v>4747</v>
      </c>
      <c r="H5526" s="32" t="inlineStr">
        <is>
          <t>bb</t>
        </is>
      </c>
      <c r="I5526" s="32" t="n">
        <v>675.6130000000001</v>
      </c>
      <c r="K5526" s="32" t="inlineStr">
        <is>
          <t>20250514-18</t>
        </is>
      </c>
    </row>
    <row r="5527">
      <c r="A5527" s="32" t="n">
        <v>8</v>
      </c>
      <c r="B5527" s="32" t="inlineStr">
        <is>
          <t>EPA1633 &amp; diPAPs Calibration 20 ppb</t>
        </is>
      </c>
      <c r="D5527" s="32" t="n">
        <v>14.8</v>
      </c>
      <c r="E5527" s="32" t="n">
        <v>669.518</v>
      </c>
      <c r="G5527" s="32" t="n">
        <v>4.228</v>
      </c>
      <c r="H5527" s="32" t="inlineStr">
        <is>
          <t>bb</t>
        </is>
      </c>
      <c r="I5527" s="32" t="n">
        <v>669.518</v>
      </c>
      <c r="K5527" s="32" t="inlineStr">
        <is>
          <t>20250514-19</t>
        </is>
      </c>
    </row>
    <row r="5528">
      <c r="A5528" s="32" t="n">
        <v>9</v>
      </c>
      <c r="B5528" s="32" t="inlineStr">
        <is>
          <t>MeOH</t>
        </is>
      </c>
      <c r="K5528" s="32" t="inlineStr">
        <is>
          <t>20250514-20</t>
        </is>
      </c>
    </row>
    <row r="5529">
      <c r="A5529" s="32" t="n">
        <v>10</v>
      </c>
      <c r="B5529" s="32" t="inlineStr">
        <is>
          <t>MeOH</t>
        </is>
      </c>
      <c r="K5529" s="32" t="inlineStr">
        <is>
          <t>20250514-21</t>
        </is>
      </c>
    </row>
    <row r="5530">
      <c r="A5530" s="32" t="n">
        <v>11</v>
      </c>
      <c r="B5530" s="32" t="inlineStr">
        <is>
          <t>SB1</t>
        </is>
      </c>
      <c r="D5530" s="32" t="n">
        <v>14.83</v>
      </c>
      <c r="E5530" s="32" t="n">
        <v>454.851</v>
      </c>
      <c r="G5530" s="32" t="n">
        <v>5.863</v>
      </c>
      <c r="H5530" s="32" t="inlineStr">
        <is>
          <t>bb</t>
        </is>
      </c>
      <c r="I5530" s="32" t="n">
        <v>454.851</v>
      </c>
      <c r="K5530" s="32" t="inlineStr">
        <is>
          <t>20250514-22</t>
        </is>
      </c>
    </row>
    <row r="5531">
      <c r="A5531" s="32" t="n">
        <v>12</v>
      </c>
      <c r="B5531" s="32" t="inlineStr">
        <is>
          <t>SB2</t>
        </is>
      </c>
      <c r="D5531" s="32" t="n">
        <v>14.83</v>
      </c>
      <c r="E5531" s="32" t="n">
        <v>327.91</v>
      </c>
      <c r="G5531" s="32" t="n">
        <v>34.179</v>
      </c>
      <c r="H5531" s="32" t="inlineStr">
        <is>
          <t>bb</t>
        </is>
      </c>
      <c r="I5531" s="32" t="n">
        <v>327.91</v>
      </c>
      <c r="K5531" s="32" t="inlineStr">
        <is>
          <t>20250514-23</t>
        </is>
      </c>
    </row>
    <row r="5532">
      <c r="A5532" s="32" t="n">
        <v>13</v>
      </c>
      <c r="B5532" s="32" t="inlineStr">
        <is>
          <t>SB3</t>
        </is>
      </c>
      <c r="D5532" s="32" t="n">
        <v>14.84</v>
      </c>
      <c r="E5532" s="32" t="n">
        <v>222.426</v>
      </c>
      <c r="G5532" s="32" t="n">
        <v>3.05</v>
      </c>
      <c r="H5532" s="32" t="inlineStr">
        <is>
          <t>bb</t>
        </is>
      </c>
      <c r="I5532" s="32" t="n">
        <v>222.426</v>
      </c>
      <c r="K5532" s="32" t="inlineStr">
        <is>
          <t>20250514-24</t>
        </is>
      </c>
    </row>
    <row r="5533">
      <c r="A5533" s="32" t="n">
        <v>14</v>
      </c>
      <c r="B5533" s="32" t="inlineStr">
        <is>
          <t>SS1</t>
        </is>
      </c>
      <c r="D5533" s="32" t="n">
        <v>14.83</v>
      </c>
      <c r="E5533" s="32" t="n">
        <v>226.192</v>
      </c>
      <c r="G5533" s="32" t="n">
        <v>1.648</v>
      </c>
      <c r="H5533" s="32" t="inlineStr">
        <is>
          <t>bb</t>
        </is>
      </c>
      <c r="I5533" s="32" t="n">
        <v>226.192</v>
      </c>
      <c r="K5533" s="32" t="inlineStr">
        <is>
          <t>20250514-25</t>
        </is>
      </c>
    </row>
    <row r="5534">
      <c r="A5534" s="32" t="n">
        <v>15</v>
      </c>
      <c r="B5534" s="32" t="inlineStr">
        <is>
          <t>SS2</t>
        </is>
      </c>
      <c r="D5534" s="32" t="n">
        <v>14.88</v>
      </c>
      <c r="E5534" s="32" t="n">
        <v>314.009</v>
      </c>
      <c r="G5534" s="32" t="n">
        <v>10.427</v>
      </c>
      <c r="H5534" s="32" t="inlineStr">
        <is>
          <t>bb</t>
        </is>
      </c>
      <c r="I5534" s="32" t="n">
        <v>314.009</v>
      </c>
      <c r="K5534" s="32" t="inlineStr">
        <is>
          <t>20250514-26</t>
        </is>
      </c>
    </row>
    <row r="5535">
      <c r="A5535" s="32" t="n">
        <v>16</v>
      </c>
      <c r="B5535" s="32" t="inlineStr">
        <is>
          <t>SS3</t>
        </is>
      </c>
      <c r="D5535" s="32" t="n">
        <v>14.88</v>
      </c>
      <c r="E5535" s="32" t="n">
        <v>235.115</v>
      </c>
      <c r="G5535" s="32" t="n">
        <v>3.405</v>
      </c>
      <c r="H5535" s="32" t="inlineStr">
        <is>
          <t>bb</t>
        </is>
      </c>
      <c r="I5535" s="32" t="n">
        <v>235.115</v>
      </c>
      <c r="K5535" s="32" t="inlineStr">
        <is>
          <t>20250514-27</t>
        </is>
      </c>
    </row>
    <row r="5536">
      <c r="A5536" s="32" t="n">
        <v>17</v>
      </c>
      <c r="B5536" s="32" t="inlineStr">
        <is>
          <t>MeOH</t>
        </is>
      </c>
      <c r="K5536" s="32" t="inlineStr">
        <is>
          <t>20250514-28</t>
        </is>
      </c>
    </row>
    <row r="5537">
      <c r="A5537" s="32" t="n">
        <v>18</v>
      </c>
      <c r="B5537" s="32" t="inlineStr">
        <is>
          <t>K4-1A</t>
        </is>
      </c>
      <c r="D5537" s="32" t="n">
        <v>14.88</v>
      </c>
      <c r="E5537" s="32" t="n">
        <v>242.818</v>
      </c>
      <c r="G5537" s="32" t="n">
        <v>1412</v>
      </c>
      <c r="H5537" s="32" t="inlineStr">
        <is>
          <t>bb</t>
        </is>
      </c>
      <c r="I5537" s="32" t="n">
        <v>242.818</v>
      </c>
      <c r="K5537" s="32" t="inlineStr">
        <is>
          <t>20250514-29</t>
        </is>
      </c>
    </row>
    <row r="5538">
      <c r="A5538" s="32" t="n">
        <v>19</v>
      </c>
      <c r="B5538" s="32" t="inlineStr">
        <is>
          <t>K4-1B</t>
        </is>
      </c>
      <c r="D5538" s="32" t="n">
        <v>14.88</v>
      </c>
      <c r="E5538" s="32" t="n">
        <v>508.77</v>
      </c>
      <c r="G5538" s="32" t="n">
        <v>3308</v>
      </c>
      <c r="H5538" s="32" t="inlineStr">
        <is>
          <t>bb</t>
        </is>
      </c>
      <c r="I5538" s="32" t="n">
        <v>508.77</v>
      </c>
      <c r="K5538" s="32" t="inlineStr">
        <is>
          <t>20250514-30</t>
        </is>
      </c>
    </row>
    <row r="5539">
      <c r="A5539" s="32" t="n">
        <v>20</v>
      </c>
      <c r="B5539" s="32" t="inlineStr">
        <is>
          <t>K4-1C</t>
        </is>
      </c>
      <c r="D5539" s="32" t="n">
        <v>14.91</v>
      </c>
      <c r="E5539" s="32" t="n">
        <v>189.276</v>
      </c>
      <c r="G5539" s="32" t="n">
        <v>11.254</v>
      </c>
      <c r="H5539" s="32" t="inlineStr">
        <is>
          <t>bb</t>
        </is>
      </c>
      <c r="I5539" s="32" t="n">
        <v>189.276</v>
      </c>
      <c r="K5539" s="32" t="inlineStr">
        <is>
          <t>20250514-31</t>
        </is>
      </c>
    </row>
    <row r="5540">
      <c r="A5540" s="32" t="n">
        <v>21</v>
      </c>
      <c r="B5540" s="32" t="inlineStr">
        <is>
          <t>K4-2A</t>
        </is>
      </c>
      <c r="D5540" s="32" t="n">
        <v>14.88</v>
      </c>
      <c r="E5540" s="32" t="n">
        <v>310.373</v>
      </c>
      <c r="G5540" s="32" t="n">
        <v>33.793</v>
      </c>
      <c r="H5540" s="32" t="inlineStr">
        <is>
          <t>MM</t>
        </is>
      </c>
      <c r="I5540" s="32" t="n">
        <v>310.373</v>
      </c>
      <c r="K5540" s="32" t="inlineStr">
        <is>
          <t>20250514-32</t>
        </is>
      </c>
    </row>
    <row r="5541">
      <c r="A5541" s="32" t="n">
        <v>22</v>
      </c>
      <c r="B5541" s="32" t="inlineStr">
        <is>
          <t>K4-2B</t>
        </is>
      </c>
      <c r="D5541" s="32" t="n">
        <v>14.89</v>
      </c>
      <c r="E5541" s="32" t="n">
        <v>608.7859999999999</v>
      </c>
      <c r="G5541" s="32" t="n">
        <v>396.656</v>
      </c>
      <c r="H5541" s="32" t="inlineStr">
        <is>
          <t>bb</t>
        </is>
      </c>
      <c r="I5541" s="32" t="n">
        <v>608.7859999999999</v>
      </c>
      <c r="K5541" s="32" t="inlineStr">
        <is>
          <t>20250514-33</t>
        </is>
      </c>
    </row>
    <row r="5542">
      <c r="A5542" s="32" t="n">
        <v>23</v>
      </c>
      <c r="B5542" s="32" t="inlineStr">
        <is>
          <t>K4-2C</t>
        </is>
      </c>
      <c r="D5542" s="32" t="n">
        <v>14.89</v>
      </c>
      <c r="E5542" s="32" t="n">
        <v>229.764</v>
      </c>
      <c r="G5542" s="32" t="n">
        <v>4.81</v>
      </c>
      <c r="H5542" s="32" t="inlineStr">
        <is>
          <t>bb</t>
        </is>
      </c>
      <c r="I5542" s="32" t="n">
        <v>229.764</v>
      </c>
      <c r="K5542" s="32" t="inlineStr">
        <is>
          <t>20250514-34</t>
        </is>
      </c>
    </row>
    <row r="5543">
      <c r="A5543" s="32" t="n">
        <v>24</v>
      </c>
      <c r="B5543" s="32" t="inlineStr">
        <is>
          <t>MeOH</t>
        </is>
      </c>
      <c r="K5543" s="32" t="inlineStr">
        <is>
          <t>20250514-35</t>
        </is>
      </c>
    </row>
    <row r="5544">
      <c r="A5544" s="32" t="n">
        <v>25</v>
      </c>
      <c r="B5544" s="32" t="inlineStr">
        <is>
          <t>K4-4A</t>
        </is>
      </c>
      <c r="D5544" s="32" t="n">
        <v>14.89</v>
      </c>
      <c r="E5544" s="32" t="n">
        <v>288.067</v>
      </c>
      <c r="G5544" s="32" t="n">
        <v>4.022</v>
      </c>
      <c r="H5544" s="32" t="inlineStr">
        <is>
          <t>bb</t>
        </is>
      </c>
      <c r="I5544" s="32" t="n">
        <v>288.067</v>
      </c>
      <c r="K5544" s="32" t="inlineStr">
        <is>
          <t>20250514-36</t>
        </is>
      </c>
    </row>
    <row r="5545">
      <c r="A5545" s="32" t="n">
        <v>26</v>
      </c>
      <c r="B5545" s="32" t="inlineStr">
        <is>
          <t>K4-4B</t>
        </is>
      </c>
      <c r="D5545" s="32" t="n">
        <v>14.91</v>
      </c>
      <c r="E5545" s="32" t="n">
        <v>219.81</v>
      </c>
      <c r="G5545" s="32" t="n">
        <v>1.53</v>
      </c>
      <c r="H5545" s="32" t="inlineStr">
        <is>
          <t>bb</t>
        </is>
      </c>
      <c r="I5545" s="32" t="n">
        <v>219.81</v>
      </c>
      <c r="K5545" s="32" t="inlineStr">
        <is>
          <t>20250514-37</t>
        </is>
      </c>
    </row>
    <row r="5546">
      <c r="A5546" s="32" t="n">
        <v>27</v>
      </c>
      <c r="B5546" s="32" t="inlineStr">
        <is>
          <t>K4-4C</t>
        </is>
      </c>
      <c r="D5546" s="32" t="n">
        <v>14.96</v>
      </c>
      <c r="E5546" s="32" t="n">
        <v>322.86</v>
      </c>
      <c r="G5546" s="32" t="n">
        <v>1.152</v>
      </c>
      <c r="H5546" s="32" t="inlineStr">
        <is>
          <t>bb</t>
        </is>
      </c>
      <c r="I5546" s="32" t="n">
        <v>322.86</v>
      </c>
      <c r="K5546" s="32" t="inlineStr">
        <is>
          <t>20250514-38</t>
        </is>
      </c>
    </row>
    <row r="5547">
      <c r="A5547" s="32" t="n">
        <v>28</v>
      </c>
      <c r="B5547" s="32" t="inlineStr">
        <is>
          <t>K4-5A</t>
        </is>
      </c>
      <c r="D5547" s="32" t="n">
        <v>14.91</v>
      </c>
      <c r="E5547" s="32" t="n">
        <v>302.863</v>
      </c>
      <c r="G5547" s="32" t="n">
        <v>3.268</v>
      </c>
      <c r="H5547" s="32" t="inlineStr">
        <is>
          <t>bb</t>
        </is>
      </c>
      <c r="I5547" s="32" t="n">
        <v>302.863</v>
      </c>
      <c r="K5547" s="32" t="inlineStr">
        <is>
          <t>20250514-39</t>
        </is>
      </c>
    </row>
    <row r="5548">
      <c r="A5548" s="32" t="n">
        <v>29</v>
      </c>
      <c r="B5548" s="32" t="inlineStr">
        <is>
          <t>K4-5B</t>
        </is>
      </c>
      <c r="D5548" s="32" t="n">
        <v>14.89</v>
      </c>
      <c r="E5548" s="32" t="n">
        <v>188.939</v>
      </c>
      <c r="G5548" s="32" t="n">
        <v>1439</v>
      </c>
      <c r="H5548" s="32" t="inlineStr">
        <is>
          <t>bb</t>
        </is>
      </c>
      <c r="I5548" s="32" t="n">
        <v>188.939</v>
      </c>
      <c r="K5548" s="32" t="inlineStr">
        <is>
          <t>20250514-40</t>
        </is>
      </c>
    </row>
    <row r="5549">
      <c r="A5549" s="32" t="n">
        <v>30</v>
      </c>
      <c r="B5549" s="32" t="inlineStr">
        <is>
          <t>K4-5C</t>
        </is>
      </c>
      <c r="D5549" s="32" t="n">
        <v>14.83</v>
      </c>
      <c r="E5549" s="32" t="n">
        <v>386.08</v>
      </c>
      <c r="G5549" s="32" t="n">
        <v>6.888</v>
      </c>
      <c r="H5549" s="32" t="inlineStr">
        <is>
          <t>MM</t>
        </is>
      </c>
      <c r="I5549" s="32" t="n">
        <v>386.08</v>
      </c>
      <c r="K5549" s="32" t="inlineStr">
        <is>
          <t>20250514-41</t>
        </is>
      </c>
    </row>
    <row r="5550">
      <c r="A5550" s="32" t="n">
        <v>31</v>
      </c>
      <c r="B5550" s="32" t="inlineStr">
        <is>
          <t>MeOH</t>
        </is>
      </c>
      <c r="K5550" s="32" t="inlineStr">
        <is>
          <t>20250514-42</t>
        </is>
      </c>
    </row>
    <row r="5551">
      <c r="A5551" s="32" t="n">
        <v>32</v>
      </c>
      <c r="B5551" s="32" t="inlineStr">
        <is>
          <t>K3-1A</t>
        </is>
      </c>
      <c r="D5551" s="32" t="n">
        <v>14.8</v>
      </c>
      <c r="E5551" s="32" t="n">
        <v>273.068</v>
      </c>
      <c r="G5551" s="32" t="n">
        <v>45.599</v>
      </c>
      <c r="H5551" s="32" t="inlineStr">
        <is>
          <t>bb</t>
        </is>
      </c>
      <c r="I5551" s="32" t="n">
        <v>273.068</v>
      </c>
      <c r="K5551" s="32" t="inlineStr">
        <is>
          <t>20250514-43</t>
        </is>
      </c>
    </row>
    <row r="5552">
      <c r="A5552" s="32" t="n">
        <v>33</v>
      </c>
      <c r="B5552" s="32" t="inlineStr">
        <is>
          <t>K3-1B</t>
        </is>
      </c>
      <c r="D5552" s="32" t="n">
        <v>14.8</v>
      </c>
      <c r="E5552" s="32" t="n">
        <v>112.597</v>
      </c>
      <c r="G5552" s="32" t="n">
        <v>9.446</v>
      </c>
      <c r="H5552" s="32" t="inlineStr">
        <is>
          <t>MM</t>
        </is>
      </c>
      <c r="I5552" s="32" t="n">
        <v>112.597</v>
      </c>
      <c r="K5552" s="32" t="inlineStr">
        <is>
          <t>20250514-44</t>
        </is>
      </c>
    </row>
    <row r="5553">
      <c r="A5553" s="32" t="n">
        <v>34</v>
      </c>
      <c r="B5553" s="32" t="inlineStr">
        <is>
          <t>K3-1C</t>
        </is>
      </c>
      <c r="D5553" s="32" t="n">
        <v>14.83</v>
      </c>
      <c r="E5553" s="32" t="n">
        <v>575.867</v>
      </c>
      <c r="G5553" s="32" t="n">
        <v>3.15</v>
      </c>
      <c r="H5553" s="32" t="inlineStr">
        <is>
          <t>bb</t>
        </is>
      </c>
      <c r="I5553" s="32" t="n">
        <v>575.867</v>
      </c>
      <c r="K5553" s="32" t="inlineStr">
        <is>
          <t>20250514-45</t>
        </is>
      </c>
    </row>
    <row r="5554">
      <c r="A5554" s="32" t="n">
        <v>35</v>
      </c>
      <c r="B5554" s="32" t="inlineStr">
        <is>
          <t>K3-2A</t>
        </is>
      </c>
      <c r="D5554" s="32" t="n">
        <v>14.86</v>
      </c>
      <c r="E5554" s="32" t="n">
        <v>406.817</v>
      </c>
      <c r="G5554" s="32" t="n">
        <v>9.356</v>
      </c>
      <c r="H5554" s="32" t="inlineStr">
        <is>
          <t>bb</t>
        </is>
      </c>
      <c r="I5554" s="32" t="n">
        <v>406.817</v>
      </c>
      <c r="K5554" s="32" t="inlineStr">
        <is>
          <t>20250514-46</t>
        </is>
      </c>
    </row>
    <row r="5555">
      <c r="A5555" s="32" t="n">
        <v>36</v>
      </c>
      <c r="B5555" s="32" t="inlineStr">
        <is>
          <t>K3-2B</t>
        </is>
      </c>
      <c r="D5555" s="32" t="n">
        <v>14.86</v>
      </c>
      <c r="E5555" s="32" t="n">
        <v>266.099</v>
      </c>
      <c r="G5555" s="32" t="n">
        <v>2.118</v>
      </c>
      <c r="H5555" s="32" t="inlineStr">
        <is>
          <t>bb</t>
        </is>
      </c>
      <c r="I5555" s="32" t="n">
        <v>266.099</v>
      </c>
      <c r="K5555" s="32" t="inlineStr">
        <is>
          <t>20250514-47</t>
        </is>
      </c>
    </row>
    <row r="5556">
      <c r="A5556" s="32" t="n">
        <v>37</v>
      </c>
      <c r="B5556" s="32" t="inlineStr">
        <is>
          <t>K3-2C</t>
        </is>
      </c>
      <c r="D5556" s="32" t="n">
        <v>14.91</v>
      </c>
      <c r="E5556" s="32" t="n">
        <v>84.498</v>
      </c>
      <c r="G5556" s="32" t="n">
        <v>6.592</v>
      </c>
      <c r="H5556" s="32" t="inlineStr">
        <is>
          <t>bb</t>
        </is>
      </c>
      <c r="I5556" s="32" t="n">
        <v>84.498</v>
      </c>
      <c r="K5556" s="32" t="inlineStr">
        <is>
          <t>20250514-48</t>
        </is>
      </c>
    </row>
    <row r="5557">
      <c r="A5557" s="32" t="n">
        <v>38</v>
      </c>
      <c r="B5557" s="32" t="inlineStr">
        <is>
          <t>MeOH</t>
        </is>
      </c>
      <c r="K5557" s="32" t="inlineStr">
        <is>
          <t>20250514-49</t>
        </is>
      </c>
    </row>
    <row r="5558">
      <c r="A5558" s="32" t="n">
        <v>39</v>
      </c>
      <c r="B5558" s="32" t="inlineStr">
        <is>
          <t>K3-3A</t>
        </is>
      </c>
      <c r="D5558" s="32" t="n">
        <v>14.89</v>
      </c>
      <c r="E5558" s="32" t="n">
        <v>164.973</v>
      </c>
      <c r="G5558" s="32" t="n">
        <v>21.833</v>
      </c>
      <c r="H5558" s="32" t="inlineStr">
        <is>
          <t>bb</t>
        </is>
      </c>
      <c r="I5558" s="32" t="n">
        <v>164.973</v>
      </c>
      <c r="K5558" s="32" t="inlineStr">
        <is>
          <t>20250514-50</t>
        </is>
      </c>
    </row>
    <row r="5559">
      <c r="A5559" s="32" t="n">
        <v>40</v>
      </c>
      <c r="B5559" s="32" t="inlineStr">
        <is>
          <t>K3-3B</t>
        </is>
      </c>
      <c r="D5559" s="32" t="n">
        <v>14.91</v>
      </c>
      <c r="E5559" s="32" t="n">
        <v>375.679</v>
      </c>
      <c r="G5559" s="32" t="n">
        <v>3.212</v>
      </c>
      <c r="H5559" s="32" t="inlineStr">
        <is>
          <t>bb</t>
        </is>
      </c>
      <c r="I5559" s="32" t="n">
        <v>375.679</v>
      </c>
      <c r="K5559" s="32" t="inlineStr">
        <is>
          <t>20250514-51</t>
        </is>
      </c>
    </row>
    <row r="5560">
      <c r="A5560" s="32" t="n">
        <v>41</v>
      </c>
      <c r="B5560" s="32" t="inlineStr">
        <is>
          <t>K3-3C</t>
        </is>
      </c>
      <c r="D5560" s="32" t="n">
        <v>14.88</v>
      </c>
      <c r="E5560" s="32" t="n">
        <v>522.725</v>
      </c>
      <c r="G5560" s="32" t="n">
        <v>15.204</v>
      </c>
      <c r="H5560" s="32" t="inlineStr">
        <is>
          <t>bb</t>
        </is>
      </c>
      <c r="I5560" s="32" t="n">
        <v>522.725</v>
      </c>
      <c r="K5560" s="32" t="inlineStr">
        <is>
          <t>20250514-52</t>
        </is>
      </c>
    </row>
    <row r="5561">
      <c r="A5561" s="32" t="n">
        <v>42</v>
      </c>
      <c r="B5561" s="32" t="inlineStr">
        <is>
          <t>K3-4A</t>
        </is>
      </c>
      <c r="D5561" s="32" t="n">
        <v>14.94</v>
      </c>
      <c r="E5561" s="32" t="n">
        <v>299.257</v>
      </c>
      <c r="G5561" s="32" t="n">
        <v>2051</v>
      </c>
      <c r="H5561" s="32" t="inlineStr">
        <is>
          <t>bb</t>
        </is>
      </c>
      <c r="I5561" s="32" t="n">
        <v>299.257</v>
      </c>
      <c r="K5561" s="32" t="inlineStr">
        <is>
          <t>20250514-53</t>
        </is>
      </c>
    </row>
    <row r="5562">
      <c r="A5562" s="32" t="n">
        <v>43</v>
      </c>
      <c r="B5562" s="32" t="inlineStr">
        <is>
          <t>K3-4B</t>
        </is>
      </c>
      <c r="D5562" s="32" t="n">
        <v>14.94</v>
      </c>
      <c r="E5562" s="32" t="n">
        <v>449.922</v>
      </c>
      <c r="G5562" s="32" t="n">
        <v>4.867</v>
      </c>
      <c r="H5562" s="32" t="inlineStr">
        <is>
          <t>bb</t>
        </is>
      </c>
      <c r="I5562" s="32" t="n">
        <v>449.922</v>
      </c>
      <c r="K5562" s="32" t="inlineStr">
        <is>
          <t>20250514-54</t>
        </is>
      </c>
    </row>
    <row r="5563">
      <c r="A5563" s="32" t="n">
        <v>44</v>
      </c>
      <c r="B5563" s="32" t="inlineStr">
        <is>
          <t>K3-4C</t>
        </is>
      </c>
      <c r="D5563" s="32" t="n">
        <v>14.96</v>
      </c>
      <c r="E5563" s="32" t="n">
        <v>357.082</v>
      </c>
      <c r="G5563" s="32" t="n">
        <v>17.034</v>
      </c>
      <c r="H5563" s="32" t="inlineStr">
        <is>
          <t>bb</t>
        </is>
      </c>
      <c r="I5563" s="32" t="n">
        <v>357.082</v>
      </c>
      <c r="K5563" s="32" t="inlineStr">
        <is>
          <t>20250514-55</t>
        </is>
      </c>
    </row>
    <row r="5564">
      <c r="A5564" s="32" t="n">
        <v>45</v>
      </c>
      <c r="B5564" s="32" t="inlineStr">
        <is>
          <t>MeOH</t>
        </is>
      </c>
      <c r="K5564" s="32" t="inlineStr">
        <is>
          <t>20250514-56</t>
        </is>
      </c>
    </row>
    <row r="5565">
      <c r="A5565" s="32" t="n">
        <v>46</v>
      </c>
      <c r="B5565" s="32" t="inlineStr">
        <is>
          <t>K3-6A</t>
        </is>
      </c>
      <c r="D5565" s="32" t="n">
        <v>14.94</v>
      </c>
      <c r="E5565" s="32" t="n">
        <v>481.186</v>
      </c>
      <c r="G5565" s="32" t="n">
        <v>3637</v>
      </c>
      <c r="H5565" s="32" t="inlineStr">
        <is>
          <t>bb</t>
        </is>
      </c>
      <c r="I5565" s="32" t="n">
        <v>481.186</v>
      </c>
      <c r="K5565" s="32" t="inlineStr">
        <is>
          <t>20250514-57</t>
        </is>
      </c>
    </row>
    <row r="5566">
      <c r="A5566" s="32" t="n">
        <v>47</v>
      </c>
      <c r="B5566" s="32" t="inlineStr">
        <is>
          <t>K3-6B</t>
        </is>
      </c>
      <c r="D5566" s="32" t="n">
        <v>14.96</v>
      </c>
      <c r="E5566" s="32" t="n">
        <v>210.944</v>
      </c>
      <c r="G5566" s="32" t="n">
        <v>7.993</v>
      </c>
      <c r="H5566" s="32" t="inlineStr">
        <is>
          <t>bb</t>
        </is>
      </c>
      <c r="I5566" s="32" t="n">
        <v>210.944</v>
      </c>
      <c r="K5566" s="32" t="inlineStr">
        <is>
          <t>20250514-58</t>
        </is>
      </c>
    </row>
    <row r="5567">
      <c r="A5567" s="32" t="n">
        <v>48</v>
      </c>
      <c r="B5567" s="32" t="inlineStr">
        <is>
          <t>K3-6C</t>
        </is>
      </c>
      <c r="D5567" s="32" t="n">
        <v>14.92</v>
      </c>
      <c r="E5567" s="32" t="n">
        <v>445.594</v>
      </c>
      <c r="G5567" s="32" t="n">
        <v>22.839</v>
      </c>
      <c r="H5567" s="32" t="inlineStr">
        <is>
          <t>bb</t>
        </is>
      </c>
      <c r="I5567" s="32" t="n">
        <v>445.594</v>
      </c>
      <c r="K5567" s="32" t="inlineStr">
        <is>
          <t>20250514-59</t>
        </is>
      </c>
    </row>
    <row r="5569">
      <c r="A5569" s="32" t="inlineStr">
        <is>
          <t>Compound 108:  m7 PFUDA 2</t>
        </is>
      </c>
    </row>
    <row r="5571">
      <c r="B5571" s="32" t="inlineStr">
        <is>
          <t>Sample Text</t>
        </is>
      </c>
      <c r="C5571" s="32" t="inlineStr">
        <is>
          <t>Std. Conc</t>
        </is>
      </c>
      <c r="D5571" s="32" t="inlineStr">
        <is>
          <t>RT</t>
        </is>
      </c>
      <c r="E5571" s="32" t="inlineStr">
        <is>
          <t>Area</t>
        </is>
      </c>
      <c r="F5571" s="32" t="inlineStr">
        <is>
          <t>IS Area</t>
        </is>
      </c>
      <c r="G5571" s="32" t="inlineStr">
        <is>
          <t>S/N</t>
        </is>
      </c>
      <c r="H5571" s="32" t="inlineStr">
        <is>
          <t>Primary Flags</t>
        </is>
      </c>
      <c r="I5571" s="32" t="inlineStr">
        <is>
          <t>Response</t>
        </is>
      </c>
      <c r="J5571" s="32" t="inlineStr">
        <is>
          <t>Conc.</t>
        </is>
      </c>
      <c r="K5571" s="32" t="inlineStr">
        <is>
          <t>Name</t>
        </is>
      </c>
    </row>
    <row r="5572">
      <c r="A5572" s="32" t="n">
        <v>1</v>
      </c>
      <c r="B5572" s="32" t="inlineStr">
        <is>
          <t>EPA1633 &amp; diPAPs Calibration 0 ppb</t>
        </is>
      </c>
      <c r="D5572" s="32" t="n">
        <v>14.78</v>
      </c>
      <c r="E5572" s="32" t="n">
        <v>1074.467</v>
      </c>
      <c r="G5572" s="32" t="n">
        <v>7134</v>
      </c>
      <c r="H5572" s="32" t="inlineStr">
        <is>
          <t>bb</t>
        </is>
      </c>
      <c r="I5572" s="32" t="n">
        <v>1074.467</v>
      </c>
      <c r="K5572" s="32" t="inlineStr">
        <is>
          <t>20250514-12</t>
        </is>
      </c>
    </row>
    <row r="5573">
      <c r="A5573" s="32" t="n">
        <v>2</v>
      </c>
      <c r="B5573" s="32" t="inlineStr">
        <is>
          <t>EPA1633 &amp; diPAPs Calibration 0.02 ppb</t>
        </is>
      </c>
      <c r="D5573" s="32" t="n">
        <v>14.83</v>
      </c>
      <c r="E5573" s="32" t="n">
        <v>414.73</v>
      </c>
      <c r="G5573" s="32" t="n">
        <v>2766</v>
      </c>
      <c r="H5573" s="32" t="inlineStr">
        <is>
          <t>bb</t>
        </is>
      </c>
      <c r="I5573" s="32" t="n">
        <v>414.73</v>
      </c>
      <c r="K5573" s="32" t="inlineStr">
        <is>
          <t>20250514-13</t>
        </is>
      </c>
    </row>
    <row r="5574">
      <c r="A5574" s="32" t="n">
        <v>3</v>
      </c>
      <c r="B5574" s="32" t="inlineStr">
        <is>
          <t>EPA1633 &amp; diPAPs Calibration 0.1 ppb</t>
        </is>
      </c>
      <c r="D5574" s="32" t="n">
        <v>14.81</v>
      </c>
      <c r="E5574" s="32" t="n">
        <v>826.698</v>
      </c>
      <c r="G5574" s="32" t="n">
        <v>13.784</v>
      </c>
      <c r="H5574" s="32" t="inlineStr">
        <is>
          <t>bb</t>
        </is>
      </c>
      <c r="I5574" s="32" t="n">
        <v>826.698</v>
      </c>
      <c r="K5574" s="32" t="inlineStr">
        <is>
          <t>20250514-14</t>
        </is>
      </c>
    </row>
    <row r="5575">
      <c r="A5575" s="32" t="n">
        <v>4</v>
      </c>
      <c r="B5575" s="32" t="inlineStr">
        <is>
          <t>EPA1633 &amp; diPAPs Calibration 0.4 ppb</t>
        </is>
      </c>
      <c r="D5575" s="32" t="n">
        <v>14.81</v>
      </c>
      <c r="E5575" s="32" t="n">
        <v>716.3819999999999</v>
      </c>
      <c r="G5575" s="32" t="n">
        <v>12.672</v>
      </c>
      <c r="H5575" s="32" t="inlineStr">
        <is>
          <t>bb</t>
        </is>
      </c>
      <c r="I5575" s="32" t="n">
        <v>716.3819999999999</v>
      </c>
      <c r="K5575" s="32" t="inlineStr">
        <is>
          <t>20250514-15</t>
        </is>
      </c>
    </row>
    <row r="5576">
      <c r="A5576" s="32" t="n">
        <v>5</v>
      </c>
      <c r="B5576" s="32" t="inlineStr">
        <is>
          <t>EPA1633 &amp; diPAPs Calibration 1 ppb</t>
        </is>
      </c>
      <c r="D5576" s="32" t="n">
        <v>14.8</v>
      </c>
      <c r="E5576" s="32" t="n">
        <v>1114.145</v>
      </c>
      <c r="G5576" s="32" t="n">
        <v>8148</v>
      </c>
      <c r="H5576" s="32" t="inlineStr">
        <is>
          <t>bb</t>
        </is>
      </c>
      <c r="I5576" s="32" t="n">
        <v>1114.145</v>
      </c>
      <c r="K5576" s="32" t="inlineStr">
        <is>
          <t>20250514-16</t>
        </is>
      </c>
    </row>
    <row r="5577">
      <c r="A5577" s="32" t="n">
        <v>6</v>
      </c>
      <c r="B5577" s="32" t="inlineStr">
        <is>
          <t>EPA1633 &amp; diPAPs Calibration 5 ppb</t>
        </is>
      </c>
      <c r="D5577" s="32" t="n">
        <v>14.77</v>
      </c>
      <c r="E5577" s="32" t="n">
        <v>655.242</v>
      </c>
      <c r="G5577" s="32" t="n">
        <v>4505</v>
      </c>
      <c r="H5577" s="32" t="inlineStr">
        <is>
          <t>bb</t>
        </is>
      </c>
      <c r="I5577" s="32" t="n">
        <v>655.242</v>
      </c>
      <c r="K5577" s="32" t="inlineStr">
        <is>
          <t>20250514-17</t>
        </is>
      </c>
    </row>
    <row r="5578">
      <c r="A5578" s="32" t="n">
        <v>7</v>
      </c>
      <c r="B5578" s="32" t="inlineStr">
        <is>
          <t>EPA1633 &amp; diPAPs Calibration 10 ppb</t>
        </is>
      </c>
      <c r="D5578" s="32" t="n">
        <v>14.78</v>
      </c>
      <c r="E5578" s="32" t="n">
        <v>281.267</v>
      </c>
      <c r="G5578" s="32" t="n">
        <v>8.347</v>
      </c>
      <c r="H5578" s="32" t="inlineStr">
        <is>
          <t>bb</t>
        </is>
      </c>
      <c r="I5578" s="32" t="n">
        <v>281.267</v>
      </c>
      <c r="K5578" s="32" t="inlineStr">
        <is>
          <t>20250514-18</t>
        </is>
      </c>
    </row>
    <row r="5579">
      <c r="A5579" s="32" t="n">
        <v>8</v>
      </c>
      <c r="B5579" s="32" t="inlineStr">
        <is>
          <t>EPA1633 &amp; diPAPs Calibration 20 ppb</t>
        </is>
      </c>
      <c r="D5579" s="32" t="n">
        <v>14.8</v>
      </c>
      <c r="E5579" s="32" t="n">
        <v>590.654</v>
      </c>
      <c r="G5579" s="32" t="n">
        <v>3923</v>
      </c>
      <c r="H5579" s="32" t="inlineStr">
        <is>
          <t>bb</t>
        </is>
      </c>
      <c r="I5579" s="32" t="n">
        <v>590.654</v>
      </c>
      <c r="K5579" s="32" t="inlineStr">
        <is>
          <t>20250514-19</t>
        </is>
      </c>
    </row>
    <row r="5580">
      <c r="A5580" s="32" t="n">
        <v>9</v>
      </c>
      <c r="B5580" s="32" t="inlineStr">
        <is>
          <t>MeOH</t>
        </is>
      </c>
      <c r="K5580" s="32" t="inlineStr">
        <is>
          <t>20250514-20</t>
        </is>
      </c>
    </row>
    <row r="5581">
      <c r="A5581" s="32" t="n">
        <v>10</v>
      </c>
      <c r="B5581" s="32" t="inlineStr">
        <is>
          <t>MeOH</t>
        </is>
      </c>
      <c r="K5581" s="32" t="inlineStr">
        <is>
          <t>20250514-21</t>
        </is>
      </c>
    </row>
    <row r="5582">
      <c r="A5582" s="32" t="n">
        <v>11</v>
      </c>
      <c r="B5582" s="32" t="inlineStr">
        <is>
          <t>SB1</t>
        </is>
      </c>
      <c r="D5582" s="32" t="n">
        <v>14.81</v>
      </c>
      <c r="E5582" s="32" t="n">
        <v>211.395</v>
      </c>
      <c r="G5582" s="32" t="n">
        <v>1493</v>
      </c>
      <c r="H5582" s="32" t="inlineStr">
        <is>
          <t>bb</t>
        </is>
      </c>
      <c r="I5582" s="32" t="n">
        <v>211.395</v>
      </c>
      <c r="K5582" s="32" t="inlineStr">
        <is>
          <t>20250514-22</t>
        </is>
      </c>
    </row>
    <row r="5583">
      <c r="A5583" s="32" t="n">
        <v>12</v>
      </c>
      <c r="B5583" s="32" t="inlineStr">
        <is>
          <t>SB2</t>
        </is>
      </c>
      <c r="D5583" s="32" t="n">
        <v>14.84</v>
      </c>
      <c r="E5583" s="32" t="n">
        <v>209.016</v>
      </c>
      <c r="G5583" s="32" t="n">
        <v>7.467</v>
      </c>
      <c r="H5583" s="32" t="inlineStr">
        <is>
          <t>bb</t>
        </is>
      </c>
      <c r="I5583" s="32" t="n">
        <v>209.016</v>
      </c>
      <c r="K5583" s="32" t="inlineStr">
        <is>
          <t>20250514-23</t>
        </is>
      </c>
    </row>
    <row r="5584">
      <c r="A5584" s="32" t="n">
        <v>13</v>
      </c>
      <c r="B5584" s="32" t="inlineStr">
        <is>
          <t>SB3</t>
        </is>
      </c>
      <c r="D5584" s="32" t="n">
        <v>14.83</v>
      </c>
      <c r="E5584" s="32" t="n">
        <v>313.414</v>
      </c>
      <c r="G5584" s="32" t="n">
        <v>2490</v>
      </c>
      <c r="H5584" s="32" t="inlineStr">
        <is>
          <t>bb</t>
        </is>
      </c>
      <c r="I5584" s="32" t="n">
        <v>313.414</v>
      </c>
      <c r="K5584" s="32" t="inlineStr">
        <is>
          <t>20250514-24</t>
        </is>
      </c>
    </row>
    <row r="5585">
      <c r="A5585" s="32" t="n">
        <v>14</v>
      </c>
      <c r="B5585" s="32" t="inlineStr">
        <is>
          <t>SS1</t>
        </is>
      </c>
      <c r="D5585" s="32" t="n">
        <v>14.86</v>
      </c>
      <c r="E5585" s="32" t="n">
        <v>102.192</v>
      </c>
      <c r="G5585" s="32" t="n">
        <v>747</v>
      </c>
      <c r="H5585" s="32" t="inlineStr">
        <is>
          <t>bb</t>
        </is>
      </c>
      <c r="I5585" s="32" t="n">
        <v>102.192</v>
      </c>
      <c r="K5585" s="32" t="inlineStr">
        <is>
          <t>20250514-25</t>
        </is>
      </c>
    </row>
    <row r="5586">
      <c r="A5586" s="32" t="n">
        <v>15</v>
      </c>
      <c r="B5586" s="32" t="inlineStr">
        <is>
          <t>SS2</t>
        </is>
      </c>
      <c r="D5586" s="32" t="n">
        <v>14.88</v>
      </c>
      <c r="E5586" s="32" t="n">
        <v>112.026</v>
      </c>
      <c r="G5586" s="32" t="n">
        <v>9.590999999999999</v>
      </c>
      <c r="H5586" s="32" t="inlineStr">
        <is>
          <t>bb</t>
        </is>
      </c>
      <c r="I5586" s="32" t="n">
        <v>112.026</v>
      </c>
      <c r="K5586" s="32" t="inlineStr">
        <is>
          <t>20250514-26</t>
        </is>
      </c>
    </row>
    <row r="5587">
      <c r="A5587" s="32" t="n">
        <v>16</v>
      </c>
      <c r="B5587" s="32" t="inlineStr">
        <is>
          <t>SS3</t>
        </is>
      </c>
      <c r="D5587" s="32" t="n">
        <v>14.89</v>
      </c>
      <c r="E5587" s="32" t="n">
        <v>205.439</v>
      </c>
      <c r="G5587" s="32" t="n">
        <v>1347</v>
      </c>
      <c r="H5587" s="32" t="inlineStr">
        <is>
          <t>bb</t>
        </is>
      </c>
      <c r="I5587" s="32" t="n">
        <v>205.439</v>
      </c>
      <c r="K5587" s="32" t="inlineStr">
        <is>
          <t>20250514-27</t>
        </is>
      </c>
    </row>
    <row r="5588">
      <c r="A5588" s="32" t="n">
        <v>17</v>
      </c>
      <c r="B5588" s="32" t="inlineStr">
        <is>
          <t>MeOH</t>
        </is>
      </c>
      <c r="K5588" s="32" t="inlineStr">
        <is>
          <t>20250514-28</t>
        </is>
      </c>
    </row>
    <row r="5589">
      <c r="A5589" s="32" t="n">
        <v>18</v>
      </c>
      <c r="B5589" s="32" t="inlineStr">
        <is>
          <t>K4-1A</t>
        </is>
      </c>
      <c r="D5589" s="32" t="n">
        <v>14.88</v>
      </c>
      <c r="E5589" s="32" t="n">
        <v>535.819</v>
      </c>
      <c r="G5589" s="32" t="n">
        <v>6.402</v>
      </c>
      <c r="H5589" s="32" t="inlineStr">
        <is>
          <t>bb</t>
        </is>
      </c>
      <c r="I5589" s="32" t="n">
        <v>535.819</v>
      </c>
      <c r="K5589" s="32" t="inlineStr">
        <is>
          <t>20250514-29</t>
        </is>
      </c>
    </row>
    <row r="5590">
      <c r="A5590" s="32" t="n">
        <v>19</v>
      </c>
      <c r="B5590" s="32" t="inlineStr">
        <is>
          <t>K4-1B</t>
        </is>
      </c>
      <c r="D5590" s="32" t="n">
        <v>14.88</v>
      </c>
      <c r="E5590" s="32" t="n">
        <v>158.471</v>
      </c>
      <c r="G5590" s="32" t="n">
        <v>2.737</v>
      </c>
      <c r="H5590" s="32" t="inlineStr">
        <is>
          <t>bb</t>
        </is>
      </c>
      <c r="I5590" s="32" t="n">
        <v>158.471</v>
      </c>
      <c r="K5590" s="32" t="inlineStr">
        <is>
          <t>20250514-30</t>
        </is>
      </c>
    </row>
    <row r="5591">
      <c r="A5591" s="32" t="n">
        <v>20</v>
      </c>
      <c r="B5591" s="32" t="inlineStr">
        <is>
          <t>K4-1C</t>
        </is>
      </c>
      <c r="D5591" s="32" t="n">
        <v>14.88</v>
      </c>
      <c r="E5591" s="32" t="n">
        <v>341.625</v>
      </c>
      <c r="G5591" s="32" t="n">
        <v>9.427</v>
      </c>
      <c r="H5591" s="32" t="inlineStr">
        <is>
          <t>bb</t>
        </is>
      </c>
      <c r="I5591" s="32" t="n">
        <v>341.625</v>
      </c>
      <c r="K5591" s="32" t="inlineStr">
        <is>
          <t>20250514-31</t>
        </is>
      </c>
    </row>
    <row r="5592">
      <c r="A5592" s="32" t="n">
        <v>21</v>
      </c>
      <c r="B5592" s="32" t="inlineStr">
        <is>
          <t>K4-2A</t>
        </is>
      </c>
      <c r="D5592" s="32" t="n">
        <v>14.89</v>
      </c>
      <c r="E5592" s="32" t="n">
        <v>273.942</v>
      </c>
      <c r="G5592" s="32" t="n">
        <v>4.221</v>
      </c>
      <c r="H5592" s="32" t="inlineStr">
        <is>
          <t>bb</t>
        </is>
      </c>
      <c r="I5592" s="32" t="n">
        <v>273.942</v>
      </c>
      <c r="K5592" s="32" t="inlineStr">
        <is>
          <t>20250514-32</t>
        </is>
      </c>
    </row>
    <row r="5593">
      <c r="A5593" s="32" t="n">
        <v>22</v>
      </c>
      <c r="B5593" s="32" t="inlineStr">
        <is>
          <t>K4-2B</t>
        </is>
      </c>
      <c r="D5593" s="32" t="n">
        <v>14.89</v>
      </c>
      <c r="E5593" s="32" t="n">
        <v>314.431</v>
      </c>
      <c r="G5593" s="32" t="n">
        <v>16.683</v>
      </c>
      <c r="H5593" s="32" t="inlineStr">
        <is>
          <t>bb</t>
        </is>
      </c>
      <c r="I5593" s="32" t="n">
        <v>314.431</v>
      </c>
      <c r="K5593" s="32" t="inlineStr">
        <is>
          <t>20250514-33</t>
        </is>
      </c>
    </row>
    <row r="5594">
      <c r="A5594" s="32" t="n">
        <v>23</v>
      </c>
      <c r="B5594" s="32" t="inlineStr">
        <is>
          <t>K4-2C</t>
        </is>
      </c>
      <c r="D5594" s="32" t="n">
        <v>14.91</v>
      </c>
      <c r="E5594" s="32" t="n">
        <v>282.156</v>
      </c>
      <c r="G5594" s="32" t="n">
        <v>1744</v>
      </c>
      <c r="H5594" s="32" t="inlineStr">
        <is>
          <t>bb</t>
        </is>
      </c>
      <c r="I5594" s="32" t="n">
        <v>282.156</v>
      </c>
      <c r="K5594" s="32" t="inlineStr">
        <is>
          <t>20250514-34</t>
        </is>
      </c>
    </row>
    <row r="5595">
      <c r="A5595" s="32" t="n">
        <v>24</v>
      </c>
      <c r="B5595" s="32" t="inlineStr">
        <is>
          <t>MeOH</t>
        </is>
      </c>
      <c r="K5595" s="32" t="inlineStr">
        <is>
          <t>20250514-35</t>
        </is>
      </c>
    </row>
    <row r="5596">
      <c r="A5596" s="32" t="n">
        <v>25</v>
      </c>
      <c r="B5596" s="32" t="inlineStr">
        <is>
          <t>K4-4A</t>
        </is>
      </c>
      <c r="D5596" s="32" t="n">
        <v>14.94</v>
      </c>
      <c r="E5596" s="32" t="n">
        <v>123.42</v>
      </c>
      <c r="G5596" s="32" t="n">
        <v>12.078</v>
      </c>
      <c r="H5596" s="32" t="inlineStr">
        <is>
          <t>bb</t>
        </is>
      </c>
      <c r="I5596" s="32" t="n">
        <v>123.42</v>
      </c>
      <c r="K5596" s="32" t="inlineStr">
        <is>
          <t>20250514-36</t>
        </is>
      </c>
    </row>
    <row r="5597">
      <c r="A5597" s="32" t="n">
        <v>26</v>
      </c>
      <c r="B5597" s="32" t="inlineStr">
        <is>
          <t>K4-4B</t>
        </is>
      </c>
      <c r="D5597" s="32" t="n">
        <v>14.96</v>
      </c>
      <c r="E5597" s="32" t="n">
        <v>112.583</v>
      </c>
      <c r="G5597" s="32" t="n">
        <v>786</v>
      </c>
      <c r="H5597" s="32" t="inlineStr">
        <is>
          <t>bb</t>
        </is>
      </c>
      <c r="I5597" s="32" t="n">
        <v>112.583</v>
      </c>
      <c r="K5597" s="32" t="inlineStr">
        <is>
          <t>20250514-37</t>
        </is>
      </c>
    </row>
    <row r="5598">
      <c r="A5598" s="32" t="n">
        <v>27</v>
      </c>
      <c r="B5598" s="32" t="inlineStr">
        <is>
          <t>K4-4C</t>
        </is>
      </c>
      <c r="D5598" s="32" t="n">
        <v>14.94</v>
      </c>
      <c r="E5598" s="32" t="n">
        <v>149.259</v>
      </c>
      <c r="G5598" s="32" t="n">
        <v>1033</v>
      </c>
      <c r="H5598" s="32" t="inlineStr">
        <is>
          <t>bb</t>
        </is>
      </c>
      <c r="I5598" s="32" t="n">
        <v>149.259</v>
      </c>
      <c r="K5598" s="32" t="inlineStr">
        <is>
          <t>20250514-38</t>
        </is>
      </c>
    </row>
    <row r="5599">
      <c r="A5599" s="32" t="n">
        <v>28</v>
      </c>
      <c r="B5599" s="32" t="inlineStr">
        <is>
          <t>K4-5A</t>
        </is>
      </c>
      <c r="K5599" s="32" t="inlineStr">
        <is>
          <t>20250514-39</t>
        </is>
      </c>
    </row>
    <row r="5600">
      <c r="A5600" s="32" t="n">
        <v>29</v>
      </c>
      <c r="B5600" s="32" t="inlineStr">
        <is>
          <t>K4-5B</t>
        </is>
      </c>
      <c r="D5600" s="32" t="n">
        <v>14.86</v>
      </c>
      <c r="E5600" s="32" t="n">
        <v>99.30200000000001</v>
      </c>
      <c r="G5600" s="32" t="n">
        <v>709</v>
      </c>
      <c r="H5600" s="32" t="inlineStr">
        <is>
          <t>bb</t>
        </is>
      </c>
      <c r="I5600" s="32" t="n">
        <v>99.30200000000001</v>
      </c>
      <c r="K5600" s="32" t="inlineStr">
        <is>
          <t>20250514-40</t>
        </is>
      </c>
    </row>
    <row r="5601">
      <c r="A5601" s="32" t="n">
        <v>30</v>
      </c>
      <c r="B5601" s="32" t="inlineStr">
        <is>
          <t>K4-5C</t>
        </is>
      </c>
      <c r="D5601" s="32" t="n">
        <v>14.8</v>
      </c>
      <c r="E5601" s="32" t="n">
        <v>227.115</v>
      </c>
      <c r="G5601" s="32" t="n">
        <v>1521</v>
      </c>
      <c r="H5601" s="32" t="inlineStr">
        <is>
          <t>bb</t>
        </is>
      </c>
      <c r="I5601" s="32" t="n">
        <v>227.115</v>
      </c>
      <c r="K5601" s="32" t="inlineStr">
        <is>
          <t>20250514-41</t>
        </is>
      </c>
    </row>
    <row r="5602">
      <c r="A5602" s="32" t="n">
        <v>31</v>
      </c>
      <c r="B5602" s="32" t="inlineStr">
        <is>
          <t>MeOH</t>
        </is>
      </c>
      <c r="K5602" s="32" t="inlineStr">
        <is>
          <t>20250514-42</t>
        </is>
      </c>
    </row>
    <row r="5603">
      <c r="A5603" s="32" t="n">
        <v>32</v>
      </c>
      <c r="B5603" s="32" t="inlineStr">
        <is>
          <t>K3-1A</t>
        </is>
      </c>
      <c r="D5603" s="32" t="n">
        <v>14.8</v>
      </c>
      <c r="E5603" s="32" t="n">
        <v>286.537</v>
      </c>
      <c r="G5603" s="32" t="n">
        <v>19.933</v>
      </c>
      <c r="H5603" s="32" t="inlineStr">
        <is>
          <t>bb</t>
        </is>
      </c>
      <c r="I5603" s="32" t="n">
        <v>286.537</v>
      </c>
      <c r="K5603" s="32" t="inlineStr">
        <is>
          <t>20250514-43</t>
        </is>
      </c>
    </row>
    <row r="5604">
      <c r="A5604" s="32" t="n">
        <v>33</v>
      </c>
      <c r="B5604" s="32" t="inlineStr">
        <is>
          <t>K3-1B</t>
        </is>
      </c>
      <c r="D5604" s="32" t="n">
        <v>14.81</v>
      </c>
      <c r="E5604" s="32" t="n">
        <v>317.157</v>
      </c>
      <c r="G5604" s="32" t="n">
        <v>25.301</v>
      </c>
      <c r="H5604" s="32" t="inlineStr">
        <is>
          <t>bb</t>
        </is>
      </c>
      <c r="I5604" s="32" t="n">
        <v>317.157</v>
      </c>
      <c r="K5604" s="32" t="inlineStr">
        <is>
          <t>20250514-44</t>
        </is>
      </c>
    </row>
    <row r="5605">
      <c r="A5605" s="32" t="n">
        <v>34</v>
      </c>
      <c r="B5605" s="32" t="inlineStr">
        <is>
          <t>K3-1C</t>
        </is>
      </c>
      <c r="D5605" s="32" t="n">
        <v>14.84</v>
      </c>
      <c r="E5605" s="32" t="n">
        <v>472.297</v>
      </c>
      <c r="G5605" s="32" t="n">
        <v>3476</v>
      </c>
      <c r="H5605" s="32" t="inlineStr">
        <is>
          <t>bb</t>
        </is>
      </c>
      <c r="I5605" s="32" t="n">
        <v>472.297</v>
      </c>
      <c r="K5605" s="32" t="inlineStr">
        <is>
          <t>20250514-45</t>
        </is>
      </c>
    </row>
    <row r="5606">
      <c r="A5606" s="32" t="n">
        <v>35</v>
      </c>
      <c r="B5606" s="32" t="inlineStr">
        <is>
          <t>K3-2A</t>
        </is>
      </c>
      <c r="D5606" s="32" t="n">
        <v>14.83</v>
      </c>
      <c r="E5606" s="32" t="n">
        <v>354.401</v>
      </c>
      <c r="G5606" s="32" t="n">
        <v>74.746</v>
      </c>
      <c r="H5606" s="32" t="inlineStr">
        <is>
          <t>bb</t>
        </is>
      </c>
      <c r="I5606" s="32" t="n">
        <v>354.401</v>
      </c>
      <c r="K5606" s="32" t="inlineStr">
        <is>
          <t>20250514-46</t>
        </is>
      </c>
    </row>
    <row r="5607">
      <c r="A5607" s="32" t="n">
        <v>36</v>
      </c>
      <c r="B5607" s="32" t="inlineStr">
        <is>
          <t>K3-2B</t>
        </is>
      </c>
      <c r="D5607" s="32" t="n">
        <v>14.86</v>
      </c>
      <c r="E5607" s="32" t="n">
        <v>603.4829999999999</v>
      </c>
      <c r="G5607" s="32" t="n">
        <v>3785</v>
      </c>
      <c r="H5607" s="32" t="inlineStr">
        <is>
          <t>bb</t>
        </is>
      </c>
      <c r="I5607" s="32" t="n">
        <v>603.4829999999999</v>
      </c>
      <c r="K5607" s="32" t="inlineStr">
        <is>
          <t>20250514-47</t>
        </is>
      </c>
    </row>
    <row r="5608">
      <c r="A5608" s="32" t="n">
        <v>37</v>
      </c>
      <c r="B5608" s="32" t="inlineStr">
        <is>
          <t>K3-2C</t>
        </is>
      </c>
      <c r="D5608" s="32" t="n">
        <v>14.86</v>
      </c>
      <c r="E5608" s="32" t="n">
        <v>180.799</v>
      </c>
      <c r="G5608" s="32" t="n">
        <v>129.497</v>
      </c>
      <c r="H5608" s="32" t="inlineStr">
        <is>
          <t>bb</t>
        </is>
      </c>
      <c r="I5608" s="32" t="n">
        <v>180.799</v>
      </c>
      <c r="K5608" s="32" t="inlineStr">
        <is>
          <t>20250514-48</t>
        </is>
      </c>
    </row>
    <row r="5609">
      <c r="A5609" s="32" t="n">
        <v>38</v>
      </c>
      <c r="B5609" s="32" t="inlineStr">
        <is>
          <t>MeOH</t>
        </is>
      </c>
      <c r="K5609" s="32" t="inlineStr">
        <is>
          <t>20250514-49</t>
        </is>
      </c>
    </row>
    <row r="5610">
      <c r="A5610" s="32" t="n">
        <v>39</v>
      </c>
      <c r="B5610" s="32" t="inlineStr">
        <is>
          <t>K3-3A</t>
        </is>
      </c>
      <c r="D5610" s="32" t="n">
        <v>14.86</v>
      </c>
      <c r="E5610" s="32" t="n">
        <v>496.833</v>
      </c>
      <c r="G5610" s="32" t="n">
        <v>2947</v>
      </c>
      <c r="H5610" s="32" t="inlineStr">
        <is>
          <t>bb</t>
        </is>
      </c>
      <c r="I5610" s="32" t="n">
        <v>496.833</v>
      </c>
      <c r="K5610" s="32" t="inlineStr">
        <is>
          <t>20250514-50</t>
        </is>
      </c>
    </row>
    <row r="5611">
      <c r="A5611" s="32" t="n">
        <v>40</v>
      </c>
      <c r="B5611" s="32" t="inlineStr">
        <is>
          <t>K3-3B</t>
        </is>
      </c>
      <c r="D5611" s="32" t="n">
        <v>14.88</v>
      </c>
      <c r="E5611" s="32" t="n">
        <v>293.632</v>
      </c>
      <c r="G5611" s="32" t="n">
        <v>12.569</v>
      </c>
      <c r="H5611" s="32" t="inlineStr">
        <is>
          <t>bb</t>
        </is>
      </c>
      <c r="I5611" s="32" t="n">
        <v>293.632</v>
      </c>
      <c r="K5611" s="32" t="inlineStr">
        <is>
          <t>20250514-51</t>
        </is>
      </c>
    </row>
    <row r="5612">
      <c r="A5612" s="32" t="n">
        <v>41</v>
      </c>
      <c r="B5612" s="32" t="inlineStr">
        <is>
          <t>K3-3C</t>
        </is>
      </c>
      <c r="D5612" s="32" t="n">
        <v>14.88</v>
      </c>
      <c r="E5612" s="32" t="n">
        <v>145.647</v>
      </c>
      <c r="G5612" s="32" t="n">
        <v>16.911</v>
      </c>
      <c r="H5612" s="32" t="inlineStr">
        <is>
          <t>bb</t>
        </is>
      </c>
      <c r="I5612" s="32" t="n">
        <v>145.647</v>
      </c>
      <c r="K5612" s="32" t="inlineStr">
        <is>
          <t>20250514-52</t>
        </is>
      </c>
    </row>
    <row r="5613">
      <c r="A5613" s="32" t="n">
        <v>42</v>
      </c>
      <c r="B5613" s="32" t="inlineStr">
        <is>
          <t>K3-4A</t>
        </is>
      </c>
      <c r="D5613" s="32" t="n">
        <v>14.92</v>
      </c>
      <c r="E5613" s="32" t="n">
        <v>324.969</v>
      </c>
      <c r="G5613" s="32" t="n">
        <v>2268</v>
      </c>
      <c r="H5613" s="32" t="inlineStr">
        <is>
          <t>bb</t>
        </is>
      </c>
      <c r="I5613" s="32" t="n">
        <v>324.969</v>
      </c>
      <c r="K5613" s="32" t="inlineStr">
        <is>
          <t>20250514-53</t>
        </is>
      </c>
    </row>
    <row r="5614">
      <c r="A5614" s="32" t="n">
        <v>43</v>
      </c>
      <c r="B5614" s="32" t="inlineStr">
        <is>
          <t>K3-4B</t>
        </is>
      </c>
      <c r="D5614" s="32" t="n">
        <v>14.91</v>
      </c>
      <c r="E5614" s="32" t="n">
        <v>334.376</v>
      </c>
      <c r="G5614" s="32" t="n">
        <v>2298</v>
      </c>
      <c r="H5614" s="32" t="inlineStr">
        <is>
          <t>bb</t>
        </is>
      </c>
      <c r="I5614" s="32" t="n">
        <v>334.376</v>
      </c>
      <c r="K5614" s="32" t="inlineStr">
        <is>
          <t>20250514-54</t>
        </is>
      </c>
    </row>
    <row r="5615">
      <c r="A5615" s="32" t="n">
        <v>44</v>
      </c>
      <c r="B5615" s="32" t="inlineStr">
        <is>
          <t>K3-4C</t>
        </is>
      </c>
      <c r="D5615" s="32" t="n">
        <v>14.94</v>
      </c>
      <c r="E5615" s="32" t="n">
        <v>352.862</v>
      </c>
      <c r="G5615" s="32" t="n">
        <v>2649</v>
      </c>
      <c r="H5615" s="32" t="inlineStr">
        <is>
          <t>bb</t>
        </is>
      </c>
      <c r="I5615" s="32" t="n">
        <v>352.862</v>
      </c>
      <c r="K5615" s="32" t="inlineStr">
        <is>
          <t>20250514-55</t>
        </is>
      </c>
    </row>
    <row r="5616">
      <c r="A5616" s="32" t="n">
        <v>45</v>
      </c>
      <c r="B5616" s="32" t="inlineStr">
        <is>
          <t>MeOH</t>
        </is>
      </c>
      <c r="K5616" s="32" t="inlineStr">
        <is>
          <t>20250514-56</t>
        </is>
      </c>
    </row>
    <row r="5617">
      <c r="A5617" s="32" t="n">
        <v>46</v>
      </c>
      <c r="B5617" s="32" t="inlineStr">
        <is>
          <t>K3-6A</t>
        </is>
      </c>
      <c r="D5617" s="32" t="n">
        <v>14.96</v>
      </c>
      <c r="E5617" s="32" t="n">
        <v>220.077</v>
      </c>
      <c r="G5617" s="32" t="n">
        <v>1369</v>
      </c>
      <c r="H5617" s="32" t="inlineStr">
        <is>
          <t>bb</t>
        </is>
      </c>
      <c r="I5617" s="32" t="n">
        <v>220.077</v>
      </c>
      <c r="K5617" s="32" t="inlineStr">
        <is>
          <t>20250514-57</t>
        </is>
      </c>
    </row>
    <row r="5618">
      <c r="A5618" s="32" t="n">
        <v>47</v>
      </c>
      <c r="B5618" s="32" t="inlineStr">
        <is>
          <t>K3-6B</t>
        </is>
      </c>
      <c r="D5618" s="32" t="n">
        <v>14.92</v>
      </c>
      <c r="E5618" s="32" t="n">
        <v>65.09699999999999</v>
      </c>
      <c r="G5618" s="32" t="n">
        <v>26.758</v>
      </c>
      <c r="H5618" s="32" t="inlineStr">
        <is>
          <t>bb</t>
        </is>
      </c>
      <c r="I5618" s="32" t="n">
        <v>65.09699999999999</v>
      </c>
      <c r="K5618" s="32" t="inlineStr">
        <is>
          <t>20250514-58</t>
        </is>
      </c>
    </row>
    <row r="5619">
      <c r="A5619" s="32" t="n">
        <v>48</v>
      </c>
      <c r="B5619" s="32" t="inlineStr">
        <is>
          <t>K3-6C</t>
        </is>
      </c>
      <c r="D5619" s="32" t="n">
        <v>14.92</v>
      </c>
      <c r="E5619" s="32" t="n">
        <v>322.026</v>
      </c>
      <c r="G5619" s="32" t="n">
        <v>9.151999999999999</v>
      </c>
      <c r="H5619" s="32" t="inlineStr">
        <is>
          <t>bb</t>
        </is>
      </c>
      <c r="I5619" s="32" t="n">
        <v>322.026</v>
      </c>
      <c r="K5619" s="32" t="inlineStr">
        <is>
          <t>20250514-59</t>
        </is>
      </c>
    </row>
    <row r="5621">
      <c r="A5621" s="32" t="inlineStr">
        <is>
          <t>Compound 109:  N-MeFOSAA 1</t>
        </is>
      </c>
    </row>
    <row r="5623">
      <c r="B5623" s="32" t="inlineStr">
        <is>
          <t>Sample Text</t>
        </is>
      </c>
      <c r="C5623" s="32" t="inlineStr">
        <is>
          <t>Std. Conc</t>
        </is>
      </c>
      <c r="D5623" s="32" t="inlineStr">
        <is>
          <t>RT</t>
        </is>
      </c>
      <c r="E5623" s="32" t="inlineStr">
        <is>
          <t>Area</t>
        </is>
      </c>
      <c r="F5623" s="32" t="inlineStr">
        <is>
          <t>IS Area</t>
        </is>
      </c>
      <c r="G5623" s="32" t="inlineStr">
        <is>
          <t>S/N</t>
        </is>
      </c>
      <c r="H5623" s="32" t="inlineStr">
        <is>
          <t>Primary Flags</t>
        </is>
      </c>
      <c r="I5623" s="32" t="inlineStr">
        <is>
          <t>Response</t>
        </is>
      </c>
      <c r="J5623" s="32" t="inlineStr">
        <is>
          <t>Conc.</t>
        </is>
      </c>
      <c r="K5623" s="32" t="inlineStr">
        <is>
          <t>Name</t>
        </is>
      </c>
    </row>
    <row r="5624">
      <c r="A5624" s="32" t="n">
        <v>1</v>
      </c>
      <c r="B5624" s="32" t="inlineStr">
        <is>
          <t>EPA1633 &amp; diPAPs Calibration 0 ppb</t>
        </is>
      </c>
      <c r="D5624" s="32" t="n">
        <v>14.43</v>
      </c>
      <c r="E5624" s="32" t="n">
        <v>231.505</v>
      </c>
      <c r="F5624" s="32" t="n">
        <v>66948.406</v>
      </c>
      <c r="G5624" s="32" t="n">
        <v>3.649</v>
      </c>
      <c r="H5624" s="32" t="inlineStr">
        <is>
          <t>bb</t>
        </is>
      </c>
      <c r="K5624" s="32" t="inlineStr">
        <is>
          <t>20250514-12</t>
        </is>
      </c>
    </row>
    <row r="5625">
      <c r="A5625" s="32" t="n">
        <v>2</v>
      </c>
      <c r="B5625" s="32" t="inlineStr">
        <is>
          <t>EPA1633 &amp; diPAPs Calibration 0.02 ppb</t>
        </is>
      </c>
      <c r="D5625" s="32" t="n">
        <v>14.46</v>
      </c>
      <c r="E5625" s="32" t="n">
        <v>473.921</v>
      </c>
      <c r="F5625" s="32" t="n">
        <v>59700.34</v>
      </c>
      <c r="G5625" s="32" t="n">
        <v>2.673</v>
      </c>
      <c r="H5625" s="32" t="inlineStr">
        <is>
          <t>bb</t>
        </is>
      </c>
      <c r="K5625" s="32" t="inlineStr">
        <is>
          <t>20250514-13</t>
        </is>
      </c>
    </row>
    <row r="5626">
      <c r="A5626" s="32" t="n">
        <v>3</v>
      </c>
      <c r="B5626" s="32" t="inlineStr">
        <is>
          <t>EPA1633 &amp; diPAPs Calibration 0.1 ppb</t>
        </is>
      </c>
      <c r="D5626" s="32" t="n">
        <v>14.46</v>
      </c>
      <c r="E5626" s="32" t="n">
        <v>977.3819999999999</v>
      </c>
      <c r="F5626" s="32" t="n">
        <v>61532.309</v>
      </c>
      <c r="G5626" s="32" t="n">
        <v>58.621</v>
      </c>
      <c r="H5626" s="32" t="inlineStr">
        <is>
          <t>bb</t>
        </is>
      </c>
      <c r="K5626" s="32" t="inlineStr">
        <is>
          <t>20250514-14</t>
        </is>
      </c>
    </row>
    <row r="5627">
      <c r="A5627" s="32" t="n">
        <v>4</v>
      </c>
      <c r="B5627" s="32" t="inlineStr">
        <is>
          <t>EPA1633 &amp; diPAPs Calibration 0.4 ppb</t>
        </is>
      </c>
      <c r="D5627" s="32" t="n">
        <v>14.48</v>
      </c>
      <c r="E5627" s="32" t="n">
        <v>2410.224</v>
      </c>
      <c r="F5627" s="32" t="n">
        <v>55660.844</v>
      </c>
      <c r="G5627" s="32" t="n">
        <v>65.294</v>
      </c>
      <c r="H5627" s="32" t="inlineStr">
        <is>
          <t>bb</t>
        </is>
      </c>
      <c r="K5627" s="32" t="inlineStr">
        <is>
          <t>20250514-15</t>
        </is>
      </c>
    </row>
    <row r="5628">
      <c r="A5628" s="32" t="n">
        <v>5</v>
      </c>
      <c r="B5628" s="32" t="inlineStr">
        <is>
          <t>EPA1633 &amp; diPAPs Calibration 1 ppb</t>
        </is>
      </c>
      <c r="D5628" s="32" t="n">
        <v>14.48</v>
      </c>
      <c r="E5628" s="32" t="n">
        <v>4640.723</v>
      </c>
      <c r="F5628" s="32" t="n">
        <v>65274.496</v>
      </c>
      <c r="G5628" s="32" t="n">
        <v>252.238</v>
      </c>
      <c r="H5628" s="32" t="inlineStr">
        <is>
          <t>MM</t>
        </is>
      </c>
      <c r="K5628" s="32" t="inlineStr">
        <is>
          <t>20250514-16</t>
        </is>
      </c>
    </row>
    <row r="5629">
      <c r="A5629" s="32" t="n">
        <v>6</v>
      </c>
      <c r="B5629" s="32" t="inlineStr">
        <is>
          <t>EPA1633 &amp; diPAPs Calibration 5 ppb</t>
        </is>
      </c>
      <c r="D5629" s="32" t="n">
        <v>14.42</v>
      </c>
      <c r="E5629" s="32" t="n">
        <v>19810.25</v>
      </c>
      <c r="F5629" s="32" t="n">
        <v>54658.043</v>
      </c>
      <c r="G5629" s="32" t="n">
        <v>127553</v>
      </c>
      <c r="H5629" s="32" t="inlineStr">
        <is>
          <t>MM</t>
        </is>
      </c>
      <c r="K5629" s="32" t="inlineStr">
        <is>
          <t>20250514-17</t>
        </is>
      </c>
    </row>
    <row r="5630">
      <c r="A5630" s="32" t="n">
        <v>7</v>
      </c>
      <c r="B5630" s="32" t="inlineStr">
        <is>
          <t>EPA1633 &amp; diPAPs Calibration 10 ppb</t>
        </is>
      </c>
      <c r="D5630" s="32" t="n">
        <v>14.43</v>
      </c>
      <c r="E5630" s="32" t="n">
        <v>37447.258</v>
      </c>
      <c r="F5630" s="32" t="n">
        <v>43532.867</v>
      </c>
      <c r="G5630" s="32" t="n">
        <v>267.381</v>
      </c>
      <c r="H5630" s="32" t="inlineStr">
        <is>
          <t>MM</t>
        </is>
      </c>
      <c r="K5630" s="32" t="inlineStr">
        <is>
          <t>20250514-18</t>
        </is>
      </c>
    </row>
    <row r="5631">
      <c r="A5631" s="32" t="n">
        <v>8</v>
      </c>
      <c r="B5631" s="32" t="inlineStr">
        <is>
          <t>EPA1633 &amp; diPAPs Calibration 20 ppb</t>
        </is>
      </c>
      <c r="D5631" s="32" t="n">
        <v>14.45</v>
      </c>
      <c r="E5631" s="32" t="n">
        <v>75252.55499999999</v>
      </c>
      <c r="F5631" s="32" t="n">
        <v>49701.246</v>
      </c>
      <c r="G5631" s="32" t="n">
        <v>1410.476</v>
      </c>
      <c r="H5631" s="32" t="inlineStr">
        <is>
          <t>MM</t>
        </is>
      </c>
      <c r="K5631" s="32" t="inlineStr">
        <is>
          <t>20250514-19</t>
        </is>
      </c>
    </row>
    <row r="5632">
      <c r="A5632" s="32" t="n">
        <v>9</v>
      </c>
      <c r="B5632" s="32" t="inlineStr">
        <is>
          <t>MeOH</t>
        </is>
      </c>
      <c r="D5632" s="32" t="n">
        <v>14.45</v>
      </c>
      <c r="E5632" s="32" t="n">
        <v>72.495</v>
      </c>
      <c r="F5632" s="32" t="n">
        <v>47.897</v>
      </c>
      <c r="G5632" s="32" t="n">
        <v>16.535</v>
      </c>
      <c r="H5632" s="32" t="inlineStr">
        <is>
          <t>bb</t>
        </is>
      </c>
      <c r="K5632" s="32" t="inlineStr">
        <is>
          <t>20250514-20</t>
        </is>
      </c>
    </row>
    <row r="5633">
      <c r="A5633" s="32" t="n">
        <v>10</v>
      </c>
      <c r="B5633" s="32" t="inlineStr">
        <is>
          <t>MeOH</t>
        </is>
      </c>
      <c r="D5633" s="32" t="n">
        <v>14.48</v>
      </c>
      <c r="E5633" s="32" t="n">
        <v>42.525</v>
      </c>
      <c r="F5633" s="32" t="n">
        <v>20.298</v>
      </c>
      <c r="G5633" s="32" t="n">
        <v>349</v>
      </c>
      <c r="H5633" s="32" t="inlineStr">
        <is>
          <t>bb</t>
        </is>
      </c>
      <c r="K5633" s="32" t="inlineStr">
        <is>
          <t>20250514-21</t>
        </is>
      </c>
    </row>
    <row r="5634">
      <c r="A5634" s="32" t="n">
        <v>11</v>
      </c>
      <c r="B5634" s="32" t="inlineStr">
        <is>
          <t>SB1</t>
        </is>
      </c>
      <c r="D5634" s="32" t="n">
        <v>14.46</v>
      </c>
      <c r="E5634" s="32" t="n">
        <v>2.35</v>
      </c>
      <c r="F5634" s="32" t="n">
        <v>22850.369</v>
      </c>
      <c r="G5634" s="32" t="n">
        <v>22</v>
      </c>
      <c r="H5634" s="32" t="inlineStr">
        <is>
          <t>bb</t>
        </is>
      </c>
      <c r="K5634" s="32" t="inlineStr">
        <is>
          <t>20250514-22</t>
        </is>
      </c>
    </row>
    <row r="5635">
      <c r="A5635" s="32" t="n">
        <v>12</v>
      </c>
      <c r="B5635" s="32" t="inlineStr">
        <is>
          <t>SB2</t>
        </is>
      </c>
      <c r="F5635" s="32" t="n">
        <v>22397.273</v>
      </c>
      <c r="K5635" s="32" t="inlineStr">
        <is>
          <t>20250514-23</t>
        </is>
      </c>
    </row>
    <row r="5636">
      <c r="A5636" s="32" t="n">
        <v>13</v>
      </c>
      <c r="B5636" s="32" t="inlineStr">
        <is>
          <t>SB3</t>
        </is>
      </c>
      <c r="D5636" s="32" t="n">
        <v>15.57</v>
      </c>
      <c r="E5636" s="32" t="n">
        <v>6.033</v>
      </c>
      <c r="F5636" s="32" t="n">
        <v>20408.439</v>
      </c>
      <c r="G5636" s="32" t="n">
        <v>53</v>
      </c>
      <c r="H5636" s="32" t="inlineStr">
        <is>
          <t>MM</t>
        </is>
      </c>
      <c r="K5636" s="32" t="inlineStr">
        <is>
          <t>20250514-24</t>
        </is>
      </c>
    </row>
    <row r="5637">
      <c r="A5637" s="32" t="n">
        <v>14</v>
      </c>
      <c r="B5637" s="32" t="inlineStr">
        <is>
          <t>SS1</t>
        </is>
      </c>
      <c r="D5637" s="32" t="n">
        <v>14.51</v>
      </c>
      <c r="E5637" s="32" t="n">
        <v>13326.649</v>
      </c>
      <c r="F5637" s="32" t="n">
        <v>20513.979</v>
      </c>
      <c r="G5637" s="32" t="n">
        <v>117.012</v>
      </c>
      <c r="H5637" s="32" t="inlineStr">
        <is>
          <t>MM</t>
        </is>
      </c>
      <c r="K5637" s="32" t="inlineStr">
        <is>
          <t>20250514-25</t>
        </is>
      </c>
    </row>
    <row r="5638">
      <c r="A5638" s="32" t="n">
        <v>15</v>
      </c>
      <c r="B5638" s="32" t="inlineStr">
        <is>
          <t>SS2</t>
        </is>
      </c>
      <c r="D5638" s="32" t="n">
        <v>14.52</v>
      </c>
      <c r="E5638" s="32" t="n">
        <v>13806.098</v>
      </c>
      <c r="F5638" s="32" t="n">
        <v>22867.717</v>
      </c>
      <c r="G5638" s="32" t="n">
        <v>170.337</v>
      </c>
      <c r="H5638" s="32" t="inlineStr">
        <is>
          <t>MM</t>
        </is>
      </c>
      <c r="K5638" s="32" t="inlineStr">
        <is>
          <t>20250514-26</t>
        </is>
      </c>
    </row>
    <row r="5639">
      <c r="A5639" s="32" t="n">
        <v>16</v>
      </c>
      <c r="B5639" s="32" t="inlineStr">
        <is>
          <t>SS3</t>
        </is>
      </c>
      <c r="D5639" s="32" t="n">
        <v>14.54</v>
      </c>
      <c r="E5639" s="32" t="n">
        <v>13699.598</v>
      </c>
      <c r="F5639" s="32" t="n">
        <v>20747.598</v>
      </c>
      <c r="G5639" s="32" t="n">
        <v>264.673</v>
      </c>
      <c r="H5639" s="32" t="inlineStr">
        <is>
          <t>MM</t>
        </is>
      </c>
      <c r="K5639" s="32" t="inlineStr">
        <is>
          <t>20250514-27</t>
        </is>
      </c>
    </row>
    <row r="5640">
      <c r="A5640" s="32" t="n">
        <v>17</v>
      </c>
      <c r="B5640" s="32" t="inlineStr">
        <is>
          <t>MeOH</t>
        </is>
      </c>
      <c r="D5640" s="32" t="n">
        <v>14.51</v>
      </c>
      <c r="E5640" s="32" t="n">
        <v>40.327</v>
      </c>
      <c r="F5640" s="32" t="n">
        <v>31.674</v>
      </c>
      <c r="G5640" s="32" t="n">
        <v>312</v>
      </c>
      <c r="H5640" s="32" t="inlineStr">
        <is>
          <t>bb</t>
        </is>
      </c>
      <c r="K5640" s="32" t="inlineStr">
        <is>
          <t>20250514-28</t>
        </is>
      </c>
    </row>
    <row r="5641">
      <c r="A5641" s="32" t="n">
        <v>18</v>
      </c>
      <c r="B5641" s="32" t="inlineStr">
        <is>
          <t>K4-1A</t>
        </is>
      </c>
      <c r="D5641" s="32" t="n">
        <v>13.66</v>
      </c>
      <c r="E5641" s="32" t="n">
        <v>3.061</v>
      </c>
      <c r="F5641" s="32" t="n">
        <v>25781.148</v>
      </c>
      <c r="G5641" s="32" t="n">
        <v>31</v>
      </c>
      <c r="H5641" s="32" t="inlineStr">
        <is>
          <t>MM</t>
        </is>
      </c>
      <c r="K5641" s="32" t="inlineStr">
        <is>
          <t>20250514-29</t>
        </is>
      </c>
    </row>
    <row r="5642">
      <c r="A5642" s="32" t="n">
        <v>19</v>
      </c>
      <c r="B5642" s="32" t="inlineStr">
        <is>
          <t>K4-1B</t>
        </is>
      </c>
      <c r="F5642" s="32" t="n">
        <v>24498.238</v>
      </c>
      <c r="K5642" s="32" t="inlineStr">
        <is>
          <t>20250514-30</t>
        </is>
      </c>
    </row>
    <row r="5643">
      <c r="A5643" s="32" t="n">
        <v>20</v>
      </c>
      <c r="B5643" s="32" t="inlineStr">
        <is>
          <t>K4-1C</t>
        </is>
      </c>
      <c r="F5643" s="32" t="n">
        <v>25078.18</v>
      </c>
      <c r="K5643" s="32" t="inlineStr">
        <is>
          <t>20250514-31</t>
        </is>
      </c>
    </row>
    <row r="5644">
      <c r="A5644" s="32" t="n">
        <v>21</v>
      </c>
      <c r="B5644" s="32" t="inlineStr">
        <is>
          <t>K4-2A</t>
        </is>
      </c>
      <c r="F5644" s="32" t="n">
        <v>26329.213</v>
      </c>
      <c r="K5644" s="32" t="inlineStr">
        <is>
          <t>20250514-32</t>
        </is>
      </c>
    </row>
    <row r="5645">
      <c r="A5645" s="32" t="n">
        <v>22</v>
      </c>
      <c r="B5645" s="32" t="inlineStr">
        <is>
          <t>K4-2B</t>
        </is>
      </c>
      <c r="D5645" s="32" t="n">
        <v>15.28</v>
      </c>
      <c r="E5645" s="32" t="n">
        <v>0.431</v>
      </c>
      <c r="F5645" s="32" t="n">
        <v>23001.746</v>
      </c>
      <c r="G5645" s="32" t="n">
        <v>4</v>
      </c>
      <c r="H5645" s="32" t="inlineStr">
        <is>
          <t>MM</t>
        </is>
      </c>
      <c r="K5645" s="32" t="inlineStr">
        <is>
          <t>20250514-33</t>
        </is>
      </c>
    </row>
    <row r="5646">
      <c r="A5646" s="32" t="n">
        <v>23</v>
      </c>
      <c r="B5646" s="32" t="inlineStr">
        <is>
          <t>K4-2C</t>
        </is>
      </c>
      <c r="D5646" s="32" t="n">
        <v>12.95</v>
      </c>
      <c r="E5646" s="32" t="n">
        <v>1.387</v>
      </c>
      <c r="F5646" s="32" t="n">
        <v>20754.352</v>
      </c>
      <c r="G5646" s="32" t="n">
        <v>13</v>
      </c>
      <c r="H5646" s="32" t="inlineStr">
        <is>
          <t>MM</t>
        </is>
      </c>
      <c r="K5646" s="32" t="inlineStr">
        <is>
          <t>20250514-34</t>
        </is>
      </c>
    </row>
    <row r="5647">
      <c r="A5647" s="32" t="n">
        <v>24</v>
      </c>
      <c r="B5647" s="32" t="inlineStr">
        <is>
          <t>MeOH</t>
        </is>
      </c>
      <c r="D5647" s="32" t="n">
        <v>14.54</v>
      </c>
      <c r="E5647" s="32" t="n">
        <v>192.173</v>
      </c>
      <c r="G5647" s="32" t="n">
        <v>2.365</v>
      </c>
      <c r="H5647" s="32" t="inlineStr">
        <is>
          <t>bb</t>
        </is>
      </c>
      <c r="K5647" s="32" t="inlineStr">
        <is>
          <t>20250514-35</t>
        </is>
      </c>
    </row>
    <row r="5648">
      <c r="A5648" s="32" t="n">
        <v>25</v>
      </c>
      <c r="B5648" s="32" t="inlineStr">
        <is>
          <t>K4-4A</t>
        </is>
      </c>
      <c r="F5648" s="32" t="n">
        <v>26876.785</v>
      </c>
      <c r="K5648" s="32" t="inlineStr">
        <is>
          <t>20250514-36</t>
        </is>
      </c>
    </row>
    <row r="5649">
      <c r="A5649" s="32" t="n">
        <v>26</v>
      </c>
      <c r="B5649" s="32" t="inlineStr">
        <is>
          <t>K4-4B</t>
        </is>
      </c>
      <c r="D5649" s="32" t="n">
        <v>12.53</v>
      </c>
      <c r="E5649" s="32" t="n">
        <v>18.514</v>
      </c>
      <c r="F5649" s="32" t="n">
        <v>26592.869</v>
      </c>
      <c r="G5649" s="32" t="n">
        <v>178</v>
      </c>
      <c r="H5649" s="32" t="inlineStr">
        <is>
          <t>MM</t>
        </is>
      </c>
      <c r="K5649" s="32" t="inlineStr">
        <is>
          <t>20250514-37</t>
        </is>
      </c>
    </row>
    <row r="5650">
      <c r="A5650" s="32" t="n">
        <v>27</v>
      </c>
      <c r="B5650" s="32" t="inlineStr">
        <is>
          <t>K4-4C</t>
        </is>
      </c>
      <c r="F5650" s="32" t="n">
        <v>27348.488</v>
      </c>
      <c r="K5650" s="32" t="inlineStr">
        <is>
          <t>20250514-38</t>
        </is>
      </c>
    </row>
    <row r="5651">
      <c r="A5651" s="32" t="n">
        <v>28</v>
      </c>
      <c r="B5651" s="32" t="inlineStr">
        <is>
          <t>K4-5A</t>
        </is>
      </c>
      <c r="D5651" s="32" t="n">
        <v>15.71</v>
      </c>
      <c r="E5651" s="32" t="n">
        <v>3.508</v>
      </c>
      <c r="F5651" s="32" t="n">
        <v>24556.311</v>
      </c>
      <c r="G5651" s="32" t="n">
        <v>29</v>
      </c>
      <c r="H5651" s="32" t="inlineStr">
        <is>
          <t>MM</t>
        </is>
      </c>
      <c r="K5651" s="32" t="inlineStr">
        <is>
          <t>20250514-39</t>
        </is>
      </c>
    </row>
    <row r="5652">
      <c r="A5652" s="32" t="n">
        <v>29</v>
      </c>
      <c r="B5652" s="32" t="inlineStr">
        <is>
          <t>K4-5B</t>
        </is>
      </c>
      <c r="D5652" s="32" t="n">
        <v>15.66</v>
      </c>
      <c r="E5652" s="32" t="n">
        <v>28.093</v>
      </c>
      <c r="F5652" s="32" t="n">
        <v>25471.133</v>
      </c>
      <c r="G5652" s="32" t="n">
        <v>238</v>
      </c>
      <c r="H5652" s="32" t="inlineStr">
        <is>
          <t>MM</t>
        </is>
      </c>
      <c r="K5652" s="32" t="inlineStr">
        <is>
          <t>20250514-40</t>
        </is>
      </c>
    </row>
    <row r="5653">
      <c r="A5653" s="32" t="n">
        <v>30</v>
      </c>
      <c r="B5653" s="32" t="inlineStr">
        <is>
          <t>K4-5C</t>
        </is>
      </c>
      <c r="F5653" s="32" t="n">
        <v>25624.244</v>
      </c>
      <c r="K5653" s="32" t="inlineStr">
        <is>
          <t>20250514-41</t>
        </is>
      </c>
    </row>
    <row r="5654">
      <c r="A5654" s="32" t="n">
        <v>31</v>
      </c>
      <c r="B5654" s="32" t="inlineStr">
        <is>
          <t>MeOH</t>
        </is>
      </c>
      <c r="D5654" s="32" t="n">
        <v>14.48</v>
      </c>
      <c r="E5654" s="32" t="n">
        <v>63.625</v>
      </c>
      <c r="F5654" s="32" t="n">
        <v>195.059</v>
      </c>
      <c r="G5654" s="32" t="n">
        <v>445</v>
      </c>
      <c r="H5654" s="32" t="inlineStr">
        <is>
          <t>bb</t>
        </is>
      </c>
      <c r="K5654" s="32" t="inlineStr">
        <is>
          <t>20250514-42</t>
        </is>
      </c>
    </row>
    <row r="5655">
      <c r="A5655" s="32" t="n">
        <v>32</v>
      </c>
      <c r="B5655" s="32" t="inlineStr">
        <is>
          <t>K3-1A</t>
        </is>
      </c>
      <c r="D5655" s="32" t="n">
        <v>15.51</v>
      </c>
      <c r="E5655" s="32" t="n">
        <v>7.348</v>
      </c>
      <c r="F5655" s="32" t="n">
        <v>27430.15</v>
      </c>
      <c r="G5655" s="32" t="n">
        <v>63</v>
      </c>
      <c r="H5655" s="32" t="inlineStr">
        <is>
          <t>MM</t>
        </is>
      </c>
      <c r="K5655" s="32" t="inlineStr">
        <is>
          <t>20250514-43</t>
        </is>
      </c>
    </row>
    <row r="5656">
      <c r="A5656" s="32" t="n">
        <v>33</v>
      </c>
      <c r="B5656" s="32" t="inlineStr">
        <is>
          <t>K3-1B</t>
        </is>
      </c>
      <c r="D5656" s="32" t="n">
        <v>14.51</v>
      </c>
      <c r="E5656" s="32" t="n">
        <v>13.761</v>
      </c>
      <c r="F5656" s="32" t="n">
        <v>23993.336</v>
      </c>
      <c r="G5656" s="32" t="n">
        <v>125</v>
      </c>
      <c r="H5656" s="32" t="inlineStr">
        <is>
          <t>bb</t>
        </is>
      </c>
      <c r="K5656" s="32" t="inlineStr">
        <is>
          <t>20250514-44</t>
        </is>
      </c>
    </row>
    <row r="5657">
      <c r="A5657" s="32" t="n">
        <v>34</v>
      </c>
      <c r="B5657" s="32" t="inlineStr">
        <is>
          <t>K3-1C</t>
        </is>
      </c>
      <c r="F5657" s="32" t="n">
        <v>32579.355</v>
      </c>
      <c r="K5657" s="32" t="inlineStr">
        <is>
          <t>20250514-45</t>
        </is>
      </c>
    </row>
    <row r="5658">
      <c r="A5658" s="32" t="n">
        <v>35</v>
      </c>
      <c r="B5658" s="32" t="inlineStr">
        <is>
          <t>K3-2A</t>
        </is>
      </c>
      <c r="D5658" s="32" t="n">
        <v>14.52</v>
      </c>
      <c r="E5658" s="32" t="n">
        <v>0.914</v>
      </c>
      <c r="F5658" s="32" t="n">
        <v>32450.516</v>
      </c>
      <c r="G5658" s="32" t="n">
        <v>8</v>
      </c>
      <c r="H5658" s="32" t="inlineStr">
        <is>
          <t>bb</t>
        </is>
      </c>
      <c r="K5658" s="32" t="inlineStr">
        <is>
          <t>20250514-46</t>
        </is>
      </c>
    </row>
    <row r="5659">
      <c r="A5659" s="32" t="n">
        <v>36</v>
      </c>
      <c r="B5659" s="32" t="inlineStr">
        <is>
          <t>K3-2B</t>
        </is>
      </c>
      <c r="D5659" s="32" t="n">
        <v>15.61</v>
      </c>
      <c r="E5659" s="32" t="n">
        <v>37.904</v>
      </c>
      <c r="F5659" s="32" t="n">
        <v>35748.871</v>
      </c>
      <c r="G5659" s="32" t="n">
        <v>2.43</v>
      </c>
      <c r="H5659" s="32" t="inlineStr">
        <is>
          <t>MM</t>
        </is>
      </c>
      <c r="K5659" s="32" t="inlineStr">
        <is>
          <t>20250514-47</t>
        </is>
      </c>
    </row>
    <row r="5660">
      <c r="A5660" s="32" t="n">
        <v>37</v>
      </c>
      <c r="B5660" s="32" t="inlineStr">
        <is>
          <t>K3-2C</t>
        </is>
      </c>
      <c r="F5660" s="32" t="n">
        <v>28929.938</v>
      </c>
      <c r="K5660" s="32" t="inlineStr">
        <is>
          <t>20250514-48</t>
        </is>
      </c>
    </row>
    <row r="5661">
      <c r="A5661" s="32" t="n">
        <v>38</v>
      </c>
      <c r="B5661" s="32" t="inlineStr">
        <is>
          <t>MeOH</t>
        </is>
      </c>
      <c r="F5661" s="32" t="n">
        <v>177.916</v>
      </c>
      <c r="K5661" s="32" t="inlineStr">
        <is>
          <t>20250514-49</t>
        </is>
      </c>
    </row>
    <row r="5662">
      <c r="A5662" s="32" t="n">
        <v>39</v>
      </c>
      <c r="B5662" s="32" t="inlineStr">
        <is>
          <t>K3-3A</t>
        </is>
      </c>
      <c r="D5662" s="32" t="n">
        <v>12.69</v>
      </c>
      <c r="E5662" s="32" t="n">
        <v>16.738</v>
      </c>
      <c r="F5662" s="32" t="n">
        <v>25978.053</v>
      </c>
      <c r="G5662" s="32" t="n">
        <v>162</v>
      </c>
      <c r="H5662" s="32" t="inlineStr">
        <is>
          <t>MM</t>
        </is>
      </c>
      <c r="K5662" s="32" t="inlineStr">
        <is>
          <t>20250514-50</t>
        </is>
      </c>
    </row>
    <row r="5663">
      <c r="A5663" s="32" t="n">
        <v>40</v>
      </c>
      <c r="B5663" s="32" t="inlineStr">
        <is>
          <t>K3-3B</t>
        </is>
      </c>
      <c r="D5663" s="32" t="n">
        <v>14.92</v>
      </c>
      <c r="E5663" s="32" t="n">
        <v>40.155</v>
      </c>
      <c r="F5663" s="32" t="n">
        <v>29972.719</v>
      </c>
      <c r="G5663" s="32" t="n">
        <v>337</v>
      </c>
      <c r="H5663" s="32" t="inlineStr">
        <is>
          <t>bb</t>
        </is>
      </c>
      <c r="K5663" s="32" t="inlineStr">
        <is>
          <t>20250514-51</t>
        </is>
      </c>
    </row>
    <row r="5664">
      <c r="A5664" s="32" t="n">
        <v>41</v>
      </c>
      <c r="B5664" s="32" t="inlineStr">
        <is>
          <t>K3-3C</t>
        </is>
      </c>
      <c r="F5664" s="32" t="n">
        <v>34328.914</v>
      </c>
      <c r="K5664" s="32" t="inlineStr">
        <is>
          <t>20250514-52</t>
        </is>
      </c>
    </row>
    <row r="5665">
      <c r="A5665" s="32" t="n">
        <v>42</v>
      </c>
      <c r="B5665" s="32" t="inlineStr">
        <is>
          <t>K3-4A</t>
        </is>
      </c>
      <c r="D5665" s="32" t="n">
        <v>15.62</v>
      </c>
      <c r="E5665" s="32" t="n">
        <v>12.032</v>
      </c>
      <c r="F5665" s="32" t="n">
        <v>35665.301</v>
      </c>
      <c r="G5665" s="32" t="n">
        <v>100</v>
      </c>
      <c r="H5665" s="32" t="inlineStr">
        <is>
          <t>MM</t>
        </is>
      </c>
      <c r="K5665" s="32" t="inlineStr">
        <is>
          <t>20250514-53</t>
        </is>
      </c>
    </row>
    <row r="5666">
      <c r="A5666" s="32" t="n">
        <v>43</v>
      </c>
      <c r="B5666" s="32" t="inlineStr">
        <is>
          <t>K3-4B</t>
        </is>
      </c>
      <c r="D5666" s="32" t="n">
        <v>14.54</v>
      </c>
      <c r="E5666" s="32" t="n">
        <v>18.435</v>
      </c>
      <c r="F5666" s="32" t="n">
        <v>32649.486</v>
      </c>
      <c r="G5666" s="32" t="n">
        <v>159</v>
      </c>
      <c r="H5666" s="32" t="inlineStr">
        <is>
          <t>bb</t>
        </is>
      </c>
      <c r="K5666" s="32" t="inlineStr">
        <is>
          <t>20250514-54</t>
        </is>
      </c>
    </row>
    <row r="5667">
      <c r="A5667" s="32" t="n">
        <v>44</v>
      </c>
      <c r="B5667" s="32" t="inlineStr">
        <is>
          <t>K3-4C</t>
        </is>
      </c>
      <c r="D5667" s="32" t="n">
        <v>14.66</v>
      </c>
      <c r="E5667" s="32" t="n">
        <v>25.789</v>
      </c>
      <c r="F5667" s="32" t="n">
        <v>37222.816</v>
      </c>
      <c r="G5667" s="32" t="n">
        <v>219</v>
      </c>
      <c r="H5667" s="32" t="inlineStr">
        <is>
          <t>bb</t>
        </is>
      </c>
      <c r="K5667" s="32" t="inlineStr">
        <is>
          <t>20250514-55</t>
        </is>
      </c>
    </row>
    <row r="5668">
      <c r="A5668" s="32" t="n">
        <v>45</v>
      </c>
      <c r="B5668" s="32" t="inlineStr">
        <is>
          <t>MeOH</t>
        </is>
      </c>
      <c r="F5668" s="32" t="n">
        <v>250.186</v>
      </c>
      <c r="K5668" s="32" t="inlineStr">
        <is>
          <t>20250514-56</t>
        </is>
      </c>
    </row>
    <row r="5669">
      <c r="A5669" s="32" t="n">
        <v>46</v>
      </c>
      <c r="B5669" s="32" t="inlineStr">
        <is>
          <t>K3-6A</t>
        </is>
      </c>
      <c r="D5669" s="32" t="n">
        <v>14.05</v>
      </c>
      <c r="E5669" s="32" t="n">
        <v>0.861</v>
      </c>
      <c r="F5669" s="32" t="n">
        <v>32457.338</v>
      </c>
      <c r="G5669" s="32" t="n">
        <v>8</v>
      </c>
      <c r="H5669" s="32" t="inlineStr">
        <is>
          <t>bb</t>
        </is>
      </c>
      <c r="K5669" s="32" t="inlineStr">
        <is>
          <t>20250514-57</t>
        </is>
      </c>
    </row>
    <row r="5670">
      <c r="A5670" s="32" t="n">
        <v>47</v>
      </c>
      <c r="B5670" s="32" t="inlineStr">
        <is>
          <t>K3-6B</t>
        </is>
      </c>
      <c r="D5670" s="32" t="n">
        <v>12.97</v>
      </c>
      <c r="E5670" s="32" t="n">
        <v>0.8110000000000001</v>
      </c>
      <c r="F5670" s="32" t="n">
        <v>26206.738</v>
      </c>
      <c r="G5670" s="32" t="n">
        <v>8</v>
      </c>
      <c r="H5670" s="32" t="inlineStr">
        <is>
          <t>MM</t>
        </is>
      </c>
      <c r="K5670" s="32" t="inlineStr">
        <is>
          <t>20250514-58</t>
        </is>
      </c>
    </row>
    <row r="5671">
      <c r="A5671" s="32" t="n">
        <v>48</v>
      </c>
      <c r="B5671" s="32" t="inlineStr">
        <is>
          <t>K3-6C</t>
        </is>
      </c>
      <c r="D5671" s="32" t="n">
        <v>12.77</v>
      </c>
      <c r="E5671" s="32" t="n">
        <v>1.64</v>
      </c>
      <c r="F5671" s="32" t="n">
        <v>24576.775</v>
      </c>
      <c r="G5671" s="32" t="n">
        <v>16</v>
      </c>
      <c r="H5671" s="32" t="inlineStr">
        <is>
          <t>MM</t>
        </is>
      </c>
      <c r="K5671" s="32" t="inlineStr">
        <is>
          <t>20250514-59</t>
        </is>
      </c>
    </row>
    <row r="5673">
      <c r="A5673" s="32" t="inlineStr">
        <is>
          <t>Compound 110:  N-MeFOSAA 2</t>
        </is>
      </c>
    </row>
    <row r="5675">
      <c r="B5675" s="32" t="inlineStr">
        <is>
          <t>Sample Text</t>
        </is>
      </c>
      <c r="C5675" s="32" t="inlineStr">
        <is>
          <t>Std. Conc</t>
        </is>
      </c>
      <c r="D5675" s="32" t="inlineStr">
        <is>
          <t>RT</t>
        </is>
      </c>
      <c r="E5675" s="32" t="inlineStr">
        <is>
          <t>Area</t>
        </is>
      </c>
      <c r="F5675" s="32" t="inlineStr">
        <is>
          <t>IS Area</t>
        </is>
      </c>
      <c r="G5675" s="32" t="inlineStr">
        <is>
          <t>S/N</t>
        </is>
      </c>
      <c r="H5675" s="32" t="inlineStr">
        <is>
          <t>Primary Flags</t>
        </is>
      </c>
      <c r="I5675" s="32" t="inlineStr">
        <is>
          <t>Response</t>
        </is>
      </c>
      <c r="J5675" s="32" t="inlineStr">
        <is>
          <t>Conc.</t>
        </is>
      </c>
      <c r="K5675" s="32" t="inlineStr">
        <is>
          <t>Name</t>
        </is>
      </c>
    </row>
    <row r="5676">
      <c r="A5676" s="32" t="n">
        <v>1</v>
      </c>
      <c r="B5676" s="32" t="inlineStr">
        <is>
          <t>EPA1633 &amp; diPAPs Calibration 0 ppb</t>
        </is>
      </c>
      <c r="F5676" s="32" t="n">
        <v>27552.617</v>
      </c>
      <c r="K5676" s="32" t="inlineStr">
        <is>
          <t>20250514-12</t>
        </is>
      </c>
    </row>
    <row r="5677">
      <c r="A5677" s="32" t="n">
        <v>2</v>
      </c>
      <c r="B5677" s="32" t="inlineStr">
        <is>
          <t>EPA1633 &amp; diPAPs Calibration 0.02 ppb</t>
        </is>
      </c>
      <c r="D5677" s="32" t="n">
        <v>14.45</v>
      </c>
      <c r="E5677" s="32" t="n">
        <v>139.256</v>
      </c>
      <c r="F5677" s="32" t="n">
        <v>23288.723</v>
      </c>
      <c r="G5677" s="32" t="n">
        <v>5.828</v>
      </c>
      <c r="H5677" s="32" t="inlineStr">
        <is>
          <t>bb</t>
        </is>
      </c>
      <c r="K5677" s="32" t="inlineStr">
        <is>
          <t>20250514-13</t>
        </is>
      </c>
    </row>
    <row r="5678">
      <c r="A5678" s="32" t="n">
        <v>3</v>
      </c>
      <c r="B5678" s="32" t="inlineStr">
        <is>
          <t>EPA1633 &amp; diPAPs Calibration 0.1 ppb</t>
        </is>
      </c>
      <c r="D5678" s="32" t="n">
        <v>14.51</v>
      </c>
      <c r="E5678" s="32" t="n">
        <v>34.723</v>
      </c>
      <c r="F5678" s="32" t="n">
        <v>24521.111</v>
      </c>
      <c r="G5678" s="32" t="n">
        <v>3.341</v>
      </c>
      <c r="H5678" s="32" t="inlineStr">
        <is>
          <t>bb</t>
        </is>
      </c>
      <c r="K5678" s="32" t="inlineStr">
        <is>
          <t>20250514-14</t>
        </is>
      </c>
    </row>
    <row r="5679">
      <c r="A5679" s="32" t="n">
        <v>4</v>
      </c>
      <c r="B5679" s="32" t="inlineStr">
        <is>
          <t>EPA1633 &amp; diPAPs Calibration 0.4 ppb</t>
        </is>
      </c>
      <c r="D5679" s="32" t="n">
        <v>14.46</v>
      </c>
      <c r="E5679" s="32" t="n">
        <v>535.7</v>
      </c>
      <c r="F5679" s="32" t="n">
        <v>22443.777</v>
      </c>
      <c r="G5679" s="32" t="n">
        <v>3.761</v>
      </c>
      <c r="H5679" s="32" t="inlineStr">
        <is>
          <t>bb</t>
        </is>
      </c>
      <c r="K5679" s="32" t="inlineStr">
        <is>
          <t>20250514-15</t>
        </is>
      </c>
    </row>
    <row r="5680">
      <c r="A5680" s="32" t="n">
        <v>5</v>
      </c>
      <c r="B5680" s="32" t="inlineStr">
        <is>
          <t>EPA1633 &amp; diPAPs Calibration 1 ppb</t>
        </is>
      </c>
      <c r="D5680" s="32" t="n">
        <v>14.45</v>
      </c>
      <c r="E5680" s="32" t="n">
        <v>463.473</v>
      </c>
      <c r="F5680" s="32" t="n">
        <v>25318.439</v>
      </c>
      <c r="G5680" s="32" t="n">
        <v>3.342</v>
      </c>
      <c r="H5680" s="32" t="inlineStr">
        <is>
          <t>bb</t>
        </is>
      </c>
      <c r="K5680" s="32" t="inlineStr">
        <is>
          <t>20250514-16</t>
        </is>
      </c>
    </row>
    <row r="5681">
      <c r="A5681" s="32" t="n">
        <v>6</v>
      </c>
      <c r="B5681" s="32" t="inlineStr">
        <is>
          <t>EPA1633 &amp; diPAPs Calibration 5 ppb</t>
        </is>
      </c>
      <c r="D5681" s="32" t="n">
        <v>14.42</v>
      </c>
      <c r="E5681" s="32" t="n">
        <v>2384.199</v>
      </c>
      <c r="F5681" s="32" t="n">
        <v>20607.959</v>
      </c>
      <c r="G5681" s="32" t="n">
        <v>105.943</v>
      </c>
      <c r="H5681" s="32" t="inlineStr">
        <is>
          <t>MM</t>
        </is>
      </c>
      <c r="K5681" s="32" t="inlineStr">
        <is>
          <t>20250514-17</t>
        </is>
      </c>
    </row>
    <row r="5682">
      <c r="A5682" s="32" t="n">
        <v>7</v>
      </c>
      <c r="B5682" s="32" t="inlineStr">
        <is>
          <t>EPA1633 &amp; diPAPs Calibration 10 ppb</t>
        </is>
      </c>
      <c r="D5682" s="32" t="n">
        <v>14.42</v>
      </c>
      <c r="E5682" s="32" t="n">
        <v>4052.128</v>
      </c>
      <c r="F5682" s="32" t="n">
        <v>17506.748</v>
      </c>
      <c r="G5682" s="32" t="n">
        <v>21.227</v>
      </c>
      <c r="H5682" s="32" t="inlineStr">
        <is>
          <t>MM</t>
        </is>
      </c>
      <c r="K5682" s="32" t="inlineStr">
        <is>
          <t>20250514-18</t>
        </is>
      </c>
    </row>
    <row r="5683">
      <c r="A5683" s="32" t="n">
        <v>8</v>
      </c>
      <c r="B5683" s="32" t="inlineStr">
        <is>
          <t>EPA1633 &amp; diPAPs Calibration 20 ppb</t>
        </is>
      </c>
      <c r="D5683" s="32" t="n">
        <v>14.45</v>
      </c>
      <c r="E5683" s="32" t="n">
        <v>10567.361</v>
      </c>
      <c r="F5683" s="32" t="n">
        <v>19765.049</v>
      </c>
      <c r="G5683" s="32" t="n">
        <v>204.126</v>
      </c>
      <c r="H5683" s="32" t="inlineStr">
        <is>
          <t>MM</t>
        </is>
      </c>
      <c r="K5683" s="32" t="inlineStr">
        <is>
          <t>20250514-19</t>
        </is>
      </c>
    </row>
    <row r="5684">
      <c r="A5684" s="32" t="n">
        <v>9</v>
      </c>
      <c r="B5684" s="32" t="inlineStr">
        <is>
          <t>MeOH</t>
        </is>
      </c>
      <c r="F5684" s="32" t="n">
        <v>66.075</v>
      </c>
      <c r="K5684" s="32" t="inlineStr">
        <is>
          <t>20250514-20</t>
        </is>
      </c>
    </row>
    <row r="5685">
      <c r="A5685" s="32" t="n">
        <v>10</v>
      </c>
      <c r="B5685" s="32" t="inlineStr">
        <is>
          <t>MeOH</t>
        </is>
      </c>
      <c r="F5685" s="32" t="n">
        <v>183.957</v>
      </c>
      <c r="K5685" s="32" t="inlineStr">
        <is>
          <t>20250514-21</t>
        </is>
      </c>
    </row>
    <row r="5686">
      <c r="A5686" s="32" t="n">
        <v>11</v>
      </c>
      <c r="B5686" s="32" t="inlineStr">
        <is>
          <t>SB1</t>
        </is>
      </c>
      <c r="F5686" s="32" t="n">
        <v>8514.804</v>
      </c>
      <c r="K5686" s="32" t="inlineStr">
        <is>
          <t>20250514-22</t>
        </is>
      </c>
    </row>
    <row r="5687">
      <c r="A5687" s="32" t="n">
        <v>12</v>
      </c>
      <c r="B5687" s="32" t="inlineStr">
        <is>
          <t>SB2</t>
        </is>
      </c>
      <c r="F5687" s="32" t="n">
        <v>8083.722</v>
      </c>
      <c r="K5687" s="32" t="inlineStr">
        <is>
          <t>20250514-23</t>
        </is>
      </c>
    </row>
    <row r="5688">
      <c r="A5688" s="32" t="n">
        <v>13</v>
      </c>
      <c r="B5688" s="32" t="inlineStr">
        <is>
          <t>SB3</t>
        </is>
      </c>
      <c r="F5688" s="32" t="n">
        <v>7758.756</v>
      </c>
      <c r="K5688" s="32" t="inlineStr">
        <is>
          <t>20250514-24</t>
        </is>
      </c>
    </row>
    <row r="5689">
      <c r="A5689" s="32" t="n">
        <v>14</v>
      </c>
      <c r="B5689" s="32" t="inlineStr">
        <is>
          <t>SS1</t>
        </is>
      </c>
      <c r="D5689" s="32" t="n">
        <v>14.52</v>
      </c>
      <c r="E5689" s="32" t="n">
        <v>3091.077</v>
      </c>
      <c r="F5689" s="32" t="n">
        <v>8307.972</v>
      </c>
      <c r="G5689" s="32" t="n">
        <v>17.301</v>
      </c>
      <c r="H5689" s="32" t="inlineStr">
        <is>
          <t>bb</t>
        </is>
      </c>
      <c r="K5689" s="32" t="inlineStr">
        <is>
          <t>20250514-25</t>
        </is>
      </c>
    </row>
    <row r="5690">
      <c r="A5690" s="32" t="n">
        <v>15</v>
      </c>
      <c r="B5690" s="32" t="inlineStr">
        <is>
          <t>SS2</t>
        </is>
      </c>
      <c r="D5690" s="32" t="n">
        <v>14.54</v>
      </c>
      <c r="E5690" s="32" t="n">
        <v>2590.368</v>
      </c>
      <c r="F5690" s="32" t="n">
        <v>8575.522000000001</v>
      </c>
      <c r="G5690" s="32" t="n">
        <v>13368</v>
      </c>
      <c r="H5690" s="32" t="inlineStr">
        <is>
          <t>bb</t>
        </is>
      </c>
      <c r="K5690" s="32" t="inlineStr">
        <is>
          <t>20250514-26</t>
        </is>
      </c>
    </row>
    <row r="5691">
      <c r="A5691" s="32" t="n">
        <v>16</v>
      </c>
      <c r="B5691" s="32" t="inlineStr">
        <is>
          <t>SS3</t>
        </is>
      </c>
      <c r="D5691" s="32" t="n">
        <v>14.52</v>
      </c>
      <c r="E5691" s="32" t="n">
        <v>2879.958</v>
      </c>
      <c r="F5691" s="32" t="n">
        <v>8175.201</v>
      </c>
      <c r="G5691" s="32" t="n">
        <v>23.448</v>
      </c>
      <c r="H5691" s="32" t="inlineStr">
        <is>
          <t>bb</t>
        </is>
      </c>
      <c r="K5691" s="32" t="inlineStr">
        <is>
          <t>20250514-27</t>
        </is>
      </c>
    </row>
    <row r="5692">
      <c r="A5692" s="32" t="n">
        <v>17</v>
      </c>
      <c r="B5692" s="32" t="inlineStr">
        <is>
          <t>MeOH</t>
        </is>
      </c>
      <c r="F5692" s="32" t="n">
        <v>92.95399999999999</v>
      </c>
      <c r="K5692" s="32" t="inlineStr">
        <is>
          <t>20250514-28</t>
        </is>
      </c>
    </row>
    <row r="5693">
      <c r="A5693" s="32" t="n">
        <v>18</v>
      </c>
      <c r="B5693" s="32" t="inlineStr">
        <is>
          <t>K4-1A</t>
        </is>
      </c>
      <c r="F5693" s="32" t="n">
        <v>10322.775</v>
      </c>
      <c r="K5693" s="32" t="inlineStr">
        <is>
          <t>20250514-29</t>
        </is>
      </c>
    </row>
    <row r="5694">
      <c r="A5694" s="32" t="n">
        <v>19</v>
      </c>
      <c r="B5694" s="32" t="inlineStr">
        <is>
          <t>K4-1B</t>
        </is>
      </c>
      <c r="F5694" s="32" t="n">
        <v>10186.714</v>
      </c>
      <c r="K5694" s="32" t="inlineStr">
        <is>
          <t>20250514-30</t>
        </is>
      </c>
    </row>
    <row r="5695">
      <c r="A5695" s="32" t="n">
        <v>20</v>
      </c>
      <c r="B5695" s="32" t="inlineStr">
        <is>
          <t>K4-1C</t>
        </is>
      </c>
      <c r="F5695" s="32" t="n">
        <v>9628.906000000001</v>
      </c>
      <c r="K5695" s="32" t="inlineStr">
        <is>
          <t>20250514-31</t>
        </is>
      </c>
    </row>
    <row r="5696">
      <c r="A5696" s="32" t="n">
        <v>21</v>
      </c>
      <c r="B5696" s="32" t="inlineStr">
        <is>
          <t>K4-2A</t>
        </is>
      </c>
      <c r="F5696" s="32" t="n">
        <v>8744.664000000001</v>
      </c>
      <c r="K5696" s="32" t="inlineStr">
        <is>
          <t>20250514-32</t>
        </is>
      </c>
    </row>
    <row r="5697">
      <c r="A5697" s="32" t="n">
        <v>22</v>
      </c>
      <c r="B5697" s="32" t="inlineStr">
        <is>
          <t>K4-2B</t>
        </is>
      </c>
      <c r="F5697" s="32" t="n">
        <v>8444.098</v>
      </c>
      <c r="K5697" s="32" t="inlineStr">
        <is>
          <t>20250514-33</t>
        </is>
      </c>
    </row>
    <row r="5698">
      <c r="A5698" s="32" t="n">
        <v>23</v>
      </c>
      <c r="B5698" s="32" t="inlineStr">
        <is>
          <t>K4-2C</t>
        </is>
      </c>
      <c r="F5698" s="32" t="n">
        <v>7998.905</v>
      </c>
      <c r="K5698" s="32" t="inlineStr">
        <is>
          <t>20250514-34</t>
        </is>
      </c>
    </row>
    <row r="5699">
      <c r="A5699" s="32" t="n">
        <v>24</v>
      </c>
      <c r="B5699" s="32" t="inlineStr">
        <is>
          <t>MeOH</t>
        </is>
      </c>
      <c r="D5699" s="32" t="n">
        <v>14.63</v>
      </c>
      <c r="E5699" s="32" t="n">
        <v>12.299</v>
      </c>
      <c r="F5699" s="32" t="n">
        <v>160.105</v>
      </c>
      <c r="G5699" s="32" t="n">
        <v>108</v>
      </c>
      <c r="H5699" s="32" t="inlineStr">
        <is>
          <t>bb</t>
        </is>
      </c>
      <c r="K5699" s="32" t="inlineStr">
        <is>
          <t>20250514-35</t>
        </is>
      </c>
    </row>
    <row r="5700">
      <c r="A5700" s="32" t="n">
        <v>25</v>
      </c>
      <c r="B5700" s="32" t="inlineStr">
        <is>
          <t>K4-4A</t>
        </is>
      </c>
      <c r="F5700" s="32" t="n">
        <v>9868.415000000001</v>
      </c>
      <c r="K5700" s="32" t="inlineStr">
        <is>
          <t>20250514-36</t>
        </is>
      </c>
    </row>
    <row r="5701">
      <c r="A5701" s="32" t="n">
        <v>26</v>
      </c>
      <c r="B5701" s="32" t="inlineStr">
        <is>
          <t>K4-4B</t>
        </is>
      </c>
      <c r="F5701" s="32" t="n">
        <v>9821.01</v>
      </c>
      <c r="K5701" s="32" t="inlineStr">
        <is>
          <t>20250514-37</t>
        </is>
      </c>
    </row>
    <row r="5702">
      <c r="A5702" s="32" t="n">
        <v>27</v>
      </c>
      <c r="B5702" s="32" t="inlineStr">
        <is>
          <t>K4-4C</t>
        </is>
      </c>
      <c r="F5702" s="32" t="n">
        <v>11852</v>
      </c>
      <c r="K5702" s="32" t="inlineStr">
        <is>
          <t>20250514-38</t>
        </is>
      </c>
    </row>
    <row r="5703">
      <c r="A5703" s="32" t="n">
        <v>28</v>
      </c>
      <c r="B5703" s="32" t="inlineStr">
        <is>
          <t>K4-5A</t>
        </is>
      </c>
      <c r="F5703" s="32" t="n">
        <v>9465.008</v>
      </c>
      <c r="K5703" s="32" t="inlineStr">
        <is>
          <t>20250514-39</t>
        </is>
      </c>
    </row>
    <row r="5704">
      <c r="A5704" s="32" t="n">
        <v>29</v>
      </c>
      <c r="B5704" s="32" t="inlineStr">
        <is>
          <t>K4-5B</t>
        </is>
      </c>
      <c r="F5704" s="32" t="n">
        <v>10675.469</v>
      </c>
      <c r="K5704" s="32" t="inlineStr">
        <is>
          <t>20250514-40</t>
        </is>
      </c>
    </row>
    <row r="5705">
      <c r="A5705" s="32" t="n">
        <v>30</v>
      </c>
      <c r="B5705" s="32" t="inlineStr">
        <is>
          <t>K4-5C</t>
        </is>
      </c>
      <c r="F5705" s="32" t="n">
        <v>9713.841</v>
      </c>
      <c r="K5705" s="32" t="inlineStr">
        <is>
          <t>20250514-41</t>
        </is>
      </c>
    </row>
    <row r="5706">
      <c r="A5706" s="32" t="n">
        <v>31</v>
      </c>
      <c r="B5706" s="32" t="inlineStr">
        <is>
          <t>MeOH</t>
        </is>
      </c>
      <c r="F5706" s="32" t="n">
        <v>26.129</v>
      </c>
      <c r="K5706" s="32" t="inlineStr">
        <is>
          <t>20250514-42</t>
        </is>
      </c>
    </row>
    <row r="5707">
      <c r="A5707" s="32" t="n">
        <v>32</v>
      </c>
      <c r="B5707" s="32" t="inlineStr">
        <is>
          <t>K3-1A</t>
        </is>
      </c>
      <c r="D5707" s="32" t="n">
        <v>14.61</v>
      </c>
      <c r="E5707" s="32" t="n">
        <v>1.572</v>
      </c>
      <c r="F5707" s="32" t="n">
        <v>11165.479</v>
      </c>
      <c r="G5707" s="32" t="n">
        <v>14</v>
      </c>
      <c r="H5707" s="32" t="inlineStr">
        <is>
          <t>bb</t>
        </is>
      </c>
      <c r="K5707" s="32" t="inlineStr">
        <is>
          <t>20250514-43</t>
        </is>
      </c>
    </row>
    <row r="5708">
      <c r="A5708" s="32" t="n">
        <v>33</v>
      </c>
      <c r="B5708" s="32" t="inlineStr">
        <is>
          <t>K3-1B</t>
        </is>
      </c>
      <c r="F5708" s="32" t="n">
        <v>10191.97</v>
      </c>
      <c r="K5708" s="32" t="inlineStr">
        <is>
          <t>20250514-44</t>
        </is>
      </c>
    </row>
    <row r="5709">
      <c r="A5709" s="32" t="n">
        <v>34</v>
      </c>
      <c r="B5709" s="32" t="inlineStr">
        <is>
          <t>K3-1C</t>
        </is>
      </c>
      <c r="F5709" s="32" t="n">
        <v>13663.627</v>
      </c>
      <c r="K5709" s="32" t="inlineStr">
        <is>
          <t>20250514-45</t>
        </is>
      </c>
    </row>
    <row r="5710">
      <c r="A5710" s="32" t="n">
        <v>35</v>
      </c>
      <c r="B5710" s="32" t="inlineStr">
        <is>
          <t>K3-2A</t>
        </is>
      </c>
      <c r="F5710" s="32" t="n">
        <v>12675.376</v>
      </c>
      <c r="K5710" s="32" t="inlineStr">
        <is>
          <t>20250514-46</t>
        </is>
      </c>
    </row>
    <row r="5711">
      <c r="A5711" s="32" t="n">
        <v>36</v>
      </c>
      <c r="B5711" s="32" t="inlineStr">
        <is>
          <t>K3-2B</t>
        </is>
      </c>
      <c r="D5711" s="32" t="n">
        <v>14.55</v>
      </c>
      <c r="E5711" s="32" t="n">
        <v>13.474</v>
      </c>
      <c r="F5711" s="32" t="n">
        <v>12602.38</v>
      </c>
      <c r="G5711" s="32" t="n">
        <v>120</v>
      </c>
      <c r="H5711" s="32" t="inlineStr">
        <is>
          <t>bb</t>
        </is>
      </c>
      <c r="K5711" s="32" t="inlineStr">
        <is>
          <t>20250514-47</t>
        </is>
      </c>
    </row>
    <row r="5712">
      <c r="A5712" s="32" t="n">
        <v>37</v>
      </c>
      <c r="B5712" s="32" t="inlineStr">
        <is>
          <t>K3-2C</t>
        </is>
      </c>
      <c r="F5712" s="32" t="n">
        <v>12657.865</v>
      </c>
      <c r="K5712" s="32" t="inlineStr">
        <is>
          <t>20250514-48</t>
        </is>
      </c>
    </row>
    <row r="5713">
      <c r="A5713" s="32" t="n">
        <v>38</v>
      </c>
      <c r="B5713" s="32" t="inlineStr">
        <is>
          <t>MeOH</t>
        </is>
      </c>
      <c r="F5713" s="32" t="n">
        <v>142.733</v>
      </c>
      <c r="K5713" s="32" t="inlineStr">
        <is>
          <t>20250514-49</t>
        </is>
      </c>
    </row>
    <row r="5714">
      <c r="A5714" s="32" t="n">
        <v>39</v>
      </c>
      <c r="B5714" s="32" t="inlineStr">
        <is>
          <t>K3-3A</t>
        </is>
      </c>
      <c r="F5714" s="32" t="n">
        <v>10197.11</v>
      </c>
      <c r="K5714" s="32" t="inlineStr">
        <is>
          <t>20250514-50</t>
        </is>
      </c>
    </row>
    <row r="5715">
      <c r="A5715" s="32" t="n">
        <v>40</v>
      </c>
      <c r="B5715" s="32" t="inlineStr">
        <is>
          <t>K3-3B</t>
        </is>
      </c>
      <c r="F5715" s="32" t="n">
        <v>11506.86</v>
      </c>
      <c r="K5715" s="32" t="inlineStr">
        <is>
          <t>20250514-51</t>
        </is>
      </c>
    </row>
    <row r="5716">
      <c r="A5716" s="32" t="n">
        <v>41</v>
      </c>
      <c r="B5716" s="32" t="inlineStr">
        <is>
          <t>K3-3C</t>
        </is>
      </c>
      <c r="F5716" s="32" t="n">
        <v>14119.439</v>
      </c>
      <c r="K5716" s="32" t="inlineStr">
        <is>
          <t>20250514-52</t>
        </is>
      </c>
    </row>
    <row r="5717">
      <c r="A5717" s="32" t="n">
        <v>42</v>
      </c>
      <c r="B5717" s="32" t="inlineStr">
        <is>
          <t>K3-4A</t>
        </is>
      </c>
      <c r="F5717" s="32" t="n">
        <v>13867.716</v>
      </c>
      <c r="K5717" s="32" t="inlineStr">
        <is>
          <t>20250514-53</t>
        </is>
      </c>
    </row>
    <row r="5718">
      <c r="A5718" s="32" t="n">
        <v>43</v>
      </c>
      <c r="B5718" s="32" t="inlineStr">
        <is>
          <t>K3-4B</t>
        </is>
      </c>
      <c r="F5718" s="32" t="n">
        <v>12810.85</v>
      </c>
      <c r="K5718" s="32" t="inlineStr">
        <is>
          <t>20250514-54</t>
        </is>
      </c>
    </row>
    <row r="5719">
      <c r="A5719" s="32" t="n">
        <v>44</v>
      </c>
      <c r="B5719" s="32" t="inlineStr">
        <is>
          <t>K3-4C</t>
        </is>
      </c>
      <c r="F5719" s="32" t="n">
        <v>15157.041</v>
      </c>
      <c r="K5719" s="32" t="inlineStr">
        <is>
          <t>20250514-55</t>
        </is>
      </c>
    </row>
    <row r="5720">
      <c r="A5720" s="32" t="n">
        <v>45</v>
      </c>
      <c r="B5720" s="32" t="inlineStr">
        <is>
          <t>MeOH</t>
        </is>
      </c>
      <c r="D5720" s="32" t="n">
        <v>14.63</v>
      </c>
      <c r="E5720" s="32" t="n">
        <v>26.223</v>
      </c>
      <c r="F5720" s="32" t="n">
        <v>70.619</v>
      </c>
      <c r="G5720" s="32" t="n">
        <v>236</v>
      </c>
      <c r="H5720" s="32" t="inlineStr">
        <is>
          <t>bb</t>
        </is>
      </c>
      <c r="K5720" s="32" t="inlineStr">
        <is>
          <t>20250514-56</t>
        </is>
      </c>
    </row>
    <row r="5721">
      <c r="A5721" s="32" t="n">
        <v>46</v>
      </c>
      <c r="B5721" s="32" t="inlineStr">
        <is>
          <t>K3-6A</t>
        </is>
      </c>
      <c r="F5721" s="32" t="n">
        <v>12842.805</v>
      </c>
      <c r="K5721" s="32" t="inlineStr">
        <is>
          <t>20250514-57</t>
        </is>
      </c>
    </row>
    <row r="5722">
      <c r="A5722" s="32" t="n">
        <v>47</v>
      </c>
      <c r="B5722" s="32" t="inlineStr">
        <is>
          <t>K3-6B</t>
        </is>
      </c>
      <c r="F5722" s="32" t="n">
        <v>9136.427</v>
      </c>
      <c r="K5722" s="32" t="inlineStr">
        <is>
          <t>20250514-58</t>
        </is>
      </c>
    </row>
    <row r="5723">
      <c r="A5723" s="32" t="n">
        <v>48</v>
      </c>
      <c r="B5723" s="32" t="inlineStr">
        <is>
          <t>K3-6C</t>
        </is>
      </c>
      <c r="F5723" s="32" t="n">
        <v>9263.581</v>
      </c>
      <c r="K5723" s="32" t="inlineStr">
        <is>
          <t>20250514-59</t>
        </is>
      </c>
    </row>
    <row r="5725">
      <c r="A5725" s="32" t="inlineStr">
        <is>
          <t>Compound 111:  N-EtFOSE 1</t>
        </is>
      </c>
    </row>
    <row r="5727">
      <c r="B5727" s="32" t="inlineStr">
        <is>
          <t>Sample Text</t>
        </is>
      </c>
      <c r="C5727" s="32" t="inlineStr">
        <is>
          <t>Std. Conc</t>
        </is>
      </c>
      <c r="D5727" s="32" t="inlineStr">
        <is>
          <t>RT</t>
        </is>
      </c>
      <c r="E5727" s="32" t="inlineStr">
        <is>
          <t>Area</t>
        </is>
      </c>
      <c r="F5727" s="32" t="inlineStr">
        <is>
          <t>IS Area</t>
        </is>
      </c>
      <c r="G5727" s="32" t="inlineStr">
        <is>
          <t>S/N</t>
        </is>
      </c>
      <c r="H5727" s="32" t="inlineStr">
        <is>
          <t>Primary Flags</t>
        </is>
      </c>
      <c r="I5727" s="32" t="inlineStr">
        <is>
          <t>Response</t>
        </is>
      </c>
      <c r="J5727" s="32" t="inlineStr">
        <is>
          <t>Conc.</t>
        </is>
      </c>
      <c r="K5727" s="32" t="inlineStr">
        <is>
          <t>Name</t>
        </is>
      </c>
    </row>
    <row r="5728">
      <c r="A5728" s="32" t="n">
        <v>1</v>
      </c>
      <c r="B5728" s="32" t="inlineStr">
        <is>
          <t>EPA1633 &amp; diPAPs Calibration 0 ppb</t>
        </is>
      </c>
      <c r="D5728" s="32" t="n">
        <v>18.85</v>
      </c>
      <c r="E5728" s="32" t="n">
        <v>62.884</v>
      </c>
      <c r="F5728" s="32" t="n">
        <v>4028.771</v>
      </c>
      <c r="G5728" s="32" t="n">
        <v>29.71</v>
      </c>
      <c r="H5728" s="32" t="inlineStr">
        <is>
          <t>bb</t>
        </is>
      </c>
      <c r="K5728" s="32" t="inlineStr">
        <is>
          <t>20250514-12</t>
        </is>
      </c>
    </row>
    <row r="5729">
      <c r="A5729" s="32" t="n">
        <v>2</v>
      </c>
      <c r="B5729" s="32" t="inlineStr">
        <is>
          <t>EPA1633 &amp; diPAPs Calibration 0.02 ppb</t>
        </is>
      </c>
      <c r="D5729" s="32" t="n">
        <v>18.87</v>
      </c>
      <c r="E5729" s="32" t="n">
        <v>45.132</v>
      </c>
      <c r="F5729" s="32" t="n">
        <v>3693.433</v>
      </c>
      <c r="G5729" s="32" t="n">
        <v>16.123</v>
      </c>
      <c r="H5729" s="32" t="inlineStr">
        <is>
          <t>bb</t>
        </is>
      </c>
      <c r="K5729" s="32" t="inlineStr">
        <is>
          <t>20250514-13</t>
        </is>
      </c>
    </row>
    <row r="5730">
      <c r="A5730" s="32" t="n">
        <v>3</v>
      </c>
      <c r="B5730" s="32" t="inlineStr">
        <is>
          <t>EPA1633 &amp; diPAPs Calibration 0.1 ppb</t>
        </is>
      </c>
      <c r="D5730" s="32" t="n">
        <v>18.86</v>
      </c>
      <c r="E5730" s="32" t="n">
        <v>93.949</v>
      </c>
      <c r="F5730" s="32" t="n">
        <v>3784.583</v>
      </c>
      <c r="G5730" s="32" t="n">
        <v>13.177</v>
      </c>
      <c r="H5730" s="32" t="inlineStr">
        <is>
          <t>MM</t>
        </is>
      </c>
      <c r="K5730" s="32" t="inlineStr">
        <is>
          <t>20250514-14</t>
        </is>
      </c>
    </row>
    <row r="5731">
      <c r="A5731" s="32" t="n">
        <v>4</v>
      </c>
      <c r="B5731" s="32" t="inlineStr">
        <is>
          <t>EPA1633 &amp; diPAPs Calibration 0.4 ppb</t>
        </is>
      </c>
      <c r="D5731" s="32" t="n">
        <v>18.86</v>
      </c>
      <c r="E5731" s="32" t="n">
        <v>218.398</v>
      </c>
      <c r="F5731" s="32" t="n">
        <v>3633.396</v>
      </c>
      <c r="G5731" s="32" t="n">
        <v>58.135</v>
      </c>
      <c r="H5731" s="32" t="inlineStr">
        <is>
          <t>MM</t>
        </is>
      </c>
      <c r="K5731" s="32" t="inlineStr">
        <is>
          <t>20250514-15</t>
        </is>
      </c>
    </row>
    <row r="5732">
      <c r="A5732" s="32" t="n">
        <v>5</v>
      </c>
      <c r="B5732" s="32" t="inlineStr">
        <is>
          <t>EPA1633 &amp; diPAPs Calibration 1 ppb</t>
        </is>
      </c>
      <c r="D5732" s="32" t="n">
        <v>18.84</v>
      </c>
      <c r="E5732" s="32" t="n">
        <v>456.976</v>
      </c>
      <c r="F5732" s="32" t="n">
        <v>4115.012</v>
      </c>
      <c r="G5732" s="32" t="n">
        <v>89.09699999999999</v>
      </c>
      <c r="H5732" s="32" t="inlineStr">
        <is>
          <t>MM</t>
        </is>
      </c>
      <c r="K5732" s="32" t="inlineStr">
        <is>
          <t>20250514-16</t>
        </is>
      </c>
    </row>
    <row r="5733">
      <c r="A5733" s="32" t="n">
        <v>6</v>
      </c>
      <c r="B5733" s="32" t="inlineStr">
        <is>
          <t>EPA1633 &amp; diPAPs Calibration 5 ppb</t>
        </is>
      </c>
      <c r="D5733" s="32" t="n">
        <v>18.84</v>
      </c>
      <c r="E5733" s="32" t="n">
        <v>2029.117</v>
      </c>
      <c r="F5733" s="32" t="n">
        <v>3380.772</v>
      </c>
      <c r="G5733" s="32" t="n">
        <v>629.568</v>
      </c>
      <c r="H5733" s="32" t="inlineStr">
        <is>
          <t>MM</t>
        </is>
      </c>
      <c r="K5733" s="32" t="inlineStr">
        <is>
          <t>20250514-17</t>
        </is>
      </c>
    </row>
    <row r="5734">
      <c r="A5734" s="32" t="n">
        <v>7</v>
      </c>
      <c r="B5734" s="32" t="inlineStr">
        <is>
          <t>EPA1633 &amp; diPAPs Calibration 10 ppb</t>
        </is>
      </c>
      <c r="D5734" s="32" t="n">
        <v>18.85</v>
      </c>
      <c r="E5734" s="32" t="n">
        <v>3710.066</v>
      </c>
      <c r="F5734" s="32" t="n">
        <v>2952.945</v>
      </c>
      <c r="G5734" s="32" t="n">
        <v>1681.9</v>
      </c>
      <c r="H5734" s="32" t="inlineStr">
        <is>
          <t>MM</t>
        </is>
      </c>
      <c r="K5734" s="32" t="inlineStr">
        <is>
          <t>20250514-18</t>
        </is>
      </c>
    </row>
    <row r="5735">
      <c r="A5735" s="32" t="n">
        <v>8</v>
      </c>
      <c r="B5735" s="32" t="inlineStr">
        <is>
          <t>EPA1633 &amp; diPAPs Calibration 20 ppb</t>
        </is>
      </c>
      <c r="D5735" s="32" t="n">
        <v>18.86</v>
      </c>
      <c r="E5735" s="32" t="n">
        <v>7279.864</v>
      </c>
      <c r="F5735" s="32" t="n">
        <v>3244.369</v>
      </c>
      <c r="G5735" s="32" t="n">
        <v>829.088</v>
      </c>
      <c r="H5735" s="32" t="inlineStr">
        <is>
          <t>MM</t>
        </is>
      </c>
      <c r="K5735" s="32" t="inlineStr">
        <is>
          <t>20250514-19</t>
        </is>
      </c>
    </row>
    <row r="5736">
      <c r="A5736" s="32" t="n">
        <v>9</v>
      </c>
      <c r="B5736" s="32" t="inlineStr">
        <is>
          <t>MeOH</t>
        </is>
      </c>
      <c r="D5736" s="32" t="n">
        <v>18.86</v>
      </c>
      <c r="E5736" s="32" t="n">
        <v>269.91</v>
      </c>
      <c r="F5736" s="32" t="n">
        <v>96.73</v>
      </c>
      <c r="G5736" s="32" t="n">
        <v>79.66800000000001</v>
      </c>
      <c r="H5736" s="32" t="inlineStr">
        <is>
          <t>bb</t>
        </is>
      </c>
      <c r="K5736" s="32" t="inlineStr">
        <is>
          <t>20250514-20</t>
        </is>
      </c>
    </row>
    <row r="5737">
      <c r="A5737" s="32" t="n">
        <v>10</v>
      </c>
      <c r="B5737" s="32" t="inlineStr">
        <is>
          <t>MeOH</t>
        </is>
      </c>
      <c r="D5737" s="32" t="n">
        <v>18.86</v>
      </c>
      <c r="E5737" s="32" t="n">
        <v>42.228</v>
      </c>
      <c r="F5737" s="32" t="n">
        <v>27.687</v>
      </c>
      <c r="G5737" s="32" t="n">
        <v>16.495</v>
      </c>
      <c r="H5737" s="32" t="inlineStr">
        <is>
          <t>bb</t>
        </is>
      </c>
      <c r="K5737" s="32" t="inlineStr">
        <is>
          <t>20250514-21</t>
        </is>
      </c>
    </row>
    <row r="5738">
      <c r="A5738" s="32" t="n">
        <v>11</v>
      </c>
      <c r="B5738" s="32" t="inlineStr">
        <is>
          <t>SB1</t>
        </is>
      </c>
      <c r="D5738" s="32" t="n">
        <v>18.87</v>
      </c>
      <c r="E5738" s="32" t="n">
        <v>35.863</v>
      </c>
      <c r="F5738" s="32" t="n">
        <v>1283.732</v>
      </c>
      <c r="G5738" s="32" t="n">
        <v>9.315</v>
      </c>
      <c r="H5738" s="32" t="inlineStr">
        <is>
          <t>bb</t>
        </is>
      </c>
      <c r="K5738" s="32" t="inlineStr">
        <is>
          <t>20250514-22</t>
        </is>
      </c>
    </row>
    <row r="5739">
      <c r="A5739" s="32" t="n">
        <v>12</v>
      </c>
      <c r="B5739" s="32" t="inlineStr">
        <is>
          <t>SB2</t>
        </is>
      </c>
      <c r="D5739" s="32" t="n">
        <v>18.88</v>
      </c>
      <c r="E5739" s="32" t="n">
        <v>25.28</v>
      </c>
      <c r="F5739" s="32" t="n">
        <v>1194.124</v>
      </c>
      <c r="G5739" s="32" t="n">
        <v>11.173</v>
      </c>
      <c r="H5739" s="32" t="inlineStr">
        <is>
          <t>bb</t>
        </is>
      </c>
      <c r="K5739" s="32" t="inlineStr">
        <is>
          <t>20250514-23</t>
        </is>
      </c>
    </row>
    <row r="5740">
      <c r="A5740" s="32" t="n">
        <v>13</v>
      </c>
      <c r="B5740" s="32" t="inlineStr">
        <is>
          <t>SB3</t>
        </is>
      </c>
      <c r="D5740" s="32" t="n">
        <v>18.92</v>
      </c>
      <c r="E5740" s="32" t="n">
        <v>3.213</v>
      </c>
      <c r="F5740" s="32" t="n">
        <v>1266.078</v>
      </c>
      <c r="G5740" s="32" t="n">
        <v>1.423</v>
      </c>
      <c r="H5740" s="32" t="inlineStr">
        <is>
          <t>MM</t>
        </is>
      </c>
      <c r="K5740" s="32" t="inlineStr">
        <is>
          <t>20250514-24</t>
        </is>
      </c>
    </row>
    <row r="5741">
      <c r="A5741" s="32" t="n">
        <v>14</v>
      </c>
      <c r="B5741" s="32" t="inlineStr">
        <is>
          <t>SS1</t>
        </is>
      </c>
      <c r="D5741" s="32" t="n">
        <v>18.89</v>
      </c>
      <c r="E5741" s="32" t="n">
        <v>1224.621</v>
      </c>
      <c r="F5741" s="32" t="n">
        <v>1121.533</v>
      </c>
      <c r="G5741" s="32" t="n">
        <v>323.903</v>
      </c>
      <c r="H5741" s="32" t="inlineStr">
        <is>
          <t>bb</t>
        </is>
      </c>
      <c r="K5741" s="32" t="inlineStr">
        <is>
          <t>20250514-25</t>
        </is>
      </c>
    </row>
    <row r="5742">
      <c r="A5742" s="32" t="n">
        <v>15</v>
      </c>
      <c r="B5742" s="32" t="inlineStr">
        <is>
          <t>SS2</t>
        </is>
      </c>
      <c r="D5742" s="32" t="n">
        <v>18.9</v>
      </c>
      <c r="E5742" s="32" t="n">
        <v>1438.788</v>
      </c>
      <c r="F5742" s="32" t="n">
        <v>1236.175</v>
      </c>
      <c r="G5742" s="32" t="n">
        <v>177.379</v>
      </c>
      <c r="H5742" s="32" t="inlineStr">
        <is>
          <t>bb</t>
        </is>
      </c>
      <c r="K5742" s="32" t="inlineStr">
        <is>
          <t>20250514-26</t>
        </is>
      </c>
    </row>
    <row r="5743">
      <c r="A5743" s="32" t="n">
        <v>16</v>
      </c>
      <c r="B5743" s="32" t="inlineStr">
        <is>
          <t>SS3</t>
        </is>
      </c>
      <c r="D5743" s="32" t="n">
        <v>18.9</v>
      </c>
      <c r="E5743" s="32" t="n">
        <v>1258.617</v>
      </c>
      <c r="F5743" s="32" t="n">
        <v>1076.699</v>
      </c>
      <c r="G5743" s="32" t="n">
        <v>1249.27</v>
      </c>
      <c r="H5743" s="32" t="inlineStr">
        <is>
          <t>MM</t>
        </is>
      </c>
      <c r="K5743" s="32" t="inlineStr">
        <is>
          <t>20250514-27</t>
        </is>
      </c>
    </row>
    <row r="5744">
      <c r="A5744" s="32" t="n">
        <v>17</v>
      </c>
      <c r="B5744" s="32" t="inlineStr">
        <is>
          <t>MeOH</t>
        </is>
      </c>
      <c r="D5744" s="32" t="n">
        <v>18.89</v>
      </c>
      <c r="E5744" s="32" t="n">
        <v>35.935</v>
      </c>
      <c r="F5744" s="32" t="n">
        <v>24.295</v>
      </c>
      <c r="G5744" s="32" t="n">
        <v>21.444</v>
      </c>
      <c r="H5744" s="32" t="inlineStr">
        <is>
          <t>bb</t>
        </is>
      </c>
      <c r="K5744" s="32" t="inlineStr">
        <is>
          <t>20250514-28</t>
        </is>
      </c>
    </row>
    <row r="5745">
      <c r="A5745" s="32" t="n">
        <v>18</v>
      </c>
      <c r="B5745" s="32" t="inlineStr">
        <is>
          <t>K4-1A</t>
        </is>
      </c>
      <c r="D5745" s="32" t="n">
        <v>18.89</v>
      </c>
      <c r="E5745" s="32" t="n">
        <v>22.426</v>
      </c>
      <c r="F5745" s="32" t="n">
        <v>1609.995</v>
      </c>
      <c r="G5745" s="32" t="n">
        <v>71.60599999999999</v>
      </c>
      <c r="H5745" s="32" t="inlineStr">
        <is>
          <t>MM</t>
        </is>
      </c>
      <c r="K5745" s="32" t="inlineStr">
        <is>
          <t>20250514-29</t>
        </is>
      </c>
    </row>
    <row r="5746">
      <c r="A5746" s="32" t="n">
        <v>19</v>
      </c>
      <c r="B5746" s="32" t="inlineStr">
        <is>
          <t>K4-1B</t>
        </is>
      </c>
      <c r="D5746" s="32" t="n">
        <v>18.91</v>
      </c>
      <c r="E5746" s="32" t="n">
        <v>8.599</v>
      </c>
      <c r="F5746" s="32" t="n">
        <v>1632.476</v>
      </c>
      <c r="G5746" s="32" t="n">
        <v>13.072</v>
      </c>
      <c r="H5746" s="32" t="inlineStr">
        <is>
          <t>bb</t>
        </is>
      </c>
      <c r="K5746" s="32" t="inlineStr">
        <is>
          <t>20250514-30</t>
        </is>
      </c>
    </row>
    <row r="5747">
      <c r="A5747" s="32" t="n">
        <v>20</v>
      </c>
      <c r="B5747" s="32" t="inlineStr">
        <is>
          <t>K4-1C</t>
        </is>
      </c>
      <c r="D5747" s="32" t="n">
        <v>18.89</v>
      </c>
      <c r="E5747" s="32" t="n">
        <v>8</v>
      </c>
      <c r="F5747" s="32" t="n">
        <v>1678.802</v>
      </c>
      <c r="G5747" s="32" t="n">
        <v>4.182</v>
      </c>
      <c r="H5747" s="32" t="inlineStr">
        <is>
          <t>bb</t>
        </is>
      </c>
      <c r="K5747" s="32" t="inlineStr">
        <is>
          <t>20250514-31</t>
        </is>
      </c>
    </row>
    <row r="5748">
      <c r="A5748" s="32" t="n">
        <v>21</v>
      </c>
      <c r="B5748" s="32" t="inlineStr">
        <is>
          <t>K4-2A</t>
        </is>
      </c>
      <c r="D5748" s="32" t="n">
        <v>18.89</v>
      </c>
      <c r="E5748" s="32" t="n">
        <v>6.459</v>
      </c>
      <c r="F5748" s="32" t="n">
        <v>1686.286</v>
      </c>
      <c r="G5748" s="32" t="n">
        <v>3.519</v>
      </c>
      <c r="H5748" s="32" t="inlineStr">
        <is>
          <t>bb</t>
        </is>
      </c>
      <c r="K5748" s="32" t="inlineStr">
        <is>
          <t>20250514-32</t>
        </is>
      </c>
    </row>
    <row r="5749">
      <c r="A5749" s="32" t="n">
        <v>22</v>
      </c>
      <c r="B5749" s="32" t="inlineStr">
        <is>
          <t>K4-2B</t>
        </is>
      </c>
      <c r="D5749" s="32" t="n">
        <v>18.9</v>
      </c>
      <c r="E5749" s="32" t="n">
        <v>6.129</v>
      </c>
      <c r="F5749" s="32" t="n">
        <v>1528.592</v>
      </c>
      <c r="G5749" s="32" t="n">
        <v>2.141</v>
      </c>
      <c r="H5749" s="32" t="inlineStr">
        <is>
          <t>bb</t>
        </is>
      </c>
      <c r="K5749" s="32" t="inlineStr">
        <is>
          <t>20250514-33</t>
        </is>
      </c>
    </row>
    <row r="5750">
      <c r="A5750" s="32" t="n">
        <v>23</v>
      </c>
      <c r="B5750" s="32" t="inlineStr">
        <is>
          <t>K4-2C</t>
        </is>
      </c>
      <c r="D5750" s="32" t="n">
        <v>19.25</v>
      </c>
      <c r="E5750" s="32" t="n">
        <v>3.234</v>
      </c>
      <c r="F5750" s="32" t="n">
        <v>1341.622</v>
      </c>
      <c r="G5750" s="32" t="n">
        <v>2.546</v>
      </c>
      <c r="H5750" s="32" t="inlineStr">
        <is>
          <t>bb</t>
        </is>
      </c>
      <c r="K5750" s="32" t="inlineStr">
        <is>
          <t>20250514-34</t>
        </is>
      </c>
    </row>
    <row r="5751">
      <c r="A5751" s="32" t="n">
        <v>24</v>
      </c>
      <c r="B5751" s="32" t="inlineStr">
        <is>
          <t>MeOH</t>
        </is>
      </c>
      <c r="F5751" s="32" t="n">
        <v>40.508</v>
      </c>
      <c r="H5751" s="32" t="inlineStr">
        <is>
          <t>MM-</t>
        </is>
      </c>
      <c r="K5751" s="32" t="inlineStr">
        <is>
          <t>20250514-35</t>
        </is>
      </c>
    </row>
    <row r="5752">
      <c r="A5752" s="32" t="n">
        <v>25</v>
      </c>
      <c r="B5752" s="32" t="inlineStr">
        <is>
          <t>K4-4A</t>
        </is>
      </c>
      <c r="D5752" s="32" t="n">
        <v>18.93</v>
      </c>
      <c r="E5752" s="32" t="n">
        <v>1.281</v>
      </c>
      <c r="F5752" s="32" t="n">
        <v>1530.409</v>
      </c>
      <c r="G5752" s="32" t="n">
        <v>1.239</v>
      </c>
      <c r="H5752" s="32" t="inlineStr">
        <is>
          <t>bb</t>
        </is>
      </c>
      <c r="K5752" s="32" t="inlineStr">
        <is>
          <t>20250514-36</t>
        </is>
      </c>
    </row>
    <row r="5753">
      <c r="A5753" s="32" t="n">
        <v>26</v>
      </c>
      <c r="B5753" s="32" t="inlineStr">
        <is>
          <t>K4-4B</t>
        </is>
      </c>
      <c r="D5753" s="32" t="n">
        <v>18.94</v>
      </c>
      <c r="E5753" s="32" t="n">
        <v>3.352</v>
      </c>
      <c r="F5753" s="32" t="n">
        <v>1665.401</v>
      </c>
      <c r="G5753" s="32" t="n">
        <v>1.562</v>
      </c>
      <c r="H5753" s="32" t="inlineStr">
        <is>
          <t>MM</t>
        </is>
      </c>
      <c r="K5753" s="32" t="inlineStr">
        <is>
          <t>20250514-37</t>
        </is>
      </c>
    </row>
    <row r="5754">
      <c r="A5754" s="32" t="n">
        <v>27</v>
      </c>
      <c r="B5754" s="32" t="inlineStr">
        <is>
          <t>K4-4C</t>
        </is>
      </c>
      <c r="D5754" s="32" t="n">
        <v>18.7</v>
      </c>
      <c r="E5754" s="32" t="n">
        <v>3.627</v>
      </c>
      <c r="F5754" s="32" t="n">
        <v>1618.391</v>
      </c>
      <c r="G5754" s="32" t="n">
        <v>4.442</v>
      </c>
      <c r="H5754" s="32" t="inlineStr">
        <is>
          <t>bb</t>
        </is>
      </c>
      <c r="K5754" s="32" t="inlineStr">
        <is>
          <t>20250514-38</t>
        </is>
      </c>
    </row>
    <row r="5755">
      <c r="A5755" s="32" t="n">
        <v>28</v>
      </c>
      <c r="B5755" s="32" t="inlineStr">
        <is>
          <t>K4-5A</t>
        </is>
      </c>
      <c r="D5755" s="32" t="n">
        <v>18.47</v>
      </c>
      <c r="E5755" s="32" t="n">
        <v>4.821</v>
      </c>
      <c r="F5755" s="32" t="n">
        <v>1626.32</v>
      </c>
      <c r="G5755" s="32" t="n">
        <v>1.352</v>
      </c>
      <c r="H5755" s="32" t="inlineStr">
        <is>
          <t>bb</t>
        </is>
      </c>
      <c r="K5755" s="32" t="inlineStr">
        <is>
          <t>20250514-39</t>
        </is>
      </c>
    </row>
    <row r="5756">
      <c r="A5756" s="32" t="n">
        <v>29</v>
      </c>
      <c r="B5756" s="32" t="inlineStr">
        <is>
          <t>K4-5B</t>
        </is>
      </c>
      <c r="D5756" s="32" t="n">
        <v>18.87</v>
      </c>
      <c r="E5756" s="32" t="n">
        <v>7.81</v>
      </c>
      <c r="F5756" s="32" t="n">
        <v>1665.634</v>
      </c>
      <c r="G5756" s="32" t="n">
        <v>5.441</v>
      </c>
      <c r="H5756" s="32" t="inlineStr">
        <is>
          <t>bb</t>
        </is>
      </c>
      <c r="K5756" s="32" t="inlineStr">
        <is>
          <t>20250514-40</t>
        </is>
      </c>
    </row>
    <row r="5757">
      <c r="A5757" s="32" t="n">
        <v>30</v>
      </c>
      <c r="B5757" s="32" t="inlineStr">
        <is>
          <t>K4-5C</t>
        </is>
      </c>
      <c r="D5757" s="32" t="n">
        <v>19.15</v>
      </c>
      <c r="E5757" s="32" t="n">
        <v>4.877</v>
      </c>
      <c r="F5757" s="32" t="n">
        <v>1613.307</v>
      </c>
      <c r="G5757" s="32" t="n">
        <v>2.108</v>
      </c>
      <c r="H5757" s="32" t="inlineStr">
        <is>
          <t>bb</t>
        </is>
      </c>
      <c r="K5757" s="32" t="inlineStr">
        <is>
          <t>20250514-41</t>
        </is>
      </c>
    </row>
    <row r="5758">
      <c r="A5758" s="32" t="n">
        <v>31</v>
      </c>
      <c r="B5758" s="32" t="inlineStr">
        <is>
          <t>MeOH</t>
        </is>
      </c>
      <c r="D5758" s="32" t="n">
        <v>18.81</v>
      </c>
      <c r="E5758" s="32" t="n">
        <v>9.414</v>
      </c>
      <c r="G5758" s="32" t="n">
        <v>6.384</v>
      </c>
      <c r="H5758" s="32" t="inlineStr">
        <is>
          <t>bb</t>
        </is>
      </c>
      <c r="K5758" s="32" t="inlineStr">
        <is>
          <t>20250514-42</t>
        </is>
      </c>
    </row>
    <row r="5759">
      <c r="A5759" s="32" t="n">
        <v>32</v>
      </c>
      <c r="B5759" s="32" t="inlineStr">
        <is>
          <t>K3-1A</t>
        </is>
      </c>
      <c r="D5759" s="32" t="n">
        <v>18.8</v>
      </c>
      <c r="E5759" s="32" t="n">
        <v>1.084</v>
      </c>
      <c r="F5759" s="32" t="n">
        <v>1742.121</v>
      </c>
      <c r="G5759" s="32" t="n">
        <v>1.898</v>
      </c>
      <c r="H5759" s="32" t="inlineStr">
        <is>
          <t>MM</t>
        </is>
      </c>
      <c r="K5759" s="32" t="inlineStr">
        <is>
          <t>20250514-43</t>
        </is>
      </c>
    </row>
    <row r="5760">
      <c r="A5760" s="32" t="n">
        <v>33</v>
      </c>
      <c r="B5760" s="32" t="inlineStr">
        <is>
          <t>K3-1B</t>
        </is>
      </c>
      <c r="D5760" s="32" t="n">
        <v>18.87</v>
      </c>
      <c r="E5760" s="32" t="n">
        <v>4.169</v>
      </c>
      <c r="F5760" s="32" t="n">
        <v>1572.028</v>
      </c>
      <c r="G5760" s="32" t="n">
        <v>1.725</v>
      </c>
      <c r="H5760" s="32" t="inlineStr">
        <is>
          <t>bb</t>
        </is>
      </c>
      <c r="K5760" s="32" t="inlineStr">
        <is>
          <t>20250514-44</t>
        </is>
      </c>
    </row>
    <row r="5761">
      <c r="A5761" s="32" t="n">
        <v>34</v>
      </c>
      <c r="B5761" s="32" t="inlineStr">
        <is>
          <t>K3-1C</t>
        </is>
      </c>
      <c r="D5761" s="32" t="n">
        <v>18.83</v>
      </c>
      <c r="E5761" s="32" t="n">
        <v>2.006</v>
      </c>
      <c r="F5761" s="32" t="n">
        <v>2116.855</v>
      </c>
      <c r="G5761" s="32" t="n">
        <v>2.261</v>
      </c>
      <c r="H5761" s="32" t="inlineStr">
        <is>
          <t>bb</t>
        </is>
      </c>
      <c r="K5761" s="32" t="inlineStr">
        <is>
          <t>20250514-45</t>
        </is>
      </c>
    </row>
    <row r="5762">
      <c r="A5762" s="32" t="n">
        <v>35</v>
      </c>
      <c r="B5762" s="32" t="inlineStr">
        <is>
          <t>K3-2A</t>
        </is>
      </c>
      <c r="D5762" s="32" t="n">
        <v>18.85</v>
      </c>
      <c r="E5762" s="32" t="n">
        <v>1.311</v>
      </c>
      <c r="F5762" s="32" t="n">
        <v>2008.621</v>
      </c>
      <c r="G5762" s="32" t="n">
        <v>1.036</v>
      </c>
      <c r="H5762" s="32" t="inlineStr">
        <is>
          <t>MM</t>
        </is>
      </c>
      <c r="K5762" s="32" t="inlineStr">
        <is>
          <t>20250514-46</t>
        </is>
      </c>
    </row>
    <row r="5763">
      <c r="A5763" s="32" t="n">
        <v>36</v>
      </c>
      <c r="B5763" s="32" t="inlineStr">
        <is>
          <t>K3-2B</t>
        </is>
      </c>
      <c r="D5763" s="32" t="n">
        <v>19.12</v>
      </c>
      <c r="E5763" s="32" t="n">
        <v>2.751</v>
      </c>
      <c r="F5763" s="32" t="n">
        <v>2203.574</v>
      </c>
      <c r="G5763" s="32" t="n">
        <v>1.349</v>
      </c>
      <c r="H5763" s="32" t="inlineStr">
        <is>
          <t>bb</t>
        </is>
      </c>
      <c r="K5763" s="32" t="inlineStr">
        <is>
          <t>20250514-47</t>
        </is>
      </c>
    </row>
    <row r="5764">
      <c r="A5764" s="32" t="n">
        <v>37</v>
      </c>
      <c r="B5764" s="32" t="inlineStr">
        <is>
          <t>K3-2C</t>
        </is>
      </c>
      <c r="D5764" s="32" t="n">
        <v>18.59</v>
      </c>
      <c r="E5764" s="32" t="n">
        <v>2.948</v>
      </c>
      <c r="F5764" s="32" t="n">
        <v>1898.184</v>
      </c>
      <c r="G5764" s="32" t="n">
        <v>1.06</v>
      </c>
      <c r="H5764" s="32" t="inlineStr">
        <is>
          <t>MM</t>
        </is>
      </c>
      <c r="K5764" s="32" t="inlineStr">
        <is>
          <t>20250514-48</t>
        </is>
      </c>
    </row>
    <row r="5765">
      <c r="A5765" s="32" t="n">
        <v>38</v>
      </c>
      <c r="B5765" s="32" t="inlineStr">
        <is>
          <t>MeOH</t>
        </is>
      </c>
      <c r="F5765" s="32" t="n">
        <v>49.623</v>
      </c>
      <c r="H5765" s="32" t="inlineStr">
        <is>
          <t>MM-</t>
        </is>
      </c>
      <c r="K5765" s="32" t="inlineStr">
        <is>
          <t>20250514-49</t>
        </is>
      </c>
    </row>
    <row r="5766">
      <c r="A5766" s="32" t="n">
        <v>39</v>
      </c>
      <c r="B5766" s="32" t="inlineStr">
        <is>
          <t>K3-3A</t>
        </is>
      </c>
      <c r="D5766" s="32" t="n">
        <v>18.88</v>
      </c>
      <c r="E5766" s="32" t="n">
        <v>3.101</v>
      </c>
      <c r="F5766" s="32" t="n">
        <v>1523.872</v>
      </c>
      <c r="G5766" s="32" t="n">
        <v>2.52</v>
      </c>
      <c r="H5766" s="32" t="inlineStr">
        <is>
          <t>MM</t>
        </is>
      </c>
      <c r="K5766" s="32" t="inlineStr">
        <is>
          <t>20250514-50</t>
        </is>
      </c>
    </row>
    <row r="5767">
      <c r="A5767" s="32" t="n">
        <v>40</v>
      </c>
      <c r="B5767" s="32" t="inlineStr">
        <is>
          <t>K3-3B</t>
        </is>
      </c>
      <c r="D5767" s="32" t="n">
        <v>18.88</v>
      </c>
      <c r="E5767" s="32" t="n">
        <v>3.475</v>
      </c>
      <c r="F5767" s="32" t="n">
        <v>1684.574</v>
      </c>
      <c r="G5767" s="32" t="n">
        <v>2.095</v>
      </c>
      <c r="H5767" s="32" t="inlineStr">
        <is>
          <t>bb</t>
        </is>
      </c>
      <c r="K5767" s="32" t="inlineStr">
        <is>
          <t>20250514-51</t>
        </is>
      </c>
    </row>
    <row r="5768">
      <c r="A5768" s="32" t="n">
        <v>41</v>
      </c>
      <c r="B5768" s="32" t="inlineStr">
        <is>
          <t>K3-3C</t>
        </is>
      </c>
      <c r="D5768" s="32" t="n">
        <v>18.78</v>
      </c>
      <c r="E5768" s="32" t="n">
        <v>3.708</v>
      </c>
      <c r="F5768" s="32" t="n">
        <v>2072.912</v>
      </c>
      <c r="G5768" s="32" t="n">
        <v>1.515</v>
      </c>
      <c r="H5768" s="32" t="inlineStr">
        <is>
          <t>MM</t>
        </is>
      </c>
      <c r="K5768" s="32" t="inlineStr">
        <is>
          <t>20250514-52</t>
        </is>
      </c>
    </row>
    <row r="5769">
      <c r="A5769" s="32" t="n">
        <v>42</v>
      </c>
      <c r="B5769" s="32" t="inlineStr">
        <is>
          <t>K3-4A</t>
        </is>
      </c>
      <c r="D5769" s="32" t="n">
        <v>18.65</v>
      </c>
      <c r="E5769" s="32" t="n">
        <v>11.386</v>
      </c>
      <c r="F5769" s="32" t="n">
        <v>2194.503</v>
      </c>
      <c r="G5769" s="32" t="n">
        <v>2.541</v>
      </c>
      <c r="H5769" s="32" t="inlineStr">
        <is>
          <t>bb</t>
        </is>
      </c>
      <c r="K5769" s="32" t="inlineStr">
        <is>
          <t>20250514-53</t>
        </is>
      </c>
    </row>
    <row r="5770">
      <c r="A5770" s="32" t="n">
        <v>43</v>
      </c>
      <c r="B5770" s="32" t="inlineStr">
        <is>
          <t>K3-4B</t>
        </is>
      </c>
      <c r="D5770" s="32" t="n">
        <v>18.91</v>
      </c>
      <c r="E5770" s="32" t="n">
        <v>6.637</v>
      </c>
      <c r="F5770" s="32" t="n">
        <v>1936.442</v>
      </c>
      <c r="G5770" s="32" t="n">
        <v>5.08</v>
      </c>
      <c r="H5770" s="32" t="inlineStr">
        <is>
          <t>MM</t>
        </is>
      </c>
      <c r="K5770" s="32" t="inlineStr">
        <is>
          <t>20250514-54</t>
        </is>
      </c>
    </row>
    <row r="5771">
      <c r="A5771" s="32" t="n">
        <v>44</v>
      </c>
      <c r="B5771" s="32" t="inlineStr">
        <is>
          <t>K3-4C</t>
        </is>
      </c>
      <c r="D5771" s="32" t="n">
        <v>18.91</v>
      </c>
      <c r="E5771" s="32" t="n">
        <v>3.714</v>
      </c>
      <c r="F5771" s="32" t="n">
        <v>2051.932</v>
      </c>
      <c r="G5771" s="32" t="n">
        <v>1.236</v>
      </c>
      <c r="H5771" s="32" t="inlineStr">
        <is>
          <t>bd</t>
        </is>
      </c>
      <c r="K5771" s="32" t="inlineStr">
        <is>
          <t>20250514-55</t>
        </is>
      </c>
    </row>
    <row r="5772">
      <c r="A5772" s="32" t="n">
        <v>45</v>
      </c>
      <c r="B5772" s="32" t="inlineStr">
        <is>
          <t>MeOH</t>
        </is>
      </c>
      <c r="H5772" s="32" t="inlineStr">
        <is>
          <t>MM-</t>
        </is>
      </c>
      <c r="K5772" s="32" t="inlineStr">
        <is>
          <t>20250514-56</t>
        </is>
      </c>
    </row>
    <row r="5773">
      <c r="A5773" s="32" t="n">
        <v>46</v>
      </c>
      <c r="B5773" s="32" t="inlineStr">
        <is>
          <t>K3-6A</t>
        </is>
      </c>
      <c r="D5773" s="32" t="n">
        <v>18.9</v>
      </c>
      <c r="E5773" s="32" t="n">
        <v>5.927</v>
      </c>
      <c r="F5773" s="32" t="n">
        <v>1703.303</v>
      </c>
      <c r="G5773" s="32" t="n">
        <v>4.886</v>
      </c>
      <c r="H5773" s="32" t="inlineStr">
        <is>
          <t>MM</t>
        </is>
      </c>
      <c r="K5773" s="32" t="inlineStr">
        <is>
          <t>20250514-57</t>
        </is>
      </c>
    </row>
    <row r="5774">
      <c r="A5774" s="32" t="n">
        <v>47</v>
      </c>
      <c r="B5774" s="32" t="inlineStr">
        <is>
          <t>K3-6B</t>
        </is>
      </c>
      <c r="D5774" s="32" t="n">
        <v>18.88</v>
      </c>
      <c r="E5774" s="32" t="n">
        <v>0.8110000000000001</v>
      </c>
      <c r="F5774" s="32" t="n">
        <v>1471.201</v>
      </c>
      <c r="G5774" s="32" t="n">
        <v>0.477</v>
      </c>
      <c r="H5774" s="32" t="inlineStr">
        <is>
          <t>MM</t>
        </is>
      </c>
      <c r="K5774" s="32" t="inlineStr">
        <is>
          <t>20250514-58</t>
        </is>
      </c>
    </row>
    <row r="5775">
      <c r="A5775" s="32" t="n">
        <v>48</v>
      </c>
      <c r="B5775" s="32" t="inlineStr">
        <is>
          <t>K3-6C</t>
        </is>
      </c>
      <c r="D5775" s="32" t="n">
        <v>18.73</v>
      </c>
      <c r="E5775" s="32" t="n">
        <v>1.477</v>
      </c>
      <c r="F5775" s="32" t="n">
        <v>1466.605</v>
      </c>
      <c r="G5775" s="32" t="n">
        <v>0.921</v>
      </c>
      <c r="H5775" s="32" t="inlineStr">
        <is>
          <t>MM</t>
        </is>
      </c>
      <c r="K5775" s="32" t="inlineStr">
        <is>
          <t>20250514-59</t>
        </is>
      </c>
    </row>
    <row r="5777">
      <c r="A5777" s="32" t="inlineStr">
        <is>
          <t>Compound 112:  N-EtFOSE 2</t>
        </is>
      </c>
    </row>
    <row r="5779">
      <c r="B5779" s="32" t="inlineStr">
        <is>
          <t>Sample Text</t>
        </is>
      </c>
      <c r="C5779" s="32" t="inlineStr">
        <is>
          <t>Std. Conc</t>
        </is>
      </c>
      <c r="D5779" s="32" t="inlineStr">
        <is>
          <t>RT</t>
        </is>
      </c>
      <c r="E5779" s="32" t="inlineStr">
        <is>
          <t>Area</t>
        </is>
      </c>
      <c r="F5779" s="32" t="inlineStr">
        <is>
          <t>IS Area</t>
        </is>
      </c>
      <c r="G5779" s="32" t="inlineStr">
        <is>
          <t>S/N</t>
        </is>
      </c>
      <c r="H5779" s="32" t="inlineStr">
        <is>
          <t>Primary Flags</t>
        </is>
      </c>
      <c r="I5779" s="32" t="inlineStr">
        <is>
          <t>Response</t>
        </is>
      </c>
      <c r="J5779" s="32" t="inlineStr">
        <is>
          <t>Conc.</t>
        </is>
      </c>
      <c r="K5779" s="32" t="inlineStr">
        <is>
          <t>Name</t>
        </is>
      </c>
    </row>
    <row r="5780">
      <c r="A5780" s="32" t="n">
        <v>1</v>
      </c>
      <c r="B5780" s="32" t="inlineStr">
        <is>
          <t>EPA1633 &amp; diPAPs Calibration 0 ppb</t>
        </is>
      </c>
      <c r="D5780" s="32" t="n">
        <v>18.84</v>
      </c>
      <c r="E5780" s="32" t="n">
        <v>12.177</v>
      </c>
      <c r="F5780" s="32" t="n">
        <v>863.603</v>
      </c>
      <c r="G5780" s="32" t="n">
        <v>5.542</v>
      </c>
      <c r="H5780" s="32" t="inlineStr">
        <is>
          <t>bb</t>
        </is>
      </c>
      <c r="K5780" s="32" t="inlineStr">
        <is>
          <t>20250514-12</t>
        </is>
      </c>
    </row>
    <row r="5781">
      <c r="A5781" s="32" t="n">
        <v>2</v>
      </c>
      <c r="B5781" s="32" t="inlineStr">
        <is>
          <t>EPA1633 &amp; diPAPs Calibration 0.02 ppb</t>
        </is>
      </c>
      <c r="D5781" s="32" t="n">
        <v>18.86</v>
      </c>
      <c r="E5781" s="32" t="n">
        <v>15.264</v>
      </c>
      <c r="F5781" s="32" t="n">
        <v>880.98</v>
      </c>
      <c r="G5781" s="32" t="n">
        <v>29.648</v>
      </c>
      <c r="H5781" s="32" t="inlineStr">
        <is>
          <t>bb</t>
        </is>
      </c>
      <c r="K5781" s="32" t="inlineStr">
        <is>
          <t>20250514-13</t>
        </is>
      </c>
    </row>
    <row r="5782">
      <c r="A5782" s="32" t="n">
        <v>3</v>
      </c>
      <c r="B5782" s="32" t="inlineStr">
        <is>
          <t>EPA1633 &amp; diPAPs Calibration 0.1 ppb</t>
        </is>
      </c>
      <c r="D5782" s="32" t="n">
        <v>18.86</v>
      </c>
      <c r="E5782" s="32" t="n">
        <v>13.205</v>
      </c>
      <c r="F5782" s="32" t="n">
        <v>883.397</v>
      </c>
      <c r="G5782" s="32" t="n">
        <v>16.334</v>
      </c>
      <c r="H5782" s="32" t="inlineStr">
        <is>
          <t>bb</t>
        </is>
      </c>
      <c r="K5782" s="32" t="inlineStr">
        <is>
          <t>20250514-14</t>
        </is>
      </c>
    </row>
    <row r="5783">
      <c r="A5783" s="32" t="n">
        <v>4</v>
      </c>
      <c r="B5783" s="32" t="inlineStr">
        <is>
          <t>EPA1633 &amp; diPAPs Calibration 0.4 ppb</t>
        </is>
      </c>
      <c r="D5783" s="32" t="n">
        <v>18.87</v>
      </c>
      <c r="E5783" s="32" t="n">
        <v>51.929</v>
      </c>
      <c r="F5783" s="32" t="n">
        <v>875.073</v>
      </c>
      <c r="G5783" s="32" t="n">
        <v>17.242</v>
      </c>
      <c r="H5783" s="32" t="inlineStr">
        <is>
          <t>bb</t>
        </is>
      </c>
      <c r="K5783" s="32" t="inlineStr">
        <is>
          <t>20250514-15</t>
        </is>
      </c>
    </row>
    <row r="5784">
      <c r="A5784" s="32" t="n">
        <v>5</v>
      </c>
      <c r="B5784" s="32" t="inlineStr">
        <is>
          <t>EPA1633 &amp; diPAPs Calibration 1 ppb</t>
        </is>
      </c>
      <c r="D5784" s="32" t="n">
        <v>18.85</v>
      </c>
      <c r="E5784" s="32" t="n">
        <v>93.956</v>
      </c>
      <c r="F5784" s="32" t="n">
        <v>947.532</v>
      </c>
      <c r="G5784" s="32" t="n">
        <v>52.572</v>
      </c>
      <c r="H5784" s="32" t="inlineStr">
        <is>
          <t>MM</t>
        </is>
      </c>
      <c r="K5784" s="32" t="inlineStr">
        <is>
          <t>20250514-16</t>
        </is>
      </c>
    </row>
    <row r="5785">
      <c r="A5785" s="32" t="n">
        <v>6</v>
      </c>
      <c r="B5785" s="32" t="inlineStr">
        <is>
          <t>EPA1633 &amp; diPAPs Calibration 5 ppb</t>
        </is>
      </c>
      <c r="D5785" s="32" t="n">
        <v>18.85</v>
      </c>
      <c r="E5785" s="32" t="n">
        <v>381.16</v>
      </c>
      <c r="F5785" s="32" t="n">
        <v>789.326</v>
      </c>
      <c r="G5785" s="32" t="n">
        <v>128.595</v>
      </c>
      <c r="H5785" s="32" t="inlineStr">
        <is>
          <t>bb</t>
        </is>
      </c>
      <c r="K5785" s="32" t="inlineStr">
        <is>
          <t>20250514-17</t>
        </is>
      </c>
    </row>
    <row r="5786">
      <c r="A5786" s="32" t="n">
        <v>7</v>
      </c>
      <c r="B5786" s="32" t="inlineStr">
        <is>
          <t>EPA1633 &amp; diPAPs Calibration 10 ppb</t>
        </is>
      </c>
      <c r="D5786" s="32" t="n">
        <v>18.85</v>
      </c>
      <c r="E5786" s="32" t="n">
        <v>712.124</v>
      </c>
      <c r="F5786" s="32" t="n">
        <v>632.259</v>
      </c>
      <c r="G5786" s="32" t="n">
        <v>362.838</v>
      </c>
      <c r="H5786" s="32" t="inlineStr">
        <is>
          <t>MM</t>
        </is>
      </c>
      <c r="K5786" s="32" t="inlineStr">
        <is>
          <t>20250514-18</t>
        </is>
      </c>
    </row>
    <row r="5787">
      <c r="A5787" s="32" t="n">
        <v>8</v>
      </c>
      <c r="B5787" s="32" t="inlineStr">
        <is>
          <t>EPA1633 &amp; diPAPs Calibration 20 ppb</t>
        </is>
      </c>
      <c r="D5787" s="32" t="n">
        <v>18.86</v>
      </c>
      <c r="E5787" s="32" t="n">
        <v>1567.228</v>
      </c>
      <c r="F5787" s="32" t="n">
        <v>756.328</v>
      </c>
      <c r="G5787" s="32" t="n">
        <v>431.322</v>
      </c>
      <c r="H5787" s="32" t="inlineStr">
        <is>
          <t>MM</t>
        </is>
      </c>
      <c r="K5787" s="32" t="inlineStr">
        <is>
          <t>20250514-19</t>
        </is>
      </c>
    </row>
    <row r="5788">
      <c r="A5788" s="32" t="n">
        <v>9</v>
      </c>
      <c r="B5788" s="32" t="inlineStr">
        <is>
          <t>MeOH</t>
        </is>
      </c>
      <c r="D5788" s="32" t="n">
        <v>18.87</v>
      </c>
      <c r="E5788" s="32" t="n">
        <v>31.106</v>
      </c>
      <c r="F5788" s="32" t="n">
        <v>24.043</v>
      </c>
      <c r="G5788" s="32" t="n">
        <v>31.602</v>
      </c>
      <c r="H5788" s="32" t="inlineStr">
        <is>
          <t>bb</t>
        </is>
      </c>
      <c r="K5788" s="32" t="inlineStr">
        <is>
          <t>20250514-20</t>
        </is>
      </c>
    </row>
    <row r="5789">
      <c r="A5789" s="32" t="n">
        <v>10</v>
      </c>
      <c r="B5789" s="32" t="inlineStr">
        <is>
          <t>MeOH</t>
        </is>
      </c>
      <c r="D5789" s="32" t="n">
        <v>18.86</v>
      </c>
      <c r="E5789" s="32" t="n">
        <v>7.831</v>
      </c>
      <c r="F5789" s="32" t="n">
        <v>3.859</v>
      </c>
      <c r="G5789" s="32" t="n">
        <v>7.107</v>
      </c>
      <c r="H5789" s="32" t="inlineStr">
        <is>
          <t>bb</t>
        </is>
      </c>
      <c r="K5789" s="32" t="inlineStr">
        <is>
          <t>20250514-21</t>
        </is>
      </c>
    </row>
    <row r="5790">
      <c r="A5790" s="32" t="n">
        <v>11</v>
      </c>
      <c r="B5790" s="32" t="inlineStr">
        <is>
          <t>SB1</t>
        </is>
      </c>
      <c r="D5790" s="32" t="n">
        <v>18.87</v>
      </c>
      <c r="E5790" s="32" t="n">
        <v>6.428</v>
      </c>
      <c r="F5790" s="32" t="n">
        <v>271.561</v>
      </c>
      <c r="G5790" s="32" t="n">
        <v>32.208</v>
      </c>
      <c r="H5790" s="32" t="inlineStr">
        <is>
          <t>bb</t>
        </is>
      </c>
      <c r="K5790" s="32" t="inlineStr">
        <is>
          <t>20250514-22</t>
        </is>
      </c>
    </row>
    <row r="5791">
      <c r="A5791" s="32" t="n">
        <v>12</v>
      </c>
      <c r="B5791" s="32" t="inlineStr">
        <is>
          <t>SB2</t>
        </is>
      </c>
      <c r="D5791" s="32" t="n">
        <v>18.96</v>
      </c>
      <c r="E5791" s="32" t="n">
        <v>1.366</v>
      </c>
      <c r="F5791" s="32" t="n">
        <v>278.047</v>
      </c>
      <c r="G5791" s="32" t="n">
        <v>8.939</v>
      </c>
      <c r="H5791" s="32" t="inlineStr">
        <is>
          <t>bb</t>
        </is>
      </c>
      <c r="K5791" s="32" t="inlineStr">
        <is>
          <t>20250514-23</t>
        </is>
      </c>
    </row>
    <row r="5792">
      <c r="A5792" s="32" t="n">
        <v>13</v>
      </c>
      <c r="B5792" s="32" t="inlineStr">
        <is>
          <t>SB3</t>
        </is>
      </c>
      <c r="D5792" s="32" t="n">
        <v>18.84</v>
      </c>
      <c r="E5792" s="32" t="n">
        <v>5.217</v>
      </c>
      <c r="F5792" s="32" t="n">
        <v>309.649</v>
      </c>
      <c r="G5792" s="32" t="n">
        <v>40.934</v>
      </c>
      <c r="H5792" s="32" t="inlineStr">
        <is>
          <t>bb</t>
        </is>
      </c>
      <c r="K5792" s="32" t="inlineStr">
        <is>
          <t>20250514-24</t>
        </is>
      </c>
    </row>
    <row r="5793">
      <c r="A5793" s="32" t="n">
        <v>14</v>
      </c>
      <c r="B5793" s="32" t="inlineStr">
        <is>
          <t>SS1</t>
        </is>
      </c>
      <c r="D5793" s="32" t="n">
        <v>18.88</v>
      </c>
      <c r="E5793" s="32" t="n">
        <v>390.543</v>
      </c>
      <c r="F5793" s="32" t="n">
        <v>231.245</v>
      </c>
      <c r="G5793" s="32" t="n">
        <v>39.946</v>
      </c>
      <c r="H5793" s="32" t="inlineStr">
        <is>
          <t>bb</t>
        </is>
      </c>
      <c r="K5793" s="32" t="inlineStr">
        <is>
          <t>20250514-25</t>
        </is>
      </c>
    </row>
    <row r="5794">
      <c r="A5794" s="32" t="n">
        <v>15</v>
      </c>
      <c r="B5794" s="32" t="inlineStr">
        <is>
          <t>SS2</t>
        </is>
      </c>
      <c r="D5794" s="32" t="n">
        <v>18.9</v>
      </c>
      <c r="E5794" s="32" t="n">
        <v>271.684</v>
      </c>
      <c r="F5794" s="32" t="n">
        <v>275.501</v>
      </c>
      <c r="G5794" s="32" t="n">
        <v>65.381</v>
      </c>
      <c r="H5794" s="32" t="inlineStr">
        <is>
          <t>bb</t>
        </is>
      </c>
      <c r="K5794" s="32" t="inlineStr">
        <is>
          <t>20250514-26</t>
        </is>
      </c>
    </row>
    <row r="5795">
      <c r="A5795" s="32" t="n">
        <v>16</v>
      </c>
      <c r="B5795" s="32" t="inlineStr">
        <is>
          <t>SS3</t>
        </is>
      </c>
      <c r="D5795" s="32" t="n">
        <v>18.9</v>
      </c>
      <c r="E5795" s="32" t="n">
        <v>255.819</v>
      </c>
      <c r="F5795" s="32" t="n">
        <v>221.268</v>
      </c>
      <c r="G5795" s="32" t="n">
        <v>71.762</v>
      </c>
      <c r="H5795" s="32" t="inlineStr">
        <is>
          <t>bb</t>
        </is>
      </c>
      <c r="K5795" s="32" t="inlineStr">
        <is>
          <t>20250514-27</t>
        </is>
      </c>
    </row>
    <row r="5796">
      <c r="A5796" s="32" t="n">
        <v>17</v>
      </c>
      <c r="B5796" s="32" t="inlineStr">
        <is>
          <t>MeOH</t>
        </is>
      </c>
      <c r="D5796" s="32" t="n">
        <v>18.92</v>
      </c>
      <c r="E5796" s="32" t="n">
        <v>4.969</v>
      </c>
      <c r="G5796" s="32" t="n">
        <v>18.216</v>
      </c>
      <c r="H5796" s="32" t="inlineStr">
        <is>
          <t>bb</t>
        </is>
      </c>
      <c r="K5796" s="32" t="inlineStr">
        <is>
          <t>20250514-28</t>
        </is>
      </c>
    </row>
    <row r="5797">
      <c r="A5797" s="32" t="n">
        <v>18</v>
      </c>
      <c r="B5797" s="32" t="inlineStr">
        <is>
          <t>K4-1A</t>
        </is>
      </c>
      <c r="D5797" s="32" t="n">
        <v>18.88</v>
      </c>
      <c r="E5797" s="32" t="n">
        <v>5.489</v>
      </c>
      <c r="F5797" s="32" t="n">
        <v>386.413</v>
      </c>
      <c r="G5797" s="32" t="n">
        <v>2.733</v>
      </c>
      <c r="H5797" s="32" t="inlineStr">
        <is>
          <t>bb</t>
        </is>
      </c>
      <c r="K5797" s="32" t="inlineStr">
        <is>
          <t>20250514-29</t>
        </is>
      </c>
    </row>
    <row r="5798">
      <c r="A5798" s="32" t="n">
        <v>19</v>
      </c>
      <c r="B5798" s="32" t="inlineStr">
        <is>
          <t>K4-1B</t>
        </is>
      </c>
      <c r="D5798" s="32" t="n">
        <v>18.62</v>
      </c>
      <c r="E5798" s="32" t="n">
        <v>4.449</v>
      </c>
      <c r="F5798" s="32" t="n">
        <v>357.832</v>
      </c>
      <c r="G5798" s="32" t="n">
        <v>30.012</v>
      </c>
      <c r="H5798" s="32" t="inlineStr">
        <is>
          <t>bb</t>
        </is>
      </c>
      <c r="K5798" s="32" t="inlineStr">
        <is>
          <t>20250514-30</t>
        </is>
      </c>
    </row>
    <row r="5799">
      <c r="A5799" s="32" t="n">
        <v>20</v>
      </c>
      <c r="B5799" s="32" t="inlineStr">
        <is>
          <t>K4-1C</t>
        </is>
      </c>
      <c r="D5799" s="32" t="n">
        <v>18.82</v>
      </c>
      <c r="E5799" s="32" t="n">
        <v>1.053</v>
      </c>
      <c r="F5799" s="32" t="n">
        <v>351.694</v>
      </c>
      <c r="G5799" s="32" t="n">
        <v>20</v>
      </c>
      <c r="H5799" s="32" t="inlineStr">
        <is>
          <t>bb</t>
        </is>
      </c>
      <c r="K5799" s="32" t="inlineStr">
        <is>
          <t>20250514-31</t>
        </is>
      </c>
    </row>
    <row r="5800">
      <c r="A5800" s="32" t="n">
        <v>21</v>
      </c>
      <c r="B5800" s="32" t="inlineStr">
        <is>
          <t>K4-2A</t>
        </is>
      </c>
      <c r="D5800" s="32" t="n">
        <v>18.9</v>
      </c>
      <c r="E5800" s="32" t="n">
        <v>1.297</v>
      </c>
      <c r="F5800" s="32" t="n">
        <v>364.65</v>
      </c>
      <c r="G5800" s="32" t="n">
        <v>17.048</v>
      </c>
      <c r="H5800" s="32" t="inlineStr">
        <is>
          <t>bb</t>
        </is>
      </c>
      <c r="K5800" s="32" t="inlineStr">
        <is>
          <t>20250514-32</t>
        </is>
      </c>
    </row>
    <row r="5801">
      <c r="A5801" s="32" t="n">
        <v>22</v>
      </c>
      <c r="B5801" s="32" t="inlineStr">
        <is>
          <t>K4-2B</t>
        </is>
      </c>
      <c r="D5801" s="32" t="n">
        <v>18.37</v>
      </c>
      <c r="E5801" s="32" t="n">
        <v>0.741</v>
      </c>
      <c r="F5801" s="32" t="n">
        <v>298.712</v>
      </c>
      <c r="G5801" s="32" t="n">
        <v>10</v>
      </c>
      <c r="H5801" s="32" t="inlineStr">
        <is>
          <t>bb</t>
        </is>
      </c>
      <c r="K5801" s="32" t="inlineStr">
        <is>
          <t>20250514-33</t>
        </is>
      </c>
    </row>
    <row r="5802">
      <c r="A5802" s="32" t="n">
        <v>23</v>
      </c>
      <c r="B5802" s="32" t="inlineStr">
        <is>
          <t>K4-2C</t>
        </is>
      </c>
      <c r="D5802" s="32" t="n">
        <v>19.33</v>
      </c>
      <c r="E5802" s="32" t="n">
        <v>0.207</v>
      </c>
      <c r="F5802" s="32" t="n">
        <v>296.1</v>
      </c>
      <c r="G5802" s="32" t="n">
        <v>0.367</v>
      </c>
      <c r="H5802" s="32" t="inlineStr">
        <is>
          <t>bb</t>
        </is>
      </c>
      <c r="K5802" s="32" t="inlineStr">
        <is>
          <t>20250514-34</t>
        </is>
      </c>
    </row>
    <row r="5803">
      <c r="A5803" s="32" t="n">
        <v>24</v>
      </c>
      <c r="B5803" s="32" t="inlineStr">
        <is>
          <t>MeOH</t>
        </is>
      </c>
      <c r="D5803" s="32" t="n">
        <v>18.93</v>
      </c>
      <c r="E5803" s="32" t="n">
        <v>3.012</v>
      </c>
      <c r="F5803" s="32" t="n">
        <v>4.766</v>
      </c>
      <c r="G5803" s="32" t="n">
        <v>2.94</v>
      </c>
      <c r="H5803" s="32" t="inlineStr">
        <is>
          <t>bb</t>
        </is>
      </c>
      <c r="K5803" s="32" t="inlineStr">
        <is>
          <t>20250514-35</t>
        </is>
      </c>
    </row>
    <row r="5804">
      <c r="A5804" s="32" t="n">
        <v>25</v>
      </c>
      <c r="B5804" s="32" t="inlineStr">
        <is>
          <t>K4-4A</t>
        </is>
      </c>
      <c r="D5804" s="32" t="n">
        <v>18.74</v>
      </c>
      <c r="E5804" s="32" t="n">
        <v>0.402</v>
      </c>
      <c r="F5804" s="32" t="n">
        <v>272.169</v>
      </c>
      <c r="G5804" s="32" t="n">
        <v>4</v>
      </c>
      <c r="H5804" s="32" t="inlineStr">
        <is>
          <t>bb</t>
        </is>
      </c>
      <c r="K5804" s="32" t="inlineStr">
        <is>
          <t>20250514-36</t>
        </is>
      </c>
    </row>
    <row r="5805">
      <c r="A5805" s="32" t="n">
        <v>26</v>
      </c>
      <c r="B5805" s="32" t="inlineStr">
        <is>
          <t>K4-4B</t>
        </is>
      </c>
      <c r="D5805" s="32" t="n">
        <v>18.64</v>
      </c>
      <c r="E5805" s="32" t="n">
        <v>0.6889999999999999</v>
      </c>
      <c r="F5805" s="32" t="n">
        <v>336.453</v>
      </c>
      <c r="G5805" s="32" t="n">
        <v>10</v>
      </c>
      <c r="H5805" s="32" t="inlineStr">
        <is>
          <t>bb</t>
        </is>
      </c>
      <c r="K5805" s="32" t="inlineStr">
        <is>
          <t>20250514-37</t>
        </is>
      </c>
    </row>
    <row r="5806">
      <c r="A5806" s="32" t="n">
        <v>27</v>
      </c>
      <c r="B5806" s="32" t="inlineStr">
        <is>
          <t>K4-4C</t>
        </is>
      </c>
      <c r="D5806" s="32" t="n">
        <v>18.83</v>
      </c>
      <c r="E5806" s="32" t="n">
        <v>1.135</v>
      </c>
      <c r="F5806" s="32" t="n">
        <v>359.108</v>
      </c>
      <c r="G5806" s="32" t="n">
        <v>23</v>
      </c>
      <c r="H5806" s="32" t="inlineStr">
        <is>
          <t>bb</t>
        </is>
      </c>
      <c r="K5806" s="32" t="inlineStr">
        <is>
          <t>20250514-38</t>
        </is>
      </c>
    </row>
    <row r="5807">
      <c r="A5807" s="32" t="n">
        <v>28</v>
      </c>
      <c r="B5807" s="32" t="inlineStr">
        <is>
          <t>K4-5A</t>
        </is>
      </c>
      <c r="D5807" s="32" t="n">
        <v>19.12</v>
      </c>
      <c r="E5807" s="32" t="n">
        <v>1.555</v>
      </c>
      <c r="F5807" s="32" t="n">
        <v>336.733</v>
      </c>
      <c r="G5807" s="32" t="n">
        <v>29</v>
      </c>
      <c r="H5807" s="32" t="inlineStr">
        <is>
          <t>bb</t>
        </is>
      </c>
      <c r="K5807" s="32" t="inlineStr">
        <is>
          <t>20250514-39</t>
        </is>
      </c>
    </row>
    <row r="5808">
      <c r="A5808" s="32" t="n">
        <v>29</v>
      </c>
      <c r="B5808" s="32" t="inlineStr">
        <is>
          <t>K4-5B</t>
        </is>
      </c>
      <c r="D5808" s="32" t="n">
        <v>18.86</v>
      </c>
      <c r="E5808" s="32" t="n">
        <v>1.724</v>
      </c>
      <c r="F5808" s="32" t="n">
        <v>351</v>
      </c>
      <c r="G5808" s="32" t="n">
        <v>22.231</v>
      </c>
      <c r="H5808" s="32" t="inlineStr">
        <is>
          <t>bb</t>
        </is>
      </c>
      <c r="K5808" s="32" t="inlineStr">
        <is>
          <t>20250514-40</t>
        </is>
      </c>
    </row>
    <row r="5809">
      <c r="A5809" s="32" t="n">
        <v>30</v>
      </c>
      <c r="B5809" s="32" t="inlineStr">
        <is>
          <t>K4-5C</t>
        </is>
      </c>
      <c r="D5809" s="32" t="n">
        <v>19.18</v>
      </c>
      <c r="E5809" s="32" t="n">
        <v>0.457</v>
      </c>
      <c r="F5809" s="32" t="n">
        <v>341.754</v>
      </c>
      <c r="G5809" s="32" t="n">
        <v>3.141</v>
      </c>
      <c r="H5809" s="32" t="inlineStr">
        <is>
          <t>bb</t>
        </is>
      </c>
      <c r="K5809" s="32" t="inlineStr">
        <is>
          <t>20250514-41</t>
        </is>
      </c>
    </row>
    <row r="5810">
      <c r="A5810" s="32" t="n">
        <v>31</v>
      </c>
      <c r="B5810" s="32" t="inlineStr">
        <is>
          <t>MeOH</t>
        </is>
      </c>
      <c r="D5810" s="32" t="n">
        <v>18.78</v>
      </c>
      <c r="E5810" s="32" t="n">
        <v>3.017</v>
      </c>
      <c r="F5810" s="32" t="n">
        <v>4.354</v>
      </c>
      <c r="G5810" s="32" t="n">
        <v>2.962</v>
      </c>
      <c r="H5810" s="32" t="inlineStr">
        <is>
          <t>bb</t>
        </is>
      </c>
      <c r="K5810" s="32" t="inlineStr">
        <is>
          <t>20250514-42</t>
        </is>
      </c>
    </row>
    <row r="5811">
      <c r="A5811" s="32" t="n">
        <v>32</v>
      </c>
      <c r="B5811" s="32" t="inlineStr">
        <is>
          <t>K3-1A</t>
        </is>
      </c>
      <c r="D5811" s="32" t="n">
        <v>18.65</v>
      </c>
      <c r="E5811" s="32" t="n">
        <v>4.019</v>
      </c>
      <c r="F5811" s="32" t="n">
        <v>361.081</v>
      </c>
      <c r="G5811" s="32" t="n">
        <v>4.037</v>
      </c>
      <c r="H5811" s="32" t="inlineStr">
        <is>
          <t>bb</t>
        </is>
      </c>
      <c r="K5811" s="32" t="inlineStr">
        <is>
          <t>20250514-43</t>
        </is>
      </c>
    </row>
    <row r="5812">
      <c r="A5812" s="32" t="n">
        <v>33</v>
      </c>
      <c r="B5812" s="32" t="inlineStr">
        <is>
          <t>K3-1B</t>
        </is>
      </c>
      <c r="D5812" s="32" t="n">
        <v>19.2</v>
      </c>
      <c r="E5812" s="32" t="n">
        <v>0.238</v>
      </c>
      <c r="F5812" s="32" t="n">
        <v>343.086</v>
      </c>
      <c r="G5812" s="32" t="n">
        <v>2.419</v>
      </c>
      <c r="H5812" s="32" t="inlineStr">
        <is>
          <t>bb</t>
        </is>
      </c>
      <c r="K5812" s="32" t="inlineStr">
        <is>
          <t>20250514-44</t>
        </is>
      </c>
    </row>
    <row r="5813">
      <c r="A5813" s="32" t="n">
        <v>34</v>
      </c>
      <c r="B5813" s="32" t="inlineStr">
        <is>
          <t>K3-1C</t>
        </is>
      </c>
      <c r="D5813" s="32" t="n">
        <v>18.5</v>
      </c>
      <c r="E5813" s="32" t="n">
        <v>0.038</v>
      </c>
      <c r="F5813" s="32" t="n">
        <v>522.8099999999999</v>
      </c>
      <c r="G5813" s="32" t="n">
        <v>1</v>
      </c>
      <c r="H5813" s="32" t="inlineStr">
        <is>
          <t>bb</t>
        </is>
      </c>
      <c r="K5813" s="32" t="inlineStr">
        <is>
          <t>20250514-45</t>
        </is>
      </c>
    </row>
    <row r="5814">
      <c r="A5814" s="32" t="n">
        <v>35</v>
      </c>
      <c r="B5814" s="32" t="inlineStr">
        <is>
          <t>K3-2A</t>
        </is>
      </c>
      <c r="D5814" s="32" t="n">
        <v>19.33</v>
      </c>
      <c r="E5814" s="32" t="n">
        <v>2.294</v>
      </c>
      <c r="F5814" s="32" t="n">
        <v>467.569</v>
      </c>
      <c r="G5814" s="32" t="n">
        <v>16.894</v>
      </c>
      <c r="H5814" s="32" t="inlineStr">
        <is>
          <t>bb</t>
        </is>
      </c>
      <c r="K5814" s="32" t="inlineStr">
        <is>
          <t>20250514-46</t>
        </is>
      </c>
    </row>
    <row r="5815">
      <c r="A5815" s="32" t="n">
        <v>36</v>
      </c>
      <c r="B5815" s="32" t="inlineStr">
        <is>
          <t>K3-2B</t>
        </is>
      </c>
      <c r="D5815" s="32" t="n">
        <v>18.35</v>
      </c>
      <c r="E5815" s="32" t="n">
        <v>0.5580000000000001</v>
      </c>
      <c r="F5815" s="32" t="n">
        <v>515.707</v>
      </c>
      <c r="G5815" s="32" t="n">
        <v>3.598</v>
      </c>
      <c r="H5815" s="32" t="inlineStr">
        <is>
          <t>bb</t>
        </is>
      </c>
      <c r="K5815" s="32" t="inlineStr">
        <is>
          <t>20250514-47</t>
        </is>
      </c>
    </row>
    <row r="5816">
      <c r="A5816" s="32" t="n">
        <v>37</v>
      </c>
      <c r="B5816" s="32" t="inlineStr">
        <is>
          <t>K3-2C</t>
        </is>
      </c>
      <c r="D5816" s="32" t="n">
        <v>19.03</v>
      </c>
      <c r="E5816" s="32" t="n">
        <v>0.149</v>
      </c>
      <c r="F5816" s="32" t="n">
        <v>421.389</v>
      </c>
      <c r="G5816" s="32" t="n">
        <v>1.964</v>
      </c>
      <c r="H5816" s="32" t="inlineStr">
        <is>
          <t>bb</t>
        </is>
      </c>
      <c r="K5816" s="32" t="inlineStr">
        <is>
          <t>20250514-48</t>
        </is>
      </c>
    </row>
    <row r="5817">
      <c r="A5817" s="32" t="n">
        <v>38</v>
      </c>
      <c r="B5817" s="32" t="inlineStr">
        <is>
          <t>MeOH</t>
        </is>
      </c>
      <c r="D5817" s="32" t="n">
        <v>19.33</v>
      </c>
      <c r="E5817" s="32" t="n">
        <v>2.828</v>
      </c>
      <c r="F5817" s="32" t="n">
        <v>6.158</v>
      </c>
      <c r="G5817" s="32" t="n">
        <v>3.831</v>
      </c>
      <c r="H5817" s="32" t="inlineStr">
        <is>
          <t>bb</t>
        </is>
      </c>
      <c r="K5817" s="32" t="inlineStr">
        <is>
          <t>20250514-49</t>
        </is>
      </c>
    </row>
    <row r="5818">
      <c r="A5818" s="32" t="n">
        <v>39</v>
      </c>
      <c r="B5818" s="32" t="inlineStr">
        <is>
          <t>K3-3A</t>
        </is>
      </c>
      <c r="D5818" s="32" t="n">
        <v>18.43</v>
      </c>
      <c r="E5818" s="32" t="n">
        <v>0.21</v>
      </c>
      <c r="F5818" s="32" t="n">
        <v>322.104</v>
      </c>
      <c r="G5818" s="32" t="n">
        <v>3</v>
      </c>
      <c r="H5818" s="32" t="inlineStr">
        <is>
          <t>bb</t>
        </is>
      </c>
      <c r="K5818" s="32" t="inlineStr">
        <is>
          <t>20250514-50</t>
        </is>
      </c>
    </row>
    <row r="5819">
      <c r="A5819" s="32" t="n">
        <v>40</v>
      </c>
      <c r="B5819" s="32" t="inlineStr">
        <is>
          <t>K3-3B</t>
        </is>
      </c>
      <c r="D5819" s="32" t="n">
        <v>18.74</v>
      </c>
      <c r="E5819" s="32" t="n">
        <v>1.158</v>
      </c>
      <c r="F5819" s="32" t="n">
        <v>385.892</v>
      </c>
      <c r="G5819" s="32" t="n">
        <v>2.652</v>
      </c>
      <c r="H5819" s="32" t="inlineStr">
        <is>
          <t>bd</t>
        </is>
      </c>
      <c r="K5819" s="32" t="inlineStr">
        <is>
          <t>20250514-51</t>
        </is>
      </c>
    </row>
    <row r="5820">
      <c r="A5820" s="32" t="n">
        <v>41</v>
      </c>
      <c r="B5820" s="32" t="inlineStr">
        <is>
          <t>K3-3C</t>
        </is>
      </c>
      <c r="D5820" s="32" t="n">
        <v>18.42</v>
      </c>
      <c r="E5820" s="32" t="n">
        <v>0.124</v>
      </c>
      <c r="F5820" s="32" t="n">
        <v>447.983</v>
      </c>
      <c r="G5820" s="32" t="n">
        <v>0.619</v>
      </c>
      <c r="H5820" s="32" t="inlineStr">
        <is>
          <t>bd</t>
        </is>
      </c>
      <c r="K5820" s="32" t="inlineStr">
        <is>
          <t>20250514-52</t>
        </is>
      </c>
    </row>
    <row r="5821">
      <c r="A5821" s="32" t="n">
        <v>42</v>
      </c>
      <c r="B5821" s="32" t="inlineStr">
        <is>
          <t>K3-4A</t>
        </is>
      </c>
      <c r="D5821" s="32" t="n">
        <v>18.86</v>
      </c>
      <c r="E5821" s="32" t="n">
        <v>0.702</v>
      </c>
      <c r="F5821" s="32" t="n">
        <v>476.739</v>
      </c>
      <c r="G5821" s="32" t="n">
        <v>6.419</v>
      </c>
      <c r="H5821" s="32" t="inlineStr">
        <is>
          <t>bb</t>
        </is>
      </c>
      <c r="K5821" s="32" t="inlineStr">
        <is>
          <t>20250514-53</t>
        </is>
      </c>
    </row>
    <row r="5822">
      <c r="A5822" s="32" t="n">
        <v>43</v>
      </c>
      <c r="B5822" s="32" t="inlineStr">
        <is>
          <t>K3-4B</t>
        </is>
      </c>
      <c r="D5822" s="32" t="n">
        <v>19.29</v>
      </c>
      <c r="E5822" s="32" t="n">
        <v>0.157</v>
      </c>
      <c r="F5822" s="32" t="n">
        <v>427.36</v>
      </c>
      <c r="G5822" s="32" t="n">
        <v>1.445</v>
      </c>
      <c r="H5822" s="32" t="inlineStr">
        <is>
          <t>bb</t>
        </is>
      </c>
      <c r="K5822" s="32" t="inlineStr">
        <is>
          <t>20250514-54</t>
        </is>
      </c>
    </row>
    <row r="5823">
      <c r="A5823" s="32" t="n">
        <v>44</v>
      </c>
      <c r="B5823" s="32" t="inlineStr">
        <is>
          <t>K3-4C</t>
        </is>
      </c>
      <c r="D5823" s="32" t="n">
        <v>19.28</v>
      </c>
      <c r="E5823" s="32" t="n">
        <v>0.08799999999999999</v>
      </c>
      <c r="F5823" s="32" t="n">
        <v>465.784</v>
      </c>
      <c r="G5823" s="32" t="n">
        <v>2</v>
      </c>
      <c r="H5823" s="32" t="inlineStr">
        <is>
          <t>bb</t>
        </is>
      </c>
      <c r="K5823" s="32" t="inlineStr">
        <is>
          <t>20250514-55</t>
        </is>
      </c>
    </row>
    <row r="5824">
      <c r="A5824" s="32" t="n">
        <v>45</v>
      </c>
      <c r="B5824" s="32" t="inlineStr">
        <is>
          <t>MeOH</t>
        </is>
      </c>
      <c r="D5824" s="32" t="n">
        <v>19.13</v>
      </c>
      <c r="E5824" s="32" t="n">
        <v>0.9360000000000001</v>
      </c>
      <c r="F5824" s="32" t="n">
        <v>13.47</v>
      </c>
      <c r="G5824" s="32" t="n">
        <v>19.588</v>
      </c>
      <c r="H5824" s="32" t="inlineStr">
        <is>
          <t>bb</t>
        </is>
      </c>
      <c r="K5824" s="32" t="inlineStr">
        <is>
          <t>20250514-56</t>
        </is>
      </c>
    </row>
    <row r="5825">
      <c r="A5825" s="32" t="n">
        <v>46</v>
      </c>
      <c r="B5825" s="32" t="inlineStr">
        <is>
          <t>K3-6A</t>
        </is>
      </c>
      <c r="D5825" s="32" t="n">
        <v>18.9</v>
      </c>
      <c r="E5825" s="32" t="n">
        <v>1.323</v>
      </c>
      <c r="F5825" s="32" t="n">
        <v>382.727</v>
      </c>
      <c r="G5825" s="32" t="n">
        <v>13.106</v>
      </c>
      <c r="H5825" s="32" t="inlineStr">
        <is>
          <t>bb</t>
        </is>
      </c>
      <c r="K5825" s="32" t="inlineStr">
        <is>
          <t>20250514-57</t>
        </is>
      </c>
    </row>
    <row r="5826">
      <c r="A5826" s="32" t="n">
        <v>47</v>
      </c>
      <c r="B5826" s="32" t="inlineStr">
        <is>
          <t>K3-6B</t>
        </is>
      </c>
      <c r="D5826" s="32" t="n">
        <v>19.16</v>
      </c>
      <c r="E5826" s="32" t="n">
        <v>0.125</v>
      </c>
      <c r="F5826" s="32" t="n">
        <v>365.716</v>
      </c>
      <c r="G5826" s="32" t="n">
        <v>1.715</v>
      </c>
      <c r="H5826" s="32" t="inlineStr">
        <is>
          <t>bb</t>
        </is>
      </c>
      <c r="K5826" s="32" t="inlineStr">
        <is>
          <t>20250514-58</t>
        </is>
      </c>
    </row>
    <row r="5827">
      <c r="A5827" s="32" t="n">
        <v>48</v>
      </c>
      <c r="B5827" s="32" t="inlineStr">
        <is>
          <t>K3-6C</t>
        </is>
      </c>
      <c r="D5827" s="32" t="n">
        <v>18.56</v>
      </c>
      <c r="E5827" s="32" t="n">
        <v>3.282</v>
      </c>
      <c r="F5827" s="32" t="n">
        <v>293.722</v>
      </c>
      <c r="G5827" s="32" t="n">
        <v>25.432</v>
      </c>
      <c r="H5827" s="32" t="inlineStr">
        <is>
          <t>bb</t>
        </is>
      </c>
      <c r="K5827" s="32" t="inlineStr">
        <is>
          <t>20250514-59</t>
        </is>
      </c>
    </row>
    <row r="5829">
      <c r="A5829" s="32" t="inlineStr">
        <is>
          <t>Compound 113:  m3 N-MeFOSAA 1</t>
        </is>
      </c>
    </row>
    <row r="5831">
      <c r="B5831" s="32" t="inlineStr">
        <is>
          <t>Sample Text</t>
        </is>
      </c>
      <c r="C5831" s="32" t="inlineStr">
        <is>
          <t>Std. Conc</t>
        </is>
      </c>
      <c r="D5831" s="32" t="inlineStr">
        <is>
          <t>RT</t>
        </is>
      </c>
      <c r="E5831" s="32" t="inlineStr">
        <is>
          <t>Area</t>
        </is>
      </c>
      <c r="F5831" s="32" t="inlineStr">
        <is>
          <t>IS Area</t>
        </is>
      </c>
      <c r="G5831" s="32" t="inlineStr">
        <is>
          <t>S/N</t>
        </is>
      </c>
      <c r="H5831" s="32" t="inlineStr">
        <is>
          <t>Primary Flags</t>
        </is>
      </c>
      <c r="I5831" s="32" t="inlineStr">
        <is>
          <t>Response</t>
        </is>
      </c>
      <c r="J5831" s="32" t="inlineStr">
        <is>
          <t>Conc.</t>
        </is>
      </c>
      <c r="K5831" s="32" t="inlineStr">
        <is>
          <t>Name</t>
        </is>
      </c>
    </row>
    <row r="5832">
      <c r="A5832" s="32" t="n">
        <v>1</v>
      </c>
      <c r="B5832" s="32" t="inlineStr">
        <is>
          <t>EPA1633 &amp; diPAPs Calibration 0 ppb</t>
        </is>
      </c>
      <c r="D5832" s="32" t="n">
        <v>14.42</v>
      </c>
      <c r="E5832" s="32" t="n">
        <v>66948.406</v>
      </c>
      <c r="G5832" s="32" t="n">
        <v>1461.513</v>
      </c>
      <c r="H5832" s="32" t="inlineStr">
        <is>
          <t>bb</t>
        </is>
      </c>
      <c r="I5832" s="32" t="n">
        <v>66948.406</v>
      </c>
      <c r="K5832" s="32" t="inlineStr">
        <is>
          <t>20250514-12</t>
        </is>
      </c>
    </row>
    <row r="5833">
      <c r="A5833" s="32" t="n">
        <v>2</v>
      </c>
      <c r="B5833" s="32" t="inlineStr">
        <is>
          <t>EPA1633 &amp; diPAPs Calibration 0.02 ppb</t>
        </is>
      </c>
      <c r="D5833" s="32" t="n">
        <v>14.45</v>
      </c>
      <c r="E5833" s="32" t="n">
        <v>59700.34</v>
      </c>
      <c r="G5833" s="32" t="n">
        <v>1292.999</v>
      </c>
      <c r="H5833" s="32" t="inlineStr">
        <is>
          <t>bb</t>
        </is>
      </c>
      <c r="I5833" s="32" t="n">
        <v>59700.34</v>
      </c>
      <c r="K5833" s="32" t="inlineStr">
        <is>
          <t>20250514-13</t>
        </is>
      </c>
    </row>
    <row r="5834">
      <c r="A5834" s="32" t="n">
        <v>3</v>
      </c>
      <c r="B5834" s="32" t="inlineStr">
        <is>
          <t>EPA1633 &amp; diPAPs Calibration 0.1 ppb</t>
        </is>
      </c>
      <c r="D5834" s="32" t="n">
        <v>14.45</v>
      </c>
      <c r="E5834" s="32" t="n">
        <v>61532.309</v>
      </c>
      <c r="G5834" s="32" t="n">
        <v>2462.213</v>
      </c>
      <c r="H5834" s="32" t="inlineStr">
        <is>
          <t>bb</t>
        </is>
      </c>
      <c r="I5834" s="32" t="n">
        <v>61532.309</v>
      </c>
      <c r="K5834" s="32" t="inlineStr">
        <is>
          <t>20250514-14</t>
        </is>
      </c>
    </row>
    <row r="5835">
      <c r="A5835" s="32" t="n">
        <v>4</v>
      </c>
      <c r="B5835" s="32" t="inlineStr">
        <is>
          <t>EPA1633 &amp; diPAPs Calibration 0.4 ppb</t>
        </is>
      </c>
      <c r="D5835" s="32" t="n">
        <v>14.46</v>
      </c>
      <c r="E5835" s="32" t="n">
        <v>55660.844</v>
      </c>
      <c r="G5835" s="32" t="n">
        <v>602.516</v>
      </c>
      <c r="H5835" s="32" t="inlineStr">
        <is>
          <t>bb</t>
        </is>
      </c>
      <c r="I5835" s="32" t="n">
        <v>55660.844</v>
      </c>
      <c r="K5835" s="32" t="inlineStr">
        <is>
          <t>20250514-15</t>
        </is>
      </c>
    </row>
    <row r="5836">
      <c r="A5836" s="32" t="n">
        <v>5</v>
      </c>
      <c r="B5836" s="32" t="inlineStr">
        <is>
          <t>EPA1633 &amp; diPAPs Calibration 1 ppb</t>
        </is>
      </c>
      <c r="D5836" s="32" t="n">
        <v>14.46</v>
      </c>
      <c r="E5836" s="32" t="n">
        <v>65274.496</v>
      </c>
      <c r="G5836" s="32" t="n">
        <v>1330.07</v>
      </c>
      <c r="H5836" s="32" t="inlineStr">
        <is>
          <t>bb</t>
        </is>
      </c>
      <c r="I5836" s="32" t="n">
        <v>65274.496</v>
      </c>
      <c r="K5836" s="32" t="inlineStr">
        <is>
          <t>20250514-16</t>
        </is>
      </c>
    </row>
    <row r="5837">
      <c r="A5837" s="32" t="n">
        <v>6</v>
      </c>
      <c r="B5837" s="32" t="inlineStr">
        <is>
          <t>EPA1633 &amp; diPAPs Calibration 5 ppb</t>
        </is>
      </c>
      <c r="D5837" s="32" t="n">
        <v>14.4</v>
      </c>
      <c r="E5837" s="32" t="n">
        <v>54658.043</v>
      </c>
      <c r="G5837" s="32" t="n">
        <v>725.516</v>
      </c>
      <c r="H5837" s="32" t="inlineStr">
        <is>
          <t>bb</t>
        </is>
      </c>
      <c r="I5837" s="32" t="n">
        <v>54658.043</v>
      </c>
      <c r="K5837" s="32" t="inlineStr">
        <is>
          <t>20250514-17</t>
        </is>
      </c>
    </row>
    <row r="5838">
      <c r="A5838" s="32" t="n">
        <v>7</v>
      </c>
      <c r="B5838" s="32" t="inlineStr">
        <is>
          <t>EPA1633 &amp; diPAPs Calibration 10 ppb</t>
        </is>
      </c>
      <c r="D5838" s="32" t="n">
        <v>14.42</v>
      </c>
      <c r="E5838" s="32" t="n">
        <v>43532.867</v>
      </c>
      <c r="G5838" s="32" t="n">
        <v>233.186</v>
      </c>
      <c r="H5838" s="32" t="inlineStr">
        <is>
          <t>bb</t>
        </is>
      </c>
      <c r="I5838" s="32" t="n">
        <v>43532.867</v>
      </c>
      <c r="K5838" s="32" t="inlineStr">
        <is>
          <t>20250514-18</t>
        </is>
      </c>
    </row>
    <row r="5839">
      <c r="A5839" s="32" t="n">
        <v>8</v>
      </c>
      <c r="B5839" s="32" t="inlineStr">
        <is>
          <t>EPA1633 &amp; diPAPs Calibration 20 ppb</t>
        </is>
      </c>
      <c r="D5839" s="32" t="n">
        <v>14.43</v>
      </c>
      <c r="E5839" s="32" t="n">
        <v>49701.246</v>
      </c>
      <c r="G5839" s="32" t="n">
        <v>708.879</v>
      </c>
      <c r="H5839" s="32" t="inlineStr">
        <is>
          <t>bb</t>
        </is>
      </c>
      <c r="I5839" s="32" t="n">
        <v>49701.246</v>
      </c>
      <c r="K5839" s="32" t="inlineStr">
        <is>
          <t>20250514-19</t>
        </is>
      </c>
    </row>
    <row r="5840">
      <c r="A5840" s="32" t="n">
        <v>9</v>
      </c>
      <c r="B5840" s="32" t="inlineStr">
        <is>
          <t>MeOH</t>
        </is>
      </c>
      <c r="D5840" s="32" t="n">
        <v>14.49</v>
      </c>
      <c r="E5840" s="32" t="n">
        <v>47.897</v>
      </c>
      <c r="G5840" s="32" t="n">
        <v>368</v>
      </c>
      <c r="H5840" s="32" t="inlineStr">
        <is>
          <t>bb</t>
        </is>
      </c>
      <c r="I5840" s="32" t="n">
        <v>47.897</v>
      </c>
      <c r="K5840" s="32" t="inlineStr">
        <is>
          <t>20250514-20</t>
        </is>
      </c>
    </row>
    <row r="5841">
      <c r="A5841" s="32" t="n">
        <v>10</v>
      </c>
      <c r="B5841" s="32" t="inlineStr">
        <is>
          <t>MeOH</t>
        </is>
      </c>
      <c r="D5841" s="32" t="n">
        <v>14.49</v>
      </c>
      <c r="E5841" s="32" t="n">
        <v>20.298</v>
      </c>
      <c r="G5841" s="32" t="n">
        <v>62.815</v>
      </c>
      <c r="H5841" s="32" t="inlineStr">
        <is>
          <t>bb</t>
        </is>
      </c>
      <c r="I5841" s="32" t="n">
        <v>20.298</v>
      </c>
      <c r="K5841" s="32" t="inlineStr">
        <is>
          <t>20250514-21</t>
        </is>
      </c>
    </row>
    <row r="5842">
      <c r="A5842" s="32" t="n">
        <v>11</v>
      </c>
      <c r="B5842" s="32" t="inlineStr">
        <is>
          <t>SB1</t>
        </is>
      </c>
      <c r="D5842" s="32" t="n">
        <v>14.48</v>
      </c>
      <c r="E5842" s="32" t="n">
        <v>22850.369</v>
      </c>
      <c r="G5842" s="32" t="n">
        <v>180.099</v>
      </c>
      <c r="H5842" s="32" t="inlineStr">
        <is>
          <t>bb</t>
        </is>
      </c>
      <c r="I5842" s="32" t="n">
        <v>22850.369</v>
      </c>
      <c r="K5842" s="32" t="inlineStr">
        <is>
          <t>20250514-22</t>
        </is>
      </c>
    </row>
    <row r="5843">
      <c r="A5843" s="32" t="n">
        <v>12</v>
      </c>
      <c r="B5843" s="32" t="inlineStr">
        <is>
          <t>SB2</t>
        </is>
      </c>
      <c r="D5843" s="32" t="n">
        <v>14.48</v>
      </c>
      <c r="E5843" s="32" t="n">
        <v>22397.273</v>
      </c>
      <c r="G5843" s="32" t="n">
        <v>816.4640000000001</v>
      </c>
      <c r="H5843" s="32" t="inlineStr">
        <is>
          <t>bb</t>
        </is>
      </c>
      <c r="I5843" s="32" t="n">
        <v>22397.273</v>
      </c>
      <c r="K5843" s="32" t="inlineStr">
        <is>
          <t>20250514-23</t>
        </is>
      </c>
    </row>
    <row r="5844">
      <c r="A5844" s="32" t="n">
        <v>13</v>
      </c>
      <c r="B5844" s="32" t="inlineStr">
        <is>
          <t>SB3</t>
        </is>
      </c>
      <c r="D5844" s="32" t="n">
        <v>14.49</v>
      </c>
      <c r="E5844" s="32" t="n">
        <v>20408.439</v>
      </c>
      <c r="G5844" s="32" t="n">
        <v>114.042</v>
      </c>
      <c r="H5844" s="32" t="inlineStr">
        <is>
          <t>bb</t>
        </is>
      </c>
      <c r="I5844" s="32" t="n">
        <v>20408.439</v>
      </c>
      <c r="K5844" s="32" t="inlineStr">
        <is>
          <t>20250514-24</t>
        </is>
      </c>
    </row>
    <row r="5845">
      <c r="A5845" s="32" t="n">
        <v>14</v>
      </c>
      <c r="B5845" s="32" t="inlineStr">
        <is>
          <t>SS1</t>
        </is>
      </c>
      <c r="D5845" s="32" t="n">
        <v>14.51</v>
      </c>
      <c r="E5845" s="32" t="n">
        <v>20513.979</v>
      </c>
      <c r="G5845" s="32" t="n">
        <v>1048.529</v>
      </c>
      <c r="H5845" s="32" t="inlineStr">
        <is>
          <t>bb</t>
        </is>
      </c>
      <c r="I5845" s="32" t="n">
        <v>20513.979</v>
      </c>
      <c r="K5845" s="32" t="inlineStr">
        <is>
          <t>20250514-25</t>
        </is>
      </c>
    </row>
    <row r="5846">
      <c r="A5846" s="32" t="n">
        <v>15</v>
      </c>
      <c r="B5846" s="32" t="inlineStr">
        <is>
          <t>SS2</t>
        </is>
      </c>
      <c r="D5846" s="32" t="n">
        <v>14.52</v>
      </c>
      <c r="E5846" s="32" t="n">
        <v>22867.717</v>
      </c>
      <c r="G5846" s="32" t="n">
        <v>1661.606</v>
      </c>
      <c r="H5846" s="32" t="inlineStr">
        <is>
          <t>bb</t>
        </is>
      </c>
      <c r="I5846" s="32" t="n">
        <v>22867.717</v>
      </c>
      <c r="K5846" s="32" t="inlineStr">
        <is>
          <t>20250514-26</t>
        </is>
      </c>
    </row>
    <row r="5847">
      <c r="A5847" s="32" t="n">
        <v>16</v>
      </c>
      <c r="B5847" s="32" t="inlineStr">
        <is>
          <t>SS3</t>
        </is>
      </c>
      <c r="D5847" s="32" t="n">
        <v>14.52</v>
      </c>
      <c r="E5847" s="32" t="n">
        <v>20747.598</v>
      </c>
      <c r="G5847" s="32" t="n">
        <v>288.194</v>
      </c>
      <c r="H5847" s="32" t="inlineStr">
        <is>
          <t>bb</t>
        </is>
      </c>
      <c r="I5847" s="32" t="n">
        <v>20747.598</v>
      </c>
      <c r="K5847" s="32" t="inlineStr">
        <is>
          <t>20250514-27</t>
        </is>
      </c>
    </row>
    <row r="5848">
      <c r="A5848" s="32" t="n">
        <v>17</v>
      </c>
      <c r="B5848" s="32" t="inlineStr">
        <is>
          <t>MeOH</t>
        </is>
      </c>
      <c r="D5848" s="32" t="n">
        <v>14.49</v>
      </c>
      <c r="E5848" s="32" t="n">
        <v>31.674</v>
      </c>
      <c r="G5848" s="32" t="n">
        <v>267</v>
      </c>
      <c r="H5848" s="32" t="inlineStr">
        <is>
          <t>bb</t>
        </is>
      </c>
      <c r="I5848" s="32" t="n">
        <v>31.674</v>
      </c>
      <c r="K5848" s="32" t="inlineStr">
        <is>
          <t>20250514-28</t>
        </is>
      </c>
    </row>
    <row r="5849">
      <c r="A5849" s="32" t="n">
        <v>18</v>
      </c>
      <c r="B5849" s="32" t="inlineStr">
        <is>
          <t>K4-1A</t>
        </is>
      </c>
      <c r="D5849" s="32" t="n">
        <v>14.52</v>
      </c>
      <c r="E5849" s="32" t="n">
        <v>25781.148</v>
      </c>
      <c r="G5849" s="32" t="n">
        <v>753.373</v>
      </c>
      <c r="H5849" s="32" t="inlineStr">
        <is>
          <t>bb</t>
        </is>
      </c>
      <c r="I5849" s="32" t="n">
        <v>25781.148</v>
      </c>
      <c r="K5849" s="32" t="inlineStr">
        <is>
          <t>20250514-29</t>
        </is>
      </c>
    </row>
    <row r="5850">
      <c r="A5850" s="32" t="n">
        <v>19</v>
      </c>
      <c r="B5850" s="32" t="inlineStr">
        <is>
          <t>K4-1B</t>
        </is>
      </c>
      <c r="D5850" s="32" t="n">
        <v>14.52</v>
      </c>
      <c r="E5850" s="32" t="n">
        <v>24498.238</v>
      </c>
      <c r="G5850" s="32" t="n">
        <v>356.93</v>
      </c>
      <c r="H5850" s="32" t="inlineStr">
        <is>
          <t>bb</t>
        </is>
      </c>
      <c r="I5850" s="32" t="n">
        <v>24498.238</v>
      </c>
      <c r="K5850" s="32" t="inlineStr">
        <is>
          <t>20250514-30</t>
        </is>
      </c>
    </row>
    <row r="5851">
      <c r="A5851" s="32" t="n">
        <v>20</v>
      </c>
      <c r="B5851" s="32" t="inlineStr">
        <is>
          <t>K4-1C</t>
        </is>
      </c>
      <c r="D5851" s="32" t="n">
        <v>14.52</v>
      </c>
      <c r="E5851" s="32" t="n">
        <v>25078.18</v>
      </c>
      <c r="G5851" s="32" t="n">
        <v>99.265</v>
      </c>
      <c r="H5851" s="32" t="inlineStr">
        <is>
          <t>bb</t>
        </is>
      </c>
      <c r="I5851" s="32" t="n">
        <v>25078.18</v>
      </c>
      <c r="K5851" s="32" t="inlineStr">
        <is>
          <t>20250514-31</t>
        </is>
      </c>
    </row>
    <row r="5852">
      <c r="A5852" s="32" t="n">
        <v>21</v>
      </c>
      <c r="B5852" s="32" t="inlineStr">
        <is>
          <t>K4-2A</t>
        </is>
      </c>
      <c r="D5852" s="32" t="n">
        <v>14.54</v>
      </c>
      <c r="E5852" s="32" t="n">
        <v>26329.213</v>
      </c>
      <c r="G5852" s="32" t="n">
        <v>423.2</v>
      </c>
      <c r="H5852" s="32" t="inlineStr">
        <is>
          <t>bb</t>
        </is>
      </c>
      <c r="I5852" s="32" t="n">
        <v>26329.213</v>
      </c>
      <c r="K5852" s="32" t="inlineStr">
        <is>
          <t>20250514-32</t>
        </is>
      </c>
    </row>
    <row r="5853">
      <c r="A5853" s="32" t="n">
        <v>22</v>
      </c>
      <c r="B5853" s="32" t="inlineStr">
        <is>
          <t>K4-2B</t>
        </is>
      </c>
      <c r="D5853" s="32" t="n">
        <v>14.54</v>
      </c>
      <c r="E5853" s="32" t="n">
        <v>23001.746</v>
      </c>
      <c r="G5853" s="32" t="n">
        <v>779.731</v>
      </c>
      <c r="H5853" s="32" t="inlineStr">
        <is>
          <t>bb</t>
        </is>
      </c>
      <c r="I5853" s="32" t="n">
        <v>23001.746</v>
      </c>
      <c r="K5853" s="32" t="inlineStr">
        <is>
          <t>20250514-33</t>
        </is>
      </c>
    </row>
    <row r="5854">
      <c r="A5854" s="32" t="n">
        <v>23</v>
      </c>
      <c r="B5854" s="32" t="inlineStr">
        <is>
          <t>K4-2C</t>
        </is>
      </c>
      <c r="D5854" s="32" t="n">
        <v>14.55</v>
      </c>
      <c r="E5854" s="32" t="n">
        <v>20754.352</v>
      </c>
      <c r="G5854" s="32" t="n">
        <v>192.309</v>
      </c>
      <c r="H5854" s="32" t="inlineStr">
        <is>
          <t>bb</t>
        </is>
      </c>
      <c r="I5854" s="32" t="n">
        <v>20754.352</v>
      </c>
      <c r="K5854" s="32" t="inlineStr">
        <is>
          <t>20250514-34</t>
        </is>
      </c>
    </row>
    <row r="5855">
      <c r="A5855" s="32" t="n">
        <v>24</v>
      </c>
      <c r="B5855" s="32" t="inlineStr">
        <is>
          <t>MeOH</t>
        </is>
      </c>
      <c r="H5855" s="32" t="inlineStr">
        <is>
          <t>MM-</t>
        </is>
      </c>
      <c r="K5855" s="32" t="inlineStr">
        <is>
          <t>20250514-35</t>
        </is>
      </c>
    </row>
    <row r="5856">
      <c r="A5856" s="32" t="n">
        <v>25</v>
      </c>
      <c r="B5856" s="32" t="inlineStr">
        <is>
          <t>K4-4A</t>
        </is>
      </c>
      <c r="D5856" s="32" t="n">
        <v>14.57</v>
      </c>
      <c r="E5856" s="32" t="n">
        <v>26876.785</v>
      </c>
      <c r="G5856" s="32" t="n">
        <v>907.787</v>
      </c>
      <c r="H5856" s="32" t="inlineStr">
        <is>
          <t>bb</t>
        </is>
      </c>
      <c r="I5856" s="32" t="n">
        <v>26876.785</v>
      </c>
      <c r="K5856" s="32" t="inlineStr">
        <is>
          <t>20250514-36</t>
        </is>
      </c>
    </row>
    <row r="5857">
      <c r="A5857" s="32" t="n">
        <v>26</v>
      </c>
      <c r="B5857" s="32" t="inlineStr">
        <is>
          <t>K4-4B</t>
        </is>
      </c>
      <c r="D5857" s="32" t="n">
        <v>14.57</v>
      </c>
      <c r="E5857" s="32" t="n">
        <v>26592.869</v>
      </c>
      <c r="G5857" s="32" t="n">
        <v>239.819</v>
      </c>
      <c r="H5857" s="32" t="inlineStr">
        <is>
          <t>bb</t>
        </is>
      </c>
      <c r="I5857" s="32" t="n">
        <v>26592.869</v>
      </c>
      <c r="K5857" s="32" t="inlineStr">
        <is>
          <t>20250514-37</t>
        </is>
      </c>
    </row>
    <row r="5858">
      <c r="A5858" s="32" t="n">
        <v>27</v>
      </c>
      <c r="B5858" s="32" t="inlineStr">
        <is>
          <t>K4-4C</t>
        </is>
      </c>
      <c r="D5858" s="32" t="n">
        <v>14.57</v>
      </c>
      <c r="E5858" s="32" t="n">
        <v>27348.488</v>
      </c>
      <c r="G5858" s="32" t="n">
        <v>539.002</v>
      </c>
      <c r="H5858" s="32" t="inlineStr">
        <is>
          <t>bb</t>
        </is>
      </c>
      <c r="I5858" s="32" t="n">
        <v>27348.488</v>
      </c>
      <c r="K5858" s="32" t="inlineStr">
        <is>
          <t>20250514-38</t>
        </is>
      </c>
    </row>
    <row r="5859">
      <c r="A5859" s="32" t="n">
        <v>28</v>
      </c>
      <c r="B5859" s="32" t="inlineStr">
        <is>
          <t>K4-5A</t>
        </is>
      </c>
      <c r="D5859" s="32" t="n">
        <v>14.55</v>
      </c>
      <c r="E5859" s="32" t="n">
        <v>24556.311</v>
      </c>
      <c r="G5859" s="32" t="n">
        <v>391.276</v>
      </c>
      <c r="H5859" s="32" t="inlineStr">
        <is>
          <t>bb</t>
        </is>
      </c>
      <c r="I5859" s="32" t="n">
        <v>24556.311</v>
      </c>
      <c r="K5859" s="32" t="inlineStr">
        <is>
          <t>20250514-39</t>
        </is>
      </c>
    </row>
    <row r="5860">
      <c r="A5860" s="32" t="n">
        <v>29</v>
      </c>
      <c r="B5860" s="32" t="inlineStr">
        <is>
          <t>K4-5B</t>
        </is>
      </c>
      <c r="D5860" s="32" t="n">
        <v>14.54</v>
      </c>
      <c r="E5860" s="32" t="n">
        <v>25471.133</v>
      </c>
      <c r="G5860" s="32" t="n">
        <v>81.85899999999999</v>
      </c>
      <c r="H5860" s="32" t="inlineStr">
        <is>
          <t>bb</t>
        </is>
      </c>
      <c r="I5860" s="32" t="n">
        <v>25471.133</v>
      </c>
      <c r="K5860" s="32" t="inlineStr">
        <is>
          <t>20250514-40</t>
        </is>
      </c>
    </row>
    <row r="5861">
      <c r="A5861" s="32" t="n">
        <v>30</v>
      </c>
      <c r="B5861" s="32" t="inlineStr">
        <is>
          <t>K4-5C</t>
        </is>
      </c>
      <c r="D5861" s="32" t="n">
        <v>14.48</v>
      </c>
      <c r="E5861" s="32" t="n">
        <v>25624.244</v>
      </c>
      <c r="G5861" s="32" t="n">
        <v>1240.943</v>
      </c>
      <c r="H5861" s="32" t="inlineStr">
        <is>
          <t>bb</t>
        </is>
      </c>
      <c r="I5861" s="32" t="n">
        <v>25624.244</v>
      </c>
      <c r="K5861" s="32" t="inlineStr">
        <is>
          <t>20250514-41</t>
        </is>
      </c>
    </row>
    <row r="5862">
      <c r="A5862" s="32" t="n">
        <v>31</v>
      </c>
      <c r="B5862" s="32" t="inlineStr">
        <is>
          <t>MeOH</t>
        </is>
      </c>
      <c r="D5862" s="32" t="n">
        <v>14.41</v>
      </c>
      <c r="E5862" s="32" t="n">
        <v>195.059</v>
      </c>
      <c r="G5862" s="32" t="n">
        <v>1577</v>
      </c>
      <c r="H5862" s="32" t="inlineStr">
        <is>
          <t>bb</t>
        </is>
      </c>
      <c r="I5862" s="32" t="n">
        <v>195.059</v>
      </c>
      <c r="K5862" s="32" t="inlineStr">
        <is>
          <t>20250514-42</t>
        </is>
      </c>
    </row>
    <row r="5863">
      <c r="A5863" s="32" t="n">
        <v>32</v>
      </c>
      <c r="B5863" s="32" t="inlineStr">
        <is>
          <t>K3-1A</t>
        </is>
      </c>
      <c r="D5863" s="32" t="n">
        <v>14.43</v>
      </c>
      <c r="E5863" s="32" t="n">
        <v>27430.15</v>
      </c>
      <c r="G5863" s="32" t="n">
        <v>1297.258</v>
      </c>
      <c r="H5863" s="32" t="inlineStr">
        <is>
          <t>bb</t>
        </is>
      </c>
      <c r="I5863" s="32" t="n">
        <v>27430.15</v>
      </c>
      <c r="K5863" s="32" t="inlineStr">
        <is>
          <t>20250514-43</t>
        </is>
      </c>
    </row>
    <row r="5864">
      <c r="A5864" s="32" t="n">
        <v>33</v>
      </c>
      <c r="B5864" s="32" t="inlineStr">
        <is>
          <t>K3-1B</t>
        </is>
      </c>
      <c r="D5864" s="32" t="n">
        <v>14.45</v>
      </c>
      <c r="E5864" s="32" t="n">
        <v>23993.336</v>
      </c>
      <c r="G5864" s="32" t="n">
        <v>416.79</v>
      </c>
      <c r="H5864" s="32" t="inlineStr">
        <is>
          <t>bb</t>
        </is>
      </c>
      <c r="I5864" s="32" t="n">
        <v>23993.336</v>
      </c>
      <c r="K5864" s="32" t="inlineStr">
        <is>
          <t>20250514-44</t>
        </is>
      </c>
    </row>
    <row r="5865">
      <c r="A5865" s="32" t="n">
        <v>34</v>
      </c>
      <c r="B5865" s="32" t="inlineStr">
        <is>
          <t>K3-1C</t>
        </is>
      </c>
      <c r="D5865" s="32" t="n">
        <v>14.49</v>
      </c>
      <c r="E5865" s="32" t="n">
        <v>32579.355</v>
      </c>
      <c r="G5865" s="32" t="n">
        <v>671.237</v>
      </c>
      <c r="H5865" s="32" t="inlineStr">
        <is>
          <t>bb</t>
        </is>
      </c>
      <c r="I5865" s="32" t="n">
        <v>32579.355</v>
      </c>
      <c r="K5865" s="32" t="inlineStr">
        <is>
          <t>20250514-45</t>
        </is>
      </c>
    </row>
    <row r="5866">
      <c r="A5866" s="32" t="n">
        <v>35</v>
      </c>
      <c r="B5866" s="32" t="inlineStr">
        <is>
          <t>K3-2A</t>
        </is>
      </c>
      <c r="D5866" s="32" t="n">
        <v>14.51</v>
      </c>
      <c r="E5866" s="32" t="n">
        <v>32450.516</v>
      </c>
      <c r="G5866" s="32" t="n">
        <v>570.924</v>
      </c>
      <c r="H5866" s="32" t="inlineStr">
        <is>
          <t>bb</t>
        </is>
      </c>
      <c r="I5866" s="32" t="n">
        <v>32450.516</v>
      </c>
      <c r="K5866" s="32" t="inlineStr">
        <is>
          <t>20250514-46</t>
        </is>
      </c>
    </row>
    <row r="5867">
      <c r="A5867" s="32" t="n">
        <v>36</v>
      </c>
      <c r="B5867" s="32" t="inlineStr">
        <is>
          <t>K3-2B</t>
        </is>
      </c>
      <c r="D5867" s="32" t="n">
        <v>14.51</v>
      </c>
      <c r="E5867" s="32" t="n">
        <v>35748.871</v>
      </c>
      <c r="G5867" s="32" t="n">
        <v>532.707</v>
      </c>
      <c r="H5867" s="32" t="inlineStr">
        <is>
          <t>bb</t>
        </is>
      </c>
      <c r="I5867" s="32" t="n">
        <v>35748.871</v>
      </c>
      <c r="K5867" s="32" t="inlineStr">
        <is>
          <t>20250514-47</t>
        </is>
      </c>
    </row>
    <row r="5868">
      <c r="A5868" s="32" t="n">
        <v>37</v>
      </c>
      <c r="B5868" s="32" t="inlineStr">
        <is>
          <t>K3-2C</t>
        </is>
      </c>
      <c r="D5868" s="32" t="n">
        <v>14.51</v>
      </c>
      <c r="E5868" s="32" t="n">
        <v>28929.938</v>
      </c>
      <c r="G5868" s="32" t="n">
        <v>566.275</v>
      </c>
      <c r="H5868" s="32" t="inlineStr">
        <is>
          <t>bb</t>
        </is>
      </c>
      <c r="I5868" s="32" t="n">
        <v>28929.938</v>
      </c>
      <c r="K5868" s="32" t="inlineStr">
        <is>
          <t>20250514-48</t>
        </is>
      </c>
    </row>
    <row r="5869">
      <c r="A5869" s="32" t="n">
        <v>38</v>
      </c>
      <c r="B5869" s="32" t="inlineStr">
        <is>
          <t>MeOH</t>
        </is>
      </c>
      <c r="D5869" s="32" t="n">
        <v>14.55</v>
      </c>
      <c r="E5869" s="32" t="n">
        <v>177.916</v>
      </c>
      <c r="G5869" s="32" t="n">
        <v>1170</v>
      </c>
      <c r="H5869" s="32" t="inlineStr">
        <is>
          <t>bb</t>
        </is>
      </c>
      <c r="I5869" s="32" t="n">
        <v>177.916</v>
      </c>
      <c r="K5869" s="32" t="inlineStr">
        <is>
          <t>20250514-49</t>
        </is>
      </c>
    </row>
    <row r="5870">
      <c r="A5870" s="32" t="n">
        <v>39</v>
      </c>
      <c r="B5870" s="32" t="inlineStr">
        <is>
          <t>K3-3A</t>
        </is>
      </c>
      <c r="D5870" s="32" t="n">
        <v>14.52</v>
      </c>
      <c r="E5870" s="32" t="n">
        <v>25978.053</v>
      </c>
      <c r="G5870" s="32" t="n">
        <v>135.633</v>
      </c>
      <c r="H5870" s="32" t="inlineStr">
        <is>
          <t>bb</t>
        </is>
      </c>
      <c r="I5870" s="32" t="n">
        <v>25978.053</v>
      </c>
      <c r="K5870" s="32" t="inlineStr">
        <is>
          <t>20250514-50</t>
        </is>
      </c>
    </row>
    <row r="5871">
      <c r="A5871" s="32" t="n">
        <v>40</v>
      </c>
      <c r="B5871" s="32" t="inlineStr">
        <is>
          <t>K3-3B</t>
        </is>
      </c>
      <c r="D5871" s="32" t="n">
        <v>14.54</v>
      </c>
      <c r="E5871" s="32" t="n">
        <v>29972.719</v>
      </c>
      <c r="G5871" s="32" t="n">
        <v>747.491</v>
      </c>
      <c r="H5871" s="32" t="inlineStr">
        <is>
          <t>bb</t>
        </is>
      </c>
      <c r="I5871" s="32" t="n">
        <v>29972.719</v>
      </c>
      <c r="K5871" s="32" t="inlineStr">
        <is>
          <t>20250514-51</t>
        </is>
      </c>
    </row>
    <row r="5872">
      <c r="A5872" s="32" t="n">
        <v>41</v>
      </c>
      <c r="B5872" s="32" t="inlineStr">
        <is>
          <t>K3-3C</t>
        </is>
      </c>
      <c r="D5872" s="32" t="n">
        <v>14.54</v>
      </c>
      <c r="E5872" s="32" t="n">
        <v>34328.914</v>
      </c>
      <c r="G5872" s="32" t="n">
        <v>619.402</v>
      </c>
      <c r="H5872" s="32" t="inlineStr">
        <is>
          <t>bb</t>
        </is>
      </c>
      <c r="I5872" s="32" t="n">
        <v>34328.914</v>
      </c>
      <c r="K5872" s="32" t="inlineStr">
        <is>
          <t>20250514-52</t>
        </is>
      </c>
    </row>
    <row r="5873">
      <c r="A5873" s="32" t="n">
        <v>42</v>
      </c>
      <c r="B5873" s="32" t="inlineStr">
        <is>
          <t>K3-4A</t>
        </is>
      </c>
      <c r="D5873" s="32" t="n">
        <v>14.58</v>
      </c>
      <c r="E5873" s="32" t="n">
        <v>35665.301</v>
      </c>
      <c r="G5873" s="32" t="n">
        <v>548.533</v>
      </c>
      <c r="H5873" s="32" t="inlineStr">
        <is>
          <t>bb</t>
        </is>
      </c>
      <c r="I5873" s="32" t="n">
        <v>35665.301</v>
      </c>
      <c r="K5873" s="32" t="inlineStr">
        <is>
          <t>20250514-53</t>
        </is>
      </c>
    </row>
    <row r="5874">
      <c r="A5874" s="32" t="n">
        <v>43</v>
      </c>
      <c r="B5874" s="32" t="inlineStr">
        <is>
          <t>K3-4B</t>
        </is>
      </c>
      <c r="D5874" s="32" t="n">
        <v>14.57</v>
      </c>
      <c r="E5874" s="32" t="n">
        <v>32649.486</v>
      </c>
      <c r="G5874" s="32" t="n">
        <v>186.561</v>
      </c>
      <c r="H5874" s="32" t="inlineStr">
        <is>
          <t>bb</t>
        </is>
      </c>
      <c r="I5874" s="32" t="n">
        <v>32649.486</v>
      </c>
      <c r="K5874" s="32" t="inlineStr">
        <is>
          <t>20250514-54</t>
        </is>
      </c>
    </row>
    <row r="5875">
      <c r="A5875" s="32" t="n">
        <v>44</v>
      </c>
      <c r="B5875" s="32" t="inlineStr">
        <is>
          <t>K3-4C</t>
        </is>
      </c>
      <c r="D5875" s="32" t="n">
        <v>14.61</v>
      </c>
      <c r="E5875" s="32" t="n">
        <v>37222.816</v>
      </c>
      <c r="G5875" s="32" t="n">
        <v>370.457</v>
      </c>
      <c r="H5875" s="32" t="inlineStr">
        <is>
          <t>bb</t>
        </is>
      </c>
      <c r="I5875" s="32" t="n">
        <v>37222.816</v>
      </c>
      <c r="K5875" s="32" t="inlineStr">
        <is>
          <t>20250514-55</t>
        </is>
      </c>
    </row>
    <row r="5876">
      <c r="A5876" s="32" t="n">
        <v>45</v>
      </c>
      <c r="B5876" s="32" t="inlineStr">
        <is>
          <t>MeOH</t>
        </is>
      </c>
      <c r="D5876" s="32" t="n">
        <v>14.63</v>
      </c>
      <c r="E5876" s="32" t="n">
        <v>250.186</v>
      </c>
      <c r="G5876" s="32" t="n">
        <v>1616</v>
      </c>
      <c r="H5876" s="32" t="inlineStr">
        <is>
          <t>bb</t>
        </is>
      </c>
      <c r="I5876" s="32" t="n">
        <v>250.186</v>
      </c>
      <c r="K5876" s="32" t="inlineStr">
        <is>
          <t>20250514-56</t>
        </is>
      </c>
    </row>
    <row r="5877">
      <c r="A5877" s="32" t="n">
        <v>46</v>
      </c>
      <c r="B5877" s="32" t="inlineStr">
        <is>
          <t>K3-6A</t>
        </is>
      </c>
      <c r="D5877" s="32" t="n">
        <v>14.6</v>
      </c>
      <c r="E5877" s="32" t="n">
        <v>32457.338</v>
      </c>
      <c r="G5877" s="32" t="n">
        <v>1534.334</v>
      </c>
      <c r="H5877" s="32" t="inlineStr">
        <is>
          <t>bb</t>
        </is>
      </c>
      <c r="I5877" s="32" t="n">
        <v>32457.338</v>
      </c>
      <c r="K5877" s="32" t="inlineStr">
        <is>
          <t>20250514-57</t>
        </is>
      </c>
    </row>
    <row r="5878">
      <c r="A5878" s="32" t="n">
        <v>47</v>
      </c>
      <c r="B5878" s="32" t="inlineStr">
        <is>
          <t>K3-6B</t>
        </is>
      </c>
      <c r="D5878" s="32" t="n">
        <v>14.6</v>
      </c>
      <c r="E5878" s="32" t="n">
        <v>26206.738</v>
      </c>
      <c r="G5878" s="32" t="n">
        <v>169.42</v>
      </c>
      <c r="H5878" s="32" t="inlineStr">
        <is>
          <t>bb</t>
        </is>
      </c>
      <c r="I5878" s="32" t="n">
        <v>26206.738</v>
      </c>
      <c r="K5878" s="32" t="inlineStr">
        <is>
          <t>20250514-58</t>
        </is>
      </c>
    </row>
    <row r="5879">
      <c r="A5879" s="32" t="n">
        <v>48</v>
      </c>
      <c r="B5879" s="32" t="inlineStr">
        <is>
          <t>K3-6C</t>
        </is>
      </c>
      <c r="D5879" s="32" t="n">
        <v>14.58</v>
      </c>
      <c r="E5879" s="32" t="n">
        <v>24576.775</v>
      </c>
      <c r="G5879" s="32" t="n">
        <v>147.065</v>
      </c>
      <c r="H5879" s="32" t="inlineStr">
        <is>
          <t>bb</t>
        </is>
      </c>
      <c r="I5879" s="32" t="n">
        <v>24576.775</v>
      </c>
      <c r="K5879" s="32" t="inlineStr">
        <is>
          <t>20250514-59</t>
        </is>
      </c>
    </row>
    <row r="5881">
      <c r="A5881" s="32" t="inlineStr">
        <is>
          <t>Compound 114:  m3 N-MeFOSAA 2</t>
        </is>
      </c>
    </row>
    <row r="5883">
      <c r="B5883" s="32" t="inlineStr">
        <is>
          <t>Sample Text</t>
        </is>
      </c>
      <c r="C5883" s="32" t="inlineStr">
        <is>
          <t>Std. Conc</t>
        </is>
      </c>
      <c r="D5883" s="32" t="inlineStr">
        <is>
          <t>RT</t>
        </is>
      </c>
      <c r="E5883" s="32" t="inlineStr">
        <is>
          <t>Area</t>
        </is>
      </c>
      <c r="F5883" s="32" t="inlineStr">
        <is>
          <t>IS Area</t>
        </is>
      </c>
      <c r="G5883" s="32" t="inlineStr">
        <is>
          <t>S/N</t>
        </is>
      </c>
      <c r="H5883" s="32" t="inlineStr">
        <is>
          <t>Primary Flags</t>
        </is>
      </c>
      <c r="I5883" s="32" t="inlineStr">
        <is>
          <t>Response</t>
        </is>
      </c>
      <c r="J5883" s="32" t="inlineStr">
        <is>
          <t>Conc.</t>
        </is>
      </c>
      <c r="K5883" s="32" t="inlineStr">
        <is>
          <t>Name</t>
        </is>
      </c>
    </row>
    <row r="5884">
      <c r="A5884" s="32" t="n">
        <v>1</v>
      </c>
      <c r="B5884" s="32" t="inlineStr">
        <is>
          <t>EPA1633 &amp; diPAPs Calibration 0 ppb</t>
        </is>
      </c>
      <c r="D5884" s="32" t="n">
        <v>14.42</v>
      </c>
      <c r="E5884" s="32" t="n">
        <v>27552.617</v>
      </c>
      <c r="G5884" s="32" t="n">
        <v>632.505</v>
      </c>
      <c r="H5884" s="32" t="inlineStr">
        <is>
          <t>bb</t>
        </is>
      </c>
      <c r="I5884" s="32" t="n">
        <v>27552.617</v>
      </c>
      <c r="K5884" s="32" t="inlineStr">
        <is>
          <t>20250514-12</t>
        </is>
      </c>
    </row>
    <row r="5885">
      <c r="A5885" s="32" t="n">
        <v>2</v>
      </c>
      <c r="B5885" s="32" t="inlineStr">
        <is>
          <t>EPA1633 &amp; diPAPs Calibration 0.02 ppb</t>
        </is>
      </c>
      <c r="D5885" s="32" t="n">
        <v>14.45</v>
      </c>
      <c r="E5885" s="32" t="n">
        <v>23288.723</v>
      </c>
      <c r="G5885" s="32" t="n">
        <v>340.694</v>
      </c>
      <c r="H5885" s="32" t="inlineStr">
        <is>
          <t>bb</t>
        </is>
      </c>
      <c r="I5885" s="32" t="n">
        <v>23288.723</v>
      </c>
      <c r="K5885" s="32" t="inlineStr">
        <is>
          <t>20250514-13</t>
        </is>
      </c>
    </row>
    <row r="5886">
      <c r="A5886" s="32" t="n">
        <v>3</v>
      </c>
      <c r="B5886" s="32" t="inlineStr">
        <is>
          <t>EPA1633 &amp; diPAPs Calibration 0.1 ppb</t>
        </is>
      </c>
      <c r="D5886" s="32" t="n">
        <v>14.45</v>
      </c>
      <c r="E5886" s="32" t="n">
        <v>24521.111</v>
      </c>
      <c r="G5886" s="32" t="n">
        <v>289.21</v>
      </c>
      <c r="H5886" s="32" t="inlineStr">
        <is>
          <t>bb</t>
        </is>
      </c>
      <c r="I5886" s="32" t="n">
        <v>24521.111</v>
      </c>
      <c r="K5886" s="32" t="inlineStr">
        <is>
          <t>20250514-14</t>
        </is>
      </c>
    </row>
    <row r="5887">
      <c r="A5887" s="32" t="n">
        <v>4</v>
      </c>
      <c r="B5887" s="32" t="inlineStr">
        <is>
          <t>EPA1633 &amp; diPAPs Calibration 0.4 ppb</t>
        </is>
      </c>
      <c r="D5887" s="32" t="n">
        <v>14.46</v>
      </c>
      <c r="E5887" s="32" t="n">
        <v>22443.777</v>
      </c>
      <c r="G5887" s="32" t="n">
        <v>110.639</v>
      </c>
      <c r="H5887" s="32" t="inlineStr">
        <is>
          <t>bb</t>
        </is>
      </c>
      <c r="I5887" s="32" t="n">
        <v>22443.777</v>
      </c>
      <c r="K5887" s="32" t="inlineStr">
        <is>
          <t>20250514-15</t>
        </is>
      </c>
    </row>
    <row r="5888">
      <c r="A5888" s="32" t="n">
        <v>5</v>
      </c>
      <c r="B5888" s="32" t="inlineStr">
        <is>
          <t>EPA1633 &amp; diPAPs Calibration 1 ppb</t>
        </is>
      </c>
      <c r="D5888" s="32" t="n">
        <v>14.46</v>
      </c>
      <c r="E5888" s="32" t="n">
        <v>25318.439</v>
      </c>
      <c r="G5888" s="32" t="n">
        <v>1014.107</v>
      </c>
      <c r="H5888" s="32" t="inlineStr">
        <is>
          <t>bb</t>
        </is>
      </c>
      <c r="I5888" s="32" t="n">
        <v>25318.439</v>
      </c>
      <c r="K5888" s="32" t="inlineStr">
        <is>
          <t>20250514-16</t>
        </is>
      </c>
    </row>
    <row r="5889">
      <c r="A5889" s="32" t="n">
        <v>6</v>
      </c>
      <c r="B5889" s="32" t="inlineStr">
        <is>
          <t>EPA1633 &amp; diPAPs Calibration 5 ppb</t>
        </is>
      </c>
      <c r="D5889" s="32" t="n">
        <v>14.4</v>
      </c>
      <c r="E5889" s="32" t="n">
        <v>20607.959</v>
      </c>
      <c r="G5889" s="32" t="n">
        <v>182.759</v>
      </c>
      <c r="H5889" s="32" t="inlineStr">
        <is>
          <t>bb</t>
        </is>
      </c>
      <c r="I5889" s="32" t="n">
        <v>20607.959</v>
      </c>
      <c r="K5889" s="32" t="inlineStr">
        <is>
          <t>20250514-17</t>
        </is>
      </c>
    </row>
    <row r="5890">
      <c r="A5890" s="32" t="n">
        <v>7</v>
      </c>
      <c r="B5890" s="32" t="inlineStr">
        <is>
          <t>EPA1633 &amp; diPAPs Calibration 10 ppb</t>
        </is>
      </c>
      <c r="D5890" s="32" t="n">
        <v>14.42</v>
      </c>
      <c r="E5890" s="32" t="n">
        <v>17506.748</v>
      </c>
      <c r="G5890" s="32" t="n">
        <v>260.786</v>
      </c>
      <c r="H5890" s="32" t="inlineStr">
        <is>
          <t>bb</t>
        </is>
      </c>
      <c r="I5890" s="32" t="n">
        <v>17506.748</v>
      </c>
      <c r="K5890" s="32" t="inlineStr">
        <is>
          <t>20250514-18</t>
        </is>
      </c>
    </row>
    <row r="5891">
      <c r="A5891" s="32" t="n">
        <v>8</v>
      </c>
      <c r="B5891" s="32" t="inlineStr">
        <is>
          <t>EPA1633 &amp; diPAPs Calibration 20 ppb</t>
        </is>
      </c>
      <c r="D5891" s="32" t="n">
        <v>14.43</v>
      </c>
      <c r="E5891" s="32" t="n">
        <v>19765.049</v>
      </c>
      <c r="G5891" s="32" t="n">
        <v>984.468</v>
      </c>
      <c r="H5891" s="32" t="inlineStr">
        <is>
          <t>bb</t>
        </is>
      </c>
      <c r="I5891" s="32" t="n">
        <v>19765.049</v>
      </c>
      <c r="K5891" s="32" t="inlineStr">
        <is>
          <t>20250514-19</t>
        </is>
      </c>
    </row>
    <row r="5892">
      <c r="A5892" s="32" t="n">
        <v>9</v>
      </c>
      <c r="B5892" s="32" t="inlineStr">
        <is>
          <t>MeOH</t>
        </is>
      </c>
      <c r="D5892" s="32" t="n">
        <v>14.04</v>
      </c>
      <c r="E5892" s="32" t="n">
        <v>66.075</v>
      </c>
      <c r="G5892" s="32" t="n">
        <v>2.133</v>
      </c>
      <c r="H5892" s="32" t="inlineStr">
        <is>
          <t>bb</t>
        </is>
      </c>
      <c r="I5892" s="32" t="n">
        <v>66.075</v>
      </c>
      <c r="K5892" s="32" t="inlineStr">
        <is>
          <t>20250514-20</t>
        </is>
      </c>
    </row>
    <row r="5893">
      <c r="A5893" s="32" t="n">
        <v>10</v>
      </c>
      <c r="B5893" s="32" t="inlineStr">
        <is>
          <t>MeOH</t>
        </is>
      </c>
      <c r="D5893" s="32" t="n">
        <v>14.35</v>
      </c>
      <c r="E5893" s="32" t="n">
        <v>183.957</v>
      </c>
      <c r="G5893" s="32" t="n">
        <v>5.4</v>
      </c>
      <c r="H5893" s="32" t="inlineStr">
        <is>
          <t>bb</t>
        </is>
      </c>
      <c r="I5893" s="32" t="n">
        <v>183.957</v>
      </c>
      <c r="K5893" s="32" t="inlineStr">
        <is>
          <t>20250514-21</t>
        </is>
      </c>
    </row>
    <row r="5894">
      <c r="A5894" s="32" t="n">
        <v>11</v>
      </c>
      <c r="B5894" s="32" t="inlineStr">
        <is>
          <t>SB1</t>
        </is>
      </c>
      <c r="D5894" s="32" t="n">
        <v>14.48</v>
      </c>
      <c r="E5894" s="32" t="n">
        <v>8514.804</v>
      </c>
      <c r="G5894" s="32" t="n">
        <v>171.67</v>
      </c>
      <c r="H5894" s="32" t="inlineStr">
        <is>
          <t>bb</t>
        </is>
      </c>
      <c r="I5894" s="32" t="n">
        <v>8514.804</v>
      </c>
      <c r="K5894" s="32" t="inlineStr">
        <is>
          <t>20250514-22</t>
        </is>
      </c>
    </row>
    <row r="5895">
      <c r="A5895" s="32" t="n">
        <v>12</v>
      </c>
      <c r="B5895" s="32" t="inlineStr">
        <is>
          <t>SB2</t>
        </is>
      </c>
      <c r="D5895" s="32" t="n">
        <v>14.48</v>
      </c>
      <c r="E5895" s="32" t="n">
        <v>8083.722</v>
      </c>
      <c r="G5895" s="32" t="n">
        <v>314.681</v>
      </c>
      <c r="H5895" s="32" t="inlineStr">
        <is>
          <t>bb</t>
        </is>
      </c>
      <c r="I5895" s="32" t="n">
        <v>8083.722</v>
      </c>
      <c r="K5895" s="32" t="inlineStr">
        <is>
          <t>20250514-23</t>
        </is>
      </c>
    </row>
    <row r="5896">
      <c r="A5896" s="32" t="n">
        <v>13</v>
      </c>
      <c r="B5896" s="32" t="inlineStr">
        <is>
          <t>SB3</t>
        </is>
      </c>
      <c r="D5896" s="32" t="n">
        <v>14.49</v>
      </c>
      <c r="E5896" s="32" t="n">
        <v>7758.756</v>
      </c>
      <c r="G5896" s="32" t="n">
        <v>135.254</v>
      </c>
      <c r="H5896" s="32" t="inlineStr">
        <is>
          <t>bd</t>
        </is>
      </c>
      <c r="I5896" s="32" t="n">
        <v>7758.756</v>
      </c>
      <c r="K5896" s="32" t="inlineStr">
        <is>
          <t>20250514-24</t>
        </is>
      </c>
    </row>
    <row r="5897">
      <c r="A5897" s="32" t="n">
        <v>14</v>
      </c>
      <c r="B5897" s="32" t="inlineStr">
        <is>
          <t>SS1</t>
        </is>
      </c>
      <c r="D5897" s="32" t="n">
        <v>14.51</v>
      </c>
      <c r="E5897" s="32" t="n">
        <v>8307.972</v>
      </c>
      <c r="G5897" s="32" t="n">
        <v>133.769</v>
      </c>
      <c r="H5897" s="32" t="inlineStr">
        <is>
          <t>bb</t>
        </is>
      </c>
      <c r="I5897" s="32" t="n">
        <v>8307.972</v>
      </c>
      <c r="K5897" s="32" t="inlineStr">
        <is>
          <t>20250514-25</t>
        </is>
      </c>
    </row>
    <row r="5898">
      <c r="A5898" s="32" t="n">
        <v>15</v>
      </c>
      <c r="B5898" s="32" t="inlineStr">
        <is>
          <t>SS2</t>
        </is>
      </c>
      <c r="D5898" s="32" t="n">
        <v>14.51</v>
      </c>
      <c r="E5898" s="32" t="n">
        <v>8575.522000000001</v>
      </c>
      <c r="G5898" s="32" t="n">
        <v>422.932</v>
      </c>
      <c r="H5898" s="32" t="inlineStr">
        <is>
          <t>bb</t>
        </is>
      </c>
      <c r="I5898" s="32" t="n">
        <v>8575.522000000001</v>
      </c>
      <c r="K5898" s="32" t="inlineStr">
        <is>
          <t>20250514-26</t>
        </is>
      </c>
    </row>
    <row r="5899">
      <c r="A5899" s="32" t="n">
        <v>16</v>
      </c>
      <c r="B5899" s="32" t="inlineStr">
        <is>
          <t>SS3</t>
        </is>
      </c>
      <c r="D5899" s="32" t="n">
        <v>14.52</v>
      </c>
      <c r="E5899" s="32" t="n">
        <v>8175.201</v>
      </c>
      <c r="G5899" s="32" t="n">
        <v>108.942</v>
      </c>
      <c r="H5899" s="32" t="inlineStr">
        <is>
          <t>bb</t>
        </is>
      </c>
      <c r="I5899" s="32" t="n">
        <v>8175.201</v>
      </c>
      <c r="K5899" s="32" t="inlineStr">
        <is>
          <t>20250514-27</t>
        </is>
      </c>
    </row>
    <row r="5900">
      <c r="A5900" s="32" t="n">
        <v>17</v>
      </c>
      <c r="B5900" s="32" t="inlineStr">
        <is>
          <t>MeOH</t>
        </is>
      </c>
      <c r="D5900" s="32" t="n">
        <v>13.94</v>
      </c>
      <c r="E5900" s="32" t="n">
        <v>92.95399999999999</v>
      </c>
      <c r="G5900" s="32" t="n">
        <v>844</v>
      </c>
      <c r="H5900" s="32" t="inlineStr">
        <is>
          <t>bb</t>
        </is>
      </c>
      <c r="I5900" s="32" t="n">
        <v>92.95399999999999</v>
      </c>
      <c r="K5900" s="32" t="inlineStr">
        <is>
          <t>20250514-28</t>
        </is>
      </c>
    </row>
    <row r="5901">
      <c r="A5901" s="32" t="n">
        <v>18</v>
      </c>
      <c r="B5901" s="32" t="inlineStr">
        <is>
          <t>K4-1A</t>
        </is>
      </c>
      <c r="D5901" s="32" t="n">
        <v>14.52</v>
      </c>
      <c r="E5901" s="32" t="n">
        <v>10322.775</v>
      </c>
      <c r="G5901" s="32" t="n">
        <v>185.562</v>
      </c>
      <c r="H5901" s="32" t="inlineStr">
        <is>
          <t>bb</t>
        </is>
      </c>
      <c r="I5901" s="32" t="n">
        <v>10322.775</v>
      </c>
      <c r="K5901" s="32" t="inlineStr">
        <is>
          <t>20250514-29</t>
        </is>
      </c>
    </row>
    <row r="5902">
      <c r="A5902" s="32" t="n">
        <v>19</v>
      </c>
      <c r="B5902" s="32" t="inlineStr">
        <is>
          <t>K4-1B</t>
        </is>
      </c>
      <c r="D5902" s="32" t="n">
        <v>14.52</v>
      </c>
      <c r="E5902" s="32" t="n">
        <v>10186.714</v>
      </c>
      <c r="G5902" s="32" t="n">
        <v>118.174</v>
      </c>
      <c r="H5902" s="32" t="inlineStr">
        <is>
          <t>bb</t>
        </is>
      </c>
      <c r="I5902" s="32" t="n">
        <v>10186.714</v>
      </c>
      <c r="K5902" s="32" t="inlineStr">
        <is>
          <t>20250514-30</t>
        </is>
      </c>
    </row>
    <row r="5903">
      <c r="A5903" s="32" t="n">
        <v>20</v>
      </c>
      <c r="B5903" s="32" t="inlineStr">
        <is>
          <t>K4-1C</t>
        </is>
      </c>
      <c r="D5903" s="32" t="n">
        <v>14.52</v>
      </c>
      <c r="E5903" s="32" t="n">
        <v>9628.906000000001</v>
      </c>
      <c r="G5903" s="32" t="n">
        <v>172.597</v>
      </c>
      <c r="H5903" s="32" t="inlineStr">
        <is>
          <t>bb</t>
        </is>
      </c>
      <c r="I5903" s="32" t="n">
        <v>9628.906000000001</v>
      </c>
      <c r="K5903" s="32" t="inlineStr">
        <is>
          <t>20250514-31</t>
        </is>
      </c>
    </row>
    <row r="5904">
      <c r="A5904" s="32" t="n">
        <v>21</v>
      </c>
      <c r="B5904" s="32" t="inlineStr">
        <is>
          <t>K4-2A</t>
        </is>
      </c>
      <c r="D5904" s="32" t="n">
        <v>14.54</v>
      </c>
      <c r="E5904" s="32" t="n">
        <v>8744.664000000001</v>
      </c>
      <c r="G5904" s="32" t="n">
        <v>277.621</v>
      </c>
      <c r="H5904" s="32" t="inlineStr">
        <is>
          <t>bb</t>
        </is>
      </c>
      <c r="I5904" s="32" t="n">
        <v>8744.664000000001</v>
      </c>
      <c r="K5904" s="32" t="inlineStr">
        <is>
          <t>20250514-32</t>
        </is>
      </c>
    </row>
    <row r="5905">
      <c r="A5905" s="32" t="n">
        <v>22</v>
      </c>
      <c r="B5905" s="32" t="inlineStr">
        <is>
          <t>K4-2B</t>
        </is>
      </c>
      <c r="D5905" s="32" t="n">
        <v>14.55</v>
      </c>
      <c r="E5905" s="32" t="n">
        <v>8444.098</v>
      </c>
      <c r="G5905" s="32" t="n">
        <v>277.275</v>
      </c>
      <c r="H5905" s="32" t="inlineStr">
        <is>
          <t>bb</t>
        </is>
      </c>
      <c r="I5905" s="32" t="n">
        <v>8444.098</v>
      </c>
      <c r="K5905" s="32" t="inlineStr">
        <is>
          <t>20250514-33</t>
        </is>
      </c>
    </row>
    <row r="5906">
      <c r="A5906" s="32" t="n">
        <v>23</v>
      </c>
      <c r="B5906" s="32" t="inlineStr">
        <is>
          <t>K4-2C</t>
        </is>
      </c>
      <c r="D5906" s="32" t="n">
        <v>14.54</v>
      </c>
      <c r="E5906" s="32" t="n">
        <v>7998.905</v>
      </c>
      <c r="G5906" s="32" t="n">
        <v>165.031</v>
      </c>
      <c r="H5906" s="32" t="inlineStr">
        <is>
          <t>bb</t>
        </is>
      </c>
      <c r="I5906" s="32" t="n">
        <v>7998.905</v>
      </c>
      <c r="K5906" s="32" t="inlineStr">
        <is>
          <t>20250514-34</t>
        </is>
      </c>
    </row>
    <row r="5907">
      <c r="A5907" s="32" t="n">
        <v>24</v>
      </c>
      <c r="B5907" s="32" t="inlineStr">
        <is>
          <t>MeOH</t>
        </is>
      </c>
      <c r="D5907" s="32" t="n">
        <v>14.74</v>
      </c>
      <c r="E5907" s="32" t="n">
        <v>160.105</v>
      </c>
      <c r="G5907" s="32" t="n">
        <v>1.632</v>
      </c>
      <c r="H5907" s="32" t="inlineStr">
        <is>
          <t>bb</t>
        </is>
      </c>
      <c r="I5907" s="32" t="n">
        <v>160.105</v>
      </c>
      <c r="K5907" s="32" t="inlineStr">
        <is>
          <t>20250514-35</t>
        </is>
      </c>
    </row>
    <row r="5908">
      <c r="A5908" s="32" t="n">
        <v>25</v>
      </c>
      <c r="B5908" s="32" t="inlineStr">
        <is>
          <t>K4-4A</t>
        </is>
      </c>
      <c r="D5908" s="32" t="n">
        <v>14.57</v>
      </c>
      <c r="E5908" s="32" t="n">
        <v>9868.415000000001</v>
      </c>
      <c r="G5908" s="32" t="n">
        <v>123.121</v>
      </c>
      <c r="H5908" s="32" t="inlineStr">
        <is>
          <t>bb</t>
        </is>
      </c>
      <c r="I5908" s="32" t="n">
        <v>9868.415000000001</v>
      </c>
      <c r="K5908" s="32" t="inlineStr">
        <is>
          <t>20250514-36</t>
        </is>
      </c>
    </row>
    <row r="5909">
      <c r="A5909" s="32" t="n">
        <v>26</v>
      </c>
      <c r="B5909" s="32" t="inlineStr">
        <is>
          <t>K4-4B</t>
        </is>
      </c>
      <c r="D5909" s="32" t="n">
        <v>14.57</v>
      </c>
      <c r="E5909" s="32" t="n">
        <v>9821.01</v>
      </c>
      <c r="G5909" s="32" t="n">
        <v>107.954</v>
      </c>
      <c r="H5909" s="32" t="inlineStr">
        <is>
          <t>bb</t>
        </is>
      </c>
      <c r="I5909" s="32" t="n">
        <v>9821.01</v>
      </c>
      <c r="K5909" s="32" t="inlineStr">
        <is>
          <t>20250514-37</t>
        </is>
      </c>
    </row>
    <row r="5910">
      <c r="A5910" s="32" t="n">
        <v>27</v>
      </c>
      <c r="B5910" s="32" t="inlineStr">
        <is>
          <t>K4-4C</t>
        </is>
      </c>
      <c r="D5910" s="32" t="n">
        <v>14.57</v>
      </c>
      <c r="E5910" s="32" t="n">
        <v>11852</v>
      </c>
      <c r="G5910" s="32" t="n">
        <v>297.481</v>
      </c>
      <c r="H5910" s="32" t="inlineStr">
        <is>
          <t>bb</t>
        </is>
      </c>
      <c r="I5910" s="32" t="n">
        <v>11852</v>
      </c>
      <c r="K5910" s="32" t="inlineStr">
        <is>
          <t>20250514-38</t>
        </is>
      </c>
    </row>
    <row r="5911">
      <c r="A5911" s="32" t="n">
        <v>28</v>
      </c>
      <c r="B5911" s="32" t="inlineStr">
        <is>
          <t>K4-5A</t>
        </is>
      </c>
      <c r="D5911" s="32" t="n">
        <v>14.55</v>
      </c>
      <c r="E5911" s="32" t="n">
        <v>9465.008</v>
      </c>
      <c r="G5911" s="32" t="n">
        <v>696.852</v>
      </c>
      <c r="H5911" s="32" t="inlineStr">
        <is>
          <t>bb</t>
        </is>
      </c>
      <c r="I5911" s="32" t="n">
        <v>9465.008</v>
      </c>
      <c r="K5911" s="32" t="inlineStr">
        <is>
          <t>20250514-39</t>
        </is>
      </c>
    </row>
    <row r="5912">
      <c r="A5912" s="32" t="n">
        <v>29</v>
      </c>
      <c r="B5912" s="32" t="inlineStr">
        <is>
          <t>K4-5B</t>
        </is>
      </c>
      <c r="D5912" s="32" t="n">
        <v>14.54</v>
      </c>
      <c r="E5912" s="32" t="n">
        <v>10675.469</v>
      </c>
      <c r="G5912" s="32" t="n">
        <v>197.419</v>
      </c>
      <c r="H5912" s="32" t="inlineStr">
        <is>
          <t>bb</t>
        </is>
      </c>
      <c r="I5912" s="32" t="n">
        <v>10675.469</v>
      </c>
      <c r="K5912" s="32" t="inlineStr">
        <is>
          <t>20250514-40</t>
        </is>
      </c>
    </row>
    <row r="5913">
      <c r="A5913" s="32" t="n">
        <v>30</v>
      </c>
      <c r="B5913" s="32" t="inlineStr">
        <is>
          <t>K4-5C</t>
        </is>
      </c>
      <c r="D5913" s="32" t="n">
        <v>14.48</v>
      </c>
      <c r="E5913" s="32" t="n">
        <v>9713.841</v>
      </c>
      <c r="G5913" s="32" t="n">
        <v>126.234</v>
      </c>
      <c r="H5913" s="32" t="inlineStr">
        <is>
          <t>bb</t>
        </is>
      </c>
      <c r="I5913" s="32" t="n">
        <v>9713.841</v>
      </c>
      <c r="K5913" s="32" t="inlineStr">
        <is>
          <t>20250514-41</t>
        </is>
      </c>
    </row>
    <row r="5914">
      <c r="A5914" s="32" t="n">
        <v>31</v>
      </c>
      <c r="B5914" s="32" t="inlineStr">
        <is>
          <t>MeOH</t>
        </is>
      </c>
      <c r="D5914" s="32" t="n">
        <v>14.46</v>
      </c>
      <c r="E5914" s="32" t="n">
        <v>26.129</v>
      </c>
      <c r="G5914" s="32" t="n">
        <v>2.363</v>
      </c>
      <c r="H5914" s="32" t="inlineStr">
        <is>
          <t>bb</t>
        </is>
      </c>
      <c r="I5914" s="32" t="n">
        <v>26.129</v>
      </c>
      <c r="K5914" s="32" t="inlineStr">
        <is>
          <t>20250514-42</t>
        </is>
      </c>
    </row>
    <row r="5915">
      <c r="A5915" s="32" t="n">
        <v>32</v>
      </c>
      <c r="B5915" s="32" t="inlineStr">
        <is>
          <t>K3-1A</t>
        </is>
      </c>
      <c r="D5915" s="32" t="n">
        <v>14.43</v>
      </c>
      <c r="E5915" s="32" t="n">
        <v>11165.479</v>
      </c>
      <c r="G5915" s="32" t="n">
        <v>260.613</v>
      </c>
      <c r="H5915" s="32" t="inlineStr">
        <is>
          <t>bb</t>
        </is>
      </c>
      <c r="I5915" s="32" t="n">
        <v>11165.479</v>
      </c>
      <c r="K5915" s="32" t="inlineStr">
        <is>
          <t>20250514-43</t>
        </is>
      </c>
    </row>
    <row r="5916">
      <c r="A5916" s="32" t="n">
        <v>33</v>
      </c>
      <c r="B5916" s="32" t="inlineStr">
        <is>
          <t>K3-1B</t>
        </is>
      </c>
      <c r="D5916" s="32" t="n">
        <v>14.45</v>
      </c>
      <c r="E5916" s="32" t="n">
        <v>10191.97</v>
      </c>
      <c r="G5916" s="32" t="n">
        <v>111.234</v>
      </c>
      <c r="H5916" s="32" t="inlineStr">
        <is>
          <t>bb</t>
        </is>
      </c>
      <c r="I5916" s="32" t="n">
        <v>10191.97</v>
      </c>
      <c r="K5916" s="32" t="inlineStr">
        <is>
          <t>20250514-44</t>
        </is>
      </c>
    </row>
    <row r="5917">
      <c r="A5917" s="32" t="n">
        <v>34</v>
      </c>
      <c r="B5917" s="32" t="inlineStr">
        <is>
          <t>K3-1C</t>
        </is>
      </c>
      <c r="D5917" s="32" t="n">
        <v>14.49</v>
      </c>
      <c r="E5917" s="32" t="n">
        <v>13663.627</v>
      </c>
      <c r="G5917" s="32" t="n">
        <v>178.112</v>
      </c>
      <c r="H5917" s="32" t="inlineStr">
        <is>
          <t>bb</t>
        </is>
      </c>
      <c r="I5917" s="32" t="n">
        <v>13663.627</v>
      </c>
      <c r="K5917" s="32" t="inlineStr">
        <is>
          <t>20250514-45</t>
        </is>
      </c>
    </row>
    <row r="5918">
      <c r="A5918" s="32" t="n">
        <v>35</v>
      </c>
      <c r="B5918" s="32" t="inlineStr">
        <is>
          <t>K3-2A</t>
        </is>
      </c>
      <c r="D5918" s="32" t="n">
        <v>14.51</v>
      </c>
      <c r="E5918" s="32" t="n">
        <v>12675.376</v>
      </c>
      <c r="G5918" s="32" t="n">
        <v>317.671</v>
      </c>
      <c r="H5918" s="32" t="inlineStr">
        <is>
          <t>bb</t>
        </is>
      </c>
      <c r="I5918" s="32" t="n">
        <v>12675.376</v>
      </c>
      <c r="K5918" s="32" t="inlineStr">
        <is>
          <t>20250514-46</t>
        </is>
      </c>
    </row>
    <row r="5919">
      <c r="A5919" s="32" t="n">
        <v>36</v>
      </c>
      <c r="B5919" s="32" t="inlineStr">
        <is>
          <t>K3-2B</t>
        </is>
      </c>
      <c r="D5919" s="32" t="n">
        <v>14.51</v>
      </c>
      <c r="E5919" s="32" t="n">
        <v>12602.38</v>
      </c>
      <c r="G5919" s="32" t="n">
        <v>193.432</v>
      </c>
      <c r="H5919" s="32" t="inlineStr">
        <is>
          <t>bb</t>
        </is>
      </c>
      <c r="I5919" s="32" t="n">
        <v>12602.38</v>
      </c>
      <c r="K5919" s="32" t="inlineStr">
        <is>
          <t>20250514-47</t>
        </is>
      </c>
    </row>
    <row r="5920">
      <c r="A5920" s="32" t="n">
        <v>37</v>
      </c>
      <c r="B5920" s="32" t="inlineStr">
        <is>
          <t>K3-2C</t>
        </is>
      </c>
      <c r="D5920" s="32" t="n">
        <v>14.51</v>
      </c>
      <c r="E5920" s="32" t="n">
        <v>12657.865</v>
      </c>
      <c r="G5920" s="32" t="n">
        <v>138.352</v>
      </c>
      <c r="H5920" s="32" t="inlineStr">
        <is>
          <t>bb</t>
        </is>
      </c>
      <c r="I5920" s="32" t="n">
        <v>12657.865</v>
      </c>
      <c r="K5920" s="32" t="inlineStr">
        <is>
          <t>20250514-48</t>
        </is>
      </c>
    </row>
    <row r="5921">
      <c r="A5921" s="32" t="n">
        <v>38</v>
      </c>
      <c r="B5921" s="32" t="inlineStr">
        <is>
          <t>MeOH</t>
        </is>
      </c>
      <c r="D5921" s="32" t="n">
        <v>14.51</v>
      </c>
      <c r="E5921" s="32" t="n">
        <v>142.733</v>
      </c>
      <c r="G5921" s="32" t="n">
        <v>2.028</v>
      </c>
      <c r="H5921" s="32" t="inlineStr">
        <is>
          <t>bb</t>
        </is>
      </c>
      <c r="I5921" s="32" t="n">
        <v>142.733</v>
      </c>
      <c r="K5921" s="32" t="inlineStr">
        <is>
          <t>20250514-49</t>
        </is>
      </c>
    </row>
    <row r="5922">
      <c r="A5922" s="32" t="n">
        <v>39</v>
      </c>
      <c r="B5922" s="32" t="inlineStr">
        <is>
          <t>K3-3A</t>
        </is>
      </c>
      <c r="D5922" s="32" t="n">
        <v>14.52</v>
      </c>
      <c r="E5922" s="32" t="n">
        <v>10197.11</v>
      </c>
      <c r="G5922" s="32" t="n">
        <v>439.749</v>
      </c>
      <c r="H5922" s="32" t="inlineStr">
        <is>
          <t>bb</t>
        </is>
      </c>
      <c r="I5922" s="32" t="n">
        <v>10197.11</v>
      </c>
      <c r="K5922" s="32" t="inlineStr">
        <is>
          <t>20250514-50</t>
        </is>
      </c>
    </row>
    <row r="5923">
      <c r="A5923" s="32" t="n">
        <v>40</v>
      </c>
      <c r="B5923" s="32" t="inlineStr">
        <is>
          <t>K3-3B</t>
        </is>
      </c>
      <c r="D5923" s="32" t="n">
        <v>14.55</v>
      </c>
      <c r="E5923" s="32" t="n">
        <v>11506.86</v>
      </c>
      <c r="G5923" s="32" t="n">
        <v>832.6660000000001</v>
      </c>
      <c r="H5923" s="32" t="inlineStr">
        <is>
          <t>bb</t>
        </is>
      </c>
      <c r="I5923" s="32" t="n">
        <v>11506.86</v>
      </c>
      <c r="K5923" s="32" t="inlineStr">
        <is>
          <t>20250514-51</t>
        </is>
      </c>
    </row>
    <row r="5924">
      <c r="A5924" s="32" t="n">
        <v>41</v>
      </c>
      <c r="B5924" s="32" t="inlineStr">
        <is>
          <t>K3-3C</t>
        </is>
      </c>
      <c r="D5924" s="32" t="n">
        <v>14.54</v>
      </c>
      <c r="E5924" s="32" t="n">
        <v>14119.439</v>
      </c>
      <c r="G5924" s="32" t="n">
        <v>349.264</v>
      </c>
      <c r="H5924" s="32" t="inlineStr">
        <is>
          <t>bb</t>
        </is>
      </c>
      <c r="I5924" s="32" t="n">
        <v>14119.439</v>
      </c>
      <c r="K5924" s="32" t="inlineStr">
        <is>
          <t>20250514-52</t>
        </is>
      </c>
    </row>
    <row r="5925">
      <c r="A5925" s="32" t="n">
        <v>42</v>
      </c>
      <c r="B5925" s="32" t="inlineStr">
        <is>
          <t>K3-4A</t>
        </is>
      </c>
      <c r="D5925" s="32" t="n">
        <v>14.58</v>
      </c>
      <c r="E5925" s="32" t="n">
        <v>13867.716</v>
      </c>
      <c r="G5925" s="32" t="n">
        <v>140.323</v>
      </c>
      <c r="H5925" s="32" t="inlineStr">
        <is>
          <t>bb</t>
        </is>
      </c>
      <c r="I5925" s="32" t="n">
        <v>13867.716</v>
      </c>
      <c r="K5925" s="32" t="inlineStr">
        <is>
          <t>20250514-53</t>
        </is>
      </c>
    </row>
    <row r="5926">
      <c r="A5926" s="32" t="n">
        <v>43</v>
      </c>
      <c r="B5926" s="32" t="inlineStr">
        <is>
          <t>K3-4B</t>
        </is>
      </c>
      <c r="D5926" s="32" t="n">
        <v>14.57</v>
      </c>
      <c r="E5926" s="32" t="n">
        <v>12810.85</v>
      </c>
      <c r="G5926" s="32" t="n">
        <v>337.416</v>
      </c>
      <c r="H5926" s="32" t="inlineStr">
        <is>
          <t>bb</t>
        </is>
      </c>
      <c r="I5926" s="32" t="n">
        <v>12810.85</v>
      </c>
      <c r="K5926" s="32" t="inlineStr">
        <is>
          <t>20250514-54</t>
        </is>
      </c>
    </row>
    <row r="5927">
      <c r="A5927" s="32" t="n">
        <v>44</v>
      </c>
      <c r="B5927" s="32" t="inlineStr">
        <is>
          <t>K3-4C</t>
        </is>
      </c>
      <c r="D5927" s="32" t="n">
        <v>14.6</v>
      </c>
      <c r="E5927" s="32" t="n">
        <v>15157.041</v>
      </c>
      <c r="G5927" s="32" t="n">
        <v>726.539</v>
      </c>
      <c r="H5927" s="32" t="inlineStr">
        <is>
          <t>bb</t>
        </is>
      </c>
      <c r="I5927" s="32" t="n">
        <v>15157.041</v>
      </c>
      <c r="K5927" s="32" t="inlineStr">
        <is>
          <t>20250514-55</t>
        </is>
      </c>
    </row>
    <row r="5928">
      <c r="A5928" s="32" t="n">
        <v>45</v>
      </c>
      <c r="B5928" s="32" t="inlineStr">
        <is>
          <t>MeOH</t>
        </is>
      </c>
      <c r="D5928" s="32" t="n">
        <v>14.6</v>
      </c>
      <c r="E5928" s="32" t="n">
        <v>70.619</v>
      </c>
      <c r="G5928" s="32" t="n">
        <v>7.717</v>
      </c>
      <c r="H5928" s="32" t="inlineStr">
        <is>
          <t>bb</t>
        </is>
      </c>
      <c r="I5928" s="32" t="n">
        <v>70.619</v>
      </c>
      <c r="K5928" s="32" t="inlineStr">
        <is>
          <t>20250514-56</t>
        </is>
      </c>
    </row>
    <row r="5929">
      <c r="A5929" s="32" t="n">
        <v>46</v>
      </c>
      <c r="B5929" s="32" t="inlineStr">
        <is>
          <t>K3-6A</t>
        </is>
      </c>
      <c r="D5929" s="32" t="n">
        <v>14.6</v>
      </c>
      <c r="E5929" s="32" t="n">
        <v>12842.805</v>
      </c>
      <c r="G5929" s="32" t="n">
        <v>170.928</v>
      </c>
      <c r="H5929" s="32" t="inlineStr">
        <is>
          <t>bb</t>
        </is>
      </c>
      <c r="I5929" s="32" t="n">
        <v>12842.805</v>
      </c>
      <c r="K5929" s="32" t="inlineStr">
        <is>
          <t>20250514-57</t>
        </is>
      </c>
    </row>
    <row r="5930">
      <c r="A5930" s="32" t="n">
        <v>47</v>
      </c>
      <c r="B5930" s="32" t="inlineStr">
        <is>
          <t>K3-6B</t>
        </is>
      </c>
      <c r="D5930" s="32" t="n">
        <v>14.6</v>
      </c>
      <c r="E5930" s="32" t="n">
        <v>9136.427</v>
      </c>
      <c r="G5930" s="32" t="n">
        <v>113.892</v>
      </c>
      <c r="H5930" s="32" t="inlineStr">
        <is>
          <t>bb</t>
        </is>
      </c>
      <c r="I5930" s="32" t="n">
        <v>9136.427</v>
      </c>
      <c r="K5930" s="32" t="inlineStr">
        <is>
          <t>20250514-58</t>
        </is>
      </c>
    </row>
    <row r="5931">
      <c r="A5931" s="32" t="n">
        <v>48</v>
      </c>
      <c r="B5931" s="32" t="inlineStr">
        <is>
          <t>K3-6C</t>
        </is>
      </c>
      <c r="D5931" s="32" t="n">
        <v>14.58</v>
      </c>
      <c r="E5931" s="32" t="n">
        <v>9263.581</v>
      </c>
      <c r="G5931" s="32" t="n">
        <v>57975</v>
      </c>
      <c r="H5931" s="32" t="inlineStr">
        <is>
          <t>bb</t>
        </is>
      </c>
      <c r="I5931" s="32" t="n">
        <v>9263.581</v>
      </c>
      <c r="K5931" s="32" t="inlineStr">
        <is>
          <t>20250514-59</t>
        </is>
      </c>
    </row>
    <row r="5933">
      <c r="A5933" s="32" t="inlineStr">
        <is>
          <t>Compound 115:  m9 N-EtFOSE 1</t>
        </is>
      </c>
    </row>
    <row r="5935">
      <c r="B5935" s="32" t="inlineStr">
        <is>
          <t>Sample Text</t>
        </is>
      </c>
      <c r="C5935" s="32" t="inlineStr">
        <is>
          <t>Std. Conc</t>
        </is>
      </c>
      <c r="D5935" s="32" t="inlineStr">
        <is>
          <t>RT</t>
        </is>
      </c>
      <c r="E5935" s="32" t="inlineStr">
        <is>
          <t>Area</t>
        </is>
      </c>
      <c r="F5935" s="32" t="inlineStr">
        <is>
          <t>IS Area</t>
        </is>
      </c>
      <c r="G5935" s="32" t="inlineStr">
        <is>
          <t>S/N</t>
        </is>
      </c>
      <c r="H5935" s="32" t="inlineStr">
        <is>
          <t>Primary Flags</t>
        </is>
      </c>
      <c r="I5935" s="32" t="inlineStr">
        <is>
          <t>Response</t>
        </is>
      </c>
      <c r="J5935" s="32" t="inlineStr">
        <is>
          <t>Conc.</t>
        </is>
      </c>
      <c r="K5935" s="32" t="inlineStr">
        <is>
          <t>Name</t>
        </is>
      </c>
    </row>
    <row r="5936">
      <c r="A5936" s="32" t="n">
        <v>1</v>
      </c>
      <c r="B5936" s="32" t="inlineStr">
        <is>
          <t>EPA1633 &amp; diPAPs Calibration 0 ppb</t>
        </is>
      </c>
      <c r="D5936" s="32" t="n">
        <v>18.82</v>
      </c>
      <c r="E5936" s="32" t="n">
        <v>4028.771</v>
      </c>
      <c r="G5936" s="32" t="n">
        <v>3546.84</v>
      </c>
      <c r="H5936" s="32" t="inlineStr">
        <is>
          <t>bb</t>
        </is>
      </c>
      <c r="I5936" s="32" t="n">
        <v>4028.771</v>
      </c>
      <c r="K5936" s="32" t="inlineStr">
        <is>
          <t>20250514-12</t>
        </is>
      </c>
    </row>
    <row r="5937">
      <c r="A5937" s="32" t="n">
        <v>2</v>
      </c>
      <c r="B5937" s="32" t="inlineStr">
        <is>
          <t>EPA1633 &amp; diPAPs Calibration 0.02 ppb</t>
        </is>
      </c>
      <c r="D5937" s="32" t="n">
        <v>18.83</v>
      </c>
      <c r="E5937" s="32" t="n">
        <v>3693.433</v>
      </c>
      <c r="G5937" s="32" t="n">
        <v>2012.182</v>
      </c>
      <c r="H5937" s="32" t="inlineStr">
        <is>
          <t>bb</t>
        </is>
      </c>
      <c r="I5937" s="32" t="n">
        <v>3693.433</v>
      </c>
      <c r="K5937" s="32" t="inlineStr">
        <is>
          <t>20250514-13</t>
        </is>
      </c>
    </row>
    <row r="5938">
      <c r="A5938" s="32" t="n">
        <v>3</v>
      </c>
      <c r="B5938" s="32" t="inlineStr">
        <is>
          <t>EPA1633 &amp; diPAPs Calibration 0.1 ppb</t>
        </is>
      </c>
      <c r="D5938" s="32" t="n">
        <v>18.83</v>
      </c>
      <c r="E5938" s="32" t="n">
        <v>3784.583</v>
      </c>
      <c r="G5938" s="32" t="n">
        <v>1392.709</v>
      </c>
      <c r="H5938" s="32" t="inlineStr">
        <is>
          <t>bb</t>
        </is>
      </c>
      <c r="I5938" s="32" t="n">
        <v>3784.583</v>
      </c>
      <c r="K5938" s="32" t="inlineStr">
        <is>
          <t>20250514-14</t>
        </is>
      </c>
    </row>
    <row r="5939">
      <c r="A5939" s="32" t="n">
        <v>4</v>
      </c>
      <c r="B5939" s="32" t="inlineStr">
        <is>
          <t>EPA1633 &amp; diPAPs Calibration 0.4 ppb</t>
        </is>
      </c>
      <c r="D5939" s="32" t="n">
        <v>18.84</v>
      </c>
      <c r="E5939" s="32" t="n">
        <v>3633.396</v>
      </c>
      <c r="G5939" s="32" t="n">
        <v>1166.595</v>
      </c>
      <c r="H5939" s="32" t="inlineStr">
        <is>
          <t>bb</t>
        </is>
      </c>
      <c r="I5939" s="32" t="n">
        <v>3633.396</v>
      </c>
      <c r="K5939" s="32" t="inlineStr">
        <is>
          <t>20250514-15</t>
        </is>
      </c>
    </row>
    <row r="5940">
      <c r="A5940" s="32" t="n">
        <v>5</v>
      </c>
      <c r="B5940" s="32" t="inlineStr">
        <is>
          <t>EPA1633 &amp; diPAPs Calibration 1 ppb</t>
        </is>
      </c>
      <c r="D5940" s="32" t="n">
        <v>18.81</v>
      </c>
      <c r="E5940" s="32" t="n">
        <v>4115.012</v>
      </c>
      <c r="G5940" s="32" t="n">
        <v>4226.206</v>
      </c>
      <c r="H5940" s="32" t="inlineStr">
        <is>
          <t>bb</t>
        </is>
      </c>
      <c r="I5940" s="32" t="n">
        <v>4115.012</v>
      </c>
      <c r="K5940" s="32" t="inlineStr">
        <is>
          <t>20250514-16</t>
        </is>
      </c>
    </row>
    <row r="5941">
      <c r="A5941" s="32" t="n">
        <v>6</v>
      </c>
      <c r="B5941" s="32" t="inlineStr">
        <is>
          <t>EPA1633 &amp; diPAPs Calibration 5 ppb</t>
        </is>
      </c>
      <c r="D5941" s="32" t="n">
        <v>18.81</v>
      </c>
      <c r="E5941" s="32" t="n">
        <v>3380.772</v>
      </c>
      <c r="G5941" s="32" t="n">
        <v>2326.911</v>
      </c>
      <c r="H5941" s="32" t="inlineStr">
        <is>
          <t>bb</t>
        </is>
      </c>
      <c r="I5941" s="32" t="n">
        <v>3380.772</v>
      </c>
      <c r="K5941" s="32" t="inlineStr">
        <is>
          <t>20250514-17</t>
        </is>
      </c>
    </row>
    <row r="5942">
      <c r="A5942" s="32" t="n">
        <v>7</v>
      </c>
      <c r="B5942" s="32" t="inlineStr">
        <is>
          <t>EPA1633 &amp; diPAPs Calibration 10 ppb</t>
        </is>
      </c>
      <c r="D5942" s="32" t="n">
        <v>18.81</v>
      </c>
      <c r="E5942" s="32" t="n">
        <v>2952.945</v>
      </c>
      <c r="G5942" s="32" t="n">
        <v>2240.537</v>
      </c>
      <c r="H5942" s="32" t="inlineStr">
        <is>
          <t>bb</t>
        </is>
      </c>
      <c r="I5942" s="32" t="n">
        <v>2952.945</v>
      </c>
      <c r="K5942" s="32" t="inlineStr">
        <is>
          <t>20250514-18</t>
        </is>
      </c>
    </row>
    <row r="5943">
      <c r="A5943" s="32" t="n">
        <v>8</v>
      </c>
      <c r="B5943" s="32" t="inlineStr">
        <is>
          <t>EPA1633 &amp; diPAPs Calibration 20 ppb</t>
        </is>
      </c>
      <c r="D5943" s="32" t="n">
        <v>18.82</v>
      </c>
      <c r="E5943" s="32" t="n">
        <v>3244.369</v>
      </c>
      <c r="G5943" s="32" t="n">
        <v>1119.869</v>
      </c>
      <c r="H5943" s="32" t="inlineStr">
        <is>
          <t>bb</t>
        </is>
      </c>
      <c r="I5943" s="32" t="n">
        <v>3244.369</v>
      </c>
      <c r="K5943" s="32" t="inlineStr">
        <is>
          <t>20250514-19</t>
        </is>
      </c>
    </row>
    <row r="5944">
      <c r="A5944" s="32" t="n">
        <v>9</v>
      </c>
      <c r="B5944" s="32" t="inlineStr">
        <is>
          <t>MeOH</t>
        </is>
      </c>
      <c r="D5944" s="32" t="n">
        <v>18.83</v>
      </c>
      <c r="E5944" s="32" t="n">
        <v>96.73</v>
      </c>
      <c r="G5944" s="32" t="n">
        <v>276.125</v>
      </c>
      <c r="H5944" s="32" t="inlineStr">
        <is>
          <t>bb</t>
        </is>
      </c>
      <c r="I5944" s="32" t="n">
        <v>96.73</v>
      </c>
      <c r="K5944" s="32" t="inlineStr">
        <is>
          <t>20250514-20</t>
        </is>
      </c>
    </row>
    <row r="5945">
      <c r="A5945" s="32" t="n">
        <v>10</v>
      </c>
      <c r="B5945" s="32" t="inlineStr">
        <is>
          <t>MeOH</t>
        </is>
      </c>
      <c r="D5945" s="32" t="n">
        <v>18.84</v>
      </c>
      <c r="E5945" s="32" t="n">
        <v>27.687</v>
      </c>
      <c r="G5945" s="32" t="n">
        <v>21.587</v>
      </c>
      <c r="H5945" s="32" t="inlineStr">
        <is>
          <t>bb</t>
        </is>
      </c>
      <c r="I5945" s="32" t="n">
        <v>27.687</v>
      </c>
      <c r="K5945" s="32" t="inlineStr">
        <is>
          <t>20250514-21</t>
        </is>
      </c>
    </row>
    <row r="5946">
      <c r="A5946" s="32" t="n">
        <v>11</v>
      </c>
      <c r="B5946" s="32" t="inlineStr">
        <is>
          <t>SB1</t>
        </is>
      </c>
      <c r="D5946" s="32" t="n">
        <v>18.84</v>
      </c>
      <c r="E5946" s="32" t="n">
        <v>1283.732</v>
      </c>
      <c r="G5946" s="32" t="n">
        <v>1789.525</v>
      </c>
      <c r="H5946" s="32" t="inlineStr">
        <is>
          <t>bb</t>
        </is>
      </c>
      <c r="I5946" s="32" t="n">
        <v>1283.732</v>
      </c>
      <c r="K5946" s="32" t="inlineStr">
        <is>
          <t>20250514-22</t>
        </is>
      </c>
    </row>
    <row r="5947">
      <c r="A5947" s="32" t="n">
        <v>12</v>
      </c>
      <c r="B5947" s="32" t="inlineStr">
        <is>
          <t>SB2</t>
        </is>
      </c>
      <c r="D5947" s="32" t="n">
        <v>18.84</v>
      </c>
      <c r="E5947" s="32" t="n">
        <v>1194.124</v>
      </c>
      <c r="G5947" s="32" t="n">
        <v>1130.156</v>
      </c>
      <c r="H5947" s="32" t="inlineStr">
        <is>
          <t>bb</t>
        </is>
      </c>
      <c r="I5947" s="32" t="n">
        <v>1194.124</v>
      </c>
      <c r="K5947" s="32" t="inlineStr">
        <is>
          <t>20250514-23</t>
        </is>
      </c>
    </row>
    <row r="5948">
      <c r="A5948" s="32" t="n">
        <v>13</v>
      </c>
      <c r="B5948" s="32" t="inlineStr">
        <is>
          <t>SB3</t>
        </is>
      </c>
      <c r="D5948" s="32" t="n">
        <v>18.84</v>
      </c>
      <c r="E5948" s="32" t="n">
        <v>1266.078</v>
      </c>
      <c r="G5948" s="32" t="n">
        <v>732.857</v>
      </c>
      <c r="H5948" s="32" t="inlineStr">
        <is>
          <t>bb</t>
        </is>
      </c>
      <c r="I5948" s="32" t="n">
        <v>1266.078</v>
      </c>
      <c r="K5948" s="32" t="inlineStr">
        <is>
          <t>20250514-24</t>
        </is>
      </c>
    </row>
    <row r="5949">
      <c r="A5949" s="32" t="n">
        <v>14</v>
      </c>
      <c r="B5949" s="32" t="inlineStr">
        <is>
          <t>SS1</t>
        </is>
      </c>
      <c r="D5949" s="32" t="n">
        <v>18.85</v>
      </c>
      <c r="E5949" s="32" t="n">
        <v>1121.533</v>
      </c>
      <c r="G5949" s="32" t="n">
        <v>4424.103</v>
      </c>
      <c r="H5949" s="32" t="inlineStr">
        <is>
          <t>bb</t>
        </is>
      </c>
      <c r="I5949" s="32" t="n">
        <v>1121.533</v>
      </c>
      <c r="K5949" s="32" t="inlineStr">
        <is>
          <t>20250514-25</t>
        </is>
      </c>
    </row>
    <row r="5950">
      <c r="A5950" s="32" t="n">
        <v>15</v>
      </c>
      <c r="B5950" s="32" t="inlineStr">
        <is>
          <t>SS2</t>
        </is>
      </c>
      <c r="D5950" s="32" t="n">
        <v>18.86</v>
      </c>
      <c r="E5950" s="32" t="n">
        <v>1236.175</v>
      </c>
      <c r="G5950" s="32" t="n">
        <v>2166.584</v>
      </c>
      <c r="H5950" s="32" t="inlineStr">
        <is>
          <t>bb</t>
        </is>
      </c>
      <c r="I5950" s="32" t="n">
        <v>1236.175</v>
      </c>
      <c r="K5950" s="32" t="inlineStr">
        <is>
          <t>20250514-26</t>
        </is>
      </c>
    </row>
    <row r="5951">
      <c r="A5951" s="32" t="n">
        <v>16</v>
      </c>
      <c r="B5951" s="32" t="inlineStr">
        <is>
          <t>SS3</t>
        </is>
      </c>
      <c r="D5951" s="32" t="n">
        <v>18.86</v>
      </c>
      <c r="E5951" s="32" t="n">
        <v>1076.699</v>
      </c>
      <c r="G5951" s="32" t="n">
        <v>419.096</v>
      </c>
      <c r="H5951" s="32" t="inlineStr">
        <is>
          <t>bb</t>
        </is>
      </c>
      <c r="I5951" s="32" t="n">
        <v>1076.699</v>
      </c>
      <c r="K5951" s="32" t="inlineStr">
        <is>
          <t>20250514-27</t>
        </is>
      </c>
    </row>
    <row r="5952">
      <c r="A5952" s="32" t="n">
        <v>17</v>
      </c>
      <c r="B5952" s="32" t="inlineStr">
        <is>
          <t>MeOH</t>
        </is>
      </c>
      <c r="D5952" s="32" t="n">
        <v>18.87</v>
      </c>
      <c r="E5952" s="32" t="n">
        <v>24.295</v>
      </c>
      <c r="G5952" s="32" t="n">
        <v>32.929</v>
      </c>
      <c r="H5952" s="32" t="inlineStr">
        <is>
          <t>bb</t>
        </is>
      </c>
      <c r="I5952" s="32" t="n">
        <v>24.295</v>
      </c>
      <c r="K5952" s="32" t="inlineStr">
        <is>
          <t>20250514-28</t>
        </is>
      </c>
    </row>
    <row r="5953">
      <c r="A5953" s="32" t="n">
        <v>18</v>
      </c>
      <c r="B5953" s="32" t="inlineStr">
        <is>
          <t>K4-1A</t>
        </is>
      </c>
      <c r="D5953" s="32" t="n">
        <v>18.86</v>
      </c>
      <c r="E5953" s="32" t="n">
        <v>1609.995</v>
      </c>
      <c r="G5953" s="32" t="n">
        <v>2702.892</v>
      </c>
      <c r="H5953" s="32" t="inlineStr">
        <is>
          <t>bb</t>
        </is>
      </c>
      <c r="I5953" s="32" t="n">
        <v>1609.995</v>
      </c>
      <c r="K5953" s="32" t="inlineStr">
        <is>
          <t>20250514-29</t>
        </is>
      </c>
    </row>
    <row r="5954">
      <c r="A5954" s="32" t="n">
        <v>19</v>
      </c>
      <c r="B5954" s="32" t="inlineStr">
        <is>
          <t>K4-1B</t>
        </is>
      </c>
      <c r="D5954" s="32" t="n">
        <v>18.87</v>
      </c>
      <c r="E5954" s="32" t="n">
        <v>1632.476</v>
      </c>
      <c r="G5954" s="32" t="n">
        <v>538.489</v>
      </c>
      <c r="H5954" s="32" t="inlineStr">
        <is>
          <t>bb</t>
        </is>
      </c>
      <c r="I5954" s="32" t="n">
        <v>1632.476</v>
      </c>
      <c r="K5954" s="32" t="inlineStr">
        <is>
          <t>20250514-30</t>
        </is>
      </c>
    </row>
    <row r="5955">
      <c r="A5955" s="32" t="n">
        <v>20</v>
      </c>
      <c r="B5955" s="32" t="inlineStr">
        <is>
          <t>K4-1C</t>
        </is>
      </c>
      <c r="D5955" s="32" t="n">
        <v>18.87</v>
      </c>
      <c r="E5955" s="32" t="n">
        <v>1678.802</v>
      </c>
      <c r="G5955" s="32" t="n">
        <v>1682.493</v>
      </c>
      <c r="H5955" s="32" t="inlineStr">
        <is>
          <t>bb</t>
        </is>
      </c>
      <c r="I5955" s="32" t="n">
        <v>1678.802</v>
      </c>
      <c r="K5955" s="32" t="inlineStr">
        <is>
          <t>20250514-31</t>
        </is>
      </c>
    </row>
    <row r="5956">
      <c r="A5956" s="32" t="n">
        <v>21</v>
      </c>
      <c r="B5956" s="32" t="inlineStr">
        <is>
          <t>K4-2A</t>
        </is>
      </c>
      <c r="D5956" s="32" t="n">
        <v>18.87</v>
      </c>
      <c r="E5956" s="32" t="n">
        <v>1686.286</v>
      </c>
      <c r="G5956" s="32" t="n">
        <v>7416.453</v>
      </c>
      <c r="H5956" s="32" t="inlineStr">
        <is>
          <t>bb</t>
        </is>
      </c>
      <c r="I5956" s="32" t="n">
        <v>1686.286</v>
      </c>
      <c r="K5956" s="32" t="inlineStr">
        <is>
          <t>20250514-32</t>
        </is>
      </c>
    </row>
    <row r="5957">
      <c r="A5957" s="32" t="n">
        <v>22</v>
      </c>
      <c r="B5957" s="32" t="inlineStr">
        <is>
          <t>K4-2B</t>
        </is>
      </c>
      <c r="D5957" s="32" t="n">
        <v>18.87</v>
      </c>
      <c r="E5957" s="32" t="n">
        <v>1528.592</v>
      </c>
      <c r="G5957" s="32" t="n">
        <v>4437.511</v>
      </c>
      <c r="H5957" s="32" t="inlineStr">
        <is>
          <t>bb</t>
        </is>
      </c>
      <c r="I5957" s="32" t="n">
        <v>1528.592</v>
      </c>
      <c r="K5957" s="32" t="inlineStr">
        <is>
          <t>20250514-33</t>
        </is>
      </c>
    </row>
    <row r="5958">
      <c r="A5958" s="32" t="n">
        <v>23</v>
      </c>
      <c r="B5958" s="32" t="inlineStr">
        <is>
          <t>K4-2C</t>
        </is>
      </c>
      <c r="D5958" s="32" t="n">
        <v>18.88</v>
      </c>
      <c r="E5958" s="32" t="n">
        <v>1341.622</v>
      </c>
      <c r="G5958" s="32" t="n">
        <v>881.376</v>
      </c>
      <c r="H5958" s="32" t="inlineStr">
        <is>
          <t>bb</t>
        </is>
      </c>
      <c r="I5958" s="32" t="n">
        <v>1341.622</v>
      </c>
      <c r="K5958" s="32" t="inlineStr">
        <is>
          <t>20250514-34</t>
        </is>
      </c>
    </row>
    <row r="5959">
      <c r="A5959" s="32" t="n">
        <v>24</v>
      </c>
      <c r="B5959" s="32" t="inlineStr">
        <is>
          <t>MeOH</t>
        </is>
      </c>
      <c r="D5959" s="32" t="n">
        <v>18.89</v>
      </c>
      <c r="E5959" s="32" t="n">
        <v>40.508</v>
      </c>
      <c r="G5959" s="32" t="n">
        <v>165.29</v>
      </c>
      <c r="H5959" s="32" t="inlineStr">
        <is>
          <t>bb</t>
        </is>
      </c>
      <c r="I5959" s="32" t="n">
        <v>40.508</v>
      </c>
      <c r="K5959" s="32" t="inlineStr">
        <is>
          <t>20250514-35</t>
        </is>
      </c>
    </row>
    <row r="5960">
      <c r="A5960" s="32" t="n">
        <v>25</v>
      </c>
      <c r="B5960" s="32" t="inlineStr">
        <is>
          <t>K4-4A</t>
        </is>
      </c>
      <c r="D5960" s="32" t="n">
        <v>18.89</v>
      </c>
      <c r="E5960" s="32" t="n">
        <v>1530.409</v>
      </c>
      <c r="G5960" s="32" t="n">
        <v>4651.434</v>
      </c>
      <c r="H5960" s="32" t="inlineStr">
        <is>
          <t>bb</t>
        </is>
      </c>
      <c r="I5960" s="32" t="n">
        <v>1530.409</v>
      </c>
      <c r="K5960" s="32" t="inlineStr">
        <is>
          <t>20250514-36</t>
        </is>
      </c>
    </row>
    <row r="5961">
      <c r="A5961" s="32" t="n">
        <v>26</v>
      </c>
      <c r="B5961" s="32" t="inlineStr">
        <is>
          <t>K4-4B</t>
        </is>
      </c>
      <c r="D5961" s="32" t="n">
        <v>18.89</v>
      </c>
      <c r="E5961" s="32" t="n">
        <v>1665.401</v>
      </c>
      <c r="G5961" s="32" t="n">
        <v>1910.188</v>
      </c>
      <c r="H5961" s="32" t="inlineStr">
        <is>
          <t>bb</t>
        </is>
      </c>
      <c r="I5961" s="32" t="n">
        <v>1665.401</v>
      </c>
      <c r="K5961" s="32" t="inlineStr">
        <is>
          <t>20250514-37</t>
        </is>
      </c>
    </row>
    <row r="5962">
      <c r="A5962" s="32" t="n">
        <v>27</v>
      </c>
      <c r="B5962" s="32" t="inlineStr">
        <is>
          <t>K4-4C</t>
        </is>
      </c>
      <c r="D5962" s="32" t="n">
        <v>18.88</v>
      </c>
      <c r="E5962" s="32" t="n">
        <v>1618.391</v>
      </c>
      <c r="G5962" s="32" t="n">
        <v>1453.392</v>
      </c>
      <c r="H5962" s="32" t="inlineStr">
        <is>
          <t>bb</t>
        </is>
      </c>
      <c r="I5962" s="32" t="n">
        <v>1618.391</v>
      </c>
      <c r="K5962" s="32" t="inlineStr">
        <is>
          <t>20250514-38</t>
        </is>
      </c>
    </row>
    <row r="5963">
      <c r="A5963" s="32" t="n">
        <v>28</v>
      </c>
      <c r="B5963" s="32" t="inlineStr">
        <is>
          <t>K4-5A</t>
        </is>
      </c>
      <c r="D5963" s="32" t="n">
        <v>18.87</v>
      </c>
      <c r="E5963" s="32" t="n">
        <v>1626.32</v>
      </c>
      <c r="G5963" s="32" t="n">
        <v>678.923</v>
      </c>
      <c r="H5963" s="32" t="inlineStr">
        <is>
          <t>bb</t>
        </is>
      </c>
      <c r="I5963" s="32" t="n">
        <v>1626.32</v>
      </c>
      <c r="K5963" s="32" t="inlineStr">
        <is>
          <t>20250514-39</t>
        </is>
      </c>
    </row>
    <row r="5964">
      <c r="A5964" s="32" t="n">
        <v>29</v>
      </c>
      <c r="B5964" s="32" t="inlineStr">
        <is>
          <t>K4-5B</t>
        </is>
      </c>
      <c r="D5964" s="32" t="n">
        <v>18.85</v>
      </c>
      <c r="E5964" s="32" t="n">
        <v>1665.634</v>
      </c>
      <c r="G5964" s="32" t="n">
        <v>474.272</v>
      </c>
      <c r="H5964" s="32" t="inlineStr">
        <is>
          <t>bb</t>
        </is>
      </c>
      <c r="I5964" s="32" t="n">
        <v>1665.634</v>
      </c>
      <c r="K5964" s="32" t="inlineStr">
        <is>
          <t>20250514-40</t>
        </is>
      </c>
    </row>
    <row r="5965">
      <c r="A5965" s="32" t="n">
        <v>30</v>
      </c>
      <c r="B5965" s="32" t="inlineStr">
        <is>
          <t>K4-5C</t>
        </is>
      </c>
      <c r="D5965" s="32" t="n">
        <v>18.82</v>
      </c>
      <c r="E5965" s="32" t="n">
        <v>1613.307</v>
      </c>
      <c r="G5965" s="32" t="n">
        <v>4575.728</v>
      </c>
      <c r="H5965" s="32" t="inlineStr">
        <is>
          <t>bb</t>
        </is>
      </c>
      <c r="I5965" s="32" t="n">
        <v>1613.307</v>
      </c>
      <c r="K5965" s="32" t="inlineStr">
        <is>
          <t>20250514-41</t>
        </is>
      </c>
    </row>
    <row r="5966">
      <c r="A5966" s="32" t="n">
        <v>31</v>
      </c>
      <c r="B5966" s="32" t="inlineStr">
        <is>
          <t>MeOH</t>
        </is>
      </c>
      <c r="H5966" s="32" t="inlineStr">
        <is>
          <t>MM-</t>
        </is>
      </c>
      <c r="K5966" s="32" t="inlineStr">
        <is>
          <t>20250514-42</t>
        </is>
      </c>
    </row>
    <row r="5967">
      <c r="A5967" s="32" t="n">
        <v>32</v>
      </c>
      <c r="B5967" s="32" t="inlineStr">
        <is>
          <t>K3-1A</t>
        </is>
      </c>
      <c r="D5967" s="32" t="n">
        <v>18.8</v>
      </c>
      <c r="E5967" s="32" t="n">
        <v>1742.121</v>
      </c>
      <c r="G5967" s="32" t="n">
        <v>1302.674</v>
      </c>
      <c r="H5967" s="32" t="inlineStr">
        <is>
          <t>bd</t>
        </is>
      </c>
      <c r="I5967" s="32" t="n">
        <v>1742.121</v>
      </c>
      <c r="K5967" s="32" t="inlineStr">
        <is>
          <t>20250514-43</t>
        </is>
      </c>
    </row>
    <row r="5968">
      <c r="A5968" s="32" t="n">
        <v>33</v>
      </c>
      <c r="B5968" s="32" t="inlineStr">
        <is>
          <t>K3-1B</t>
        </is>
      </c>
      <c r="D5968" s="32" t="n">
        <v>18.81</v>
      </c>
      <c r="E5968" s="32" t="n">
        <v>1572.028</v>
      </c>
      <c r="G5968" s="32" t="n">
        <v>743.917</v>
      </c>
      <c r="H5968" s="32" t="inlineStr">
        <is>
          <t>bb</t>
        </is>
      </c>
      <c r="I5968" s="32" t="n">
        <v>1572.028</v>
      </c>
      <c r="K5968" s="32" t="inlineStr">
        <is>
          <t>20250514-44</t>
        </is>
      </c>
    </row>
    <row r="5969">
      <c r="A5969" s="32" t="n">
        <v>34</v>
      </c>
      <c r="B5969" s="32" t="inlineStr">
        <is>
          <t>K3-1C</t>
        </is>
      </c>
      <c r="D5969" s="32" t="n">
        <v>18.82</v>
      </c>
      <c r="E5969" s="32" t="n">
        <v>2116.855</v>
      </c>
      <c r="G5969" s="32" t="n">
        <v>1499.049</v>
      </c>
      <c r="H5969" s="32" t="inlineStr">
        <is>
          <t>bb</t>
        </is>
      </c>
      <c r="I5969" s="32" t="n">
        <v>2116.855</v>
      </c>
      <c r="K5969" s="32" t="inlineStr">
        <is>
          <t>20250514-45</t>
        </is>
      </c>
    </row>
    <row r="5970">
      <c r="A5970" s="32" t="n">
        <v>35</v>
      </c>
      <c r="B5970" s="32" t="inlineStr">
        <is>
          <t>K3-2A</t>
        </is>
      </c>
      <c r="D5970" s="32" t="n">
        <v>18.84</v>
      </c>
      <c r="E5970" s="32" t="n">
        <v>2008.621</v>
      </c>
      <c r="G5970" s="32" t="n">
        <v>1546.663</v>
      </c>
      <c r="H5970" s="32" t="inlineStr">
        <is>
          <t>bb</t>
        </is>
      </c>
      <c r="I5970" s="32" t="n">
        <v>2008.621</v>
      </c>
      <c r="K5970" s="32" t="inlineStr">
        <is>
          <t>20250514-46</t>
        </is>
      </c>
    </row>
    <row r="5971">
      <c r="A5971" s="32" t="n">
        <v>36</v>
      </c>
      <c r="B5971" s="32" t="inlineStr">
        <is>
          <t>K3-2B</t>
        </is>
      </c>
      <c r="D5971" s="32" t="n">
        <v>18.84</v>
      </c>
      <c r="E5971" s="32" t="n">
        <v>2203.574</v>
      </c>
      <c r="G5971" s="32" t="n">
        <v>866.347</v>
      </c>
      <c r="H5971" s="32" t="inlineStr">
        <is>
          <t>bb</t>
        </is>
      </c>
      <c r="I5971" s="32" t="n">
        <v>2203.574</v>
      </c>
      <c r="K5971" s="32" t="inlineStr">
        <is>
          <t>20250514-47</t>
        </is>
      </c>
    </row>
    <row r="5972">
      <c r="A5972" s="32" t="n">
        <v>37</v>
      </c>
      <c r="B5972" s="32" t="inlineStr">
        <is>
          <t>K3-2C</t>
        </is>
      </c>
      <c r="D5972" s="32" t="n">
        <v>18.84</v>
      </c>
      <c r="E5972" s="32" t="n">
        <v>1898.184</v>
      </c>
      <c r="G5972" s="32" t="n">
        <v>2056.21</v>
      </c>
      <c r="H5972" s="32" t="inlineStr">
        <is>
          <t>bb</t>
        </is>
      </c>
      <c r="I5972" s="32" t="n">
        <v>1898.184</v>
      </c>
      <c r="K5972" s="32" t="inlineStr">
        <is>
          <t>20250514-48</t>
        </is>
      </c>
    </row>
    <row r="5973">
      <c r="A5973" s="32" t="n">
        <v>38</v>
      </c>
      <c r="B5973" s="32" t="inlineStr">
        <is>
          <t>MeOH</t>
        </is>
      </c>
      <c r="D5973" s="32" t="n">
        <v>18.85</v>
      </c>
      <c r="E5973" s="32" t="n">
        <v>49.623</v>
      </c>
      <c r="G5973" s="32" t="n">
        <v>75.22799999999999</v>
      </c>
      <c r="H5973" s="32" t="inlineStr">
        <is>
          <t>bb</t>
        </is>
      </c>
      <c r="I5973" s="32" t="n">
        <v>49.623</v>
      </c>
      <c r="K5973" s="32" t="inlineStr">
        <is>
          <t>20250514-49</t>
        </is>
      </c>
    </row>
    <row r="5974">
      <c r="A5974" s="32" t="n">
        <v>39</v>
      </c>
      <c r="B5974" s="32" t="inlineStr">
        <is>
          <t>K3-3A</t>
        </is>
      </c>
      <c r="D5974" s="32" t="n">
        <v>18.85</v>
      </c>
      <c r="E5974" s="32" t="n">
        <v>1523.872</v>
      </c>
      <c r="G5974" s="32" t="n">
        <v>9944.028</v>
      </c>
      <c r="H5974" s="32" t="inlineStr">
        <is>
          <t>bb</t>
        </is>
      </c>
      <c r="I5974" s="32" t="n">
        <v>1523.872</v>
      </c>
      <c r="K5974" s="32" t="inlineStr">
        <is>
          <t>20250514-50</t>
        </is>
      </c>
    </row>
    <row r="5975">
      <c r="A5975" s="32" t="n">
        <v>40</v>
      </c>
      <c r="B5975" s="32" t="inlineStr">
        <is>
          <t>K3-3B</t>
        </is>
      </c>
      <c r="D5975" s="32" t="n">
        <v>18.86</v>
      </c>
      <c r="E5975" s="32" t="n">
        <v>1684.574</v>
      </c>
      <c r="G5975" s="32" t="n">
        <v>1017.762</v>
      </c>
      <c r="H5975" s="32" t="inlineStr">
        <is>
          <t>bb</t>
        </is>
      </c>
      <c r="I5975" s="32" t="n">
        <v>1684.574</v>
      </c>
      <c r="K5975" s="32" t="inlineStr">
        <is>
          <t>20250514-51</t>
        </is>
      </c>
    </row>
    <row r="5976">
      <c r="A5976" s="32" t="n">
        <v>41</v>
      </c>
      <c r="B5976" s="32" t="inlineStr">
        <is>
          <t>K3-3C</t>
        </is>
      </c>
      <c r="D5976" s="32" t="n">
        <v>18.85</v>
      </c>
      <c r="E5976" s="32" t="n">
        <v>2072.912</v>
      </c>
      <c r="G5976" s="32" t="n">
        <v>1339.58</v>
      </c>
      <c r="H5976" s="32" t="inlineStr">
        <is>
          <t>bb</t>
        </is>
      </c>
      <c r="I5976" s="32" t="n">
        <v>2072.912</v>
      </c>
      <c r="K5976" s="32" t="inlineStr">
        <is>
          <t>20250514-52</t>
        </is>
      </c>
    </row>
    <row r="5977">
      <c r="A5977" s="32" t="n">
        <v>42</v>
      </c>
      <c r="B5977" s="32" t="inlineStr">
        <is>
          <t>K3-4A</t>
        </is>
      </c>
      <c r="D5977" s="32" t="n">
        <v>18.87</v>
      </c>
      <c r="E5977" s="32" t="n">
        <v>2194.503</v>
      </c>
      <c r="G5977" s="32" t="n">
        <v>882.396</v>
      </c>
      <c r="H5977" s="32" t="inlineStr">
        <is>
          <t>bb</t>
        </is>
      </c>
      <c r="I5977" s="32" t="n">
        <v>2194.503</v>
      </c>
      <c r="K5977" s="32" t="inlineStr">
        <is>
          <t>20250514-53</t>
        </is>
      </c>
    </row>
    <row r="5978">
      <c r="A5978" s="32" t="n">
        <v>43</v>
      </c>
      <c r="B5978" s="32" t="inlineStr">
        <is>
          <t>K3-4B</t>
        </is>
      </c>
      <c r="D5978" s="32" t="n">
        <v>18.87</v>
      </c>
      <c r="E5978" s="32" t="n">
        <v>1936.442</v>
      </c>
      <c r="G5978" s="32" t="n">
        <v>712.307</v>
      </c>
      <c r="H5978" s="32" t="inlineStr">
        <is>
          <t>bb</t>
        </is>
      </c>
      <c r="I5978" s="32" t="n">
        <v>1936.442</v>
      </c>
      <c r="K5978" s="32" t="inlineStr">
        <is>
          <t>20250514-54</t>
        </is>
      </c>
    </row>
    <row r="5979">
      <c r="A5979" s="32" t="n">
        <v>44</v>
      </c>
      <c r="B5979" s="32" t="inlineStr">
        <is>
          <t>K3-4C</t>
        </is>
      </c>
      <c r="D5979" s="32" t="n">
        <v>18.89</v>
      </c>
      <c r="E5979" s="32" t="n">
        <v>2051.932</v>
      </c>
      <c r="G5979" s="32" t="n">
        <v>809.701</v>
      </c>
      <c r="H5979" s="32" t="inlineStr">
        <is>
          <t>bb</t>
        </is>
      </c>
      <c r="I5979" s="32" t="n">
        <v>2051.932</v>
      </c>
      <c r="K5979" s="32" t="inlineStr">
        <is>
          <t>20250514-55</t>
        </is>
      </c>
    </row>
    <row r="5980">
      <c r="A5980" s="32" t="n">
        <v>45</v>
      </c>
      <c r="B5980" s="32" t="inlineStr">
        <is>
          <t>MeOH</t>
        </is>
      </c>
      <c r="H5980" s="32" t="inlineStr">
        <is>
          <t>MM-</t>
        </is>
      </c>
      <c r="K5980" s="32" t="inlineStr">
        <is>
          <t>20250514-56</t>
        </is>
      </c>
    </row>
    <row r="5981">
      <c r="A5981" s="32" t="n">
        <v>46</v>
      </c>
      <c r="B5981" s="32" t="inlineStr">
        <is>
          <t>K3-6A</t>
        </is>
      </c>
      <c r="D5981" s="32" t="n">
        <v>18.88</v>
      </c>
      <c r="E5981" s="32" t="n">
        <v>1703.303</v>
      </c>
      <c r="G5981" s="32" t="n">
        <v>1832.333</v>
      </c>
      <c r="H5981" s="32" t="inlineStr">
        <is>
          <t>bb</t>
        </is>
      </c>
      <c r="I5981" s="32" t="n">
        <v>1703.303</v>
      </c>
      <c r="K5981" s="32" t="inlineStr">
        <is>
          <t>20250514-57</t>
        </is>
      </c>
    </row>
    <row r="5982">
      <c r="A5982" s="32" t="n">
        <v>47</v>
      </c>
      <c r="B5982" s="32" t="inlineStr">
        <is>
          <t>K3-6B</t>
        </is>
      </c>
      <c r="D5982" s="32" t="n">
        <v>18.88</v>
      </c>
      <c r="E5982" s="32" t="n">
        <v>1471.201</v>
      </c>
      <c r="G5982" s="32" t="n">
        <v>1380.765</v>
      </c>
      <c r="H5982" s="32" t="inlineStr">
        <is>
          <t>bb</t>
        </is>
      </c>
      <c r="I5982" s="32" t="n">
        <v>1471.201</v>
      </c>
      <c r="K5982" s="32" t="inlineStr">
        <is>
          <t>20250514-58</t>
        </is>
      </c>
    </row>
    <row r="5983">
      <c r="A5983" s="32" t="n">
        <v>48</v>
      </c>
      <c r="B5983" s="32" t="inlineStr">
        <is>
          <t>K3-6C</t>
        </is>
      </c>
      <c r="D5983" s="32" t="n">
        <v>18.86</v>
      </c>
      <c r="E5983" s="32" t="n">
        <v>1466.605</v>
      </c>
      <c r="G5983" s="32" t="n">
        <v>399.216</v>
      </c>
      <c r="H5983" s="32" t="inlineStr">
        <is>
          <t>bb</t>
        </is>
      </c>
      <c r="I5983" s="32" t="n">
        <v>1466.605</v>
      </c>
      <c r="K5983" s="32" t="inlineStr">
        <is>
          <t>20250514-59</t>
        </is>
      </c>
    </row>
    <row r="5985">
      <c r="A5985" s="32" t="inlineStr">
        <is>
          <t>Compound 116:  m9 N-EtFOSE 2</t>
        </is>
      </c>
    </row>
    <row r="5987">
      <c r="B5987" s="32" t="inlineStr">
        <is>
          <t>Sample Text</t>
        </is>
      </c>
      <c r="C5987" s="32" t="inlineStr">
        <is>
          <t>Std. Conc</t>
        </is>
      </c>
      <c r="D5987" s="32" t="inlineStr">
        <is>
          <t>RT</t>
        </is>
      </c>
      <c r="E5987" s="32" t="inlineStr">
        <is>
          <t>Area</t>
        </is>
      </c>
      <c r="F5987" s="32" t="inlineStr">
        <is>
          <t>IS Area</t>
        </is>
      </c>
      <c r="G5987" s="32" t="inlineStr">
        <is>
          <t>S/N</t>
        </is>
      </c>
      <c r="H5987" s="32" t="inlineStr">
        <is>
          <t>Primary Flags</t>
        </is>
      </c>
      <c r="I5987" s="32" t="inlineStr">
        <is>
          <t>Response</t>
        </is>
      </c>
      <c r="J5987" s="32" t="inlineStr">
        <is>
          <t>Conc.</t>
        </is>
      </c>
      <c r="K5987" s="32" t="inlineStr">
        <is>
          <t>Name</t>
        </is>
      </c>
    </row>
    <row r="5988">
      <c r="A5988" s="32" t="n">
        <v>1</v>
      </c>
      <c r="B5988" s="32" t="inlineStr">
        <is>
          <t>EPA1633 &amp; diPAPs Calibration 0 ppb</t>
        </is>
      </c>
      <c r="D5988" s="32" t="n">
        <v>18.82</v>
      </c>
      <c r="E5988" s="32" t="n">
        <v>863.603</v>
      </c>
      <c r="G5988" s="32" t="n">
        <v>432.927</v>
      </c>
      <c r="H5988" s="32" t="inlineStr">
        <is>
          <t>bb</t>
        </is>
      </c>
      <c r="I5988" s="32" t="n">
        <v>863.603</v>
      </c>
      <c r="K5988" s="32" t="inlineStr">
        <is>
          <t>20250514-12</t>
        </is>
      </c>
    </row>
    <row r="5989">
      <c r="A5989" s="32" t="n">
        <v>2</v>
      </c>
      <c r="B5989" s="32" t="inlineStr">
        <is>
          <t>EPA1633 &amp; diPAPs Calibration 0.02 ppb</t>
        </is>
      </c>
      <c r="D5989" s="32" t="n">
        <v>18.83</v>
      </c>
      <c r="E5989" s="32" t="n">
        <v>880.98</v>
      </c>
      <c r="G5989" s="32" t="n">
        <v>309.571</v>
      </c>
      <c r="H5989" s="32" t="inlineStr">
        <is>
          <t>bb</t>
        </is>
      </c>
      <c r="I5989" s="32" t="n">
        <v>880.98</v>
      </c>
      <c r="K5989" s="32" t="inlineStr">
        <is>
          <t>20250514-13</t>
        </is>
      </c>
    </row>
    <row r="5990">
      <c r="A5990" s="32" t="n">
        <v>3</v>
      </c>
      <c r="B5990" s="32" t="inlineStr">
        <is>
          <t>EPA1633 &amp; diPAPs Calibration 0.1 ppb</t>
        </is>
      </c>
      <c r="D5990" s="32" t="n">
        <v>18.83</v>
      </c>
      <c r="E5990" s="32" t="n">
        <v>883.397</v>
      </c>
      <c r="G5990" s="32" t="n">
        <v>5486.604</v>
      </c>
      <c r="H5990" s="32" t="inlineStr">
        <is>
          <t>bb</t>
        </is>
      </c>
      <c r="I5990" s="32" t="n">
        <v>883.397</v>
      </c>
      <c r="K5990" s="32" t="inlineStr">
        <is>
          <t>20250514-14</t>
        </is>
      </c>
    </row>
    <row r="5991">
      <c r="A5991" s="32" t="n">
        <v>4</v>
      </c>
      <c r="B5991" s="32" t="inlineStr">
        <is>
          <t>EPA1633 &amp; diPAPs Calibration 0.4 ppb</t>
        </is>
      </c>
      <c r="D5991" s="32" t="n">
        <v>18.84</v>
      </c>
      <c r="E5991" s="32" t="n">
        <v>875.073</v>
      </c>
      <c r="G5991" s="32" t="n">
        <v>303.54</v>
      </c>
      <c r="H5991" s="32" t="inlineStr">
        <is>
          <t>bb</t>
        </is>
      </c>
      <c r="I5991" s="32" t="n">
        <v>875.073</v>
      </c>
      <c r="K5991" s="32" t="inlineStr">
        <is>
          <t>20250514-15</t>
        </is>
      </c>
    </row>
    <row r="5992">
      <c r="A5992" s="32" t="n">
        <v>5</v>
      </c>
      <c r="B5992" s="32" t="inlineStr">
        <is>
          <t>EPA1633 &amp; diPAPs Calibration 1 ppb</t>
        </is>
      </c>
      <c r="D5992" s="32" t="n">
        <v>18.81</v>
      </c>
      <c r="E5992" s="32" t="n">
        <v>947.532</v>
      </c>
      <c r="G5992" s="32" t="n">
        <v>1492.151</v>
      </c>
      <c r="H5992" s="32" t="inlineStr">
        <is>
          <t>bb</t>
        </is>
      </c>
      <c r="I5992" s="32" t="n">
        <v>947.532</v>
      </c>
      <c r="K5992" s="32" t="inlineStr">
        <is>
          <t>20250514-16</t>
        </is>
      </c>
    </row>
    <row r="5993">
      <c r="A5993" s="32" t="n">
        <v>6</v>
      </c>
      <c r="B5993" s="32" t="inlineStr">
        <is>
          <t>EPA1633 &amp; diPAPs Calibration 5 ppb</t>
        </is>
      </c>
      <c r="D5993" s="32" t="n">
        <v>18.82</v>
      </c>
      <c r="E5993" s="32" t="n">
        <v>789.326</v>
      </c>
      <c r="G5993" s="32" t="n">
        <v>193.076</v>
      </c>
      <c r="H5993" s="32" t="inlineStr">
        <is>
          <t>bb</t>
        </is>
      </c>
      <c r="I5993" s="32" t="n">
        <v>789.326</v>
      </c>
      <c r="K5993" s="32" t="inlineStr">
        <is>
          <t>20250514-17</t>
        </is>
      </c>
    </row>
    <row r="5994">
      <c r="A5994" s="32" t="n">
        <v>7</v>
      </c>
      <c r="B5994" s="32" t="inlineStr">
        <is>
          <t>EPA1633 &amp; diPAPs Calibration 10 ppb</t>
        </is>
      </c>
      <c r="D5994" s="32" t="n">
        <v>18.82</v>
      </c>
      <c r="E5994" s="32" t="n">
        <v>632.259</v>
      </c>
      <c r="G5994" s="32" t="n">
        <v>312.102</v>
      </c>
      <c r="H5994" s="32" t="inlineStr">
        <is>
          <t>bb</t>
        </is>
      </c>
      <c r="I5994" s="32" t="n">
        <v>632.259</v>
      </c>
      <c r="K5994" s="32" t="inlineStr">
        <is>
          <t>20250514-18</t>
        </is>
      </c>
    </row>
    <row r="5995">
      <c r="A5995" s="32" t="n">
        <v>8</v>
      </c>
      <c r="B5995" s="32" t="inlineStr">
        <is>
          <t>EPA1633 &amp; diPAPs Calibration 20 ppb</t>
        </is>
      </c>
      <c r="D5995" s="32" t="n">
        <v>18.82</v>
      </c>
      <c r="E5995" s="32" t="n">
        <v>756.328</v>
      </c>
      <c r="G5995" s="32" t="n">
        <v>651.37</v>
      </c>
      <c r="H5995" s="32" t="inlineStr">
        <is>
          <t>bb</t>
        </is>
      </c>
      <c r="I5995" s="32" t="n">
        <v>756.328</v>
      </c>
      <c r="K5995" s="32" t="inlineStr">
        <is>
          <t>20250514-19</t>
        </is>
      </c>
    </row>
    <row r="5996">
      <c r="A5996" s="32" t="n">
        <v>9</v>
      </c>
      <c r="B5996" s="32" t="inlineStr">
        <is>
          <t>MeOH</t>
        </is>
      </c>
      <c r="D5996" s="32" t="n">
        <v>18.84</v>
      </c>
      <c r="E5996" s="32" t="n">
        <v>24.043</v>
      </c>
      <c r="G5996" s="32" t="n">
        <v>13.401</v>
      </c>
      <c r="H5996" s="32" t="inlineStr">
        <is>
          <t>bb</t>
        </is>
      </c>
      <c r="I5996" s="32" t="n">
        <v>24.043</v>
      </c>
      <c r="K5996" s="32" t="inlineStr">
        <is>
          <t>20250514-20</t>
        </is>
      </c>
    </row>
    <row r="5997">
      <c r="A5997" s="32" t="n">
        <v>10</v>
      </c>
      <c r="B5997" s="32" t="inlineStr">
        <is>
          <t>MeOH</t>
        </is>
      </c>
      <c r="D5997" s="32" t="n">
        <v>18.89</v>
      </c>
      <c r="E5997" s="32" t="n">
        <v>3.859</v>
      </c>
      <c r="G5997" s="32" t="n">
        <v>7.732</v>
      </c>
      <c r="H5997" s="32" t="inlineStr">
        <is>
          <t>bb</t>
        </is>
      </c>
      <c r="I5997" s="32" t="n">
        <v>3.859</v>
      </c>
      <c r="K5997" s="32" t="inlineStr">
        <is>
          <t>20250514-21</t>
        </is>
      </c>
    </row>
    <row r="5998">
      <c r="A5998" s="32" t="n">
        <v>11</v>
      </c>
      <c r="B5998" s="32" t="inlineStr">
        <is>
          <t>SB1</t>
        </is>
      </c>
      <c r="D5998" s="32" t="n">
        <v>18.84</v>
      </c>
      <c r="E5998" s="32" t="n">
        <v>271.561</v>
      </c>
      <c r="G5998" s="32" t="n">
        <v>191.988</v>
      </c>
      <c r="H5998" s="32" t="inlineStr">
        <is>
          <t>bb</t>
        </is>
      </c>
      <c r="I5998" s="32" t="n">
        <v>271.561</v>
      </c>
      <c r="K5998" s="32" t="inlineStr">
        <is>
          <t>20250514-22</t>
        </is>
      </c>
    </row>
    <row r="5999">
      <c r="A5999" s="32" t="n">
        <v>12</v>
      </c>
      <c r="B5999" s="32" t="inlineStr">
        <is>
          <t>SB2</t>
        </is>
      </c>
      <c r="D5999" s="32" t="n">
        <v>18.84</v>
      </c>
      <c r="E5999" s="32" t="n">
        <v>278.047</v>
      </c>
      <c r="G5999" s="32" t="n">
        <v>250.629</v>
      </c>
      <c r="H5999" s="32" t="inlineStr">
        <is>
          <t>bb</t>
        </is>
      </c>
      <c r="I5999" s="32" t="n">
        <v>278.047</v>
      </c>
      <c r="K5999" s="32" t="inlineStr">
        <is>
          <t>20250514-23</t>
        </is>
      </c>
    </row>
    <row r="6000">
      <c r="A6000" s="32" t="n">
        <v>13</v>
      </c>
      <c r="B6000" s="32" t="inlineStr">
        <is>
          <t>SB3</t>
        </is>
      </c>
      <c r="D6000" s="32" t="n">
        <v>18.84</v>
      </c>
      <c r="E6000" s="32" t="n">
        <v>309.649</v>
      </c>
      <c r="G6000" s="32" t="n">
        <v>171.032</v>
      </c>
      <c r="H6000" s="32" t="inlineStr">
        <is>
          <t>bb</t>
        </is>
      </c>
      <c r="I6000" s="32" t="n">
        <v>309.649</v>
      </c>
      <c r="K6000" s="32" t="inlineStr">
        <is>
          <t>20250514-24</t>
        </is>
      </c>
    </row>
    <row r="6001">
      <c r="A6001" s="32" t="n">
        <v>14</v>
      </c>
      <c r="B6001" s="32" t="inlineStr">
        <is>
          <t>SS1</t>
        </is>
      </c>
      <c r="D6001" s="32" t="n">
        <v>18.85</v>
      </c>
      <c r="E6001" s="32" t="n">
        <v>231.245</v>
      </c>
      <c r="G6001" s="32" t="n">
        <v>62.695</v>
      </c>
      <c r="H6001" s="32" t="inlineStr">
        <is>
          <t>bb</t>
        </is>
      </c>
      <c r="I6001" s="32" t="n">
        <v>231.245</v>
      </c>
      <c r="K6001" s="32" t="inlineStr">
        <is>
          <t>20250514-25</t>
        </is>
      </c>
    </row>
    <row r="6002">
      <c r="A6002" s="32" t="n">
        <v>15</v>
      </c>
      <c r="B6002" s="32" t="inlineStr">
        <is>
          <t>SS2</t>
        </is>
      </c>
      <c r="D6002" s="32" t="n">
        <v>18.86</v>
      </c>
      <c r="E6002" s="32" t="n">
        <v>275.501</v>
      </c>
      <c r="G6002" s="32" t="n">
        <v>1372.012</v>
      </c>
      <c r="H6002" s="32" t="inlineStr">
        <is>
          <t>bb</t>
        </is>
      </c>
      <c r="I6002" s="32" t="n">
        <v>275.501</v>
      </c>
      <c r="K6002" s="32" t="inlineStr">
        <is>
          <t>20250514-26</t>
        </is>
      </c>
    </row>
    <row r="6003">
      <c r="A6003" s="32" t="n">
        <v>16</v>
      </c>
      <c r="B6003" s="32" t="inlineStr">
        <is>
          <t>SS3</t>
        </is>
      </c>
      <c r="D6003" s="32" t="n">
        <v>18.87</v>
      </c>
      <c r="E6003" s="32" t="n">
        <v>221.268</v>
      </c>
      <c r="G6003" s="32" t="n">
        <v>104.34</v>
      </c>
      <c r="H6003" s="32" t="inlineStr">
        <is>
          <t>bb</t>
        </is>
      </c>
      <c r="I6003" s="32" t="n">
        <v>221.268</v>
      </c>
      <c r="K6003" s="32" t="inlineStr">
        <is>
          <t>20250514-27</t>
        </is>
      </c>
    </row>
    <row r="6004">
      <c r="A6004" s="32" t="n">
        <v>17</v>
      </c>
      <c r="B6004" s="32" t="inlineStr">
        <is>
          <t>MeOH</t>
        </is>
      </c>
      <c r="K6004" s="32" t="inlineStr">
        <is>
          <t>20250514-28</t>
        </is>
      </c>
    </row>
    <row r="6005">
      <c r="A6005" s="32" t="n">
        <v>18</v>
      </c>
      <c r="B6005" s="32" t="inlineStr">
        <is>
          <t>K4-1A</t>
        </is>
      </c>
      <c r="D6005" s="32" t="n">
        <v>18.86</v>
      </c>
      <c r="E6005" s="32" t="n">
        <v>386.413</v>
      </c>
      <c r="G6005" s="32" t="n">
        <v>131.995</v>
      </c>
      <c r="H6005" s="32" t="inlineStr">
        <is>
          <t>bb</t>
        </is>
      </c>
      <c r="I6005" s="32" t="n">
        <v>386.413</v>
      </c>
      <c r="K6005" s="32" t="inlineStr">
        <is>
          <t>20250514-29</t>
        </is>
      </c>
    </row>
    <row r="6006">
      <c r="A6006" s="32" t="n">
        <v>19</v>
      </c>
      <c r="B6006" s="32" t="inlineStr">
        <is>
          <t>K4-1B</t>
        </is>
      </c>
      <c r="D6006" s="32" t="n">
        <v>18.87</v>
      </c>
      <c r="E6006" s="32" t="n">
        <v>357.832</v>
      </c>
      <c r="G6006" s="32" t="n">
        <v>412.07</v>
      </c>
      <c r="H6006" s="32" t="inlineStr">
        <is>
          <t>bb</t>
        </is>
      </c>
      <c r="I6006" s="32" t="n">
        <v>357.832</v>
      </c>
      <c r="K6006" s="32" t="inlineStr">
        <is>
          <t>20250514-30</t>
        </is>
      </c>
    </row>
    <row r="6007">
      <c r="A6007" s="32" t="n">
        <v>20</v>
      </c>
      <c r="B6007" s="32" t="inlineStr">
        <is>
          <t>K4-1C</t>
        </is>
      </c>
      <c r="D6007" s="32" t="n">
        <v>18.87</v>
      </c>
      <c r="E6007" s="32" t="n">
        <v>351.694</v>
      </c>
      <c r="G6007" s="32" t="n">
        <v>1120.778</v>
      </c>
      <c r="H6007" s="32" t="inlineStr">
        <is>
          <t>bb</t>
        </is>
      </c>
      <c r="I6007" s="32" t="n">
        <v>351.694</v>
      </c>
      <c r="K6007" s="32" t="inlineStr">
        <is>
          <t>20250514-31</t>
        </is>
      </c>
    </row>
    <row r="6008">
      <c r="A6008" s="32" t="n">
        <v>21</v>
      </c>
      <c r="B6008" s="32" t="inlineStr">
        <is>
          <t>K4-2A</t>
        </is>
      </c>
      <c r="D6008" s="32" t="n">
        <v>18.87</v>
      </c>
      <c r="E6008" s="32" t="n">
        <v>364.65</v>
      </c>
      <c r="G6008" s="32" t="n">
        <v>332.977</v>
      </c>
      <c r="H6008" s="32" t="inlineStr">
        <is>
          <t>bb</t>
        </is>
      </c>
      <c r="I6008" s="32" t="n">
        <v>364.65</v>
      </c>
      <c r="K6008" s="32" t="inlineStr">
        <is>
          <t>20250514-32</t>
        </is>
      </c>
    </row>
    <row r="6009">
      <c r="A6009" s="32" t="n">
        <v>22</v>
      </c>
      <c r="B6009" s="32" t="inlineStr">
        <is>
          <t>K4-2B</t>
        </is>
      </c>
      <c r="D6009" s="32" t="n">
        <v>18.87</v>
      </c>
      <c r="E6009" s="32" t="n">
        <v>298.712</v>
      </c>
      <c r="G6009" s="32" t="n">
        <v>411.497</v>
      </c>
      <c r="H6009" s="32" t="inlineStr">
        <is>
          <t>bb</t>
        </is>
      </c>
      <c r="I6009" s="32" t="n">
        <v>298.712</v>
      </c>
      <c r="K6009" s="32" t="inlineStr">
        <is>
          <t>20250514-33</t>
        </is>
      </c>
    </row>
    <row r="6010">
      <c r="A6010" s="32" t="n">
        <v>23</v>
      </c>
      <c r="B6010" s="32" t="inlineStr">
        <is>
          <t>K4-2C</t>
        </is>
      </c>
      <c r="D6010" s="32" t="n">
        <v>18.87</v>
      </c>
      <c r="E6010" s="32" t="n">
        <v>296.1</v>
      </c>
      <c r="G6010" s="32" t="n">
        <v>88.486</v>
      </c>
      <c r="H6010" s="32" t="inlineStr">
        <is>
          <t>bb</t>
        </is>
      </c>
      <c r="I6010" s="32" t="n">
        <v>296.1</v>
      </c>
      <c r="K6010" s="32" t="inlineStr">
        <is>
          <t>20250514-34</t>
        </is>
      </c>
    </row>
    <row r="6011">
      <c r="A6011" s="32" t="n">
        <v>24</v>
      </c>
      <c r="B6011" s="32" t="inlineStr">
        <is>
          <t>MeOH</t>
        </is>
      </c>
      <c r="D6011" s="32" t="n">
        <v>18.91</v>
      </c>
      <c r="E6011" s="32" t="n">
        <v>4.766</v>
      </c>
      <c r="G6011" s="32" t="n">
        <v>4.926</v>
      </c>
      <c r="H6011" s="32" t="inlineStr">
        <is>
          <t>bb</t>
        </is>
      </c>
      <c r="I6011" s="32" t="n">
        <v>4.766</v>
      </c>
      <c r="K6011" s="32" t="inlineStr">
        <is>
          <t>20250514-35</t>
        </is>
      </c>
    </row>
    <row r="6012">
      <c r="A6012" s="32" t="n">
        <v>25</v>
      </c>
      <c r="B6012" s="32" t="inlineStr">
        <is>
          <t>K4-4A</t>
        </is>
      </c>
      <c r="D6012" s="32" t="n">
        <v>18.89</v>
      </c>
      <c r="E6012" s="32" t="n">
        <v>272.169</v>
      </c>
      <c r="G6012" s="32" t="n">
        <v>1558.07</v>
      </c>
      <c r="H6012" s="32" t="inlineStr">
        <is>
          <t>bb</t>
        </is>
      </c>
      <c r="I6012" s="32" t="n">
        <v>272.169</v>
      </c>
      <c r="K6012" s="32" t="inlineStr">
        <is>
          <t>20250514-36</t>
        </is>
      </c>
    </row>
    <row r="6013">
      <c r="A6013" s="32" t="n">
        <v>26</v>
      </c>
      <c r="B6013" s="32" t="inlineStr">
        <is>
          <t>K4-4B</t>
        </is>
      </c>
      <c r="D6013" s="32" t="n">
        <v>18.89</v>
      </c>
      <c r="E6013" s="32" t="n">
        <v>336.453</v>
      </c>
      <c r="G6013" s="32" t="n">
        <v>199.926</v>
      </c>
      <c r="H6013" s="32" t="inlineStr">
        <is>
          <t>bb</t>
        </is>
      </c>
      <c r="I6013" s="32" t="n">
        <v>336.453</v>
      </c>
      <c r="K6013" s="32" t="inlineStr">
        <is>
          <t>20250514-37</t>
        </is>
      </c>
    </row>
    <row r="6014">
      <c r="A6014" s="32" t="n">
        <v>27</v>
      </c>
      <c r="B6014" s="32" t="inlineStr">
        <is>
          <t>K4-4C</t>
        </is>
      </c>
      <c r="D6014" s="32" t="n">
        <v>18.89</v>
      </c>
      <c r="E6014" s="32" t="n">
        <v>359.108</v>
      </c>
      <c r="G6014" s="32" t="n">
        <v>266.959</v>
      </c>
      <c r="H6014" s="32" t="inlineStr">
        <is>
          <t>bb</t>
        </is>
      </c>
      <c r="I6014" s="32" t="n">
        <v>359.108</v>
      </c>
      <c r="K6014" s="32" t="inlineStr">
        <is>
          <t>20250514-38</t>
        </is>
      </c>
    </row>
    <row r="6015">
      <c r="A6015" s="32" t="n">
        <v>28</v>
      </c>
      <c r="B6015" s="32" t="inlineStr">
        <is>
          <t>K4-5A</t>
        </is>
      </c>
      <c r="D6015" s="32" t="n">
        <v>18.87</v>
      </c>
      <c r="E6015" s="32" t="n">
        <v>336.733</v>
      </c>
      <c r="G6015" s="32" t="n">
        <v>654.742</v>
      </c>
      <c r="H6015" s="32" t="inlineStr">
        <is>
          <t>bb</t>
        </is>
      </c>
      <c r="I6015" s="32" t="n">
        <v>336.733</v>
      </c>
      <c r="K6015" s="32" t="inlineStr">
        <is>
          <t>20250514-39</t>
        </is>
      </c>
    </row>
    <row r="6016">
      <c r="A6016" s="32" t="n">
        <v>29</v>
      </c>
      <c r="B6016" s="32" t="inlineStr">
        <is>
          <t>K4-5B</t>
        </is>
      </c>
      <c r="D6016" s="32" t="n">
        <v>18.86</v>
      </c>
      <c r="E6016" s="32" t="n">
        <v>351</v>
      </c>
      <c r="G6016" s="32" t="n">
        <v>253.101</v>
      </c>
      <c r="H6016" s="32" t="inlineStr">
        <is>
          <t>bb</t>
        </is>
      </c>
      <c r="I6016" s="32" t="n">
        <v>351</v>
      </c>
      <c r="K6016" s="32" t="inlineStr">
        <is>
          <t>20250514-40</t>
        </is>
      </c>
    </row>
    <row r="6017">
      <c r="A6017" s="32" t="n">
        <v>30</v>
      </c>
      <c r="B6017" s="32" t="inlineStr">
        <is>
          <t>K4-5C</t>
        </is>
      </c>
      <c r="D6017" s="32" t="n">
        <v>18.82</v>
      </c>
      <c r="E6017" s="32" t="n">
        <v>341.754</v>
      </c>
      <c r="G6017" s="32" t="n">
        <v>220.459</v>
      </c>
      <c r="H6017" s="32" t="inlineStr">
        <is>
          <t>bb</t>
        </is>
      </c>
      <c r="I6017" s="32" t="n">
        <v>341.754</v>
      </c>
      <c r="K6017" s="32" t="inlineStr">
        <is>
          <t>20250514-41</t>
        </is>
      </c>
    </row>
    <row r="6018">
      <c r="A6018" s="32" t="n">
        <v>31</v>
      </c>
      <c r="B6018" s="32" t="inlineStr">
        <is>
          <t>MeOH</t>
        </is>
      </c>
      <c r="D6018" s="32" t="n">
        <v>18.78</v>
      </c>
      <c r="E6018" s="32" t="n">
        <v>4.354</v>
      </c>
      <c r="G6018" s="32" t="n">
        <v>7.107</v>
      </c>
      <c r="H6018" s="32" t="inlineStr">
        <is>
          <t>bb</t>
        </is>
      </c>
      <c r="I6018" s="32" t="n">
        <v>4.354</v>
      </c>
      <c r="K6018" s="32" t="inlineStr">
        <is>
          <t>20250514-42</t>
        </is>
      </c>
    </row>
    <row r="6019">
      <c r="A6019" s="32" t="n">
        <v>32</v>
      </c>
      <c r="B6019" s="32" t="inlineStr">
        <is>
          <t>K3-1A</t>
        </is>
      </c>
      <c r="D6019" s="32" t="n">
        <v>18.8</v>
      </c>
      <c r="E6019" s="32" t="n">
        <v>361.081</v>
      </c>
      <c r="G6019" s="32" t="n">
        <v>2579.922</v>
      </c>
      <c r="H6019" s="32" t="inlineStr">
        <is>
          <t>bb</t>
        </is>
      </c>
      <c r="I6019" s="32" t="n">
        <v>361.081</v>
      </c>
      <c r="K6019" s="32" t="inlineStr">
        <is>
          <t>20250514-43</t>
        </is>
      </c>
    </row>
    <row r="6020">
      <c r="A6020" s="32" t="n">
        <v>33</v>
      </c>
      <c r="B6020" s="32" t="inlineStr">
        <is>
          <t>K3-1B</t>
        </is>
      </c>
      <c r="D6020" s="32" t="n">
        <v>18.82</v>
      </c>
      <c r="E6020" s="32" t="n">
        <v>343.086</v>
      </c>
      <c r="G6020" s="32" t="n">
        <v>77.033</v>
      </c>
      <c r="H6020" s="32" t="inlineStr">
        <is>
          <t>bb</t>
        </is>
      </c>
      <c r="I6020" s="32" t="n">
        <v>343.086</v>
      </c>
      <c r="K6020" s="32" t="inlineStr">
        <is>
          <t>20250514-44</t>
        </is>
      </c>
    </row>
    <row r="6021">
      <c r="A6021" s="32" t="n">
        <v>34</v>
      </c>
      <c r="B6021" s="32" t="inlineStr">
        <is>
          <t>K3-1C</t>
        </is>
      </c>
      <c r="D6021" s="32" t="n">
        <v>18.83</v>
      </c>
      <c r="E6021" s="32" t="n">
        <v>522.8099999999999</v>
      </c>
      <c r="G6021" s="32" t="n">
        <v>206.799</v>
      </c>
      <c r="H6021" s="32" t="inlineStr">
        <is>
          <t>bb</t>
        </is>
      </c>
      <c r="I6021" s="32" t="n">
        <v>522.8099999999999</v>
      </c>
      <c r="K6021" s="32" t="inlineStr">
        <is>
          <t>20250514-45</t>
        </is>
      </c>
    </row>
    <row r="6022">
      <c r="A6022" s="32" t="n">
        <v>35</v>
      </c>
      <c r="B6022" s="32" t="inlineStr">
        <is>
          <t>K3-2A</t>
        </is>
      </c>
      <c r="D6022" s="32" t="n">
        <v>18.84</v>
      </c>
      <c r="E6022" s="32" t="n">
        <v>467.569</v>
      </c>
      <c r="G6022" s="32" t="n">
        <v>512.062</v>
      </c>
      <c r="H6022" s="32" t="inlineStr">
        <is>
          <t>bb</t>
        </is>
      </c>
      <c r="I6022" s="32" t="n">
        <v>467.569</v>
      </c>
      <c r="K6022" s="32" t="inlineStr">
        <is>
          <t>20250514-46</t>
        </is>
      </c>
    </row>
    <row r="6023">
      <c r="A6023" s="32" t="n">
        <v>36</v>
      </c>
      <c r="B6023" s="32" t="inlineStr">
        <is>
          <t>K3-2B</t>
        </is>
      </c>
      <c r="D6023" s="32" t="n">
        <v>18.83</v>
      </c>
      <c r="E6023" s="32" t="n">
        <v>515.707</v>
      </c>
      <c r="G6023" s="32" t="n">
        <v>2886.844</v>
      </c>
      <c r="H6023" s="32" t="inlineStr">
        <is>
          <t>bb</t>
        </is>
      </c>
      <c r="I6023" s="32" t="n">
        <v>515.707</v>
      </c>
      <c r="K6023" s="32" t="inlineStr">
        <is>
          <t>20250514-47</t>
        </is>
      </c>
    </row>
    <row r="6024">
      <c r="A6024" s="32" t="n">
        <v>37</v>
      </c>
      <c r="B6024" s="32" t="inlineStr">
        <is>
          <t>K3-2C</t>
        </is>
      </c>
      <c r="D6024" s="32" t="n">
        <v>18.84</v>
      </c>
      <c r="E6024" s="32" t="n">
        <v>421.389</v>
      </c>
      <c r="G6024" s="32" t="n">
        <v>1197.718</v>
      </c>
      <c r="H6024" s="32" t="inlineStr">
        <is>
          <t>bb</t>
        </is>
      </c>
      <c r="I6024" s="32" t="n">
        <v>421.389</v>
      </c>
      <c r="K6024" s="32" t="inlineStr">
        <is>
          <t>20250514-48</t>
        </is>
      </c>
    </row>
    <row r="6025">
      <c r="A6025" s="32" t="n">
        <v>38</v>
      </c>
      <c r="B6025" s="32" t="inlineStr">
        <is>
          <t>MeOH</t>
        </is>
      </c>
      <c r="D6025" s="32" t="n">
        <v>18.86</v>
      </c>
      <c r="E6025" s="32" t="n">
        <v>6.158</v>
      </c>
      <c r="G6025" s="32" t="n">
        <v>7.467</v>
      </c>
      <c r="H6025" s="32" t="inlineStr">
        <is>
          <t>bb</t>
        </is>
      </c>
      <c r="I6025" s="32" t="n">
        <v>6.158</v>
      </c>
      <c r="K6025" s="32" t="inlineStr">
        <is>
          <t>20250514-49</t>
        </is>
      </c>
    </row>
    <row r="6026">
      <c r="A6026" s="32" t="n">
        <v>39</v>
      </c>
      <c r="B6026" s="32" t="inlineStr">
        <is>
          <t>K3-3A</t>
        </is>
      </c>
      <c r="D6026" s="32" t="n">
        <v>18.85</v>
      </c>
      <c r="E6026" s="32" t="n">
        <v>322.104</v>
      </c>
      <c r="G6026" s="32" t="n">
        <v>184.448</v>
      </c>
      <c r="H6026" s="32" t="inlineStr">
        <is>
          <t>bb</t>
        </is>
      </c>
      <c r="I6026" s="32" t="n">
        <v>322.104</v>
      </c>
      <c r="K6026" s="32" t="inlineStr">
        <is>
          <t>20250514-50</t>
        </is>
      </c>
    </row>
    <row r="6027">
      <c r="A6027" s="32" t="n">
        <v>40</v>
      </c>
      <c r="B6027" s="32" t="inlineStr">
        <is>
          <t>K3-3B</t>
        </is>
      </c>
      <c r="D6027" s="32" t="n">
        <v>18.86</v>
      </c>
      <c r="E6027" s="32" t="n">
        <v>385.892</v>
      </c>
      <c r="G6027" s="32" t="n">
        <v>124.431</v>
      </c>
      <c r="H6027" s="32" t="inlineStr">
        <is>
          <t>bb</t>
        </is>
      </c>
      <c r="I6027" s="32" t="n">
        <v>385.892</v>
      </c>
      <c r="K6027" s="32" t="inlineStr">
        <is>
          <t>20250514-51</t>
        </is>
      </c>
    </row>
    <row r="6028">
      <c r="A6028" s="32" t="n">
        <v>41</v>
      </c>
      <c r="B6028" s="32" t="inlineStr">
        <is>
          <t>K3-3C</t>
        </is>
      </c>
      <c r="D6028" s="32" t="n">
        <v>18.85</v>
      </c>
      <c r="E6028" s="32" t="n">
        <v>447.983</v>
      </c>
      <c r="G6028" s="32" t="n">
        <v>564.881</v>
      </c>
      <c r="H6028" s="32" t="inlineStr">
        <is>
          <t>bb</t>
        </is>
      </c>
      <c r="I6028" s="32" t="n">
        <v>447.983</v>
      </c>
      <c r="K6028" s="32" t="inlineStr">
        <is>
          <t>20250514-52</t>
        </is>
      </c>
    </row>
    <row r="6029">
      <c r="A6029" s="32" t="n">
        <v>42</v>
      </c>
      <c r="B6029" s="32" t="inlineStr">
        <is>
          <t>K3-4A</t>
        </is>
      </c>
      <c r="D6029" s="32" t="n">
        <v>18.87</v>
      </c>
      <c r="E6029" s="32" t="n">
        <v>476.739</v>
      </c>
      <c r="G6029" s="32" t="n">
        <v>1400.756</v>
      </c>
      <c r="H6029" s="32" t="inlineStr">
        <is>
          <t>bb</t>
        </is>
      </c>
      <c r="I6029" s="32" t="n">
        <v>476.739</v>
      </c>
      <c r="K6029" s="32" t="inlineStr">
        <is>
          <t>20250514-53</t>
        </is>
      </c>
    </row>
    <row r="6030">
      <c r="A6030" s="32" t="n">
        <v>43</v>
      </c>
      <c r="B6030" s="32" t="inlineStr">
        <is>
          <t>K3-4B</t>
        </is>
      </c>
      <c r="D6030" s="32" t="n">
        <v>18.87</v>
      </c>
      <c r="E6030" s="32" t="n">
        <v>427.36</v>
      </c>
      <c r="G6030" s="32" t="n">
        <v>172.389</v>
      </c>
      <c r="H6030" s="32" t="inlineStr">
        <is>
          <t>bb</t>
        </is>
      </c>
      <c r="I6030" s="32" t="n">
        <v>427.36</v>
      </c>
      <c r="K6030" s="32" t="inlineStr">
        <is>
          <t>20250514-54</t>
        </is>
      </c>
    </row>
    <row r="6031">
      <c r="A6031" s="32" t="n">
        <v>44</v>
      </c>
      <c r="B6031" s="32" t="inlineStr">
        <is>
          <t>K3-4C</t>
        </is>
      </c>
      <c r="D6031" s="32" t="n">
        <v>18.89</v>
      </c>
      <c r="E6031" s="32" t="n">
        <v>465.784</v>
      </c>
      <c r="G6031" s="32" t="n">
        <v>239.56</v>
      </c>
      <c r="H6031" s="32" t="inlineStr">
        <is>
          <t>bb</t>
        </is>
      </c>
      <c r="I6031" s="32" t="n">
        <v>465.784</v>
      </c>
      <c r="K6031" s="32" t="inlineStr">
        <is>
          <t>20250514-55</t>
        </is>
      </c>
    </row>
    <row r="6032">
      <c r="A6032" s="32" t="n">
        <v>45</v>
      </c>
      <c r="B6032" s="32" t="inlineStr">
        <is>
          <t>MeOH</t>
        </is>
      </c>
      <c r="D6032" s="32" t="n">
        <v>18.91</v>
      </c>
      <c r="E6032" s="32" t="n">
        <v>13.47</v>
      </c>
      <c r="G6032" s="32" t="n">
        <v>25.017</v>
      </c>
      <c r="H6032" s="32" t="inlineStr">
        <is>
          <t>bb</t>
        </is>
      </c>
      <c r="I6032" s="32" t="n">
        <v>13.47</v>
      </c>
      <c r="K6032" s="32" t="inlineStr">
        <is>
          <t>20250514-56</t>
        </is>
      </c>
    </row>
    <row r="6033">
      <c r="A6033" s="32" t="n">
        <v>46</v>
      </c>
      <c r="B6033" s="32" t="inlineStr">
        <is>
          <t>K3-6A</t>
        </is>
      </c>
      <c r="D6033" s="32" t="n">
        <v>18.89</v>
      </c>
      <c r="E6033" s="32" t="n">
        <v>382.727</v>
      </c>
      <c r="G6033" s="32" t="n">
        <v>275.189</v>
      </c>
      <c r="H6033" s="32" t="inlineStr">
        <is>
          <t>bb</t>
        </is>
      </c>
      <c r="I6033" s="32" t="n">
        <v>382.727</v>
      </c>
      <c r="K6033" s="32" t="inlineStr">
        <is>
          <t>20250514-57</t>
        </is>
      </c>
    </row>
    <row r="6034">
      <c r="A6034" s="32" t="n">
        <v>47</v>
      </c>
      <c r="B6034" s="32" t="inlineStr">
        <is>
          <t>K3-6B</t>
        </is>
      </c>
      <c r="D6034" s="32" t="n">
        <v>18.89</v>
      </c>
      <c r="E6034" s="32" t="n">
        <v>365.716</v>
      </c>
      <c r="G6034" s="32" t="n">
        <v>44.2</v>
      </c>
      <c r="H6034" s="32" t="inlineStr">
        <is>
          <t>bb</t>
        </is>
      </c>
      <c r="I6034" s="32" t="n">
        <v>365.716</v>
      </c>
      <c r="K6034" s="32" t="inlineStr">
        <is>
          <t>20250514-58</t>
        </is>
      </c>
    </row>
    <row r="6035">
      <c r="A6035" s="32" t="n">
        <v>48</v>
      </c>
      <c r="B6035" s="32" t="inlineStr">
        <is>
          <t>K3-6C</t>
        </is>
      </c>
      <c r="D6035" s="32" t="n">
        <v>18.87</v>
      </c>
      <c r="E6035" s="32" t="n">
        <v>293.722</v>
      </c>
      <c r="G6035" s="32" t="n">
        <v>139.658</v>
      </c>
      <c r="H6035" s="32" t="inlineStr">
        <is>
          <t>bb</t>
        </is>
      </c>
      <c r="I6035" s="32" t="n">
        <v>293.722</v>
      </c>
      <c r="K6035" s="32" t="inlineStr">
        <is>
          <t>20250514-59</t>
        </is>
      </c>
    </row>
    <row r="6037">
      <c r="A6037" s="32" t="inlineStr">
        <is>
          <t>Compound 117:  N-EtFOSAA 1</t>
        </is>
      </c>
    </row>
    <row r="6039">
      <c r="B6039" s="32" t="inlineStr">
        <is>
          <t>Sample Text</t>
        </is>
      </c>
      <c r="C6039" s="32" t="inlineStr">
        <is>
          <t>Std. Conc</t>
        </is>
      </c>
      <c r="D6039" s="32" t="inlineStr">
        <is>
          <t>RT</t>
        </is>
      </c>
      <c r="E6039" s="32" t="inlineStr">
        <is>
          <t>Area</t>
        </is>
      </c>
      <c r="F6039" s="32" t="inlineStr">
        <is>
          <t>IS Area</t>
        </is>
      </c>
      <c r="G6039" s="32" t="inlineStr">
        <is>
          <t>S/N</t>
        </is>
      </c>
      <c r="H6039" s="32" t="inlineStr">
        <is>
          <t>Primary Flags</t>
        </is>
      </c>
      <c r="I6039" s="32" t="inlineStr">
        <is>
          <t>Response</t>
        </is>
      </c>
      <c r="J6039" s="32" t="inlineStr">
        <is>
          <t>Conc.</t>
        </is>
      </c>
      <c r="K6039" s="32" t="inlineStr">
        <is>
          <t>Name</t>
        </is>
      </c>
    </row>
    <row r="6040">
      <c r="A6040" s="32" t="n">
        <v>1</v>
      </c>
      <c r="B6040" s="32" t="inlineStr">
        <is>
          <t>EPA1633 &amp; diPAPs Calibration 0 ppb</t>
        </is>
      </c>
      <c r="D6040" s="32" t="n">
        <v>14.89</v>
      </c>
      <c r="E6040" s="32" t="n">
        <v>174.231</v>
      </c>
      <c r="F6040" s="32" t="n">
        <v>65057.813</v>
      </c>
      <c r="G6040" s="32" t="n">
        <v>2.414</v>
      </c>
      <c r="H6040" s="32" t="inlineStr">
        <is>
          <t>bb</t>
        </is>
      </c>
      <c r="K6040" s="32" t="inlineStr">
        <is>
          <t>20250514-12</t>
        </is>
      </c>
    </row>
    <row r="6041">
      <c r="A6041" s="32" t="n">
        <v>2</v>
      </c>
      <c r="B6041" s="32" t="inlineStr">
        <is>
          <t>EPA1633 &amp; diPAPs Calibration 0.02 ppb</t>
        </is>
      </c>
      <c r="D6041" s="32" t="n">
        <v>14.91</v>
      </c>
      <c r="E6041" s="32" t="n">
        <v>343.613</v>
      </c>
      <c r="F6041" s="32" t="n">
        <v>57750.676</v>
      </c>
      <c r="G6041" s="32" t="n">
        <v>2173</v>
      </c>
      <c r="H6041" s="32" t="inlineStr">
        <is>
          <t>MM</t>
        </is>
      </c>
      <c r="K6041" s="32" t="inlineStr">
        <is>
          <t>20250514-13</t>
        </is>
      </c>
    </row>
    <row r="6042">
      <c r="A6042" s="32" t="n">
        <v>3</v>
      </c>
      <c r="B6042" s="32" t="inlineStr">
        <is>
          <t>EPA1633 &amp; diPAPs Calibration 0.1 ppb</t>
        </is>
      </c>
      <c r="D6042" s="32" t="n">
        <v>14.91</v>
      </c>
      <c r="E6042" s="32" t="n">
        <v>676.687</v>
      </c>
      <c r="F6042" s="32" t="n">
        <v>59400.441</v>
      </c>
      <c r="G6042" s="32" t="n">
        <v>7.153</v>
      </c>
      <c r="H6042" s="32" t="inlineStr">
        <is>
          <t>bb</t>
        </is>
      </c>
      <c r="K6042" s="32" t="inlineStr">
        <is>
          <t>20250514-14</t>
        </is>
      </c>
    </row>
    <row r="6043">
      <c r="A6043" s="32" t="n">
        <v>4</v>
      </c>
      <c r="B6043" s="32" t="inlineStr">
        <is>
          <t>EPA1633 &amp; diPAPs Calibration 0.4 ppb</t>
        </is>
      </c>
      <c r="D6043" s="32" t="n">
        <v>14.93</v>
      </c>
      <c r="E6043" s="32" t="n">
        <v>2795.131</v>
      </c>
      <c r="F6043" s="32" t="n">
        <v>50625.988</v>
      </c>
      <c r="G6043" s="32" t="n">
        <v>17002</v>
      </c>
      <c r="H6043" s="32" t="inlineStr">
        <is>
          <t>bb</t>
        </is>
      </c>
      <c r="K6043" s="32" t="inlineStr">
        <is>
          <t>20250514-15</t>
        </is>
      </c>
    </row>
    <row r="6044">
      <c r="A6044" s="32" t="n">
        <v>5</v>
      </c>
      <c r="B6044" s="32" t="inlineStr">
        <is>
          <t>EPA1633 &amp; diPAPs Calibration 1 ppb</t>
        </is>
      </c>
      <c r="D6044" s="32" t="n">
        <v>14.91</v>
      </c>
      <c r="E6044" s="32" t="n">
        <v>4319.07</v>
      </c>
      <c r="F6044" s="32" t="n">
        <v>60298.527</v>
      </c>
      <c r="G6044" s="32" t="n">
        <v>68.935</v>
      </c>
      <c r="H6044" s="32" t="inlineStr">
        <is>
          <t>MM</t>
        </is>
      </c>
      <c r="K6044" s="32" t="inlineStr">
        <is>
          <t>20250514-16</t>
        </is>
      </c>
    </row>
    <row r="6045">
      <c r="A6045" s="32" t="n">
        <v>6</v>
      </c>
      <c r="B6045" s="32" t="inlineStr">
        <is>
          <t>EPA1633 &amp; diPAPs Calibration 5 ppb</t>
        </is>
      </c>
      <c r="D6045" s="32" t="n">
        <v>14.88</v>
      </c>
      <c r="E6045" s="32" t="n">
        <v>22386.588</v>
      </c>
      <c r="F6045" s="32" t="n">
        <v>51469.859</v>
      </c>
      <c r="G6045" s="32" t="n">
        <v>416.8</v>
      </c>
      <c r="H6045" s="32" t="inlineStr">
        <is>
          <t>MM</t>
        </is>
      </c>
      <c r="K6045" s="32" t="inlineStr">
        <is>
          <t>20250514-17</t>
        </is>
      </c>
    </row>
    <row r="6046">
      <c r="A6046" s="32" t="n">
        <v>7</v>
      </c>
      <c r="B6046" s="32" t="inlineStr">
        <is>
          <t>EPA1633 &amp; diPAPs Calibration 10 ppb</t>
        </is>
      </c>
      <c r="D6046" s="32" t="n">
        <v>14.89</v>
      </c>
      <c r="E6046" s="32" t="n">
        <v>37532.332</v>
      </c>
      <c r="F6046" s="32" t="n">
        <v>41948.844</v>
      </c>
      <c r="G6046" s="32" t="n">
        <v>828.566</v>
      </c>
      <c r="H6046" s="32" t="inlineStr">
        <is>
          <t>MM</t>
        </is>
      </c>
      <c r="K6046" s="32" t="inlineStr">
        <is>
          <t>20250514-18</t>
        </is>
      </c>
    </row>
    <row r="6047">
      <c r="A6047" s="32" t="n">
        <v>8</v>
      </c>
      <c r="B6047" s="32" t="inlineStr">
        <is>
          <t>EPA1633 &amp; diPAPs Calibration 20 ppb</t>
        </is>
      </c>
      <c r="D6047" s="32" t="n">
        <v>14.91</v>
      </c>
      <c r="E6047" s="32" t="n">
        <v>74561.19500000001</v>
      </c>
      <c r="F6047" s="32" t="n">
        <v>45131.258</v>
      </c>
      <c r="G6047" s="32" t="n">
        <v>644.691</v>
      </c>
      <c r="H6047" s="32" t="inlineStr">
        <is>
          <t>MM</t>
        </is>
      </c>
      <c r="K6047" s="32" t="inlineStr">
        <is>
          <t>20250514-19</t>
        </is>
      </c>
    </row>
    <row r="6048">
      <c r="A6048" s="32" t="n">
        <v>9</v>
      </c>
      <c r="B6048" s="32" t="inlineStr">
        <is>
          <t>MeOH</t>
        </is>
      </c>
      <c r="D6048" s="32" t="n">
        <v>14.93</v>
      </c>
      <c r="E6048" s="32" t="n">
        <v>43.64</v>
      </c>
      <c r="F6048" s="32" t="n">
        <v>64.01600000000001</v>
      </c>
      <c r="G6048" s="32" t="n">
        <v>2.809</v>
      </c>
      <c r="H6048" s="32" t="inlineStr">
        <is>
          <t>bb</t>
        </is>
      </c>
      <c r="K6048" s="32" t="inlineStr">
        <is>
          <t>20250514-20</t>
        </is>
      </c>
    </row>
    <row r="6049">
      <c r="A6049" s="32" t="n">
        <v>10</v>
      </c>
      <c r="B6049" s="32" t="inlineStr">
        <is>
          <t>MeOH</t>
        </is>
      </c>
      <c r="D6049" s="32" t="n">
        <v>14.96</v>
      </c>
      <c r="E6049" s="32" t="n">
        <v>109.797</v>
      </c>
      <c r="F6049" s="32" t="n">
        <v>14.842</v>
      </c>
      <c r="G6049" s="32" t="n">
        <v>10.141</v>
      </c>
      <c r="H6049" s="32" t="inlineStr">
        <is>
          <t>bb</t>
        </is>
      </c>
      <c r="K6049" s="32" t="inlineStr">
        <is>
          <t>20250514-21</t>
        </is>
      </c>
    </row>
    <row r="6050">
      <c r="A6050" s="32" t="n">
        <v>11</v>
      </c>
      <c r="B6050" s="32" t="inlineStr">
        <is>
          <t>SB1</t>
        </is>
      </c>
      <c r="F6050" s="32" t="n">
        <v>19023.547</v>
      </c>
      <c r="K6050" s="32" t="inlineStr">
        <is>
          <t>20250514-22</t>
        </is>
      </c>
    </row>
    <row r="6051">
      <c r="A6051" s="32" t="n">
        <v>12</v>
      </c>
      <c r="B6051" s="32" t="inlineStr">
        <is>
          <t>SB2</t>
        </is>
      </c>
      <c r="D6051" s="32" t="n">
        <v>14.93</v>
      </c>
      <c r="E6051" s="32" t="n">
        <v>19.087</v>
      </c>
      <c r="F6051" s="32" t="n">
        <v>19876.041</v>
      </c>
      <c r="G6051" s="32" t="n">
        <v>164</v>
      </c>
      <c r="H6051" s="32" t="inlineStr">
        <is>
          <t>bb</t>
        </is>
      </c>
      <c r="K6051" s="32" t="inlineStr">
        <is>
          <t>20250514-23</t>
        </is>
      </c>
    </row>
    <row r="6052">
      <c r="A6052" s="32" t="n">
        <v>13</v>
      </c>
      <c r="B6052" s="32" t="inlineStr">
        <is>
          <t>SB3</t>
        </is>
      </c>
      <c r="F6052" s="32" t="n">
        <v>19622.186</v>
      </c>
      <c r="K6052" s="32" t="inlineStr">
        <is>
          <t>20250514-24</t>
        </is>
      </c>
    </row>
    <row r="6053">
      <c r="A6053" s="32" t="n">
        <v>14</v>
      </c>
      <c r="B6053" s="32" t="inlineStr">
        <is>
          <t>SS1</t>
        </is>
      </c>
      <c r="D6053" s="32" t="n">
        <v>14.97</v>
      </c>
      <c r="E6053" s="32" t="n">
        <v>13862.054</v>
      </c>
      <c r="F6053" s="32" t="n">
        <v>19773.83</v>
      </c>
      <c r="G6053" s="32" t="n">
        <v>460.839</v>
      </c>
      <c r="H6053" s="32" t="inlineStr">
        <is>
          <t>MM</t>
        </is>
      </c>
      <c r="K6053" s="32" t="inlineStr">
        <is>
          <t>20250514-25</t>
        </is>
      </c>
    </row>
    <row r="6054">
      <c r="A6054" s="32" t="n">
        <v>15</v>
      </c>
      <c r="B6054" s="32" t="inlineStr">
        <is>
          <t>SS2</t>
        </is>
      </c>
      <c r="D6054" s="32" t="n">
        <v>14.97</v>
      </c>
      <c r="E6054" s="32" t="n">
        <v>14409.267</v>
      </c>
      <c r="F6054" s="32" t="n">
        <v>21252.592</v>
      </c>
      <c r="G6054" s="32" t="n">
        <v>203.405</v>
      </c>
      <c r="H6054" s="32" t="inlineStr">
        <is>
          <t>MM</t>
        </is>
      </c>
      <c r="K6054" s="32" t="inlineStr">
        <is>
          <t>20250514-26</t>
        </is>
      </c>
    </row>
    <row r="6055">
      <c r="A6055" s="32" t="n">
        <v>16</v>
      </c>
      <c r="B6055" s="32" t="inlineStr">
        <is>
          <t>SS3</t>
        </is>
      </c>
      <c r="D6055" s="32" t="n">
        <v>14.99</v>
      </c>
      <c r="E6055" s="32" t="n">
        <v>14605.328</v>
      </c>
      <c r="F6055" s="32" t="n">
        <v>19102.932</v>
      </c>
      <c r="G6055" s="32" t="n">
        <v>1261.511</v>
      </c>
      <c r="H6055" s="32" t="inlineStr">
        <is>
          <t>bb</t>
        </is>
      </c>
      <c r="K6055" s="32" t="inlineStr">
        <is>
          <t>20250514-27</t>
        </is>
      </c>
    </row>
    <row r="6056">
      <c r="A6056" s="32" t="n">
        <v>17</v>
      </c>
      <c r="B6056" s="32" t="inlineStr">
        <is>
          <t>MeOH</t>
        </is>
      </c>
      <c r="D6056" s="32" t="n">
        <v>15.02</v>
      </c>
      <c r="E6056" s="32" t="n">
        <v>12.551</v>
      </c>
      <c r="F6056" s="32" t="n">
        <v>103.657</v>
      </c>
      <c r="G6056" s="32" t="n">
        <v>2.944</v>
      </c>
      <c r="H6056" s="32" t="inlineStr">
        <is>
          <t>bb</t>
        </is>
      </c>
      <c r="K6056" s="32" t="inlineStr">
        <is>
          <t>20250514-28</t>
        </is>
      </c>
    </row>
    <row r="6057">
      <c r="A6057" s="32" t="n">
        <v>18</v>
      </c>
      <c r="B6057" s="32" t="inlineStr">
        <is>
          <t>K4-1A</t>
        </is>
      </c>
      <c r="D6057" s="32" t="n">
        <v>14.99</v>
      </c>
      <c r="E6057" s="32" t="n">
        <v>2.801</v>
      </c>
      <c r="F6057" s="32" t="n">
        <v>23639.141</v>
      </c>
      <c r="G6057" s="32" t="n">
        <v>25</v>
      </c>
      <c r="H6057" s="32" t="inlineStr">
        <is>
          <t>bb</t>
        </is>
      </c>
      <c r="K6057" s="32" t="inlineStr">
        <is>
          <t>20250514-29</t>
        </is>
      </c>
    </row>
    <row r="6058">
      <c r="A6058" s="32" t="n">
        <v>19</v>
      </c>
      <c r="B6058" s="32" t="inlineStr">
        <is>
          <t>K4-1B</t>
        </is>
      </c>
      <c r="F6058" s="32" t="n">
        <v>22105.367</v>
      </c>
      <c r="K6058" s="32" t="inlineStr">
        <is>
          <t>20250514-30</t>
        </is>
      </c>
    </row>
    <row r="6059">
      <c r="A6059" s="32" t="n">
        <v>20</v>
      </c>
      <c r="B6059" s="32" t="inlineStr">
        <is>
          <t>K4-1C</t>
        </is>
      </c>
      <c r="D6059" s="32" t="n">
        <v>15.02</v>
      </c>
      <c r="E6059" s="32" t="n">
        <v>32.54</v>
      </c>
      <c r="F6059" s="32" t="n">
        <v>21073.406</v>
      </c>
      <c r="G6059" s="32" t="n">
        <v>275</v>
      </c>
      <c r="H6059" s="32" t="inlineStr">
        <is>
          <t>bb</t>
        </is>
      </c>
      <c r="K6059" s="32" t="inlineStr">
        <is>
          <t>20250514-31</t>
        </is>
      </c>
    </row>
    <row r="6060">
      <c r="A6060" s="32" t="n">
        <v>21</v>
      </c>
      <c r="B6060" s="32" t="inlineStr">
        <is>
          <t>K4-2A</t>
        </is>
      </c>
      <c r="F6060" s="32" t="n">
        <v>22198.574</v>
      </c>
      <c r="K6060" s="32" t="inlineStr">
        <is>
          <t>20250514-32</t>
        </is>
      </c>
    </row>
    <row r="6061">
      <c r="A6061" s="32" t="n">
        <v>22</v>
      </c>
      <c r="B6061" s="32" t="inlineStr">
        <is>
          <t>K4-2B</t>
        </is>
      </c>
      <c r="F6061" s="32" t="n">
        <v>19047.846</v>
      </c>
      <c r="K6061" s="32" t="inlineStr">
        <is>
          <t>20250514-33</t>
        </is>
      </c>
    </row>
    <row r="6062">
      <c r="A6062" s="32" t="n">
        <v>23</v>
      </c>
      <c r="B6062" s="32" t="inlineStr">
        <is>
          <t>K4-2C</t>
        </is>
      </c>
      <c r="F6062" s="32" t="n">
        <v>17391.42</v>
      </c>
      <c r="K6062" s="32" t="inlineStr">
        <is>
          <t>20250514-34</t>
        </is>
      </c>
    </row>
    <row r="6063">
      <c r="A6063" s="32" t="n">
        <v>24</v>
      </c>
      <c r="B6063" s="32" t="inlineStr">
        <is>
          <t>MeOH</t>
        </is>
      </c>
      <c r="D6063" s="32" t="n">
        <v>15.09</v>
      </c>
      <c r="E6063" s="32" t="n">
        <v>9.701000000000001</v>
      </c>
      <c r="F6063" s="32" t="n">
        <v>176.435</v>
      </c>
      <c r="G6063" s="32" t="n">
        <v>96</v>
      </c>
      <c r="H6063" s="32" t="inlineStr">
        <is>
          <t>bb</t>
        </is>
      </c>
      <c r="K6063" s="32" t="inlineStr">
        <is>
          <t>20250514-35</t>
        </is>
      </c>
    </row>
    <row r="6064">
      <c r="A6064" s="32" t="n">
        <v>25</v>
      </c>
      <c r="B6064" s="32" t="inlineStr">
        <is>
          <t>K4-4A</t>
        </is>
      </c>
      <c r="D6064" s="32" t="n">
        <v>13.87</v>
      </c>
      <c r="E6064" s="32" t="n">
        <v>0.768</v>
      </c>
      <c r="F6064" s="32" t="n">
        <v>23917.184</v>
      </c>
      <c r="G6064" s="32" t="n">
        <v>7</v>
      </c>
      <c r="H6064" s="32" t="inlineStr">
        <is>
          <t>MM</t>
        </is>
      </c>
      <c r="K6064" s="32" t="inlineStr">
        <is>
          <t>20250514-36</t>
        </is>
      </c>
    </row>
    <row r="6065">
      <c r="A6065" s="32" t="n">
        <v>26</v>
      </c>
      <c r="B6065" s="32" t="inlineStr">
        <is>
          <t>K4-4B</t>
        </is>
      </c>
      <c r="F6065" s="32" t="n">
        <v>21871.559</v>
      </c>
      <c r="K6065" s="32" t="inlineStr">
        <is>
          <t>20250514-37</t>
        </is>
      </c>
    </row>
    <row r="6066">
      <c r="A6066" s="32" t="n">
        <v>27</v>
      </c>
      <c r="B6066" s="32" t="inlineStr">
        <is>
          <t>K4-4C</t>
        </is>
      </c>
      <c r="D6066" s="32" t="n">
        <v>13.4</v>
      </c>
      <c r="E6066" s="32" t="n">
        <v>0.8080000000000001</v>
      </c>
      <c r="F6066" s="32" t="n">
        <v>25710.891</v>
      </c>
      <c r="G6066" s="32" t="n">
        <v>7</v>
      </c>
      <c r="H6066" s="32" t="inlineStr">
        <is>
          <t>MM</t>
        </is>
      </c>
      <c r="K6066" s="32" t="inlineStr">
        <is>
          <t>20250514-38</t>
        </is>
      </c>
    </row>
    <row r="6067">
      <c r="A6067" s="32" t="n">
        <v>28</v>
      </c>
      <c r="B6067" s="32" t="inlineStr">
        <is>
          <t>K4-5A</t>
        </is>
      </c>
      <c r="F6067" s="32" t="n">
        <v>21448.361</v>
      </c>
      <c r="K6067" s="32" t="inlineStr">
        <is>
          <t>20250514-39</t>
        </is>
      </c>
    </row>
    <row r="6068">
      <c r="A6068" s="32" t="n">
        <v>29</v>
      </c>
      <c r="B6068" s="32" t="inlineStr">
        <is>
          <t>K4-5B</t>
        </is>
      </c>
      <c r="F6068" s="32" t="n">
        <v>22339.35</v>
      </c>
      <c r="K6068" s="32" t="inlineStr">
        <is>
          <t>20250514-40</t>
        </is>
      </c>
    </row>
    <row r="6069">
      <c r="A6069" s="32" t="n">
        <v>30</v>
      </c>
      <c r="B6069" s="32" t="inlineStr">
        <is>
          <t>K4-5C</t>
        </is>
      </c>
      <c r="F6069" s="32" t="n">
        <v>21963.625</v>
      </c>
      <c r="K6069" s="32" t="inlineStr">
        <is>
          <t>20250514-41</t>
        </is>
      </c>
    </row>
    <row r="6070">
      <c r="A6070" s="32" t="n">
        <v>31</v>
      </c>
      <c r="B6070" s="32" t="inlineStr">
        <is>
          <t>MeOH</t>
        </is>
      </c>
      <c r="D6070" s="32" t="n">
        <v>14.89</v>
      </c>
      <c r="E6070" s="32" t="n">
        <v>57.573</v>
      </c>
      <c r="F6070" s="32" t="n">
        <v>162.657</v>
      </c>
      <c r="G6070" s="32" t="n">
        <v>4.037</v>
      </c>
      <c r="H6070" s="32" t="inlineStr">
        <is>
          <t>bb</t>
        </is>
      </c>
      <c r="K6070" s="32" t="inlineStr">
        <is>
          <t>20250514-42</t>
        </is>
      </c>
    </row>
    <row r="6071">
      <c r="A6071" s="32" t="n">
        <v>32</v>
      </c>
      <c r="B6071" s="32" t="inlineStr">
        <is>
          <t>K3-1A</t>
        </is>
      </c>
      <c r="F6071" s="32" t="n">
        <v>25588.145</v>
      </c>
      <c r="K6071" s="32" t="inlineStr">
        <is>
          <t>20250514-43</t>
        </is>
      </c>
    </row>
    <row r="6072">
      <c r="A6072" s="32" t="n">
        <v>33</v>
      </c>
      <c r="B6072" s="32" t="inlineStr">
        <is>
          <t>K3-1B</t>
        </is>
      </c>
      <c r="F6072" s="32" t="n">
        <v>23743.408</v>
      </c>
      <c r="K6072" s="32" t="inlineStr">
        <is>
          <t>20250514-44</t>
        </is>
      </c>
    </row>
    <row r="6073">
      <c r="A6073" s="32" t="n">
        <v>34</v>
      </c>
      <c r="B6073" s="32" t="inlineStr">
        <is>
          <t>K3-1C</t>
        </is>
      </c>
      <c r="D6073" s="32" t="n">
        <v>14.96</v>
      </c>
      <c r="E6073" s="32" t="n">
        <v>8.233000000000001</v>
      </c>
      <c r="F6073" s="32" t="n">
        <v>31354.984</v>
      </c>
      <c r="G6073" s="32" t="n">
        <v>72</v>
      </c>
      <c r="H6073" s="32" t="inlineStr">
        <is>
          <t>bb</t>
        </is>
      </c>
      <c r="K6073" s="32" t="inlineStr">
        <is>
          <t>20250514-45</t>
        </is>
      </c>
    </row>
    <row r="6074">
      <c r="A6074" s="32" t="n">
        <v>35</v>
      </c>
      <c r="B6074" s="32" t="inlineStr">
        <is>
          <t>K3-2A</t>
        </is>
      </c>
      <c r="D6074" s="32" t="n">
        <v>14.94</v>
      </c>
      <c r="E6074" s="32" t="n">
        <v>1.744</v>
      </c>
      <c r="F6074" s="32" t="n">
        <v>28332.404</v>
      </c>
      <c r="G6074" s="32" t="n">
        <v>15</v>
      </c>
      <c r="H6074" s="32" t="inlineStr">
        <is>
          <t>bb</t>
        </is>
      </c>
      <c r="K6074" s="32" t="inlineStr">
        <is>
          <t>20250514-46</t>
        </is>
      </c>
    </row>
    <row r="6075">
      <c r="A6075" s="32" t="n">
        <v>36</v>
      </c>
      <c r="B6075" s="32" t="inlineStr">
        <is>
          <t>K3-2B</t>
        </is>
      </c>
      <c r="D6075" s="32" t="n">
        <v>15.02</v>
      </c>
      <c r="E6075" s="32" t="n">
        <v>4.891</v>
      </c>
      <c r="F6075" s="32" t="n">
        <v>33095.668</v>
      </c>
      <c r="G6075" s="32" t="n">
        <v>46</v>
      </c>
      <c r="H6075" s="32" t="inlineStr">
        <is>
          <t>bb</t>
        </is>
      </c>
      <c r="K6075" s="32" t="inlineStr">
        <is>
          <t>20250514-47</t>
        </is>
      </c>
    </row>
    <row r="6076">
      <c r="A6076" s="32" t="n">
        <v>37</v>
      </c>
      <c r="B6076" s="32" t="inlineStr">
        <is>
          <t>K3-2C</t>
        </is>
      </c>
      <c r="D6076" s="32" t="n">
        <v>14.94</v>
      </c>
      <c r="E6076" s="32" t="n">
        <v>10.171</v>
      </c>
      <c r="F6076" s="32" t="n">
        <v>28664.4</v>
      </c>
      <c r="G6076" s="32" t="n">
        <v>1.751</v>
      </c>
      <c r="H6076" s="32" t="inlineStr">
        <is>
          <t>MM</t>
        </is>
      </c>
      <c r="K6076" s="32" t="inlineStr">
        <is>
          <t>20250514-48</t>
        </is>
      </c>
    </row>
    <row r="6077">
      <c r="A6077" s="32" t="n">
        <v>38</v>
      </c>
      <c r="B6077" s="32" t="inlineStr">
        <is>
          <t>MeOH</t>
        </is>
      </c>
      <c r="D6077" s="32" t="n">
        <v>15.01</v>
      </c>
      <c r="E6077" s="32" t="n">
        <v>75.70099999999999</v>
      </c>
      <c r="F6077" s="32" t="n">
        <v>86.83799999999999</v>
      </c>
      <c r="G6077" s="32" t="n">
        <v>613</v>
      </c>
      <c r="H6077" s="32" t="inlineStr">
        <is>
          <t>bb</t>
        </is>
      </c>
      <c r="K6077" s="32" t="inlineStr">
        <is>
          <t>20250514-49</t>
        </is>
      </c>
    </row>
    <row r="6078">
      <c r="A6078" s="32" t="n">
        <v>39</v>
      </c>
      <c r="B6078" s="32" t="inlineStr">
        <is>
          <t>K3-3A</t>
        </is>
      </c>
      <c r="F6078" s="32" t="n">
        <v>23955.172</v>
      </c>
      <c r="K6078" s="32" t="inlineStr">
        <is>
          <t>20250514-50</t>
        </is>
      </c>
    </row>
    <row r="6079">
      <c r="A6079" s="32" t="n">
        <v>40</v>
      </c>
      <c r="B6079" s="32" t="inlineStr">
        <is>
          <t>K3-3B</t>
        </is>
      </c>
      <c r="D6079" s="32" t="n">
        <v>15.01</v>
      </c>
      <c r="E6079" s="32" t="n">
        <v>68.967</v>
      </c>
      <c r="F6079" s="32" t="n">
        <v>29001.438</v>
      </c>
      <c r="G6079" s="32" t="n">
        <v>2.438</v>
      </c>
      <c r="H6079" s="32" t="inlineStr">
        <is>
          <t>bb</t>
        </is>
      </c>
      <c r="K6079" s="32" t="inlineStr">
        <is>
          <t>20250514-51</t>
        </is>
      </c>
    </row>
    <row r="6080">
      <c r="A6080" s="32" t="n">
        <v>41</v>
      </c>
      <c r="B6080" s="32" t="inlineStr">
        <is>
          <t>K3-3C</t>
        </is>
      </c>
      <c r="D6080" s="32" t="n">
        <v>14.97</v>
      </c>
      <c r="E6080" s="32" t="n">
        <v>1.011</v>
      </c>
      <c r="F6080" s="32" t="n">
        <v>32934.473</v>
      </c>
      <c r="G6080" s="32" t="n">
        <v>9</v>
      </c>
      <c r="H6080" s="32" t="inlineStr">
        <is>
          <t>bb</t>
        </is>
      </c>
      <c r="K6080" s="32" t="inlineStr">
        <is>
          <t>20250514-52</t>
        </is>
      </c>
    </row>
    <row r="6081">
      <c r="A6081" s="32" t="n">
        <v>42</v>
      </c>
      <c r="B6081" s="32" t="inlineStr">
        <is>
          <t>K3-4A</t>
        </is>
      </c>
      <c r="D6081" s="32" t="n">
        <v>15.02</v>
      </c>
      <c r="E6081" s="32" t="n">
        <v>2.59</v>
      </c>
      <c r="F6081" s="32" t="n">
        <v>36892.102</v>
      </c>
      <c r="G6081" s="32" t="n">
        <v>24</v>
      </c>
      <c r="H6081" s="32" t="inlineStr">
        <is>
          <t>bb</t>
        </is>
      </c>
      <c r="K6081" s="32" t="inlineStr">
        <is>
          <t>20250514-53</t>
        </is>
      </c>
    </row>
    <row r="6082">
      <c r="A6082" s="32" t="n">
        <v>43</v>
      </c>
      <c r="B6082" s="32" t="inlineStr">
        <is>
          <t>K3-4B</t>
        </is>
      </c>
      <c r="D6082" s="32" t="n">
        <v>14.97</v>
      </c>
      <c r="E6082" s="32" t="n">
        <v>14.135</v>
      </c>
      <c r="F6082" s="32" t="n">
        <v>32473.859</v>
      </c>
      <c r="G6082" s="32" t="n">
        <v>102</v>
      </c>
      <c r="H6082" s="32" t="inlineStr">
        <is>
          <t>MM</t>
        </is>
      </c>
      <c r="K6082" s="32" t="inlineStr">
        <is>
          <t>20250514-54</t>
        </is>
      </c>
    </row>
    <row r="6083">
      <c r="A6083" s="32" t="n">
        <v>44</v>
      </c>
      <c r="B6083" s="32" t="inlineStr">
        <is>
          <t>K3-4C</t>
        </is>
      </c>
      <c r="D6083" s="32" t="n">
        <v>15.06</v>
      </c>
      <c r="E6083" s="32" t="n">
        <v>29.8</v>
      </c>
      <c r="F6083" s="32" t="n">
        <v>36001.512</v>
      </c>
      <c r="G6083" s="32" t="n">
        <v>4.382</v>
      </c>
      <c r="H6083" s="32" t="inlineStr">
        <is>
          <t>bb</t>
        </is>
      </c>
      <c r="K6083" s="32" t="inlineStr">
        <is>
          <t>20250514-55</t>
        </is>
      </c>
    </row>
    <row r="6084">
      <c r="A6084" s="32" t="n">
        <v>45</v>
      </c>
      <c r="B6084" s="32" t="inlineStr">
        <is>
          <t>MeOH</t>
        </is>
      </c>
      <c r="D6084" s="32" t="n">
        <v>15.07</v>
      </c>
      <c r="E6084" s="32" t="n">
        <v>81.872</v>
      </c>
      <c r="F6084" s="32" t="n">
        <v>164.971</v>
      </c>
      <c r="G6084" s="32" t="n">
        <v>689</v>
      </c>
      <c r="H6084" s="32" t="inlineStr">
        <is>
          <t>bb</t>
        </is>
      </c>
      <c r="K6084" s="32" t="inlineStr">
        <is>
          <t>20250514-56</t>
        </is>
      </c>
    </row>
    <row r="6085">
      <c r="A6085" s="32" t="n">
        <v>46</v>
      </c>
      <c r="B6085" s="32" t="inlineStr">
        <is>
          <t>K3-6A</t>
        </is>
      </c>
      <c r="F6085" s="32" t="n">
        <v>33347.133</v>
      </c>
      <c r="K6085" s="32" t="inlineStr">
        <is>
          <t>20250514-57</t>
        </is>
      </c>
    </row>
    <row r="6086">
      <c r="A6086" s="32" t="n">
        <v>47</v>
      </c>
      <c r="B6086" s="32" t="inlineStr">
        <is>
          <t>K3-6B</t>
        </is>
      </c>
      <c r="F6086" s="32" t="n">
        <v>25828.426</v>
      </c>
      <c r="K6086" s="32" t="inlineStr">
        <is>
          <t>20250514-58</t>
        </is>
      </c>
    </row>
    <row r="6087">
      <c r="A6087" s="32" t="n">
        <v>48</v>
      </c>
      <c r="B6087" s="32" t="inlineStr">
        <is>
          <t>K3-6C</t>
        </is>
      </c>
      <c r="D6087" s="32" t="n">
        <v>14.99</v>
      </c>
      <c r="E6087" s="32" t="n">
        <v>0.331</v>
      </c>
      <c r="F6087" s="32" t="n">
        <v>22605.594</v>
      </c>
      <c r="G6087" s="32" t="n">
        <v>3</v>
      </c>
      <c r="H6087" s="32" t="inlineStr">
        <is>
          <t>bb</t>
        </is>
      </c>
      <c r="K6087" s="32" t="inlineStr">
        <is>
          <t>20250514-59</t>
        </is>
      </c>
    </row>
    <row r="6089">
      <c r="A6089" s="32" t="inlineStr">
        <is>
          <t>Compound 118:  N-EtFOSAA 2</t>
        </is>
      </c>
    </row>
    <row r="6091">
      <c r="B6091" s="32" t="inlineStr">
        <is>
          <t>Sample Text</t>
        </is>
      </c>
      <c r="C6091" s="32" t="inlineStr">
        <is>
          <t>Std. Conc</t>
        </is>
      </c>
      <c r="D6091" s="32" t="inlineStr">
        <is>
          <t>RT</t>
        </is>
      </c>
      <c r="E6091" s="32" t="inlineStr">
        <is>
          <t>Area</t>
        </is>
      </c>
      <c r="F6091" s="32" t="inlineStr">
        <is>
          <t>IS Area</t>
        </is>
      </c>
      <c r="G6091" s="32" t="inlineStr">
        <is>
          <t>S/N</t>
        </is>
      </c>
      <c r="H6091" s="32" t="inlineStr">
        <is>
          <t>Primary Flags</t>
        </is>
      </c>
      <c r="I6091" s="32" t="inlineStr">
        <is>
          <t>Response</t>
        </is>
      </c>
      <c r="J6091" s="32" t="inlineStr">
        <is>
          <t>Conc.</t>
        </is>
      </c>
      <c r="K6091" s="32" t="inlineStr">
        <is>
          <t>Name</t>
        </is>
      </c>
    </row>
    <row r="6092">
      <c r="A6092" s="32" t="n">
        <v>1</v>
      </c>
      <c r="B6092" s="32" t="inlineStr">
        <is>
          <t>EPA1633 &amp; diPAPs Calibration 0 ppb</t>
        </is>
      </c>
      <c r="D6092" s="32" t="n">
        <v>14.86</v>
      </c>
      <c r="E6092" s="32" t="n">
        <v>18.594</v>
      </c>
      <c r="F6092" s="32" t="n">
        <v>20135.783</v>
      </c>
      <c r="G6092" s="32" t="n">
        <v>155</v>
      </c>
      <c r="H6092" s="32" t="inlineStr">
        <is>
          <t>bb</t>
        </is>
      </c>
      <c r="K6092" s="32" t="inlineStr">
        <is>
          <t>20250514-12</t>
        </is>
      </c>
    </row>
    <row r="6093">
      <c r="A6093" s="32" t="n">
        <v>2</v>
      </c>
      <c r="B6093" s="32" t="inlineStr">
        <is>
          <t>EPA1633 &amp; diPAPs Calibration 0.02 ppb</t>
        </is>
      </c>
      <c r="D6093" s="32" t="n">
        <v>14.93</v>
      </c>
      <c r="E6093" s="32" t="n">
        <v>85.423</v>
      </c>
      <c r="F6093" s="32" t="n">
        <v>17568.809</v>
      </c>
      <c r="G6093" s="32" t="n">
        <v>565</v>
      </c>
      <c r="H6093" s="32" t="inlineStr">
        <is>
          <t>bb</t>
        </is>
      </c>
      <c r="K6093" s="32" t="inlineStr">
        <is>
          <t>20250514-13</t>
        </is>
      </c>
    </row>
    <row r="6094">
      <c r="A6094" s="32" t="n">
        <v>3</v>
      </c>
      <c r="B6094" s="32" t="inlineStr">
        <is>
          <t>EPA1633 &amp; diPAPs Calibration 0.1 ppb</t>
        </is>
      </c>
      <c r="D6094" s="32" t="n">
        <v>14.93</v>
      </c>
      <c r="E6094" s="32" t="n">
        <v>211.129</v>
      </c>
      <c r="F6094" s="32" t="n">
        <v>17795.822</v>
      </c>
      <c r="G6094" s="32" t="n">
        <v>3.098</v>
      </c>
      <c r="H6094" s="32" t="inlineStr">
        <is>
          <t>bb</t>
        </is>
      </c>
      <c r="K6094" s="32" t="inlineStr">
        <is>
          <t>20250514-14</t>
        </is>
      </c>
    </row>
    <row r="6095">
      <c r="A6095" s="32" t="n">
        <v>4</v>
      </c>
      <c r="B6095" s="32" t="inlineStr">
        <is>
          <t>EPA1633 &amp; diPAPs Calibration 0.4 ppb</t>
        </is>
      </c>
      <c r="D6095" s="32" t="n">
        <v>14.93</v>
      </c>
      <c r="E6095" s="32" t="n">
        <v>601.585</v>
      </c>
      <c r="F6095" s="32" t="n">
        <v>14504.334</v>
      </c>
      <c r="G6095" s="32" t="n">
        <v>7.942</v>
      </c>
      <c r="H6095" s="32" t="inlineStr">
        <is>
          <t>bb</t>
        </is>
      </c>
      <c r="K6095" s="32" t="inlineStr">
        <is>
          <t>20250514-15</t>
        </is>
      </c>
    </row>
    <row r="6096">
      <c r="A6096" s="32" t="n">
        <v>5</v>
      </c>
      <c r="B6096" s="32" t="inlineStr">
        <is>
          <t>EPA1633 &amp; diPAPs Calibration 1 ppb</t>
        </is>
      </c>
      <c r="D6096" s="32" t="n">
        <v>14.91</v>
      </c>
      <c r="E6096" s="32" t="n">
        <v>1750.773</v>
      </c>
      <c r="F6096" s="32" t="n">
        <v>18945.104</v>
      </c>
      <c r="G6096" s="32" t="n">
        <v>273.299</v>
      </c>
      <c r="H6096" s="32" t="inlineStr">
        <is>
          <t>MM</t>
        </is>
      </c>
      <c r="K6096" s="32" t="inlineStr">
        <is>
          <t>20250514-16</t>
        </is>
      </c>
    </row>
    <row r="6097">
      <c r="A6097" s="32" t="n">
        <v>6</v>
      </c>
      <c r="B6097" s="32" t="inlineStr">
        <is>
          <t>EPA1633 &amp; diPAPs Calibration 5 ppb</t>
        </is>
      </c>
      <c r="D6097" s="32" t="n">
        <v>14.88</v>
      </c>
      <c r="E6097" s="32" t="n">
        <v>7198.512</v>
      </c>
      <c r="F6097" s="32" t="n">
        <v>15134.777</v>
      </c>
      <c r="G6097" s="32" t="n">
        <v>161.496</v>
      </c>
      <c r="H6097" s="32" t="inlineStr">
        <is>
          <t>MM</t>
        </is>
      </c>
      <c r="K6097" s="32" t="inlineStr">
        <is>
          <t>20250514-17</t>
        </is>
      </c>
    </row>
    <row r="6098">
      <c r="A6098" s="32" t="n">
        <v>7</v>
      </c>
      <c r="B6098" s="32" t="inlineStr">
        <is>
          <t>EPA1633 &amp; diPAPs Calibration 10 ppb</t>
        </is>
      </c>
      <c r="D6098" s="32" t="n">
        <v>14.89</v>
      </c>
      <c r="E6098" s="32" t="n">
        <v>13228.689</v>
      </c>
      <c r="F6098" s="32" t="n">
        <v>11936.276</v>
      </c>
      <c r="G6098" s="32" t="n">
        <v>557.078</v>
      </c>
      <c r="H6098" s="32" t="inlineStr">
        <is>
          <t>MM</t>
        </is>
      </c>
      <c r="K6098" s="32" t="inlineStr">
        <is>
          <t>20250514-18</t>
        </is>
      </c>
    </row>
    <row r="6099">
      <c r="A6099" s="32" t="n">
        <v>8</v>
      </c>
      <c r="B6099" s="32" t="inlineStr">
        <is>
          <t>EPA1633 &amp; diPAPs Calibration 20 ppb</t>
        </is>
      </c>
      <c r="D6099" s="32" t="n">
        <v>14.91</v>
      </c>
      <c r="E6099" s="32" t="n">
        <v>26454.748</v>
      </c>
      <c r="F6099" s="32" t="n">
        <v>15042.936</v>
      </c>
      <c r="G6099" s="32" t="n">
        <v>799.752</v>
      </c>
      <c r="H6099" s="32" t="inlineStr">
        <is>
          <t>MM</t>
        </is>
      </c>
      <c r="K6099" s="32" t="inlineStr">
        <is>
          <t>20250514-19</t>
        </is>
      </c>
    </row>
    <row r="6100">
      <c r="A6100" s="32" t="n">
        <v>9</v>
      </c>
      <c r="B6100" s="32" t="inlineStr">
        <is>
          <t>MeOH</t>
        </is>
      </c>
      <c r="D6100" s="32" t="n">
        <v>14.91</v>
      </c>
      <c r="E6100" s="32" t="n">
        <v>121.912</v>
      </c>
      <c r="F6100" s="32" t="n">
        <v>3.2</v>
      </c>
      <c r="G6100" s="32" t="n">
        <v>994</v>
      </c>
      <c r="H6100" s="32" t="inlineStr">
        <is>
          <t>bb</t>
        </is>
      </c>
      <c r="K6100" s="32" t="inlineStr">
        <is>
          <t>20250514-20</t>
        </is>
      </c>
    </row>
    <row r="6101">
      <c r="A6101" s="32" t="n">
        <v>10</v>
      </c>
      <c r="B6101" s="32" t="inlineStr">
        <is>
          <t>MeOH</t>
        </is>
      </c>
      <c r="D6101" s="32" t="n">
        <v>14.86</v>
      </c>
      <c r="E6101" s="32" t="n">
        <v>14</v>
      </c>
      <c r="F6101" s="32" t="n">
        <v>1.631</v>
      </c>
      <c r="G6101" s="32" t="n">
        <v>120</v>
      </c>
      <c r="H6101" s="32" t="inlineStr">
        <is>
          <t>bb</t>
        </is>
      </c>
      <c r="K6101" s="32" t="inlineStr">
        <is>
          <t>20250514-21</t>
        </is>
      </c>
    </row>
    <row r="6102">
      <c r="A6102" s="32" t="n">
        <v>11</v>
      </c>
      <c r="B6102" s="32" t="inlineStr">
        <is>
          <t>SB1</t>
        </is>
      </c>
      <c r="D6102" s="32" t="n">
        <v>14.94</v>
      </c>
      <c r="E6102" s="32" t="n">
        <v>6.678</v>
      </c>
      <c r="F6102" s="32" t="n">
        <v>6142.097</v>
      </c>
      <c r="G6102" s="32" t="n">
        <v>51</v>
      </c>
      <c r="H6102" s="32" t="inlineStr">
        <is>
          <t>bb</t>
        </is>
      </c>
      <c r="K6102" s="32" t="inlineStr">
        <is>
          <t>20250514-22</t>
        </is>
      </c>
    </row>
    <row r="6103">
      <c r="A6103" s="32" t="n">
        <v>12</v>
      </c>
      <c r="B6103" s="32" t="inlineStr">
        <is>
          <t>SB2</t>
        </is>
      </c>
      <c r="F6103" s="32" t="n">
        <v>7099.807</v>
      </c>
      <c r="K6103" s="32" t="inlineStr">
        <is>
          <t>20250514-23</t>
        </is>
      </c>
    </row>
    <row r="6104">
      <c r="A6104" s="32" t="n">
        <v>13</v>
      </c>
      <c r="B6104" s="32" t="inlineStr">
        <is>
          <t>SB3</t>
        </is>
      </c>
      <c r="F6104" s="32" t="n">
        <v>6009.896</v>
      </c>
      <c r="K6104" s="32" t="inlineStr">
        <is>
          <t>20250514-24</t>
        </is>
      </c>
    </row>
    <row r="6105">
      <c r="A6105" s="32" t="n">
        <v>14</v>
      </c>
      <c r="B6105" s="32" t="inlineStr">
        <is>
          <t>SS1</t>
        </is>
      </c>
      <c r="D6105" s="32" t="n">
        <v>14.97</v>
      </c>
      <c r="E6105" s="32" t="n">
        <v>5160.154</v>
      </c>
      <c r="F6105" s="32" t="n">
        <v>6132.544</v>
      </c>
      <c r="G6105" s="32" t="n">
        <v>71.425</v>
      </c>
      <c r="H6105" s="32" t="inlineStr">
        <is>
          <t>bb</t>
        </is>
      </c>
      <c r="K6105" s="32" t="inlineStr">
        <is>
          <t>20250514-25</t>
        </is>
      </c>
    </row>
    <row r="6106">
      <c r="A6106" s="32" t="n">
        <v>15</v>
      </c>
      <c r="B6106" s="32" t="inlineStr">
        <is>
          <t>SS2</t>
        </is>
      </c>
      <c r="D6106" s="32" t="n">
        <v>14.97</v>
      </c>
      <c r="E6106" s="32" t="n">
        <v>6061.521</v>
      </c>
      <c r="F6106" s="32" t="n">
        <v>6032.383</v>
      </c>
      <c r="G6106" s="32" t="n">
        <v>38.892</v>
      </c>
      <c r="H6106" s="32" t="inlineStr">
        <is>
          <t>bb</t>
        </is>
      </c>
      <c r="K6106" s="32" t="inlineStr">
        <is>
          <t>20250514-26</t>
        </is>
      </c>
    </row>
    <row r="6107">
      <c r="A6107" s="32" t="n">
        <v>16</v>
      </c>
      <c r="B6107" s="32" t="inlineStr">
        <is>
          <t>SS3</t>
        </is>
      </c>
      <c r="D6107" s="32" t="n">
        <v>14.99</v>
      </c>
      <c r="E6107" s="32" t="n">
        <v>6485.736</v>
      </c>
      <c r="F6107" s="32" t="n">
        <v>5738.296</v>
      </c>
      <c r="G6107" s="32" t="n">
        <v>422.108</v>
      </c>
      <c r="H6107" s="32" t="inlineStr">
        <is>
          <t>bb</t>
        </is>
      </c>
      <c r="K6107" s="32" t="inlineStr">
        <is>
          <t>20250514-27</t>
        </is>
      </c>
    </row>
    <row r="6108">
      <c r="A6108" s="32" t="n">
        <v>17</v>
      </c>
      <c r="B6108" s="32" t="inlineStr">
        <is>
          <t>MeOH</t>
        </is>
      </c>
      <c r="D6108" s="32" t="n">
        <v>15.01</v>
      </c>
      <c r="E6108" s="32" t="n">
        <v>14.46</v>
      </c>
      <c r="F6108" s="32" t="n">
        <v>1.326</v>
      </c>
      <c r="G6108" s="32" t="n">
        <v>130</v>
      </c>
      <c r="H6108" s="32" t="inlineStr">
        <is>
          <t>bb</t>
        </is>
      </c>
      <c r="K6108" s="32" t="inlineStr">
        <is>
          <t>20250514-28</t>
        </is>
      </c>
    </row>
    <row r="6109">
      <c r="A6109" s="32" t="n">
        <v>18</v>
      </c>
      <c r="B6109" s="32" t="inlineStr">
        <is>
          <t>K4-1A</t>
        </is>
      </c>
      <c r="D6109" s="32" t="n">
        <v>14.93</v>
      </c>
      <c r="E6109" s="32" t="n">
        <v>9.914999999999999</v>
      </c>
      <c r="F6109" s="32" t="n">
        <v>7148.554</v>
      </c>
      <c r="G6109" s="32" t="n">
        <v>85</v>
      </c>
      <c r="H6109" s="32" t="inlineStr">
        <is>
          <t>bb</t>
        </is>
      </c>
      <c r="K6109" s="32" t="inlineStr">
        <is>
          <t>20250514-29</t>
        </is>
      </c>
    </row>
    <row r="6110">
      <c r="A6110" s="32" t="n">
        <v>19</v>
      </c>
      <c r="B6110" s="32" t="inlineStr">
        <is>
          <t>K4-1B</t>
        </is>
      </c>
      <c r="F6110" s="32" t="n">
        <v>7452.281</v>
      </c>
      <c r="K6110" s="32" t="inlineStr">
        <is>
          <t>20250514-30</t>
        </is>
      </c>
    </row>
    <row r="6111">
      <c r="A6111" s="32" t="n">
        <v>20</v>
      </c>
      <c r="B6111" s="32" t="inlineStr">
        <is>
          <t>K4-1C</t>
        </is>
      </c>
      <c r="F6111" s="32" t="n">
        <v>6708.048</v>
      </c>
      <c r="K6111" s="32" t="inlineStr">
        <is>
          <t>20250514-31</t>
        </is>
      </c>
    </row>
    <row r="6112">
      <c r="A6112" s="32" t="n">
        <v>21</v>
      </c>
      <c r="B6112" s="32" t="inlineStr">
        <is>
          <t>K4-2A</t>
        </is>
      </c>
      <c r="D6112" s="32" t="n">
        <v>15</v>
      </c>
      <c r="E6112" s="32" t="n">
        <v>5.761</v>
      </c>
      <c r="F6112" s="32" t="n">
        <v>6036.964</v>
      </c>
      <c r="G6112" s="32" t="n">
        <v>53</v>
      </c>
      <c r="H6112" s="32" t="inlineStr">
        <is>
          <t>bb</t>
        </is>
      </c>
      <c r="K6112" s="32" t="inlineStr">
        <is>
          <t>20250514-32</t>
        </is>
      </c>
    </row>
    <row r="6113">
      <c r="A6113" s="32" t="n">
        <v>22</v>
      </c>
      <c r="B6113" s="32" t="inlineStr">
        <is>
          <t>K4-2B</t>
        </is>
      </c>
      <c r="F6113" s="32" t="n">
        <v>6342.044</v>
      </c>
      <c r="K6113" s="32" t="inlineStr">
        <is>
          <t>20250514-33</t>
        </is>
      </c>
    </row>
    <row r="6114">
      <c r="A6114" s="32" t="n">
        <v>23</v>
      </c>
      <c r="B6114" s="32" t="inlineStr">
        <is>
          <t>K4-2C</t>
        </is>
      </c>
      <c r="F6114" s="32" t="n">
        <v>5670.457</v>
      </c>
      <c r="K6114" s="32" t="inlineStr">
        <is>
          <t>20250514-34</t>
        </is>
      </c>
    </row>
    <row r="6115">
      <c r="A6115" s="32" t="n">
        <v>24</v>
      </c>
      <c r="B6115" s="32" t="inlineStr">
        <is>
          <t>MeOH</t>
        </is>
      </c>
      <c r="F6115" s="32" t="n">
        <v>29.022</v>
      </c>
      <c r="K6115" s="32" t="inlineStr">
        <is>
          <t>20250514-35</t>
        </is>
      </c>
    </row>
    <row r="6116">
      <c r="A6116" s="32" t="n">
        <v>25</v>
      </c>
      <c r="B6116" s="32" t="inlineStr">
        <is>
          <t>K4-4A</t>
        </is>
      </c>
      <c r="F6116" s="32" t="n">
        <v>6833.038</v>
      </c>
      <c r="K6116" s="32" t="inlineStr">
        <is>
          <t>20250514-36</t>
        </is>
      </c>
    </row>
    <row r="6117">
      <c r="A6117" s="32" t="n">
        <v>26</v>
      </c>
      <c r="B6117" s="32" t="inlineStr">
        <is>
          <t>K4-4B</t>
        </is>
      </c>
      <c r="F6117" s="32" t="n">
        <v>6657.878</v>
      </c>
      <c r="K6117" s="32" t="inlineStr">
        <is>
          <t>20250514-37</t>
        </is>
      </c>
    </row>
    <row r="6118">
      <c r="A6118" s="32" t="n">
        <v>27</v>
      </c>
      <c r="B6118" s="32" t="inlineStr">
        <is>
          <t>K4-4C</t>
        </is>
      </c>
      <c r="D6118" s="32" t="n">
        <v>15.03</v>
      </c>
      <c r="E6118" s="32" t="n">
        <v>4.771</v>
      </c>
      <c r="F6118" s="32" t="n">
        <v>7088.609</v>
      </c>
      <c r="G6118" s="32" t="n">
        <v>45</v>
      </c>
      <c r="H6118" s="32" t="inlineStr">
        <is>
          <t>bb</t>
        </is>
      </c>
      <c r="K6118" s="32" t="inlineStr">
        <is>
          <t>20250514-38</t>
        </is>
      </c>
    </row>
    <row r="6119">
      <c r="A6119" s="32" t="n">
        <v>28</v>
      </c>
      <c r="B6119" s="32" t="inlineStr">
        <is>
          <t>K4-5A</t>
        </is>
      </c>
      <c r="F6119" s="32" t="n">
        <v>6144.051</v>
      </c>
      <c r="K6119" s="32" t="inlineStr">
        <is>
          <t>20250514-39</t>
        </is>
      </c>
    </row>
    <row r="6120">
      <c r="A6120" s="32" t="n">
        <v>29</v>
      </c>
      <c r="B6120" s="32" t="inlineStr">
        <is>
          <t>K4-5B</t>
        </is>
      </c>
      <c r="F6120" s="32" t="n">
        <v>7049.699</v>
      </c>
      <c r="K6120" s="32" t="inlineStr">
        <is>
          <t>20250514-40</t>
        </is>
      </c>
    </row>
    <row r="6121">
      <c r="A6121" s="32" t="n">
        <v>30</v>
      </c>
      <c r="B6121" s="32" t="inlineStr">
        <is>
          <t>K4-5C</t>
        </is>
      </c>
      <c r="F6121" s="32" t="n">
        <v>6959.661</v>
      </c>
      <c r="K6121" s="32" t="inlineStr">
        <is>
          <t>20250514-41</t>
        </is>
      </c>
    </row>
    <row r="6122">
      <c r="A6122" s="32" t="n">
        <v>31</v>
      </c>
      <c r="B6122" s="32" t="inlineStr">
        <is>
          <t>MeOH</t>
        </is>
      </c>
      <c r="D6122" s="32" t="n">
        <v>14.63</v>
      </c>
      <c r="E6122" s="32" t="n">
        <v>34.619</v>
      </c>
      <c r="F6122" s="32" t="n">
        <v>9.802</v>
      </c>
      <c r="G6122" s="32" t="n">
        <v>299</v>
      </c>
      <c r="H6122" s="32" t="inlineStr">
        <is>
          <t>bb</t>
        </is>
      </c>
      <c r="K6122" s="32" t="inlineStr">
        <is>
          <t>20250514-42</t>
        </is>
      </c>
    </row>
    <row r="6123">
      <c r="A6123" s="32" t="n">
        <v>32</v>
      </c>
      <c r="B6123" s="32" t="inlineStr">
        <is>
          <t>K3-1A</t>
        </is>
      </c>
      <c r="F6123" s="32" t="n">
        <v>7924.886</v>
      </c>
      <c r="K6123" s="32" t="inlineStr">
        <is>
          <t>20250514-43</t>
        </is>
      </c>
    </row>
    <row r="6124">
      <c r="A6124" s="32" t="n">
        <v>33</v>
      </c>
      <c r="B6124" s="32" t="inlineStr">
        <is>
          <t>K3-1B</t>
        </is>
      </c>
      <c r="D6124" s="32" t="n">
        <v>14.97</v>
      </c>
      <c r="E6124" s="32" t="n">
        <v>5.564</v>
      </c>
      <c r="F6124" s="32" t="n">
        <v>7716.241</v>
      </c>
      <c r="G6124" s="32" t="n">
        <v>3.658</v>
      </c>
      <c r="H6124" s="32" t="inlineStr">
        <is>
          <t>bb</t>
        </is>
      </c>
      <c r="K6124" s="32" t="inlineStr">
        <is>
          <t>20250514-44</t>
        </is>
      </c>
    </row>
    <row r="6125">
      <c r="A6125" s="32" t="n">
        <v>34</v>
      </c>
      <c r="B6125" s="32" t="inlineStr">
        <is>
          <t>K3-1C</t>
        </is>
      </c>
      <c r="F6125" s="32" t="n">
        <v>9924.281999999999</v>
      </c>
      <c r="K6125" s="32" t="inlineStr">
        <is>
          <t>20250514-45</t>
        </is>
      </c>
    </row>
    <row r="6126">
      <c r="A6126" s="32" t="n">
        <v>35</v>
      </c>
      <c r="B6126" s="32" t="inlineStr">
        <is>
          <t>K3-2A</t>
        </is>
      </c>
      <c r="D6126" s="32" t="n">
        <v>15.46</v>
      </c>
      <c r="E6126" s="32" t="n">
        <v>0.342</v>
      </c>
      <c r="F6126" s="32" t="n">
        <v>8705.263000000001</v>
      </c>
      <c r="G6126" s="32" t="n">
        <v>3</v>
      </c>
      <c r="H6126" s="32" t="inlineStr">
        <is>
          <t>bb</t>
        </is>
      </c>
      <c r="K6126" s="32" t="inlineStr">
        <is>
          <t>20250514-46</t>
        </is>
      </c>
    </row>
    <row r="6127">
      <c r="A6127" s="32" t="n">
        <v>36</v>
      </c>
      <c r="B6127" s="32" t="inlineStr">
        <is>
          <t>K3-2B</t>
        </is>
      </c>
      <c r="D6127" s="32" t="n">
        <v>14.99</v>
      </c>
      <c r="E6127" s="32" t="n">
        <v>18.896</v>
      </c>
      <c r="F6127" s="32" t="n">
        <v>10272.708</v>
      </c>
      <c r="G6127" s="32" t="n">
        <v>6.341</v>
      </c>
      <c r="H6127" s="32" t="inlineStr">
        <is>
          <t>bb</t>
        </is>
      </c>
      <c r="K6127" s="32" t="inlineStr">
        <is>
          <t>20250514-47</t>
        </is>
      </c>
    </row>
    <row r="6128">
      <c r="A6128" s="32" t="n">
        <v>37</v>
      </c>
      <c r="B6128" s="32" t="inlineStr">
        <is>
          <t>K3-2C</t>
        </is>
      </c>
      <c r="F6128" s="32" t="n">
        <v>9101.67</v>
      </c>
      <c r="K6128" s="32" t="inlineStr">
        <is>
          <t>20250514-48</t>
        </is>
      </c>
    </row>
    <row r="6129">
      <c r="A6129" s="32" t="n">
        <v>38</v>
      </c>
      <c r="B6129" s="32" t="inlineStr">
        <is>
          <t>MeOH</t>
        </is>
      </c>
      <c r="D6129" s="32" t="n">
        <v>15.05</v>
      </c>
      <c r="E6129" s="32" t="n">
        <v>0.338</v>
      </c>
      <c r="F6129" s="32" t="n">
        <v>49.931</v>
      </c>
      <c r="G6129" s="32" t="n">
        <v>3</v>
      </c>
      <c r="H6129" s="32" t="inlineStr">
        <is>
          <t>bb</t>
        </is>
      </c>
      <c r="K6129" s="32" t="inlineStr">
        <is>
          <t>20250514-49</t>
        </is>
      </c>
    </row>
    <row r="6130">
      <c r="A6130" s="32" t="n">
        <v>39</v>
      </c>
      <c r="B6130" s="32" t="inlineStr">
        <is>
          <t>K3-3A</t>
        </is>
      </c>
      <c r="F6130" s="32" t="n">
        <v>7404.087</v>
      </c>
      <c r="K6130" s="32" t="inlineStr">
        <is>
          <t>20250514-50</t>
        </is>
      </c>
    </row>
    <row r="6131">
      <c r="A6131" s="32" t="n">
        <v>40</v>
      </c>
      <c r="B6131" s="32" t="inlineStr">
        <is>
          <t>K3-3B</t>
        </is>
      </c>
      <c r="F6131" s="32" t="n">
        <v>9029.706</v>
      </c>
      <c r="K6131" s="32" t="inlineStr">
        <is>
          <t>20250514-51</t>
        </is>
      </c>
    </row>
    <row r="6132">
      <c r="A6132" s="32" t="n">
        <v>41</v>
      </c>
      <c r="B6132" s="32" t="inlineStr">
        <is>
          <t>K3-3C</t>
        </is>
      </c>
      <c r="F6132" s="32" t="n">
        <v>11306.016</v>
      </c>
      <c r="K6132" s="32" t="inlineStr">
        <is>
          <t>20250514-52</t>
        </is>
      </c>
    </row>
    <row r="6133">
      <c r="A6133" s="32" t="n">
        <v>42</v>
      </c>
      <c r="B6133" s="32" t="inlineStr">
        <is>
          <t>K3-4A</t>
        </is>
      </c>
      <c r="D6133" s="32" t="n">
        <v>15.01</v>
      </c>
      <c r="E6133" s="32" t="n">
        <v>31.88</v>
      </c>
      <c r="F6133" s="32" t="n">
        <v>11134.384</v>
      </c>
      <c r="G6133" s="32" t="n">
        <v>46.343</v>
      </c>
      <c r="H6133" s="32" t="inlineStr">
        <is>
          <t>bb</t>
        </is>
      </c>
      <c r="K6133" s="32" t="inlineStr">
        <is>
          <t>20250514-53</t>
        </is>
      </c>
    </row>
    <row r="6134">
      <c r="A6134" s="32" t="n">
        <v>43</v>
      </c>
      <c r="B6134" s="32" t="inlineStr">
        <is>
          <t>K3-4B</t>
        </is>
      </c>
      <c r="D6134" s="32" t="n">
        <v>14.42</v>
      </c>
      <c r="E6134" s="32" t="n">
        <v>8.632999999999999</v>
      </c>
      <c r="F6134" s="32" t="n">
        <v>10911.239</v>
      </c>
      <c r="G6134" s="32" t="n">
        <v>80</v>
      </c>
      <c r="H6134" s="32" t="inlineStr">
        <is>
          <t>bb</t>
        </is>
      </c>
      <c r="K6134" s="32" t="inlineStr">
        <is>
          <t>20250514-54</t>
        </is>
      </c>
    </row>
    <row r="6135">
      <c r="A6135" s="32" t="n">
        <v>44</v>
      </c>
      <c r="B6135" s="32" t="inlineStr">
        <is>
          <t>K3-4C</t>
        </is>
      </c>
      <c r="D6135" s="32" t="n">
        <v>15.16</v>
      </c>
      <c r="E6135" s="32" t="n">
        <v>24.231</v>
      </c>
      <c r="F6135" s="32" t="n">
        <v>11597.902</v>
      </c>
      <c r="G6135" s="32" t="n">
        <v>227</v>
      </c>
      <c r="H6135" s="32" t="inlineStr">
        <is>
          <t>bb</t>
        </is>
      </c>
      <c r="K6135" s="32" t="inlineStr">
        <is>
          <t>20250514-55</t>
        </is>
      </c>
    </row>
    <row r="6136">
      <c r="A6136" s="32" t="n">
        <v>45</v>
      </c>
      <c r="B6136" s="32" t="inlineStr">
        <is>
          <t>MeOH</t>
        </is>
      </c>
      <c r="D6136" s="32" t="n">
        <v>15.14</v>
      </c>
      <c r="E6136" s="32" t="n">
        <v>33.769</v>
      </c>
      <c r="F6136" s="32" t="n">
        <v>91.232</v>
      </c>
      <c r="G6136" s="32" t="n">
        <v>314</v>
      </c>
      <c r="H6136" s="32" t="inlineStr">
        <is>
          <t>bb</t>
        </is>
      </c>
      <c r="K6136" s="32" t="inlineStr">
        <is>
          <t>20250514-56</t>
        </is>
      </c>
    </row>
    <row r="6137">
      <c r="A6137" s="32" t="n">
        <v>46</v>
      </c>
      <c r="B6137" s="32" t="inlineStr">
        <is>
          <t>K3-6A</t>
        </is>
      </c>
      <c r="F6137" s="32" t="n">
        <v>10155.364</v>
      </c>
      <c r="K6137" s="32" t="inlineStr">
        <is>
          <t>20250514-57</t>
        </is>
      </c>
    </row>
    <row r="6138">
      <c r="A6138" s="32" t="n">
        <v>47</v>
      </c>
      <c r="B6138" s="32" t="inlineStr">
        <is>
          <t>K3-6B</t>
        </is>
      </c>
      <c r="F6138" s="32" t="n">
        <v>8694.888999999999</v>
      </c>
      <c r="K6138" s="32" t="inlineStr">
        <is>
          <t>20250514-58</t>
        </is>
      </c>
    </row>
    <row r="6139">
      <c r="A6139" s="32" t="n">
        <v>48</v>
      </c>
      <c r="B6139" s="32" t="inlineStr">
        <is>
          <t>K3-6C</t>
        </is>
      </c>
      <c r="D6139" s="32" t="n">
        <v>15.26</v>
      </c>
      <c r="E6139" s="32" t="n">
        <v>1.447</v>
      </c>
      <c r="F6139" s="32" t="n">
        <v>7357.528</v>
      </c>
      <c r="G6139" s="32" t="n">
        <v>12</v>
      </c>
      <c r="H6139" s="32" t="inlineStr">
        <is>
          <t>bb</t>
        </is>
      </c>
      <c r="K6139" s="32" t="inlineStr">
        <is>
          <t>20250514-59</t>
        </is>
      </c>
    </row>
    <row r="6141">
      <c r="A6141" s="32" t="inlineStr">
        <is>
          <t>Compound 119:  m5 N-EtFOSAA 1</t>
        </is>
      </c>
    </row>
    <row r="6143">
      <c r="B6143" s="32" t="inlineStr">
        <is>
          <t>Sample Text</t>
        </is>
      </c>
      <c r="C6143" s="32" t="inlineStr">
        <is>
          <t>Std. Conc</t>
        </is>
      </c>
      <c r="D6143" s="32" t="inlineStr">
        <is>
          <t>RT</t>
        </is>
      </c>
      <c r="E6143" s="32" t="inlineStr">
        <is>
          <t>Area</t>
        </is>
      </c>
      <c r="F6143" s="32" t="inlineStr">
        <is>
          <t>IS Area</t>
        </is>
      </c>
      <c r="G6143" s="32" t="inlineStr">
        <is>
          <t>S/N</t>
        </is>
      </c>
      <c r="H6143" s="32" t="inlineStr">
        <is>
          <t>Primary Flags</t>
        </is>
      </c>
      <c r="I6143" s="32" t="inlineStr">
        <is>
          <t>Response</t>
        </is>
      </c>
      <c r="J6143" s="32" t="inlineStr">
        <is>
          <t>Conc.</t>
        </is>
      </c>
      <c r="K6143" s="32" t="inlineStr">
        <is>
          <t>Name</t>
        </is>
      </c>
    </row>
    <row r="6144">
      <c r="A6144" s="32" t="n">
        <v>1</v>
      </c>
      <c r="B6144" s="32" t="inlineStr">
        <is>
          <t>EPA1633 &amp; diPAPs Calibration 0 ppb</t>
        </is>
      </c>
      <c r="D6144" s="32" t="n">
        <v>14.88</v>
      </c>
      <c r="E6144" s="32" t="n">
        <v>65057.813</v>
      </c>
      <c r="G6144" s="32" t="n">
        <v>1164.623</v>
      </c>
      <c r="H6144" s="32" t="inlineStr">
        <is>
          <t>bb</t>
        </is>
      </c>
      <c r="I6144" s="32" t="n">
        <v>65057.813</v>
      </c>
      <c r="K6144" s="32" t="inlineStr">
        <is>
          <t>20250514-12</t>
        </is>
      </c>
    </row>
    <row r="6145">
      <c r="A6145" s="32" t="n">
        <v>2</v>
      </c>
      <c r="B6145" s="32" t="inlineStr">
        <is>
          <t>EPA1633 &amp; diPAPs Calibration 0.02 ppb</t>
        </is>
      </c>
      <c r="D6145" s="32" t="n">
        <v>14.89</v>
      </c>
      <c r="E6145" s="32" t="n">
        <v>57750.676</v>
      </c>
      <c r="G6145" s="32" t="n">
        <v>569.135</v>
      </c>
      <c r="H6145" s="32" t="inlineStr">
        <is>
          <t>bb</t>
        </is>
      </c>
      <c r="I6145" s="32" t="n">
        <v>57750.676</v>
      </c>
      <c r="K6145" s="32" t="inlineStr">
        <is>
          <t>20250514-13</t>
        </is>
      </c>
    </row>
    <row r="6146">
      <c r="A6146" s="32" t="n">
        <v>3</v>
      </c>
      <c r="B6146" s="32" t="inlineStr">
        <is>
          <t>EPA1633 &amp; diPAPs Calibration 0.1 ppb</t>
        </is>
      </c>
      <c r="D6146" s="32" t="n">
        <v>14.89</v>
      </c>
      <c r="E6146" s="32" t="n">
        <v>59400.441</v>
      </c>
      <c r="G6146" s="32" t="n">
        <v>795.809</v>
      </c>
      <c r="H6146" s="32" t="inlineStr">
        <is>
          <t>bb</t>
        </is>
      </c>
      <c r="I6146" s="32" t="n">
        <v>59400.441</v>
      </c>
      <c r="K6146" s="32" t="inlineStr">
        <is>
          <t>20250514-14</t>
        </is>
      </c>
    </row>
    <row r="6147">
      <c r="A6147" s="32" t="n">
        <v>4</v>
      </c>
      <c r="B6147" s="32" t="inlineStr">
        <is>
          <t>EPA1633 &amp; diPAPs Calibration 0.4 ppb</t>
        </is>
      </c>
      <c r="D6147" s="32" t="n">
        <v>14.91</v>
      </c>
      <c r="E6147" s="32" t="n">
        <v>50625.988</v>
      </c>
      <c r="G6147" s="32" t="n">
        <v>1163.925</v>
      </c>
      <c r="H6147" s="32" t="inlineStr">
        <is>
          <t>bb</t>
        </is>
      </c>
      <c r="I6147" s="32" t="n">
        <v>50625.988</v>
      </c>
      <c r="K6147" s="32" t="inlineStr">
        <is>
          <t>20250514-15</t>
        </is>
      </c>
    </row>
    <row r="6148">
      <c r="A6148" s="32" t="n">
        <v>5</v>
      </c>
      <c r="B6148" s="32" t="inlineStr">
        <is>
          <t>EPA1633 &amp; diPAPs Calibration 1 ppb</t>
        </is>
      </c>
      <c r="D6148" s="32" t="n">
        <v>14.89</v>
      </c>
      <c r="E6148" s="32" t="n">
        <v>60298.527</v>
      </c>
      <c r="G6148" s="32" t="n">
        <v>1980.374</v>
      </c>
      <c r="H6148" s="32" t="inlineStr">
        <is>
          <t>bb</t>
        </is>
      </c>
      <c r="I6148" s="32" t="n">
        <v>60298.527</v>
      </c>
      <c r="K6148" s="32" t="inlineStr">
        <is>
          <t>20250514-16</t>
        </is>
      </c>
    </row>
    <row r="6149">
      <c r="A6149" s="32" t="n">
        <v>6</v>
      </c>
      <c r="B6149" s="32" t="inlineStr">
        <is>
          <t>EPA1633 &amp; diPAPs Calibration 5 ppb</t>
        </is>
      </c>
      <c r="D6149" s="32" t="n">
        <v>14.86</v>
      </c>
      <c r="E6149" s="32" t="n">
        <v>51469.859</v>
      </c>
      <c r="G6149" s="32" t="n">
        <v>112.995</v>
      </c>
      <c r="H6149" s="32" t="inlineStr">
        <is>
          <t>bb</t>
        </is>
      </c>
      <c r="I6149" s="32" t="n">
        <v>51469.859</v>
      </c>
      <c r="K6149" s="32" t="inlineStr">
        <is>
          <t>20250514-17</t>
        </is>
      </c>
    </row>
    <row r="6150">
      <c r="A6150" s="32" t="n">
        <v>7</v>
      </c>
      <c r="B6150" s="32" t="inlineStr">
        <is>
          <t>EPA1633 &amp; diPAPs Calibration 10 ppb</t>
        </is>
      </c>
      <c r="D6150" s="32" t="n">
        <v>14.88</v>
      </c>
      <c r="E6150" s="32" t="n">
        <v>41948.844</v>
      </c>
      <c r="G6150" s="32" t="n">
        <v>2489.333</v>
      </c>
      <c r="H6150" s="32" t="inlineStr">
        <is>
          <t>bb</t>
        </is>
      </c>
      <c r="I6150" s="32" t="n">
        <v>41948.844</v>
      </c>
      <c r="K6150" s="32" t="inlineStr">
        <is>
          <t>20250514-18</t>
        </is>
      </c>
    </row>
    <row r="6151">
      <c r="A6151" s="32" t="n">
        <v>8</v>
      </c>
      <c r="B6151" s="32" t="inlineStr">
        <is>
          <t>EPA1633 &amp; diPAPs Calibration 20 ppb</t>
        </is>
      </c>
      <c r="D6151" s="32" t="n">
        <v>14.89</v>
      </c>
      <c r="E6151" s="32" t="n">
        <v>45131.258</v>
      </c>
      <c r="G6151" s="32" t="n">
        <v>723.649</v>
      </c>
      <c r="H6151" s="32" t="inlineStr">
        <is>
          <t>bb</t>
        </is>
      </c>
      <c r="I6151" s="32" t="n">
        <v>45131.258</v>
      </c>
      <c r="K6151" s="32" t="inlineStr">
        <is>
          <t>20250514-19</t>
        </is>
      </c>
    </row>
    <row r="6152">
      <c r="A6152" s="32" t="n">
        <v>9</v>
      </c>
      <c r="B6152" s="32" t="inlineStr">
        <is>
          <t>MeOH</t>
        </is>
      </c>
      <c r="D6152" s="32" t="n">
        <v>14.89</v>
      </c>
      <c r="E6152" s="32" t="n">
        <v>64.01600000000001</v>
      </c>
      <c r="G6152" s="32" t="n">
        <v>453</v>
      </c>
      <c r="H6152" s="32" t="inlineStr">
        <is>
          <t>bb</t>
        </is>
      </c>
      <c r="I6152" s="32" t="n">
        <v>64.01600000000001</v>
      </c>
      <c r="K6152" s="32" t="inlineStr">
        <is>
          <t>20250514-20</t>
        </is>
      </c>
    </row>
    <row r="6153">
      <c r="A6153" s="32" t="n">
        <v>10</v>
      </c>
      <c r="B6153" s="32" t="inlineStr">
        <is>
          <t>MeOH</t>
        </is>
      </c>
      <c r="D6153" s="32" t="n">
        <v>14.93</v>
      </c>
      <c r="E6153" s="32" t="n">
        <v>14.842</v>
      </c>
      <c r="G6153" s="32" t="n">
        <v>125</v>
      </c>
      <c r="H6153" s="32" t="inlineStr">
        <is>
          <t>bb</t>
        </is>
      </c>
      <c r="I6153" s="32" t="n">
        <v>14.842</v>
      </c>
      <c r="K6153" s="32" t="inlineStr">
        <is>
          <t>20250514-21</t>
        </is>
      </c>
    </row>
    <row r="6154">
      <c r="A6154" s="32" t="n">
        <v>11</v>
      </c>
      <c r="B6154" s="32" t="inlineStr">
        <is>
          <t>SB1</t>
        </is>
      </c>
      <c r="D6154" s="32" t="n">
        <v>14.93</v>
      </c>
      <c r="E6154" s="32" t="n">
        <v>19023.547</v>
      </c>
      <c r="G6154" s="32" t="n">
        <v>388.656</v>
      </c>
      <c r="H6154" s="32" t="inlineStr">
        <is>
          <t>bb</t>
        </is>
      </c>
      <c r="I6154" s="32" t="n">
        <v>19023.547</v>
      </c>
      <c r="K6154" s="32" t="inlineStr">
        <is>
          <t>20250514-22</t>
        </is>
      </c>
    </row>
    <row r="6155">
      <c r="A6155" s="32" t="n">
        <v>12</v>
      </c>
      <c r="B6155" s="32" t="inlineStr">
        <is>
          <t>SB2</t>
        </is>
      </c>
      <c r="D6155" s="32" t="n">
        <v>14.93</v>
      </c>
      <c r="E6155" s="32" t="n">
        <v>19876.041</v>
      </c>
      <c r="G6155" s="32" t="n">
        <v>244.967</v>
      </c>
      <c r="H6155" s="32" t="inlineStr">
        <is>
          <t>bb</t>
        </is>
      </c>
      <c r="I6155" s="32" t="n">
        <v>19876.041</v>
      </c>
      <c r="K6155" s="32" t="inlineStr">
        <is>
          <t>20250514-23</t>
        </is>
      </c>
    </row>
    <row r="6156">
      <c r="A6156" s="32" t="n">
        <v>13</v>
      </c>
      <c r="B6156" s="32" t="inlineStr">
        <is>
          <t>SB3</t>
        </is>
      </c>
      <c r="D6156" s="32" t="n">
        <v>14.93</v>
      </c>
      <c r="E6156" s="32" t="n">
        <v>19622.186</v>
      </c>
      <c r="G6156" s="32" t="n">
        <v>574.504</v>
      </c>
      <c r="H6156" s="32" t="inlineStr">
        <is>
          <t>bb</t>
        </is>
      </c>
      <c r="I6156" s="32" t="n">
        <v>19622.186</v>
      </c>
      <c r="K6156" s="32" t="inlineStr">
        <is>
          <t>20250514-24</t>
        </is>
      </c>
    </row>
    <row r="6157">
      <c r="A6157" s="32" t="n">
        <v>14</v>
      </c>
      <c r="B6157" s="32" t="inlineStr">
        <is>
          <t>SS1</t>
        </is>
      </c>
      <c r="D6157" s="32" t="n">
        <v>14.94</v>
      </c>
      <c r="E6157" s="32" t="n">
        <v>19773.83</v>
      </c>
      <c r="G6157" s="32" t="n">
        <v>651.681</v>
      </c>
      <c r="H6157" s="32" t="inlineStr">
        <is>
          <t>bb</t>
        </is>
      </c>
      <c r="I6157" s="32" t="n">
        <v>19773.83</v>
      </c>
      <c r="K6157" s="32" t="inlineStr">
        <is>
          <t>20250514-25</t>
        </is>
      </c>
    </row>
    <row r="6158">
      <c r="A6158" s="32" t="n">
        <v>15</v>
      </c>
      <c r="B6158" s="32" t="inlineStr">
        <is>
          <t>SS2</t>
        </is>
      </c>
      <c r="D6158" s="32" t="n">
        <v>14.96</v>
      </c>
      <c r="E6158" s="32" t="n">
        <v>21252.592</v>
      </c>
      <c r="G6158" s="32" t="n">
        <v>747.787</v>
      </c>
      <c r="H6158" s="32" t="inlineStr">
        <is>
          <t>bb</t>
        </is>
      </c>
      <c r="I6158" s="32" t="n">
        <v>21252.592</v>
      </c>
      <c r="K6158" s="32" t="inlineStr">
        <is>
          <t>20250514-26</t>
        </is>
      </c>
    </row>
    <row r="6159">
      <c r="A6159" s="32" t="n">
        <v>16</v>
      </c>
      <c r="B6159" s="32" t="inlineStr">
        <is>
          <t>SS3</t>
        </is>
      </c>
      <c r="D6159" s="32" t="n">
        <v>14.97</v>
      </c>
      <c r="E6159" s="32" t="n">
        <v>19102.932</v>
      </c>
      <c r="G6159" s="32" t="n">
        <v>90.119</v>
      </c>
      <c r="H6159" s="32" t="inlineStr">
        <is>
          <t>bb</t>
        </is>
      </c>
      <c r="I6159" s="32" t="n">
        <v>19102.932</v>
      </c>
      <c r="K6159" s="32" t="inlineStr">
        <is>
          <t>20250514-27</t>
        </is>
      </c>
    </row>
    <row r="6160">
      <c r="A6160" s="32" t="n">
        <v>17</v>
      </c>
      <c r="B6160" s="32" t="inlineStr">
        <is>
          <t>MeOH</t>
        </is>
      </c>
      <c r="D6160" s="32" t="n">
        <v>14.99</v>
      </c>
      <c r="E6160" s="32" t="n">
        <v>103.657</v>
      </c>
      <c r="G6160" s="32" t="n">
        <v>690</v>
      </c>
      <c r="H6160" s="32" t="inlineStr">
        <is>
          <t>bb</t>
        </is>
      </c>
      <c r="I6160" s="32" t="n">
        <v>103.657</v>
      </c>
      <c r="K6160" s="32" t="inlineStr">
        <is>
          <t>20250514-28</t>
        </is>
      </c>
    </row>
    <row r="6161">
      <c r="A6161" s="32" t="n">
        <v>18</v>
      </c>
      <c r="B6161" s="32" t="inlineStr">
        <is>
          <t>K4-1A</t>
        </is>
      </c>
      <c r="D6161" s="32" t="n">
        <v>14.97</v>
      </c>
      <c r="E6161" s="32" t="n">
        <v>23639.141</v>
      </c>
      <c r="G6161" s="32" t="n">
        <v>162.39</v>
      </c>
      <c r="H6161" s="32" t="inlineStr">
        <is>
          <t>bb</t>
        </is>
      </c>
      <c r="I6161" s="32" t="n">
        <v>23639.141</v>
      </c>
      <c r="K6161" s="32" t="inlineStr">
        <is>
          <t>20250514-29</t>
        </is>
      </c>
    </row>
    <row r="6162">
      <c r="A6162" s="32" t="n">
        <v>19</v>
      </c>
      <c r="B6162" s="32" t="inlineStr">
        <is>
          <t>K4-1B</t>
        </is>
      </c>
      <c r="D6162" s="32" t="n">
        <v>14.97</v>
      </c>
      <c r="E6162" s="32" t="n">
        <v>22105.367</v>
      </c>
      <c r="G6162" s="32" t="n">
        <v>386.974</v>
      </c>
      <c r="H6162" s="32" t="inlineStr">
        <is>
          <t>bb</t>
        </is>
      </c>
      <c r="I6162" s="32" t="n">
        <v>22105.367</v>
      </c>
      <c r="K6162" s="32" t="inlineStr">
        <is>
          <t>20250514-30</t>
        </is>
      </c>
    </row>
    <row r="6163">
      <c r="A6163" s="32" t="n">
        <v>20</v>
      </c>
      <c r="B6163" s="32" t="inlineStr">
        <is>
          <t>K4-1C</t>
        </is>
      </c>
      <c r="D6163" s="32" t="n">
        <v>14.99</v>
      </c>
      <c r="E6163" s="32" t="n">
        <v>21073.406</v>
      </c>
      <c r="G6163" s="32" t="n">
        <v>300.505</v>
      </c>
      <c r="H6163" s="32" t="inlineStr">
        <is>
          <t>bb</t>
        </is>
      </c>
      <c r="I6163" s="32" t="n">
        <v>21073.406</v>
      </c>
      <c r="K6163" s="32" t="inlineStr">
        <is>
          <t>20250514-31</t>
        </is>
      </c>
    </row>
    <row r="6164">
      <c r="A6164" s="32" t="n">
        <v>21</v>
      </c>
      <c r="B6164" s="32" t="inlineStr">
        <is>
          <t>K4-2A</t>
        </is>
      </c>
      <c r="D6164" s="32" t="n">
        <v>14.99</v>
      </c>
      <c r="E6164" s="32" t="n">
        <v>22198.574</v>
      </c>
      <c r="G6164" s="32" t="n">
        <v>644.921</v>
      </c>
      <c r="H6164" s="32" t="inlineStr">
        <is>
          <t>bb</t>
        </is>
      </c>
      <c r="I6164" s="32" t="n">
        <v>22198.574</v>
      </c>
      <c r="K6164" s="32" t="inlineStr">
        <is>
          <t>20250514-32</t>
        </is>
      </c>
    </row>
    <row r="6165">
      <c r="A6165" s="32" t="n">
        <v>22</v>
      </c>
      <c r="B6165" s="32" t="inlineStr">
        <is>
          <t>K4-2B</t>
        </is>
      </c>
      <c r="D6165" s="32" t="n">
        <v>14.99</v>
      </c>
      <c r="E6165" s="32" t="n">
        <v>19047.846</v>
      </c>
      <c r="G6165" s="32" t="n">
        <v>203.693</v>
      </c>
      <c r="H6165" s="32" t="inlineStr">
        <is>
          <t>bb</t>
        </is>
      </c>
      <c r="I6165" s="32" t="n">
        <v>19047.846</v>
      </c>
      <c r="K6165" s="32" t="inlineStr">
        <is>
          <t>20250514-33</t>
        </is>
      </c>
    </row>
    <row r="6166">
      <c r="A6166" s="32" t="n">
        <v>23</v>
      </c>
      <c r="B6166" s="32" t="inlineStr">
        <is>
          <t>K4-2C</t>
        </is>
      </c>
      <c r="D6166" s="32" t="n">
        <v>15.01</v>
      </c>
      <c r="E6166" s="32" t="n">
        <v>17391.42</v>
      </c>
      <c r="G6166" s="32" t="n">
        <v>104353</v>
      </c>
      <c r="H6166" s="32" t="inlineStr">
        <is>
          <t>bb</t>
        </is>
      </c>
      <c r="I6166" s="32" t="n">
        <v>17391.42</v>
      </c>
      <c r="K6166" s="32" t="inlineStr">
        <is>
          <t>20250514-34</t>
        </is>
      </c>
    </row>
    <row r="6167">
      <c r="A6167" s="32" t="n">
        <v>24</v>
      </c>
      <c r="B6167" s="32" t="inlineStr">
        <is>
          <t>MeOH</t>
        </is>
      </c>
      <c r="D6167" s="32" t="n">
        <v>14.99</v>
      </c>
      <c r="E6167" s="32" t="n">
        <v>176.435</v>
      </c>
      <c r="G6167" s="32" t="n">
        <v>12.713</v>
      </c>
      <c r="H6167" s="32" t="inlineStr">
        <is>
          <t>bb</t>
        </is>
      </c>
      <c r="I6167" s="32" t="n">
        <v>176.435</v>
      </c>
      <c r="K6167" s="32" t="inlineStr">
        <is>
          <t>20250514-35</t>
        </is>
      </c>
    </row>
    <row r="6168">
      <c r="A6168" s="32" t="n">
        <v>25</v>
      </c>
      <c r="B6168" s="32" t="inlineStr">
        <is>
          <t>K4-4A</t>
        </is>
      </c>
      <c r="D6168" s="32" t="n">
        <v>15.02</v>
      </c>
      <c r="E6168" s="32" t="n">
        <v>23917.184</v>
      </c>
      <c r="G6168" s="32" t="n">
        <v>313.424</v>
      </c>
      <c r="H6168" s="32" t="inlineStr">
        <is>
          <t>bb</t>
        </is>
      </c>
      <c r="I6168" s="32" t="n">
        <v>23917.184</v>
      </c>
      <c r="K6168" s="32" t="inlineStr">
        <is>
          <t>20250514-36</t>
        </is>
      </c>
    </row>
    <row r="6169">
      <c r="A6169" s="32" t="n">
        <v>26</v>
      </c>
      <c r="B6169" s="32" t="inlineStr">
        <is>
          <t>K4-4B</t>
        </is>
      </c>
      <c r="D6169" s="32" t="n">
        <v>15.02</v>
      </c>
      <c r="E6169" s="32" t="n">
        <v>21871.559</v>
      </c>
      <c r="G6169" s="32" t="n">
        <v>222.776</v>
      </c>
      <c r="H6169" s="32" t="inlineStr">
        <is>
          <t>bb</t>
        </is>
      </c>
      <c r="I6169" s="32" t="n">
        <v>21871.559</v>
      </c>
      <c r="K6169" s="32" t="inlineStr">
        <is>
          <t>20250514-37</t>
        </is>
      </c>
    </row>
    <row r="6170">
      <c r="A6170" s="32" t="n">
        <v>27</v>
      </c>
      <c r="B6170" s="32" t="inlineStr">
        <is>
          <t>K4-4C</t>
        </is>
      </c>
      <c r="D6170" s="32" t="n">
        <v>15.02</v>
      </c>
      <c r="E6170" s="32" t="n">
        <v>25710.891</v>
      </c>
      <c r="G6170" s="32" t="n">
        <v>421.061</v>
      </c>
      <c r="H6170" s="32" t="inlineStr">
        <is>
          <t>bb</t>
        </is>
      </c>
      <c r="I6170" s="32" t="n">
        <v>25710.891</v>
      </c>
      <c r="K6170" s="32" t="inlineStr">
        <is>
          <t>20250514-38</t>
        </is>
      </c>
    </row>
    <row r="6171">
      <c r="A6171" s="32" t="n">
        <v>28</v>
      </c>
      <c r="B6171" s="32" t="inlineStr">
        <is>
          <t>K4-5A</t>
        </is>
      </c>
      <c r="D6171" s="32" t="n">
        <v>15.01</v>
      </c>
      <c r="E6171" s="32" t="n">
        <v>21448.361</v>
      </c>
      <c r="G6171" s="32" t="n">
        <v>373.878</v>
      </c>
      <c r="H6171" s="32" t="inlineStr">
        <is>
          <t>bb</t>
        </is>
      </c>
      <c r="I6171" s="32" t="n">
        <v>21448.361</v>
      </c>
      <c r="K6171" s="32" t="inlineStr">
        <is>
          <t>20250514-39</t>
        </is>
      </c>
    </row>
    <row r="6172">
      <c r="A6172" s="32" t="n">
        <v>29</v>
      </c>
      <c r="B6172" s="32" t="inlineStr">
        <is>
          <t>K4-5B</t>
        </is>
      </c>
      <c r="D6172" s="32" t="n">
        <v>14.99</v>
      </c>
      <c r="E6172" s="32" t="n">
        <v>22339.35</v>
      </c>
      <c r="G6172" s="32" t="n">
        <v>242.256</v>
      </c>
      <c r="H6172" s="32" t="inlineStr">
        <is>
          <t>bb</t>
        </is>
      </c>
      <c r="I6172" s="32" t="n">
        <v>22339.35</v>
      </c>
      <c r="K6172" s="32" t="inlineStr">
        <is>
          <t>20250514-40</t>
        </is>
      </c>
    </row>
    <row r="6173">
      <c r="A6173" s="32" t="n">
        <v>30</v>
      </c>
      <c r="B6173" s="32" t="inlineStr">
        <is>
          <t>K4-5C</t>
        </is>
      </c>
      <c r="D6173" s="32" t="n">
        <v>14.93</v>
      </c>
      <c r="E6173" s="32" t="n">
        <v>21963.625</v>
      </c>
      <c r="G6173" s="32" t="n">
        <v>410.357</v>
      </c>
      <c r="H6173" s="32" t="inlineStr">
        <is>
          <t>bb</t>
        </is>
      </c>
      <c r="I6173" s="32" t="n">
        <v>21963.625</v>
      </c>
      <c r="K6173" s="32" t="inlineStr">
        <is>
          <t>20250514-41</t>
        </is>
      </c>
    </row>
    <row r="6174">
      <c r="A6174" s="32" t="n">
        <v>31</v>
      </c>
      <c r="B6174" s="32" t="inlineStr">
        <is>
          <t>MeOH</t>
        </is>
      </c>
      <c r="D6174" s="32" t="n">
        <v>14.85</v>
      </c>
      <c r="E6174" s="32" t="n">
        <v>162.657</v>
      </c>
      <c r="G6174" s="32" t="n">
        <v>1317</v>
      </c>
      <c r="H6174" s="32" t="inlineStr">
        <is>
          <t>bb</t>
        </is>
      </c>
      <c r="I6174" s="32" t="n">
        <v>162.657</v>
      </c>
      <c r="K6174" s="32" t="inlineStr">
        <is>
          <t>20250514-42</t>
        </is>
      </c>
    </row>
    <row r="6175">
      <c r="A6175" s="32" t="n">
        <v>32</v>
      </c>
      <c r="B6175" s="32" t="inlineStr">
        <is>
          <t>K3-1A</t>
        </is>
      </c>
      <c r="D6175" s="32" t="n">
        <v>14.89</v>
      </c>
      <c r="E6175" s="32" t="n">
        <v>25588.145</v>
      </c>
      <c r="G6175" s="32" t="n">
        <v>449.293</v>
      </c>
      <c r="H6175" s="32" t="inlineStr">
        <is>
          <t>bb</t>
        </is>
      </c>
      <c r="I6175" s="32" t="n">
        <v>25588.145</v>
      </c>
      <c r="K6175" s="32" t="inlineStr">
        <is>
          <t>20250514-43</t>
        </is>
      </c>
    </row>
    <row r="6176">
      <c r="A6176" s="32" t="n">
        <v>33</v>
      </c>
      <c r="B6176" s="32" t="inlineStr">
        <is>
          <t>K3-1B</t>
        </is>
      </c>
      <c r="D6176" s="32" t="n">
        <v>14.91</v>
      </c>
      <c r="E6176" s="32" t="n">
        <v>23743.408</v>
      </c>
      <c r="G6176" s="32" t="n">
        <v>141673</v>
      </c>
      <c r="H6176" s="32" t="inlineStr">
        <is>
          <t>bb</t>
        </is>
      </c>
      <c r="I6176" s="32" t="n">
        <v>23743.408</v>
      </c>
      <c r="K6176" s="32" t="inlineStr">
        <is>
          <t>20250514-44</t>
        </is>
      </c>
    </row>
    <row r="6177">
      <c r="A6177" s="32" t="n">
        <v>34</v>
      </c>
      <c r="B6177" s="32" t="inlineStr">
        <is>
          <t>K3-1C</t>
        </is>
      </c>
      <c r="D6177" s="32" t="n">
        <v>14.94</v>
      </c>
      <c r="E6177" s="32" t="n">
        <v>31354.984</v>
      </c>
      <c r="G6177" s="32" t="n">
        <v>1364.928</v>
      </c>
      <c r="H6177" s="32" t="inlineStr">
        <is>
          <t>bb</t>
        </is>
      </c>
      <c r="I6177" s="32" t="n">
        <v>31354.984</v>
      </c>
      <c r="K6177" s="32" t="inlineStr">
        <is>
          <t>20250514-45</t>
        </is>
      </c>
    </row>
    <row r="6178">
      <c r="A6178" s="32" t="n">
        <v>35</v>
      </c>
      <c r="B6178" s="32" t="inlineStr">
        <is>
          <t>K3-2A</t>
        </is>
      </c>
      <c r="D6178" s="32" t="n">
        <v>14.96</v>
      </c>
      <c r="E6178" s="32" t="n">
        <v>28332.404</v>
      </c>
      <c r="G6178" s="32" t="n">
        <v>176014</v>
      </c>
      <c r="H6178" s="32" t="inlineStr">
        <is>
          <t>bb</t>
        </is>
      </c>
      <c r="I6178" s="32" t="n">
        <v>28332.404</v>
      </c>
      <c r="K6178" s="32" t="inlineStr">
        <is>
          <t>20250514-46</t>
        </is>
      </c>
    </row>
    <row r="6179">
      <c r="A6179" s="32" t="n">
        <v>36</v>
      </c>
      <c r="B6179" s="32" t="inlineStr">
        <is>
          <t>K3-2B</t>
        </is>
      </c>
      <c r="D6179" s="32" t="n">
        <v>14.96</v>
      </c>
      <c r="E6179" s="32" t="n">
        <v>33095.668</v>
      </c>
      <c r="G6179" s="32" t="n">
        <v>1405.118</v>
      </c>
      <c r="H6179" s="32" t="inlineStr">
        <is>
          <t>bb</t>
        </is>
      </c>
      <c r="I6179" s="32" t="n">
        <v>33095.668</v>
      </c>
      <c r="K6179" s="32" t="inlineStr">
        <is>
          <t>20250514-47</t>
        </is>
      </c>
    </row>
    <row r="6180">
      <c r="A6180" s="32" t="n">
        <v>37</v>
      </c>
      <c r="B6180" s="32" t="inlineStr">
        <is>
          <t>K3-2C</t>
        </is>
      </c>
      <c r="D6180" s="32" t="n">
        <v>14.96</v>
      </c>
      <c r="E6180" s="32" t="n">
        <v>28664.4</v>
      </c>
      <c r="G6180" s="32" t="n">
        <v>62.062</v>
      </c>
      <c r="H6180" s="32" t="inlineStr">
        <is>
          <t>bb</t>
        </is>
      </c>
      <c r="I6180" s="32" t="n">
        <v>28664.4</v>
      </c>
      <c r="K6180" s="32" t="inlineStr">
        <is>
          <t>20250514-48</t>
        </is>
      </c>
    </row>
    <row r="6181">
      <c r="A6181" s="32" t="n">
        <v>38</v>
      </c>
      <c r="B6181" s="32" t="inlineStr">
        <is>
          <t>MeOH</t>
        </is>
      </c>
      <c r="D6181" s="32" t="n">
        <v>14.99</v>
      </c>
      <c r="E6181" s="32" t="n">
        <v>86.83799999999999</v>
      </c>
      <c r="G6181" s="32" t="n">
        <v>6.73</v>
      </c>
      <c r="H6181" s="32" t="inlineStr">
        <is>
          <t>bb</t>
        </is>
      </c>
      <c r="I6181" s="32" t="n">
        <v>86.83799999999999</v>
      </c>
      <c r="K6181" s="32" t="inlineStr">
        <is>
          <t>20250514-49</t>
        </is>
      </c>
    </row>
    <row r="6182">
      <c r="A6182" s="32" t="n">
        <v>39</v>
      </c>
      <c r="B6182" s="32" t="inlineStr">
        <is>
          <t>K3-3A</t>
        </is>
      </c>
      <c r="D6182" s="32" t="n">
        <v>14.97</v>
      </c>
      <c r="E6182" s="32" t="n">
        <v>23955.172</v>
      </c>
      <c r="G6182" s="32" t="n">
        <v>95.688</v>
      </c>
      <c r="H6182" s="32" t="inlineStr">
        <is>
          <t>bb</t>
        </is>
      </c>
      <c r="I6182" s="32" t="n">
        <v>23955.172</v>
      </c>
      <c r="K6182" s="32" t="inlineStr">
        <is>
          <t>20250514-50</t>
        </is>
      </c>
    </row>
    <row r="6183">
      <c r="A6183" s="32" t="n">
        <v>40</v>
      </c>
      <c r="B6183" s="32" t="inlineStr">
        <is>
          <t>K3-3B</t>
        </is>
      </c>
      <c r="D6183" s="32" t="n">
        <v>14.99</v>
      </c>
      <c r="E6183" s="32" t="n">
        <v>29001.438</v>
      </c>
      <c r="G6183" s="32" t="n">
        <v>933.573</v>
      </c>
      <c r="H6183" s="32" t="inlineStr">
        <is>
          <t>bb</t>
        </is>
      </c>
      <c r="I6183" s="32" t="n">
        <v>29001.438</v>
      </c>
      <c r="K6183" s="32" t="inlineStr">
        <is>
          <t>20250514-51</t>
        </is>
      </c>
    </row>
    <row r="6184">
      <c r="A6184" s="32" t="n">
        <v>41</v>
      </c>
      <c r="B6184" s="32" t="inlineStr">
        <is>
          <t>K3-3C</t>
        </is>
      </c>
      <c r="D6184" s="32" t="n">
        <v>14.99</v>
      </c>
      <c r="E6184" s="32" t="n">
        <v>32934.473</v>
      </c>
      <c r="G6184" s="32" t="n">
        <v>253.224</v>
      </c>
      <c r="H6184" s="32" t="inlineStr">
        <is>
          <t>bb</t>
        </is>
      </c>
      <c r="I6184" s="32" t="n">
        <v>32934.473</v>
      </c>
      <c r="K6184" s="32" t="inlineStr">
        <is>
          <t>20250514-52</t>
        </is>
      </c>
    </row>
    <row r="6185">
      <c r="A6185" s="32" t="n">
        <v>42</v>
      </c>
      <c r="B6185" s="32" t="inlineStr">
        <is>
          <t>K3-4A</t>
        </is>
      </c>
      <c r="D6185" s="32" t="n">
        <v>15.03</v>
      </c>
      <c r="E6185" s="32" t="n">
        <v>36892.102</v>
      </c>
      <c r="G6185" s="32" t="n">
        <v>2449.094</v>
      </c>
      <c r="H6185" s="32" t="inlineStr">
        <is>
          <t>bb</t>
        </is>
      </c>
      <c r="I6185" s="32" t="n">
        <v>36892.102</v>
      </c>
      <c r="K6185" s="32" t="inlineStr">
        <is>
          <t>20250514-53</t>
        </is>
      </c>
    </row>
    <row r="6186">
      <c r="A6186" s="32" t="n">
        <v>43</v>
      </c>
      <c r="B6186" s="32" t="inlineStr">
        <is>
          <t>K3-4B</t>
        </is>
      </c>
      <c r="D6186" s="32" t="n">
        <v>15.02</v>
      </c>
      <c r="E6186" s="32" t="n">
        <v>32473.859</v>
      </c>
      <c r="G6186" s="32" t="n">
        <v>1209.869</v>
      </c>
      <c r="H6186" s="32" t="inlineStr">
        <is>
          <t>bb</t>
        </is>
      </c>
      <c r="I6186" s="32" t="n">
        <v>32473.859</v>
      </c>
      <c r="K6186" s="32" t="inlineStr">
        <is>
          <t>20250514-54</t>
        </is>
      </c>
    </row>
    <row r="6187">
      <c r="A6187" s="32" t="n">
        <v>44</v>
      </c>
      <c r="B6187" s="32" t="inlineStr">
        <is>
          <t>K3-4C</t>
        </is>
      </c>
      <c r="D6187" s="32" t="n">
        <v>15.06</v>
      </c>
      <c r="E6187" s="32" t="n">
        <v>36001.512</v>
      </c>
      <c r="G6187" s="32" t="n">
        <v>2758.06</v>
      </c>
      <c r="H6187" s="32" t="inlineStr">
        <is>
          <t>bb</t>
        </is>
      </c>
      <c r="I6187" s="32" t="n">
        <v>36001.512</v>
      </c>
      <c r="K6187" s="32" t="inlineStr">
        <is>
          <t>20250514-55</t>
        </is>
      </c>
    </row>
    <row r="6188">
      <c r="A6188" s="32" t="n">
        <v>45</v>
      </c>
      <c r="B6188" s="32" t="inlineStr">
        <is>
          <t>MeOH</t>
        </is>
      </c>
      <c r="D6188" s="32" t="n">
        <v>15.07</v>
      </c>
      <c r="E6188" s="32" t="n">
        <v>164.971</v>
      </c>
      <c r="G6188" s="32" t="n">
        <v>1341</v>
      </c>
      <c r="H6188" s="32" t="inlineStr">
        <is>
          <t>bb</t>
        </is>
      </c>
      <c r="I6188" s="32" t="n">
        <v>164.971</v>
      </c>
      <c r="K6188" s="32" t="inlineStr">
        <is>
          <t>20250514-56</t>
        </is>
      </c>
    </row>
    <row r="6189">
      <c r="A6189" s="32" t="n">
        <v>46</v>
      </c>
      <c r="B6189" s="32" t="inlineStr">
        <is>
          <t>K3-6A</t>
        </is>
      </c>
      <c r="D6189" s="32" t="n">
        <v>15.06</v>
      </c>
      <c r="E6189" s="32" t="n">
        <v>33347.133</v>
      </c>
      <c r="G6189" s="32" t="n">
        <v>1079.285</v>
      </c>
      <c r="H6189" s="32" t="inlineStr">
        <is>
          <t>bb</t>
        </is>
      </c>
      <c r="I6189" s="32" t="n">
        <v>33347.133</v>
      </c>
      <c r="K6189" s="32" t="inlineStr">
        <is>
          <t>20250514-57</t>
        </is>
      </c>
    </row>
    <row r="6190">
      <c r="A6190" s="32" t="n">
        <v>47</v>
      </c>
      <c r="B6190" s="32" t="inlineStr">
        <is>
          <t>K3-6B</t>
        </is>
      </c>
      <c r="D6190" s="32" t="n">
        <v>15.05</v>
      </c>
      <c r="E6190" s="32" t="n">
        <v>25828.426</v>
      </c>
      <c r="G6190" s="32" t="n">
        <v>445.682</v>
      </c>
      <c r="H6190" s="32" t="inlineStr">
        <is>
          <t>bb</t>
        </is>
      </c>
      <c r="I6190" s="32" t="n">
        <v>25828.426</v>
      </c>
      <c r="K6190" s="32" t="inlineStr">
        <is>
          <t>20250514-58</t>
        </is>
      </c>
    </row>
    <row r="6191">
      <c r="A6191" s="32" t="n">
        <v>48</v>
      </c>
      <c r="B6191" s="32" t="inlineStr">
        <is>
          <t>K3-6C</t>
        </is>
      </c>
      <c r="D6191" s="32" t="n">
        <v>15.03</v>
      </c>
      <c r="E6191" s="32" t="n">
        <v>22605.594</v>
      </c>
      <c r="G6191" s="32" t="n">
        <v>1603.251</v>
      </c>
      <c r="H6191" s="32" t="inlineStr">
        <is>
          <t>bb</t>
        </is>
      </c>
      <c r="I6191" s="32" t="n">
        <v>22605.594</v>
      </c>
      <c r="K6191" s="32" t="inlineStr">
        <is>
          <t>20250514-59</t>
        </is>
      </c>
    </row>
    <row r="6193">
      <c r="A6193" s="32" t="inlineStr">
        <is>
          <t>Compound 120:  m5 N-EtFOSAA 2</t>
        </is>
      </c>
    </row>
    <row r="6195">
      <c r="B6195" s="32" t="inlineStr">
        <is>
          <t>Sample Text</t>
        </is>
      </c>
      <c r="C6195" s="32" t="inlineStr">
        <is>
          <t>Std. Conc</t>
        </is>
      </c>
      <c r="D6195" s="32" t="inlineStr">
        <is>
          <t>RT</t>
        </is>
      </c>
      <c r="E6195" s="32" t="inlineStr">
        <is>
          <t>Area</t>
        </is>
      </c>
      <c r="F6195" s="32" t="inlineStr">
        <is>
          <t>IS Area</t>
        </is>
      </c>
      <c r="G6195" s="32" t="inlineStr">
        <is>
          <t>S/N</t>
        </is>
      </c>
      <c r="H6195" s="32" t="inlineStr">
        <is>
          <t>Primary Flags</t>
        </is>
      </c>
      <c r="I6195" s="32" t="inlineStr">
        <is>
          <t>Response</t>
        </is>
      </c>
      <c r="J6195" s="32" t="inlineStr">
        <is>
          <t>Conc.</t>
        </is>
      </c>
      <c r="K6195" s="32" t="inlineStr">
        <is>
          <t>Name</t>
        </is>
      </c>
    </row>
    <row r="6196">
      <c r="A6196" s="32" t="n">
        <v>1</v>
      </c>
      <c r="B6196" s="32" t="inlineStr">
        <is>
          <t>EPA1633 &amp; diPAPs Calibration 0 ppb</t>
        </is>
      </c>
      <c r="D6196" s="32" t="n">
        <v>14.88</v>
      </c>
      <c r="E6196" s="32" t="n">
        <v>20135.783</v>
      </c>
      <c r="G6196" s="32" t="n">
        <v>521.356</v>
      </c>
      <c r="H6196" s="32" t="inlineStr">
        <is>
          <t>bb</t>
        </is>
      </c>
      <c r="I6196" s="32" t="n">
        <v>20135.783</v>
      </c>
      <c r="K6196" s="32" t="inlineStr">
        <is>
          <t>20250514-12</t>
        </is>
      </c>
    </row>
    <row r="6197">
      <c r="A6197" s="32" t="n">
        <v>2</v>
      </c>
      <c r="B6197" s="32" t="inlineStr">
        <is>
          <t>EPA1633 &amp; diPAPs Calibration 0.02 ppb</t>
        </is>
      </c>
      <c r="D6197" s="32" t="n">
        <v>14.89</v>
      </c>
      <c r="E6197" s="32" t="n">
        <v>17568.809</v>
      </c>
      <c r="G6197" s="32" t="n">
        <v>107483</v>
      </c>
      <c r="H6197" s="32" t="inlineStr">
        <is>
          <t>bb</t>
        </is>
      </c>
      <c r="I6197" s="32" t="n">
        <v>17568.809</v>
      </c>
      <c r="K6197" s="32" t="inlineStr">
        <is>
          <t>20250514-13</t>
        </is>
      </c>
    </row>
    <row r="6198">
      <c r="A6198" s="32" t="n">
        <v>3</v>
      </c>
      <c r="B6198" s="32" t="inlineStr">
        <is>
          <t>EPA1633 &amp; diPAPs Calibration 0.1 ppb</t>
        </is>
      </c>
      <c r="D6198" s="32" t="n">
        <v>14.91</v>
      </c>
      <c r="E6198" s="32" t="n">
        <v>17795.822</v>
      </c>
      <c r="G6198" s="32" t="n">
        <v>297.276</v>
      </c>
      <c r="H6198" s="32" t="inlineStr">
        <is>
          <t>bb</t>
        </is>
      </c>
      <c r="I6198" s="32" t="n">
        <v>17795.822</v>
      </c>
      <c r="K6198" s="32" t="inlineStr">
        <is>
          <t>20250514-14</t>
        </is>
      </c>
    </row>
    <row r="6199">
      <c r="A6199" s="32" t="n">
        <v>4</v>
      </c>
      <c r="B6199" s="32" t="inlineStr">
        <is>
          <t>EPA1633 &amp; diPAPs Calibration 0.4 ppb</t>
        </is>
      </c>
      <c r="D6199" s="32" t="n">
        <v>14.91</v>
      </c>
      <c r="E6199" s="32" t="n">
        <v>14504.334</v>
      </c>
      <c r="G6199" s="32" t="n">
        <v>474.316</v>
      </c>
      <c r="H6199" s="32" t="inlineStr">
        <is>
          <t>bb</t>
        </is>
      </c>
      <c r="I6199" s="32" t="n">
        <v>14504.334</v>
      </c>
      <c r="K6199" s="32" t="inlineStr">
        <is>
          <t>20250514-15</t>
        </is>
      </c>
    </row>
    <row r="6200">
      <c r="A6200" s="32" t="n">
        <v>5</v>
      </c>
      <c r="B6200" s="32" t="inlineStr">
        <is>
          <t>EPA1633 &amp; diPAPs Calibration 1 ppb</t>
        </is>
      </c>
      <c r="D6200" s="32" t="n">
        <v>14.89</v>
      </c>
      <c r="E6200" s="32" t="n">
        <v>18945.104</v>
      </c>
      <c r="G6200" s="32" t="n">
        <v>677.604</v>
      </c>
      <c r="H6200" s="32" t="inlineStr">
        <is>
          <t>bb</t>
        </is>
      </c>
      <c r="I6200" s="32" t="n">
        <v>18945.104</v>
      </c>
      <c r="K6200" s="32" t="inlineStr">
        <is>
          <t>20250514-16</t>
        </is>
      </c>
    </row>
    <row r="6201">
      <c r="A6201" s="32" t="n">
        <v>6</v>
      </c>
      <c r="B6201" s="32" t="inlineStr">
        <is>
          <t>EPA1633 &amp; diPAPs Calibration 5 ppb</t>
        </is>
      </c>
      <c r="D6201" s="32" t="n">
        <v>14.86</v>
      </c>
      <c r="E6201" s="32" t="n">
        <v>15134.777</v>
      </c>
      <c r="G6201" s="32" t="n">
        <v>245.105</v>
      </c>
      <c r="H6201" s="32" t="inlineStr">
        <is>
          <t>bb</t>
        </is>
      </c>
      <c r="I6201" s="32" t="n">
        <v>15134.777</v>
      </c>
      <c r="K6201" s="32" t="inlineStr">
        <is>
          <t>20250514-17</t>
        </is>
      </c>
    </row>
    <row r="6202">
      <c r="A6202" s="32" t="n">
        <v>7</v>
      </c>
      <c r="B6202" s="32" t="inlineStr">
        <is>
          <t>EPA1633 &amp; diPAPs Calibration 10 ppb</t>
        </is>
      </c>
      <c r="D6202" s="32" t="n">
        <v>14.88</v>
      </c>
      <c r="E6202" s="32" t="n">
        <v>11936.276</v>
      </c>
      <c r="G6202" s="32" t="n">
        <v>275.126</v>
      </c>
      <c r="H6202" s="32" t="inlineStr">
        <is>
          <t>bb</t>
        </is>
      </c>
      <c r="I6202" s="32" t="n">
        <v>11936.276</v>
      </c>
      <c r="K6202" s="32" t="inlineStr">
        <is>
          <t>20250514-18</t>
        </is>
      </c>
    </row>
    <row r="6203">
      <c r="A6203" s="32" t="n">
        <v>8</v>
      </c>
      <c r="B6203" s="32" t="inlineStr">
        <is>
          <t>EPA1633 &amp; diPAPs Calibration 20 ppb</t>
        </is>
      </c>
      <c r="D6203" s="32" t="n">
        <v>14.89</v>
      </c>
      <c r="E6203" s="32" t="n">
        <v>15042.936</v>
      </c>
      <c r="G6203" s="32" t="n">
        <v>236.548</v>
      </c>
      <c r="H6203" s="32" t="inlineStr">
        <is>
          <t>bb</t>
        </is>
      </c>
      <c r="I6203" s="32" t="n">
        <v>15042.936</v>
      </c>
      <c r="K6203" s="32" t="inlineStr">
        <is>
          <t>20250514-19</t>
        </is>
      </c>
    </row>
    <row r="6204">
      <c r="A6204" s="32" t="n">
        <v>9</v>
      </c>
      <c r="B6204" s="32" t="inlineStr">
        <is>
          <t>MeOH</t>
        </is>
      </c>
      <c r="D6204" s="32" t="n">
        <v>14.88</v>
      </c>
      <c r="E6204" s="32" t="n">
        <v>3.2</v>
      </c>
      <c r="G6204" s="32" t="n">
        <v>27</v>
      </c>
      <c r="H6204" s="32" t="inlineStr">
        <is>
          <t>bb</t>
        </is>
      </c>
      <c r="I6204" s="32" t="n">
        <v>3.2</v>
      </c>
      <c r="K6204" s="32" t="inlineStr">
        <is>
          <t>20250514-20</t>
        </is>
      </c>
    </row>
    <row r="6205">
      <c r="A6205" s="32" t="n">
        <v>10</v>
      </c>
      <c r="B6205" s="32" t="inlineStr">
        <is>
          <t>MeOH</t>
        </is>
      </c>
      <c r="D6205" s="32" t="n">
        <v>14.48</v>
      </c>
      <c r="E6205" s="32" t="n">
        <v>1.631</v>
      </c>
      <c r="G6205" s="32" t="n">
        <v>15</v>
      </c>
      <c r="H6205" s="32" t="inlineStr">
        <is>
          <t>bb</t>
        </is>
      </c>
      <c r="I6205" s="32" t="n">
        <v>1.631</v>
      </c>
      <c r="K6205" s="32" t="inlineStr">
        <is>
          <t>20250514-21</t>
        </is>
      </c>
    </row>
    <row r="6206">
      <c r="A6206" s="32" t="n">
        <v>11</v>
      </c>
      <c r="B6206" s="32" t="inlineStr">
        <is>
          <t>SB1</t>
        </is>
      </c>
      <c r="D6206" s="32" t="n">
        <v>14.91</v>
      </c>
      <c r="E6206" s="32" t="n">
        <v>6142.097</v>
      </c>
      <c r="G6206" s="32" t="n">
        <v>145.166</v>
      </c>
      <c r="H6206" s="32" t="inlineStr">
        <is>
          <t>bb</t>
        </is>
      </c>
      <c r="I6206" s="32" t="n">
        <v>6142.097</v>
      </c>
      <c r="K6206" s="32" t="inlineStr">
        <is>
          <t>20250514-22</t>
        </is>
      </c>
    </row>
    <row r="6207">
      <c r="A6207" s="32" t="n">
        <v>12</v>
      </c>
      <c r="B6207" s="32" t="inlineStr">
        <is>
          <t>SB2</t>
        </is>
      </c>
      <c r="D6207" s="32" t="n">
        <v>14.93</v>
      </c>
      <c r="E6207" s="32" t="n">
        <v>7099.807</v>
      </c>
      <c r="G6207" s="32" t="n">
        <v>37.854</v>
      </c>
      <c r="H6207" s="32" t="inlineStr">
        <is>
          <t>bb</t>
        </is>
      </c>
      <c r="I6207" s="32" t="n">
        <v>7099.807</v>
      </c>
      <c r="K6207" s="32" t="inlineStr">
        <is>
          <t>20250514-23</t>
        </is>
      </c>
    </row>
    <row r="6208">
      <c r="A6208" s="32" t="n">
        <v>13</v>
      </c>
      <c r="B6208" s="32" t="inlineStr">
        <is>
          <t>SB3</t>
        </is>
      </c>
      <c r="D6208" s="32" t="n">
        <v>14.93</v>
      </c>
      <c r="E6208" s="32" t="n">
        <v>6009.896</v>
      </c>
      <c r="G6208" s="32" t="n">
        <v>16.984</v>
      </c>
      <c r="H6208" s="32" t="inlineStr">
        <is>
          <t>bb</t>
        </is>
      </c>
      <c r="I6208" s="32" t="n">
        <v>6009.896</v>
      </c>
      <c r="K6208" s="32" t="inlineStr">
        <is>
          <t>20250514-24</t>
        </is>
      </c>
    </row>
    <row r="6209">
      <c r="A6209" s="32" t="n">
        <v>14</v>
      </c>
      <c r="B6209" s="32" t="inlineStr">
        <is>
          <t>SS1</t>
        </is>
      </c>
      <c r="D6209" s="32" t="n">
        <v>14.96</v>
      </c>
      <c r="E6209" s="32" t="n">
        <v>6132.544</v>
      </c>
      <c r="G6209" s="32" t="n">
        <v>518.391</v>
      </c>
      <c r="H6209" s="32" t="inlineStr">
        <is>
          <t>bb</t>
        </is>
      </c>
      <c r="I6209" s="32" t="n">
        <v>6132.544</v>
      </c>
      <c r="K6209" s="32" t="inlineStr">
        <is>
          <t>20250514-25</t>
        </is>
      </c>
    </row>
    <row r="6210">
      <c r="A6210" s="32" t="n">
        <v>15</v>
      </c>
      <c r="B6210" s="32" t="inlineStr">
        <is>
          <t>SS2</t>
        </is>
      </c>
      <c r="D6210" s="32" t="n">
        <v>14.96</v>
      </c>
      <c r="E6210" s="32" t="n">
        <v>6032.383</v>
      </c>
      <c r="G6210" s="32" t="n">
        <v>110.23</v>
      </c>
      <c r="H6210" s="32" t="inlineStr">
        <is>
          <t>bb</t>
        </is>
      </c>
      <c r="I6210" s="32" t="n">
        <v>6032.383</v>
      </c>
      <c r="K6210" s="32" t="inlineStr">
        <is>
          <t>20250514-26</t>
        </is>
      </c>
    </row>
    <row r="6211">
      <c r="A6211" s="32" t="n">
        <v>16</v>
      </c>
      <c r="B6211" s="32" t="inlineStr">
        <is>
          <t>SS3</t>
        </is>
      </c>
      <c r="D6211" s="32" t="n">
        <v>14.96</v>
      </c>
      <c r="E6211" s="32" t="n">
        <v>5738.296</v>
      </c>
      <c r="G6211" s="32" t="n">
        <v>300.923</v>
      </c>
      <c r="H6211" s="32" t="inlineStr">
        <is>
          <t>bb</t>
        </is>
      </c>
      <c r="I6211" s="32" t="n">
        <v>5738.296</v>
      </c>
      <c r="K6211" s="32" t="inlineStr">
        <is>
          <t>20250514-27</t>
        </is>
      </c>
    </row>
    <row r="6212">
      <c r="A6212" s="32" t="n">
        <v>17</v>
      </c>
      <c r="B6212" s="32" t="inlineStr">
        <is>
          <t>MeOH</t>
        </is>
      </c>
      <c r="D6212" s="32" t="n">
        <v>14.99</v>
      </c>
      <c r="E6212" s="32" t="n">
        <v>1.326</v>
      </c>
      <c r="G6212" s="32" t="n">
        <v>12</v>
      </c>
      <c r="H6212" s="32" t="inlineStr">
        <is>
          <t>bb</t>
        </is>
      </c>
      <c r="I6212" s="32" t="n">
        <v>1.326</v>
      </c>
      <c r="K6212" s="32" t="inlineStr">
        <is>
          <t>20250514-28</t>
        </is>
      </c>
    </row>
    <row r="6213">
      <c r="A6213" s="32" t="n">
        <v>18</v>
      </c>
      <c r="B6213" s="32" t="inlineStr">
        <is>
          <t>K4-1A</t>
        </is>
      </c>
      <c r="D6213" s="32" t="n">
        <v>14.97</v>
      </c>
      <c r="E6213" s="32" t="n">
        <v>7148.554</v>
      </c>
      <c r="G6213" s="32" t="n">
        <v>73.157</v>
      </c>
      <c r="H6213" s="32" t="inlineStr">
        <is>
          <t>bb</t>
        </is>
      </c>
      <c r="I6213" s="32" t="n">
        <v>7148.554</v>
      </c>
      <c r="K6213" s="32" t="inlineStr">
        <is>
          <t>20250514-29</t>
        </is>
      </c>
    </row>
    <row r="6214">
      <c r="A6214" s="32" t="n">
        <v>19</v>
      </c>
      <c r="B6214" s="32" t="inlineStr">
        <is>
          <t>K4-1B</t>
        </is>
      </c>
      <c r="D6214" s="32" t="n">
        <v>14.97</v>
      </c>
      <c r="E6214" s="32" t="n">
        <v>7452.281</v>
      </c>
      <c r="G6214" s="32" t="n">
        <v>42.774</v>
      </c>
      <c r="H6214" s="32" t="inlineStr">
        <is>
          <t>bb</t>
        </is>
      </c>
      <c r="I6214" s="32" t="n">
        <v>7452.281</v>
      </c>
      <c r="K6214" s="32" t="inlineStr">
        <is>
          <t>20250514-30</t>
        </is>
      </c>
    </row>
    <row r="6215">
      <c r="A6215" s="32" t="n">
        <v>20</v>
      </c>
      <c r="B6215" s="32" t="inlineStr">
        <is>
          <t>K4-1C</t>
        </is>
      </c>
      <c r="D6215" s="32" t="n">
        <v>14.99</v>
      </c>
      <c r="E6215" s="32" t="n">
        <v>6708.048</v>
      </c>
      <c r="G6215" s="32" t="n">
        <v>518.73</v>
      </c>
      <c r="H6215" s="32" t="inlineStr">
        <is>
          <t>bb</t>
        </is>
      </c>
      <c r="I6215" s="32" t="n">
        <v>6708.048</v>
      </c>
      <c r="K6215" s="32" t="inlineStr">
        <is>
          <t>20250514-31</t>
        </is>
      </c>
    </row>
    <row r="6216">
      <c r="A6216" s="32" t="n">
        <v>21</v>
      </c>
      <c r="B6216" s="32" t="inlineStr">
        <is>
          <t>K4-2A</t>
        </is>
      </c>
      <c r="D6216" s="32" t="n">
        <v>14.99</v>
      </c>
      <c r="E6216" s="32" t="n">
        <v>6036.964</v>
      </c>
      <c r="G6216" s="32" t="n">
        <v>86.011</v>
      </c>
      <c r="H6216" s="32" t="inlineStr">
        <is>
          <t>bb</t>
        </is>
      </c>
      <c r="I6216" s="32" t="n">
        <v>6036.964</v>
      </c>
      <c r="K6216" s="32" t="inlineStr">
        <is>
          <t>20250514-32</t>
        </is>
      </c>
    </row>
    <row r="6217">
      <c r="A6217" s="32" t="n">
        <v>22</v>
      </c>
      <c r="B6217" s="32" t="inlineStr">
        <is>
          <t>K4-2B</t>
        </is>
      </c>
      <c r="D6217" s="32" t="n">
        <v>14.99</v>
      </c>
      <c r="E6217" s="32" t="n">
        <v>6342.044</v>
      </c>
      <c r="G6217" s="32" t="n">
        <v>336.054</v>
      </c>
      <c r="H6217" s="32" t="inlineStr">
        <is>
          <t>bb</t>
        </is>
      </c>
      <c r="I6217" s="32" t="n">
        <v>6342.044</v>
      </c>
      <c r="K6217" s="32" t="inlineStr">
        <is>
          <t>20250514-33</t>
        </is>
      </c>
    </row>
    <row r="6218">
      <c r="A6218" s="32" t="n">
        <v>23</v>
      </c>
      <c r="B6218" s="32" t="inlineStr">
        <is>
          <t>K4-2C</t>
        </is>
      </c>
      <c r="D6218" s="32" t="n">
        <v>15.01</v>
      </c>
      <c r="E6218" s="32" t="n">
        <v>5670.457</v>
      </c>
      <c r="G6218" s="32" t="n">
        <v>164.863</v>
      </c>
      <c r="H6218" s="32" t="inlineStr">
        <is>
          <t>bb</t>
        </is>
      </c>
      <c r="I6218" s="32" t="n">
        <v>5670.457</v>
      </c>
      <c r="K6218" s="32" t="inlineStr">
        <is>
          <t>20250514-34</t>
        </is>
      </c>
    </row>
    <row r="6219">
      <c r="A6219" s="32" t="n">
        <v>24</v>
      </c>
      <c r="B6219" s="32" t="inlineStr">
        <is>
          <t>MeOH</t>
        </is>
      </c>
      <c r="D6219" s="32" t="n">
        <v>15.03</v>
      </c>
      <c r="E6219" s="32" t="n">
        <v>29.022</v>
      </c>
      <c r="G6219" s="32" t="n">
        <v>2.382</v>
      </c>
      <c r="H6219" s="32" t="inlineStr">
        <is>
          <t>bb</t>
        </is>
      </c>
      <c r="I6219" s="32" t="n">
        <v>29.022</v>
      </c>
      <c r="K6219" s="32" t="inlineStr">
        <is>
          <t>20250514-35</t>
        </is>
      </c>
    </row>
    <row r="6220">
      <c r="A6220" s="32" t="n">
        <v>25</v>
      </c>
      <c r="B6220" s="32" t="inlineStr">
        <is>
          <t>K4-4A</t>
        </is>
      </c>
      <c r="D6220" s="32" t="n">
        <v>15.02</v>
      </c>
      <c r="E6220" s="32" t="n">
        <v>6833.038</v>
      </c>
      <c r="G6220" s="32" t="n">
        <v>18.454</v>
      </c>
      <c r="H6220" s="32" t="inlineStr">
        <is>
          <t>bb</t>
        </is>
      </c>
      <c r="I6220" s="32" t="n">
        <v>6833.038</v>
      </c>
      <c r="K6220" s="32" t="inlineStr">
        <is>
          <t>20250514-36</t>
        </is>
      </c>
    </row>
    <row r="6221">
      <c r="A6221" s="32" t="n">
        <v>26</v>
      </c>
      <c r="B6221" s="32" t="inlineStr">
        <is>
          <t>K4-4B</t>
        </is>
      </c>
      <c r="D6221" s="32" t="n">
        <v>15.02</v>
      </c>
      <c r="E6221" s="32" t="n">
        <v>6657.878</v>
      </c>
      <c r="G6221" s="32" t="n">
        <v>27.849</v>
      </c>
      <c r="H6221" s="32" t="inlineStr">
        <is>
          <t>bb</t>
        </is>
      </c>
      <c r="I6221" s="32" t="n">
        <v>6657.878</v>
      </c>
      <c r="K6221" s="32" t="inlineStr">
        <is>
          <t>20250514-37</t>
        </is>
      </c>
    </row>
    <row r="6222">
      <c r="A6222" s="32" t="n">
        <v>27</v>
      </c>
      <c r="B6222" s="32" t="inlineStr">
        <is>
          <t>K4-4C</t>
        </is>
      </c>
      <c r="D6222" s="32" t="n">
        <v>15.02</v>
      </c>
      <c r="E6222" s="32" t="n">
        <v>7088.609</v>
      </c>
      <c r="G6222" s="32" t="n">
        <v>248.501</v>
      </c>
      <c r="H6222" s="32" t="inlineStr">
        <is>
          <t>bb</t>
        </is>
      </c>
      <c r="I6222" s="32" t="n">
        <v>7088.609</v>
      </c>
      <c r="K6222" s="32" t="inlineStr">
        <is>
          <t>20250514-38</t>
        </is>
      </c>
    </row>
    <row r="6223">
      <c r="A6223" s="32" t="n">
        <v>28</v>
      </c>
      <c r="B6223" s="32" t="inlineStr">
        <is>
          <t>K4-5A</t>
        </is>
      </c>
      <c r="D6223" s="32" t="n">
        <v>15.01</v>
      </c>
      <c r="E6223" s="32" t="n">
        <v>6144.051</v>
      </c>
      <c r="G6223" s="32" t="n">
        <v>23.828</v>
      </c>
      <c r="H6223" s="32" t="inlineStr">
        <is>
          <t>bb</t>
        </is>
      </c>
      <c r="I6223" s="32" t="n">
        <v>6144.051</v>
      </c>
      <c r="K6223" s="32" t="inlineStr">
        <is>
          <t>20250514-39</t>
        </is>
      </c>
    </row>
    <row r="6224">
      <c r="A6224" s="32" t="n">
        <v>29</v>
      </c>
      <c r="B6224" s="32" t="inlineStr">
        <is>
          <t>K4-5B</t>
        </is>
      </c>
      <c r="D6224" s="32" t="n">
        <v>14.99</v>
      </c>
      <c r="E6224" s="32" t="n">
        <v>7049.699</v>
      </c>
      <c r="G6224" s="32" t="n">
        <v>192.847</v>
      </c>
      <c r="H6224" s="32" t="inlineStr">
        <is>
          <t>bb</t>
        </is>
      </c>
      <c r="I6224" s="32" t="n">
        <v>7049.699</v>
      </c>
      <c r="K6224" s="32" t="inlineStr">
        <is>
          <t>20250514-40</t>
        </is>
      </c>
    </row>
    <row r="6225">
      <c r="A6225" s="32" t="n">
        <v>30</v>
      </c>
      <c r="B6225" s="32" t="inlineStr">
        <is>
          <t>K4-5C</t>
        </is>
      </c>
      <c r="D6225" s="32" t="n">
        <v>14.93</v>
      </c>
      <c r="E6225" s="32" t="n">
        <v>6959.661</v>
      </c>
      <c r="G6225" s="32" t="n">
        <v>265.738</v>
      </c>
      <c r="H6225" s="32" t="inlineStr">
        <is>
          <t>bb</t>
        </is>
      </c>
      <c r="I6225" s="32" t="n">
        <v>6959.661</v>
      </c>
      <c r="K6225" s="32" t="inlineStr">
        <is>
          <t>20250514-41</t>
        </is>
      </c>
    </row>
    <row r="6226">
      <c r="A6226" s="32" t="n">
        <v>31</v>
      </c>
      <c r="B6226" s="32" t="inlineStr">
        <is>
          <t>MeOH</t>
        </is>
      </c>
      <c r="D6226" s="32" t="n">
        <v>14.38</v>
      </c>
      <c r="E6226" s="32" t="n">
        <v>9.802</v>
      </c>
      <c r="G6226" s="32" t="n">
        <v>91</v>
      </c>
      <c r="H6226" s="32" t="inlineStr">
        <is>
          <t>bb</t>
        </is>
      </c>
      <c r="I6226" s="32" t="n">
        <v>9.802</v>
      </c>
      <c r="K6226" s="32" t="inlineStr">
        <is>
          <t>20250514-42</t>
        </is>
      </c>
    </row>
    <row r="6227">
      <c r="A6227" s="32" t="n">
        <v>32</v>
      </c>
      <c r="B6227" s="32" t="inlineStr">
        <is>
          <t>K3-1A</t>
        </is>
      </c>
      <c r="D6227" s="32" t="n">
        <v>14.89</v>
      </c>
      <c r="E6227" s="32" t="n">
        <v>7924.886</v>
      </c>
      <c r="G6227" s="32" t="n">
        <v>312.116</v>
      </c>
      <c r="H6227" s="32" t="inlineStr">
        <is>
          <t>bb</t>
        </is>
      </c>
      <c r="I6227" s="32" t="n">
        <v>7924.886</v>
      </c>
      <c r="K6227" s="32" t="inlineStr">
        <is>
          <t>20250514-43</t>
        </is>
      </c>
    </row>
    <row r="6228">
      <c r="A6228" s="32" t="n">
        <v>33</v>
      </c>
      <c r="B6228" s="32" t="inlineStr">
        <is>
          <t>K3-1B</t>
        </is>
      </c>
      <c r="D6228" s="32" t="n">
        <v>14.91</v>
      </c>
      <c r="E6228" s="32" t="n">
        <v>7716.241</v>
      </c>
      <c r="G6228" s="32" t="n">
        <v>343.014</v>
      </c>
      <c r="H6228" s="32" t="inlineStr">
        <is>
          <t>bb</t>
        </is>
      </c>
      <c r="I6228" s="32" t="n">
        <v>7716.241</v>
      </c>
      <c r="K6228" s="32" t="inlineStr">
        <is>
          <t>20250514-44</t>
        </is>
      </c>
    </row>
    <row r="6229">
      <c r="A6229" s="32" t="n">
        <v>34</v>
      </c>
      <c r="B6229" s="32" t="inlineStr">
        <is>
          <t>K3-1C</t>
        </is>
      </c>
      <c r="D6229" s="32" t="n">
        <v>14.94</v>
      </c>
      <c r="E6229" s="32" t="n">
        <v>9924.281999999999</v>
      </c>
      <c r="G6229" s="32" t="n">
        <v>824.201</v>
      </c>
      <c r="H6229" s="32" t="inlineStr">
        <is>
          <t>bb</t>
        </is>
      </c>
      <c r="I6229" s="32" t="n">
        <v>9924.281999999999</v>
      </c>
      <c r="K6229" s="32" t="inlineStr">
        <is>
          <t>20250514-45</t>
        </is>
      </c>
    </row>
    <row r="6230">
      <c r="A6230" s="32" t="n">
        <v>35</v>
      </c>
      <c r="B6230" s="32" t="inlineStr">
        <is>
          <t>K3-2A</t>
        </is>
      </c>
      <c r="D6230" s="32" t="n">
        <v>14.96</v>
      </c>
      <c r="E6230" s="32" t="n">
        <v>8705.263000000001</v>
      </c>
      <c r="G6230" s="32" t="n">
        <v>836.2380000000001</v>
      </c>
      <c r="H6230" s="32" t="inlineStr">
        <is>
          <t>bb</t>
        </is>
      </c>
      <c r="I6230" s="32" t="n">
        <v>8705.263000000001</v>
      </c>
      <c r="K6230" s="32" t="inlineStr">
        <is>
          <t>20250514-46</t>
        </is>
      </c>
    </row>
    <row r="6231">
      <c r="A6231" s="32" t="n">
        <v>36</v>
      </c>
      <c r="B6231" s="32" t="inlineStr">
        <is>
          <t>K3-2B</t>
        </is>
      </c>
      <c r="D6231" s="32" t="n">
        <v>14.96</v>
      </c>
      <c r="E6231" s="32" t="n">
        <v>10272.708</v>
      </c>
      <c r="G6231" s="32" t="n">
        <v>63833</v>
      </c>
      <c r="H6231" s="32" t="inlineStr">
        <is>
          <t>bb</t>
        </is>
      </c>
      <c r="I6231" s="32" t="n">
        <v>10272.708</v>
      </c>
      <c r="K6231" s="32" t="inlineStr">
        <is>
          <t>20250514-47</t>
        </is>
      </c>
    </row>
    <row r="6232">
      <c r="A6232" s="32" t="n">
        <v>37</v>
      </c>
      <c r="B6232" s="32" t="inlineStr">
        <is>
          <t>K3-2C</t>
        </is>
      </c>
      <c r="D6232" s="32" t="n">
        <v>14.96</v>
      </c>
      <c r="E6232" s="32" t="n">
        <v>9101.67</v>
      </c>
      <c r="G6232" s="32" t="n">
        <v>54037</v>
      </c>
      <c r="H6232" s="32" t="inlineStr">
        <is>
          <t>bb</t>
        </is>
      </c>
      <c r="I6232" s="32" t="n">
        <v>9101.67</v>
      </c>
      <c r="K6232" s="32" t="inlineStr">
        <is>
          <t>20250514-48</t>
        </is>
      </c>
    </row>
    <row r="6233">
      <c r="A6233" s="32" t="n">
        <v>38</v>
      </c>
      <c r="B6233" s="32" t="inlineStr">
        <is>
          <t>MeOH</t>
        </is>
      </c>
      <c r="D6233" s="32" t="n">
        <v>14.91</v>
      </c>
      <c r="E6233" s="32" t="n">
        <v>49.931</v>
      </c>
      <c r="G6233" s="32" t="n">
        <v>264</v>
      </c>
      <c r="H6233" s="32" t="inlineStr">
        <is>
          <t>bb</t>
        </is>
      </c>
      <c r="I6233" s="32" t="n">
        <v>49.931</v>
      </c>
      <c r="K6233" s="32" t="inlineStr">
        <is>
          <t>20250514-49</t>
        </is>
      </c>
    </row>
    <row r="6234">
      <c r="A6234" s="32" t="n">
        <v>39</v>
      </c>
      <c r="B6234" s="32" t="inlineStr">
        <is>
          <t>K3-3A</t>
        </is>
      </c>
      <c r="D6234" s="32" t="n">
        <v>14.99</v>
      </c>
      <c r="E6234" s="32" t="n">
        <v>7404.087</v>
      </c>
      <c r="G6234" s="32" t="n">
        <v>42.497</v>
      </c>
      <c r="H6234" s="32" t="inlineStr">
        <is>
          <t>bb</t>
        </is>
      </c>
      <c r="I6234" s="32" t="n">
        <v>7404.087</v>
      </c>
      <c r="K6234" s="32" t="inlineStr">
        <is>
          <t>20250514-50</t>
        </is>
      </c>
    </row>
    <row r="6235">
      <c r="A6235" s="32" t="n">
        <v>40</v>
      </c>
      <c r="B6235" s="32" t="inlineStr">
        <is>
          <t>K3-3B</t>
        </is>
      </c>
      <c r="D6235" s="32" t="n">
        <v>14.99</v>
      </c>
      <c r="E6235" s="32" t="n">
        <v>9029.706</v>
      </c>
      <c r="G6235" s="32" t="n">
        <v>364.138</v>
      </c>
      <c r="H6235" s="32" t="inlineStr">
        <is>
          <t>bb</t>
        </is>
      </c>
      <c r="I6235" s="32" t="n">
        <v>9029.706</v>
      </c>
      <c r="K6235" s="32" t="inlineStr">
        <is>
          <t>20250514-51</t>
        </is>
      </c>
    </row>
    <row r="6236">
      <c r="A6236" s="32" t="n">
        <v>41</v>
      </c>
      <c r="B6236" s="32" t="inlineStr">
        <is>
          <t>K3-3C</t>
        </is>
      </c>
      <c r="D6236" s="32" t="n">
        <v>14.99</v>
      </c>
      <c r="E6236" s="32" t="n">
        <v>11306.016</v>
      </c>
      <c r="G6236" s="32" t="n">
        <v>113.992</v>
      </c>
      <c r="H6236" s="32" t="inlineStr">
        <is>
          <t>bb</t>
        </is>
      </c>
      <c r="I6236" s="32" t="n">
        <v>11306.016</v>
      </c>
      <c r="K6236" s="32" t="inlineStr">
        <is>
          <t>20250514-52</t>
        </is>
      </c>
    </row>
    <row r="6237">
      <c r="A6237" s="32" t="n">
        <v>42</v>
      </c>
      <c r="B6237" s="32" t="inlineStr">
        <is>
          <t>K3-4A</t>
        </is>
      </c>
      <c r="D6237" s="32" t="n">
        <v>15.03</v>
      </c>
      <c r="E6237" s="32" t="n">
        <v>11134.384</v>
      </c>
      <c r="G6237" s="32" t="n">
        <v>70134</v>
      </c>
      <c r="H6237" s="32" t="inlineStr">
        <is>
          <t>bb</t>
        </is>
      </c>
      <c r="I6237" s="32" t="n">
        <v>11134.384</v>
      </c>
      <c r="K6237" s="32" t="inlineStr">
        <is>
          <t>20250514-53</t>
        </is>
      </c>
    </row>
    <row r="6238">
      <c r="A6238" s="32" t="n">
        <v>43</v>
      </c>
      <c r="B6238" s="32" t="inlineStr">
        <is>
          <t>K3-4B</t>
        </is>
      </c>
      <c r="D6238" s="32" t="n">
        <v>15.02</v>
      </c>
      <c r="E6238" s="32" t="n">
        <v>10911.239</v>
      </c>
      <c r="G6238" s="32" t="n">
        <v>65.545</v>
      </c>
      <c r="H6238" s="32" t="inlineStr">
        <is>
          <t>bb</t>
        </is>
      </c>
      <c r="I6238" s="32" t="n">
        <v>10911.239</v>
      </c>
      <c r="K6238" s="32" t="inlineStr">
        <is>
          <t>20250514-54</t>
        </is>
      </c>
    </row>
    <row r="6239">
      <c r="A6239" s="32" t="n">
        <v>44</v>
      </c>
      <c r="B6239" s="32" t="inlineStr">
        <is>
          <t>K3-4C</t>
        </is>
      </c>
      <c r="D6239" s="32" t="n">
        <v>15.06</v>
      </c>
      <c r="E6239" s="32" t="n">
        <v>11597.902</v>
      </c>
      <c r="G6239" s="32" t="n">
        <v>71.096</v>
      </c>
      <c r="H6239" s="32" t="inlineStr">
        <is>
          <t>bb</t>
        </is>
      </c>
      <c r="I6239" s="32" t="n">
        <v>11597.902</v>
      </c>
      <c r="K6239" s="32" t="inlineStr">
        <is>
          <t>20250514-55</t>
        </is>
      </c>
    </row>
    <row r="6240">
      <c r="A6240" s="32" t="n">
        <v>45</v>
      </c>
      <c r="B6240" s="32" t="inlineStr">
        <is>
          <t>MeOH</t>
        </is>
      </c>
      <c r="D6240" s="32" t="n">
        <v>15.03</v>
      </c>
      <c r="E6240" s="32" t="n">
        <v>91.232</v>
      </c>
      <c r="G6240" s="32" t="n">
        <v>2.665</v>
      </c>
      <c r="H6240" s="32" t="inlineStr">
        <is>
          <t>bb</t>
        </is>
      </c>
      <c r="I6240" s="32" t="n">
        <v>91.232</v>
      </c>
      <c r="K6240" s="32" t="inlineStr">
        <is>
          <t>20250514-56</t>
        </is>
      </c>
    </row>
    <row r="6241">
      <c r="A6241" s="32" t="n">
        <v>46</v>
      </c>
      <c r="B6241" s="32" t="inlineStr">
        <is>
          <t>K3-6A</t>
        </is>
      </c>
      <c r="D6241" s="32" t="n">
        <v>15.06</v>
      </c>
      <c r="E6241" s="32" t="n">
        <v>10155.364</v>
      </c>
      <c r="G6241" s="32" t="n">
        <v>167.304</v>
      </c>
      <c r="H6241" s="32" t="inlineStr">
        <is>
          <t>bb</t>
        </is>
      </c>
      <c r="I6241" s="32" t="n">
        <v>10155.364</v>
      </c>
      <c r="K6241" s="32" t="inlineStr">
        <is>
          <t>20250514-57</t>
        </is>
      </c>
    </row>
    <row r="6242">
      <c r="A6242" s="32" t="n">
        <v>47</v>
      </c>
      <c r="B6242" s="32" t="inlineStr">
        <is>
          <t>K3-6B</t>
        </is>
      </c>
      <c r="D6242" s="32" t="n">
        <v>15.05</v>
      </c>
      <c r="E6242" s="32" t="n">
        <v>8694.888999999999</v>
      </c>
      <c r="G6242" s="32" t="n">
        <v>10.754</v>
      </c>
      <c r="H6242" s="32" t="inlineStr">
        <is>
          <t>bb</t>
        </is>
      </c>
      <c r="I6242" s="32" t="n">
        <v>8694.888999999999</v>
      </c>
      <c r="K6242" s="32" t="inlineStr">
        <is>
          <t>20250514-58</t>
        </is>
      </c>
    </row>
    <row r="6243">
      <c r="A6243" s="32" t="n">
        <v>48</v>
      </c>
      <c r="B6243" s="32" t="inlineStr">
        <is>
          <t>K3-6C</t>
        </is>
      </c>
      <c r="D6243" s="32" t="n">
        <v>15.03</v>
      </c>
      <c r="E6243" s="32" t="n">
        <v>7357.528</v>
      </c>
      <c r="G6243" s="32" t="n">
        <v>57.877</v>
      </c>
      <c r="H6243" s="32" t="inlineStr">
        <is>
          <t>bb</t>
        </is>
      </c>
      <c r="I6243" s="32" t="n">
        <v>7357.528</v>
      </c>
      <c r="K6243" s="32" t="inlineStr">
        <is>
          <t>20250514-59</t>
        </is>
      </c>
    </row>
    <row r="6245">
      <c r="A6245" s="32" t="inlineStr">
        <is>
          <t>Compound 121:  PFDoDA 1</t>
        </is>
      </c>
    </row>
    <row r="6247">
      <c r="B6247" s="32" t="inlineStr">
        <is>
          <t>Sample Text</t>
        </is>
      </c>
      <c r="C6247" s="32" t="inlineStr">
        <is>
          <t>Std. Conc</t>
        </is>
      </c>
      <c r="D6247" s="32" t="inlineStr">
        <is>
          <t>RT</t>
        </is>
      </c>
      <c r="E6247" s="32" t="inlineStr">
        <is>
          <t>Area</t>
        </is>
      </c>
      <c r="F6247" s="32" t="inlineStr">
        <is>
          <t>IS Area</t>
        </is>
      </c>
      <c r="G6247" s="32" t="inlineStr">
        <is>
          <t>S/N</t>
        </is>
      </c>
      <c r="H6247" s="32" t="inlineStr">
        <is>
          <t>Primary Flags</t>
        </is>
      </c>
      <c r="I6247" s="32" t="inlineStr">
        <is>
          <t>Response</t>
        </is>
      </c>
      <c r="J6247" s="32" t="inlineStr">
        <is>
          <t>Conc.</t>
        </is>
      </c>
      <c r="K6247" s="32" t="inlineStr">
        <is>
          <t>Name</t>
        </is>
      </c>
    </row>
    <row r="6248">
      <c r="A6248" s="32" t="n">
        <v>1</v>
      </c>
      <c r="B6248" s="32" t="inlineStr">
        <is>
          <t>EPA1633 &amp; diPAPs Calibration 0 ppb</t>
        </is>
      </c>
      <c r="D6248" s="32" t="n">
        <v>15.51</v>
      </c>
      <c r="E6248" s="32" t="n">
        <v>8.455</v>
      </c>
      <c r="F6248" s="32" t="n">
        <v>1699.565</v>
      </c>
      <c r="G6248" s="32" t="n">
        <v>73</v>
      </c>
      <c r="H6248" s="32" t="inlineStr">
        <is>
          <t>MM</t>
        </is>
      </c>
      <c r="K6248" s="32" t="inlineStr">
        <is>
          <t>20250514-12</t>
        </is>
      </c>
    </row>
    <row r="6249">
      <c r="A6249" s="32" t="n">
        <v>2</v>
      </c>
      <c r="B6249" s="32" t="inlineStr">
        <is>
          <t>EPA1633 &amp; diPAPs Calibration 0.02 ppb</t>
        </is>
      </c>
      <c r="D6249" s="32" t="n">
        <v>15.56</v>
      </c>
      <c r="E6249" s="32" t="n">
        <v>70.995</v>
      </c>
      <c r="F6249" s="32" t="n">
        <v>1218.852</v>
      </c>
      <c r="G6249" s="32" t="n">
        <v>3.187</v>
      </c>
      <c r="H6249" s="32" t="inlineStr">
        <is>
          <t>bb</t>
        </is>
      </c>
      <c r="K6249" s="32" t="inlineStr">
        <is>
          <t>20250514-13</t>
        </is>
      </c>
    </row>
    <row r="6250">
      <c r="A6250" s="32" t="n">
        <v>3</v>
      </c>
      <c r="B6250" s="32" t="inlineStr">
        <is>
          <t>EPA1633 &amp; diPAPs Calibration 0.1 ppb</t>
        </is>
      </c>
      <c r="D6250" s="32" t="n">
        <v>15.53</v>
      </c>
      <c r="E6250" s="32" t="n">
        <v>286.072</v>
      </c>
      <c r="F6250" s="32" t="n">
        <v>1578.659</v>
      </c>
      <c r="G6250" s="32" t="n">
        <v>2076</v>
      </c>
      <c r="H6250" s="32" t="inlineStr">
        <is>
          <t>bb</t>
        </is>
      </c>
      <c r="K6250" s="32" t="inlineStr">
        <is>
          <t>20250514-14</t>
        </is>
      </c>
    </row>
    <row r="6251">
      <c r="A6251" s="32" t="n">
        <v>4</v>
      </c>
      <c r="B6251" s="32" t="inlineStr">
        <is>
          <t>EPA1633 &amp; diPAPs Calibration 0.4 ppb</t>
        </is>
      </c>
      <c r="D6251" s="32" t="n">
        <v>15.54</v>
      </c>
      <c r="E6251" s="32" t="n">
        <v>369.68</v>
      </c>
      <c r="F6251" s="32" t="n">
        <v>1176.884</v>
      </c>
      <c r="G6251" s="32" t="n">
        <v>2570</v>
      </c>
      <c r="H6251" s="32" t="inlineStr">
        <is>
          <t>bb</t>
        </is>
      </c>
      <c r="K6251" s="32" t="inlineStr">
        <is>
          <t>20250514-15</t>
        </is>
      </c>
    </row>
    <row r="6252">
      <c r="A6252" s="32" t="n">
        <v>5</v>
      </c>
      <c r="B6252" s="32" t="inlineStr">
        <is>
          <t>EPA1633 &amp; diPAPs Calibration 1 ppb</t>
        </is>
      </c>
      <c r="D6252" s="32" t="n">
        <v>15.54</v>
      </c>
      <c r="E6252" s="32" t="n">
        <v>954.679</v>
      </c>
      <c r="F6252" s="32" t="n">
        <v>1460.092</v>
      </c>
      <c r="G6252" s="32" t="n">
        <v>31.668</v>
      </c>
      <c r="H6252" s="32" t="inlineStr">
        <is>
          <t>bb</t>
        </is>
      </c>
      <c r="K6252" s="32" t="inlineStr">
        <is>
          <t>20250514-16</t>
        </is>
      </c>
    </row>
    <row r="6253">
      <c r="A6253" s="32" t="n">
        <v>6</v>
      </c>
      <c r="B6253" s="32" t="inlineStr">
        <is>
          <t>EPA1633 &amp; diPAPs Calibration 5 ppb</t>
        </is>
      </c>
      <c r="D6253" s="32" t="n">
        <v>15.51</v>
      </c>
      <c r="E6253" s="32" t="n">
        <v>4268.414</v>
      </c>
      <c r="F6253" s="32" t="n">
        <v>762.21</v>
      </c>
      <c r="G6253" s="32" t="n">
        <v>27330</v>
      </c>
      <c r="H6253" s="32" t="inlineStr">
        <is>
          <t>bb</t>
        </is>
      </c>
      <c r="K6253" s="32" t="inlineStr">
        <is>
          <t>20250514-17</t>
        </is>
      </c>
    </row>
    <row r="6254">
      <c r="A6254" s="32" t="n">
        <v>7</v>
      </c>
      <c r="B6254" s="32" t="inlineStr">
        <is>
          <t>EPA1633 &amp; diPAPs Calibration 10 ppb</t>
        </is>
      </c>
      <c r="D6254" s="32" t="n">
        <v>15.53</v>
      </c>
      <c r="E6254" s="32" t="n">
        <v>7789.855</v>
      </c>
      <c r="F6254" s="32" t="n">
        <v>854.968</v>
      </c>
      <c r="G6254" s="32" t="n">
        <v>174.576</v>
      </c>
      <c r="H6254" s="32" t="inlineStr">
        <is>
          <t>bb</t>
        </is>
      </c>
      <c r="K6254" s="32" t="inlineStr">
        <is>
          <t>20250514-18</t>
        </is>
      </c>
    </row>
    <row r="6255">
      <c r="A6255" s="32" t="n">
        <v>8</v>
      </c>
      <c r="B6255" s="32" t="inlineStr">
        <is>
          <t>EPA1633 &amp; diPAPs Calibration 20 ppb</t>
        </is>
      </c>
      <c r="D6255" s="32" t="n">
        <v>15.53</v>
      </c>
      <c r="E6255" s="32" t="n">
        <v>16204.569</v>
      </c>
      <c r="F6255" s="32" t="n">
        <v>850.52</v>
      </c>
      <c r="G6255" s="32" t="n">
        <v>670.13</v>
      </c>
      <c r="H6255" s="32" t="inlineStr">
        <is>
          <t>bb</t>
        </is>
      </c>
      <c r="K6255" s="32" t="inlineStr">
        <is>
          <t>20250514-19</t>
        </is>
      </c>
    </row>
    <row r="6256">
      <c r="A6256" s="32" t="n">
        <v>9</v>
      </c>
      <c r="B6256" s="32" t="inlineStr">
        <is>
          <t>MeOH</t>
        </is>
      </c>
      <c r="D6256" s="32" t="n">
        <v>15.2</v>
      </c>
      <c r="E6256" s="32" t="n">
        <v>12.849</v>
      </c>
      <c r="F6256" s="32" t="n">
        <v>2.279</v>
      </c>
      <c r="G6256" s="32" t="n">
        <v>2.832</v>
      </c>
      <c r="H6256" s="32" t="inlineStr">
        <is>
          <t>bb</t>
        </is>
      </c>
      <c r="K6256" s="32" t="inlineStr">
        <is>
          <t>20250514-20</t>
        </is>
      </c>
    </row>
    <row r="6257">
      <c r="A6257" s="32" t="n">
        <v>10</v>
      </c>
      <c r="B6257" s="32" t="inlineStr">
        <is>
          <t>MeOH</t>
        </is>
      </c>
      <c r="K6257" s="32" t="inlineStr">
        <is>
          <t>20250514-21</t>
        </is>
      </c>
    </row>
    <row r="6258">
      <c r="A6258" s="32" t="n">
        <v>11</v>
      </c>
      <c r="B6258" s="32" t="inlineStr">
        <is>
          <t>SB1</t>
        </is>
      </c>
      <c r="D6258" s="32" t="n">
        <v>15.57</v>
      </c>
      <c r="E6258" s="32" t="n">
        <v>28.151</v>
      </c>
      <c r="F6258" s="32" t="n">
        <v>280.929</v>
      </c>
      <c r="G6258" s="32" t="n">
        <v>7.028</v>
      </c>
      <c r="H6258" s="32" t="inlineStr">
        <is>
          <t>bb</t>
        </is>
      </c>
      <c r="K6258" s="32" t="inlineStr">
        <is>
          <t>20250514-22</t>
        </is>
      </c>
    </row>
    <row r="6259">
      <c r="A6259" s="32" t="n">
        <v>12</v>
      </c>
      <c r="B6259" s="32" t="inlineStr">
        <is>
          <t>SB2</t>
        </is>
      </c>
      <c r="D6259" s="32" t="n">
        <v>15.59</v>
      </c>
      <c r="E6259" s="32" t="n">
        <v>35.575</v>
      </c>
      <c r="F6259" s="32" t="n">
        <v>232.082</v>
      </c>
      <c r="G6259" s="32" t="n">
        <v>12.107</v>
      </c>
      <c r="H6259" s="32" t="inlineStr">
        <is>
          <t>bb</t>
        </is>
      </c>
      <c r="K6259" s="32" t="inlineStr">
        <is>
          <t>20250514-23</t>
        </is>
      </c>
    </row>
    <row r="6260">
      <c r="A6260" s="32" t="n">
        <v>13</v>
      </c>
      <c r="B6260" s="32" t="inlineStr">
        <is>
          <t>SB3</t>
        </is>
      </c>
      <c r="F6260" s="32" t="n">
        <v>402.233</v>
      </c>
      <c r="K6260" s="32" t="inlineStr">
        <is>
          <t>20250514-24</t>
        </is>
      </c>
    </row>
    <row r="6261">
      <c r="A6261" s="32" t="n">
        <v>14</v>
      </c>
      <c r="B6261" s="32" t="inlineStr">
        <is>
          <t>SS1</t>
        </is>
      </c>
      <c r="D6261" s="32" t="n">
        <v>15.59</v>
      </c>
      <c r="E6261" s="32" t="n">
        <v>2810.074</v>
      </c>
      <c r="F6261" s="32" t="n">
        <v>226.458</v>
      </c>
      <c r="G6261" s="32" t="n">
        <v>18983</v>
      </c>
      <c r="H6261" s="32" t="inlineStr">
        <is>
          <t>bb</t>
        </is>
      </c>
      <c r="K6261" s="32" t="inlineStr">
        <is>
          <t>20250514-25</t>
        </is>
      </c>
    </row>
    <row r="6262">
      <c r="A6262" s="32" t="n">
        <v>15</v>
      </c>
      <c r="B6262" s="32" t="inlineStr">
        <is>
          <t>SS2</t>
        </is>
      </c>
      <c r="D6262" s="32" t="n">
        <v>15.61</v>
      </c>
      <c r="E6262" s="32" t="n">
        <v>2270.172</v>
      </c>
      <c r="F6262" s="32" t="n">
        <v>147.337</v>
      </c>
      <c r="G6262" s="32" t="n">
        <v>15624</v>
      </c>
      <c r="H6262" s="32" t="inlineStr">
        <is>
          <t>bb</t>
        </is>
      </c>
      <c r="K6262" s="32" t="inlineStr">
        <is>
          <t>20250514-26</t>
        </is>
      </c>
    </row>
    <row r="6263">
      <c r="A6263" s="32" t="n">
        <v>16</v>
      </c>
      <c r="B6263" s="32" t="inlineStr">
        <is>
          <t>SS3</t>
        </is>
      </c>
      <c r="D6263" s="32" t="n">
        <v>15.61</v>
      </c>
      <c r="E6263" s="32" t="n">
        <v>2898.737</v>
      </c>
      <c r="F6263" s="32" t="n">
        <v>151.755</v>
      </c>
      <c r="G6263" s="32" t="n">
        <v>12.781</v>
      </c>
      <c r="H6263" s="32" t="inlineStr">
        <is>
          <t>bb</t>
        </is>
      </c>
      <c r="K6263" s="32" t="inlineStr">
        <is>
          <t>20250514-27</t>
        </is>
      </c>
    </row>
    <row r="6264">
      <c r="A6264" s="32" t="n">
        <v>17</v>
      </c>
      <c r="B6264" s="32" t="inlineStr">
        <is>
          <t>MeOH</t>
        </is>
      </c>
      <c r="D6264" s="32" t="n">
        <v>15.62</v>
      </c>
      <c r="E6264" s="32" t="n">
        <v>47.819</v>
      </c>
      <c r="G6264" s="32" t="n">
        <v>2.179</v>
      </c>
      <c r="H6264" s="32" t="inlineStr">
        <is>
          <t>bb</t>
        </is>
      </c>
      <c r="K6264" s="32" t="inlineStr">
        <is>
          <t>20250514-28</t>
        </is>
      </c>
    </row>
    <row r="6265">
      <c r="A6265" s="32" t="n">
        <v>18</v>
      </c>
      <c r="B6265" s="32" t="inlineStr">
        <is>
          <t>K4-1A</t>
        </is>
      </c>
      <c r="D6265" s="32" t="n">
        <v>15.62</v>
      </c>
      <c r="E6265" s="32" t="n">
        <v>25.231</v>
      </c>
      <c r="F6265" s="32" t="n">
        <v>475.929</v>
      </c>
      <c r="G6265" s="32" t="n">
        <v>2.461</v>
      </c>
      <c r="H6265" s="32" t="inlineStr">
        <is>
          <t>bb</t>
        </is>
      </c>
      <c r="K6265" s="32" t="inlineStr">
        <is>
          <t>20250514-29</t>
        </is>
      </c>
    </row>
    <row r="6266">
      <c r="A6266" s="32" t="n">
        <v>19</v>
      </c>
      <c r="B6266" s="32" t="inlineStr">
        <is>
          <t>K4-1B</t>
        </is>
      </c>
      <c r="F6266" s="32" t="n">
        <v>630.044</v>
      </c>
      <c r="K6266" s="32" t="inlineStr">
        <is>
          <t>20250514-30</t>
        </is>
      </c>
    </row>
    <row r="6267">
      <c r="A6267" s="32" t="n">
        <v>20</v>
      </c>
      <c r="B6267" s="32" t="inlineStr">
        <is>
          <t>K4-1C</t>
        </is>
      </c>
      <c r="F6267" s="32" t="n">
        <v>602.215</v>
      </c>
      <c r="K6267" s="32" t="inlineStr">
        <is>
          <t>20250514-31</t>
        </is>
      </c>
    </row>
    <row r="6268">
      <c r="A6268" s="32" t="n">
        <v>21</v>
      </c>
      <c r="B6268" s="32" t="inlineStr">
        <is>
          <t>K4-2A</t>
        </is>
      </c>
      <c r="D6268" s="32" t="n">
        <v>15.63</v>
      </c>
      <c r="E6268" s="32" t="n">
        <v>71.83199999999999</v>
      </c>
      <c r="F6268" s="32" t="n">
        <v>216.774</v>
      </c>
      <c r="G6268" s="32" t="n">
        <v>4.326</v>
      </c>
      <c r="H6268" s="32" t="inlineStr">
        <is>
          <t>bb</t>
        </is>
      </c>
      <c r="K6268" s="32" t="inlineStr">
        <is>
          <t>20250514-32</t>
        </is>
      </c>
    </row>
    <row r="6269">
      <c r="A6269" s="32" t="n">
        <v>22</v>
      </c>
      <c r="B6269" s="32" t="inlineStr">
        <is>
          <t>K4-2B</t>
        </is>
      </c>
      <c r="D6269" s="32" t="n">
        <v>15.67</v>
      </c>
      <c r="E6269" s="32" t="n">
        <v>23.692</v>
      </c>
      <c r="F6269" s="32" t="n">
        <v>492.326</v>
      </c>
      <c r="G6269" s="32" t="n">
        <v>155</v>
      </c>
      <c r="H6269" s="32" t="inlineStr">
        <is>
          <t>bb</t>
        </is>
      </c>
      <c r="K6269" s="32" t="inlineStr">
        <is>
          <t>20250514-33</t>
        </is>
      </c>
    </row>
    <row r="6270">
      <c r="A6270" s="32" t="n">
        <v>23</v>
      </c>
      <c r="B6270" s="32" t="inlineStr">
        <is>
          <t>K4-2C</t>
        </is>
      </c>
      <c r="D6270" s="32" t="n">
        <v>15.64</v>
      </c>
      <c r="E6270" s="32" t="n">
        <v>115.103</v>
      </c>
      <c r="F6270" s="32" t="n">
        <v>145.292</v>
      </c>
      <c r="G6270" s="32" t="n">
        <v>972</v>
      </c>
      <c r="H6270" s="32" t="inlineStr">
        <is>
          <t>bb</t>
        </is>
      </c>
      <c r="K6270" s="32" t="inlineStr">
        <is>
          <t>20250514-34</t>
        </is>
      </c>
    </row>
    <row r="6271">
      <c r="A6271" s="32" t="n">
        <v>24</v>
      </c>
      <c r="B6271" s="32" t="inlineStr">
        <is>
          <t>MeOH</t>
        </is>
      </c>
      <c r="H6271" s="32" t="inlineStr">
        <is>
          <t>MM-</t>
        </is>
      </c>
      <c r="K6271" s="32" t="inlineStr">
        <is>
          <t>20250514-35</t>
        </is>
      </c>
    </row>
    <row r="6272">
      <c r="A6272" s="32" t="n">
        <v>25</v>
      </c>
      <c r="B6272" s="32" t="inlineStr">
        <is>
          <t>K4-4A</t>
        </is>
      </c>
      <c r="D6272" s="32" t="n">
        <v>15.27</v>
      </c>
      <c r="E6272" s="32" t="n">
        <v>3.534</v>
      </c>
      <c r="F6272" s="32" t="n">
        <v>255.18</v>
      </c>
      <c r="G6272" s="32" t="n">
        <v>29</v>
      </c>
      <c r="H6272" s="32" t="inlineStr">
        <is>
          <t>bb</t>
        </is>
      </c>
      <c r="K6272" s="32" t="inlineStr">
        <is>
          <t>20250514-36</t>
        </is>
      </c>
    </row>
    <row r="6273">
      <c r="A6273" s="32" t="n">
        <v>26</v>
      </c>
      <c r="B6273" s="32" t="inlineStr">
        <is>
          <t>K4-4B</t>
        </is>
      </c>
      <c r="D6273" s="32" t="n">
        <v>15.65</v>
      </c>
      <c r="E6273" s="32" t="n">
        <v>26.854</v>
      </c>
      <c r="F6273" s="32" t="n">
        <v>423.729</v>
      </c>
      <c r="G6273" s="32" t="n">
        <v>234</v>
      </c>
      <c r="H6273" s="32" t="inlineStr">
        <is>
          <t>bb</t>
        </is>
      </c>
      <c r="K6273" s="32" t="inlineStr">
        <is>
          <t>20250514-37</t>
        </is>
      </c>
    </row>
    <row r="6274">
      <c r="A6274" s="32" t="n">
        <v>27</v>
      </c>
      <c r="B6274" s="32" t="inlineStr">
        <is>
          <t>K4-4C</t>
        </is>
      </c>
      <c r="D6274" s="32" t="n">
        <v>16.03</v>
      </c>
      <c r="E6274" s="32" t="n">
        <v>16.43</v>
      </c>
      <c r="F6274" s="32" t="n">
        <v>428.353</v>
      </c>
      <c r="G6274" s="32" t="n">
        <v>158</v>
      </c>
      <c r="H6274" s="32" t="inlineStr">
        <is>
          <t>MM</t>
        </is>
      </c>
      <c r="K6274" s="32" t="inlineStr">
        <is>
          <t>20250514-38</t>
        </is>
      </c>
    </row>
    <row r="6275">
      <c r="A6275" s="32" t="n">
        <v>28</v>
      </c>
      <c r="B6275" s="32" t="inlineStr">
        <is>
          <t>K4-5A</t>
        </is>
      </c>
      <c r="D6275" s="32" t="n">
        <v>15.64</v>
      </c>
      <c r="E6275" s="32" t="n">
        <v>6.277</v>
      </c>
      <c r="F6275" s="32" t="n">
        <v>314.929</v>
      </c>
      <c r="G6275" s="32" t="n">
        <v>52</v>
      </c>
      <c r="H6275" s="32" t="inlineStr">
        <is>
          <t>bb</t>
        </is>
      </c>
      <c r="K6275" s="32" t="inlineStr">
        <is>
          <t>20250514-39</t>
        </is>
      </c>
    </row>
    <row r="6276">
      <c r="A6276" s="32" t="n">
        <v>29</v>
      </c>
      <c r="B6276" s="32" t="inlineStr">
        <is>
          <t>K4-5B</t>
        </is>
      </c>
      <c r="F6276" s="32" t="n">
        <v>115.724</v>
      </c>
      <c r="K6276" s="32" t="inlineStr">
        <is>
          <t>20250514-40</t>
        </is>
      </c>
    </row>
    <row r="6277">
      <c r="A6277" s="32" t="n">
        <v>30</v>
      </c>
      <c r="B6277" s="32" t="inlineStr">
        <is>
          <t>K4-5C</t>
        </is>
      </c>
      <c r="D6277" s="32" t="n">
        <v>15.61</v>
      </c>
      <c r="E6277" s="32" t="n">
        <v>10.095</v>
      </c>
      <c r="F6277" s="32" t="n">
        <v>225.611</v>
      </c>
      <c r="G6277" s="32" t="n">
        <v>80</v>
      </c>
      <c r="H6277" s="32" t="inlineStr">
        <is>
          <t>bb</t>
        </is>
      </c>
      <c r="K6277" s="32" t="inlineStr">
        <is>
          <t>20250514-41</t>
        </is>
      </c>
    </row>
    <row r="6278">
      <c r="A6278" s="32" t="n">
        <v>31</v>
      </c>
      <c r="B6278" s="32" t="inlineStr">
        <is>
          <t>MeOH</t>
        </is>
      </c>
      <c r="H6278" s="32" t="inlineStr">
        <is>
          <t>MM-</t>
        </is>
      </c>
      <c r="K6278" s="32" t="inlineStr">
        <is>
          <t>20250514-42</t>
        </is>
      </c>
    </row>
    <row r="6279">
      <c r="A6279" s="32" t="n">
        <v>32</v>
      </c>
      <c r="B6279" s="32" t="inlineStr">
        <is>
          <t>K3-1A</t>
        </is>
      </c>
      <c r="D6279" s="32" t="n">
        <v>15.58</v>
      </c>
      <c r="E6279" s="32" t="n">
        <v>24.936</v>
      </c>
      <c r="F6279" s="32" t="n">
        <v>432.168</v>
      </c>
      <c r="G6279" s="32" t="n">
        <v>17.647</v>
      </c>
      <c r="H6279" s="32" t="inlineStr">
        <is>
          <t>bb</t>
        </is>
      </c>
      <c r="K6279" s="32" t="inlineStr">
        <is>
          <t>20250514-43</t>
        </is>
      </c>
    </row>
    <row r="6280">
      <c r="A6280" s="32" t="n">
        <v>33</v>
      </c>
      <c r="B6280" s="32" t="inlineStr">
        <is>
          <t>K3-1B</t>
        </is>
      </c>
      <c r="D6280" s="32" t="n">
        <v>15.59</v>
      </c>
      <c r="E6280" s="32" t="n">
        <v>59.812</v>
      </c>
      <c r="F6280" s="32" t="n">
        <v>439.829</v>
      </c>
      <c r="G6280" s="32" t="n">
        <v>451</v>
      </c>
      <c r="H6280" s="32" t="inlineStr">
        <is>
          <t>bb</t>
        </is>
      </c>
      <c r="K6280" s="32" t="inlineStr">
        <is>
          <t>20250514-44</t>
        </is>
      </c>
    </row>
    <row r="6281">
      <c r="A6281" s="32" t="n">
        <v>34</v>
      </c>
      <c r="B6281" s="32" t="inlineStr">
        <is>
          <t>K3-1C</t>
        </is>
      </c>
      <c r="D6281" s="32" t="n">
        <v>15.61</v>
      </c>
      <c r="E6281" s="32" t="n">
        <v>111.836</v>
      </c>
      <c r="F6281" s="32" t="n">
        <v>313.795</v>
      </c>
      <c r="G6281" s="32" t="n">
        <v>3.236</v>
      </c>
      <c r="H6281" s="32" t="inlineStr">
        <is>
          <t>MM</t>
        </is>
      </c>
      <c r="K6281" s="32" t="inlineStr">
        <is>
          <t>20250514-45</t>
        </is>
      </c>
    </row>
    <row r="6282">
      <c r="A6282" s="32" t="n">
        <v>35</v>
      </c>
      <c r="B6282" s="32" t="inlineStr">
        <is>
          <t>K3-2A</t>
        </is>
      </c>
      <c r="D6282" s="32" t="n">
        <v>15.65</v>
      </c>
      <c r="E6282" s="32" t="n">
        <v>50.931</v>
      </c>
      <c r="F6282" s="32" t="n">
        <v>420.878</v>
      </c>
      <c r="G6282" s="32" t="n">
        <v>2.033</v>
      </c>
      <c r="H6282" s="32" t="inlineStr">
        <is>
          <t>bb</t>
        </is>
      </c>
      <c r="K6282" s="32" t="inlineStr">
        <is>
          <t>20250514-46</t>
        </is>
      </c>
    </row>
    <row r="6283">
      <c r="A6283" s="32" t="n">
        <v>36</v>
      </c>
      <c r="B6283" s="32" t="inlineStr">
        <is>
          <t>K3-2B</t>
        </is>
      </c>
      <c r="D6283" s="32" t="n">
        <v>15.56</v>
      </c>
      <c r="E6283" s="32" t="n">
        <v>17.257</v>
      </c>
      <c r="F6283" s="32" t="n">
        <v>830.495</v>
      </c>
      <c r="G6283" s="32" t="n">
        <v>127</v>
      </c>
      <c r="H6283" s="32" t="inlineStr">
        <is>
          <t>bb</t>
        </is>
      </c>
      <c r="K6283" s="32" t="inlineStr">
        <is>
          <t>20250514-47</t>
        </is>
      </c>
    </row>
    <row r="6284">
      <c r="A6284" s="32" t="n">
        <v>37</v>
      </c>
      <c r="B6284" s="32" t="inlineStr">
        <is>
          <t>K3-2C</t>
        </is>
      </c>
      <c r="D6284" s="32" t="n">
        <v>15.65</v>
      </c>
      <c r="E6284" s="32" t="n">
        <v>0.323</v>
      </c>
      <c r="F6284" s="32" t="n">
        <v>343.52</v>
      </c>
      <c r="G6284" s="32" t="n">
        <v>3</v>
      </c>
      <c r="H6284" s="32" t="inlineStr">
        <is>
          <t>bb</t>
        </is>
      </c>
      <c r="K6284" s="32" t="inlineStr">
        <is>
          <t>20250514-48</t>
        </is>
      </c>
    </row>
    <row r="6285">
      <c r="A6285" s="32" t="n">
        <v>38</v>
      </c>
      <c r="B6285" s="32" t="inlineStr">
        <is>
          <t>MeOH</t>
        </is>
      </c>
      <c r="H6285" s="32" t="inlineStr">
        <is>
          <t>MM-</t>
        </is>
      </c>
      <c r="K6285" s="32" t="inlineStr">
        <is>
          <t>20250514-49</t>
        </is>
      </c>
    </row>
    <row r="6286">
      <c r="A6286" s="32" t="n">
        <v>39</v>
      </c>
      <c r="B6286" s="32" t="inlineStr">
        <is>
          <t>K3-3A</t>
        </is>
      </c>
      <c r="D6286" s="32" t="n">
        <v>15.7</v>
      </c>
      <c r="E6286" s="32" t="n">
        <v>4.524</v>
      </c>
      <c r="F6286" s="32" t="n">
        <v>376.834</v>
      </c>
      <c r="G6286" s="32" t="n">
        <v>40</v>
      </c>
      <c r="H6286" s="32" t="inlineStr">
        <is>
          <t>bb</t>
        </is>
      </c>
      <c r="K6286" s="32" t="inlineStr">
        <is>
          <t>20250514-50</t>
        </is>
      </c>
    </row>
    <row r="6287">
      <c r="A6287" s="32" t="n">
        <v>40</v>
      </c>
      <c r="B6287" s="32" t="inlineStr">
        <is>
          <t>K3-3B</t>
        </is>
      </c>
      <c r="D6287" s="32" t="n">
        <v>15.71</v>
      </c>
      <c r="E6287" s="32" t="n">
        <v>80.789</v>
      </c>
      <c r="F6287" s="32" t="n">
        <v>559.133</v>
      </c>
      <c r="G6287" s="32" t="n">
        <v>2.75</v>
      </c>
      <c r="H6287" s="32" t="inlineStr">
        <is>
          <t>bb</t>
        </is>
      </c>
      <c r="K6287" s="32" t="inlineStr">
        <is>
          <t>20250514-51</t>
        </is>
      </c>
    </row>
    <row r="6288">
      <c r="A6288" s="32" t="n">
        <v>41</v>
      </c>
      <c r="B6288" s="32" t="inlineStr">
        <is>
          <t>K3-3C</t>
        </is>
      </c>
      <c r="D6288" s="32" t="n">
        <v>16.29</v>
      </c>
      <c r="E6288" s="32" t="n">
        <v>18.98</v>
      </c>
      <c r="F6288" s="32" t="n">
        <v>435.036</v>
      </c>
      <c r="G6288" s="32" t="n">
        <v>195</v>
      </c>
      <c r="H6288" s="32" t="inlineStr">
        <is>
          <t>MM</t>
        </is>
      </c>
      <c r="K6288" s="32" t="inlineStr">
        <is>
          <t>20250514-52</t>
        </is>
      </c>
    </row>
    <row r="6289">
      <c r="A6289" s="32" t="n">
        <v>42</v>
      </c>
      <c r="B6289" s="32" t="inlineStr">
        <is>
          <t>K3-4A</t>
        </is>
      </c>
      <c r="D6289" s="32" t="n">
        <v>15.67</v>
      </c>
      <c r="E6289" s="32" t="n">
        <v>27.5</v>
      </c>
      <c r="F6289" s="32" t="n">
        <v>337.222</v>
      </c>
      <c r="G6289" s="32" t="n">
        <v>2.401</v>
      </c>
      <c r="H6289" s="32" t="inlineStr">
        <is>
          <t>bb</t>
        </is>
      </c>
      <c r="K6289" s="32" t="inlineStr">
        <is>
          <t>20250514-53</t>
        </is>
      </c>
    </row>
    <row r="6290">
      <c r="A6290" s="32" t="n">
        <v>43</v>
      </c>
      <c r="B6290" s="32" t="inlineStr">
        <is>
          <t>K3-4B</t>
        </is>
      </c>
      <c r="D6290" s="32" t="n">
        <v>15.67</v>
      </c>
      <c r="E6290" s="32" t="n">
        <v>18.773</v>
      </c>
      <c r="F6290" s="32" t="n">
        <v>758.223</v>
      </c>
      <c r="G6290" s="32" t="n">
        <v>144</v>
      </c>
      <c r="H6290" s="32" t="inlineStr">
        <is>
          <t>MM</t>
        </is>
      </c>
      <c r="K6290" s="32" t="inlineStr">
        <is>
          <t>20250514-54</t>
        </is>
      </c>
    </row>
    <row r="6291">
      <c r="A6291" s="32" t="n">
        <v>44</v>
      </c>
      <c r="B6291" s="32" t="inlineStr">
        <is>
          <t>K3-4C</t>
        </is>
      </c>
      <c r="D6291" s="32" t="n">
        <v>15.76</v>
      </c>
      <c r="E6291" s="32" t="n">
        <v>151.365</v>
      </c>
      <c r="F6291" s="32" t="n">
        <v>427.126</v>
      </c>
      <c r="G6291" s="32" t="n">
        <v>3.369</v>
      </c>
      <c r="H6291" s="32" t="inlineStr">
        <is>
          <t>bb</t>
        </is>
      </c>
      <c r="K6291" s="32" t="inlineStr">
        <is>
          <t>20250514-55</t>
        </is>
      </c>
    </row>
    <row r="6292">
      <c r="A6292" s="32" t="n">
        <v>45</v>
      </c>
      <c r="B6292" s="32" t="inlineStr">
        <is>
          <t>MeOH</t>
        </is>
      </c>
      <c r="K6292" s="32" t="inlineStr">
        <is>
          <t>20250514-56</t>
        </is>
      </c>
    </row>
    <row r="6293">
      <c r="A6293" s="32" t="n">
        <v>46</v>
      </c>
      <c r="B6293" s="32" t="inlineStr">
        <is>
          <t>K3-6A</t>
        </is>
      </c>
      <c r="D6293" s="32" t="n">
        <v>15.71</v>
      </c>
      <c r="E6293" s="32" t="n">
        <v>168.934</v>
      </c>
      <c r="F6293" s="32" t="n">
        <v>793.353</v>
      </c>
      <c r="G6293" s="32" t="n">
        <v>816</v>
      </c>
      <c r="H6293" s="32" t="inlineStr">
        <is>
          <t>bb</t>
        </is>
      </c>
      <c r="K6293" s="32" t="inlineStr">
        <is>
          <t>20250514-57</t>
        </is>
      </c>
    </row>
    <row r="6294">
      <c r="A6294" s="32" t="n">
        <v>47</v>
      </c>
      <c r="B6294" s="32" t="inlineStr">
        <is>
          <t>K3-6B</t>
        </is>
      </c>
      <c r="D6294" s="32" t="n">
        <v>15.71</v>
      </c>
      <c r="E6294" s="32" t="n">
        <v>137.038</v>
      </c>
      <c r="F6294" s="32" t="n">
        <v>501.186</v>
      </c>
      <c r="G6294" s="32" t="n">
        <v>894</v>
      </c>
      <c r="H6294" s="32" t="inlineStr">
        <is>
          <t>bb</t>
        </is>
      </c>
      <c r="K6294" s="32" t="inlineStr">
        <is>
          <t>20250514-58</t>
        </is>
      </c>
    </row>
    <row r="6295">
      <c r="A6295" s="32" t="n">
        <v>48</v>
      </c>
      <c r="B6295" s="32" t="inlineStr">
        <is>
          <t>K3-6C</t>
        </is>
      </c>
      <c r="D6295" s="32" t="n">
        <v>15.7</v>
      </c>
      <c r="E6295" s="32" t="n">
        <v>45.067</v>
      </c>
      <c r="F6295" s="32" t="n">
        <v>295.29</v>
      </c>
      <c r="G6295" s="32" t="n">
        <v>3.848</v>
      </c>
      <c r="H6295" s="32" t="inlineStr">
        <is>
          <t>bb</t>
        </is>
      </c>
      <c r="K6295" s="32" t="inlineStr">
        <is>
          <t>20250514-59</t>
        </is>
      </c>
    </row>
    <row r="6297">
      <c r="A6297" s="32" t="inlineStr">
        <is>
          <t>Compound 122:  PFDoDA 2</t>
        </is>
      </c>
    </row>
    <row r="6299">
      <c r="B6299" s="32" t="inlineStr">
        <is>
          <t>Sample Text</t>
        </is>
      </c>
      <c r="C6299" s="32" t="inlineStr">
        <is>
          <t>Std. Conc</t>
        </is>
      </c>
      <c r="D6299" s="32" t="inlineStr">
        <is>
          <t>RT</t>
        </is>
      </c>
      <c r="E6299" s="32" t="inlineStr">
        <is>
          <t>Area</t>
        </is>
      </c>
      <c r="F6299" s="32" t="inlineStr">
        <is>
          <t>IS Area</t>
        </is>
      </c>
      <c r="G6299" s="32" t="inlineStr">
        <is>
          <t>S/N</t>
        </is>
      </c>
      <c r="H6299" s="32" t="inlineStr">
        <is>
          <t>Primary Flags</t>
        </is>
      </c>
      <c r="I6299" s="32" t="inlineStr">
        <is>
          <t>Response</t>
        </is>
      </c>
      <c r="J6299" s="32" t="inlineStr">
        <is>
          <t>Conc.</t>
        </is>
      </c>
      <c r="K6299" s="32" t="inlineStr">
        <is>
          <t>Name</t>
        </is>
      </c>
    </row>
    <row r="6300">
      <c r="A6300" s="32" t="n">
        <v>1</v>
      </c>
      <c r="B6300" s="32" t="inlineStr">
        <is>
          <t>EPA1633 &amp; diPAPs Calibration 0 ppb</t>
        </is>
      </c>
      <c r="D6300" s="32" t="n">
        <v>15.53</v>
      </c>
      <c r="E6300" s="32" t="n">
        <v>28.051</v>
      </c>
      <c r="F6300" s="32" t="n">
        <v>1699.565</v>
      </c>
      <c r="G6300" s="32" t="n">
        <v>1.139</v>
      </c>
      <c r="H6300" s="32" t="inlineStr">
        <is>
          <t>MM</t>
        </is>
      </c>
      <c r="K6300" s="32" t="inlineStr">
        <is>
          <t>20250514-12</t>
        </is>
      </c>
    </row>
    <row r="6301">
      <c r="A6301" s="32" t="n">
        <v>2</v>
      </c>
      <c r="B6301" s="32" t="inlineStr">
        <is>
          <t>EPA1633 &amp; diPAPs Calibration 0.02 ppb</t>
        </is>
      </c>
      <c r="D6301" s="32" t="n">
        <v>15.45</v>
      </c>
      <c r="E6301" s="32" t="n">
        <v>27.55</v>
      </c>
      <c r="F6301" s="32" t="n">
        <v>1218.852</v>
      </c>
      <c r="G6301" s="32" t="n">
        <v>205</v>
      </c>
      <c r="H6301" s="32" t="inlineStr">
        <is>
          <t>MM</t>
        </is>
      </c>
      <c r="K6301" s="32" t="inlineStr">
        <is>
          <t>20250514-13</t>
        </is>
      </c>
    </row>
    <row r="6302">
      <c r="A6302" s="32" t="n">
        <v>3</v>
      </c>
      <c r="B6302" s="32" t="inlineStr">
        <is>
          <t>EPA1633 &amp; diPAPs Calibration 0.1 ppb</t>
        </is>
      </c>
      <c r="D6302" s="32" t="n">
        <v>15.59</v>
      </c>
      <c r="E6302" s="32" t="n">
        <v>44.436</v>
      </c>
      <c r="F6302" s="32" t="n">
        <v>1578.659</v>
      </c>
      <c r="G6302" s="32" t="n">
        <v>1.774</v>
      </c>
      <c r="H6302" s="32" t="inlineStr">
        <is>
          <t>bb</t>
        </is>
      </c>
      <c r="K6302" s="32" t="inlineStr">
        <is>
          <t>20250514-14</t>
        </is>
      </c>
    </row>
    <row r="6303">
      <c r="A6303" s="32" t="n">
        <v>4</v>
      </c>
      <c r="B6303" s="32" t="inlineStr">
        <is>
          <t>EPA1633 &amp; diPAPs Calibration 0.4 ppb</t>
        </is>
      </c>
      <c r="D6303" s="32" t="n">
        <v>15.53</v>
      </c>
      <c r="E6303" s="32" t="n">
        <v>233.842</v>
      </c>
      <c r="F6303" s="32" t="n">
        <v>1176.884</v>
      </c>
      <c r="G6303" s="32" t="n">
        <v>12.906</v>
      </c>
      <c r="H6303" s="32" t="inlineStr">
        <is>
          <t>MM</t>
        </is>
      </c>
      <c r="K6303" s="32" t="inlineStr">
        <is>
          <t>20250514-15</t>
        </is>
      </c>
    </row>
    <row r="6304">
      <c r="A6304" s="32" t="n">
        <v>5</v>
      </c>
      <c r="B6304" s="32" t="inlineStr">
        <is>
          <t>EPA1633 &amp; diPAPs Calibration 1 ppb</t>
        </is>
      </c>
      <c r="D6304" s="32" t="n">
        <v>15.54</v>
      </c>
      <c r="E6304" s="32" t="n">
        <v>758.896</v>
      </c>
      <c r="F6304" s="32" t="n">
        <v>1460.092</v>
      </c>
      <c r="G6304" s="32" t="n">
        <v>2.53</v>
      </c>
      <c r="H6304" s="32" t="inlineStr">
        <is>
          <t>bb</t>
        </is>
      </c>
      <c r="K6304" s="32" t="inlineStr">
        <is>
          <t>20250514-16</t>
        </is>
      </c>
    </row>
    <row r="6305">
      <c r="A6305" s="32" t="n">
        <v>6</v>
      </c>
      <c r="B6305" s="32" t="inlineStr">
        <is>
          <t>EPA1633 &amp; diPAPs Calibration 5 ppb</t>
        </is>
      </c>
      <c r="D6305" s="32" t="n">
        <v>15.51</v>
      </c>
      <c r="E6305" s="32" t="n">
        <v>3024.834</v>
      </c>
      <c r="F6305" s="32" t="n">
        <v>762.21</v>
      </c>
      <c r="G6305" s="32" t="n">
        <v>32.366</v>
      </c>
      <c r="H6305" s="32" t="inlineStr">
        <is>
          <t>bb</t>
        </is>
      </c>
      <c r="K6305" s="32" t="inlineStr">
        <is>
          <t>20250514-17</t>
        </is>
      </c>
    </row>
    <row r="6306">
      <c r="A6306" s="32" t="n">
        <v>7</v>
      </c>
      <c r="B6306" s="32" t="inlineStr">
        <is>
          <t>EPA1633 &amp; diPAPs Calibration 10 ppb</t>
        </is>
      </c>
      <c r="D6306" s="32" t="n">
        <v>15.51</v>
      </c>
      <c r="E6306" s="32" t="n">
        <v>5620.038</v>
      </c>
      <c r="F6306" s="32" t="n">
        <v>854.968</v>
      </c>
      <c r="G6306" s="32" t="n">
        <v>82.654</v>
      </c>
      <c r="H6306" s="32" t="inlineStr">
        <is>
          <t>bb</t>
        </is>
      </c>
      <c r="K6306" s="32" t="inlineStr">
        <is>
          <t>20250514-18</t>
        </is>
      </c>
    </row>
    <row r="6307">
      <c r="A6307" s="32" t="n">
        <v>8</v>
      </c>
      <c r="B6307" s="32" t="inlineStr">
        <is>
          <t>EPA1633 &amp; diPAPs Calibration 20 ppb</t>
        </is>
      </c>
      <c r="D6307" s="32" t="n">
        <v>15.53</v>
      </c>
      <c r="E6307" s="32" t="n">
        <v>11334.845</v>
      </c>
      <c r="F6307" s="32" t="n">
        <v>850.52</v>
      </c>
      <c r="G6307" s="32" t="n">
        <v>130.529</v>
      </c>
      <c r="H6307" s="32" t="inlineStr">
        <is>
          <t>bb</t>
        </is>
      </c>
      <c r="K6307" s="32" t="inlineStr">
        <is>
          <t>20250514-19</t>
        </is>
      </c>
    </row>
    <row r="6308">
      <c r="A6308" s="32" t="n">
        <v>9</v>
      </c>
      <c r="B6308" s="32" t="inlineStr">
        <is>
          <t>MeOH</t>
        </is>
      </c>
      <c r="D6308" s="32" t="n">
        <v>15.54</v>
      </c>
      <c r="E6308" s="32" t="n">
        <v>1.821</v>
      </c>
      <c r="F6308" s="32" t="n">
        <v>2.279</v>
      </c>
      <c r="G6308" s="32" t="n">
        <v>1.048</v>
      </c>
      <c r="H6308" s="32" t="inlineStr">
        <is>
          <t>bb</t>
        </is>
      </c>
      <c r="K6308" s="32" t="inlineStr">
        <is>
          <t>20250514-20</t>
        </is>
      </c>
    </row>
    <row r="6309">
      <c r="A6309" s="32" t="n">
        <v>10</v>
      </c>
      <c r="B6309" s="32" t="inlineStr">
        <is>
          <t>MeOH</t>
        </is>
      </c>
      <c r="D6309" s="32" t="n">
        <v>15.68</v>
      </c>
      <c r="E6309" s="32" t="n">
        <v>195.501</v>
      </c>
      <c r="G6309" s="32" t="n">
        <v>2.569</v>
      </c>
      <c r="H6309" s="32" t="inlineStr">
        <is>
          <t>bb</t>
        </is>
      </c>
      <c r="K6309" s="32" t="inlineStr">
        <is>
          <t>20250514-21</t>
        </is>
      </c>
    </row>
    <row r="6310">
      <c r="A6310" s="32" t="n">
        <v>11</v>
      </c>
      <c r="B6310" s="32" t="inlineStr">
        <is>
          <t>SB1</t>
        </is>
      </c>
      <c r="D6310" s="32" t="n">
        <v>15.57</v>
      </c>
      <c r="E6310" s="32" t="n">
        <v>116.185</v>
      </c>
      <c r="F6310" s="32" t="n">
        <v>280.929</v>
      </c>
      <c r="G6310" s="32" t="n">
        <v>9.039999999999999</v>
      </c>
      <c r="H6310" s="32" t="inlineStr">
        <is>
          <t>bb</t>
        </is>
      </c>
      <c r="K6310" s="32" t="inlineStr">
        <is>
          <t>20250514-22</t>
        </is>
      </c>
    </row>
    <row r="6311">
      <c r="A6311" s="32" t="n">
        <v>12</v>
      </c>
      <c r="B6311" s="32" t="inlineStr">
        <is>
          <t>SB2</t>
        </is>
      </c>
      <c r="D6311" s="32" t="n">
        <v>15.86</v>
      </c>
      <c r="E6311" s="32" t="n">
        <v>54.323</v>
      </c>
      <c r="F6311" s="32" t="n">
        <v>232.082</v>
      </c>
      <c r="G6311" s="32" t="n">
        <v>1.814</v>
      </c>
      <c r="H6311" s="32" t="inlineStr">
        <is>
          <t>bb</t>
        </is>
      </c>
      <c r="K6311" s="32" t="inlineStr">
        <is>
          <t>20250514-23</t>
        </is>
      </c>
    </row>
    <row r="6312">
      <c r="A6312" s="32" t="n">
        <v>13</v>
      </c>
      <c r="B6312" s="32" t="inlineStr">
        <is>
          <t>SB3</t>
        </is>
      </c>
      <c r="D6312" s="32" t="n">
        <v>15.56</v>
      </c>
      <c r="E6312" s="32" t="n">
        <v>153.949</v>
      </c>
      <c r="F6312" s="32" t="n">
        <v>402.233</v>
      </c>
      <c r="G6312" s="32" t="n">
        <v>3.06</v>
      </c>
      <c r="H6312" s="32" t="inlineStr">
        <is>
          <t>bb</t>
        </is>
      </c>
      <c r="K6312" s="32" t="inlineStr">
        <is>
          <t>20250514-24</t>
        </is>
      </c>
    </row>
    <row r="6313">
      <c r="A6313" s="32" t="n">
        <v>14</v>
      </c>
      <c r="B6313" s="32" t="inlineStr">
        <is>
          <t>SS1</t>
        </is>
      </c>
      <c r="D6313" s="32" t="n">
        <v>15.59</v>
      </c>
      <c r="E6313" s="32" t="n">
        <v>1643.799</v>
      </c>
      <c r="F6313" s="32" t="n">
        <v>226.458</v>
      </c>
      <c r="G6313" s="32" t="n">
        <v>16.044</v>
      </c>
      <c r="H6313" s="32" t="inlineStr">
        <is>
          <t>bb</t>
        </is>
      </c>
      <c r="K6313" s="32" t="inlineStr">
        <is>
          <t>20250514-25</t>
        </is>
      </c>
    </row>
    <row r="6314">
      <c r="A6314" s="32" t="n">
        <v>15</v>
      </c>
      <c r="B6314" s="32" t="inlineStr">
        <is>
          <t>SS2</t>
        </is>
      </c>
      <c r="D6314" s="32" t="n">
        <v>15.59</v>
      </c>
      <c r="E6314" s="32" t="n">
        <v>1474.133</v>
      </c>
      <c r="F6314" s="32" t="n">
        <v>147.337</v>
      </c>
      <c r="G6314" s="32" t="n">
        <v>9258</v>
      </c>
      <c r="H6314" s="32" t="inlineStr">
        <is>
          <t>bb</t>
        </is>
      </c>
      <c r="K6314" s="32" t="inlineStr">
        <is>
          <t>20250514-26</t>
        </is>
      </c>
    </row>
    <row r="6315">
      <c r="A6315" s="32" t="n">
        <v>16</v>
      </c>
      <c r="B6315" s="32" t="inlineStr">
        <is>
          <t>SS3</t>
        </is>
      </c>
      <c r="D6315" s="32" t="n">
        <v>15.61</v>
      </c>
      <c r="E6315" s="32" t="n">
        <v>1936.4</v>
      </c>
      <c r="F6315" s="32" t="n">
        <v>151.755</v>
      </c>
      <c r="G6315" s="32" t="n">
        <v>58.805</v>
      </c>
      <c r="H6315" s="32" t="inlineStr">
        <is>
          <t>bb</t>
        </is>
      </c>
      <c r="K6315" s="32" t="inlineStr">
        <is>
          <t>20250514-27</t>
        </is>
      </c>
    </row>
    <row r="6316">
      <c r="A6316" s="32" t="n">
        <v>17</v>
      </c>
      <c r="B6316" s="32" t="inlineStr">
        <is>
          <t>MeOH</t>
        </is>
      </c>
      <c r="H6316" s="32" t="inlineStr">
        <is>
          <t>MM-</t>
        </is>
      </c>
      <c r="K6316" s="32" t="inlineStr">
        <is>
          <t>20250514-28</t>
        </is>
      </c>
    </row>
    <row r="6317">
      <c r="A6317" s="32" t="n">
        <v>18</v>
      </c>
      <c r="B6317" s="32" t="inlineStr">
        <is>
          <t>K4-1A</t>
        </is>
      </c>
      <c r="D6317" s="32" t="n">
        <v>15.77</v>
      </c>
      <c r="E6317" s="32" t="n">
        <v>6.032</v>
      </c>
      <c r="F6317" s="32" t="n">
        <v>475.929</v>
      </c>
      <c r="G6317" s="32" t="n">
        <v>53</v>
      </c>
      <c r="H6317" s="32" t="inlineStr">
        <is>
          <t>bb</t>
        </is>
      </c>
      <c r="K6317" s="32" t="inlineStr">
        <is>
          <t>20250514-29</t>
        </is>
      </c>
    </row>
    <row r="6318">
      <c r="A6318" s="32" t="n">
        <v>19</v>
      </c>
      <c r="B6318" s="32" t="inlineStr">
        <is>
          <t>K4-1B</t>
        </is>
      </c>
      <c r="D6318" s="32" t="n">
        <v>15.19</v>
      </c>
      <c r="E6318" s="32" t="n">
        <v>25.574</v>
      </c>
      <c r="F6318" s="32" t="n">
        <v>630.044</v>
      </c>
      <c r="G6318" s="32" t="n">
        <v>0.86</v>
      </c>
      <c r="H6318" s="32" t="inlineStr">
        <is>
          <t>bb</t>
        </is>
      </c>
      <c r="K6318" s="32" t="inlineStr">
        <is>
          <t>20250514-30</t>
        </is>
      </c>
    </row>
    <row r="6319">
      <c r="A6319" s="32" t="n">
        <v>20</v>
      </c>
      <c r="B6319" s="32" t="inlineStr">
        <is>
          <t>K4-1C</t>
        </is>
      </c>
      <c r="D6319" s="32" t="n">
        <v>15.33</v>
      </c>
      <c r="E6319" s="32" t="n">
        <v>43.61</v>
      </c>
      <c r="F6319" s="32" t="n">
        <v>602.215</v>
      </c>
      <c r="G6319" s="32" t="n">
        <v>266</v>
      </c>
      <c r="H6319" s="32" t="inlineStr">
        <is>
          <t>bb</t>
        </is>
      </c>
      <c r="K6319" s="32" t="inlineStr">
        <is>
          <t>20250514-31</t>
        </is>
      </c>
    </row>
    <row r="6320">
      <c r="A6320" s="32" t="n">
        <v>21</v>
      </c>
      <c r="B6320" s="32" t="inlineStr">
        <is>
          <t>K4-2A</t>
        </is>
      </c>
      <c r="D6320" s="32" t="n">
        <v>15.31</v>
      </c>
      <c r="E6320" s="32" t="n">
        <v>6.359</v>
      </c>
      <c r="F6320" s="32" t="n">
        <v>216.774</v>
      </c>
      <c r="G6320" s="32" t="n">
        <v>0.5600000000000001</v>
      </c>
      <c r="H6320" s="32" t="inlineStr">
        <is>
          <t>bb</t>
        </is>
      </c>
      <c r="K6320" s="32" t="inlineStr">
        <is>
          <t>20250514-32</t>
        </is>
      </c>
    </row>
    <row r="6321">
      <c r="A6321" s="32" t="n">
        <v>22</v>
      </c>
      <c r="B6321" s="32" t="inlineStr">
        <is>
          <t>K4-2B</t>
        </is>
      </c>
      <c r="D6321" s="32" t="n">
        <v>15.62</v>
      </c>
      <c r="E6321" s="32" t="n">
        <v>15.569</v>
      </c>
      <c r="F6321" s="32" t="n">
        <v>492.326</v>
      </c>
      <c r="G6321" s="32" t="n">
        <v>138</v>
      </c>
      <c r="H6321" s="32" t="inlineStr">
        <is>
          <t>bb</t>
        </is>
      </c>
      <c r="K6321" s="32" t="inlineStr">
        <is>
          <t>20250514-33</t>
        </is>
      </c>
    </row>
    <row r="6322">
      <c r="A6322" s="32" t="n">
        <v>23</v>
      </c>
      <c r="B6322" s="32" t="inlineStr">
        <is>
          <t>K4-2C</t>
        </is>
      </c>
      <c r="D6322" s="32" t="n">
        <v>15.64</v>
      </c>
      <c r="E6322" s="32" t="n">
        <v>2.985</v>
      </c>
      <c r="F6322" s="32" t="n">
        <v>145.292</v>
      </c>
      <c r="G6322" s="32" t="n">
        <v>26</v>
      </c>
      <c r="H6322" s="32" t="inlineStr">
        <is>
          <t>MM</t>
        </is>
      </c>
      <c r="K6322" s="32" t="inlineStr">
        <is>
          <t>20250514-34</t>
        </is>
      </c>
    </row>
    <row r="6323">
      <c r="A6323" s="32" t="n">
        <v>24</v>
      </c>
      <c r="B6323" s="32" t="inlineStr">
        <is>
          <t>MeOH</t>
        </is>
      </c>
      <c r="D6323" s="32" t="n">
        <v>15.71</v>
      </c>
      <c r="E6323" s="32" t="n">
        <v>34.393</v>
      </c>
      <c r="G6323" s="32" t="n">
        <v>2.216</v>
      </c>
      <c r="H6323" s="32" t="inlineStr">
        <is>
          <t>bb</t>
        </is>
      </c>
      <c r="K6323" s="32" t="inlineStr">
        <is>
          <t>20250514-35</t>
        </is>
      </c>
    </row>
    <row r="6324">
      <c r="A6324" s="32" t="n">
        <v>25</v>
      </c>
      <c r="B6324" s="32" t="inlineStr">
        <is>
          <t>K4-4A</t>
        </is>
      </c>
      <c r="D6324" s="32" t="n">
        <v>15.99</v>
      </c>
      <c r="E6324" s="32" t="n">
        <v>62.472</v>
      </c>
      <c r="F6324" s="32" t="n">
        <v>255.18</v>
      </c>
      <c r="G6324" s="32" t="n">
        <v>603</v>
      </c>
      <c r="H6324" s="32" t="inlineStr">
        <is>
          <t>MM</t>
        </is>
      </c>
      <c r="K6324" s="32" t="inlineStr">
        <is>
          <t>20250514-36</t>
        </is>
      </c>
    </row>
    <row r="6325">
      <c r="A6325" s="32" t="n">
        <v>26</v>
      </c>
      <c r="B6325" s="32" t="inlineStr">
        <is>
          <t>K4-4B</t>
        </is>
      </c>
      <c r="D6325" s="32" t="n">
        <v>15.58</v>
      </c>
      <c r="E6325" s="32" t="n">
        <v>14.778</v>
      </c>
      <c r="F6325" s="32" t="n">
        <v>423.729</v>
      </c>
      <c r="G6325" s="32" t="n">
        <v>135</v>
      </c>
      <c r="H6325" s="32" t="inlineStr">
        <is>
          <t>MM</t>
        </is>
      </c>
      <c r="K6325" s="32" t="inlineStr">
        <is>
          <t>20250514-37</t>
        </is>
      </c>
    </row>
    <row r="6326">
      <c r="A6326" s="32" t="n">
        <v>27</v>
      </c>
      <c r="B6326" s="32" t="inlineStr">
        <is>
          <t>K4-4C</t>
        </is>
      </c>
      <c r="D6326" s="32" t="n">
        <v>15.71</v>
      </c>
      <c r="E6326" s="32" t="n">
        <v>45.765</v>
      </c>
      <c r="F6326" s="32" t="n">
        <v>428.353</v>
      </c>
      <c r="G6326" s="32" t="n">
        <v>396</v>
      </c>
      <c r="H6326" s="32" t="inlineStr">
        <is>
          <t>MM</t>
        </is>
      </c>
      <c r="K6326" s="32" t="inlineStr">
        <is>
          <t>20250514-38</t>
        </is>
      </c>
    </row>
    <row r="6327">
      <c r="A6327" s="32" t="n">
        <v>28</v>
      </c>
      <c r="B6327" s="32" t="inlineStr">
        <is>
          <t>K4-5A</t>
        </is>
      </c>
      <c r="D6327" s="32" t="n">
        <v>15.67</v>
      </c>
      <c r="E6327" s="32" t="n">
        <v>103.463</v>
      </c>
      <c r="F6327" s="32" t="n">
        <v>314.929</v>
      </c>
      <c r="G6327" s="32" t="n">
        <v>686</v>
      </c>
      <c r="H6327" s="32" t="inlineStr">
        <is>
          <t>bb</t>
        </is>
      </c>
      <c r="K6327" s="32" t="inlineStr">
        <is>
          <t>20250514-39</t>
        </is>
      </c>
    </row>
    <row r="6328">
      <c r="A6328" s="32" t="n">
        <v>29</v>
      </c>
      <c r="B6328" s="32" t="inlineStr">
        <is>
          <t>K4-5B</t>
        </is>
      </c>
      <c r="D6328" s="32" t="n">
        <v>15.6</v>
      </c>
      <c r="E6328" s="32" t="n">
        <v>32.325</v>
      </c>
      <c r="F6328" s="32" t="n">
        <v>115.724</v>
      </c>
      <c r="G6328" s="32" t="n">
        <v>8.853999999999999</v>
      </c>
      <c r="H6328" s="32" t="inlineStr">
        <is>
          <t>MM</t>
        </is>
      </c>
      <c r="K6328" s="32" t="inlineStr">
        <is>
          <t>20250514-40</t>
        </is>
      </c>
    </row>
    <row r="6329">
      <c r="A6329" s="32" t="n">
        <v>30</v>
      </c>
      <c r="B6329" s="32" t="inlineStr">
        <is>
          <t>K4-5C</t>
        </is>
      </c>
      <c r="D6329" s="32" t="n">
        <v>15.59</v>
      </c>
      <c r="E6329" s="32" t="n">
        <v>3.003</v>
      </c>
      <c r="F6329" s="32" t="n">
        <v>225.611</v>
      </c>
      <c r="G6329" s="32" t="n">
        <v>0.075</v>
      </c>
      <c r="H6329" s="32" t="inlineStr">
        <is>
          <t>MM</t>
        </is>
      </c>
      <c r="K6329" s="32" t="inlineStr">
        <is>
          <t>20250514-41</t>
        </is>
      </c>
    </row>
    <row r="6330">
      <c r="A6330" s="32" t="n">
        <v>31</v>
      </c>
      <c r="B6330" s="32" t="inlineStr">
        <is>
          <t>MeOH</t>
        </is>
      </c>
      <c r="D6330" s="32" t="n">
        <v>15.7</v>
      </c>
      <c r="E6330" s="32" t="n">
        <v>0.354</v>
      </c>
      <c r="G6330" s="32" t="n">
        <v>0.02</v>
      </c>
      <c r="H6330" s="32" t="inlineStr">
        <is>
          <t>bb</t>
        </is>
      </c>
      <c r="K6330" s="32" t="inlineStr">
        <is>
          <t>20250514-42</t>
        </is>
      </c>
    </row>
    <row r="6331">
      <c r="A6331" s="32" t="n">
        <v>32</v>
      </c>
      <c r="B6331" s="32" t="inlineStr">
        <is>
          <t>K3-1A</t>
        </is>
      </c>
      <c r="D6331" s="32" t="n">
        <v>15.58</v>
      </c>
      <c r="E6331" s="32" t="n">
        <v>96.878</v>
      </c>
      <c r="F6331" s="32" t="n">
        <v>432.168</v>
      </c>
      <c r="G6331" s="32" t="n">
        <v>2.171</v>
      </c>
      <c r="H6331" s="32" t="inlineStr">
        <is>
          <t>bb</t>
        </is>
      </c>
      <c r="K6331" s="32" t="inlineStr">
        <is>
          <t>20250514-43</t>
        </is>
      </c>
    </row>
    <row r="6332">
      <c r="A6332" s="32" t="n">
        <v>33</v>
      </c>
      <c r="B6332" s="32" t="inlineStr">
        <is>
          <t>K3-1B</t>
        </is>
      </c>
      <c r="D6332" s="32" t="n">
        <v>15.61</v>
      </c>
      <c r="E6332" s="32" t="n">
        <v>51.818</v>
      </c>
      <c r="F6332" s="32" t="n">
        <v>439.829</v>
      </c>
      <c r="G6332" s="32" t="n">
        <v>7.521</v>
      </c>
      <c r="H6332" s="32" t="inlineStr">
        <is>
          <t>bb</t>
        </is>
      </c>
      <c r="K6332" s="32" t="inlineStr">
        <is>
          <t>20250514-44</t>
        </is>
      </c>
    </row>
    <row r="6333">
      <c r="A6333" s="32" t="n">
        <v>34</v>
      </c>
      <c r="B6333" s="32" t="inlineStr">
        <is>
          <t>K3-1C</t>
        </is>
      </c>
      <c r="D6333" s="32" t="n">
        <v>15.62</v>
      </c>
      <c r="E6333" s="32" t="n">
        <v>51.582</v>
      </c>
      <c r="F6333" s="32" t="n">
        <v>313.795</v>
      </c>
      <c r="G6333" s="32" t="n">
        <v>1.305</v>
      </c>
      <c r="H6333" s="32" t="inlineStr">
        <is>
          <t>bb</t>
        </is>
      </c>
      <c r="K6333" s="32" t="inlineStr">
        <is>
          <t>20250514-45</t>
        </is>
      </c>
    </row>
    <row r="6334">
      <c r="A6334" s="32" t="n">
        <v>35</v>
      </c>
      <c r="B6334" s="32" t="inlineStr">
        <is>
          <t>K3-2A</t>
        </is>
      </c>
      <c r="D6334" s="32" t="n">
        <v>15.56</v>
      </c>
      <c r="E6334" s="32" t="n">
        <v>44.542</v>
      </c>
      <c r="F6334" s="32" t="n">
        <v>420.878</v>
      </c>
      <c r="G6334" s="32" t="n">
        <v>12.762</v>
      </c>
      <c r="H6334" s="32" t="inlineStr">
        <is>
          <t>MM</t>
        </is>
      </c>
      <c r="K6334" s="32" t="inlineStr">
        <is>
          <t>20250514-46</t>
        </is>
      </c>
    </row>
    <row r="6335">
      <c r="A6335" s="32" t="n">
        <v>36</v>
      </c>
      <c r="B6335" s="32" t="inlineStr">
        <is>
          <t>K3-2B</t>
        </is>
      </c>
      <c r="D6335" s="32" t="n">
        <v>15.03</v>
      </c>
      <c r="E6335" s="32" t="n">
        <v>16.284</v>
      </c>
      <c r="F6335" s="32" t="n">
        <v>830.495</v>
      </c>
      <c r="G6335" s="32" t="n">
        <v>1.449</v>
      </c>
      <c r="H6335" s="32" t="inlineStr">
        <is>
          <t>bb</t>
        </is>
      </c>
      <c r="K6335" s="32" t="inlineStr">
        <is>
          <t>20250514-47</t>
        </is>
      </c>
    </row>
    <row r="6336">
      <c r="A6336" s="32" t="n">
        <v>37</v>
      </c>
      <c r="B6336" s="32" t="inlineStr">
        <is>
          <t>K3-2C</t>
        </is>
      </c>
      <c r="D6336" s="32" t="n">
        <v>15.65</v>
      </c>
      <c r="E6336" s="32" t="n">
        <v>45.555</v>
      </c>
      <c r="F6336" s="32" t="n">
        <v>343.52</v>
      </c>
      <c r="G6336" s="32" t="n">
        <v>1.654</v>
      </c>
      <c r="H6336" s="32" t="inlineStr">
        <is>
          <t>bb</t>
        </is>
      </c>
      <c r="K6336" s="32" t="inlineStr">
        <is>
          <t>20250514-48</t>
        </is>
      </c>
    </row>
    <row r="6337">
      <c r="A6337" s="32" t="n">
        <v>38</v>
      </c>
      <c r="B6337" s="32" t="inlineStr">
        <is>
          <t>MeOH</t>
        </is>
      </c>
      <c r="H6337" s="32" t="inlineStr">
        <is>
          <t>MM-</t>
        </is>
      </c>
      <c r="K6337" s="32" t="inlineStr">
        <is>
          <t>20250514-49</t>
        </is>
      </c>
    </row>
    <row r="6338">
      <c r="A6338" s="32" t="n">
        <v>39</v>
      </c>
      <c r="B6338" s="32" t="inlineStr">
        <is>
          <t>K3-3A</t>
        </is>
      </c>
      <c r="D6338" s="32" t="n">
        <v>15.61</v>
      </c>
      <c r="E6338" s="32" t="n">
        <v>68.462</v>
      </c>
      <c r="F6338" s="32" t="n">
        <v>376.834</v>
      </c>
      <c r="G6338" s="32" t="n">
        <v>1.454</v>
      </c>
      <c r="H6338" s="32" t="inlineStr">
        <is>
          <t>MM</t>
        </is>
      </c>
      <c r="K6338" s="32" t="inlineStr">
        <is>
          <t>20250514-50</t>
        </is>
      </c>
    </row>
    <row r="6339">
      <c r="A6339" s="32" t="n">
        <v>40</v>
      </c>
      <c r="B6339" s="32" t="inlineStr">
        <is>
          <t>K3-3B</t>
        </is>
      </c>
      <c r="D6339" s="32" t="n">
        <v>15.61</v>
      </c>
      <c r="E6339" s="32" t="n">
        <v>195.926</v>
      </c>
      <c r="F6339" s="32" t="n">
        <v>559.133</v>
      </c>
      <c r="G6339" s="32" t="n">
        <v>3.837</v>
      </c>
      <c r="H6339" s="32" t="inlineStr">
        <is>
          <t>bb</t>
        </is>
      </c>
      <c r="K6339" s="32" t="inlineStr">
        <is>
          <t>20250514-51</t>
        </is>
      </c>
    </row>
    <row r="6340">
      <c r="A6340" s="32" t="n">
        <v>41</v>
      </c>
      <c r="B6340" s="32" t="inlineStr">
        <is>
          <t>K3-3C</t>
        </is>
      </c>
      <c r="D6340" s="32" t="n">
        <v>15.61</v>
      </c>
      <c r="E6340" s="32" t="n">
        <v>261.985</v>
      </c>
      <c r="F6340" s="32" t="n">
        <v>435.036</v>
      </c>
      <c r="G6340" s="32" t="n">
        <v>7.022</v>
      </c>
      <c r="H6340" s="32" t="inlineStr">
        <is>
          <t>bb</t>
        </is>
      </c>
      <c r="K6340" s="32" t="inlineStr">
        <is>
          <t>20250514-52</t>
        </is>
      </c>
    </row>
    <row r="6341">
      <c r="A6341" s="32" t="n">
        <v>42</v>
      </c>
      <c r="B6341" s="32" t="inlineStr">
        <is>
          <t>K3-4A</t>
        </is>
      </c>
      <c r="D6341" s="32" t="n">
        <v>15.71</v>
      </c>
      <c r="E6341" s="32" t="n">
        <v>125.551</v>
      </c>
      <c r="F6341" s="32" t="n">
        <v>337.222</v>
      </c>
      <c r="G6341" s="32" t="n">
        <v>20.026</v>
      </c>
      <c r="H6341" s="32" t="inlineStr">
        <is>
          <t>bb</t>
        </is>
      </c>
      <c r="K6341" s="32" t="inlineStr">
        <is>
          <t>20250514-53</t>
        </is>
      </c>
    </row>
    <row r="6342">
      <c r="A6342" s="32" t="n">
        <v>43</v>
      </c>
      <c r="B6342" s="32" t="inlineStr">
        <is>
          <t>K3-4B</t>
        </is>
      </c>
      <c r="D6342" s="32" t="n">
        <v>15.67</v>
      </c>
      <c r="E6342" s="32" t="n">
        <v>97.892</v>
      </c>
      <c r="F6342" s="32" t="n">
        <v>758.223</v>
      </c>
      <c r="G6342" s="32" t="n">
        <v>2.56</v>
      </c>
      <c r="H6342" s="32" t="inlineStr">
        <is>
          <t>MM</t>
        </is>
      </c>
      <c r="K6342" s="32" t="inlineStr">
        <is>
          <t>20250514-54</t>
        </is>
      </c>
    </row>
    <row r="6343">
      <c r="A6343" s="32" t="n">
        <v>44</v>
      </c>
      <c r="B6343" s="32" t="inlineStr">
        <is>
          <t>K3-4C</t>
        </is>
      </c>
      <c r="D6343" s="32" t="n">
        <v>15.7</v>
      </c>
      <c r="E6343" s="32" t="n">
        <v>170.9</v>
      </c>
      <c r="F6343" s="32" t="n">
        <v>427.126</v>
      </c>
      <c r="G6343" s="32" t="n">
        <v>2.233</v>
      </c>
      <c r="H6343" s="32" t="inlineStr">
        <is>
          <t>bb</t>
        </is>
      </c>
      <c r="K6343" s="32" t="inlineStr">
        <is>
          <t>20250514-55</t>
        </is>
      </c>
    </row>
    <row r="6344">
      <c r="A6344" s="32" t="n">
        <v>45</v>
      </c>
      <c r="B6344" s="32" t="inlineStr">
        <is>
          <t>MeOH</t>
        </is>
      </c>
      <c r="K6344" s="32" t="inlineStr">
        <is>
          <t>20250514-56</t>
        </is>
      </c>
    </row>
    <row r="6345">
      <c r="A6345" s="32" t="n">
        <v>46</v>
      </c>
      <c r="B6345" s="32" t="inlineStr">
        <is>
          <t>K3-6A</t>
        </is>
      </c>
      <c r="D6345" s="32" t="n">
        <v>15.76</v>
      </c>
      <c r="E6345" s="32" t="n">
        <v>34.883</v>
      </c>
      <c r="F6345" s="32" t="n">
        <v>793.353</v>
      </c>
      <c r="G6345" s="32" t="n">
        <v>1.467</v>
      </c>
      <c r="H6345" s="32" t="inlineStr">
        <is>
          <t>MM</t>
        </is>
      </c>
      <c r="K6345" s="32" t="inlineStr">
        <is>
          <t>20250514-57</t>
        </is>
      </c>
    </row>
    <row r="6346">
      <c r="A6346" s="32" t="n">
        <v>47</v>
      </c>
      <c r="B6346" s="32" t="inlineStr">
        <is>
          <t>K3-6B</t>
        </is>
      </c>
      <c r="D6346" s="32" t="n">
        <v>15.7</v>
      </c>
      <c r="E6346" s="32" t="n">
        <v>77.011</v>
      </c>
      <c r="F6346" s="32" t="n">
        <v>501.186</v>
      </c>
      <c r="G6346" s="32" t="n">
        <v>1.781</v>
      </c>
      <c r="H6346" s="32" t="inlineStr">
        <is>
          <t>bb</t>
        </is>
      </c>
      <c r="K6346" s="32" t="inlineStr">
        <is>
          <t>20250514-58</t>
        </is>
      </c>
    </row>
    <row r="6347">
      <c r="A6347" s="32" t="n">
        <v>48</v>
      </c>
      <c r="B6347" s="32" t="inlineStr">
        <is>
          <t>K3-6C</t>
        </is>
      </c>
      <c r="D6347" s="32" t="n">
        <v>15.51</v>
      </c>
      <c r="E6347" s="32" t="n">
        <v>47.782</v>
      </c>
      <c r="F6347" s="32" t="n">
        <v>295.29</v>
      </c>
      <c r="G6347" s="32" t="n">
        <v>1.005</v>
      </c>
      <c r="H6347" s="32" t="inlineStr">
        <is>
          <t>bb</t>
        </is>
      </c>
      <c r="K6347" s="32" t="inlineStr">
        <is>
          <t>20250514-59</t>
        </is>
      </c>
    </row>
    <row r="6349">
      <c r="A6349" s="32" t="inlineStr">
        <is>
          <t>Compound 123:  m2 PFDoDA 1</t>
        </is>
      </c>
    </row>
    <row r="6351">
      <c r="B6351" s="32" t="inlineStr">
        <is>
          <t>Sample Text</t>
        </is>
      </c>
      <c r="C6351" s="32" t="inlineStr">
        <is>
          <t>Std. Conc</t>
        </is>
      </c>
      <c r="D6351" s="32" t="inlineStr">
        <is>
          <t>RT</t>
        </is>
      </c>
      <c r="E6351" s="32" t="inlineStr">
        <is>
          <t>Area</t>
        </is>
      </c>
      <c r="F6351" s="32" t="inlineStr">
        <is>
          <t>IS Area</t>
        </is>
      </c>
      <c r="G6351" s="32" t="inlineStr">
        <is>
          <t>S/N</t>
        </is>
      </c>
      <c r="H6351" s="32" t="inlineStr">
        <is>
          <t>Primary Flags</t>
        </is>
      </c>
      <c r="I6351" s="32" t="inlineStr">
        <is>
          <t>Response</t>
        </is>
      </c>
      <c r="J6351" s="32" t="inlineStr">
        <is>
          <t>Conc.</t>
        </is>
      </c>
      <c r="K6351" s="32" t="inlineStr">
        <is>
          <t>Name</t>
        </is>
      </c>
    </row>
    <row r="6352">
      <c r="A6352" s="32" t="n">
        <v>1</v>
      </c>
      <c r="B6352" s="32" t="inlineStr">
        <is>
          <t>EPA1633 &amp; diPAPs Calibration 0 ppb</t>
        </is>
      </c>
      <c r="D6352" s="32" t="n">
        <v>15.53</v>
      </c>
      <c r="E6352" s="32" t="n">
        <v>1699.565</v>
      </c>
      <c r="G6352" s="32" t="n">
        <v>86.54000000000001</v>
      </c>
      <c r="H6352" s="32" t="inlineStr">
        <is>
          <t>bb</t>
        </is>
      </c>
      <c r="I6352" s="32" t="n">
        <v>1699.565</v>
      </c>
      <c r="K6352" s="32" t="inlineStr">
        <is>
          <t>20250514-12</t>
        </is>
      </c>
    </row>
    <row r="6353">
      <c r="A6353" s="32" t="n">
        <v>2</v>
      </c>
      <c r="B6353" s="32" t="inlineStr">
        <is>
          <t>EPA1633 &amp; diPAPs Calibration 0.02 ppb</t>
        </is>
      </c>
      <c r="D6353" s="32" t="n">
        <v>15.53</v>
      </c>
      <c r="E6353" s="32" t="n">
        <v>1218.852</v>
      </c>
      <c r="G6353" s="32" t="n">
        <v>8971</v>
      </c>
      <c r="H6353" s="32" t="inlineStr">
        <is>
          <t>bb</t>
        </is>
      </c>
      <c r="I6353" s="32" t="n">
        <v>1218.852</v>
      </c>
      <c r="K6353" s="32" t="inlineStr">
        <is>
          <t>20250514-13</t>
        </is>
      </c>
    </row>
    <row r="6354">
      <c r="A6354" s="32" t="n">
        <v>3</v>
      </c>
      <c r="B6354" s="32" t="inlineStr">
        <is>
          <t>EPA1633 &amp; diPAPs Calibration 0.1 ppb</t>
        </is>
      </c>
      <c r="D6354" s="32" t="n">
        <v>15.55</v>
      </c>
      <c r="E6354" s="32" t="n">
        <v>1578.659</v>
      </c>
      <c r="G6354" s="32" t="n">
        <v>11.635</v>
      </c>
      <c r="H6354" s="32" t="inlineStr">
        <is>
          <t>bb</t>
        </is>
      </c>
      <c r="I6354" s="32" t="n">
        <v>1578.659</v>
      </c>
      <c r="K6354" s="32" t="inlineStr">
        <is>
          <t>20250514-14</t>
        </is>
      </c>
    </row>
    <row r="6355">
      <c r="A6355" s="32" t="n">
        <v>4</v>
      </c>
      <c r="B6355" s="32" t="inlineStr">
        <is>
          <t>EPA1633 &amp; diPAPs Calibration 0.4 ppb</t>
        </is>
      </c>
      <c r="D6355" s="32" t="n">
        <v>15.56</v>
      </c>
      <c r="E6355" s="32" t="n">
        <v>1176.884</v>
      </c>
      <c r="G6355" s="32" t="n">
        <v>128.01</v>
      </c>
      <c r="H6355" s="32" t="inlineStr">
        <is>
          <t>bb</t>
        </is>
      </c>
      <c r="I6355" s="32" t="n">
        <v>1176.884</v>
      </c>
      <c r="K6355" s="32" t="inlineStr">
        <is>
          <t>20250514-15</t>
        </is>
      </c>
    </row>
    <row r="6356">
      <c r="A6356" s="32" t="n">
        <v>5</v>
      </c>
      <c r="B6356" s="32" t="inlineStr">
        <is>
          <t>EPA1633 &amp; diPAPs Calibration 1 ppb</t>
        </is>
      </c>
      <c r="D6356" s="32" t="n">
        <v>15.53</v>
      </c>
      <c r="E6356" s="32" t="n">
        <v>1460.092</v>
      </c>
      <c r="G6356" s="32" t="n">
        <v>10116</v>
      </c>
      <c r="H6356" s="32" t="inlineStr">
        <is>
          <t>bb</t>
        </is>
      </c>
      <c r="I6356" s="32" t="n">
        <v>1460.092</v>
      </c>
      <c r="K6356" s="32" t="inlineStr">
        <is>
          <t>20250514-16</t>
        </is>
      </c>
    </row>
    <row r="6357">
      <c r="A6357" s="32" t="n">
        <v>6</v>
      </c>
      <c r="B6357" s="32" t="inlineStr">
        <is>
          <t>EPA1633 &amp; diPAPs Calibration 5 ppb</t>
        </is>
      </c>
      <c r="D6357" s="32" t="n">
        <v>15.51</v>
      </c>
      <c r="E6357" s="32" t="n">
        <v>762.21</v>
      </c>
      <c r="G6357" s="32" t="n">
        <v>4977</v>
      </c>
      <c r="H6357" s="32" t="inlineStr">
        <is>
          <t>bb</t>
        </is>
      </c>
      <c r="I6357" s="32" t="n">
        <v>762.21</v>
      </c>
      <c r="K6357" s="32" t="inlineStr">
        <is>
          <t>20250514-17</t>
        </is>
      </c>
    </row>
    <row r="6358">
      <c r="A6358" s="32" t="n">
        <v>7</v>
      </c>
      <c r="B6358" s="32" t="inlineStr">
        <is>
          <t>EPA1633 &amp; diPAPs Calibration 10 ppb</t>
        </is>
      </c>
      <c r="D6358" s="32" t="n">
        <v>15.51</v>
      </c>
      <c r="E6358" s="32" t="n">
        <v>854.968</v>
      </c>
      <c r="G6358" s="32" t="n">
        <v>6252</v>
      </c>
      <c r="H6358" s="32" t="inlineStr">
        <is>
          <t>bb</t>
        </is>
      </c>
      <c r="I6358" s="32" t="n">
        <v>854.968</v>
      </c>
      <c r="K6358" s="32" t="inlineStr">
        <is>
          <t>20250514-18</t>
        </is>
      </c>
    </row>
    <row r="6359">
      <c r="A6359" s="32" t="n">
        <v>8</v>
      </c>
      <c r="B6359" s="32" t="inlineStr">
        <is>
          <t>EPA1633 &amp; diPAPs Calibration 20 ppb</t>
        </is>
      </c>
      <c r="D6359" s="32" t="n">
        <v>15.53</v>
      </c>
      <c r="E6359" s="32" t="n">
        <v>850.52</v>
      </c>
      <c r="G6359" s="32" t="n">
        <v>6259</v>
      </c>
      <c r="H6359" s="32" t="inlineStr">
        <is>
          <t>bb</t>
        </is>
      </c>
      <c r="I6359" s="32" t="n">
        <v>850.52</v>
      </c>
      <c r="K6359" s="32" t="inlineStr">
        <is>
          <t>20250514-19</t>
        </is>
      </c>
    </row>
    <row r="6360">
      <c r="A6360" s="32" t="n">
        <v>9</v>
      </c>
      <c r="B6360" s="32" t="inlineStr">
        <is>
          <t>MeOH</t>
        </is>
      </c>
      <c r="D6360" s="32" t="n">
        <v>15.02</v>
      </c>
      <c r="E6360" s="32" t="n">
        <v>2.279</v>
      </c>
      <c r="G6360" s="32" t="n">
        <v>21</v>
      </c>
      <c r="H6360" s="32" t="inlineStr">
        <is>
          <t>bb</t>
        </is>
      </c>
      <c r="I6360" s="32" t="n">
        <v>2.279</v>
      </c>
      <c r="K6360" s="32" t="inlineStr">
        <is>
          <t>20250514-20</t>
        </is>
      </c>
    </row>
    <row r="6361">
      <c r="A6361" s="32" t="n">
        <v>10</v>
      </c>
      <c r="B6361" s="32" t="inlineStr">
        <is>
          <t>MeOH</t>
        </is>
      </c>
      <c r="K6361" s="32" t="inlineStr">
        <is>
          <t>20250514-21</t>
        </is>
      </c>
    </row>
    <row r="6362">
      <c r="A6362" s="32" t="n">
        <v>11</v>
      </c>
      <c r="B6362" s="32" t="inlineStr">
        <is>
          <t>SB1</t>
        </is>
      </c>
      <c r="D6362" s="32" t="n">
        <v>15.54</v>
      </c>
      <c r="E6362" s="32" t="n">
        <v>280.929</v>
      </c>
      <c r="G6362" s="32" t="n">
        <v>10.344</v>
      </c>
      <c r="H6362" s="32" t="inlineStr">
        <is>
          <t>bb</t>
        </is>
      </c>
      <c r="I6362" s="32" t="n">
        <v>280.929</v>
      </c>
      <c r="K6362" s="32" t="inlineStr">
        <is>
          <t>20250514-22</t>
        </is>
      </c>
    </row>
    <row r="6363">
      <c r="A6363" s="32" t="n">
        <v>12</v>
      </c>
      <c r="B6363" s="32" t="inlineStr">
        <is>
          <t>SB2</t>
        </is>
      </c>
      <c r="D6363" s="32" t="n">
        <v>15.57</v>
      </c>
      <c r="E6363" s="32" t="n">
        <v>232.082</v>
      </c>
      <c r="G6363" s="32" t="n">
        <v>1479</v>
      </c>
      <c r="H6363" s="32" t="inlineStr">
        <is>
          <t>bb</t>
        </is>
      </c>
      <c r="I6363" s="32" t="n">
        <v>232.082</v>
      </c>
      <c r="K6363" s="32" t="inlineStr">
        <is>
          <t>20250514-23</t>
        </is>
      </c>
    </row>
    <row r="6364">
      <c r="A6364" s="32" t="n">
        <v>13</v>
      </c>
      <c r="B6364" s="32" t="inlineStr">
        <is>
          <t>SB3</t>
        </is>
      </c>
      <c r="D6364" s="32" t="n">
        <v>15.56</v>
      </c>
      <c r="E6364" s="32" t="n">
        <v>402.233</v>
      </c>
      <c r="G6364" s="32" t="n">
        <v>2795</v>
      </c>
      <c r="H6364" s="32" t="inlineStr">
        <is>
          <t>bb</t>
        </is>
      </c>
      <c r="I6364" s="32" t="n">
        <v>402.233</v>
      </c>
      <c r="K6364" s="32" t="inlineStr">
        <is>
          <t>20250514-24</t>
        </is>
      </c>
    </row>
    <row r="6365">
      <c r="A6365" s="32" t="n">
        <v>14</v>
      </c>
      <c r="B6365" s="32" t="inlineStr">
        <is>
          <t>SS1</t>
        </is>
      </c>
      <c r="D6365" s="32" t="n">
        <v>15.56</v>
      </c>
      <c r="E6365" s="32" t="n">
        <v>226.458</v>
      </c>
      <c r="G6365" s="32" t="n">
        <v>1677</v>
      </c>
      <c r="H6365" s="32" t="inlineStr">
        <is>
          <t>bb</t>
        </is>
      </c>
      <c r="I6365" s="32" t="n">
        <v>226.458</v>
      </c>
      <c r="K6365" s="32" t="inlineStr">
        <is>
          <t>20250514-25</t>
        </is>
      </c>
    </row>
    <row r="6366">
      <c r="A6366" s="32" t="n">
        <v>15</v>
      </c>
      <c r="B6366" s="32" t="inlineStr">
        <is>
          <t>SS2</t>
        </is>
      </c>
      <c r="D6366" s="32" t="n">
        <v>15.62</v>
      </c>
      <c r="E6366" s="32" t="n">
        <v>147.337</v>
      </c>
      <c r="G6366" s="32" t="n">
        <v>1151</v>
      </c>
      <c r="H6366" s="32" t="inlineStr">
        <is>
          <t>bb</t>
        </is>
      </c>
      <c r="I6366" s="32" t="n">
        <v>147.337</v>
      </c>
      <c r="K6366" s="32" t="inlineStr">
        <is>
          <t>20250514-26</t>
        </is>
      </c>
    </row>
    <row r="6367">
      <c r="A6367" s="32" t="n">
        <v>16</v>
      </c>
      <c r="B6367" s="32" t="inlineStr">
        <is>
          <t>SS3</t>
        </is>
      </c>
      <c r="D6367" s="32" t="n">
        <v>15.58</v>
      </c>
      <c r="E6367" s="32" t="n">
        <v>151.755</v>
      </c>
      <c r="G6367" s="32" t="n">
        <v>1137</v>
      </c>
      <c r="H6367" s="32" t="inlineStr">
        <is>
          <t>bb</t>
        </is>
      </c>
      <c r="I6367" s="32" t="n">
        <v>151.755</v>
      </c>
      <c r="K6367" s="32" t="inlineStr">
        <is>
          <t>20250514-27</t>
        </is>
      </c>
    </row>
    <row r="6368">
      <c r="A6368" s="32" t="n">
        <v>17</v>
      </c>
      <c r="B6368" s="32" t="inlineStr">
        <is>
          <t>MeOH</t>
        </is>
      </c>
      <c r="K6368" s="32" t="inlineStr">
        <is>
          <t>20250514-28</t>
        </is>
      </c>
    </row>
    <row r="6369">
      <c r="A6369" s="32" t="n">
        <v>18</v>
      </c>
      <c r="B6369" s="32" t="inlineStr">
        <is>
          <t>K4-1A</t>
        </is>
      </c>
      <c r="D6369" s="32" t="n">
        <v>15.6</v>
      </c>
      <c r="E6369" s="32" t="n">
        <v>475.929</v>
      </c>
      <c r="G6369" s="32" t="n">
        <v>25.272</v>
      </c>
      <c r="H6369" s="32" t="inlineStr">
        <is>
          <t>bb</t>
        </is>
      </c>
      <c r="I6369" s="32" t="n">
        <v>475.929</v>
      </c>
      <c r="K6369" s="32" t="inlineStr">
        <is>
          <t>20250514-29</t>
        </is>
      </c>
    </row>
    <row r="6370">
      <c r="A6370" s="32" t="n">
        <v>19</v>
      </c>
      <c r="B6370" s="32" t="inlineStr">
        <is>
          <t>K4-1B</t>
        </is>
      </c>
      <c r="D6370" s="32" t="n">
        <v>15.62</v>
      </c>
      <c r="E6370" s="32" t="n">
        <v>630.044</v>
      </c>
      <c r="G6370" s="32" t="n">
        <v>2.77</v>
      </c>
      <c r="H6370" s="32" t="inlineStr">
        <is>
          <t>bb</t>
        </is>
      </c>
      <c r="I6370" s="32" t="n">
        <v>630.044</v>
      </c>
      <c r="K6370" s="32" t="inlineStr">
        <is>
          <t>20250514-30</t>
        </is>
      </c>
    </row>
    <row r="6371">
      <c r="A6371" s="32" t="n">
        <v>20</v>
      </c>
      <c r="B6371" s="32" t="inlineStr">
        <is>
          <t>K4-1C</t>
        </is>
      </c>
      <c r="D6371" s="32" t="n">
        <v>15.64</v>
      </c>
      <c r="E6371" s="32" t="n">
        <v>602.215</v>
      </c>
      <c r="G6371" s="32" t="n">
        <v>3883</v>
      </c>
      <c r="H6371" s="32" t="inlineStr">
        <is>
          <t>bb</t>
        </is>
      </c>
      <c r="I6371" s="32" t="n">
        <v>602.215</v>
      </c>
      <c r="K6371" s="32" t="inlineStr">
        <is>
          <t>20250514-31</t>
        </is>
      </c>
    </row>
    <row r="6372">
      <c r="A6372" s="32" t="n">
        <v>21</v>
      </c>
      <c r="B6372" s="32" t="inlineStr">
        <is>
          <t>K4-2A</t>
        </is>
      </c>
      <c r="D6372" s="32" t="n">
        <v>15.62</v>
      </c>
      <c r="E6372" s="32" t="n">
        <v>216.774</v>
      </c>
      <c r="G6372" s="32" t="n">
        <v>1587</v>
      </c>
      <c r="H6372" s="32" t="inlineStr">
        <is>
          <t>bb</t>
        </is>
      </c>
      <c r="I6372" s="32" t="n">
        <v>216.774</v>
      </c>
      <c r="K6372" s="32" t="inlineStr">
        <is>
          <t>20250514-32</t>
        </is>
      </c>
    </row>
    <row r="6373">
      <c r="A6373" s="32" t="n">
        <v>22</v>
      </c>
      <c r="B6373" s="32" t="inlineStr">
        <is>
          <t>K4-2B</t>
        </is>
      </c>
      <c r="D6373" s="32" t="n">
        <v>15.61</v>
      </c>
      <c r="E6373" s="32" t="n">
        <v>492.326</v>
      </c>
      <c r="G6373" s="32" t="n">
        <v>18.138</v>
      </c>
      <c r="H6373" s="32" t="inlineStr">
        <is>
          <t>bb</t>
        </is>
      </c>
      <c r="I6373" s="32" t="n">
        <v>492.326</v>
      </c>
      <c r="K6373" s="32" t="inlineStr">
        <is>
          <t>20250514-33</t>
        </is>
      </c>
    </row>
    <row r="6374">
      <c r="A6374" s="32" t="n">
        <v>23</v>
      </c>
      <c r="B6374" s="32" t="inlineStr">
        <is>
          <t>K4-2C</t>
        </is>
      </c>
      <c r="D6374" s="32" t="n">
        <v>15.62</v>
      </c>
      <c r="E6374" s="32" t="n">
        <v>145.292</v>
      </c>
      <c r="G6374" s="32" t="n">
        <v>12.216</v>
      </c>
      <c r="H6374" s="32" t="inlineStr">
        <is>
          <t>bb</t>
        </is>
      </c>
      <c r="I6374" s="32" t="n">
        <v>145.292</v>
      </c>
      <c r="K6374" s="32" t="inlineStr">
        <is>
          <t>20250514-34</t>
        </is>
      </c>
    </row>
    <row r="6375">
      <c r="A6375" s="32" t="n">
        <v>24</v>
      </c>
      <c r="B6375" s="32" t="inlineStr">
        <is>
          <t>MeOH</t>
        </is>
      </c>
      <c r="K6375" s="32" t="inlineStr">
        <is>
          <t>20250514-35</t>
        </is>
      </c>
    </row>
    <row r="6376">
      <c r="A6376" s="32" t="n">
        <v>25</v>
      </c>
      <c r="B6376" s="32" t="inlineStr">
        <is>
          <t>K4-4A</t>
        </is>
      </c>
      <c r="D6376" s="32" t="n">
        <v>15.67</v>
      </c>
      <c r="E6376" s="32" t="n">
        <v>255.18</v>
      </c>
      <c r="G6376" s="32" t="n">
        <v>66.557</v>
      </c>
      <c r="H6376" s="32" t="inlineStr">
        <is>
          <t>bb</t>
        </is>
      </c>
      <c r="I6376" s="32" t="n">
        <v>255.18</v>
      </c>
      <c r="K6376" s="32" t="inlineStr">
        <is>
          <t>20250514-36</t>
        </is>
      </c>
    </row>
    <row r="6377">
      <c r="A6377" s="32" t="n">
        <v>26</v>
      </c>
      <c r="B6377" s="32" t="inlineStr">
        <is>
          <t>K4-4B</t>
        </is>
      </c>
      <c r="D6377" s="32" t="n">
        <v>15.62</v>
      </c>
      <c r="E6377" s="32" t="n">
        <v>423.729</v>
      </c>
      <c r="G6377" s="32" t="n">
        <v>541.818</v>
      </c>
      <c r="H6377" s="32" t="inlineStr">
        <is>
          <t>bb</t>
        </is>
      </c>
      <c r="I6377" s="32" t="n">
        <v>423.729</v>
      </c>
      <c r="K6377" s="32" t="inlineStr">
        <is>
          <t>20250514-37</t>
        </is>
      </c>
    </row>
    <row r="6378">
      <c r="A6378" s="32" t="n">
        <v>27</v>
      </c>
      <c r="B6378" s="32" t="inlineStr">
        <is>
          <t>K4-4C</t>
        </is>
      </c>
      <c r="D6378" s="32" t="n">
        <v>15.65</v>
      </c>
      <c r="E6378" s="32" t="n">
        <v>428.353</v>
      </c>
      <c r="G6378" s="32" t="n">
        <v>2987</v>
      </c>
      <c r="H6378" s="32" t="inlineStr">
        <is>
          <t>bb</t>
        </is>
      </c>
      <c r="I6378" s="32" t="n">
        <v>428.353</v>
      </c>
      <c r="K6378" s="32" t="inlineStr">
        <is>
          <t>20250514-38</t>
        </is>
      </c>
    </row>
    <row r="6379">
      <c r="A6379" s="32" t="n">
        <v>28</v>
      </c>
      <c r="B6379" s="32" t="inlineStr">
        <is>
          <t>K4-5A</t>
        </is>
      </c>
      <c r="D6379" s="32" t="n">
        <v>15.64</v>
      </c>
      <c r="E6379" s="32" t="n">
        <v>314.929</v>
      </c>
      <c r="G6379" s="32" t="n">
        <v>29.519</v>
      </c>
      <c r="H6379" s="32" t="inlineStr">
        <is>
          <t>bb</t>
        </is>
      </c>
      <c r="I6379" s="32" t="n">
        <v>314.929</v>
      </c>
      <c r="K6379" s="32" t="inlineStr">
        <is>
          <t>20250514-39</t>
        </is>
      </c>
    </row>
    <row r="6380">
      <c r="A6380" s="32" t="n">
        <v>29</v>
      </c>
      <c r="B6380" s="32" t="inlineStr">
        <is>
          <t>K4-5B</t>
        </is>
      </c>
      <c r="D6380" s="32" t="n">
        <v>15.62</v>
      </c>
      <c r="E6380" s="32" t="n">
        <v>115.724</v>
      </c>
      <c r="G6380" s="32" t="n">
        <v>10.065</v>
      </c>
      <c r="H6380" s="32" t="inlineStr">
        <is>
          <t>MM</t>
        </is>
      </c>
      <c r="I6380" s="32" t="n">
        <v>115.724</v>
      </c>
      <c r="K6380" s="32" t="inlineStr">
        <is>
          <t>20250514-40</t>
        </is>
      </c>
    </row>
    <row r="6381">
      <c r="A6381" s="32" t="n">
        <v>30</v>
      </c>
      <c r="B6381" s="32" t="inlineStr">
        <is>
          <t>K4-5C</t>
        </is>
      </c>
      <c r="D6381" s="32" t="n">
        <v>15.58</v>
      </c>
      <c r="E6381" s="32" t="n">
        <v>225.611</v>
      </c>
      <c r="G6381" s="32" t="n">
        <v>7.972</v>
      </c>
      <c r="H6381" s="32" t="inlineStr">
        <is>
          <t>bb</t>
        </is>
      </c>
      <c r="I6381" s="32" t="n">
        <v>225.611</v>
      </c>
      <c r="K6381" s="32" t="inlineStr">
        <is>
          <t>20250514-41</t>
        </is>
      </c>
    </row>
    <row r="6382">
      <c r="A6382" s="32" t="n">
        <v>31</v>
      </c>
      <c r="B6382" s="32" t="inlineStr">
        <is>
          <t>MeOH</t>
        </is>
      </c>
      <c r="K6382" s="32" t="inlineStr">
        <is>
          <t>20250514-42</t>
        </is>
      </c>
    </row>
    <row r="6383">
      <c r="A6383" s="32" t="n">
        <v>32</v>
      </c>
      <c r="B6383" s="32" t="inlineStr">
        <is>
          <t>K3-1A</t>
        </is>
      </c>
      <c r="D6383" s="32" t="n">
        <v>15.58</v>
      </c>
      <c r="E6383" s="32" t="n">
        <v>432.168</v>
      </c>
      <c r="G6383" s="32" t="n">
        <v>18.069</v>
      </c>
      <c r="H6383" s="32" t="inlineStr">
        <is>
          <t>bb</t>
        </is>
      </c>
      <c r="I6383" s="32" t="n">
        <v>432.168</v>
      </c>
      <c r="K6383" s="32" t="inlineStr">
        <is>
          <t>20250514-43</t>
        </is>
      </c>
    </row>
    <row r="6384">
      <c r="A6384" s="32" t="n">
        <v>33</v>
      </c>
      <c r="B6384" s="32" t="inlineStr">
        <is>
          <t>K3-1B</t>
        </is>
      </c>
      <c r="D6384" s="32" t="n">
        <v>15.56</v>
      </c>
      <c r="E6384" s="32" t="n">
        <v>439.829</v>
      </c>
      <c r="G6384" s="32" t="n">
        <v>15.074</v>
      </c>
      <c r="H6384" s="32" t="inlineStr">
        <is>
          <t>bb</t>
        </is>
      </c>
      <c r="I6384" s="32" t="n">
        <v>439.829</v>
      </c>
      <c r="K6384" s="32" t="inlineStr">
        <is>
          <t>20250514-44</t>
        </is>
      </c>
    </row>
    <row r="6385">
      <c r="A6385" s="32" t="n">
        <v>34</v>
      </c>
      <c r="B6385" s="32" t="inlineStr">
        <is>
          <t>K3-1C</t>
        </is>
      </c>
      <c r="D6385" s="32" t="n">
        <v>15.56</v>
      </c>
      <c r="E6385" s="32" t="n">
        <v>313.795</v>
      </c>
      <c r="G6385" s="32" t="n">
        <v>70.226</v>
      </c>
      <c r="H6385" s="32" t="inlineStr">
        <is>
          <t>bb</t>
        </is>
      </c>
      <c r="I6385" s="32" t="n">
        <v>313.795</v>
      </c>
      <c r="K6385" s="32" t="inlineStr">
        <is>
          <t>20250514-45</t>
        </is>
      </c>
    </row>
    <row r="6386">
      <c r="A6386" s="32" t="n">
        <v>35</v>
      </c>
      <c r="B6386" s="32" t="inlineStr">
        <is>
          <t>K3-2A</t>
        </is>
      </c>
      <c r="D6386" s="32" t="n">
        <v>15.59</v>
      </c>
      <c r="E6386" s="32" t="n">
        <v>420.878</v>
      </c>
      <c r="G6386" s="32" t="n">
        <v>18.38</v>
      </c>
      <c r="H6386" s="32" t="inlineStr">
        <is>
          <t>bb</t>
        </is>
      </c>
      <c r="I6386" s="32" t="n">
        <v>420.878</v>
      </c>
      <c r="K6386" s="32" t="inlineStr">
        <is>
          <t>20250514-46</t>
        </is>
      </c>
    </row>
    <row r="6387">
      <c r="A6387" s="32" t="n">
        <v>36</v>
      </c>
      <c r="B6387" s="32" t="inlineStr">
        <is>
          <t>K3-2B</t>
        </is>
      </c>
      <c r="D6387" s="32" t="n">
        <v>15.62</v>
      </c>
      <c r="E6387" s="32" t="n">
        <v>830.495</v>
      </c>
      <c r="G6387" s="32" t="n">
        <v>5334</v>
      </c>
      <c r="H6387" s="32" t="inlineStr">
        <is>
          <t>bb</t>
        </is>
      </c>
      <c r="I6387" s="32" t="n">
        <v>830.495</v>
      </c>
      <c r="K6387" s="32" t="inlineStr">
        <is>
          <t>20250514-47</t>
        </is>
      </c>
    </row>
    <row r="6388">
      <c r="A6388" s="32" t="n">
        <v>37</v>
      </c>
      <c r="B6388" s="32" t="inlineStr">
        <is>
          <t>K3-2C</t>
        </is>
      </c>
      <c r="D6388" s="32" t="n">
        <v>15.61</v>
      </c>
      <c r="E6388" s="32" t="n">
        <v>343.52</v>
      </c>
      <c r="G6388" s="32" t="n">
        <v>1995</v>
      </c>
      <c r="H6388" s="32" t="inlineStr">
        <is>
          <t>bb</t>
        </is>
      </c>
      <c r="I6388" s="32" t="n">
        <v>343.52</v>
      </c>
      <c r="K6388" s="32" t="inlineStr">
        <is>
          <t>20250514-48</t>
        </is>
      </c>
    </row>
    <row r="6389">
      <c r="A6389" s="32" t="n">
        <v>38</v>
      </c>
      <c r="B6389" s="32" t="inlineStr">
        <is>
          <t>MeOH</t>
        </is>
      </c>
      <c r="K6389" s="32" t="inlineStr">
        <is>
          <t>20250514-49</t>
        </is>
      </c>
    </row>
    <row r="6390">
      <c r="A6390" s="32" t="n">
        <v>39</v>
      </c>
      <c r="B6390" s="32" t="inlineStr">
        <is>
          <t>K3-3A</t>
        </is>
      </c>
      <c r="D6390" s="32" t="n">
        <v>15.61</v>
      </c>
      <c r="E6390" s="32" t="n">
        <v>376.834</v>
      </c>
      <c r="G6390" s="32" t="n">
        <v>2640</v>
      </c>
      <c r="H6390" s="32" t="inlineStr">
        <is>
          <t>bb</t>
        </is>
      </c>
      <c r="I6390" s="32" t="n">
        <v>376.834</v>
      </c>
      <c r="K6390" s="32" t="inlineStr">
        <is>
          <t>20250514-50</t>
        </is>
      </c>
    </row>
    <row r="6391">
      <c r="A6391" s="32" t="n">
        <v>40</v>
      </c>
      <c r="B6391" s="32" t="inlineStr">
        <is>
          <t>K3-3B</t>
        </is>
      </c>
      <c r="D6391" s="32" t="n">
        <v>15.64</v>
      </c>
      <c r="E6391" s="32" t="n">
        <v>559.133</v>
      </c>
      <c r="G6391" s="32" t="n">
        <v>19.31</v>
      </c>
      <c r="H6391" s="32" t="inlineStr">
        <is>
          <t>MM</t>
        </is>
      </c>
      <c r="I6391" s="32" t="n">
        <v>559.133</v>
      </c>
      <c r="K6391" s="32" t="inlineStr">
        <is>
          <t>20250514-51</t>
        </is>
      </c>
    </row>
    <row r="6392">
      <c r="A6392" s="32" t="n">
        <v>41</v>
      </c>
      <c r="B6392" s="32" t="inlineStr">
        <is>
          <t>K3-3C</t>
        </is>
      </c>
      <c r="D6392" s="32" t="n">
        <v>15.67</v>
      </c>
      <c r="E6392" s="32" t="n">
        <v>435.036</v>
      </c>
      <c r="G6392" s="32" t="n">
        <v>7.383</v>
      </c>
      <c r="H6392" s="32" t="inlineStr">
        <is>
          <t>bb</t>
        </is>
      </c>
      <c r="I6392" s="32" t="n">
        <v>435.036</v>
      </c>
      <c r="K6392" s="32" t="inlineStr">
        <is>
          <t>20250514-52</t>
        </is>
      </c>
    </row>
    <row r="6393">
      <c r="A6393" s="32" t="n">
        <v>42</v>
      </c>
      <c r="B6393" s="32" t="inlineStr">
        <is>
          <t>K3-4A</t>
        </is>
      </c>
      <c r="D6393" s="32" t="n">
        <v>15.68</v>
      </c>
      <c r="E6393" s="32" t="n">
        <v>337.222</v>
      </c>
      <c r="G6393" s="32" t="n">
        <v>13.434</v>
      </c>
      <c r="H6393" s="32" t="inlineStr">
        <is>
          <t>bb</t>
        </is>
      </c>
      <c r="I6393" s="32" t="n">
        <v>337.222</v>
      </c>
      <c r="K6393" s="32" t="inlineStr">
        <is>
          <t>20250514-53</t>
        </is>
      </c>
    </row>
    <row r="6394">
      <c r="A6394" s="32" t="n">
        <v>43</v>
      </c>
      <c r="B6394" s="32" t="inlineStr">
        <is>
          <t>K3-4B</t>
        </is>
      </c>
      <c r="D6394" s="32" t="n">
        <v>15.65</v>
      </c>
      <c r="E6394" s="32" t="n">
        <v>758.223</v>
      </c>
      <c r="G6394" s="32" t="n">
        <v>94.05500000000001</v>
      </c>
      <c r="H6394" s="32" t="inlineStr">
        <is>
          <t>bb</t>
        </is>
      </c>
      <c r="I6394" s="32" t="n">
        <v>758.223</v>
      </c>
      <c r="K6394" s="32" t="inlineStr">
        <is>
          <t>20250514-54</t>
        </is>
      </c>
    </row>
    <row r="6395">
      <c r="A6395" s="32" t="n">
        <v>44</v>
      </c>
      <c r="B6395" s="32" t="inlineStr">
        <is>
          <t>K3-4C</t>
        </is>
      </c>
      <c r="D6395" s="32" t="n">
        <v>15.7</v>
      </c>
      <c r="E6395" s="32" t="n">
        <v>427.126</v>
      </c>
      <c r="G6395" s="32" t="n">
        <v>55.467</v>
      </c>
      <c r="H6395" s="32" t="inlineStr">
        <is>
          <t>bb</t>
        </is>
      </c>
      <c r="I6395" s="32" t="n">
        <v>427.126</v>
      </c>
      <c r="K6395" s="32" t="inlineStr">
        <is>
          <t>20250514-55</t>
        </is>
      </c>
    </row>
    <row r="6396">
      <c r="A6396" s="32" t="n">
        <v>45</v>
      </c>
      <c r="B6396" s="32" t="inlineStr">
        <is>
          <t>MeOH</t>
        </is>
      </c>
      <c r="K6396" s="32" t="inlineStr">
        <is>
          <t>20250514-56</t>
        </is>
      </c>
    </row>
    <row r="6397">
      <c r="A6397" s="32" t="n">
        <v>46</v>
      </c>
      <c r="B6397" s="32" t="inlineStr">
        <is>
          <t>K3-6A</t>
        </is>
      </c>
      <c r="D6397" s="32" t="n">
        <v>15.68</v>
      </c>
      <c r="E6397" s="32" t="n">
        <v>793.353</v>
      </c>
      <c r="G6397" s="32" t="n">
        <v>5356</v>
      </c>
      <c r="H6397" s="32" t="inlineStr">
        <is>
          <t>bb</t>
        </is>
      </c>
      <c r="I6397" s="32" t="n">
        <v>793.353</v>
      </c>
      <c r="K6397" s="32" t="inlineStr">
        <is>
          <t>20250514-57</t>
        </is>
      </c>
    </row>
    <row r="6398">
      <c r="A6398" s="32" t="n">
        <v>47</v>
      </c>
      <c r="B6398" s="32" t="inlineStr">
        <is>
          <t>K3-6B</t>
        </is>
      </c>
      <c r="D6398" s="32" t="n">
        <v>15.68</v>
      </c>
      <c r="E6398" s="32" t="n">
        <v>501.186</v>
      </c>
      <c r="G6398" s="32" t="n">
        <v>6.159</v>
      </c>
      <c r="H6398" s="32" t="inlineStr">
        <is>
          <t>bb</t>
        </is>
      </c>
      <c r="I6398" s="32" t="n">
        <v>501.186</v>
      </c>
      <c r="K6398" s="32" t="inlineStr">
        <is>
          <t>20250514-58</t>
        </is>
      </c>
    </row>
    <row r="6399">
      <c r="A6399" s="32" t="n">
        <v>48</v>
      </c>
      <c r="B6399" s="32" t="inlineStr">
        <is>
          <t>K3-6C</t>
        </is>
      </c>
      <c r="D6399" s="32" t="n">
        <v>15.65</v>
      </c>
      <c r="E6399" s="32" t="n">
        <v>295.29</v>
      </c>
      <c r="G6399" s="32" t="n">
        <v>2107</v>
      </c>
      <c r="H6399" s="32" t="inlineStr">
        <is>
          <t>bb</t>
        </is>
      </c>
      <c r="I6399" s="32" t="n">
        <v>295.29</v>
      </c>
      <c r="K6399" s="32" t="inlineStr">
        <is>
          <t>20250514-59</t>
        </is>
      </c>
    </row>
    <row r="6401">
      <c r="A6401" s="32" t="inlineStr">
        <is>
          <t>Compound 124:  m2 PFDoDA 2</t>
        </is>
      </c>
    </row>
    <row r="6403">
      <c r="B6403" s="32" t="inlineStr">
        <is>
          <t>Sample Text</t>
        </is>
      </c>
      <c r="C6403" s="32" t="inlineStr">
        <is>
          <t>Std. Conc</t>
        </is>
      </c>
      <c r="D6403" s="32" t="inlineStr">
        <is>
          <t>RT</t>
        </is>
      </c>
      <c r="E6403" s="32" t="inlineStr">
        <is>
          <t>Area</t>
        </is>
      </c>
      <c r="F6403" s="32" t="inlineStr">
        <is>
          <t>IS Area</t>
        </is>
      </c>
      <c r="G6403" s="32" t="inlineStr">
        <is>
          <t>S/N</t>
        </is>
      </c>
      <c r="H6403" s="32" t="inlineStr">
        <is>
          <t>Primary Flags</t>
        </is>
      </c>
      <c r="I6403" s="32" t="inlineStr">
        <is>
          <t>Response</t>
        </is>
      </c>
      <c r="J6403" s="32" t="inlineStr">
        <is>
          <t>Conc.</t>
        </is>
      </c>
      <c r="K6403" s="32" t="inlineStr">
        <is>
          <t>Name</t>
        </is>
      </c>
    </row>
    <row r="6404">
      <c r="A6404" s="32" t="n">
        <v>1</v>
      </c>
      <c r="B6404" s="32" t="inlineStr">
        <is>
          <t>EPA1633 &amp; diPAPs Calibration 0 ppb</t>
        </is>
      </c>
      <c r="D6404" s="32" t="n">
        <v>15.53</v>
      </c>
      <c r="E6404" s="32" t="n">
        <v>2075.32</v>
      </c>
      <c r="G6404" s="32" t="n">
        <v>154.246</v>
      </c>
      <c r="H6404" s="32" t="inlineStr">
        <is>
          <t>bb</t>
        </is>
      </c>
      <c r="I6404" s="32" t="n">
        <v>2075.32</v>
      </c>
      <c r="K6404" s="32" t="inlineStr">
        <is>
          <t>20250514-12</t>
        </is>
      </c>
    </row>
    <row r="6405">
      <c r="A6405" s="32" t="n">
        <v>2</v>
      </c>
      <c r="B6405" s="32" t="inlineStr">
        <is>
          <t>EPA1633 &amp; diPAPs Calibration 0.02 ppb</t>
        </is>
      </c>
      <c r="D6405" s="32" t="n">
        <v>15.55</v>
      </c>
      <c r="E6405" s="32" t="n">
        <v>1493.9</v>
      </c>
      <c r="G6405" s="32" t="n">
        <v>9664</v>
      </c>
      <c r="H6405" s="32" t="inlineStr">
        <is>
          <t>bb</t>
        </is>
      </c>
      <c r="I6405" s="32" t="n">
        <v>1493.9</v>
      </c>
      <c r="K6405" s="32" t="inlineStr">
        <is>
          <t>20250514-13</t>
        </is>
      </c>
    </row>
    <row r="6406">
      <c r="A6406" s="32" t="n">
        <v>3</v>
      </c>
      <c r="B6406" s="32" t="inlineStr">
        <is>
          <t>EPA1633 &amp; diPAPs Calibration 0.1 ppb</t>
        </is>
      </c>
      <c r="D6406" s="32" t="n">
        <v>15.55</v>
      </c>
      <c r="E6406" s="32" t="n">
        <v>1612.42</v>
      </c>
      <c r="G6406" s="32" t="n">
        <v>43.882</v>
      </c>
      <c r="H6406" s="32" t="inlineStr">
        <is>
          <t>bb</t>
        </is>
      </c>
      <c r="I6406" s="32" t="n">
        <v>1612.42</v>
      </c>
      <c r="K6406" s="32" t="inlineStr">
        <is>
          <t>20250514-14</t>
        </is>
      </c>
    </row>
    <row r="6407">
      <c r="A6407" s="32" t="n">
        <v>4</v>
      </c>
      <c r="B6407" s="32" t="inlineStr">
        <is>
          <t>EPA1633 &amp; diPAPs Calibration 0.4 ppb</t>
        </is>
      </c>
      <c r="D6407" s="32" t="n">
        <v>15.54</v>
      </c>
      <c r="E6407" s="32" t="n">
        <v>1737.063</v>
      </c>
      <c r="G6407" s="32" t="n">
        <v>2282.721</v>
      </c>
      <c r="H6407" s="32" t="inlineStr">
        <is>
          <t>bb</t>
        </is>
      </c>
      <c r="I6407" s="32" t="n">
        <v>1737.063</v>
      </c>
      <c r="K6407" s="32" t="inlineStr">
        <is>
          <t>20250514-15</t>
        </is>
      </c>
    </row>
    <row r="6408">
      <c r="A6408" s="32" t="n">
        <v>5</v>
      </c>
      <c r="B6408" s="32" t="inlineStr">
        <is>
          <t>EPA1633 &amp; diPAPs Calibration 1 ppb</t>
        </is>
      </c>
      <c r="D6408" s="32" t="n">
        <v>15.53</v>
      </c>
      <c r="E6408" s="32" t="n">
        <v>1934.109</v>
      </c>
      <c r="G6408" s="32" t="n">
        <v>62.159</v>
      </c>
      <c r="H6408" s="32" t="inlineStr">
        <is>
          <t>bb</t>
        </is>
      </c>
      <c r="I6408" s="32" t="n">
        <v>1934.109</v>
      </c>
      <c r="K6408" s="32" t="inlineStr">
        <is>
          <t>20250514-16</t>
        </is>
      </c>
    </row>
    <row r="6409">
      <c r="A6409" s="32" t="n">
        <v>6</v>
      </c>
      <c r="B6409" s="32" t="inlineStr">
        <is>
          <t>EPA1633 &amp; diPAPs Calibration 5 ppb</t>
        </is>
      </c>
      <c r="D6409" s="32" t="n">
        <v>15.51</v>
      </c>
      <c r="E6409" s="32" t="n">
        <v>1187.091</v>
      </c>
      <c r="G6409" s="32" t="n">
        <v>8363</v>
      </c>
      <c r="H6409" s="32" t="inlineStr">
        <is>
          <t>bb</t>
        </is>
      </c>
      <c r="I6409" s="32" t="n">
        <v>1187.091</v>
      </c>
      <c r="K6409" s="32" t="inlineStr">
        <is>
          <t>20250514-17</t>
        </is>
      </c>
    </row>
    <row r="6410">
      <c r="A6410" s="32" t="n">
        <v>7</v>
      </c>
      <c r="B6410" s="32" t="inlineStr">
        <is>
          <t>EPA1633 &amp; diPAPs Calibration 10 ppb</t>
        </is>
      </c>
      <c r="D6410" s="32" t="n">
        <v>15.53</v>
      </c>
      <c r="E6410" s="32" t="n">
        <v>1023.909</v>
      </c>
      <c r="G6410" s="32" t="n">
        <v>110.098</v>
      </c>
      <c r="H6410" s="32" t="inlineStr">
        <is>
          <t>bb</t>
        </is>
      </c>
      <c r="I6410" s="32" t="n">
        <v>1023.909</v>
      </c>
      <c r="K6410" s="32" t="inlineStr">
        <is>
          <t>20250514-18</t>
        </is>
      </c>
    </row>
    <row r="6411">
      <c r="A6411" s="32" t="n">
        <v>8</v>
      </c>
      <c r="B6411" s="32" t="inlineStr">
        <is>
          <t>EPA1633 &amp; diPAPs Calibration 20 ppb</t>
        </is>
      </c>
      <c r="D6411" s="32" t="n">
        <v>15.53</v>
      </c>
      <c r="E6411" s="32" t="n">
        <v>1412.892</v>
      </c>
      <c r="G6411" s="32" t="n">
        <v>9823</v>
      </c>
      <c r="H6411" s="32" t="inlineStr">
        <is>
          <t>bb</t>
        </is>
      </c>
      <c r="I6411" s="32" t="n">
        <v>1412.892</v>
      </c>
      <c r="K6411" s="32" t="inlineStr">
        <is>
          <t>20250514-19</t>
        </is>
      </c>
    </row>
    <row r="6412">
      <c r="A6412" s="32" t="n">
        <v>9</v>
      </c>
      <c r="B6412" s="32" t="inlineStr">
        <is>
          <t>MeOH</t>
        </is>
      </c>
      <c r="D6412" s="32" t="n">
        <v>16.13</v>
      </c>
      <c r="E6412" s="32" t="n">
        <v>3.039</v>
      </c>
      <c r="G6412" s="32" t="n">
        <v>32</v>
      </c>
      <c r="H6412" s="32" t="inlineStr">
        <is>
          <t>bb</t>
        </is>
      </c>
      <c r="I6412" s="32" t="n">
        <v>3.039</v>
      </c>
      <c r="K6412" s="32" t="inlineStr">
        <is>
          <t>20250514-20</t>
        </is>
      </c>
    </row>
    <row r="6413">
      <c r="A6413" s="32" t="n">
        <v>10</v>
      </c>
      <c r="B6413" s="32" t="inlineStr">
        <is>
          <t>MeOH</t>
        </is>
      </c>
      <c r="K6413" s="32" t="inlineStr">
        <is>
          <t>20250514-21</t>
        </is>
      </c>
    </row>
    <row r="6414">
      <c r="A6414" s="32" t="n">
        <v>11</v>
      </c>
      <c r="B6414" s="32" t="inlineStr">
        <is>
          <t>SB1</t>
        </is>
      </c>
      <c r="D6414" s="32" t="n">
        <v>15.56</v>
      </c>
      <c r="E6414" s="32" t="n">
        <v>427.298</v>
      </c>
      <c r="G6414" s="32" t="n">
        <v>7.404</v>
      </c>
      <c r="H6414" s="32" t="inlineStr">
        <is>
          <t>bb</t>
        </is>
      </c>
      <c r="I6414" s="32" t="n">
        <v>427.298</v>
      </c>
      <c r="K6414" s="32" t="inlineStr">
        <is>
          <t>20250514-22</t>
        </is>
      </c>
    </row>
    <row r="6415">
      <c r="A6415" s="32" t="n">
        <v>12</v>
      </c>
      <c r="B6415" s="32" t="inlineStr">
        <is>
          <t>SB2</t>
        </is>
      </c>
      <c r="D6415" s="32" t="n">
        <v>15.57</v>
      </c>
      <c r="E6415" s="32" t="n">
        <v>432.105</v>
      </c>
      <c r="G6415" s="32" t="n">
        <v>3314</v>
      </c>
      <c r="H6415" s="32" t="inlineStr">
        <is>
          <t>bb</t>
        </is>
      </c>
      <c r="I6415" s="32" t="n">
        <v>432.105</v>
      </c>
      <c r="K6415" s="32" t="inlineStr">
        <is>
          <t>20250514-23</t>
        </is>
      </c>
    </row>
    <row r="6416">
      <c r="A6416" s="32" t="n">
        <v>13</v>
      </c>
      <c r="B6416" s="32" t="inlineStr">
        <is>
          <t>SB3</t>
        </is>
      </c>
      <c r="D6416" s="32" t="n">
        <v>15.59</v>
      </c>
      <c r="E6416" s="32" t="n">
        <v>318.387</v>
      </c>
      <c r="G6416" s="32" t="n">
        <v>3.143</v>
      </c>
      <c r="H6416" s="32" t="inlineStr">
        <is>
          <t>bb</t>
        </is>
      </c>
      <c r="I6416" s="32" t="n">
        <v>318.387</v>
      </c>
      <c r="K6416" s="32" t="inlineStr">
        <is>
          <t>20250514-24</t>
        </is>
      </c>
    </row>
    <row r="6417">
      <c r="A6417" s="32" t="n">
        <v>14</v>
      </c>
      <c r="B6417" s="32" t="inlineStr">
        <is>
          <t>SS1</t>
        </is>
      </c>
      <c r="D6417" s="32" t="n">
        <v>15.61</v>
      </c>
      <c r="E6417" s="32" t="n">
        <v>720.678</v>
      </c>
      <c r="G6417" s="32" t="n">
        <v>61.78</v>
      </c>
      <c r="H6417" s="32" t="inlineStr">
        <is>
          <t>bb</t>
        </is>
      </c>
      <c r="I6417" s="32" t="n">
        <v>720.678</v>
      </c>
      <c r="K6417" s="32" t="inlineStr">
        <is>
          <t>20250514-25</t>
        </is>
      </c>
    </row>
    <row r="6418">
      <c r="A6418" s="32" t="n">
        <v>15</v>
      </c>
      <c r="B6418" s="32" t="inlineStr">
        <is>
          <t>SS2</t>
        </is>
      </c>
      <c r="D6418" s="32" t="n">
        <v>15.61</v>
      </c>
      <c r="E6418" s="32" t="n">
        <v>452.362</v>
      </c>
      <c r="G6418" s="32" t="n">
        <v>3189</v>
      </c>
      <c r="H6418" s="32" t="inlineStr">
        <is>
          <t>bb</t>
        </is>
      </c>
      <c r="I6418" s="32" t="n">
        <v>452.362</v>
      </c>
      <c r="K6418" s="32" t="inlineStr">
        <is>
          <t>20250514-26</t>
        </is>
      </c>
    </row>
    <row r="6419">
      <c r="A6419" s="32" t="n">
        <v>16</v>
      </c>
      <c r="B6419" s="32" t="inlineStr">
        <is>
          <t>SS3</t>
        </is>
      </c>
      <c r="D6419" s="32" t="n">
        <v>15.62</v>
      </c>
      <c r="E6419" s="32" t="n">
        <v>357.911</v>
      </c>
      <c r="G6419" s="32" t="n">
        <v>2454</v>
      </c>
      <c r="H6419" s="32" t="inlineStr">
        <is>
          <t>bb</t>
        </is>
      </c>
      <c r="I6419" s="32" t="n">
        <v>357.911</v>
      </c>
      <c r="K6419" s="32" t="inlineStr">
        <is>
          <t>20250514-27</t>
        </is>
      </c>
    </row>
    <row r="6420">
      <c r="A6420" s="32" t="n">
        <v>17</v>
      </c>
      <c r="B6420" s="32" t="inlineStr">
        <is>
          <t>MeOH</t>
        </is>
      </c>
      <c r="K6420" s="32" t="inlineStr">
        <is>
          <t>20250514-28</t>
        </is>
      </c>
    </row>
    <row r="6421">
      <c r="A6421" s="32" t="n">
        <v>18</v>
      </c>
      <c r="B6421" s="32" t="inlineStr">
        <is>
          <t>K4-1A</t>
        </is>
      </c>
      <c r="D6421" s="32" t="n">
        <v>15.6</v>
      </c>
      <c r="E6421" s="32" t="n">
        <v>1000.974</v>
      </c>
      <c r="G6421" s="32" t="n">
        <v>7186</v>
      </c>
      <c r="H6421" s="32" t="inlineStr">
        <is>
          <t>bb</t>
        </is>
      </c>
      <c r="I6421" s="32" t="n">
        <v>1000.974</v>
      </c>
      <c r="K6421" s="32" t="inlineStr">
        <is>
          <t>20250514-29</t>
        </is>
      </c>
    </row>
    <row r="6422">
      <c r="A6422" s="32" t="n">
        <v>19</v>
      </c>
      <c r="B6422" s="32" t="inlineStr">
        <is>
          <t>K4-1B</t>
        </is>
      </c>
      <c r="D6422" s="32" t="n">
        <v>15.62</v>
      </c>
      <c r="E6422" s="32" t="n">
        <v>505.165</v>
      </c>
      <c r="G6422" s="32" t="n">
        <v>3817</v>
      </c>
      <c r="H6422" s="32" t="inlineStr">
        <is>
          <t>bb</t>
        </is>
      </c>
      <c r="I6422" s="32" t="n">
        <v>505.165</v>
      </c>
      <c r="K6422" s="32" t="inlineStr">
        <is>
          <t>20250514-30</t>
        </is>
      </c>
    </row>
    <row r="6423">
      <c r="A6423" s="32" t="n">
        <v>20</v>
      </c>
      <c r="B6423" s="32" t="inlineStr">
        <is>
          <t>K4-1C</t>
        </is>
      </c>
      <c r="D6423" s="32" t="n">
        <v>15.62</v>
      </c>
      <c r="E6423" s="32" t="n">
        <v>281.793</v>
      </c>
      <c r="G6423" s="32" t="n">
        <v>2100</v>
      </c>
      <c r="H6423" s="32" t="inlineStr">
        <is>
          <t>bb</t>
        </is>
      </c>
      <c r="I6423" s="32" t="n">
        <v>281.793</v>
      </c>
      <c r="K6423" s="32" t="inlineStr">
        <is>
          <t>20250514-31</t>
        </is>
      </c>
    </row>
    <row r="6424">
      <c r="A6424" s="32" t="n">
        <v>21</v>
      </c>
      <c r="B6424" s="32" t="inlineStr">
        <is>
          <t>K4-2A</t>
        </is>
      </c>
      <c r="D6424" s="32" t="n">
        <v>15.62</v>
      </c>
      <c r="E6424" s="32" t="n">
        <v>469.098</v>
      </c>
      <c r="G6424" s="32" t="n">
        <v>23.115</v>
      </c>
      <c r="H6424" s="32" t="inlineStr">
        <is>
          <t>bb</t>
        </is>
      </c>
      <c r="I6424" s="32" t="n">
        <v>469.098</v>
      </c>
      <c r="K6424" s="32" t="inlineStr">
        <is>
          <t>20250514-32</t>
        </is>
      </c>
    </row>
    <row r="6425">
      <c r="A6425" s="32" t="n">
        <v>22</v>
      </c>
      <c r="B6425" s="32" t="inlineStr">
        <is>
          <t>K4-2B</t>
        </is>
      </c>
      <c r="D6425" s="32" t="n">
        <v>15.62</v>
      </c>
      <c r="E6425" s="32" t="n">
        <v>398.183</v>
      </c>
      <c r="G6425" s="32" t="n">
        <v>2388</v>
      </c>
      <c r="H6425" s="32" t="inlineStr">
        <is>
          <t>bb</t>
        </is>
      </c>
      <c r="I6425" s="32" t="n">
        <v>398.183</v>
      </c>
      <c r="K6425" s="32" t="inlineStr">
        <is>
          <t>20250514-33</t>
        </is>
      </c>
    </row>
    <row r="6426">
      <c r="A6426" s="32" t="n">
        <v>23</v>
      </c>
      <c r="B6426" s="32" t="inlineStr">
        <is>
          <t>K4-2C</t>
        </is>
      </c>
      <c r="D6426" s="32" t="n">
        <v>15.64</v>
      </c>
      <c r="E6426" s="32" t="n">
        <v>250.312</v>
      </c>
      <c r="G6426" s="32" t="n">
        <v>13.323</v>
      </c>
      <c r="H6426" s="32" t="inlineStr">
        <is>
          <t>bb</t>
        </is>
      </c>
      <c r="I6426" s="32" t="n">
        <v>250.312</v>
      </c>
      <c r="K6426" s="32" t="inlineStr">
        <is>
          <t>20250514-34</t>
        </is>
      </c>
    </row>
    <row r="6427">
      <c r="A6427" s="32" t="n">
        <v>24</v>
      </c>
      <c r="B6427" s="32" t="inlineStr">
        <is>
          <t>MeOH</t>
        </is>
      </c>
      <c r="K6427" s="32" t="inlineStr">
        <is>
          <t>20250514-35</t>
        </is>
      </c>
    </row>
    <row r="6428">
      <c r="A6428" s="32" t="n">
        <v>25</v>
      </c>
      <c r="B6428" s="32" t="inlineStr">
        <is>
          <t>K4-4A</t>
        </is>
      </c>
      <c r="D6428" s="32" t="n">
        <v>15.67</v>
      </c>
      <c r="E6428" s="32" t="n">
        <v>488.548</v>
      </c>
      <c r="G6428" s="32" t="n">
        <v>3463</v>
      </c>
      <c r="H6428" s="32" t="inlineStr">
        <is>
          <t>bb</t>
        </is>
      </c>
      <c r="I6428" s="32" t="n">
        <v>488.548</v>
      </c>
      <c r="K6428" s="32" t="inlineStr">
        <is>
          <t>20250514-36</t>
        </is>
      </c>
    </row>
    <row r="6429">
      <c r="A6429" s="32" t="n">
        <v>26</v>
      </c>
      <c r="B6429" s="32" t="inlineStr">
        <is>
          <t>K4-4B</t>
        </is>
      </c>
      <c r="D6429" s="32" t="n">
        <v>15.67</v>
      </c>
      <c r="E6429" s="32" t="n">
        <v>343.586</v>
      </c>
      <c r="G6429" s="32" t="n">
        <v>2358</v>
      </c>
      <c r="H6429" s="32" t="inlineStr">
        <is>
          <t>bb</t>
        </is>
      </c>
      <c r="I6429" s="32" t="n">
        <v>343.586</v>
      </c>
      <c r="K6429" s="32" t="inlineStr">
        <is>
          <t>20250514-37</t>
        </is>
      </c>
    </row>
    <row r="6430">
      <c r="A6430" s="32" t="n">
        <v>27</v>
      </c>
      <c r="B6430" s="32" t="inlineStr">
        <is>
          <t>K4-4C</t>
        </is>
      </c>
      <c r="D6430" s="32" t="n">
        <v>15.65</v>
      </c>
      <c r="E6430" s="32" t="n">
        <v>643.522</v>
      </c>
      <c r="G6430" s="32" t="n">
        <v>3979</v>
      </c>
      <c r="H6430" s="32" t="inlineStr">
        <is>
          <t>bb</t>
        </is>
      </c>
      <c r="I6430" s="32" t="n">
        <v>643.522</v>
      </c>
      <c r="K6430" s="32" t="inlineStr">
        <is>
          <t>20250514-38</t>
        </is>
      </c>
    </row>
    <row r="6431">
      <c r="A6431" s="32" t="n">
        <v>28</v>
      </c>
      <c r="B6431" s="32" t="inlineStr">
        <is>
          <t>K4-5A</t>
        </is>
      </c>
      <c r="D6431" s="32" t="n">
        <v>15.65</v>
      </c>
      <c r="E6431" s="32" t="n">
        <v>253.147</v>
      </c>
      <c r="G6431" s="32" t="n">
        <v>1750</v>
      </c>
      <c r="H6431" s="32" t="inlineStr">
        <is>
          <t>bb</t>
        </is>
      </c>
      <c r="I6431" s="32" t="n">
        <v>253.147</v>
      </c>
      <c r="K6431" s="32" t="inlineStr">
        <is>
          <t>20250514-39</t>
        </is>
      </c>
    </row>
    <row r="6432">
      <c r="A6432" s="32" t="n">
        <v>29</v>
      </c>
      <c r="B6432" s="32" t="inlineStr">
        <is>
          <t>K4-5B</t>
        </is>
      </c>
      <c r="D6432" s="32" t="n">
        <v>15.62</v>
      </c>
      <c r="E6432" s="32" t="n">
        <v>544.886</v>
      </c>
      <c r="G6432" s="32" t="n">
        <v>1218.987</v>
      </c>
      <c r="H6432" s="32" t="inlineStr">
        <is>
          <t>bb</t>
        </is>
      </c>
      <c r="I6432" s="32" t="n">
        <v>544.886</v>
      </c>
      <c r="K6432" s="32" t="inlineStr">
        <is>
          <t>20250514-40</t>
        </is>
      </c>
    </row>
    <row r="6433">
      <c r="A6433" s="32" t="n">
        <v>30</v>
      </c>
      <c r="B6433" s="32" t="inlineStr">
        <is>
          <t>K4-5C</t>
        </is>
      </c>
      <c r="D6433" s="32" t="n">
        <v>15.56</v>
      </c>
      <c r="E6433" s="32" t="n">
        <v>406.123</v>
      </c>
      <c r="G6433" s="32" t="n">
        <v>3087</v>
      </c>
      <c r="H6433" s="32" t="inlineStr">
        <is>
          <t>bb</t>
        </is>
      </c>
      <c r="I6433" s="32" t="n">
        <v>406.123</v>
      </c>
      <c r="K6433" s="32" t="inlineStr">
        <is>
          <t>20250514-41</t>
        </is>
      </c>
    </row>
    <row r="6434">
      <c r="A6434" s="32" t="n">
        <v>31</v>
      </c>
      <c r="B6434" s="32" t="inlineStr">
        <is>
          <t>MeOH</t>
        </is>
      </c>
      <c r="K6434" s="32" t="inlineStr">
        <is>
          <t>20250514-42</t>
        </is>
      </c>
    </row>
    <row r="6435">
      <c r="A6435" s="32" t="n">
        <v>32</v>
      </c>
      <c r="B6435" s="32" t="inlineStr">
        <is>
          <t>K3-1A</t>
        </is>
      </c>
      <c r="D6435" s="32" t="n">
        <v>15.56</v>
      </c>
      <c r="E6435" s="32" t="n">
        <v>831.888</v>
      </c>
      <c r="G6435" s="32" t="n">
        <v>181.181</v>
      </c>
      <c r="H6435" s="32" t="inlineStr">
        <is>
          <t>bb</t>
        </is>
      </c>
      <c r="I6435" s="32" t="n">
        <v>831.888</v>
      </c>
      <c r="K6435" s="32" t="inlineStr">
        <is>
          <t>20250514-43</t>
        </is>
      </c>
    </row>
    <row r="6436">
      <c r="A6436" s="32" t="n">
        <v>33</v>
      </c>
      <c r="B6436" s="32" t="inlineStr">
        <is>
          <t>K3-1B</t>
        </is>
      </c>
      <c r="D6436" s="32" t="n">
        <v>15.55</v>
      </c>
      <c r="E6436" s="32" t="n">
        <v>596.221</v>
      </c>
      <c r="G6436" s="32" t="n">
        <v>8.837</v>
      </c>
      <c r="H6436" s="32" t="inlineStr">
        <is>
          <t>bb</t>
        </is>
      </c>
      <c r="I6436" s="32" t="n">
        <v>596.221</v>
      </c>
      <c r="K6436" s="32" t="inlineStr">
        <is>
          <t>20250514-44</t>
        </is>
      </c>
    </row>
    <row r="6437">
      <c r="A6437" s="32" t="n">
        <v>34</v>
      </c>
      <c r="B6437" s="32" t="inlineStr">
        <is>
          <t>K3-1C</t>
        </is>
      </c>
      <c r="D6437" s="32" t="n">
        <v>15.58</v>
      </c>
      <c r="E6437" s="32" t="n">
        <v>1040.168</v>
      </c>
      <c r="G6437" s="32" t="n">
        <v>7450</v>
      </c>
      <c r="H6437" s="32" t="inlineStr">
        <is>
          <t>bb</t>
        </is>
      </c>
      <c r="I6437" s="32" t="n">
        <v>1040.168</v>
      </c>
      <c r="K6437" s="32" t="inlineStr">
        <is>
          <t>20250514-45</t>
        </is>
      </c>
    </row>
    <row r="6438">
      <c r="A6438" s="32" t="n">
        <v>35</v>
      </c>
      <c r="B6438" s="32" t="inlineStr">
        <is>
          <t>K3-2A</t>
        </is>
      </c>
      <c r="D6438" s="32" t="n">
        <v>15.59</v>
      </c>
      <c r="E6438" s="32" t="n">
        <v>643.562</v>
      </c>
      <c r="G6438" s="32" t="n">
        <v>4.18</v>
      </c>
      <c r="H6438" s="32" t="inlineStr">
        <is>
          <t>bb</t>
        </is>
      </c>
      <c r="I6438" s="32" t="n">
        <v>643.562</v>
      </c>
      <c r="K6438" s="32" t="inlineStr">
        <is>
          <t>20250514-46</t>
        </is>
      </c>
    </row>
    <row r="6439">
      <c r="A6439" s="32" t="n">
        <v>36</v>
      </c>
      <c r="B6439" s="32" t="inlineStr">
        <is>
          <t>K3-2B</t>
        </is>
      </c>
      <c r="D6439" s="32" t="n">
        <v>15.61</v>
      </c>
      <c r="E6439" s="32" t="n">
        <v>889.081</v>
      </c>
      <c r="G6439" s="32" t="n">
        <v>6302</v>
      </c>
      <c r="H6439" s="32" t="inlineStr">
        <is>
          <t>bb</t>
        </is>
      </c>
      <c r="I6439" s="32" t="n">
        <v>889.081</v>
      </c>
      <c r="K6439" s="32" t="inlineStr">
        <is>
          <t>20250514-47</t>
        </is>
      </c>
    </row>
    <row r="6440">
      <c r="A6440" s="32" t="n">
        <v>37</v>
      </c>
      <c r="B6440" s="32" t="inlineStr">
        <is>
          <t>K3-2C</t>
        </is>
      </c>
      <c r="D6440" s="32" t="n">
        <v>15.62</v>
      </c>
      <c r="E6440" s="32" t="n">
        <v>854.707</v>
      </c>
      <c r="G6440" s="32" t="n">
        <v>27.638</v>
      </c>
      <c r="H6440" s="32" t="inlineStr">
        <is>
          <t>bb</t>
        </is>
      </c>
      <c r="I6440" s="32" t="n">
        <v>854.707</v>
      </c>
      <c r="K6440" s="32" t="inlineStr">
        <is>
          <t>20250514-48</t>
        </is>
      </c>
    </row>
    <row r="6441">
      <c r="A6441" s="32" t="n">
        <v>38</v>
      </c>
      <c r="B6441" s="32" t="inlineStr">
        <is>
          <t>MeOH</t>
        </is>
      </c>
      <c r="K6441" s="32" t="inlineStr">
        <is>
          <t>20250514-49</t>
        </is>
      </c>
    </row>
    <row r="6442">
      <c r="A6442" s="32" t="n">
        <v>39</v>
      </c>
      <c r="B6442" s="32" t="inlineStr">
        <is>
          <t>K3-3A</t>
        </is>
      </c>
      <c r="K6442" s="32" t="inlineStr">
        <is>
          <t>20250514-50</t>
        </is>
      </c>
    </row>
    <row r="6443">
      <c r="A6443" s="32" t="n">
        <v>40</v>
      </c>
      <c r="B6443" s="32" t="inlineStr">
        <is>
          <t>K3-3B</t>
        </is>
      </c>
      <c r="D6443" s="32" t="n">
        <v>15.65</v>
      </c>
      <c r="E6443" s="32" t="n">
        <v>722.446</v>
      </c>
      <c r="G6443" s="32" t="n">
        <v>21.905</v>
      </c>
      <c r="H6443" s="32" t="inlineStr">
        <is>
          <t>bb</t>
        </is>
      </c>
      <c r="I6443" s="32" t="n">
        <v>722.446</v>
      </c>
      <c r="K6443" s="32" t="inlineStr">
        <is>
          <t>20250514-51</t>
        </is>
      </c>
    </row>
    <row r="6444">
      <c r="A6444" s="32" t="n">
        <v>41</v>
      </c>
      <c r="B6444" s="32" t="inlineStr">
        <is>
          <t>K3-3C</t>
        </is>
      </c>
      <c r="D6444" s="32" t="n">
        <v>15.62</v>
      </c>
      <c r="E6444" s="32" t="n">
        <v>1182.783</v>
      </c>
      <c r="G6444" s="32" t="n">
        <v>18.88</v>
      </c>
      <c r="H6444" s="32" t="inlineStr">
        <is>
          <t>bb</t>
        </is>
      </c>
      <c r="I6444" s="32" t="n">
        <v>1182.783</v>
      </c>
      <c r="K6444" s="32" t="inlineStr">
        <is>
          <t>20250514-52</t>
        </is>
      </c>
    </row>
    <row r="6445">
      <c r="A6445" s="32" t="n">
        <v>42</v>
      </c>
      <c r="B6445" s="32" t="inlineStr">
        <is>
          <t>K3-4A</t>
        </is>
      </c>
      <c r="D6445" s="32" t="n">
        <v>15.67</v>
      </c>
      <c r="E6445" s="32" t="n">
        <v>1004.083</v>
      </c>
      <c r="G6445" s="32" t="n">
        <v>92.47499999999999</v>
      </c>
      <c r="H6445" s="32" t="inlineStr">
        <is>
          <t>bb</t>
        </is>
      </c>
      <c r="I6445" s="32" t="n">
        <v>1004.083</v>
      </c>
      <c r="K6445" s="32" t="inlineStr">
        <is>
          <t>20250514-53</t>
        </is>
      </c>
    </row>
    <row r="6446">
      <c r="A6446" s="32" t="n">
        <v>43</v>
      </c>
      <c r="B6446" s="32" t="inlineStr">
        <is>
          <t>K3-4B</t>
        </is>
      </c>
      <c r="D6446" s="32" t="n">
        <v>15.67</v>
      </c>
      <c r="E6446" s="32" t="n">
        <v>1035.886</v>
      </c>
      <c r="G6446" s="32" t="n">
        <v>145.315</v>
      </c>
      <c r="H6446" s="32" t="inlineStr">
        <is>
          <t>bb</t>
        </is>
      </c>
      <c r="I6446" s="32" t="n">
        <v>1035.886</v>
      </c>
      <c r="K6446" s="32" t="inlineStr">
        <is>
          <t>20250514-54</t>
        </is>
      </c>
    </row>
    <row r="6447">
      <c r="A6447" s="32" t="n">
        <v>44</v>
      </c>
      <c r="B6447" s="32" t="inlineStr">
        <is>
          <t>K3-4C</t>
        </is>
      </c>
      <c r="D6447" s="32" t="n">
        <v>15.7</v>
      </c>
      <c r="E6447" s="32" t="n">
        <v>918.1900000000001</v>
      </c>
      <c r="G6447" s="32" t="n">
        <v>5.399</v>
      </c>
      <c r="H6447" s="32" t="inlineStr">
        <is>
          <t>bb</t>
        </is>
      </c>
      <c r="I6447" s="32" t="n">
        <v>918.1900000000001</v>
      </c>
      <c r="K6447" s="32" t="inlineStr">
        <is>
          <t>20250514-55</t>
        </is>
      </c>
    </row>
    <row r="6448">
      <c r="A6448" s="32" t="n">
        <v>45</v>
      </c>
      <c r="B6448" s="32" t="inlineStr">
        <is>
          <t>MeOH</t>
        </is>
      </c>
      <c r="D6448" s="32" t="n">
        <v>15.78</v>
      </c>
      <c r="E6448" s="32" t="n">
        <v>1.062</v>
      </c>
      <c r="G6448" s="32" t="n">
        <v>9</v>
      </c>
      <c r="H6448" s="32" t="inlineStr">
        <is>
          <t>bb</t>
        </is>
      </c>
      <c r="I6448" s="32" t="n">
        <v>1.062</v>
      </c>
      <c r="K6448" s="32" t="inlineStr">
        <is>
          <t>20250514-56</t>
        </is>
      </c>
    </row>
    <row r="6449">
      <c r="A6449" s="32" t="n">
        <v>46</v>
      </c>
      <c r="B6449" s="32" t="inlineStr">
        <is>
          <t>K3-6A</t>
        </is>
      </c>
      <c r="D6449" s="32" t="n">
        <v>15.68</v>
      </c>
      <c r="E6449" s="32" t="n">
        <v>840.861</v>
      </c>
      <c r="G6449" s="32" t="n">
        <v>78.57899999999999</v>
      </c>
      <c r="H6449" s="32" t="inlineStr">
        <is>
          <t>bb</t>
        </is>
      </c>
      <c r="I6449" s="32" t="n">
        <v>840.861</v>
      </c>
      <c r="K6449" s="32" t="inlineStr">
        <is>
          <t>20250514-57</t>
        </is>
      </c>
    </row>
    <row r="6450">
      <c r="A6450" s="32" t="n">
        <v>47</v>
      </c>
      <c r="B6450" s="32" t="inlineStr">
        <is>
          <t>K3-6B</t>
        </is>
      </c>
      <c r="D6450" s="32" t="n">
        <v>15.68</v>
      </c>
      <c r="E6450" s="32" t="n">
        <v>625.202</v>
      </c>
      <c r="G6450" s="32" t="n">
        <v>4439</v>
      </c>
      <c r="H6450" s="32" t="inlineStr">
        <is>
          <t>bb</t>
        </is>
      </c>
      <c r="I6450" s="32" t="n">
        <v>625.202</v>
      </c>
      <c r="K6450" s="32" t="inlineStr">
        <is>
          <t>20250514-58</t>
        </is>
      </c>
    </row>
    <row r="6451">
      <c r="A6451" s="32" t="n">
        <v>48</v>
      </c>
      <c r="B6451" s="32" t="inlineStr">
        <is>
          <t>K3-6C</t>
        </is>
      </c>
      <c r="D6451" s="32" t="n">
        <v>15.65</v>
      </c>
      <c r="E6451" s="32" t="n">
        <v>681.811</v>
      </c>
      <c r="G6451" s="32" t="n">
        <v>18.126</v>
      </c>
      <c r="H6451" s="32" t="inlineStr">
        <is>
          <t>bb</t>
        </is>
      </c>
      <c r="I6451" s="32" t="n">
        <v>681.811</v>
      </c>
      <c r="K6451" s="32" t="inlineStr">
        <is>
          <t>20250514-59</t>
        </is>
      </c>
    </row>
    <row r="6453">
      <c r="A6453" s="32" t="inlineStr">
        <is>
          <t>Compound 125:  11Cl-PF3OUdS 1</t>
        </is>
      </c>
    </row>
    <row r="6455">
      <c r="B6455" s="32" t="inlineStr">
        <is>
          <t>Sample Text</t>
        </is>
      </c>
      <c r="C6455" s="32" t="inlineStr">
        <is>
          <t>Std. Conc</t>
        </is>
      </c>
      <c r="D6455" s="32" t="inlineStr">
        <is>
          <t>RT</t>
        </is>
      </c>
      <c r="E6455" s="32" t="inlineStr">
        <is>
          <t>Area</t>
        </is>
      </c>
      <c r="F6455" s="32" t="inlineStr">
        <is>
          <t>IS Area</t>
        </is>
      </c>
      <c r="G6455" s="32" t="inlineStr">
        <is>
          <t>S/N</t>
        </is>
      </c>
      <c r="H6455" s="32" t="inlineStr">
        <is>
          <t>Primary Flags</t>
        </is>
      </c>
      <c r="I6455" s="32" t="inlineStr">
        <is>
          <t>Response</t>
        </is>
      </c>
      <c r="J6455" s="32" t="inlineStr">
        <is>
          <t>Conc.</t>
        </is>
      </c>
      <c r="K6455" s="32" t="inlineStr">
        <is>
          <t>Name</t>
        </is>
      </c>
    </row>
    <row r="6456">
      <c r="A6456" s="32" t="n">
        <v>1</v>
      </c>
      <c r="B6456" s="32" t="inlineStr">
        <is>
          <t>EPA1633 &amp; diPAPs Calibration 0 ppb</t>
        </is>
      </c>
      <c r="D6456" s="32" t="n">
        <v>15.17</v>
      </c>
      <c r="E6456" s="32" t="n">
        <v>3736.617</v>
      </c>
      <c r="F6456" s="32" t="n">
        <v>1699.565</v>
      </c>
      <c r="G6456" s="32" t="n">
        <v>292.255</v>
      </c>
      <c r="H6456" s="32" t="inlineStr">
        <is>
          <t>bb</t>
        </is>
      </c>
      <c r="K6456" s="32" t="inlineStr">
        <is>
          <t>20250514-12</t>
        </is>
      </c>
    </row>
    <row r="6457">
      <c r="A6457" s="32" t="n">
        <v>2</v>
      </c>
      <c r="B6457" s="32" t="inlineStr">
        <is>
          <t>EPA1633 &amp; diPAPs Calibration 0.02 ppb</t>
        </is>
      </c>
      <c r="D6457" s="32" t="n">
        <v>15.19</v>
      </c>
      <c r="E6457" s="32" t="n">
        <v>4584.715</v>
      </c>
      <c r="F6457" s="32" t="n">
        <v>1218.852</v>
      </c>
      <c r="G6457" s="32" t="n">
        <v>32503</v>
      </c>
      <c r="H6457" s="32" t="inlineStr">
        <is>
          <t>bb</t>
        </is>
      </c>
      <c r="K6457" s="32" t="inlineStr">
        <is>
          <t>20250514-13</t>
        </is>
      </c>
    </row>
    <row r="6458">
      <c r="A6458" s="32" t="n">
        <v>3</v>
      </c>
      <c r="B6458" s="32" t="inlineStr">
        <is>
          <t>EPA1633 &amp; diPAPs Calibration 0.1 ppb</t>
        </is>
      </c>
      <c r="D6458" s="32" t="n">
        <v>15.19</v>
      </c>
      <c r="E6458" s="32" t="n">
        <v>9262.210999999999</v>
      </c>
      <c r="F6458" s="32" t="n">
        <v>1578.659</v>
      </c>
      <c r="G6458" s="32" t="n">
        <v>66728</v>
      </c>
      <c r="H6458" s="32" t="inlineStr">
        <is>
          <t>bb</t>
        </is>
      </c>
      <c r="K6458" s="32" t="inlineStr">
        <is>
          <t>20250514-14</t>
        </is>
      </c>
    </row>
    <row r="6459">
      <c r="A6459" s="32" t="n">
        <v>4</v>
      </c>
      <c r="B6459" s="32" t="inlineStr">
        <is>
          <t>EPA1633 &amp; diPAPs Calibration 0.4 ppb</t>
        </is>
      </c>
      <c r="D6459" s="32" t="n">
        <v>15.2</v>
      </c>
      <c r="E6459" s="32" t="n">
        <v>27300.711</v>
      </c>
      <c r="F6459" s="32" t="n">
        <v>1176.884</v>
      </c>
      <c r="G6459" s="32" t="n">
        <v>1288.806</v>
      </c>
      <c r="H6459" s="32" t="inlineStr">
        <is>
          <t>bb</t>
        </is>
      </c>
      <c r="K6459" s="32" t="inlineStr">
        <is>
          <t>20250514-15</t>
        </is>
      </c>
    </row>
    <row r="6460">
      <c r="A6460" s="32" t="n">
        <v>5</v>
      </c>
      <c r="B6460" s="32" t="inlineStr">
        <is>
          <t>EPA1633 &amp; diPAPs Calibration 1 ppb</t>
        </is>
      </c>
      <c r="D6460" s="32" t="n">
        <v>15.17</v>
      </c>
      <c r="E6460" s="32" t="n">
        <v>46589.152</v>
      </c>
      <c r="F6460" s="32" t="n">
        <v>1460.092</v>
      </c>
      <c r="G6460" s="32" t="n">
        <v>529.104</v>
      </c>
      <c r="H6460" s="32" t="inlineStr">
        <is>
          <t>bb</t>
        </is>
      </c>
      <c r="K6460" s="32" t="inlineStr">
        <is>
          <t>20250514-16</t>
        </is>
      </c>
    </row>
    <row r="6461">
      <c r="A6461" s="32" t="n">
        <v>6</v>
      </c>
      <c r="B6461" s="32" t="inlineStr">
        <is>
          <t>EPA1633 &amp; diPAPs Calibration 5 ppb</t>
        </is>
      </c>
      <c r="D6461" s="32" t="n">
        <v>15.14</v>
      </c>
      <c r="E6461" s="32" t="n">
        <v>207353.031</v>
      </c>
      <c r="F6461" s="32" t="n">
        <v>762.21</v>
      </c>
      <c r="G6461" s="32" t="n">
        <v>5015.203</v>
      </c>
      <c r="H6461" s="32" t="inlineStr">
        <is>
          <t>bb</t>
        </is>
      </c>
      <c r="K6461" s="32" t="inlineStr">
        <is>
          <t>20250514-17</t>
        </is>
      </c>
    </row>
    <row r="6462">
      <c r="A6462" s="32" t="n">
        <v>7</v>
      </c>
      <c r="B6462" s="32" t="inlineStr">
        <is>
          <t>EPA1633 &amp; diPAPs Calibration 10 ppb</t>
        </is>
      </c>
      <c r="D6462" s="32" t="n">
        <v>15.16</v>
      </c>
      <c r="E6462" s="32" t="n">
        <v>363562.125</v>
      </c>
      <c r="F6462" s="32" t="n">
        <v>854.968</v>
      </c>
      <c r="G6462" s="32" t="n">
        <v>6343.298</v>
      </c>
      <c r="H6462" s="32" t="inlineStr">
        <is>
          <t>bb</t>
        </is>
      </c>
      <c r="K6462" s="32" t="inlineStr">
        <is>
          <t>20250514-18</t>
        </is>
      </c>
    </row>
    <row r="6463">
      <c r="A6463" s="32" t="n">
        <v>8</v>
      </c>
      <c r="B6463" s="32" t="inlineStr">
        <is>
          <t>EPA1633 &amp; diPAPs Calibration 20 ppb</t>
        </is>
      </c>
      <c r="D6463" s="32" t="n">
        <v>15.17</v>
      </c>
      <c r="E6463" s="32" t="n">
        <v>724200.375</v>
      </c>
      <c r="F6463" s="32" t="n">
        <v>850.52</v>
      </c>
      <c r="G6463" s="32" t="n">
        <v>4563.527</v>
      </c>
      <c r="H6463" s="32" t="inlineStr">
        <is>
          <t>bb</t>
        </is>
      </c>
      <c r="K6463" s="32" t="inlineStr">
        <is>
          <t>20250514-19</t>
        </is>
      </c>
    </row>
    <row r="6464">
      <c r="A6464" s="32" t="n">
        <v>9</v>
      </c>
      <c r="B6464" s="32" t="inlineStr">
        <is>
          <t>MeOH</t>
        </is>
      </c>
      <c r="D6464" s="32" t="n">
        <v>15.19</v>
      </c>
      <c r="E6464" s="32" t="n">
        <v>2195.667</v>
      </c>
      <c r="F6464" s="32" t="n">
        <v>2.279</v>
      </c>
      <c r="G6464" s="32" t="n">
        <v>102.893</v>
      </c>
      <c r="H6464" s="32" t="inlineStr">
        <is>
          <t>bb</t>
        </is>
      </c>
      <c r="K6464" s="32" t="inlineStr">
        <is>
          <t>20250514-20</t>
        </is>
      </c>
    </row>
    <row r="6465">
      <c r="A6465" s="32" t="n">
        <v>10</v>
      </c>
      <c r="B6465" s="32" t="inlineStr">
        <is>
          <t>MeOH</t>
        </is>
      </c>
      <c r="D6465" s="32" t="n">
        <v>15.2</v>
      </c>
      <c r="E6465" s="32" t="n">
        <v>1325.172</v>
      </c>
      <c r="G6465" s="32" t="n">
        <v>342.395</v>
      </c>
      <c r="H6465" s="32" t="inlineStr">
        <is>
          <t>bb</t>
        </is>
      </c>
      <c r="K6465" s="32" t="inlineStr">
        <is>
          <t>20250514-21</t>
        </is>
      </c>
    </row>
    <row r="6466">
      <c r="A6466" s="32" t="n">
        <v>11</v>
      </c>
      <c r="B6466" s="32" t="inlineStr">
        <is>
          <t>SB1</t>
        </is>
      </c>
      <c r="D6466" s="32" t="n">
        <v>15.2</v>
      </c>
      <c r="E6466" s="32" t="n">
        <v>587.954</v>
      </c>
      <c r="F6466" s="32" t="n">
        <v>280.929</v>
      </c>
      <c r="G6466" s="32" t="n">
        <v>4367</v>
      </c>
      <c r="H6466" s="32" t="inlineStr">
        <is>
          <t>bb</t>
        </is>
      </c>
      <c r="K6466" s="32" t="inlineStr">
        <is>
          <t>20250514-22</t>
        </is>
      </c>
    </row>
    <row r="6467">
      <c r="A6467" s="32" t="n">
        <v>12</v>
      </c>
      <c r="B6467" s="32" t="inlineStr">
        <is>
          <t>SB2</t>
        </is>
      </c>
      <c r="D6467" s="32" t="n">
        <v>15.23</v>
      </c>
      <c r="E6467" s="32" t="n">
        <v>184.002</v>
      </c>
      <c r="F6467" s="32" t="n">
        <v>232.082</v>
      </c>
      <c r="G6467" s="32" t="n">
        <v>1458</v>
      </c>
      <c r="H6467" s="32" t="inlineStr">
        <is>
          <t>bb</t>
        </is>
      </c>
      <c r="K6467" s="32" t="inlineStr">
        <is>
          <t>20250514-23</t>
        </is>
      </c>
    </row>
    <row r="6468">
      <c r="A6468" s="32" t="n">
        <v>13</v>
      </c>
      <c r="B6468" s="32" t="inlineStr">
        <is>
          <t>SB3</t>
        </is>
      </c>
      <c r="D6468" s="32" t="n">
        <v>15.22</v>
      </c>
      <c r="E6468" s="32" t="n">
        <v>68.619</v>
      </c>
      <c r="F6468" s="32" t="n">
        <v>402.233</v>
      </c>
      <c r="G6468" s="32" t="n">
        <v>1.77</v>
      </c>
      <c r="H6468" s="32" t="inlineStr">
        <is>
          <t>bb</t>
        </is>
      </c>
      <c r="K6468" s="32" t="inlineStr">
        <is>
          <t>20250514-24</t>
        </is>
      </c>
    </row>
    <row r="6469">
      <c r="A6469" s="32" t="n">
        <v>14</v>
      </c>
      <c r="B6469" s="32" t="inlineStr">
        <is>
          <t>SS1</t>
        </is>
      </c>
      <c r="D6469" s="32" t="n">
        <v>15.23</v>
      </c>
      <c r="E6469" s="32" t="n">
        <v>136825.422</v>
      </c>
      <c r="F6469" s="32" t="n">
        <v>226.458</v>
      </c>
      <c r="G6469" s="32" t="n">
        <v>928930</v>
      </c>
      <c r="H6469" s="32" t="inlineStr">
        <is>
          <t>bb</t>
        </is>
      </c>
      <c r="K6469" s="32" t="inlineStr">
        <is>
          <t>20250514-25</t>
        </is>
      </c>
    </row>
    <row r="6470">
      <c r="A6470" s="32" t="n">
        <v>15</v>
      </c>
      <c r="B6470" s="32" t="inlineStr">
        <is>
          <t>SS2</t>
        </is>
      </c>
      <c r="D6470" s="32" t="n">
        <v>15.25</v>
      </c>
      <c r="E6470" s="32" t="n">
        <v>140776.094</v>
      </c>
      <c r="F6470" s="32" t="n">
        <v>147.337</v>
      </c>
      <c r="G6470" s="32" t="n">
        <v>1392.415</v>
      </c>
      <c r="H6470" s="32" t="inlineStr">
        <is>
          <t>bb</t>
        </is>
      </c>
      <c r="K6470" s="32" t="inlineStr">
        <is>
          <t>20250514-26</t>
        </is>
      </c>
    </row>
    <row r="6471">
      <c r="A6471" s="32" t="n">
        <v>16</v>
      </c>
      <c r="B6471" s="32" t="inlineStr">
        <is>
          <t>SS3</t>
        </is>
      </c>
      <c r="D6471" s="32" t="n">
        <v>15.25</v>
      </c>
      <c r="E6471" s="32" t="n">
        <v>134448.844</v>
      </c>
      <c r="F6471" s="32" t="n">
        <v>151.755</v>
      </c>
      <c r="G6471" s="32" t="n">
        <v>2702.157</v>
      </c>
      <c r="H6471" s="32" t="inlineStr">
        <is>
          <t>bb</t>
        </is>
      </c>
      <c r="K6471" s="32" t="inlineStr">
        <is>
          <t>20250514-27</t>
        </is>
      </c>
    </row>
    <row r="6472">
      <c r="A6472" s="32" t="n">
        <v>17</v>
      </c>
      <c r="B6472" s="32" t="inlineStr">
        <is>
          <t>MeOH</t>
        </is>
      </c>
      <c r="D6472" s="32" t="n">
        <v>15.24</v>
      </c>
      <c r="E6472" s="32" t="n">
        <v>2056.247</v>
      </c>
      <c r="G6472" s="32" t="n">
        <v>14485</v>
      </c>
      <c r="H6472" s="32" t="inlineStr">
        <is>
          <t>bb</t>
        </is>
      </c>
      <c r="K6472" s="32" t="inlineStr">
        <is>
          <t>20250514-28</t>
        </is>
      </c>
    </row>
    <row r="6473">
      <c r="A6473" s="32" t="n">
        <v>18</v>
      </c>
      <c r="B6473" s="32" t="inlineStr">
        <is>
          <t>K4-1A</t>
        </is>
      </c>
      <c r="D6473" s="32" t="n">
        <v>15.26</v>
      </c>
      <c r="E6473" s="32" t="n">
        <v>252.006</v>
      </c>
      <c r="F6473" s="32" t="n">
        <v>475.929</v>
      </c>
      <c r="G6473" s="32" t="n">
        <v>1802</v>
      </c>
      <c r="H6473" s="32" t="inlineStr">
        <is>
          <t>bb</t>
        </is>
      </c>
      <c r="K6473" s="32" t="inlineStr">
        <is>
          <t>20250514-29</t>
        </is>
      </c>
    </row>
    <row r="6474">
      <c r="A6474" s="32" t="n">
        <v>19</v>
      </c>
      <c r="B6474" s="32" t="inlineStr">
        <is>
          <t>K4-1B</t>
        </is>
      </c>
      <c r="D6474" s="32" t="n">
        <v>15.25</v>
      </c>
      <c r="E6474" s="32" t="n">
        <v>109.001</v>
      </c>
      <c r="F6474" s="32" t="n">
        <v>630.044</v>
      </c>
      <c r="G6474" s="32" t="n">
        <v>704</v>
      </c>
      <c r="H6474" s="32" t="inlineStr">
        <is>
          <t>bb</t>
        </is>
      </c>
      <c r="K6474" s="32" t="inlineStr">
        <is>
          <t>20250514-30</t>
        </is>
      </c>
    </row>
    <row r="6475">
      <c r="A6475" s="32" t="n">
        <v>20</v>
      </c>
      <c r="B6475" s="32" t="inlineStr">
        <is>
          <t>K4-1C</t>
        </is>
      </c>
      <c r="D6475" s="32" t="n">
        <v>15.27</v>
      </c>
      <c r="E6475" s="32" t="n">
        <v>9.635999999999999</v>
      </c>
      <c r="F6475" s="32" t="n">
        <v>602.215</v>
      </c>
      <c r="G6475" s="32" t="n">
        <v>2.922</v>
      </c>
      <c r="H6475" s="32" t="inlineStr">
        <is>
          <t>MM</t>
        </is>
      </c>
      <c r="K6475" s="32" t="inlineStr">
        <is>
          <t>20250514-31</t>
        </is>
      </c>
    </row>
    <row r="6476">
      <c r="A6476" s="32" t="n">
        <v>21</v>
      </c>
      <c r="B6476" s="32" t="inlineStr">
        <is>
          <t>K4-2A</t>
        </is>
      </c>
      <c r="F6476" s="32" t="n">
        <v>216.774</v>
      </c>
      <c r="K6476" s="32" t="inlineStr">
        <is>
          <t>20250514-32</t>
        </is>
      </c>
    </row>
    <row r="6477">
      <c r="A6477" s="32" t="n">
        <v>22</v>
      </c>
      <c r="B6477" s="32" t="inlineStr">
        <is>
          <t>K4-2B</t>
        </is>
      </c>
      <c r="F6477" s="32" t="n">
        <v>492.326</v>
      </c>
      <c r="K6477" s="32" t="inlineStr">
        <is>
          <t>20250514-33</t>
        </is>
      </c>
    </row>
    <row r="6478">
      <c r="A6478" s="32" t="n">
        <v>23</v>
      </c>
      <c r="B6478" s="32" t="inlineStr">
        <is>
          <t>K4-2C</t>
        </is>
      </c>
      <c r="F6478" s="32" t="n">
        <v>145.292</v>
      </c>
      <c r="K6478" s="32" t="inlineStr">
        <is>
          <t>20250514-34</t>
        </is>
      </c>
    </row>
    <row r="6479">
      <c r="A6479" s="32" t="n">
        <v>24</v>
      </c>
      <c r="B6479" s="32" t="inlineStr">
        <is>
          <t>MeOH</t>
        </is>
      </c>
      <c r="D6479" s="32" t="n">
        <v>15.28</v>
      </c>
      <c r="E6479" s="32" t="n">
        <v>598.793</v>
      </c>
      <c r="G6479" s="32" t="n">
        <v>4180</v>
      </c>
      <c r="H6479" s="32" t="inlineStr">
        <is>
          <t>bb</t>
        </is>
      </c>
      <c r="K6479" s="32" t="inlineStr">
        <is>
          <t>20250514-35</t>
        </is>
      </c>
    </row>
    <row r="6480">
      <c r="A6480" s="32" t="n">
        <v>25</v>
      </c>
      <c r="B6480" s="32" t="inlineStr">
        <is>
          <t>K4-4A</t>
        </is>
      </c>
      <c r="F6480" s="32" t="n">
        <v>255.18</v>
      </c>
      <c r="K6480" s="32" t="inlineStr">
        <is>
          <t>20250514-36</t>
        </is>
      </c>
    </row>
    <row r="6481">
      <c r="A6481" s="32" t="n">
        <v>26</v>
      </c>
      <c r="B6481" s="32" t="inlineStr">
        <is>
          <t>K4-4B</t>
        </is>
      </c>
      <c r="D6481" s="32" t="n">
        <v>15.32</v>
      </c>
      <c r="E6481" s="32" t="n">
        <v>4.829</v>
      </c>
      <c r="F6481" s="32" t="n">
        <v>423.729</v>
      </c>
      <c r="G6481" s="32" t="n">
        <v>39</v>
      </c>
      <c r="H6481" s="32" t="inlineStr">
        <is>
          <t>bb</t>
        </is>
      </c>
      <c r="K6481" s="32" t="inlineStr">
        <is>
          <t>20250514-37</t>
        </is>
      </c>
    </row>
    <row r="6482">
      <c r="A6482" s="32" t="n">
        <v>27</v>
      </c>
      <c r="B6482" s="32" t="inlineStr">
        <is>
          <t>K4-4C</t>
        </is>
      </c>
      <c r="D6482" s="32" t="n">
        <v>15.28</v>
      </c>
      <c r="E6482" s="32" t="n">
        <v>27.681</v>
      </c>
      <c r="F6482" s="32" t="n">
        <v>428.353</v>
      </c>
      <c r="G6482" s="32" t="n">
        <v>213</v>
      </c>
      <c r="H6482" s="32" t="inlineStr">
        <is>
          <t>bb</t>
        </is>
      </c>
      <c r="K6482" s="32" t="inlineStr">
        <is>
          <t>20250514-38</t>
        </is>
      </c>
    </row>
    <row r="6483">
      <c r="A6483" s="32" t="n">
        <v>28</v>
      </c>
      <c r="B6483" s="32" t="inlineStr">
        <is>
          <t>K4-5A</t>
        </is>
      </c>
      <c r="D6483" s="32" t="n">
        <v>15.28</v>
      </c>
      <c r="E6483" s="32" t="n">
        <v>55.259</v>
      </c>
      <c r="F6483" s="32" t="n">
        <v>314.929</v>
      </c>
      <c r="G6483" s="32" t="n">
        <v>2.898</v>
      </c>
      <c r="H6483" s="32" t="inlineStr">
        <is>
          <t>bb</t>
        </is>
      </c>
      <c r="K6483" s="32" t="inlineStr">
        <is>
          <t>20250514-39</t>
        </is>
      </c>
    </row>
    <row r="6484">
      <c r="A6484" s="32" t="n">
        <v>29</v>
      </c>
      <c r="B6484" s="32" t="inlineStr">
        <is>
          <t>K4-5B</t>
        </is>
      </c>
      <c r="F6484" s="32" t="n">
        <v>115.724</v>
      </c>
      <c r="K6484" s="32" t="inlineStr">
        <is>
          <t>20250514-40</t>
        </is>
      </c>
    </row>
    <row r="6485">
      <c r="A6485" s="32" t="n">
        <v>30</v>
      </c>
      <c r="B6485" s="32" t="inlineStr">
        <is>
          <t>K4-5C</t>
        </is>
      </c>
      <c r="F6485" s="32" t="n">
        <v>225.611</v>
      </c>
      <c r="K6485" s="32" t="inlineStr">
        <is>
          <t>20250514-41</t>
        </is>
      </c>
    </row>
    <row r="6486">
      <c r="A6486" s="32" t="n">
        <v>31</v>
      </c>
      <c r="B6486" s="32" t="inlineStr">
        <is>
          <t>MeOH</t>
        </is>
      </c>
      <c r="D6486" s="32" t="n">
        <v>15.14</v>
      </c>
      <c r="E6486" s="32" t="n">
        <v>839.529</v>
      </c>
      <c r="G6486" s="32" t="n">
        <v>26.219</v>
      </c>
      <c r="H6486" s="32" t="inlineStr">
        <is>
          <t>bb</t>
        </is>
      </c>
      <c r="K6486" s="32" t="inlineStr">
        <is>
          <t>20250514-42</t>
        </is>
      </c>
    </row>
    <row r="6487">
      <c r="A6487" s="32" t="n">
        <v>32</v>
      </c>
      <c r="B6487" s="32" t="inlineStr">
        <is>
          <t>K3-1A</t>
        </is>
      </c>
      <c r="F6487" s="32" t="n">
        <v>432.168</v>
      </c>
      <c r="K6487" s="32" t="inlineStr">
        <is>
          <t>20250514-43</t>
        </is>
      </c>
    </row>
    <row r="6488">
      <c r="A6488" s="32" t="n">
        <v>33</v>
      </c>
      <c r="B6488" s="32" t="inlineStr">
        <is>
          <t>K3-1B</t>
        </is>
      </c>
      <c r="F6488" s="32" t="n">
        <v>439.829</v>
      </c>
      <c r="K6488" s="32" t="inlineStr">
        <is>
          <t>20250514-44</t>
        </is>
      </c>
    </row>
    <row r="6489">
      <c r="A6489" s="32" t="n">
        <v>34</v>
      </c>
      <c r="B6489" s="32" t="inlineStr">
        <is>
          <t>K3-1C</t>
        </is>
      </c>
      <c r="D6489" s="32" t="n">
        <v>15.05</v>
      </c>
      <c r="E6489" s="32" t="n">
        <v>12.067</v>
      </c>
      <c r="F6489" s="32" t="n">
        <v>313.795</v>
      </c>
      <c r="G6489" s="32" t="n">
        <v>112</v>
      </c>
      <c r="H6489" s="32" t="inlineStr">
        <is>
          <t>bb</t>
        </is>
      </c>
      <c r="K6489" s="32" t="inlineStr">
        <is>
          <t>20250514-45</t>
        </is>
      </c>
    </row>
    <row r="6490">
      <c r="A6490" s="32" t="n">
        <v>35</v>
      </c>
      <c r="B6490" s="32" t="inlineStr">
        <is>
          <t>K3-2A</t>
        </is>
      </c>
      <c r="D6490" s="32" t="n">
        <v>15.33</v>
      </c>
      <c r="E6490" s="32" t="n">
        <v>24.779</v>
      </c>
      <c r="F6490" s="32" t="n">
        <v>420.878</v>
      </c>
      <c r="G6490" s="32" t="n">
        <v>198</v>
      </c>
      <c r="H6490" s="32" t="inlineStr">
        <is>
          <t>bb</t>
        </is>
      </c>
      <c r="K6490" s="32" t="inlineStr">
        <is>
          <t>20250514-46</t>
        </is>
      </c>
    </row>
    <row r="6491">
      <c r="A6491" s="32" t="n">
        <v>36</v>
      </c>
      <c r="B6491" s="32" t="inlineStr">
        <is>
          <t>K3-2B</t>
        </is>
      </c>
      <c r="D6491" s="32" t="n">
        <v>14.48</v>
      </c>
      <c r="E6491" s="32" t="n">
        <v>22.703</v>
      </c>
      <c r="F6491" s="32" t="n">
        <v>830.495</v>
      </c>
      <c r="G6491" s="32" t="n">
        <v>204</v>
      </c>
      <c r="H6491" s="32" t="inlineStr">
        <is>
          <t>MM</t>
        </is>
      </c>
      <c r="K6491" s="32" t="inlineStr">
        <is>
          <t>20250514-47</t>
        </is>
      </c>
    </row>
    <row r="6492">
      <c r="A6492" s="32" t="n">
        <v>37</v>
      </c>
      <c r="B6492" s="32" t="inlineStr">
        <is>
          <t>K3-2C</t>
        </is>
      </c>
      <c r="F6492" s="32" t="n">
        <v>343.52</v>
      </c>
      <c r="K6492" s="32" t="inlineStr">
        <is>
          <t>20250514-48</t>
        </is>
      </c>
    </row>
    <row r="6493">
      <c r="A6493" s="32" t="n">
        <v>38</v>
      </c>
      <c r="B6493" s="32" t="inlineStr">
        <is>
          <t>MeOH</t>
        </is>
      </c>
      <c r="D6493" s="32" t="n">
        <v>15.28</v>
      </c>
      <c r="E6493" s="32" t="n">
        <v>614.524</v>
      </c>
      <c r="G6493" s="32" t="n">
        <v>4074</v>
      </c>
      <c r="H6493" s="32" t="inlineStr">
        <is>
          <t>bb</t>
        </is>
      </c>
      <c r="K6493" s="32" t="inlineStr">
        <is>
          <t>20250514-49</t>
        </is>
      </c>
    </row>
    <row r="6494">
      <c r="A6494" s="32" t="n">
        <v>39</v>
      </c>
      <c r="B6494" s="32" t="inlineStr">
        <is>
          <t>K3-3A</t>
        </is>
      </c>
      <c r="D6494" s="32" t="n">
        <v>15.25</v>
      </c>
      <c r="E6494" s="32" t="n">
        <v>16.111</v>
      </c>
      <c r="F6494" s="32" t="n">
        <v>376.834</v>
      </c>
      <c r="G6494" s="32" t="n">
        <v>1.154</v>
      </c>
      <c r="H6494" s="32" t="inlineStr">
        <is>
          <t>bb</t>
        </is>
      </c>
      <c r="K6494" s="32" t="inlineStr">
        <is>
          <t>20250514-50</t>
        </is>
      </c>
    </row>
    <row r="6495">
      <c r="A6495" s="32" t="n">
        <v>40</v>
      </c>
      <c r="B6495" s="32" t="inlineStr">
        <is>
          <t>K3-3B</t>
        </is>
      </c>
      <c r="D6495" s="32" t="n">
        <v>15.25</v>
      </c>
      <c r="E6495" s="32" t="n">
        <v>14.238</v>
      </c>
      <c r="F6495" s="32" t="n">
        <v>559.133</v>
      </c>
      <c r="G6495" s="32" t="n">
        <v>119</v>
      </c>
      <c r="H6495" s="32" t="inlineStr">
        <is>
          <t>bb</t>
        </is>
      </c>
      <c r="K6495" s="32" t="inlineStr">
        <is>
          <t>20250514-51</t>
        </is>
      </c>
    </row>
    <row r="6496">
      <c r="A6496" s="32" t="n">
        <v>41</v>
      </c>
      <c r="B6496" s="32" t="inlineStr">
        <is>
          <t>K3-3C</t>
        </is>
      </c>
      <c r="D6496" s="32" t="n">
        <v>15.25</v>
      </c>
      <c r="E6496" s="32" t="n">
        <v>9.055</v>
      </c>
      <c r="F6496" s="32" t="n">
        <v>435.036</v>
      </c>
      <c r="G6496" s="32" t="n">
        <v>74</v>
      </c>
      <c r="H6496" s="32" t="inlineStr">
        <is>
          <t>bb</t>
        </is>
      </c>
      <c r="K6496" s="32" t="inlineStr">
        <is>
          <t>20250514-52</t>
        </is>
      </c>
    </row>
    <row r="6497">
      <c r="A6497" s="32" t="n">
        <v>42</v>
      </c>
      <c r="B6497" s="32" t="inlineStr">
        <is>
          <t>K3-4A</t>
        </is>
      </c>
      <c r="F6497" s="32" t="n">
        <v>337.222</v>
      </c>
      <c r="K6497" s="32" t="inlineStr">
        <is>
          <t>20250514-53</t>
        </is>
      </c>
    </row>
    <row r="6498">
      <c r="A6498" s="32" t="n">
        <v>43</v>
      </c>
      <c r="B6498" s="32" t="inlineStr">
        <is>
          <t>K3-4B</t>
        </is>
      </c>
      <c r="D6498" s="32" t="n">
        <v>15.32</v>
      </c>
      <c r="E6498" s="32" t="n">
        <v>9.506</v>
      </c>
      <c r="F6498" s="32" t="n">
        <v>758.223</v>
      </c>
      <c r="G6498" s="32" t="n">
        <v>76</v>
      </c>
      <c r="H6498" s="32" t="inlineStr">
        <is>
          <t>bb</t>
        </is>
      </c>
      <c r="K6498" s="32" t="inlineStr">
        <is>
          <t>20250514-54</t>
        </is>
      </c>
    </row>
    <row r="6499">
      <c r="A6499" s="32" t="n">
        <v>44</v>
      </c>
      <c r="B6499" s="32" t="inlineStr">
        <is>
          <t>K3-4C</t>
        </is>
      </c>
      <c r="D6499" s="32" t="n">
        <v>15.67</v>
      </c>
      <c r="E6499" s="32" t="n">
        <v>5.539</v>
      </c>
      <c r="F6499" s="32" t="n">
        <v>427.126</v>
      </c>
      <c r="G6499" s="32" t="n">
        <v>49</v>
      </c>
      <c r="H6499" s="32" t="inlineStr">
        <is>
          <t>MM</t>
        </is>
      </c>
      <c r="K6499" s="32" t="inlineStr">
        <is>
          <t>20250514-55</t>
        </is>
      </c>
    </row>
    <row r="6500">
      <c r="A6500" s="32" t="n">
        <v>45</v>
      </c>
      <c r="B6500" s="32" t="inlineStr">
        <is>
          <t>MeOH</t>
        </is>
      </c>
      <c r="D6500" s="32" t="n">
        <v>15.35</v>
      </c>
      <c r="E6500" s="32" t="n">
        <v>637.154</v>
      </c>
      <c r="G6500" s="32" t="n">
        <v>4515</v>
      </c>
      <c r="H6500" s="32" t="inlineStr">
        <is>
          <t>bb</t>
        </is>
      </c>
      <c r="K6500" s="32" t="inlineStr">
        <is>
          <t>20250514-56</t>
        </is>
      </c>
    </row>
    <row r="6501">
      <c r="A6501" s="32" t="n">
        <v>46</v>
      </c>
      <c r="B6501" s="32" t="inlineStr">
        <is>
          <t>K3-6A</t>
        </is>
      </c>
      <c r="D6501" s="32" t="n">
        <v>15.32</v>
      </c>
      <c r="E6501" s="32" t="n">
        <v>27.203</v>
      </c>
      <c r="F6501" s="32" t="n">
        <v>793.353</v>
      </c>
      <c r="G6501" s="32" t="n">
        <v>210</v>
      </c>
      <c r="H6501" s="32" t="inlineStr">
        <is>
          <t>bb</t>
        </is>
      </c>
      <c r="K6501" s="32" t="inlineStr">
        <is>
          <t>20250514-57</t>
        </is>
      </c>
    </row>
    <row r="6502">
      <c r="A6502" s="32" t="n">
        <v>47</v>
      </c>
      <c r="B6502" s="32" t="inlineStr">
        <is>
          <t>K3-6B</t>
        </is>
      </c>
      <c r="D6502" s="32" t="n">
        <v>15.38</v>
      </c>
      <c r="E6502" s="32" t="n">
        <v>73.129</v>
      </c>
      <c r="F6502" s="32" t="n">
        <v>501.186</v>
      </c>
      <c r="G6502" s="32" t="n">
        <v>2.907</v>
      </c>
      <c r="H6502" s="32" t="inlineStr">
        <is>
          <t>bb</t>
        </is>
      </c>
      <c r="K6502" s="32" t="inlineStr">
        <is>
          <t>20250514-58</t>
        </is>
      </c>
    </row>
    <row r="6503">
      <c r="A6503" s="32" t="n">
        <v>48</v>
      </c>
      <c r="B6503" s="32" t="inlineStr">
        <is>
          <t>K3-6C</t>
        </is>
      </c>
      <c r="F6503" s="32" t="n">
        <v>295.29</v>
      </c>
      <c r="K6503" s="32" t="inlineStr">
        <is>
          <t>20250514-59</t>
        </is>
      </c>
    </row>
    <row r="6505">
      <c r="A6505" s="32" t="inlineStr">
        <is>
          <t>Compound 126:  11Cl-PF3OUdS 2</t>
        </is>
      </c>
    </row>
    <row r="6507">
      <c r="B6507" s="32" t="inlineStr">
        <is>
          <t>Sample Text</t>
        </is>
      </c>
      <c r="C6507" s="32" t="inlineStr">
        <is>
          <t>Std. Conc</t>
        </is>
      </c>
      <c r="D6507" s="32" t="inlineStr">
        <is>
          <t>RT</t>
        </is>
      </c>
      <c r="E6507" s="32" t="inlineStr">
        <is>
          <t>Area</t>
        </is>
      </c>
      <c r="F6507" s="32" t="inlineStr">
        <is>
          <t>IS Area</t>
        </is>
      </c>
      <c r="G6507" s="32" t="inlineStr">
        <is>
          <t>S/N</t>
        </is>
      </c>
      <c r="H6507" s="32" t="inlineStr">
        <is>
          <t>Primary Flags</t>
        </is>
      </c>
      <c r="I6507" s="32" t="inlineStr">
        <is>
          <t>Response</t>
        </is>
      </c>
      <c r="J6507" s="32" t="inlineStr">
        <is>
          <t>Conc.</t>
        </is>
      </c>
      <c r="K6507" s="32" t="inlineStr">
        <is>
          <t>Name</t>
        </is>
      </c>
    </row>
    <row r="6508">
      <c r="A6508" s="32" t="n">
        <v>1</v>
      </c>
      <c r="B6508" s="32" t="inlineStr">
        <is>
          <t>EPA1633 &amp; diPAPs Calibration 0 ppb</t>
        </is>
      </c>
      <c r="D6508" s="32" t="n">
        <v>15.16</v>
      </c>
      <c r="E6508" s="32" t="n">
        <v>40.566</v>
      </c>
      <c r="F6508" s="32" t="n">
        <v>1699.565</v>
      </c>
      <c r="G6508" s="32" t="n">
        <v>4.819</v>
      </c>
      <c r="H6508" s="32" t="inlineStr">
        <is>
          <t>bb</t>
        </is>
      </c>
      <c r="K6508" s="32" t="inlineStr">
        <is>
          <t>20250514-12</t>
        </is>
      </c>
    </row>
    <row r="6509">
      <c r="A6509" s="32" t="n">
        <v>2</v>
      </c>
      <c r="B6509" s="32" t="inlineStr">
        <is>
          <t>EPA1633 &amp; diPAPs Calibration 0.02 ppb</t>
        </is>
      </c>
      <c r="D6509" s="32" t="n">
        <v>15.17</v>
      </c>
      <c r="E6509" s="32" t="n">
        <v>240.874</v>
      </c>
      <c r="F6509" s="32" t="n">
        <v>1218.852</v>
      </c>
      <c r="G6509" s="32" t="n">
        <v>18.915</v>
      </c>
      <c r="H6509" s="32" t="inlineStr">
        <is>
          <t>bb</t>
        </is>
      </c>
      <c r="K6509" s="32" t="inlineStr">
        <is>
          <t>20250514-13</t>
        </is>
      </c>
    </row>
    <row r="6510">
      <c r="A6510" s="32" t="n">
        <v>3</v>
      </c>
      <c r="B6510" s="32" t="inlineStr">
        <is>
          <t>EPA1633 &amp; diPAPs Calibration 0.1 ppb</t>
        </is>
      </c>
      <c r="D6510" s="32" t="n">
        <v>15.2</v>
      </c>
      <c r="E6510" s="32" t="n">
        <v>322.125</v>
      </c>
      <c r="F6510" s="32" t="n">
        <v>1578.659</v>
      </c>
      <c r="G6510" s="32" t="n">
        <v>2.495</v>
      </c>
      <c r="H6510" s="32" t="inlineStr">
        <is>
          <t>bb</t>
        </is>
      </c>
      <c r="K6510" s="32" t="inlineStr">
        <is>
          <t>20250514-14</t>
        </is>
      </c>
    </row>
    <row r="6511">
      <c r="A6511" s="32" t="n">
        <v>4</v>
      </c>
      <c r="B6511" s="32" t="inlineStr">
        <is>
          <t>EPA1633 &amp; diPAPs Calibration 0.4 ppb</t>
        </is>
      </c>
      <c r="D6511" s="32" t="n">
        <v>15.2</v>
      </c>
      <c r="E6511" s="32" t="n">
        <v>1128.32</v>
      </c>
      <c r="F6511" s="32" t="n">
        <v>1176.884</v>
      </c>
      <c r="G6511" s="32" t="n">
        <v>7526</v>
      </c>
      <c r="H6511" s="32" t="inlineStr">
        <is>
          <t>bb</t>
        </is>
      </c>
      <c r="K6511" s="32" t="inlineStr">
        <is>
          <t>20250514-15</t>
        </is>
      </c>
    </row>
    <row r="6512">
      <c r="A6512" s="32" t="n">
        <v>5</v>
      </c>
      <c r="B6512" s="32" t="inlineStr">
        <is>
          <t>EPA1633 &amp; diPAPs Calibration 1 ppb</t>
        </is>
      </c>
      <c r="D6512" s="32" t="n">
        <v>15.17</v>
      </c>
      <c r="E6512" s="32" t="n">
        <v>2579.382</v>
      </c>
      <c r="F6512" s="32" t="n">
        <v>1460.092</v>
      </c>
      <c r="G6512" s="32" t="n">
        <v>18812</v>
      </c>
      <c r="H6512" s="32" t="inlineStr">
        <is>
          <t>bb</t>
        </is>
      </c>
      <c r="K6512" s="32" t="inlineStr">
        <is>
          <t>20250514-16</t>
        </is>
      </c>
    </row>
    <row r="6513">
      <c r="A6513" s="32" t="n">
        <v>6</v>
      </c>
      <c r="B6513" s="32" t="inlineStr">
        <is>
          <t>EPA1633 &amp; diPAPs Calibration 5 ppb</t>
        </is>
      </c>
      <c r="D6513" s="32" t="n">
        <v>15.14</v>
      </c>
      <c r="E6513" s="32" t="n">
        <v>11403.255</v>
      </c>
      <c r="F6513" s="32" t="n">
        <v>762.21</v>
      </c>
      <c r="G6513" s="32" t="n">
        <v>267.421</v>
      </c>
      <c r="H6513" s="32" t="inlineStr">
        <is>
          <t>bb</t>
        </is>
      </c>
      <c r="K6513" s="32" t="inlineStr">
        <is>
          <t>20250514-17</t>
        </is>
      </c>
    </row>
    <row r="6514">
      <c r="A6514" s="32" t="n">
        <v>7</v>
      </c>
      <c r="B6514" s="32" t="inlineStr">
        <is>
          <t>EPA1633 &amp; diPAPs Calibration 10 ppb</t>
        </is>
      </c>
      <c r="D6514" s="32" t="n">
        <v>15.16</v>
      </c>
      <c r="E6514" s="32" t="n">
        <v>19045.783</v>
      </c>
      <c r="F6514" s="32" t="n">
        <v>854.968</v>
      </c>
      <c r="G6514" s="32" t="n">
        <v>1051.347</v>
      </c>
      <c r="H6514" s="32" t="inlineStr">
        <is>
          <t>bb</t>
        </is>
      </c>
      <c r="K6514" s="32" t="inlineStr">
        <is>
          <t>20250514-18</t>
        </is>
      </c>
    </row>
    <row r="6515">
      <c r="A6515" s="32" t="n">
        <v>8</v>
      </c>
      <c r="B6515" s="32" t="inlineStr">
        <is>
          <t>EPA1633 &amp; diPAPs Calibration 20 ppb</t>
        </is>
      </c>
      <c r="D6515" s="32" t="n">
        <v>15.17</v>
      </c>
      <c r="E6515" s="32" t="n">
        <v>38088.668</v>
      </c>
      <c r="F6515" s="32" t="n">
        <v>850.52</v>
      </c>
      <c r="G6515" s="32" t="n">
        <v>5799.45</v>
      </c>
      <c r="H6515" s="32" t="inlineStr">
        <is>
          <t>bb</t>
        </is>
      </c>
      <c r="K6515" s="32" t="inlineStr">
        <is>
          <t>20250514-19</t>
        </is>
      </c>
    </row>
    <row r="6516">
      <c r="A6516" s="32" t="n">
        <v>9</v>
      </c>
      <c r="B6516" s="32" t="inlineStr">
        <is>
          <t>MeOH</t>
        </is>
      </c>
      <c r="D6516" s="32" t="n">
        <v>15.25</v>
      </c>
      <c r="E6516" s="32" t="n">
        <v>9.436999999999999</v>
      </c>
      <c r="F6516" s="32" t="n">
        <v>2.279</v>
      </c>
      <c r="G6516" s="32" t="n">
        <v>70</v>
      </c>
      <c r="H6516" s="32" t="inlineStr">
        <is>
          <t>bb</t>
        </is>
      </c>
      <c r="K6516" s="32" t="inlineStr">
        <is>
          <t>20250514-20</t>
        </is>
      </c>
    </row>
    <row r="6517">
      <c r="A6517" s="32" t="n">
        <v>10</v>
      </c>
      <c r="B6517" s="32" t="inlineStr">
        <is>
          <t>MeOH</t>
        </is>
      </c>
      <c r="D6517" s="32" t="n">
        <v>15.19</v>
      </c>
      <c r="E6517" s="32" t="n">
        <v>16.282</v>
      </c>
      <c r="G6517" s="32" t="n">
        <v>145</v>
      </c>
      <c r="H6517" s="32" t="inlineStr">
        <is>
          <t>bb</t>
        </is>
      </c>
      <c r="K6517" s="32" t="inlineStr">
        <is>
          <t>20250514-21</t>
        </is>
      </c>
    </row>
    <row r="6518">
      <c r="A6518" s="32" t="n">
        <v>11</v>
      </c>
      <c r="B6518" s="32" t="inlineStr">
        <is>
          <t>SB1</t>
        </is>
      </c>
      <c r="F6518" s="32" t="n">
        <v>280.929</v>
      </c>
      <c r="K6518" s="32" t="inlineStr">
        <is>
          <t>20250514-22</t>
        </is>
      </c>
    </row>
    <row r="6519">
      <c r="A6519" s="32" t="n">
        <v>12</v>
      </c>
      <c r="B6519" s="32" t="inlineStr">
        <is>
          <t>SB2</t>
        </is>
      </c>
      <c r="F6519" s="32" t="n">
        <v>232.082</v>
      </c>
      <c r="K6519" s="32" t="inlineStr">
        <is>
          <t>20250514-23</t>
        </is>
      </c>
    </row>
    <row r="6520">
      <c r="A6520" s="32" t="n">
        <v>13</v>
      </c>
      <c r="B6520" s="32" t="inlineStr">
        <is>
          <t>SB3</t>
        </is>
      </c>
      <c r="F6520" s="32" t="n">
        <v>402.233</v>
      </c>
      <c r="K6520" s="32" t="inlineStr">
        <is>
          <t>20250514-24</t>
        </is>
      </c>
    </row>
    <row r="6521">
      <c r="A6521" s="32" t="n">
        <v>14</v>
      </c>
      <c r="B6521" s="32" t="inlineStr">
        <is>
          <t>SS1</t>
        </is>
      </c>
      <c r="D6521" s="32" t="n">
        <v>15.23</v>
      </c>
      <c r="E6521" s="32" t="n">
        <v>6725.818</v>
      </c>
      <c r="F6521" s="32" t="n">
        <v>226.458</v>
      </c>
      <c r="G6521" s="32" t="n">
        <v>1689.118</v>
      </c>
      <c r="H6521" s="32" t="inlineStr">
        <is>
          <t>bb</t>
        </is>
      </c>
      <c r="K6521" s="32" t="inlineStr">
        <is>
          <t>20250514-25</t>
        </is>
      </c>
    </row>
    <row r="6522">
      <c r="A6522" s="32" t="n">
        <v>15</v>
      </c>
      <c r="B6522" s="32" t="inlineStr">
        <is>
          <t>SS2</t>
        </is>
      </c>
      <c r="D6522" s="32" t="n">
        <v>15.23</v>
      </c>
      <c r="E6522" s="32" t="n">
        <v>7635.923</v>
      </c>
      <c r="F6522" s="32" t="n">
        <v>147.337</v>
      </c>
      <c r="G6522" s="32" t="n">
        <v>51300</v>
      </c>
      <c r="H6522" s="32" t="inlineStr">
        <is>
          <t>bb</t>
        </is>
      </c>
      <c r="K6522" s="32" t="inlineStr">
        <is>
          <t>20250514-26</t>
        </is>
      </c>
    </row>
    <row r="6523">
      <c r="A6523" s="32" t="n">
        <v>16</v>
      </c>
      <c r="B6523" s="32" t="inlineStr">
        <is>
          <t>SS3</t>
        </is>
      </c>
      <c r="D6523" s="32" t="n">
        <v>15.25</v>
      </c>
      <c r="E6523" s="32" t="n">
        <v>6764.909</v>
      </c>
      <c r="F6523" s="32" t="n">
        <v>151.755</v>
      </c>
      <c r="G6523" s="32" t="n">
        <v>610.595</v>
      </c>
      <c r="H6523" s="32" t="inlineStr">
        <is>
          <t>bb</t>
        </is>
      </c>
      <c r="K6523" s="32" t="inlineStr">
        <is>
          <t>20250514-27</t>
        </is>
      </c>
    </row>
    <row r="6524">
      <c r="A6524" s="32" t="n">
        <v>17</v>
      </c>
      <c r="B6524" s="32" t="inlineStr">
        <is>
          <t>MeOH</t>
        </is>
      </c>
      <c r="D6524" s="32" t="n">
        <v>15.22</v>
      </c>
      <c r="E6524" s="32" t="n">
        <v>92.871</v>
      </c>
      <c r="G6524" s="32" t="n">
        <v>669</v>
      </c>
      <c r="H6524" s="32" t="inlineStr">
        <is>
          <t>bb</t>
        </is>
      </c>
      <c r="K6524" s="32" t="inlineStr">
        <is>
          <t>20250514-28</t>
        </is>
      </c>
    </row>
    <row r="6525">
      <c r="A6525" s="32" t="n">
        <v>18</v>
      </c>
      <c r="B6525" s="32" t="inlineStr">
        <is>
          <t>K4-1A</t>
        </is>
      </c>
      <c r="F6525" s="32" t="n">
        <v>475.929</v>
      </c>
      <c r="K6525" s="32" t="inlineStr">
        <is>
          <t>20250514-29</t>
        </is>
      </c>
    </row>
    <row r="6526">
      <c r="A6526" s="32" t="n">
        <v>19</v>
      </c>
      <c r="B6526" s="32" t="inlineStr">
        <is>
          <t>K4-1B</t>
        </is>
      </c>
      <c r="F6526" s="32" t="n">
        <v>630.044</v>
      </c>
      <c r="K6526" s="32" t="inlineStr">
        <is>
          <t>20250514-30</t>
        </is>
      </c>
    </row>
    <row r="6527">
      <c r="A6527" s="32" t="n">
        <v>20</v>
      </c>
      <c r="B6527" s="32" t="inlineStr">
        <is>
          <t>K4-1C</t>
        </is>
      </c>
      <c r="F6527" s="32" t="n">
        <v>602.215</v>
      </c>
      <c r="K6527" s="32" t="inlineStr">
        <is>
          <t>20250514-31</t>
        </is>
      </c>
    </row>
    <row r="6528">
      <c r="A6528" s="32" t="n">
        <v>21</v>
      </c>
      <c r="B6528" s="32" t="inlineStr">
        <is>
          <t>K4-2A</t>
        </is>
      </c>
      <c r="F6528" s="32" t="n">
        <v>216.774</v>
      </c>
      <c r="K6528" s="32" t="inlineStr">
        <is>
          <t>20250514-32</t>
        </is>
      </c>
    </row>
    <row r="6529">
      <c r="A6529" s="32" t="n">
        <v>22</v>
      </c>
      <c r="B6529" s="32" t="inlineStr">
        <is>
          <t>K4-2B</t>
        </is>
      </c>
      <c r="D6529" s="32" t="n">
        <v>15.78</v>
      </c>
      <c r="E6529" s="32" t="n">
        <v>24.323</v>
      </c>
      <c r="F6529" s="32" t="n">
        <v>492.326</v>
      </c>
      <c r="G6529" s="32" t="n">
        <v>215</v>
      </c>
      <c r="H6529" s="32" t="inlineStr">
        <is>
          <t>MM</t>
        </is>
      </c>
      <c r="K6529" s="32" t="inlineStr">
        <is>
          <t>20250514-33</t>
        </is>
      </c>
    </row>
    <row r="6530">
      <c r="A6530" s="32" t="n">
        <v>23</v>
      </c>
      <c r="B6530" s="32" t="inlineStr">
        <is>
          <t>K4-2C</t>
        </is>
      </c>
      <c r="F6530" s="32" t="n">
        <v>145.292</v>
      </c>
      <c r="K6530" s="32" t="inlineStr">
        <is>
          <t>20250514-34</t>
        </is>
      </c>
    </row>
    <row r="6531">
      <c r="A6531" s="32" t="n">
        <v>24</v>
      </c>
      <c r="B6531" s="32" t="inlineStr">
        <is>
          <t>MeOH</t>
        </is>
      </c>
      <c r="D6531" s="32" t="n">
        <v>15.28</v>
      </c>
      <c r="E6531" s="32" t="n">
        <v>34.49</v>
      </c>
      <c r="G6531" s="32" t="n">
        <v>267</v>
      </c>
      <c r="H6531" s="32" t="inlineStr">
        <is>
          <t>bb</t>
        </is>
      </c>
      <c r="K6531" s="32" t="inlineStr">
        <is>
          <t>20250514-35</t>
        </is>
      </c>
    </row>
    <row r="6532">
      <c r="A6532" s="32" t="n">
        <v>25</v>
      </c>
      <c r="B6532" s="32" t="inlineStr">
        <is>
          <t>K4-4A</t>
        </is>
      </c>
      <c r="F6532" s="32" t="n">
        <v>255.18</v>
      </c>
      <c r="K6532" s="32" t="inlineStr">
        <is>
          <t>20250514-36</t>
        </is>
      </c>
    </row>
    <row r="6533">
      <c r="A6533" s="32" t="n">
        <v>26</v>
      </c>
      <c r="B6533" s="32" t="inlineStr">
        <is>
          <t>K4-4B</t>
        </is>
      </c>
      <c r="F6533" s="32" t="n">
        <v>423.729</v>
      </c>
      <c r="K6533" s="32" t="inlineStr">
        <is>
          <t>20250514-37</t>
        </is>
      </c>
    </row>
    <row r="6534">
      <c r="A6534" s="32" t="n">
        <v>27</v>
      </c>
      <c r="B6534" s="32" t="inlineStr">
        <is>
          <t>K4-4C</t>
        </is>
      </c>
      <c r="F6534" s="32" t="n">
        <v>428.353</v>
      </c>
      <c r="K6534" s="32" t="inlineStr">
        <is>
          <t>20250514-38</t>
        </is>
      </c>
    </row>
    <row r="6535">
      <c r="A6535" s="32" t="n">
        <v>28</v>
      </c>
      <c r="B6535" s="32" t="inlineStr">
        <is>
          <t>K4-5A</t>
        </is>
      </c>
      <c r="F6535" s="32" t="n">
        <v>314.929</v>
      </c>
      <c r="K6535" s="32" t="inlineStr">
        <is>
          <t>20250514-39</t>
        </is>
      </c>
    </row>
    <row r="6536">
      <c r="A6536" s="32" t="n">
        <v>29</v>
      </c>
      <c r="B6536" s="32" t="inlineStr">
        <is>
          <t>K4-5B</t>
        </is>
      </c>
      <c r="F6536" s="32" t="n">
        <v>115.724</v>
      </c>
      <c r="K6536" s="32" t="inlineStr">
        <is>
          <t>20250514-40</t>
        </is>
      </c>
    </row>
    <row r="6537">
      <c r="A6537" s="32" t="n">
        <v>30</v>
      </c>
      <c r="B6537" s="32" t="inlineStr">
        <is>
          <t>K4-5C</t>
        </is>
      </c>
      <c r="F6537" s="32" t="n">
        <v>225.611</v>
      </c>
      <c r="K6537" s="32" t="inlineStr">
        <is>
          <t>20250514-41</t>
        </is>
      </c>
    </row>
    <row r="6538">
      <c r="A6538" s="32" t="n">
        <v>31</v>
      </c>
      <c r="B6538" s="32" t="inlineStr">
        <is>
          <t>MeOH</t>
        </is>
      </c>
      <c r="D6538" s="32" t="n">
        <v>15.13</v>
      </c>
      <c r="E6538" s="32" t="n">
        <v>4.227</v>
      </c>
      <c r="G6538" s="32" t="n">
        <v>41</v>
      </c>
      <c r="H6538" s="32" t="inlineStr">
        <is>
          <t>bb</t>
        </is>
      </c>
      <c r="K6538" s="32" t="inlineStr">
        <is>
          <t>20250514-42</t>
        </is>
      </c>
    </row>
    <row r="6539">
      <c r="A6539" s="32" t="n">
        <v>32</v>
      </c>
      <c r="B6539" s="32" t="inlineStr">
        <is>
          <t>K3-1A</t>
        </is>
      </c>
      <c r="F6539" s="32" t="n">
        <v>432.168</v>
      </c>
      <c r="K6539" s="32" t="inlineStr">
        <is>
          <t>20250514-43</t>
        </is>
      </c>
    </row>
    <row r="6540">
      <c r="A6540" s="32" t="n">
        <v>33</v>
      </c>
      <c r="B6540" s="32" t="inlineStr">
        <is>
          <t>K3-1B</t>
        </is>
      </c>
      <c r="F6540" s="32" t="n">
        <v>439.829</v>
      </c>
      <c r="K6540" s="32" t="inlineStr">
        <is>
          <t>20250514-44</t>
        </is>
      </c>
    </row>
    <row r="6541">
      <c r="A6541" s="32" t="n">
        <v>34</v>
      </c>
      <c r="B6541" s="32" t="inlineStr">
        <is>
          <t>K3-1C</t>
        </is>
      </c>
      <c r="F6541" s="32" t="n">
        <v>313.795</v>
      </c>
      <c r="K6541" s="32" t="inlineStr">
        <is>
          <t>20250514-45</t>
        </is>
      </c>
    </row>
    <row r="6542">
      <c r="A6542" s="32" t="n">
        <v>35</v>
      </c>
      <c r="B6542" s="32" t="inlineStr">
        <is>
          <t>K3-2A</t>
        </is>
      </c>
      <c r="F6542" s="32" t="n">
        <v>420.878</v>
      </c>
      <c r="K6542" s="32" t="inlineStr">
        <is>
          <t>20250514-46</t>
        </is>
      </c>
    </row>
    <row r="6543">
      <c r="A6543" s="32" t="n">
        <v>36</v>
      </c>
      <c r="B6543" s="32" t="inlineStr">
        <is>
          <t>K3-2B</t>
        </is>
      </c>
      <c r="F6543" s="32" t="n">
        <v>830.495</v>
      </c>
      <c r="K6543" s="32" t="inlineStr">
        <is>
          <t>20250514-47</t>
        </is>
      </c>
    </row>
    <row r="6544">
      <c r="A6544" s="32" t="n">
        <v>37</v>
      </c>
      <c r="B6544" s="32" t="inlineStr">
        <is>
          <t>K3-2C</t>
        </is>
      </c>
      <c r="D6544" s="32" t="n">
        <v>15.53</v>
      </c>
      <c r="E6544" s="32" t="n">
        <v>1.222</v>
      </c>
      <c r="F6544" s="32" t="n">
        <v>343.52</v>
      </c>
      <c r="G6544" s="32" t="n">
        <v>11</v>
      </c>
      <c r="H6544" s="32" t="inlineStr">
        <is>
          <t>bb</t>
        </is>
      </c>
      <c r="K6544" s="32" t="inlineStr">
        <is>
          <t>20250514-48</t>
        </is>
      </c>
    </row>
    <row r="6545">
      <c r="A6545" s="32" t="n">
        <v>38</v>
      </c>
      <c r="B6545" s="32" t="inlineStr">
        <is>
          <t>MeOH</t>
        </is>
      </c>
      <c r="K6545" s="32" t="inlineStr">
        <is>
          <t>20250514-49</t>
        </is>
      </c>
    </row>
    <row r="6546">
      <c r="A6546" s="32" t="n">
        <v>39</v>
      </c>
      <c r="B6546" s="32" t="inlineStr">
        <is>
          <t>K3-3A</t>
        </is>
      </c>
      <c r="D6546" s="32" t="n">
        <v>14.93</v>
      </c>
      <c r="E6546" s="32" t="n">
        <v>7.138</v>
      </c>
      <c r="F6546" s="32" t="n">
        <v>376.834</v>
      </c>
      <c r="G6546" s="32" t="n">
        <v>61</v>
      </c>
      <c r="H6546" s="32" t="inlineStr">
        <is>
          <t>bb</t>
        </is>
      </c>
      <c r="K6546" s="32" t="inlineStr">
        <is>
          <t>20250514-50</t>
        </is>
      </c>
    </row>
    <row r="6547">
      <c r="A6547" s="32" t="n">
        <v>40</v>
      </c>
      <c r="B6547" s="32" t="inlineStr">
        <is>
          <t>K3-3B</t>
        </is>
      </c>
      <c r="F6547" s="32" t="n">
        <v>559.133</v>
      </c>
      <c r="K6547" s="32" t="inlineStr">
        <is>
          <t>20250514-51</t>
        </is>
      </c>
    </row>
    <row r="6548">
      <c r="A6548" s="32" t="n">
        <v>41</v>
      </c>
      <c r="B6548" s="32" t="inlineStr">
        <is>
          <t>K3-3C</t>
        </is>
      </c>
      <c r="F6548" s="32" t="n">
        <v>435.036</v>
      </c>
      <c r="K6548" s="32" t="inlineStr">
        <is>
          <t>20250514-52</t>
        </is>
      </c>
    </row>
    <row r="6549">
      <c r="A6549" s="32" t="n">
        <v>42</v>
      </c>
      <c r="B6549" s="32" t="inlineStr">
        <is>
          <t>K3-4A</t>
        </is>
      </c>
      <c r="F6549" s="32" t="n">
        <v>337.222</v>
      </c>
      <c r="K6549" s="32" t="inlineStr">
        <is>
          <t>20250514-53</t>
        </is>
      </c>
    </row>
    <row r="6550">
      <c r="A6550" s="32" t="n">
        <v>43</v>
      </c>
      <c r="B6550" s="32" t="inlineStr">
        <is>
          <t>K3-4B</t>
        </is>
      </c>
      <c r="F6550" s="32" t="n">
        <v>758.223</v>
      </c>
      <c r="K6550" s="32" t="inlineStr">
        <is>
          <t>20250514-54</t>
        </is>
      </c>
    </row>
    <row r="6551">
      <c r="A6551" s="32" t="n">
        <v>44</v>
      </c>
      <c r="B6551" s="32" t="inlineStr">
        <is>
          <t>K3-4C</t>
        </is>
      </c>
      <c r="D6551" s="32" t="n">
        <v>15.4</v>
      </c>
      <c r="E6551" s="32" t="n">
        <v>1.846</v>
      </c>
      <c r="F6551" s="32" t="n">
        <v>427.126</v>
      </c>
      <c r="G6551" s="32" t="n">
        <v>15</v>
      </c>
      <c r="H6551" s="32" t="inlineStr">
        <is>
          <t>bb</t>
        </is>
      </c>
      <c r="K6551" s="32" t="inlineStr">
        <is>
          <t>20250514-55</t>
        </is>
      </c>
    </row>
    <row r="6552">
      <c r="A6552" s="32" t="n">
        <v>45</v>
      </c>
      <c r="B6552" s="32" t="inlineStr">
        <is>
          <t>MeOH</t>
        </is>
      </c>
      <c r="K6552" s="32" t="inlineStr">
        <is>
          <t>20250514-56</t>
        </is>
      </c>
    </row>
    <row r="6553">
      <c r="A6553" s="32" t="n">
        <v>46</v>
      </c>
      <c r="B6553" s="32" t="inlineStr">
        <is>
          <t>K3-6A</t>
        </is>
      </c>
      <c r="F6553" s="32" t="n">
        <v>793.353</v>
      </c>
      <c r="K6553" s="32" t="inlineStr">
        <is>
          <t>20250514-57</t>
        </is>
      </c>
    </row>
    <row r="6554">
      <c r="A6554" s="32" t="n">
        <v>47</v>
      </c>
      <c r="B6554" s="32" t="inlineStr">
        <is>
          <t>K3-6B</t>
        </is>
      </c>
      <c r="F6554" s="32" t="n">
        <v>501.186</v>
      </c>
      <c r="K6554" s="32" t="inlineStr">
        <is>
          <t>20250514-58</t>
        </is>
      </c>
    </row>
    <row r="6555">
      <c r="A6555" s="32" t="n">
        <v>48</v>
      </c>
      <c r="B6555" s="32" t="inlineStr">
        <is>
          <t>K3-6C</t>
        </is>
      </c>
      <c r="F6555" s="32" t="n">
        <v>295.29</v>
      </c>
      <c r="K6555" s="32" t="inlineStr">
        <is>
          <t>20250514-59</t>
        </is>
      </c>
    </row>
    <row r="6557">
      <c r="A6557" s="32" t="inlineStr">
        <is>
          <t>Compound 127:  PFTrDA 1</t>
        </is>
      </c>
    </row>
    <row r="6559">
      <c r="B6559" s="32" t="inlineStr">
        <is>
          <t>Sample Text</t>
        </is>
      </c>
      <c r="C6559" s="32" t="inlineStr">
        <is>
          <t>Std. Conc</t>
        </is>
      </c>
      <c r="D6559" s="32" t="inlineStr">
        <is>
          <t>RT</t>
        </is>
      </c>
      <c r="E6559" s="32" t="inlineStr">
        <is>
          <t>Area</t>
        </is>
      </c>
      <c r="F6559" s="32" t="inlineStr">
        <is>
          <t>IS Area</t>
        </is>
      </c>
      <c r="G6559" s="32" t="inlineStr">
        <is>
          <t>S/N</t>
        </is>
      </c>
      <c r="H6559" s="32" t="inlineStr">
        <is>
          <t>Primary Flags</t>
        </is>
      </c>
      <c r="I6559" s="32" t="inlineStr">
        <is>
          <t>Response</t>
        </is>
      </c>
      <c r="J6559" s="32" t="inlineStr">
        <is>
          <t>Conc.</t>
        </is>
      </c>
      <c r="K6559" s="32" t="inlineStr">
        <is>
          <t>Name</t>
        </is>
      </c>
    </row>
    <row r="6560">
      <c r="A6560" s="32" t="n">
        <v>1</v>
      </c>
      <c r="B6560" s="32" t="inlineStr">
        <is>
          <t>EPA1633 &amp; diPAPs Calibration 0 ppb</t>
        </is>
      </c>
      <c r="D6560" s="32" t="n">
        <v>16.17</v>
      </c>
      <c r="E6560" s="32" t="n">
        <v>85.76600000000001</v>
      </c>
      <c r="F6560" s="32" t="n">
        <v>1320.569</v>
      </c>
      <c r="G6560" s="32" t="n">
        <v>788</v>
      </c>
      <c r="H6560" s="32" t="inlineStr">
        <is>
          <t>bb</t>
        </is>
      </c>
      <c r="K6560" s="32" t="inlineStr">
        <is>
          <t>20250514-12</t>
        </is>
      </c>
    </row>
    <row r="6561">
      <c r="A6561" s="32" t="n">
        <v>2</v>
      </c>
      <c r="B6561" s="32" t="inlineStr">
        <is>
          <t>EPA1633 &amp; diPAPs Calibration 0.02 ppb</t>
        </is>
      </c>
      <c r="D6561" s="32" t="n">
        <v>16.17</v>
      </c>
      <c r="E6561" s="32" t="n">
        <v>5.882</v>
      </c>
      <c r="F6561" s="32" t="n">
        <v>1092.248</v>
      </c>
      <c r="G6561" s="32" t="n">
        <v>66</v>
      </c>
      <c r="H6561" s="32" t="inlineStr">
        <is>
          <t>MM</t>
        </is>
      </c>
      <c r="K6561" s="32" t="inlineStr">
        <is>
          <t>20250514-13</t>
        </is>
      </c>
    </row>
    <row r="6562">
      <c r="A6562" s="32" t="n">
        <v>3</v>
      </c>
      <c r="B6562" s="32" t="inlineStr">
        <is>
          <t>EPA1633 &amp; diPAPs Calibration 0.1 ppb</t>
        </is>
      </c>
      <c r="D6562" s="32" t="n">
        <v>16.25</v>
      </c>
      <c r="E6562" s="32" t="n">
        <v>78.97799999999999</v>
      </c>
      <c r="F6562" s="32" t="n">
        <v>1254.316</v>
      </c>
      <c r="G6562" s="32" t="n">
        <v>5.178</v>
      </c>
      <c r="H6562" s="32" t="inlineStr">
        <is>
          <t>bb</t>
        </is>
      </c>
      <c r="K6562" s="32" t="inlineStr">
        <is>
          <t>20250514-14</t>
        </is>
      </c>
    </row>
    <row r="6563">
      <c r="A6563" s="32" t="n">
        <v>4</v>
      </c>
      <c r="B6563" s="32" t="inlineStr">
        <is>
          <t>EPA1633 &amp; diPAPs Calibration 0.4 ppb</t>
        </is>
      </c>
      <c r="D6563" s="32" t="n">
        <v>16.2</v>
      </c>
      <c r="E6563" s="32" t="n">
        <v>272.043</v>
      </c>
      <c r="F6563" s="32" t="n">
        <v>1040.151</v>
      </c>
      <c r="G6563" s="32" t="n">
        <v>2283</v>
      </c>
      <c r="H6563" s="32" t="inlineStr">
        <is>
          <t>MM</t>
        </is>
      </c>
      <c r="K6563" s="32" t="inlineStr">
        <is>
          <t>20250514-15</t>
        </is>
      </c>
    </row>
    <row r="6564">
      <c r="A6564" s="32" t="n">
        <v>5</v>
      </c>
      <c r="B6564" s="32" t="inlineStr">
        <is>
          <t>EPA1633 &amp; diPAPs Calibration 1 ppb</t>
        </is>
      </c>
      <c r="D6564" s="32" t="n">
        <v>16.17</v>
      </c>
      <c r="E6564" s="32" t="n">
        <v>586.314</v>
      </c>
      <c r="F6564" s="32" t="n">
        <v>1405.741</v>
      </c>
      <c r="G6564" s="32" t="n">
        <v>17.031</v>
      </c>
      <c r="H6564" s="32" t="inlineStr">
        <is>
          <t>bb</t>
        </is>
      </c>
      <c r="K6564" s="32" t="inlineStr">
        <is>
          <t>20250514-16</t>
        </is>
      </c>
    </row>
    <row r="6565">
      <c r="A6565" s="32" t="n">
        <v>6</v>
      </c>
      <c r="B6565" s="32" t="inlineStr">
        <is>
          <t>EPA1633 &amp; diPAPs Calibration 5 ppb</t>
        </is>
      </c>
      <c r="D6565" s="32" t="n">
        <v>16.17</v>
      </c>
      <c r="E6565" s="32" t="n">
        <v>2975.059</v>
      </c>
      <c r="F6565" s="32" t="n">
        <v>1256.498</v>
      </c>
      <c r="G6565" s="32" t="n">
        <v>131.305</v>
      </c>
      <c r="H6565" s="32" t="inlineStr">
        <is>
          <t>bb</t>
        </is>
      </c>
      <c r="K6565" s="32" t="inlineStr">
        <is>
          <t>20250514-17</t>
        </is>
      </c>
    </row>
    <row r="6566">
      <c r="A6566" s="32" t="n">
        <v>7</v>
      </c>
      <c r="B6566" s="32" t="inlineStr">
        <is>
          <t>EPA1633 &amp; diPAPs Calibration 10 ppb</t>
        </is>
      </c>
      <c r="D6566" s="32" t="n">
        <v>16.17</v>
      </c>
      <c r="E6566" s="32" t="n">
        <v>5041.954</v>
      </c>
      <c r="F6566" s="32" t="n">
        <v>964.71</v>
      </c>
      <c r="G6566" s="32" t="n">
        <v>36707</v>
      </c>
      <c r="H6566" s="32" t="inlineStr">
        <is>
          <t>bb</t>
        </is>
      </c>
      <c r="K6566" s="32" t="inlineStr">
        <is>
          <t>20250514-18</t>
        </is>
      </c>
    </row>
    <row r="6567">
      <c r="A6567" s="32" t="n">
        <v>8</v>
      </c>
      <c r="B6567" s="32" t="inlineStr">
        <is>
          <t>EPA1633 &amp; diPAPs Calibration 20 ppb</t>
        </is>
      </c>
      <c r="D6567" s="32" t="n">
        <v>16.19</v>
      </c>
      <c r="E6567" s="32" t="n">
        <v>11849.252</v>
      </c>
      <c r="F6567" s="32" t="n">
        <v>1026.499</v>
      </c>
      <c r="G6567" s="32" t="n">
        <v>174.353</v>
      </c>
      <c r="H6567" s="32" t="inlineStr">
        <is>
          <t>bb</t>
        </is>
      </c>
      <c r="K6567" s="32" t="inlineStr">
        <is>
          <t>20250514-19</t>
        </is>
      </c>
    </row>
    <row r="6568">
      <c r="A6568" s="32" t="n">
        <v>9</v>
      </c>
      <c r="B6568" s="32" t="inlineStr">
        <is>
          <t>MeOH</t>
        </is>
      </c>
      <c r="D6568" s="32" t="n">
        <v>16.11</v>
      </c>
      <c r="E6568" s="32" t="n">
        <v>7.078</v>
      </c>
      <c r="F6568" s="32" t="n">
        <v>11.688</v>
      </c>
      <c r="G6568" s="32" t="n">
        <v>67</v>
      </c>
      <c r="H6568" s="32" t="inlineStr">
        <is>
          <t>bb</t>
        </is>
      </c>
      <c r="K6568" s="32" t="inlineStr">
        <is>
          <t>20250514-20</t>
        </is>
      </c>
    </row>
    <row r="6569">
      <c r="A6569" s="32" t="n">
        <v>10</v>
      </c>
      <c r="B6569" s="32" t="inlineStr">
        <is>
          <t>MeOH</t>
        </is>
      </c>
      <c r="F6569" s="32" t="n">
        <v>3.639</v>
      </c>
      <c r="K6569" s="32" t="inlineStr">
        <is>
          <t>20250514-21</t>
        </is>
      </c>
    </row>
    <row r="6570">
      <c r="A6570" s="32" t="n">
        <v>11</v>
      </c>
      <c r="B6570" s="32" t="inlineStr">
        <is>
          <t>SB1</t>
        </is>
      </c>
      <c r="D6570" s="32" t="n">
        <v>16.22</v>
      </c>
      <c r="E6570" s="32" t="n">
        <v>374.72</v>
      </c>
      <c r="F6570" s="32" t="n">
        <v>414.528</v>
      </c>
      <c r="G6570" s="32" t="n">
        <v>10.906</v>
      </c>
      <c r="H6570" s="32" t="inlineStr">
        <is>
          <t>bb</t>
        </is>
      </c>
      <c r="K6570" s="32" t="inlineStr">
        <is>
          <t>20250514-22</t>
        </is>
      </c>
    </row>
    <row r="6571">
      <c r="A6571" s="32" t="n">
        <v>12</v>
      </c>
      <c r="B6571" s="32" t="inlineStr">
        <is>
          <t>SB2</t>
        </is>
      </c>
      <c r="F6571" s="32" t="n">
        <v>503.01</v>
      </c>
      <c r="K6571" s="32" t="inlineStr">
        <is>
          <t>20250514-23</t>
        </is>
      </c>
    </row>
    <row r="6572">
      <c r="A6572" s="32" t="n">
        <v>13</v>
      </c>
      <c r="B6572" s="32" t="inlineStr">
        <is>
          <t>SB3</t>
        </is>
      </c>
      <c r="F6572" s="32" t="n">
        <v>431.257</v>
      </c>
      <c r="K6572" s="32" t="inlineStr">
        <is>
          <t>20250514-24</t>
        </is>
      </c>
    </row>
    <row r="6573">
      <c r="A6573" s="32" t="n">
        <v>14</v>
      </c>
      <c r="B6573" s="32" t="inlineStr">
        <is>
          <t>SS1</t>
        </is>
      </c>
      <c r="D6573" s="32" t="n">
        <v>16.24</v>
      </c>
      <c r="E6573" s="32" t="n">
        <v>1873.128</v>
      </c>
      <c r="F6573" s="32" t="n">
        <v>427.401</v>
      </c>
      <c r="G6573" s="32" t="n">
        <v>191.519</v>
      </c>
      <c r="H6573" s="32" t="inlineStr">
        <is>
          <t>bb</t>
        </is>
      </c>
      <c r="K6573" s="32" t="inlineStr">
        <is>
          <t>20250514-25</t>
        </is>
      </c>
    </row>
    <row r="6574">
      <c r="A6574" s="32" t="n">
        <v>15</v>
      </c>
      <c r="B6574" s="32" t="inlineStr">
        <is>
          <t>SS2</t>
        </is>
      </c>
      <c r="D6574" s="32" t="n">
        <v>16.24</v>
      </c>
      <c r="E6574" s="32" t="n">
        <v>1862.518</v>
      </c>
      <c r="F6574" s="32" t="n">
        <v>452.262</v>
      </c>
      <c r="G6574" s="32" t="n">
        <v>317.99</v>
      </c>
      <c r="H6574" s="32" t="inlineStr">
        <is>
          <t>bb</t>
        </is>
      </c>
      <c r="K6574" s="32" t="inlineStr">
        <is>
          <t>20250514-26</t>
        </is>
      </c>
    </row>
    <row r="6575">
      <c r="A6575" s="32" t="n">
        <v>16</v>
      </c>
      <c r="B6575" s="32" t="inlineStr">
        <is>
          <t>SS3</t>
        </is>
      </c>
      <c r="D6575" s="32" t="n">
        <v>16.25</v>
      </c>
      <c r="E6575" s="32" t="n">
        <v>1874.324</v>
      </c>
      <c r="F6575" s="32" t="n">
        <v>344.206</v>
      </c>
      <c r="G6575" s="32" t="n">
        <v>69.715</v>
      </c>
      <c r="H6575" s="32" t="inlineStr">
        <is>
          <t>bb</t>
        </is>
      </c>
      <c r="K6575" s="32" t="inlineStr">
        <is>
          <t>20250514-27</t>
        </is>
      </c>
    </row>
    <row r="6576">
      <c r="A6576" s="32" t="n">
        <v>17</v>
      </c>
      <c r="B6576" s="32" t="inlineStr">
        <is>
          <t>MeOH</t>
        </is>
      </c>
      <c r="D6576" s="32" t="n">
        <v>16.21</v>
      </c>
      <c r="E6576" s="32" t="n">
        <v>10.228</v>
      </c>
      <c r="G6576" s="32" t="n">
        <v>109</v>
      </c>
      <c r="H6576" s="32" t="inlineStr">
        <is>
          <t>bb</t>
        </is>
      </c>
      <c r="K6576" s="32" t="inlineStr">
        <is>
          <t>20250514-28</t>
        </is>
      </c>
    </row>
    <row r="6577">
      <c r="A6577" s="32" t="n">
        <v>18</v>
      </c>
      <c r="B6577" s="32" t="inlineStr">
        <is>
          <t>K4-1A</t>
        </is>
      </c>
      <c r="D6577" s="32" t="n">
        <v>16.3</v>
      </c>
      <c r="E6577" s="32" t="n">
        <v>15.191</v>
      </c>
      <c r="F6577" s="32" t="n">
        <v>435.167</v>
      </c>
      <c r="G6577" s="32" t="n">
        <v>165</v>
      </c>
      <c r="H6577" s="32" t="inlineStr">
        <is>
          <t>bb</t>
        </is>
      </c>
      <c r="K6577" s="32" t="inlineStr">
        <is>
          <t>20250514-29</t>
        </is>
      </c>
    </row>
    <row r="6578">
      <c r="A6578" s="32" t="n">
        <v>19</v>
      </c>
      <c r="B6578" s="32" t="inlineStr">
        <is>
          <t>K4-1B</t>
        </is>
      </c>
      <c r="F6578" s="32" t="n">
        <v>549.792</v>
      </c>
      <c r="K6578" s="32" t="inlineStr">
        <is>
          <t>20250514-30</t>
        </is>
      </c>
    </row>
    <row r="6579">
      <c r="A6579" s="32" t="n">
        <v>20</v>
      </c>
      <c r="B6579" s="32" t="inlineStr">
        <is>
          <t>K4-1C</t>
        </is>
      </c>
      <c r="D6579" s="32" t="n">
        <v>16.31</v>
      </c>
      <c r="E6579" s="32" t="n">
        <v>3.219</v>
      </c>
      <c r="F6579" s="32" t="n">
        <v>409.212</v>
      </c>
      <c r="G6579" s="32" t="n">
        <v>35</v>
      </c>
      <c r="H6579" s="32" t="inlineStr">
        <is>
          <t>bb</t>
        </is>
      </c>
      <c r="K6579" s="32" t="inlineStr">
        <is>
          <t>20250514-31</t>
        </is>
      </c>
    </row>
    <row r="6580">
      <c r="A6580" s="32" t="n">
        <v>21</v>
      </c>
      <c r="B6580" s="32" t="inlineStr">
        <is>
          <t>K4-2A</t>
        </is>
      </c>
      <c r="D6580" s="32" t="n">
        <v>16.27</v>
      </c>
      <c r="E6580" s="32" t="n">
        <v>37.886</v>
      </c>
      <c r="F6580" s="32" t="n">
        <v>458.88</v>
      </c>
      <c r="G6580" s="32" t="n">
        <v>5.255</v>
      </c>
      <c r="H6580" s="32" t="inlineStr">
        <is>
          <t>bb</t>
        </is>
      </c>
      <c r="K6580" s="32" t="inlineStr">
        <is>
          <t>20250514-32</t>
        </is>
      </c>
    </row>
    <row r="6581">
      <c r="A6581" s="32" t="n">
        <v>22</v>
      </c>
      <c r="B6581" s="32" t="inlineStr">
        <is>
          <t>K4-2B</t>
        </is>
      </c>
      <c r="F6581" s="32" t="n">
        <v>403.292</v>
      </c>
      <c r="K6581" s="32" t="inlineStr">
        <is>
          <t>20250514-33</t>
        </is>
      </c>
    </row>
    <row r="6582">
      <c r="A6582" s="32" t="n">
        <v>23</v>
      </c>
      <c r="B6582" s="32" t="inlineStr">
        <is>
          <t>K4-2C</t>
        </is>
      </c>
      <c r="D6582" s="32" t="n">
        <v>16.3</v>
      </c>
      <c r="E6582" s="32" t="n">
        <v>11.893</v>
      </c>
      <c r="F6582" s="32" t="n">
        <v>349.79</v>
      </c>
      <c r="G6582" s="32" t="n">
        <v>129</v>
      </c>
      <c r="H6582" s="32" t="inlineStr">
        <is>
          <t>bb</t>
        </is>
      </c>
      <c r="K6582" s="32" t="inlineStr">
        <is>
          <t>20250514-34</t>
        </is>
      </c>
    </row>
    <row r="6583">
      <c r="A6583" s="32" t="n">
        <v>24</v>
      </c>
      <c r="B6583" s="32" t="inlineStr">
        <is>
          <t>MeOH</t>
        </is>
      </c>
      <c r="F6583" s="32" t="n">
        <v>7.411</v>
      </c>
      <c r="K6583" s="32" t="inlineStr">
        <is>
          <t>20250514-35</t>
        </is>
      </c>
    </row>
    <row r="6584">
      <c r="A6584" s="32" t="n">
        <v>25</v>
      </c>
      <c r="B6584" s="32" t="inlineStr">
        <is>
          <t>K4-4A</t>
        </is>
      </c>
      <c r="D6584" s="32" t="n">
        <v>16.31</v>
      </c>
      <c r="E6584" s="32" t="n">
        <v>3.157</v>
      </c>
      <c r="F6584" s="32" t="n">
        <v>438.197</v>
      </c>
      <c r="G6584" s="32" t="n">
        <v>34</v>
      </c>
      <c r="H6584" s="32" t="inlineStr">
        <is>
          <t>bb</t>
        </is>
      </c>
      <c r="K6584" s="32" t="inlineStr">
        <is>
          <t>20250514-36</t>
        </is>
      </c>
    </row>
    <row r="6585">
      <c r="A6585" s="32" t="n">
        <v>26</v>
      </c>
      <c r="B6585" s="32" t="inlineStr">
        <is>
          <t>K4-4B</t>
        </is>
      </c>
      <c r="D6585" s="32" t="n">
        <v>16.31</v>
      </c>
      <c r="E6585" s="32" t="n">
        <v>18.41</v>
      </c>
      <c r="F6585" s="32" t="n">
        <v>453.67</v>
      </c>
      <c r="G6585" s="32" t="n">
        <v>195</v>
      </c>
      <c r="H6585" s="32" t="inlineStr">
        <is>
          <t>bb</t>
        </is>
      </c>
      <c r="K6585" s="32" t="inlineStr">
        <is>
          <t>20250514-37</t>
        </is>
      </c>
    </row>
    <row r="6586">
      <c r="A6586" s="32" t="n">
        <v>27</v>
      </c>
      <c r="B6586" s="32" t="inlineStr">
        <is>
          <t>K4-4C</t>
        </is>
      </c>
      <c r="D6586" s="32" t="n">
        <v>16.29</v>
      </c>
      <c r="E6586" s="32" t="n">
        <v>1.7</v>
      </c>
      <c r="F6586" s="32" t="n">
        <v>468.581</v>
      </c>
      <c r="G6586" s="32" t="n">
        <v>18</v>
      </c>
      <c r="H6586" s="32" t="inlineStr">
        <is>
          <t>bb</t>
        </is>
      </c>
      <c r="K6586" s="32" t="inlineStr">
        <is>
          <t>20250514-38</t>
        </is>
      </c>
    </row>
    <row r="6587">
      <c r="A6587" s="32" t="n">
        <v>28</v>
      </c>
      <c r="B6587" s="32" t="inlineStr">
        <is>
          <t>K4-5A</t>
        </is>
      </c>
      <c r="D6587" s="32" t="n">
        <v>16.28</v>
      </c>
      <c r="E6587" s="32" t="n">
        <v>26.528</v>
      </c>
      <c r="F6587" s="32" t="n">
        <v>381.594</v>
      </c>
      <c r="G6587" s="32" t="n">
        <v>243</v>
      </c>
      <c r="H6587" s="32" t="inlineStr">
        <is>
          <t>bb</t>
        </is>
      </c>
      <c r="K6587" s="32" t="inlineStr">
        <is>
          <t>20250514-39</t>
        </is>
      </c>
    </row>
    <row r="6588">
      <c r="A6588" s="32" t="n">
        <v>29</v>
      </c>
      <c r="B6588" s="32" t="inlineStr">
        <is>
          <t>K4-5B</t>
        </is>
      </c>
      <c r="D6588" s="32" t="n">
        <v>16.29</v>
      </c>
      <c r="E6588" s="32" t="n">
        <v>37.595</v>
      </c>
      <c r="F6588" s="32" t="n">
        <v>405.711</v>
      </c>
      <c r="G6588" s="32" t="n">
        <v>358</v>
      </c>
      <c r="H6588" s="32" t="inlineStr">
        <is>
          <t>bb</t>
        </is>
      </c>
      <c r="K6588" s="32" t="inlineStr">
        <is>
          <t>20250514-40</t>
        </is>
      </c>
    </row>
    <row r="6589">
      <c r="A6589" s="32" t="n">
        <v>30</v>
      </c>
      <c r="B6589" s="32" t="inlineStr">
        <is>
          <t>K4-5C</t>
        </is>
      </c>
      <c r="D6589" s="32" t="n">
        <v>16.47</v>
      </c>
      <c r="E6589" s="32" t="n">
        <v>22.393</v>
      </c>
      <c r="F6589" s="32" t="n">
        <v>367.483</v>
      </c>
      <c r="G6589" s="32" t="n">
        <v>7.387</v>
      </c>
      <c r="H6589" s="32" t="inlineStr">
        <is>
          <t>bb</t>
        </is>
      </c>
      <c r="K6589" s="32" t="inlineStr">
        <is>
          <t>20250514-41</t>
        </is>
      </c>
    </row>
    <row r="6590">
      <c r="A6590" s="32" t="n">
        <v>31</v>
      </c>
      <c r="B6590" s="32" t="inlineStr">
        <is>
          <t>MeOH</t>
        </is>
      </c>
      <c r="D6590" s="32" t="n">
        <v>16.21</v>
      </c>
      <c r="E6590" s="32" t="n">
        <v>29.531</v>
      </c>
      <c r="F6590" s="32" t="n">
        <v>19.434</v>
      </c>
      <c r="G6590" s="32" t="n">
        <v>303</v>
      </c>
      <c r="H6590" s="32" t="inlineStr">
        <is>
          <t>bb</t>
        </is>
      </c>
      <c r="K6590" s="32" t="inlineStr">
        <is>
          <t>20250514-42</t>
        </is>
      </c>
    </row>
    <row r="6591">
      <c r="A6591" s="32" t="n">
        <v>32</v>
      </c>
      <c r="B6591" s="32" t="inlineStr">
        <is>
          <t>K3-1A</t>
        </is>
      </c>
      <c r="D6591" s="32" t="n">
        <v>16.2</v>
      </c>
      <c r="E6591" s="32" t="n">
        <v>301.494</v>
      </c>
      <c r="F6591" s="32" t="n">
        <v>519.807</v>
      </c>
      <c r="G6591" s="32" t="n">
        <v>2697</v>
      </c>
      <c r="H6591" s="32" t="inlineStr">
        <is>
          <t>bb</t>
        </is>
      </c>
      <c r="K6591" s="32" t="inlineStr">
        <is>
          <t>20250514-43</t>
        </is>
      </c>
    </row>
    <row r="6592">
      <c r="A6592" s="32" t="n">
        <v>33</v>
      </c>
      <c r="B6592" s="32" t="inlineStr">
        <is>
          <t>K3-1B</t>
        </is>
      </c>
      <c r="F6592" s="32" t="n">
        <v>456.552</v>
      </c>
      <c r="K6592" s="32" t="inlineStr">
        <is>
          <t>20250514-44</t>
        </is>
      </c>
    </row>
    <row r="6593">
      <c r="A6593" s="32" t="n">
        <v>34</v>
      </c>
      <c r="B6593" s="32" t="inlineStr">
        <is>
          <t>K3-1C</t>
        </is>
      </c>
      <c r="D6593" s="32" t="n">
        <v>16.26</v>
      </c>
      <c r="E6593" s="32" t="n">
        <v>39.856</v>
      </c>
      <c r="F6593" s="32" t="n">
        <v>556.412</v>
      </c>
      <c r="G6593" s="32" t="n">
        <v>418</v>
      </c>
      <c r="H6593" s="32" t="inlineStr">
        <is>
          <t>bb</t>
        </is>
      </c>
      <c r="K6593" s="32" t="inlineStr">
        <is>
          <t>20250514-45</t>
        </is>
      </c>
    </row>
    <row r="6594">
      <c r="A6594" s="32" t="n">
        <v>35</v>
      </c>
      <c r="B6594" s="32" t="inlineStr">
        <is>
          <t>K3-2A</t>
        </is>
      </c>
      <c r="F6594" s="32" t="n">
        <v>520.705</v>
      </c>
      <c r="K6594" s="32" t="inlineStr">
        <is>
          <t>20250514-46</t>
        </is>
      </c>
    </row>
    <row r="6595">
      <c r="A6595" s="32" t="n">
        <v>36</v>
      </c>
      <c r="B6595" s="32" t="inlineStr">
        <is>
          <t>K3-2B</t>
        </is>
      </c>
      <c r="D6595" s="32" t="n">
        <v>16.31</v>
      </c>
      <c r="E6595" s="32" t="n">
        <v>22.04</v>
      </c>
      <c r="F6595" s="32" t="n">
        <v>697.726</v>
      </c>
      <c r="G6595" s="32" t="n">
        <v>158</v>
      </c>
      <c r="H6595" s="32" t="inlineStr">
        <is>
          <t>bb</t>
        </is>
      </c>
      <c r="K6595" s="32" t="inlineStr">
        <is>
          <t>20250514-47</t>
        </is>
      </c>
    </row>
    <row r="6596">
      <c r="A6596" s="32" t="n">
        <v>37</v>
      </c>
      <c r="B6596" s="32" t="inlineStr">
        <is>
          <t>K3-2C</t>
        </is>
      </c>
      <c r="D6596" s="32" t="n">
        <v>16.21</v>
      </c>
      <c r="E6596" s="32" t="n">
        <v>11.837</v>
      </c>
      <c r="F6596" s="32" t="n">
        <v>515.652</v>
      </c>
      <c r="G6596" s="32" t="n">
        <v>126</v>
      </c>
      <c r="H6596" s="32" t="inlineStr">
        <is>
          <t>bb</t>
        </is>
      </c>
      <c r="K6596" s="32" t="inlineStr">
        <is>
          <t>20250514-48</t>
        </is>
      </c>
    </row>
    <row r="6597">
      <c r="A6597" s="32" t="n">
        <v>38</v>
      </c>
      <c r="B6597" s="32" t="inlineStr">
        <is>
          <t>MeOH</t>
        </is>
      </c>
      <c r="K6597" s="32" t="inlineStr">
        <is>
          <t>20250514-49</t>
        </is>
      </c>
    </row>
    <row r="6598">
      <c r="A6598" s="32" t="n">
        <v>39</v>
      </c>
      <c r="B6598" s="32" t="inlineStr">
        <is>
          <t>K3-3A</t>
        </is>
      </c>
      <c r="D6598" s="32" t="n">
        <v>16.24</v>
      </c>
      <c r="E6598" s="32" t="n">
        <v>25.276</v>
      </c>
      <c r="F6598" s="32" t="n">
        <v>442.761</v>
      </c>
      <c r="G6598" s="32" t="n">
        <v>3.718</v>
      </c>
      <c r="H6598" s="32" t="inlineStr">
        <is>
          <t>bb</t>
        </is>
      </c>
      <c r="K6598" s="32" t="inlineStr">
        <is>
          <t>20250514-50</t>
        </is>
      </c>
    </row>
    <row r="6599">
      <c r="A6599" s="32" t="n">
        <v>40</v>
      </c>
      <c r="B6599" s="32" t="inlineStr">
        <is>
          <t>K3-3B</t>
        </is>
      </c>
      <c r="D6599" s="32" t="n">
        <v>16.28</v>
      </c>
      <c r="E6599" s="32" t="n">
        <v>9.709</v>
      </c>
      <c r="F6599" s="32" t="n">
        <v>392.975</v>
      </c>
      <c r="G6599" s="32" t="n">
        <v>104</v>
      </c>
      <c r="H6599" s="32" t="inlineStr">
        <is>
          <t>bb</t>
        </is>
      </c>
      <c r="K6599" s="32" t="inlineStr">
        <is>
          <t>20250514-51</t>
        </is>
      </c>
    </row>
    <row r="6600">
      <c r="A6600" s="32" t="n">
        <v>41</v>
      </c>
      <c r="B6600" s="32" t="inlineStr">
        <is>
          <t>K3-3C</t>
        </is>
      </c>
      <c r="D6600" s="32" t="n">
        <v>16.26</v>
      </c>
      <c r="E6600" s="32" t="n">
        <v>7.014</v>
      </c>
      <c r="F6600" s="32" t="n">
        <v>533.34</v>
      </c>
      <c r="G6600" s="32" t="n">
        <v>75</v>
      </c>
      <c r="H6600" s="32" t="inlineStr">
        <is>
          <t>bb</t>
        </is>
      </c>
      <c r="K6600" s="32" t="inlineStr">
        <is>
          <t>20250514-52</t>
        </is>
      </c>
    </row>
    <row r="6601">
      <c r="A6601" s="32" t="n">
        <v>42</v>
      </c>
      <c r="B6601" s="32" t="inlineStr">
        <is>
          <t>K3-4A</t>
        </is>
      </c>
      <c r="F6601" s="32" t="n">
        <v>579.684</v>
      </c>
      <c r="K6601" s="32" t="inlineStr">
        <is>
          <t>20250514-53</t>
        </is>
      </c>
    </row>
    <row r="6602">
      <c r="A6602" s="32" t="n">
        <v>43</v>
      </c>
      <c r="B6602" s="32" t="inlineStr">
        <is>
          <t>K3-4B</t>
        </is>
      </c>
      <c r="D6602" s="32" t="n">
        <v>16.38</v>
      </c>
      <c r="E6602" s="32" t="n">
        <v>38.917</v>
      </c>
      <c r="F6602" s="32" t="n">
        <v>398.943</v>
      </c>
      <c r="G6602" s="32" t="n">
        <v>349</v>
      </c>
      <c r="H6602" s="32" t="inlineStr">
        <is>
          <t>bb</t>
        </is>
      </c>
      <c r="K6602" s="32" t="inlineStr">
        <is>
          <t>20250514-54</t>
        </is>
      </c>
    </row>
    <row r="6603">
      <c r="A6603" s="32" t="n">
        <v>44</v>
      </c>
      <c r="B6603" s="32" t="inlineStr">
        <is>
          <t>K3-4C</t>
        </is>
      </c>
      <c r="D6603" s="32" t="n">
        <v>16.38</v>
      </c>
      <c r="E6603" s="32" t="n">
        <v>9.039999999999999</v>
      </c>
      <c r="F6603" s="32" t="n">
        <v>556.154</v>
      </c>
      <c r="G6603" s="32" t="n">
        <v>79</v>
      </c>
      <c r="H6603" s="32" t="inlineStr">
        <is>
          <t>bb</t>
        </is>
      </c>
      <c r="K6603" s="32" t="inlineStr">
        <is>
          <t>20250514-55</t>
        </is>
      </c>
    </row>
    <row r="6604">
      <c r="A6604" s="32" t="n">
        <v>45</v>
      </c>
      <c r="B6604" s="32" t="inlineStr">
        <is>
          <t>MeOH</t>
        </is>
      </c>
      <c r="H6604" s="32" t="inlineStr">
        <is>
          <t>MM-</t>
        </is>
      </c>
      <c r="K6604" s="32" t="inlineStr">
        <is>
          <t>20250514-56</t>
        </is>
      </c>
    </row>
    <row r="6605">
      <c r="A6605" s="32" t="n">
        <v>46</v>
      </c>
      <c r="B6605" s="32" t="inlineStr">
        <is>
          <t>K3-6A</t>
        </is>
      </c>
      <c r="D6605" s="32" t="n">
        <v>15.43</v>
      </c>
      <c r="E6605" s="32" t="n">
        <v>12.923</v>
      </c>
      <c r="F6605" s="32" t="n">
        <v>543.972</v>
      </c>
      <c r="G6605" s="32" t="n">
        <v>107</v>
      </c>
      <c r="H6605" s="32" t="inlineStr">
        <is>
          <t>MM</t>
        </is>
      </c>
      <c r="K6605" s="32" t="inlineStr">
        <is>
          <t>20250514-57</t>
        </is>
      </c>
    </row>
    <row r="6606">
      <c r="A6606" s="32" t="n">
        <v>47</v>
      </c>
      <c r="B6606" s="32" t="inlineStr">
        <is>
          <t>K3-6B</t>
        </is>
      </c>
      <c r="D6606" s="32" t="n">
        <v>17.13</v>
      </c>
      <c r="E6606" s="32" t="n">
        <v>0.273</v>
      </c>
      <c r="F6606" s="32" t="n">
        <v>411.323</v>
      </c>
      <c r="G6606" s="32" t="n">
        <v>3</v>
      </c>
      <c r="H6606" s="32" t="inlineStr">
        <is>
          <t>MM</t>
        </is>
      </c>
      <c r="K6606" s="32" t="inlineStr">
        <is>
          <t>20250514-58</t>
        </is>
      </c>
    </row>
    <row r="6607">
      <c r="A6607" s="32" t="n">
        <v>48</v>
      </c>
      <c r="B6607" s="32" t="inlineStr">
        <is>
          <t>K3-6C</t>
        </is>
      </c>
      <c r="D6607" s="32" t="n">
        <v>16.29</v>
      </c>
      <c r="E6607" s="32" t="n">
        <v>11.496</v>
      </c>
      <c r="F6607" s="32" t="n">
        <v>451.372</v>
      </c>
      <c r="G6607" s="32" t="n">
        <v>124</v>
      </c>
      <c r="H6607" s="32" t="inlineStr">
        <is>
          <t>bb</t>
        </is>
      </c>
      <c r="K6607" s="32" t="inlineStr">
        <is>
          <t>20250514-59</t>
        </is>
      </c>
    </row>
    <row r="6609">
      <c r="A6609" s="32" t="inlineStr">
        <is>
          <t>Compound 128:  PFTrDA 2</t>
        </is>
      </c>
    </row>
    <row r="6611">
      <c r="B6611" s="32" t="inlineStr">
        <is>
          <t>Sample Text</t>
        </is>
      </c>
      <c r="C6611" s="32" t="inlineStr">
        <is>
          <t>Std. Conc</t>
        </is>
      </c>
      <c r="D6611" s="32" t="inlineStr">
        <is>
          <t>RT</t>
        </is>
      </c>
      <c r="E6611" s="32" t="inlineStr">
        <is>
          <t>Area</t>
        </is>
      </c>
      <c r="F6611" s="32" t="inlineStr">
        <is>
          <t>IS Area</t>
        </is>
      </c>
      <c r="G6611" s="32" t="inlineStr">
        <is>
          <t>S/N</t>
        </is>
      </c>
      <c r="H6611" s="32" t="inlineStr">
        <is>
          <t>Primary Flags</t>
        </is>
      </c>
      <c r="I6611" s="32" t="inlineStr">
        <is>
          <t>Response</t>
        </is>
      </c>
      <c r="J6611" s="32" t="inlineStr">
        <is>
          <t>Conc.</t>
        </is>
      </c>
      <c r="K6611" s="32" t="inlineStr">
        <is>
          <t>Name</t>
        </is>
      </c>
    </row>
    <row r="6612">
      <c r="A6612" s="32" t="n">
        <v>1</v>
      </c>
      <c r="B6612" s="32" t="inlineStr">
        <is>
          <t>EPA1633 &amp; diPAPs Calibration 0 ppb</t>
        </is>
      </c>
      <c r="D6612" s="32" t="n">
        <v>15.25</v>
      </c>
      <c r="E6612" s="32" t="n">
        <v>5.702</v>
      </c>
      <c r="F6612" s="32" t="n">
        <v>1320.569</v>
      </c>
      <c r="G6612" s="32" t="n">
        <v>0.851</v>
      </c>
      <c r="H6612" s="32" t="inlineStr">
        <is>
          <t>MM</t>
        </is>
      </c>
      <c r="K6612" s="32" t="inlineStr">
        <is>
          <t>20250514-12</t>
        </is>
      </c>
    </row>
    <row r="6613">
      <c r="A6613" s="32" t="n">
        <v>2</v>
      </c>
      <c r="B6613" s="32" t="inlineStr">
        <is>
          <t>EPA1633 &amp; diPAPs Calibration 0.02 ppb</t>
        </is>
      </c>
      <c r="D6613" s="32" t="n">
        <v>15.67</v>
      </c>
      <c r="E6613" s="32" t="n">
        <v>1.262</v>
      </c>
      <c r="F6613" s="32" t="n">
        <v>1092.248</v>
      </c>
      <c r="G6613" s="32" t="n">
        <v>11</v>
      </c>
      <c r="H6613" s="32" t="inlineStr">
        <is>
          <t>MM</t>
        </is>
      </c>
      <c r="K6613" s="32" t="inlineStr">
        <is>
          <t>20250514-13</t>
        </is>
      </c>
    </row>
    <row r="6614">
      <c r="A6614" s="32" t="n">
        <v>3</v>
      </c>
      <c r="B6614" s="32" t="inlineStr">
        <is>
          <t>EPA1633 &amp; diPAPs Calibration 0.1 ppb</t>
        </is>
      </c>
      <c r="D6614" s="32" t="n">
        <v>16.38</v>
      </c>
      <c r="E6614" s="32" t="n">
        <v>0.802</v>
      </c>
      <c r="F6614" s="32" t="n">
        <v>1254.316</v>
      </c>
      <c r="G6614" s="32" t="n">
        <v>9</v>
      </c>
      <c r="H6614" s="32" t="inlineStr">
        <is>
          <t>bb</t>
        </is>
      </c>
      <c r="K6614" s="32" t="inlineStr">
        <is>
          <t>20250514-14</t>
        </is>
      </c>
    </row>
    <row r="6615">
      <c r="A6615" s="32" t="n">
        <v>4</v>
      </c>
      <c r="B6615" s="32" t="inlineStr">
        <is>
          <t>EPA1633 &amp; diPAPs Calibration 0.4 ppb</t>
        </is>
      </c>
      <c r="D6615" s="32" t="n">
        <v>16.22</v>
      </c>
      <c r="E6615" s="32" t="n">
        <v>94.92400000000001</v>
      </c>
      <c r="F6615" s="32" t="n">
        <v>1040.151</v>
      </c>
      <c r="G6615" s="32" t="n">
        <v>6.702</v>
      </c>
      <c r="H6615" s="32" t="inlineStr">
        <is>
          <t>MM</t>
        </is>
      </c>
      <c r="K6615" s="32" t="inlineStr">
        <is>
          <t>20250514-15</t>
        </is>
      </c>
    </row>
    <row r="6616">
      <c r="A6616" s="32" t="n">
        <v>5</v>
      </c>
      <c r="B6616" s="32" t="inlineStr">
        <is>
          <t>EPA1633 &amp; diPAPs Calibration 1 ppb</t>
        </is>
      </c>
      <c r="D6616" s="32" t="n">
        <v>16.17</v>
      </c>
      <c r="E6616" s="32" t="n">
        <v>176.85</v>
      </c>
      <c r="F6616" s="32" t="n">
        <v>1405.741</v>
      </c>
      <c r="G6616" s="32" t="n">
        <v>1429</v>
      </c>
      <c r="H6616" s="32" t="inlineStr">
        <is>
          <t>bb</t>
        </is>
      </c>
      <c r="K6616" s="32" t="inlineStr">
        <is>
          <t>20250514-16</t>
        </is>
      </c>
    </row>
    <row r="6617">
      <c r="A6617" s="32" t="n">
        <v>6</v>
      </c>
      <c r="B6617" s="32" t="inlineStr">
        <is>
          <t>EPA1633 &amp; diPAPs Calibration 5 ppb</t>
        </is>
      </c>
      <c r="D6617" s="32" t="n">
        <v>16.16</v>
      </c>
      <c r="E6617" s="32" t="n">
        <v>560.563</v>
      </c>
      <c r="F6617" s="32" t="n">
        <v>1256.498</v>
      </c>
      <c r="G6617" s="32" t="n">
        <v>4654</v>
      </c>
      <c r="H6617" s="32" t="inlineStr">
        <is>
          <t>bb</t>
        </is>
      </c>
      <c r="K6617" s="32" t="inlineStr">
        <is>
          <t>20250514-17</t>
        </is>
      </c>
    </row>
    <row r="6618">
      <c r="A6618" s="32" t="n">
        <v>7</v>
      </c>
      <c r="B6618" s="32" t="inlineStr">
        <is>
          <t>EPA1633 &amp; diPAPs Calibration 10 ppb</t>
        </is>
      </c>
      <c r="D6618" s="32" t="n">
        <v>16.17</v>
      </c>
      <c r="E6618" s="32" t="n">
        <v>1444.139</v>
      </c>
      <c r="F6618" s="32" t="n">
        <v>964.71</v>
      </c>
      <c r="G6618" s="32" t="n">
        <v>24.822</v>
      </c>
      <c r="H6618" s="32" t="inlineStr">
        <is>
          <t>bb</t>
        </is>
      </c>
      <c r="K6618" s="32" t="inlineStr">
        <is>
          <t>20250514-18</t>
        </is>
      </c>
    </row>
    <row r="6619">
      <c r="A6619" s="32" t="n">
        <v>8</v>
      </c>
      <c r="B6619" s="32" t="inlineStr">
        <is>
          <t>EPA1633 &amp; diPAPs Calibration 20 ppb</t>
        </is>
      </c>
      <c r="D6619" s="32" t="n">
        <v>16.19</v>
      </c>
      <c r="E6619" s="32" t="n">
        <v>2722.672</v>
      </c>
      <c r="F6619" s="32" t="n">
        <v>1026.499</v>
      </c>
      <c r="G6619" s="32" t="n">
        <v>76.977</v>
      </c>
      <c r="H6619" s="32" t="inlineStr">
        <is>
          <t>bb</t>
        </is>
      </c>
      <c r="K6619" s="32" t="inlineStr">
        <is>
          <t>20250514-19</t>
        </is>
      </c>
    </row>
    <row r="6620">
      <c r="A6620" s="32" t="n">
        <v>9</v>
      </c>
      <c r="B6620" s="32" t="inlineStr">
        <is>
          <t>MeOH</t>
        </is>
      </c>
      <c r="F6620" s="32" t="n">
        <v>11.688</v>
      </c>
      <c r="K6620" s="32" t="inlineStr">
        <is>
          <t>20250514-20</t>
        </is>
      </c>
    </row>
    <row r="6621">
      <c r="A6621" s="32" t="n">
        <v>10</v>
      </c>
      <c r="B6621" s="32" t="inlineStr">
        <is>
          <t>MeOH</t>
        </is>
      </c>
      <c r="D6621" s="32" t="n">
        <v>16.26</v>
      </c>
      <c r="E6621" s="32" t="n">
        <v>12.186</v>
      </c>
      <c r="F6621" s="32" t="n">
        <v>3.639</v>
      </c>
      <c r="G6621" s="32" t="n">
        <v>3.56</v>
      </c>
      <c r="H6621" s="32" t="inlineStr">
        <is>
          <t>bb</t>
        </is>
      </c>
      <c r="K6621" s="32" t="inlineStr">
        <is>
          <t>20250514-21</t>
        </is>
      </c>
    </row>
    <row r="6622">
      <c r="A6622" s="32" t="n">
        <v>11</v>
      </c>
      <c r="B6622" s="32" t="inlineStr">
        <is>
          <t>SB1</t>
        </is>
      </c>
      <c r="D6622" s="32" t="n">
        <v>16.18</v>
      </c>
      <c r="E6622" s="32" t="n">
        <v>16.977</v>
      </c>
      <c r="F6622" s="32" t="n">
        <v>414.528</v>
      </c>
      <c r="G6622" s="32" t="n">
        <v>167</v>
      </c>
      <c r="H6622" s="32" t="inlineStr">
        <is>
          <t>bb</t>
        </is>
      </c>
      <c r="K6622" s="32" t="inlineStr">
        <is>
          <t>20250514-22</t>
        </is>
      </c>
    </row>
    <row r="6623">
      <c r="A6623" s="32" t="n">
        <v>12</v>
      </c>
      <c r="B6623" s="32" t="inlineStr">
        <is>
          <t>SB2</t>
        </is>
      </c>
      <c r="D6623" s="32" t="n">
        <v>16.65</v>
      </c>
      <c r="E6623" s="32" t="n">
        <v>20.215</v>
      </c>
      <c r="F6623" s="32" t="n">
        <v>503.01</v>
      </c>
      <c r="G6623" s="32" t="n">
        <v>243</v>
      </c>
      <c r="H6623" s="32" t="inlineStr">
        <is>
          <t>bb</t>
        </is>
      </c>
      <c r="K6623" s="32" t="inlineStr">
        <is>
          <t>20250514-23</t>
        </is>
      </c>
    </row>
    <row r="6624">
      <c r="A6624" s="32" t="n">
        <v>13</v>
      </c>
      <c r="B6624" s="32" t="inlineStr">
        <is>
          <t>SB3</t>
        </is>
      </c>
      <c r="D6624" s="32" t="n">
        <v>16.39</v>
      </c>
      <c r="E6624" s="32" t="n">
        <v>2.023</v>
      </c>
      <c r="F6624" s="32" t="n">
        <v>431.257</v>
      </c>
      <c r="G6624" s="32" t="n">
        <v>22</v>
      </c>
      <c r="H6624" s="32" t="inlineStr">
        <is>
          <t>bb</t>
        </is>
      </c>
      <c r="K6624" s="32" t="inlineStr">
        <is>
          <t>20250514-24</t>
        </is>
      </c>
    </row>
    <row r="6625">
      <c r="A6625" s="32" t="n">
        <v>14</v>
      </c>
      <c r="B6625" s="32" t="inlineStr">
        <is>
          <t>SS1</t>
        </is>
      </c>
      <c r="D6625" s="32" t="n">
        <v>16.26</v>
      </c>
      <c r="E6625" s="32" t="n">
        <v>482.482</v>
      </c>
      <c r="F6625" s="32" t="n">
        <v>427.401</v>
      </c>
      <c r="G6625" s="32" t="n">
        <v>2.582</v>
      </c>
      <c r="H6625" s="32" t="inlineStr">
        <is>
          <t>bb</t>
        </is>
      </c>
      <c r="K6625" s="32" t="inlineStr">
        <is>
          <t>20250514-25</t>
        </is>
      </c>
    </row>
    <row r="6626">
      <c r="A6626" s="32" t="n">
        <v>15</v>
      </c>
      <c r="B6626" s="32" t="inlineStr">
        <is>
          <t>SS2</t>
        </is>
      </c>
      <c r="D6626" s="32" t="n">
        <v>16.24</v>
      </c>
      <c r="E6626" s="32" t="n">
        <v>454.688</v>
      </c>
      <c r="F6626" s="32" t="n">
        <v>452.262</v>
      </c>
      <c r="G6626" s="32" t="n">
        <v>3355</v>
      </c>
      <c r="H6626" s="32" t="inlineStr">
        <is>
          <t>bb</t>
        </is>
      </c>
      <c r="K6626" s="32" t="inlineStr">
        <is>
          <t>20250514-26</t>
        </is>
      </c>
    </row>
    <row r="6627">
      <c r="A6627" s="32" t="n">
        <v>16</v>
      </c>
      <c r="B6627" s="32" t="inlineStr">
        <is>
          <t>SS3</t>
        </is>
      </c>
      <c r="D6627" s="32" t="n">
        <v>16.25</v>
      </c>
      <c r="E6627" s="32" t="n">
        <v>518.343</v>
      </c>
      <c r="F6627" s="32" t="n">
        <v>344.206</v>
      </c>
      <c r="G6627" s="32" t="n">
        <v>8.694000000000001</v>
      </c>
      <c r="H6627" s="32" t="inlineStr">
        <is>
          <t>bb</t>
        </is>
      </c>
      <c r="K6627" s="32" t="inlineStr">
        <is>
          <t>20250514-27</t>
        </is>
      </c>
    </row>
    <row r="6628">
      <c r="A6628" s="32" t="n">
        <v>17</v>
      </c>
      <c r="B6628" s="32" t="inlineStr">
        <is>
          <t>MeOH</t>
        </is>
      </c>
      <c r="K6628" s="32" t="inlineStr">
        <is>
          <t>20250514-28</t>
        </is>
      </c>
    </row>
    <row r="6629">
      <c r="A6629" s="32" t="n">
        <v>18</v>
      </c>
      <c r="B6629" s="32" t="inlineStr">
        <is>
          <t>K4-1A</t>
        </is>
      </c>
      <c r="D6629" s="32" t="n">
        <v>16.2</v>
      </c>
      <c r="E6629" s="32" t="n">
        <v>2.145</v>
      </c>
      <c r="F6629" s="32" t="n">
        <v>435.167</v>
      </c>
      <c r="G6629" s="32" t="n">
        <v>23</v>
      </c>
      <c r="H6629" s="32" t="inlineStr">
        <is>
          <t>bb</t>
        </is>
      </c>
      <c r="K6629" s="32" t="inlineStr">
        <is>
          <t>20250514-29</t>
        </is>
      </c>
    </row>
    <row r="6630">
      <c r="A6630" s="32" t="n">
        <v>19</v>
      </c>
      <c r="B6630" s="32" t="inlineStr">
        <is>
          <t>K4-1B</t>
        </is>
      </c>
      <c r="D6630" s="32" t="n">
        <v>15.65</v>
      </c>
      <c r="E6630" s="32" t="n">
        <v>32.035</v>
      </c>
      <c r="F6630" s="32" t="n">
        <v>549.792</v>
      </c>
      <c r="G6630" s="32" t="n">
        <v>269</v>
      </c>
      <c r="H6630" s="32" t="inlineStr">
        <is>
          <t>bb</t>
        </is>
      </c>
      <c r="K6630" s="32" t="inlineStr">
        <is>
          <t>20250514-30</t>
        </is>
      </c>
    </row>
    <row r="6631">
      <c r="A6631" s="32" t="n">
        <v>20</v>
      </c>
      <c r="B6631" s="32" t="inlineStr">
        <is>
          <t>K4-1C</t>
        </is>
      </c>
      <c r="F6631" s="32" t="n">
        <v>409.212</v>
      </c>
      <c r="K6631" s="32" t="inlineStr">
        <is>
          <t>20250514-31</t>
        </is>
      </c>
    </row>
    <row r="6632">
      <c r="A6632" s="32" t="n">
        <v>21</v>
      </c>
      <c r="B6632" s="32" t="inlineStr">
        <is>
          <t>K4-2A</t>
        </is>
      </c>
      <c r="D6632" s="32" t="n">
        <v>16.42</v>
      </c>
      <c r="E6632" s="32" t="n">
        <v>2.177</v>
      </c>
      <c r="F6632" s="32" t="n">
        <v>458.88</v>
      </c>
      <c r="G6632" s="32" t="n">
        <v>24</v>
      </c>
      <c r="H6632" s="32" t="inlineStr">
        <is>
          <t>bb</t>
        </is>
      </c>
      <c r="K6632" s="32" t="inlineStr">
        <is>
          <t>20250514-32</t>
        </is>
      </c>
    </row>
    <row r="6633">
      <c r="A6633" s="32" t="n">
        <v>22</v>
      </c>
      <c r="B6633" s="32" t="inlineStr">
        <is>
          <t>K4-2B</t>
        </is>
      </c>
      <c r="D6633" s="32" t="n">
        <v>16.25</v>
      </c>
      <c r="E6633" s="32" t="n">
        <v>49.261</v>
      </c>
      <c r="F6633" s="32" t="n">
        <v>403.292</v>
      </c>
      <c r="G6633" s="32" t="n">
        <v>371</v>
      </c>
      <c r="H6633" s="32" t="inlineStr">
        <is>
          <t>bb</t>
        </is>
      </c>
      <c r="K6633" s="32" t="inlineStr">
        <is>
          <t>20250514-33</t>
        </is>
      </c>
    </row>
    <row r="6634">
      <c r="A6634" s="32" t="n">
        <v>23</v>
      </c>
      <c r="B6634" s="32" t="inlineStr">
        <is>
          <t>K4-2C</t>
        </is>
      </c>
      <c r="D6634" s="32" t="n">
        <v>16.56</v>
      </c>
      <c r="E6634" s="32" t="n">
        <v>14.554</v>
      </c>
      <c r="F6634" s="32" t="n">
        <v>349.79</v>
      </c>
      <c r="G6634" s="32" t="n">
        <v>2.468</v>
      </c>
      <c r="H6634" s="32" t="inlineStr">
        <is>
          <t>bb</t>
        </is>
      </c>
      <c r="K6634" s="32" t="inlineStr">
        <is>
          <t>20250514-34</t>
        </is>
      </c>
    </row>
    <row r="6635">
      <c r="A6635" s="32" t="n">
        <v>24</v>
      </c>
      <c r="B6635" s="32" t="inlineStr">
        <is>
          <t>MeOH</t>
        </is>
      </c>
      <c r="D6635" s="32" t="n">
        <v>16.16</v>
      </c>
      <c r="E6635" s="32" t="n">
        <v>22.766</v>
      </c>
      <c r="F6635" s="32" t="n">
        <v>7.411</v>
      </c>
      <c r="G6635" s="32" t="n">
        <v>243</v>
      </c>
      <c r="H6635" s="32" t="inlineStr">
        <is>
          <t>bb</t>
        </is>
      </c>
      <c r="K6635" s="32" t="inlineStr">
        <is>
          <t>20250514-35</t>
        </is>
      </c>
    </row>
    <row r="6636">
      <c r="A6636" s="32" t="n">
        <v>25</v>
      </c>
      <c r="B6636" s="32" t="inlineStr">
        <is>
          <t>K4-4A</t>
        </is>
      </c>
      <c r="D6636" s="32" t="n">
        <v>16.29</v>
      </c>
      <c r="E6636" s="32" t="n">
        <v>4.835</v>
      </c>
      <c r="F6636" s="32" t="n">
        <v>438.197</v>
      </c>
      <c r="G6636" s="32" t="n">
        <v>52</v>
      </c>
      <c r="H6636" s="32" t="inlineStr">
        <is>
          <t>bb</t>
        </is>
      </c>
      <c r="K6636" s="32" t="inlineStr">
        <is>
          <t>20250514-36</t>
        </is>
      </c>
    </row>
    <row r="6637">
      <c r="A6637" s="32" t="n">
        <v>26</v>
      </c>
      <c r="B6637" s="32" t="inlineStr">
        <is>
          <t>K4-4B</t>
        </is>
      </c>
      <c r="D6637" s="32" t="n">
        <v>16.3</v>
      </c>
      <c r="E6637" s="32" t="n">
        <v>19.376</v>
      </c>
      <c r="F6637" s="32" t="n">
        <v>453.67</v>
      </c>
      <c r="G6637" s="32" t="n">
        <v>204</v>
      </c>
      <c r="H6637" s="32" t="inlineStr">
        <is>
          <t>bb</t>
        </is>
      </c>
      <c r="K6637" s="32" t="inlineStr">
        <is>
          <t>20250514-37</t>
        </is>
      </c>
    </row>
    <row r="6638">
      <c r="A6638" s="32" t="n">
        <v>27</v>
      </c>
      <c r="B6638" s="32" t="inlineStr">
        <is>
          <t>K4-4C</t>
        </is>
      </c>
      <c r="D6638" s="32" t="n">
        <v>16.47</v>
      </c>
      <c r="E6638" s="32" t="n">
        <v>38.479</v>
      </c>
      <c r="F6638" s="32" t="n">
        <v>468.581</v>
      </c>
      <c r="G6638" s="32" t="n">
        <v>435</v>
      </c>
      <c r="H6638" s="32" t="inlineStr">
        <is>
          <t>bb</t>
        </is>
      </c>
      <c r="K6638" s="32" t="inlineStr">
        <is>
          <t>20250514-38</t>
        </is>
      </c>
    </row>
    <row r="6639">
      <c r="A6639" s="32" t="n">
        <v>28</v>
      </c>
      <c r="B6639" s="32" t="inlineStr">
        <is>
          <t>K4-5A</t>
        </is>
      </c>
      <c r="F6639" s="32" t="n">
        <v>381.594</v>
      </c>
      <c r="K6639" s="32" t="inlineStr">
        <is>
          <t>20250514-39</t>
        </is>
      </c>
    </row>
    <row r="6640">
      <c r="A6640" s="32" t="n">
        <v>29</v>
      </c>
      <c r="B6640" s="32" t="inlineStr">
        <is>
          <t>K4-5B</t>
        </is>
      </c>
      <c r="D6640" s="32" t="n">
        <v>16.22</v>
      </c>
      <c r="E6640" s="32" t="n">
        <v>1.965</v>
      </c>
      <c r="F6640" s="32" t="n">
        <v>405.711</v>
      </c>
      <c r="G6640" s="32" t="n">
        <v>18</v>
      </c>
      <c r="H6640" s="32" t="inlineStr">
        <is>
          <t>bb</t>
        </is>
      </c>
      <c r="K6640" s="32" t="inlineStr">
        <is>
          <t>20250514-40</t>
        </is>
      </c>
    </row>
    <row r="6641">
      <c r="A6641" s="32" t="n">
        <v>30</v>
      </c>
      <c r="B6641" s="32" t="inlineStr">
        <is>
          <t>K4-5C</t>
        </is>
      </c>
      <c r="D6641" s="32" t="n">
        <v>15.66</v>
      </c>
      <c r="E6641" s="32" t="n">
        <v>53.382</v>
      </c>
      <c r="F6641" s="32" t="n">
        <v>367.483</v>
      </c>
      <c r="G6641" s="32" t="n">
        <v>3.33</v>
      </c>
      <c r="H6641" s="32" t="inlineStr">
        <is>
          <t>bb</t>
        </is>
      </c>
      <c r="K6641" s="32" t="inlineStr">
        <is>
          <t>20250514-41</t>
        </is>
      </c>
    </row>
    <row r="6642">
      <c r="A6642" s="32" t="n">
        <v>31</v>
      </c>
      <c r="B6642" s="32" t="inlineStr">
        <is>
          <t>MeOH</t>
        </is>
      </c>
      <c r="F6642" s="32" t="n">
        <v>19.434</v>
      </c>
      <c r="K6642" s="32" t="inlineStr">
        <is>
          <t>20250514-42</t>
        </is>
      </c>
    </row>
    <row r="6643">
      <c r="A6643" s="32" t="n">
        <v>32</v>
      </c>
      <c r="B6643" s="32" t="inlineStr">
        <is>
          <t>K3-1A</t>
        </is>
      </c>
      <c r="D6643" s="32" t="n">
        <v>16.55</v>
      </c>
      <c r="E6643" s="32" t="n">
        <v>26.633</v>
      </c>
      <c r="F6643" s="32" t="n">
        <v>519.807</v>
      </c>
      <c r="G6643" s="32" t="n">
        <v>1.901</v>
      </c>
      <c r="H6643" s="32" t="inlineStr">
        <is>
          <t>bb</t>
        </is>
      </c>
      <c r="K6643" s="32" t="inlineStr">
        <is>
          <t>20250514-43</t>
        </is>
      </c>
    </row>
    <row r="6644">
      <c r="A6644" s="32" t="n">
        <v>33</v>
      </c>
      <c r="B6644" s="32" t="inlineStr">
        <is>
          <t>K3-1B</t>
        </is>
      </c>
      <c r="D6644" s="32" t="n">
        <v>16.26</v>
      </c>
      <c r="E6644" s="32" t="n">
        <v>6.279</v>
      </c>
      <c r="F6644" s="32" t="n">
        <v>456.552</v>
      </c>
      <c r="G6644" s="32" t="n">
        <v>4.043</v>
      </c>
      <c r="H6644" s="32" t="inlineStr">
        <is>
          <t>bb</t>
        </is>
      </c>
      <c r="K6644" s="32" t="inlineStr">
        <is>
          <t>20250514-44</t>
        </is>
      </c>
    </row>
    <row r="6645">
      <c r="A6645" s="32" t="n">
        <v>34</v>
      </c>
      <c r="B6645" s="32" t="inlineStr">
        <is>
          <t>K3-1C</t>
        </is>
      </c>
      <c r="D6645" s="32" t="n">
        <v>15.99</v>
      </c>
      <c r="E6645" s="32" t="n">
        <v>58.573</v>
      </c>
      <c r="F6645" s="32" t="n">
        <v>556.412</v>
      </c>
      <c r="G6645" s="32" t="n">
        <v>541</v>
      </c>
      <c r="H6645" s="32" t="inlineStr">
        <is>
          <t>bb</t>
        </is>
      </c>
      <c r="K6645" s="32" t="inlineStr">
        <is>
          <t>20250514-45</t>
        </is>
      </c>
    </row>
    <row r="6646">
      <c r="A6646" s="32" t="n">
        <v>35</v>
      </c>
      <c r="B6646" s="32" t="inlineStr">
        <is>
          <t>K3-2A</t>
        </is>
      </c>
      <c r="D6646" s="32" t="n">
        <v>16.21</v>
      </c>
      <c r="E6646" s="32" t="n">
        <v>7.012</v>
      </c>
      <c r="F6646" s="32" t="n">
        <v>520.705</v>
      </c>
      <c r="G6646" s="32" t="n">
        <v>75</v>
      </c>
      <c r="H6646" s="32" t="inlineStr">
        <is>
          <t>bb</t>
        </is>
      </c>
      <c r="K6646" s="32" t="inlineStr">
        <is>
          <t>20250514-46</t>
        </is>
      </c>
    </row>
    <row r="6647">
      <c r="A6647" s="32" t="n">
        <v>36</v>
      </c>
      <c r="B6647" s="32" t="inlineStr">
        <is>
          <t>K3-2B</t>
        </is>
      </c>
      <c r="D6647" s="32" t="n">
        <v>16.07</v>
      </c>
      <c r="E6647" s="32" t="n">
        <v>10.223</v>
      </c>
      <c r="F6647" s="32" t="n">
        <v>697.726</v>
      </c>
      <c r="G6647" s="32" t="n">
        <v>1.249</v>
      </c>
      <c r="H6647" s="32" t="inlineStr">
        <is>
          <t>bb</t>
        </is>
      </c>
      <c r="K6647" s="32" t="inlineStr">
        <is>
          <t>20250514-47</t>
        </is>
      </c>
    </row>
    <row r="6648">
      <c r="A6648" s="32" t="n">
        <v>37</v>
      </c>
      <c r="B6648" s="32" t="inlineStr">
        <is>
          <t>K3-2C</t>
        </is>
      </c>
      <c r="D6648" s="32" t="n">
        <v>16.14</v>
      </c>
      <c r="E6648" s="32" t="n">
        <v>46.908</v>
      </c>
      <c r="F6648" s="32" t="n">
        <v>515.652</v>
      </c>
      <c r="G6648" s="32" t="n">
        <v>4.733</v>
      </c>
      <c r="H6648" s="32" t="inlineStr">
        <is>
          <t>bb</t>
        </is>
      </c>
      <c r="K6648" s="32" t="inlineStr">
        <is>
          <t>20250514-48</t>
        </is>
      </c>
    </row>
    <row r="6649">
      <c r="A6649" s="32" t="n">
        <v>38</v>
      </c>
      <c r="B6649" s="32" t="inlineStr">
        <is>
          <t>MeOH</t>
        </is>
      </c>
      <c r="D6649" s="32" t="n">
        <v>16.04</v>
      </c>
      <c r="E6649" s="32" t="n">
        <v>10.284</v>
      </c>
      <c r="G6649" s="32" t="n">
        <v>1.166</v>
      </c>
      <c r="H6649" s="32" t="inlineStr">
        <is>
          <t>bb</t>
        </is>
      </c>
      <c r="K6649" s="32" t="inlineStr">
        <is>
          <t>20250514-49</t>
        </is>
      </c>
    </row>
    <row r="6650">
      <c r="A6650" s="32" t="n">
        <v>39</v>
      </c>
      <c r="B6650" s="32" t="inlineStr">
        <is>
          <t>K3-3A</t>
        </is>
      </c>
      <c r="D6650" s="32" t="n">
        <v>16.4</v>
      </c>
      <c r="E6650" s="32" t="n">
        <v>43.571</v>
      </c>
      <c r="F6650" s="32" t="n">
        <v>442.761</v>
      </c>
      <c r="G6650" s="32" t="n">
        <v>1.401</v>
      </c>
      <c r="H6650" s="32" t="inlineStr">
        <is>
          <t>bb</t>
        </is>
      </c>
      <c r="K6650" s="32" t="inlineStr">
        <is>
          <t>20250514-50</t>
        </is>
      </c>
    </row>
    <row r="6651">
      <c r="A6651" s="32" t="n">
        <v>40</v>
      </c>
      <c r="B6651" s="32" t="inlineStr">
        <is>
          <t>K3-3B</t>
        </is>
      </c>
      <c r="D6651" s="32" t="n">
        <v>16.39</v>
      </c>
      <c r="E6651" s="32" t="n">
        <v>27.991</v>
      </c>
      <c r="F6651" s="32" t="n">
        <v>392.975</v>
      </c>
      <c r="G6651" s="32" t="n">
        <v>226</v>
      </c>
      <c r="H6651" s="32" t="inlineStr">
        <is>
          <t>bb</t>
        </is>
      </c>
      <c r="K6651" s="32" t="inlineStr">
        <is>
          <t>20250514-51</t>
        </is>
      </c>
    </row>
    <row r="6652">
      <c r="A6652" s="32" t="n">
        <v>41</v>
      </c>
      <c r="B6652" s="32" t="inlineStr">
        <is>
          <t>K3-3C</t>
        </is>
      </c>
      <c r="D6652" s="32" t="n">
        <v>16.53</v>
      </c>
      <c r="E6652" s="32" t="n">
        <v>42.597</v>
      </c>
      <c r="F6652" s="32" t="n">
        <v>533.34</v>
      </c>
      <c r="G6652" s="32" t="n">
        <v>3.783</v>
      </c>
      <c r="H6652" s="32" t="inlineStr">
        <is>
          <t>bb</t>
        </is>
      </c>
      <c r="K6652" s="32" t="inlineStr">
        <is>
          <t>20250514-52</t>
        </is>
      </c>
    </row>
    <row r="6653">
      <c r="A6653" s="32" t="n">
        <v>42</v>
      </c>
      <c r="B6653" s="32" t="inlineStr">
        <is>
          <t>K3-4A</t>
        </is>
      </c>
      <c r="D6653" s="32" t="n">
        <v>16.22</v>
      </c>
      <c r="E6653" s="32" t="n">
        <v>95.586</v>
      </c>
      <c r="F6653" s="32" t="n">
        <v>579.684</v>
      </c>
      <c r="G6653" s="32" t="n">
        <v>924</v>
      </c>
      <c r="H6653" s="32" t="inlineStr">
        <is>
          <t>bb</t>
        </is>
      </c>
      <c r="K6653" s="32" t="inlineStr">
        <is>
          <t>20250514-53</t>
        </is>
      </c>
    </row>
    <row r="6654">
      <c r="A6654" s="32" t="n">
        <v>43</v>
      </c>
      <c r="B6654" s="32" t="inlineStr">
        <is>
          <t>K3-4B</t>
        </is>
      </c>
      <c r="F6654" s="32" t="n">
        <v>398.943</v>
      </c>
      <c r="K6654" s="32" t="inlineStr">
        <is>
          <t>20250514-54</t>
        </is>
      </c>
    </row>
    <row r="6655">
      <c r="A6655" s="32" t="n">
        <v>44</v>
      </c>
      <c r="B6655" s="32" t="inlineStr">
        <is>
          <t>K3-4C</t>
        </is>
      </c>
      <c r="D6655" s="32" t="n">
        <v>15.65</v>
      </c>
      <c r="E6655" s="32" t="n">
        <v>42.573</v>
      </c>
      <c r="F6655" s="32" t="n">
        <v>556.154</v>
      </c>
      <c r="G6655" s="32" t="n">
        <v>2.619</v>
      </c>
      <c r="H6655" s="32" t="inlineStr">
        <is>
          <t>bb</t>
        </is>
      </c>
      <c r="K6655" s="32" t="inlineStr">
        <is>
          <t>20250514-55</t>
        </is>
      </c>
    </row>
    <row r="6656">
      <c r="A6656" s="32" t="n">
        <v>45</v>
      </c>
      <c r="B6656" s="32" t="inlineStr">
        <is>
          <t>MeOH</t>
        </is>
      </c>
      <c r="D6656" s="32" t="n">
        <v>16.02</v>
      </c>
      <c r="E6656" s="32" t="n">
        <v>64.867</v>
      </c>
      <c r="G6656" s="32" t="n">
        <v>2.841</v>
      </c>
      <c r="H6656" s="32" t="inlineStr">
        <is>
          <t>bb</t>
        </is>
      </c>
      <c r="K6656" s="32" t="inlineStr">
        <is>
          <t>20250514-56</t>
        </is>
      </c>
    </row>
    <row r="6657">
      <c r="A6657" s="32" t="n">
        <v>46</v>
      </c>
      <c r="B6657" s="32" t="inlineStr">
        <is>
          <t>K3-6A</t>
        </is>
      </c>
      <c r="D6657" s="32" t="n">
        <v>15.62</v>
      </c>
      <c r="E6657" s="32" t="n">
        <v>47.81</v>
      </c>
      <c r="F6657" s="32" t="n">
        <v>543.972</v>
      </c>
      <c r="G6657" s="32" t="n">
        <v>1.166</v>
      </c>
      <c r="H6657" s="32" t="inlineStr">
        <is>
          <t>bb</t>
        </is>
      </c>
      <c r="K6657" s="32" t="inlineStr">
        <is>
          <t>20250514-57</t>
        </is>
      </c>
    </row>
    <row r="6658">
      <c r="A6658" s="32" t="n">
        <v>47</v>
      </c>
      <c r="B6658" s="32" t="inlineStr">
        <is>
          <t>K3-6B</t>
        </is>
      </c>
      <c r="D6658" s="32" t="n">
        <v>16.39</v>
      </c>
      <c r="E6658" s="32" t="n">
        <v>38.696</v>
      </c>
      <c r="F6658" s="32" t="n">
        <v>411.323</v>
      </c>
      <c r="G6658" s="32" t="n">
        <v>257</v>
      </c>
      <c r="H6658" s="32" t="inlineStr">
        <is>
          <t>bb</t>
        </is>
      </c>
      <c r="K6658" s="32" t="inlineStr">
        <is>
          <t>20250514-58</t>
        </is>
      </c>
    </row>
    <row r="6659">
      <c r="A6659" s="32" t="n">
        <v>48</v>
      </c>
      <c r="B6659" s="32" t="inlineStr">
        <is>
          <t>K3-6C</t>
        </is>
      </c>
      <c r="D6659" s="32" t="n">
        <v>16.11</v>
      </c>
      <c r="E6659" s="32" t="n">
        <v>10.091</v>
      </c>
      <c r="F6659" s="32" t="n">
        <v>451.372</v>
      </c>
      <c r="G6659" s="32" t="n">
        <v>1.544</v>
      </c>
      <c r="H6659" s="32" t="inlineStr">
        <is>
          <t>bb</t>
        </is>
      </c>
      <c r="K6659" s="32" t="inlineStr">
        <is>
          <t>20250514-59</t>
        </is>
      </c>
    </row>
    <row r="6661">
      <c r="A6661" s="32" t="inlineStr">
        <is>
          <t>Compound 129:  PFTeDA 1</t>
        </is>
      </c>
    </row>
    <row r="6663">
      <c r="B6663" s="32" t="inlineStr">
        <is>
          <t>Sample Text</t>
        </is>
      </c>
      <c r="C6663" s="32" t="inlineStr">
        <is>
          <t>Std. Conc</t>
        </is>
      </c>
      <c r="D6663" s="32" t="inlineStr">
        <is>
          <t>RT</t>
        </is>
      </c>
      <c r="E6663" s="32" t="inlineStr">
        <is>
          <t>Area</t>
        </is>
      </c>
      <c r="F6663" s="32" t="inlineStr">
        <is>
          <t>IS Area</t>
        </is>
      </c>
      <c r="G6663" s="32" t="inlineStr">
        <is>
          <t>S/N</t>
        </is>
      </c>
      <c r="H6663" s="32" t="inlineStr">
        <is>
          <t>Primary Flags</t>
        </is>
      </c>
      <c r="I6663" s="32" t="inlineStr">
        <is>
          <t>Response</t>
        </is>
      </c>
      <c r="J6663" s="32" t="inlineStr">
        <is>
          <t>Conc.</t>
        </is>
      </c>
      <c r="K6663" s="32" t="inlineStr">
        <is>
          <t>Name</t>
        </is>
      </c>
    </row>
    <row r="6664">
      <c r="A6664" s="32" t="n">
        <v>1</v>
      </c>
      <c r="B6664" s="32" t="inlineStr">
        <is>
          <t>EPA1633 &amp; diPAPs Calibration 0 ppb</t>
        </is>
      </c>
      <c r="D6664" s="32" t="n">
        <v>16.76</v>
      </c>
      <c r="E6664" s="32" t="n">
        <v>70.06</v>
      </c>
      <c r="F6664" s="32" t="n">
        <v>1320.569</v>
      </c>
      <c r="G6664" s="32" t="n">
        <v>4.506</v>
      </c>
      <c r="H6664" s="32" t="inlineStr">
        <is>
          <t>bb</t>
        </is>
      </c>
      <c r="K6664" s="32" t="inlineStr">
        <is>
          <t>20250514-12</t>
        </is>
      </c>
    </row>
    <row r="6665">
      <c r="A6665" s="32" t="n">
        <v>2</v>
      </c>
      <c r="B6665" s="32" t="inlineStr">
        <is>
          <t>EPA1633 &amp; diPAPs Calibration 0.02 ppb</t>
        </is>
      </c>
      <c r="D6665" s="32" t="n">
        <v>16.77</v>
      </c>
      <c r="E6665" s="32" t="n">
        <v>250.588</v>
      </c>
      <c r="F6665" s="32" t="n">
        <v>1092.248</v>
      </c>
      <c r="G6665" s="32" t="n">
        <v>12.074</v>
      </c>
      <c r="H6665" s="32" t="inlineStr">
        <is>
          <t>bb</t>
        </is>
      </c>
      <c r="K6665" s="32" t="inlineStr">
        <is>
          <t>20250514-13</t>
        </is>
      </c>
    </row>
    <row r="6666">
      <c r="A6666" s="32" t="n">
        <v>3</v>
      </c>
      <c r="B6666" s="32" t="inlineStr">
        <is>
          <t>EPA1633 &amp; diPAPs Calibration 0.1 ppb</t>
        </is>
      </c>
      <c r="D6666" s="32" t="n">
        <v>16.77</v>
      </c>
      <c r="E6666" s="32" t="n">
        <v>331.607</v>
      </c>
      <c r="F6666" s="32" t="n">
        <v>1254.316</v>
      </c>
      <c r="G6666" s="32" t="n">
        <v>38.789</v>
      </c>
      <c r="H6666" s="32" t="inlineStr">
        <is>
          <t>bb</t>
        </is>
      </c>
      <c r="K6666" s="32" t="inlineStr">
        <is>
          <t>20250514-14</t>
        </is>
      </c>
    </row>
    <row r="6667">
      <c r="A6667" s="32" t="n">
        <v>4</v>
      </c>
      <c r="B6667" s="32" t="inlineStr">
        <is>
          <t>EPA1633 &amp; diPAPs Calibration 0.4 ppb</t>
        </is>
      </c>
      <c r="D6667" s="32" t="n">
        <v>16.78</v>
      </c>
      <c r="E6667" s="32" t="n">
        <v>672.612</v>
      </c>
      <c r="F6667" s="32" t="n">
        <v>1040.151</v>
      </c>
      <c r="G6667" s="32" t="n">
        <v>1273.736</v>
      </c>
      <c r="H6667" s="32" t="inlineStr">
        <is>
          <t>bb</t>
        </is>
      </c>
      <c r="K6667" s="32" t="inlineStr">
        <is>
          <t>20250514-15</t>
        </is>
      </c>
    </row>
    <row r="6668">
      <c r="A6668" s="32" t="n">
        <v>5</v>
      </c>
      <c r="B6668" s="32" t="inlineStr">
        <is>
          <t>EPA1633 &amp; diPAPs Calibration 1 ppb</t>
        </is>
      </c>
      <c r="D6668" s="32" t="n">
        <v>16.74</v>
      </c>
      <c r="E6668" s="32" t="n">
        <v>1250.665</v>
      </c>
      <c r="F6668" s="32" t="n">
        <v>1405.741</v>
      </c>
      <c r="G6668" s="32" t="n">
        <v>431.178</v>
      </c>
      <c r="H6668" s="32" t="inlineStr">
        <is>
          <t>bb</t>
        </is>
      </c>
      <c r="K6668" s="32" t="inlineStr">
        <is>
          <t>20250514-16</t>
        </is>
      </c>
    </row>
    <row r="6669">
      <c r="A6669" s="32" t="n">
        <v>6</v>
      </c>
      <c r="B6669" s="32" t="inlineStr">
        <is>
          <t>EPA1633 &amp; diPAPs Calibration 5 ppb</t>
        </is>
      </c>
      <c r="D6669" s="32" t="n">
        <v>16.75</v>
      </c>
      <c r="E6669" s="32" t="n">
        <v>4841.312</v>
      </c>
      <c r="F6669" s="32" t="n">
        <v>1256.498</v>
      </c>
      <c r="G6669" s="32" t="n">
        <v>128.388</v>
      </c>
      <c r="H6669" s="32" t="inlineStr">
        <is>
          <t>bb</t>
        </is>
      </c>
      <c r="K6669" s="32" t="inlineStr">
        <is>
          <t>20250514-17</t>
        </is>
      </c>
    </row>
    <row r="6670">
      <c r="A6670" s="32" t="n">
        <v>7</v>
      </c>
      <c r="B6670" s="32" t="inlineStr">
        <is>
          <t>EPA1633 &amp; diPAPs Calibration 10 ppb</t>
        </is>
      </c>
      <c r="D6670" s="32" t="n">
        <v>16.75</v>
      </c>
      <c r="E6670" s="32" t="n">
        <v>7773.212</v>
      </c>
      <c r="F6670" s="32" t="n">
        <v>964.71</v>
      </c>
      <c r="G6670" s="32" t="n">
        <v>868.002</v>
      </c>
      <c r="H6670" s="32" t="inlineStr">
        <is>
          <t>bb</t>
        </is>
      </c>
      <c r="K6670" s="32" t="inlineStr">
        <is>
          <t>20250514-18</t>
        </is>
      </c>
    </row>
    <row r="6671">
      <c r="A6671" s="32" t="n">
        <v>8</v>
      </c>
      <c r="B6671" s="32" t="inlineStr">
        <is>
          <t>EPA1633 &amp; diPAPs Calibration 20 ppb</t>
        </is>
      </c>
      <c r="D6671" s="32" t="n">
        <v>16.76</v>
      </c>
      <c r="E6671" s="32" t="n">
        <v>16775.973</v>
      </c>
      <c r="F6671" s="32" t="n">
        <v>1026.499</v>
      </c>
      <c r="G6671" s="32" t="n">
        <v>910.854</v>
      </c>
      <c r="H6671" s="32" t="inlineStr">
        <is>
          <t>bb</t>
        </is>
      </c>
      <c r="K6671" s="32" t="inlineStr">
        <is>
          <t>20250514-19</t>
        </is>
      </c>
    </row>
    <row r="6672">
      <c r="A6672" s="32" t="n">
        <v>9</v>
      </c>
      <c r="B6672" s="32" t="inlineStr">
        <is>
          <t>MeOH</t>
        </is>
      </c>
      <c r="D6672" s="32" t="n">
        <v>16.75</v>
      </c>
      <c r="E6672" s="32" t="n">
        <v>154.504</v>
      </c>
      <c r="F6672" s="32" t="n">
        <v>11.688</v>
      </c>
      <c r="G6672" s="32" t="n">
        <v>20.754</v>
      </c>
      <c r="H6672" s="32" t="inlineStr">
        <is>
          <t>bb</t>
        </is>
      </c>
      <c r="K6672" s="32" t="inlineStr">
        <is>
          <t>20250514-20</t>
        </is>
      </c>
    </row>
    <row r="6673">
      <c r="A6673" s="32" t="n">
        <v>10</v>
      </c>
      <c r="B6673" s="32" t="inlineStr">
        <is>
          <t>MeOH</t>
        </is>
      </c>
      <c r="D6673" s="32" t="n">
        <v>16.79</v>
      </c>
      <c r="E6673" s="32" t="n">
        <v>41.798</v>
      </c>
      <c r="F6673" s="32" t="n">
        <v>3.639</v>
      </c>
      <c r="G6673" s="32" t="n">
        <v>9.388999999999999</v>
      </c>
      <c r="H6673" s="32" t="inlineStr">
        <is>
          <t>bb</t>
        </is>
      </c>
      <c r="K6673" s="32" t="inlineStr">
        <is>
          <t>20250514-21</t>
        </is>
      </c>
    </row>
    <row r="6674">
      <c r="A6674" s="32" t="n">
        <v>11</v>
      </c>
      <c r="B6674" s="32" t="inlineStr">
        <is>
          <t>SB1</t>
        </is>
      </c>
      <c r="D6674" s="32" t="n">
        <v>16.79</v>
      </c>
      <c r="E6674" s="32" t="n">
        <v>112.26</v>
      </c>
      <c r="F6674" s="32" t="n">
        <v>414.528</v>
      </c>
      <c r="G6674" s="32" t="n">
        <v>51.663</v>
      </c>
      <c r="H6674" s="32" t="inlineStr">
        <is>
          <t>bb</t>
        </is>
      </c>
      <c r="K6674" s="32" t="inlineStr">
        <is>
          <t>20250514-22</t>
        </is>
      </c>
    </row>
    <row r="6675">
      <c r="A6675" s="32" t="n">
        <v>12</v>
      </c>
      <c r="B6675" s="32" t="inlineStr">
        <is>
          <t>SB2</t>
        </is>
      </c>
      <c r="D6675" s="32" t="n">
        <v>16.82</v>
      </c>
      <c r="E6675" s="32" t="n">
        <v>51.199</v>
      </c>
      <c r="F6675" s="32" t="n">
        <v>503.01</v>
      </c>
      <c r="G6675" s="32" t="n">
        <v>10.923</v>
      </c>
      <c r="H6675" s="32" t="inlineStr">
        <is>
          <t>bb</t>
        </is>
      </c>
      <c r="K6675" s="32" t="inlineStr">
        <is>
          <t>20250514-23</t>
        </is>
      </c>
    </row>
    <row r="6676">
      <c r="A6676" s="32" t="n">
        <v>13</v>
      </c>
      <c r="B6676" s="32" t="inlineStr">
        <is>
          <t>SB3</t>
        </is>
      </c>
      <c r="D6676" s="32" t="n">
        <v>16.92</v>
      </c>
      <c r="E6676" s="32" t="n">
        <v>28.77</v>
      </c>
      <c r="F6676" s="32" t="n">
        <v>431.257</v>
      </c>
      <c r="G6676" s="32" t="n">
        <v>1.432</v>
      </c>
      <c r="H6676" s="32" t="inlineStr">
        <is>
          <t>bb</t>
        </is>
      </c>
      <c r="K6676" s="32" t="inlineStr">
        <is>
          <t>20250514-24</t>
        </is>
      </c>
    </row>
    <row r="6677">
      <c r="A6677" s="32" t="n">
        <v>14</v>
      </c>
      <c r="B6677" s="32" t="inlineStr">
        <is>
          <t>SS1</t>
        </is>
      </c>
      <c r="D6677" s="32" t="n">
        <v>16.8</v>
      </c>
      <c r="E6677" s="32" t="n">
        <v>2840.091</v>
      </c>
      <c r="F6677" s="32" t="n">
        <v>427.401</v>
      </c>
      <c r="G6677" s="32" t="n">
        <v>190.577</v>
      </c>
      <c r="H6677" s="32" t="inlineStr">
        <is>
          <t>bb</t>
        </is>
      </c>
      <c r="K6677" s="32" t="inlineStr">
        <is>
          <t>20250514-25</t>
        </is>
      </c>
    </row>
    <row r="6678">
      <c r="A6678" s="32" t="n">
        <v>15</v>
      </c>
      <c r="B6678" s="32" t="inlineStr">
        <is>
          <t>SS2</t>
        </is>
      </c>
      <c r="D6678" s="32" t="n">
        <v>16.8</v>
      </c>
      <c r="E6678" s="32" t="n">
        <v>2903.208</v>
      </c>
      <c r="F6678" s="32" t="n">
        <v>452.262</v>
      </c>
      <c r="G6678" s="32" t="n">
        <v>203.512</v>
      </c>
      <c r="H6678" s="32" t="inlineStr">
        <is>
          <t>bb</t>
        </is>
      </c>
      <c r="K6678" s="32" t="inlineStr">
        <is>
          <t>20250514-26</t>
        </is>
      </c>
    </row>
    <row r="6679">
      <c r="A6679" s="32" t="n">
        <v>16</v>
      </c>
      <c r="B6679" s="32" t="inlineStr">
        <is>
          <t>SS3</t>
        </is>
      </c>
      <c r="D6679" s="32" t="n">
        <v>16.82</v>
      </c>
      <c r="E6679" s="32" t="n">
        <v>2867.345</v>
      </c>
      <c r="F6679" s="32" t="n">
        <v>344.206</v>
      </c>
      <c r="G6679" s="32" t="n">
        <v>705.468</v>
      </c>
      <c r="H6679" s="32" t="inlineStr">
        <is>
          <t>bb</t>
        </is>
      </c>
      <c r="K6679" s="32" t="inlineStr">
        <is>
          <t>20250514-27</t>
        </is>
      </c>
    </row>
    <row r="6680">
      <c r="A6680" s="32" t="n">
        <v>17</v>
      </c>
      <c r="B6680" s="32" t="inlineStr">
        <is>
          <t>MeOH</t>
        </is>
      </c>
      <c r="D6680" s="32" t="n">
        <v>16.83</v>
      </c>
      <c r="E6680" s="32" t="n">
        <v>71.64100000000001</v>
      </c>
      <c r="G6680" s="32" t="n">
        <v>498</v>
      </c>
      <c r="H6680" s="32" t="inlineStr">
        <is>
          <t>bb</t>
        </is>
      </c>
      <c r="K6680" s="32" t="inlineStr">
        <is>
          <t>20250514-28</t>
        </is>
      </c>
    </row>
    <row r="6681">
      <c r="A6681" s="32" t="n">
        <v>18</v>
      </c>
      <c r="B6681" s="32" t="inlineStr">
        <is>
          <t>K4-1A</t>
        </is>
      </c>
      <c r="D6681" s="32" t="n">
        <v>16.83</v>
      </c>
      <c r="E6681" s="32" t="n">
        <v>85.001</v>
      </c>
      <c r="F6681" s="32" t="n">
        <v>435.167</v>
      </c>
      <c r="G6681" s="32" t="n">
        <v>77.616</v>
      </c>
      <c r="H6681" s="32" t="inlineStr">
        <is>
          <t>bb</t>
        </is>
      </c>
      <c r="K6681" s="32" t="inlineStr">
        <is>
          <t>20250514-29</t>
        </is>
      </c>
    </row>
    <row r="6682">
      <c r="A6682" s="32" t="n">
        <v>19</v>
      </c>
      <c r="B6682" s="32" t="inlineStr">
        <is>
          <t>K4-1B</t>
        </is>
      </c>
      <c r="D6682" s="32" t="n">
        <v>16.83</v>
      </c>
      <c r="E6682" s="32" t="n">
        <v>15.983</v>
      </c>
      <c r="F6682" s="32" t="n">
        <v>549.792</v>
      </c>
      <c r="G6682" s="32" t="n">
        <v>2.288</v>
      </c>
      <c r="H6682" s="32" t="inlineStr">
        <is>
          <t>bb</t>
        </is>
      </c>
      <c r="K6682" s="32" t="inlineStr">
        <is>
          <t>20250514-30</t>
        </is>
      </c>
    </row>
    <row r="6683">
      <c r="A6683" s="32" t="n">
        <v>20</v>
      </c>
      <c r="B6683" s="32" t="inlineStr">
        <is>
          <t>K4-1C</t>
        </is>
      </c>
      <c r="D6683" s="32" t="n">
        <v>17.07</v>
      </c>
      <c r="E6683" s="32" t="n">
        <v>28.083</v>
      </c>
      <c r="F6683" s="32" t="n">
        <v>409.212</v>
      </c>
      <c r="G6683" s="32" t="n">
        <v>279</v>
      </c>
      <c r="H6683" s="32" t="inlineStr">
        <is>
          <t>bb</t>
        </is>
      </c>
      <c r="K6683" s="32" t="inlineStr">
        <is>
          <t>20250514-31</t>
        </is>
      </c>
    </row>
    <row r="6684">
      <c r="A6684" s="32" t="n">
        <v>21</v>
      </c>
      <c r="B6684" s="32" t="inlineStr">
        <is>
          <t>K4-2A</t>
        </is>
      </c>
      <c r="D6684" s="32" t="n">
        <v>16.82</v>
      </c>
      <c r="E6684" s="32" t="n">
        <v>7.779</v>
      </c>
      <c r="F6684" s="32" t="n">
        <v>458.88</v>
      </c>
      <c r="G6684" s="32" t="n">
        <v>7.045</v>
      </c>
      <c r="H6684" s="32" t="inlineStr">
        <is>
          <t>MM</t>
        </is>
      </c>
      <c r="K6684" s="32" t="inlineStr">
        <is>
          <t>20250514-32</t>
        </is>
      </c>
    </row>
    <row r="6685">
      <c r="A6685" s="32" t="n">
        <v>22</v>
      </c>
      <c r="B6685" s="32" t="inlineStr">
        <is>
          <t>K4-2B</t>
        </is>
      </c>
      <c r="D6685" s="32" t="n">
        <v>16.83</v>
      </c>
      <c r="E6685" s="32" t="n">
        <v>28.114</v>
      </c>
      <c r="F6685" s="32" t="n">
        <v>403.292</v>
      </c>
      <c r="G6685" s="32" t="n">
        <v>2.843</v>
      </c>
      <c r="H6685" s="32" t="inlineStr">
        <is>
          <t>bb</t>
        </is>
      </c>
      <c r="K6685" s="32" t="inlineStr">
        <is>
          <t>20250514-33</t>
        </is>
      </c>
    </row>
    <row r="6686">
      <c r="A6686" s="32" t="n">
        <v>23</v>
      </c>
      <c r="B6686" s="32" t="inlineStr">
        <is>
          <t>K4-2C</t>
        </is>
      </c>
      <c r="D6686" s="32" t="n">
        <v>17</v>
      </c>
      <c r="E6686" s="32" t="n">
        <v>1.808</v>
      </c>
      <c r="F6686" s="32" t="n">
        <v>349.79</v>
      </c>
      <c r="G6686" s="32" t="n">
        <v>3.386</v>
      </c>
      <c r="H6686" s="32" t="inlineStr">
        <is>
          <t>MM</t>
        </is>
      </c>
      <c r="K6686" s="32" t="inlineStr">
        <is>
          <t>20250514-34</t>
        </is>
      </c>
    </row>
    <row r="6687">
      <c r="A6687" s="32" t="n">
        <v>24</v>
      </c>
      <c r="B6687" s="32" t="inlineStr">
        <is>
          <t>MeOH</t>
        </is>
      </c>
      <c r="D6687" s="32" t="n">
        <v>16.82</v>
      </c>
      <c r="E6687" s="32" t="n">
        <v>10.168</v>
      </c>
      <c r="F6687" s="32" t="n">
        <v>7.411</v>
      </c>
      <c r="G6687" s="32" t="n">
        <v>91</v>
      </c>
      <c r="H6687" s="32" t="inlineStr">
        <is>
          <t>bb</t>
        </is>
      </c>
      <c r="K6687" s="32" t="inlineStr">
        <is>
          <t>20250514-35</t>
        </is>
      </c>
    </row>
    <row r="6688">
      <c r="A6688" s="32" t="n">
        <v>25</v>
      </c>
      <c r="B6688" s="32" t="inlineStr">
        <is>
          <t>K4-4A</t>
        </is>
      </c>
      <c r="D6688" s="32" t="n">
        <v>17</v>
      </c>
      <c r="E6688" s="32" t="n">
        <v>22.909</v>
      </c>
      <c r="F6688" s="32" t="n">
        <v>438.197</v>
      </c>
      <c r="G6688" s="32" t="n">
        <v>24.768</v>
      </c>
      <c r="H6688" s="32" t="inlineStr">
        <is>
          <t>bb</t>
        </is>
      </c>
      <c r="K6688" s="32" t="inlineStr">
        <is>
          <t>20250514-36</t>
        </is>
      </c>
    </row>
    <row r="6689">
      <c r="A6689" s="32" t="n">
        <v>26</v>
      </c>
      <c r="B6689" s="32" t="inlineStr">
        <is>
          <t>K4-4B</t>
        </is>
      </c>
      <c r="D6689" s="32" t="n">
        <v>16.93</v>
      </c>
      <c r="E6689" s="32" t="n">
        <v>27.221</v>
      </c>
      <c r="F6689" s="32" t="n">
        <v>453.67</v>
      </c>
      <c r="G6689" s="32" t="n">
        <v>2.537</v>
      </c>
      <c r="H6689" s="32" t="inlineStr">
        <is>
          <t>MM</t>
        </is>
      </c>
      <c r="K6689" s="32" t="inlineStr">
        <is>
          <t>20250514-37</t>
        </is>
      </c>
    </row>
    <row r="6690">
      <c r="A6690" s="32" t="n">
        <v>27</v>
      </c>
      <c r="B6690" s="32" t="inlineStr">
        <is>
          <t>K4-4C</t>
        </is>
      </c>
      <c r="D6690" s="32" t="n">
        <v>16.87</v>
      </c>
      <c r="E6690" s="32" t="n">
        <v>20.063</v>
      </c>
      <c r="F6690" s="32" t="n">
        <v>468.581</v>
      </c>
      <c r="G6690" s="32" t="n">
        <v>9.965999999999999</v>
      </c>
      <c r="H6690" s="32" t="inlineStr">
        <is>
          <t>bb</t>
        </is>
      </c>
      <c r="K6690" s="32" t="inlineStr">
        <is>
          <t>20250514-38</t>
        </is>
      </c>
    </row>
    <row r="6691">
      <c r="A6691" s="32" t="n">
        <v>28</v>
      </c>
      <c r="B6691" s="32" t="inlineStr">
        <is>
          <t>K4-5A</t>
        </is>
      </c>
      <c r="D6691" s="32" t="n">
        <v>16.88</v>
      </c>
      <c r="E6691" s="32" t="n">
        <v>18.705</v>
      </c>
      <c r="F6691" s="32" t="n">
        <v>381.594</v>
      </c>
      <c r="G6691" s="32" t="n">
        <v>145</v>
      </c>
      <c r="H6691" s="32" t="inlineStr">
        <is>
          <t>MM</t>
        </is>
      </c>
      <c r="K6691" s="32" t="inlineStr">
        <is>
          <t>20250514-39</t>
        </is>
      </c>
    </row>
    <row r="6692">
      <c r="A6692" s="32" t="n">
        <v>29</v>
      </c>
      <c r="B6692" s="32" t="inlineStr">
        <is>
          <t>K4-5B</t>
        </is>
      </c>
      <c r="D6692" s="32" t="n">
        <v>16.9</v>
      </c>
      <c r="E6692" s="32" t="n">
        <v>9.997999999999999</v>
      </c>
      <c r="F6692" s="32" t="n">
        <v>405.711</v>
      </c>
      <c r="G6692" s="32" t="n">
        <v>1.253</v>
      </c>
      <c r="H6692" s="32" t="inlineStr">
        <is>
          <t>bb</t>
        </is>
      </c>
      <c r="K6692" s="32" t="inlineStr">
        <is>
          <t>20250514-40</t>
        </is>
      </c>
    </row>
    <row r="6693">
      <c r="A6693" s="32" t="n">
        <v>30</v>
      </c>
      <c r="B6693" s="32" t="inlineStr">
        <is>
          <t>K4-5C</t>
        </is>
      </c>
      <c r="D6693" s="32" t="n">
        <v>16.83</v>
      </c>
      <c r="E6693" s="32" t="n">
        <v>30.106</v>
      </c>
      <c r="F6693" s="32" t="n">
        <v>367.483</v>
      </c>
      <c r="G6693" s="32" t="n">
        <v>4.855</v>
      </c>
      <c r="H6693" s="32" t="inlineStr">
        <is>
          <t>bb</t>
        </is>
      </c>
      <c r="K6693" s="32" t="inlineStr">
        <is>
          <t>20250514-41</t>
        </is>
      </c>
    </row>
    <row r="6694">
      <c r="A6694" s="32" t="n">
        <v>31</v>
      </c>
      <c r="B6694" s="32" t="inlineStr">
        <is>
          <t>MeOH</t>
        </is>
      </c>
      <c r="F6694" s="32" t="n">
        <v>19.434</v>
      </c>
      <c r="K6694" s="32" t="inlineStr">
        <is>
          <t>20250514-42</t>
        </is>
      </c>
    </row>
    <row r="6695">
      <c r="A6695" s="32" t="n">
        <v>32</v>
      </c>
      <c r="B6695" s="32" t="inlineStr">
        <is>
          <t>K3-1A</t>
        </is>
      </c>
      <c r="D6695" s="32" t="n">
        <v>16.8</v>
      </c>
      <c r="E6695" s="32" t="n">
        <v>68.962</v>
      </c>
      <c r="F6695" s="32" t="n">
        <v>519.807</v>
      </c>
      <c r="G6695" s="32" t="n">
        <v>6.837</v>
      </c>
      <c r="H6695" s="32" t="inlineStr">
        <is>
          <t>bb</t>
        </is>
      </c>
      <c r="K6695" s="32" t="inlineStr">
        <is>
          <t>20250514-43</t>
        </is>
      </c>
    </row>
    <row r="6696">
      <c r="A6696" s="32" t="n">
        <v>33</v>
      </c>
      <c r="B6696" s="32" t="inlineStr">
        <is>
          <t>K3-1B</t>
        </is>
      </c>
      <c r="D6696" s="32" t="n">
        <v>16.77</v>
      </c>
      <c r="E6696" s="32" t="n">
        <v>20.958</v>
      </c>
      <c r="F6696" s="32" t="n">
        <v>456.552</v>
      </c>
      <c r="G6696" s="32" t="n">
        <v>4.569</v>
      </c>
      <c r="H6696" s="32" t="inlineStr">
        <is>
          <t>MM</t>
        </is>
      </c>
      <c r="K6696" s="32" t="inlineStr">
        <is>
          <t>20250514-44</t>
        </is>
      </c>
    </row>
    <row r="6697">
      <c r="A6697" s="32" t="n">
        <v>34</v>
      </c>
      <c r="B6697" s="32" t="inlineStr">
        <is>
          <t>K3-1C</t>
        </is>
      </c>
      <c r="D6697" s="32" t="n">
        <v>16.85</v>
      </c>
      <c r="E6697" s="32" t="n">
        <v>17.981</v>
      </c>
      <c r="F6697" s="32" t="n">
        <v>556.412</v>
      </c>
      <c r="G6697" s="32" t="n">
        <v>122</v>
      </c>
      <c r="H6697" s="32" t="inlineStr">
        <is>
          <t>bb</t>
        </is>
      </c>
      <c r="K6697" s="32" t="inlineStr">
        <is>
          <t>20250514-45</t>
        </is>
      </c>
    </row>
    <row r="6698">
      <c r="A6698" s="32" t="n">
        <v>35</v>
      </c>
      <c r="B6698" s="32" t="inlineStr">
        <is>
          <t>K3-2A</t>
        </is>
      </c>
      <c r="D6698" s="32" t="n">
        <v>16.87</v>
      </c>
      <c r="E6698" s="32" t="n">
        <v>50.736</v>
      </c>
      <c r="F6698" s="32" t="n">
        <v>520.705</v>
      </c>
      <c r="G6698" s="32" t="n">
        <v>2.954</v>
      </c>
      <c r="H6698" s="32" t="inlineStr">
        <is>
          <t>bb</t>
        </is>
      </c>
      <c r="K6698" s="32" t="inlineStr">
        <is>
          <t>20250514-46</t>
        </is>
      </c>
    </row>
    <row r="6699">
      <c r="A6699" s="32" t="n">
        <v>36</v>
      </c>
      <c r="B6699" s="32" t="inlineStr">
        <is>
          <t>K3-2B</t>
        </is>
      </c>
      <c r="D6699" s="32" t="n">
        <v>16.82</v>
      </c>
      <c r="E6699" s="32" t="n">
        <v>36.611</v>
      </c>
      <c r="F6699" s="32" t="n">
        <v>697.726</v>
      </c>
      <c r="G6699" s="32" t="n">
        <v>3.64</v>
      </c>
      <c r="H6699" s="32" t="inlineStr">
        <is>
          <t>bb</t>
        </is>
      </c>
      <c r="K6699" s="32" t="inlineStr">
        <is>
          <t>20250514-47</t>
        </is>
      </c>
    </row>
    <row r="6700">
      <c r="A6700" s="32" t="n">
        <v>37</v>
      </c>
      <c r="B6700" s="32" t="inlineStr">
        <is>
          <t>K3-2C</t>
        </is>
      </c>
      <c r="D6700" s="32" t="n">
        <v>16.83</v>
      </c>
      <c r="E6700" s="32" t="n">
        <v>26.404</v>
      </c>
      <c r="F6700" s="32" t="n">
        <v>515.652</v>
      </c>
      <c r="G6700" s="32" t="n">
        <v>232</v>
      </c>
      <c r="H6700" s="32" t="inlineStr">
        <is>
          <t>MM</t>
        </is>
      </c>
      <c r="K6700" s="32" t="inlineStr">
        <is>
          <t>20250514-48</t>
        </is>
      </c>
    </row>
    <row r="6701">
      <c r="A6701" s="32" t="n">
        <v>38</v>
      </c>
      <c r="B6701" s="32" t="inlineStr">
        <is>
          <t>MeOH</t>
        </is>
      </c>
      <c r="D6701" s="32" t="n">
        <v>16.86</v>
      </c>
      <c r="E6701" s="32" t="n">
        <v>3.965</v>
      </c>
      <c r="G6701" s="32" t="n">
        <v>1.26</v>
      </c>
      <c r="H6701" s="32" t="inlineStr">
        <is>
          <t>MM</t>
        </is>
      </c>
      <c r="K6701" s="32" t="inlineStr">
        <is>
          <t>20250514-49</t>
        </is>
      </c>
    </row>
    <row r="6702">
      <c r="A6702" s="32" t="n">
        <v>39</v>
      </c>
      <c r="B6702" s="32" t="inlineStr">
        <is>
          <t>K3-3A</t>
        </is>
      </c>
      <c r="D6702" s="32" t="n">
        <v>16.88</v>
      </c>
      <c r="E6702" s="32" t="n">
        <v>24.491</v>
      </c>
      <c r="F6702" s="32" t="n">
        <v>442.761</v>
      </c>
      <c r="G6702" s="32" t="n">
        <v>2.372</v>
      </c>
      <c r="H6702" s="32" t="inlineStr">
        <is>
          <t>MM</t>
        </is>
      </c>
      <c r="K6702" s="32" t="inlineStr">
        <is>
          <t>20250514-50</t>
        </is>
      </c>
    </row>
    <row r="6703">
      <c r="A6703" s="32" t="n">
        <v>40</v>
      </c>
      <c r="B6703" s="32" t="inlineStr">
        <is>
          <t>K3-3B</t>
        </is>
      </c>
      <c r="D6703" s="32" t="n">
        <v>16.87</v>
      </c>
      <c r="E6703" s="32" t="n">
        <v>16.542</v>
      </c>
      <c r="F6703" s="32" t="n">
        <v>392.975</v>
      </c>
      <c r="G6703" s="32" t="n">
        <v>118</v>
      </c>
      <c r="H6703" s="32" t="inlineStr">
        <is>
          <t>bb</t>
        </is>
      </c>
      <c r="K6703" s="32" t="inlineStr">
        <is>
          <t>20250514-51</t>
        </is>
      </c>
    </row>
    <row r="6704">
      <c r="A6704" s="32" t="n">
        <v>41</v>
      </c>
      <c r="B6704" s="32" t="inlineStr">
        <is>
          <t>K3-3C</t>
        </is>
      </c>
      <c r="D6704" s="32" t="n">
        <v>16.9</v>
      </c>
      <c r="E6704" s="32" t="n">
        <v>17.143</v>
      </c>
      <c r="F6704" s="32" t="n">
        <v>533.34</v>
      </c>
      <c r="G6704" s="32" t="n">
        <v>2.383</v>
      </c>
      <c r="H6704" s="32" t="inlineStr">
        <is>
          <t>bb</t>
        </is>
      </c>
      <c r="K6704" s="32" t="inlineStr">
        <is>
          <t>20250514-52</t>
        </is>
      </c>
    </row>
    <row r="6705">
      <c r="A6705" s="32" t="n">
        <v>42</v>
      </c>
      <c r="B6705" s="32" t="inlineStr">
        <is>
          <t>K3-4A</t>
        </is>
      </c>
      <c r="D6705" s="32" t="n">
        <v>16.93</v>
      </c>
      <c r="E6705" s="32" t="n">
        <v>57.838</v>
      </c>
      <c r="F6705" s="32" t="n">
        <v>579.684</v>
      </c>
      <c r="G6705" s="32" t="n">
        <v>6.853</v>
      </c>
      <c r="H6705" s="32" t="inlineStr">
        <is>
          <t>bb</t>
        </is>
      </c>
      <c r="K6705" s="32" t="inlineStr">
        <is>
          <t>20250514-53</t>
        </is>
      </c>
    </row>
    <row r="6706">
      <c r="A6706" s="32" t="n">
        <v>43</v>
      </c>
      <c r="B6706" s="32" t="inlineStr">
        <is>
          <t>K3-4B</t>
        </is>
      </c>
      <c r="D6706" s="32" t="n">
        <v>16.92</v>
      </c>
      <c r="E6706" s="32" t="n">
        <v>95.411</v>
      </c>
      <c r="F6706" s="32" t="n">
        <v>398.943</v>
      </c>
      <c r="G6706" s="32" t="n">
        <v>4.154</v>
      </c>
      <c r="H6706" s="32" t="inlineStr">
        <is>
          <t>bb</t>
        </is>
      </c>
      <c r="K6706" s="32" t="inlineStr">
        <is>
          <t>20250514-54</t>
        </is>
      </c>
    </row>
    <row r="6707">
      <c r="A6707" s="32" t="n">
        <v>44</v>
      </c>
      <c r="B6707" s="32" t="inlineStr">
        <is>
          <t>K3-4C</t>
        </is>
      </c>
      <c r="D6707" s="32" t="n">
        <v>16.93</v>
      </c>
      <c r="E6707" s="32" t="n">
        <v>12.865</v>
      </c>
      <c r="F6707" s="32" t="n">
        <v>556.154</v>
      </c>
      <c r="G6707" s="32" t="n">
        <v>3.292</v>
      </c>
      <c r="H6707" s="32" t="inlineStr">
        <is>
          <t>bb</t>
        </is>
      </c>
      <c r="K6707" s="32" t="inlineStr">
        <is>
          <t>20250514-55</t>
        </is>
      </c>
    </row>
    <row r="6708">
      <c r="A6708" s="32" t="n">
        <v>45</v>
      </c>
      <c r="B6708" s="32" t="inlineStr">
        <is>
          <t>MeOH</t>
        </is>
      </c>
      <c r="D6708" s="32" t="n">
        <v>16.95</v>
      </c>
      <c r="E6708" s="32" t="n">
        <v>16.387</v>
      </c>
      <c r="G6708" s="32" t="n">
        <v>10.467</v>
      </c>
      <c r="H6708" s="32" t="inlineStr">
        <is>
          <t>bb</t>
        </is>
      </c>
      <c r="K6708" s="32" t="inlineStr">
        <is>
          <t>20250514-56</t>
        </is>
      </c>
    </row>
    <row r="6709">
      <c r="A6709" s="32" t="n">
        <v>46</v>
      </c>
      <c r="B6709" s="32" t="inlineStr">
        <is>
          <t>K3-6A</t>
        </is>
      </c>
      <c r="D6709" s="32" t="n">
        <v>16.98</v>
      </c>
      <c r="E6709" s="32" t="n">
        <v>43.701</v>
      </c>
      <c r="F6709" s="32" t="n">
        <v>543.972</v>
      </c>
      <c r="G6709" s="32" t="n">
        <v>37.447</v>
      </c>
      <c r="H6709" s="32" t="inlineStr">
        <is>
          <t>bb</t>
        </is>
      </c>
      <c r="K6709" s="32" t="inlineStr">
        <is>
          <t>20250514-57</t>
        </is>
      </c>
    </row>
    <row r="6710">
      <c r="A6710" s="32" t="n">
        <v>47</v>
      </c>
      <c r="B6710" s="32" t="inlineStr">
        <is>
          <t>K3-6B</t>
        </is>
      </c>
      <c r="D6710" s="32" t="n">
        <v>17.05</v>
      </c>
      <c r="E6710" s="32" t="n">
        <v>53.608</v>
      </c>
      <c r="F6710" s="32" t="n">
        <v>411.323</v>
      </c>
      <c r="G6710" s="32" t="n">
        <v>12.228</v>
      </c>
      <c r="H6710" s="32" t="inlineStr">
        <is>
          <t>bb</t>
        </is>
      </c>
      <c r="K6710" s="32" t="inlineStr">
        <is>
          <t>20250514-58</t>
        </is>
      </c>
    </row>
    <row r="6711">
      <c r="A6711" s="32" t="n">
        <v>48</v>
      </c>
      <c r="B6711" s="32" t="inlineStr">
        <is>
          <t>K3-6C</t>
        </is>
      </c>
      <c r="D6711" s="32" t="n">
        <v>16.93</v>
      </c>
      <c r="E6711" s="32" t="n">
        <v>24.219</v>
      </c>
      <c r="F6711" s="32" t="n">
        <v>451.372</v>
      </c>
      <c r="G6711" s="32" t="n">
        <v>171</v>
      </c>
      <c r="H6711" s="32" t="inlineStr">
        <is>
          <t>MM</t>
        </is>
      </c>
      <c r="K6711" s="32" t="inlineStr">
        <is>
          <t>20250514-59</t>
        </is>
      </c>
    </row>
    <row r="6713">
      <c r="A6713" s="32" t="inlineStr">
        <is>
          <t>Compound 130:  PFTeDA 2</t>
        </is>
      </c>
    </row>
    <row r="6715">
      <c r="B6715" s="32" t="inlineStr">
        <is>
          <t>Sample Text</t>
        </is>
      </c>
      <c r="C6715" s="32" t="inlineStr">
        <is>
          <t>Std. Conc</t>
        </is>
      </c>
      <c r="D6715" s="32" t="inlineStr">
        <is>
          <t>RT</t>
        </is>
      </c>
      <c r="E6715" s="32" t="inlineStr">
        <is>
          <t>Area</t>
        </is>
      </c>
      <c r="F6715" s="32" t="inlineStr">
        <is>
          <t>IS Area</t>
        </is>
      </c>
      <c r="G6715" s="32" t="inlineStr">
        <is>
          <t>S/N</t>
        </is>
      </c>
      <c r="H6715" s="32" t="inlineStr">
        <is>
          <t>Primary Flags</t>
        </is>
      </c>
      <c r="I6715" s="32" t="inlineStr">
        <is>
          <t>Response</t>
        </is>
      </c>
      <c r="J6715" s="32" t="inlineStr">
        <is>
          <t>Conc.</t>
        </is>
      </c>
      <c r="K6715" s="32" t="inlineStr">
        <is>
          <t>Name</t>
        </is>
      </c>
    </row>
    <row r="6716">
      <c r="A6716" s="32" t="n">
        <v>1</v>
      </c>
      <c r="B6716" s="32" t="inlineStr">
        <is>
          <t>EPA1633 &amp; diPAPs Calibration 0 ppb</t>
        </is>
      </c>
      <c r="D6716" s="32" t="n">
        <v>16.76</v>
      </c>
      <c r="E6716" s="32" t="n">
        <v>246.588</v>
      </c>
      <c r="F6716" s="32" t="n">
        <v>1320.569</v>
      </c>
      <c r="G6716" s="32" t="n">
        <v>7.907</v>
      </c>
      <c r="H6716" s="32" t="inlineStr">
        <is>
          <t>MM</t>
        </is>
      </c>
      <c r="K6716" s="32" t="inlineStr">
        <is>
          <t>20250514-12</t>
        </is>
      </c>
    </row>
    <row r="6717">
      <c r="A6717" s="32" t="n">
        <v>2</v>
      </c>
      <c r="B6717" s="32" t="inlineStr">
        <is>
          <t>EPA1633 &amp; diPAPs Calibration 0.02 ppb</t>
        </is>
      </c>
      <c r="D6717" s="32" t="n">
        <v>16.77</v>
      </c>
      <c r="E6717" s="32" t="n">
        <v>212.198</v>
      </c>
      <c r="F6717" s="32" t="n">
        <v>1092.248</v>
      </c>
      <c r="G6717" s="32" t="n">
        <v>4.614</v>
      </c>
      <c r="H6717" s="32" t="inlineStr">
        <is>
          <t>MM</t>
        </is>
      </c>
      <c r="K6717" s="32" t="inlineStr">
        <is>
          <t>20250514-13</t>
        </is>
      </c>
    </row>
    <row r="6718">
      <c r="A6718" s="32" t="n">
        <v>3</v>
      </c>
      <c r="B6718" s="32" t="inlineStr">
        <is>
          <t>EPA1633 &amp; diPAPs Calibration 0.1 ppb</t>
        </is>
      </c>
      <c r="D6718" s="32" t="n">
        <v>16.77</v>
      </c>
      <c r="E6718" s="32" t="n">
        <v>322.259</v>
      </c>
      <c r="F6718" s="32" t="n">
        <v>1254.316</v>
      </c>
      <c r="G6718" s="32" t="n">
        <v>21.422</v>
      </c>
      <c r="H6718" s="32" t="inlineStr">
        <is>
          <t>MM</t>
        </is>
      </c>
      <c r="K6718" s="32" t="inlineStr">
        <is>
          <t>20250514-14</t>
        </is>
      </c>
    </row>
    <row r="6719">
      <c r="A6719" s="32" t="n">
        <v>4</v>
      </c>
      <c r="B6719" s="32" t="inlineStr">
        <is>
          <t>EPA1633 &amp; diPAPs Calibration 0.4 ppb</t>
        </is>
      </c>
      <c r="D6719" s="32" t="n">
        <v>16.78</v>
      </c>
      <c r="E6719" s="32" t="n">
        <v>1179.215</v>
      </c>
      <c r="F6719" s="32" t="n">
        <v>1040.151</v>
      </c>
      <c r="G6719" s="32" t="n">
        <v>107.876</v>
      </c>
      <c r="H6719" s="32" t="inlineStr">
        <is>
          <t>MM</t>
        </is>
      </c>
      <c r="K6719" s="32" t="inlineStr">
        <is>
          <t>20250514-15</t>
        </is>
      </c>
    </row>
    <row r="6720">
      <c r="A6720" s="32" t="n">
        <v>5</v>
      </c>
      <c r="B6720" s="32" t="inlineStr">
        <is>
          <t>EPA1633 &amp; diPAPs Calibration 1 ppb</t>
        </is>
      </c>
      <c r="D6720" s="32" t="n">
        <v>16.75</v>
      </c>
      <c r="E6720" s="32" t="n">
        <v>1657.914</v>
      </c>
      <c r="F6720" s="32" t="n">
        <v>1405.741</v>
      </c>
      <c r="G6720" s="32" t="n">
        <v>105.184</v>
      </c>
      <c r="H6720" s="32" t="inlineStr">
        <is>
          <t>MM</t>
        </is>
      </c>
      <c r="K6720" s="32" t="inlineStr">
        <is>
          <t>20250514-16</t>
        </is>
      </c>
    </row>
    <row r="6721">
      <c r="A6721" s="32" t="n">
        <v>6</v>
      </c>
      <c r="B6721" s="32" t="inlineStr">
        <is>
          <t>EPA1633 &amp; diPAPs Calibration 5 ppb</t>
        </is>
      </c>
      <c r="D6721" s="32" t="n">
        <v>16.74</v>
      </c>
      <c r="E6721" s="32" t="n">
        <v>6644.968</v>
      </c>
      <c r="F6721" s="32" t="n">
        <v>1256.498</v>
      </c>
      <c r="G6721" s="32" t="n">
        <v>447.047</v>
      </c>
      <c r="H6721" s="32" t="inlineStr">
        <is>
          <t>MM</t>
        </is>
      </c>
      <c r="K6721" s="32" t="inlineStr">
        <is>
          <t>20250514-17</t>
        </is>
      </c>
    </row>
    <row r="6722">
      <c r="A6722" s="32" t="n">
        <v>7</v>
      </c>
      <c r="B6722" s="32" t="inlineStr">
        <is>
          <t>EPA1633 &amp; diPAPs Calibration 10 ppb</t>
        </is>
      </c>
      <c r="D6722" s="32" t="n">
        <v>16.75</v>
      </c>
      <c r="E6722" s="32" t="n">
        <v>10974.623</v>
      </c>
      <c r="F6722" s="32" t="n">
        <v>964.71</v>
      </c>
      <c r="G6722" s="32" t="n">
        <v>262.451</v>
      </c>
      <c r="H6722" s="32" t="inlineStr">
        <is>
          <t>MM</t>
        </is>
      </c>
      <c r="K6722" s="32" t="inlineStr">
        <is>
          <t>20250514-18</t>
        </is>
      </c>
    </row>
    <row r="6723">
      <c r="A6723" s="32" t="n">
        <v>8</v>
      </c>
      <c r="B6723" s="32" t="inlineStr">
        <is>
          <t>EPA1633 &amp; diPAPs Calibration 20 ppb</t>
        </is>
      </c>
      <c r="D6723" s="32" t="n">
        <v>16.76</v>
      </c>
      <c r="E6723" s="32" t="n">
        <v>23003.229</v>
      </c>
      <c r="F6723" s="32" t="n">
        <v>1026.499</v>
      </c>
      <c r="G6723" s="32" t="n">
        <v>1149.388</v>
      </c>
      <c r="H6723" s="32" t="inlineStr">
        <is>
          <t>MM</t>
        </is>
      </c>
      <c r="K6723" s="32" t="inlineStr">
        <is>
          <t>20250514-19</t>
        </is>
      </c>
    </row>
    <row r="6724">
      <c r="A6724" s="32" t="n">
        <v>9</v>
      </c>
      <c r="B6724" s="32" t="inlineStr">
        <is>
          <t>MeOH</t>
        </is>
      </c>
      <c r="F6724" s="32" t="n">
        <v>11.688</v>
      </c>
      <c r="K6724" s="32" t="inlineStr">
        <is>
          <t>20250514-20</t>
        </is>
      </c>
    </row>
    <row r="6725">
      <c r="A6725" s="32" t="n">
        <v>10</v>
      </c>
      <c r="B6725" s="32" t="inlineStr">
        <is>
          <t>MeOH</t>
        </is>
      </c>
      <c r="F6725" s="32" t="n">
        <v>3.639</v>
      </c>
      <c r="K6725" s="32" t="inlineStr">
        <is>
          <t>20250514-21</t>
        </is>
      </c>
    </row>
    <row r="6726">
      <c r="A6726" s="32" t="n">
        <v>11</v>
      </c>
      <c r="B6726" s="32" t="inlineStr">
        <is>
          <t>SB1</t>
        </is>
      </c>
      <c r="F6726" s="32" t="n">
        <v>414.528</v>
      </c>
      <c r="K6726" s="32" t="inlineStr">
        <is>
          <t>20250514-22</t>
        </is>
      </c>
    </row>
    <row r="6727">
      <c r="A6727" s="32" t="n">
        <v>12</v>
      </c>
      <c r="B6727" s="32" t="inlineStr">
        <is>
          <t>SB2</t>
        </is>
      </c>
      <c r="F6727" s="32" t="n">
        <v>503.01</v>
      </c>
      <c r="K6727" s="32" t="inlineStr">
        <is>
          <t>20250514-23</t>
        </is>
      </c>
    </row>
    <row r="6728">
      <c r="A6728" s="32" t="n">
        <v>13</v>
      </c>
      <c r="B6728" s="32" t="inlineStr">
        <is>
          <t>SB3</t>
        </is>
      </c>
      <c r="F6728" s="32" t="n">
        <v>431.257</v>
      </c>
      <c r="K6728" s="32" t="inlineStr">
        <is>
          <t>20250514-24</t>
        </is>
      </c>
    </row>
    <row r="6729">
      <c r="A6729" s="32" t="n">
        <v>14</v>
      </c>
      <c r="B6729" s="32" t="inlineStr">
        <is>
          <t>SS1</t>
        </is>
      </c>
      <c r="F6729" s="32" t="n">
        <v>427.401</v>
      </c>
      <c r="K6729" s="32" t="inlineStr">
        <is>
          <t>20250514-25</t>
        </is>
      </c>
    </row>
    <row r="6730">
      <c r="A6730" s="32" t="n">
        <v>15</v>
      </c>
      <c r="B6730" s="32" t="inlineStr">
        <is>
          <t>SS2</t>
        </is>
      </c>
      <c r="F6730" s="32" t="n">
        <v>452.262</v>
      </c>
      <c r="K6730" s="32" t="inlineStr">
        <is>
          <t>20250514-26</t>
        </is>
      </c>
    </row>
    <row r="6731">
      <c r="A6731" s="32" t="n">
        <v>16</v>
      </c>
      <c r="B6731" s="32" t="inlineStr">
        <is>
          <t>SS3</t>
        </is>
      </c>
      <c r="F6731" s="32" t="n">
        <v>344.206</v>
      </c>
      <c r="K6731" s="32" t="inlineStr">
        <is>
          <t>20250514-27</t>
        </is>
      </c>
    </row>
    <row r="6732">
      <c r="A6732" s="32" t="n">
        <v>17</v>
      </c>
      <c r="B6732" s="32" t="inlineStr">
        <is>
          <t>MeOH</t>
        </is>
      </c>
      <c r="K6732" s="32" t="inlineStr">
        <is>
          <t>20250514-28</t>
        </is>
      </c>
    </row>
    <row r="6733">
      <c r="A6733" s="32" t="n">
        <v>18</v>
      </c>
      <c r="B6733" s="32" t="inlineStr">
        <is>
          <t>K4-1A</t>
        </is>
      </c>
      <c r="F6733" s="32" t="n">
        <v>435.167</v>
      </c>
      <c r="K6733" s="32" t="inlineStr">
        <is>
          <t>20250514-29</t>
        </is>
      </c>
    </row>
    <row r="6734">
      <c r="A6734" s="32" t="n">
        <v>19</v>
      </c>
      <c r="B6734" s="32" t="inlineStr">
        <is>
          <t>K4-1B</t>
        </is>
      </c>
      <c r="F6734" s="32" t="n">
        <v>549.792</v>
      </c>
      <c r="K6734" s="32" t="inlineStr">
        <is>
          <t>20250514-30</t>
        </is>
      </c>
    </row>
    <row r="6735">
      <c r="A6735" s="32" t="n">
        <v>20</v>
      </c>
      <c r="B6735" s="32" t="inlineStr">
        <is>
          <t>K4-1C</t>
        </is>
      </c>
      <c r="F6735" s="32" t="n">
        <v>409.212</v>
      </c>
      <c r="K6735" s="32" t="inlineStr">
        <is>
          <t>20250514-31</t>
        </is>
      </c>
    </row>
    <row r="6736">
      <c r="A6736" s="32" t="n">
        <v>21</v>
      </c>
      <c r="B6736" s="32" t="inlineStr">
        <is>
          <t>K4-2A</t>
        </is>
      </c>
      <c r="F6736" s="32" t="n">
        <v>458.88</v>
      </c>
      <c r="K6736" s="32" t="inlineStr">
        <is>
          <t>20250514-32</t>
        </is>
      </c>
    </row>
    <row r="6737">
      <c r="A6737" s="32" t="n">
        <v>22</v>
      </c>
      <c r="B6737" s="32" t="inlineStr">
        <is>
          <t>K4-2B</t>
        </is>
      </c>
      <c r="F6737" s="32" t="n">
        <v>403.292</v>
      </c>
      <c r="K6737" s="32" t="inlineStr">
        <is>
          <t>20250514-33</t>
        </is>
      </c>
    </row>
    <row r="6738">
      <c r="A6738" s="32" t="n">
        <v>23</v>
      </c>
      <c r="B6738" s="32" t="inlineStr">
        <is>
          <t>K4-2C</t>
        </is>
      </c>
      <c r="F6738" s="32" t="n">
        <v>349.79</v>
      </c>
      <c r="K6738" s="32" t="inlineStr">
        <is>
          <t>20250514-34</t>
        </is>
      </c>
    </row>
    <row r="6739">
      <c r="A6739" s="32" t="n">
        <v>24</v>
      </c>
      <c r="B6739" s="32" t="inlineStr">
        <is>
          <t>MeOH</t>
        </is>
      </c>
      <c r="F6739" s="32" t="n">
        <v>7.411</v>
      </c>
      <c r="K6739" s="32" t="inlineStr">
        <is>
          <t>20250514-35</t>
        </is>
      </c>
    </row>
    <row r="6740">
      <c r="A6740" s="32" t="n">
        <v>25</v>
      </c>
      <c r="B6740" s="32" t="inlineStr">
        <is>
          <t>K4-4A</t>
        </is>
      </c>
      <c r="F6740" s="32" t="n">
        <v>438.197</v>
      </c>
      <c r="K6740" s="32" t="inlineStr">
        <is>
          <t>20250514-36</t>
        </is>
      </c>
    </row>
    <row r="6741">
      <c r="A6741" s="32" t="n">
        <v>26</v>
      </c>
      <c r="B6741" s="32" t="inlineStr">
        <is>
          <t>K4-4B</t>
        </is>
      </c>
      <c r="F6741" s="32" t="n">
        <v>453.67</v>
      </c>
      <c r="K6741" s="32" t="inlineStr">
        <is>
          <t>20250514-37</t>
        </is>
      </c>
    </row>
    <row r="6742">
      <c r="A6742" s="32" t="n">
        <v>27</v>
      </c>
      <c r="B6742" s="32" t="inlineStr">
        <is>
          <t>K4-4C</t>
        </is>
      </c>
      <c r="F6742" s="32" t="n">
        <v>468.581</v>
      </c>
      <c r="K6742" s="32" t="inlineStr">
        <is>
          <t>20250514-38</t>
        </is>
      </c>
    </row>
    <row r="6743">
      <c r="A6743" s="32" t="n">
        <v>28</v>
      </c>
      <c r="B6743" s="32" t="inlineStr">
        <is>
          <t>K4-5A</t>
        </is>
      </c>
      <c r="F6743" s="32" t="n">
        <v>381.594</v>
      </c>
      <c r="K6743" s="32" t="inlineStr">
        <is>
          <t>20250514-39</t>
        </is>
      </c>
    </row>
    <row r="6744">
      <c r="A6744" s="32" t="n">
        <v>29</v>
      </c>
      <c r="B6744" s="32" t="inlineStr">
        <is>
          <t>K4-5B</t>
        </is>
      </c>
      <c r="F6744" s="32" t="n">
        <v>405.711</v>
      </c>
      <c r="K6744" s="32" t="inlineStr">
        <is>
          <t>20250514-40</t>
        </is>
      </c>
    </row>
    <row r="6745">
      <c r="A6745" s="32" t="n">
        <v>30</v>
      </c>
      <c r="B6745" s="32" t="inlineStr">
        <is>
          <t>K4-5C</t>
        </is>
      </c>
      <c r="F6745" s="32" t="n">
        <v>367.483</v>
      </c>
      <c r="K6745" s="32" t="inlineStr">
        <is>
          <t>20250514-41</t>
        </is>
      </c>
    </row>
    <row r="6746">
      <c r="A6746" s="32" t="n">
        <v>31</v>
      </c>
      <c r="B6746" s="32" t="inlineStr">
        <is>
          <t>MeOH</t>
        </is>
      </c>
      <c r="F6746" s="32" t="n">
        <v>19.434</v>
      </c>
      <c r="K6746" s="32" t="inlineStr">
        <is>
          <t>20250514-42</t>
        </is>
      </c>
    </row>
    <row r="6747">
      <c r="A6747" s="32" t="n">
        <v>32</v>
      </c>
      <c r="B6747" s="32" t="inlineStr">
        <is>
          <t>K3-1A</t>
        </is>
      </c>
      <c r="F6747" s="32" t="n">
        <v>519.807</v>
      </c>
      <c r="K6747" s="32" t="inlineStr">
        <is>
          <t>20250514-43</t>
        </is>
      </c>
    </row>
    <row r="6748">
      <c r="A6748" s="32" t="n">
        <v>33</v>
      </c>
      <c r="B6748" s="32" t="inlineStr">
        <is>
          <t>K3-1B</t>
        </is>
      </c>
      <c r="F6748" s="32" t="n">
        <v>456.552</v>
      </c>
      <c r="K6748" s="32" t="inlineStr">
        <is>
          <t>20250514-44</t>
        </is>
      </c>
    </row>
    <row r="6749">
      <c r="A6749" s="32" t="n">
        <v>34</v>
      </c>
      <c r="B6749" s="32" t="inlineStr">
        <is>
          <t>K3-1C</t>
        </is>
      </c>
      <c r="F6749" s="32" t="n">
        <v>556.412</v>
      </c>
      <c r="K6749" s="32" t="inlineStr">
        <is>
          <t>20250514-45</t>
        </is>
      </c>
    </row>
    <row r="6750">
      <c r="A6750" s="32" t="n">
        <v>35</v>
      </c>
      <c r="B6750" s="32" t="inlineStr">
        <is>
          <t>K3-2A</t>
        </is>
      </c>
      <c r="F6750" s="32" t="n">
        <v>520.705</v>
      </c>
      <c r="K6750" s="32" t="inlineStr">
        <is>
          <t>20250514-46</t>
        </is>
      </c>
    </row>
    <row r="6751">
      <c r="A6751" s="32" t="n">
        <v>36</v>
      </c>
      <c r="B6751" s="32" t="inlineStr">
        <is>
          <t>K3-2B</t>
        </is>
      </c>
      <c r="F6751" s="32" t="n">
        <v>697.726</v>
      </c>
      <c r="K6751" s="32" t="inlineStr">
        <is>
          <t>20250514-47</t>
        </is>
      </c>
    </row>
    <row r="6752">
      <c r="A6752" s="32" t="n">
        <v>37</v>
      </c>
      <c r="B6752" s="32" t="inlineStr">
        <is>
          <t>K3-2C</t>
        </is>
      </c>
      <c r="F6752" s="32" t="n">
        <v>515.652</v>
      </c>
      <c r="K6752" s="32" t="inlineStr">
        <is>
          <t>20250514-48</t>
        </is>
      </c>
    </row>
    <row r="6753">
      <c r="A6753" s="32" t="n">
        <v>38</v>
      </c>
      <c r="B6753" s="32" t="inlineStr">
        <is>
          <t>MeOH</t>
        </is>
      </c>
      <c r="K6753" s="32" t="inlineStr">
        <is>
          <t>20250514-49</t>
        </is>
      </c>
    </row>
    <row r="6754">
      <c r="A6754" s="32" t="n">
        <v>39</v>
      </c>
      <c r="B6754" s="32" t="inlineStr">
        <is>
          <t>K3-3A</t>
        </is>
      </c>
      <c r="F6754" s="32" t="n">
        <v>442.761</v>
      </c>
      <c r="K6754" s="32" t="inlineStr">
        <is>
          <t>20250514-50</t>
        </is>
      </c>
    </row>
    <row r="6755">
      <c r="A6755" s="32" t="n">
        <v>40</v>
      </c>
      <c r="B6755" s="32" t="inlineStr">
        <is>
          <t>K3-3B</t>
        </is>
      </c>
      <c r="F6755" s="32" t="n">
        <v>392.975</v>
      </c>
      <c r="K6755" s="32" t="inlineStr">
        <is>
          <t>20250514-51</t>
        </is>
      </c>
    </row>
    <row r="6756">
      <c r="A6756" s="32" t="n">
        <v>41</v>
      </c>
      <c r="B6756" s="32" t="inlineStr">
        <is>
          <t>K3-3C</t>
        </is>
      </c>
      <c r="F6756" s="32" t="n">
        <v>533.34</v>
      </c>
      <c r="K6756" s="32" t="inlineStr">
        <is>
          <t>20250514-52</t>
        </is>
      </c>
    </row>
    <row r="6757">
      <c r="A6757" s="32" t="n">
        <v>42</v>
      </c>
      <c r="B6757" s="32" t="inlineStr">
        <is>
          <t>K3-4A</t>
        </is>
      </c>
      <c r="F6757" s="32" t="n">
        <v>579.684</v>
      </c>
      <c r="K6757" s="32" t="inlineStr">
        <is>
          <t>20250514-53</t>
        </is>
      </c>
    </row>
    <row r="6758">
      <c r="A6758" s="32" t="n">
        <v>43</v>
      </c>
      <c r="B6758" s="32" t="inlineStr">
        <is>
          <t>K3-4B</t>
        </is>
      </c>
      <c r="F6758" s="32" t="n">
        <v>398.943</v>
      </c>
      <c r="K6758" s="32" t="inlineStr">
        <is>
          <t>20250514-54</t>
        </is>
      </c>
    </row>
    <row r="6759">
      <c r="A6759" s="32" t="n">
        <v>44</v>
      </c>
      <c r="B6759" s="32" t="inlineStr">
        <is>
          <t>K3-4C</t>
        </is>
      </c>
      <c r="F6759" s="32" t="n">
        <v>556.154</v>
      </c>
      <c r="K6759" s="32" t="inlineStr">
        <is>
          <t>20250514-55</t>
        </is>
      </c>
    </row>
    <row r="6760">
      <c r="A6760" s="32" t="n">
        <v>45</v>
      </c>
      <c r="B6760" s="32" t="inlineStr">
        <is>
          <t>MeOH</t>
        </is>
      </c>
      <c r="K6760" s="32" t="inlineStr">
        <is>
          <t>20250514-56</t>
        </is>
      </c>
    </row>
    <row r="6761">
      <c r="A6761" s="32" t="n">
        <v>46</v>
      </c>
      <c r="B6761" s="32" t="inlineStr">
        <is>
          <t>K3-6A</t>
        </is>
      </c>
      <c r="F6761" s="32" t="n">
        <v>543.972</v>
      </c>
      <c r="K6761" s="32" t="inlineStr">
        <is>
          <t>20250514-57</t>
        </is>
      </c>
    </row>
    <row r="6762">
      <c r="A6762" s="32" t="n">
        <v>47</v>
      </c>
      <c r="B6762" s="32" t="inlineStr">
        <is>
          <t>K3-6B</t>
        </is>
      </c>
      <c r="F6762" s="32" t="n">
        <v>411.323</v>
      </c>
      <c r="K6762" s="32" t="inlineStr">
        <is>
          <t>20250514-58</t>
        </is>
      </c>
    </row>
    <row r="6763">
      <c r="A6763" s="32" t="n">
        <v>48</v>
      </c>
      <c r="B6763" s="32" t="inlineStr">
        <is>
          <t>K3-6C</t>
        </is>
      </c>
      <c r="F6763" s="32" t="n">
        <v>451.372</v>
      </c>
      <c r="K6763" s="32" t="inlineStr">
        <is>
          <t>20250514-59</t>
        </is>
      </c>
    </row>
    <row r="6765">
      <c r="A6765" s="32" t="inlineStr">
        <is>
          <t>Compound 131:  m2 PFTeDA 1</t>
        </is>
      </c>
    </row>
    <row r="6767">
      <c r="B6767" s="32" t="inlineStr">
        <is>
          <t>Sample Text</t>
        </is>
      </c>
      <c r="C6767" s="32" t="inlineStr">
        <is>
          <t>Std. Conc</t>
        </is>
      </c>
      <c r="D6767" s="32" t="inlineStr">
        <is>
          <t>RT</t>
        </is>
      </c>
      <c r="E6767" s="32" t="inlineStr">
        <is>
          <t>Area</t>
        </is>
      </c>
      <c r="F6767" s="32" t="inlineStr">
        <is>
          <t>IS Area</t>
        </is>
      </c>
      <c r="G6767" s="32" t="inlineStr">
        <is>
          <t>S/N</t>
        </is>
      </c>
      <c r="H6767" s="32" t="inlineStr">
        <is>
          <t>Primary Flags</t>
        </is>
      </c>
      <c r="I6767" s="32" t="inlineStr">
        <is>
          <t>Response</t>
        </is>
      </c>
      <c r="J6767" s="32" t="inlineStr">
        <is>
          <t>Conc.</t>
        </is>
      </c>
      <c r="K6767" s="32" t="inlineStr">
        <is>
          <t>Name</t>
        </is>
      </c>
    </row>
    <row r="6768">
      <c r="A6768" s="32" t="n">
        <v>1</v>
      </c>
      <c r="B6768" s="32" t="inlineStr">
        <is>
          <t>EPA1633 &amp; diPAPs Calibration 0 ppb</t>
        </is>
      </c>
      <c r="D6768" s="32" t="n">
        <v>16.75</v>
      </c>
      <c r="E6768" s="32" t="n">
        <v>1320.569</v>
      </c>
      <c r="G6768" s="32" t="n">
        <v>155.662</v>
      </c>
      <c r="H6768" s="32" t="inlineStr">
        <is>
          <t>bb</t>
        </is>
      </c>
      <c r="I6768" s="32" t="n">
        <v>1320.569</v>
      </c>
      <c r="K6768" s="32" t="inlineStr">
        <is>
          <t>20250514-12</t>
        </is>
      </c>
    </row>
    <row r="6769">
      <c r="A6769" s="32" t="n">
        <v>2</v>
      </c>
      <c r="B6769" s="32" t="inlineStr">
        <is>
          <t>EPA1633 &amp; diPAPs Calibration 0.02 ppb</t>
        </is>
      </c>
      <c r="D6769" s="32" t="n">
        <v>16.76</v>
      </c>
      <c r="E6769" s="32" t="n">
        <v>1092.248</v>
      </c>
      <c r="G6769" s="32" t="n">
        <v>117.317</v>
      </c>
      <c r="H6769" s="32" t="inlineStr">
        <is>
          <t>bb</t>
        </is>
      </c>
      <c r="I6769" s="32" t="n">
        <v>1092.248</v>
      </c>
      <c r="K6769" s="32" t="inlineStr">
        <is>
          <t>20250514-13</t>
        </is>
      </c>
    </row>
    <row r="6770">
      <c r="A6770" s="32" t="n">
        <v>3</v>
      </c>
      <c r="B6770" s="32" t="inlineStr">
        <is>
          <t>EPA1633 &amp; diPAPs Calibration 0.1 ppb</t>
        </is>
      </c>
      <c r="D6770" s="32" t="n">
        <v>16.77</v>
      </c>
      <c r="E6770" s="32" t="n">
        <v>1254.316</v>
      </c>
      <c r="G6770" s="32" t="n">
        <v>154.143</v>
      </c>
      <c r="H6770" s="32" t="inlineStr">
        <is>
          <t>bb</t>
        </is>
      </c>
      <c r="I6770" s="32" t="n">
        <v>1254.316</v>
      </c>
      <c r="K6770" s="32" t="inlineStr">
        <is>
          <t>20250514-14</t>
        </is>
      </c>
    </row>
    <row r="6771">
      <c r="A6771" s="32" t="n">
        <v>4</v>
      </c>
      <c r="B6771" s="32" t="inlineStr">
        <is>
          <t>EPA1633 &amp; diPAPs Calibration 0.4 ppb</t>
        </is>
      </c>
      <c r="D6771" s="32" t="n">
        <v>16.77</v>
      </c>
      <c r="E6771" s="32" t="n">
        <v>1040.151</v>
      </c>
      <c r="G6771" s="32" t="n">
        <v>105.313</v>
      </c>
      <c r="H6771" s="32" t="inlineStr">
        <is>
          <t>bb</t>
        </is>
      </c>
      <c r="I6771" s="32" t="n">
        <v>1040.151</v>
      </c>
      <c r="K6771" s="32" t="inlineStr">
        <is>
          <t>20250514-15</t>
        </is>
      </c>
    </row>
    <row r="6772">
      <c r="A6772" s="32" t="n">
        <v>5</v>
      </c>
      <c r="B6772" s="32" t="inlineStr">
        <is>
          <t>EPA1633 &amp; diPAPs Calibration 1 ppb</t>
        </is>
      </c>
      <c r="D6772" s="32" t="n">
        <v>16.75</v>
      </c>
      <c r="E6772" s="32" t="n">
        <v>1405.741</v>
      </c>
      <c r="G6772" s="32" t="n">
        <v>92.051</v>
      </c>
      <c r="H6772" s="32" t="inlineStr">
        <is>
          <t>bb</t>
        </is>
      </c>
      <c r="I6772" s="32" t="n">
        <v>1405.741</v>
      </c>
      <c r="K6772" s="32" t="inlineStr">
        <is>
          <t>20250514-16</t>
        </is>
      </c>
    </row>
    <row r="6773">
      <c r="A6773" s="32" t="n">
        <v>6</v>
      </c>
      <c r="B6773" s="32" t="inlineStr">
        <is>
          <t>EPA1633 &amp; diPAPs Calibration 5 ppb</t>
        </is>
      </c>
      <c r="D6773" s="32" t="n">
        <v>16.74</v>
      </c>
      <c r="E6773" s="32" t="n">
        <v>1256.498</v>
      </c>
      <c r="G6773" s="32" t="n">
        <v>144.897</v>
      </c>
      <c r="H6773" s="32" t="inlineStr">
        <is>
          <t>bb</t>
        </is>
      </c>
      <c r="I6773" s="32" t="n">
        <v>1256.498</v>
      </c>
      <c r="K6773" s="32" t="inlineStr">
        <is>
          <t>20250514-17</t>
        </is>
      </c>
    </row>
    <row r="6774">
      <c r="A6774" s="32" t="n">
        <v>7</v>
      </c>
      <c r="B6774" s="32" t="inlineStr">
        <is>
          <t>EPA1633 &amp; diPAPs Calibration 10 ppb</t>
        </is>
      </c>
      <c r="D6774" s="32" t="n">
        <v>16.75</v>
      </c>
      <c r="E6774" s="32" t="n">
        <v>964.71</v>
      </c>
      <c r="G6774" s="32" t="n">
        <v>202.489</v>
      </c>
      <c r="H6774" s="32" t="inlineStr">
        <is>
          <t>bb</t>
        </is>
      </c>
      <c r="I6774" s="32" t="n">
        <v>964.71</v>
      </c>
      <c r="K6774" s="32" t="inlineStr">
        <is>
          <t>20250514-18</t>
        </is>
      </c>
    </row>
    <row r="6775">
      <c r="A6775" s="32" t="n">
        <v>8</v>
      </c>
      <c r="B6775" s="32" t="inlineStr">
        <is>
          <t>EPA1633 &amp; diPAPs Calibration 20 ppb</t>
        </is>
      </c>
      <c r="D6775" s="32" t="n">
        <v>16.76</v>
      </c>
      <c r="E6775" s="32" t="n">
        <v>1026.499</v>
      </c>
      <c r="G6775" s="32" t="n">
        <v>306.672</v>
      </c>
      <c r="H6775" s="32" t="inlineStr">
        <is>
          <t>bb</t>
        </is>
      </c>
      <c r="I6775" s="32" t="n">
        <v>1026.499</v>
      </c>
      <c r="K6775" s="32" t="inlineStr">
        <is>
          <t>20250514-19</t>
        </is>
      </c>
    </row>
    <row r="6776">
      <c r="A6776" s="32" t="n">
        <v>9</v>
      </c>
      <c r="B6776" s="32" t="inlineStr">
        <is>
          <t>MeOH</t>
        </is>
      </c>
      <c r="D6776" s="32" t="n">
        <v>17.18</v>
      </c>
      <c r="E6776" s="32" t="n">
        <v>11.688</v>
      </c>
      <c r="G6776" s="32" t="n">
        <v>1.687</v>
      </c>
      <c r="H6776" s="32" t="inlineStr">
        <is>
          <t>bb</t>
        </is>
      </c>
      <c r="I6776" s="32" t="n">
        <v>11.688</v>
      </c>
      <c r="K6776" s="32" t="inlineStr">
        <is>
          <t>20250514-20</t>
        </is>
      </c>
    </row>
    <row r="6777">
      <c r="A6777" s="32" t="n">
        <v>10</v>
      </c>
      <c r="B6777" s="32" t="inlineStr">
        <is>
          <t>MeOH</t>
        </is>
      </c>
      <c r="D6777" s="32" t="n">
        <v>16.63</v>
      </c>
      <c r="E6777" s="32" t="n">
        <v>3.639</v>
      </c>
      <c r="G6777" s="32" t="n">
        <v>47</v>
      </c>
      <c r="H6777" s="32" t="inlineStr">
        <is>
          <t>bb</t>
        </is>
      </c>
      <c r="I6777" s="32" t="n">
        <v>3.639</v>
      </c>
      <c r="K6777" s="32" t="inlineStr">
        <is>
          <t>20250514-21</t>
        </is>
      </c>
    </row>
    <row r="6778">
      <c r="A6778" s="32" t="n">
        <v>11</v>
      </c>
      <c r="B6778" s="32" t="inlineStr">
        <is>
          <t>SB1</t>
        </is>
      </c>
      <c r="D6778" s="32" t="n">
        <v>16.79</v>
      </c>
      <c r="E6778" s="32" t="n">
        <v>414.528</v>
      </c>
      <c r="G6778" s="32" t="n">
        <v>34.078</v>
      </c>
      <c r="H6778" s="32" t="inlineStr">
        <is>
          <t>bb</t>
        </is>
      </c>
      <c r="I6778" s="32" t="n">
        <v>414.528</v>
      </c>
      <c r="K6778" s="32" t="inlineStr">
        <is>
          <t>20250514-22</t>
        </is>
      </c>
    </row>
    <row r="6779">
      <c r="A6779" s="32" t="n">
        <v>12</v>
      </c>
      <c r="B6779" s="32" t="inlineStr">
        <is>
          <t>SB2</t>
        </is>
      </c>
      <c r="D6779" s="32" t="n">
        <v>16.79</v>
      </c>
      <c r="E6779" s="32" t="n">
        <v>503.01</v>
      </c>
      <c r="G6779" s="32" t="n">
        <v>238.549</v>
      </c>
      <c r="H6779" s="32" t="inlineStr">
        <is>
          <t>bb</t>
        </is>
      </c>
      <c r="I6779" s="32" t="n">
        <v>503.01</v>
      </c>
      <c r="K6779" s="32" t="inlineStr">
        <is>
          <t>20250514-23</t>
        </is>
      </c>
    </row>
    <row r="6780">
      <c r="A6780" s="32" t="n">
        <v>13</v>
      </c>
      <c r="B6780" s="32" t="inlineStr">
        <is>
          <t>SB3</t>
        </is>
      </c>
      <c r="D6780" s="32" t="n">
        <v>16.79</v>
      </c>
      <c r="E6780" s="32" t="n">
        <v>431.257</v>
      </c>
      <c r="G6780" s="32" t="n">
        <v>51.502</v>
      </c>
      <c r="H6780" s="32" t="inlineStr">
        <is>
          <t>bb</t>
        </is>
      </c>
      <c r="I6780" s="32" t="n">
        <v>431.257</v>
      </c>
      <c r="K6780" s="32" t="inlineStr">
        <is>
          <t>20250514-24</t>
        </is>
      </c>
    </row>
    <row r="6781">
      <c r="A6781" s="32" t="n">
        <v>14</v>
      </c>
      <c r="B6781" s="32" t="inlineStr">
        <is>
          <t>SS1</t>
        </is>
      </c>
      <c r="D6781" s="32" t="n">
        <v>16.8</v>
      </c>
      <c r="E6781" s="32" t="n">
        <v>427.401</v>
      </c>
      <c r="G6781" s="32" t="n">
        <v>364.695</v>
      </c>
      <c r="H6781" s="32" t="inlineStr">
        <is>
          <t>bb</t>
        </is>
      </c>
      <c r="I6781" s="32" t="n">
        <v>427.401</v>
      </c>
      <c r="K6781" s="32" t="inlineStr">
        <is>
          <t>20250514-25</t>
        </is>
      </c>
    </row>
    <row r="6782">
      <c r="A6782" s="32" t="n">
        <v>15</v>
      </c>
      <c r="B6782" s="32" t="inlineStr">
        <is>
          <t>SS2</t>
        </is>
      </c>
      <c r="D6782" s="32" t="n">
        <v>16.8</v>
      </c>
      <c r="E6782" s="32" t="n">
        <v>452.262</v>
      </c>
      <c r="G6782" s="32" t="n">
        <v>3326</v>
      </c>
      <c r="H6782" s="32" t="inlineStr">
        <is>
          <t>bb</t>
        </is>
      </c>
      <c r="I6782" s="32" t="n">
        <v>452.262</v>
      </c>
      <c r="K6782" s="32" t="inlineStr">
        <is>
          <t>20250514-26</t>
        </is>
      </c>
    </row>
    <row r="6783">
      <c r="A6783" s="32" t="n">
        <v>16</v>
      </c>
      <c r="B6783" s="32" t="inlineStr">
        <is>
          <t>SS3</t>
        </is>
      </c>
      <c r="D6783" s="32" t="n">
        <v>16.82</v>
      </c>
      <c r="E6783" s="32" t="n">
        <v>344.206</v>
      </c>
      <c r="G6783" s="32" t="n">
        <v>2421</v>
      </c>
      <c r="H6783" s="32" t="inlineStr">
        <is>
          <t>bb</t>
        </is>
      </c>
      <c r="I6783" s="32" t="n">
        <v>344.206</v>
      </c>
      <c r="K6783" s="32" t="inlineStr">
        <is>
          <t>20250514-27</t>
        </is>
      </c>
    </row>
    <row r="6784">
      <c r="A6784" s="32" t="n">
        <v>17</v>
      </c>
      <c r="B6784" s="32" t="inlineStr">
        <is>
          <t>MeOH</t>
        </is>
      </c>
      <c r="K6784" s="32" t="inlineStr">
        <is>
          <t>20250514-28</t>
        </is>
      </c>
    </row>
    <row r="6785">
      <c r="A6785" s="32" t="n">
        <v>18</v>
      </c>
      <c r="B6785" s="32" t="inlineStr">
        <is>
          <t>K4-1A</t>
        </is>
      </c>
      <c r="D6785" s="32" t="n">
        <v>16.82</v>
      </c>
      <c r="E6785" s="32" t="n">
        <v>435.167</v>
      </c>
      <c r="G6785" s="32" t="n">
        <v>33.413</v>
      </c>
      <c r="H6785" s="32" t="inlineStr">
        <is>
          <t>bb</t>
        </is>
      </c>
      <c r="I6785" s="32" t="n">
        <v>435.167</v>
      </c>
      <c r="K6785" s="32" t="inlineStr">
        <is>
          <t>20250514-29</t>
        </is>
      </c>
    </row>
    <row r="6786">
      <c r="A6786" s="32" t="n">
        <v>19</v>
      </c>
      <c r="B6786" s="32" t="inlineStr">
        <is>
          <t>K4-1B</t>
        </is>
      </c>
      <c r="D6786" s="32" t="n">
        <v>16.85</v>
      </c>
      <c r="E6786" s="32" t="n">
        <v>549.792</v>
      </c>
      <c r="G6786" s="32" t="n">
        <v>3929</v>
      </c>
      <c r="H6786" s="32" t="inlineStr">
        <is>
          <t>bb</t>
        </is>
      </c>
      <c r="I6786" s="32" t="n">
        <v>549.792</v>
      </c>
      <c r="K6786" s="32" t="inlineStr">
        <is>
          <t>20250514-30</t>
        </is>
      </c>
    </row>
    <row r="6787">
      <c r="A6787" s="32" t="n">
        <v>20</v>
      </c>
      <c r="B6787" s="32" t="inlineStr">
        <is>
          <t>K4-1C</t>
        </is>
      </c>
      <c r="D6787" s="32" t="n">
        <v>16.84</v>
      </c>
      <c r="E6787" s="32" t="n">
        <v>409.212</v>
      </c>
      <c r="G6787" s="32" t="n">
        <v>9.348000000000001</v>
      </c>
      <c r="H6787" s="32" t="inlineStr">
        <is>
          <t>bb</t>
        </is>
      </c>
      <c r="I6787" s="32" t="n">
        <v>409.212</v>
      </c>
      <c r="K6787" s="32" t="inlineStr">
        <is>
          <t>20250514-31</t>
        </is>
      </c>
    </row>
    <row r="6788">
      <c r="A6788" s="32" t="n">
        <v>21</v>
      </c>
      <c r="B6788" s="32" t="inlineStr">
        <is>
          <t>K4-2A</t>
        </is>
      </c>
      <c r="D6788" s="32" t="n">
        <v>16.83</v>
      </c>
      <c r="E6788" s="32" t="n">
        <v>458.88</v>
      </c>
      <c r="G6788" s="32" t="n">
        <v>76.57599999999999</v>
      </c>
      <c r="H6788" s="32" t="inlineStr">
        <is>
          <t>bb</t>
        </is>
      </c>
      <c r="I6788" s="32" t="n">
        <v>458.88</v>
      </c>
      <c r="K6788" s="32" t="inlineStr">
        <is>
          <t>20250514-32</t>
        </is>
      </c>
    </row>
    <row r="6789">
      <c r="A6789" s="32" t="n">
        <v>22</v>
      </c>
      <c r="B6789" s="32" t="inlineStr">
        <is>
          <t>K4-2B</t>
        </is>
      </c>
      <c r="D6789" s="32" t="n">
        <v>16.85</v>
      </c>
      <c r="E6789" s="32" t="n">
        <v>403.292</v>
      </c>
      <c r="G6789" s="32" t="n">
        <v>71.29600000000001</v>
      </c>
      <c r="H6789" s="32" t="inlineStr">
        <is>
          <t>bb</t>
        </is>
      </c>
      <c r="I6789" s="32" t="n">
        <v>403.292</v>
      </c>
      <c r="K6789" s="32" t="inlineStr">
        <is>
          <t>20250514-33</t>
        </is>
      </c>
    </row>
    <row r="6790">
      <c r="A6790" s="32" t="n">
        <v>23</v>
      </c>
      <c r="B6790" s="32" t="inlineStr">
        <is>
          <t>K4-2C</t>
        </is>
      </c>
      <c r="D6790" s="32" t="n">
        <v>16.89</v>
      </c>
      <c r="E6790" s="32" t="n">
        <v>349.79</v>
      </c>
      <c r="G6790" s="32" t="n">
        <v>2198</v>
      </c>
      <c r="H6790" s="32" t="inlineStr">
        <is>
          <t>bb</t>
        </is>
      </c>
      <c r="I6790" s="32" t="n">
        <v>349.79</v>
      </c>
      <c r="K6790" s="32" t="inlineStr">
        <is>
          <t>20250514-34</t>
        </is>
      </c>
    </row>
    <row r="6791">
      <c r="A6791" s="32" t="n">
        <v>24</v>
      </c>
      <c r="B6791" s="32" t="inlineStr">
        <is>
          <t>MeOH</t>
        </is>
      </c>
      <c r="D6791" s="32" t="n">
        <v>16.94</v>
      </c>
      <c r="E6791" s="32" t="n">
        <v>7.411</v>
      </c>
      <c r="G6791" s="32" t="n">
        <v>55</v>
      </c>
      <c r="H6791" s="32" t="inlineStr">
        <is>
          <t>bb</t>
        </is>
      </c>
      <c r="I6791" s="32" t="n">
        <v>7.411</v>
      </c>
      <c r="K6791" s="32" t="inlineStr">
        <is>
          <t>20250514-35</t>
        </is>
      </c>
    </row>
    <row r="6792">
      <c r="A6792" s="32" t="n">
        <v>25</v>
      </c>
      <c r="B6792" s="32" t="inlineStr">
        <is>
          <t>K4-4A</t>
        </is>
      </c>
      <c r="D6792" s="32" t="n">
        <v>16.87</v>
      </c>
      <c r="E6792" s="32" t="n">
        <v>438.197</v>
      </c>
      <c r="G6792" s="32" t="n">
        <v>2789</v>
      </c>
      <c r="H6792" s="32" t="inlineStr">
        <is>
          <t>bb</t>
        </is>
      </c>
      <c r="I6792" s="32" t="n">
        <v>438.197</v>
      </c>
      <c r="K6792" s="32" t="inlineStr">
        <is>
          <t>20250514-36</t>
        </is>
      </c>
    </row>
    <row r="6793">
      <c r="A6793" s="32" t="n">
        <v>26</v>
      </c>
      <c r="B6793" s="32" t="inlineStr">
        <is>
          <t>K4-4B</t>
        </is>
      </c>
      <c r="D6793" s="32" t="n">
        <v>16.89</v>
      </c>
      <c r="E6793" s="32" t="n">
        <v>453.67</v>
      </c>
      <c r="G6793" s="32" t="n">
        <v>91.959</v>
      </c>
      <c r="H6793" s="32" t="inlineStr">
        <is>
          <t>bb</t>
        </is>
      </c>
      <c r="I6793" s="32" t="n">
        <v>453.67</v>
      </c>
      <c r="K6793" s="32" t="inlineStr">
        <is>
          <t>20250514-37</t>
        </is>
      </c>
    </row>
    <row r="6794">
      <c r="A6794" s="32" t="n">
        <v>27</v>
      </c>
      <c r="B6794" s="32" t="inlineStr">
        <is>
          <t>K4-4C</t>
        </is>
      </c>
      <c r="D6794" s="32" t="n">
        <v>16.89</v>
      </c>
      <c r="E6794" s="32" t="n">
        <v>468.581</v>
      </c>
      <c r="G6794" s="32" t="n">
        <v>134.096</v>
      </c>
      <c r="H6794" s="32" t="inlineStr">
        <is>
          <t>bb</t>
        </is>
      </c>
      <c r="I6794" s="32" t="n">
        <v>468.581</v>
      </c>
      <c r="K6794" s="32" t="inlineStr">
        <is>
          <t>20250514-38</t>
        </is>
      </c>
    </row>
    <row r="6795">
      <c r="A6795" s="32" t="n">
        <v>28</v>
      </c>
      <c r="B6795" s="32" t="inlineStr">
        <is>
          <t>K4-5A</t>
        </is>
      </c>
      <c r="D6795" s="32" t="n">
        <v>16.87</v>
      </c>
      <c r="E6795" s="32" t="n">
        <v>381.594</v>
      </c>
      <c r="G6795" s="32" t="n">
        <v>59.924</v>
      </c>
      <c r="H6795" s="32" t="inlineStr">
        <is>
          <t>bb</t>
        </is>
      </c>
      <c r="I6795" s="32" t="n">
        <v>381.594</v>
      </c>
      <c r="K6795" s="32" t="inlineStr">
        <is>
          <t>20250514-39</t>
        </is>
      </c>
    </row>
    <row r="6796">
      <c r="A6796" s="32" t="n">
        <v>29</v>
      </c>
      <c r="B6796" s="32" t="inlineStr">
        <is>
          <t>K4-5B</t>
        </is>
      </c>
      <c r="D6796" s="32" t="n">
        <v>16.85</v>
      </c>
      <c r="E6796" s="32" t="n">
        <v>405.711</v>
      </c>
      <c r="G6796" s="32" t="n">
        <v>52.077</v>
      </c>
      <c r="H6796" s="32" t="inlineStr">
        <is>
          <t>bb</t>
        </is>
      </c>
      <c r="I6796" s="32" t="n">
        <v>405.711</v>
      </c>
      <c r="K6796" s="32" t="inlineStr">
        <is>
          <t>20250514-40</t>
        </is>
      </c>
    </row>
    <row r="6797">
      <c r="A6797" s="32" t="n">
        <v>30</v>
      </c>
      <c r="B6797" s="32" t="inlineStr">
        <is>
          <t>K4-5C</t>
        </is>
      </c>
      <c r="D6797" s="32" t="n">
        <v>16.79</v>
      </c>
      <c r="E6797" s="32" t="n">
        <v>367.483</v>
      </c>
      <c r="G6797" s="32" t="n">
        <v>21.974</v>
      </c>
      <c r="H6797" s="32" t="inlineStr">
        <is>
          <t>bb</t>
        </is>
      </c>
      <c r="I6797" s="32" t="n">
        <v>367.483</v>
      </c>
      <c r="K6797" s="32" t="inlineStr">
        <is>
          <t>20250514-41</t>
        </is>
      </c>
    </row>
    <row r="6798">
      <c r="A6798" s="32" t="n">
        <v>31</v>
      </c>
      <c r="B6798" s="32" t="inlineStr">
        <is>
          <t>MeOH</t>
        </is>
      </c>
      <c r="D6798" s="32" t="n">
        <v>16.75</v>
      </c>
      <c r="E6798" s="32" t="n">
        <v>19.434</v>
      </c>
      <c r="G6798" s="32" t="n">
        <v>2.912</v>
      </c>
      <c r="H6798" s="32" t="inlineStr">
        <is>
          <t>bb</t>
        </is>
      </c>
      <c r="I6798" s="32" t="n">
        <v>19.434</v>
      </c>
      <c r="K6798" s="32" t="inlineStr">
        <is>
          <t>20250514-42</t>
        </is>
      </c>
    </row>
    <row r="6799">
      <c r="A6799" s="32" t="n">
        <v>32</v>
      </c>
      <c r="B6799" s="32" t="inlineStr">
        <is>
          <t>K3-1A</t>
        </is>
      </c>
      <c r="D6799" s="32" t="n">
        <v>16.78</v>
      </c>
      <c r="E6799" s="32" t="n">
        <v>519.807</v>
      </c>
      <c r="G6799" s="32" t="n">
        <v>17.922</v>
      </c>
      <c r="H6799" s="32" t="inlineStr">
        <is>
          <t>bb</t>
        </is>
      </c>
      <c r="I6799" s="32" t="n">
        <v>519.807</v>
      </c>
      <c r="K6799" s="32" t="inlineStr">
        <is>
          <t>20250514-43</t>
        </is>
      </c>
    </row>
    <row r="6800">
      <c r="A6800" s="32" t="n">
        <v>33</v>
      </c>
      <c r="B6800" s="32" t="inlineStr">
        <is>
          <t>K3-1B</t>
        </is>
      </c>
      <c r="D6800" s="32" t="n">
        <v>16.79</v>
      </c>
      <c r="E6800" s="32" t="n">
        <v>456.552</v>
      </c>
      <c r="G6800" s="32" t="n">
        <v>16.338</v>
      </c>
      <c r="H6800" s="32" t="inlineStr">
        <is>
          <t>bb</t>
        </is>
      </c>
      <c r="I6800" s="32" t="n">
        <v>456.552</v>
      </c>
      <c r="K6800" s="32" t="inlineStr">
        <is>
          <t>20250514-44</t>
        </is>
      </c>
    </row>
    <row r="6801">
      <c r="A6801" s="32" t="n">
        <v>34</v>
      </c>
      <c r="B6801" s="32" t="inlineStr">
        <is>
          <t>K3-1C</t>
        </is>
      </c>
      <c r="D6801" s="32" t="n">
        <v>16.82</v>
      </c>
      <c r="E6801" s="32" t="n">
        <v>556.412</v>
      </c>
      <c r="G6801" s="32" t="n">
        <v>53.276</v>
      </c>
      <c r="H6801" s="32" t="inlineStr">
        <is>
          <t>bb</t>
        </is>
      </c>
      <c r="I6801" s="32" t="n">
        <v>556.412</v>
      </c>
      <c r="K6801" s="32" t="inlineStr">
        <is>
          <t>20250514-45</t>
        </is>
      </c>
    </row>
    <row r="6802">
      <c r="A6802" s="32" t="n">
        <v>35</v>
      </c>
      <c r="B6802" s="32" t="inlineStr">
        <is>
          <t>K3-2A</t>
        </is>
      </c>
      <c r="D6802" s="32" t="n">
        <v>16.82</v>
      </c>
      <c r="E6802" s="32" t="n">
        <v>520.705</v>
      </c>
      <c r="G6802" s="32" t="n">
        <v>31.437</v>
      </c>
      <c r="H6802" s="32" t="inlineStr">
        <is>
          <t>bb</t>
        </is>
      </c>
      <c r="I6802" s="32" t="n">
        <v>520.705</v>
      </c>
      <c r="K6802" s="32" t="inlineStr">
        <is>
          <t>20250514-46</t>
        </is>
      </c>
    </row>
    <row r="6803">
      <c r="A6803" s="32" t="n">
        <v>36</v>
      </c>
      <c r="B6803" s="32" t="inlineStr">
        <is>
          <t>K3-2B</t>
        </is>
      </c>
      <c r="D6803" s="32" t="n">
        <v>16.84</v>
      </c>
      <c r="E6803" s="32" t="n">
        <v>697.726</v>
      </c>
      <c r="G6803" s="32" t="n">
        <v>68.383</v>
      </c>
      <c r="H6803" s="32" t="inlineStr">
        <is>
          <t>bb</t>
        </is>
      </c>
      <c r="I6803" s="32" t="n">
        <v>697.726</v>
      </c>
      <c r="K6803" s="32" t="inlineStr">
        <is>
          <t>20250514-47</t>
        </is>
      </c>
    </row>
    <row r="6804">
      <c r="A6804" s="32" t="n">
        <v>37</v>
      </c>
      <c r="B6804" s="32" t="inlineStr">
        <is>
          <t>K3-2C</t>
        </is>
      </c>
      <c r="D6804" s="32" t="n">
        <v>16.85</v>
      </c>
      <c r="E6804" s="32" t="n">
        <v>515.652</v>
      </c>
      <c r="G6804" s="32" t="n">
        <v>66.107</v>
      </c>
      <c r="H6804" s="32" t="inlineStr">
        <is>
          <t>bb</t>
        </is>
      </c>
      <c r="I6804" s="32" t="n">
        <v>515.652</v>
      </c>
      <c r="K6804" s="32" t="inlineStr">
        <is>
          <t>20250514-48</t>
        </is>
      </c>
    </row>
    <row r="6805">
      <c r="A6805" s="32" t="n">
        <v>38</v>
      </c>
      <c r="B6805" s="32" t="inlineStr">
        <is>
          <t>MeOH</t>
        </is>
      </c>
      <c r="K6805" s="32" t="inlineStr">
        <is>
          <t>20250514-49</t>
        </is>
      </c>
    </row>
    <row r="6806">
      <c r="A6806" s="32" t="n">
        <v>39</v>
      </c>
      <c r="B6806" s="32" t="inlineStr">
        <is>
          <t>K3-3A</t>
        </is>
      </c>
      <c r="D6806" s="32" t="n">
        <v>16.85</v>
      </c>
      <c r="E6806" s="32" t="n">
        <v>442.761</v>
      </c>
      <c r="G6806" s="32" t="n">
        <v>21.008</v>
      </c>
      <c r="H6806" s="32" t="inlineStr">
        <is>
          <t>bb</t>
        </is>
      </c>
      <c r="I6806" s="32" t="n">
        <v>442.761</v>
      </c>
      <c r="K6806" s="32" t="inlineStr">
        <is>
          <t>20250514-50</t>
        </is>
      </c>
    </row>
    <row r="6807">
      <c r="A6807" s="32" t="n">
        <v>40</v>
      </c>
      <c r="B6807" s="32" t="inlineStr">
        <is>
          <t>K3-3B</t>
        </is>
      </c>
      <c r="D6807" s="32" t="n">
        <v>16.89</v>
      </c>
      <c r="E6807" s="32" t="n">
        <v>392.975</v>
      </c>
      <c r="G6807" s="32" t="n">
        <v>27.931</v>
      </c>
      <c r="H6807" s="32" t="inlineStr">
        <is>
          <t>bb</t>
        </is>
      </c>
      <c r="I6807" s="32" t="n">
        <v>392.975</v>
      </c>
      <c r="K6807" s="32" t="inlineStr">
        <is>
          <t>20250514-51</t>
        </is>
      </c>
    </row>
    <row r="6808">
      <c r="A6808" s="32" t="n">
        <v>41</v>
      </c>
      <c r="B6808" s="32" t="inlineStr">
        <is>
          <t>K3-3C</t>
        </is>
      </c>
      <c r="D6808" s="32" t="n">
        <v>16.87</v>
      </c>
      <c r="E6808" s="32" t="n">
        <v>533.34</v>
      </c>
      <c r="G6808" s="32" t="n">
        <v>12.718</v>
      </c>
      <c r="H6808" s="32" t="inlineStr">
        <is>
          <t>bb</t>
        </is>
      </c>
      <c r="I6808" s="32" t="n">
        <v>533.34</v>
      </c>
      <c r="K6808" s="32" t="inlineStr">
        <is>
          <t>20250514-52</t>
        </is>
      </c>
    </row>
    <row r="6809">
      <c r="A6809" s="32" t="n">
        <v>42</v>
      </c>
      <c r="B6809" s="32" t="inlineStr">
        <is>
          <t>K3-4A</t>
        </is>
      </c>
      <c r="D6809" s="32" t="n">
        <v>16.9</v>
      </c>
      <c r="E6809" s="32" t="n">
        <v>579.684</v>
      </c>
      <c r="G6809" s="32" t="n">
        <v>60.227</v>
      </c>
      <c r="H6809" s="32" t="inlineStr">
        <is>
          <t>bb</t>
        </is>
      </c>
      <c r="I6809" s="32" t="n">
        <v>579.684</v>
      </c>
      <c r="K6809" s="32" t="inlineStr">
        <is>
          <t>20250514-53</t>
        </is>
      </c>
    </row>
    <row r="6810">
      <c r="A6810" s="32" t="n">
        <v>43</v>
      </c>
      <c r="B6810" s="32" t="inlineStr">
        <is>
          <t>K3-4B</t>
        </is>
      </c>
      <c r="D6810" s="32" t="n">
        <v>16.9</v>
      </c>
      <c r="E6810" s="32" t="n">
        <v>398.943</v>
      </c>
      <c r="G6810" s="32" t="n">
        <v>7.029</v>
      </c>
      <c r="H6810" s="32" t="inlineStr">
        <is>
          <t>bb</t>
        </is>
      </c>
      <c r="I6810" s="32" t="n">
        <v>398.943</v>
      </c>
      <c r="K6810" s="32" t="inlineStr">
        <is>
          <t>20250514-54</t>
        </is>
      </c>
    </row>
    <row r="6811">
      <c r="A6811" s="32" t="n">
        <v>44</v>
      </c>
      <c r="B6811" s="32" t="inlineStr">
        <is>
          <t>K3-4C</t>
        </is>
      </c>
      <c r="D6811" s="32" t="n">
        <v>16.92</v>
      </c>
      <c r="E6811" s="32" t="n">
        <v>556.154</v>
      </c>
      <c r="G6811" s="32" t="n">
        <v>32.732</v>
      </c>
      <c r="H6811" s="32" t="inlineStr">
        <is>
          <t>bb</t>
        </is>
      </c>
      <c r="I6811" s="32" t="n">
        <v>556.154</v>
      </c>
      <c r="K6811" s="32" t="inlineStr">
        <is>
          <t>20250514-55</t>
        </is>
      </c>
    </row>
    <row r="6812">
      <c r="A6812" s="32" t="n">
        <v>45</v>
      </c>
      <c r="B6812" s="32" t="inlineStr">
        <is>
          <t>MeOH</t>
        </is>
      </c>
      <c r="H6812" s="32" t="inlineStr">
        <is>
          <t>MM-</t>
        </is>
      </c>
      <c r="K6812" s="32" t="inlineStr">
        <is>
          <t>20250514-56</t>
        </is>
      </c>
    </row>
    <row r="6813">
      <c r="A6813" s="32" t="n">
        <v>46</v>
      </c>
      <c r="B6813" s="32" t="inlineStr">
        <is>
          <t>K3-6A</t>
        </is>
      </c>
      <c r="D6813" s="32" t="n">
        <v>16.92</v>
      </c>
      <c r="E6813" s="32" t="n">
        <v>543.972</v>
      </c>
      <c r="G6813" s="32" t="n">
        <v>75.453</v>
      </c>
      <c r="H6813" s="32" t="inlineStr">
        <is>
          <t>bb</t>
        </is>
      </c>
      <c r="I6813" s="32" t="n">
        <v>543.972</v>
      </c>
      <c r="K6813" s="32" t="inlineStr">
        <is>
          <t>20250514-57</t>
        </is>
      </c>
    </row>
    <row r="6814">
      <c r="A6814" s="32" t="n">
        <v>47</v>
      </c>
      <c r="B6814" s="32" t="inlineStr">
        <is>
          <t>K3-6B</t>
        </is>
      </c>
      <c r="D6814" s="32" t="n">
        <v>16.92</v>
      </c>
      <c r="E6814" s="32" t="n">
        <v>411.323</v>
      </c>
      <c r="G6814" s="32" t="n">
        <v>18.737</v>
      </c>
      <c r="H6814" s="32" t="inlineStr">
        <is>
          <t>bb</t>
        </is>
      </c>
      <c r="I6814" s="32" t="n">
        <v>411.323</v>
      </c>
      <c r="K6814" s="32" t="inlineStr">
        <is>
          <t>20250514-58</t>
        </is>
      </c>
    </row>
    <row r="6815">
      <c r="A6815" s="32" t="n">
        <v>48</v>
      </c>
      <c r="B6815" s="32" t="inlineStr">
        <is>
          <t>K3-6C</t>
        </is>
      </c>
      <c r="D6815" s="32" t="n">
        <v>16.9</v>
      </c>
      <c r="E6815" s="32" t="n">
        <v>451.372</v>
      </c>
      <c r="G6815" s="32" t="n">
        <v>89.7</v>
      </c>
      <c r="H6815" s="32" t="inlineStr">
        <is>
          <t>bb</t>
        </is>
      </c>
      <c r="I6815" s="32" t="n">
        <v>451.372</v>
      </c>
      <c r="K6815" s="32" t="inlineStr">
        <is>
          <t>20250514-59</t>
        </is>
      </c>
    </row>
    <row r="6817">
      <c r="A6817" s="32" t="inlineStr">
        <is>
          <t>Compound 132:  m2 PFTeDA 2</t>
        </is>
      </c>
    </row>
    <row r="6819">
      <c r="B6819" s="32" t="inlineStr">
        <is>
          <t>Sample Text</t>
        </is>
      </c>
      <c r="C6819" s="32" t="inlineStr">
        <is>
          <t>Std. Conc</t>
        </is>
      </c>
      <c r="D6819" s="32" t="inlineStr">
        <is>
          <t>RT</t>
        </is>
      </c>
      <c r="E6819" s="32" t="inlineStr">
        <is>
          <t>Area</t>
        </is>
      </c>
      <c r="F6819" s="32" t="inlineStr">
        <is>
          <t>IS Area</t>
        </is>
      </c>
      <c r="G6819" s="32" t="inlineStr">
        <is>
          <t>S/N</t>
        </is>
      </c>
      <c r="H6819" s="32" t="inlineStr">
        <is>
          <t>Primary Flags</t>
        </is>
      </c>
      <c r="I6819" s="32" t="inlineStr">
        <is>
          <t>Response</t>
        </is>
      </c>
      <c r="J6819" s="32" t="inlineStr">
        <is>
          <t>Conc.</t>
        </is>
      </c>
      <c r="K6819" s="32" t="inlineStr">
        <is>
          <t>Name</t>
        </is>
      </c>
    </row>
    <row r="6820">
      <c r="A6820" s="32" t="n">
        <v>1</v>
      </c>
      <c r="B6820" s="32" t="inlineStr">
        <is>
          <t>EPA1633 &amp; diPAPs Calibration 0 ppb</t>
        </is>
      </c>
      <c r="D6820" s="32" t="n">
        <v>16.75</v>
      </c>
      <c r="E6820" s="32" t="n">
        <v>3981.298</v>
      </c>
      <c r="G6820" s="32" t="n">
        <v>470.579</v>
      </c>
      <c r="H6820" s="32" t="inlineStr">
        <is>
          <t>bb</t>
        </is>
      </c>
      <c r="I6820" s="32" t="n">
        <v>3981.298</v>
      </c>
      <c r="K6820" s="32" t="inlineStr">
        <is>
          <t>20250514-12</t>
        </is>
      </c>
    </row>
    <row r="6821">
      <c r="A6821" s="32" t="n">
        <v>2</v>
      </c>
      <c r="B6821" s="32" t="inlineStr">
        <is>
          <t>EPA1633 &amp; diPAPs Calibration 0.02 ppb</t>
        </is>
      </c>
      <c r="D6821" s="32" t="n">
        <v>16.76</v>
      </c>
      <c r="E6821" s="32" t="n">
        <v>3624.406</v>
      </c>
      <c r="G6821" s="32" t="n">
        <v>718.895</v>
      </c>
      <c r="H6821" s="32" t="inlineStr">
        <is>
          <t>bb</t>
        </is>
      </c>
      <c r="I6821" s="32" t="n">
        <v>3624.406</v>
      </c>
      <c r="K6821" s="32" t="inlineStr">
        <is>
          <t>20250514-13</t>
        </is>
      </c>
    </row>
    <row r="6822">
      <c r="A6822" s="32" t="n">
        <v>3</v>
      </c>
      <c r="B6822" s="32" t="inlineStr">
        <is>
          <t>EPA1633 &amp; diPAPs Calibration 0.1 ppb</t>
        </is>
      </c>
      <c r="D6822" s="32" t="n">
        <v>16.76</v>
      </c>
      <c r="E6822" s="32" t="n">
        <v>3680.496</v>
      </c>
      <c r="G6822" s="32" t="n">
        <v>873.59</v>
      </c>
      <c r="H6822" s="32" t="inlineStr">
        <is>
          <t>bb</t>
        </is>
      </c>
      <c r="I6822" s="32" t="n">
        <v>3680.496</v>
      </c>
      <c r="K6822" s="32" t="inlineStr">
        <is>
          <t>20250514-14</t>
        </is>
      </c>
    </row>
    <row r="6823">
      <c r="A6823" s="32" t="n">
        <v>4</v>
      </c>
      <c r="B6823" s="32" t="inlineStr">
        <is>
          <t>EPA1633 &amp; diPAPs Calibration 0.4 ppb</t>
        </is>
      </c>
      <c r="D6823" s="32" t="n">
        <v>16.77</v>
      </c>
      <c r="E6823" s="32" t="n">
        <v>3082.405</v>
      </c>
      <c r="G6823" s="32" t="n">
        <v>24659</v>
      </c>
      <c r="H6823" s="32" t="inlineStr">
        <is>
          <t>bb</t>
        </is>
      </c>
      <c r="I6823" s="32" t="n">
        <v>3082.405</v>
      </c>
      <c r="K6823" s="32" t="inlineStr">
        <is>
          <t>20250514-15</t>
        </is>
      </c>
    </row>
    <row r="6824">
      <c r="A6824" s="32" t="n">
        <v>5</v>
      </c>
      <c r="B6824" s="32" t="inlineStr">
        <is>
          <t>EPA1633 &amp; diPAPs Calibration 1 ppb</t>
        </is>
      </c>
      <c r="D6824" s="32" t="n">
        <v>16.74</v>
      </c>
      <c r="E6824" s="32" t="n">
        <v>4000.116</v>
      </c>
      <c r="G6824" s="32" t="n">
        <v>136.253</v>
      </c>
      <c r="H6824" s="32" t="inlineStr">
        <is>
          <t>bb</t>
        </is>
      </c>
      <c r="I6824" s="32" t="n">
        <v>4000.116</v>
      </c>
      <c r="K6824" s="32" t="inlineStr">
        <is>
          <t>20250514-16</t>
        </is>
      </c>
    </row>
    <row r="6825">
      <c r="A6825" s="32" t="n">
        <v>6</v>
      </c>
      <c r="B6825" s="32" t="inlineStr">
        <is>
          <t>EPA1633 &amp; diPAPs Calibration 5 ppb</t>
        </is>
      </c>
      <c r="D6825" s="32" t="n">
        <v>16.74</v>
      </c>
      <c r="E6825" s="32" t="n">
        <v>3451.795</v>
      </c>
      <c r="G6825" s="32" t="n">
        <v>27754</v>
      </c>
      <c r="H6825" s="32" t="inlineStr">
        <is>
          <t>bb</t>
        </is>
      </c>
      <c r="I6825" s="32" t="n">
        <v>3451.795</v>
      </c>
      <c r="K6825" s="32" t="inlineStr">
        <is>
          <t>20250514-17</t>
        </is>
      </c>
    </row>
    <row r="6826">
      <c r="A6826" s="32" t="n">
        <v>7</v>
      </c>
      <c r="B6826" s="32" t="inlineStr">
        <is>
          <t>EPA1633 &amp; diPAPs Calibration 10 ppb</t>
        </is>
      </c>
      <c r="D6826" s="32" t="n">
        <v>16.75</v>
      </c>
      <c r="E6826" s="32" t="n">
        <v>2688.08</v>
      </c>
      <c r="G6826" s="32" t="n">
        <v>21036</v>
      </c>
      <c r="H6826" s="32" t="inlineStr">
        <is>
          <t>bb</t>
        </is>
      </c>
      <c r="I6826" s="32" t="n">
        <v>2688.08</v>
      </c>
      <c r="K6826" s="32" t="inlineStr">
        <is>
          <t>20250514-18</t>
        </is>
      </c>
    </row>
    <row r="6827">
      <c r="A6827" s="32" t="n">
        <v>8</v>
      </c>
      <c r="B6827" s="32" t="inlineStr">
        <is>
          <t>EPA1633 &amp; diPAPs Calibration 20 ppb</t>
        </is>
      </c>
      <c r="D6827" s="32" t="n">
        <v>16.76</v>
      </c>
      <c r="E6827" s="32" t="n">
        <v>2546.887</v>
      </c>
      <c r="G6827" s="32" t="n">
        <v>429.65</v>
      </c>
      <c r="H6827" s="32" t="inlineStr">
        <is>
          <t>bb</t>
        </is>
      </c>
      <c r="I6827" s="32" t="n">
        <v>2546.887</v>
      </c>
      <c r="K6827" s="32" t="inlineStr">
        <is>
          <t>20250514-19</t>
        </is>
      </c>
    </row>
    <row r="6828">
      <c r="A6828" s="32" t="n">
        <v>9</v>
      </c>
      <c r="B6828" s="32" t="inlineStr">
        <is>
          <t>MeOH</t>
        </is>
      </c>
      <c r="D6828" s="32" t="n">
        <v>16.75</v>
      </c>
      <c r="E6828" s="32" t="n">
        <v>11.681</v>
      </c>
      <c r="G6828" s="32" t="n">
        <v>3.875</v>
      </c>
      <c r="H6828" s="32" t="inlineStr">
        <is>
          <t>bb</t>
        </is>
      </c>
      <c r="I6828" s="32" t="n">
        <v>11.681</v>
      </c>
      <c r="K6828" s="32" t="inlineStr">
        <is>
          <t>20250514-20</t>
        </is>
      </c>
    </row>
    <row r="6829">
      <c r="A6829" s="32" t="n">
        <v>10</v>
      </c>
      <c r="B6829" s="32" t="inlineStr">
        <is>
          <t>MeOH</t>
        </is>
      </c>
      <c r="D6829" s="32" t="n">
        <v>16.78</v>
      </c>
      <c r="E6829" s="32" t="n">
        <v>1.379</v>
      </c>
      <c r="G6829" s="32" t="n">
        <v>15</v>
      </c>
      <c r="H6829" s="32" t="inlineStr">
        <is>
          <t>bb</t>
        </is>
      </c>
      <c r="I6829" s="32" t="n">
        <v>1.379</v>
      </c>
      <c r="K6829" s="32" t="inlineStr">
        <is>
          <t>20250514-21</t>
        </is>
      </c>
    </row>
    <row r="6830">
      <c r="A6830" s="32" t="n">
        <v>11</v>
      </c>
      <c r="B6830" s="32" t="inlineStr">
        <is>
          <t>SB1</t>
        </is>
      </c>
      <c r="D6830" s="32" t="n">
        <v>16.78</v>
      </c>
      <c r="E6830" s="32" t="n">
        <v>1255.58</v>
      </c>
      <c r="G6830" s="32" t="n">
        <v>1017.282</v>
      </c>
      <c r="H6830" s="32" t="inlineStr">
        <is>
          <t>bb</t>
        </is>
      </c>
      <c r="I6830" s="32" t="n">
        <v>1255.58</v>
      </c>
      <c r="K6830" s="32" t="inlineStr">
        <is>
          <t>20250514-22</t>
        </is>
      </c>
    </row>
    <row r="6831">
      <c r="A6831" s="32" t="n">
        <v>12</v>
      </c>
      <c r="B6831" s="32" t="inlineStr">
        <is>
          <t>SB2</t>
        </is>
      </c>
      <c r="D6831" s="32" t="n">
        <v>16.78</v>
      </c>
      <c r="E6831" s="32" t="n">
        <v>1156.893</v>
      </c>
      <c r="G6831" s="32" t="n">
        <v>13.752</v>
      </c>
      <c r="H6831" s="32" t="inlineStr">
        <is>
          <t>bb</t>
        </is>
      </c>
      <c r="I6831" s="32" t="n">
        <v>1156.893</v>
      </c>
      <c r="K6831" s="32" t="inlineStr">
        <is>
          <t>20250514-23</t>
        </is>
      </c>
    </row>
    <row r="6832">
      <c r="A6832" s="32" t="n">
        <v>13</v>
      </c>
      <c r="B6832" s="32" t="inlineStr">
        <is>
          <t>SB3</t>
        </is>
      </c>
      <c r="D6832" s="32" t="n">
        <v>16.79</v>
      </c>
      <c r="E6832" s="32" t="n">
        <v>1111.108</v>
      </c>
      <c r="G6832" s="32" t="n">
        <v>8505</v>
      </c>
      <c r="H6832" s="32" t="inlineStr">
        <is>
          <t>bb</t>
        </is>
      </c>
      <c r="I6832" s="32" t="n">
        <v>1111.108</v>
      </c>
      <c r="K6832" s="32" t="inlineStr">
        <is>
          <t>20250514-24</t>
        </is>
      </c>
    </row>
    <row r="6833">
      <c r="A6833" s="32" t="n">
        <v>14</v>
      </c>
      <c r="B6833" s="32" t="inlineStr">
        <is>
          <t>SS1</t>
        </is>
      </c>
      <c r="D6833" s="32" t="n">
        <v>16.8</v>
      </c>
      <c r="E6833" s="32" t="n">
        <v>768.797</v>
      </c>
      <c r="G6833" s="32" t="n">
        <v>561.806</v>
      </c>
      <c r="H6833" s="32" t="inlineStr">
        <is>
          <t>bb</t>
        </is>
      </c>
      <c r="I6833" s="32" t="n">
        <v>768.797</v>
      </c>
      <c r="K6833" s="32" t="inlineStr">
        <is>
          <t>20250514-25</t>
        </is>
      </c>
    </row>
    <row r="6834">
      <c r="A6834" s="32" t="n">
        <v>15</v>
      </c>
      <c r="B6834" s="32" t="inlineStr">
        <is>
          <t>SS2</t>
        </is>
      </c>
      <c r="D6834" s="32" t="n">
        <v>16.8</v>
      </c>
      <c r="E6834" s="32" t="n">
        <v>860.35</v>
      </c>
      <c r="G6834" s="32" t="n">
        <v>5772</v>
      </c>
      <c r="H6834" s="32" t="inlineStr">
        <is>
          <t>bb</t>
        </is>
      </c>
      <c r="I6834" s="32" t="n">
        <v>860.35</v>
      </c>
      <c r="K6834" s="32" t="inlineStr">
        <is>
          <t>20250514-26</t>
        </is>
      </c>
    </row>
    <row r="6835">
      <c r="A6835" s="32" t="n">
        <v>16</v>
      </c>
      <c r="B6835" s="32" t="inlineStr">
        <is>
          <t>SS3</t>
        </is>
      </c>
      <c r="D6835" s="32" t="n">
        <v>16.82</v>
      </c>
      <c r="E6835" s="32" t="n">
        <v>737.0309999999999</v>
      </c>
      <c r="G6835" s="32" t="n">
        <v>22.417</v>
      </c>
      <c r="H6835" s="32" t="inlineStr">
        <is>
          <t>bb</t>
        </is>
      </c>
      <c r="I6835" s="32" t="n">
        <v>737.0309999999999</v>
      </c>
      <c r="K6835" s="32" t="inlineStr">
        <is>
          <t>20250514-27</t>
        </is>
      </c>
    </row>
    <row r="6836">
      <c r="A6836" s="32" t="n">
        <v>17</v>
      </c>
      <c r="B6836" s="32" t="inlineStr">
        <is>
          <t>MeOH</t>
        </is>
      </c>
      <c r="K6836" s="32" t="inlineStr">
        <is>
          <t>20250514-28</t>
        </is>
      </c>
    </row>
    <row r="6837">
      <c r="A6837" s="32" t="n">
        <v>18</v>
      </c>
      <c r="B6837" s="32" t="inlineStr">
        <is>
          <t>K4-1A</t>
        </is>
      </c>
      <c r="D6837" s="32" t="n">
        <v>16.82</v>
      </c>
      <c r="E6837" s="32" t="n">
        <v>1231.774</v>
      </c>
      <c r="G6837" s="32" t="n">
        <v>57.082</v>
      </c>
      <c r="H6837" s="32" t="inlineStr">
        <is>
          <t>bb</t>
        </is>
      </c>
      <c r="I6837" s="32" t="n">
        <v>1231.774</v>
      </c>
      <c r="K6837" s="32" t="inlineStr">
        <is>
          <t>20250514-29</t>
        </is>
      </c>
    </row>
    <row r="6838">
      <c r="A6838" s="32" t="n">
        <v>19</v>
      </c>
      <c r="B6838" s="32" t="inlineStr">
        <is>
          <t>K4-1B</t>
        </is>
      </c>
      <c r="D6838" s="32" t="n">
        <v>16.84</v>
      </c>
      <c r="E6838" s="32" t="n">
        <v>1020.073</v>
      </c>
      <c r="G6838" s="32" t="n">
        <v>336.348</v>
      </c>
      <c r="H6838" s="32" t="inlineStr">
        <is>
          <t>bb</t>
        </is>
      </c>
      <c r="I6838" s="32" t="n">
        <v>1020.073</v>
      </c>
      <c r="K6838" s="32" t="inlineStr">
        <is>
          <t>20250514-30</t>
        </is>
      </c>
    </row>
    <row r="6839">
      <c r="A6839" s="32" t="n">
        <v>20</v>
      </c>
      <c r="B6839" s="32" t="inlineStr">
        <is>
          <t>K4-1C</t>
        </is>
      </c>
      <c r="D6839" s="32" t="n">
        <v>16.85</v>
      </c>
      <c r="E6839" s="32" t="n">
        <v>1132.848</v>
      </c>
      <c r="G6839" s="32" t="n">
        <v>243.851</v>
      </c>
      <c r="H6839" s="32" t="inlineStr">
        <is>
          <t>bb</t>
        </is>
      </c>
      <c r="I6839" s="32" t="n">
        <v>1132.848</v>
      </c>
      <c r="K6839" s="32" t="inlineStr">
        <is>
          <t>20250514-31</t>
        </is>
      </c>
    </row>
    <row r="6840">
      <c r="A6840" s="32" t="n">
        <v>21</v>
      </c>
      <c r="B6840" s="32" t="inlineStr">
        <is>
          <t>K4-2A</t>
        </is>
      </c>
      <c r="D6840" s="32" t="n">
        <v>16.83</v>
      </c>
      <c r="E6840" s="32" t="n">
        <v>1016.982</v>
      </c>
      <c r="G6840" s="32" t="n">
        <v>90.07599999999999</v>
      </c>
      <c r="H6840" s="32" t="inlineStr">
        <is>
          <t>bb</t>
        </is>
      </c>
      <c r="I6840" s="32" t="n">
        <v>1016.982</v>
      </c>
      <c r="K6840" s="32" t="inlineStr">
        <is>
          <t>20250514-32</t>
        </is>
      </c>
    </row>
    <row r="6841">
      <c r="A6841" s="32" t="n">
        <v>22</v>
      </c>
      <c r="B6841" s="32" t="inlineStr">
        <is>
          <t>K4-2B</t>
        </is>
      </c>
      <c r="D6841" s="32" t="n">
        <v>16.85</v>
      </c>
      <c r="E6841" s="32" t="n">
        <v>852.0839999999999</v>
      </c>
      <c r="G6841" s="32" t="n">
        <v>5684</v>
      </c>
      <c r="H6841" s="32" t="inlineStr">
        <is>
          <t>bb</t>
        </is>
      </c>
      <c r="I6841" s="32" t="n">
        <v>852.0839999999999</v>
      </c>
      <c r="K6841" s="32" t="inlineStr">
        <is>
          <t>20250514-33</t>
        </is>
      </c>
    </row>
    <row r="6842">
      <c r="A6842" s="32" t="n">
        <v>23</v>
      </c>
      <c r="B6842" s="32" t="inlineStr">
        <is>
          <t>K4-2C</t>
        </is>
      </c>
      <c r="D6842" s="32" t="n">
        <v>16.85</v>
      </c>
      <c r="E6842" s="32" t="n">
        <v>877.87</v>
      </c>
      <c r="G6842" s="32" t="n">
        <v>607.6</v>
      </c>
      <c r="H6842" s="32" t="inlineStr">
        <is>
          <t>bb</t>
        </is>
      </c>
      <c r="I6842" s="32" t="n">
        <v>877.87</v>
      </c>
      <c r="K6842" s="32" t="inlineStr">
        <is>
          <t>20250514-34</t>
        </is>
      </c>
    </row>
    <row r="6843">
      <c r="A6843" s="32" t="n">
        <v>24</v>
      </c>
      <c r="B6843" s="32" t="inlineStr">
        <is>
          <t>MeOH</t>
        </is>
      </c>
      <c r="K6843" s="32" t="inlineStr">
        <is>
          <t>20250514-35</t>
        </is>
      </c>
    </row>
    <row r="6844">
      <c r="A6844" s="32" t="n">
        <v>25</v>
      </c>
      <c r="B6844" s="32" t="inlineStr">
        <is>
          <t>K4-4A</t>
        </is>
      </c>
      <c r="D6844" s="32" t="n">
        <v>16.87</v>
      </c>
      <c r="E6844" s="32" t="n">
        <v>1046.641</v>
      </c>
      <c r="G6844" s="32" t="n">
        <v>25.154</v>
      </c>
      <c r="H6844" s="32" t="inlineStr">
        <is>
          <t>bb</t>
        </is>
      </c>
      <c r="I6844" s="32" t="n">
        <v>1046.641</v>
      </c>
      <c r="K6844" s="32" t="inlineStr">
        <is>
          <t>20250514-36</t>
        </is>
      </c>
    </row>
    <row r="6845">
      <c r="A6845" s="32" t="n">
        <v>26</v>
      </c>
      <c r="B6845" s="32" t="inlineStr">
        <is>
          <t>K4-4B</t>
        </is>
      </c>
      <c r="D6845" s="32" t="n">
        <v>16.89</v>
      </c>
      <c r="E6845" s="32" t="n">
        <v>842.062</v>
      </c>
      <c r="G6845" s="32" t="n">
        <v>5800</v>
      </c>
      <c r="H6845" s="32" t="inlineStr">
        <is>
          <t>bb</t>
        </is>
      </c>
      <c r="I6845" s="32" t="n">
        <v>842.062</v>
      </c>
      <c r="K6845" s="32" t="inlineStr">
        <is>
          <t>20250514-37</t>
        </is>
      </c>
    </row>
    <row r="6846">
      <c r="A6846" s="32" t="n">
        <v>27</v>
      </c>
      <c r="B6846" s="32" t="inlineStr">
        <is>
          <t>K4-4C</t>
        </is>
      </c>
      <c r="D6846" s="32" t="n">
        <v>16.87</v>
      </c>
      <c r="E6846" s="32" t="n">
        <v>1185.143</v>
      </c>
      <c r="G6846" s="32" t="n">
        <v>8110</v>
      </c>
      <c r="H6846" s="32" t="inlineStr">
        <is>
          <t>bb</t>
        </is>
      </c>
      <c r="I6846" s="32" t="n">
        <v>1185.143</v>
      </c>
      <c r="K6846" s="32" t="inlineStr">
        <is>
          <t>20250514-38</t>
        </is>
      </c>
    </row>
    <row r="6847">
      <c r="A6847" s="32" t="n">
        <v>28</v>
      </c>
      <c r="B6847" s="32" t="inlineStr">
        <is>
          <t>K4-5A</t>
        </is>
      </c>
      <c r="D6847" s="32" t="n">
        <v>16.85</v>
      </c>
      <c r="E6847" s="32" t="n">
        <v>1047.034</v>
      </c>
      <c r="G6847" s="32" t="n">
        <v>3534.098</v>
      </c>
      <c r="H6847" s="32" t="inlineStr">
        <is>
          <t>bb</t>
        </is>
      </c>
      <c r="I6847" s="32" t="n">
        <v>1047.034</v>
      </c>
      <c r="K6847" s="32" t="inlineStr">
        <is>
          <t>20250514-39</t>
        </is>
      </c>
    </row>
    <row r="6848">
      <c r="A6848" s="32" t="n">
        <v>29</v>
      </c>
      <c r="B6848" s="32" t="inlineStr">
        <is>
          <t>K4-5B</t>
        </is>
      </c>
      <c r="D6848" s="32" t="n">
        <v>16.85</v>
      </c>
      <c r="E6848" s="32" t="n">
        <v>676.477</v>
      </c>
      <c r="G6848" s="32" t="n">
        <v>4466</v>
      </c>
      <c r="H6848" s="32" t="inlineStr">
        <is>
          <t>bb</t>
        </is>
      </c>
      <c r="I6848" s="32" t="n">
        <v>676.477</v>
      </c>
      <c r="K6848" s="32" t="inlineStr">
        <is>
          <t>20250514-40</t>
        </is>
      </c>
    </row>
    <row r="6849">
      <c r="A6849" s="32" t="n">
        <v>30</v>
      </c>
      <c r="B6849" s="32" t="inlineStr">
        <is>
          <t>K4-5C</t>
        </is>
      </c>
      <c r="D6849" s="32" t="n">
        <v>16.8</v>
      </c>
      <c r="E6849" s="32" t="n">
        <v>1088.289</v>
      </c>
      <c r="G6849" s="32" t="n">
        <v>8597</v>
      </c>
      <c r="H6849" s="32" t="inlineStr">
        <is>
          <t>bb</t>
        </is>
      </c>
      <c r="I6849" s="32" t="n">
        <v>1088.289</v>
      </c>
      <c r="K6849" s="32" t="inlineStr">
        <is>
          <t>20250514-41</t>
        </is>
      </c>
    </row>
    <row r="6850">
      <c r="A6850" s="32" t="n">
        <v>31</v>
      </c>
      <c r="B6850" s="32" t="inlineStr">
        <is>
          <t>MeOH</t>
        </is>
      </c>
      <c r="D6850" s="32" t="n">
        <v>16.78</v>
      </c>
      <c r="E6850" s="32" t="n">
        <v>17.265</v>
      </c>
      <c r="G6850" s="32" t="n">
        <v>119.065</v>
      </c>
      <c r="H6850" s="32" t="inlineStr">
        <is>
          <t>bb</t>
        </is>
      </c>
      <c r="I6850" s="32" t="n">
        <v>17.265</v>
      </c>
      <c r="K6850" s="32" t="inlineStr">
        <is>
          <t>20250514-42</t>
        </is>
      </c>
    </row>
    <row r="6851">
      <c r="A6851" s="32" t="n">
        <v>32</v>
      </c>
      <c r="B6851" s="32" t="inlineStr">
        <is>
          <t>K3-1A</t>
        </is>
      </c>
      <c r="D6851" s="32" t="n">
        <v>16.78</v>
      </c>
      <c r="E6851" s="32" t="n">
        <v>1343.16</v>
      </c>
      <c r="G6851" s="32" t="n">
        <v>2696.604</v>
      </c>
      <c r="H6851" s="32" t="inlineStr">
        <is>
          <t>bb</t>
        </is>
      </c>
      <c r="I6851" s="32" t="n">
        <v>1343.16</v>
      </c>
      <c r="K6851" s="32" t="inlineStr">
        <is>
          <t>20250514-43</t>
        </is>
      </c>
    </row>
    <row r="6852">
      <c r="A6852" s="32" t="n">
        <v>33</v>
      </c>
      <c r="B6852" s="32" t="inlineStr">
        <is>
          <t>K3-1B</t>
        </is>
      </c>
      <c r="D6852" s="32" t="n">
        <v>16.79</v>
      </c>
      <c r="E6852" s="32" t="n">
        <v>1405.073</v>
      </c>
      <c r="G6852" s="32" t="n">
        <v>10551</v>
      </c>
      <c r="H6852" s="32" t="inlineStr">
        <is>
          <t>bb</t>
        </is>
      </c>
      <c r="I6852" s="32" t="n">
        <v>1405.073</v>
      </c>
      <c r="K6852" s="32" t="inlineStr">
        <is>
          <t>20250514-44</t>
        </is>
      </c>
    </row>
    <row r="6853">
      <c r="A6853" s="32" t="n">
        <v>34</v>
      </c>
      <c r="B6853" s="32" t="inlineStr">
        <is>
          <t>K3-1C</t>
        </is>
      </c>
      <c r="D6853" s="32" t="n">
        <v>16.82</v>
      </c>
      <c r="E6853" s="32" t="n">
        <v>1583.432</v>
      </c>
      <c r="G6853" s="32" t="n">
        <v>179.476</v>
      </c>
      <c r="H6853" s="32" t="inlineStr">
        <is>
          <t>bb</t>
        </is>
      </c>
      <c r="I6853" s="32" t="n">
        <v>1583.432</v>
      </c>
      <c r="K6853" s="32" t="inlineStr">
        <is>
          <t>20250514-45</t>
        </is>
      </c>
    </row>
    <row r="6854">
      <c r="A6854" s="32" t="n">
        <v>35</v>
      </c>
      <c r="B6854" s="32" t="inlineStr">
        <is>
          <t>K3-2A</t>
        </is>
      </c>
      <c r="D6854" s="32" t="n">
        <v>16.84</v>
      </c>
      <c r="E6854" s="32" t="n">
        <v>1523.004</v>
      </c>
      <c r="G6854" s="32" t="n">
        <v>10239</v>
      </c>
      <c r="H6854" s="32" t="inlineStr">
        <is>
          <t>bb</t>
        </is>
      </c>
      <c r="I6854" s="32" t="n">
        <v>1523.004</v>
      </c>
      <c r="K6854" s="32" t="inlineStr">
        <is>
          <t>20250514-46</t>
        </is>
      </c>
    </row>
    <row r="6855">
      <c r="A6855" s="32" t="n">
        <v>36</v>
      </c>
      <c r="B6855" s="32" t="inlineStr">
        <is>
          <t>K3-2B</t>
        </is>
      </c>
      <c r="D6855" s="32" t="n">
        <v>16.84</v>
      </c>
      <c r="E6855" s="32" t="n">
        <v>1399.654</v>
      </c>
      <c r="G6855" s="32" t="n">
        <v>148.289</v>
      </c>
      <c r="H6855" s="32" t="inlineStr">
        <is>
          <t>bb</t>
        </is>
      </c>
      <c r="I6855" s="32" t="n">
        <v>1399.654</v>
      </c>
      <c r="K6855" s="32" t="inlineStr">
        <is>
          <t>20250514-47</t>
        </is>
      </c>
    </row>
    <row r="6856">
      <c r="A6856" s="32" t="n">
        <v>37</v>
      </c>
      <c r="B6856" s="32" t="inlineStr">
        <is>
          <t>K3-2C</t>
        </is>
      </c>
      <c r="D6856" s="32" t="n">
        <v>16.84</v>
      </c>
      <c r="E6856" s="32" t="n">
        <v>1190.786</v>
      </c>
      <c r="G6856" s="32" t="n">
        <v>318.558</v>
      </c>
      <c r="H6856" s="32" t="inlineStr">
        <is>
          <t>bb</t>
        </is>
      </c>
      <c r="I6856" s="32" t="n">
        <v>1190.786</v>
      </c>
      <c r="K6856" s="32" t="inlineStr">
        <is>
          <t>20250514-48</t>
        </is>
      </c>
    </row>
    <row r="6857">
      <c r="A6857" s="32" t="n">
        <v>38</v>
      </c>
      <c r="B6857" s="32" t="inlineStr">
        <is>
          <t>MeOH</t>
        </is>
      </c>
      <c r="D6857" s="32" t="n">
        <v>16.87</v>
      </c>
      <c r="E6857" s="32" t="n">
        <v>5.015</v>
      </c>
      <c r="G6857" s="32" t="n">
        <v>3.365</v>
      </c>
      <c r="H6857" s="32" t="inlineStr">
        <is>
          <t>bb</t>
        </is>
      </c>
      <c r="I6857" s="32" t="n">
        <v>5.015</v>
      </c>
      <c r="K6857" s="32" t="inlineStr">
        <is>
          <t>20250514-49</t>
        </is>
      </c>
    </row>
    <row r="6858">
      <c r="A6858" s="32" t="n">
        <v>39</v>
      </c>
      <c r="B6858" s="32" t="inlineStr">
        <is>
          <t>K3-3A</t>
        </is>
      </c>
      <c r="D6858" s="32" t="n">
        <v>16.87</v>
      </c>
      <c r="E6858" s="32" t="n">
        <v>887.872</v>
      </c>
      <c r="G6858" s="32" t="n">
        <v>1124.955</v>
      </c>
      <c r="H6858" s="32" t="inlineStr">
        <is>
          <t>bb</t>
        </is>
      </c>
      <c r="I6858" s="32" t="n">
        <v>887.872</v>
      </c>
      <c r="K6858" s="32" t="inlineStr">
        <is>
          <t>20250514-50</t>
        </is>
      </c>
    </row>
    <row r="6859">
      <c r="A6859" s="32" t="n">
        <v>40</v>
      </c>
      <c r="B6859" s="32" t="inlineStr">
        <is>
          <t>K3-3B</t>
        </is>
      </c>
      <c r="D6859" s="32" t="n">
        <v>16.87</v>
      </c>
      <c r="E6859" s="32" t="n">
        <v>1352.479</v>
      </c>
      <c r="G6859" s="32" t="n">
        <v>1200.838</v>
      </c>
      <c r="H6859" s="32" t="inlineStr">
        <is>
          <t>bb</t>
        </is>
      </c>
      <c r="I6859" s="32" t="n">
        <v>1352.479</v>
      </c>
      <c r="K6859" s="32" t="inlineStr">
        <is>
          <t>20250514-51</t>
        </is>
      </c>
    </row>
    <row r="6860">
      <c r="A6860" s="32" t="n">
        <v>41</v>
      </c>
      <c r="B6860" s="32" t="inlineStr">
        <is>
          <t>K3-3C</t>
        </is>
      </c>
      <c r="D6860" s="32" t="n">
        <v>16.87</v>
      </c>
      <c r="E6860" s="32" t="n">
        <v>1667.877</v>
      </c>
      <c r="G6860" s="32" t="n">
        <v>120.413</v>
      </c>
      <c r="H6860" s="32" t="inlineStr">
        <is>
          <t>bb</t>
        </is>
      </c>
      <c r="I6860" s="32" t="n">
        <v>1667.877</v>
      </c>
      <c r="K6860" s="32" t="inlineStr">
        <is>
          <t>20250514-52</t>
        </is>
      </c>
    </row>
    <row r="6861">
      <c r="A6861" s="32" t="n">
        <v>42</v>
      </c>
      <c r="B6861" s="32" t="inlineStr">
        <is>
          <t>K3-4A</t>
        </is>
      </c>
      <c r="D6861" s="32" t="n">
        <v>16.9</v>
      </c>
      <c r="E6861" s="32" t="n">
        <v>1653.118</v>
      </c>
      <c r="G6861" s="32" t="n">
        <v>216.208</v>
      </c>
      <c r="H6861" s="32" t="inlineStr">
        <is>
          <t>bb</t>
        </is>
      </c>
      <c r="I6861" s="32" t="n">
        <v>1653.118</v>
      </c>
      <c r="K6861" s="32" t="inlineStr">
        <is>
          <t>20250514-53</t>
        </is>
      </c>
    </row>
    <row r="6862">
      <c r="A6862" s="32" t="n">
        <v>43</v>
      </c>
      <c r="B6862" s="32" t="inlineStr">
        <is>
          <t>K3-4B</t>
        </is>
      </c>
      <c r="D6862" s="32" t="n">
        <v>16.9</v>
      </c>
      <c r="E6862" s="32" t="n">
        <v>1522.77</v>
      </c>
      <c r="G6862" s="32" t="n">
        <v>10060</v>
      </c>
      <c r="H6862" s="32" t="inlineStr">
        <is>
          <t>bb</t>
        </is>
      </c>
      <c r="I6862" s="32" t="n">
        <v>1522.77</v>
      </c>
      <c r="K6862" s="32" t="inlineStr">
        <is>
          <t>20250514-54</t>
        </is>
      </c>
    </row>
    <row r="6863">
      <c r="A6863" s="32" t="n">
        <v>44</v>
      </c>
      <c r="B6863" s="32" t="inlineStr">
        <is>
          <t>K3-4C</t>
        </is>
      </c>
      <c r="D6863" s="32" t="n">
        <v>16.92</v>
      </c>
      <c r="E6863" s="32" t="n">
        <v>1674.885</v>
      </c>
      <c r="G6863" s="32" t="n">
        <v>5231.226</v>
      </c>
      <c r="H6863" s="32" t="inlineStr">
        <is>
          <t>bb</t>
        </is>
      </c>
      <c r="I6863" s="32" t="n">
        <v>1674.885</v>
      </c>
      <c r="K6863" s="32" t="inlineStr">
        <is>
          <t>20250514-55</t>
        </is>
      </c>
    </row>
    <row r="6864">
      <c r="A6864" s="32" t="n">
        <v>45</v>
      </c>
      <c r="B6864" s="32" t="inlineStr">
        <is>
          <t>MeOH</t>
        </is>
      </c>
      <c r="D6864" s="32" t="n">
        <v>16.92</v>
      </c>
      <c r="E6864" s="32" t="n">
        <v>24.865</v>
      </c>
      <c r="G6864" s="32" t="n">
        <v>4.521</v>
      </c>
      <c r="H6864" s="32" t="inlineStr">
        <is>
          <t>bb</t>
        </is>
      </c>
      <c r="I6864" s="32" t="n">
        <v>24.865</v>
      </c>
      <c r="K6864" s="32" t="inlineStr">
        <is>
          <t>20250514-56</t>
        </is>
      </c>
    </row>
    <row r="6865">
      <c r="A6865" s="32" t="n">
        <v>46</v>
      </c>
      <c r="B6865" s="32" t="inlineStr">
        <is>
          <t>K3-6A</t>
        </is>
      </c>
      <c r="D6865" s="32" t="n">
        <v>16.92</v>
      </c>
      <c r="E6865" s="32" t="n">
        <v>1672.987</v>
      </c>
      <c r="G6865" s="32" t="n">
        <v>230.463</v>
      </c>
      <c r="H6865" s="32" t="inlineStr">
        <is>
          <t>bb</t>
        </is>
      </c>
      <c r="I6865" s="32" t="n">
        <v>1672.987</v>
      </c>
      <c r="K6865" s="32" t="inlineStr">
        <is>
          <t>20250514-57</t>
        </is>
      </c>
    </row>
    <row r="6866">
      <c r="A6866" s="32" t="n">
        <v>47</v>
      </c>
      <c r="B6866" s="32" t="inlineStr">
        <is>
          <t>K3-6B</t>
        </is>
      </c>
      <c r="D6866" s="32" t="n">
        <v>16.92</v>
      </c>
      <c r="E6866" s="32" t="n">
        <v>1314.123</v>
      </c>
      <c r="G6866" s="32" t="n">
        <v>8532</v>
      </c>
      <c r="H6866" s="32" t="inlineStr">
        <is>
          <t>bb</t>
        </is>
      </c>
      <c r="I6866" s="32" t="n">
        <v>1314.123</v>
      </c>
      <c r="K6866" s="32" t="inlineStr">
        <is>
          <t>20250514-58</t>
        </is>
      </c>
    </row>
    <row r="6867">
      <c r="A6867" s="32" t="n">
        <v>48</v>
      </c>
      <c r="B6867" s="32" t="inlineStr">
        <is>
          <t>K3-6C</t>
        </is>
      </c>
      <c r="D6867" s="32" t="n">
        <v>16.9</v>
      </c>
      <c r="E6867" s="32" t="n">
        <v>1061.521</v>
      </c>
      <c r="G6867" s="32" t="n">
        <v>87.898</v>
      </c>
      <c r="H6867" s="32" t="inlineStr">
        <is>
          <t>bb</t>
        </is>
      </c>
      <c r="I6867" s="32" t="n">
        <v>1061.521</v>
      </c>
      <c r="K6867" s="32" t="inlineStr">
        <is>
          <t>20250514-59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03"/>
  <sheetViews>
    <sheetView topLeftCell="A2377" workbookViewId="0">
      <selection activeCell="A2425" sqref="A2425"/>
    </sheetView>
  </sheetViews>
  <sheetFormatPr baseColWidth="8" defaultColWidth="11" defaultRowHeight="16"/>
  <sheetData>
    <row r="1">
      <c r="A1" t="inlineStr">
        <is>
          <t xml:space="preserve">Quantify Compound Summary Report </t>
        </is>
      </c>
    </row>
    <row r="3">
      <c r="A3" t="inlineStr">
        <is>
          <t>Printed Fri May 16 14:43:55 2025</t>
        </is>
      </c>
    </row>
    <row r="5">
      <c r="A5" t="inlineStr">
        <is>
          <t>Compound 1:  TFA 1</t>
        </is>
      </c>
    </row>
    <row r="7">
      <c r="B7" t="inlineStr">
        <is>
          <t>Sample Text</t>
        </is>
      </c>
      <c r="C7" t="inlineStr">
        <is>
          <t>Std. Conc</t>
        </is>
      </c>
      <c r="D7" t="inlineStr">
        <is>
          <t>RT</t>
        </is>
      </c>
      <c r="E7" t="inlineStr">
        <is>
          <t>Area</t>
        </is>
      </c>
      <c r="F7" t="inlineStr">
        <is>
          <t>IS Area</t>
        </is>
      </c>
      <c r="G7" t="inlineStr">
        <is>
          <t>S/N</t>
        </is>
      </c>
      <c r="H7" t="inlineStr">
        <is>
          <t>Primary Flags</t>
        </is>
      </c>
      <c r="I7" t="inlineStr">
        <is>
          <t>Response</t>
        </is>
      </c>
      <c r="J7" t="inlineStr">
        <is>
          <t>Conc.</t>
        </is>
      </c>
    </row>
    <row r="8">
      <c r="A8" t="n">
        <v>1</v>
      </c>
      <c r="B8" t="inlineStr">
        <is>
          <t>EPA1633 &amp; diPAPs Calibration 0 ppb</t>
        </is>
      </c>
      <c r="D8" t="n">
        <v>0.7</v>
      </c>
      <c r="E8" t="n">
        <v>0.159</v>
      </c>
      <c r="F8" t="n">
        <v>7551.013</v>
      </c>
      <c r="G8" t="n">
        <v>2</v>
      </c>
      <c r="H8" t="inlineStr">
        <is>
          <t>bb</t>
        </is>
      </c>
    </row>
    <row r="9">
      <c r="A9" t="n">
        <v>2</v>
      </c>
      <c r="B9" t="inlineStr">
        <is>
          <t>EPA1633 &amp; diPAPs Calibration 0.02 ppb</t>
        </is>
      </c>
      <c r="D9" t="n">
        <v>1.1</v>
      </c>
      <c r="E9" t="n">
        <v>0.307</v>
      </c>
      <c r="F9" t="n">
        <v>6696.725</v>
      </c>
      <c r="G9" t="n">
        <v>2.202</v>
      </c>
      <c r="H9" t="inlineStr">
        <is>
          <t>bb</t>
        </is>
      </c>
    </row>
    <row r="10">
      <c r="A10" t="n">
        <v>3</v>
      </c>
      <c r="B10" t="inlineStr">
        <is>
          <t>EPA1633 &amp; diPAPs Calibration 0.1 ppb</t>
        </is>
      </c>
      <c r="D10" t="n">
        <v>1.27</v>
      </c>
      <c r="E10" t="n">
        <v>0.08599999999999999</v>
      </c>
      <c r="F10" t="n">
        <v>7209.583</v>
      </c>
      <c r="G10" t="n">
        <v>1</v>
      </c>
      <c r="H10" t="inlineStr">
        <is>
          <t>MM</t>
        </is>
      </c>
    </row>
    <row r="11">
      <c r="A11" t="n">
        <v>4</v>
      </c>
      <c r="B11" t="inlineStr">
        <is>
          <t>EPA1633 &amp; diPAPs Calibration 0.4 ppb</t>
        </is>
      </c>
      <c r="D11" t="n">
        <v>1.49</v>
      </c>
      <c r="E11" t="n">
        <v>0.097</v>
      </c>
      <c r="F11" t="n">
        <v>7013.762</v>
      </c>
      <c r="G11" t="n">
        <v>0.703</v>
      </c>
      <c r="H11" t="inlineStr">
        <is>
          <t>bb</t>
        </is>
      </c>
    </row>
    <row r="12">
      <c r="A12" t="n">
        <v>5</v>
      </c>
      <c r="B12" t="inlineStr">
        <is>
          <t>EPA1633 &amp; diPAPs Calibration 1 ppb</t>
        </is>
      </c>
      <c r="D12" t="n">
        <v>1.72</v>
      </c>
      <c r="E12" t="n">
        <v>0.491</v>
      </c>
      <c r="F12" t="n">
        <v>8048.652</v>
      </c>
      <c r="G12" t="n">
        <v>1.727</v>
      </c>
      <c r="H12" t="inlineStr">
        <is>
          <t>bb</t>
        </is>
      </c>
    </row>
    <row r="13">
      <c r="A13" t="n">
        <v>6</v>
      </c>
      <c r="B13" t="inlineStr">
        <is>
          <t>EPA1633 &amp; diPAPs Calibration 5 ppb</t>
        </is>
      </c>
      <c r="D13" t="n">
        <v>1.02</v>
      </c>
      <c r="E13" t="n">
        <v>0.712</v>
      </c>
      <c r="F13" t="n">
        <v>7211.955</v>
      </c>
      <c r="G13" t="n">
        <v>8</v>
      </c>
      <c r="H13" t="inlineStr">
        <is>
          <t>bb</t>
        </is>
      </c>
    </row>
    <row r="14">
      <c r="A14" t="n">
        <v>7</v>
      </c>
      <c r="B14" t="inlineStr">
        <is>
          <t>EPA1633 &amp; diPAPs Calibration 10 ppb</t>
        </is>
      </c>
      <c r="D14" t="n">
        <v>1.02</v>
      </c>
      <c r="E14" t="n">
        <v>2.722</v>
      </c>
      <c r="F14" t="n">
        <v>5686.902</v>
      </c>
      <c r="G14" t="n">
        <v>17.093</v>
      </c>
      <c r="H14" t="inlineStr">
        <is>
          <t>bb</t>
        </is>
      </c>
    </row>
    <row r="15">
      <c r="A15" t="n">
        <v>8</v>
      </c>
      <c r="B15" t="inlineStr">
        <is>
          <t>EPA1633 &amp; diPAPs Calibration 20 ppb</t>
        </is>
      </c>
      <c r="D15" t="n">
        <v>0.97</v>
      </c>
      <c r="E15" t="n">
        <v>12.969</v>
      </c>
      <c r="F15" t="n">
        <v>6179.103</v>
      </c>
      <c r="G15" t="n">
        <v>106.223</v>
      </c>
      <c r="H15" t="inlineStr">
        <is>
          <t>bb</t>
        </is>
      </c>
    </row>
    <row r="16">
      <c r="A16" t="n">
        <v>9</v>
      </c>
      <c r="B16" t="inlineStr">
        <is>
          <t>MeOH</t>
        </is>
      </c>
      <c r="D16" t="n">
        <v>0.45</v>
      </c>
      <c r="E16" t="n">
        <v>0.08799999999999999</v>
      </c>
      <c r="G16" t="n">
        <v>3</v>
      </c>
      <c r="H16" t="inlineStr">
        <is>
          <t>bb</t>
        </is>
      </c>
    </row>
    <row r="17">
      <c r="A17" t="n">
        <v>10</v>
      </c>
      <c r="B17" t="inlineStr">
        <is>
          <t>MeOH</t>
        </is>
      </c>
      <c r="D17" t="n">
        <v>1.47</v>
      </c>
      <c r="E17" t="n">
        <v>0.129</v>
      </c>
      <c r="G17" t="n">
        <v>1</v>
      </c>
      <c r="H17" t="inlineStr">
        <is>
          <t>db</t>
        </is>
      </c>
    </row>
    <row r="18">
      <c r="A18" t="n">
        <v>11</v>
      </c>
      <c r="B18" t="inlineStr">
        <is>
          <t>SB1</t>
        </is>
      </c>
      <c r="D18" t="n">
        <v>1.63</v>
      </c>
      <c r="E18" t="n">
        <v>2.019</v>
      </c>
      <c r="F18" t="n">
        <v>3649.542</v>
      </c>
      <c r="G18" t="n">
        <v>25</v>
      </c>
      <c r="H18" t="inlineStr">
        <is>
          <t>bb</t>
        </is>
      </c>
    </row>
    <row r="19">
      <c r="A19" t="n">
        <v>12</v>
      </c>
      <c r="B19" t="inlineStr">
        <is>
          <t>SB2</t>
        </is>
      </c>
      <c r="D19" t="n">
        <v>0.47</v>
      </c>
      <c r="E19" t="n">
        <v>0.219</v>
      </c>
      <c r="F19" t="n">
        <v>3370.738</v>
      </c>
      <c r="G19" t="n">
        <v>7</v>
      </c>
      <c r="H19" t="inlineStr">
        <is>
          <t>bb</t>
        </is>
      </c>
    </row>
    <row r="20">
      <c r="A20" t="n">
        <v>13</v>
      </c>
      <c r="B20" t="inlineStr">
        <is>
          <t>SB3</t>
        </is>
      </c>
      <c r="D20" t="n">
        <v>1.95</v>
      </c>
      <c r="E20" t="n">
        <v>0.129</v>
      </c>
      <c r="F20" t="n">
        <v>3095.617</v>
      </c>
      <c r="G20" t="n">
        <v>1</v>
      </c>
      <c r="H20" t="inlineStr">
        <is>
          <t>MM</t>
        </is>
      </c>
    </row>
    <row r="21">
      <c r="A21" t="n">
        <v>14</v>
      </c>
      <c r="B21" t="inlineStr">
        <is>
          <t>SS1</t>
        </is>
      </c>
      <c r="D21" t="n">
        <v>1.2</v>
      </c>
      <c r="E21" t="n">
        <v>3.581</v>
      </c>
      <c r="F21" t="n">
        <v>3493.816</v>
      </c>
      <c r="G21" t="n">
        <v>29.547</v>
      </c>
      <c r="H21" t="inlineStr">
        <is>
          <t>bb</t>
        </is>
      </c>
    </row>
    <row r="22">
      <c r="A22" t="n">
        <v>15</v>
      </c>
      <c r="B22" t="inlineStr">
        <is>
          <t>SS2</t>
        </is>
      </c>
      <c r="D22" t="n">
        <v>1.66</v>
      </c>
      <c r="E22" t="n">
        <v>9.140000000000001</v>
      </c>
      <c r="F22" t="n">
        <v>3699.493</v>
      </c>
      <c r="G22" t="n">
        <v>95.83499999999999</v>
      </c>
      <c r="H22" t="inlineStr">
        <is>
          <t>bb</t>
        </is>
      </c>
    </row>
    <row r="23">
      <c r="A23" t="n">
        <v>16</v>
      </c>
      <c r="B23" t="inlineStr">
        <is>
          <t>SS3</t>
        </is>
      </c>
      <c r="D23" t="n">
        <v>1.61</v>
      </c>
      <c r="E23" t="n">
        <v>4.563</v>
      </c>
      <c r="F23" t="n">
        <v>3352.055</v>
      </c>
      <c r="G23" t="n">
        <v>49</v>
      </c>
      <c r="H23" t="inlineStr">
        <is>
          <t>bb</t>
        </is>
      </c>
    </row>
    <row r="25">
      <c r="A25" t="inlineStr">
        <is>
          <t>Compound 2:  PFMeS 1</t>
        </is>
      </c>
    </row>
    <row r="27">
      <c r="B27" t="inlineStr">
        <is>
          <t>Sample Text</t>
        </is>
      </c>
      <c r="C27" t="inlineStr">
        <is>
          <t>Std. Conc</t>
        </is>
      </c>
      <c r="D27" t="inlineStr">
        <is>
          <t>RT</t>
        </is>
      </c>
      <c r="E27" t="inlineStr">
        <is>
          <t>Area</t>
        </is>
      </c>
      <c r="F27" t="inlineStr">
        <is>
          <t>IS Area</t>
        </is>
      </c>
      <c r="G27" t="inlineStr">
        <is>
          <t>S/N</t>
        </is>
      </c>
      <c r="H27" t="inlineStr">
        <is>
          <t>Primary Flags</t>
        </is>
      </c>
      <c r="I27" t="inlineStr">
        <is>
          <t>Response</t>
        </is>
      </c>
      <c r="J27" t="inlineStr">
        <is>
          <t>Conc.</t>
        </is>
      </c>
    </row>
    <row r="28">
      <c r="A28" t="n">
        <v>1</v>
      </c>
      <c r="B28" t="inlineStr">
        <is>
          <t>EPA1633 &amp; diPAPs Calibration 0 ppb</t>
        </is>
      </c>
      <c r="F28" t="n">
        <v>7551.013</v>
      </c>
    </row>
    <row r="29">
      <c r="A29" t="n">
        <v>2</v>
      </c>
      <c r="B29" t="inlineStr">
        <is>
          <t>EPA1633 &amp; diPAPs Calibration 0.02 ppb</t>
        </is>
      </c>
      <c r="D29" t="n">
        <v>1.04</v>
      </c>
      <c r="E29" t="n">
        <v>2.102</v>
      </c>
      <c r="F29" t="n">
        <v>6696.725</v>
      </c>
      <c r="G29" t="n">
        <v>23</v>
      </c>
      <c r="H29" t="inlineStr">
        <is>
          <t>bb</t>
        </is>
      </c>
    </row>
    <row r="30">
      <c r="A30" t="n">
        <v>3</v>
      </c>
      <c r="B30" t="inlineStr">
        <is>
          <t>EPA1633 &amp; diPAPs Calibration 0.1 ppb</t>
        </is>
      </c>
      <c r="D30" t="n">
        <v>1.71</v>
      </c>
      <c r="E30" t="n">
        <v>0.043</v>
      </c>
      <c r="F30" t="n">
        <v>7209.583</v>
      </c>
      <c r="G30" t="n">
        <v>1</v>
      </c>
      <c r="H30" t="inlineStr">
        <is>
          <t>bb</t>
        </is>
      </c>
    </row>
    <row r="31">
      <c r="A31" t="n">
        <v>4</v>
      </c>
      <c r="B31" t="inlineStr">
        <is>
          <t>EPA1633 &amp; diPAPs Calibration 0.4 ppb</t>
        </is>
      </c>
      <c r="D31" t="n">
        <v>1.06</v>
      </c>
      <c r="E31" t="n">
        <v>3.303</v>
      </c>
      <c r="F31" t="n">
        <v>7013.762</v>
      </c>
      <c r="G31" t="n">
        <v>41</v>
      </c>
      <c r="H31" t="inlineStr">
        <is>
          <t>bb</t>
        </is>
      </c>
    </row>
    <row r="32">
      <c r="A32" t="n">
        <v>5</v>
      </c>
      <c r="B32" t="inlineStr">
        <is>
          <t>EPA1633 &amp; diPAPs Calibration 1 ppb</t>
        </is>
      </c>
      <c r="D32" t="n">
        <v>1.08</v>
      </c>
      <c r="E32" t="n">
        <v>2.437</v>
      </c>
      <c r="F32" t="n">
        <v>8048.652</v>
      </c>
      <c r="G32" t="n">
        <v>36</v>
      </c>
      <c r="H32" t="inlineStr">
        <is>
          <t>bb</t>
        </is>
      </c>
    </row>
    <row r="33">
      <c r="A33" t="n">
        <v>6</v>
      </c>
      <c r="B33" t="inlineStr">
        <is>
          <t>EPA1633 &amp; diPAPs Calibration 5 ppb</t>
        </is>
      </c>
      <c r="D33" t="n">
        <v>1.05</v>
      </c>
      <c r="E33" t="n">
        <v>41.209</v>
      </c>
      <c r="F33" t="n">
        <v>7211.955</v>
      </c>
      <c r="G33" t="n">
        <v>28.439</v>
      </c>
      <c r="H33" t="inlineStr">
        <is>
          <t>bb</t>
        </is>
      </c>
    </row>
    <row r="34">
      <c r="A34" t="n">
        <v>7</v>
      </c>
      <c r="B34" t="inlineStr">
        <is>
          <t>EPA1633 &amp; diPAPs Calibration 10 ppb</t>
        </is>
      </c>
      <c r="D34" t="n">
        <v>1.05</v>
      </c>
      <c r="E34" t="n">
        <v>114.414</v>
      </c>
      <c r="F34" t="n">
        <v>5686.902</v>
      </c>
      <c r="G34" t="n">
        <v>311.398</v>
      </c>
      <c r="H34" t="inlineStr">
        <is>
          <t>bb</t>
        </is>
      </c>
    </row>
    <row r="35">
      <c r="A35" t="n">
        <v>8</v>
      </c>
      <c r="B35" t="inlineStr">
        <is>
          <t>EPA1633 &amp; diPAPs Calibration 20 ppb</t>
        </is>
      </c>
      <c r="D35" t="n">
        <v>1.06</v>
      </c>
      <c r="E35" t="n">
        <v>227.174</v>
      </c>
      <c r="F35" t="n">
        <v>6179.103</v>
      </c>
      <c r="G35" t="n">
        <v>2071.354</v>
      </c>
      <c r="H35" t="inlineStr">
        <is>
          <t>bb</t>
        </is>
      </c>
    </row>
    <row r="36">
      <c r="A36" t="n">
        <v>9</v>
      </c>
      <c r="B36" t="inlineStr">
        <is>
          <t>MeOH</t>
        </is>
      </c>
      <c r="D36" t="n">
        <v>1.78</v>
      </c>
      <c r="E36" t="n">
        <v>0.043</v>
      </c>
      <c r="G36" t="n">
        <v>1</v>
      </c>
      <c r="H36" t="inlineStr">
        <is>
          <t>bb</t>
        </is>
      </c>
    </row>
    <row r="37">
      <c r="A37" t="n">
        <v>10</v>
      </c>
      <c r="B37" t="inlineStr">
        <is>
          <t>MeOH</t>
        </is>
      </c>
      <c r="D37" t="n">
        <v>1.44</v>
      </c>
      <c r="E37" t="n">
        <v>0.204</v>
      </c>
      <c r="G37" t="n">
        <v>2</v>
      </c>
      <c r="H37" t="inlineStr">
        <is>
          <t>bb</t>
        </is>
      </c>
    </row>
    <row r="38">
      <c r="A38" t="n">
        <v>11</v>
      </c>
      <c r="B38" t="inlineStr">
        <is>
          <t>SB1</t>
        </is>
      </c>
      <c r="D38" t="n">
        <v>1.69</v>
      </c>
      <c r="E38" t="n">
        <v>0.236</v>
      </c>
      <c r="F38" t="n">
        <v>3649.542</v>
      </c>
      <c r="G38" t="n">
        <v>2.806</v>
      </c>
      <c r="H38" t="inlineStr">
        <is>
          <t>bb</t>
        </is>
      </c>
    </row>
    <row r="39">
      <c r="A39" t="n">
        <v>12</v>
      </c>
      <c r="B39" t="inlineStr">
        <is>
          <t>SB2</t>
        </is>
      </c>
      <c r="D39" t="n">
        <v>1.46</v>
      </c>
      <c r="E39" t="n">
        <v>0.161</v>
      </c>
      <c r="F39" t="n">
        <v>3370.738</v>
      </c>
      <c r="G39" t="n">
        <v>2</v>
      </c>
      <c r="H39" t="inlineStr">
        <is>
          <t>bb</t>
        </is>
      </c>
    </row>
    <row r="40">
      <c r="A40" t="n">
        <v>13</v>
      </c>
      <c r="B40" t="inlineStr">
        <is>
          <t>SB3</t>
        </is>
      </c>
      <c r="D40" t="n">
        <v>1.29</v>
      </c>
      <c r="E40" t="n">
        <v>0.032</v>
      </c>
      <c r="F40" t="n">
        <v>3095.617</v>
      </c>
      <c r="G40" t="n">
        <v>0</v>
      </c>
      <c r="H40" t="inlineStr">
        <is>
          <t>bb</t>
        </is>
      </c>
    </row>
    <row r="41">
      <c r="A41" t="n">
        <v>14</v>
      </c>
      <c r="B41" t="inlineStr">
        <is>
          <t>SS1</t>
        </is>
      </c>
      <c r="D41" t="n">
        <v>1.71</v>
      </c>
      <c r="E41" t="n">
        <v>48.665</v>
      </c>
      <c r="F41" t="n">
        <v>3493.816</v>
      </c>
      <c r="G41" t="n">
        <v>473</v>
      </c>
      <c r="H41" t="inlineStr">
        <is>
          <t>bb</t>
        </is>
      </c>
    </row>
    <row r="42">
      <c r="A42" t="n">
        <v>15</v>
      </c>
      <c r="B42" t="inlineStr">
        <is>
          <t>SS2</t>
        </is>
      </c>
      <c r="D42" t="n">
        <v>1.75</v>
      </c>
      <c r="E42" t="n">
        <v>51.366</v>
      </c>
      <c r="F42" t="n">
        <v>3699.493</v>
      </c>
      <c r="G42" t="n">
        <v>141.092</v>
      </c>
      <c r="H42" t="inlineStr">
        <is>
          <t>bb</t>
        </is>
      </c>
    </row>
    <row r="43">
      <c r="A43" t="n">
        <v>16</v>
      </c>
      <c r="B43" t="inlineStr">
        <is>
          <t>SS3</t>
        </is>
      </c>
      <c r="D43" t="n">
        <v>1.71</v>
      </c>
      <c r="E43" t="n">
        <v>37.488</v>
      </c>
      <c r="F43" t="n">
        <v>3352.055</v>
      </c>
      <c r="G43" t="n">
        <v>307.419</v>
      </c>
      <c r="H43" t="inlineStr">
        <is>
          <t>bb</t>
        </is>
      </c>
    </row>
    <row r="45">
      <c r="A45" t="inlineStr">
        <is>
          <t>Compound 3:  PFPrA 1</t>
        </is>
      </c>
    </row>
    <row r="47">
      <c r="B47" t="inlineStr">
        <is>
          <t>Sample Text</t>
        </is>
      </c>
      <c r="C47" t="inlineStr">
        <is>
          <t>Std. Conc</t>
        </is>
      </c>
      <c r="D47" t="inlineStr">
        <is>
          <t>RT</t>
        </is>
      </c>
      <c r="E47" t="inlineStr">
        <is>
          <t>Area</t>
        </is>
      </c>
      <c r="F47" t="inlineStr">
        <is>
          <t>IS Area</t>
        </is>
      </c>
      <c r="G47" t="inlineStr">
        <is>
          <t>S/N</t>
        </is>
      </c>
      <c r="H47" t="inlineStr">
        <is>
          <t>Primary Flags</t>
        </is>
      </c>
      <c r="I47" t="inlineStr">
        <is>
          <t>Response</t>
        </is>
      </c>
      <c r="J47" t="inlineStr">
        <is>
          <t>Conc.</t>
        </is>
      </c>
    </row>
    <row r="48">
      <c r="A48" t="n">
        <v>1</v>
      </c>
      <c r="B48" t="inlineStr">
        <is>
          <t>EPA1633 &amp; diPAPs Calibration 0 ppb</t>
        </is>
      </c>
      <c r="D48" t="n">
        <v>1.37</v>
      </c>
      <c r="E48" t="n">
        <v>64.15000000000001</v>
      </c>
      <c r="F48" t="n">
        <v>7551.013</v>
      </c>
      <c r="G48" t="n">
        <v>10.822</v>
      </c>
      <c r="H48" t="inlineStr">
        <is>
          <t>bb</t>
        </is>
      </c>
    </row>
    <row r="49">
      <c r="A49" t="n">
        <v>2</v>
      </c>
      <c r="B49" t="inlineStr">
        <is>
          <t>EPA1633 &amp; diPAPs Calibration 0.02 ppb</t>
        </is>
      </c>
      <c r="D49" t="n">
        <v>1.35</v>
      </c>
      <c r="E49" t="n">
        <v>76.06699999999999</v>
      </c>
      <c r="F49" t="n">
        <v>6696.725</v>
      </c>
      <c r="G49" t="n">
        <v>11.286</v>
      </c>
      <c r="H49" t="inlineStr">
        <is>
          <t>bb</t>
        </is>
      </c>
    </row>
    <row r="50">
      <c r="A50" t="n">
        <v>3</v>
      </c>
      <c r="B50" t="inlineStr">
        <is>
          <t>EPA1633 &amp; diPAPs Calibration 0.1 ppb</t>
        </is>
      </c>
      <c r="D50" t="n">
        <v>1.33</v>
      </c>
      <c r="E50" t="n">
        <v>96.785</v>
      </c>
      <c r="F50" t="n">
        <v>7209.583</v>
      </c>
      <c r="G50" t="n">
        <v>23.421</v>
      </c>
      <c r="H50" t="inlineStr">
        <is>
          <t>bb</t>
        </is>
      </c>
    </row>
    <row r="51">
      <c r="A51" t="n">
        <v>4</v>
      </c>
      <c r="B51" t="inlineStr">
        <is>
          <t>EPA1633 &amp; diPAPs Calibration 0.4 ppb</t>
        </is>
      </c>
      <c r="D51" t="n">
        <v>1.36</v>
      </c>
      <c r="E51" t="n">
        <v>99.337</v>
      </c>
      <c r="F51" t="n">
        <v>7013.762</v>
      </c>
      <c r="G51" t="n">
        <v>17.913</v>
      </c>
      <c r="H51" t="inlineStr">
        <is>
          <t>bb</t>
        </is>
      </c>
    </row>
    <row r="52">
      <c r="A52" t="n">
        <v>5</v>
      </c>
      <c r="B52" t="inlineStr">
        <is>
          <t>EPA1633 &amp; diPAPs Calibration 1 ppb</t>
        </is>
      </c>
      <c r="D52" t="n">
        <v>1.43</v>
      </c>
      <c r="E52" t="n">
        <v>133.014</v>
      </c>
      <c r="F52" t="n">
        <v>8048.652</v>
      </c>
      <c r="G52" t="n">
        <v>18.811</v>
      </c>
      <c r="H52" t="inlineStr">
        <is>
          <t>bb</t>
        </is>
      </c>
    </row>
    <row r="53">
      <c r="A53" t="n">
        <v>6</v>
      </c>
      <c r="B53" t="inlineStr">
        <is>
          <t>EPA1633 &amp; diPAPs Calibration 5 ppb</t>
        </is>
      </c>
      <c r="D53" t="n">
        <v>1.36</v>
      </c>
      <c r="E53" t="n">
        <v>294.148</v>
      </c>
      <c r="F53" t="n">
        <v>7211.955</v>
      </c>
      <c r="G53" t="n">
        <v>114.941</v>
      </c>
      <c r="H53" t="inlineStr">
        <is>
          <t>bb</t>
        </is>
      </c>
    </row>
    <row r="54">
      <c r="A54" t="n">
        <v>7</v>
      </c>
      <c r="B54" t="inlineStr">
        <is>
          <t>EPA1633 &amp; diPAPs Calibration 10 ppb</t>
        </is>
      </c>
      <c r="D54" t="n">
        <v>1.39</v>
      </c>
      <c r="E54" t="n">
        <v>428.395</v>
      </c>
      <c r="F54" t="n">
        <v>5686.902</v>
      </c>
      <c r="G54" t="n">
        <v>78.163</v>
      </c>
      <c r="H54" t="inlineStr">
        <is>
          <t>bb</t>
        </is>
      </c>
    </row>
    <row r="55">
      <c r="A55" t="n">
        <v>8</v>
      </c>
      <c r="B55" t="inlineStr">
        <is>
          <t>EPA1633 &amp; diPAPs Calibration 20 ppb</t>
        </is>
      </c>
      <c r="D55" t="n">
        <v>1.41</v>
      </c>
      <c r="E55" t="n">
        <v>790.977</v>
      </c>
      <c r="F55" t="n">
        <v>6179.103</v>
      </c>
      <c r="G55" t="n">
        <v>49.266</v>
      </c>
      <c r="H55" t="inlineStr">
        <is>
          <t>bb</t>
        </is>
      </c>
    </row>
    <row r="56">
      <c r="A56" t="n">
        <v>9</v>
      </c>
      <c r="B56" t="inlineStr">
        <is>
          <t>MeOH</t>
        </is>
      </c>
      <c r="D56" t="n">
        <v>1.41</v>
      </c>
      <c r="E56" t="n">
        <v>666.111</v>
      </c>
      <c r="G56" t="n">
        <v>89.753</v>
      </c>
      <c r="H56" t="inlineStr">
        <is>
          <t>bb</t>
        </is>
      </c>
    </row>
    <row r="57">
      <c r="A57" t="n">
        <v>10</v>
      </c>
      <c r="B57" t="inlineStr">
        <is>
          <t>MeOH</t>
        </is>
      </c>
      <c r="D57" t="n">
        <v>1.37</v>
      </c>
      <c r="E57" t="n">
        <v>637.5</v>
      </c>
      <c r="G57" t="n">
        <v>138.978</v>
      </c>
      <c r="H57" t="inlineStr">
        <is>
          <t>bb</t>
        </is>
      </c>
    </row>
    <row r="58">
      <c r="A58" t="n">
        <v>11</v>
      </c>
      <c r="B58" t="inlineStr">
        <is>
          <t>SB1</t>
        </is>
      </c>
      <c r="D58" t="n">
        <v>1.98</v>
      </c>
      <c r="E58" t="n">
        <v>1719.552</v>
      </c>
      <c r="F58" t="n">
        <v>3649.542</v>
      </c>
      <c r="G58" t="n">
        <v>467.072</v>
      </c>
      <c r="H58" t="inlineStr">
        <is>
          <t>bb</t>
        </is>
      </c>
    </row>
    <row r="59">
      <c r="A59" t="n">
        <v>12</v>
      </c>
      <c r="B59" t="inlineStr">
        <is>
          <t>SB2</t>
        </is>
      </c>
      <c r="D59" t="n">
        <v>1.98</v>
      </c>
      <c r="E59" t="n">
        <v>1343.528</v>
      </c>
      <c r="F59" t="n">
        <v>3370.738</v>
      </c>
      <c r="G59" t="n">
        <v>435.873</v>
      </c>
      <c r="H59" t="inlineStr">
        <is>
          <t>bb</t>
        </is>
      </c>
    </row>
    <row r="60">
      <c r="A60" t="n">
        <v>13</v>
      </c>
      <c r="B60" t="inlineStr">
        <is>
          <t>SB3</t>
        </is>
      </c>
      <c r="D60" t="n">
        <v>1.97</v>
      </c>
      <c r="E60" t="n">
        <v>1068.587</v>
      </c>
      <c r="F60" t="n">
        <v>3095.617</v>
      </c>
      <c r="G60" t="n">
        <v>797.182</v>
      </c>
      <c r="H60" t="inlineStr">
        <is>
          <t>bb</t>
        </is>
      </c>
    </row>
    <row r="61">
      <c r="A61" t="n">
        <v>14</v>
      </c>
      <c r="B61" t="inlineStr">
        <is>
          <t>SS1</t>
        </is>
      </c>
      <c r="D61" t="n">
        <v>1.98</v>
      </c>
      <c r="E61" t="n">
        <v>905.929</v>
      </c>
      <c r="F61" t="n">
        <v>3493.816</v>
      </c>
      <c r="G61" t="n">
        <v>244.241</v>
      </c>
      <c r="H61" t="inlineStr">
        <is>
          <t>bb</t>
        </is>
      </c>
    </row>
    <row r="62">
      <c r="A62" t="n">
        <v>15</v>
      </c>
      <c r="B62" t="inlineStr">
        <is>
          <t>SS2</t>
        </is>
      </c>
      <c r="D62" t="n">
        <v>2.02</v>
      </c>
      <c r="E62" t="n">
        <v>913.579</v>
      </c>
      <c r="F62" t="n">
        <v>3699.493</v>
      </c>
      <c r="G62" t="n">
        <v>395.914</v>
      </c>
      <c r="H62" t="inlineStr">
        <is>
          <t>bb</t>
        </is>
      </c>
    </row>
    <row r="63">
      <c r="A63" t="n">
        <v>16</v>
      </c>
      <c r="B63" t="inlineStr">
        <is>
          <t>SS3</t>
        </is>
      </c>
      <c r="D63" t="n">
        <v>1.99</v>
      </c>
      <c r="E63" t="n">
        <v>837.338</v>
      </c>
      <c r="F63" t="n">
        <v>3352.055</v>
      </c>
      <c r="G63" t="n">
        <v>247.941</v>
      </c>
      <c r="H63" t="inlineStr">
        <is>
          <t>bb</t>
        </is>
      </c>
    </row>
    <row r="65">
      <c r="A65" t="inlineStr">
        <is>
          <t>Compound 4:  PFEtS 1</t>
        </is>
      </c>
    </row>
    <row r="67">
      <c r="B67" t="inlineStr">
        <is>
          <t>Sample Text</t>
        </is>
      </c>
      <c r="C67" t="inlineStr">
        <is>
          <t>Std. Conc</t>
        </is>
      </c>
      <c r="D67" t="inlineStr">
        <is>
          <t>RT</t>
        </is>
      </c>
      <c r="E67" t="inlineStr">
        <is>
          <t>Area</t>
        </is>
      </c>
      <c r="F67" t="inlineStr">
        <is>
          <t>IS Area</t>
        </is>
      </c>
      <c r="G67" t="inlineStr">
        <is>
          <t>S/N</t>
        </is>
      </c>
      <c r="H67" t="inlineStr">
        <is>
          <t>Primary Flags</t>
        </is>
      </c>
      <c r="I67" t="inlineStr">
        <is>
          <t>Response</t>
        </is>
      </c>
      <c r="J67" t="inlineStr">
        <is>
          <t>Conc.</t>
        </is>
      </c>
    </row>
    <row r="68">
      <c r="A68" t="n">
        <v>1</v>
      </c>
      <c r="B68" t="inlineStr">
        <is>
          <t>EPA1633 &amp; diPAPs Calibration 0 ppb</t>
        </is>
      </c>
      <c r="D68" t="n">
        <v>1.75</v>
      </c>
      <c r="E68" t="n">
        <v>11.451</v>
      </c>
      <c r="F68" t="n">
        <v>7551.013</v>
      </c>
      <c r="G68" t="n">
        <v>17.308</v>
      </c>
      <c r="H68" t="inlineStr">
        <is>
          <t>bb</t>
        </is>
      </c>
    </row>
    <row r="69">
      <c r="A69" t="n">
        <v>2</v>
      </c>
      <c r="B69" t="inlineStr">
        <is>
          <t>EPA1633 &amp; diPAPs Calibration 0.02 ppb</t>
        </is>
      </c>
      <c r="D69" t="n">
        <v>1.69</v>
      </c>
      <c r="E69" t="n">
        <v>68.432</v>
      </c>
      <c r="F69" t="n">
        <v>6696.725</v>
      </c>
      <c r="G69" t="n">
        <v>169.458</v>
      </c>
      <c r="H69" t="inlineStr">
        <is>
          <t>bb</t>
        </is>
      </c>
    </row>
    <row r="70">
      <c r="A70" t="n">
        <v>3</v>
      </c>
      <c r="B70" t="inlineStr">
        <is>
          <t>EPA1633 &amp; diPAPs Calibration 0.1 ppb</t>
        </is>
      </c>
      <c r="D70" t="n">
        <v>1.63</v>
      </c>
      <c r="E70" t="n">
        <v>75.68300000000001</v>
      </c>
      <c r="F70" t="n">
        <v>7209.583</v>
      </c>
      <c r="G70" t="n">
        <v>40.199</v>
      </c>
      <c r="H70" t="inlineStr">
        <is>
          <t>bb</t>
        </is>
      </c>
    </row>
    <row r="71">
      <c r="A71" t="n">
        <v>4</v>
      </c>
      <c r="B71" t="inlineStr">
        <is>
          <t>EPA1633 &amp; diPAPs Calibration 0.4 ppb</t>
        </is>
      </c>
      <c r="D71" t="n">
        <v>1.69</v>
      </c>
      <c r="E71" t="n">
        <v>248.756</v>
      </c>
      <c r="F71" t="n">
        <v>7013.762</v>
      </c>
      <c r="G71" t="n">
        <v>67.477</v>
      </c>
      <c r="H71" t="inlineStr">
        <is>
          <t>bb</t>
        </is>
      </c>
    </row>
    <row r="72">
      <c r="A72" t="n">
        <v>5</v>
      </c>
      <c r="B72" t="inlineStr">
        <is>
          <t>EPA1633 &amp; diPAPs Calibration 1 ppb</t>
        </is>
      </c>
      <c r="D72" t="n">
        <v>1.67</v>
      </c>
      <c r="E72" t="n">
        <v>455.474</v>
      </c>
      <c r="F72" t="n">
        <v>8048.652</v>
      </c>
      <c r="G72" t="n">
        <v>30.235</v>
      </c>
      <c r="H72" t="inlineStr">
        <is>
          <t>bb</t>
        </is>
      </c>
    </row>
    <row r="73">
      <c r="A73" t="n">
        <v>6</v>
      </c>
      <c r="B73" t="inlineStr">
        <is>
          <t>EPA1633 &amp; diPAPs Calibration 5 ppb</t>
        </is>
      </c>
      <c r="D73" t="n">
        <v>1.62</v>
      </c>
      <c r="E73" t="n">
        <v>2167.931</v>
      </c>
      <c r="F73" t="n">
        <v>7211.955</v>
      </c>
      <c r="G73" t="n">
        <v>943.947</v>
      </c>
      <c r="H73" t="inlineStr">
        <is>
          <t>bb</t>
        </is>
      </c>
    </row>
    <row r="74">
      <c r="A74" t="n">
        <v>7</v>
      </c>
      <c r="B74" t="inlineStr">
        <is>
          <t>EPA1633 &amp; diPAPs Calibration 10 ppb</t>
        </is>
      </c>
      <c r="D74" t="n">
        <v>1.65</v>
      </c>
      <c r="E74" t="n">
        <v>4487.48</v>
      </c>
      <c r="F74" t="n">
        <v>5686.902</v>
      </c>
      <c r="G74" t="n">
        <v>12825.314</v>
      </c>
      <c r="H74" t="inlineStr">
        <is>
          <t>bb</t>
        </is>
      </c>
    </row>
    <row r="75">
      <c r="A75" t="n">
        <v>8</v>
      </c>
      <c r="B75" t="inlineStr">
        <is>
          <t>EPA1633 &amp; diPAPs Calibration 20 ppb</t>
        </is>
      </c>
      <c r="D75" t="n">
        <v>1.66</v>
      </c>
      <c r="E75" t="n">
        <v>9262.474</v>
      </c>
      <c r="F75" t="n">
        <v>6179.103</v>
      </c>
      <c r="G75" t="n">
        <v>9590.044</v>
      </c>
      <c r="H75" t="inlineStr">
        <is>
          <t>bb</t>
        </is>
      </c>
    </row>
    <row r="76">
      <c r="A76" t="n">
        <v>9</v>
      </c>
      <c r="B76" t="inlineStr">
        <is>
          <t>MeOH</t>
        </is>
      </c>
      <c r="D76" t="n">
        <v>1.62</v>
      </c>
      <c r="E76" t="n">
        <v>6.81</v>
      </c>
      <c r="G76" t="n">
        <v>37</v>
      </c>
      <c r="H76" t="inlineStr">
        <is>
          <t>bb</t>
        </is>
      </c>
    </row>
    <row r="77">
      <c r="A77" t="n">
        <v>10</v>
      </c>
      <c r="B77" t="inlineStr">
        <is>
          <t>MeOH</t>
        </is>
      </c>
      <c r="D77" t="n">
        <v>1.61</v>
      </c>
      <c r="E77" t="n">
        <v>5.359</v>
      </c>
      <c r="G77" t="n">
        <v>6.537</v>
      </c>
      <c r="H77" t="inlineStr">
        <is>
          <t>bb</t>
        </is>
      </c>
    </row>
    <row r="78">
      <c r="A78" t="n">
        <v>11</v>
      </c>
      <c r="B78" t="inlineStr">
        <is>
          <t>SB1</t>
        </is>
      </c>
      <c r="D78" t="n">
        <v>2.11</v>
      </c>
      <c r="E78" t="n">
        <v>14.951</v>
      </c>
      <c r="F78" t="n">
        <v>3649.542</v>
      </c>
      <c r="G78" t="n">
        <v>166</v>
      </c>
      <c r="H78" t="inlineStr">
        <is>
          <t>bb</t>
        </is>
      </c>
    </row>
    <row r="79">
      <c r="A79" t="n">
        <v>12</v>
      </c>
      <c r="B79" t="inlineStr">
        <is>
          <t>SB2</t>
        </is>
      </c>
      <c r="D79" t="n">
        <v>2.1</v>
      </c>
      <c r="E79" t="n">
        <v>0.498</v>
      </c>
      <c r="F79" t="n">
        <v>3370.738</v>
      </c>
      <c r="G79" t="n">
        <v>5</v>
      </c>
      <c r="H79" t="inlineStr">
        <is>
          <t>bb</t>
        </is>
      </c>
    </row>
    <row r="80">
      <c r="A80" t="n">
        <v>13</v>
      </c>
      <c r="B80" t="inlineStr">
        <is>
          <t>SB3</t>
        </is>
      </c>
      <c r="D80" t="n">
        <v>2.09</v>
      </c>
      <c r="E80" t="n">
        <v>1.418</v>
      </c>
      <c r="F80" t="n">
        <v>3095.617</v>
      </c>
      <c r="G80" t="n">
        <v>18</v>
      </c>
      <c r="H80" t="inlineStr">
        <is>
          <t>bb</t>
        </is>
      </c>
    </row>
    <row r="81">
      <c r="A81" t="n">
        <v>14</v>
      </c>
      <c r="B81" t="inlineStr">
        <is>
          <t>SS1</t>
        </is>
      </c>
      <c r="D81" t="n">
        <v>2.1</v>
      </c>
      <c r="E81" t="n">
        <v>2409.753</v>
      </c>
      <c r="F81" t="n">
        <v>3493.816</v>
      </c>
      <c r="G81" t="n">
        <v>4842.57</v>
      </c>
      <c r="H81" t="inlineStr">
        <is>
          <t>bb</t>
        </is>
      </c>
    </row>
    <row r="82">
      <c r="A82" t="n">
        <v>15</v>
      </c>
      <c r="B82" t="inlineStr">
        <is>
          <t>SS2</t>
        </is>
      </c>
      <c r="D82" t="n">
        <v>2.14</v>
      </c>
      <c r="E82" t="n">
        <v>2461.133</v>
      </c>
      <c r="F82" t="n">
        <v>3699.493</v>
      </c>
      <c r="G82" t="n">
        <v>1104.73</v>
      </c>
      <c r="H82" t="inlineStr">
        <is>
          <t>bb</t>
        </is>
      </c>
    </row>
    <row r="83">
      <c r="A83" t="n">
        <v>16</v>
      </c>
      <c r="B83" t="inlineStr">
        <is>
          <t>SS3</t>
        </is>
      </c>
      <c r="D83" t="n">
        <v>2.11</v>
      </c>
      <c r="E83" t="n">
        <v>2407.323</v>
      </c>
      <c r="F83" t="n">
        <v>3352.055</v>
      </c>
      <c r="G83" t="n">
        <v>3253.204</v>
      </c>
      <c r="H83" t="inlineStr">
        <is>
          <t>bb</t>
        </is>
      </c>
    </row>
    <row r="85">
      <c r="A85" t="inlineStr">
        <is>
          <t>Compound 5:  PFBA 1</t>
        </is>
      </c>
    </row>
    <row r="87">
      <c r="B87" t="inlineStr">
        <is>
          <t>Sample Text</t>
        </is>
      </c>
      <c r="C87" t="inlineStr">
        <is>
          <t>Std. Conc</t>
        </is>
      </c>
      <c r="D87" t="inlineStr">
        <is>
          <t>RT</t>
        </is>
      </c>
      <c r="E87" t="inlineStr">
        <is>
          <t>Area</t>
        </is>
      </c>
      <c r="F87" t="inlineStr">
        <is>
          <t>IS Area</t>
        </is>
      </c>
      <c r="G87" t="inlineStr">
        <is>
          <t>S/N</t>
        </is>
      </c>
      <c r="H87" t="inlineStr">
        <is>
          <t>Primary Flags</t>
        </is>
      </c>
      <c r="I87" t="inlineStr">
        <is>
          <t>Response</t>
        </is>
      </c>
      <c r="J87" t="inlineStr">
        <is>
          <t>Conc.</t>
        </is>
      </c>
    </row>
    <row r="88">
      <c r="A88" t="n">
        <v>1</v>
      </c>
      <c r="B88" t="inlineStr">
        <is>
          <t>EPA1633 &amp; diPAPs Calibration 0 ppb</t>
        </is>
      </c>
      <c r="D88" t="n">
        <v>2.66</v>
      </c>
      <c r="E88" t="n">
        <v>59.515</v>
      </c>
      <c r="F88" t="n">
        <v>7551.013</v>
      </c>
      <c r="G88" t="n">
        <v>2.528</v>
      </c>
      <c r="H88" t="inlineStr">
        <is>
          <t>MM</t>
        </is>
      </c>
    </row>
    <row r="89">
      <c r="A89" t="n">
        <v>2</v>
      </c>
      <c r="B89" t="inlineStr">
        <is>
          <t>EPA1633 &amp; diPAPs Calibration 0.02 ppb</t>
        </is>
      </c>
      <c r="D89" t="n">
        <v>2.71</v>
      </c>
      <c r="E89" t="n">
        <v>240.411</v>
      </c>
      <c r="F89" t="n">
        <v>6696.725</v>
      </c>
      <c r="G89" t="n">
        <v>5.837</v>
      </c>
      <c r="H89" t="inlineStr">
        <is>
          <t>bb</t>
        </is>
      </c>
    </row>
    <row r="90">
      <c r="A90" t="n">
        <v>3</v>
      </c>
      <c r="B90" t="inlineStr">
        <is>
          <t>EPA1633 &amp; diPAPs Calibration 0.1 ppb</t>
        </is>
      </c>
      <c r="D90" t="n">
        <v>2.75</v>
      </c>
      <c r="E90" t="n">
        <v>215.509</v>
      </c>
      <c r="F90" t="n">
        <v>7209.583</v>
      </c>
      <c r="G90" t="n">
        <v>9.124000000000001</v>
      </c>
      <c r="H90" t="inlineStr">
        <is>
          <t>MM</t>
        </is>
      </c>
    </row>
    <row r="91">
      <c r="A91" t="n">
        <v>4</v>
      </c>
      <c r="B91" t="inlineStr">
        <is>
          <t>EPA1633 &amp; diPAPs Calibration 0.4 ppb</t>
        </is>
      </c>
      <c r="D91" t="n">
        <v>2.75</v>
      </c>
      <c r="E91" t="n">
        <v>836.779</v>
      </c>
      <c r="F91" t="n">
        <v>7013.762</v>
      </c>
      <c r="G91" t="n">
        <v>49.684</v>
      </c>
      <c r="H91" t="inlineStr">
        <is>
          <t>MM</t>
        </is>
      </c>
    </row>
    <row r="92">
      <c r="A92" t="n">
        <v>5</v>
      </c>
      <c r="B92" t="inlineStr">
        <is>
          <t>EPA1633 &amp; diPAPs Calibration 1 ppb</t>
        </is>
      </c>
      <c r="D92" t="n">
        <v>2.77</v>
      </c>
      <c r="E92" t="n">
        <v>1249.757</v>
      </c>
      <c r="F92" t="n">
        <v>8048.652</v>
      </c>
      <c r="G92" t="n">
        <v>62.749</v>
      </c>
      <c r="H92" t="inlineStr">
        <is>
          <t>bb</t>
        </is>
      </c>
    </row>
    <row r="93">
      <c r="A93" t="n">
        <v>6</v>
      </c>
      <c r="B93" t="inlineStr">
        <is>
          <t>EPA1633 &amp; diPAPs Calibration 5 ppb</t>
        </is>
      </c>
      <c r="D93" t="n">
        <v>2.61</v>
      </c>
      <c r="E93" t="n">
        <v>6102.734</v>
      </c>
      <c r="F93" t="n">
        <v>7211.955</v>
      </c>
      <c r="G93" t="n">
        <v>261.334</v>
      </c>
      <c r="H93" t="inlineStr">
        <is>
          <t>bb</t>
        </is>
      </c>
    </row>
    <row r="94">
      <c r="A94" t="n">
        <v>7</v>
      </c>
      <c r="B94" t="inlineStr">
        <is>
          <t>EPA1633 &amp; diPAPs Calibration 10 ppb</t>
        </is>
      </c>
      <c r="D94" t="n">
        <v>2.66</v>
      </c>
      <c r="E94" t="n">
        <v>10650.508</v>
      </c>
      <c r="F94" t="n">
        <v>5686.902</v>
      </c>
      <c r="G94" t="n">
        <v>343.349</v>
      </c>
      <c r="H94" t="inlineStr">
        <is>
          <t>bb</t>
        </is>
      </c>
    </row>
    <row r="95">
      <c r="A95" t="n">
        <v>8</v>
      </c>
      <c r="B95" t="inlineStr">
        <is>
          <t>EPA1633 &amp; diPAPs Calibration 20 ppb</t>
        </is>
      </c>
      <c r="D95" t="n">
        <v>2.7</v>
      </c>
      <c r="E95" t="n">
        <v>21219.432</v>
      </c>
      <c r="F95" t="n">
        <v>6179.103</v>
      </c>
      <c r="G95" t="n">
        <v>922.684</v>
      </c>
      <c r="H95" t="inlineStr">
        <is>
          <t>bb</t>
        </is>
      </c>
    </row>
    <row r="96">
      <c r="A96" t="n">
        <v>9</v>
      </c>
      <c r="B96" t="inlineStr">
        <is>
          <t>MeOH</t>
        </is>
      </c>
      <c r="D96" t="n">
        <v>2.71</v>
      </c>
      <c r="E96" t="n">
        <v>794</v>
      </c>
      <c r="G96" t="n">
        <v>31.55</v>
      </c>
      <c r="H96" t="inlineStr">
        <is>
          <t>bb</t>
        </is>
      </c>
    </row>
    <row r="97">
      <c r="A97" t="n">
        <v>10</v>
      </c>
      <c r="B97" t="inlineStr">
        <is>
          <t>MeOH</t>
        </is>
      </c>
      <c r="D97" t="n">
        <v>2.73</v>
      </c>
      <c r="E97" t="n">
        <v>740.602</v>
      </c>
      <c r="G97" t="n">
        <v>44.405</v>
      </c>
      <c r="H97" t="inlineStr">
        <is>
          <t>bb</t>
        </is>
      </c>
    </row>
    <row r="98">
      <c r="A98" t="n">
        <v>11</v>
      </c>
      <c r="B98" t="inlineStr">
        <is>
          <t>SB1</t>
        </is>
      </c>
      <c r="D98" t="n">
        <v>2.96</v>
      </c>
      <c r="E98" t="n">
        <v>702.516</v>
      </c>
      <c r="F98" t="n">
        <v>3649.542</v>
      </c>
      <c r="G98" t="n">
        <v>37.956</v>
      </c>
      <c r="H98" t="inlineStr">
        <is>
          <t>bb</t>
        </is>
      </c>
    </row>
    <row r="99">
      <c r="A99" t="n">
        <v>12</v>
      </c>
      <c r="B99" t="inlineStr">
        <is>
          <t>SB2</t>
        </is>
      </c>
      <c r="D99" t="n">
        <v>2.94</v>
      </c>
      <c r="E99" t="n">
        <v>557.47</v>
      </c>
      <c r="F99" t="n">
        <v>3370.738</v>
      </c>
      <c r="G99" t="n">
        <v>33.711</v>
      </c>
      <c r="H99" t="inlineStr">
        <is>
          <t>MM</t>
        </is>
      </c>
    </row>
    <row r="100">
      <c r="A100" t="n">
        <v>13</v>
      </c>
      <c r="B100" t="inlineStr">
        <is>
          <t>SB3</t>
        </is>
      </c>
      <c r="D100" t="n">
        <v>2.95</v>
      </c>
      <c r="E100" t="n">
        <v>567.325</v>
      </c>
      <c r="F100" t="n">
        <v>3095.617</v>
      </c>
      <c r="G100" t="n">
        <v>28.39</v>
      </c>
      <c r="H100" t="inlineStr">
        <is>
          <t>bb</t>
        </is>
      </c>
    </row>
    <row r="101">
      <c r="A101" t="n">
        <v>14</v>
      </c>
      <c r="B101" t="inlineStr">
        <is>
          <t>SS1</t>
        </is>
      </c>
      <c r="D101" t="n">
        <v>2.99</v>
      </c>
      <c r="E101" t="n">
        <v>5369.209</v>
      </c>
      <c r="F101" t="n">
        <v>3493.816</v>
      </c>
      <c r="G101" t="n">
        <v>306.756</v>
      </c>
      <c r="H101" t="inlineStr">
        <is>
          <t>bb</t>
        </is>
      </c>
    </row>
    <row r="102">
      <c r="A102" t="n">
        <v>15</v>
      </c>
      <c r="B102" t="inlineStr">
        <is>
          <t>SS2</t>
        </is>
      </c>
      <c r="D102" t="n">
        <v>3.01</v>
      </c>
      <c r="E102" t="n">
        <v>5105.104</v>
      </c>
      <c r="F102" t="n">
        <v>3699.493</v>
      </c>
      <c r="G102" t="n">
        <v>234.23</v>
      </c>
      <c r="H102" t="inlineStr">
        <is>
          <t>bb</t>
        </is>
      </c>
    </row>
    <row r="103">
      <c r="A103" t="n">
        <v>16</v>
      </c>
      <c r="B103" t="inlineStr">
        <is>
          <t>SS3</t>
        </is>
      </c>
      <c r="D103" t="n">
        <v>3.01</v>
      </c>
      <c r="E103" t="n">
        <v>5486.927</v>
      </c>
      <c r="F103" t="n">
        <v>3352.055</v>
      </c>
      <c r="G103" t="n">
        <v>201.44</v>
      </c>
      <c r="H103" t="inlineStr">
        <is>
          <t>bb</t>
        </is>
      </c>
    </row>
    <row r="105">
      <c r="A105" t="inlineStr">
        <is>
          <t>Compound 6:  m4 PFBA 1</t>
        </is>
      </c>
    </row>
    <row r="107">
      <c r="B107" t="inlineStr">
        <is>
          <t>Sample Text</t>
        </is>
      </c>
      <c r="C107" t="inlineStr">
        <is>
          <t>Std. Conc</t>
        </is>
      </c>
      <c r="D107" t="inlineStr">
        <is>
          <t>RT</t>
        </is>
      </c>
      <c r="E107" t="inlineStr">
        <is>
          <t>Area</t>
        </is>
      </c>
      <c r="F107" t="inlineStr">
        <is>
          <t>IS Area</t>
        </is>
      </c>
      <c r="G107" t="inlineStr">
        <is>
          <t>S/N</t>
        </is>
      </c>
      <c r="H107" t="inlineStr">
        <is>
          <t>Primary Flags</t>
        </is>
      </c>
      <c r="I107" t="inlineStr">
        <is>
          <t>Response</t>
        </is>
      </c>
      <c r="J107" t="inlineStr">
        <is>
          <t>Conc.</t>
        </is>
      </c>
    </row>
    <row r="108">
      <c r="A108" t="n">
        <v>1</v>
      </c>
      <c r="B108" t="inlineStr">
        <is>
          <t>EPA1633 &amp; diPAPs Calibration 0 ppb</t>
        </is>
      </c>
      <c r="D108" t="n">
        <v>2.69</v>
      </c>
      <c r="E108" t="n">
        <v>7551.013</v>
      </c>
      <c r="G108" t="n">
        <v>6454.153</v>
      </c>
      <c r="H108" t="inlineStr">
        <is>
          <t>MM</t>
        </is>
      </c>
      <c r="I108" t="n">
        <v>7551.013</v>
      </c>
    </row>
    <row r="109">
      <c r="A109" t="n">
        <v>2</v>
      </c>
      <c r="B109" t="inlineStr">
        <is>
          <t>EPA1633 &amp; diPAPs Calibration 0.02 ppb</t>
        </is>
      </c>
      <c r="D109" t="n">
        <v>2.75</v>
      </c>
      <c r="E109" t="n">
        <v>6696.725</v>
      </c>
      <c r="G109" t="n">
        <v>4577.277</v>
      </c>
      <c r="H109" t="inlineStr">
        <is>
          <t>MM</t>
        </is>
      </c>
      <c r="I109" t="n">
        <v>6696.725</v>
      </c>
    </row>
    <row r="110">
      <c r="A110" t="n">
        <v>3</v>
      </c>
      <c r="B110" t="inlineStr">
        <is>
          <t>EPA1633 &amp; diPAPs Calibration 0.1 ppb</t>
        </is>
      </c>
      <c r="D110" t="n">
        <v>2.74</v>
      </c>
      <c r="E110" t="n">
        <v>7209.583</v>
      </c>
      <c r="G110" t="n">
        <v>5993.614</v>
      </c>
      <c r="H110" t="inlineStr">
        <is>
          <t>MM</t>
        </is>
      </c>
      <c r="I110" t="n">
        <v>7209.583</v>
      </c>
    </row>
    <row r="111">
      <c r="A111" t="n">
        <v>4</v>
      </c>
      <c r="B111" t="inlineStr">
        <is>
          <t>EPA1633 &amp; diPAPs Calibration 0.4 ppb</t>
        </is>
      </c>
      <c r="D111" t="n">
        <v>2.75</v>
      </c>
      <c r="E111" t="n">
        <v>7013.762</v>
      </c>
      <c r="G111" t="n">
        <v>342.826</v>
      </c>
      <c r="H111" t="inlineStr">
        <is>
          <t>MM</t>
        </is>
      </c>
      <c r="I111" t="n">
        <v>7013.762</v>
      </c>
    </row>
    <row r="112">
      <c r="A112" t="n">
        <v>5</v>
      </c>
      <c r="B112" t="inlineStr">
        <is>
          <t>EPA1633 &amp; diPAPs Calibration 1 ppb</t>
        </is>
      </c>
      <c r="D112" t="n">
        <v>2.76</v>
      </c>
      <c r="E112" t="n">
        <v>8048.652</v>
      </c>
      <c r="G112" t="n">
        <v>4974.537</v>
      </c>
      <c r="H112" t="inlineStr">
        <is>
          <t>MM</t>
        </is>
      </c>
      <c r="I112" t="n">
        <v>8048.652</v>
      </c>
    </row>
    <row r="113">
      <c r="A113" t="n">
        <v>6</v>
      </c>
      <c r="B113" t="inlineStr">
        <is>
          <t>EPA1633 &amp; diPAPs Calibration 5 ppb</t>
        </is>
      </c>
      <c r="D113" t="n">
        <v>2.62</v>
      </c>
      <c r="E113" t="n">
        <v>7211.955</v>
      </c>
      <c r="G113" t="n">
        <v>3210.541</v>
      </c>
      <c r="H113" t="inlineStr">
        <is>
          <t>MM</t>
        </is>
      </c>
      <c r="I113" t="n">
        <v>7211.955</v>
      </c>
    </row>
    <row r="114">
      <c r="A114" t="n">
        <v>7</v>
      </c>
      <c r="B114" t="inlineStr">
        <is>
          <t>EPA1633 &amp; diPAPs Calibration 10 ppb</t>
        </is>
      </c>
      <c r="D114" t="n">
        <v>2.66</v>
      </c>
      <c r="E114" t="n">
        <v>5686.902</v>
      </c>
      <c r="G114" t="n">
        <v>472.826</v>
      </c>
      <c r="H114" t="inlineStr">
        <is>
          <t>MM</t>
        </is>
      </c>
      <c r="I114" t="n">
        <v>5686.902</v>
      </c>
    </row>
    <row r="115">
      <c r="A115" t="n">
        <v>8</v>
      </c>
      <c r="B115" t="inlineStr">
        <is>
          <t>EPA1633 &amp; diPAPs Calibration 20 ppb</t>
        </is>
      </c>
      <c r="D115" t="n">
        <v>2.7</v>
      </c>
      <c r="E115" t="n">
        <v>6179.103</v>
      </c>
      <c r="G115" t="n">
        <v>1188.897</v>
      </c>
      <c r="H115" t="inlineStr">
        <is>
          <t>MM</t>
        </is>
      </c>
      <c r="I115" t="n">
        <v>6179.103</v>
      </c>
    </row>
    <row r="116">
      <c r="A116" t="n">
        <v>9</v>
      </c>
      <c r="B116" t="inlineStr">
        <is>
          <t>MeOH</t>
        </is>
      </c>
    </row>
    <row r="117">
      <c r="A117" t="n">
        <v>10</v>
      </c>
      <c r="B117" t="inlineStr">
        <is>
          <t>MeOH</t>
        </is>
      </c>
    </row>
    <row r="118">
      <c r="A118" t="n">
        <v>11</v>
      </c>
      <c r="B118" t="inlineStr">
        <is>
          <t>SB1</t>
        </is>
      </c>
      <c r="D118" t="n">
        <v>2.95</v>
      </c>
      <c r="E118" t="n">
        <v>3649.542</v>
      </c>
      <c r="G118" t="n">
        <v>805.299</v>
      </c>
      <c r="H118" t="inlineStr">
        <is>
          <t>MM</t>
        </is>
      </c>
      <c r="I118" t="n">
        <v>3649.542</v>
      </c>
    </row>
    <row r="119">
      <c r="A119" t="n">
        <v>12</v>
      </c>
      <c r="B119" t="inlineStr">
        <is>
          <t>SB2</t>
        </is>
      </c>
      <c r="D119" t="n">
        <v>2.93</v>
      </c>
      <c r="E119" t="n">
        <v>3370.738</v>
      </c>
      <c r="G119" t="n">
        <v>219.168</v>
      </c>
      <c r="H119" t="inlineStr">
        <is>
          <t>MM</t>
        </is>
      </c>
      <c r="I119" t="n">
        <v>3370.738</v>
      </c>
    </row>
    <row r="120">
      <c r="A120" t="n">
        <v>13</v>
      </c>
      <c r="B120" t="inlineStr">
        <is>
          <t>SB3</t>
        </is>
      </c>
      <c r="D120" t="n">
        <v>2.95</v>
      </c>
      <c r="E120" t="n">
        <v>3095.617</v>
      </c>
      <c r="G120" t="n">
        <v>711.597</v>
      </c>
      <c r="H120" t="inlineStr">
        <is>
          <t>MM</t>
        </is>
      </c>
      <c r="I120" t="n">
        <v>3095.617</v>
      </c>
    </row>
    <row r="121">
      <c r="A121" t="n">
        <v>14</v>
      </c>
      <c r="B121" t="inlineStr">
        <is>
          <t>SS1</t>
        </is>
      </c>
      <c r="D121" t="n">
        <v>2.99</v>
      </c>
      <c r="E121" t="n">
        <v>3493.816</v>
      </c>
      <c r="G121" t="n">
        <v>6684.149</v>
      </c>
      <c r="H121" t="inlineStr">
        <is>
          <t>MM</t>
        </is>
      </c>
      <c r="I121" t="n">
        <v>3493.816</v>
      </c>
    </row>
    <row r="122">
      <c r="A122" t="n">
        <v>15</v>
      </c>
      <c r="B122" t="inlineStr">
        <is>
          <t>SS2</t>
        </is>
      </c>
      <c r="D122" t="n">
        <v>3.01</v>
      </c>
      <c r="E122" t="n">
        <v>3699.493</v>
      </c>
      <c r="G122" t="n">
        <v>1192.322</v>
      </c>
      <c r="H122" t="inlineStr">
        <is>
          <t>MM</t>
        </is>
      </c>
      <c r="I122" t="n">
        <v>3699.493</v>
      </c>
    </row>
    <row r="123">
      <c r="A123" t="n">
        <v>16</v>
      </c>
      <c r="B123" t="inlineStr">
        <is>
          <t>SS3</t>
        </is>
      </c>
      <c r="D123" t="n">
        <v>3</v>
      </c>
      <c r="E123" t="n">
        <v>3352.055</v>
      </c>
      <c r="G123" t="n">
        <v>402.704</v>
      </c>
      <c r="H123" t="inlineStr">
        <is>
          <t>MM</t>
        </is>
      </c>
      <c r="I123" t="n">
        <v>3352.055</v>
      </c>
    </row>
    <row r="125">
      <c r="A125" t="inlineStr">
        <is>
          <t>Compound 7:  PFO4PeA 1</t>
        </is>
      </c>
    </row>
    <row r="127">
      <c r="B127" t="inlineStr">
        <is>
          <t>Sample Text</t>
        </is>
      </c>
      <c r="C127" t="inlineStr">
        <is>
          <t>Std. Conc</t>
        </is>
      </c>
      <c r="D127" t="inlineStr">
        <is>
          <t>RT</t>
        </is>
      </c>
      <c r="E127" t="inlineStr">
        <is>
          <t>Area</t>
        </is>
      </c>
      <c r="F127" t="inlineStr">
        <is>
          <t>IS Area</t>
        </is>
      </c>
      <c r="G127" t="inlineStr">
        <is>
          <t>S/N</t>
        </is>
      </c>
      <c r="H127" t="inlineStr">
        <is>
          <t>Primary Flags</t>
        </is>
      </c>
      <c r="I127" t="inlineStr">
        <is>
          <t>Response</t>
        </is>
      </c>
      <c r="J127" t="inlineStr">
        <is>
          <t>Conc.</t>
        </is>
      </c>
    </row>
    <row r="128">
      <c r="A128" t="n">
        <v>1</v>
      </c>
      <c r="B128" t="inlineStr">
        <is>
          <t>EPA1633 &amp; diPAPs Calibration 0 ppb</t>
        </is>
      </c>
      <c r="D128" t="n">
        <v>4.36</v>
      </c>
      <c r="E128" t="n">
        <v>3.865</v>
      </c>
      <c r="F128" t="n">
        <v>2771.78</v>
      </c>
      <c r="G128" t="n">
        <v>10.58</v>
      </c>
      <c r="H128" t="inlineStr">
        <is>
          <t>bb</t>
        </is>
      </c>
    </row>
    <row r="129">
      <c r="A129" t="n">
        <v>2</v>
      </c>
      <c r="B129" t="inlineStr">
        <is>
          <t>EPA1633 &amp; diPAPs Calibration 0.02 ppb</t>
        </is>
      </c>
      <c r="D129" t="n">
        <v>3.95</v>
      </c>
      <c r="E129" t="n">
        <v>33.153</v>
      </c>
      <c r="F129" t="n">
        <v>2613.678</v>
      </c>
      <c r="G129" t="n">
        <v>21.584</v>
      </c>
      <c r="H129" t="inlineStr">
        <is>
          <t>MM</t>
        </is>
      </c>
    </row>
    <row r="130">
      <c r="A130" t="n">
        <v>3</v>
      </c>
      <c r="B130" t="inlineStr">
        <is>
          <t>EPA1633 &amp; diPAPs Calibration 0.1 ppb</t>
        </is>
      </c>
      <c r="D130" t="n">
        <v>3.96</v>
      </c>
      <c r="E130" t="n">
        <v>27.823</v>
      </c>
      <c r="F130" t="n">
        <v>2704.411</v>
      </c>
      <c r="G130" t="n">
        <v>25.219</v>
      </c>
      <c r="H130" t="inlineStr">
        <is>
          <t>bb</t>
        </is>
      </c>
    </row>
    <row r="131">
      <c r="A131" t="n">
        <v>4</v>
      </c>
      <c r="B131" t="inlineStr">
        <is>
          <t>EPA1633 &amp; diPAPs Calibration 0.4 ppb</t>
        </is>
      </c>
      <c r="D131" t="n">
        <v>4.01</v>
      </c>
      <c r="E131" t="n">
        <v>102.274</v>
      </c>
      <c r="F131" t="n">
        <v>2633.712</v>
      </c>
      <c r="G131" t="n">
        <v>15.011</v>
      </c>
      <c r="H131" t="inlineStr">
        <is>
          <t>bb</t>
        </is>
      </c>
    </row>
    <row r="132">
      <c r="A132" t="n">
        <v>5</v>
      </c>
      <c r="B132" t="inlineStr">
        <is>
          <t>EPA1633 &amp; diPAPs Calibration 1 ppb</t>
        </is>
      </c>
      <c r="D132" t="n">
        <v>4.01</v>
      </c>
      <c r="E132" t="n">
        <v>181.639</v>
      </c>
      <c r="F132" t="n">
        <v>2798.003</v>
      </c>
      <c r="G132" t="n">
        <v>51.583</v>
      </c>
      <c r="H132" t="inlineStr">
        <is>
          <t>bb</t>
        </is>
      </c>
    </row>
    <row r="133">
      <c r="A133" t="n">
        <v>6</v>
      </c>
      <c r="B133" t="inlineStr">
        <is>
          <t>EPA1633 &amp; diPAPs Calibration 5 ppb</t>
        </is>
      </c>
      <c r="D133" t="n">
        <v>3.76</v>
      </c>
      <c r="E133" t="n">
        <v>1061.191</v>
      </c>
      <c r="F133" t="n">
        <v>2309.18</v>
      </c>
      <c r="G133" t="n">
        <v>199.208</v>
      </c>
      <c r="H133" t="inlineStr">
        <is>
          <t>bb</t>
        </is>
      </c>
    </row>
    <row r="134">
      <c r="A134" t="n">
        <v>7</v>
      </c>
      <c r="B134" t="inlineStr">
        <is>
          <t>EPA1633 &amp; diPAPs Calibration 10 ppb</t>
        </is>
      </c>
      <c r="D134" t="n">
        <v>3.84</v>
      </c>
      <c r="E134" t="n">
        <v>2006.837</v>
      </c>
      <c r="F134" t="n">
        <v>2072.812</v>
      </c>
      <c r="G134" t="n">
        <v>1276.376</v>
      </c>
      <c r="H134" t="inlineStr">
        <is>
          <t>bb</t>
        </is>
      </c>
    </row>
    <row r="135">
      <c r="A135" t="n">
        <v>8</v>
      </c>
      <c r="B135" t="inlineStr">
        <is>
          <t>EPA1633 &amp; diPAPs Calibration 20 ppb</t>
        </is>
      </c>
      <c r="D135" t="n">
        <v>3.92</v>
      </c>
      <c r="E135" t="n">
        <v>4301.419</v>
      </c>
      <c r="F135" t="n">
        <v>1703.301</v>
      </c>
      <c r="G135" t="n">
        <v>188.247</v>
      </c>
      <c r="H135" t="inlineStr">
        <is>
          <t>bb</t>
        </is>
      </c>
    </row>
    <row r="136">
      <c r="A136" t="n">
        <v>9</v>
      </c>
      <c r="B136" t="inlineStr">
        <is>
          <t>MeOH</t>
        </is>
      </c>
      <c r="D136" t="n">
        <v>3.73</v>
      </c>
      <c r="E136" t="n">
        <v>4.982</v>
      </c>
      <c r="G136" t="n">
        <v>2.584</v>
      </c>
      <c r="H136" t="inlineStr">
        <is>
          <t>bb</t>
        </is>
      </c>
    </row>
    <row r="137">
      <c r="A137" t="n">
        <v>10</v>
      </c>
      <c r="B137" t="inlineStr">
        <is>
          <t>MeOH</t>
        </is>
      </c>
      <c r="D137" t="n">
        <v>4.01</v>
      </c>
      <c r="E137" t="n">
        <v>11.974</v>
      </c>
      <c r="G137" t="n">
        <v>4.98</v>
      </c>
      <c r="H137" t="inlineStr">
        <is>
          <t>bb</t>
        </is>
      </c>
    </row>
    <row r="138">
      <c r="A138" t="n">
        <v>11</v>
      </c>
      <c r="B138" t="inlineStr">
        <is>
          <t>SB1</t>
        </is>
      </c>
      <c r="D138" t="n">
        <v>4.13</v>
      </c>
      <c r="E138" t="n">
        <v>13.966</v>
      </c>
      <c r="F138" t="n">
        <v>802.6180000000001</v>
      </c>
      <c r="G138" t="n">
        <v>5.298</v>
      </c>
      <c r="H138" t="inlineStr">
        <is>
          <t>bb</t>
        </is>
      </c>
    </row>
    <row r="139">
      <c r="A139" t="n">
        <v>12</v>
      </c>
      <c r="B139" t="inlineStr">
        <is>
          <t>SB2</t>
        </is>
      </c>
      <c r="D139" t="n">
        <v>4.09</v>
      </c>
      <c r="E139" t="n">
        <v>16.259</v>
      </c>
      <c r="F139" t="n">
        <v>1039.268</v>
      </c>
      <c r="G139" t="n">
        <v>5.317</v>
      </c>
      <c r="H139" t="inlineStr">
        <is>
          <t>bb</t>
        </is>
      </c>
    </row>
    <row r="140">
      <c r="A140" t="n">
        <v>13</v>
      </c>
      <c r="B140" t="inlineStr">
        <is>
          <t>SB3</t>
        </is>
      </c>
      <c r="D140" t="n">
        <v>4.16</v>
      </c>
      <c r="E140" t="n">
        <v>11.507</v>
      </c>
      <c r="F140" t="n">
        <v>1005.736</v>
      </c>
      <c r="G140" t="n">
        <v>4.611</v>
      </c>
      <c r="H140" t="inlineStr">
        <is>
          <t>bb</t>
        </is>
      </c>
    </row>
    <row r="141">
      <c r="A141" t="n">
        <v>14</v>
      </c>
      <c r="B141" t="inlineStr">
        <is>
          <t>SS1</t>
        </is>
      </c>
      <c r="D141" t="n">
        <v>4.2</v>
      </c>
      <c r="E141" t="n">
        <v>735.501</v>
      </c>
      <c r="F141" t="n">
        <v>860.02</v>
      </c>
      <c r="G141" t="n">
        <v>148.767</v>
      </c>
      <c r="H141" t="inlineStr">
        <is>
          <t>bb</t>
        </is>
      </c>
    </row>
    <row r="142">
      <c r="A142" t="n">
        <v>15</v>
      </c>
      <c r="B142" t="inlineStr">
        <is>
          <t>SS2</t>
        </is>
      </c>
      <c r="D142" t="n">
        <v>4.23</v>
      </c>
      <c r="E142" t="n">
        <v>849.178</v>
      </c>
      <c r="F142" t="n">
        <v>1205.224</v>
      </c>
      <c r="G142" t="n">
        <v>308.315</v>
      </c>
      <c r="H142" t="inlineStr">
        <is>
          <t>bb</t>
        </is>
      </c>
    </row>
    <row r="143">
      <c r="A143" t="n">
        <v>16</v>
      </c>
      <c r="B143" t="inlineStr">
        <is>
          <t>SS3</t>
        </is>
      </c>
      <c r="D143" t="n">
        <v>4.23</v>
      </c>
      <c r="E143" t="n">
        <v>818.896</v>
      </c>
      <c r="F143" t="n">
        <v>953.783</v>
      </c>
      <c r="G143" t="n">
        <v>120.537</v>
      </c>
      <c r="H143" t="inlineStr">
        <is>
          <t>bd</t>
        </is>
      </c>
    </row>
    <row r="145">
      <c r="A145" t="inlineStr">
        <is>
          <t>Compound 8:  3:3 FTCA</t>
        </is>
      </c>
    </row>
    <row r="147">
      <c r="B147" t="inlineStr">
        <is>
          <t>Sample Text</t>
        </is>
      </c>
      <c r="C147" t="inlineStr">
        <is>
          <t>Std. Conc</t>
        </is>
      </c>
      <c r="D147" t="inlineStr">
        <is>
          <t>RT</t>
        </is>
      </c>
      <c r="E147" t="inlineStr">
        <is>
          <t>Area</t>
        </is>
      </c>
      <c r="F147" t="inlineStr">
        <is>
          <t>IS Area</t>
        </is>
      </c>
      <c r="G147" t="inlineStr">
        <is>
          <t>S/N</t>
        </is>
      </c>
      <c r="H147" t="inlineStr">
        <is>
          <t>Primary Flags</t>
        </is>
      </c>
      <c r="I147" t="inlineStr">
        <is>
          <t>Response</t>
        </is>
      </c>
      <c r="J147" t="inlineStr">
        <is>
          <t>Conc.</t>
        </is>
      </c>
    </row>
    <row r="148">
      <c r="A148" t="n">
        <v>1</v>
      </c>
      <c r="B148" t="inlineStr">
        <is>
          <t>EPA1633 &amp; diPAPs Calibration 0 ppb</t>
        </is>
      </c>
      <c r="D148" t="n">
        <v>6.04</v>
      </c>
      <c r="E148" t="n">
        <v>0.124</v>
      </c>
      <c r="F148" t="n">
        <v>2771.78</v>
      </c>
      <c r="G148" t="n">
        <v>2</v>
      </c>
      <c r="H148" t="inlineStr">
        <is>
          <t>bb</t>
        </is>
      </c>
    </row>
    <row r="149">
      <c r="A149" t="n">
        <v>2</v>
      </c>
      <c r="B149" t="inlineStr">
        <is>
          <t>EPA1633 &amp; diPAPs Calibration 0.02 ppb</t>
        </is>
      </c>
      <c r="F149" t="n">
        <v>2613.678</v>
      </c>
    </row>
    <row r="150">
      <c r="A150" t="n">
        <v>3</v>
      </c>
      <c r="B150" t="inlineStr">
        <is>
          <t>EPA1633 &amp; diPAPs Calibration 0.1 ppb</t>
        </is>
      </c>
      <c r="D150" t="n">
        <v>6.31</v>
      </c>
      <c r="E150" t="n">
        <v>0.076</v>
      </c>
      <c r="F150" t="n">
        <v>2704.411</v>
      </c>
      <c r="G150" t="n">
        <v>1</v>
      </c>
      <c r="H150" t="inlineStr">
        <is>
          <t>bb</t>
        </is>
      </c>
    </row>
    <row r="151">
      <c r="A151" t="n">
        <v>4</v>
      </c>
      <c r="B151" t="inlineStr">
        <is>
          <t>EPA1633 &amp; diPAPs Calibration 0.4 ppb</t>
        </is>
      </c>
      <c r="D151" t="n">
        <v>6</v>
      </c>
      <c r="E151" t="n">
        <v>0.716</v>
      </c>
      <c r="F151" t="n">
        <v>2633.712</v>
      </c>
      <c r="G151" t="n">
        <v>15</v>
      </c>
      <c r="H151" t="inlineStr">
        <is>
          <t>bb</t>
        </is>
      </c>
    </row>
    <row r="152">
      <c r="A152" t="n">
        <v>5</v>
      </c>
      <c r="B152" t="inlineStr">
        <is>
          <t>EPA1633 &amp; diPAPs Calibration 1 ppb</t>
        </is>
      </c>
      <c r="D152" t="n">
        <v>6.06</v>
      </c>
      <c r="E152" t="n">
        <v>22.29</v>
      </c>
      <c r="F152" t="n">
        <v>2798.003</v>
      </c>
      <c r="G152" t="n">
        <v>291</v>
      </c>
      <c r="H152" t="inlineStr">
        <is>
          <t>bb</t>
        </is>
      </c>
    </row>
    <row r="153">
      <c r="A153" t="n">
        <v>6</v>
      </c>
      <c r="B153" t="inlineStr">
        <is>
          <t>EPA1633 &amp; diPAPs Calibration 5 ppb</t>
        </is>
      </c>
      <c r="D153" t="n">
        <v>5.76</v>
      </c>
      <c r="E153" t="n">
        <v>84.727</v>
      </c>
      <c r="F153" t="n">
        <v>2309.18</v>
      </c>
      <c r="G153" t="n">
        <v>373.717</v>
      </c>
      <c r="H153" t="inlineStr">
        <is>
          <t>bb</t>
        </is>
      </c>
    </row>
    <row r="154">
      <c r="A154" t="n">
        <v>7</v>
      </c>
      <c r="B154" t="inlineStr">
        <is>
          <t>EPA1633 &amp; diPAPs Calibration 10 ppb</t>
        </is>
      </c>
      <c r="D154" t="n">
        <v>5.89</v>
      </c>
      <c r="E154" t="n">
        <v>220.415</v>
      </c>
      <c r="F154" t="n">
        <v>2072.812</v>
      </c>
      <c r="G154" t="n">
        <v>21.214</v>
      </c>
      <c r="H154" t="inlineStr">
        <is>
          <t>bb</t>
        </is>
      </c>
    </row>
    <row r="155">
      <c r="A155" t="n">
        <v>8</v>
      </c>
      <c r="B155" t="inlineStr">
        <is>
          <t>EPA1633 &amp; diPAPs Calibration 20 ppb</t>
        </is>
      </c>
      <c r="D155" t="n">
        <v>5.94</v>
      </c>
      <c r="E155" t="n">
        <v>388.642</v>
      </c>
      <c r="F155" t="n">
        <v>1703.301</v>
      </c>
      <c r="G155" t="n">
        <v>71.27800000000001</v>
      </c>
      <c r="H155" t="inlineStr">
        <is>
          <t>bb</t>
        </is>
      </c>
    </row>
    <row r="156">
      <c r="A156" t="n">
        <v>9</v>
      </c>
      <c r="B156" t="inlineStr">
        <is>
          <t>MeOH</t>
        </is>
      </c>
      <c r="D156" t="n">
        <v>5.94</v>
      </c>
      <c r="E156" t="n">
        <v>0.503</v>
      </c>
      <c r="G156" t="n">
        <v>11</v>
      </c>
      <c r="H156" t="inlineStr">
        <is>
          <t>bb</t>
        </is>
      </c>
    </row>
    <row r="157">
      <c r="A157" t="n">
        <v>10</v>
      </c>
      <c r="B157" t="inlineStr">
        <is>
          <t>MeOH</t>
        </is>
      </c>
    </row>
    <row r="158">
      <c r="A158" t="n">
        <v>11</v>
      </c>
      <c r="B158" t="inlineStr">
        <is>
          <t>SB1</t>
        </is>
      </c>
      <c r="D158" t="n">
        <v>5.56</v>
      </c>
      <c r="E158" t="n">
        <v>0.667</v>
      </c>
      <c r="F158" t="n">
        <v>802.6180000000001</v>
      </c>
      <c r="G158" t="n">
        <v>5.282</v>
      </c>
      <c r="H158" t="inlineStr">
        <is>
          <t>bb</t>
        </is>
      </c>
    </row>
    <row r="159">
      <c r="A159" t="n">
        <v>12</v>
      </c>
      <c r="B159" t="inlineStr">
        <is>
          <t>SB2</t>
        </is>
      </c>
      <c r="D159" t="n">
        <v>6.58</v>
      </c>
      <c r="E159" t="n">
        <v>0.079</v>
      </c>
      <c r="F159" t="n">
        <v>1039.268</v>
      </c>
      <c r="G159" t="n">
        <v>2</v>
      </c>
      <c r="H159" t="inlineStr">
        <is>
          <t>MM</t>
        </is>
      </c>
    </row>
    <row r="160">
      <c r="A160" t="n">
        <v>13</v>
      </c>
      <c r="B160" t="inlineStr">
        <is>
          <t>SB3</t>
        </is>
      </c>
      <c r="F160" t="n">
        <v>1005.736</v>
      </c>
    </row>
    <row r="161">
      <c r="A161" t="n">
        <v>14</v>
      </c>
      <c r="B161" t="inlineStr">
        <is>
          <t>SS1</t>
        </is>
      </c>
      <c r="D161" t="n">
        <v>6.14</v>
      </c>
      <c r="E161" t="n">
        <v>47.783</v>
      </c>
      <c r="F161" t="n">
        <v>860.02</v>
      </c>
      <c r="G161" t="n">
        <v>115.462</v>
      </c>
      <c r="H161" t="inlineStr">
        <is>
          <t>bb</t>
        </is>
      </c>
    </row>
    <row r="162">
      <c r="A162" t="n">
        <v>15</v>
      </c>
      <c r="B162" t="inlineStr">
        <is>
          <t>SS2</t>
        </is>
      </c>
      <c r="D162" t="n">
        <v>6.18</v>
      </c>
      <c r="E162" t="n">
        <v>56.657</v>
      </c>
      <c r="F162" t="n">
        <v>1205.224</v>
      </c>
      <c r="G162" t="n">
        <v>770</v>
      </c>
      <c r="H162" t="inlineStr">
        <is>
          <t>bb</t>
        </is>
      </c>
    </row>
    <row r="163">
      <c r="A163" t="n">
        <v>16</v>
      </c>
      <c r="B163" t="inlineStr">
        <is>
          <t>SS3</t>
        </is>
      </c>
      <c r="D163" t="n">
        <v>6.18</v>
      </c>
      <c r="E163" t="n">
        <v>75.238</v>
      </c>
      <c r="F163" t="n">
        <v>953.783</v>
      </c>
      <c r="G163" t="n">
        <v>57.892</v>
      </c>
      <c r="H163" t="inlineStr">
        <is>
          <t>bb</t>
        </is>
      </c>
    </row>
    <row r="165">
      <c r="A165" t="inlineStr">
        <is>
          <t>Compound 9:  PFPeA 1</t>
        </is>
      </c>
    </row>
    <row r="167">
      <c r="B167" t="inlineStr">
        <is>
          <t>Sample Text</t>
        </is>
      </c>
      <c r="C167" t="inlineStr">
        <is>
          <t>Std. Conc</t>
        </is>
      </c>
      <c r="D167" t="inlineStr">
        <is>
          <t>RT</t>
        </is>
      </c>
      <c r="E167" t="inlineStr">
        <is>
          <t>Area</t>
        </is>
      </c>
      <c r="F167" t="inlineStr">
        <is>
          <t>IS Area</t>
        </is>
      </c>
      <c r="G167" t="inlineStr">
        <is>
          <t>S/N</t>
        </is>
      </c>
      <c r="H167" t="inlineStr">
        <is>
          <t>Primary Flags</t>
        </is>
      </c>
      <c r="I167" t="inlineStr">
        <is>
          <t>Response</t>
        </is>
      </c>
      <c r="J167" t="inlineStr">
        <is>
          <t>Conc.</t>
        </is>
      </c>
    </row>
    <row r="168">
      <c r="A168" t="n">
        <v>1</v>
      </c>
      <c r="B168" t="inlineStr">
        <is>
          <t>EPA1633 &amp; diPAPs Calibration 0 ppb</t>
        </is>
      </c>
      <c r="D168" t="n">
        <v>5.95</v>
      </c>
      <c r="E168" t="n">
        <v>6.667</v>
      </c>
      <c r="F168" t="n">
        <v>1566.984</v>
      </c>
      <c r="G168" t="n">
        <v>1.51</v>
      </c>
      <c r="H168" t="inlineStr">
        <is>
          <t>bb</t>
        </is>
      </c>
    </row>
    <row r="169">
      <c r="A169" t="n">
        <v>2</v>
      </c>
      <c r="B169" t="inlineStr">
        <is>
          <t>EPA1633 &amp; diPAPs Calibration 0.02 ppb</t>
        </is>
      </c>
      <c r="D169" t="n">
        <v>6.33</v>
      </c>
      <c r="E169" t="n">
        <v>24.435</v>
      </c>
      <c r="F169" t="n">
        <v>1104.988</v>
      </c>
      <c r="G169" t="n">
        <v>1.144</v>
      </c>
      <c r="H169" t="inlineStr">
        <is>
          <t>bb</t>
        </is>
      </c>
    </row>
    <row r="170">
      <c r="A170" t="n">
        <v>3</v>
      </c>
      <c r="B170" t="inlineStr">
        <is>
          <t>EPA1633 &amp; diPAPs Calibration 0.1 ppb</t>
        </is>
      </c>
      <c r="D170" t="n">
        <v>6.33</v>
      </c>
      <c r="E170" t="n">
        <v>36.144</v>
      </c>
      <c r="F170" t="n">
        <v>1061.587</v>
      </c>
      <c r="G170" t="n">
        <v>2.202</v>
      </c>
      <c r="H170" t="inlineStr">
        <is>
          <t>MM</t>
        </is>
      </c>
    </row>
    <row r="171">
      <c r="A171" t="n">
        <v>4</v>
      </c>
      <c r="B171" t="inlineStr">
        <is>
          <t>EPA1633 &amp; diPAPs Calibration 0.4 ppb</t>
        </is>
      </c>
      <c r="D171" t="n">
        <v>6.37</v>
      </c>
      <c r="E171" t="n">
        <v>56.886</v>
      </c>
      <c r="F171" t="n">
        <v>1027.635</v>
      </c>
      <c r="G171" t="n">
        <v>5.843</v>
      </c>
      <c r="H171" t="inlineStr">
        <is>
          <t>bb</t>
        </is>
      </c>
    </row>
    <row r="172">
      <c r="A172" t="n">
        <v>5</v>
      </c>
      <c r="B172" t="inlineStr">
        <is>
          <t>EPA1633 &amp; diPAPs Calibration 1 ppb</t>
        </is>
      </c>
      <c r="D172" t="n">
        <v>6.4</v>
      </c>
      <c r="E172" t="n">
        <v>148.482</v>
      </c>
      <c r="F172" t="n">
        <v>1290.294</v>
      </c>
      <c r="G172" t="n">
        <v>8.295</v>
      </c>
      <c r="H172" t="inlineStr">
        <is>
          <t>bb</t>
        </is>
      </c>
    </row>
    <row r="173">
      <c r="A173" t="n">
        <v>6</v>
      </c>
      <c r="B173" t="inlineStr">
        <is>
          <t>EPA1633 &amp; diPAPs Calibration 5 ppb</t>
        </is>
      </c>
      <c r="D173" t="n">
        <v>6.16</v>
      </c>
      <c r="E173" t="n">
        <v>693.9</v>
      </c>
      <c r="F173" t="n">
        <v>1018.312</v>
      </c>
      <c r="G173" t="n">
        <v>41.605</v>
      </c>
      <c r="H173" t="inlineStr">
        <is>
          <t>bb</t>
        </is>
      </c>
    </row>
    <row r="174">
      <c r="A174" t="n">
        <v>7</v>
      </c>
      <c r="B174" t="inlineStr">
        <is>
          <t>EPA1633 &amp; diPAPs Calibration 10 ppb</t>
        </is>
      </c>
      <c r="D174" t="n">
        <v>6.22</v>
      </c>
      <c r="E174" t="n">
        <v>1254.871</v>
      </c>
      <c r="F174" t="n">
        <v>949.73</v>
      </c>
      <c r="G174" t="n">
        <v>85.598</v>
      </c>
      <c r="H174" t="inlineStr">
        <is>
          <t>bb</t>
        </is>
      </c>
    </row>
    <row r="175">
      <c r="A175" t="n">
        <v>8</v>
      </c>
      <c r="B175" t="inlineStr">
        <is>
          <t>EPA1633 &amp; diPAPs Calibration 20 ppb</t>
        </is>
      </c>
      <c r="D175" t="n">
        <v>6.3</v>
      </c>
      <c r="E175" t="n">
        <v>2555.679</v>
      </c>
      <c r="F175" t="n">
        <v>930.2619999999999</v>
      </c>
      <c r="G175" t="n">
        <v>153.788</v>
      </c>
      <c r="H175" t="inlineStr">
        <is>
          <t>bb</t>
        </is>
      </c>
    </row>
    <row r="176">
      <c r="A176" t="n">
        <v>9</v>
      </c>
      <c r="B176" t="inlineStr">
        <is>
          <t>MeOH</t>
        </is>
      </c>
      <c r="D176" t="n">
        <v>6.38</v>
      </c>
      <c r="E176" t="n">
        <v>24.434</v>
      </c>
      <c r="G176" t="n">
        <v>2.098</v>
      </c>
      <c r="H176" t="inlineStr">
        <is>
          <t>bd</t>
        </is>
      </c>
    </row>
    <row r="177">
      <c r="A177" t="n">
        <v>10</v>
      </c>
      <c r="B177" t="inlineStr">
        <is>
          <t>MeOH</t>
        </is>
      </c>
      <c r="D177" t="n">
        <v>5.98</v>
      </c>
      <c r="E177" t="n">
        <v>3.624</v>
      </c>
      <c r="G177" t="n">
        <v>0.604</v>
      </c>
      <c r="H177" t="inlineStr">
        <is>
          <t>bb</t>
        </is>
      </c>
    </row>
    <row r="178">
      <c r="A178" t="n">
        <v>11</v>
      </c>
      <c r="B178" t="inlineStr">
        <is>
          <t>SB1</t>
        </is>
      </c>
      <c r="D178" t="n">
        <v>6.18</v>
      </c>
      <c r="E178" t="n">
        <v>7.696</v>
      </c>
      <c r="F178" t="n">
        <v>445.96</v>
      </c>
      <c r="G178" t="n">
        <v>119</v>
      </c>
      <c r="H178" t="inlineStr">
        <is>
          <t>bb</t>
        </is>
      </c>
    </row>
    <row r="179">
      <c r="A179" t="n">
        <v>12</v>
      </c>
      <c r="B179" t="inlineStr">
        <is>
          <t>SB2</t>
        </is>
      </c>
      <c r="D179" t="n">
        <v>5.96</v>
      </c>
      <c r="E179" t="n">
        <v>10.095</v>
      </c>
      <c r="F179" t="n">
        <v>600.391</v>
      </c>
      <c r="G179" t="n">
        <v>4.763</v>
      </c>
      <c r="H179" t="inlineStr">
        <is>
          <t>bb</t>
        </is>
      </c>
    </row>
    <row r="180">
      <c r="A180" t="n">
        <v>13</v>
      </c>
      <c r="B180" t="inlineStr">
        <is>
          <t>SB3</t>
        </is>
      </c>
      <c r="D180" t="n">
        <v>6.18</v>
      </c>
      <c r="E180" t="n">
        <v>5.867</v>
      </c>
      <c r="F180" t="n">
        <v>377.781</v>
      </c>
      <c r="G180" t="n">
        <v>0.749</v>
      </c>
      <c r="H180" t="inlineStr">
        <is>
          <t>bb</t>
        </is>
      </c>
    </row>
    <row r="181">
      <c r="A181" t="n">
        <v>14</v>
      </c>
      <c r="B181" t="inlineStr">
        <is>
          <t>SS1</t>
        </is>
      </c>
      <c r="D181" t="n">
        <v>6.46</v>
      </c>
      <c r="E181" t="n">
        <v>398.813</v>
      </c>
      <c r="F181" t="n">
        <v>467.984</v>
      </c>
      <c r="G181" t="n">
        <v>86.262</v>
      </c>
      <c r="H181" t="inlineStr">
        <is>
          <t>bb</t>
        </is>
      </c>
    </row>
    <row r="182">
      <c r="A182" t="n">
        <v>15</v>
      </c>
      <c r="B182" t="inlineStr">
        <is>
          <t>SS2</t>
        </is>
      </c>
      <c r="D182" t="n">
        <v>6.49</v>
      </c>
      <c r="E182" t="n">
        <v>506.692</v>
      </c>
      <c r="F182" t="n">
        <v>435.7</v>
      </c>
      <c r="G182" t="n">
        <v>39.811</v>
      </c>
      <c r="H182" t="inlineStr">
        <is>
          <t>bb</t>
        </is>
      </c>
    </row>
    <row r="183">
      <c r="A183" t="n">
        <v>16</v>
      </c>
      <c r="B183" t="inlineStr">
        <is>
          <t>SS3</t>
        </is>
      </c>
      <c r="D183" t="n">
        <v>6.49</v>
      </c>
      <c r="E183" t="n">
        <v>403.093</v>
      </c>
      <c r="F183" t="n">
        <v>448.247</v>
      </c>
      <c r="G183" t="n">
        <v>34.806</v>
      </c>
      <c r="H183" t="inlineStr">
        <is>
          <t>bb</t>
        </is>
      </c>
    </row>
    <row r="185">
      <c r="A185" t="inlineStr">
        <is>
          <t>Compound 10:  m5 PFPeA 1</t>
        </is>
      </c>
    </row>
    <row r="187">
      <c r="B187" t="inlineStr">
        <is>
          <t>Sample Text</t>
        </is>
      </c>
      <c r="C187" t="inlineStr">
        <is>
          <t>Std. Conc</t>
        </is>
      </c>
      <c r="D187" t="inlineStr">
        <is>
          <t>RT</t>
        </is>
      </c>
      <c r="E187" t="inlineStr">
        <is>
          <t>Area</t>
        </is>
      </c>
      <c r="F187" t="inlineStr">
        <is>
          <t>IS Area</t>
        </is>
      </c>
      <c r="G187" t="inlineStr">
        <is>
          <t>S/N</t>
        </is>
      </c>
      <c r="H187" t="inlineStr">
        <is>
          <t>Primary Flags</t>
        </is>
      </c>
      <c r="I187" t="inlineStr">
        <is>
          <t>Response</t>
        </is>
      </c>
      <c r="J187" t="inlineStr">
        <is>
          <t>Conc.</t>
        </is>
      </c>
    </row>
    <row r="188">
      <c r="A188" t="n">
        <v>1</v>
      </c>
      <c r="B188" t="inlineStr">
        <is>
          <t>EPA1633 &amp; diPAPs Calibration 0 ppb</t>
        </is>
      </c>
      <c r="D188" t="n">
        <v>6.27</v>
      </c>
      <c r="E188" t="n">
        <v>1566.984</v>
      </c>
      <c r="G188" t="n">
        <v>71.607</v>
      </c>
      <c r="H188" t="inlineStr">
        <is>
          <t>bb</t>
        </is>
      </c>
      <c r="I188" t="n">
        <v>1566.984</v>
      </c>
    </row>
    <row r="189">
      <c r="A189" t="n">
        <v>2</v>
      </c>
      <c r="B189" t="inlineStr">
        <is>
          <t>EPA1633 &amp; diPAPs Calibration 0.02 ppb</t>
        </is>
      </c>
      <c r="D189" t="n">
        <v>6.31</v>
      </c>
      <c r="E189" t="n">
        <v>1104.988</v>
      </c>
      <c r="G189" t="n">
        <v>6.525</v>
      </c>
      <c r="H189" t="inlineStr">
        <is>
          <t>bb</t>
        </is>
      </c>
      <c r="I189" t="n">
        <v>1104.988</v>
      </c>
    </row>
    <row r="190">
      <c r="A190" t="n">
        <v>3</v>
      </c>
      <c r="B190" t="inlineStr">
        <is>
          <t>EPA1633 &amp; diPAPs Calibration 0.1 ppb</t>
        </is>
      </c>
      <c r="D190" t="n">
        <v>6.34</v>
      </c>
      <c r="E190" t="n">
        <v>1061.587</v>
      </c>
      <c r="G190" t="n">
        <v>15.605</v>
      </c>
      <c r="H190" t="inlineStr">
        <is>
          <t>bb</t>
        </is>
      </c>
      <c r="I190" t="n">
        <v>1061.587</v>
      </c>
    </row>
    <row r="191">
      <c r="A191" t="n">
        <v>4</v>
      </c>
      <c r="B191" t="inlineStr">
        <is>
          <t>EPA1633 &amp; diPAPs Calibration 0.4 ppb</t>
        </is>
      </c>
      <c r="D191" t="n">
        <v>6.33</v>
      </c>
      <c r="E191" t="n">
        <v>1027.635</v>
      </c>
      <c r="G191" t="n">
        <v>24.582</v>
      </c>
      <c r="H191" t="inlineStr">
        <is>
          <t>bb</t>
        </is>
      </c>
      <c r="I191" t="n">
        <v>1027.635</v>
      </c>
    </row>
    <row r="192">
      <c r="A192" t="n">
        <v>5</v>
      </c>
      <c r="B192" t="inlineStr">
        <is>
          <t>EPA1633 &amp; diPAPs Calibration 1 ppb</t>
        </is>
      </c>
      <c r="D192" t="n">
        <v>6.38</v>
      </c>
      <c r="E192" t="n">
        <v>1290.294</v>
      </c>
      <c r="G192" t="n">
        <v>35.261</v>
      </c>
      <c r="H192" t="inlineStr">
        <is>
          <t>bb</t>
        </is>
      </c>
      <c r="I192" t="n">
        <v>1290.294</v>
      </c>
    </row>
    <row r="193">
      <c r="A193" t="n">
        <v>6</v>
      </c>
      <c r="B193" t="inlineStr">
        <is>
          <t>EPA1633 &amp; diPAPs Calibration 5 ppb</t>
        </is>
      </c>
      <c r="D193" t="n">
        <v>6.14</v>
      </c>
      <c r="E193" t="n">
        <v>1018.312</v>
      </c>
      <c r="G193" t="n">
        <v>114.756</v>
      </c>
      <c r="H193" t="inlineStr">
        <is>
          <t>bb</t>
        </is>
      </c>
      <c r="I193" t="n">
        <v>1018.312</v>
      </c>
    </row>
    <row r="194">
      <c r="A194" t="n">
        <v>7</v>
      </c>
      <c r="B194" t="inlineStr">
        <is>
          <t>EPA1633 &amp; diPAPs Calibration 10 ppb</t>
        </is>
      </c>
      <c r="D194" t="n">
        <v>6.22</v>
      </c>
      <c r="E194" t="n">
        <v>949.73</v>
      </c>
      <c r="G194" t="n">
        <v>15.537</v>
      </c>
      <c r="H194" t="inlineStr">
        <is>
          <t>bb</t>
        </is>
      </c>
      <c r="I194" t="n">
        <v>949.73</v>
      </c>
    </row>
    <row r="195">
      <c r="A195" t="n">
        <v>8</v>
      </c>
      <c r="B195" t="inlineStr">
        <is>
          <t>EPA1633 &amp; diPAPs Calibration 20 ppb</t>
        </is>
      </c>
      <c r="D195" t="n">
        <v>6.29</v>
      </c>
      <c r="E195" t="n">
        <v>930.2619999999999</v>
      </c>
      <c r="G195" t="n">
        <v>186.917</v>
      </c>
      <c r="H195" t="inlineStr">
        <is>
          <t>MM</t>
        </is>
      </c>
      <c r="I195" t="n">
        <v>930.2619999999999</v>
      </c>
    </row>
    <row r="196">
      <c r="A196" t="n">
        <v>9</v>
      </c>
      <c r="B196" t="inlineStr">
        <is>
          <t>MeOH</t>
        </is>
      </c>
    </row>
    <row r="197">
      <c r="A197" t="n">
        <v>10</v>
      </c>
      <c r="B197" t="inlineStr">
        <is>
          <t>MeOH</t>
        </is>
      </c>
    </row>
    <row r="198">
      <c r="A198" t="n">
        <v>11</v>
      </c>
      <c r="B198" t="inlineStr">
        <is>
          <t>SB1</t>
        </is>
      </c>
      <c r="D198" t="n">
        <v>6.42</v>
      </c>
      <c r="E198" t="n">
        <v>445.96</v>
      </c>
      <c r="G198" t="n">
        <v>35.63</v>
      </c>
      <c r="H198" t="inlineStr">
        <is>
          <t>bb</t>
        </is>
      </c>
      <c r="I198" t="n">
        <v>445.96</v>
      </c>
    </row>
    <row r="199">
      <c r="A199" t="n">
        <v>12</v>
      </c>
      <c r="B199" t="inlineStr">
        <is>
          <t>SB2</t>
        </is>
      </c>
      <c r="D199" t="n">
        <v>6.4</v>
      </c>
      <c r="E199" t="n">
        <v>600.391</v>
      </c>
      <c r="G199" t="n">
        <v>693.997</v>
      </c>
      <c r="H199" t="inlineStr">
        <is>
          <t>bb</t>
        </is>
      </c>
      <c r="I199" t="n">
        <v>600.391</v>
      </c>
    </row>
    <row r="200">
      <c r="A200" t="n">
        <v>13</v>
      </c>
      <c r="B200" t="inlineStr">
        <is>
          <t>SB3</t>
        </is>
      </c>
      <c r="D200" t="n">
        <v>6.42</v>
      </c>
      <c r="E200" t="n">
        <v>377.781</v>
      </c>
      <c r="G200" t="n">
        <v>82.65600000000001</v>
      </c>
      <c r="H200" t="inlineStr">
        <is>
          <t>bb</t>
        </is>
      </c>
      <c r="I200" t="n">
        <v>377.781</v>
      </c>
    </row>
    <row r="201">
      <c r="A201" t="n">
        <v>14</v>
      </c>
      <c r="B201" t="inlineStr">
        <is>
          <t>SS1</t>
        </is>
      </c>
      <c r="D201" t="n">
        <v>6.47</v>
      </c>
      <c r="E201" t="n">
        <v>467.984</v>
      </c>
      <c r="G201" t="n">
        <v>7.916</v>
      </c>
      <c r="H201" t="inlineStr">
        <is>
          <t>bb</t>
        </is>
      </c>
      <c r="I201" t="n">
        <v>467.984</v>
      </c>
    </row>
    <row r="202">
      <c r="A202" t="n">
        <v>15</v>
      </c>
      <c r="B202" t="inlineStr">
        <is>
          <t>SS2</t>
        </is>
      </c>
      <c r="D202" t="n">
        <v>6.49</v>
      </c>
      <c r="E202" t="n">
        <v>435.7</v>
      </c>
      <c r="G202" t="n">
        <v>129.601</v>
      </c>
      <c r="H202" t="inlineStr">
        <is>
          <t>bb</t>
        </is>
      </c>
      <c r="I202" t="n">
        <v>435.7</v>
      </c>
    </row>
    <row r="203">
      <c r="A203" t="n">
        <v>16</v>
      </c>
      <c r="B203" t="inlineStr">
        <is>
          <t>SS3</t>
        </is>
      </c>
      <c r="D203" t="n">
        <v>6.5</v>
      </c>
      <c r="E203" t="n">
        <v>448.247</v>
      </c>
      <c r="G203" t="n">
        <v>91.8</v>
      </c>
      <c r="H203" t="inlineStr">
        <is>
          <t>bb</t>
        </is>
      </c>
      <c r="I203" t="n">
        <v>448.247</v>
      </c>
    </row>
    <row r="205">
      <c r="A205" t="inlineStr">
        <is>
          <t>Compound 11:  PFO5HxA</t>
        </is>
      </c>
    </row>
    <row r="207">
      <c r="B207" t="inlineStr">
        <is>
          <t>Sample Text</t>
        </is>
      </c>
      <c r="C207" t="inlineStr">
        <is>
          <t>Std. Conc</t>
        </is>
      </c>
      <c r="D207" t="inlineStr">
        <is>
          <t>RT</t>
        </is>
      </c>
      <c r="E207" t="inlineStr">
        <is>
          <t>Area</t>
        </is>
      </c>
      <c r="F207" t="inlineStr">
        <is>
          <t>IS Area</t>
        </is>
      </c>
      <c r="G207" t="inlineStr">
        <is>
          <t>S/N</t>
        </is>
      </c>
      <c r="H207" t="inlineStr">
        <is>
          <t>Primary Flags</t>
        </is>
      </c>
      <c r="I207" t="inlineStr">
        <is>
          <t>Response</t>
        </is>
      </c>
      <c r="J207" t="inlineStr">
        <is>
          <t>Conc.</t>
        </is>
      </c>
    </row>
    <row r="208">
      <c r="A208" t="n">
        <v>1</v>
      </c>
      <c r="B208" t="inlineStr">
        <is>
          <t>EPA1633 &amp; diPAPs Calibration 0 ppb</t>
        </is>
      </c>
      <c r="D208" t="n">
        <v>7.31</v>
      </c>
      <c r="E208" t="n">
        <v>1.061</v>
      </c>
      <c r="F208" t="n">
        <v>2771.78</v>
      </c>
      <c r="G208" t="n">
        <v>18</v>
      </c>
      <c r="H208" t="inlineStr">
        <is>
          <t>bb</t>
        </is>
      </c>
    </row>
    <row r="209">
      <c r="A209" t="n">
        <v>2</v>
      </c>
      <c r="B209" t="inlineStr">
        <is>
          <t>EPA1633 &amp; diPAPs Calibration 0.02 ppb</t>
        </is>
      </c>
      <c r="D209" t="n">
        <v>7.23</v>
      </c>
      <c r="E209" t="n">
        <v>9.319000000000001</v>
      </c>
      <c r="F209" t="n">
        <v>2613.678</v>
      </c>
      <c r="G209" t="n">
        <v>5.26</v>
      </c>
      <c r="H209" t="inlineStr">
        <is>
          <t>bb</t>
        </is>
      </c>
    </row>
    <row r="210">
      <c r="A210" t="n">
        <v>3</v>
      </c>
      <c r="B210" t="inlineStr">
        <is>
          <t>EPA1633 &amp; diPAPs Calibration 0.1 ppb</t>
        </is>
      </c>
      <c r="D210" t="n">
        <v>7.3</v>
      </c>
      <c r="E210" t="n">
        <v>22.337</v>
      </c>
      <c r="F210" t="n">
        <v>2704.411</v>
      </c>
      <c r="G210" t="n">
        <v>3.054</v>
      </c>
      <c r="H210" t="inlineStr">
        <is>
          <t>bb</t>
        </is>
      </c>
    </row>
    <row r="211">
      <c r="A211" t="n">
        <v>4</v>
      </c>
      <c r="B211" t="inlineStr">
        <is>
          <t>EPA1633 &amp; diPAPs Calibration 0.4 ppb</t>
        </is>
      </c>
      <c r="D211" t="n">
        <v>7.23</v>
      </c>
      <c r="E211" t="n">
        <v>102.901</v>
      </c>
      <c r="F211" t="n">
        <v>2633.712</v>
      </c>
      <c r="G211" t="n">
        <v>9.334</v>
      </c>
      <c r="H211" t="inlineStr">
        <is>
          <t>bb</t>
        </is>
      </c>
    </row>
    <row r="212">
      <c r="A212" t="n">
        <v>5</v>
      </c>
      <c r="B212" t="inlineStr">
        <is>
          <t>EPA1633 &amp; diPAPs Calibration 1 ppb</t>
        </is>
      </c>
      <c r="D212" t="n">
        <v>7.29</v>
      </c>
      <c r="E212" t="n">
        <v>159.202</v>
      </c>
      <c r="F212" t="n">
        <v>2798.003</v>
      </c>
      <c r="G212" t="n">
        <v>3.237</v>
      </c>
      <c r="H212" t="inlineStr">
        <is>
          <t>bb</t>
        </is>
      </c>
    </row>
    <row r="213">
      <c r="A213" t="n">
        <v>6</v>
      </c>
      <c r="B213" t="inlineStr">
        <is>
          <t>EPA1633 &amp; diPAPs Calibration 5 ppb</t>
        </is>
      </c>
      <c r="D213" t="n">
        <v>7.07</v>
      </c>
      <c r="E213" t="n">
        <v>867.3819999999999</v>
      </c>
      <c r="F213" t="n">
        <v>2309.18</v>
      </c>
      <c r="G213" t="n">
        <v>150.652</v>
      </c>
      <c r="H213" t="inlineStr">
        <is>
          <t>bb</t>
        </is>
      </c>
    </row>
    <row r="214">
      <c r="A214" t="n">
        <v>7</v>
      </c>
      <c r="B214" t="inlineStr">
        <is>
          <t>EPA1633 &amp; diPAPs Calibration 10 ppb</t>
        </is>
      </c>
      <c r="D214" t="n">
        <v>7.14</v>
      </c>
      <c r="E214" t="n">
        <v>2093.044</v>
      </c>
      <c r="F214" t="n">
        <v>2072.812</v>
      </c>
      <c r="G214" t="n">
        <v>102.039</v>
      </c>
      <c r="H214" t="inlineStr">
        <is>
          <t>bb</t>
        </is>
      </c>
    </row>
    <row r="215">
      <c r="A215" t="n">
        <v>8</v>
      </c>
      <c r="B215" t="inlineStr">
        <is>
          <t>EPA1633 &amp; diPAPs Calibration 20 ppb</t>
        </is>
      </c>
      <c r="D215" t="n">
        <v>7.21</v>
      </c>
      <c r="E215" t="n">
        <v>4088.939</v>
      </c>
      <c r="F215" t="n">
        <v>1703.301</v>
      </c>
      <c r="G215" t="n">
        <v>136.201</v>
      </c>
      <c r="H215" t="inlineStr">
        <is>
          <t>bb</t>
        </is>
      </c>
    </row>
    <row r="216">
      <c r="A216" t="n">
        <v>9</v>
      </c>
      <c r="B216" t="inlineStr">
        <is>
          <t>MeOH</t>
        </is>
      </c>
    </row>
    <row r="217">
      <c r="A217" t="n">
        <v>10</v>
      </c>
      <c r="B217" t="inlineStr">
        <is>
          <t>MeOH</t>
        </is>
      </c>
    </row>
    <row r="218">
      <c r="A218" t="n">
        <v>11</v>
      </c>
      <c r="B218" t="inlineStr">
        <is>
          <t>SB1</t>
        </is>
      </c>
      <c r="D218" t="n">
        <v>7.3</v>
      </c>
      <c r="E218" t="n">
        <v>0.219</v>
      </c>
      <c r="F218" t="n">
        <v>802.6180000000001</v>
      </c>
      <c r="G218" t="n">
        <v>4</v>
      </c>
      <c r="H218" t="inlineStr">
        <is>
          <t>bb</t>
        </is>
      </c>
    </row>
    <row r="219">
      <c r="A219" t="n">
        <v>12</v>
      </c>
      <c r="B219" t="inlineStr">
        <is>
          <t>SB2</t>
        </is>
      </c>
      <c r="F219" t="n">
        <v>1039.268</v>
      </c>
    </row>
    <row r="220">
      <c r="A220" t="n">
        <v>13</v>
      </c>
      <c r="B220" t="inlineStr">
        <is>
          <t>SB3</t>
        </is>
      </c>
      <c r="F220" t="n">
        <v>1005.736</v>
      </c>
    </row>
    <row r="221">
      <c r="A221" t="n">
        <v>14</v>
      </c>
      <c r="B221" t="inlineStr">
        <is>
          <t>SS1</t>
        </is>
      </c>
      <c r="D221" t="n">
        <v>7.37</v>
      </c>
      <c r="E221" t="n">
        <v>709.646</v>
      </c>
      <c r="F221" t="n">
        <v>860.02</v>
      </c>
      <c r="G221" t="n">
        <v>117.377</v>
      </c>
      <c r="H221" t="inlineStr">
        <is>
          <t>bb</t>
        </is>
      </c>
    </row>
    <row r="222">
      <c r="A222" t="n">
        <v>15</v>
      </c>
      <c r="B222" t="inlineStr">
        <is>
          <t>SS2</t>
        </is>
      </c>
      <c r="D222" t="n">
        <v>7.38</v>
      </c>
      <c r="E222" t="n">
        <v>824.394</v>
      </c>
      <c r="F222" t="n">
        <v>1205.224</v>
      </c>
      <c r="G222" t="n">
        <v>46.465</v>
      </c>
      <c r="H222" t="inlineStr">
        <is>
          <t>bb</t>
        </is>
      </c>
    </row>
    <row r="223">
      <c r="A223" t="n">
        <v>16</v>
      </c>
      <c r="B223" t="inlineStr">
        <is>
          <t>SS3</t>
        </is>
      </c>
      <c r="D223" t="n">
        <v>7.39</v>
      </c>
      <c r="E223" t="n">
        <v>753.9589999999999</v>
      </c>
      <c r="F223" t="n">
        <v>953.783</v>
      </c>
      <c r="G223" t="n">
        <v>71.462</v>
      </c>
      <c r="H223" t="inlineStr">
        <is>
          <t>bb</t>
        </is>
      </c>
    </row>
    <row r="225">
      <c r="A225" t="inlineStr">
        <is>
          <t>Compound 12:  HFPO-DA</t>
        </is>
      </c>
    </row>
    <row r="227">
      <c r="B227" t="inlineStr">
        <is>
          <t>Sample Text</t>
        </is>
      </c>
      <c r="C227" t="inlineStr">
        <is>
          <t>Std. Conc</t>
        </is>
      </c>
      <c r="D227" t="inlineStr">
        <is>
          <t>RT</t>
        </is>
      </c>
      <c r="E227" t="inlineStr">
        <is>
          <t>Area</t>
        </is>
      </c>
      <c r="F227" t="inlineStr">
        <is>
          <t>IS Area</t>
        </is>
      </c>
      <c r="G227" t="inlineStr">
        <is>
          <t>S/N</t>
        </is>
      </c>
      <c r="H227" t="inlineStr">
        <is>
          <t>Primary Flags</t>
        </is>
      </c>
      <c r="I227" t="inlineStr">
        <is>
          <t>Response</t>
        </is>
      </c>
      <c r="J227" t="inlineStr">
        <is>
          <t>Conc.</t>
        </is>
      </c>
    </row>
    <row r="228">
      <c r="A228" t="n">
        <v>1</v>
      </c>
      <c r="B228" t="inlineStr">
        <is>
          <t>EPA1633 &amp; diPAPs Calibration 0 ppb</t>
        </is>
      </c>
      <c r="F228" t="n">
        <v>14.344</v>
      </c>
    </row>
    <row r="229">
      <c r="A229" t="n">
        <v>2</v>
      </c>
      <c r="B229" t="inlineStr">
        <is>
          <t>EPA1633 &amp; diPAPs Calibration 0.02 ppb</t>
        </is>
      </c>
      <c r="F229" t="n">
        <v>39.073</v>
      </c>
    </row>
    <row r="230">
      <c r="A230" t="n">
        <v>3</v>
      </c>
      <c r="B230" t="inlineStr">
        <is>
          <t>EPA1633 &amp; diPAPs Calibration 0.1 ppb</t>
        </is>
      </c>
      <c r="F230" t="n">
        <v>51.036</v>
      </c>
    </row>
    <row r="231">
      <c r="A231" t="n">
        <v>4</v>
      </c>
      <c r="B231" t="inlineStr">
        <is>
          <t>EPA1633 &amp; diPAPs Calibration 0.4 ppb</t>
        </is>
      </c>
      <c r="F231" t="n">
        <v>49.088</v>
      </c>
    </row>
    <row r="232">
      <c r="A232" t="n">
        <v>5</v>
      </c>
      <c r="B232" t="inlineStr">
        <is>
          <t>EPA1633 &amp; diPAPs Calibration 1 ppb</t>
        </is>
      </c>
      <c r="F232" t="n">
        <v>57.708</v>
      </c>
    </row>
    <row r="233">
      <c r="A233" t="n">
        <v>6</v>
      </c>
      <c r="B233" t="inlineStr">
        <is>
          <t>EPA1633 &amp; diPAPs Calibration 5 ppb</t>
        </is>
      </c>
      <c r="F233" t="n">
        <v>2.152</v>
      </c>
    </row>
    <row r="234">
      <c r="A234" t="n">
        <v>7</v>
      </c>
      <c r="B234" t="inlineStr">
        <is>
          <t>EPA1633 &amp; diPAPs Calibration 10 ppb</t>
        </is>
      </c>
      <c r="D234" t="n">
        <v>9.369999999999999</v>
      </c>
      <c r="E234" t="n">
        <v>16.462</v>
      </c>
      <c r="F234" t="n">
        <v>54.435</v>
      </c>
      <c r="G234" t="n">
        <v>172</v>
      </c>
      <c r="H234" t="inlineStr">
        <is>
          <t>bb</t>
        </is>
      </c>
    </row>
    <row r="235">
      <c r="A235" t="n">
        <v>8</v>
      </c>
      <c r="B235" t="inlineStr">
        <is>
          <t>EPA1633 &amp; diPAPs Calibration 20 ppb</t>
        </is>
      </c>
      <c r="D235" t="n">
        <v>9.43</v>
      </c>
      <c r="E235" t="n">
        <v>139.942</v>
      </c>
      <c r="F235" t="n">
        <v>26.442</v>
      </c>
      <c r="G235" t="n">
        <v>1178</v>
      </c>
      <c r="H235" t="inlineStr">
        <is>
          <t>bb</t>
        </is>
      </c>
    </row>
    <row r="236">
      <c r="A236" t="n">
        <v>9</v>
      </c>
      <c r="B236" t="inlineStr">
        <is>
          <t>MeOH</t>
        </is>
      </c>
    </row>
    <row r="237">
      <c r="A237" t="n">
        <v>10</v>
      </c>
      <c r="B237" t="inlineStr">
        <is>
          <t>MeOH</t>
        </is>
      </c>
      <c r="D237" t="n">
        <v>9.5</v>
      </c>
      <c r="E237" t="n">
        <v>10.497</v>
      </c>
      <c r="G237" t="n">
        <v>119</v>
      </c>
      <c r="H237" t="inlineStr">
        <is>
          <t>bb</t>
        </is>
      </c>
    </row>
    <row r="238">
      <c r="A238" t="n">
        <v>11</v>
      </c>
      <c r="B238" t="inlineStr">
        <is>
          <t>SB1</t>
        </is>
      </c>
      <c r="F238" t="n">
        <v>43.519</v>
      </c>
    </row>
    <row r="239">
      <c r="A239" t="n">
        <v>12</v>
      </c>
      <c r="B239" t="inlineStr">
        <is>
          <t>SB2</t>
        </is>
      </c>
    </row>
    <row r="240">
      <c r="A240" t="n">
        <v>13</v>
      </c>
      <c r="B240" t="inlineStr">
        <is>
          <t>SB3</t>
        </is>
      </c>
    </row>
    <row r="241">
      <c r="A241" t="n">
        <v>14</v>
      </c>
      <c r="B241" t="inlineStr">
        <is>
          <t>SS1</t>
        </is>
      </c>
      <c r="D241" t="n">
        <v>9.48</v>
      </c>
      <c r="E241" t="n">
        <v>2.943</v>
      </c>
      <c r="G241" t="n">
        <v>35</v>
      </c>
      <c r="H241" t="inlineStr">
        <is>
          <t>bb</t>
        </is>
      </c>
    </row>
    <row r="242">
      <c r="A242" t="n">
        <v>15</v>
      </c>
      <c r="B242" t="inlineStr">
        <is>
          <t>SS2</t>
        </is>
      </c>
      <c r="F242" t="n">
        <v>4.194</v>
      </c>
    </row>
    <row r="243">
      <c r="A243" t="n">
        <v>16</v>
      </c>
      <c r="B243" t="inlineStr">
        <is>
          <t>SS3</t>
        </is>
      </c>
      <c r="F243" t="n">
        <v>0.54</v>
      </c>
    </row>
    <row r="245">
      <c r="A245" t="inlineStr">
        <is>
          <t>Compound 13:  m3 HFPO-DA</t>
        </is>
      </c>
    </row>
    <row r="247">
      <c r="B247" t="inlineStr">
        <is>
          <t>Sample Text</t>
        </is>
      </c>
      <c r="C247" t="inlineStr">
        <is>
          <t>Std. Conc</t>
        </is>
      </c>
      <c r="D247" t="inlineStr">
        <is>
          <t>RT</t>
        </is>
      </c>
      <c r="E247" t="inlineStr">
        <is>
          <t>Area</t>
        </is>
      </c>
      <c r="F247" t="inlineStr">
        <is>
          <t>IS Area</t>
        </is>
      </c>
      <c r="G247" t="inlineStr">
        <is>
          <t>S/N</t>
        </is>
      </c>
      <c r="H247" t="inlineStr">
        <is>
          <t>Primary Flags</t>
        </is>
      </c>
      <c r="I247" t="inlineStr">
        <is>
          <t>Response</t>
        </is>
      </c>
      <c r="J247" t="inlineStr">
        <is>
          <t>Conc.</t>
        </is>
      </c>
    </row>
    <row r="248">
      <c r="A248" t="n">
        <v>1</v>
      </c>
      <c r="B248" t="inlineStr">
        <is>
          <t>EPA1633 &amp; diPAPs Calibration 0 ppb</t>
        </is>
      </c>
      <c r="D248" t="n">
        <v>9.380000000000001</v>
      </c>
      <c r="E248" t="n">
        <v>14.344</v>
      </c>
      <c r="G248" t="n">
        <v>160</v>
      </c>
      <c r="H248" t="inlineStr">
        <is>
          <t>bb</t>
        </is>
      </c>
      <c r="I248" t="n">
        <v>14.344</v>
      </c>
    </row>
    <row r="249">
      <c r="A249" t="n">
        <v>2</v>
      </c>
      <c r="B249" t="inlineStr">
        <is>
          <t>EPA1633 &amp; diPAPs Calibration 0.02 ppb</t>
        </is>
      </c>
      <c r="D249" t="n">
        <v>9.470000000000001</v>
      </c>
      <c r="E249" t="n">
        <v>39.073</v>
      </c>
      <c r="G249" t="n">
        <v>394</v>
      </c>
      <c r="H249" t="inlineStr">
        <is>
          <t>bb</t>
        </is>
      </c>
      <c r="I249" t="n">
        <v>39.073</v>
      </c>
    </row>
    <row r="250">
      <c r="A250" t="n">
        <v>3</v>
      </c>
      <c r="B250" t="inlineStr">
        <is>
          <t>EPA1633 &amp; diPAPs Calibration 0.1 ppb</t>
        </is>
      </c>
      <c r="D250" t="n">
        <v>9.41</v>
      </c>
      <c r="E250" t="n">
        <v>51.036</v>
      </c>
      <c r="G250" t="n">
        <v>589</v>
      </c>
      <c r="H250" t="inlineStr">
        <is>
          <t>bb</t>
        </is>
      </c>
      <c r="I250" t="n">
        <v>51.036</v>
      </c>
    </row>
    <row r="251">
      <c r="A251" t="n">
        <v>4</v>
      </c>
      <c r="B251" t="inlineStr">
        <is>
          <t>EPA1633 &amp; diPAPs Calibration 0.4 ppb</t>
        </is>
      </c>
      <c r="D251" t="n">
        <v>9.449999999999999</v>
      </c>
      <c r="E251" t="n">
        <v>49.088</v>
      </c>
      <c r="G251" t="n">
        <v>483</v>
      </c>
      <c r="H251" t="inlineStr">
        <is>
          <t>bb</t>
        </is>
      </c>
      <c r="I251" t="n">
        <v>49.088</v>
      </c>
    </row>
    <row r="252">
      <c r="A252" t="n">
        <v>5</v>
      </c>
      <c r="B252" t="inlineStr">
        <is>
          <t>EPA1633 &amp; diPAPs Calibration 1 ppb</t>
        </is>
      </c>
      <c r="D252" t="n">
        <v>9.449999999999999</v>
      </c>
      <c r="E252" t="n">
        <v>57.708</v>
      </c>
      <c r="G252" t="n">
        <v>672</v>
      </c>
      <c r="H252" t="inlineStr">
        <is>
          <t>bb</t>
        </is>
      </c>
      <c r="I252" t="n">
        <v>57.708</v>
      </c>
    </row>
    <row r="253">
      <c r="A253" t="n">
        <v>6</v>
      </c>
      <c r="B253" t="inlineStr">
        <is>
          <t>EPA1633 &amp; diPAPs Calibration 5 ppb</t>
        </is>
      </c>
      <c r="D253" t="n">
        <v>9.33</v>
      </c>
      <c r="E253" t="n">
        <v>2.152</v>
      </c>
      <c r="G253" t="n">
        <v>26</v>
      </c>
      <c r="H253" t="inlineStr">
        <is>
          <t>bb</t>
        </is>
      </c>
      <c r="I253" t="n">
        <v>2.152</v>
      </c>
    </row>
    <row r="254">
      <c r="A254" t="n">
        <v>7</v>
      </c>
      <c r="B254" t="inlineStr">
        <is>
          <t>EPA1633 &amp; diPAPs Calibration 10 ppb</t>
        </is>
      </c>
      <c r="D254" t="n">
        <v>9.34</v>
      </c>
      <c r="E254" t="n">
        <v>54.435</v>
      </c>
      <c r="G254" t="n">
        <v>104.281</v>
      </c>
      <c r="H254" t="inlineStr">
        <is>
          <t>bb</t>
        </is>
      </c>
      <c r="I254" t="n">
        <v>54.435</v>
      </c>
    </row>
    <row r="255">
      <c r="A255" t="n">
        <v>8</v>
      </c>
      <c r="B255" t="inlineStr">
        <is>
          <t>EPA1633 &amp; diPAPs Calibration 20 ppb</t>
        </is>
      </c>
      <c r="D255" t="n">
        <v>9.449999999999999</v>
      </c>
      <c r="E255" t="n">
        <v>26.442</v>
      </c>
      <c r="G255" t="n">
        <v>3.751</v>
      </c>
      <c r="H255" t="inlineStr">
        <is>
          <t>bb</t>
        </is>
      </c>
      <c r="I255" t="n">
        <v>26.442</v>
      </c>
    </row>
    <row r="256">
      <c r="A256" t="n">
        <v>9</v>
      </c>
      <c r="B256" t="inlineStr">
        <is>
          <t>MeOH</t>
        </is>
      </c>
    </row>
    <row r="257">
      <c r="A257" t="n">
        <v>10</v>
      </c>
      <c r="B257" t="inlineStr">
        <is>
          <t>MeOH</t>
        </is>
      </c>
    </row>
    <row r="258">
      <c r="A258" t="n">
        <v>11</v>
      </c>
      <c r="B258" t="inlineStr">
        <is>
          <t>SB1</t>
        </is>
      </c>
      <c r="D258" t="n">
        <v>9.529999999999999</v>
      </c>
      <c r="E258" t="n">
        <v>43.519</v>
      </c>
      <c r="G258" t="n">
        <v>456</v>
      </c>
      <c r="H258" t="inlineStr">
        <is>
          <t>bb</t>
        </is>
      </c>
      <c r="I258" t="n">
        <v>43.519</v>
      </c>
    </row>
    <row r="259">
      <c r="A259" t="n">
        <v>12</v>
      </c>
      <c r="B259" t="inlineStr">
        <is>
          <t>SB2</t>
        </is>
      </c>
    </row>
    <row r="260">
      <c r="A260" t="n">
        <v>13</v>
      </c>
      <c r="B260" t="inlineStr">
        <is>
          <t>SB3</t>
        </is>
      </c>
    </row>
    <row r="261">
      <c r="A261" t="n">
        <v>14</v>
      </c>
      <c r="B261" t="inlineStr">
        <is>
          <t>SS1</t>
        </is>
      </c>
    </row>
    <row r="262">
      <c r="A262" t="n">
        <v>15</v>
      </c>
      <c r="B262" t="inlineStr">
        <is>
          <t>SS2</t>
        </is>
      </c>
      <c r="D262" t="n">
        <v>9.5</v>
      </c>
      <c r="E262" t="n">
        <v>4.194</v>
      </c>
      <c r="G262" t="n">
        <v>8.882999999999999</v>
      </c>
      <c r="H262" t="inlineStr">
        <is>
          <t>bb</t>
        </is>
      </c>
      <c r="I262" t="n">
        <v>4.194</v>
      </c>
    </row>
    <row r="263">
      <c r="A263" t="n">
        <v>16</v>
      </c>
      <c r="B263" t="inlineStr">
        <is>
          <t>SS3</t>
        </is>
      </c>
      <c r="D263" t="n">
        <v>9.529999999999999</v>
      </c>
      <c r="E263" t="n">
        <v>0.54</v>
      </c>
      <c r="G263" t="n">
        <v>0.518</v>
      </c>
      <c r="H263" t="inlineStr">
        <is>
          <t>bb</t>
        </is>
      </c>
      <c r="I263" t="n">
        <v>0.54</v>
      </c>
    </row>
    <row r="265">
      <c r="A265" t="inlineStr">
        <is>
          <t>Compound 14:  3,6 OPFHpA 1</t>
        </is>
      </c>
    </row>
    <row r="267">
      <c r="B267" t="inlineStr">
        <is>
          <t>Sample Text</t>
        </is>
      </c>
      <c r="C267" t="inlineStr">
        <is>
          <t>Std. Conc</t>
        </is>
      </c>
      <c r="D267" t="inlineStr">
        <is>
          <t>RT</t>
        </is>
      </c>
      <c r="E267" t="inlineStr">
        <is>
          <t>Area</t>
        </is>
      </c>
      <c r="F267" t="inlineStr">
        <is>
          <t>IS Area</t>
        </is>
      </c>
      <c r="G267" t="inlineStr">
        <is>
          <t>S/N</t>
        </is>
      </c>
      <c r="H267" t="inlineStr">
        <is>
          <t>Primary Flags</t>
        </is>
      </c>
      <c r="I267" t="inlineStr">
        <is>
          <t>Response</t>
        </is>
      </c>
      <c r="J267" t="inlineStr">
        <is>
          <t>Conc.</t>
        </is>
      </c>
    </row>
    <row r="268">
      <c r="A268" t="n">
        <v>1</v>
      </c>
      <c r="B268" t="inlineStr">
        <is>
          <t>EPA1633 &amp; diPAPs Calibration 0 ppb</t>
        </is>
      </c>
      <c r="F268" t="n">
        <v>2771.78</v>
      </c>
    </row>
    <row r="269">
      <c r="A269" t="n">
        <v>2</v>
      </c>
      <c r="B269" t="inlineStr">
        <is>
          <t>EPA1633 &amp; diPAPs Calibration 0.02 ppb</t>
        </is>
      </c>
      <c r="F269" t="n">
        <v>2613.678</v>
      </c>
    </row>
    <row r="270">
      <c r="A270" t="n">
        <v>3</v>
      </c>
      <c r="B270" t="inlineStr">
        <is>
          <t>EPA1633 &amp; diPAPs Calibration 0.1 ppb</t>
        </is>
      </c>
      <c r="F270" t="n">
        <v>2704.411</v>
      </c>
    </row>
    <row r="271">
      <c r="A271" t="n">
        <v>4</v>
      </c>
      <c r="B271" t="inlineStr">
        <is>
          <t>EPA1633 &amp; diPAPs Calibration 0.4 ppb</t>
        </is>
      </c>
      <c r="F271" t="n">
        <v>2633.712</v>
      </c>
    </row>
    <row r="272">
      <c r="A272" t="n">
        <v>5</v>
      </c>
      <c r="B272" t="inlineStr">
        <is>
          <t>EPA1633 &amp; diPAPs Calibration 1 ppb</t>
        </is>
      </c>
      <c r="F272" t="n">
        <v>2798.003</v>
      </c>
    </row>
    <row r="273">
      <c r="A273" t="n">
        <v>6</v>
      </c>
      <c r="B273" t="inlineStr">
        <is>
          <t>EPA1633 &amp; diPAPs Calibration 5 ppb</t>
        </is>
      </c>
      <c r="F273" t="n">
        <v>2309.18</v>
      </c>
    </row>
    <row r="274">
      <c r="A274" t="n">
        <v>7</v>
      </c>
      <c r="B274" t="inlineStr">
        <is>
          <t>EPA1633 &amp; diPAPs Calibration 10 ppb</t>
        </is>
      </c>
      <c r="F274" t="n">
        <v>2072.812</v>
      </c>
    </row>
    <row r="275">
      <c r="A275" t="n">
        <v>8</v>
      </c>
      <c r="B275" t="inlineStr">
        <is>
          <t>EPA1633 &amp; diPAPs Calibration 20 ppb</t>
        </is>
      </c>
      <c r="F275" t="n">
        <v>1703.301</v>
      </c>
    </row>
    <row r="276">
      <c r="A276" t="n">
        <v>9</v>
      </c>
      <c r="B276" t="inlineStr">
        <is>
          <t>MeOH</t>
        </is>
      </c>
    </row>
    <row r="277">
      <c r="A277" t="n">
        <v>10</v>
      </c>
      <c r="B277" t="inlineStr">
        <is>
          <t>MeOH</t>
        </is>
      </c>
    </row>
    <row r="278">
      <c r="A278" t="n">
        <v>11</v>
      </c>
      <c r="B278" t="inlineStr">
        <is>
          <t>SB1</t>
        </is>
      </c>
      <c r="F278" t="n">
        <v>802.6180000000001</v>
      </c>
    </row>
    <row r="279">
      <c r="A279" t="n">
        <v>12</v>
      </c>
      <c r="B279" t="inlineStr">
        <is>
          <t>SB2</t>
        </is>
      </c>
      <c r="F279" t="n">
        <v>1039.268</v>
      </c>
    </row>
    <row r="280">
      <c r="A280" t="n">
        <v>13</v>
      </c>
      <c r="B280" t="inlineStr">
        <is>
          <t>SB3</t>
        </is>
      </c>
      <c r="F280" t="n">
        <v>1005.736</v>
      </c>
    </row>
    <row r="281">
      <c r="A281" t="n">
        <v>14</v>
      </c>
      <c r="B281" t="inlineStr">
        <is>
          <t>SS1</t>
        </is>
      </c>
      <c r="F281" t="n">
        <v>860.02</v>
      </c>
    </row>
    <row r="282">
      <c r="A282" t="n">
        <v>15</v>
      </c>
      <c r="B282" t="inlineStr">
        <is>
          <t>SS2</t>
        </is>
      </c>
      <c r="F282" t="n">
        <v>1205.224</v>
      </c>
    </row>
    <row r="283">
      <c r="A283" t="n">
        <v>16</v>
      </c>
      <c r="B283" t="inlineStr">
        <is>
          <t>SS3</t>
        </is>
      </c>
      <c r="F283" t="n">
        <v>953.783</v>
      </c>
    </row>
    <row r="285">
      <c r="A285" t="inlineStr">
        <is>
          <t>Compound 15:  3,6 OPFHpA 2</t>
        </is>
      </c>
    </row>
    <row r="287">
      <c r="B287" t="inlineStr">
        <is>
          <t>Sample Text</t>
        </is>
      </c>
      <c r="C287" t="inlineStr">
        <is>
          <t>Std. Conc</t>
        </is>
      </c>
      <c r="D287" t="inlineStr">
        <is>
          <t>RT</t>
        </is>
      </c>
      <c r="E287" t="inlineStr">
        <is>
          <t>Area</t>
        </is>
      </c>
      <c r="F287" t="inlineStr">
        <is>
          <t>IS Area</t>
        </is>
      </c>
      <c r="G287" t="inlineStr">
        <is>
          <t>S/N</t>
        </is>
      </c>
      <c r="H287" t="inlineStr">
        <is>
          <t>Primary Flags</t>
        </is>
      </c>
      <c r="I287" t="inlineStr">
        <is>
          <t>Response</t>
        </is>
      </c>
      <c r="J287" t="inlineStr">
        <is>
          <t>Conc.</t>
        </is>
      </c>
    </row>
    <row r="288">
      <c r="A288" t="n">
        <v>1</v>
      </c>
      <c r="B288" t="inlineStr">
        <is>
          <t>EPA1633 &amp; diPAPs Calibration 0 ppb</t>
        </is>
      </c>
    </row>
    <row r="289">
      <c r="A289" t="n">
        <v>2</v>
      </c>
      <c r="B289" t="inlineStr">
        <is>
          <t>EPA1633 &amp; diPAPs Calibration 0.02 ppb</t>
        </is>
      </c>
    </row>
    <row r="290">
      <c r="A290" t="n">
        <v>3</v>
      </c>
      <c r="B290" t="inlineStr">
        <is>
          <t>EPA1633 &amp; diPAPs Calibration 0.1 ppb</t>
        </is>
      </c>
      <c r="F290" t="n">
        <v>0.8080000000000001</v>
      </c>
    </row>
    <row r="291">
      <c r="A291" t="n">
        <v>4</v>
      </c>
      <c r="B291" t="inlineStr">
        <is>
          <t>EPA1633 &amp; diPAPs Calibration 0.4 ppb</t>
        </is>
      </c>
      <c r="F291" t="n">
        <v>0.848</v>
      </c>
    </row>
    <row r="292">
      <c r="A292" t="n">
        <v>5</v>
      </c>
      <c r="B292" t="inlineStr">
        <is>
          <t>EPA1633 &amp; diPAPs Calibration 1 ppb</t>
        </is>
      </c>
      <c r="F292" t="n">
        <v>32.061</v>
      </c>
    </row>
    <row r="293">
      <c r="A293" t="n">
        <v>6</v>
      </c>
      <c r="B293" t="inlineStr">
        <is>
          <t>EPA1633 &amp; diPAPs Calibration 5 ppb</t>
        </is>
      </c>
      <c r="F293" t="n">
        <v>2.482</v>
      </c>
    </row>
    <row r="294">
      <c r="A294" t="n">
        <v>7</v>
      </c>
      <c r="B294" t="inlineStr">
        <is>
          <t>EPA1633 &amp; diPAPs Calibration 10 ppb</t>
        </is>
      </c>
      <c r="F294" t="n">
        <v>5.974</v>
      </c>
    </row>
    <row r="295">
      <c r="A295" t="n">
        <v>8</v>
      </c>
      <c r="B295" t="inlineStr">
        <is>
          <t>EPA1633 &amp; diPAPs Calibration 20 ppb</t>
        </is>
      </c>
      <c r="F295" t="n">
        <v>10.827</v>
      </c>
    </row>
    <row r="296">
      <c r="A296" t="n">
        <v>9</v>
      </c>
      <c r="B296" t="inlineStr">
        <is>
          <t>MeOH</t>
        </is>
      </c>
    </row>
    <row r="297">
      <c r="A297" t="n">
        <v>10</v>
      </c>
      <c r="B297" t="inlineStr">
        <is>
          <t>MeOH</t>
        </is>
      </c>
    </row>
    <row r="298">
      <c r="A298" t="n">
        <v>11</v>
      </c>
      <c r="B298" t="inlineStr">
        <is>
          <t>SB1</t>
        </is>
      </c>
    </row>
    <row r="299">
      <c r="A299" t="n">
        <v>12</v>
      </c>
      <c r="B299" t="inlineStr">
        <is>
          <t>SB2</t>
        </is>
      </c>
    </row>
    <row r="300">
      <c r="A300" t="n">
        <v>13</v>
      </c>
      <c r="B300" t="inlineStr">
        <is>
          <t>SB3</t>
        </is>
      </c>
    </row>
    <row r="301">
      <c r="A301" t="n">
        <v>14</v>
      </c>
      <c r="B301" t="inlineStr">
        <is>
          <t>SS1</t>
        </is>
      </c>
    </row>
    <row r="302">
      <c r="A302" t="n">
        <v>15</v>
      </c>
      <c r="B302" t="inlineStr">
        <is>
          <t>SS2</t>
        </is>
      </c>
      <c r="F302" t="n">
        <v>6.07</v>
      </c>
    </row>
    <row r="303">
      <c r="A303" t="n">
        <v>16</v>
      </c>
      <c r="B303" t="inlineStr">
        <is>
          <t>SS3</t>
        </is>
      </c>
    </row>
    <row r="305">
      <c r="A305" t="inlineStr">
        <is>
          <t>Compound 16:  PFBS 1</t>
        </is>
      </c>
    </row>
    <row r="307">
      <c r="B307" t="inlineStr">
        <is>
          <t>Sample Text</t>
        </is>
      </c>
      <c r="C307" t="inlineStr">
        <is>
          <t>Std. Conc</t>
        </is>
      </c>
      <c r="D307" t="inlineStr">
        <is>
          <t>RT</t>
        </is>
      </c>
      <c r="E307" t="inlineStr">
        <is>
          <t>Area</t>
        </is>
      </c>
      <c r="F307" t="inlineStr">
        <is>
          <t>IS Area</t>
        </is>
      </c>
      <c r="G307" t="inlineStr">
        <is>
          <t>S/N</t>
        </is>
      </c>
      <c r="H307" t="inlineStr">
        <is>
          <t>Primary Flags</t>
        </is>
      </c>
      <c r="I307" t="inlineStr">
        <is>
          <t>Response</t>
        </is>
      </c>
      <c r="J307" t="inlineStr">
        <is>
          <t>Conc.</t>
        </is>
      </c>
    </row>
    <row r="308">
      <c r="A308" t="n">
        <v>1</v>
      </c>
      <c r="B308" t="inlineStr">
        <is>
          <t>EPA1633 &amp; diPAPs Calibration 0 ppb</t>
        </is>
      </c>
      <c r="D308" t="n">
        <v>7.09</v>
      </c>
      <c r="E308" t="n">
        <v>19.686</v>
      </c>
      <c r="F308" t="n">
        <v>2938.249</v>
      </c>
      <c r="G308" t="n">
        <v>321</v>
      </c>
      <c r="H308" t="inlineStr">
        <is>
          <t>bb</t>
        </is>
      </c>
    </row>
    <row r="309">
      <c r="A309" t="n">
        <v>2</v>
      </c>
      <c r="B309" t="inlineStr">
        <is>
          <t>EPA1633 &amp; diPAPs Calibration 0.02 ppb</t>
        </is>
      </c>
      <c r="D309" t="n">
        <v>7.14</v>
      </c>
      <c r="E309" t="n">
        <v>79.52500000000001</v>
      </c>
      <c r="F309" t="n">
        <v>2512.521</v>
      </c>
      <c r="G309" t="n">
        <v>14.713</v>
      </c>
      <c r="H309" t="inlineStr">
        <is>
          <t>bb</t>
        </is>
      </c>
    </row>
    <row r="310">
      <c r="A310" t="n">
        <v>3</v>
      </c>
      <c r="B310" t="inlineStr">
        <is>
          <t>EPA1633 &amp; diPAPs Calibration 0.1 ppb</t>
        </is>
      </c>
      <c r="D310" t="n">
        <v>7.17</v>
      </c>
      <c r="E310" t="n">
        <v>65.32599999999999</v>
      </c>
      <c r="F310" t="n">
        <v>2908.581</v>
      </c>
      <c r="G310" t="n">
        <v>729</v>
      </c>
      <c r="H310" t="inlineStr">
        <is>
          <t>bb</t>
        </is>
      </c>
    </row>
    <row r="311">
      <c r="A311" t="n">
        <v>4</v>
      </c>
      <c r="B311" t="inlineStr">
        <is>
          <t>EPA1633 &amp; diPAPs Calibration 0.4 ppb</t>
        </is>
      </c>
      <c r="D311" t="n">
        <v>7.17</v>
      </c>
      <c r="E311" t="n">
        <v>205.975</v>
      </c>
      <c r="F311" t="n">
        <v>2996.688</v>
      </c>
      <c r="G311" t="n">
        <v>37.386</v>
      </c>
      <c r="H311" t="inlineStr">
        <is>
          <t>bb</t>
        </is>
      </c>
    </row>
    <row r="312">
      <c r="A312" t="n">
        <v>5</v>
      </c>
      <c r="B312" t="inlineStr">
        <is>
          <t>EPA1633 &amp; diPAPs Calibration 1 ppb</t>
        </is>
      </c>
      <c r="D312" t="n">
        <v>7.21</v>
      </c>
      <c r="E312" t="n">
        <v>443.572</v>
      </c>
      <c r="F312" t="n">
        <v>3153.645</v>
      </c>
      <c r="G312" t="n">
        <v>116.638</v>
      </c>
      <c r="H312" t="inlineStr">
        <is>
          <t>bb</t>
        </is>
      </c>
    </row>
    <row r="313">
      <c r="A313" t="n">
        <v>6</v>
      </c>
      <c r="B313" t="inlineStr">
        <is>
          <t>EPA1633 &amp; diPAPs Calibration 5 ppb</t>
        </is>
      </c>
      <c r="D313" t="n">
        <v>6.98</v>
      </c>
      <c r="E313" t="n">
        <v>2335.177</v>
      </c>
      <c r="F313" t="n">
        <v>2668.511</v>
      </c>
      <c r="G313" t="n">
        <v>31.853</v>
      </c>
      <c r="H313" t="inlineStr">
        <is>
          <t>bb</t>
        </is>
      </c>
    </row>
    <row r="314">
      <c r="A314" t="n">
        <v>7</v>
      </c>
      <c r="B314" t="inlineStr">
        <is>
          <t>EPA1633 &amp; diPAPs Calibration 10 ppb</t>
        </is>
      </c>
      <c r="D314" t="n">
        <v>7.06</v>
      </c>
      <c r="E314" t="n">
        <v>4321.67</v>
      </c>
      <c r="F314" t="n">
        <v>2112.954</v>
      </c>
      <c r="G314" t="n">
        <v>735.13</v>
      </c>
      <c r="H314" t="inlineStr">
        <is>
          <t>bb</t>
        </is>
      </c>
    </row>
    <row r="315">
      <c r="A315" t="n">
        <v>8</v>
      </c>
      <c r="B315" t="inlineStr">
        <is>
          <t>EPA1633 &amp; diPAPs Calibration 20 ppb</t>
        </is>
      </c>
      <c r="D315" t="n">
        <v>7.12</v>
      </c>
      <c r="E315" t="n">
        <v>8897.554</v>
      </c>
      <c r="F315" t="n">
        <v>2489.734</v>
      </c>
      <c r="G315" t="n">
        <v>87972</v>
      </c>
      <c r="H315" t="inlineStr">
        <is>
          <t>bb</t>
        </is>
      </c>
    </row>
    <row r="316">
      <c r="A316" t="n">
        <v>9</v>
      </c>
      <c r="B316" t="inlineStr">
        <is>
          <t>MeOH</t>
        </is>
      </c>
      <c r="D316" t="n">
        <v>7.14</v>
      </c>
      <c r="E316" t="n">
        <v>14.309</v>
      </c>
      <c r="F316" t="n">
        <v>0.383</v>
      </c>
      <c r="G316" t="n">
        <v>261</v>
      </c>
      <c r="H316" t="inlineStr">
        <is>
          <t>bb</t>
        </is>
      </c>
    </row>
    <row r="317">
      <c r="A317" t="n">
        <v>10</v>
      </c>
      <c r="B317" t="inlineStr">
        <is>
          <t>MeOH</t>
        </is>
      </c>
      <c r="F317" t="n">
        <v>0.987</v>
      </c>
    </row>
    <row r="318">
      <c r="A318" t="n">
        <v>11</v>
      </c>
      <c r="B318" t="inlineStr">
        <is>
          <t>SB1</t>
        </is>
      </c>
      <c r="D318" t="n">
        <v>7.17</v>
      </c>
      <c r="E318" t="n">
        <v>0.386</v>
      </c>
      <c r="F318" t="n">
        <v>1321.243</v>
      </c>
      <c r="G318" t="n">
        <v>7</v>
      </c>
      <c r="H318" t="inlineStr">
        <is>
          <t>bb</t>
        </is>
      </c>
    </row>
    <row r="319">
      <c r="A319" t="n">
        <v>12</v>
      </c>
      <c r="B319" t="inlineStr">
        <is>
          <t>SB2</t>
        </is>
      </c>
      <c r="F319" t="n">
        <v>1146.191</v>
      </c>
    </row>
    <row r="320">
      <c r="A320" t="n">
        <v>13</v>
      </c>
      <c r="B320" t="inlineStr">
        <is>
          <t>SB3</t>
        </is>
      </c>
      <c r="D320" t="n">
        <v>7.06</v>
      </c>
      <c r="E320" t="n">
        <v>0.106</v>
      </c>
      <c r="F320" t="n">
        <v>1275.571</v>
      </c>
      <c r="G320" t="n">
        <v>2</v>
      </c>
      <c r="H320" t="inlineStr">
        <is>
          <t>bb</t>
        </is>
      </c>
    </row>
    <row r="321">
      <c r="A321" t="n">
        <v>14</v>
      </c>
      <c r="B321" t="inlineStr">
        <is>
          <t>SS1</t>
        </is>
      </c>
      <c r="D321" t="n">
        <v>7.27</v>
      </c>
      <c r="E321" t="n">
        <v>2320.713</v>
      </c>
      <c r="F321" t="n">
        <v>1534.966</v>
      </c>
      <c r="G321" t="n">
        <v>7661.497</v>
      </c>
      <c r="H321" t="inlineStr">
        <is>
          <t>bb</t>
        </is>
      </c>
    </row>
    <row r="322">
      <c r="A322" t="n">
        <v>15</v>
      </c>
      <c r="B322" t="inlineStr">
        <is>
          <t>SS2</t>
        </is>
      </c>
      <c r="D322" t="n">
        <v>7.29</v>
      </c>
      <c r="E322" t="n">
        <v>2387.614</v>
      </c>
      <c r="F322" t="n">
        <v>1654.666</v>
      </c>
      <c r="G322" t="n">
        <v>22150</v>
      </c>
      <c r="H322" t="inlineStr">
        <is>
          <t>bb</t>
        </is>
      </c>
    </row>
    <row r="323">
      <c r="A323" t="n">
        <v>16</v>
      </c>
      <c r="B323" t="inlineStr">
        <is>
          <t>SS3</t>
        </is>
      </c>
      <c r="D323" t="n">
        <v>7.29</v>
      </c>
      <c r="E323" t="n">
        <v>2270.057</v>
      </c>
      <c r="F323" t="n">
        <v>1409.177</v>
      </c>
      <c r="G323" t="n">
        <v>634.6</v>
      </c>
      <c r="H323" t="inlineStr">
        <is>
          <t>bb</t>
        </is>
      </c>
    </row>
    <row r="325">
      <c r="A325" t="inlineStr">
        <is>
          <t>Compound 17:  PFBS 2</t>
        </is>
      </c>
    </row>
    <row r="327">
      <c r="B327" t="inlineStr">
        <is>
          <t>Sample Text</t>
        </is>
      </c>
      <c r="C327" t="inlineStr">
        <is>
          <t>Std. Conc</t>
        </is>
      </c>
      <c r="D327" t="inlineStr">
        <is>
          <t>RT</t>
        </is>
      </c>
      <c r="E327" t="inlineStr">
        <is>
          <t>Area</t>
        </is>
      </c>
      <c r="F327" t="inlineStr">
        <is>
          <t>IS Area</t>
        </is>
      </c>
      <c r="G327" t="inlineStr">
        <is>
          <t>S/N</t>
        </is>
      </c>
      <c r="H327" t="inlineStr">
        <is>
          <t>Primary Flags</t>
        </is>
      </c>
      <c r="I327" t="inlineStr">
        <is>
          <t>Response</t>
        </is>
      </c>
      <c r="J327" t="inlineStr">
        <is>
          <t>Conc.</t>
        </is>
      </c>
    </row>
    <row r="328">
      <c r="A328" t="n">
        <v>1</v>
      </c>
      <c r="B328" t="inlineStr">
        <is>
          <t>EPA1633 &amp; diPAPs Calibration 0 ppb</t>
        </is>
      </c>
      <c r="D328" t="n">
        <v>7.18</v>
      </c>
      <c r="E328" t="n">
        <v>8.930999999999999</v>
      </c>
      <c r="F328" t="n">
        <v>1812.89</v>
      </c>
      <c r="G328" t="n">
        <v>1.18</v>
      </c>
      <c r="H328" t="inlineStr">
        <is>
          <t>bb</t>
        </is>
      </c>
    </row>
    <row r="329">
      <c r="A329" t="n">
        <v>2</v>
      </c>
      <c r="B329" t="inlineStr">
        <is>
          <t>EPA1633 &amp; diPAPs Calibration 0.02 ppb</t>
        </is>
      </c>
      <c r="D329" t="n">
        <v>7.38</v>
      </c>
      <c r="E329" t="n">
        <v>13.252</v>
      </c>
      <c r="F329" t="n">
        <v>1750.095</v>
      </c>
      <c r="G329" t="n">
        <v>9.162000000000001</v>
      </c>
      <c r="H329" t="inlineStr">
        <is>
          <t>bb</t>
        </is>
      </c>
    </row>
    <row r="330">
      <c r="A330" t="n">
        <v>3</v>
      </c>
      <c r="B330" t="inlineStr">
        <is>
          <t>EPA1633 &amp; diPAPs Calibration 0.1 ppb</t>
        </is>
      </c>
      <c r="D330" t="n">
        <v>7.17</v>
      </c>
      <c r="E330" t="n">
        <v>60.53</v>
      </c>
      <c r="F330" t="n">
        <v>1801.795</v>
      </c>
      <c r="G330" t="n">
        <v>9.627000000000001</v>
      </c>
      <c r="H330" t="inlineStr">
        <is>
          <t>MM</t>
        </is>
      </c>
    </row>
    <row r="331">
      <c r="A331" t="n">
        <v>4</v>
      </c>
      <c r="B331" t="inlineStr">
        <is>
          <t>EPA1633 &amp; diPAPs Calibration 0.4 ppb</t>
        </is>
      </c>
      <c r="D331" t="n">
        <v>7.16</v>
      </c>
      <c r="E331" t="n">
        <v>178.996</v>
      </c>
      <c r="F331" t="n">
        <v>1537.963</v>
      </c>
      <c r="G331" t="n">
        <v>17.477</v>
      </c>
      <c r="H331" t="inlineStr">
        <is>
          <t>bb</t>
        </is>
      </c>
    </row>
    <row r="332">
      <c r="A332" t="n">
        <v>5</v>
      </c>
      <c r="B332" t="inlineStr">
        <is>
          <t>EPA1633 &amp; diPAPs Calibration 1 ppb</t>
        </is>
      </c>
      <c r="D332" t="n">
        <v>7.19</v>
      </c>
      <c r="E332" t="n">
        <v>398.357</v>
      </c>
      <c r="F332" t="n">
        <v>2182.165</v>
      </c>
      <c r="G332" t="n">
        <v>31.716</v>
      </c>
      <c r="H332" t="inlineStr">
        <is>
          <t>bb</t>
        </is>
      </c>
    </row>
    <row r="333">
      <c r="A333" t="n">
        <v>6</v>
      </c>
      <c r="B333" t="inlineStr">
        <is>
          <t>EPA1633 &amp; diPAPs Calibration 5 ppb</t>
        </is>
      </c>
      <c r="D333" t="n">
        <v>6.97</v>
      </c>
      <c r="E333" t="n">
        <v>1355.376</v>
      </c>
      <c r="F333" t="n">
        <v>1666.899</v>
      </c>
      <c r="G333" t="n">
        <v>62.576</v>
      </c>
      <c r="H333" t="inlineStr">
        <is>
          <t>bb</t>
        </is>
      </c>
    </row>
    <row r="334">
      <c r="A334" t="n">
        <v>7</v>
      </c>
      <c r="B334" t="inlineStr">
        <is>
          <t>EPA1633 &amp; diPAPs Calibration 10 ppb</t>
        </is>
      </c>
      <c r="D334" t="n">
        <v>7.06</v>
      </c>
      <c r="E334" t="n">
        <v>2651.605</v>
      </c>
      <c r="F334" t="n">
        <v>1664.163</v>
      </c>
      <c r="G334" t="n">
        <v>413.058</v>
      </c>
      <c r="H334" t="inlineStr">
        <is>
          <t>bb</t>
        </is>
      </c>
    </row>
    <row r="335">
      <c r="A335" t="n">
        <v>8</v>
      </c>
      <c r="B335" t="inlineStr">
        <is>
          <t>EPA1633 &amp; diPAPs Calibration 20 ppb</t>
        </is>
      </c>
      <c r="D335" t="n">
        <v>7.12</v>
      </c>
      <c r="E335" t="n">
        <v>5880.059</v>
      </c>
      <c r="F335" t="n">
        <v>1508.443</v>
      </c>
      <c r="G335" t="n">
        <v>63.25</v>
      </c>
      <c r="H335" t="inlineStr">
        <is>
          <t>bb</t>
        </is>
      </c>
    </row>
    <row r="336">
      <c r="A336" t="n">
        <v>9</v>
      </c>
      <c r="B336" t="inlineStr">
        <is>
          <t>MeOH</t>
        </is>
      </c>
      <c r="D336" t="n">
        <v>7.13</v>
      </c>
      <c r="E336" t="n">
        <v>3.785</v>
      </c>
      <c r="F336" t="n">
        <v>0.193</v>
      </c>
      <c r="G336" t="n">
        <v>60</v>
      </c>
      <c r="H336" t="inlineStr">
        <is>
          <t>bb</t>
        </is>
      </c>
    </row>
    <row r="337">
      <c r="A337" t="n">
        <v>10</v>
      </c>
      <c r="B337" t="inlineStr">
        <is>
          <t>MeOH</t>
        </is>
      </c>
      <c r="D337" t="n">
        <v>7.34</v>
      </c>
      <c r="E337" t="n">
        <v>19.734</v>
      </c>
      <c r="G337" t="n">
        <v>9.592000000000001</v>
      </c>
      <c r="H337" t="inlineStr">
        <is>
          <t>bb</t>
        </is>
      </c>
    </row>
    <row r="338">
      <c r="A338" t="n">
        <v>11</v>
      </c>
      <c r="B338" t="inlineStr">
        <is>
          <t>SB1</t>
        </is>
      </c>
      <c r="D338" t="n">
        <v>7.28</v>
      </c>
      <c r="E338" t="n">
        <v>13.983</v>
      </c>
      <c r="F338" t="n">
        <v>821.71</v>
      </c>
      <c r="G338" t="n">
        <v>9.214</v>
      </c>
      <c r="H338" t="inlineStr">
        <is>
          <t>bb</t>
        </is>
      </c>
    </row>
    <row r="339">
      <c r="A339" t="n">
        <v>12</v>
      </c>
      <c r="B339" t="inlineStr">
        <is>
          <t>SB2</t>
        </is>
      </c>
      <c r="D339" t="n">
        <v>7.28</v>
      </c>
      <c r="E339" t="n">
        <v>0.527</v>
      </c>
      <c r="F339" t="n">
        <v>781.801</v>
      </c>
      <c r="G339" t="n">
        <v>9</v>
      </c>
      <c r="H339" t="inlineStr">
        <is>
          <t>bb</t>
        </is>
      </c>
    </row>
    <row r="340">
      <c r="A340" t="n">
        <v>13</v>
      </c>
      <c r="B340" t="inlineStr">
        <is>
          <t>SB3</t>
        </is>
      </c>
      <c r="F340" t="n">
        <v>544.835</v>
      </c>
    </row>
    <row r="341">
      <c r="A341" t="n">
        <v>14</v>
      </c>
      <c r="B341" t="inlineStr">
        <is>
          <t>SS1</t>
        </is>
      </c>
      <c r="D341" t="n">
        <v>7.27</v>
      </c>
      <c r="E341" t="n">
        <v>1553.828</v>
      </c>
      <c r="F341" t="n">
        <v>867.13</v>
      </c>
      <c r="G341" t="n">
        <v>151.663</v>
      </c>
      <c r="H341" t="inlineStr">
        <is>
          <t>bb</t>
        </is>
      </c>
    </row>
    <row r="342">
      <c r="A342" t="n">
        <v>15</v>
      </c>
      <c r="B342" t="inlineStr">
        <is>
          <t>SS2</t>
        </is>
      </c>
      <c r="D342" t="n">
        <v>7.28</v>
      </c>
      <c r="E342" t="n">
        <v>1411.401</v>
      </c>
      <c r="F342" t="n">
        <v>719.085</v>
      </c>
      <c r="G342" t="n">
        <v>127.024</v>
      </c>
      <c r="H342" t="inlineStr">
        <is>
          <t>bb</t>
        </is>
      </c>
    </row>
    <row r="343">
      <c r="A343" t="n">
        <v>16</v>
      </c>
      <c r="B343" t="inlineStr">
        <is>
          <t>SS3</t>
        </is>
      </c>
      <c r="D343" t="n">
        <v>7.3</v>
      </c>
      <c r="E343" t="n">
        <v>1282.811</v>
      </c>
      <c r="F343" t="n">
        <v>819.293</v>
      </c>
      <c r="G343" t="n">
        <v>56.47</v>
      </c>
      <c r="H343" t="inlineStr">
        <is>
          <t>bb</t>
        </is>
      </c>
    </row>
    <row r="345">
      <c r="A345" t="inlineStr">
        <is>
          <t>Compound 18:  m3 PFBS 1</t>
        </is>
      </c>
    </row>
    <row r="347">
      <c r="B347" t="inlineStr">
        <is>
          <t>Sample Text</t>
        </is>
      </c>
      <c r="C347" t="inlineStr">
        <is>
          <t>Std. Conc</t>
        </is>
      </c>
      <c r="D347" t="inlineStr">
        <is>
          <t>RT</t>
        </is>
      </c>
      <c r="E347" t="inlineStr">
        <is>
          <t>Area</t>
        </is>
      </c>
      <c r="F347" t="inlineStr">
        <is>
          <t>IS Area</t>
        </is>
      </c>
      <c r="G347" t="inlineStr">
        <is>
          <t>S/N</t>
        </is>
      </c>
      <c r="H347" t="inlineStr">
        <is>
          <t>Primary Flags</t>
        </is>
      </c>
      <c r="I347" t="inlineStr">
        <is>
          <t>Response</t>
        </is>
      </c>
      <c r="J347" t="inlineStr">
        <is>
          <t>Conc.</t>
        </is>
      </c>
    </row>
    <row r="348">
      <c r="A348" t="n">
        <v>1</v>
      </c>
      <c r="B348" t="inlineStr">
        <is>
          <t>EPA1633 &amp; diPAPs Calibration 0 ppb</t>
        </is>
      </c>
      <c r="D348" t="n">
        <v>7.1</v>
      </c>
      <c r="E348" t="n">
        <v>2938.249</v>
      </c>
      <c r="G348" t="n">
        <v>116.127</v>
      </c>
      <c r="H348" t="inlineStr">
        <is>
          <t>bb</t>
        </is>
      </c>
      <c r="I348" t="n">
        <v>2938.249</v>
      </c>
    </row>
    <row r="349">
      <c r="A349" t="n">
        <v>2</v>
      </c>
      <c r="B349" t="inlineStr">
        <is>
          <t>EPA1633 &amp; diPAPs Calibration 0.02 ppb</t>
        </is>
      </c>
      <c r="D349" t="n">
        <v>7.14</v>
      </c>
      <c r="E349" t="n">
        <v>2512.521</v>
      </c>
      <c r="G349" t="n">
        <v>131.112</v>
      </c>
      <c r="H349" t="inlineStr">
        <is>
          <t>bb</t>
        </is>
      </c>
      <c r="I349" t="n">
        <v>2512.521</v>
      </c>
    </row>
    <row r="350">
      <c r="A350" t="n">
        <v>3</v>
      </c>
      <c r="B350" t="inlineStr">
        <is>
          <t>EPA1633 &amp; diPAPs Calibration 0.1 ppb</t>
        </is>
      </c>
      <c r="D350" t="n">
        <v>7.16</v>
      </c>
      <c r="E350" t="n">
        <v>2908.581</v>
      </c>
      <c r="G350" t="n">
        <v>193.642</v>
      </c>
      <c r="H350" t="inlineStr">
        <is>
          <t>bb</t>
        </is>
      </c>
      <c r="I350" t="n">
        <v>2908.581</v>
      </c>
    </row>
    <row r="351">
      <c r="A351" t="n">
        <v>4</v>
      </c>
      <c r="B351" t="inlineStr">
        <is>
          <t>EPA1633 &amp; diPAPs Calibration 0.4 ppb</t>
        </is>
      </c>
      <c r="D351" t="n">
        <v>7.16</v>
      </c>
      <c r="E351" t="n">
        <v>2996.688</v>
      </c>
      <c r="G351" t="n">
        <v>1137.639</v>
      </c>
      <c r="H351" t="inlineStr">
        <is>
          <t>bb</t>
        </is>
      </c>
      <c r="I351" t="n">
        <v>2996.688</v>
      </c>
    </row>
    <row r="352">
      <c r="A352" t="n">
        <v>5</v>
      </c>
      <c r="B352" t="inlineStr">
        <is>
          <t>EPA1633 &amp; diPAPs Calibration 1 ppb</t>
        </is>
      </c>
      <c r="D352" t="n">
        <v>7.19</v>
      </c>
      <c r="E352" t="n">
        <v>3153.645</v>
      </c>
      <c r="G352" t="n">
        <v>1105.2</v>
      </c>
      <c r="H352" t="inlineStr">
        <is>
          <t>bb</t>
        </is>
      </c>
      <c r="I352" t="n">
        <v>3153.645</v>
      </c>
    </row>
    <row r="353">
      <c r="A353" t="n">
        <v>6</v>
      </c>
      <c r="B353" t="inlineStr">
        <is>
          <t>EPA1633 &amp; diPAPs Calibration 5 ppb</t>
        </is>
      </c>
      <c r="D353" t="n">
        <v>6.98</v>
      </c>
      <c r="E353" t="n">
        <v>2668.511</v>
      </c>
      <c r="G353" t="n">
        <v>9.186999999999999</v>
      </c>
      <c r="H353" t="inlineStr">
        <is>
          <t>bb</t>
        </is>
      </c>
      <c r="I353" t="n">
        <v>2668.511</v>
      </c>
    </row>
    <row r="354">
      <c r="A354" t="n">
        <v>7</v>
      </c>
      <c r="B354" t="inlineStr">
        <is>
          <t>EPA1633 &amp; diPAPs Calibration 10 ppb</t>
        </is>
      </c>
      <c r="D354" t="n">
        <v>7.06</v>
      </c>
      <c r="E354" t="n">
        <v>2112.954</v>
      </c>
      <c r="G354" t="n">
        <v>22323</v>
      </c>
      <c r="H354" t="inlineStr">
        <is>
          <t>bb</t>
        </is>
      </c>
      <c r="I354" t="n">
        <v>2112.954</v>
      </c>
    </row>
    <row r="355">
      <c r="A355" t="n">
        <v>8</v>
      </c>
      <c r="B355" t="inlineStr">
        <is>
          <t>EPA1633 &amp; diPAPs Calibration 20 ppb</t>
        </is>
      </c>
      <c r="D355" t="n">
        <v>7.12</v>
      </c>
      <c r="E355" t="n">
        <v>2489.734</v>
      </c>
      <c r="G355" t="n">
        <v>145.051</v>
      </c>
      <c r="H355" t="inlineStr">
        <is>
          <t>bb</t>
        </is>
      </c>
      <c r="I355" t="n">
        <v>2489.734</v>
      </c>
    </row>
    <row r="356">
      <c r="A356" t="n">
        <v>9</v>
      </c>
      <c r="B356" t="inlineStr">
        <is>
          <t>MeOH</t>
        </is>
      </c>
      <c r="D356" t="n">
        <v>7.14</v>
      </c>
      <c r="E356" t="n">
        <v>0.383</v>
      </c>
      <c r="G356" t="n">
        <v>7</v>
      </c>
      <c r="H356" t="inlineStr">
        <is>
          <t>bb</t>
        </is>
      </c>
      <c r="I356" t="n">
        <v>0.383</v>
      </c>
    </row>
    <row r="357">
      <c r="A357" t="n">
        <v>10</v>
      </c>
      <c r="B357" t="inlineStr">
        <is>
          <t>MeOH</t>
        </is>
      </c>
      <c r="D357" t="n">
        <v>7.17</v>
      </c>
      <c r="E357" t="n">
        <v>0.987</v>
      </c>
      <c r="G357" t="n">
        <v>18</v>
      </c>
      <c r="H357" t="inlineStr">
        <is>
          <t>bb</t>
        </is>
      </c>
      <c r="I357" t="n">
        <v>0.987</v>
      </c>
    </row>
    <row r="358">
      <c r="A358" t="n">
        <v>11</v>
      </c>
      <c r="B358" t="inlineStr">
        <is>
          <t>SB1</t>
        </is>
      </c>
      <c r="D358" t="n">
        <v>7.22</v>
      </c>
      <c r="E358" t="n">
        <v>1321.243</v>
      </c>
      <c r="G358" t="n">
        <v>79.729</v>
      </c>
      <c r="H358" t="inlineStr">
        <is>
          <t>bb</t>
        </is>
      </c>
      <c r="I358" t="n">
        <v>1321.243</v>
      </c>
    </row>
    <row r="359">
      <c r="A359" t="n">
        <v>12</v>
      </c>
      <c r="B359" t="inlineStr">
        <is>
          <t>SB2</t>
        </is>
      </c>
      <c r="D359" t="n">
        <v>7.2</v>
      </c>
      <c r="E359" t="n">
        <v>1146.191</v>
      </c>
      <c r="G359" t="n">
        <v>1653.084</v>
      </c>
      <c r="H359" t="inlineStr">
        <is>
          <t>bb</t>
        </is>
      </c>
      <c r="I359" t="n">
        <v>1146.191</v>
      </c>
    </row>
    <row r="360">
      <c r="A360" t="n">
        <v>13</v>
      </c>
      <c r="B360" t="inlineStr">
        <is>
          <t>SB3</t>
        </is>
      </c>
      <c r="D360" t="n">
        <v>7.23</v>
      </c>
      <c r="E360" t="n">
        <v>1275.571</v>
      </c>
      <c r="G360" t="n">
        <v>134.256</v>
      </c>
      <c r="H360" t="inlineStr">
        <is>
          <t>bb</t>
        </is>
      </c>
      <c r="I360" t="n">
        <v>1275.571</v>
      </c>
    </row>
    <row r="361">
      <c r="A361" t="n">
        <v>14</v>
      </c>
      <c r="B361" t="inlineStr">
        <is>
          <t>SS1</t>
        </is>
      </c>
      <c r="D361" t="n">
        <v>7.27</v>
      </c>
      <c r="E361" t="n">
        <v>1534.966</v>
      </c>
      <c r="G361" t="n">
        <v>34.623</v>
      </c>
      <c r="H361" t="inlineStr">
        <is>
          <t>bb</t>
        </is>
      </c>
      <c r="I361" t="n">
        <v>1534.966</v>
      </c>
    </row>
    <row r="362">
      <c r="A362" t="n">
        <v>15</v>
      </c>
      <c r="B362" t="inlineStr">
        <is>
          <t>SS2</t>
        </is>
      </c>
      <c r="D362" t="n">
        <v>7.29</v>
      </c>
      <c r="E362" t="n">
        <v>1654.666</v>
      </c>
      <c r="G362" t="n">
        <v>647.735</v>
      </c>
      <c r="H362" t="inlineStr">
        <is>
          <t>bb</t>
        </is>
      </c>
      <c r="I362" t="n">
        <v>1654.666</v>
      </c>
    </row>
    <row r="363">
      <c r="A363" t="n">
        <v>16</v>
      </c>
      <c r="B363" t="inlineStr">
        <is>
          <t>SS3</t>
        </is>
      </c>
      <c r="D363" t="n">
        <v>7.3</v>
      </c>
      <c r="E363" t="n">
        <v>1409.177</v>
      </c>
      <c r="G363" t="n">
        <v>257.551</v>
      </c>
      <c r="H363" t="inlineStr">
        <is>
          <t>bb</t>
        </is>
      </c>
      <c r="I363" t="n">
        <v>1409.177</v>
      </c>
    </row>
    <row r="365">
      <c r="A365" t="inlineStr">
        <is>
          <t>Compound 19:  m3 PFBS 2</t>
        </is>
      </c>
    </row>
    <row r="367">
      <c r="B367" t="inlineStr">
        <is>
          <t>Sample Text</t>
        </is>
      </c>
      <c r="C367" t="inlineStr">
        <is>
          <t>Std. Conc</t>
        </is>
      </c>
      <c r="D367" t="inlineStr">
        <is>
          <t>RT</t>
        </is>
      </c>
      <c r="E367" t="inlineStr">
        <is>
          <t>Area</t>
        </is>
      </c>
      <c r="F367" t="inlineStr">
        <is>
          <t>IS Area</t>
        </is>
      </c>
      <c r="G367" t="inlineStr">
        <is>
          <t>S/N</t>
        </is>
      </c>
      <c r="H367" t="inlineStr">
        <is>
          <t>Primary Flags</t>
        </is>
      </c>
      <c r="I367" t="inlineStr">
        <is>
          <t>Response</t>
        </is>
      </c>
      <c r="J367" t="inlineStr">
        <is>
          <t>Conc.</t>
        </is>
      </c>
    </row>
    <row r="368">
      <c r="A368" t="n">
        <v>1</v>
      </c>
      <c r="B368" t="inlineStr">
        <is>
          <t>EPA1633 &amp; diPAPs Calibration 0 ppb</t>
        </is>
      </c>
      <c r="D368" t="n">
        <v>7.1</v>
      </c>
      <c r="E368" t="n">
        <v>1812.89</v>
      </c>
      <c r="G368" t="n">
        <v>18333</v>
      </c>
      <c r="H368" t="inlineStr">
        <is>
          <t>bb</t>
        </is>
      </c>
      <c r="I368" t="n">
        <v>1812.89</v>
      </c>
    </row>
    <row r="369">
      <c r="A369" t="n">
        <v>2</v>
      </c>
      <c r="B369" t="inlineStr">
        <is>
          <t>EPA1633 &amp; diPAPs Calibration 0.02 ppb</t>
        </is>
      </c>
      <c r="D369" t="n">
        <v>7.14</v>
      </c>
      <c r="E369" t="n">
        <v>1750.095</v>
      </c>
      <c r="G369" t="n">
        <v>75.553</v>
      </c>
      <c r="H369" t="inlineStr">
        <is>
          <t>bb</t>
        </is>
      </c>
      <c r="I369" t="n">
        <v>1750.095</v>
      </c>
    </row>
    <row r="370">
      <c r="A370" t="n">
        <v>3</v>
      </c>
      <c r="B370" t="inlineStr">
        <is>
          <t>EPA1633 &amp; diPAPs Calibration 0.1 ppb</t>
        </is>
      </c>
      <c r="D370" t="n">
        <v>7.17</v>
      </c>
      <c r="E370" t="n">
        <v>1801.795</v>
      </c>
      <c r="G370" t="n">
        <v>288.265</v>
      </c>
      <c r="H370" t="inlineStr">
        <is>
          <t>bb</t>
        </is>
      </c>
      <c r="I370" t="n">
        <v>1801.795</v>
      </c>
    </row>
    <row r="371">
      <c r="A371" t="n">
        <v>4</v>
      </c>
      <c r="B371" t="inlineStr">
        <is>
          <t>EPA1633 &amp; diPAPs Calibration 0.4 ppb</t>
        </is>
      </c>
      <c r="D371" t="n">
        <v>7.17</v>
      </c>
      <c r="E371" t="n">
        <v>1537.963</v>
      </c>
      <c r="G371" t="n">
        <v>179.793</v>
      </c>
      <c r="H371" t="inlineStr">
        <is>
          <t>bb</t>
        </is>
      </c>
      <c r="I371" t="n">
        <v>1537.963</v>
      </c>
    </row>
    <row r="372">
      <c r="A372" t="n">
        <v>5</v>
      </c>
      <c r="B372" t="inlineStr">
        <is>
          <t>EPA1633 &amp; diPAPs Calibration 1 ppb</t>
        </is>
      </c>
      <c r="D372" t="n">
        <v>7.19</v>
      </c>
      <c r="E372" t="n">
        <v>2182.165</v>
      </c>
      <c r="G372" t="n">
        <v>180.172</v>
      </c>
      <c r="H372" t="inlineStr">
        <is>
          <t>bb</t>
        </is>
      </c>
      <c r="I372" t="n">
        <v>2182.165</v>
      </c>
    </row>
    <row r="373">
      <c r="A373" t="n">
        <v>6</v>
      </c>
      <c r="B373" t="inlineStr">
        <is>
          <t>EPA1633 &amp; diPAPs Calibration 5 ppb</t>
        </is>
      </c>
      <c r="D373" t="n">
        <v>6.98</v>
      </c>
      <c r="E373" t="n">
        <v>1666.899</v>
      </c>
      <c r="G373" t="n">
        <v>17270</v>
      </c>
      <c r="H373" t="inlineStr">
        <is>
          <t>bb</t>
        </is>
      </c>
      <c r="I373" t="n">
        <v>1666.899</v>
      </c>
    </row>
    <row r="374">
      <c r="A374" t="n">
        <v>7</v>
      </c>
      <c r="B374" t="inlineStr">
        <is>
          <t>EPA1633 &amp; diPAPs Calibration 10 ppb</t>
        </is>
      </c>
      <c r="D374" t="n">
        <v>7.05</v>
      </c>
      <c r="E374" t="n">
        <v>1664.163</v>
      </c>
      <c r="G374" t="n">
        <v>16939</v>
      </c>
      <c r="H374" t="inlineStr">
        <is>
          <t>bb</t>
        </is>
      </c>
      <c r="I374" t="n">
        <v>1664.163</v>
      </c>
    </row>
    <row r="375">
      <c r="A375" t="n">
        <v>8</v>
      </c>
      <c r="B375" t="inlineStr">
        <is>
          <t>EPA1633 &amp; diPAPs Calibration 20 ppb</t>
        </is>
      </c>
      <c r="D375" t="n">
        <v>7.12</v>
      </c>
      <c r="E375" t="n">
        <v>1508.443</v>
      </c>
      <c r="G375" t="n">
        <v>15185</v>
      </c>
      <c r="H375" t="inlineStr">
        <is>
          <t>bb</t>
        </is>
      </c>
      <c r="I375" t="n">
        <v>1508.443</v>
      </c>
    </row>
    <row r="376">
      <c r="A376" t="n">
        <v>9</v>
      </c>
      <c r="B376" t="inlineStr">
        <is>
          <t>MeOH</t>
        </is>
      </c>
      <c r="D376" t="n">
        <v>7.23</v>
      </c>
      <c r="E376" t="n">
        <v>0.193</v>
      </c>
      <c r="G376" t="n">
        <v>3</v>
      </c>
      <c r="H376" t="inlineStr">
        <is>
          <t>bb</t>
        </is>
      </c>
      <c r="I376" t="n">
        <v>0.193</v>
      </c>
    </row>
    <row r="377">
      <c r="A377" t="n">
        <v>10</v>
      </c>
      <c r="B377" t="inlineStr">
        <is>
          <t>MeOH</t>
        </is>
      </c>
    </row>
    <row r="378">
      <c r="A378" t="n">
        <v>11</v>
      </c>
      <c r="B378" t="inlineStr">
        <is>
          <t>SB1</t>
        </is>
      </c>
      <c r="D378" t="n">
        <v>7.22</v>
      </c>
      <c r="E378" t="n">
        <v>821.71</v>
      </c>
      <c r="G378" t="n">
        <v>71.84</v>
      </c>
      <c r="H378" t="inlineStr">
        <is>
          <t>bb</t>
        </is>
      </c>
      <c r="I378" t="n">
        <v>821.71</v>
      </c>
    </row>
    <row r="379">
      <c r="A379" t="n">
        <v>12</v>
      </c>
      <c r="B379" t="inlineStr">
        <is>
          <t>SB2</t>
        </is>
      </c>
      <c r="D379" t="n">
        <v>7.19</v>
      </c>
      <c r="E379" t="n">
        <v>781.801</v>
      </c>
      <c r="G379" t="n">
        <v>112.496</v>
      </c>
      <c r="H379" t="inlineStr">
        <is>
          <t>bb</t>
        </is>
      </c>
      <c r="I379" t="n">
        <v>781.801</v>
      </c>
    </row>
    <row r="380">
      <c r="A380" t="n">
        <v>13</v>
      </c>
      <c r="B380" t="inlineStr">
        <is>
          <t>SB3</t>
        </is>
      </c>
      <c r="D380" t="n">
        <v>7.23</v>
      </c>
      <c r="E380" t="n">
        <v>544.835</v>
      </c>
      <c r="G380" t="n">
        <v>38.878</v>
      </c>
      <c r="H380" t="inlineStr">
        <is>
          <t>bb</t>
        </is>
      </c>
      <c r="I380" t="n">
        <v>544.835</v>
      </c>
    </row>
    <row r="381">
      <c r="A381" t="n">
        <v>14</v>
      </c>
      <c r="B381" t="inlineStr">
        <is>
          <t>SS1</t>
        </is>
      </c>
      <c r="D381" t="n">
        <v>7.28</v>
      </c>
      <c r="E381" t="n">
        <v>867.13</v>
      </c>
      <c r="G381" t="n">
        <v>1269.644</v>
      </c>
      <c r="H381" t="inlineStr">
        <is>
          <t>bb</t>
        </is>
      </c>
      <c r="I381" t="n">
        <v>867.13</v>
      </c>
    </row>
    <row r="382">
      <c r="A382" t="n">
        <v>15</v>
      </c>
      <c r="B382" t="inlineStr">
        <is>
          <t>SS2</t>
        </is>
      </c>
      <c r="D382" t="n">
        <v>7.29</v>
      </c>
      <c r="E382" t="n">
        <v>719.085</v>
      </c>
      <c r="G382" t="n">
        <v>16.514</v>
      </c>
      <c r="H382" t="inlineStr">
        <is>
          <t>bb</t>
        </is>
      </c>
      <c r="I382" t="n">
        <v>719.085</v>
      </c>
    </row>
    <row r="383">
      <c r="A383" t="n">
        <v>16</v>
      </c>
      <c r="B383" t="inlineStr">
        <is>
          <t>SS3</t>
        </is>
      </c>
      <c r="D383" t="n">
        <v>7.3</v>
      </c>
      <c r="E383" t="n">
        <v>819.293</v>
      </c>
      <c r="G383" t="n">
        <v>34.76</v>
      </c>
      <c r="H383" t="inlineStr">
        <is>
          <t>bb</t>
        </is>
      </c>
      <c r="I383" t="n">
        <v>819.293</v>
      </c>
    </row>
    <row r="385">
      <c r="A385" t="inlineStr">
        <is>
          <t>Compound 20:  PFHxA 1</t>
        </is>
      </c>
    </row>
    <row r="387">
      <c r="B387" t="inlineStr">
        <is>
          <t>Sample Text</t>
        </is>
      </c>
      <c r="C387" t="inlineStr">
        <is>
          <t>Std. Conc</t>
        </is>
      </c>
      <c r="D387" t="inlineStr">
        <is>
          <t>RT</t>
        </is>
      </c>
      <c r="E387" t="inlineStr">
        <is>
          <t>Area</t>
        </is>
      </c>
      <c r="F387" t="inlineStr">
        <is>
          <t>IS Area</t>
        </is>
      </c>
      <c r="G387" t="inlineStr">
        <is>
          <t>S/N</t>
        </is>
      </c>
      <c r="H387" t="inlineStr">
        <is>
          <t>Primary Flags</t>
        </is>
      </c>
      <c r="I387" t="inlineStr">
        <is>
          <t>Response</t>
        </is>
      </c>
      <c r="J387" t="inlineStr">
        <is>
          <t>Conc.</t>
        </is>
      </c>
    </row>
    <row r="388">
      <c r="A388" t="n">
        <v>1</v>
      </c>
      <c r="B388" t="inlineStr">
        <is>
          <t>EPA1633 &amp; diPAPs Calibration 0 ppb</t>
        </is>
      </c>
      <c r="D388" t="n">
        <v>8.699999999999999</v>
      </c>
      <c r="E388" t="n">
        <v>57.37</v>
      </c>
      <c r="F388" t="n">
        <v>2771.78</v>
      </c>
      <c r="G388" t="n">
        <v>2.227</v>
      </c>
      <c r="H388" t="inlineStr">
        <is>
          <t>MM</t>
        </is>
      </c>
    </row>
    <row r="389">
      <c r="A389" t="n">
        <v>2</v>
      </c>
      <c r="B389" t="inlineStr">
        <is>
          <t>EPA1633 &amp; diPAPs Calibration 0.02 ppb</t>
        </is>
      </c>
      <c r="D389" t="n">
        <v>8.84</v>
      </c>
      <c r="E389" t="n">
        <v>184.751</v>
      </c>
      <c r="F389" t="n">
        <v>2613.678</v>
      </c>
      <c r="G389" t="n">
        <v>4.832</v>
      </c>
      <c r="H389" t="inlineStr">
        <is>
          <t>bb</t>
        </is>
      </c>
    </row>
    <row r="390">
      <c r="A390" t="n">
        <v>3</v>
      </c>
      <c r="B390" t="inlineStr">
        <is>
          <t>EPA1633 &amp; diPAPs Calibration 0.1 ppb</t>
        </is>
      </c>
      <c r="D390" t="n">
        <v>8.890000000000001</v>
      </c>
      <c r="E390" t="n">
        <v>209.153</v>
      </c>
      <c r="F390" t="n">
        <v>2704.411</v>
      </c>
      <c r="G390" t="n">
        <v>4.641</v>
      </c>
      <c r="H390" t="inlineStr">
        <is>
          <t>bb</t>
        </is>
      </c>
    </row>
    <row r="391">
      <c r="A391" t="n">
        <v>4</v>
      </c>
      <c r="B391" t="inlineStr">
        <is>
          <t>EPA1633 &amp; diPAPs Calibration 0.4 ppb</t>
        </is>
      </c>
      <c r="D391" t="n">
        <v>8.890000000000001</v>
      </c>
      <c r="E391" t="n">
        <v>313.414</v>
      </c>
      <c r="F391" t="n">
        <v>2633.712</v>
      </c>
      <c r="G391" t="n">
        <v>5.698</v>
      </c>
      <c r="H391" t="inlineStr">
        <is>
          <t>MM</t>
        </is>
      </c>
    </row>
    <row r="392">
      <c r="A392" t="n">
        <v>5</v>
      </c>
      <c r="B392" t="inlineStr">
        <is>
          <t>EPA1633 &amp; diPAPs Calibration 1 ppb</t>
        </is>
      </c>
      <c r="D392" t="n">
        <v>8.92</v>
      </c>
      <c r="E392" t="n">
        <v>713.114</v>
      </c>
      <c r="F392" t="n">
        <v>2798.003</v>
      </c>
      <c r="G392" t="n">
        <v>25.57</v>
      </c>
      <c r="H392" t="inlineStr">
        <is>
          <t>bb</t>
        </is>
      </c>
    </row>
    <row r="393">
      <c r="A393" t="n">
        <v>6</v>
      </c>
      <c r="B393" t="inlineStr">
        <is>
          <t>EPA1633 &amp; diPAPs Calibration 5 ppb</t>
        </is>
      </c>
      <c r="D393" t="n">
        <v>8.75</v>
      </c>
      <c r="E393" t="n">
        <v>2031.749</v>
      </c>
      <c r="F393" t="n">
        <v>2309.18</v>
      </c>
      <c r="G393" t="n">
        <v>48.775</v>
      </c>
      <c r="H393" t="inlineStr">
        <is>
          <t>bb</t>
        </is>
      </c>
    </row>
    <row r="394">
      <c r="A394" t="n">
        <v>7</v>
      </c>
      <c r="B394" t="inlineStr">
        <is>
          <t>EPA1633 &amp; diPAPs Calibration 10 ppb</t>
        </is>
      </c>
      <c r="D394" t="n">
        <v>8.81</v>
      </c>
      <c r="E394" t="n">
        <v>3662.842</v>
      </c>
      <c r="F394" t="n">
        <v>2072.812</v>
      </c>
      <c r="G394" t="n">
        <v>102.616</v>
      </c>
      <c r="H394" t="inlineStr">
        <is>
          <t>bb</t>
        </is>
      </c>
    </row>
    <row r="395">
      <c r="A395" t="n">
        <v>8</v>
      </c>
      <c r="B395" t="inlineStr">
        <is>
          <t>EPA1633 &amp; diPAPs Calibration 20 ppb</t>
        </is>
      </c>
      <c r="D395" t="n">
        <v>8.859999999999999</v>
      </c>
      <c r="E395" t="n">
        <v>6997.361</v>
      </c>
      <c r="F395" t="n">
        <v>1703.301</v>
      </c>
      <c r="G395" t="n">
        <v>138.42</v>
      </c>
      <c r="H395" t="inlineStr">
        <is>
          <t>bb</t>
        </is>
      </c>
    </row>
    <row r="396">
      <c r="A396" t="n">
        <v>9</v>
      </c>
      <c r="B396" t="inlineStr">
        <is>
          <t>MeOH</t>
        </is>
      </c>
      <c r="D396" t="n">
        <v>8.56</v>
      </c>
      <c r="E396" t="n">
        <v>45.933</v>
      </c>
      <c r="G396" t="n">
        <v>1.648</v>
      </c>
      <c r="H396" t="inlineStr">
        <is>
          <t>bb</t>
        </is>
      </c>
    </row>
    <row r="397">
      <c r="A397" t="n">
        <v>10</v>
      </c>
      <c r="B397" t="inlineStr">
        <is>
          <t>MeOH</t>
        </is>
      </c>
      <c r="D397" t="n">
        <v>8.85</v>
      </c>
      <c r="E397" t="n">
        <v>79.866</v>
      </c>
      <c r="G397" t="n">
        <v>1.23</v>
      </c>
      <c r="H397" t="inlineStr">
        <is>
          <t>bb</t>
        </is>
      </c>
    </row>
    <row r="398">
      <c r="A398" t="n">
        <v>11</v>
      </c>
      <c r="B398" t="inlineStr">
        <is>
          <t>SB1</t>
        </is>
      </c>
      <c r="D398" t="n">
        <v>8.890000000000001</v>
      </c>
      <c r="E398" t="n">
        <v>206.395</v>
      </c>
      <c r="F398" t="n">
        <v>802.6180000000001</v>
      </c>
      <c r="G398" t="n">
        <v>4.565</v>
      </c>
      <c r="H398" t="inlineStr">
        <is>
          <t>bb</t>
        </is>
      </c>
    </row>
    <row r="399">
      <c r="A399" t="n">
        <v>12</v>
      </c>
      <c r="B399" t="inlineStr">
        <is>
          <t>SB2</t>
        </is>
      </c>
      <c r="D399" t="n">
        <v>8.92</v>
      </c>
      <c r="E399" t="n">
        <v>121.725</v>
      </c>
      <c r="F399" t="n">
        <v>1039.268</v>
      </c>
      <c r="G399" t="n">
        <v>2.505</v>
      </c>
      <c r="H399" t="inlineStr">
        <is>
          <t>MM</t>
        </is>
      </c>
    </row>
    <row r="400">
      <c r="A400" t="n">
        <v>13</v>
      </c>
      <c r="B400" t="inlineStr">
        <is>
          <t>SB3</t>
        </is>
      </c>
      <c r="D400" t="n">
        <v>8.51</v>
      </c>
      <c r="E400" t="n">
        <v>111.954</v>
      </c>
      <c r="F400" t="n">
        <v>1005.736</v>
      </c>
      <c r="G400" t="n">
        <v>2.808</v>
      </c>
      <c r="H400" t="inlineStr">
        <is>
          <t>bb</t>
        </is>
      </c>
    </row>
    <row r="401">
      <c r="A401" t="n">
        <v>14</v>
      </c>
      <c r="B401" t="inlineStr">
        <is>
          <t>SS1</t>
        </is>
      </c>
      <c r="D401" t="n">
        <v>8.970000000000001</v>
      </c>
      <c r="E401" t="n">
        <v>1375.208</v>
      </c>
      <c r="F401" t="n">
        <v>860.02</v>
      </c>
      <c r="G401" t="n">
        <v>45.393</v>
      </c>
      <c r="H401" t="inlineStr">
        <is>
          <t>bb</t>
        </is>
      </c>
    </row>
    <row r="402">
      <c r="A402" t="n">
        <v>15</v>
      </c>
      <c r="B402" t="inlineStr">
        <is>
          <t>SS2</t>
        </is>
      </c>
      <c r="D402" t="n">
        <v>8.99</v>
      </c>
      <c r="E402" t="n">
        <v>1455.171</v>
      </c>
      <c r="F402" t="n">
        <v>1205.224</v>
      </c>
      <c r="G402" t="n">
        <v>45.096</v>
      </c>
      <c r="H402" t="inlineStr">
        <is>
          <t>bb</t>
        </is>
      </c>
    </row>
    <row r="403">
      <c r="A403" t="n">
        <v>16</v>
      </c>
      <c r="B403" t="inlineStr">
        <is>
          <t>SS3</t>
        </is>
      </c>
      <c r="D403" t="n">
        <v>8.98</v>
      </c>
      <c r="E403" t="n">
        <v>1577.592</v>
      </c>
      <c r="F403" t="n">
        <v>953.783</v>
      </c>
      <c r="G403" t="n">
        <v>44.39</v>
      </c>
      <c r="H403" t="inlineStr">
        <is>
          <t>bd</t>
        </is>
      </c>
    </row>
    <row r="405">
      <c r="A405" t="inlineStr">
        <is>
          <t>Compound 21:  PFHxA 2</t>
        </is>
      </c>
    </row>
    <row r="407">
      <c r="B407" t="inlineStr">
        <is>
          <t>Sample Text</t>
        </is>
      </c>
      <c r="C407" t="inlineStr">
        <is>
          <t>Std. Conc</t>
        </is>
      </c>
      <c r="D407" t="inlineStr">
        <is>
          <t>RT</t>
        </is>
      </c>
      <c r="E407" t="inlineStr">
        <is>
          <t>Area</t>
        </is>
      </c>
      <c r="F407" t="inlineStr">
        <is>
          <t>IS Area</t>
        </is>
      </c>
      <c r="G407" t="inlineStr">
        <is>
          <t>S/N</t>
        </is>
      </c>
      <c r="H407" t="inlineStr">
        <is>
          <t>Primary Flags</t>
        </is>
      </c>
      <c r="I407" t="inlineStr">
        <is>
          <t>Response</t>
        </is>
      </c>
      <c r="J407" t="inlineStr">
        <is>
          <t>Conc.</t>
        </is>
      </c>
    </row>
    <row r="408">
      <c r="A408" t="n">
        <v>1</v>
      </c>
      <c r="B408" t="inlineStr">
        <is>
          <t>EPA1633 &amp; diPAPs Calibration 0 ppb</t>
        </is>
      </c>
      <c r="D408" t="n">
        <v>8.35</v>
      </c>
      <c r="E408" t="n">
        <v>0.27</v>
      </c>
      <c r="F408" t="n">
        <v>2771.78</v>
      </c>
      <c r="G408" t="n">
        <v>4</v>
      </c>
      <c r="H408" t="inlineStr">
        <is>
          <t>bb</t>
        </is>
      </c>
    </row>
    <row r="409">
      <c r="A409" t="n">
        <v>2</v>
      </c>
      <c r="B409" t="inlineStr">
        <is>
          <t>EPA1633 &amp; diPAPs Calibration 0.02 ppb</t>
        </is>
      </c>
      <c r="F409" t="n">
        <v>2613.678</v>
      </c>
    </row>
    <row r="410">
      <c r="A410" t="n">
        <v>3</v>
      </c>
      <c r="B410" t="inlineStr">
        <is>
          <t>EPA1633 &amp; diPAPs Calibration 0.1 ppb</t>
        </is>
      </c>
      <c r="F410" t="n">
        <v>2704.411</v>
      </c>
    </row>
    <row r="411">
      <c r="A411" t="n">
        <v>4</v>
      </c>
      <c r="B411" t="inlineStr">
        <is>
          <t>EPA1633 &amp; diPAPs Calibration 0.4 ppb</t>
        </is>
      </c>
      <c r="F411" t="n">
        <v>2633.712</v>
      </c>
    </row>
    <row r="412">
      <c r="A412" t="n">
        <v>5</v>
      </c>
      <c r="B412" t="inlineStr">
        <is>
          <t>EPA1633 &amp; diPAPs Calibration 1 ppb</t>
        </is>
      </c>
      <c r="D412" t="n">
        <v>8.9</v>
      </c>
      <c r="E412" t="n">
        <v>3.66</v>
      </c>
      <c r="F412" t="n">
        <v>2798.003</v>
      </c>
      <c r="G412" t="n">
        <v>39</v>
      </c>
      <c r="H412" t="inlineStr">
        <is>
          <t>bb</t>
        </is>
      </c>
    </row>
    <row r="413">
      <c r="A413" t="n">
        <v>6</v>
      </c>
      <c r="B413" t="inlineStr">
        <is>
          <t>EPA1633 &amp; diPAPs Calibration 5 ppb</t>
        </is>
      </c>
      <c r="D413" t="n">
        <v>8.720000000000001</v>
      </c>
      <c r="E413" t="n">
        <v>26.424</v>
      </c>
      <c r="F413" t="n">
        <v>2309.18</v>
      </c>
      <c r="G413" t="n">
        <v>334</v>
      </c>
      <c r="H413" t="inlineStr">
        <is>
          <t>bb</t>
        </is>
      </c>
    </row>
    <row r="414">
      <c r="A414" t="n">
        <v>7</v>
      </c>
      <c r="B414" t="inlineStr">
        <is>
          <t>EPA1633 &amp; diPAPs Calibration 10 ppb</t>
        </is>
      </c>
      <c r="D414" t="n">
        <v>8.800000000000001</v>
      </c>
      <c r="E414" t="n">
        <v>67.629</v>
      </c>
      <c r="F414" t="n">
        <v>2072.812</v>
      </c>
      <c r="G414" t="n">
        <v>850</v>
      </c>
      <c r="H414" t="inlineStr">
        <is>
          <t>bb</t>
        </is>
      </c>
    </row>
    <row r="415">
      <c r="A415" t="n">
        <v>8</v>
      </c>
      <c r="B415" t="inlineStr">
        <is>
          <t>EPA1633 &amp; diPAPs Calibration 20 ppb</t>
        </is>
      </c>
      <c r="D415" t="n">
        <v>8.869999999999999</v>
      </c>
      <c r="E415" t="n">
        <v>188.025</v>
      </c>
      <c r="F415" t="n">
        <v>1703.301</v>
      </c>
      <c r="G415" t="n">
        <v>6.494</v>
      </c>
      <c r="H415" t="inlineStr">
        <is>
          <t>bb</t>
        </is>
      </c>
    </row>
    <row r="416">
      <c r="A416" t="n">
        <v>9</v>
      </c>
      <c r="B416" t="inlineStr">
        <is>
          <t>MeOH</t>
        </is>
      </c>
    </row>
    <row r="417">
      <c r="A417" t="n">
        <v>10</v>
      </c>
      <c r="B417" t="inlineStr">
        <is>
          <t>MeOH</t>
        </is>
      </c>
    </row>
    <row r="418">
      <c r="A418" t="n">
        <v>11</v>
      </c>
      <c r="B418" t="inlineStr">
        <is>
          <t>SB1</t>
        </is>
      </c>
      <c r="F418" t="n">
        <v>802.6180000000001</v>
      </c>
    </row>
    <row r="419">
      <c r="A419" t="n">
        <v>12</v>
      </c>
      <c r="B419" t="inlineStr">
        <is>
          <t>SB2</t>
        </is>
      </c>
      <c r="F419" t="n">
        <v>1039.268</v>
      </c>
    </row>
    <row r="420">
      <c r="A420" t="n">
        <v>13</v>
      </c>
      <c r="B420" t="inlineStr">
        <is>
          <t>SB3</t>
        </is>
      </c>
      <c r="F420" t="n">
        <v>1005.736</v>
      </c>
    </row>
    <row r="421">
      <c r="A421" t="n">
        <v>14</v>
      </c>
      <c r="B421" t="inlineStr">
        <is>
          <t>SS1</t>
        </is>
      </c>
      <c r="D421" t="n">
        <v>8.970000000000001</v>
      </c>
      <c r="E421" t="n">
        <v>25.107</v>
      </c>
      <c r="F421" t="n">
        <v>860.02</v>
      </c>
      <c r="G421" t="n">
        <v>188</v>
      </c>
      <c r="H421" t="inlineStr">
        <is>
          <t>bb</t>
        </is>
      </c>
    </row>
    <row r="422">
      <c r="A422" t="n">
        <v>15</v>
      </c>
      <c r="B422" t="inlineStr">
        <is>
          <t>SS2</t>
        </is>
      </c>
      <c r="D422" t="n">
        <v>9.02</v>
      </c>
      <c r="E422" t="n">
        <v>43.204</v>
      </c>
      <c r="F422" t="n">
        <v>1205.224</v>
      </c>
      <c r="G422" t="n">
        <v>8.984</v>
      </c>
      <c r="H422" t="inlineStr">
        <is>
          <t>bb</t>
        </is>
      </c>
    </row>
    <row r="423">
      <c r="A423" t="n">
        <v>16</v>
      </c>
      <c r="B423" t="inlineStr">
        <is>
          <t>SS3</t>
        </is>
      </c>
      <c r="D423" t="n">
        <v>8.99</v>
      </c>
      <c r="E423" t="n">
        <v>10.412</v>
      </c>
      <c r="F423" t="n">
        <v>953.783</v>
      </c>
      <c r="G423" t="n">
        <v>4.848</v>
      </c>
      <c r="H423" t="inlineStr">
        <is>
          <t>bb</t>
        </is>
      </c>
    </row>
    <row r="425">
      <c r="A425" t="inlineStr">
        <is>
          <t>Compound 22:  PFEESA 1</t>
        </is>
      </c>
    </row>
    <row r="427">
      <c r="B427" t="inlineStr">
        <is>
          <t>Sample Text</t>
        </is>
      </c>
      <c r="C427" t="inlineStr">
        <is>
          <t>Std. Conc</t>
        </is>
      </c>
      <c r="D427" t="inlineStr">
        <is>
          <t>RT</t>
        </is>
      </c>
      <c r="E427" t="inlineStr">
        <is>
          <t>Area</t>
        </is>
      </c>
      <c r="F427" t="inlineStr">
        <is>
          <t>IS Area</t>
        </is>
      </c>
      <c r="G427" t="inlineStr">
        <is>
          <t>S/N</t>
        </is>
      </c>
      <c r="H427" t="inlineStr">
        <is>
          <t>Primary Flags</t>
        </is>
      </c>
      <c r="I427" t="inlineStr">
        <is>
          <t>Response</t>
        </is>
      </c>
      <c r="J427" t="inlineStr">
        <is>
          <t>Conc.</t>
        </is>
      </c>
    </row>
    <row r="428">
      <c r="A428" t="n">
        <v>1</v>
      </c>
      <c r="B428" t="inlineStr">
        <is>
          <t>EPA1633 &amp; diPAPs Calibration 0 ppb</t>
        </is>
      </c>
      <c r="D428" t="n">
        <v>8.08</v>
      </c>
      <c r="E428" t="n">
        <v>239.857</v>
      </c>
      <c r="F428" t="n">
        <v>2771.78</v>
      </c>
      <c r="G428" t="n">
        <v>160.371</v>
      </c>
      <c r="H428" t="inlineStr">
        <is>
          <t>bb</t>
        </is>
      </c>
    </row>
    <row r="429">
      <c r="A429" t="n">
        <v>2</v>
      </c>
      <c r="B429" t="inlineStr">
        <is>
          <t>EPA1633 &amp; diPAPs Calibration 0.02 ppb</t>
        </is>
      </c>
      <c r="D429" t="n">
        <v>8.119999999999999</v>
      </c>
      <c r="E429" t="n">
        <v>1839.717</v>
      </c>
      <c r="F429" t="n">
        <v>2613.678</v>
      </c>
      <c r="G429" t="n">
        <v>2499.08</v>
      </c>
      <c r="H429" t="inlineStr">
        <is>
          <t>bb</t>
        </is>
      </c>
    </row>
    <row r="430">
      <c r="A430" t="n">
        <v>3</v>
      </c>
      <c r="B430" t="inlineStr">
        <is>
          <t>EPA1633 &amp; diPAPs Calibration 0.1 ppb</t>
        </is>
      </c>
      <c r="D430" t="n">
        <v>8.130000000000001</v>
      </c>
      <c r="E430" t="n">
        <v>1891.586</v>
      </c>
      <c r="F430" t="n">
        <v>2704.411</v>
      </c>
      <c r="G430" t="n">
        <v>179.954</v>
      </c>
      <c r="H430" t="inlineStr">
        <is>
          <t>bb</t>
        </is>
      </c>
    </row>
    <row r="431">
      <c r="A431" t="n">
        <v>4</v>
      </c>
      <c r="B431" t="inlineStr">
        <is>
          <t>EPA1633 &amp; diPAPs Calibration 0.4 ppb</t>
        </is>
      </c>
      <c r="D431" t="n">
        <v>8.140000000000001</v>
      </c>
      <c r="E431" t="n">
        <v>6963.074</v>
      </c>
      <c r="F431" t="n">
        <v>2633.712</v>
      </c>
      <c r="G431" t="n">
        <v>359.374</v>
      </c>
      <c r="H431" t="inlineStr">
        <is>
          <t>bb</t>
        </is>
      </c>
    </row>
    <row r="432">
      <c r="A432" t="n">
        <v>5</v>
      </c>
      <c r="B432" t="inlineStr">
        <is>
          <t>EPA1633 &amp; diPAPs Calibration 1 ppb</t>
        </is>
      </c>
      <c r="D432" t="n">
        <v>8.16</v>
      </c>
      <c r="E432" t="n">
        <v>11892.697</v>
      </c>
      <c r="F432" t="n">
        <v>2798.003</v>
      </c>
      <c r="G432" t="n">
        <v>469.113</v>
      </c>
      <c r="H432" t="inlineStr">
        <is>
          <t>bb</t>
        </is>
      </c>
    </row>
    <row r="433">
      <c r="A433" t="n">
        <v>6</v>
      </c>
      <c r="B433" t="inlineStr">
        <is>
          <t>EPA1633 &amp; diPAPs Calibration 5 ppb</t>
        </is>
      </c>
      <c r="D433" t="n">
        <v>7.97</v>
      </c>
      <c r="E433" t="n">
        <v>55391.828</v>
      </c>
      <c r="F433" t="n">
        <v>2309.18</v>
      </c>
      <c r="G433" t="n">
        <v>2664.742</v>
      </c>
      <c r="H433" t="inlineStr">
        <is>
          <t>bb</t>
        </is>
      </c>
    </row>
    <row r="434">
      <c r="A434" t="n">
        <v>7</v>
      </c>
      <c r="B434" t="inlineStr">
        <is>
          <t>EPA1633 &amp; diPAPs Calibration 10 ppb</t>
        </is>
      </c>
      <c r="D434" t="n">
        <v>8.050000000000001</v>
      </c>
      <c r="E434" t="n">
        <v>106763.656</v>
      </c>
      <c r="F434" t="n">
        <v>2072.812</v>
      </c>
      <c r="G434" t="n">
        <v>2092.782</v>
      </c>
      <c r="H434" t="inlineStr">
        <is>
          <t>bb</t>
        </is>
      </c>
    </row>
    <row r="435">
      <c r="A435" t="n">
        <v>8</v>
      </c>
      <c r="B435" t="inlineStr">
        <is>
          <t>EPA1633 &amp; diPAPs Calibration 20 ppb</t>
        </is>
      </c>
      <c r="D435" t="n">
        <v>8.109999999999999</v>
      </c>
      <c r="E435" t="n">
        <v>213814.641</v>
      </c>
      <c r="F435" t="n">
        <v>1703.301</v>
      </c>
      <c r="G435" t="n">
        <v>3625.398</v>
      </c>
      <c r="H435" t="inlineStr">
        <is>
          <t>bb</t>
        </is>
      </c>
    </row>
    <row r="436">
      <c r="A436" t="n">
        <v>9</v>
      </c>
      <c r="B436" t="inlineStr">
        <is>
          <t>MeOH</t>
        </is>
      </c>
      <c r="D436" t="n">
        <v>8.15</v>
      </c>
      <c r="E436" t="n">
        <v>299.351</v>
      </c>
      <c r="G436" t="n">
        <v>36.877</v>
      </c>
      <c r="H436" t="inlineStr">
        <is>
          <t>bb</t>
        </is>
      </c>
    </row>
    <row r="437">
      <c r="A437" t="n">
        <v>10</v>
      </c>
      <c r="B437" t="inlineStr">
        <is>
          <t>MeOH</t>
        </is>
      </c>
      <c r="D437" t="n">
        <v>8.15</v>
      </c>
      <c r="E437" t="n">
        <v>293.363</v>
      </c>
      <c r="G437" t="n">
        <v>11.947</v>
      </c>
      <c r="H437" t="inlineStr">
        <is>
          <t>bb</t>
        </is>
      </c>
    </row>
    <row r="438">
      <c r="A438" t="n">
        <v>11</v>
      </c>
      <c r="B438" t="inlineStr">
        <is>
          <t>SB1</t>
        </is>
      </c>
      <c r="D438" t="n">
        <v>8.19</v>
      </c>
      <c r="E438" t="n">
        <v>196.756</v>
      </c>
      <c r="F438" t="n">
        <v>802.6180000000001</v>
      </c>
      <c r="G438" t="n">
        <v>2206</v>
      </c>
      <c r="H438" t="inlineStr">
        <is>
          <t>bb</t>
        </is>
      </c>
    </row>
    <row r="439">
      <c r="A439" t="n">
        <v>12</v>
      </c>
      <c r="B439" t="inlineStr">
        <is>
          <t>SB2</t>
        </is>
      </c>
      <c r="D439" t="n">
        <v>8.02</v>
      </c>
      <c r="E439" t="n">
        <v>9.933</v>
      </c>
      <c r="F439" t="n">
        <v>1039.268</v>
      </c>
      <c r="G439" t="n">
        <v>171</v>
      </c>
      <c r="H439" t="inlineStr">
        <is>
          <t>bb</t>
        </is>
      </c>
    </row>
    <row r="440">
      <c r="A440" t="n">
        <v>13</v>
      </c>
      <c r="B440" t="inlineStr">
        <is>
          <t>SB3</t>
        </is>
      </c>
      <c r="D440" t="n">
        <v>8.18</v>
      </c>
      <c r="E440" t="n">
        <v>57.143</v>
      </c>
      <c r="F440" t="n">
        <v>1005.736</v>
      </c>
      <c r="G440" t="n">
        <v>611</v>
      </c>
      <c r="H440" t="inlineStr">
        <is>
          <t>bb</t>
        </is>
      </c>
    </row>
    <row r="441">
      <c r="A441" t="n">
        <v>14</v>
      </c>
      <c r="B441" t="inlineStr">
        <is>
          <t>SS1</t>
        </is>
      </c>
      <c r="D441" t="n">
        <v>8.23</v>
      </c>
      <c r="E441" t="n">
        <v>47035.477</v>
      </c>
      <c r="F441" t="n">
        <v>860.02</v>
      </c>
      <c r="G441" t="n">
        <v>918.9589999999999</v>
      </c>
      <c r="H441" t="inlineStr">
        <is>
          <t>bb</t>
        </is>
      </c>
    </row>
    <row r="442">
      <c r="A442" t="n">
        <v>15</v>
      </c>
      <c r="B442" t="inlineStr">
        <is>
          <t>SS2</t>
        </is>
      </c>
      <c r="D442" t="n">
        <v>8.25</v>
      </c>
      <c r="E442" t="n">
        <v>49369.875</v>
      </c>
      <c r="F442" t="n">
        <v>1205.224</v>
      </c>
      <c r="G442" t="n">
        <v>1856.405</v>
      </c>
      <c r="H442" t="inlineStr">
        <is>
          <t>bb</t>
        </is>
      </c>
    </row>
    <row r="443">
      <c r="A443" t="n">
        <v>16</v>
      </c>
      <c r="B443" t="inlineStr">
        <is>
          <t>SS3</t>
        </is>
      </c>
      <c r="D443" t="n">
        <v>8.25</v>
      </c>
      <c r="E443" t="n">
        <v>48088.828</v>
      </c>
      <c r="F443" t="n">
        <v>953.783</v>
      </c>
      <c r="G443" t="n">
        <v>3033.577</v>
      </c>
      <c r="H443" t="inlineStr">
        <is>
          <t>bb</t>
        </is>
      </c>
    </row>
    <row r="445">
      <c r="A445" t="inlineStr">
        <is>
          <t>Compound 23:  PFEESA 2</t>
        </is>
      </c>
    </row>
    <row r="447">
      <c r="B447" t="inlineStr">
        <is>
          <t>Sample Text</t>
        </is>
      </c>
      <c r="C447" t="inlineStr">
        <is>
          <t>Std. Conc</t>
        </is>
      </c>
      <c r="D447" t="inlineStr">
        <is>
          <t>RT</t>
        </is>
      </c>
      <c r="E447" t="inlineStr">
        <is>
          <t>Area</t>
        </is>
      </c>
      <c r="F447" t="inlineStr">
        <is>
          <t>IS Area</t>
        </is>
      </c>
      <c r="G447" t="inlineStr">
        <is>
          <t>S/N</t>
        </is>
      </c>
      <c r="H447" t="inlineStr">
        <is>
          <t>Primary Flags</t>
        </is>
      </c>
      <c r="I447" t="inlineStr">
        <is>
          <t>Response</t>
        </is>
      </c>
      <c r="J447" t="inlineStr">
        <is>
          <t>Conc.</t>
        </is>
      </c>
    </row>
    <row r="448">
      <c r="A448" t="n">
        <v>1</v>
      </c>
      <c r="B448" t="inlineStr">
        <is>
          <t>EPA1633 &amp; diPAPs Calibration 0 ppb</t>
        </is>
      </c>
      <c r="D448" t="n">
        <v>8.34</v>
      </c>
      <c r="E448" t="n">
        <v>0.18</v>
      </c>
      <c r="G448" t="n">
        <v>3</v>
      </c>
      <c r="H448" t="inlineStr">
        <is>
          <t>bb</t>
        </is>
      </c>
    </row>
    <row r="449">
      <c r="A449" t="n">
        <v>2</v>
      </c>
      <c r="B449" t="inlineStr">
        <is>
          <t>EPA1633 &amp; diPAPs Calibration 0.02 ppb</t>
        </is>
      </c>
    </row>
    <row r="450">
      <c r="A450" t="n">
        <v>3</v>
      </c>
      <c r="B450" t="inlineStr">
        <is>
          <t>EPA1633 &amp; diPAPs Calibration 0.1 ppb</t>
        </is>
      </c>
      <c r="F450" t="n">
        <v>0.8080000000000001</v>
      </c>
    </row>
    <row r="451">
      <c r="A451" t="n">
        <v>4</v>
      </c>
      <c r="B451" t="inlineStr">
        <is>
          <t>EPA1633 &amp; diPAPs Calibration 0.4 ppb</t>
        </is>
      </c>
      <c r="D451" t="n">
        <v>8.16</v>
      </c>
      <c r="E451" t="n">
        <v>0.31</v>
      </c>
      <c r="F451" t="n">
        <v>0.848</v>
      </c>
      <c r="G451" t="n">
        <v>5</v>
      </c>
      <c r="H451" t="inlineStr">
        <is>
          <t>bb</t>
        </is>
      </c>
    </row>
    <row r="452">
      <c r="A452" t="n">
        <v>5</v>
      </c>
      <c r="B452" t="inlineStr">
        <is>
          <t>EPA1633 &amp; diPAPs Calibration 1 ppb</t>
        </is>
      </c>
      <c r="F452" t="n">
        <v>32.061</v>
      </c>
    </row>
    <row r="453">
      <c r="A453" t="n">
        <v>6</v>
      </c>
      <c r="B453" t="inlineStr">
        <is>
          <t>EPA1633 &amp; diPAPs Calibration 5 ppb</t>
        </is>
      </c>
      <c r="D453" t="n">
        <v>7.97</v>
      </c>
      <c r="E453" t="n">
        <v>21.239</v>
      </c>
      <c r="F453" t="n">
        <v>2.482</v>
      </c>
      <c r="G453" t="n">
        <v>7.014</v>
      </c>
      <c r="H453" t="inlineStr">
        <is>
          <t>bb</t>
        </is>
      </c>
    </row>
    <row r="454">
      <c r="A454" t="n">
        <v>7</v>
      </c>
      <c r="B454" t="inlineStr">
        <is>
          <t>EPA1633 &amp; diPAPs Calibration 10 ppb</t>
        </is>
      </c>
      <c r="D454" t="n">
        <v>8.07</v>
      </c>
      <c r="E454" t="n">
        <v>103.532</v>
      </c>
      <c r="F454" t="n">
        <v>5.974</v>
      </c>
      <c r="G454" t="n">
        <v>61.905</v>
      </c>
      <c r="H454" t="inlineStr">
        <is>
          <t>bb</t>
        </is>
      </c>
    </row>
    <row r="455">
      <c r="A455" t="n">
        <v>8</v>
      </c>
      <c r="B455" t="inlineStr">
        <is>
          <t>EPA1633 &amp; diPAPs Calibration 20 ppb</t>
        </is>
      </c>
      <c r="D455" t="n">
        <v>8.1</v>
      </c>
      <c r="E455" t="n">
        <v>170.36</v>
      </c>
      <c r="F455" t="n">
        <v>10.827</v>
      </c>
      <c r="G455" t="n">
        <v>7.667</v>
      </c>
      <c r="H455" t="inlineStr">
        <is>
          <t>bb</t>
        </is>
      </c>
    </row>
    <row r="456">
      <c r="A456" t="n">
        <v>9</v>
      </c>
      <c r="B456" t="inlineStr">
        <is>
          <t>MeOH</t>
        </is>
      </c>
    </row>
    <row r="457">
      <c r="A457" t="n">
        <v>10</v>
      </c>
      <c r="B457" t="inlineStr">
        <is>
          <t>MeOH</t>
        </is>
      </c>
      <c r="D457" t="n">
        <v>7.93</v>
      </c>
      <c r="E457" t="n">
        <v>0.225</v>
      </c>
      <c r="G457" t="n">
        <v>4</v>
      </c>
      <c r="H457" t="inlineStr">
        <is>
          <t>bb</t>
        </is>
      </c>
    </row>
    <row r="458">
      <c r="A458" t="n">
        <v>11</v>
      </c>
      <c r="B458" t="inlineStr">
        <is>
          <t>SB1</t>
        </is>
      </c>
    </row>
    <row r="459">
      <c r="A459" t="n">
        <v>12</v>
      </c>
      <c r="B459" t="inlineStr">
        <is>
          <t>SB2</t>
        </is>
      </c>
    </row>
    <row r="460">
      <c r="A460" t="n">
        <v>13</v>
      </c>
      <c r="B460" t="inlineStr">
        <is>
          <t>SB3</t>
        </is>
      </c>
    </row>
    <row r="461">
      <c r="A461" t="n">
        <v>14</v>
      </c>
      <c r="B461" t="inlineStr">
        <is>
          <t>SS1</t>
        </is>
      </c>
      <c r="D461" t="n">
        <v>8.210000000000001</v>
      </c>
      <c r="E461" t="n">
        <v>11.466</v>
      </c>
      <c r="G461" t="n">
        <v>148</v>
      </c>
      <c r="H461" t="inlineStr">
        <is>
          <t>bb</t>
        </is>
      </c>
    </row>
    <row r="462">
      <c r="A462" t="n">
        <v>15</v>
      </c>
      <c r="B462" t="inlineStr">
        <is>
          <t>SS2</t>
        </is>
      </c>
      <c r="D462" t="n">
        <v>8.23</v>
      </c>
      <c r="E462" t="n">
        <v>51.389</v>
      </c>
      <c r="F462" t="n">
        <v>6.07</v>
      </c>
      <c r="G462" t="n">
        <v>3.459</v>
      </c>
      <c r="H462" t="inlineStr">
        <is>
          <t>bb</t>
        </is>
      </c>
    </row>
    <row r="463">
      <c r="A463" t="n">
        <v>16</v>
      </c>
      <c r="B463" t="inlineStr">
        <is>
          <t>SS3</t>
        </is>
      </c>
      <c r="D463" t="n">
        <v>8.24</v>
      </c>
      <c r="E463" t="n">
        <v>4.1</v>
      </c>
      <c r="G463" t="n">
        <v>68</v>
      </c>
      <c r="H463" t="inlineStr">
        <is>
          <t>bb</t>
        </is>
      </c>
    </row>
    <row r="465">
      <c r="A465" t="inlineStr">
        <is>
          <t>Compound 24:  m5 PFHxA 1</t>
        </is>
      </c>
    </row>
    <row r="467">
      <c r="B467" t="inlineStr">
        <is>
          <t>Sample Text</t>
        </is>
      </c>
      <c r="C467" t="inlineStr">
        <is>
          <t>Std. Conc</t>
        </is>
      </c>
      <c r="D467" t="inlineStr">
        <is>
          <t>RT</t>
        </is>
      </c>
      <c r="E467" t="inlineStr">
        <is>
          <t>Area</t>
        </is>
      </c>
      <c r="F467" t="inlineStr">
        <is>
          <t>IS Area</t>
        </is>
      </c>
      <c r="G467" t="inlineStr">
        <is>
          <t>S/N</t>
        </is>
      </c>
      <c r="H467" t="inlineStr">
        <is>
          <t>Primary Flags</t>
        </is>
      </c>
      <c r="I467" t="inlineStr">
        <is>
          <t>Response</t>
        </is>
      </c>
      <c r="J467" t="inlineStr">
        <is>
          <t>Conc.</t>
        </is>
      </c>
    </row>
    <row r="468">
      <c r="A468" t="n">
        <v>1</v>
      </c>
      <c r="B468" t="inlineStr">
        <is>
          <t>EPA1633 &amp; diPAPs Calibration 0 ppb</t>
        </is>
      </c>
      <c r="D468" t="n">
        <v>8.83</v>
      </c>
      <c r="E468" t="n">
        <v>2771.78</v>
      </c>
      <c r="G468" t="n">
        <v>156.286</v>
      </c>
      <c r="H468" t="inlineStr">
        <is>
          <t>MM</t>
        </is>
      </c>
      <c r="I468" t="n">
        <v>2771.78</v>
      </c>
    </row>
    <row r="469">
      <c r="A469" t="n">
        <v>2</v>
      </c>
      <c r="B469" t="inlineStr">
        <is>
          <t>EPA1633 &amp; diPAPs Calibration 0.02 ppb</t>
        </is>
      </c>
      <c r="D469" t="n">
        <v>8.859999999999999</v>
      </c>
      <c r="E469" t="n">
        <v>2613.678</v>
      </c>
      <c r="G469" t="n">
        <v>93.04000000000001</v>
      </c>
      <c r="H469" t="inlineStr">
        <is>
          <t>MM</t>
        </is>
      </c>
      <c r="I469" t="n">
        <v>2613.678</v>
      </c>
    </row>
    <row r="470">
      <c r="A470" t="n">
        <v>3</v>
      </c>
      <c r="B470" t="inlineStr">
        <is>
          <t>EPA1633 &amp; diPAPs Calibration 0.1 ppb</t>
        </is>
      </c>
      <c r="D470" t="n">
        <v>8.880000000000001</v>
      </c>
      <c r="E470" t="n">
        <v>2704.411</v>
      </c>
      <c r="G470" t="n">
        <v>1569.874</v>
      </c>
      <c r="H470" t="inlineStr">
        <is>
          <t>MM</t>
        </is>
      </c>
      <c r="I470" t="n">
        <v>2704.411</v>
      </c>
    </row>
    <row r="471">
      <c r="A471" t="n">
        <v>4</v>
      </c>
      <c r="B471" t="inlineStr">
        <is>
          <t>EPA1633 &amp; diPAPs Calibration 0.4 ppb</t>
        </is>
      </c>
      <c r="D471" t="n">
        <v>8.890000000000001</v>
      </c>
      <c r="E471" t="n">
        <v>2633.712</v>
      </c>
      <c r="G471" t="n">
        <v>31.206</v>
      </c>
      <c r="H471" t="inlineStr">
        <is>
          <t>MM</t>
        </is>
      </c>
      <c r="I471" t="n">
        <v>2633.712</v>
      </c>
    </row>
    <row r="472">
      <c r="A472" t="n">
        <v>5</v>
      </c>
      <c r="B472" t="inlineStr">
        <is>
          <t>EPA1633 &amp; diPAPs Calibration 1 ppb</t>
        </is>
      </c>
      <c r="D472" t="n">
        <v>8.91</v>
      </c>
      <c r="E472" t="n">
        <v>2798.003</v>
      </c>
      <c r="G472" t="n">
        <v>71.60599999999999</v>
      </c>
      <c r="H472" t="inlineStr">
        <is>
          <t>MM</t>
        </is>
      </c>
      <c r="I472" t="n">
        <v>2798.003</v>
      </c>
    </row>
    <row r="473">
      <c r="A473" t="n">
        <v>6</v>
      </c>
      <c r="B473" t="inlineStr">
        <is>
          <t>EPA1633 &amp; diPAPs Calibration 5 ppb</t>
        </is>
      </c>
      <c r="D473" t="n">
        <v>8.74</v>
      </c>
      <c r="E473" t="n">
        <v>2309.18</v>
      </c>
      <c r="G473" t="n">
        <v>9.723000000000001</v>
      </c>
      <c r="H473" t="inlineStr">
        <is>
          <t>MM</t>
        </is>
      </c>
      <c r="I473" t="n">
        <v>2309.18</v>
      </c>
    </row>
    <row r="474">
      <c r="A474" t="n">
        <v>7</v>
      </c>
      <c r="B474" t="inlineStr">
        <is>
          <t>EPA1633 &amp; diPAPs Calibration 10 ppb</t>
        </is>
      </c>
      <c r="D474" t="n">
        <v>8.81</v>
      </c>
      <c r="E474" t="n">
        <v>2072.812</v>
      </c>
      <c r="G474" t="n">
        <v>991.276</v>
      </c>
      <c r="H474" t="inlineStr">
        <is>
          <t>MM</t>
        </is>
      </c>
      <c r="I474" t="n">
        <v>2072.812</v>
      </c>
    </row>
    <row r="475">
      <c r="A475" t="n">
        <v>8</v>
      </c>
      <c r="B475" t="inlineStr">
        <is>
          <t>EPA1633 &amp; diPAPs Calibration 20 ppb</t>
        </is>
      </c>
      <c r="D475" t="n">
        <v>8.859999999999999</v>
      </c>
      <c r="E475" t="n">
        <v>1703.301</v>
      </c>
      <c r="G475" t="n">
        <v>15370</v>
      </c>
      <c r="H475" t="inlineStr">
        <is>
          <t>MM</t>
        </is>
      </c>
      <c r="I475" t="n">
        <v>1703.301</v>
      </c>
    </row>
    <row r="476">
      <c r="A476" t="n">
        <v>9</v>
      </c>
      <c r="B476" t="inlineStr">
        <is>
          <t>MeOH</t>
        </is>
      </c>
    </row>
    <row r="477">
      <c r="A477" t="n">
        <v>10</v>
      </c>
      <c r="B477" t="inlineStr">
        <is>
          <t>MeOH</t>
        </is>
      </c>
    </row>
    <row r="478">
      <c r="A478" t="n">
        <v>11</v>
      </c>
      <c r="B478" t="inlineStr">
        <is>
          <t>SB1</t>
        </is>
      </c>
      <c r="D478" t="n">
        <v>8.92</v>
      </c>
      <c r="E478" t="n">
        <v>802.6180000000001</v>
      </c>
      <c r="G478" t="n">
        <v>7297</v>
      </c>
      <c r="H478" t="inlineStr">
        <is>
          <t>MM</t>
        </is>
      </c>
      <c r="I478" t="n">
        <v>802.6180000000001</v>
      </c>
    </row>
    <row r="479">
      <c r="A479" t="n">
        <v>12</v>
      </c>
      <c r="B479" t="inlineStr">
        <is>
          <t>SB2</t>
        </is>
      </c>
      <c r="D479" t="n">
        <v>8.91</v>
      </c>
      <c r="E479" t="n">
        <v>1039.268</v>
      </c>
      <c r="G479" t="n">
        <v>36.03</v>
      </c>
      <c r="H479" t="inlineStr">
        <is>
          <t>MM</t>
        </is>
      </c>
      <c r="I479" t="n">
        <v>1039.268</v>
      </c>
    </row>
    <row r="480">
      <c r="A480" t="n">
        <v>13</v>
      </c>
      <c r="B480" t="inlineStr">
        <is>
          <t>SB3</t>
        </is>
      </c>
      <c r="D480" t="n">
        <v>8.93</v>
      </c>
      <c r="E480" t="n">
        <v>1005.736</v>
      </c>
      <c r="G480" t="n">
        <v>9.57</v>
      </c>
      <c r="H480" t="inlineStr">
        <is>
          <t>MM</t>
        </is>
      </c>
      <c r="I480" t="n">
        <v>1005.736</v>
      </c>
    </row>
    <row r="481">
      <c r="A481" t="n">
        <v>14</v>
      </c>
      <c r="B481" t="inlineStr">
        <is>
          <t>SS1</t>
        </is>
      </c>
      <c r="D481" t="n">
        <v>8.98</v>
      </c>
      <c r="E481" t="n">
        <v>860.02</v>
      </c>
      <c r="G481" t="n">
        <v>16.391</v>
      </c>
      <c r="H481" t="inlineStr">
        <is>
          <t>MM</t>
        </is>
      </c>
      <c r="I481" t="n">
        <v>860.02</v>
      </c>
    </row>
    <row r="482">
      <c r="A482" t="n">
        <v>15</v>
      </c>
      <c r="B482" t="inlineStr">
        <is>
          <t>SS2</t>
        </is>
      </c>
      <c r="D482" t="n">
        <v>8.99</v>
      </c>
      <c r="E482" t="n">
        <v>1205.224</v>
      </c>
      <c r="G482" t="n">
        <v>10146</v>
      </c>
      <c r="H482" t="inlineStr">
        <is>
          <t>MM</t>
        </is>
      </c>
      <c r="I482" t="n">
        <v>1205.224</v>
      </c>
    </row>
    <row r="483">
      <c r="A483" t="n">
        <v>16</v>
      </c>
      <c r="B483" t="inlineStr">
        <is>
          <t>SS3</t>
        </is>
      </c>
      <c r="D483" t="n">
        <v>8.99</v>
      </c>
      <c r="E483" t="n">
        <v>953.783</v>
      </c>
      <c r="G483" t="n">
        <v>6.999</v>
      </c>
      <c r="H483" t="inlineStr">
        <is>
          <t>MM</t>
        </is>
      </c>
      <c r="I483" t="n">
        <v>953.783</v>
      </c>
    </row>
    <row r="485">
      <c r="A485" t="inlineStr">
        <is>
          <t>Compound 25:  m5 PFHxA 2</t>
        </is>
      </c>
    </row>
    <row r="487">
      <c r="B487" t="inlineStr">
        <is>
          <t>Sample Text</t>
        </is>
      </c>
      <c r="C487" t="inlineStr">
        <is>
          <t>Std. Conc</t>
        </is>
      </c>
      <c r="D487" t="inlineStr">
        <is>
          <t>RT</t>
        </is>
      </c>
      <c r="E487" t="inlineStr">
        <is>
          <t>Area</t>
        </is>
      </c>
      <c r="F487" t="inlineStr">
        <is>
          <t>IS Area</t>
        </is>
      </c>
      <c r="G487" t="inlineStr">
        <is>
          <t>S/N</t>
        </is>
      </c>
      <c r="H487" t="inlineStr">
        <is>
          <t>Primary Flags</t>
        </is>
      </c>
      <c r="I487" t="inlineStr">
        <is>
          <t>Response</t>
        </is>
      </c>
      <c r="J487" t="inlineStr">
        <is>
          <t>Conc.</t>
        </is>
      </c>
    </row>
    <row r="488">
      <c r="A488" t="n">
        <v>1</v>
      </c>
      <c r="B488" t="inlineStr">
        <is>
          <t>EPA1633 &amp; diPAPs Calibration 0 ppb</t>
        </is>
      </c>
    </row>
    <row r="489">
      <c r="A489" t="n">
        <v>2</v>
      </c>
      <c r="B489" t="inlineStr">
        <is>
          <t>EPA1633 &amp; diPAPs Calibration 0.02 ppb</t>
        </is>
      </c>
    </row>
    <row r="490">
      <c r="A490" t="n">
        <v>3</v>
      </c>
      <c r="B490" t="inlineStr">
        <is>
          <t>EPA1633 &amp; diPAPs Calibration 0.1 ppb</t>
        </is>
      </c>
      <c r="D490" t="n">
        <v>8.92</v>
      </c>
      <c r="E490" t="n">
        <v>0.8080000000000001</v>
      </c>
      <c r="G490" t="n">
        <v>3.944</v>
      </c>
      <c r="H490" t="inlineStr">
        <is>
          <t>bb</t>
        </is>
      </c>
      <c r="I490" t="n">
        <v>0.8080000000000001</v>
      </c>
    </row>
    <row r="491">
      <c r="A491" t="n">
        <v>4</v>
      </c>
      <c r="B491" t="inlineStr">
        <is>
          <t>EPA1633 &amp; diPAPs Calibration 0.4 ppb</t>
        </is>
      </c>
      <c r="D491" t="n">
        <v>9.609999999999999</v>
      </c>
      <c r="E491" t="n">
        <v>0.848</v>
      </c>
      <c r="G491" t="n">
        <v>9</v>
      </c>
      <c r="H491" t="inlineStr">
        <is>
          <t>MM</t>
        </is>
      </c>
      <c r="I491" t="n">
        <v>0.848</v>
      </c>
    </row>
    <row r="492">
      <c r="A492" t="n">
        <v>5</v>
      </c>
      <c r="B492" t="inlineStr">
        <is>
          <t>EPA1633 &amp; diPAPs Calibration 1 ppb</t>
        </is>
      </c>
      <c r="D492" t="n">
        <v>8.9</v>
      </c>
      <c r="E492" t="n">
        <v>32.061</v>
      </c>
      <c r="G492" t="n">
        <v>397</v>
      </c>
      <c r="H492" t="inlineStr">
        <is>
          <t>bb</t>
        </is>
      </c>
      <c r="I492" t="n">
        <v>32.061</v>
      </c>
    </row>
    <row r="493">
      <c r="A493" t="n">
        <v>6</v>
      </c>
      <c r="B493" t="inlineStr">
        <is>
          <t>EPA1633 &amp; diPAPs Calibration 5 ppb</t>
        </is>
      </c>
      <c r="D493" t="n">
        <v>8.720000000000001</v>
      </c>
      <c r="E493" t="n">
        <v>2.482</v>
      </c>
      <c r="G493" t="n">
        <v>35</v>
      </c>
      <c r="H493" t="inlineStr">
        <is>
          <t>bb</t>
        </is>
      </c>
      <c r="I493" t="n">
        <v>2.482</v>
      </c>
    </row>
    <row r="494">
      <c r="A494" t="n">
        <v>7</v>
      </c>
      <c r="B494" t="inlineStr">
        <is>
          <t>EPA1633 &amp; diPAPs Calibration 10 ppb</t>
        </is>
      </c>
      <c r="D494" t="n">
        <v>8.789999999999999</v>
      </c>
      <c r="E494" t="n">
        <v>5.974</v>
      </c>
      <c r="G494" t="n">
        <v>73</v>
      </c>
      <c r="H494" t="inlineStr">
        <is>
          <t>bb</t>
        </is>
      </c>
      <c r="I494" t="n">
        <v>5.974</v>
      </c>
    </row>
    <row r="495">
      <c r="A495" t="n">
        <v>8</v>
      </c>
      <c r="B495" t="inlineStr">
        <is>
          <t>EPA1633 &amp; diPAPs Calibration 20 ppb</t>
        </is>
      </c>
      <c r="D495" t="n">
        <v>8.83</v>
      </c>
      <c r="E495" t="n">
        <v>10.827</v>
      </c>
      <c r="G495" t="n">
        <v>119</v>
      </c>
      <c r="H495" t="inlineStr">
        <is>
          <t>bb</t>
        </is>
      </c>
      <c r="I495" t="n">
        <v>10.827</v>
      </c>
    </row>
    <row r="496">
      <c r="A496" t="n">
        <v>9</v>
      </c>
      <c r="B496" t="inlineStr">
        <is>
          <t>MeOH</t>
        </is>
      </c>
    </row>
    <row r="497">
      <c r="A497" t="n">
        <v>10</v>
      </c>
      <c r="B497" t="inlineStr">
        <is>
          <t>MeOH</t>
        </is>
      </c>
    </row>
    <row r="498">
      <c r="A498" t="n">
        <v>11</v>
      </c>
      <c r="B498" t="inlineStr">
        <is>
          <t>SB1</t>
        </is>
      </c>
    </row>
    <row r="499">
      <c r="A499" t="n">
        <v>12</v>
      </c>
      <c r="B499" t="inlineStr">
        <is>
          <t>SB2</t>
        </is>
      </c>
    </row>
    <row r="500">
      <c r="A500" t="n">
        <v>13</v>
      </c>
      <c r="B500" t="inlineStr">
        <is>
          <t>SB3</t>
        </is>
      </c>
    </row>
    <row r="501">
      <c r="A501" t="n">
        <v>14</v>
      </c>
      <c r="B501" t="inlineStr">
        <is>
          <t>SS1</t>
        </is>
      </c>
    </row>
    <row r="502">
      <c r="A502" t="n">
        <v>15</v>
      </c>
      <c r="B502" t="inlineStr">
        <is>
          <t>SS2</t>
        </is>
      </c>
      <c r="D502" t="n">
        <v>9</v>
      </c>
      <c r="E502" t="n">
        <v>6.07</v>
      </c>
      <c r="G502" t="n">
        <v>76</v>
      </c>
      <c r="H502" t="inlineStr">
        <is>
          <t>bb</t>
        </is>
      </c>
      <c r="I502" t="n">
        <v>6.07</v>
      </c>
    </row>
    <row r="503">
      <c r="A503" t="n">
        <v>16</v>
      </c>
      <c r="B503" t="inlineStr">
        <is>
          <t>SS3</t>
        </is>
      </c>
    </row>
    <row r="505">
      <c r="A505" t="inlineStr">
        <is>
          <t>Compound 26:  4:2 FTS 1</t>
        </is>
      </c>
    </row>
    <row r="507">
      <c r="B507" t="inlineStr">
        <is>
          <t>Sample Text</t>
        </is>
      </c>
      <c r="C507" t="inlineStr">
        <is>
          <t>Std. Conc</t>
        </is>
      </c>
      <c r="D507" t="inlineStr">
        <is>
          <t>RT</t>
        </is>
      </c>
      <c r="E507" t="inlineStr">
        <is>
          <t>Area</t>
        </is>
      </c>
      <c r="F507" t="inlineStr">
        <is>
          <t>IS Area</t>
        </is>
      </c>
      <c r="G507" t="inlineStr">
        <is>
          <t>S/N</t>
        </is>
      </c>
      <c r="H507" t="inlineStr">
        <is>
          <t>Primary Flags</t>
        </is>
      </c>
      <c r="I507" t="inlineStr">
        <is>
          <t>Response</t>
        </is>
      </c>
      <c r="J507" t="inlineStr">
        <is>
          <t>Conc.</t>
        </is>
      </c>
    </row>
    <row r="508">
      <c r="A508" t="n">
        <v>1</v>
      </c>
      <c r="B508" t="inlineStr">
        <is>
          <t>EPA1633 &amp; diPAPs Calibration 0 ppb</t>
        </is>
      </c>
      <c r="F508" t="n">
        <v>2771.78</v>
      </c>
    </row>
    <row r="509">
      <c r="A509" t="n">
        <v>2</v>
      </c>
      <c r="B509" t="inlineStr">
        <is>
          <t>EPA1633 &amp; diPAPs Calibration 0.02 ppb</t>
        </is>
      </c>
      <c r="D509" t="n">
        <v>8.6</v>
      </c>
      <c r="E509" t="n">
        <v>4.659</v>
      </c>
      <c r="F509" t="n">
        <v>2613.678</v>
      </c>
      <c r="G509" t="n">
        <v>67</v>
      </c>
      <c r="H509" t="inlineStr">
        <is>
          <t>bb</t>
        </is>
      </c>
    </row>
    <row r="510">
      <c r="A510" t="n">
        <v>3</v>
      </c>
      <c r="B510" t="inlineStr">
        <is>
          <t>EPA1633 &amp; diPAPs Calibration 0.1 ppb</t>
        </is>
      </c>
      <c r="F510" t="n">
        <v>2704.411</v>
      </c>
    </row>
    <row r="511">
      <c r="A511" t="n">
        <v>4</v>
      </c>
      <c r="B511" t="inlineStr">
        <is>
          <t>EPA1633 &amp; diPAPs Calibration 0.4 ppb</t>
        </is>
      </c>
      <c r="D511" t="n">
        <v>8.68</v>
      </c>
      <c r="E511" t="n">
        <v>91.667</v>
      </c>
      <c r="F511" t="n">
        <v>2633.712</v>
      </c>
      <c r="G511" t="n">
        <v>4.528</v>
      </c>
      <c r="H511" t="inlineStr">
        <is>
          <t>bb</t>
        </is>
      </c>
    </row>
    <row r="512">
      <c r="A512" t="n">
        <v>5</v>
      </c>
      <c r="B512" t="inlineStr">
        <is>
          <t>EPA1633 &amp; diPAPs Calibration 1 ppb</t>
        </is>
      </c>
      <c r="D512" t="n">
        <v>8.69</v>
      </c>
      <c r="E512" t="n">
        <v>106.28</v>
      </c>
      <c r="F512" t="n">
        <v>2798.003</v>
      </c>
      <c r="G512" t="n">
        <v>1179</v>
      </c>
      <c r="H512" t="inlineStr">
        <is>
          <t>bb</t>
        </is>
      </c>
    </row>
    <row r="513">
      <c r="A513" t="n">
        <v>6</v>
      </c>
      <c r="B513" t="inlineStr">
        <is>
          <t>EPA1633 &amp; diPAPs Calibration 5 ppb</t>
        </is>
      </c>
      <c r="D513" t="n">
        <v>8.49</v>
      </c>
      <c r="E513" t="n">
        <v>792.333</v>
      </c>
      <c r="F513" t="n">
        <v>2309.18</v>
      </c>
      <c r="G513" t="n">
        <v>8423</v>
      </c>
      <c r="H513" t="inlineStr">
        <is>
          <t>bb</t>
        </is>
      </c>
    </row>
    <row r="514">
      <c r="A514" t="n">
        <v>7</v>
      </c>
      <c r="B514" t="inlineStr">
        <is>
          <t>EPA1633 &amp; diPAPs Calibration 10 ppb</t>
        </is>
      </c>
      <c r="D514" t="n">
        <v>8.56</v>
      </c>
      <c r="E514" t="n">
        <v>1934.727</v>
      </c>
      <c r="F514" t="n">
        <v>2072.812</v>
      </c>
      <c r="G514" t="n">
        <v>16975</v>
      </c>
      <c r="H514" t="inlineStr">
        <is>
          <t>bb</t>
        </is>
      </c>
    </row>
    <row r="515">
      <c r="A515" t="n">
        <v>8</v>
      </c>
      <c r="B515" t="inlineStr">
        <is>
          <t>EPA1633 &amp; diPAPs Calibration 20 ppb</t>
        </is>
      </c>
      <c r="D515" t="n">
        <v>8.609999999999999</v>
      </c>
      <c r="E515" t="n">
        <v>4059.792</v>
      </c>
      <c r="F515" t="n">
        <v>1703.301</v>
      </c>
      <c r="G515" t="n">
        <v>578.33</v>
      </c>
      <c r="H515" t="inlineStr">
        <is>
          <t>bb</t>
        </is>
      </c>
    </row>
    <row r="516">
      <c r="A516" t="n">
        <v>9</v>
      </c>
      <c r="B516" t="inlineStr">
        <is>
          <t>MeOH</t>
        </is>
      </c>
    </row>
    <row r="517">
      <c r="A517" t="n">
        <v>10</v>
      </c>
      <c r="B517" t="inlineStr">
        <is>
          <t>MeOH</t>
        </is>
      </c>
      <c r="D517" t="n">
        <v>9.06</v>
      </c>
      <c r="E517" t="n">
        <v>0.545</v>
      </c>
      <c r="G517" t="n">
        <v>6</v>
      </c>
      <c r="H517" t="inlineStr">
        <is>
          <t>bb</t>
        </is>
      </c>
    </row>
    <row r="518">
      <c r="A518" t="n">
        <v>11</v>
      </c>
      <c r="B518" t="inlineStr">
        <is>
          <t>SB1</t>
        </is>
      </c>
      <c r="F518" t="n">
        <v>802.6180000000001</v>
      </c>
    </row>
    <row r="519">
      <c r="A519" t="n">
        <v>12</v>
      </c>
      <c r="B519" t="inlineStr">
        <is>
          <t>SB2</t>
        </is>
      </c>
      <c r="F519" t="n">
        <v>1039.268</v>
      </c>
    </row>
    <row r="520">
      <c r="A520" t="n">
        <v>13</v>
      </c>
      <c r="B520" t="inlineStr">
        <is>
          <t>SB3</t>
        </is>
      </c>
      <c r="F520" t="n">
        <v>1005.736</v>
      </c>
    </row>
    <row r="521">
      <c r="A521" t="n">
        <v>14</v>
      </c>
      <c r="B521" t="inlineStr">
        <is>
          <t>SS1</t>
        </is>
      </c>
      <c r="D521" t="n">
        <v>8.75</v>
      </c>
      <c r="E521" t="n">
        <v>1006.127</v>
      </c>
      <c r="F521" t="n">
        <v>860.02</v>
      </c>
      <c r="G521" t="n">
        <v>46.347</v>
      </c>
      <c r="H521" t="inlineStr">
        <is>
          <t>bb</t>
        </is>
      </c>
    </row>
    <row r="522">
      <c r="A522" t="n">
        <v>15</v>
      </c>
      <c r="B522" t="inlineStr">
        <is>
          <t>SS2</t>
        </is>
      </c>
      <c r="D522" t="n">
        <v>8.76</v>
      </c>
      <c r="E522" t="n">
        <v>1083.593</v>
      </c>
      <c r="F522" t="n">
        <v>1205.224</v>
      </c>
      <c r="G522" t="n">
        <v>9316</v>
      </c>
      <c r="H522" t="inlineStr">
        <is>
          <t>bb</t>
        </is>
      </c>
    </row>
    <row r="523">
      <c r="A523" t="n">
        <v>16</v>
      </c>
      <c r="B523" t="inlineStr">
        <is>
          <t>SS3</t>
        </is>
      </c>
      <c r="D523" t="n">
        <v>8.76</v>
      </c>
      <c r="E523" t="n">
        <v>1043.888</v>
      </c>
      <c r="F523" t="n">
        <v>953.783</v>
      </c>
      <c r="G523" t="n">
        <v>9070</v>
      </c>
      <c r="H523" t="inlineStr">
        <is>
          <t>bb</t>
        </is>
      </c>
    </row>
    <row r="525">
      <c r="A525" t="inlineStr">
        <is>
          <t>Compound 27:  4:2 FTS 2</t>
        </is>
      </c>
    </row>
    <row r="527">
      <c r="B527" t="inlineStr">
        <is>
          <t>Sample Text</t>
        </is>
      </c>
      <c r="C527" t="inlineStr">
        <is>
          <t>Std. Conc</t>
        </is>
      </c>
      <c r="D527" t="inlineStr">
        <is>
          <t>RT</t>
        </is>
      </c>
      <c r="E527" t="inlineStr">
        <is>
          <t>Area</t>
        </is>
      </c>
      <c r="F527" t="inlineStr">
        <is>
          <t>IS Area</t>
        </is>
      </c>
      <c r="G527" t="inlineStr">
        <is>
          <t>S/N</t>
        </is>
      </c>
      <c r="H527" t="inlineStr">
        <is>
          <t>Primary Flags</t>
        </is>
      </c>
      <c r="I527" t="inlineStr">
        <is>
          <t>Response</t>
        </is>
      </c>
      <c r="J527" t="inlineStr">
        <is>
          <t>Conc.</t>
        </is>
      </c>
    </row>
    <row r="528">
      <c r="A528" t="n">
        <v>1</v>
      </c>
      <c r="B528" t="inlineStr">
        <is>
          <t>EPA1633 &amp; diPAPs Calibration 0 ppb</t>
        </is>
      </c>
    </row>
    <row r="529">
      <c r="A529" t="n">
        <v>2</v>
      </c>
      <c r="B529" t="inlineStr">
        <is>
          <t>EPA1633 &amp; diPAPs Calibration 0.02 ppb</t>
        </is>
      </c>
    </row>
    <row r="530">
      <c r="A530" t="n">
        <v>3</v>
      </c>
      <c r="B530" t="inlineStr">
        <is>
          <t>EPA1633 &amp; diPAPs Calibration 0.1 ppb</t>
        </is>
      </c>
      <c r="F530" t="n">
        <v>0.8080000000000001</v>
      </c>
    </row>
    <row r="531">
      <c r="A531" t="n">
        <v>4</v>
      </c>
      <c r="B531" t="inlineStr">
        <is>
          <t>EPA1633 &amp; diPAPs Calibration 0.4 ppb</t>
        </is>
      </c>
      <c r="F531" t="n">
        <v>0.848</v>
      </c>
    </row>
    <row r="532">
      <c r="A532" t="n">
        <v>5</v>
      </c>
      <c r="B532" t="inlineStr">
        <is>
          <t>EPA1633 &amp; diPAPs Calibration 1 ppb</t>
        </is>
      </c>
      <c r="D532" t="n">
        <v>8.69</v>
      </c>
      <c r="E532" t="n">
        <v>7.894</v>
      </c>
      <c r="F532" t="n">
        <v>32.061</v>
      </c>
      <c r="G532" t="n">
        <v>107</v>
      </c>
      <c r="H532" t="inlineStr">
        <is>
          <t>bb</t>
        </is>
      </c>
    </row>
    <row r="533">
      <c r="A533" t="n">
        <v>6</v>
      </c>
      <c r="B533" t="inlineStr">
        <is>
          <t>EPA1633 &amp; diPAPs Calibration 5 ppb</t>
        </is>
      </c>
      <c r="D533" t="n">
        <v>8.48</v>
      </c>
      <c r="E533" t="n">
        <v>154.471</v>
      </c>
      <c r="F533" t="n">
        <v>2.482</v>
      </c>
      <c r="G533" t="n">
        <v>423.995</v>
      </c>
      <c r="H533" t="inlineStr">
        <is>
          <t>bb</t>
        </is>
      </c>
    </row>
    <row r="534">
      <c r="A534" t="n">
        <v>7</v>
      </c>
      <c r="B534" t="inlineStr">
        <is>
          <t>EPA1633 &amp; diPAPs Calibration 10 ppb</t>
        </is>
      </c>
      <c r="D534" t="n">
        <v>8.56</v>
      </c>
      <c r="E534" t="n">
        <v>241.855</v>
      </c>
      <c r="F534" t="n">
        <v>5.974</v>
      </c>
      <c r="G534" t="n">
        <v>6.567</v>
      </c>
      <c r="H534" t="inlineStr">
        <is>
          <t>bb</t>
        </is>
      </c>
    </row>
    <row r="535">
      <c r="A535" t="n">
        <v>8</v>
      </c>
      <c r="B535" t="inlineStr">
        <is>
          <t>EPA1633 &amp; diPAPs Calibration 20 ppb</t>
        </is>
      </c>
      <c r="D535" t="n">
        <v>8.619999999999999</v>
      </c>
      <c r="E535" t="n">
        <v>572.61</v>
      </c>
      <c r="F535" t="n">
        <v>10.827</v>
      </c>
      <c r="G535" t="n">
        <v>248.886</v>
      </c>
      <c r="H535" t="inlineStr">
        <is>
          <t>bb</t>
        </is>
      </c>
    </row>
    <row r="536">
      <c r="A536" t="n">
        <v>9</v>
      </c>
      <c r="B536" t="inlineStr">
        <is>
          <t>MeOH</t>
        </is>
      </c>
    </row>
    <row r="537">
      <c r="A537" t="n">
        <v>10</v>
      </c>
      <c r="B537" t="inlineStr">
        <is>
          <t>MeOH</t>
        </is>
      </c>
    </row>
    <row r="538">
      <c r="A538" t="n">
        <v>11</v>
      </c>
      <c r="B538" t="inlineStr">
        <is>
          <t>SB1</t>
        </is>
      </c>
    </row>
    <row r="539">
      <c r="A539" t="n">
        <v>12</v>
      </c>
      <c r="B539" t="inlineStr">
        <is>
          <t>SB2</t>
        </is>
      </c>
      <c r="D539" t="n">
        <v>8.41</v>
      </c>
      <c r="E539" t="n">
        <v>0.245</v>
      </c>
      <c r="G539" t="n">
        <v>4</v>
      </c>
      <c r="H539" t="inlineStr">
        <is>
          <t>bb</t>
        </is>
      </c>
    </row>
    <row r="540">
      <c r="A540" t="n">
        <v>13</v>
      </c>
      <c r="B540" t="inlineStr">
        <is>
          <t>SB3</t>
        </is>
      </c>
    </row>
    <row r="541">
      <c r="A541" t="n">
        <v>14</v>
      </c>
      <c r="B541" t="inlineStr">
        <is>
          <t>SS1</t>
        </is>
      </c>
      <c r="D541" t="n">
        <v>8.74</v>
      </c>
      <c r="E541" t="n">
        <v>95.878</v>
      </c>
      <c r="G541" t="n">
        <v>3.481</v>
      </c>
      <c r="H541" t="inlineStr">
        <is>
          <t>bb</t>
        </is>
      </c>
    </row>
    <row r="542">
      <c r="A542" t="n">
        <v>15</v>
      </c>
      <c r="B542" t="inlineStr">
        <is>
          <t>SS2</t>
        </is>
      </c>
      <c r="D542" t="n">
        <v>8.76</v>
      </c>
      <c r="E542" t="n">
        <v>143.137</v>
      </c>
      <c r="F542" t="n">
        <v>6.07</v>
      </c>
      <c r="G542" t="n">
        <v>1241</v>
      </c>
      <c r="H542" t="inlineStr">
        <is>
          <t>bb</t>
        </is>
      </c>
    </row>
    <row r="543">
      <c r="A543" t="n">
        <v>16</v>
      </c>
      <c r="B543" t="inlineStr">
        <is>
          <t>SS3</t>
        </is>
      </c>
      <c r="D543" t="n">
        <v>8.76</v>
      </c>
      <c r="E543" t="n">
        <v>46.107</v>
      </c>
      <c r="G543" t="n">
        <v>126.868</v>
      </c>
      <c r="H543" t="inlineStr">
        <is>
          <t>bb</t>
        </is>
      </c>
    </row>
    <row r="545">
      <c r="A545" t="inlineStr">
        <is>
          <t>Compound 28:  m2 4:2 FTS 1</t>
        </is>
      </c>
    </row>
    <row r="547">
      <c r="B547" t="inlineStr">
        <is>
          <t>Sample Text</t>
        </is>
      </c>
      <c r="C547" t="inlineStr">
        <is>
          <t>Std. Conc</t>
        </is>
      </c>
      <c r="D547" t="inlineStr">
        <is>
          <t>RT</t>
        </is>
      </c>
      <c r="E547" t="inlineStr">
        <is>
          <t>Area</t>
        </is>
      </c>
      <c r="F547" t="inlineStr">
        <is>
          <t>IS Area</t>
        </is>
      </c>
      <c r="G547" t="inlineStr">
        <is>
          <t>S/N</t>
        </is>
      </c>
      <c r="H547" t="inlineStr">
        <is>
          <t>Primary Flags</t>
        </is>
      </c>
      <c r="I547" t="inlineStr">
        <is>
          <t>Response</t>
        </is>
      </c>
      <c r="J547" t="inlineStr">
        <is>
          <t>Conc.</t>
        </is>
      </c>
    </row>
    <row r="548">
      <c r="A548" t="n">
        <v>1</v>
      </c>
      <c r="B548" t="inlineStr">
        <is>
          <t>EPA1633 &amp; diPAPs Calibration 0 ppb</t>
        </is>
      </c>
      <c r="D548" t="n">
        <v>8.59</v>
      </c>
      <c r="E548" t="n">
        <v>14452.727</v>
      </c>
      <c r="G548" t="n">
        <v>350.433</v>
      </c>
      <c r="H548" t="inlineStr">
        <is>
          <t>bb</t>
        </is>
      </c>
      <c r="I548" t="n">
        <v>14452.727</v>
      </c>
    </row>
    <row r="549">
      <c r="A549" t="n">
        <v>2</v>
      </c>
      <c r="B549" t="inlineStr">
        <is>
          <t>EPA1633 &amp; diPAPs Calibration 0.02 ppb</t>
        </is>
      </c>
      <c r="D549" t="n">
        <v>8.619999999999999</v>
      </c>
      <c r="E549" t="n">
        <v>12603.026</v>
      </c>
      <c r="G549" t="n">
        <v>2026.207</v>
      </c>
      <c r="H549" t="inlineStr">
        <is>
          <t>bb</t>
        </is>
      </c>
      <c r="I549" t="n">
        <v>12603.026</v>
      </c>
    </row>
    <row r="550">
      <c r="A550" t="n">
        <v>3</v>
      </c>
      <c r="B550" t="inlineStr">
        <is>
          <t>EPA1633 &amp; diPAPs Calibration 0.1 ppb</t>
        </is>
      </c>
      <c r="D550" t="n">
        <v>8.640000000000001</v>
      </c>
      <c r="E550" t="n">
        <v>14155.911</v>
      </c>
      <c r="G550" t="n">
        <v>129801</v>
      </c>
      <c r="H550" t="inlineStr">
        <is>
          <t>bb</t>
        </is>
      </c>
      <c r="I550" t="n">
        <v>14155.911</v>
      </c>
    </row>
    <row r="551">
      <c r="A551" t="n">
        <v>4</v>
      </c>
      <c r="B551" t="inlineStr">
        <is>
          <t>EPA1633 &amp; diPAPs Calibration 0.4 ppb</t>
        </is>
      </c>
      <c r="D551" t="n">
        <v>8.65</v>
      </c>
      <c r="E551" t="n">
        <v>12619.337</v>
      </c>
      <c r="G551" t="n">
        <v>1003.586</v>
      </c>
      <c r="H551" t="inlineStr">
        <is>
          <t>bb</t>
        </is>
      </c>
      <c r="I551" t="n">
        <v>12619.337</v>
      </c>
    </row>
    <row r="552">
      <c r="A552" t="n">
        <v>5</v>
      </c>
      <c r="B552" t="inlineStr">
        <is>
          <t>EPA1633 &amp; diPAPs Calibration 1 ppb</t>
        </is>
      </c>
      <c r="D552" t="n">
        <v>8.67</v>
      </c>
      <c r="E552" t="n">
        <v>15675.755</v>
      </c>
      <c r="G552" t="n">
        <v>143605</v>
      </c>
      <c r="H552" t="inlineStr">
        <is>
          <t>bb</t>
        </is>
      </c>
      <c r="I552" t="n">
        <v>15675.755</v>
      </c>
    </row>
    <row r="553">
      <c r="A553" t="n">
        <v>6</v>
      </c>
      <c r="B553" t="inlineStr">
        <is>
          <t>EPA1633 &amp; diPAPs Calibration 5 ppb</t>
        </is>
      </c>
      <c r="D553" t="n">
        <v>8.49</v>
      </c>
      <c r="E553" t="n">
        <v>14608.229</v>
      </c>
      <c r="G553" t="n">
        <v>944.405</v>
      </c>
      <c r="H553" t="inlineStr">
        <is>
          <t>bb</t>
        </is>
      </c>
      <c r="I553" t="n">
        <v>14608.229</v>
      </c>
    </row>
    <row r="554">
      <c r="A554" t="n">
        <v>7</v>
      </c>
      <c r="B554" t="inlineStr">
        <is>
          <t>EPA1633 &amp; diPAPs Calibration 10 ppb</t>
        </is>
      </c>
      <c r="D554" t="n">
        <v>8.56</v>
      </c>
      <c r="E554" t="n">
        <v>13635.107</v>
      </c>
      <c r="G554" t="n">
        <v>123795</v>
      </c>
      <c r="H554" t="inlineStr">
        <is>
          <t>bb</t>
        </is>
      </c>
      <c r="I554" t="n">
        <v>13635.107</v>
      </c>
    </row>
    <row r="555">
      <c r="A555" t="n">
        <v>8</v>
      </c>
      <c r="B555" t="inlineStr">
        <is>
          <t>EPA1633 &amp; diPAPs Calibration 20 ppb</t>
        </is>
      </c>
      <c r="D555" t="n">
        <v>8.609999999999999</v>
      </c>
      <c r="E555" t="n">
        <v>17158.186</v>
      </c>
      <c r="G555" t="n">
        <v>338.663</v>
      </c>
      <c r="H555" t="inlineStr">
        <is>
          <t>bb</t>
        </is>
      </c>
      <c r="I555" t="n">
        <v>17158.186</v>
      </c>
    </row>
    <row r="556">
      <c r="A556" t="n">
        <v>9</v>
      </c>
      <c r="B556" t="inlineStr">
        <is>
          <t>MeOH</t>
        </is>
      </c>
      <c r="D556" t="n">
        <v>8.67</v>
      </c>
      <c r="E556" t="n">
        <v>30.087</v>
      </c>
      <c r="G556" t="n">
        <v>377</v>
      </c>
      <c r="H556" t="inlineStr">
        <is>
          <t>bb</t>
        </is>
      </c>
      <c r="I556" t="n">
        <v>30.087</v>
      </c>
    </row>
    <row r="557">
      <c r="A557" t="n">
        <v>10</v>
      </c>
      <c r="B557" t="inlineStr">
        <is>
          <t>MeOH</t>
        </is>
      </c>
      <c r="D557" t="n">
        <v>8.630000000000001</v>
      </c>
      <c r="E557" t="n">
        <v>26.266</v>
      </c>
      <c r="G557" t="n">
        <v>3.21</v>
      </c>
      <c r="H557" t="inlineStr">
        <is>
          <t>bb</t>
        </is>
      </c>
      <c r="I557" t="n">
        <v>26.266</v>
      </c>
    </row>
    <row r="558">
      <c r="A558" t="n">
        <v>11</v>
      </c>
      <c r="B558" t="inlineStr">
        <is>
          <t>SB1</t>
        </is>
      </c>
      <c r="D558" t="n">
        <v>8.68</v>
      </c>
      <c r="E558" t="n">
        <v>6702.981</v>
      </c>
      <c r="G558" t="n">
        <v>7229.334</v>
      </c>
      <c r="H558" t="inlineStr">
        <is>
          <t>bb</t>
        </is>
      </c>
      <c r="I558" t="n">
        <v>6702.981</v>
      </c>
    </row>
    <row r="559">
      <c r="A559" t="n">
        <v>12</v>
      </c>
      <c r="B559" t="inlineStr">
        <is>
          <t>SB2</t>
        </is>
      </c>
      <c r="D559" t="n">
        <v>8.68</v>
      </c>
      <c r="E559" t="n">
        <v>6490.235</v>
      </c>
      <c r="G559" t="n">
        <v>506.309</v>
      </c>
      <c r="H559" t="inlineStr">
        <is>
          <t>bb</t>
        </is>
      </c>
      <c r="I559" t="n">
        <v>6490.235</v>
      </c>
    </row>
    <row r="560">
      <c r="A560" t="n">
        <v>13</v>
      </c>
      <c r="B560" t="inlineStr">
        <is>
          <t>SB3</t>
        </is>
      </c>
      <c r="D560" t="n">
        <v>8.69</v>
      </c>
      <c r="E560" t="n">
        <v>6156.042</v>
      </c>
      <c r="G560" t="n">
        <v>479.929</v>
      </c>
      <c r="H560" t="inlineStr">
        <is>
          <t>bb</t>
        </is>
      </c>
      <c r="I560" t="n">
        <v>6156.042</v>
      </c>
    </row>
    <row r="561">
      <c r="A561" t="n">
        <v>14</v>
      </c>
      <c r="B561" t="inlineStr">
        <is>
          <t>SS1</t>
        </is>
      </c>
      <c r="D561" t="n">
        <v>8.74</v>
      </c>
      <c r="E561" t="n">
        <v>7661.04</v>
      </c>
      <c r="G561" t="n">
        <v>306.918</v>
      </c>
      <c r="H561" t="inlineStr">
        <is>
          <t>bb</t>
        </is>
      </c>
      <c r="I561" t="n">
        <v>7661.04</v>
      </c>
    </row>
    <row r="562">
      <c r="A562" t="n">
        <v>15</v>
      </c>
      <c r="B562" t="inlineStr">
        <is>
          <t>SS2</t>
        </is>
      </c>
      <c r="D562" t="n">
        <v>8.75</v>
      </c>
      <c r="E562" t="n">
        <v>8512.726000000001</v>
      </c>
      <c r="G562" t="n">
        <v>78095</v>
      </c>
      <c r="H562" t="inlineStr">
        <is>
          <t>bb</t>
        </is>
      </c>
      <c r="I562" t="n">
        <v>8512.726000000001</v>
      </c>
    </row>
    <row r="563">
      <c r="A563" t="n">
        <v>16</v>
      </c>
      <c r="B563" t="inlineStr">
        <is>
          <t>SS3</t>
        </is>
      </c>
      <c r="D563" t="n">
        <v>8.75</v>
      </c>
      <c r="E563" t="n">
        <v>8270.942999999999</v>
      </c>
      <c r="G563" t="n">
        <v>300.772</v>
      </c>
      <c r="H563" t="inlineStr">
        <is>
          <t>bb</t>
        </is>
      </c>
      <c r="I563" t="n">
        <v>8270.942999999999</v>
      </c>
    </row>
    <row r="565">
      <c r="A565" t="inlineStr">
        <is>
          <t>Compound 29:  m2 4:2 FTS 2</t>
        </is>
      </c>
    </row>
    <row r="567">
      <c r="B567" t="inlineStr">
        <is>
          <t>Sample Text</t>
        </is>
      </c>
      <c r="C567" t="inlineStr">
        <is>
          <t>Std. Conc</t>
        </is>
      </c>
      <c r="D567" t="inlineStr">
        <is>
          <t>RT</t>
        </is>
      </c>
      <c r="E567" t="inlineStr">
        <is>
          <t>Area</t>
        </is>
      </c>
      <c r="F567" t="inlineStr">
        <is>
          <t>IS Area</t>
        </is>
      </c>
      <c r="G567" t="inlineStr">
        <is>
          <t>S/N</t>
        </is>
      </c>
      <c r="H567" t="inlineStr">
        <is>
          <t>Primary Flags</t>
        </is>
      </c>
      <c r="I567" t="inlineStr">
        <is>
          <t>Response</t>
        </is>
      </c>
      <c r="J567" t="inlineStr">
        <is>
          <t>Conc.</t>
        </is>
      </c>
    </row>
    <row r="568">
      <c r="A568" t="n">
        <v>1</v>
      </c>
      <c r="B568" t="inlineStr">
        <is>
          <t>EPA1633 &amp; diPAPs Calibration 0 ppb</t>
        </is>
      </c>
      <c r="D568" t="n">
        <v>8.59</v>
      </c>
      <c r="E568" t="n">
        <v>6719.292</v>
      </c>
      <c r="G568" t="n">
        <v>1895.923</v>
      </c>
      <c r="H568" t="inlineStr">
        <is>
          <t>bb</t>
        </is>
      </c>
      <c r="I568" t="n">
        <v>6719.292</v>
      </c>
    </row>
    <row r="569">
      <c r="A569" t="n">
        <v>2</v>
      </c>
      <c r="B569" t="inlineStr">
        <is>
          <t>EPA1633 &amp; diPAPs Calibration 0.02 ppb</t>
        </is>
      </c>
      <c r="D569" t="n">
        <v>8.619999999999999</v>
      </c>
      <c r="E569" t="n">
        <v>6367.456</v>
      </c>
      <c r="G569" t="n">
        <v>292.734</v>
      </c>
      <c r="H569" t="inlineStr">
        <is>
          <t>bb</t>
        </is>
      </c>
      <c r="I569" t="n">
        <v>6367.456</v>
      </c>
    </row>
    <row r="570">
      <c r="A570" t="n">
        <v>3</v>
      </c>
      <c r="B570" t="inlineStr">
        <is>
          <t>EPA1633 &amp; diPAPs Calibration 0.1 ppb</t>
        </is>
      </c>
      <c r="D570" t="n">
        <v>8.640000000000001</v>
      </c>
      <c r="E570" t="n">
        <v>7058.665</v>
      </c>
      <c r="G570" t="n">
        <v>916.87</v>
      </c>
      <c r="H570" t="inlineStr">
        <is>
          <t>bb</t>
        </is>
      </c>
      <c r="I570" t="n">
        <v>7058.665</v>
      </c>
    </row>
    <row r="571">
      <c r="A571" t="n">
        <v>4</v>
      </c>
      <c r="B571" t="inlineStr">
        <is>
          <t>EPA1633 &amp; diPAPs Calibration 0.4 ppb</t>
        </is>
      </c>
      <c r="D571" t="n">
        <v>8.640000000000001</v>
      </c>
      <c r="E571" t="n">
        <v>6594.843</v>
      </c>
      <c r="G571" t="n">
        <v>60151</v>
      </c>
      <c r="H571" t="inlineStr">
        <is>
          <t>bb</t>
        </is>
      </c>
      <c r="I571" t="n">
        <v>6594.843</v>
      </c>
    </row>
    <row r="572">
      <c r="A572" t="n">
        <v>5</v>
      </c>
      <c r="B572" t="inlineStr">
        <is>
          <t>EPA1633 &amp; diPAPs Calibration 1 ppb</t>
        </is>
      </c>
      <c r="D572" t="n">
        <v>8.67</v>
      </c>
      <c r="E572" t="n">
        <v>7374.427</v>
      </c>
      <c r="G572" t="n">
        <v>84.075</v>
      </c>
      <c r="H572" t="inlineStr">
        <is>
          <t>bb</t>
        </is>
      </c>
      <c r="I572" t="n">
        <v>7374.427</v>
      </c>
    </row>
    <row r="573">
      <c r="A573" t="n">
        <v>6</v>
      </c>
      <c r="B573" t="inlineStr">
        <is>
          <t>EPA1633 &amp; diPAPs Calibration 5 ppb</t>
        </is>
      </c>
      <c r="D573" t="n">
        <v>8.48</v>
      </c>
      <c r="E573" t="n">
        <v>6229.516</v>
      </c>
      <c r="G573" t="n">
        <v>910.965</v>
      </c>
      <c r="H573" t="inlineStr">
        <is>
          <t>bb</t>
        </is>
      </c>
      <c r="I573" t="n">
        <v>6229.516</v>
      </c>
    </row>
    <row r="574">
      <c r="A574" t="n">
        <v>7</v>
      </c>
      <c r="B574" t="inlineStr">
        <is>
          <t>EPA1633 &amp; diPAPs Calibration 10 ppb</t>
        </is>
      </c>
      <c r="D574" t="n">
        <v>8.56</v>
      </c>
      <c r="E574" t="n">
        <v>5360.626</v>
      </c>
      <c r="G574" t="n">
        <v>197.198</v>
      </c>
      <c r="H574" t="inlineStr">
        <is>
          <t>bb</t>
        </is>
      </c>
      <c r="I574" t="n">
        <v>5360.626</v>
      </c>
    </row>
    <row r="575">
      <c r="A575" t="n">
        <v>8</v>
      </c>
      <c r="B575" t="inlineStr">
        <is>
          <t>EPA1633 &amp; diPAPs Calibration 20 ppb</t>
        </is>
      </c>
      <c r="D575" t="n">
        <v>8.609999999999999</v>
      </c>
      <c r="E575" t="n">
        <v>5983.008</v>
      </c>
      <c r="G575" t="n">
        <v>184.123</v>
      </c>
      <c r="H575" t="inlineStr">
        <is>
          <t>bb</t>
        </is>
      </c>
      <c r="I575" t="n">
        <v>5983.008</v>
      </c>
    </row>
    <row r="576">
      <c r="A576" t="n">
        <v>9</v>
      </c>
      <c r="B576" t="inlineStr">
        <is>
          <t>MeOH</t>
        </is>
      </c>
    </row>
    <row r="577">
      <c r="A577" t="n">
        <v>10</v>
      </c>
      <c r="B577" t="inlineStr">
        <is>
          <t>MeOH</t>
        </is>
      </c>
      <c r="D577" t="n">
        <v>9.02</v>
      </c>
      <c r="E577" t="n">
        <v>35.616</v>
      </c>
      <c r="G577" t="n">
        <v>409</v>
      </c>
      <c r="H577" t="inlineStr">
        <is>
          <t>bb</t>
        </is>
      </c>
      <c r="I577" t="n">
        <v>35.616</v>
      </c>
    </row>
    <row r="578">
      <c r="A578" t="n">
        <v>11</v>
      </c>
      <c r="B578" t="inlineStr">
        <is>
          <t>SB1</t>
        </is>
      </c>
      <c r="D578" t="n">
        <v>8.68</v>
      </c>
      <c r="E578" t="n">
        <v>3509.58</v>
      </c>
      <c r="G578" t="n">
        <v>31250</v>
      </c>
      <c r="H578" t="inlineStr">
        <is>
          <t>bb</t>
        </is>
      </c>
      <c r="I578" t="n">
        <v>3509.58</v>
      </c>
    </row>
    <row r="579">
      <c r="A579" t="n">
        <v>12</v>
      </c>
      <c r="B579" t="inlineStr">
        <is>
          <t>SB2</t>
        </is>
      </c>
      <c r="D579" t="n">
        <v>8.68</v>
      </c>
      <c r="E579" t="n">
        <v>3516.125</v>
      </c>
      <c r="G579" t="n">
        <v>4205.284</v>
      </c>
      <c r="H579" t="inlineStr">
        <is>
          <t>bb</t>
        </is>
      </c>
      <c r="I579" t="n">
        <v>3516.125</v>
      </c>
    </row>
    <row r="580">
      <c r="A580" t="n">
        <v>13</v>
      </c>
      <c r="B580" t="inlineStr">
        <is>
          <t>SB3</t>
        </is>
      </c>
      <c r="D580" t="n">
        <v>8.69</v>
      </c>
      <c r="E580" t="n">
        <v>2974.888</v>
      </c>
      <c r="G580" t="n">
        <v>172.586</v>
      </c>
      <c r="H580" t="inlineStr">
        <is>
          <t>bb</t>
        </is>
      </c>
      <c r="I580" t="n">
        <v>2974.888</v>
      </c>
    </row>
    <row r="581">
      <c r="A581" t="n">
        <v>14</v>
      </c>
      <c r="B581" t="inlineStr">
        <is>
          <t>SS1</t>
        </is>
      </c>
      <c r="D581" t="n">
        <v>8.73</v>
      </c>
      <c r="E581" t="n">
        <v>3173.834</v>
      </c>
      <c r="G581" t="n">
        <v>363.69</v>
      </c>
      <c r="H581" t="inlineStr">
        <is>
          <t>bb</t>
        </is>
      </c>
      <c r="I581" t="n">
        <v>3173.834</v>
      </c>
    </row>
    <row r="582">
      <c r="A582" t="n">
        <v>15</v>
      </c>
      <c r="B582" t="inlineStr">
        <is>
          <t>SS2</t>
        </is>
      </c>
      <c r="D582" t="n">
        <v>8.75</v>
      </c>
      <c r="E582" t="n">
        <v>3848.945</v>
      </c>
      <c r="G582" t="n">
        <v>446.567</v>
      </c>
      <c r="H582" t="inlineStr">
        <is>
          <t>bb</t>
        </is>
      </c>
      <c r="I582" t="n">
        <v>3848.945</v>
      </c>
    </row>
    <row r="583">
      <c r="A583" t="n">
        <v>16</v>
      </c>
      <c r="B583" t="inlineStr">
        <is>
          <t>SS3</t>
        </is>
      </c>
      <c r="D583" t="n">
        <v>8.76</v>
      </c>
      <c r="E583" t="n">
        <v>3299.46</v>
      </c>
      <c r="G583" t="n">
        <v>417.099</v>
      </c>
      <c r="H583" t="inlineStr">
        <is>
          <t>bb</t>
        </is>
      </c>
      <c r="I583" t="n">
        <v>3299.46</v>
      </c>
    </row>
    <row r="585">
      <c r="A585" t="inlineStr">
        <is>
          <t>Compound 30:  5:3 FTCA 1</t>
        </is>
      </c>
    </row>
    <row r="587">
      <c r="B587" t="inlineStr">
        <is>
          <t>Sample Text</t>
        </is>
      </c>
      <c r="C587" t="inlineStr">
        <is>
          <t>Std. Conc</t>
        </is>
      </c>
      <c r="D587" t="inlineStr">
        <is>
          <t>RT</t>
        </is>
      </c>
      <c r="E587" t="inlineStr">
        <is>
          <t>Area</t>
        </is>
      </c>
      <c r="F587" t="inlineStr">
        <is>
          <t>IS Area</t>
        </is>
      </c>
      <c r="G587" t="inlineStr">
        <is>
          <t>S/N</t>
        </is>
      </c>
      <c r="H587" t="inlineStr">
        <is>
          <t>Primary Flags</t>
        </is>
      </c>
      <c r="I587" t="inlineStr">
        <is>
          <t>Response</t>
        </is>
      </c>
      <c r="J587" t="inlineStr">
        <is>
          <t>Conc.</t>
        </is>
      </c>
    </row>
    <row r="588">
      <c r="A588" t="n">
        <v>1</v>
      </c>
      <c r="B588" t="inlineStr">
        <is>
          <t>EPA1633 &amp; diPAPs Calibration 0 ppb</t>
        </is>
      </c>
      <c r="D588" t="n">
        <v>10.65</v>
      </c>
      <c r="E588" t="n">
        <v>229.177</v>
      </c>
      <c r="F588" t="n">
        <v>7374.887</v>
      </c>
      <c r="G588" t="n">
        <v>13.724</v>
      </c>
      <c r="H588" t="inlineStr">
        <is>
          <t>bb</t>
        </is>
      </c>
    </row>
    <row r="589">
      <c r="A589" t="n">
        <v>2</v>
      </c>
      <c r="B589" t="inlineStr">
        <is>
          <t>EPA1633 &amp; diPAPs Calibration 0.02 ppb</t>
        </is>
      </c>
      <c r="D589" t="n">
        <v>10.69</v>
      </c>
      <c r="E589" t="n">
        <v>142.245</v>
      </c>
      <c r="F589" t="n">
        <v>6169.054</v>
      </c>
      <c r="G589" t="n">
        <v>1160</v>
      </c>
      <c r="H589" t="inlineStr">
        <is>
          <t>bb</t>
        </is>
      </c>
    </row>
    <row r="590">
      <c r="A590" t="n">
        <v>3</v>
      </c>
      <c r="B590" t="inlineStr">
        <is>
          <t>EPA1633 &amp; diPAPs Calibration 0.1 ppb</t>
        </is>
      </c>
      <c r="D590" t="n">
        <v>10.69</v>
      </c>
      <c r="E590" t="n">
        <v>1756.928</v>
      </c>
      <c r="F590" t="n">
        <v>6270.085</v>
      </c>
      <c r="G590" t="n">
        <v>12.919</v>
      </c>
      <c r="H590" t="inlineStr">
        <is>
          <t>bb</t>
        </is>
      </c>
    </row>
    <row r="591">
      <c r="A591" t="n">
        <v>4</v>
      </c>
      <c r="B591" t="inlineStr">
        <is>
          <t>EPA1633 &amp; diPAPs Calibration 0.4 ppb</t>
        </is>
      </c>
      <c r="D591" t="n">
        <v>10.7</v>
      </c>
      <c r="E591" t="n">
        <v>4985.713</v>
      </c>
      <c r="F591" t="n">
        <v>5073.597</v>
      </c>
      <c r="G591" t="n">
        <v>746.872</v>
      </c>
      <c r="H591" t="inlineStr">
        <is>
          <t>bb</t>
        </is>
      </c>
    </row>
    <row r="592">
      <c r="A592" t="n">
        <v>5</v>
      </c>
      <c r="B592" t="inlineStr">
        <is>
          <t>EPA1633 &amp; diPAPs Calibration 1 ppb</t>
        </is>
      </c>
      <c r="D592" t="n">
        <v>10.72</v>
      </c>
      <c r="E592" t="n">
        <v>10589.771</v>
      </c>
      <c r="F592" t="n">
        <v>5607.035</v>
      </c>
      <c r="G592" t="n">
        <v>141.856</v>
      </c>
      <c r="H592" t="inlineStr">
        <is>
          <t>bb</t>
        </is>
      </c>
    </row>
    <row r="593">
      <c r="A593" t="n">
        <v>6</v>
      </c>
      <c r="B593" t="inlineStr">
        <is>
          <t>EPA1633 &amp; diPAPs Calibration 5 ppb</t>
        </is>
      </c>
      <c r="D593" t="n">
        <v>10.59</v>
      </c>
      <c r="E593" t="n">
        <v>48331.668</v>
      </c>
      <c r="F593" t="n">
        <v>4189.369</v>
      </c>
      <c r="G593" t="n">
        <v>1205.505</v>
      </c>
      <c r="H593" t="inlineStr">
        <is>
          <t>bb</t>
        </is>
      </c>
    </row>
    <row r="594">
      <c r="A594" t="n">
        <v>7</v>
      </c>
      <c r="B594" t="inlineStr">
        <is>
          <t>EPA1633 &amp; diPAPs Calibration 10 ppb</t>
        </is>
      </c>
      <c r="D594" t="n">
        <v>10.64</v>
      </c>
      <c r="E594" t="n">
        <v>93135.06299999999</v>
      </c>
      <c r="F594" t="n">
        <v>3916.892</v>
      </c>
      <c r="G594" t="n">
        <v>1720.605</v>
      </c>
      <c r="H594" t="inlineStr">
        <is>
          <t>bb</t>
        </is>
      </c>
    </row>
    <row r="595">
      <c r="A595" t="n">
        <v>8</v>
      </c>
      <c r="B595" t="inlineStr">
        <is>
          <t>EPA1633 &amp; diPAPs Calibration 20 ppb</t>
        </is>
      </c>
      <c r="D595" t="n">
        <v>10.67</v>
      </c>
      <c r="E595" t="n">
        <v>182330.766</v>
      </c>
      <c r="F595" t="n">
        <v>4672.899</v>
      </c>
      <c r="G595" t="n">
        <v>1749.337</v>
      </c>
      <c r="H595" t="inlineStr">
        <is>
          <t>bb</t>
        </is>
      </c>
    </row>
    <row r="596">
      <c r="A596" t="n">
        <v>9</v>
      </c>
      <c r="B596" t="inlineStr">
        <is>
          <t>MeOH</t>
        </is>
      </c>
      <c r="D596" t="n">
        <v>10.73</v>
      </c>
      <c r="E596" t="n">
        <v>185.171</v>
      </c>
      <c r="G596" t="n">
        <v>2.983</v>
      </c>
      <c r="H596" t="inlineStr">
        <is>
          <t>bb</t>
        </is>
      </c>
    </row>
    <row r="597">
      <c r="A597" t="n">
        <v>10</v>
      </c>
      <c r="B597" t="inlineStr">
        <is>
          <t>MeOH</t>
        </is>
      </c>
    </row>
    <row r="598">
      <c r="A598" t="n">
        <v>11</v>
      </c>
      <c r="B598" t="inlineStr">
        <is>
          <t>SB1</t>
        </is>
      </c>
      <c r="D598" t="n">
        <v>10.66</v>
      </c>
      <c r="E598" t="n">
        <v>43.329</v>
      </c>
      <c r="F598" t="n">
        <v>1803.361</v>
      </c>
      <c r="G598" t="n">
        <v>12.314</v>
      </c>
      <c r="H598" t="inlineStr">
        <is>
          <t>bb</t>
        </is>
      </c>
    </row>
    <row r="599">
      <c r="A599" t="n">
        <v>12</v>
      </c>
      <c r="B599" t="inlineStr">
        <is>
          <t>SB2</t>
        </is>
      </c>
      <c r="D599" t="n">
        <v>11.05</v>
      </c>
      <c r="E599" t="n">
        <v>5.231</v>
      </c>
      <c r="F599" t="n">
        <v>1582.835</v>
      </c>
      <c r="G599" t="n">
        <v>51</v>
      </c>
      <c r="H599" t="inlineStr">
        <is>
          <t>bb</t>
        </is>
      </c>
    </row>
    <row r="600">
      <c r="A600" t="n">
        <v>13</v>
      </c>
      <c r="B600" t="inlineStr">
        <is>
          <t>SB3</t>
        </is>
      </c>
      <c r="F600" t="n">
        <v>1671.82</v>
      </c>
    </row>
    <row r="601">
      <c r="A601" t="n">
        <v>14</v>
      </c>
      <c r="B601" t="inlineStr">
        <is>
          <t>SS1</t>
        </is>
      </c>
      <c r="D601" t="n">
        <v>10.76</v>
      </c>
      <c r="E601" t="n">
        <v>37304.527</v>
      </c>
      <c r="F601" t="n">
        <v>1602.526</v>
      </c>
      <c r="G601" t="n">
        <v>2013.224</v>
      </c>
      <c r="H601" t="inlineStr">
        <is>
          <t>bb</t>
        </is>
      </c>
    </row>
    <row r="602">
      <c r="A602" t="n">
        <v>15</v>
      </c>
      <c r="B602" t="inlineStr">
        <is>
          <t>SS2</t>
        </is>
      </c>
      <c r="D602" t="n">
        <v>10.77</v>
      </c>
      <c r="E602" t="n">
        <v>40093.969</v>
      </c>
      <c r="F602" t="n">
        <v>1532.612</v>
      </c>
      <c r="G602" t="n">
        <v>238.69</v>
      </c>
      <c r="H602" t="inlineStr">
        <is>
          <t>bb</t>
        </is>
      </c>
    </row>
    <row r="603">
      <c r="A603" t="n">
        <v>16</v>
      </c>
      <c r="B603" t="inlineStr">
        <is>
          <t>SS3</t>
        </is>
      </c>
      <c r="D603" t="n">
        <v>10.78</v>
      </c>
      <c r="E603" t="n">
        <v>42777.801</v>
      </c>
      <c r="F603" t="n">
        <v>1291.402</v>
      </c>
      <c r="G603" t="n">
        <v>1461.346</v>
      </c>
      <c r="H603" t="inlineStr">
        <is>
          <t>bb</t>
        </is>
      </c>
    </row>
    <row r="605">
      <c r="A605" t="inlineStr">
        <is>
          <t>Compound 31:  5:3 FTCA 2</t>
        </is>
      </c>
    </row>
    <row r="607">
      <c r="B607" t="inlineStr">
        <is>
          <t>Sample Text</t>
        </is>
      </c>
      <c r="C607" t="inlineStr">
        <is>
          <t>Std. Conc</t>
        </is>
      </c>
      <c r="D607" t="inlineStr">
        <is>
          <t>RT</t>
        </is>
      </c>
      <c r="E607" t="inlineStr">
        <is>
          <t>Area</t>
        </is>
      </c>
      <c r="F607" t="inlineStr">
        <is>
          <t>IS Area</t>
        </is>
      </c>
      <c r="G607" t="inlineStr">
        <is>
          <t>S/N</t>
        </is>
      </c>
      <c r="H607" t="inlineStr">
        <is>
          <t>Primary Flags</t>
        </is>
      </c>
      <c r="I607" t="inlineStr">
        <is>
          <t>Response</t>
        </is>
      </c>
      <c r="J607" t="inlineStr">
        <is>
          <t>Conc.</t>
        </is>
      </c>
    </row>
    <row r="608">
      <c r="A608" t="n">
        <v>1</v>
      </c>
      <c r="B608" t="inlineStr">
        <is>
          <t>EPA1633 &amp; diPAPs Calibration 0 ppb</t>
        </is>
      </c>
      <c r="D608" t="n">
        <v>10.7</v>
      </c>
      <c r="E608" t="n">
        <v>116.901</v>
      </c>
      <c r="F608" t="n">
        <v>2489.786</v>
      </c>
      <c r="G608" t="n">
        <v>928</v>
      </c>
      <c r="H608" t="inlineStr">
        <is>
          <t>bb</t>
        </is>
      </c>
    </row>
    <row r="609">
      <c r="A609" t="n">
        <v>2</v>
      </c>
      <c r="B609" t="inlineStr">
        <is>
          <t>EPA1633 &amp; diPAPs Calibration 0.02 ppb</t>
        </is>
      </c>
      <c r="D609" t="n">
        <v>10.68</v>
      </c>
      <c r="E609" t="n">
        <v>228.351</v>
      </c>
      <c r="F609" t="n">
        <v>2449.651</v>
      </c>
      <c r="G609" t="n">
        <v>13.019</v>
      </c>
      <c r="H609" t="inlineStr">
        <is>
          <t>bb</t>
        </is>
      </c>
    </row>
    <row r="610">
      <c r="A610" t="n">
        <v>3</v>
      </c>
      <c r="B610" t="inlineStr">
        <is>
          <t>EPA1633 &amp; diPAPs Calibration 0.1 ppb</t>
        </is>
      </c>
      <c r="D610" t="n">
        <v>10.7</v>
      </c>
      <c r="E610" t="n">
        <v>912.578</v>
      </c>
      <c r="F610" t="n">
        <v>2378.931</v>
      </c>
      <c r="G610" t="n">
        <v>6.049</v>
      </c>
      <c r="H610" t="inlineStr">
        <is>
          <t>bb</t>
        </is>
      </c>
    </row>
    <row r="611">
      <c r="A611" t="n">
        <v>4</v>
      </c>
      <c r="B611" t="inlineStr">
        <is>
          <t>EPA1633 &amp; diPAPs Calibration 0.4 ppb</t>
        </is>
      </c>
      <c r="D611" t="n">
        <v>10.71</v>
      </c>
      <c r="E611" t="n">
        <v>3170.042</v>
      </c>
      <c r="F611" t="n">
        <v>2158.6</v>
      </c>
      <c r="G611" t="n">
        <v>21595</v>
      </c>
      <c r="H611" t="inlineStr">
        <is>
          <t>bb</t>
        </is>
      </c>
    </row>
    <row r="612">
      <c r="A612" t="n">
        <v>5</v>
      </c>
      <c r="B612" t="inlineStr">
        <is>
          <t>EPA1633 &amp; diPAPs Calibration 1 ppb</t>
        </is>
      </c>
      <c r="D612" t="n">
        <v>10.71</v>
      </c>
      <c r="E612" t="n">
        <v>6188.14</v>
      </c>
      <c r="F612" t="n">
        <v>2171.349</v>
      </c>
      <c r="G612" t="n">
        <v>187.406</v>
      </c>
      <c r="H612" t="inlineStr">
        <is>
          <t>bb</t>
        </is>
      </c>
    </row>
    <row r="613">
      <c r="A613" t="n">
        <v>6</v>
      </c>
      <c r="B613" t="inlineStr">
        <is>
          <t>EPA1633 &amp; diPAPs Calibration 5 ppb</t>
        </is>
      </c>
      <c r="D613" t="n">
        <v>10.59</v>
      </c>
      <c r="E613" t="n">
        <v>27889.813</v>
      </c>
      <c r="F613" t="n">
        <v>2121.173</v>
      </c>
      <c r="G613" t="n">
        <v>1530.254</v>
      </c>
      <c r="H613" t="inlineStr">
        <is>
          <t>bb</t>
        </is>
      </c>
    </row>
    <row r="614">
      <c r="A614" t="n">
        <v>7</v>
      </c>
      <c r="B614" t="inlineStr">
        <is>
          <t>EPA1633 &amp; diPAPs Calibration 10 ppb</t>
        </is>
      </c>
      <c r="D614" t="n">
        <v>10.64</v>
      </c>
      <c r="E614" t="n">
        <v>50818.898</v>
      </c>
      <c r="F614" t="n">
        <v>1632.291</v>
      </c>
      <c r="G614" t="n">
        <v>1421.145</v>
      </c>
      <c r="H614" t="inlineStr">
        <is>
          <t>bb</t>
        </is>
      </c>
    </row>
    <row r="615">
      <c r="A615" t="n">
        <v>8</v>
      </c>
      <c r="B615" t="inlineStr">
        <is>
          <t>EPA1633 &amp; diPAPs Calibration 20 ppb</t>
        </is>
      </c>
      <c r="D615" t="n">
        <v>10.67</v>
      </c>
      <c r="E615" t="n">
        <v>97533.961</v>
      </c>
      <c r="F615" t="n">
        <v>1888.116</v>
      </c>
      <c r="G615" t="n">
        <v>1495.713</v>
      </c>
      <c r="H615" t="inlineStr">
        <is>
          <t>bb</t>
        </is>
      </c>
    </row>
    <row r="616">
      <c r="A616" t="n">
        <v>9</v>
      </c>
      <c r="B616" t="inlineStr">
        <is>
          <t>MeOH</t>
        </is>
      </c>
      <c r="D616" t="n">
        <v>10.68</v>
      </c>
      <c r="E616" t="n">
        <v>132.195</v>
      </c>
      <c r="G616" t="n">
        <v>1237</v>
      </c>
      <c r="H616" t="inlineStr">
        <is>
          <t>bb</t>
        </is>
      </c>
    </row>
    <row r="617">
      <c r="A617" t="n">
        <v>10</v>
      </c>
      <c r="B617" t="inlineStr">
        <is>
          <t>MeOH</t>
        </is>
      </c>
      <c r="D617" t="n">
        <v>10.74</v>
      </c>
      <c r="E617" t="n">
        <v>121.937</v>
      </c>
      <c r="G617" t="n">
        <v>2.339</v>
      </c>
      <c r="H617" t="inlineStr">
        <is>
          <t>bb</t>
        </is>
      </c>
    </row>
    <row r="618">
      <c r="A618" t="n">
        <v>11</v>
      </c>
      <c r="B618" t="inlineStr">
        <is>
          <t>SB1</t>
        </is>
      </c>
      <c r="D618" t="n">
        <v>10.73</v>
      </c>
      <c r="E618" t="n">
        <v>100.313</v>
      </c>
      <c r="F618" t="n">
        <v>747.436</v>
      </c>
      <c r="G618" t="n">
        <v>773</v>
      </c>
      <c r="H618" t="inlineStr">
        <is>
          <t>bb</t>
        </is>
      </c>
    </row>
    <row r="619">
      <c r="A619" t="n">
        <v>12</v>
      </c>
      <c r="B619" t="inlineStr">
        <is>
          <t>SB2</t>
        </is>
      </c>
      <c r="F619" t="n">
        <v>888.825</v>
      </c>
    </row>
    <row r="620">
      <c r="A620" t="n">
        <v>13</v>
      </c>
      <c r="B620" t="inlineStr">
        <is>
          <t>SB3</t>
        </is>
      </c>
      <c r="F620" t="n">
        <v>658.669</v>
      </c>
    </row>
    <row r="621">
      <c r="A621" t="n">
        <v>14</v>
      </c>
      <c r="B621" t="inlineStr">
        <is>
          <t>SS1</t>
        </is>
      </c>
      <c r="D621" t="n">
        <v>10.77</v>
      </c>
      <c r="E621" t="n">
        <v>19938.229</v>
      </c>
      <c r="F621" t="n">
        <v>633.539</v>
      </c>
      <c r="G621" t="n">
        <v>626.95</v>
      </c>
      <c r="H621" t="inlineStr">
        <is>
          <t>bb</t>
        </is>
      </c>
    </row>
    <row r="622">
      <c r="A622" t="n">
        <v>15</v>
      </c>
      <c r="B622" t="inlineStr">
        <is>
          <t>SS2</t>
        </is>
      </c>
      <c r="D622" t="n">
        <v>10.77</v>
      </c>
      <c r="E622" t="n">
        <v>21616.66</v>
      </c>
      <c r="F622" t="n">
        <v>795.245</v>
      </c>
      <c r="G622" t="n">
        <v>155561</v>
      </c>
      <c r="H622" t="inlineStr">
        <is>
          <t>bb</t>
        </is>
      </c>
    </row>
    <row r="623">
      <c r="A623" t="n">
        <v>16</v>
      </c>
      <c r="B623" t="inlineStr">
        <is>
          <t>SS3</t>
        </is>
      </c>
      <c r="D623" t="n">
        <v>10.78</v>
      </c>
      <c r="E623" t="n">
        <v>21347.637</v>
      </c>
      <c r="F623" t="n">
        <v>533.917</v>
      </c>
      <c r="G623" t="n">
        <v>234.552</v>
      </c>
      <c r="H623" t="inlineStr">
        <is>
          <t>bb</t>
        </is>
      </c>
    </row>
    <row r="625">
      <c r="A625" t="inlineStr">
        <is>
          <t>Compound 32:  PFPeS 1</t>
        </is>
      </c>
    </row>
    <row r="627">
      <c r="B627" t="inlineStr">
        <is>
          <t>Sample Text</t>
        </is>
      </c>
      <c r="C627" t="inlineStr">
        <is>
          <t>Std. Conc</t>
        </is>
      </c>
      <c r="D627" t="inlineStr">
        <is>
          <t>RT</t>
        </is>
      </c>
      <c r="E627" t="inlineStr">
        <is>
          <t>Area</t>
        </is>
      </c>
      <c r="F627" t="inlineStr">
        <is>
          <t>IS Area</t>
        </is>
      </c>
      <c r="G627" t="inlineStr">
        <is>
          <t>S/N</t>
        </is>
      </c>
      <c r="H627" t="inlineStr">
        <is>
          <t>Primary Flags</t>
        </is>
      </c>
      <c r="I627" t="inlineStr">
        <is>
          <t>Response</t>
        </is>
      </c>
      <c r="J627" t="inlineStr">
        <is>
          <t>Conc.</t>
        </is>
      </c>
    </row>
    <row r="628">
      <c r="A628" t="n">
        <v>1</v>
      </c>
      <c r="B628" t="inlineStr">
        <is>
          <t>EPA1633 &amp; diPAPs Calibration 0 ppb</t>
        </is>
      </c>
      <c r="F628" t="n">
        <v>1480.336</v>
      </c>
    </row>
    <row r="629">
      <c r="A629" t="n">
        <v>2</v>
      </c>
      <c r="B629" t="inlineStr">
        <is>
          <t>EPA1633 &amp; diPAPs Calibration 0.02 ppb</t>
        </is>
      </c>
      <c r="D629" t="n">
        <v>9.26</v>
      </c>
      <c r="E629" t="n">
        <v>24.681</v>
      </c>
      <c r="F629" t="n">
        <v>1118.817</v>
      </c>
      <c r="G629" t="n">
        <v>3.67</v>
      </c>
      <c r="H629" t="inlineStr">
        <is>
          <t>bb</t>
        </is>
      </c>
    </row>
    <row r="630">
      <c r="A630" t="n">
        <v>3</v>
      </c>
      <c r="B630" t="inlineStr">
        <is>
          <t>EPA1633 &amp; diPAPs Calibration 0.1 ppb</t>
        </is>
      </c>
      <c r="D630" t="n">
        <v>9.27</v>
      </c>
      <c r="E630" t="n">
        <v>109.918</v>
      </c>
      <c r="F630" t="n">
        <v>1446.88</v>
      </c>
      <c r="G630" t="n">
        <v>7.075</v>
      </c>
      <c r="H630" t="inlineStr">
        <is>
          <t>bb</t>
        </is>
      </c>
    </row>
    <row r="631">
      <c r="A631" t="n">
        <v>4</v>
      </c>
      <c r="B631" t="inlineStr">
        <is>
          <t>EPA1633 &amp; diPAPs Calibration 0.4 ppb</t>
        </is>
      </c>
      <c r="D631" t="n">
        <v>9.27</v>
      </c>
      <c r="E631" t="n">
        <v>383.412</v>
      </c>
      <c r="F631" t="n">
        <v>1124.702</v>
      </c>
      <c r="G631" t="n">
        <v>3697</v>
      </c>
      <c r="H631" t="inlineStr">
        <is>
          <t>bb</t>
        </is>
      </c>
    </row>
    <row r="632">
      <c r="A632" t="n">
        <v>5</v>
      </c>
      <c r="B632" t="inlineStr">
        <is>
          <t>EPA1633 &amp; diPAPs Calibration 1 ppb</t>
        </is>
      </c>
      <c r="D632" t="n">
        <v>9.300000000000001</v>
      </c>
      <c r="E632" t="n">
        <v>416.057</v>
      </c>
      <c r="F632" t="n">
        <v>1632.484</v>
      </c>
      <c r="G632" t="n">
        <v>9.481999999999999</v>
      </c>
      <c r="H632" t="inlineStr">
        <is>
          <t>bb</t>
        </is>
      </c>
    </row>
    <row r="633">
      <c r="A633" t="n">
        <v>6</v>
      </c>
      <c r="B633" t="inlineStr">
        <is>
          <t>EPA1633 &amp; diPAPs Calibration 5 ppb</t>
        </is>
      </c>
      <c r="D633" t="n">
        <v>9.130000000000001</v>
      </c>
      <c r="E633" t="n">
        <v>2592.964</v>
      </c>
      <c r="F633" t="n">
        <v>1363.196</v>
      </c>
      <c r="G633" t="n">
        <v>29.969</v>
      </c>
      <c r="H633" t="inlineStr">
        <is>
          <t>bb</t>
        </is>
      </c>
    </row>
    <row r="634">
      <c r="A634" t="n">
        <v>7</v>
      </c>
      <c r="B634" t="inlineStr">
        <is>
          <t>EPA1633 &amp; diPAPs Calibration 10 ppb</t>
        </is>
      </c>
      <c r="D634" t="n">
        <v>9.19</v>
      </c>
      <c r="E634" t="n">
        <v>5668.396</v>
      </c>
      <c r="F634" t="n">
        <v>972.191</v>
      </c>
      <c r="G634" t="n">
        <v>209.225</v>
      </c>
      <c r="H634" t="inlineStr">
        <is>
          <t>bb</t>
        </is>
      </c>
    </row>
    <row r="635">
      <c r="A635" t="n">
        <v>8</v>
      </c>
      <c r="B635" t="inlineStr">
        <is>
          <t>EPA1633 &amp; diPAPs Calibration 20 ppb</t>
        </is>
      </c>
      <c r="D635" t="n">
        <v>9.25</v>
      </c>
      <c r="E635" t="n">
        <v>11193.547</v>
      </c>
      <c r="F635" t="n">
        <v>963.742</v>
      </c>
      <c r="G635" t="n">
        <v>94722</v>
      </c>
      <c r="H635" t="inlineStr">
        <is>
          <t>bb</t>
        </is>
      </c>
    </row>
    <row r="636">
      <c r="A636" t="n">
        <v>9</v>
      </c>
      <c r="B636" t="inlineStr">
        <is>
          <t>MeOH</t>
        </is>
      </c>
    </row>
    <row r="637">
      <c r="A637" t="n">
        <v>10</v>
      </c>
      <c r="B637" t="inlineStr">
        <is>
          <t>MeOH</t>
        </is>
      </c>
    </row>
    <row r="638">
      <c r="A638" t="n">
        <v>11</v>
      </c>
      <c r="B638" t="inlineStr">
        <is>
          <t>SB1</t>
        </is>
      </c>
      <c r="F638" t="n">
        <v>517.296</v>
      </c>
    </row>
    <row r="639">
      <c r="A639" t="n">
        <v>12</v>
      </c>
      <c r="B639" t="inlineStr">
        <is>
          <t>SB2</t>
        </is>
      </c>
      <c r="F639" t="n">
        <v>658.292</v>
      </c>
    </row>
    <row r="640">
      <c r="A640" t="n">
        <v>13</v>
      </c>
      <c r="B640" t="inlineStr">
        <is>
          <t>SB3</t>
        </is>
      </c>
      <c r="F640" t="n">
        <v>554.321</v>
      </c>
    </row>
    <row r="641">
      <c r="A641" t="n">
        <v>14</v>
      </c>
      <c r="B641" t="inlineStr">
        <is>
          <t>SS1</t>
        </is>
      </c>
      <c r="D641" t="n">
        <v>9.35</v>
      </c>
      <c r="E641" t="n">
        <v>2172.872</v>
      </c>
      <c r="F641" t="n">
        <v>423.941</v>
      </c>
      <c r="G641" t="n">
        <v>306.071</v>
      </c>
      <c r="H641" t="inlineStr">
        <is>
          <t>bb</t>
        </is>
      </c>
    </row>
    <row r="642">
      <c r="A642" t="n">
        <v>15</v>
      </c>
      <c r="B642" t="inlineStr">
        <is>
          <t>SS2</t>
        </is>
      </c>
      <c r="D642" t="n">
        <v>9.359999999999999</v>
      </c>
      <c r="E642" t="n">
        <v>2537.442</v>
      </c>
      <c r="F642" t="n">
        <v>665.876</v>
      </c>
      <c r="G642" t="n">
        <v>21408</v>
      </c>
      <c r="H642" t="inlineStr">
        <is>
          <t>bb</t>
        </is>
      </c>
    </row>
    <row r="643">
      <c r="A643" t="n">
        <v>16</v>
      </c>
      <c r="B643" t="inlineStr">
        <is>
          <t>SS3</t>
        </is>
      </c>
      <c r="D643" t="n">
        <v>9.359999999999999</v>
      </c>
      <c r="E643" t="n">
        <v>2640.389</v>
      </c>
      <c r="F643" t="n">
        <v>514.421</v>
      </c>
      <c r="G643" t="n">
        <v>660.5700000000001</v>
      </c>
      <c r="H643" t="inlineStr">
        <is>
          <t>bb</t>
        </is>
      </c>
    </row>
    <row r="645">
      <c r="A645" t="inlineStr">
        <is>
          <t>Compound 33:  PFPeS 2</t>
        </is>
      </c>
    </row>
    <row r="647">
      <c r="B647" t="inlineStr">
        <is>
          <t>Sample Text</t>
        </is>
      </c>
      <c r="C647" t="inlineStr">
        <is>
          <t>Std. Conc</t>
        </is>
      </c>
      <c r="D647" t="inlineStr">
        <is>
          <t>RT</t>
        </is>
      </c>
      <c r="E647" t="inlineStr">
        <is>
          <t>Area</t>
        </is>
      </c>
      <c r="F647" t="inlineStr">
        <is>
          <t>IS Area</t>
        </is>
      </c>
      <c r="G647" t="inlineStr">
        <is>
          <t>S/N</t>
        </is>
      </c>
      <c r="H647" t="inlineStr">
        <is>
          <t>Primary Flags</t>
        </is>
      </c>
      <c r="I647" t="inlineStr">
        <is>
          <t>Response</t>
        </is>
      </c>
      <c r="J647" t="inlineStr">
        <is>
          <t>Conc.</t>
        </is>
      </c>
    </row>
    <row r="648">
      <c r="A648" t="n">
        <v>1</v>
      </c>
      <c r="B648" t="inlineStr">
        <is>
          <t>EPA1633 &amp; diPAPs Calibration 0 ppb</t>
        </is>
      </c>
      <c r="F648" t="n">
        <v>1480.336</v>
      </c>
    </row>
    <row r="649">
      <c r="A649" t="n">
        <v>2</v>
      </c>
      <c r="B649" t="inlineStr">
        <is>
          <t>EPA1633 &amp; diPAPs Calibration 0.02 ppb</t>
        </is>
      </c>
      <c r="D649" t="n">
        <v>9.24</v>
      </c>
      <c r="E649" t="n">
        <v>14.63</v>
      </c>
      <c r="F649" t="n">
        <v>1118.817</v>
      </c>
      <c r="G649" t="n">
        <v>143</v>
      </c>
      <c r="H649" t="inlineStr">
        <is>
          <t>MM</t>
        </is>
      </c>
    </row>
    <row r="650">
      <c r="A650" t="n">
        <v>3</v>
      </c>
      <c r="B650" t="inlineStr">
        <is>
          <t>EPA1633 &amp; diPAPs Calibration 0.1 ppb</t>
        </is>
      </c>
      <c r="D650" t="n">
        <v>9.26</v>
      </c>
      <c r="E650" t="n">
        <v>89.09999999999999</v>
      </c>
      <c r="F650" t="n">
        <v>1446.88</v>
      </c>
      <c r="G650" t="n">
        <v>965</v>
      </c>
      <c r="H650" t="inlineStr">
        <is>
          <t>MM</t>
        </is>
      </c>
    </row>
    <row r="651">
      <c r="A651" t="n">
        <v>4</v>
      </c>
      <c r="B651" t="inlineStr">
        <is>
          <t>EPA1633 &amp; diPAPs Calibration 0.4 ppb</t>
        </is>
      </c>
      <c r="D651" t="n">
        <v>9.279999999999999</v>
      </c>
      <c r="E651" t="n">
        <v>186.457</v>
      </c>
      <c r="F651" t="n">
        <v>1124.702</v>
      </c>
      <c r="G651" t="n">
        <v>1880</v>
      </c>
      <c r="H651" t="inlineStr">
        <is>
          <t>bb</t>
        </is>
      </c>
    </row>
    <row r="652">
      <c r="A652" t="n">
        <v>5</v>
      </c>
      <c r="B652" t="inlineStr">
        <is>
          <t>EPA1633 &amp; diPAPs Calibration 1 ppb</t>
        </is>
      </c>
      <c r="D652" t="n">
        <v>9.279999999999999</v>
      </c>
      <c r="E652" t="n">
        <v>363.759</v>
      </c>
      <c r="F652" t="n">
        <v>1632.484</v>
      </c>
      <c r="G652" t="n">
        <v>31.03</v>
      </c>
      <c r="H652" t="inlineStr">
        <is>
          <t>bb</t>
        </is>
      </c>
    </row>
    <row r="653">
      <c r="A653" t="n">
        <v>6</v>
      </c>
      <c r="B653" t="inlineStr">
        <is>
          <t>EPA1633 &amp; diPAPs Calibration 5 ppb</t>
        </is>
      </c>
      <c r="D653" t="n">
        <v>9.130000000000001</v>
      </c>
      <c r="E653" t="n">
        <v>1926.568</v>
      </c>
      <c r="F653" t="n">
        <v>1363.196</v>
      </c>
      <c r="G653" t="n">
        <v>16989</v>
      </c>
      <c r="H653" t="inlineStr">
        <is>
          <t>bb</t>
        </is>
      </c>
    </row>
    <row r="654">
      <c r="A654" t="n">
        <v>7</v>
      </c>
      <c r="B654" t="inlineStr">
        <is>
          <t>EPA1633 &amp; diPAPs Calibration 10 ppb</t>
        </is>
      </c>
      <c r="D654" t="n">
        <v>9.19</v>
      </c>
      <c r="E654" t="n">
        <v>3846.638</v>
      </c>
      <c r="F654" t="n">
        <v>972.191</v>
      </c>
      <c r="G654" t="n">
        <v>32664</v>
      </c>
      <c r="H654" t="inlineStr">
        <is>
          <t>bb</t>
        </is>
      </c>
    </row>
    <row r="655">
      <c r="A655" t="n">
        <v>8</v>
      </c>
      <c r="B655" t="inlineStr">
        <is>
          <t>EPA1633 &amp; diPAPs Calibration 20 ppb</t>
        </is>
      </c>
      <c r="D655" t="n">
        <v>9.25</v>
      </c>
      <c r="E655" t="n">
        <v>8717.501</v>
      </c>
      <c r="F655" t="n">
        <v>963.742</v>
      </c>
      <c r="G655" t="n">
        <v>110.548</v>
      </c>
      <c r="H655" t="inlineStr">
        <is>
          <t>bb</t>
        </is>
      </c>
    </row>
    <row r="656">
      <c r="A656" t="n">
        <v>9</v>
      </c>
      <c r="B656" t="inlineStr">
        <is>
          <t>MeOH</t>
        </is>
      </c>
      <c r="D656" t="n">
        <v>9.369999999999999</v>
      </c>
      <c r="E656" t="n">
        <v>0.507</v>
      </c>
      <c r="G656" t="n">
        <v>6</v>
      </c>
      <c r="H656" t="inlineStr">
        <is>
          <t>bb</t>
        </is>
      </c>
    </row>
    <row r="657">
      <c r="A657" t="n">
        <v>10</v>
      </c>
      <c r="B657" t="inlineStr">
        <is>
          <t>MeOH</t>
        </is>
      </c>
      <c r="D657" t="n">
        <v>9.75</v>
      </c>
      <c r="E657" t="n">
        <v>11.231</v>
      </c>
      <c r="G657" t="n">
        <v>65.435</v>
      </c>
      <c r="H657" t="inlineStr">
        <is>
          <t>bb</t>
        </is>
      </c>
    </row>
    <row r="658">
      <c r="A658" t="n">
        <v>11</v>
      </c>
      <c r="B658" t="inlineStr">
        <is>
          <t>SB1</t>
        </is>
      </c>
      <c r="F658" t="n">
        <v>517.296</v>
      </c>
    </row>
    <row r="659">
      <c r="A659" t="n">
        <v>12</v>
      </c>
      <c r="B659" t="inlineStr">
        <is>
          <t>SB2</t>
        </is>
      </c>
      <c r="D659" t="n">
        <v>9.199999999999999</v>
      </c>
      <c r="E659" t="n">
        <v>1.579</v>
      </c>
      <c r="F659" t="n">
        <v>658.292</v>
      </c>
      <c r="G659" t="n">
        <v>0.607</v>
      </c>
      <c r="H659" t="inlineStr">
        <is>
          <t>bb</t>
        </is>
      </c>
    </row>
    <row r="660">
      <c r="A660" t="n">
        <v>13</v>
      </c>
      <c r="B660" t="inlineStr">
        <is>
          <t>SB3</t>
        </is>
      </c>
      <c r="D660" t="n">
        <v>8.779999999999999</v>
      </c>
      <c r="E660" t="n">
        <v>6.133</v>
      </c>
      <c r="F660" t="n">
        <v>554.321</v>
      </c>
      <c r="G660" t="n">
        <v>85</v>
      </c>
      <c r="H660" t="inlineStr">
        <is>
          <t>bb</t>
        </is>
      </c>
    </row>
    <row r="661">
      <c r="A661" t="n">
        <v>14</v>
      </c>
      <c r="B661" t="inlineStr">
        <is>
          <t>SS1</t>
        </is>
      </c>
      <c r="D661" t="n">
        <v>9.359999999999999</v>
      </c>
      <c r="E661" t="n">
        <v>1720.557</v>
      </c>
      <c r="F661" t="n">
        <v>423.941</v>
      </c>
      <c r="G661" t="n">
        <v>13926</v>
      </c>
      <c r="H661" t="inlineStr">
        <is>
          <t>bb</t>
        </is>
      </c>
    </row>
    <row r="662">
      <c r="A662" t="n">
        <v>15</v>
      </c>
      <c r="B662" t="inlineStr">
        <is>
          <t>SS2</t>
        </is>
      </c>
      <c r="D662" t="n">
        <v>9.359999999999999</v>
      </c>
      <c r="E662" t="n">
        <v>2230.366</v>
      </c>
      <c r="F662" t="n">
        <v>665.876</v>
      </c>
      <c r="G662" t="n">
        <v>18.384</v>
      </c>
      <c r="H662" t="inlineStr">
        <is>
          <t>bb</t>
        </is>
      </c>
    </row>
    <row r="663">
      <c r="A663" t="n">
        <v>16</v>
      </c>
      <c r="B663" t="inlineStr">
        <is>
          <t>SS3</t>
        </is>
      </c>
      <c r="D663" t="n">
        <v>9.359999999999999</v>
      </c>
      <c r="E663" t="n">
        <v>1703.595</v>
      </c>
      <c r="F663" t="n">
        <v>514.421</v>
      </c>
      <c r="G663" t="n">
        <v>64.093</v>
      </c>
      <c r="H663" t="inlineStr">
        <is>
          <t>bb</t>
        </is>
      </c>
    </row>
    <row r="665">
      <c r="A665" t="inlineStr">
        <is>
          <t>Compound 34:  6:2 FTUCA</t>
        </is>
      </c>
    </row>
    <row r="667">
      <c r="B667" t="inlineStr">
        <is>
          <t>Sample Text</t>
        </is>
      </c>
      <c r="C667" t="inlineStr">
        <is>
          <t>Std. Conc</t>
        </is>
      </c>
      <c r="D667" t="inlineStr">
        <is>
          <t>RT</t>
        </is>
      </c>
      <c r="E667" t="inlineStr">
        <is>
          <t>Area</t>
        </is>
      </c>
      <c r="F667" t="inlineStr">
        <is>
          <t>IS Area</t>
        </is>
      </c>
      <c r="G667" t="inlineStr">
        <is>
          <t>S/N</t>
        </is>
      </c>
      <c r="H667" t="inlineStr">
        <is>
          <t>Primary Flags</t>
        </is>
      </c>
      <c r="I667" t="inlineStr">
        <is>
          <t>Response</t>
        </is>
      </c>
      <c r="J667" t="inlineStr">
        <is>
          <t>Conc.</t>
        </is>
      </c>
    </row>
    <row r="668">
      <c r="A668" t="n">
        <v>1</v>
      </c>
      <c r="B668" t="inlineStr">
        <is>
          <t>EPA1633 &amp; diPAPs Calibration 0 ppb</t>
        </is>
      </c>
      <c r="D668" t="n">
        <v>10.83</v>
      </c>
      <c r="E668" t="n">
        <v>92.34999999999999</v>
      </c>
      <c r="F668" t="n">
        <v>8287.344999999999</v>
      </c>
      <c r="G668" t="n">
        <v>14.663</v>
      </c>
      <c r="H668" t="inlineStr">
        <is>
          <t>bb</t>
        </is>
      </c>
    </row>
    <row r="669">
      <c r="A669" t="n">
        <v>2</v>
      </c>
      <c r="B669" t="inlineStr">
        <is>
          <t>EPA1633 &amp; diPAPs Calibration 0.02 ppb</t>
        </is>
      </c>
      <c r="D669" t="n">
        <v>10.91</v>
      </c>
      <c r="E669" t="n">
        <v>445.491</v>
      </c>
      <c r="F669" t="n">
        <v>8357.611999999999</v>
      </c>
      <c r="G669" t="n">
        <v>59.794</v>
      </c>
      <c r="H669" t="inlineStr">
        <is>
          <t>bb</t>
        </is>
      </c>
    </row>
    <row r="670">
      <c r="A670" t="n">
        <v>3</v>
      </c>
      <c r="B670" t="inlineStr">
        <is>
          <t>EPA1633 &amp; diPAPs Calibration 0.1 ppb</t>
        </is>
      </c>
      <c r="D670" t="n">
        <v>10.89</v>
      </c>
      <c r="E670" t="n">
        <v>816.116</v>
      </c>
      <c r="F670" t="n">
        <v>7538.169</v>
      </c>
      <c r="G670" t="n">
        <v>19.691</v>
      </c>
      <c r="H670" t="inlineStr">
        <is>
          <t>bb</t>
        </is>
      </c>
    </row>
    <row r="671">
      <c r="A671" t="n">
        <v>4</v>
      </c>
      <c r="B671" t="inlineStr">
        <is>
          <t>EPA1633 &amp; diPAPs Calibration 0.4 ppb</t>
        </is>
      </c>
      <c r="D671" t="n">
        <v>10.9</v>
      </c>
      <c r="E671" t="n">
        <v>4731.996</v>
      </c>
      <c r="F671" t="n">
        <v>7199.022</v>
      </c>
      <c r="G671" t="n">
        <v>34578</v>
      </c>
      <c r="H671" t="inlineStr">
        <is>
          <t>bb</t>
        </is>
      </c>
    </row>
    <row r="672">
      <c r="A672" t="n">
        <v>5</v>
      </c>
      <c r="B672" t="inlineStr">
        <is>
          <t>EPA1633 &amp; diPAPs Calibration 1 ppb</t>
        </is>
      </c>
      <c r="D672" t="n">
        <v>10.92</v>
      </c>
      <c r="E672" t="n">
        <v>8313.835999999999</v>
      </c>
      <c r="F672" t="n">
        <v>9350.769</v>
      </c>
      <c r="G672" t="n">
        <v>174.153</v>
      </c>
      <c r="H672" t="inlineStr">
        <is>
          <t>bb</t>
        </is>
      </c>
    </row>
    <row r="673">
      <c r="A673" t="n">
        <v>6</v>
      </c>
      <c r="B673" t="inlineStr">
        <is>
          <t>EPA1633 &amp; diPAPs Calibration 5 ppb</t>
        </is>
      </c>
      <c r="D673" t="n">
        <v>10.78</v>
      </c>
      <c r="E673" t="n">
        <v>40254.512</v>
      </c>
      <c r="F673" t="n">
        <v>9389.059999999999</v>
      </c>
      <c r="G673" t="n">
        <v>598.687</v>
      </c>
      <c r="H673" t="inlineStr">
        <is>
          <t>bb</t>
        </is>
      </c>
    </row>
    <row r="674">
      <c r="A674" t="n">
        <v>7</v>
      </c>
      <c r="B674" t="inlineStr">
        <is>
          <t>EPA1633 &amp; diPAPs Calibration 10 ppb</t>
        </is>
      </c>
      <c r="D674" t="n">
        <v>10.84</v>
      </c>
      <c r="E674" t="n">
        <v>82305.19500000001</v>
      </c>
      <c r="F674" t="n">
        <v>7624.321</v>
      </c>
      <c r="G674" t="n">
        <v>3006.561</v>
      </c>
      <c r="H674" t="inlineStr">
        <is>
          <t>bb</t>
        </is>
      </c>
    </row>
    <row r="675">
      <c r="A675" t="n">
        <v>8</v>
      </c>
      <c r="B675" t="inlineStr">
        <is>
          <t>EPA1633 &amp; diPAPs Calibration 20 ppb</t>
        </is>
      </c>
      <c r="D675" t="n">
        <v>10.86</v>
      </c>
      <c r="E675" t="n">
        <v>158741.141</v>
      </c>
      <c r="F675" t="n">
        <v>8364.425999999999</v>
      </c>
      <c r="G675" t="n">
        <v>3520.78</v>
      </c>
      <c r="H675" t="inlineStr">
        <is>
          <t>bb</t>
        </is>
      </c>
    </row>
    <row r="676">
      <c r="A676" t="n">
        <v>9</v>
      </c>
      <c r="B676" t="inlineStr">
        <is>
          <t>MeOH</t>
        </is>
      </c>
      <c r="D676" t="n">
        <v>10.89</v>
      </c>
      <c r="E676" t="n">
        <v>206.199</v>
      </c>
      <c r="G676" t="n">
        <v>7.453</v>
      </c>
      <c r="H676" t="inlineStr">
        <is>
          <t>bb</t>
        </is>
      </c>
    </row>
    <row r="677">
      <c r="A677" t="n">
        <v>10</v>
      </c>
      <c r="B677" t="inlineStr">
        <is>
          <t>MeOH</t>
        </is>
      </c>
      <c r="D677" t="n">
        <v>10.93</v>
      </c>
      <c r="E677" t="n">
        <v>67.289</v>
      </c>
      <c r="G677" t="n">
        <v>484</v>
      </c>
      <c r="H677" t="inlineStr">
        <is>
          <t>bb</t>
        </is>
      </c>
    </row>
    <row r="678">
      <c r="A678" t="n">
        <v>11</v>
      </c>
      <c r="B678" t="inlineStr">
        <is>
          <t>SB1</t>
        </is>
      </c>
      <c r="D678" t="n">
        <v>10.92</v>
      </c>
      <c r="E678" t="n">
        <v>86.224</v>
      </c>
      <c r="F678" t="n">
        <v>3709.376</v>
      </c>
      <c r="G678" t="n">
        <v>30.557</v>
      </c>
      <c r="H678" t="inlineStr">
        <is>
          <t>bb</t>
        </is>
      </c>
    </row>
    <row r="679">
      <c r="A679" t="n">
        <v>12</v>
      </c>
      <c r="B679" t="inlineStr">
        <is>
          <t>SB2</t>
        </is>
      </c>
      <c r="D679" t="n">
        <v>11.08</v>
      </c>
      <c r="E679" t="n">
        <v>15.3</v>
      </c>
      <c r="F679" t="n">
        <v>3604.751</v>
      </c>
      <c r="G679" t="n">
        <v>142</v>
      </c>
      <c r="H679" t="inlineStr">
        <is>
          <t>bb</t>
        </is>
      </c>
    </row>
    <row r="680">
      <c r="A680" t="n">
        <v>13</v>
      </c>
      <c r="B680" t="inlineStr">
        <is>
          <t>SB3</t>
        </is>
      </c>
      <c r="F680" t="n">
        <v>3442.013</v>
      </c>
    </row>
    <row r="681">
      <c r="A681" t="n">
        <v>14</v>
      </c>
      <c r="B681" t="inlineStr">
        <is>
          <t>SS1</t>
        </is>
      </c>
      <c r="D681" t="n">
        <v>10.96</v>
      </c>
      <c r="E681" t="n">
        <v>38174.359</v>
      </c>
      <c r="F681" t="n">
        <v>4461.313</v>
      </c>
      <c r="G681" t="n">
        <v>827.562</v>
      </c>
      <c r="H681" t="inlineStr">
        <is>
          <t>bb</t>
        </is>
      </c>
    </row>
    <row r="682">
      <c r="A682" t="n">
        <v>15</v>
      </c>
      <c r="B682" t="inlineStr">
        <is>
          <t>SS2</t>
        </is>
      </c>
      <c r="D682" t="n">
        <v>10.97</v>
      </c>
      <c r="E682" t="n">
        <v>36828.48</v>
      </c>
      <c r="F682" t="n">
        <v>4239.469</v>
      </c>
      <c r="G682" t="n">
        <v>3501.987</v>
      </c>
      <c r="H682" t="inlineStr">
        <is>
          <t>bb</t>
        </is>
      </c>
    </row>
    <row r="683">
      <c r="A683" t="n">
        <v>16</v>
      </c>
      <c r="B683" t="inlineStr">
        <is>
          <t>SS3</t>
        </is>
      </c>
      <c r="D683" t="n">
        <v>10.97</v>
      </c>
      <c r="E683" t="n">
        <v>38644.125</v>
      </c>
      <c r="F683" t="n">
        <v>4423.033</v>
      </c>
      <c r="G683" t="n">
        <v>534.098</v>
      </c>
      <c r="H683" t="inlineStr">
        <is>
          <t>bb</t>
        </is>
      </c>
    </row>
    <row r="685">
      <c r="A685" t="inlineStr">
        <is>
          <t>Compound 35:  m2 6:2 FTUCA</t>
        </is>
      </c>
    </row>
    <row r="687">
      <c r="B687" t="inlineStr">
        <is>
          <t>Sample Text</t>
        </is>
      </c>
      <c r="C687" t="inlineStr">
        <is>
          <t>Std. Conc</t>
        </is>
      </c>
      <c r="D687" t="inlineStr">
        <is>
          <t>RT</t>
        </is>
      </c>
      <c r="E687" t="inlineStr">
        <is>
          <t>Area</t>
        </is>
      </c>
      <c r="F687" t="inlineStr">
        <is>
          <t>IS Area</t>
        </is>
      </c>
      <c r="G687" t="inlineStr">
        <is>
          <t>S/N</t>
        </is>
      </c>
      <c r="H687" t="inlineStr">
        <is>
          <t>Primary Flags</t>
        </is>
      </c>
      <c r="I687" t="inlineStr">
        <is>
          <t>Response</t>
        </is>
      </c>
      <c r="J687" t="inlineStr">
        <is>
          <t>Conc.</t>
        </is>
      </c>
    </row>
    <row r="688">
      <c r="A688" t="n">
        <v>1</v>
      </c>
      <c r="B688" t="inlineStr">
        <is>
          <t>EPA1633 &amp; diPAPs Calibration 0 ppb</t>
        </is>
      </c>
      <c r="D688" t="n">
        <v>10.85</v>
      </c>
      <c r="E688" t="n">
        <v>8287.344999999999</v>
      </c>
      <c r="G688" t="n">
        <v>846.648</v>
      </c>
      <c r="H688" t="inlineStr">
        <is>
          <t>bb</t>
        </is>
      </c>
      <c r="I688" t="n">
        <v>8287.344999999999</v>
      </c>
    </row>
    <row r="689">
      <c r="A689" t="n">
        <v>2</v>
      </c>
      <c r="B689" t="inlineStr">
        <is>
          <t>EPA1633 &amp; diPAPs Calibration 0.02 ppb</t>
        </is>
      </c>
      <c r="D689" t="n">
        <v>10.88</v>
      </c>
      <c r="E689" t="n">
        <v>8357.611999999999</v>
      </c>
      <c r="G689" t="n">
        <v>92.005</v>
      </c>
      <c r="H689" t="inlineStr">
        <is>
          <t>bb</t>
        </is>
      </c>
      <c r="I689" t="n">
        <v>8357.611999999999</v>
      </c>
    </row>
    <row r="690">
      <c r="A690" t="n">
        <v>3</v>
      </c>
      <c r="B690" t="inlineStr">
        <is>
          <t>EPA1633 &amp; diPAPs Calibration 0.1 ppb</t>
        </is>
      </c>
      <c r="D690" t="n">
        <v>10.89</v>
      </c>
      <c r="E690" t="n">
        <v>7538.169</v>
      </c>
      <c r="G690" t="n">
        <v>52402</v>
      </c>
      <c r="H690" t="inlineStr">
        <is>
          <t>bb</t>
        </is>
      </c>
      <c r="I690" t="n">
        <v>7538.169</v>
      </c>
    </row>
    <row r="691">
      <c r="A691" t="n">
        <v>4</v>
      </c>
      <c r="B691" t="inlineStr">
        <is>
          <t>EPA1633 &amp; diPAPs Calibration 0.4 ppb</t>
        </is>
      </c>
      <c r="D691" t="n">
        <v>10.9</v>
      </c>
      <c r="E691" t="n">
        <v>7199.022</v>
      </c>
      <c r="G691" t="n">
        <v>200.705</v>
      </c>
      <c r="H691" t="inlineStr">
        <is>
          <t>bb</t>
        </is>
      </c>
      <c r="I691" t="n">
        <v>7199.022</v>
      </c>
    </row>
    <row r="692">
      <c r="A692" t="n">
        <v>5</v>
      </c>
      <c r="B692" t="inlineStr">
        <is>
          <t>EPA1633 &amp; diPAPs Calibration 1 ppb</t>
        </is>
      </c>
      <c r="D692" t="n">
        <v>10.92</v>
      </c>
      <c r="E692" t="n">
        <v>9350.769</v>
      </c>
      <c r="G692" t="n">
        <v>131.755</v>
      </c>
      <c r="H692" t="inlineStr">
        <is>
          <t>bb</t>
        </is>
      </c>
      <c r="I692" t="n">
        <v>9350.769</v>
      </c>
    </row>
    <row r="693">
      <c r="A693" t="n">
        <v>6</v>
      </c>
      <c r="B693" t="inlineStr">
        <is>
          <t>EPA1633 &amp; diPAPs Calibration 5 ppb</t>
        </is>
      </c>
      <c r="D693" t="n">
        <v>10.78</v>
      </c>
      <c r="E693" t="n">
        <v>9389.059999999999</v>
      </c>
      <c r="G693" t="n">
        <v>1377.051</v>
      </c>
      <c r="H693" t="inlineStr">
        <is>
          <t>bb</t>
        </is>
      </c>
      <c r="I693" t="n">
        <v>9389.059999999999</v>
      </c>
    </row>
    <row r="694">
      <c r="A694" t="n">
        <v>7</v>
      </c>
      <c r="B694" t="inlineStr">
        <is>
          <t>EPA1633 &amp; diPAPs Calibration 10 ppb</t>
        </is>
      </c>
      <c r="D694" t="n">
        <v>10.84</v>
      </c>
      <c r="E694" t="n">
        <v>7624.321</v>
      </c>
      <c r="G694" t="n">
        <v>162.66</v>
      </c>
      <c r="H694" t="inlineStr">
        <is>
          <t>bb</t>
        </is>
      </c>
      <c r="I694" t="n">
        <v>7624.321</v>
      </c>
    </row>
    <row r="695">
      <c r="A695" t="n">
        <v>8</v>
      </c>
      <c r="B695" t="inlineStr">
        <is>
          <t>EPA1633 &amp; diPAPs Calibration 20 ppb</t>
        </is>
      </c>
      <c r="D695" t="n">
        <v>10.88</v>
      </c>
      <c r="E695" t="n">
        <v>8364.425999999999</v>
      </c>
      <c r="G695" t="n">
        <v>57487</v>
      </c>
      <c r="H695" t="inlineStr">
        <is>
          <t>bb</t>
        </is>
      </c>
      <c r="I695" t="n">
        <v>8364.425999999999</v>
      </c>
    </row>
    <row r="696">
      <c r="A696" t="n">
        <v>9</v>
      </c>
      <c r="B696" t="inlineStr">
        <is>
          <t>MeOH</t>
        </is>
      </c>
    </row>
    <row r="697">
      <c r="A697" t="n">
        <v>10</v>
      </c>
      <c r="B697" t="inlineStr">
        <is>
          <t>MeOH</t>
        </is>
      </c>
    </row>
    <row r="698">
      <c r="A698" t="n">
        <v>11</v>
      </c>
      <c r="B698" t="inlineStr">
        <is>
          <t>SB1</t>
        </is>
      </c>
      <c r="D698" t="n">
        <v>10.92</v>
      </c>
      <c r="E698" t="n">
        <v>3709.376</v>
      </c>
      <c r="G698" t="n">
        <v>25366</v>
      </c>
      <c r="H698" t="inlineStr">
        <is>
          <t>bb</t>
        </is>
      </c>
      <c r="I698" t="n">
        <v>3709.376</v>
      </c>
    </row>
    <row r="699">
      <c r="A699" t="n">
        <v>12</v>
      </c>
      <c r="B699" t="inlineStr">
        <is>
          <t>SB2</t>
        </is>
      </c>
      <c r="D699" t="n">
        <v>10.92</v>
      </c>
      <c r="E699" t="n">
        <v>3604.751</v>
      </c>
      <c r="G699" t="n">
        <v>305.129</v>
      </c>
      <c r="H699" t="inlineStr">
        <is>
          <t>bb</t>
        </is>
      </c>
      <c r="I699" t="n">
        <v>3604.751</v>
      </c>
    </row>
    <row r="700">
      <c r="A700" t="n">
        <v>13</v>
      </c>
      <c r="B700" t="inlineStr">
        <is>
          <t>SB3</t>
        </is>
      </c>
      <c r="D700" t="n">
        <v>10.93</v>
      </c>
      <c r="E700" t="n">
        <v>3442.013</v>
      </c>
      <c r="G700" t="n">
        <v>35.372</v>
      </c>
      <c r="H700" t="inlineStr">
        <is>
          <t>bb</t>
        </is>
      </c>
      <c r="I700" t="n">
        <v>3442.013</v>
      </c>
    </row>
    <row r="701">
      <c r="A701" t="n">
        <v>14</v>
      </c>
      <c r="B701" t="inlineStr">
        <is>
          <t>SS1</t>
        </is>
      </c>
      <c r="D701" t="n">
        <v>10.96</v>
      </c>
      <c r="E701" t="n">
        <v>4461.313</v>
      </c>
      <c r="G701" t="n">
        <v>1351.498</v>
      </c>
      <c r="H701" t="inlineStr">
        <is>
          <t>bb</t>
        </is>
      </c>
      <c r="I701" t="n">
        <v>4461.313</v>
      </c>
    </row>
    <row r="702">
      <c r="A702" t="n">
        <v>15</v>
      </c>
      <c r="B702" t="inlineStr">
        <is>
          <t>SS2</t>
        </is>
      </c>
      <c r="D702" t="n">
        <v>10.97</v>
      </c>
      <c r="E702" t="n">
        <v>4239.469</v>
      </c>
      <c r="G702" t="n">
        <v>40.247</v>
      </c>
      <c r="H702" t="inlineStr">
        <is>
          <t>bb</t>
        </is>
      </c>
      <c r="I702" t="n">
        <v>4239.469</v>
      </c>
    </row>
    <row r="703">
      <c r="A703" t="n">
        <v>16</v>
      </c>
      <c r="B703" t="inlineStr">
        <is>
          <t>SS3</t>
        </is>
      </c>
      <c r="D703" t="n">
        <v>10.97</v>
      </c>
      <c r="E703" t="n">
        <v>4423.033</v>
      </c>
      <c r="G703" t="n">
        <v>81.435</v>
      </c>
      <c r="H703" t="inlineStr">
        <is>
          <t>bb</t>
        </is>
      </c>
      <c r="I703" t="n">
        <v>4423.033</v>
      </c>
    </row>
    <row r="705">
      <c r="A705" t="inlineStr">
        <is>
          <t>Compound 36:  PFHpA 1</t>
        </is>
      </c>
    </row>
    <row r="707">
      <c r="B707" t="inlineStr">
        <is>
          <t>Sample Text</t>
        </is>
      </c>
      <c r="C707" t="inlineStr">
        <is>
          <t>Std. Conc</t>
        </is>
      </c>
      <c r="D707" t="inlineStr">
        <is>
          <t>RT</t>
        </is>
      </c>
      <c r="E707" t="inlineStr">
        <is>
          <t>Area</t>
        </is>
      </c>
      <c r="F707" t="inlineStr">
        <is>
          <t>IS Area</t>
        </is>
      </c>
      <c r="G707" t="inlineStr">
        <is>
          <t>S/N</t>
        </is>
      </c>
      <c r="H707" t="inlineStr">
        <is>
          <t>Primary Flags</t>
        </is>
      </c>
      <c r="I707" t="inlineStr">
        <is>
          <t>Response</t>
        </is>
      </c>
      <c r="J707" t="inlineStr">
        <is>
          <t>Conc.</t>
        </is>
      </c>
    </row>
    <row r="708">
      <c r="A708" t="n">
        <v>1</v>
      </c>
      <c r="B708" t="inlineStr">
        <is>
          <t>EPA1633 &amp; diPAPs Calibration 0 ppb</t>
        </is>
      </c>
      <c r="D708" t="n">
        <v>10.66</v>
      </c>
      <c r="E708" t="n">
        <v>79.934</v>
      </c>
      <c r="F708" t="n">
        <v>3441.324</v>
      </c>
      <c r="G708" t="n">
        <v>0.964</v>
      </c>
      <c r="H708" t="inlineStr">
        <is>
          <t>MM</t>
        </is>
      </c>
    </row>
    <row r="709">
      <c r="A709" t="n">
        <v>2</v>
      </c>
      <c r="B709" t="inlineStr">
        <is>
          <t>EPA1633 &amp; diPAPs Calibration 0.02 ppb</t>
        </is>
      </c>
      <c r="D709" t="n">
        <v>10.54</v>
      </c>
      <c r="E709" t="n">
        <v>101.347</v>
      </c>
      <c r="F709" t="n">
        <v>2817.635</v>
      </c>
      <c r="G709" t="n">
        <v>1.477</v>
      </c>
      <c r="H709" t="inlineStr">
        <is>
          <t>MM</t>
        </is>
      </c>
    </row>
    <row r="710">
      <c r="A710" t="n">
        <v>3</v>
      </c>
      <c r="B710" t="inlineStr">
        <is>
          <t>EPA1633 &amp; diPAPs Calibration 0.1 ppb</t>
        </is>
      </c>
      <c r="D710" t="n">
        <v>10.68</v>
      </c>
      <c r="E710" t="n">
        <v>123.668</v>
      </c>
      <c r="F710" t="n">
        <v>3634.252</v>
      </c>
      <c r="G710" t="n">
        <v>2.025</v>
      </c>
      <c r="H710" t="inlineStr">
        <is>
          <t>MM</t>
        </is>
      </c>
    </row>
    <row r="711">
      <c r="A711" t="n">
        <v>4</v>
      </c>
      <c r="B711" t="inlineStr">
        <is>
          <t>EPA1633 &amp; diPAPs Calibration 0.4 ppb</t>
        </is>
      </c>
      <c r="D711" t="n">
        <v>10.6</v>
      </c>
      <c r="E711" t="n">
        <v>469.085</v>
      </c>
      <c r="F711" t="n">
        <v>2506.098</v>
      </c>
      <c r="G711" t="n">
        <v>6.131</v>
      </c>
      <c r="H711" t="inlineStr">
        <is>
          <t>bb</t>
        </is>
      </c>
    </row>
    <row r="712">
      <c r="A712" t="n">
        <v>5</v>
      </c>
      <c r="B712" t="inlineStr">
        <is>
          <t>EPA1633 &amp; diPAPs Calibration 1 ppb</t>
        </is>
      </c>
      <c r="D712" t="n">
        <v>10.61</v>
      </c>
      <c r="E712" t="n">
        <v>829.9829999999999</v>
      </c>
      <c r="F712" t="n">
        <v>3195.374</v>
      </c>
      <c r="G712" t="n">
        <v>21.757</v>
      </c>
      <c r="H712" t="inlineStr">
        <is>
          <t>bb</t>
        </is>
      </c>
    </row>
    <row r="713">
      <c r="A713" t="n">
        <v>6</v>
      </c>
      <c r="B713" t="inlineStr">
        <is>
          <t>EPA1633 &amp; diPAPs Calibration 5 ppb</t>
        </is>
      </c>
      <c r="D713" t="n">
        <v>10.48</v>
      </c>
      <c r="E713" t="n">
        <v>3023.33</v>
      </c>
      <c r="F713" t="n">
        <v>2906.045</v>
      </c>
      <c r="G713" t="n">
        <v>51.508</v>
      </c>
      <c r="H713" t="inlineStr">
        <is>
          <t>bb</t>
        </is>
      </c>
    </row>
    <row r="714">
      <c r="A714" t="n">
        <v>7</v>
      </c>
      <c r="B714" t="inlineStr">
        <is>
          <t>EPA1633 &amp; diPAPs Calibration 10 ppb</t>
        </is>
      </c>
      <c r="D714" t="n">
        <v>10.53</v>
      </c>
      <c r="E714" t="n">
        <v>5730.271</v>
      </c>
      <c r="F714" t="n">
        <v>2254.562</v>
      </c>
      <c r="G714" t="n">
        <v>83.376</v>
      </c>
      <c r="H714" t="inlineStr">
        <is>
          <t>bb</t>
        </is>
      </c>
    </row>
    <row r="715">
      <c r="A715" t="n">
        <v>8</v>
      </c>
      <c r="B715" t="inlineStr">
        <is>
          <t>EPA1633 &amp; diPAPs Calibration 20 ppb</t>
        </is>
      </c>
      <c r="D715" t="n">
        <v>10.57</v>
      </c>
      <c r="E715" t="n">
        <v>11860.446</v>
      </c>
      <c r="F715" t="n">
        <v>2682.879</v>
      </c>
      <c r="G715" t="n">
        <v>236.586</v>
      </c>
      <c r="H715" t="inlineStr">
        <is>
          <t>bb</t>
        </is>
      </c>
    </row>
    <row r="716">
      <c r="A716" t="n">
        <v>9</v>
      </c>
      <c r="B716" t="inlineStr">
        <is>
          <t>MeOH</t>
        </is>
      </c>
      <c r="D716" t="n">
        <v>10.72</v>
      </c>
      <c r="E716" t="n">
        <v>115.386</v>
      </c>
      <c r="G716" t="n">
        <v>1.688</v>
      </c>
      <c r="H716" t="inlineStr">
        <is>
          <t>bb</t>
        </is>
      </c>
    </row>
    <row r="717">
      <c r="A717" t="n">
        <v>10</v>
      </c>
      <c r="B717" t="inlineStr">
        <is>
          <t>MeOH</t>
        </is>
      </c>
      <c r="D717" t="n">
        <v>11.11</v>
      </c>
      <c r="E717" t="n">
        <v>198.013</v>
      </c>
      <c r="G717" t="n">
        <v>2.581</v>
      </c>
      <c r="H717" t="inlineStr">
        <is>
          <t>bb</t>
        </is>
      </c>
    </row>
    <row r="718">
      <c r="A718" t="n">
        <v>11</v>
      </c>
      <c r="B718" t="inlineStr">
        <is>
          <t>SB1</t>
        </is>
      </c>
      <c r="D718" t="n">
        <v>10.78</v>
      </c>
      <c r="E718" t="n">
        <v>246.023</v>
      </c>
      <c r="F718" t="n">
        <v>1216.834</v>
      </c>
      <c r="G718" t="n">
        <v>1.599</v>
      </c>
      <c r="H718" t="inlineStr">
        <is>
          <t>bb</t>
        </is>
      </c>
    </row>
    <row r="719">
      <c r="A719" t="n">
        <v>12</v>
      </c>
      <c r="B719" t="inlineStr">
        <is>
          <t>SB2</t>
        </is>
      </c>
      <c r="D719" t="n">
        <v>10.75</v>
      </c>
      <c r="E719" t="n">
        <v>81.035</v>
      </c>
      <c r="F719" t="n">
        <v>1211.397</v>
      </c>
      <c r="G719" t="n">
        <v>0.626</v>
      </c>
      <c r="H719" t="inlineStr">
        <is>
          <t>MM</t>
        </is>
      </c>
    </row>
    <row r="720">
      <c r="A720" t="n">
        <v>13</v>
      </c>
      <c r="B720" t="inlineStr">
        <is>
          <t>SB3</t>
        </is>
      </c>
      <c r="D720" t="n">
        <v>10.86</v>
      </c>
      <c r="E720" t="n">
        <v>234.496</v>
      </c>
      <c r="F720" t="n">
        <v>1072.495</v>
      </c>
      <c r="G720" t="n">
        <v>2.085</v>
      </c>
      <c r="H720" t="inlineStr">
        <is>
          <t>MM</t>
        </is>
      </c>
    </row>
    <row r="721">
      <c r="A721" t="n">
        <v>14</v>
      </c>
      <c r="B721" t="inlineStr">
        <is>
          <t>SS1</t>
        </is>
      </c>
      <c r="D721" t="n">
        <v>10.65</v>
      </c>
      <c r="E721" t="n">
        <v>2442.701</v>
      </c>
      <c r="F721" t="n">
        <v>1296.653</v>
      </c>
      <c r="G721" t="n">
        <v>47.631</v>
      </c>
      <c r="H721" t="inlineStr">
        <is>
          <t>bb</t>
        </is>
      </c>
    </row>
    <row r="722">
      <c r="A722" t="n">
        <v>15</v>
      </c>
      <c r="B722" t="inlineStr">
        <is>
          <t>SS2</t>
        </is>
      </c>
      <c r="D722" t="n">
        <v>10.67</v>
      </c>
      <c r="E722" t="n">
        <v>2355.377</v>
      </c>
      <c r="F722" t="n">
        <v>1239.62</v>
      </c>
      <c r="G722" t="n">
        <v>52.249</v>
      </c>
      <c r="H722" t="inlineStr">
        <is>
          <t>bb</t>
        </is>
      </c>
    </row>
    <row r="723">
      <c r="A723" t="n">
        <v>16</v>
      </c>
      <c r="B723" t="inlineStr">
        <is>
          <t>SS3</t>
        </is>
      </c>
      <c r="D723" t="n">
        <v>10.67</v>
      </c>
      <c r="E723" t="n">
        <v>2430.86</v>
      </c>
      <c r="F723" t="n">
        <v>1242.61</v>
      </c>
      <c r="G723" t="n">
        <v>39.386</v>
      </c>
      <c r="H723" t="inlineStr">
        <is>
          <t>bb</t>
        </is>
      </c>
    </row>
    <row r="725">
      <c r="A725" t="inlineStr">
        <is>
          <t>Compound 37:  PFHpA 2</t>
        </is>
      </c>
    </row>
    <row r="727">
      <c r="B727" t="inlineStr">
        <is>
          <t>Sample Text</t>
        </is>
      </c>
      <c r="C727" t="inlineStr">
        <is>
          <t>Std. Conc</t>
        </is>
      </c>
      <c r="D727" t="inlineStr">
        <is>
          <t>RT</t>
        </is>
      </c>
      <c r="E727" t="inlineStr">
        <is>
          <t>Area</t>
        </is>
      </c>
      <c r="F727" t="inlineStr">
        <is>
          <t>IS Area</t>
        </is>
      </c>
      <c r="G727" t="inlineStr">
        <is>
          <t>S/N</t>
        </is>
      </c>
      <c r="H727" t="inlineStr">
        <is>
          <t>Primary Flags</t>
        </is>
      </c>
      <c r="I727" t="inlineStr">
        <is>
          <t>Response</t>
        </is>
      </c>
      <c r="J727" t="inlineStr">
        <is>
          <t>Conc.</t>
        </is>
      </c>
    </row>
    <row r="728">
      <c r="A728" t="n">
        <v>1</v>
      </c>
      <c r="B728" t="inlineStr">
        <is>
          <t>EPA1633 &amp; diPAPs Calibration 0 ppb</t>
        </is>
      </c>
      <c r="D728" t="n">
        <v>10.73</v>
      </c>
      <c r="E728" t="n">
        <v>8.212999999999999</v>
      </c>
      <c r="F728" t="n">
        <v>3441.324</v>
      </c>
      <c r="G728" t="n">
        <v>4.48</v>
      </c>
      <c r="H728" t="inlineStr">
        <is>
          <t>bb</t>
        </is>
      </c>
    </row>
    <row r="729">
      <c r="A729" t="n">
        <v>2</v>
      </c>
      <c r="B729" t="inlineStr">
        <is>
          <t>EPA1633 &amp; diPAPs Calibration 0.02 ppb</t>
        </is>
      </c>
      <c r="D729" t="n">
        <v>10.62</v>
      </c>
      <c r="E729" t="n">
        <v>103.484</v>
      </c>
      <c r="F729" t="n">
        <v>2817.635</v>
      </c>
      <c r="G729" t="n">
        <v>1025</v>
      </c>
      <c r="H729" t="inlineStr">
        <is>
          <t>bb</t>
        </is>
      </c>
    </row>
    <row r="730">
      <c r="A730" t="n">
        <v>3</v>
      </c>
      <c r="B730" t="inlineStr">
        <is>
          <t>EPA1633 &amp; diPAPs Calibration 0.1 ppb</t>
        </is>
      </c>
      <c r="D730" t="n">
        <v>10.72</v>
      </c>
      <c r="E730" t="n">
        <v>6.08</v>
      </c>
      <c r="F730" t="n">
        <v>3634.252</v>
      </c>
      <c r="G730" t="n">
        <v>67</v>
      </c>
      <c r="H730" t="inlineStr">
        <is>
          <t>bb</t>
        </is>
      </c>
    </row>
    <row r="731">
      <c r="A731" t="n">
        <v>4</v>
      </c>
      <c r="B731" t="inlineStr">
        <is>
          <t>EPA1633 &amp; diPAPs Calibration 0.4 ppb</t>
        </is>
      </c>
      <c r="D731" t="n">
        <v>10.63</v>
      </c>
      <c r="E731" t="n">
        <v>169.943</v>
      </c>
      <c r="F731" t="n">
        <v>2506.098</v>
      </c>
      <c r="G731" t="n">
        <v>327.607</v>
      </c>
      <c r="H731" t="inlineStr">
        <is>
          <t>bb</t>
        </is>
      </c>
    </row>
    <row r="732">
      <c r="A732" t="n">
        <v>5</v>
      </c>
      <c r="B732" t="inlineStr">
        <is>
          <t>EPA1633 &amp; diPAPs Calibration 1 ppb</t>
        </is>
      </c>
      <c r="D732" t="n">
        <v>10.64</v>
      </c>
      <c r="E732" t="n">
        <v>334.371</v>
      </c>
      <c r="F732" t="n">
        <v>3195.374</v>
      </c>
      <c r="G732" t="n">
        <v>2.681</v>
      </c>
      <c r="H732" t="inlineStr">
        <is>
          <t>bb</t>
        </is>
      </c>
    </row>
    <row r="733">
      <c r="A733" t="n">
        <v>6</v>
      </c>
      <c r="B733" t="inlineStr">
        <is>
          <t>EPA1633 &amp; diPAPs Calibration 5 ppb</t>
        </is>
      </c>
      <c r="D733" t="n">
        <v>10.48</v>
      </c>
      <c r="E733" t="n">
        <v>1149.312</v>
      </c>
      <c r="F733" t="n">
        <v>2906.045</v>
      </c>
      <c r="G733" t="n">
        <v>76.651</v>
      </c>
      <c r="H733" t="inlineStr">
        <is>
          <t>bb</t>
        </is>
      </c>
    </row>
    <row r="734">
      <c r="A734" t="n">
        <v>7</v>
      </c>
      <c r="B734" t="inlineStr">
        <is>
          <t>EPA1633 &amp; diPAPs Calibration 10 ppb</t>
        </is>
      </c>
      <c r="D734" t="n">
        <v>10.53</v>
      </c>
      <c r="E734" t="n">
        <v>2158.282</v>
      </c>
      <c r="F734" t="n">
        <v>2254.562</v>
      </c>
      <c r="G734" t="n">
        <v>16137</v>
      </c>
      <c r="H734" t="inlineStr">
        <is>
          <t>bb</t>
        </is>
      </c>
    </row>
    <row r="735">
      <c r="A735" t="n">
        <v>8</v>
      </c>
      <c r="B735" t="inlineStr">
        <is>
          <t>EPA1633 &amp; diPAPs Calibration 20 ppb</t>
        </is>
      </c>
      <c r="D735" t="n">
        <v>10.57</v>
      </c>
      <c r="E735" t="n">
        <v>5791.031</v>
      </c>
      <c r="F735" t="n">
        <v>2682.879</v>
      </c>
      <c r="G735" t="n">
        <v>56.379</v>
      </c>
      <c r="H735" t="inlineStr">
        <is>
          <t>bb</t>
        </is>
      </c>
    </row>
    <row r="736">
      <c r="A736" t="n">
        <v>9</v>
      </c>
      <c r="B736" t="inlineStr">
        <is>
          <t>MeOH</t>
        </is>
      </c>
    </row>
    <row r="737">
      <c r="A737" t="n">
        <v>10</v>
      </c>
      <c r="B737" t="inlineStr">
        <is>
          <t>MeOH</t>
        </is>
      </c>
      <c r="D737" t="n">
        <v>11.26</v>
      </c>
      <c r="E737" t="n">
        <v>8.122</v>
      </c>
      <c r="G737" t="n">
        <v>76</v>
      </c>
      <c r="H737" t="inlineStr">
        <is>
          <t>bb</t>
        </is>
      </c>
    </row>
    <row r="738">
      <c r="A738" t="n">
        <v>11</v>
      </c>
      <c r="B738" t="inlineStr">
        <is>
          <t>SB1</t>
        </is>
      </c>
      <c r="D738" t="n">
        <v>10.81</v>
      </c>
      <c r="E738" t="n">
        <v>18.623</v>
      </c>
      <c r="F738" t="n">
        <v>1216.834</v>
      </c>
      <c r="G738" t="n">
        <v>177</v>
      </c>
      <c r="H738" t="inlineStr">
        <is>
          <t>bb</t>
        </is>
      </c>
    </row>
    <row r="739">
      <c r="A739" t="n">
        <v>12</v>
      </c>
      <c r="B739" t="inlineStr">
        <is>
          <t>SB2</t>
        </is>
      </c>
      <c r="D739" t="n">
        <v>10.63</v>
      </c>
      <c r="E739" t="n">
        <v>1.887</v>
      </c>
      <c r="F739" t="n">
        <v>1211.397</v>
      </c>
      <c r="G739" t="n">
        <v>21</v>
      </c>
      <c r="H739" t="inlineStr">
        <is>
          <t>bb</t>
        </is>
      </c>
    </row>
    <row r="740">
      <c r="A740" t="n">
        <v>13</v>
      </c>
      <c r="B740" t="inlineStr">
        <is>
          <t>SB3</t>
        </is>
      </c>
      <c r="F740" t="n">
        <v>1072.495</v>
      </c>
    </row>
    <row r="741">
      <c r="A741" t="n">
        <v>14</v>
      </c>
      <c r="B741" t="inlineStr">
        <is>
          <t>SS1</t>
        </is>
      </c>
      <c r="D741" t="n">
        <v>10.66</v>
      </c>
      <c r="E741" t="n">
        <v>1006.95</v>
      </c>
      <c r="F741" t="n">
        <v>1296.653</v>
      </c>
      <c r="G741" t="n">
        <v>206.508</v>
      </c>
      <c r="H741" t="inlineStr">
        <is>
          <t>bb</t>
        </is>
      </c>
    </row>
    <row r="742">
      <c r="A742" t="n">
        <v>15</v>
      </c>
      <c r="B742" t="inlineStr">
        <is>
          <t>SS2</t>
        </is>
      </c>
      <c r="D742" t="n">
        <v>10.67</v>
      </c>
      <c r="E742" t="n">
        <v>1054.382</v>
      </c>
      <c r="F742" t="n">
        <v>1239.62</v>
      </c>
      <c r="G742" t="n">
        <v>28.307</v>
      </c>
      <c r="H742" t="inlineStr">
        <is>
          <t>bb</t>
        </is>
      </c>
    </row>
    <row r="743">
      <c r="A743" t="n">
        <v>16</v>
      </c>
      <c r="B743" t="inlineStr">
        <is>
          <t>SS3</t>
        </is>
      </c>
      <c r="D743" t="n">
        <v>10.67</v>
      </c>
      <c r="E743" t="n">
        <v>1413.274</v>
      </c>
      <c r="F743" t="n">
        <v>1242.61</v>
      </c>
      <c r="G743" t="n">
        <v>96.914</v>
      </c>
      <c r="H743" t="inlineStr">
        <is>
          <t>bb</t>
        </is>
      </c>
    </row>
    <row r="745">
      <c r="A745" t="inlineStr">
        <is>
          <t>Compound 38:  m4 PFHpA 1</t>
        </is>
      </c>
    </row>
    <row r="747">
      <c r="B747" t="inlineStr">
        <is>
          <t>Sample Text</t>
        </is>
      </c>
      <c r="C747" t="inlineStr">
        <is>
          <t>Std. Conc</t>
        </is>
      </c>
      <c r="D747" t="inlineStr">
        <is>
          <t>RT</t>
        </is>
      </c>
      <c r="E747" t="inlineStr">
        <is>
          <t>Area</t>
        </is>
      </c>
      <c r="F747" t="inlineStr">
        <is>
          <t>IS Area</t>
        </is>
      </c>
      <c r="G747" t="inlineStr">
        <is>
          <t>S/N</t>
        </is>
      </c>
      <c r="H747" t="inlineStr">
        <is>
          <t>Primary Flags</t>
        </is>
      </c>
      <c r="I747" t="inlineStr">
        <is>
          <t>Response</t>
        </is>
      </c>
      <c r="J747" t="inlineStr">
        <is>
          <t>Conc.</t>
        </is>
      </c>
    </row>
    <row r="748">
      <c r="A748" t="n">
        <v>1</v>
      </c>
      <c r="B748" t="inlineStr">
        <is>
          <t>EPA1633 &amp; diPAPs Calibration 0 ppb</t>
        </is>
      </c>
      <c r="D748" t="n">
        <v>10.55</v>
      </c>
      <c r="E748" t="n">
        <v>3441.324</v>
      </c>
      <c r="G748" t="n">
        <v>28556</v>
      </c>
      <c r="H748" t="inlineStr">
        <is>
          <t>bb</t>
        </is>
      </c>
      <c r="I748" t="n">
        <v>3441.324</v>
      </c>
    </row>
    <row r="749">
      <c r="A749" t="n">
        <v>2</v>
      </c>
      <c r="B749" t="inlineStr">
        <is>
          <t>EPA1633 &amp; diPAPs Calibration 0.02 ppb</t>
        </is>
      </c>
      <c r="D749" t="n">
        <v>10.57</v>
      </c>
      <c r="E749" t="n">
        <v>2817.635</v>
      </c>
      <c r="G749" t="n">
        <v>1142.697</v>
      </c>
      <c r="H749" t="inlineStr">
        <is>
          <t>bb</t>
        </is>
      </c>
      <c r="I749" t="n">
        <v>2817.635</v>
      </c>
    </row>
    <row r="750">
      <c r="A750" t="n">
        <v>3</v>
      </c>
      <c r="B750" t="inlineStr">
        <is>
          <t>EPA1633 &amp; diPAPs Calibration 0.1 ppb</t>
        </is>
      </c>
      <c r="D750" t="n">
        <v>10.59</v>
      </c>
      <c r="E750" t="n">
        <v>3634.252</v>
      </c>
      <c r="G750" t="n">
        <v>206.489</v>
      </c>
      <c r="H750" t="inlineStr">
        <is>
          <t>bb</t>
        </is>
      </c>
      <c r="I750" t="n">
        <v>3634.252</v>
      </c>
    </row>
    <row r="751">
      <c r="A751" t="n">
        <v>4</v>
      </c>
      <c r="B751" t="inlineStr">
        <is>
          <t>EPA1633 &amp; diPAPs Calibration 0.4 ppb</t>
        </is>
      </c>
      <c r="D751" t="n">
        <v>10.6</v>
      </c>
      <c r="E751" t="n">
        <v>2506.098</v>
      </c>
      <c r="G751" t="n">
        <v>53.899</v>
      </c>
      <c r="H751" t="inlineStr">
        <is>
          <t>bb</t>
        </is>
      </c>
      <c r="I751" t="n">
        <v>2506.098</v>
      </c>
    </row>
    <row r="752">
      <c r="A752" t="n">
        <v>5</v>
      </c>
      <c r="B752" t="inlineStr">
        <is>
          <t>EPA1633 &amp; diPAPs Calibration 1 ppb</t>
        </is>
      </c>
      <c r="D752" t="n">
        <v>10.61</v>
      </c>
      <c r="E752" t="n">
        <v>3195.374</v>
      </c>
      <c r="G752" t="n">
        <v>76.999</v>
      </c>
      <c r="H752" t="inlineStr">
        <is>
          <t>bb</t>
        </is>
      </c>
      <c r="I752" t="n">
        <v>3195.374</v>
      </c>
    </row>
    <row r="753">
      <c r="A753" t="n">
        <v>6</v>
      </c>
      <c r="B753" t="inlineStr">
        <is>
          <t>EPA1633 &amp; diPAPs Calibration 5 ppb</t>
        </is>
      </c>
      <c r="D753" t="n">
        <v>10.48</v>
      </c>
      <c r="E753" t="n">
        <v>2906.045</v>
      </c>
      <c r="G753" t="n">
        <v>56.649</v>
      </c>
      <c r="H753" t="inlineStr">
        <is>
          <t>bb</t>
        </is>
      </c>
      <c r="I753" t="n">
        <v>2906.045</v>
      </c>
    </row>
    <row r="754">
      <c r="A754" t="n">
        <v>7</v>
      </c>
      <c r="B754" t="inlineStr">
        <is>
          <t>EPA1633 &amp; diPAPs Calibration 10 ppb</t>
        </is>
      </c>
      <c r="D754" t="n">
        <v>10.53</v>
      </c>
      <c r="E754" t="n">
        <v>2254.562</v>
      </c>
      <c r="G754" t="n">
        <v>7.137</v>
      </c>
      <c r="H754" t="inlineStr">
        <is>
          <t>bb</t>
        </is>
      </c>
      <c r="I754" t="n">
        <v>2254.562</v>
      </c>
    </row>
    <row r="755">
      <c r="A755" t="n">
        <v>8</v>
      </c>
      <c r="B755" t="inlineStr">
        <is>
          <t>EPA1633 &amp; diPAPs Calibration 20 ppb</t>
        </is>
      </c>
      <c r="D755" t="n">
        <v>10.57</v>
      </c>
      <c r="E755" t="n">
        <v>2682.879</v>
      </c>
      <c r="G755" t="n">
        <v>144.573</v>
      </c>
      <c r="H755" t="inlineStr">
        <is>
          <t>bb</t>
        </is>
      </c>
      <c r="I755" t="n">
        <v>2682.879</v>
      </c>
    </row>
    <row r="756">
      <c r="A756" t="n">
        <v>9</v>
      </c>
      <c r="B756" t="inlineStr">
        <is>
          <t>MeOH</t>
        </is>
      </c>
    </row>
    <row r="757">
      <c r="A757" t="n">
        <v>10</v>
      </c>
      <c r="B757" t="inlineStr">
        <is>
          <t>MeOH</t>
        </is>
      </c>
    </row>
    <row r="758">
      <c r="A758" t="n">
        <v>11</v>
      </c>
      <c r="B758" t="inlineStr">
        <is>
          <t>SB1</t>
        </is>
      </c>
      <c r="D758" t="n">
        <v>10.61</v>
      </c>
      <c r="E758" t="n">
        <v>1216.834</v>
      </c>
      <c r="G758" t="n">
        <v>10849</v>
      </c>
      <c r="H758" t="inlineStr">
        <is>
          <t>bb</t>
        </is>
      </c>
      <c r="I758" t="n">
        <v>1216.834</v>
      </c>
    </row>
    <row r="759">
      <c r="A759" t="n">
        <v>12</v>
      </c>
      <c r="B759" t="inlineStr">
        <is>
          <t>SB2</t>
        </is>
      </c>
      <c r="D759" t="n">
        <v>10.63</v>
      </c>
      <c r="E759" t="n">
        <v>1211.397</v>
      </c>
      <c r="G759" t="n">
        <v>60.018</v>
      </c>
      <c r="H759" t="inlineStr">
        <is>
          <t>bb</t>
        </is>
      </c>
      <c r="I759" t="n">
        <v>1211.397</v>
      </c>
    </row>
    <row r="760">
      <c r="A760" t="n">
        <v>13</v>
      </c>
      <c r="B760" t="inlineStr">
        <is>
          <t>SB3</t>
        </is>
      </c>
      <c r="D760" t="n">
        <v>10.61</v>
      </c>
      <c r="E760" t="n">
        <v>1072.495</v>
      </c>
      <c r="G760" t="n">
        <v>187.643</v>
      </c>
      <c r="H760" t="inlineStr">
        <is>
          <t>bb</t>
        </is>
      </c>
      <c r="I760" t="n">
        <v>1072.495</v>
      </c>
    </row>
    <row r="761">
      <c r="A761" t="n">
        <v>14</v>
      </c>
      <c r="B761" t="inlineStr">
        <is>
          <t>SS1</t>
        </is>
      </c>
      <c r="D761" t="n">
        <v>10.65</v>
      </c>
      <c r="E761" t="n">
        <v>1296.653</v>
      </c>
      <c r="G761" t="n">
        <v>13.739</v>
      </c>
      <c r="H761" t="inlineStr">
        <is>
          <t>bb</t>
        </is>
      </c>
      <c r="I761" t="n">
        <v>1296.653</v>
      </c>
    </row>
    <row r="762">
      <c r="A762" t="n">
        <v>15</v>
      </c>
      <c r="B762" t="inlineStr">
        <is>
          <t>SS2</t>
        </is>
      </c>
      <c r="D762" t="n">
        <v>10.66</v>
      </c>
      <c r="E762" t="n">
        <v>1239.62</v>
      </c>
      <c r="G762" t="n">
        <v>3.043</v>
      </c>
      <c r="H762" t="inlineStr">
        <is>
          <t>bb</t>
        </is>
      </c>
      <c r="I762" t="n">
        <v>1239.62</v>
      </c>
    </row>
    <row r="763">
      <c r="A763" t="n">
        <v>16</v>
      </c>
      <c r="B763" t="inlineStr">
        <is>
          <t>SS3</t>
        </is>
      </c>
      <c r="D763" t="n">
        <v>10.67</v>
      </c>
      <c r="E763" t="n">
        <v>1242.61</v>
      </c>
      <c r="G763" t="n">
        <v>9570</v>
      </c>
      <c r="H763" t="inlineStr">
        <is>
          <t>bb</t>
        </is>
      </c>
      <c r="I763" t="n">
        <v>1242.61</v>
      </c>
    </row>
    <row r="765">
      <c r="A765" t="inlineStr">
        <is>
          <t>Compound 39:  m4 PFHpA 2</t>
        </is>
      </c>
    </row>
    <row r="767">
      <c r="B767" t="inlineStr">
        <is>
          <t>Sample Text</t>
        </is>
      </c>
      <c r="C767" t="inlineStr">
        <is>
          <t>Std. Conc</t>
        </is>
      </c>
      <c r="D767" t="inlineStr">
        <is>
          <t>RT</t>
        </is>
      </c>
      <c r="E767" t="inlineStr">
        <is>
          <t>Area</t>
        </is>
      </c>
      <c r="F767" t="inlineStr">
        <is>
          <t>IS Area</t>
        </is>
      </c>
      <c r="G767" t="inlineStr">
        <is>
          <t>S/N</t>
        </is>
      </c>
      <c r="H767" t="inlineStr">
        <is>
          <t>Primary Flags</t>
        </is>
      </c>
      <c r="I767" t="inlineStr">
        <is>
          <t>Response</t>
        </is>
      </c>
      <c r="J767" t="inlineStr">
        <is>
          <t>Conc.</t>
        </is>
      </c>
    </row>
    <row r="768">
      <c r="A768" t="n">
        <v>1</v>
      </c>
      <c r="B768" t="inlineStr">
        <is>
          <t>EPA1633 &amp; diPAPs Calibration 0 ppb</t>
        </is>
      </c>
      <c r="D768" t="n">
        <v>10.55</v>
      </c>
      <c r="E768" t="n">
        <v>878.569</v>
      </c>
      <c r="G768" t="n">
        <v>9.817</v>
      </c>
      <c r="H768" t="inlineStr">
        <is>
          <t>bb</t>
        </is>
      </c>
      <c r="I768" t="n">
        <v>878.569</v>
      </c>
    </row>
    <row r="769">
      <c r="A769" t="n">
        <v>2</v>
      </c>
      <c r="B769" t="inlineStr">
        <is>
          <t>EPA1633 &amp; diPAPs Calibration 0.02 ppb</t>
        </is>
      </c>
      <c r="D769" t="n">
        <v>10.57</v>
      </c>
      <c r="E769" t="n">
        <v>625.245</v>
      </c>
      <c r="G769" t="n">
        <v>7.077</v>
      </c>
      <c r="H769" t="inlineStr">
        <is>
          <t>bb</t>
        </is>
      </c>
      <c r="I769" t="n">
        <v>625.245</v>
      </c>
    </row>
    <row r="770">
      <c r="A770" t="n">
        <v>3</v>
      </c>
      <c r="B770" t="inlineStr">
        <is>
          <t>EPA1633 &amp; diPAPs Calibration 0.1 ppb</t>
        </is>
      </c>
      <c r="D770" t="n">
        <v>10.58</v>
      </c>
      <c r="E770" t="n">
        <v>479.343</v>
      </c>
      <c r="G770" t="n">
        <v>8.327999999999999</v>
      </c>
      <c r="H770" t="inlineStr">
        <is>
          <t>bb</t>
        </is>
      </c>
      <c r="I770" t="n">
        <v>479.343</v>
      </c>
    </row>
    <row r="771">
      <c r="A771" t="n">
        <v>4</v>
      </c>
      <c r="B771" t="inlineStr">
        <is>
          <t>EPA1633 &amp; diPAPs Calibration 0.4 ppb</t>
        </is>
      </c>
      <c r="D771" t="n">
        <v>10.6</v>
      </c>
      <c r="E771" t="n">
        <v>386.48</v>
      </c>
      <c r="G771" t="n">
        <v>14.56</v>
      </c>
      <c r="H771" t="inlineStr">
        <is>
          <t>bb</t>
        </is>
      </c>
      <c r="I771" t="n">
        <v>386.48</v>
      </c>
    </row>
    <row r="772">
      <c r="A772" t="n">
        <v>5</v>
      </c>
      <c r="B772" t="inlineStr">
        <is>
          <t>EPA1633 &amp; diPAPs Calibration 1 ppb</t>
        </is>
      </c>
      <c r="D772" t="n">
        <v>10.61</v>
      </c>
      <c r="E772" t="n">
        <v>675.366</v>
      </c>
      <c r="G772" t="n">
        <v>10.91</v>
      </c>
      <c r="H772" t="inlineStr">
        <is>
          <t>bb</t>
        </is>
      </c>
      <c r="I772" t="n">
        <v>675.366</v>
      </c>
    </row>
    <row r="773">
      <c r="A773" t="n">
        <v>6</v>
      </c>
      <c r="B773" t="inlineStr">
        <is>
          <t>EPA1633 &amp; diPAPs Calibration 5 ppb</t>
        </is>
      </c>
      <c r="D773" t="n">
        <v>10.48</v>
      </c>
      <c r="E773" t="n">
        <v>559.138</v>
      </c>
      <c r="G773" t="n">
        <v>4355</v>
      </c>
      <c r="H773" t="inlineStr">
        <is>
          <t>bb</t>
        </is>
      </c>
      <c r="I773" t="n">
        <v>559.138</v>
      </c>
    </row>
    <row r="774">
      <c r="A774" t="n">
        <v>7</v>
      </c>
      <c r="B774" t="inlineStr">
        <is>
          <t>EPA1633 &amp; diPAPs Calibration 10 ppb</t>
        </is>
      </c>
      <c r="D774" t="n">
        <v>10.53</v>
      </c>
      <c r="E774" t="n">
        <v>491.389</v>
      </c>
      <c r="G774" t="n">
        <v>4440</v>
      </c>
      <c r="H774" t="inlineStr">
        <is>
          <t>bb</t>
        </is>
      </c>
      <c r="I774" t="n">
        <v>491.389</v>
      </c>
    </row>
    <row r="775">
      <c r="A775" t="n">
        <v>8</v>
      </c>
      <c r="B775" t="inlineStr">
        <is>
          <t>EPA1633 &amp; diPAPs Calibration 20 ppb</t>
        </is>
      </c>
      <c r="D775" t="n">
        <v>10.57</v>
      </c>
      <c r="E775" t="n">
        <v>761.365</v>
      </c>
      <c r="G775" t="n">
        <v>13.754</v>
      </c>
      <c r="H775" t="inlineStr">
        <is>
          <t>bb</t>
        </is>
      </c>
      <c r="I775" t="n">
        <v>761.365</v>
      </c>
    </row>
    <row r="776">
      <c r="A776" t="n">
        <v>9</v>
      </c>
      <c r="B776" t="inlineStr">
        <is>
          <t>MeOH</t>
        </is>
      </c>
    </row>
    <row r="777">
      <c r="A777" t="n">
        <v>10</v>
      </c>
      <c r="B777" t="inlineStr">
        <is>
          <t>MeOH</t>
        </is>
      </c>
    </row>
    <row r="778">
      <c r="A778" t="n">
        <v>11</v>
      </c>
      <c r="B778" t="inlineStr">
        <is>
          <t>SB1</t>
        </is>
      </c>
      <c r="D778" t="n">
        <v>10.61</v>
      </c>
      <c r="E778" t="n">
        <v>163.255</v>
      </c>
      <c r="G778" t="n">
        <v>259.828</v>
      </c>
      <c r="H778" t="inlineStr">
        <is>
          <t>bb</t>
        </is>
      </c>
      <c r="I778" t="n">
        <v>163.255</v>
      </c>
    </row>
    <row r="779">
      <c r="A779" t="n">
        <v>12</v>
      </c>
      <c r="B779" t="inlineStr">
        <is>
          <t>SB2</t>
        </is>
      </c>
      <c r="D779" t="n">
        <v>10.61</v>
      </c>
      <c r="E779" t="n">
        <v>228.717</v>
      </c>
      <c r="G779" t="n">
        <v>1940</v>
      </c>
      <c r="H779" t="inlineStr">
        <is>
          <t>bb</t>
        </is>
      </c>
      <c r="I779" t="n">
        <v>228.717</v>
      </c>
    </row>
    <row r="780">
      <c r="A780" t="n">
        <v>13</v>
      </c>
      <c r="B780" t="inlineStr">
        <is>
          <t>SB3</t>
        </is>
      </c>
      <c r="D780" t="n">
        <v>10.64</v>
      </c>
      <c r="E780" t="n">
        <v>240.91</v>
      </c>
      <c r="G780" t="n">
        <v>1977</v>
      </c>
      <c r="H780" t="inlineStr">
        <is>
          <t>bb</t>
        </is>
      </c>
      <c r="I780" t="n">
        <v>240.91</v>
      </c>
    </row>
    <row r="781">
      <c r="A781" t="n">
        <v>14</v>
      </c>
      <c r="B781" t="inlineStr">
        <is>
          <t>SS1</t>
        </is>
      </c>
      <c r="D781" t="n">
        <v>10.69</v>
      </c>
      <c r="E781" t="n">
        <v>241.312</v>
      </c>
      <c r="G781" t="n">
        <v>121.549</v>
      </c>
      <c r="H781" t="inlineStr">
        <is>
          <t>bb</t>
        </is>
      </c>
      <c r="I781" t="n">
        <v>241.312</v>
      </c>
    </row>
    <row r="782">
      <c r="A782" t="n">
        <v>15</v>
      </c>
      <c r="B782" t="inlineStr">
        <is>
          <t>SS2</t>
        </is>
      </c>
      <c r="D782" t="n">
        <v>10.69</v>
      </c>
      <c r="E782" t="n">
        <v>210.315</v>
      </c>
      <c r="G782" t="n">
        <v>6.994</v>
      </c>
      <c r="H782" t="inlineStr">
        <is>
          <t>bb</t>
        </is>
      </c>
      <c r="I782" t="n">
        <v>210.315</v>
      </c>
    </row>
    <row r="783">
      <c r="A783" t="n">
        <v>16</v>
      </c>
      <c r="B783" t="inlineStr">
        <is>
          <t>SS3</t>
        </is>
      </c>
      <c r="D783" t="n">
        <v>10.69</v>
      </c>
      <c r="E783" t="n">
        <v>99.84099999999999</v>
      </c>
      <c r="G783" t="n">
        <v>19.845</v>
      </c>
      <c r="H783" t="inlineStr">
        <is>
          <t>bb</t>
        </is>
      </c>
      <c r="I783" t="n">
        <v>99.84099999999999</v>
      </c>
    </row>
    <row r="785">
      <c r="A785" t="inlineStr">
        <is>
          <t>Compound 40:  6:2 FTCA</t>
        </is>
      </c>
    </row>
    <row r="787">
      <c r="B787" t="inlineStr">
        <is>
          <t>Sample Text</t>
        </is>
      </c>
      <c r="C787" t="inlineStr">
        <is>
          <t>Std. Conc</t>
        </is>
      </c>
      <c r="D787" t="inlineStr">
        <is>
          <t>RT</t>
        </is>
      </c>
      <c r="E787" t="inlineStr">
        <is>
          <t>Area</t>
        </is>
      </c>
      <c r="F787" t="inlineStr">
        <is>
          <t>IS Area</t>
        </is>
      </c>
      <c r="G787" t="inlineStr">
        <is>
          <t>S/N</t>
        </is>
      </c>
      <c r="H787" t="inlineStr">
        <is>
          <t>Primary Flags</t>
        </is>
      </c>
      <c r="I787" t="inlineStr">
        <is>
          <t>Response</t>
        </is>
      </c>
      <c r="J787" t="inlineStr">
        <is>
          <t>Conc.</t>
        </is>
      </c>
    </row>
    <row r="788">
      <c r="A788" t="n">
        <v>1</v>
      </c>
      <c r="B788" t="inlineStr">
        <is>
          <t>EPA1633 &amp; diPAPs Calibration 0 ppb</t>
        </is>
      </c>
      <c r="D788" t="n">
        <v>11.1</v>
      </c>
      <c r="E788" t="n">
        <v>1.64</v>
      </c>
      <c r="G788" t="n">
        <v>16</v>
      </c>
      <c r="H788" t="inlineStr">
        <is>
          <t>bb</t>
        </is>
      </c>
      <c r="I788" t="n">
        <v>1.64</v>
      </c>
    </row>
    <row r="789">
      <c r="A789" t="n">
        <v>2</v>
      </c>
      <c r="B789" t="inlineStr">
        <is>
          <t>EPA1633 &amp; diPAPs Calibration 0.02 ppb</t>
        </is>
      </c>
    </row>
    <row r="790">
      <c r="A790" t="n">
        <v>3</v>
      </c>
      <c r="B790" t="inlineStr">
        <is>
          <t>EPA1633 &amp; diPAPs Calibration 0.1 ppb</t>
        </is>
      </c>
    </row>
    <row r="791">
      <c r="A791" t="n">
        <v>4</v>
      </c>
      <c r="B791" t="inlineStr">
        <is>
          <t>EPA1633 &amp; diPAPs Calibration 0.4 ppb</t>
        </is>
      </c>
    </row>
    <row r="792">
      <c r="A792" t="n">
        <v>5</v>
      </c>
      <c r="B792" t="inlineStr">
        <is>
          <t>EPA1633 &amp; diPAPs Calibration 1 ppb</t>
        </is>
      </c>
    </row>
    <row r="793">
      <c r="A793" t="n">
        <v>6</v>
      </c>
      <c r="B793" t="inlineStr">
        <is>
          <t>EPA1633 &amp; diPAPs Calibration 5 ppb</t>
        </is>
      </c>
    </row>
    <row r="794">
      <c r="A794" t="n">
        <v>7</v>
      </c>
      <c r="B794" t="inlineStr">
        <is>
          <t>EPA1633 &amp; diPAPs Calibration 10 ppb</t>
        </is>
      </c>
      <c r="D794" t="n">
        <v>10.91</v>
      </c>
      <c r="E794" t="n">
        <v>4.708</v>
      </c>
      <c r="G794" t="n">
        <v>47</v>
      </c>
      <c r="H794" t="inlineStr">
        <is>
          <t>bb</t>
        </is>
      </c>
      <c r="I794" t="n">
        <v>4.708</v>
      </c>
    </row>
    <row r="795">
      <c r="A795" t="n">
        <v>8</v>
      </c>
      <c r="B795" t="inlineStr">
        <is>
          <t>EPA1633 &amp; diPAPs Calibration 20 ppb</t>
        </is>
      </c>
    </row>
    <row r="796">
      <c r="A796" t="n">
        <v>9</v>
      </c>
      <c r="B796" t="inlineStr">
        <is>
          <t>MeOH</t>
        </is>
      </c>
    </row>
    <row r="797">
      <c r="A797" t="n">
        <v>10</v>
      </c>
      <c r="B797" t="inlineStr">
        <is>
          <t>MeOH</t>
        </is>
      </c>
      <c r="D797" t="n">
        <v>10.28</v>
      </c>
      <c r="E797" t="n">
        <v>3.907</v>
      </c>
      <c r="G797" t="n">
        <v>43</v>
      </c>
      <c r="H797" t="inlineStr">
        <is>
          <t>bb</t>
        </is>
      </c>
      <c r="I797" t="n">
        <v>3.907</v>
      </c>
    </row>
    <row r="798">
      <c r="A798" t="n">
        <v>11</v>
      </c>
      <c r="B798" t="inlineStr">
        <is>
          <t>SB1</t>
        </is>
      </c>
    </row>
    <row r="799">
      <c r="A799" t="n">
        <v>12</v>
      </c>
      <c r="B799" t="inlineStr">
        <is>
          <t>SB2</t>
        </is>
      </c>
    </row>
    <row r="800">
      <c r="A800" t="n">
        <v>13</v>
      </c>
      <c r="B800" t="inlineStr">
        <is>
          <t>SB3</t>
        </is>
      </c>
      <c r="D800" t="n">
        <v>10.26</v>
      </c>
      <c r="E800" t="n">
        <v>2.567</v>
      </c>
      <c r="G800" t="n">
        <v>28</v>
      </c>
      <c r="H800" t="inlineStr">
        <is>
          <t>bb</t>
        </is>
      </c>
      <c r="I800" t="n">
        <v>2.567</v>
      </c>
    </row>
    <row r="801">
      <c r="A801" t="n">
        <v>14</v>
      </c>
      <c r="B801" t="inlineStr">
        <is>
          <t>SS1</t>
        </is>
      </c>
    </row>
    <row r="802">
      <c r="A802" t="n">
        <v>15</v>
      </c>
      <c r="B802" t="inlineStr">
        <is>
          <t>SS2</t>
        </is>
      </c>
      <c r="D802" t="n">
        <v>10.63</v>
      </c>
      <c r="E802" t="n">
        <v>12.051</v>
      </c>
      <c r="G802" t="n">
        <v>136</v>
      </c>
      <c r="H802" t="inlineStr">
        <is>
          <t>bb</t>
        </is>
      </c>
      <c r="I802" t="n">
        <v>12.051</v>
      </c>
    </row>
    <row r="803">
      <c r="A803" t="n">
        <v>16</v>
      </c>
      <c r="B803" t="inlineStr">
        <is>
          <t>SS3</t>
        </is>
      </c>
    </row>
    <row r="805">
      <c r="A805" t="inlineStr">
        <is>
          <t>Compound 41:  NaDONA 1</t>
        </is>
      </c>
    </row>
    <row r="807">
      <c r="B807" t="inlineStr">
        <is>
          <t>Sample Text</t>
        </is>
      </c>
      <c r="C807" t="inlineStr">
        <is>
          <t>Std. Conc</t>
        </is>
      </c>
      <c r="D807" t="inlineStr">
        <is>
          <t>RT</t>
        </is>
      </c>
      <c r="E807" t="inlineStr">
        <is>
          <t>Area</t>
        </is>
      </c>
      <c r="F807" t="inlineStr">
        <is>
          <t>IS Area</t>
        </is>
      </c>
      <c r="G807" t="inlineStr">
        <is>
          <t>S/N</t>
        </is>
      </c>
      <c r="H807" t="inlineStr">
        <is>
          <t>Primary Flags</t>
        </is>
      </c>
      <c r="I807" t="inlineStr">
        <is>
          <t>Response</t>
        </is>
      </c>
      <c r="J807" t="inlineStr">
        <is>
          <t>Conc.</t>
        </is>
      </c>
    </row>
    <row r="808">
      <c r="A808" t="n">
        <v>1</v>
      </c>
      <c r="B808" t="inlineStr">
        <is>
          <t>EPA1633 &amp; diPAPs Calibration 0 ppb</t>
        </is>
      </c>
      <c r="D808" t="n">
        <v>10.75</v>
      </c>
      <c r="E808" t="n">
        <v>405.025</v>
      </c>
      <c r="F808" t="n">
        <v>3694.615</v>
      </c>
      <c r="G808" t="n">
        <v>2.959</v>
      </c>
      <c r="H808" t="inlineStr">
        <is>
          <t>bb</t>
        </is>
      </c>
    </row>
    <row r="809">
      <c r="A809" t="n">
        <v>2</v>
      </c>
      <c r="B809" t="inlineStr">
        <is>
          <t>EPA1633 &amp; diPAPs Calibration 0.02 ppb</t>
        </is>
      </c>
      <c r="D809" t="n">
        <v>10.76</v>
      </c>
      <c r="E809" t="n">
        <v>1283.639</v>
      </c>
      <c r="F809" t="n">
        <v>3104.064</v>
      </c>
      <c r="G809" t="n">
        <v>44.393</v>
      </c>
      <c r="H809" t="inlineStr">
        <is>
          <t>bb</t>
        </is>
      </c>
    </row>
    <row r="810">
      <c r="A810" t="n">
        <v>3</v>
      </c>
      <c r="B810" t="inlineStr">
        <is>
          <t>EPA1633 &amp; diPAPs Calibration 0.1 ppb</t>
        </is>
      </c>
      <c r="D810" t="n">
        <v>10.77</v>
      </c>
      <c r="E810" t="n">
        <v>1800.438</v>
      </c>
      <c r="F810" t="n">
        <v>3160.561</v>
      </c>
      <c r="G810" t="n">
        <v>25.568</v>
      </c>
      <c r="H810" t="inlineStr">
        <is>
          <t>bb</t>
        </is>
      </c>
    </row>
    <row r="811">
      <c r="A811" t="n">
        <v>4</v>
      </c>
      <c r="B811" t="inlineStr">
        <is>
          <t>EPA1633 &amp; diPAPs Calibration 0.4 ppb</t>
        </is>
      </c>
      <c r="D811" t="n">
        <v>10.78</v>
      </c>
      <c r="E811" t="n">
        <v>6874.571</v>
      </c>
      <c r="F811" t="n">
        <v>2561.342</v>
      </c>
      <c r="G811" t="n">
        <v>56954</v>
      </c>
      <c r="H811" t="inlineStr">
        <is>
          <t>bb</t>
        </is>
      </c>
    </row>
    <row r="812">
      <c r="A812" t="n">
        <v>5</v>
      </c>
      <c r="B812" t="inlineStr">
        <is>
          <t>EPA1633 &amp; diPAPs Calibration 1 ppb</t>
        </is>
      </c>
      <c r="D812" t="n">
        <v>10.8</v>
      </c>
      <c r="E812" t="n">
        <v>12176.579</v>
      </c>
      <c r="F812" t="n">
        <v>2832.371</v>
      </c>
      <c r="G812" t="n">
        <v>1682.606</v>
      </c>
      <c r="H812" t="inlineStr">
        <is>
          <t>bb</t>
        </is>
      </c>
    </row>
    <row r="813">
      <c r="A813" t="n">
        <v>6</v>
      </c>
      <c r="B813" t="inlineStr">
        <is>
          <t>EPA1633 &amp; diPAPs Calibration 5 ppb</t>
        </is>
      </c>
      <c r="D813" t="n">
        <v>10.66</v>
      </c>
      <c r="E813" t="n">
        <v>57101.617</v>
      </c>
      <c r="F813" t="n">
        <v>2095.76</v>
      </c>
      <c r="G813" t="n">
        <v>6093.507</v>
      </c>
      <c r="H813" t="inlineStr">
        <is>
          <t>bb</t>
        </is>
      </c>
    </row>
    <row r="814">
      <c r="A814" t="n">
        <v>7</v>
      </c>
      <c r="B814" t="inlineStr">
        <is>
          <t>EPA1633 &amp; diPAPs Calibration 10 ppb</t>
        </is>
      </c>
      <c r="D814" t="n">
        <v>10.71</v>
      </c>
      <c r="E814" t="n">
        <v>111356.492</v>
      </c>
      <c r="F814" t="n">
        <v>1985.663</v>
      </c>
      <c r="G814" t="n">
        <v>3772.756</v>
      </c>
      <c r="H814" t="inlineStr">
        <is>
          <t>bb</t>
        </is>
      </c>
    </row>
    <row r="815">
      <c r="A815" t="n">
        <v>8</v>
      </c>
      <c r="B815" t="inlineStr">
        <is>
          <t>EPA1633 &amp; diPAPs Calibration 20 ppb</t>
        </is>
      </c>
      <c r="D815" t="n">
        <v>10.75</v>
      </c>
      <c r="E815" t="n">
        <v>231647.938</v>
      </c>
      <c r="F815" t="n">
        <v>2349.671</v>
      </c>
      <c r="G815" t="n">
        <v>3201.349</v>
      </c>
      <c r="H815" t="inlineStr">
        <is>
          <t>bb</t>
        </is>
      </c>
    </row>
    <row r="816">
      <c r="A816" t="n">
        <v>9</v>
      </c>
      <c r="B816" t="inlineStr">
        <is>
          <t>MeOH</t>
        </is>
      </c>
      <c r="D816" t="n">
        <v>10.76</v>
      </c>
      <c r="E816" t="n">
        <v>317.281</v>
      </c>
      <c r="F816" t="n">
        <v>0</v>
      </c>
      <c r="G816" t="n">
        <v>250.539</v>
      </c>
      <c r="H816" t="inlineStr">
        <is>
          <t>bb</t>
        </is>
      </c>
    </row>
    <row r="817">
      <c r="A817" t="n">
        <v>10</v>
      </c>
      <c r="B817" t="inlineStr">
        <is>
          <t>MeOH</t>
        </is>
      </c>
      <c r="D817" t="n">
        <v>10.76</v>
      </c>
      <c r="E817" t="n">
        <v>203.698</v>
      </c>
      <c r="F817" t="n">
        <v>0</v>
      </c>
      <c r="G817" t="n">
        <v>1847</v>
      </c>
      <c r="H817" t="inlineStr">
        <is>
          <t>bb</t>
        </is>
      </c>
    </row>
    <row r="818">
      <c r="A818" t="n">
        <v>11</v>
      </c>
      <c r="B818" t="inlineStr">
        <is>
          <t>SB1</t>
        </is>
      </c>
      <c r="D818" t="n">
        <v>10.78</v>
      </c>
      <c r="E818" t="n">
        <v>237.396</v>
      </c>
      <c r="F818" t="n">
        <v>923.4400000000001</v>
      </c>
      <c r="G818" t="n">
        <v>1922</v>
      </c>
      <c r="H818" t="inlineStr">
        <is>
          <t>bb</t>
        </is>
      </c>
    </row>
    <row r="819">
      <c r="A819" t="n">
        <v>12</v>
      </c>
      <c r="B819" t="inlineStr">
        <is>
          <t>SB2</t>
        </is>
      </c>
      <c r="D819" t="n">
        <v>10.76</v>
      </c>
      <c r="E819" t="n">
        <v>8.317</v>
      </c>
      <c r="F819" t="n">
        <v>791.418</v>
      </c>
      <c r="G819" t="n">
        <v>92</v>
      </c>
      <c r="H819" t="inlineStr">
        <is>
          <t>bb</t>
        </is>
      </c>
    </row>
    <row r="820">
      <c r="A820" t="n">
        <v>13</v>
      </c>
      <c r="B820" t="inlineStr">
        <is>
          <t>SB3</t>
        </is>
      </c>
      <c r="D820" t="n">
        <v>10.82</v>
      </c>
      <c r="E820" t="n">
        <v>35.151</v>
      </c>
      <c r="F820" t="n">
        <v>835.91</v>
      </c>
      <c r="G820" t="n">
        <v>323</v>
      </c>
      <c r="H820" t="inlineStr">
        <is>
          <t>bb</t>
        </is>
      </c>
    </row>
    <row r="821">
      <c r="A821" t="n">
        <v>14</v>
      </c>
      <c r="B821" t="inlineStr">
        <is>
          <t>SS1</t>
        </is>
      </c>
      <c r="D821" t="n">
        <v>10.84</v>
      </c>
      <c r="E821" t="n">
        <v>44522.875</v>
      </c>
      <c r="F821" t="n">
        <v>801.263</v>
      </c>
      <c r="G821" t="n">
        <v>849.688</v>
      </c>
      <c r="H821" t="inlineStr">
        <is>
          <t>bb</t>
        </is>
      </c>
    </row>
    <row r="822">
      <c r="A822" t="n">
        <v>15</v>
      </c>
      <c r="B822" t="inlineStr">
        <is>
          <t>SS2</t>
        </is>
      </c>
      <c r="D822" t="n">
        <v>10.85</v>
      </c>
      <c r="E822" t="n">
        <v>48572.555</v>
      </c>
      <c r="F822" t="n">
        <v>768.403</v>
      </c>
      <c r="G822" t="n">
        <v>998.498</v>
      </c>
      <c r="H822" t="inlineStr">
        <is>
          <t>bb</t>
        </is>
      </c>
    </row>
    <row r="823">
      <c r="A823" t="n">
        <v>16</v>
      </c>
      <c r="B823" t="inlineStr">
        <is>
          <t>SS3</t>
        </is>
      </c>
      <c r="D823" t="n">
        <v>10.85</v>
      </c>
      <c r="E823" t="n">
        <v>48850.535</v>
      </c>
      <c r="F823" t="n">
        <v>645.971</v>
      </c>
      <c r="G823" t="n">
        <v>2178.917</v>
      </c>
      <c r="H823" t="inlineStr">
        <is>
          <t>bb</t>
        </is>
      </c>
    </row>
    <row r="825">
      <c r="A825" t="inlineStr">
        <is>
          <t>Compound 42:  NaDONA 2</t>
        </is>
      </c>
    </row>
    <row r="827">
      <c r="B827" t="inlineStr">
        <is>
          <t>Sample Text</t>
        </is>
      </c>
      <c r="C827" t="inlineStr">
        <is>
          <t>Std. Conc</t>
        </is>
      </c>
      <c r="D827" t="inlineStr">
        <is>
          <t>RT</t>
        </is>
      </c>
      <c r="E827" t="inlineStr">
        <is>
          <t>Area</t>
        </is>
      </c>
      <c r="F827" t="inlineStr">
        <is>
          <t>IS Area</t>
        </is>
      </c>
      <c r="G827" t="inlineStr">
        <is>
          <t>S/N</t>
        </is>
      </c>
      <c r="H827" t="inlineStr">
        <is>
          <t>Primary Flags</t>
        </is>
      </c>
      <c r="I827" t="inlineStr">
        <is>
          <t>Response</t>
        </is>
      </c>
      <c r="J827" t="inlineStr">
        <is>
          <t>Conc.</t>
        </is>
      </c>
    </row>
    <row r="828">
      <c r="A828" t="n">
        <v>1</v>
      </c>
      <c r="B828" t="inlineStr">
        <is>
          <t>EPA1633 &amp; diPAPs Calibration 0 ppb</t>
        </is>
      </c>
      <c r="D828" t="n">
        <v>10.71</v>
      </c>
      <c r="E828" t="n">
        <v>82.04900000000001</v>
      </c>
      <c r="F828" t="n">
        <v>2489.786</v>
      </c>
      <c r="G828" t="n">
        <v>796</v>
      </c>
      <c r="H828" t="inlineStr">
        <is>
          <t>bb</t>
        </is>
      </c>
    </row>
    <row r="829">
      <c r="A829" t="n">
        <v>2</v>
      </c>
      <c r="B829" t="inlineStr">
        <is>
          <t>EPA1633 &amp; diPAPs Calibration 0.02 ppb</t>
        </is>
      </c>
      <c r="D829" t="n">
        <v>10.77</v>
      </c>
      <c r="E829" t="n">
        <v>391.52</v>
      </c>
      <c r="F829" t="n">
        <v>2449.651</v>
      </c>
      <c r="G829" t="n">
        <v>146.284</v>
      </c>
      <c r="H829" t="inlineStr">
        <is>
          <t>bb</t>
        </is>
      </c>
    </row>
    <row r="830">
      <c r="A830" t="n">
        <v>3</v>
      </c>
      <c r="B830" t="inlineStr">
        <is>
          <t>EPA1633 &amp; diPAPs Calibration 0.1 ppb</t>
        </is>
      </c>
      <c r="D830" t="n">
        <v>10.79</v>
      </c>
      <c r="E830" t="n">
        <v>546.741</v>
      </c>
      <c r="F830" t="n">
        <v>2378.931</v>
      </c>
      <c r="G830" t="n">
        <v>4636</v>
      </c>
      <c r="H830" t="inlineStr">
        <is>
          <t>bb</t>
        </is>
      </c>
    </row>
    <row r="831">
      <c r="A831" t="n">
        <v>4</v>
      </c>
      <c r="B831" t="inlineStr">
        <is>
          <t>EPA1633 &amp; diPAPs Calibration 0.4 ppb</t>
        </is>
      </c>
      <c r="D831" t="n">
        <v>10.78</v>
      </c>
      <c r="E831" t="n">
        <v>2058.278</v>
      </c>
      <c r="F831" t="n">
        <v>2158.6</v>
      </c>
      <c r="G831" t="n">
        <v>16560</v>
      </c>
      <c r="H831" t="inlineStr">
        <is>
          <t>bb</t>
        </is>
      </c>
    </row>
    <row r="832">
      <c r="A832" t="n">
        <v>5</v>
      </c>
      <c r="B832" t="inlineStr">
        <is>
          <t>EPA1633 &amp; diPAPs Calibration 1 ppb</t>
        </is>
      </c>
      <c r="D832" t="n">
        <v>10.8</v>
      </c>
      <c r="E832" t="n">
        <v>4091.586</v>
      </c>
      <c r="F832" t="n">
        <v>2171.349</v>
      </c>
      <c r="G832" t="n">
        <v>69.63500000000001</v>
      </c>
      <c r="H832" t="inlineStr">
        <is>
          <t>bb</t>
        </is>
      </c>
    </row>
    <row r="833">
      <c r="A833" t="n">
        <v>6</v>
      </c>
      <c r="B833" t="inlineStr">
        <is>
          <t>EPA1633 &amp; diPAPs Calibration 5 ppb</t>
        </is>
      </c>
      <c r="D833" t="n">
        <v>10.66</v>
      </c>
      <c r="E833" t="n">
        <v>18824.002</v>
      </c>
      <c r="F833" t="n">
        <v>2121.173</v>
      </c>
      <c r="G833" t="n">
        <v>151671</v>
      </c>
      <c r="H833" t="inlineStr">
        <is>
          <t>bb</t>
        </is>
      </c>
    </row>
    <row r="834">
      <c r="A834" t="n">
        <v>7</v>
      </c>
      <c r="B834" t="inlineStr">
        <is>
          <t>EPA1633 &amp; diPAPs Calibration 10 ppb</t>
        </is>
      </c>
      <c r="D834" t="n">
        <v>10.71</v>
      </c>
      <c r="E834" t="n">
        <v>36340.957</v>
      </c>
      <c r="F834" t="n">
        <v>1632.291</v>
      </c>
      <c r="G834" t="n">
        <v>1311.238</v>
      </c>
      <c r="H834" t="inlineStr">
        <is>
          <t>bb</t>
        </is>
      </c>
    </row>
    <row r="835">
      <c r="A835" t="n">
        <v>8</v>
      </c>
      <c r="B835" t="inlineStr">
        <is>
          <t>EPA1633 &amp; diPAPs Calibration 20 ppb</t>
        </is>
      </c>
      <c r="D835" t="n">
        <v>10.75</v>
      </c>
      <c r="E835" t="n">
        <v>80463.30499999999</v>
      </c>
      <c r="F835" t="n">
        <v>1888.116</v>
      </c>
      <c r="G835" t="n">
        <v>72485.18799999999</v>
      </c>
      <c r="H835" t="inlineStr">
        <is>
          <t>bb</t>
        </is>
      </c>
    </row>
    <row r="836">
      <c r="A836" t="n">
        <v>9</v>
      </c>
      <c r="B836" t="inlineStr">
        <is>
          <t>MeOH</t>
        </is>
      </c>
    </row>
    <row r="837">
      <c r="A837" t="n">
        <v>10</v>
      </c>
      <c r="B837" t="inlineStr">
        <is>
          <t>MeOH</t>
        </is>
      </c>
      <c r="D837" t="n">
        <v>10.8</v>
      </c>
      <c r="E837" t="n">
        <v>83.258</v>
      </c>
      <c r="G837" t="n">
        <v>5.848</v>
      </c>
      <c r="H837" t="inlineStr">
        <is>
          <t>bb</t>
        </is>
      </c>
    </row>
    <row r="838">
      <c r="A838" t="n">
        <v>11</v>
      </c>
      <c r="B838" t="inlineStr">
        <is>
          <t>SB1</t>
        </is>
      </c>
      <c r="F838" t="n">
        <v>747.436</v>
      </c>
    </row>
    <row r="839">
      <c r="A839" t="n">
        <v>12</v>
      </c>
      <c r="B839" t="inlineStr">
        <is>
          <t>SB2</t>
        </is>
      </c>
      <c r="D839" t="n">
        <v>10.78</v>
      </c>
      <c r="E839" t="n">
        <v>3.478</v>
      </c>
      <c r="F839" t="n">
        <v>888.825</v>
      </c>
      <c r="G839" t="n">
        <v>37</v>
      </c>
      <c r="H839" t="inlineStr">
        <is>
          <t>bb</t>
        </is>
      </c>
    </row>
    <row r="840">
      <c r="A840" t="n">
        <v>13</v>
      </c>
      <c r="B840" t="inlineStr">
        <is>
          <t>SB3</t>
        </is>
      </c>
      <c r="F840" t="n">
        <v>658.669</v>
      </c>
    </row>
    <row r="841">
      <c r="A841" t="n">
        <v>14</v>
      </c>
      <c r="B841" t="inlineStr">
        <is>
          <t>SS1</t>
        </is>
      </c>
      <c r="D841" t="n">
        <v>10.84</v>
      </c>
      <c r="E841" t="n">
        <v>16353.492</v>
      </c>
      <c r="F841" t="n">
        <v>633.539</v>
      </c>
      <c r="G841" t="n">
        <v>1067.24</v>
      </c>
      <c r="H841" t="inlineStr">
        <is>
          <t>bb</t>
        </is>
      </c>
    </row>
    <row r="842">
      <c r="A842" t="n">
        <v>15</v>
      </c>
      <c r="B842" t="inlineStr">
        <is>
          <t>SS2</t>
        </is>
      </c>
      <c r="D842" t="n">
        <v>10.85</v>
      </c>
      <c r="E842" t="n">
        <v>15432.383</v>
      </c>
      <c r="F842" t="n">
        <v>795.245</v>
      </c>
      <c r="G842" t="n">
        <v>116114</v>
      </c>
      <c r="H842" t="inlineStr">
        <is>
          <t>bb</t>
        </is>
      </c>
    </row>
    <row r="843">
      <c r="A843" t="n">
        <v>16</v>
      </c>
      <c r="B843" t="inlineStr">
        <is>
          <t>SS3</t>
        </is>
      </c>
      <c r="D843" t="n">
        <v>10.85</v>
      </c>
      <c r="E843" t="n">
        <v>16443.125</v>
      </c>
      <c r="F843" t="n">
        <v>533.917</v>
      </c>
      <c r="G843" t="n">
        <v>747.3339999999999</v>
      </c>
      <c r="H843" t="inlineStr">
        <is>
          <t>bb</t>
        </is>
      </c>
    </row>
    <row r="845">
      <c r="A845" t="inlineStr">
        <is>
          <t>Compound 43:  m2 6:2 FTCA 1</t>
        </is>
      </c>
    </row>
    <row r="847">
      <c r="B847" t="inlineStr">
        <is>
          <t>Sample Text</t>
        </is>
      </c>
      <c r="C847" t="inlineStr">
        <is>
          <t>Std. Conc</t>
        </is>
      </c>
      <c r="D847" t="inlineStr">
        <is>
          <t>RT</t>
        </is>
      </c>
      <c r="E847" t="inlineStr">
        <is>
          <t>Area</t>
        </is>
      </c>
      <c r="F847" t="inlineStr">
        <is>
          <t>IS Area</t>
        </is>
      </c>
      <c r="G847" t="inlineStr">
        <is>
          <t>S/N</t>
        </is>
      </c>
      <c r="H847" t="inlineStr">
        <is>
          <t>Primary Flags</t>
        </is>
      </c>
      <c r="I847" t="inlineStr">
        <is>
          <t>Response</t>
        </is>
      </c>
      <c r="J847" t="inlineStr">
        <is>
          <t>Conc.</t>
        </is>
      </c>
    </row>
    <row r="848">
      <c r="A848" t="n">
        <v>1</v>
      </c>
      <c r="B848" t="inlineStr">
        <is>
          <t>EPA1633 &amp; diPAPs Calibration 0 ppb</t>
        </is>
      </c>
    </row>
    <row r="849">
      <c r="A849" t="n">
        <v>2</v>
      </c>
      <c r="B849" t="inlineStr">
        <is>
          <t>EPA1633 &amp; diPAPs Calibration 0.02 ppb</t>
        </is>
      </c>
    </row>
    <row r="850">
      <c r="A850" t="n">
        <v>3</v>
      </c>
      <c r="B850" t="inlineStr">
        <is>
          <t>EPA1633 &amp; diPAPs Calibration 0.1 ppb</t>
        </is>
      </c>
    </row>
    <row r="851">
      <c r="A851" t="n">
        <v>4</v>
      </c>
      <c r="B851" t="inlineStr">
        <is>
          <t>EPA1633 &amp; diPAPs Calibration 0.4 ppb</t>
        </is>
      </c>
    </row>
    <row r="852">
      <c r="A852" t="n">
        <v>5</v>
      </c>
      <c r="B852" t="inlineStr">
        <is>
          <t>EPA1633 &amp; diPAPs Calibration 1 ppb</t>
        </is>
      </c>
    </row>
    <row r="853">
      <c r="A853" t="n">
        <v>6</v>
      </c>
      <c r="B853" t="inlineStr">
        <is>
          <t>EPA1633 &amp; diPAPs Calibration 5 ppb</t>
        </is>
      </c>
      <c r="D853" t="n">
        <v>11.61</v>
      </c>
      <c r="E853" t="n">
        <v>0.535</v>
      </c>
      <c r="G853" t="n">
        <v>5</v>
      </c>
      <c r="H853" t="inlineStr">
        <is>
          <t>bb</t>
        </is>
      </c>
      <c r="I853" t="n">
        <v>0.535</v>
      </c>
    </row>
    <row r="854">
      <c r="A854" t="n">
        <v>7</v>
      </c>
      <c r="B854" t="inlineStr">
        <is>
          <t>EPA1633 &amp; diPAPs Calibration 10 ppb</t>
        </is>
      </c>
    </row>
    <row r="855">
      <c r="A855" t="n">
        <v>8</v>
      </c>
      <c r="B855" t="inlineStr">
        <is>
          <t>EPA1633 &amp; diPAPs Calibration 20 ppb</t>
        </is>
      </c>
    </row>
    <row r="856">
      <c r="A856" t="n">
        <v>9</v>
      </c>
      <c r="B856" t="inlineStr">
        <is>
          <t>MeOH</t>
        </is>
      </c>
    </row>
    <row r="857">
      <c r="A857" t="n">
        <v>10</v>
      </c>
      <c r="B857" t="inlineStr">
        <is>
          <t>MeOH</t>
        </is>
      </c>
    </row>
    <row r="858">
      <c r="A858" t="n">
        <v>11</v>
      </c>
      <c r="B858" t="inlineStr">
        <is>
          <t>SB1</t>
        </is>
      </c>
    </row>
    <row r="859">
      <c r="A859" t="n">
        <v>12</v>
      </c>
      <c r="B859" t="inlineStr">
        <is>
          <t>SB2</t>
        </is>
      </c>
    </row>
    <row r="860">
      <c r="A860" t="n">
        <v>13</v>
      </c>
      <c r="B860" t="inlineStr">
        <is>
          <t>SB3</t>
        </is>
      </c>
    </row>
    <row r="861">
      <c r="A861" t="n">
        <v>14</v>
      </c>
      <c r="B861" t="inlineStr">
        <is>
          <t>SS1</t>
        </is>
      </c>
    </row>
    <row r="862">
      <c r="A862" t="n">
        <v>15</v>
      </c>
      <c r="B862" t="inlineStr">
        <is>
          <t>SS2</t>
        </is>
      </c>
    </row>
    <row r="863">
      <c r="A863" t="n">
        <v>16</v>
      </c>
      <c r="B863" t="inlineStr">
        <is>
          <t>SS3</t>
        </is>
      </c>
    </row>
    <row r="865">
      <c r="A865" t="inlineStr">
        <is>
          <t>Compound 44:  PFHxS 1</t>
        </is>
      </c>
    </row>
    <row r="867">
      <c r="B867" t="inlineStr">
        <is>
          <t>Sample Text</t>
        </is>
      </c>
      <c r="C867" t="inlineStr">
        <is>
          <t>Std. Conc</t>
        </is>
      </c>
      <c r="D867" t="inlineStr">
        <is>
          <t>RT</t>
        </is>
      </c>
      <c r="E867" t="inlineStr">
        <is>
          <t>Area</t>
        </is>
      </c>
      <c r="F867" t="inlineStr">
        <is>
          <t>IS Area</t>
        </is>
      </c>
      <c r="G867" t="inlineStr">
        <is>
          <t>S/N</t>
        </is>
      </c>
      <c r="H867" t="inlineStr">
        <is>
          <t>Primary Flags</t>
        </is>
      </c>
      <c r="I867" t="inlineStr">
        <is>
          <t>Response</t>
        </is>
      </c>
      <c r="J867" t="inlineStr">
        <is>
          <t>Conc.</t>
        </is>
      </c>
    </row>
    <row r="868">
      <c r="A868" t="n">
        <v>1</v>
      </c>
      <c r="B868" t="inlineStr">
        <is>
          <t>EPA1633 &amp; diPAPs Calibration 0 ppb</t>
        </is>
      </c>
      <c r="F868" t="n">
        <v>1480.336</v>
      </c>
    </row>
    <row r="869">
      <c r="A869" t="n">
        <v>2</v>
      </c>
      <c r="B869" t="inlineStr">
        <is>
          <t>EPA1633 &amp; diPAPs Calibration 0.02 ppb</t>
        </is>
      </c>
      <c r="D869" t="n">
        <v>10.79</v>
      </c>
      <c r="E869" t="n">
        <v>10.805</v>
      </c>
      <c r="F869" t="n">
        <v>1118.817</v>
      </c>
      <c r="G869" t="n">
        <v>3.413</v>
      </c>
      <c r="H869" t="inlineStr">
        <is>
          <t>bb</t>
        </is>
      </c>
    </row>
    <row r="870">
      <c r="A870" t="n">
        <v>3</v>
      </c>
      <c r="B870" t="inlineStr">
        <is>
          <t>EPA1633 &amp; diPAPs Calibration 0.1 ppb</t>
        </is>
      </c>
      <c r="F870" t="n">
        <v>1446.88</v>
      </c>
    </row>
    <row r="871">
      <c r="A871" t="n">
        <v>4</v>
      </c>
      <c r="B871" t="inlineStr">
        <is>
          <t>EPA1633 &amp; diPAPs Calibration 0.4 ppb</t>
        </is>
      </c>
      <c r="D871" t="n">
        <v>10.77</v>
      </c>
      <c r="E871" t="n">
        <v>44.754</v>
      </c>
      <c r="F871" t="n">
        <v>1124.702</v>
      </c>
      <c r="G871" t="n">
        <v>3.874</v>
      </c>
      <c r="H871" t="inlineStr">
        <is>
          <t>bb</t>
        </is>
      </c>
    </row>
    <row r="872">
      <c r="A872" t="n">
        <v>5</v>
      </c>
      <c r="B872" t="inlineStr">
        <is>
          <t>EPA1633 &amp; diPAPs Calibration 1 ppb</t>
        </is>
      </c>
      <c r="D872" t="n">
        <v>10.78</v>
      </c>
      <c r="E872" t="n">
        <v>254.433</v>
      </c>
      <c r="F872" t="n">
        <v>1632.484</v>
      </c>
      <c r="G872" t="n">
        <v>2283</v>
      </c>
      <c r="H872" t="inlineStr">
        <is>
          <t>bb</t>
        </is>
      </c>
    </row>
    <row r="873">
      <c r="A873" t="n">
        <v>6</v>
      </c>
      <c r="B873" t="inlineStr">
        <is>
          <t>EPA1633 &amp; diPAPs Calibration 5 ppb</t>
        </is>
      </c>
      <c r="D873" t="n">
        <v>10.66</v>
      </c>
      <c r="E873" t="n">
        <v>1105.536</v>
      </c>
      <c r="F873" t="n">
        <v>1363.196</v>
      </c>
      <c r="G873" t="n">
        <v>10.591</v>
      </c>
      <c r="H873" t="inlineStr">
        <is>
          <t>bb</t>
        </is>
      </c>
    </row>
    <row r="874">
      <c r="A874" t="n">
        <v>7</v>
      </c>
      <c r="B874" t="inlineStr">
        <is>
          <t>EPA1633 &amp; diPAPs Calibration 10 ppb</t>
        </is>
      </c>
      <c r="D874" t="n">
        <v>10.71</v>
      </c>
      <c r="E874" t="n">
        <v>2448.87</v>
      </c>
      <c r="F874" t="n">
        <v>972.191</v>
      </c>
      <c r="G874" t="n">
        <v>2132.788</v>
      </c>
      <c r="H874" t="inlineStr">
        <is>
          <t>MM</t>
        </is>
      </c>
    </row>
    <row r="875">
      <c r="A875" t="n">
        <v>8</v>
      </c>
      <c r="B875" t="inlineStr">
        <is>
          <t>EPA1633 &amp; diPAPs Calibration 20 ppb</t>
        </is>
      </c>
      <c r="D875" t="n">
        <v>10.74</v>
      </c>
      <c r="E875" t="n">
        <v>5448.152</v>
      </c>
      <c r="F875" t="n">
        <v>963.742</v>
      </c>
      <c r="G875" t="n">
        <v>231.678</v>
      </c>
      <c r="H875" t="inlineStr">
        <is>
          <t>bb</t>
        </is>
      </c>
    </row>
    <row r="876">
      <c r="A876" t="n">
        <v>9</v>
      </c>
      <c r="B876" t="inlineStr">
        <is>
          <t>MeOH</t>
        </is>
      </c>
    </row>
    <row r="877">
      <c r="A877" t="n">
        <v>10</v>
      </c>
      <c r="B877" t="inlineStr">
        <is>
          <t>MeOH</t>
        </is>
      </c>
    </row>
    <row r="878">
      <c r="A878" t="n">
        <v>11</v>
      </c>
      <c r="B878" t="inlineStr">
        <is>
          <t>SB1</t>
        </is>
      </c>
      <c r="D878" t="n">
        <v>10.64</v>
      </c>
      <c r="E878" t="n">
        <v>0.637</v>
      </c>
      <c r="F878" t="n">
        <v>517.296</v>
      </c>
      <c r="G878" t="n">
        <v>7</v>
      </c>
      <c r="H878" t="inlineStr">
        <is>
          <t>bb</t>
        </is>
      </c>
    </row>
    <row r="879">
      <c r="A879" t="n">
        <v>12</v>
      </c>
      <c r="B879" t="inlineStr">
        <is>
          <t>SB2</t>
        </is>
      </c>
      <c r="F879" t="n">
        <v>658.292</v>
      </c>
    </row>
    <row r="880">
      <c r="A880" t="n">
        <v>13</v>
      </c>
      <c r="B880" t="inlineStr">
        <is>
          <t>SB3</t>
        </is>
      </c>
      <c r="D880" t="n">
        <v>10.76</v>
      </c>
      <c r="E880" t="n">
        <v>1.829</v>
      </c>
      <c r="F880" t="n">
        <v>554.321</v>
      </c>
      <c r="G880" t="n">
        <v>20</v>
      </c>
      <c r="H880" t="inlineStr">
        <is>
          <t>bb</t>
        </is>
      </c>
    </row>
    <row r="881">
      <c r="A881" t="n">
        <v>14</v>
      </c>
      <c r="B881" t="inlineStr">
        <is>
          <t>SS1</t>
        </is>
      </c>
      <c r="D881" t="n">
        <v>10.82</v>
      </c>
      <c r="E881" t="n">
        <v>801.996</v>
      </c>
      <c r="F881" t="n">
        <v>423.941</v>
      </c>
      <c r="G881" t="n">
        <v>6615</v>
      </c>
      <c r="H881" t="inlineStr">
        <is>
          <t>bb</t>
        </is>
      </c>
    </row>
    <row r="882">
      <c r="A882" t="n">
        <v>15</v>
      </c>
      <c r="B882" t="inlineStr">
        <is>
          <t>SS2</t>
        </is>
      </c>
      <c r="D882" t="n">
        <v>10.84</v>
      </c>
      <c r="E882" t="n">
        <v>1114.078</v>
      </c>
      <c r="F882" t="n">
        <v>665.876</v>
      </c>
      <c r="G882" t="n">
        <v>46.73</v>
      </c>
      <c r="H882" t="inlineStr">
        <is>
          <t>bb</t>
        </is>
      </c>
    </row>
    <row r="883">
      <c r="A883" t="n">
        <v>16</v>
      </c>
      <c r="B883" t="inlineStr">
        <is>
          <t>SS3</t>
        </is>
      </c>
      <c r="D883" t="n">
        <v>10.84</v>
      </c>
      <c r="E883" t="n">
        <v>1220.243</v>
      </c>
      <c r="F883" t="n">
        <v>514.421</v>
      </c>
      <c r="G883" t="n">
        <v>71.35899999999999</v>
      </c>
      <c r="H883" t="inlineStr">
        <is>
          <t>bb</t>
        </is>
      </c>
    </row>
    <row r="885">
      <c r="A885" t="inlineStr">
        <is>
          <t>Compound 45:  PFHxS 2</t>
        </is>
      </c>
    </row>
    <row r="887">
      <c r="B887" t="inlineStr">
        <is>
          <t>Sample Text</t>
        </is>
      </c>
      <c r="C887" t="inlineStr">
        <is>
          <t>Std. Conc</t>
        </is>
      </c>
      <c r="D887" t="inlineStr">
        <is>
          <t>RT</t>
        </is>
      </c>
      <c r="E887" t="inlineStr">
        <is>
          <t>Area</t>
        </is>
      </c>
      <c r="F887" t="inlineStr">
        <is>
          <t>IS Area</t>
        </is>
      </c>
      <c r="G887" t="inlineStr">
        <is>
          <t>S/N</t>
        </is>
      </c>
      <c r="H887" t="inlineStr">
        <is>
          <t>Primary Flags</t>
        </is>
      </c>
      <c r="I887" t="inlineStr">
        <is>
          <t>Response</t>
        </is>
      </c>
      <c r="J887" t="inlineStr">
        <is>
          <t>Conc.</t>
        </is>
      </c>
    </row>
    <row r="888">
      <c r="A888" t="n">
        <v>1</v>
      </c>
      <c r="B888" t="inlineStr">
        <is>
          <t>EPA1633 &amp; diPAPs Calibration 0 ppb</t>
        </is>
      </c>
      <c r="F888" t="n">
        <v>1480.336</v>
      </c>
    </row>
    <row r="889">
      <c r="A889" t="n">
        <v>2</v>
      </c>
      <c r="B889" t="inlineStr">
        <is>
          <t>EPA1633 &amp; diPAPs Calibration 0.02 ppb</t>
        </is>
      </c>
      <c r="D889" t="n">
        <v>10.92</v>
      </c>
      <c r="E889" t="n">
        <v>28.877</v>
      </c>
      <c r="F889" t="n">
        <v>1118.817</v>
      </c>
      <c r="G889" t="n">
        <v>242</v>
      </c>
      <c r="H889" t="inlineStr">
        <is>
          <t>bb</t>
        </is>
      </c>
    </row>
    <row r="890">
      <c r="A890" t="n">
        <v>3</v>
      </c>
      <c r="B890" t="inlineStr">
        <is>
          <t>EPA1633 &amp; diPAPs Calibration 0.1 ppb</t>
        </is>
      </c>
      <c r="D890" t="n">
        <v>10.37</v>
      </c>
      <c r="E890" t="n">
        <v>38.522</v>
      </c>
      <c r="F890" t="n">
        <v>1446.88</v>
      </c>
      <c r="G890" t="n">
        <v>414</v>
      </c>
      <c r="H890" t="inlineStr">
        <is>
          <t>bb</t>
        </is>
      </c>
    </row>
    <row r="891">
      <c r="A891" t="n">
        <v>4</v>
      </c>
      <c r="B891" t="inlineStr">
        <is>
          <t>EPA1633 &amp; diPAPs Calibration 0.4 ppb</t>
        </is>
      </c>
      <c r="D891" t="n">
        <v>10.78</v>
      </c>
      <c r="E891" t="n">
        <v>145.214</v>
      </c>
      <c r="F891" t="n">
        <v>1124.702</v>
      </c>
      <c r="G891" t="n">
        <v>962</v>
      </c>
      <c r="H891" t="inlineStr">
        <is>
          <t>bb</t>
        </is>
      </c>
    </row>
    <row r="892">
      <c r="A892" t="n">
        <v>5</v>
      </c>
      <c r="B892" t="inlineStr">
        <is>
          <t>EPA1633 &amp; diPAPs Calibration 1 ppb</t>
        </is>
      </c>
      <c r="D892" t="n">
        <v>10.77</v>
      </c>
      <c r="E892" t="n">
        <v>71.42400000000001</v>
      </c>
      <c r="F892" t="n">
        <v>1632.484</v>
      </c>
      <c r="G892" t="n">
        <v>556</v>
      </c>
      <c r="H892" t="inlineStr">
        <is>
          <t>bb</t>
        </is>
      </c>
    </row>
    <row r="893">
      <c r="A893" t="n">
        <v>6</v>
      </c>
      <c r="B893" t="inlineStr">
        <is>
          <t>EPA1633 &amp; diPAPs Calibration 5 ppb</t>
        </is>
      </c>
      <c r="D893" t="n">
        <v>10.66</v>
      </c>
      <c r="E893" t="n">
        <v>1255.432</v>
      </c>
      <c r="F893" t="n">
        <v>1363.196</v>
      </c>
      <c r="G893" t="n">
        <v>9422</v>
      </c>
      <c r="H893" t="inlineStr">
        <is>
          <t>bb</t>
        </is>
      </c>
    </row>
    <row r="894">
      <c r="A894" t="n">
        <v>7</v>
      </c>
      <c r="B894" t="inlineStr">
        <is>
          <t>EPA1633 &amp; diPAPs Calibration 10 ppb</t>
        </is>
      </c>
      <c r="D894" t="n">
        <v>10.7</v>
      </c>
      <c r="E894" t="n">
        <v>2047.944</v>
      </c>
      <c r="F894" t="n">
        <v>972.191</v>
      </c>
      <c r="G894" t="n">
        <v>116.431</v>
      </c>
      <c r="H894" t="inlineStr">
        <is>
          <t>MM</t>
        </is>
      </c>
    </row>
    <row r="895">
      <c r="A895" t="n">
        <v>8</v>
      </c>
      <c r="B895" t="inlineStr">
        <is>
          <t>EPA1633 &amp; diPAPs Calibration 20 ppb</t>
        </is>
      </c>
      <c r="D895" t="n">
        <v>10.74</v>
      </c>
      <c r="E895" t="n">
        <v>5040.864</v>
      </c>
      <c r="F895" t="n">
        <v>963.742</v>
      </c>
      <c r="G895" t="n">
        <v>91.426</v>
      </c>
      <c r="H895" t="inlineStr">
        <is>
          <t>MM</t>
        </is>
      </c>
    </row>
    <row r="896">
      <c r="A896" t="n">
        <v>9</v>
      </c>
      <c r="B896" t="inlineStr">
        <is>
          <t>MeOH</t>
        </is>
      </c>
      <c r="D896" t="n">
        <v>10.92</v>
      </c>
      <c r="E896" t="n">
        <v>0.9370000000000001</v>
      </c>
      <c r="G896" t="n">
        <v>9</v>
      </c>
      <c r="H896" t="inlineStr">
        <is>
          <t>bb</t>
        </is>
      </c>
    </row>
    <row r="897">
      <c r="A897" t="n">
        <v>10</v>
      </c>
      <c r="B897" t="inlineStr">
        <is>
          <t>MeOH</t>
        </is>
      </c>
      <c r="D897" t="n">
        <v>10.82</v>
      </c>
      <c r="E897" t="n">
        <v>2.558</v>
      </c>
      <c r="G897" t="n">
        <v>25</v>
      </c>
      <c r="H897" t="inlineStr">
        <is>
          <t>bb</t>
        </is>
      </c>
    </row>
    <row r="898">
      <c r="A898" t="n">
        <v>11</v>
      </c>
      <c r="B898" t="inlineStr">
        <is>
          <t>SB1</t>
        </is>
      </c>
      <c r="D898" t="n">
        <v>10.77</v>
      </c>
      <c r="E898" t="n">
        <v>18.485</v>
      </c>
      <c r="F898" t="n">
        <v>517.296</v>
      </c>
      <c r="G898" t="n">
        <v>194</v>
      </c>
      <c r="H898" t="inlineStr">
        <is>
          <t>bb</t>
        </is>
      </c>
    </row>
    <row r="899">
      <c r="A899" t="n">
        <v>12</v>
      </c>
      <c r="B899" t="inlineStr">
        <is>
          <t>SB2</t>
        </is>
      </c>
      <c r="F899" t="n">
        <v>658.292</v>
      </c>
    </row>
    <row r="900">
      <c r="A900" t="n">
        <v>13</v>
      </c>
      <c r="B900" t="inlineStr">
        <is>
          <t>SB3</t>
        </is>
      </c>
      <c r="D900" t="n">
        <v>10.43</v>
      </c>
      <c r="E900" t="n">
        <v>15.377</v>
      </c>
      <c r="F900" t="n">
        <v>554.321</v>
      </c>
      <c r="G900" t="n">
        <v>68.941</v>
      </c>
      <c r="H900" t="inlineStr">
        <is>
          <t>bb</t>
        </is>
      </c>
    </row>
    <row r="901">
      <c r="A901" t="n">
        <v>14</v>
      </c>
      <c r="B901" t="inlineStr">
        <is>
          <t>SS1</t>
        </is>
      </c>
      <c r="D901" t="n">
        <v>10.81</v>
      </c>
      <c r="E901" t="n">
        <v>976.648</v>
      </c>
      <c r="F901" t="n">
        <v>423.941</v>
      </c>
      <c r="G901" t="n">
        <v>354.172</v>
      </c>
      <c r="H901" t="inlineStr">
        <is>
          <t>bb</t>
        </is>
      </c>
    </row>
    <row r="902">
      <c r="A902" t="n">
        <v>15</v>
      </c>
      <c r="B902" t="inlineStr">
        <is>
          <t>SS2</t>
        </is>
      </c>
      <c r="D902" t="n">
        <v>10.82</v>
      </c>
      <c r="E902" t="n">
        <v>1098.483</v>
      </c>
      <c r="F902" t="n">
        <v>665.876</v>
      </c>
      <c r="G902" t="n">
        <v>14.945</v>
      </c>
      <c r="H902" t="inlineStr">
        <is>
          <t>bb</t>
        </is>
      </c>
    </row>
    <row r="903">
      <c r="A903" t="n">
        <v>16</v>
      </c>
      <c r="B903" t="inlineStr">
        <is>
          <t>SS3</t>
        </is>
      </c>
      <c r="D903" t="n">
        <v>10.82</v>
      </c>
      <c r="E903" t="n">
        <v>855.498</v>
      </c>
      <c r="F903" t="n">
        <v>514.421</v>
      </c>
      <c r="G903" t="n">
        <v>6448</v>
      </c>
      <c r="H903" t="inlineStr">
        <is>
          <t>bb</t>
        </is>
      </c>
    </row>
    <row r="905">
      <c r="A905" t="inlineStr">
        <is>
          <t>Compound 46:  m3 PFHxS 1</t>
        </is>
      </c>
    </row>
    <row r="907">
      <c r="B907" t="inlineStr">
        <is>
          <t>Sample Text</t>
        </is>
      </c>
      <c r="C907" t="inlineStr">
        <is>
          <t>Std. Conc</t>
        </is>
      </c>
      <c r="D907" t="inlineStr">
        <is>
          <t>RT</t>
        </is>
      </c>
      <c r="E907" t="inlineStr">
        <is>
          <t>Area</t>
        </is>
      </c>
      <c r="F907" t="inlineStr">
        <is>
          <t>IS Area</t>
        </is>
      </c>
      <c r="G907" t="inlineStr">
        <is>
          <t>S/N</t>
        </is>
      </c>
      <c r="H907" t="inlineStr">
        <is>
          <t>Primary Flags</t>
        </is>
      </c>
      <c r="I907" t="inlineStr">
        <is>
          <t>Response</t>
        </is>
      </c>
      <c r="J907" t="inlineStr">
        <is>
          <t>Conc.</t>
        </is>
      </c>
    </row>
    <row r="908">
      <c r="A908" t="n">
        <v>1</v>
      </c>
      <c r="B908" t="inlineStr">
        <is>
          <t>EPA1633 &amp; diPAPs Calibration 0 ppb</t>
        </is>
      </c>
      <c r="D908" t="n">
        <v>10.71</v>
      </c>
      <c r="E908" t="n">
        <v>1480.336</v>
      </c>
      <c r="G908" t="n">
        <v>12305</v>
      </c>
      <c r="H908" t="inlineStr">
        <is>
          <t>bb</t>
        </is>
      </c>
      <c r="I908" t="n">
        <v>1480.336</v>
      </c>
    </row>
    <row r="909">
      <c r="A909" t="n">
        <v>2</v>
      </c>
      <c r="B909" t="inlineStr">
        <is>
          <t>EPA1633 &amp; diPAPs Calibration 0.02 ppb</t>
        </is>
      </c>
      <c r="D909" t="n">
        <v>10.76</v>
      </c>
      <c r="E909" t="n">
        <v>1118.817</v>
      </c>
      <c r="G909" t="n">
        <v>8649</v>
      </c>
      <c r="H909" t="inlineStr">
        <is>
          <t>bb</t>
        </is>
      </c>
      <c r="I909" t="n">
        <v>1118.817</v>
      </c>
    </row>
    <row r="910">
      <c r="A910" t="n">
        <v>3</v>
      </c>
      <c r="B910" t="inlineStr">
        <is>
          <t>EPA1633 &amp; diPAPs Calibration 0.1 ppb</t>
        </is>
      </c>
      <c r="D910" t="n">
        <v>10.76</v>
      </c>
      <c r="E910" t="n">
        <v>1446.88</v>
      </c>
      <c r="G910" t="n">
        <v>12505</v>
      </c>
      <c r="H910" t="inlineStr">
        <is>
          <t>bb</t>
        </is>
      </c>
      <c r="I910" t="n">
        <v>1446.88</v>
      </c>
    </row>
    <row r="911">
      <c r="A911" t="n">
        <v>4</v>
      </c>
      <c r="B911" t="inlineStr">
        <is>
          <t>EPA1633 &amp; diPAPs Calibration 0.4 ppb</t>
        </is>
      </c>
      <c r="D911" t="n">
        <v>10.77</v>
      </c>
      <c r="E911" t="n">
        <v>1124.702</v>
      </c>
      <c r="G911" t="n">
        <v>170.843</v>
      </c>
      <c r="H911" t="inlineStr">
        <is>
          <t>bb</t>
        </is>
      </c>
      <c r="I911" t="n">
        <v>1124.702</v>
      </c>
    </row>
    <row r="912">
      <c r="A912" t="n">
        <v>5</v>
      </c>
      <c r="B912" t="inlineStr">
        <is>
          <t>EPA1633 &amp; diPAPs Calibration 1 ppb</t>
        </is>
      </c>
      <c r="D912" t="n">
        <v>10.77</v>
      </c>
      <c r="E912" t="n">
        <v>1632.484</v>
      </c>
      <c r="G912" t="n">
        <v>20.013</v>
      </c>
      <c r="H912" t="inlineStr">
        <is>
          <t>MM</t>
        </is>
      </c>
      <c r="I912" t="n">
        <v>1632.484</v>
      </c>
    </row>
    <row r="913">
      <c r="A913" t="n">
        <v>6</v>
      </c>
      <c r="B913" t="inlineStr">
        <is>
          <t>EPA1633 &amp; diPAPs Calibration 5 ppb</t>
        </is>
      </c>
      <c r="D913" t="n">
        <v>10.66</v>
      </c>
      <c r="E913" t="n">
        <v>1363.196</v>
      </c>
      <c r="G913" t="n">
        <v>1402.457</v>
      </c>
      <c r="H913" t="inlineStr">
        <is>
          <t>bb</t>
        </is>
      </c>
      <c r="I913" t="n">
        <v>1363.196</v>
      </c>
    </row>
    <row r="914">
      <c r="A914" t="n">
        <v>7</v>
      </c>
      <c r="B914" t="inlineStr">
        <is>
          <t>EPA1633 &amp; diPAPs Calibration 10 ppb</t>
        </is>
      </c>
      <c r="D914" t="n">
        <v>10.69</v>
      </c>
      <c r="E914" t="n">
        <v>972.191</v>
      </c>
      <c r="G914" t="n">
        <v>17.884</v>
      </c>
      <c r="H914" t="inlineStr">
        <is>
          <t>bb</t>
        </is>
      </c>
      <c r="I914" t="n">
        <v>972.191</v>
      </c>
    </row>
    <row r="915">
      <c r="A915" t="n">
        <v>8</v>
      </c>
      <c r="B915" t="inlineStr">
        <is>
          <t>EPA1633 &amp; diPAPs Calibration 20 ppb</t>
        </is>
      </c>
      <c r="D915" t="n">
        <v>10.75</v>
      </c>
      <c r="E915" t="n">
        <v>963.742</v>
      </c>
      <c r="G915" t="n">
        <v>12.037</v>
      </c>
      <c r="H915" t="inlineStr">
        <is>
          <t>bb</t>
        </is>
      </c>
      <c r="I915" t="n">
        <v>963.742</v>
      </c>
    </row>
    <row r="916">
      <c r="A916" t="n">
        <v>9</v>
      </c>
      <c r="B916" t="inlineStr">
        <is>
          <t>MeOH</t>
        </is>
      </c>
    </row>
    <row r="917">
      <c r="A917" t="n">
        <v>10</v>
      </c>
      <c r="B917" t="inlineStr">
        <is>
          <t>MeOH</t>
        </is>
      </c>
    </row>
    <row r="918">
      <c r="A918" t="n">
        <v>11</v>
      </c>
      <c r="B918" t="inlineStr">
        <is>
          <t>SB1</t>
        </is>
      </c>
      <c r="D918" t="n">
        <v>10.8</v>
      </c>
      <c r="E918" t="n">
        <v>517.296</v>
      </c>
      <c r="G918" t="n">
        <v>4282</v>
      </c>
      <c r="H918" t="inlineStr">
        <is>
          <t>bb</t>
        </is>
      </c>
      <c r="I918" t="n">
        <v>517.296</v>
      </c>
    </row>
    <row r="919">
      <c r="A919" t="n">
        <v>12</v>
      </c>
      <c r="B919" t="inlineStr">
        <is>
          <t>SB2</t>
        </is>
      </c>
      <c r="D919" t="n">
        <v>10.78</v>
      </c>
      <c r="E919" t="n">
        <v>658.292</v>
      </c>
      <c r="G919" t="n">
        <v>22.106</v>
      </c>
      <c r="H919" t="inlineStr">
        <is>
          <t>bb</t>
        </is>
      </c>
      <c r="I919" t="n">
        <v>658.292</v>
      </c>
    </row>
    <row r="920">
      <c r="A920" t="n">
        <v>13</v>
      </c>
      <c r="B920" t="inlineStr">
        <is>
          <t>SB3</t>
        </is>
      </c>
      <c r="D920" t="n">
        <v>10.8</v>
      </c>
      <c r="E920" t="n">
        <v>554.321</v>
      </c>
      <c r="G920" t="n">
        <v>4.301</v>
      </c>
      <c r="H920" t="inlineStr">
        <is>
          <t>bb</t>
        </is>
      </c>
      <c r="I920" t="n">
        <v>554.321</v>
      </c>
    </row>
    <row r="921">
      <c r="A921" t="n">
        <v>14</v>
      </c>
      <c r="B921" t="inlineStr">
        <is>
          <t>SS1</t>
        </is>
      </c>
      <c r="D921" t="n">
        <v>10.81</v>
      </c>
      <c r="E921" t="n">
        <v>423.941</v>
      </c>
      <c r="G921" t="n">
        <v>3387</v>
      </c>
      <c r="H921" t="inlineStr">
        <is>
          <t>bb</t>
        </is>
      </c>
      <c r="I921" t="n">
        <v>423.941</v>
      </c>
    </row>
    <row r="922">
      <c r="A922" t="n">
        <v>15</v>
      </c>
      <c r="B922" t="inlineStr">
        <is>
          <t>SS2</t>
        </is>
      </c>
      <c r="D922" t="n">
        <v>10.82</v>
      </c>
      <c r="E922" t="n">
        <v>665.876</v>
      </c>
      <c r="G922" t="n">
        <v>5116</v>
      </c>
      <c r="H922" t="inlineStr">
        <is>
          <t>bb</t>
        </is>
      </c>
      <c r="I922" t="n">
        <v>665.876</v>
      </c>
    </row>
    <row r="923">
      <c r="A923" t="n">
        <v>16</v>
      </c>
      <c r="B923" t="inlineStr">
        <is>
          <t>SS3</t>
        </is>
      </c>
      <c r="D923" t="n">
        <v>10.85</v>
      </c>
      <c r="E923" t="n">
        <v>514.421</v>
      </c>
      <c r="G923" t="n">
        <v>33.624</v>
      </c>
      <c r="H923" t="inlineStr">
        <is>
          <t>bb</t>
        </is>
      </c>
      <c r="I923" t="n">
        <v>514.421</v>
      </c>
    </row>
    <row r="925">
      <c r="A925" t="inlineStr">
        <is>
          <t>Compound 47:  m3 PFHxS 2</t>
        </is>
      </c>
    </row>
    <row r="927">
      <c r="B927" t="inlineStr">
        <is>
          <t>Sample Text</t>
        </is>
      </c>
      <c r="C927" t="inlineStr">
        <is>
          <t>Std. Conc</t>
        </is>
      </c>
      <c r="D927" t="inlineStr">
        <is>
          <t>RT</t>
        </is>
      </c>
      <c r="E927" t="inlineStr">
        <is>
          <t>Area</t>
        </is>
      </c>
      <c r="F927" t="inlineStr">
        <is>
          <t>IS Area</t>
        </is>
      </c>
      <c r="G927" t="inlineStr">
        <is>
          <t>S/N</t>
        </is>
      </c>
      <c r="H927" t="inlineStr">
        <is>
          <t>Primary Flags</t>
        </is>
      </c>
      <c r="I927" t="inlineStr">
        <is>
          <t>Response</t>
        </is>
      </c>
      <c r="J927" t="inlineStr">
        <is>
          <t>Conc.</t>
        </is>
      </c>
    </row>
    <row r="928">
      <c r="A928" t="n">
        <v>1</v>
      </c>
      <c r="B928" t="inlineStr">
        <is>
          <t>EPA1633 &amp; diPAPs Calibration 0 ppb</t>
        </is>
      </c>
      <c r="D928" t="n">
        <v>10.74</v>
      </c>
      <c r="E928" t="n">
        <v>1279.642</v>
      </c>
      <c r="G928" t="n">
        <v>972.057</v>
      </c>
      <c r="H928" t="inlineStr">
        <is>
          <t>bb</t>
        </is>
      </c>
      <c r="I928" t="n">
        <v>1279.642</v>
      </c>
    </row>
    <row r="929">
      <c r="A929" t="n">
        <v>2</v>
      </c>
      <c r="B929" t="inlineStr">
        <is>
          <t>EPA1633 &amp; diPAPs Calibration 0.02 ppb</t>
        </is>
      </c>
      <c r="D929" t="n">
        <v>10.75</v>
      </c>
      <c r="E929" t="n">
        <v>1373.295</v>
      </c>
      <c r="G929" t="n">
        <v>66.672</v>
      </c>
      <c r="H929" t="inlineStr">
        <is>
          <t>bb</t>
        </is>
      </c>
      <c r="I929" t="n">
        <v>1373.295</v>
      </c>
    </row>
    <row r="930">
      <c r="A930" t="n">
        <v>3</v>
      </c>
      <c r="B930" t="inlineStr">
        <is>
          <t>EPA1633 &amp; diPAPs Calibration 0.1 ppb</t>
        </is>
      </c>
      <c r="D930" t="n">
        <v>10.78</v>
      </c>
      <c r="E930" t="n">
        <v>1482.342</v>
      </c>
      <c r="G930" t="n">
        <v>107.933</v>
      </c>
      <c r="H930" t="inlineStr">
        <is>
          <t>bb</t>
        </is>
      </c>
      <c r="I930" t="n">
        <v>1482.342</v>
      </c>
    </row>
    <row r="931">
      <c r="A931" t="n">
        <v>4</v>
      </c>
      <c r="B931" t="inlineStr">
        <is>
          <t>EPA1633 &amp; diPAPs Calibration 0.4 ppb</t>
        </is>
      </c>
      <c r="D931" t="n">
        <v>10.76</v>
      </c>
      <c r="E931" t="n">
        <v>1076.598</v>
      </c>
      <c r="G931" t="n">
        <v>10.952</v>
      </c>
      <c r="H931" t="inlineStr">
        <is>
          <t>bb</t>
        </is>
      </c>
      <c r="I931" t="n">
        <v>1076.598</v>
      </c>
    </row>
    <row r="932">
      <c r="A932" t="n">
        <v>5</v>
      </c>
      <c r="B932" t="inlineStr">
        <is>
          <t>EPA1633 &amp; diPAPs Calibration 1 ppb</t>
        </is>
      </c>
      <c r="D932" t="n">
        <v>10.8</v>
      </c>
      <c r="E932" t="n">
        <v>1023.745</v>
      </c>
      <c r="G932" t="n">
        <v>7760</v>
      </c>
      <c r="H932" t="inlineStr">
        <is>
          <t>bb</t>
        </is>
      </c>
      <c r="I932" t="n">
        <v>1023.745</v>
      </c>
    </row>
    <row r="933">
      <c r="A933" t="n">
        <v>6</v>
      </c>
      <c r="B933" t="inlineStr">
        <is>
          <t>EPA1633 &amp; diPAPs Calibration 5 ppb</t>
        </is>
      </c>
      <c r="D933" t="n">
        <v>10.68</v>
      </c>
      <c r="E933" t="n">
        <v>1220.314</v>
      </c>
      <c r="G933" t="n">
        <v>10194</v>
      </c>
      <c r="H933" t="inlineStr">
        <is>
          <t>bb</t>
        </is>
      </c>
      <c r="I933" t="n">
        <v>1220.314</v>
      </c>
    </row>
    <row r="934">
      <c r="A934" t="n">
        <v>7</v>
      </c>
      <c r="B934" t="inlineStr">
        <is>
          <t>EPA1633 &amp; diPAPs Calibration 10 ppb</t>
        </is>
      </c>
      <c r="D934" t="n">
        <v>10.7</v>
      </c>
      <c r="E934" t="n">
        <v>918.925</v>
      </c>
      <c r="G934" t="n">
        <v>190.255</v>
      </c>
      <c r="H934" t="inlineStr">
        <is>
          <t>bb</t>
        </is>
      </c>
      <c r="I934" t="n">
        <v>918.925</v>
      </c>
    </row>
    <row r="935">
      <c r="A935" t="n">
        <v>8</v>
      </c>
      <c r="B935" t="inlineStr">
        <is>
          <t>EPA1633 &amp; diPAPs Calibration 20 ppb</t>
        </is>
      </c>
      <c r="D935" t="n">
        <v>10.74</v>
      </c>
      <c r="E935" t="n">
        <v>1152.07</v>
      </c>
      <c r="G935" t="n">
        <v>1100.527</v>
      </c>
      <c r="H935" t="inlineStr">
        <is>
          <t>bb</t>
        </is>
      </c>
      <c r="I935" t="n">
        <v>1152.07</v>
      </c>
    </row>
    <row r="936">
      <c r="A936" t="n">
        <v>9</v>
      </c>
      <c r="B936" t="inlineStr">
        <is>
          <t>MeOH</t>
        </is>
      </c>
    </row>
    <row r="937">
      <c r="A937" t="n">
        <v>10</v>
      </c>
      <c r="B937" t="inlineStr">
        <is>
          <t>MeOH</t>
        </is>
      </c>
    </row>
    <row r="938">
      <c r="A938" t="n">
        <v>11</v>
      </c>
      <c r="B938" t="inlineStr">
        <is>
          <t>SB1</t>
        </is>
      </c>
      <c r="D938" t="n">
        <v>10.76</v>
      </c>
      <c r="E938" t="n">
        <v>265.217</v>
      </c>
      <c r="G938" t="n">
        <v>2241</v>
      </c>
      <c r="H938" t="inlineStr">
        <is>
          <t>bb</t>
        </is>
      </c>
      <c r="I938" t="n">
        <v>265.217</v>
      </c>
    </row>
    <row r="939">
      <c r="A939" t="n">
        <v>12</v>
      </c>
      <c r="B939" t="inlineStr">
        <is>
          <t>SB2</t>
        </is>
      </c>
      <c r="D939" t="n">
        <v>10.78</v>
      </c>
      <c r="E939" t="n">
        <v>275.355</v>
      </c>
      <c r="G939" t="n">
        <v>5.226</v>
      </c>
      <c r="H939" t="inlineStr">
        <is>
          <t>bb</t>
        </is>
      </c>
      <c r="I939" t="n">
        <v>275.355</v>
      </c>
    </row>
    <row r="940">
      <c r="A940" t="n">
        <v>13</v>
      </c>
      <c r="B940" t="inlineStr">
        <is>
          <t>SB3</t>
        </is>
      </c>
      <c r="D940" t="n">
        <v>10.78</v>
      </c>
      <c r="E940" t="n">
        <v>530.133</v>
      </c>
      <c r="G940" t="n">
        <v>4424</v>
      </c>
      <c r="H940" t="inlineStr">
        <is>
          <t>bb</t>
        </is>
      </c>
      <c r="I940" t="n">
        <v>530.133</v>
      </c>
    </row>
    <row r="941">
      <c r="A941" t="n">
        <v>14</v>
      </c>
      <c r="B941" t="inlineStr">
        <is>
          <t>SS1</t>
        </is>
      </c>
      <c r="D941" t="n">
        <v>10.82</v>
      </c>
      <c r="E941" t="n">
        <v>371.63</v>
      </c>
      <c r="G941" t="n">
        <v>139.72</v>
      </c>
      <c r="H941" t="inlineStr">
        <is>
          <t>bb</t>
        </is>
      </c>
      <c r="I941" t="n">
        <v>371.63</v>
      </c>
    </row>
    <row r="942">
      <c r="A942" t="n">
        <v>15</v>
      </c>
      <c r="B942" t="inlineStr">
        <is>
          <t>SS2</t>
        </is>
      </c>
      <c r="D942" t="n">
        <v>10.84</v>
      </c>
      <c r="E942" t="n">
        <v>454.894</v>
      </c>
      <c r="G942" t="n">
        <v>2.326</v>
      </c>
      <c r="H942" t="inlineStr">
        <is>
          <t>MM</t>
        </is>
      </c>
      <c r="I942" t="n">
        <v>454.894</v>
      </c>
    </row>
    <row r="943">
      <c r="A943" t="n">
        <v>16</v>
      </c>
      <c r="B943" t="inlineStr">
        <is>
          <t>SS3</t>
        </is>
      </c>
      <c r="D943" t="n">
        <v>10.84</v>
      </c>
      <c r="E943" t="n">
        <v>550.787</v>
      </c>
      <c r="G943" t="n">
        <v>7.771</v>
      </c>
      <c r="H943" t="inlineStr">
        <is>
          <t>bb</t>
        </is>
      </c>
      <c r="I943" t="n">
        <v>550.787</v>
      </c>
    </row>
    <row r="945">
      <c r="A945" t="inlineStr">
        <is>
          <t>Compound 48:  PFOA 1</t>
        </is>
      </c>
    </row>
    <row r="947">
      <c r="B947" t="inlineStr">
        <is>
          <t>Sample Text</t>
        </is>
      </c>
      <c r="C947" t="inlineStr">
        <is>
          <t>Std. Conc</t>
        </is>
      </c>
      <c r="D947" t="inlineStr">
        <is>
          <t>RT</t>
        </is>
      </c>
      <c r="E947" t="inlineStr">
        <is>
          <t>Area</t>
        </is>
      </c>
      <c r="F947" t="inlineStr">
        <is>
          <t>IS Area</t>
        </is>
      </c>
      <c r="G947" t="inlineStr">
        <is>
          <t>S/N</t>
        </is>
      </c>
      <c r="H947" t="inlineStr">
        <is>
          <t>Primary Flags</t>
        </is>
      </c>
      <c r="I947" t="inlineStr">
        <is>
          <t>Response</t>
        </is>
      </c>
      <c r="J947" t="inlineStr">
        <is>
          <t>Conc.</t>
        </is>
      </c>
    </row>
    <row r="948">
      <c r="A948" t="n">
        <v>1</v>
      </c>
      <c r="B948" t="inlineStr">
        <is>
          <t>EPA1633 &amp; diPAPs Calibration 0 ppb</t>
        </is>
      </c>
      <c r="D948" t="n">
        <v>11.99</v>
      </c>
      <c r="E948" t="n">
        <v>424.566</v>
      </c>
      <c r="F948" t="n">
        <v>7374.887</v>
      </c>
      <c r="G948" t="n">
        <v>2.699</v>
      </c>
      <c r="H948" t="inlineStr">
        <is>
          <t>bb</t>
        </is>
      </c>
    </row>
    <row r="949">
      <c r="A949" t="n">
        <v>2</v>
      </c>
      <c r="B949" t="inlineStr">
        <is>
          <t>EPA1633 &amp; diPAPs Calibration 0.02 ppb</t>
        </is>
      </c>
      <c r="D949" t="n">
        <v>11.92</v>
      </c>
      <c r="E949" t="n">
        <v>760.22</v>
      </c>
      <c r="F949" t="n">
        <v>6169.054</v>
      </c>
      <c r="G949" t="n">
        <v>19.22</v>
      </c>
      <c r="H949" t="inlineStr">
        <is>
          <t>bb</t>
        </is>
      </c>
    </row>
    <row r="950">
      <c r="A950" t="n">
        <v>3</v>
      </c>
      <c r="B950" t="inlineStr">
        <is>
          <t>EPA1633 &amp; diPAPs Calibration 0.1 ppb</t>
        </is>
      </c>
      <c r="D950" t="n">
        <v>11.94</v>
      </c>
      <c r="E950" t="n">
        <v>462.534</v>
      </c>
      <c r="F950" t="n">
        <v>6270.085</v>
      </c>
      <c r="G950" t="n">
        <v>16.229</v>
      </c>
      <c r="H950" t="inlineStr">
        <is>
          <t>bb</t>
        </is>
      </c>
    </row>
    <row r="951">
      <c r="A951" t="n">
        <v>4</v>
      </c>
      <c r="B951" t="inlineStr">
        <is>
          <t>EPA1633 &amp; diPAPs Calibration 0.4 ppb</t>
        </is>
      </c>
      <c r="D951" t="n">
        <v>11.93</v>
      </c>
      <c r="E951" t="n">
        <v>607.223</v>
      </c>
      <c r="F951" t="n">
        <v>5073.597</v>
      </c>
      <c r="G951" t="n">
        <v>7.689</v>
      </c>
      <c r="H951" t="inlineStr">
        <is>
          <t>MM</t>
        </is>
      </c>
    </row>
    <row r="952">
      <c r="A952" t="n">
        <v>5</v>
      </c>
      <c r="B952" t="inlineStr">
        <is>
          <t>EPA1633 &amp; diPAPs Calibration 1 ppb</t>
        </is>
      </c>
      <c r="D952" t="n">
        <v>11.93</v>
      </c>
      <c r="E952" t="n">
        <v>1346.038</v>
      </c>
      <c r="F952" t="n">
        <v>5607.035</v>
      </c>
      <c r="G952" t="n">
        <v>22.849</v>
      </c>
      <c r="H952" t="inlineStr">
        <is>
          <t>bb</t>
        </is>
      </c>
    </row>
    <row r="953">
      <c r="A953" t="n">
        <v>6</v>
      </c>
      <c r="B953" t="inlineStr">
        <is>
          <t>EPA1633 &amp; diPAPs Calibration 5 ppb</t>
        </is>
      </c>
      <c r="D953" t="n">
        <v>11.83</v>
      </c>
      <c r="E953" t="n">
        <v>3905.586</v>
      </c>
      <c r="F953" t="n">
        <v>4189.369</v>
      </c>
      <c r="G953" t="n">
        <v>39.028</v>
      </c>
      <c r="H953" t="inlineStr">
        <is>
          <t>bb</t>
        </is>
      </c>
    </row>
    <row r="954">
      <c r="A954" t="n">
        <v>7</v>
      </c>
      <c r="B954" t="inlineStr">
        <is>
          <t>EPA1633 &amp; diPAPs Calibration 10 ppb</t>
        </is>
      </c>
      <c r="D954" t="n">
        <v>11.86</v>
      </c>
      <c r="E954" t="n">
        <v>6424.06</v>
      </c>
      <c r="F954" t="n">
        <v>3916.892</v>
      </c>
      <c r="G954" t="n">
        <v>61.883</v>
      </c>
      <c r="H954" t="inlineStr">
        <is>
          <t>MM</t>
        </is>
      </c>
    </row>
    <row r="955">
      <c r="A955" t="n">
        <v>8</v>
      </c>
      <c r="B955" t="inlineStr">
        <is>
          <t>EPA1633 &amp; diPAPs Calibration 20 ppb</t>
        </is>
      </c>
      <c r="D955" t="n">
        <v>11.89</v>
      </c>
      <c r="E955" t="n">
        <v>10955.967</v>
      </c>
      <c r="F955" t="n">
        <v>4672.899</v>
      </c>
      <c r="G955" t="n">
        <v>207.543</v>
      </c>
      <c r="H955" t="inlineStr">
        <is>
          <t>bb</t>
        </is>
      </c>
    </row>
    <row r="956">
      <c r="A956" t="n">
        <v>9</v>
      </c>
      <c r="B956" t="inlineStr">
        <is>
          <t>MeOH</t>
        </is>
      </c>
      <c r="D956" t="n">
        <v>11.91</v>
      </c>
      <c r="E956" t="n">
        <v>563.261</v>
      </c>
      <c r="G956" t="n">
        <v>8.558</v>
      </c>
      <c r="H956" t="inlineStr">
        <is>
          <t>bb</t>
        </is>
      </c>
    </row>
    <row r="957">
      <c r="A957" t="n">
        <v>10</v>
      </c>
      <c r="B957" t="inlineStr">
        <is>
          <t>MeOH</t>
        </is>
      </c>
      <c r="D957" t="n">
        <v>11.92</v>
      </c>
      <c r="E957" t="n">
        <v>514.647</v>
      </c>
      <c r="G957" t="n">
        <v>11.229</v>
      </c>
      <c r="H957" t="inlineStr">
        <is>
          <t>bb</t>
        </is>
      </c>
    </row>
    <row r="958">
      <c r="A958" t="n">
        <v>11</v>
      </c>
      <c r="B958" t="inlineStr">
        <is>
          <t>SB1</t>
        </is>
      </c>
      <c r="D958" t="n">
        <v>11.93</v>
      </c>
      <c r="E958" t="n">
        <v>1770.076</v>
      </c>
      <c r="F958" t="n">
        <v>1803.361</v>
      </c>
      <c r="G958" t="n">
        <v>28.448</v>
      </c>
      <c r="H958" t="inlineStr">
        <is>
          <t>MM</t>
        </is>
      </c>
    </row>
    <row r="959">
      <c r="A959" t="n">
        <v>12</v>
      </c>
      <c r="B959" t="inlineStr">
        <is>
          <t>SB2</t>
        </is>
      </c>
      <c r="D959" t="n">
        <v>11.95</v>
      </c>
      <c r="E959" t="n">
        <v>699.1609999999999</v>
      </c>
      <c r="F959" t="n">
        <v>1582.835</v>
      </c>
      <c r="G959" t="n">
        <v>6.519</v>
      </c>
      <c r="H959" t="inlineStr">
        <is>
          <t>MM</t>
        </is>
      </c>
    </row>
    <row r="960">
      <c r="A960" t="n">
        <v>13</v>
      </c>
      <c r="B960" t="inlineStr">
        <is>
          <t>SB3</t>
        </is>
      </c>
      <c r="D960" t="n">
        <v>11.96</v>
      </c>
      <c r="E960" t="n">
        <v>615.037</v>
      </c>
      <c r="F960" t="n">
        <v>1671.82</v>
      </c>
      <c r="G960" t="n">
        <v>12.218</v>
      </c>
      <c r="H960" t="inlineStr">
        <is>
          <t>bb</t>
        </is>
      </c>
    </row>
    <row r="961">
      <c r="A961" t="n">
        <v>14</v>
      </c>
      <c r="B961" t="inlineStr">
        <is>
          <t>SS1</t>
        </is>
      </c>
      <c r="D961" t="n">
        <v>11.96</v>
      </c>
      <c r="E961" t="n">
        <v>2910.376</v>
      </c>
      <c r="F961" t="n">
        <v>1602.526</v>
      </c>
      <c r="G961" t="n">
        <v>37.135</v>
      </c>
      <c r="H961" t="inlineStr">
        <is>
          <t>bb</t>
        </is>
      </c>
    </row>
    <row r="962">
      <c r="A962" t="n">
        <v>15</v>
      </c>
      <c r="B962" t="inlineStr">
        <is>
          <t>SS2</t>
        </is>
      </c>
      <c r="D962" t="n">
        <v>11.98</v>
      </c>
      <c r="E962" t="n">
        <v>3631.172</v>
      </c>
      <c r="F962" t="n">
        <v>1532.612</v>
      </c>
      <c r="G962" t="n">
        <v>39.631</v>
      </c>
      <c r="H962" t="inlineStr">
        <is>
          <t>bb</t>
        </is>
      </c>
    </row>
    <row r="963">
      <c r="A963" t="n">
        <v>16</v>
      </c>
      <c r="B963" t="inlineStr">
        <is>
          <t>SS3</t>
        </is>
      </c>
      <c r="D963" t="n">
        <v>11.98</v>
      </c>
      <c r="E963" t="n">
        <v>6254.115</v>
      </c>
      <c r="F963" t="n">
        <v>1291.402</v>
      </c>
      <c r="G963" t="n">
        <v>131.125</v>
      </c>
      <c r="H963" t="inlineStr">
        <is>
          <t>MM</t>
        </is>
      </c>
    </row>
    <row r="965">
      <c r="A965" t="inlineStr">
        <is>
          <t>Compound 49:  PFOA 2</t>
        </is>
      </c>
    </row>
    <row r="967">
      <c r="B967" t="inlineStr">
        <is>
          <t>Sample Text</t>
        </is>
      </c>
      <c r="C967" t="inlineStr">
        <is>
          <t>Std. Conc</t>
        </is>
      </c>
      <c r="D967" t="inlineStr">
        <is>
          <t>RT</t>
        </is>
      </c>
      <c r="E967" t="inlineStr">
        <is>
          <t>Area</t>
        </is>
      </c>
      <c r="F967" t="inlineStr">
        <is>
          <t>IS Area</t>
        </is>
      </c>
      <c r="G967" t="inlineStr">
        <is>
          <t>S/N</t>
        </is>
      </c>
      <c r="H967" t="inlineStr">
        <is>
          <t>Primary Flags</t>
        </is>
      </c>
      <c r="I967" t="inlineStr">
        <is>
          <t>Response</t>
        </is>
      </c>
      <c r="J967" t="inlineStr">
        <is>
          <t>Conc.</t>
        </is>
      </c>
    </row>
    <row r="968">
      <c r="A968" t="n">
        <v>1</v>
      </c>
      <c r="B968" t="inlineStr">
        <is>
          <t>EPA1633 &amp; diPAPs Calibration 0 ppb</t>
        </is>
      </c>
      <c r="D968" t="n">
        <v>11.91</v>
      </c>
      <c r="E968" t="n">
        <v>168.257</v>
      </c>
      <c r="F968" t="n">
        <v>7374.887</v>
      </c>
      <c r="G968" t="n">
        <v>2.512</v>
      </c>
      <c r="H968" t="inlineStr">
        <is>
          <t>bb</t>
        </is>
      </c>
    </row>
    <row r="969">
      <c r="A969" t="n">
        <v>2</v>
      </c>
      <c r="B969" t="inlineStr">
        <is>
          <t>EPA1633 &amp; diPAPs Calibration 0.02 ppb</t>
        </is>
      </c>
      <c r="D969" t="n">
        <v>11.89</v>
      </c>
      <c r="E969" t="n">
        <v>290.978</v>
      </c>
      <c r="F969" t="n">
        <v>6169.054</v>
      </c>
      <c r="G969" t="n">
        <v>16.554</v>
      </c>
      <c r="H969" t="inlineStr">
        <is>
          <t>bb</t>
        </is>
      </c>
    </row>
    <row r="970">
      <c r="A970" t="n">
        <v>3</v>
      </c>
      <c r="B970" t="inlineStr">
        <is>
          <t>EPA1633 &amp; diPAPs Calibration 0.1 ppb</t>
        </is>
      </c>
      <c r="D970" t="n">
        <v>11.91</v>
      </c>
      <c r="E970" t="n">
        <v>54.784</v>
      </c>
      <c r="F970" t="n">
        <v>6270.085</v>
      </c>
      <c r="G970" t="n">
        <v>6.009</v>
      </c>
      <c r="H970" t="inlineStr">
        <is>
          <t>bb</t>
        </is>
      </c>
    </row>
    <row r="971">
      <c r="A971" t="n">
        <v>4</v>
      </c>
      <c r="B971" t="inlineStr">
        <is>
          <t>EPA1633 &amp; diPAPs Calibration 0.4 ppb</t>
        </is>
      </c>
      <c r="D971" t="n">
        <v>11.96</v>
      </c>
      <c r="E971" t="n">
        <v>297.992</v>
      </c>
      <c r="F971" t="n">
        <v>5073.597</v>
      </c>
      <c r="G971" t="n">
        <v>47.49</v>
      </c>
      <c r="H971" t="inlineStr">
        <is>
          <t>bb</t>
        </is>
      </c>
    </row>
    <row r="972">
      <c r="A972" t="n">
        <v>5</v>
      </c>
      <c r="B972" t="inlineStr">
        <is>
          <t>EPA1633 &amp; diPAPs Calibration 1 ppb</t>
        </is>
      </c>
      <c r="D972" t="n">
        <v>11.93</v>
      </c>
      <c r="E972" t="n">
        <v>536.601</v>
      </c>
      <c r="F972" t="n">
        <v>5607.035</v>
      </c>
      <c r="G972" t="n">
        <v>5.677</v>
      </c>
      <c r="H972" t="inlineStr">
        <is>
          <t>bb</t>
        </is>
      </c>
    </row>
    <row r="973">
      <c r="A973" t="n">
        <v>6</v>
      </c>
      <c r="B973" t="inlineStr">
        <is>
          <t>EPA1633 &amp; diPAPs Calibration 5 ppb</t>
        </is>
      </c>
      <c r="D973" t="n">
        <v>11.83</v>
      </c>
      <c r="E973" t="n">
        <v>1682.839</v>
      </c>
      <c r="F973" t="n">
        <v>4189.369</v>
      </c>
      <c r="G973" t="n">
        <v>108.472</v>
      </c>
      <c r="H973" t="inlineStr">
        <is>
          <t>bb</t>
        </is>
      </c>
    </row>
    <row r="974">
      <c r="A974" t="n">
        <v>7</v>
      </c>
      <c r="B974" t="inlineStr">
        <is>
          <t>EPA1633 &amp; diPAPs Calibration 10 ppb</t>
        </is>
      </c>
      <c r="D974" t="n">
        <v>11.85</v>
      </c>
      <c r="E974" t="n">
        <v>2789.307</v>
      </c>
      <c r="F974" t="n">
        <v>3916.892</v>
      </c>
      <c r="G974" t="n">
        <v>21409</v>
      </c>
      <c r="H974" t="inlineStr">
        <is>
          <t>bb</t>
        </is>
      </c>
    </row>
    <row r="975">
      <c r="A975" t="n">
        <v>8</v>
      </c>
      <c r="B975" t="inlineStr">
        <is>
          <t>EPA1633 &amp; diPAPs Calibration 20 ppb</t>
        </is>
      </c>
      <c r="D975" t="n">
        <v>11.89</v>
      </c>
      <c r="E975" t="n">
        <v>4026.465</v>
      </c>
      <c r="F975" t="n">
        <v>4672.899</v>
      </c>
      <c r="G975" t="n">
        <v>99.762</v>
      </c>
      <c r="H975" t="inlineStr">
        <is>
          <t>bb</t>
        </is>
      </c>
    </row>
    <row r="976">
      <c r="A976" t="n">
        <v>9</v>
      </c>
      <c r="B976" t="inlineStr">
        <is>
          <t>MeOH</t>
        </is>
      </c>
      <c r="D976" t="n">
        <v>11.93</v>
      </c>
      <c r="E976" t="n">
        <v>212.481</v>
      </c>
      <c r="G976" t="n">
        <v>4.642</v>
      </c>
      <c r="H976" t="inlineStr">
        <is>
          <t>bb</t>
        </is>
      </c>
    </row>
    <row r="977">
      <c r="A977" t="n">
        <v>10</v>
      </c>
      <c r="B977" t="inlineStr">
        <is>
          <t>MeOH</t>
        </is>
      </c>
      <c r="D977" t="n">
        <v>11.72</v>
      </c>
      <c r="E977" t="n">
        <v>111.75</v>
      </c>
      <c r="G977" t="n">
        <v>2.359</v>
      </c>
      <c r="H977" t="inlineStr">
        <is>
          <t>bb</t>
        </is>
      </c>
    </row>
    <row r="978">
      <c r="A978" t="n">
        <v>11</v>
      </c>
      <c r="B978" t="inlineStr">
        <is>
          <t>SB1</t>
        </is>
      </c>
      <c r="D978" t="n">
        <v>11.93</v>
      </c>
      <c r="E978" t="n">
        <v>743.22</v>
      </c>
      <c r="F978" t="n">
        <v>1803.361</v>
      </c>
      <c r="G978" t="n">
        <v>90.953</v>
      </c>
      <c r="H978" t="inlineStr">
        <is>
          <t>bb</t>
        </is>
      </c>
    </row>
    <row r="979">
      <c r="A979" t="n">
        <v>12</v>
      </c>
      <c r="B979" t="inlineStr">
        <is>
          <t>SB2</t>
        </is>
      </c>
      <c r="D979" t="n">
        <v>11.93</v>
      </c>
      <c r="E979" t="n">
        <v>425.854</v>
      </c>
      <c r="F979" t="n">
        <v>1582.835</v>
      </c>
      <c r="G979" t="n">
        <v>4.141</v>
      </c>
      <c r="H979" t="inlineStr">
        <is>
          <t>bb</t>
        </is>
      </c>
    </row>
    <row r="980">
      <c r="A980" t="n">
        <v>13</v>
      </c>
      <c r="B980" t="inlineStr">
        <is>
          <t>SB3</t>
        </is>
      </c>
      <c r="D980" t="n">
        <v>11.98</v>
      </c>
      <c r="E980" t="n">
        <v>356.768</v>
      </c>
      <c r="F980" t="n">
        <v>1671.82</v>
      </c>
      <c r="G980" t="n">
        <v>8.874000000000001</v>
      </c>
      <c r="H980" t="inlineStr">
        <is>
          <t>bb</t>
        </is>
      </c>
    </row>
    <row r="981">
      <c r="A981" t="n">
        <v>14</v>
      </c>
      <c r="B981" t="inlineStr">
        <is>
          <t>SS1</t>
        </is>
      </c>
      <c r="D981" t="n">
        <v>11.98</v>
      </c>
      <c r="E981" t="n">
        <v>1610.532</v>
      </c>
      <c r="F981" t="n">
        <v>1602.526</v>
      </c>
      <c r="G981" t="n">
        <v>316.332</v>
      </c>
      <c r="H981" t="inlineStr">
        <is>
          <t>bb</t>
        </is>
      </c>
    </row>
    <row r="982">
      <c r="A982" t="n">
        <v>15</v>
      </c>
      <c r="B982" t="inlineStr">
        <is>
          <t>SS2</t>
        </is>
      </c>
      <c r="D982" t="n">
        <v>11.98</v>
      </c>
      <c r="E982" t="n">
        <v>1463</v>
      </c>
      <c r="F982" t="n">
        <v>1532.612</v>
      </c>
      <c r="G982" t="n">
        <v>53.732</v>
      </c>
      <c r="H982" t="inlineStr">
        <is>
          <t>bb</t>
        </is>
      </c>
    </row>
    <row r="983">
      <c r="A983" t="n">
        <v>16</v>
      </c>
      <c r="B983" t="inlineStr">
        <is>
          <t>SS3</t>
        </is>
      </c>
      <c r="D983" t="n">
        <v>11.98</v>
      </c>
      <c r="E983" t="n">
        <v>2519.878</v>
      </c>
      <c r="F983" t="n">
        <v>1291.402</v>
      </c>
      <c r="G983" t="n">
        <v>4.486</v>
      </c>
      <c r="H983" t="inlineStr">
        <is>
          <t>bb</t>
        </is>
      </c>
    </row>
    <row r="985">
      <c r="A985" t="inlineStr">
        <is>
          <t>Compound 50:  m8 PFOA 1</t>
        </is>
      </c>
    </row>
    <row r="987">
      <c r="B987" t="inlineStr">
        <is>
          <t>Sample Text</t>
        </is>
      </c>
      <c r="C987" t="inlineStr">
        <is>
          <t>Std. Conc</t>
        </is>
      </c>
      <c r="D987" t="inlineStr">
        <is>
          <t>RT</t>
        </is>
      </c>
      <c r="E987" t="inlineStr">
        <is>
          <t>Area</t>
        </is>
      </c>
      <c r="F987" t="inlineStr">
        <is>
          <t>IS Area</t>
        </is>
      </c>
      <c r="G987" t="inlineStr">
        <is>
          <t>S/N</t>
        </is>
      </c>
      <c r="H987" t="inlineStr">
        <is>
          <t>Primary Flags</t>
        </is>
      </c>
      <c r="I987" t="inlineStr">
        <is>
          <t>Response</t>
        </is>
      </c>
      <c r="J987" t="inlineStr">
        <is>
          <t>Conc.</t>
        </is>
      </c>
    </row>
    <row r="988">
      <c r="A988" t="n">
        <v>1</v>
      </c>
      <c r="B988" t="inlineStr">
        <is>
          <t>EPA1633 &amp; diPAPs Calibration 0 ppb</t>
        </is>
      </c>
      <c r="D988" t="n">
        <v>11.88</v>
      </c>
      <c r="E988" t="n">
        <v>7374.887</v>
      </c>
      <c r="G988" t="n">
        <v>52216</v>
      </c>
      <c r="H988" t="inlineStr">
        <is>
          <t>bb</t>
        </is>
      </c>
      <c r="I988" t="n">
        <v>7374.887</v>
      </c>
    </row>
    <row r="989">
      <c r="A989" t="n">
        <v>2</v>
      </c>
      <c r="B989" t="inlineStr">
        <is>
          <t>EPA1633 &amp; diPAPs Calibration 0.02 ppb</t>
        </is>
      </c>
      <c r="D989" t="n">
        <v>11.91</v>
      </c>
      <c r="E989" t="n">
        <v>6169.054</v>
      </c>
      <c r="G989" t="n">
        <v>143.238</v>
      </c>
      <c r="H989" t="inlineStr">
        <is>
          <t>bb</t>
        </is>
      </c>
      <c r="I989" t="n">
        <v>6169.054</v>
      </c>
    </row>
    <row r="990">
      <c r="A990" t="n">
        <v>3</v>
      </c>
      <c r="B990" t="inlineStr">
        <is>
          <t>EPA1633 &amp; diPAPs Calibration 0.1 ppb</t>
        </is>
      </c>
      <c r="D990" t="n">
        <v>11.91</v>
      </c>
      <c r="E990" t="n">
        <v>6270.085</v>
      </c>
      <c r="G990" t="n">
        <v>41.732</v>
      </c>
      <c r="H990" t="inlineStr">
        <is>
          <t>bb</t>
        </is>
      </c>
      <c r="I990" t="n">
        <v>6270.085</v>
      </c>
    </row>
    <row r="991">
      <c r="A991" t="n">
        <v>4</v>
      </c>
      <c r="B991" t="inlineStr">
        <is>
          <t>EPA1633 &amp; diPAPs Calibration 0.4 ppb</t>
        </is>
      </c>
      <c r="D991" t="n">
        <v>11.92</v>
      </c>
      <c r="E991" t="n">
        <v>5073.597</v>
      </c>
      <c r="G991" t="n">
        <v>36410</v>
      </c>
      <c r="H991" t="inlineStr">
        <is>
          <t>bb</t>
        </is>
      </c>
      <c r="I991" t="n">
        <v>5073.597</v>
      </c>
    </row>
    <row r="992">
      <c r="A992" t="n">
        <v>5</v>
      </c>
      <c r="B992" t="inlineStr">
        <is>
          <t>EPA1633 &amp; diPAPs Calibration 1 ppb</t>
        </is>
      </c>
      <c r="D992" t="n">
        <v>11.93</v>
      </c>
      <c r="E992" t="n">
        <v>5607.035</v>
      </c>
      <c r="G992" t="n">
        <v>40704</v>
      </c>
      <c r="H992" t="inlineStr">
        <is>
          <t>bb</t>
        </is>
      </c>
      <c r="I992" t="n">
        <v>5607.035</v>
      </c>
    </row>
    <row r="993">
      <c r="A993" t="n">
        <v>6</v>
      </c>
      <c r="B993" t="inlineStr">
        <is>
          <t>EPA1633 &amp; diPAPs Calibration 5 ppb</t>
        </is>
      </c>
      <c r="D993" t="n">
        <v>11.82</v>
      </c>
      <c r="E993" t="n">
        <v>4189.369</v>
      </c>
      <c r="G993" t="n">
        <v>765.6950000000001</v>
      </c>
      <c r="H993" t="inlineStr">
        <is>
          <t>bb</t>
        </is>
      </c>
      <c r="I993" t="n">
        <v>4189.369</v>
      </c>
    </row>
    <row r="994">
      <c r="A994" t="n">
        <v>7</v>
      </c>
      <c r="B994" t="inlineStr">
        <is>
          <t>EPA1633 &amp; diPAPs Calibration 10 ppb</t>
        </is>
      </c>
      <c r="D994" t="n">
        <v>11.85</v>
      </c>
      <c r="E994" t="n">
        <v>3916.892</v>
      </c>
      <c r="G994" t="n">
        <v>653.728</v>
      </c>
      <c r="H994" t="inlineStr">
        <is>
          <t>bb</t>
        </is>
      </c>
      <c r="I994" t="n">
        <v>3916.892</v>
      </c>
    </row>
    <row r="995">
      <c r="A995" t="n">
        <v>8</v>
      </c>
      <c r="B995" t="inlineStr">
        <is>
          <t>EPA1633 &amp; diPAPs Calibration 20 ppb</t>
        </is>
      </c>
      <c r="D995" t="n">
        <v>11.88</v>
      </c>
      <c r="E995" t="n">
        <v>4672.899</v>
      </c>
      <c r="G995" t="n">
        <v>34767</v>
      </c>
      <c r="H995" t="inlineStr">
        <is>
          <t>bb</t>
        </is>
      </c>
      <c r="I995" t="n">
        <v>4672.899</v>
      </c>
    </row>
    <row r="996">
      <c r="A996" t="n">
        <v>9</v>
      </c>
      <c r="B996" t="inlineStr">
        <is>
          <t>MeOH</t>
        </is>
      </c>
    </row>
    <row r="997">
      <c r="A997" t="n">
        <v>10</v>
      </c>
      <c r="B997" t="inlineStr">
        <is>
          <t>MeOH</t>
        </is>
      </c>
    </row>
    <row r="998">
      <c r="A998" t="n">
        <v>11</v>
      </c>
      <c r="B998" t="inlineStr">
        <is>
          <t>SB1</t>
        </is>
      </c>
      <c r="D998" t="n">
        <v>11.92</v>
      </c>
      <c r="E998" t="n">
        <v>1803.361</v>
      </c>
      <c r="G998" t="n">
        <v>13078</v>
      </c>
      <c r="H998" t="inlineStr">
        <is>
          <t>bb</t>
        </is>
      </c>
      <c r="I998" t="n">
        <v>1803.361</v>
      </c>
    </row>
    <row r="999">
      <c r="A999" t="n">
        <v>12</v>
      </c>
      <c r="B999" t="inlineStr">
        <is>
          <t>SB2</t>
        </is>
      </c>
      <c r="D999" t="n">
        <v>11.93</v>
      </c>
      <c r="E999" t="n">
        <v>1582.835</v>
      </c>
      <c r="G999" t="n">
        <v>11055</v>
      </c>
      <c r="H999" t="inlineStr">
        <is>
          <t>bb</t>
        </is>
      </c>
      <c r="I999" t="n">
        <v>1582.835</v>
      </c>
    </row>
    <row r="1000">
      <c r="A1000" t="n">
        <v>13</v>
      </c>
      <c r="B1000" t="inlineStr">
        <is>
          <t>SB3</t>
        </is>
      </c>
      <c r="D1000" t="n">
        <v>11.95</v>
      </c>
      <c r="E1000" t="n">
        <v>1671.82</v>
      </c>
      <c r="G1000" t="n">
        <v>11619</v>
      </c>
      <c r="H1000" t="inlineStr">
        <is>
          <t>bb</t>
        </is>
      </c>
      <c r="I1000" t="n">
        <v>1671.82</v>
      </c>
    </row>
    <row r="1001">
      <c r="A1001" t="n">
        <v>14</v>
      </c>
      <c r="B1001" t="inlineStr">
        <is>
          <t>SS1</t>
        </is>
      </c>
      <c r="D1001" t="n">
        <v>11.96</v>
      </c>
      <c r="E1001" t="n">
        <v>1602.526</v>
      </c>
      <c r="G1001" t="n">
        <v>85.79900000000001</v>
      </c>
      <c r="H1001" t="inlineStr">
        <is>
          <t>bb</t>
        </is>
      </c>
      <c r="I1001" t="n">
        <v>1602.526</v>
      </c>
    </row>
    <row r="1002">
      <c r="A1002" t="n">
        <v>15</v>
      </c>
      <c r="B1002" t="inlineStr">
        <is>
          <t>SS2</t>
        </is>
      </c>
      <c r="D1002" t="n">
        <v>11.96</v>
      </c>
      <c r="E1002" t="n">
        <v>1532.612</v>
      </c>
      <c r="G1002" t="n">
        <v>56.57</v>
      </c>
      <c r="H1002" t="inlineStr">
        <is>
          <t>bb</t>
        </is>
      </c>
      <c r="I1002" t="n">
        <v>1532.612</v>
      </c>
    </row>
    <row r="1003">
      <c r="A1003" t="n">
        <v>16</v>
      </c>
      <c r="B1003" t="inlineStr">
        <is>
          <t>SS3</t>
        </is>
      </c>
      <c r="D1003" t="n">
        <v>11.98</v>
      </c>
      <c r="E1003" t="n">
        <v>1291.402</v>
      </c>
      <c r="G1003" t="n">
        <v>9263</v>
      </c>
      <c r="H1003" t="inlineStr">
        <is>
          <t>bb</t>
        </is>
      </c>
      <c r="I1003" t="n">
        <v>1291.402</v>
      </c>
    </row>
    <row r="1005">
      <c r="A1005" t="inlineStr">
        <is>
          <t>Compound 51:  m8 PFOA 2</t>
        </is>
      </c>
    </row>
    <row r="1007">
      <c r="B1007" t="inlineStr">
        <is>
          <t>Sample Text</t>
        </is>
      </c>
      <c r="C1007" t="inlineStr">
        <is>
          <t>Std. Conc</t>
        </is>
      </c>
      <c r="D1007" t="inlineStr">
        <is>
          <t>RT</t>
        </is>
      </c>
      <c r="E1007" t="inlineStr">
        <is>
          <t>Area</t>
        </is>
      </c>
      <c r="F1007" t="inlineStr">
        <is>
          <t>IS Area</t>
        </is>
      </c>
      <c r="G1007" t="inlineStr">
        <is>
          <t>S/N</t>
        </is>
      </c>
      <c r="H1007" t="inlineStr">
        <is>
          <t>Primary Flags</t>
        </is>
      </c>
      <c r="I1007" t="inlineStr">
        <is>
          <t>Response</t>
        </is>
      </c>
      <c r="J1007" t="inlineStr">
        <is>
          <t>Conc.</t>
        </is>
      </c>
    </row>
    <row r="1008">
      <c r="A1008" t="n">
        <v>1</v>
      </c>
      <c r="B1008" t="inlineStr">
        <is>
          <t>EPA1633 &amp; diPAPs Calibration 0 ppb</t>
        </is>
      </c>
      <c r="D1008" t="n">
        <v>11.88</v>
      </c>
      <c r="E1008" t="n">
        <v>2489.786</v>
      </c>
      <c r="G1008" t="n">
        <v>17710</v>
      </c>
      <c r="H1008" t="inlineStr">
        <is>
          <t>bb</t>
        </is>
      </c>
      <c r="I1008" t="n">
        <v>2489.786</v>
      </c>
    </row>
    <row r="1009">
      <c r="A1009" t="n">
        <v>2</v>
      </c>
      <c r="B1009" t="inlineStr">
        <is>
          <t>EPA1633 &amp; diPAPs Calibration 0.02 ppb</t>
        </is>
      </c>
      <c r="D1009" t="n">
        <v>11.91</v>
      </c>
      <c r="E1009" t="n">
        <v>2449.651</v>
      </c>
      <c r="G1009" t="n">
        <v>688.48</v>
      </c>
      <c r="H1009" t="inlineStr">
        <is>
          <t>bb</t>
        </is>
      </c>
      <c r="I1009" t="n">
        <v>2449.651</v>
      </c>
    </row>
    <row r="1010">
      <c r="A1010" t="n">
        <v>3</v>
      </c>
      <c r="B1010" t="inlineStr">
        <is>
          <t>EPA1633 &amp; diPAPs Calibration 0.1 ppb</t>
        </is>
      </c>
      <c r="D1010" t="n">
        <v>11.91</v>
      </c>
      <c r="E1010" t="n">
        <v>2378.931</v>
      </c>
      <c r="G1010" t="n">
        <v>17149</v>
      </c>
      <c r="H1010" t="inlineStr">
        <is>
          <t>bb</t>
        </is>
      </c>
      <c r="I1010" t="n">
        <v>2378.931</v>
      </c>
    </row>
    <row r="1011">
      <c r="A1011" t="n">
        <v>4</v>
      </c>
      <c r="B1011" t="inlineStr">
        <is>
          <t>EPA1633 &amp; diPAPs Calibration 0.4 ppb</t>
        </is>
      </c>
      <c r="D1011" t="n">
        <v>11.91</v>
      </c>
      <c r="E1011" t="n">
        <v>2158.6</v>
      </c>
      <c r="G1011" t="n">
        <v>170.877</v>
      </c>
      <c r="H1011" t="inlineStr">
        <is>
          <t>bb</t>
        </is>
      </c>
      <c r="I1011" t="n">
        <v>2158.6</v>
      </c>
    </row>
    <row r="1012">
      <c r="A1012" t="n">
        <v>5</v>
      </c>
      <c r="B1012" t="inlineStr">
        <is>
          <t>EPA1633 &amp; diPAPs Calibration 1 ppb</t>
        </is>
      </c>
      <c r="D1012" t="n">
        <v>11.92</v>
      </c>
      <c r="E1012" t="n">
        <v>2171.349</v>
      </c>
      <c r="G1012" t="n">
        <v>113.007</v>
      </c>
      <c r="H1012" t="inlineStr">
        <is>
          <t>bb</t>
        </is>
      </c>
      <c r="I1012" t="n">
        <v>2171.349</v>
      </c>
    </row>
    <row r="1013">
      <c r="A1013" t="n">
        <v>6</v>
      </c>
      <c r="B1013" t="inlineStr">
        <is>
          <t>EPA1633 &amp; diPAPs Calibration 5 ppb</t>
        </is>
      </c>
      <c r="D1013" t="n">
        <v>11.83</v>
      </c>
      <c r="E1013" t="n">
        <v>2121.173</v>
      </c>
      <c r="G1013" t="n">
        <v>890.309</v>
      </c>
      <c r="H1013" t="inlineStr">
        <is>
          <t>bb</t>
        </is>
      </c>
      <c r="I1013" t="n">
        <v>2121.173</v>
      </c>
    </row>
    <row r="1014">
      <c r="A1014" t="n">
        <v>7</v>
      </c>
      <c r="B1014" t="inlineStr">
        <is>
          <t>EPA1633 &amp; diPAPs Calibration 10 ppb</t>
        </is>
      </c>
      <c r="D1014" t="n">
        <v>11.86</v>
      </c>
      <c r="E1014" t="n">
        <v>1632.291</v>
      </c>
      <c r="G1014" t="n">
        <v>11718</v>
      </c>
      <c r="H1014" t="inlineStr">
        <is>
          <t>bb</t>
        </is>
      </c>
      <c r="I1014" t="n">
        <v>1632.291</v>
      </c>
    </row>
    <row r="1015">
      <c r="A1015" t="n">
        <v>8</v>
      </c>
      <c r="B1015" t="inlineStr">
        <is>
          <t>EPA1633 &amp; diPAPs Calibration 20 ppb</t>
        </is>
      </c>
      <c r="D1015" t="n">
        <v>11.89</v>
      </c>
      <c r="E1015" t="n">
        <v>1888.116</v>
      </c>
      <c r="G1015" t="n">
        <v>13425</v>
      </c>
      <c r="H1015" t="inlineStr">
        <is>
          <t>bb</t>
        </is>
      </c>
      <c r="I1015" t="n">
        <v>1888.116</v>
      </c>
    </row>
    <row r="1016">
      <c r="A1016" t="n">
        <v>9</v>
      </c>
      <c r="B1016" t="inlineStr">
        <is>
          <t>MeOH</t>
        </is>
      </c>
    </row>
    <row r="1017">
      <c r="A1017" t="n">
        <v>10</v>
      </c>
      <c r="B1017" t="inlineStr">
        <is>
          <t>MeOH</t>
        </is>
      </c>
    </row>
    <row r="1018">
      <c r="A1018" t="n">
        <v>11</v>
      </c>
      <c r="B1018" t="inlineStr">
        <is>
          <t>SB1</t>
        </is>
      </c>
      <c r="D1018" t="n">
        <v>11.94</v>
      </c>
      <c r="E1018" t="n">
        <v>747.436</v>
      </c>
      <c r="G1018" t="n">
        <v>4885</v>
      </c>
      <c r="H1018" t="inlineStr">
        <is>
          <t>bb</t>
        </is>
      </c>
      <c r="I1018" t="n">
        <v>747.436</v>
      </c>
    </row>
    <row r="1019">
      <c r="A1019" t="n">
        <v>12</v>
      </c>
      <c r="B1019" t="inlineStr">
        <is>
          <t>SB2</t>
        </is>
      </c>
      <c r="D1019" t="n">
        <v>11.93</v>
      </c>
      <c r="E1019" t="n">
        <v>888.825</v>
      </c>
      <c r="G1019" t="n">
        <v>371.103</v>
      </c>
      <c r="H1019" t="inlineStr">
        <is>
          <t>bb</t>
        </is>
      </c>
      <c r="I1019" t="n">
        <v>888.825</v>
      </c>
    </row>
    <row r="1020">
      <c r="A1020" t="n">
        <v>13</v>
      </c>
      <c r="B1020" t="inlineStr">
        <is>
          <t>SB3</t>
        </is>
      </c>
      <c r="D1020" t="n">
        <v>11.94</v>
      </c>
      <c r="E1020" t="n">
        <v>658.669</v>
      </c>
      <c r="G1020" t="n">
        <v>7.433</v>
      </c>
      <c r="H1020" t="inlineStr">
        <is>
          <t>bb</t>
        </is>
      </c>
      <c r="I1020" t="n">
        <v>658.669</v>
      </c>
    </row>
    <row r="1021">
      <c r="A1021" t="n">
        <v>14</v>
      </c>
      <c r="B1021" t="inlineStr">
        <is>
          <t>SS1</t>
        </is>
      </c>
      <c r="D1021" t="n">
        <v>11.96</v>
      </c>
      <c r="E1021" t="n">
        <v>633.539</v>
      </c>
      <c r="G1021" t="n">
        <v>160.398</v>
      </c>
      <c r="H1021" t="inlineStr">
        <is>
          <t>bb</t>
        </is>
      </c>
      <c r="I1021" t="n">
        <v>633.539</v>
      </c>
    </row>
    <row r="1022">
      <c r="A1022" t="n">
        <v>15</v>
      </c>
      <c r="B1022" t="inlineStr">
        <is>
          <t>SS2</t>
        </is>
      </c>
      <c r="D1022" t="n">
        <v>11.96</v>
      </c>
      <c r="E1022" t="n">
        <v>795.245</v>
      </c>
      <c r="G1022" t="n">
        <v>23.534</v>
      </c>
      <c r="H1022" t="inlineStr">
        <is>
          <t>bb</t>
        </is>
      </c>
      <c r="I1022" t="n">
        <v>795.245</v>
      </c>
    </row>
    <row r="1023">
      <c r="A1023" t="n">
        <v>16</v>
      </c>
      <c r="B1023" t="inlineStr">
        <is>
          <t>SS3</t>
        </is>
      </c>
      <c r="D1023" t="n">
        <v>11.99</v>
      </c>
      <c r="E1023" t="n">
        <v>533.917</v>
      </c>
      <c r="G1023" t="n">
        <v>15.216</v>
      </c>
      <c r="H1023" t="inlineStr">
        <is>
          <t>MM</t>
        </is>
      </c>
      <c r="I1023" t="n">
        <v>533.917</v>
      </c>
    </row>
    <row r="1025">
      <c r="A1025" t="inlineStr">
        <is>
          <t>Compound 52:  6:2 FTS 1</t>
        </is>
      </c>
    </row>
    <row r="1027">
      <c r="B1027" t="inlineStr">
        <is>
          <t>Sample Text</t>
        </is>
      </c>
      <c r="C1027" t="inlineStr">
        <is>
          <t>Std. Conc</t>
        </is>
      </c>
      <c r="D1027" t="inlineStr">
        <is>
          <t>RT</t>
        </is>
      </c>
      <c r="E1027" t="inlineStr">
        <is>
          <t>Area</t>
        </is>
      </c>
      <c r="F1027" t="inlineStr">
        <is>
          <t>IS Area</t>
        </is>
      </c>
      <c r="G1027" t="inlineStr">
        <is>
          <t>S/N</t>
        </is>
      </c>
      <c r="H1027" t="inlineStr">
        <is>
          <t>Primary Flags</t>
        </is>
      </c>
      <c r="I1027" t="inlineStr">
        <is>
          <t>Response</t>
        </is>
      </c>
      <c r="J1027" t="inlineStr">
        <is>
          <t>Conc.</t>
        </is>
      </c>
    </row>
    <row r="1028">
      <c r="A1028" t="n">
        <v>1</v>
      </c>
      <c r="B1028" t="inlineStr">
        <is>
          <t>EPA1633 &amp; diPAPs Calibration 0 ppb</t>
        </is>
      </c>
      <c r="D1028" t="n">
        <v>11.72</v>
      </c>
      <c r="E1028" t="n">
        <v>337.177</v>
      </c>
      <c r="F1028" t="n">
        <v>22113.453</v>
      </c>
      <c r="G1028" t="n">
        <v>2891</v>
      </c>
      <c r="H1028" t="inlineStr">
        <is>
          <t>bb</t>
        </is>
      </c>
    </row>
    <row r="1029">
      <c r="A1029" t="n">
        <v>2</v>
      </c>
      <c r="B1029" t="inlineStr">
        <is>
          <t>EPA1633 &amp; diPAPs Calibration 0.02 ppb</t>
        </is>
      </c>
      <c r="D1029" t="n">
        <v>11.77</v>
      </c>
      <c r="E1029" t="n">
        <v>1126.898</v>
      </c>
      <c r="F1029" t="n">
        <v>19727.258</v>
      </c>
      <c r="G1029" t="n">
        <v>24.994</v>
      </c>
      <c r="H1029" t="inlineStr">
        <is>
          <t>bb</t>
        </is>
      </c>
    </row>
    <row r="1030">
      <c r="A1030" t="n">
        <v>3</v>
      </c>
      <c r="B1030" t="inlineStr">
        <is>
          <t>EPA1633 &amp; diPAPs Calibration 0.1 ppb</t>
        </is>
      </c>
      <c r="D1030" t="n">
        <v>11.77</v>
      </c>
      <c r="E1030" t="n">
        <v>1525.989</v>
      </c>
      <c r="F1030" t="n">
        <v>21608.316</v>
      </c>
      <c r="G1030" t="n">
        <v>53.375</v>
      </c>
      <c r="H1030" t="inlineStr">
        <is>
          <t>bb</t>
        </is>
      </c>
    </row>
    <row r="1031">
      <c r="A1031" t="n">
        <v>4</v>
      </c>
      <c r="B1031" t="inlineStr">
        <is>
          <t>EPA1633 &amp; diPAPs Calibration 0.4 ppb</t>
        </is>
      </c>
      <c r="D1031" t="n">
        <v>11.76</v>
      </c>
      <c r="E1031" t="n">
        <v>4824.491</v>
      </c>
      <c r="F1031" t="n">
        <v>17922.152</v>
      </c>
      <c r="G1031" t="n">
        <v>1068.037</v>
      </c>
      <c r="H1031" t="inlineStr">
        <is>
          <t>bb</t>
        </is>
      </c>
    </row>
    <row r="1032">
      <c r="A1032" t="n">
        <v>5</v>
      </c>
      <c r="B1032" t="inlineStr">
        <is>
          <t>EPA1633 &amp; diPAPs Calibration 1 ppb</t>
        </is>
      </c>
      <c r="D1032" t="n">
        <v>11.78</v>
      </c>
      <c r="E1032" t="n">
        <v>7820.011</v>
      </c>
      <c r="F1032" t="n">
        <v>21861.023</v>
      </c>
      <c r="G1032" t="n">
        <v>166.691</v>
      </c>
      <c r="H1032" t="inlineStr">
        <is>
          <t>bb</t>
        </is>
      </c>
    </row>
    <row r="1033">
      <c r="A1033" t="n">
        <v>6</v>
      </c>
      <c r="B1033" t="inlineStr">
        <is>
          <t>EPA1633 &amp; diPAPs Calibration 5 ppb</t>
        </is>
      </c>
      <c r="D1033" t="n">
        <v>11.68</v>
      </c>
      <c r="E1033" t="n">
        <v>32797.883</v>
      </c>
      <c r="F1033" t="n">
        <v>19662.793</v>
      </c>
      <c r="G1033" t="n">
        <v>240894</v>
      </c>
      <c r="H1033" t="inlineStr">
        <is>
          <t>bb</t>
        </is>
      </c>
    </row>
    <row r="1034">
      <c r="A1034" t="n">
        <v>7</v>
      </c>
      <c r="B1034" t="inlineStr">
        <is>
          <t>EPA1633 &amp; diPAPs Calibration 10 ppb</t>
        </is>
      </c>
      <c r="D1034" t="n">
        <v>11.71</v>
      </c>
      <c r="E1034" t="n">
        <v>64116.289</v>
      </c>
      <c r="F1034" t="n">
        <v>17115.689</v>
      </c>
      <c r="G1034" t="n">
        <v>3590.181</v>
      </c>
      <c r="H1034" t="inlineStr">
        <is>
          <t>bb</t>
        </is>
      </c>
    </row>
    <row r="1035">
      <c r="A1035" t="n">
        <v>8</v>
      </c>
      <c r="B1035" t="inlineStr">
        <is>
          <t>EPA1633 &amp; diPAPs Calibration 20 ppb</t>
        </is>
      </c>
      <c r="D1035" t="n">
        <v>11.74</v>
      </c>
      <c r="E1035" t="n">
        <v>119857.156</v>
      </c>
      <c r="F1035" t="n">
        <v>21588.051</v>
      </c>
      <c r="G1035" t="n">
        <v>5544.825</v>
      </c>
      <c r="H1035" t="inlineStr">
        <is>
          <t>bb</t>
        </is>
      </c>
    </row>
    <row r="1036">
      <c r="A1036" t="n">
        <v>9</v>
      </c>
      <c r="B1036" t="inlineStr">
        <is>
          <t>MeOH</t>
        </is>
      </c>
      <c r="D1036" t="n">
        <v>11.76</v>
      </c>
      <c r="E1036" t="n">
        <v>33.773</v>
      </c>
      <c r="F1036" t="n">
        <v>29.33</v>
      </c>
      <c r="G1036" t="n">
        <v>285</v>
      </c>
      <c r="H1036" t="inlineStr">
        <is>
          <t>bb</t>
        </is>
      </c>
    </row>
    <row r="1037">
      <c r="A1037" t="n">
        <v>10</v>
      </c>
      <c r="B1037" t="inlineStr">
        <is>
          <t>MeOH</t>
        </is>
      </c>
      <c r="D1037" t="n">
        <v>11.76</v>
      </c>
      <c r="E1037" t="n">
        <v>147.191</v>
      </c>
      <c r="F1037" t="n">
        <v>4.523</v>
      </c>
      <c r="G1037" t="n">
        <v>1059</v>
      </c>
      <c r="H1037" t="inlineStr">
        <is>
          <t>bb</t>
        </is>
      </c>
    </row>
    <row r="1038">
      <c r="A1038" t="n">
        <v>11</v>
      </c>
      <c r="B1038" t="inlineStr">
        <is>
          <t>SB1</t>
        </is>
      </c>
      <c r="D1038" t="n">
        <v>11.79</v>
      </c>
      <c r="E1038" t="n">
        <v>318.469</v>
      </c>
      <c r="F1038" t="n">
        <v>8290.896000000001</v>
      </c>
      <c r="G1038" t="n">
        <v>53.735</v>
      </c>
      <c r="H1038" t="inlineStr">
        <is>
          <t>bb</t>
        </is>
      </c>
    </row>
    <row r="1039">
      <c r="A1039" t="n">
        <v>12</v>
      </c>
      <c r="B1039" t="inlineStr">
        <is>
          <t>SB2</t>
        </is>
      </c>
      <c r="D1039" t="n">
        <v>11.78</v>
      </c>
      <c r="E1039" t="n">
        <v>4.568</v>
      </c>
      <c r="F1039" t="n">
        <v>7311.854</v>
      </c>
      <c r="G1039" t="n">
        <v>5.712</v>
      </c>
      <c r="H1039" t="inlineStr">
        <is>
          <t>bb</t>
        </is>
      </c>
    </row>
    <row r="1040">
      <c r="A1040" t="n">
        <v>13</v>
      </c>
      <c r="B1040" t="inlineStr">
        <is>
          <t>SB3</t>
        </is>
      </c>
      <c r="D1040" t="n">
        <v>11.78</v>
      </c>
      <c r="E1040" t="n">
        <v>44.291</v>
      </c>
      <c r="F1040" t="n">
        <v>6894.442</v>
      </c>
      <c r="G1040" t="n">
        <v>376</v>
      </c>
      <c r="H1040" t="inlineStr">
        <is>
          <t>bb</t>
        </is>
      </c>
    </row>
    <row r="1041">
      <c r="A1041" t="n">
        <v>14</v>
      </c>
      <c r="B1041" t="inlineStr">
        <is>
          <t>SS1</t>
        </is>
      </c>
      <c r="D1041" t="n">
        <v>11.82</v>
      </c>
      <c r="E1041" t="n">
        <v>26068.9</v>
      </c>
      <c r="F1041" t="n">
        <v>8442.453</v>
      </c>
      <c r="G1041" t="n">
        <v>1204.547</v>
      </c>
      <c r="H1041" t="inlineStr">
        <is>
          <t>bb</t>
        </is>
      </c>
    </row>
    <row r="1042">
      <c r="A1042" t="n">
        <v>15</v>
      </c>
      <c r="B1042" t="inlineStr">
        <is>
          <t>SS2</t>
        </is>
      </c>
      <c r="D1042" t="n">
        <v>11.83</v>
      </c>
      <c r="E1042" t="n">
        <v>26763.598</v>
      </c>
      <c r="F1042" t="n">
        <v>9012.263999999999</v>
      </c>
      <c r="G1042" t="n">
        <v>752.045</v>
      </c>
      <c r="H1042" t="inlineStr">
        <is>
          <t>bb</t>
        </is>
      </c>
    </row>
    <row r="1043">
      <c r="A1043" t="n">
        <v>16</v>
      </c>
      <c r="B1043" t="inlineStr">
        <is>
          <t>SS3</t>
        </is>
      </c>
      <c r="D1043" t="n">
        <v>11.84</v>
      </c>
      <c r="E1043" t="n">
        <v>24919.904</v>
      </c>
      <c r="F1043" t="n">
        <v>7925.868</v>
      </c>
      <c r="G1043" t="n">
        <v>244.276</v>
      </c>
      <c r="H1043" t="inlineStr">
        <is>
          <t>bb</t>
        </is>
      </c>
    </row>
    <row r="1045">
      <c r="A1045" t="inlineStr">
        <is>
          <t>Compound 53:  6:2 FTS 2</t>
        </is>
      </c>
    </row>
    <row r="1047">
      <c r="B1047" t="inlineStr">
        <is>
          <t>Sample Text</t>
        </is>
      </c>
      <c r="C1047" t="inlineStr">
        <is>
          <t>Std. Conc</t>
        </is>
      </c>
      <c r="D1047" t="inlineStr">
        <is>
          <t>RT</t>
        </is>
      </c>
      <c r="E1047" t="inlineStr">
        <is>
          <t>Area</t>
        </is>
      </c>
      <c r="F1047" t="inlineStr">
        <is>
          <t>IS Area</t>
        </is>
      </c>
      <c r="G1047" t="inlineStr">
        <is>
          <t>S/N</t>
        </is>
      </c>
      <c r="H1047" t="inlineStr">
        <is>
          <t>Primary Flags</t>
        </is>
      </c>
      <c r="I1047" t="inlineStr">
        <is>
          <t>Response</t>
        </is>
      </c>
      <c r="J1047" t="inlineStr">
        <is>
          <t>Conc.</t>
        </is>
      </c>
    </row>
    <row r="1048">
      <c r="A1048" t="n">
        <v>1</v>
      </c>
      <c r="B1048" t="inlineStr">
        <is>
          <t>EPA1633 &amp; diPAPs Calibration 0 ppb</t>
        </is>
      </c>
      <c r="D1048" t="n">
        <v>11.75</v>
      </c>
      <c r="E1048" t="n">
        <v>42.583</v>
      </c>
      <c r="F1048" t="n">
        <v>22113.453</v>
      </c>
      <c r="G1048" t="n">
        <v>398</v>
      </c>
      <c r="H1048" t="inlineStr">
        <is>
          <t>bb</t>
        </is>
      </c>
    </row>
    <row r="1049">
      <c r="A1049" t="n">
        <v>2</v>
      </c>
      <c r="B1049" t="inlineStr">
        <is>
          <t>EPA1633 &amp; diPAPs Calibration 0.02 ppb</t>
        </is>
      </c>
      <c r="D1049" t="n">
        <v>11.77</v>
      </c>
      <c r="E1049" t="n">
        <v>327.773</v>
      </c>
      <c r="F1049" t="n">
        <v>19727.258</v>
      </c>
      <c r="G1049" t="n">
        <v>2311</v>
      </c>
      <c r="H1049" t="inlineStr">
        <is>
          <t>bb</t>
        </is>
      </c>
    </row>
    <row r="1050">
      <c r="A1050" t="n">
        <v>3</v>
      </c>
      <c r="B1050" t="inlineStr">
        <is>
          <t>EPA1633 &amp; diPAPs Calibration 0.1 ppb</t>
        </is>
      </c>
      <c r="D1050" t="n">
        <v>11.78</v>
      </c>
      <c r="E1050" t="n">
        <v>233.394</v>
      </c>
      <c r="F1050" t="n">
        <v>21608.316</v>
      </c>
      <c r="G1050" t="n">
        <v>6.973</v>
      </c>
      <c r="H1050" t="inlineStr">
        <is>
          <t>bb</t>
        </is>
      </c>
    </row>
    <row r="1051">
      <c r="A1051" t="n">
        <v>4</v>
      </c>
      <c r="B1051" t="inlineStr">
        <is>
          <t>EPA1633 &amp; diPAPs Calibration 0.4 ppb</t>
        </is>
      </c>
      <c r="D1051" t="n">
        <v>11.76</v>
      </c>
      <c r="E1051" t="n">
        <v>1397.873</v>
      </c>
      <c r="F1051" t="n">
        <v>17922.152</v>
      </c>
      <c r="G1051" t="n">
        <v>27.377</v>
      </c>
      <c r="H1051" t="inlineStr">
        <is>
          <t>bb</t>
        </is>
      </c>
    </row>
    <row r="1052">
      <c r="A1052" t="n">
        <v>5</v>
      </c>
      <c r="B1052" t="inlineStr">
        <is>
          <t>EPA1633 &amp; diPAPs Calibration 1 ppb</t>
        </is>
      </c>
      <c r="D1052" t="n">
        <v>11.78</v>
      </c>
      <c r="E1052" t="n">
        <v>2440.008</v>
      </c>
      <c r="F1052" t="n">
        <v>21861.023</v>
      </c>
      <c r="G1052" t="n">
        <v>17509</v>
      </c>
      <c r="H1052" t="inlineStr">
        <is>
          <t>bb</t>
        </is>
      </c>
    </row>
    <row r="1053">
      <c r="A1053" t="n">
        <v>6</v>
      </c>
      <c r="B1053" t="inlineStr">
        <is>
          <t>EPA1633 &amp; diPAPs Calibration 5 ppb</t>
        </is>
      </c>
      <c r="D1053" t="n">
        <v>11.68</v>
      </c>
      <c r="E1053" t="n">
        <v>9845.887000000001</v>
      </c>
      <c r="F1053" t="n">
        <v>19662.793</v>
      </c>
      <c r="G1053" t="n">
        <v>74097</v>
      </c>
      <c r="H1053" t="inlineStr">
        <is>
          <t>bb</t>
        </is>
      </c>
    </row>
    <row r="1054">
      <c r="A1054" t="n">
        <v>7</v>
      </c>
      <c r="B1054" t="inlineStr">
        <is>
          <t>EPA1633 &amp; diPAPs Calibration 10 ppb</t>
        </is>
      </c>
      <c r="D1054" t="n">
        <v>11.71</v>
      </c>
      <c r="E1054" t="n">
        <v>18702.742</v>
      </c>
      <c r="F1054" t="n">
        <v>17115.689</v>
      </c>
      <c r="G1054" t="n">
        <v>476.508</v>
      </c>
      <c r="H1054" t="inlineStr">
        <is>
          <t>bb</t>
        </is>
      </c>
    </row>
    <row r="1055">
      <c r="A1055" t="n">
        <v>8</v>
      </c>
      <c r="B1055" t="inlineStr">
        <is>
          <t>EPA1633 &amp; diPAPs Calibration 20 ppb</t>
        </is>
      </c>
      <c r="D1055" t="n">
        <v>11.74</v>
      </c>
      <c r="E1055" t="n">
        <v>35977.023</v>
      </c>
      <c r="F1055" t="n">
        <v>21588.051</v>
      </c>
      <c r="G1055" t="n">
        <v>4365.612</v>
      </c>
      <c r="H1055" t="inlineStr">
        <is>
          <t>bb</t>
        </is>
      </c>
    </row>
    <row r="1056">
      <c r="A1056" t="n">
        <v>9</v>
      </c>
      <c r="B1056" t="inlineStr">
        <is>
          <t>MeOH</t>
        </is>
      </c>
      <c r="D1056" t="n">
        <v>11.74</v>
      </c>
      <c r="E1056" t="n">
        <v>11.835</v>
      </c>
      <c r="F1056" t="n">
        <v>29.33</v>
      </c>
      <c r="G1056" t="n">
        <v>111</v>
      </c>
      <c r="H1056" t="inlineStr">
        <is>
          <t>bb</t>
        </is>
      </c>
    </row>
    <row r="1057">
      <c r="A1057" t="n">
        <v>10</v>
      </c>
      <c r="B1057" t="inlineStr">
        <is>
          <t>MeOH</t>
        </is>
      </c>
      <c r="D1057" t="n">
        <v>11.78</v>
      </c>
      <c r="E1057" t="n">
        <v>52.282</v>
      </c>
      <c r="F1057" t="n">
        <v>4.523</v>
      </c>
      <c r="G1057" t="n">
        <v>482</v>
      </c>
      <c r="H1057" t="inlineStr">
        <is>
          <t>bb</t>
        </is>
      </c>
    </row>
    <row r="1058">
      <c r="A1058" t="n">
        <v>11</v>
      </c>
      <c r="B1058" t="inlineStr">
        <is>
          <t>SB1</t>
        </is>
      </c>
      <c r="D1058" t="n">
        <v>11.79</v>
      </c>
      <c r="E1058" t="n">
        <v>76.735</v>
      </c>
      <c r="F1058" t="n">
        <v>8290.896000000001</v>
      </c>
      <c r="G1058" t="n">
        <v>3.036</v>
      </c>
      <c r="H1058" t="inlineStr">
        <is>
          <t>bb</t>
        </is>
      </c>
    </row>
    <row r="1059">
      <c r="A1059" t="n">
        <v>12</v>
      </c>
      <c r="B1059" t="inlineStr">
        <is>
          <t>SB2</t>
        </is>
      </c>
      <c r="F1059" t="n">
        <v>7311.854</v>
      </c>
    </row>
    <row r="1060">
      <c r="A1060" t="n">
        <v>13</v>
      </c>
      <c r="B1060" t="inlineStr">
        <is>
          <t>SB3</t>
        </is>
      </c>
      <c r="D1060" t="n">
        <v>11.81</v>
      </c>
      <c r="E1060" t="n">
        <v>19.958</v>
      </c>
      <c r="F1060" t="n">
        <v>6894.442</v>
      </c>
      <c r="G1060" t="n">
        <v>170</v>
      </c>
      <c r="H1060" t="inlineStr">
        <is>
          <t>bb</t>
        </is>
      </c>
    </row>
    <row r="1061">
      <c r="A1061" t="n">
        <v>14</v>
      </c>
      <c r="B1061" t="inlineStr">
        <is>
          <t>SS1</t>
        </is>
      </c>
      <c r="D1061" t="n">
        <v>11.82</v>
      </c>
      <c r="E1061" t="n">
        <v>7708.402</v>
      </c>
      <c r="F1061" t="n">
        <v>8442.453</v>
      </c>
      <c r="G1061" t="n">
        <v>55136</v>
      </c>
      <c r="H1061" t="inlineStr">
        <is>
          <t>bb</t>
        </is>
      </c>
    </row>
    <row r="1062">
      <c r="A1062" t="n">
        <v>15</v>
      </c>
      <c r="B1062" t="inlineStr">
        <is>
          <t>SS2</t>
        </is>
      </c>
      <c r="D1062" t="n">
        <v>11.83</v>
      </c>
      <c r="E1062" t="n">
        <v>7717.114</v>
      </c>
      <c r="F1062" t="n">
        <v>9012.263999999999</v>
      </c>
      <c r="G1062" t="n">
        <v>162.354</v>
      </c>
      <c r="H1062" t="inlineStr">
        <is>
          <t>bb</t>
        </is>
      </c>
    </row>
    <row r="1063">
      <c r="A1063" t="n">
        <v>16</v>
      </c>
      <c r="B1063" t="inlineStr">
        <is>
          <t>SS3</t>
        </is>
      </c>
      <c r="D1063" t="n">
        <v>11.84</v>
      </c>
      <c r="E1063" t="n">
        <v>6817.606</v>
      </c>
      <c r="F1063" t="n">
        <v>7925.868</v>
      </c>
      <c r="G1063" t="n">
        <v>1698.621</v>
      </c>
      <c r="H1063" t="inlineStr">
        <is>
          <t>bb</t>
        </is>
      </c>
    </row>
    <row r="1065">
      <c r="A1065" t="inlineStr">
        <is>
          <t>Compound 54:  m2 6:2 FTS 1</t>
        </is>
      </c>
    </row>
    <row r="1067">
      <c r="B1067" t="inlineStr">
        <is>
          <t>Sample Text</t>
        </is>
      </c>
      <c r="C1067" t="inlineStr">
        <is>
          <t>Std. Conc</t>
        </is>
      </c>
      <c r="D1067" t="inlineStr">
        <is>
          <t>RT</t>
        </is>
      </c>
      <c r="E1067" t="inlineStr">
        <is>
          <t>Area</t>
        </is>
      </c>
      <c r="F1067" t="inlineStr">
        <is>
          <t>IS Area</t>
        </is>
      </c>
      <c r="G1067" t="inlineStr">
        <is>
          <t>S/N</t>
        </is>
      </c>
      <c r="H1067" t="inlineStr">
        <is>
          <t>Primary Flags</t>
        </is>
      </c>
      <c r="I1067" t="inlineStr">
        <is>
          <t>Response</t>
        </is>
      </c>
      <c r="J1067" t="inlineStr">
        <is>
          <t>Conc.</t>
        </is>
      </c>
    </row>
    <row r="1068">
      <c r="A1068" t="n">
        <v>1</v>
      </c>
      <c r="B1068" t="inlineStr">
        <is>
          <t>EPA1633 &amp; diPAPs Calibration 0 ppb</t>
        </is>
      </c>
      <c r="D1068" t="n">
        <v>11.72</v>
      </c>
      <c r="E1068" t="n">
        <v>22113.453</v>
      </c>
      <c r="G1068" t="n">
        <v>165191</v>
      </c>
      <c r="H1068" t="inlineStr">
        <is>
          <t>bb</t>
        </is>
      </c>
      <c r="I1068" t="n">
        <v>22113.453</v>
      </c>
    </row>
    <row r="1069">
      <c r="A1069" t="n">
        <v>2</v>
      </c>
      <c r="B1069" t="inlineStr">
        <is>
          <t>EPA1633 &amp; diPAPs Calibration 0.02 ppb</t>
        </is>
      </c>
      <c r="D1069" t="n">
        <v>11.75</v>
      </c>
      <c r="E1069" t="n">
        <v>19727.258</v>
      </c>
      <c r="G1069" t="n">
        <v>146811</v>
      </c>
      <c r="H1069" t="inlineStr">
        <is>
          <t>bb</t>
        </is>
      </c>
      <c r="I1069" t="n">
        <v>19727.258</v>
      </c>
    </row>
    <row r="1070">
      <c r="A1070" t="n">
        <v>3</v>
      </c>
      <c r="B1070" t="inlineStr">
        <is>
          <t>EPA1633 &amp; diPAPs Calibration 0.1 ppb</t>
        </is>
      </c>
      <c r="D1070" t="n">
        <v>11.77</v>
      </c>
      <c r="E1070" t="n">
        <v>21608.316</v>
      </c>
      <c r="G1070" t="n">
        <v>352.487</v>
      </c>
      <c r="H1070" t="inlineStr">
        <is>
          <t>bb</t>
        </is>
      </c>
      <c r="I1070" t="n">
        <v>21608.316</v>
      </c>
    </row>
    <row r="1071">
      <c r="A1071" t="n">
        <v>4</v>
      </c>
      <c r="B1071" t="inlineStr">
        <is>
          <t>EPA1633 &amp; diPAPs Calibration 0.4 ppb</t>
        </is>
      </c>
      <c r="D1071" t="n">
        <v>11.77</v>
      </c>
      <c r="E1071" t="n">
        <v>17922.152</v>
      </c>
      <c r="G1071" t="n">
        <v>2274.358</v>
      </c>
      <c r="H1071" t="inlineStr">
        <is>
          <t>bb</t>
        </is>
      </c>
      <c r="I1071" t="n">
        <v>17922.152</v>
      </c>
    </row>
    <row r="1072">
      <c r="A1072" t="n">
        <v>5</v>
      </c>
      <c r="B1072" t="inlineStr">
        <is>
          <t>EPA1633 &amp; diPAPs Calibration 1 ppb</t>
        </is>
      </c>
      <c r="D1072" t="n">
        <v>11.79</v>
      </c>
      <c r="E1072" t="n">
        <v>21861.023</v>
      </c>
      <c r="G1072" t="n">
        <v>1237.077</v>
      </c>
      <c r="H1072" t="inlineStr">
        <is>
          <t>bb</t>
        </is>
      </c>
      <c r="I1072" t="n">
        <v>21861.023</v>
      </c>
    </row>
    <row r="1073">
      <c r="A1073" t="n">
        <v>6</v>
      </c>
      <c r="B1073" t="inlineStr">
        <is>
          <t>EPA1633 &amp; diPAPs Calibration 5 ppb</t>
        </is>
      </c>
      <c r="D1073" t="n">
        <v>11.68</v>
      </c>
      <c r="E1073" t="n">
        <v>19662.793</v>
      </c>
      <c r="G1073" t="n">
        <v>525.577</v>
      </c>
      <c r="H1073" t="inlineStr">
        <is>
          <t>bb</t>
        </is>
      </c>
      <c r="I1073" t="n">
        <v>19662.793</v>
      </c>
    </row>
    <row r="1074">
      <c r="A1074" t="n">
        <v>7</v>
      </c>
      <c r="B1074" t="inlineStr">
        <is>
          <t>EPA1633 &amp; diPAPs Calibration 10 ppb</t>
        </is>
      </c>
      <c r="D1074" t="n">
        <v>11.71</v>
      </c>
      <c r="E1074" t="n">
        <v>17115.689</v>
      </c>
      <c r="G1074" t="n">
        <v>602.497</v>
      </c>
      <c r="H1074" t="inlineStr">
        <is>
          <t>bb</t>
        </is>
      </c>
      <c r="I1074" t="n">
        <v>17115.689</v>
      </c>
    </row>
    <row r="1075">
      <c r="A1075" t="n">
        <v>8</v>
      </c>
      <c r="B1075" t="inlineStr">
        <is>
          <t>EPA1633 &amp; diPAPs Calibration 20 ppb</t>
        </is>
      </c>
      <c r="D1075" t="n">
        <v>11.74</v>
      </c>
      <c r="E1075" t="n">
        <v>21588.051</v>
      </c>
      <c r="G1075" t="n">
        <v>360.724</v>
      </c>
      <c r="H1075" t="inlineStr">
        <is>
          <t>bb</t>
        </is>
      </c>
      <c r="I1075" t="n">
        <v>21588.051</v>
      </c>
    </row>
    <row r="1076">
      <c r="A1076" t="n">
        <v>9</v>
      </c>
      <c r="B1076" t="inlineStr">
        <is>
          <t>MeOH</t>
        </is>
      </c>
      <c r="D1076" t="n">
        <v>11.76</v>
      </c>
      <c r="E1076" t="n">
        <v>29.33</v>
      </c>
      <c r="G1076" t="n">
        <v>279</v>
      </c>
      <c r="H1076" t="inlineStr">
        <is>
          <t>bb</t>
        </is>
      </c>
      <c r="I1076" t="n">
        <v>29.33</v>
      </c>
    </row>
    <row r="1077">
      <c r="A1077" t="n">
        <v>10</v>
      </c>
      <c r="B1077" t="inlineStr">
        <is>
          <t>MeOH</t>
        </is>
      </c>
      <c r="D1077" t="n">
        <v>11.76</v>
      </c>
      <c r="E1077" t="n">
        <v>4.523</v>
      </c>
      <c r="G1077" t="n">
        <v>44</v>
      </c>
      <c r="H1077" t="inlineStr">
        <is>
          <t>bb</t>
        </is>
      </c>
      <c r="I1077" t="n">
        <v>4.523</v>
      </c>
    </row>
    <row r="1078">
      <c r="A1078" t="n">
        <v>11</v>
      </c>
      <c r="B1078" t="inlineStr">
        <is>
          <t>SB1</t>
        </is>
      </c>
      <c r="D1078" t="n">
        <v>11.78</v>
      </c>
      <c r="E1078" t="n">
        <v>8290.896000000001</v>
      </c>
      <c r="G1078" t="n">
        <v>595.701</v>
      </c>
      <c r="H1078" t="inlineStr">
        <is>
          <t>bb</t>
        </is>
      </c>
      <c r="I1078" t="n">
        <v>8290.896000000001</v>
      </c>
    </row>
    <row r="1079">
      <c r="A1079" t="n">
        <v>12</v>
      </c>
      <c r="B1079" t="inlineStr">
        <is>
          <t>SB2</t>
        </is>
      </c>
      <c r="D1079" t="n">
        <v>11.79</v>
      </c>
      <c r="E1079" t="n">
        <v>7311.854</v>
      </c>
      <c r="G1079" t="n">
        <v>121.564</v>
      </c>
      <c r="H1079" t="inlineStr">
        <is>
          <t>bb</t>
        </is>
      </c>
      <c r="I1079" t="n">
        <v>7311.854</v>
      </c>
    </row>
    <row r="1080">
      <c r="A1080" t="n">
        <v>13</v>
      </c>
      <c r="B1080" t="inlineStr">
        <is>
          <t>SB3</t>
        </is>
      </c>
      <c r="D1080" t="n">
        <v>11.79</v>
      </c>
      <c r="E1080" t="n">
        <v>6894.442</v>
      </c>
      <c r="G1080" t="n">
        <v>178.676</v>
      </c>
      <c r="H1080" t="inlineStr">
        <is>
          <t>bb</t>
        </is>
      </c>
      <c r="I1080" t="n">
        <v>6894.442</v>
      </c>
    </row>
    <row r="1081">
      <c r="A1081" t="n">
        <v>14</v>
      </c>
      <c r="B1081" t="inlineStr">
        <is>
          <t>SS1</t>
        </is>
      </c>
      <c r="D1081" t="n">
        <v>11.82</v>
      </c>
      <c r="E1081" t="n">
        <v>8442.453</v>
      </c>
      <c r="G1081" t="n">
        <v>2794.959</v>
      </c>
      <c r="H1081" t="inlineStr">
        <is>
          <t>bb</t>
        </is>
      </c>
      <c r="I1081" t="n">
        <v>8442.453</v>
      </c>
    </row>
    <row r="1082">
      <c r="A1082" t="n">
        <v>15</v>
      </c>
      <c r="B1082" t="inlineStr">
        <is>
          <t>SS2</t>
        </is>
      </c>
      <c r="D1082" t="n">
        <v>11.84</v>
      </c>
      <c r="E1082" t="n">
        <v>9012.263999999999</v>
      </c>
      <c r="G1082" t="n">
        <v>65937</v>
      </c>
      <c r="H1082" t="inlineStr">
        <is>
          <t>bb</t>
        </is>
      </c>
      <c r="I1082" t="n">
        <v>9012.263999999999</v>
      </c>
    </row>
    <row r="1083">
      <c r="A1083" t="n">
        <v>16</v>
      </c>
      <c r="B1083" t="inlineStr">
        <is>
          <t>SS3</t>
        </is>
      </c>
      <c r="D1083" t="n">
        <v>11.84</v>
      </c>
      <c r="E1083" t="n">
        <v>7925.868</v>
      </c>
      <c r="G1083" t="n">
        <v>56642</v>
      </c>
      <c r="H1083" t="inlineStr">
        <is>
          <t>bb</t>
        </is>
      </c>
      <c r="I1083" t="n">
        <v>7925.868</v>
      </c>
    </row>
    <row r="1085">
      <c r="A1085" t="inlineStr">
        <is>
          <t>Compound 55:  m2 6:2 FTS 2</t>
        </is>
      </c>
    </row>
    <row r="1087">
      <c r="B1087" t="inlineStr">
        <is>
          <t>Sample Text</t>
        </is>
      </c>
      <c r="C1087" t="inlineStr">
        <is>
          <t>Std. Conc</t>
        </is>
      </c>
      <c r="D1087" t="inlineStr">
        <is>
          <t>RT</t>
        </is>
      </c>
      <c r="E1087" t="inlineStr">
        <is>
          <t>Area</t>
        </is>
      </c>
      <c r="F1087" t="inlineStr">
        <is>
          <t>IS Area</t>
        </is>
      </c>
      <c r="G1087" t="inlineStr">
        <is>
          <t>S/N</t>
        </is>
      </c>
      <c r="H1087" t="inlineStr">
        <is>
          <t>Primary Flags</t>
        </is>
      </c>
      <c r="I1087" t="inlineStr">
        <is>
          <t>Response</t>
        </is>
      </c>
      <c r="J1087" t="inlineStr">
        <is>
          <t>Conc.</t>
        </is>
      </c>
    </row>
    <row r="1088">
      <c r="A1088" t="n">
        <v>1</v>
      </c>
      <c r="B1088" t="inlineStr">
        <is>
          <t>EPA1633 &amp; diPAPs Calibration 0 ppb</t>
        </is>
      </c>
      <c r="D1088" t="n">
        <v>11.74</v>
      </c>
      <c r="E1088" t="n">
        <v>5893.44</v>
      </c>
      <c r="G1088" t="n">
        <v>226.827</v>
      </c>
      <c r="H1088" t="inlineStr">
        <is>
          <t>bb</t>
        </is>
      </c>
      <c r="I1088" t="n">
        <v>5893.44</v>
      </c>
    </row>
    <row r="1089">
      <c r="A1089" t="n">
        <v>2</v>
      </c>
      <c r="B1089" t="inlineStr">
        <is>
          <t>EPA1633 &amp; diPAPs Calibration 0.02 ppb</t>
        </is>
      </c>
      <c r="D1089" t="n">
        <v>11.77</v>
      </c>
      <c r="E1089" t="n">
        <v>5754.246</v>
      </c>
      <c r="G1089" t="n">
        <v>42301</v>
      </c>
      <c r="H1089" t="inlineStr">
        <is>
          <t>bb</t>
        </is>
      </c>
      <c r="I1089" t="n">
        <v>5754.246</v>
      </c>
    </row>
    <row r="1090">
      <c r="A1090" t="n">
        <v>3</v>
      </c>
      <c r="B1090" t="inlineStr">
        <is>
          <t>EPA1633 &amp; diPAPs Calibration 0.1 ppb</t>
        </is>
      </c>
      <c r="D1090" t="n">
        <v>11.77</v>
      </c>
      <c r="E1090" t="n">
        <v>5585.645</v>
      </c>
      <c r="G1090" t="n">
        <v>412.523</v>
      </c>
      <c r="H1090" t="inlineStr">
        <is>
          <t>bb</t>
        </is>
      </c>
      <c r="I1090" t="n">
        <v>5585.645</v>
      </c>
    </row>
    <row r="1091">
      <c r="A1091" t="n">
        <v>4</v>
      </c>
      <c r="B1091" t="inlineStr">
        <is>
          <t>EPA1633 &amp; diPAPs Calibration 0.4 ppb</t>
        </is>
      </c>
      <c r="D1091" t="n">
        <v>11.78</v>
      </c>
      <c r="E1091" t="n">
        <v>5181.627</v>
      </c>
      <c r="G1091" t="n">
        <v>37885</v>
      </c>
      <c r="H1091" t="inlineStr">
        <is>
          <t>bb</t>
        </is>
      </c>
      <c r="I1091" t="n">
        <v>5181.627</v>
      </c>
    </row>
    <row r="1092">
      <c r="A1092" t="n">
        <v>5</v>
      </c>
      <c r="B1092" t="inlineStr">
        <is>
          <t>EPA1633 &amp; diPAPs Calibration 1 ppb</t>
        </is>
      </c>
      <c r="D1092" t="n">
        <v>11.78</v>
      </c>
      <c r="E1092" t="n">
        <v>5853.28</v>
      </c>
      <c r="G1092" t="n">
        <v>45.726</v>
      </c>
      <c r="H1092" t="inlineStr">
        <is>
          <t>bb</t>
        </is>
      </c>
      <c r="I1092" t="n">
        <v>5853.28</v>
      </c>
    </row>
    <row r="1093">
      <c r="A1093" t="n">
        <v>6</v>
      </c>
      <c r="B1093" t="inlineStr">
        <is>
          <t>EPA1633 &amp; diPAPs Calibration 5 ppb</t>
        </is>
      </c>
      <c r="D1093" t="n">
        <v>11.68</v>
      </c>
      <c r="E1093" t="n">
        <v>4606.452</v>
      </c>
      <c r="G1093" t="n">
        <v>33393</v>
      </c>
      <c r="H1093" t="inlineStr">
        <is>
          <t>bb</t>
        </is>
      </c>
      <c r="I1093" t="n">
        <v>4606.452</v>
      </c>
    </row>
    <row r="1094">
      <c r="A1094" t="n">
        <v>7</v>
      </c>
      <c r="B1094" t="inlineStr">
        <is>
          <t>EPA1633 &amp; diPAPs Calibration 10 ppb</t>
        </is>
      </c>
      <c r="D1094" t="n">
        <v>11.71</v>
      </c>
      <c r="E1094" t="n">
        <v>4278.75</v>
      </c>
      <c r="G1094" t="n">
        <v>2229.842</v>
      </c>
      <c r="H1094" t="inlineStr">
        <is>
          <t>bb</t>
        </is>
      </c>
      <c r="I1094" t="n">
        <v>4278.75</v>
      </c>
    </row>
    <row r="1095">
      <c r="A1095" t="n">
        <v>8</v>
      </c>
      <c r="B1095" t="inlineStr">
        <is>
          <t>EPA1633 &amp; diPAPs Calibration 20 ppb</t>
        </is>
      </c>
      <c r="D1095" t="n">
        <v>11.74</v>
      </c>
      <c r="E1095" t="n">
        <v>4085.335</v>
      </c>
      <c r="G1095" t="n">
        <v>635.8579999999999</v>
      </c>
      <c r="H1095" t="inlineStr">
        <is>
          <t>bb</t>
        </is>
      </c>
      <c r="I1095" t="n">
        <v>4085.335</v>
      </c>
    </row>
    <row r="1096">
      <c r="A1096" t="n">
        <v>9</v>
      </c>
      <c r="B1096" t="inlineStr">
        <is>
          <t>MeOH</t>
        </is>
      </c>
    </row>
    <row r="1097">
      <c r="A1097" t="n">
        <v>10</v>
      </c>
      <c r="B1097" t="inlineStr">
        <is>
          <t>MeOH</t>
        </is>
      </c>
      <c r="D1097" t="n">
        <v>12.11</v>
      </c>
      <c r="E1097" t="n">
        <v>0.387</v>
      </c>
      <c r="G1097" t="n">
        <v>3</v>
      </c>
      <c r="H1097" t="inlineStr">
        <is>
          <t>bb</t>
        </is>
      </c>
      <c r="I1097" t="n">
        <v>0.387</v>
      </c>
    </row>
    <row r="1098">
      <c r="A1098" t="n">
        <v>11</v>
      </c>
      <c r="B1098" t="inlineStr">
        <is>
          <t>SB1</t>
        </is>
      </c>
      <c r="D1098" t="n">
        <v>11.78</v>
      </c>
      <c r="E1098" t="n">
        <v>2279.295</v>
      </c>
      <c r="G1098" t="n">
        <v>178.908</v>
      </c>
      <c r="H1098" t="inlineStr">
        <is>
          <t>bb</t>
        </is>
      </c>
      <c r="I1098" t="n">
        <v>2279.295</v>
      </c>
    </row>
    <row r="1099">
      <c r="A1099" t="n">
        <v>12</v>
      </c>
      <c r="B1099" t="inlineStr">
        <is>
          <t>SB2</t>
        </is>
      </c>
      <c r="D1099" t="n">
        <v>11.79</v>
      </c>
      <c r="E1099" t="n">
        <v>1867.98</v>
      </c>
      <c r="G1099" t="n">
        <v>13213</v>
      </c>
      <c r="H1099" t="inlineStr">
        <is>
          <t>bb</t>
        </is>
      </c>
      <c r="I1099" t="n">
        <v>1867.98</v>
      </c>
    </row>
    <row r="1100">
      <c r="A1100" t="n">
        <v>13</v>
      </c>
      <c r="B1100" t="inlineStr">
        <is>
          <t>SB3</t>
        </is>
      </c>
      <c r="D1100" t="n">
        <v>11.79</v>
      </c>
      <c r="E1100" t="n">
        <v>2433.947</v>
      </c>
      <c r="G1100" t="n">
        <v>17815</v>
      </c>
      <c r="H1100" t="inlineStr">
        <is>
          <t>bb</t>
        </is>
      </c>
      <c r="I1100" t="n">
        <v>2433.947</v>
      </c>
    </row>
    <row r="1101">
      <c r="A1101" t="n">
        <v>14</v>
      </c>
      <c r="B1101" t="inlineStr">
        <is>
          <t>SS1</t>
        </is>
      </c>
      <c r="D1101" t="n">
        <v>11.82</v>
      </c>
      <c r="E1101" t="n">
        <v>1891.288</v>
      </c>
      <c r="G1101" t="n">
        <v>14572</v>
      </c>
      <c r="H1101" t="inlineStr">
        <is>
          <t>bb</t>
        </is>
      </c>
      <c r="I1101" t="n">
        <v>1891.288</v>
      </c>
    </row>
    <row r="1102">
      <c r="A1102" t="n">
        <v>15</v>
      </c>
      <c r="B1102" t="inlineStr">
        <is>
          <t>SS2</t>
        </is>
      </c>
      <c r="D1102" t="n">
        <v>11.82</v>
      </c>
      <c r="E1102" t="n">
        <v>2122.039</v>
      </c>
      <c r="G1102" t="n">
        <v>11.821</v>
      </c>
      <c r="H1102" t="inlineStr">
        <is>
          <t>bb</t>
        </is>
      </c>
      <c r="I1102" t="n">
        <v>2122.039</v>
      </c>
    </row>
    <row r="1103">
      <c r="A1103" t="n">
        <v>16</v>
      </c>
      <c r="B1103" t="inlineStr">
        <is>
          <t>SS3</t>
        </is>
      </c>
      <c r="D1103" t="n">
        <v>11.85</v>
      </c>
      <c r="E1103" t="n">
        <v>2556.434</v>
      </c>
      <c r="G1103" t="n">
        <v>18806</v>
      </c>
      <c r="H1103" t="inlineStr">
        <is>
          <t>bb</t>
        </is>
      </c>
      <c r="I1103" t="n">
        <v>2556.434</v>
      </c>
    </row>
    <row r="1105">
      <c r="A1105" t="inlineStr">
        <is>
          <t>Compound 56:  7:3 FTCA 1</t>
        </is>
      </c>
    </row>
    <row r="1107">
      <c r="B1107" t="inlineStr">
        <is>
          <t>Sample Text</t>
        </is>
      </c>
      <c r="C1107" t="inlineStr">
        <is>
          <t>Std. Conc</t>
        </is>
      </c>
      <c r="D1107" t="inlineStr">
        <is>
          <t>RT</t>
        </is>
      </c>
      <c r="E1107" t="inlineStr">
        <is>
          <t>Area</t>
        </is>
      </c>
      <c r="F1107" t="inlineStr">
        <is>
          <t>IS Area</t>
        </is>
      </c>
      <c r="G1107" t="inlineStr">
        <is>
          <t>S/N</t>
        </is>
      </c>
      <c r="H1107" t="inlineStr">
        <is>
          <t>Primary Flags</t>
        </is>
      </c>
      <c r="I1107" t="inlineStr">
        <is>
          <t>Response</t>
        </is>
      </c>
      <c r="J1107" t="inlineStr">
        <is>
          <t>Conc.</t>
        </is>
      </c>
    </row>
    <row r="1108">
      <c r="A1108" t="n">
        <v>1</v>
      </c>
      <c r="B1108" t="inlineStr">
        <is>
          <t>EPA1633 &amp; diPAPs Calibration 0 ppb</t>
        </is>
      </c>
      <c r="D1108" t="n">
        <v>13.23</v>
      </c>
      <c r="E1108" t="n">
        <v>1694.257</v>
      </c>
      <c r="F1108" t="n">
        <v>300.866</v>
      </c>
      <c r="G1108" t="n">
        <v>10654</v>
      </c>
      <c r="H1108" t="inlineStr">
        <is>
          <t>bb</t>
        </is>
      </c>
    </row>
    <row r="1109">
      <c r="A1109" t="n">
        <v>2</v>
      </c>
      <c r="B1109" t="inlineStr">
        <is>
          <t>EPA1633 &amp; diPAPs Calibration 0.02 ppb</t>
        </is>
      </c>
      <c r="D1109" t="n">
        <v>13.26</v>
      </c>
      <c r="E1109" t="n">
        <v>2473.444</v>
      </c>
      <c r="F1109" t="n">
        <v>321.662</v>
      </c>
      <c r="G1109" t="n">
        <v>25.135</v>
      </c>
      <c r="H1109" t="inlineStr">
        <is>
          <t>bb</t>
        </is>
      </c>
    </row>
    <row r="1110">
      <c r="A1110" t="n">
        <v>3</v>
      </c>
      <c r="B1110" t="inlineStr">
        <is>
          <t>EPA1633 &amp; diPAPs Calibration 0.1 ppb</t>
        </is>
      </c>
      <c r="D1110" t="n">
        <v>13.26</v>
      </c>
      <c r="E1110" t="n">
        <v>5976.64</v>
      </c>
      <c r="F1110" t="n">
        <v>271.981</v>
      </c>
      <c r="G1110" t="n">
        <v>38973</v>
      </c>
      <c r="H1110" t="inlineStr">
        <is>
          <t>bb</t>
        </is>
      </c>
    </row>
    <row r="1111">
      <c r="A1111" t="n">
        <v>4</v>
      </c>
      <c r="B1111" t="inlineStr">
        <is>
          <t>EPA1633 &amp; diPAPs Calibration 0.4 ppb</t>
        </is>
      </c>
      <c r="D1111" t="n">
        <v>13.26</v>
      </c>
      <c r="E1111" t="n">
        <v>18215.34</v>
      </c>
      <c r="F1111" t="n">
        <v>575.192</v>
      </c>
      <c r="G1111" t="n">
        <v>112927</v>
      </c>
      <c r="H1111" t="inlineStr">
        <is>
          <t>bb</t>
        </is>
      </c>
    </row>
    <row r="1112">
      <c r="A1112" t="n">
        <v>5</v>
      </c>
      <c r="B1112" t="inlineStr">
        <is>
          <t>EPA1633 &amp; diPAPs Calibration 1 ppb</t>
        </is>
      </c>
      <c r="D1112" t="n">
        <v>13.28</v>
      </c>
      <c r="E1112" t="n">
        <v>31488.873</v>
      </c>
      <c r="F1112" t="n">
        <v>121.731</v>
      </c>
      <c r="G1112" t="n">
        <v>1490.741</v>
      </c>
      <c r="H1112" t="inlineStr">
        <is>
          <t>bb</t>
        </is>
      </c>
    </row>
    <row r="1113">
      <c r="A1113" t="n">
        <v>6</v>
      </c>
      <c r="B1113" t="inlineStr">
        <is>
          <t>EPA1633 &amp; diPAPs Calibration 5 ppb</t>
        </is>
      </c>
      <c r="D1113" t="n">
        <v>13.2</v>
      </c>
      <c r="E1113" t="n">
        <v>131775.313</v>
      </c>
      <c r="F1113" t="n">
        <v>630.125</v>
      </c>
      <c r="G1113" t="n">
        <v>3432.452</v>
      </c>
      <c r="H1113" t="inlineStr">
        <is>
          <t>bb</t>
        </is>
      </c>
    </row>
    <row r="1114">
      <c r="A1114" t="n">
        <v>7</v>
      </c>
      <c r="B1114" t="inlineStr">
        <is>
          <t>EPA1633 &amp; diPAPs Calibration 10 ppb</t>
        </is>
      </c>
      <c r="D1114" t="n">
        <v>13.21</v>
      </c>
      <c r="E1114" t="n">
        <v>230732.938</v>
      </c>
      <c r="F1114" t="n">
        <v>189.169</v>
      </c>
      <c r="G1114" t="n">
        <v>3647.747</v>
      </c>
      <c r="H1114" t="inlineStr">
        <is>
          <t>bb</t>
        </is>
      </c>
    </row>
    <row r="1115">
      <c r="A1115" t="n">
        <v>8</v>
      </c>
      <c r="B1115" t="inlineStr">
        <is>
          <t>EPA1633 &amp; diPAPs Calibration 20 ppb</t>
        </is>
      </c>
      <c r="D1115" t="n">
        <v>13.24</v>
      </c>
      <c r="E1115" t="n">
        <v>456151.25</v>
      </c>
      <c r="F1115" t="n">
        <v>34.629</v>
      </c>
      <c r="G1115" t="n">
        <v>3552.021</v>
      </c>
      <c r="H1115" t="inlineStr">
        <is>
          <t>bb</t>
        </is>
      </c>
    </row>
    <row r="1116">
      <c r="A1116" t="n">
        <v>9</v>
      </c>
      <c r="B1116" t="inlineStr">
        <is>
          <t>MeOH</t>
        </is>
      </c>
      <c r="D1116" t="n">
        <v>13.26</v>
      </c>
      <c r="E1116" t="n">
        <v>771.564</v>
      </c>
      <c r="G1116" t="n">
        <v>432.46</v>
      </c>
      <c r="H1116" t="inlineStr">
        <is>
          <t>bb</t>
        </is>
      </c>
    </row>
    <row r="1117">
      <c r="A1117" t="n">
        <v>10</v>
      </c>
      <c r="B1117" t="inlineStr">
        <is>
          <t>MeOH</t>
        </is>
      </c>
      <c r="D1117" t="n">
        <v>13.26</v>
      </c>
      <c r="E1117" t="n">
        <v>410.223</v>
      </c>
      <c r="G1117" t="n">
        <v>12.236</v>
      </c>
      <c r="H1117" t="inlineStr">
        <is>
          <t>bb</t>
        </is>
      </c>
    </row>
    <row r="1118">
      <c r="A1118" t="n">
        <v>11</v>
      </c>
      <c r="B1118" t="inlineStr">
        <is>
          <t>SB1</t>
        </is>
      </c>
      <c r="D1118" t="n">
        <v>13.29</v>
      </c>
      <c r="E1118" t="n">
        <v>165.528</v>
      </c>
      <c r="F1118" t="n">
        <v>61.924</v>
      </c>
      <c r="G1118" t="n">
        <v>5.625</v>
      </c>
      <c r="H1118" t="inlineStr">
        <is>
          <t>bb</t>
        </is>
      </c>
    </row>
    <row r="1119">
      <c r="A1119" t="n">
        <v>12</v>
      </c>
      <c r="B1119" t="inlineStr">
        <is>
          <t>SB2</t>
        </is>
      </c>
      <c r="D1119" t="n">
        <v>13.26</v>
      </c>
      <c r="E1119" t="n">
        <v>2.333</v>
      </c>
      <c r="F1119" t="n">
        <v>37.859</v>
      </c>
      <c r="G1119" t="n">
        <v>20</v>
      </c>
      <c r="H1119" t="inlineStr">
        <is>
          <t>bb</t>
        </is>
      </c>
    </row>
    <row r="1120">
      <c r="A1120" t="n">
        <v>13</v>
      </c>
      <c r="B1120" t="inlineStr">
        <is>
          <t>SB3</t>
        </is>
      </c>
      <c r="F1120" t="n">
        <v>151.1</v>
      </c>
    </row>
    <row r="1121">
      <c r="A1121" t="n">
        <v>14</v>
      </c>
      <c r="B1121" t="inlineStr">
        <is>
          <t>SS1</t>
        </is>
      </c>
      <c r="D1121" t="n">
        <v>13.31</v>
      </c>
      <c r="E1121" t="n">
        <v>77207.367</v>
      </c>
      <c r="F1121" t="n">
        <v>120.184</v>
      </c>
      <c r="G1121" t="n">
        <v>1733.472</v>
      </c>
      <c r="H1121" t="inlineStr">
        <is>
          <t>bb</t>
        </is>
      </c>
    </row>
    <row r="1122">
      <c r="A1122" t="n">
        <v>15</v>
      </c>
      <c r="B1122" t="inlineStr">
        <is>
          <t>SS2</t>
        </is>
      </c>
      <c r="D1122" t="n">
        <v>13.32</v>
      </c>
      <c r="E1122" t="n">
        <v>85687.25</v>
      </c>
      <c r="F1122" t="n">
        <v>140.114</v>
      </c>
      <c r="G1122" t="n">
        <v>1363.483</v>
      </c>
      <c r="H1122" t="inlineStr">
        <is>
          <t>bb</t>
        </is>
      </c>
    </row>
    <row r="1123">
      <c r="A1123" t="n">
        <v>16</v>
      </c>
      <c r="B1123" t="inlineStr">
        <is>
          <t>SS3</t>
        </is>
      </c>
      <c r="D1123" t="n">
        <v>13.32</v>
      </c>
      <c r="E1123" t="n">
        <v>75303.367</v>
      </c>
      <c r="F1123" t="n">
        <v>104.483</v>
      </c>
      <c r="G1123" t="n">
        <v>885.455</v>
      </c>
      <c r="H1123" t="inlineStr">
        <is>
          <t>bb</t>
        </is>
      </c>
    </row>
    <row r="1125">
      <c r="A1125" t="inlineStr">
        <is>
          <t>Compound 57:  7:3 FTCA 2</t>
        </is>
      </c>
    </row>
    <row r="1127">
      <c r="B1127" t="inlineStr">
        <is>
          <t>Sample Text</t>
        </is>
      </c>
      <c r="C1127" t="inlineStr">
        <is>
          <t>Std. Conc</t>
        </is>
      </c>
      <c r="D1127" t="inlineStr">
        <is>
          <t>RT</t>
        </is>
      </c>
      <c r="E1127" t="inlineStr">
        <is>
          <t>Area</t>
        </is>
      </c>
      <c r="F1127" t="inlineStr">
        <is>
          <t>IS Area</t>
        </is>
      </c>
      <c r="G1127" t="inlineStr">
        <is>
          <t>S/N</t>
        </is>
      </c>
      <c r="H1127" t="inlineStr">
        <is>
          <t>Primary Flags</t>
        </is>
      </c>
      <c r="I1127" t="inlineStr">
        <is>
          <t>Response</t>
        </is>
      </c>
      <c r="J1127" t="inlineStr">
        <is>
          <t>Conc.</t>
        </is>
      </c>
    </row>
    <row r="1128">
      <c r="A1128" t="n">
        <v>1</v>
      </c>
      <c r="B1128" t="inlineStr">
        <is>
          <t>EPA1633 &amp; diPAPs Calibration 0 ppb</t>
        </is>
      </c>
      <c r="D1128" t="n">
        <v>13.21</v>
      </c>
      <c r="E1128" t="n">
        <v>531.333</v>
      </c>
      <c r="F1128" t="n">
        <v>999.385</v>
      </c>
      <c r="G1128" t="n">
        <v>14.587</v>
      </c>
      <c r="H1128" t="inlineStr">
        <is>
          <t>bb</t>
        </is>
      </c>
    </row>
    <row r="1129">
      <c r="A1129" t="n">
        <v>2</v>
      </c>
      <c r="B1129" t="inlineStr">
        <is>
          <t>EPA1633 &amp; diPAPs Calibration 0.02 ppb</t>
        </is>
      </c>
      <c r="D1129" t="n">
        <v>13.26</v>
      </c>
      <c r="E1129" t="n">
        <v>958.515</v>
      </c>
      <c r="F1129" t="n">
        <v>573.056</v>
      </c>
      <c r="G1129" t="n">
        <v>6405</v>
      </c>
      <c r="H1129" t="inlineStr">
        <is>
          <t>bb</t>
        </is>
      </c>
    </row>
    <row r="1130">
      <c r="A1130" t="n">
        <v>3</v>
      </c>
      <c r="B1130" t="inlineStr">
        <is>
          <t>EPA1633 &amp; diPAPs Calibration 0.1 ppb</t>
        </is>
      </c>
      <c r="D1130" t="n">
        <v>13.26</v>
      </c>
      <c r="E1130" t="n">
        <v>2079.131</v>
      </c>
      <c r="F1130" t="n">
        <v>733.905</v>
      </c>
      <c r="G1130" t="n">
        <v>98.297</v>
      </c>
      <c r="H1130" t="inlineStr">
        <is>
          <t>bb</t>
        </is>
      </c>
    </row>
    <row r="1131">
      <c r="A1131" t="n">
        <v>4</v>
      </c>
      <c r="B1131" t="inlineStr">
        <is>
          <t>EPA1633 &amp; diPAPs Calibration 0.4 ppb</t>
        </is>
      </c>
      <c r="D1131" t="n">
        <v>13.26</v>
      </c>
      <c r="E1131" t="n">
        <v>6087.128</v>
      </c>
      <c r="F1131" t="n">
        <v>1000.62</v>
      </c>
      <c r="G1131" t="n">
        <v>36174</v>
      </c>
      <c r="H1131" t="inlineStr">
        <is>
          <t>bb</t>
        </is>
      </c>
    </row>
    <row r="1132">
      <c r="A1132" t="n">
        <v>5</v>
      </c>
      <c r="B1132" t="inlineStr">
        <is>
          <t>EPA1633 &amp; diPAPs Calibration 1 ppb</t>
        </is>
      </c>
      <c r="D1132" t="n">
        <v>13.28</v>
      </c>
      <c r="E1132" t="n">
        <v>10089.198</v>
      </c>
      <c r="F1132" t="n">
        <v>767.744</v>
      </c>
      <c r="G1132" t="n">
        <v>212.614</v>
      </c>
      <c r="H1132" t="inlineStr">
        <is>
          <t>bb</t>
        </is>
      </c>
    </row>
    <row r="1133">
      <c r="A1133" t="n">
        <v>6</v>
      </c>
      <c r="B1133" t="inlineStr">
        <is>
          <t>EPA1633 &amp; diPAPs Calibration 5 ppb</t>
        </is>
      </c>
      <c r="D1133" t="n">
        <v>13.2</v>
      </c>
      <c r="E1133" t="n">
        <v>44445.461</v>
      </c>
      <c r="F1133" t="n">
        <v>650.651</v>
      </c>
      <c r="G1133" t="n">
        <v>794.994</v>
      </c>
      <c r="H1133" t="inlineStr">
        <is>
          <t>bb</t>
        </is>
      </c>
    </row>
    <row r="1134">
      <c r="A1134" t="n">
        <v>7</v>
      </c>
      <c r="B1134" t="inlineStr">
        <is>
          <t>EPA1633 &amp; diPAPs Calibration 10 ppb</t>
        </is>
      </c>
      <c r="D1134" t="n">
        <v>13.21</v>
      </c>
      <c r="E1134" t="n">
        <v>79404.914</v>
      </c>
      <c r="F1134" t="n">
        <v>547.686</v>
      </c>
      <c r="G1134" t="n">
        <v>599.616</v>
      </c>
      <c r="H1134" t="inlineStr">
        <is>
          <t>bb</t>
        </is>
      </c>
    </row>
    <row r="1135">
      <c r="A1135" t="n">
        <v>8</v>
      </c>
      <c r="B1135" t="inlineStr">
        <is>
          <t>EPA1633 &amp; diPAPs Calibration 20 ppb</t>
        </is>
      </c>
      <c r="D1135" t="n">
        <v>13.23</v>
      </c>
      <c r="E1135" t="n">
        <v>150821.391</v>
      </c>
      <c r="F1135" t="n">
        <v>739.226</v>
      </c>
      <c r="G1135" t="n">
        <v>3347.477</v>
      </c>
      <c r="H1135" t="inlineStr">
        <is>
          <t>bb</t>
        </is>
      </c>
    </row>
    <row r="1136">
      <c r="A1136" t="n">
        <v>9</v>
      </c>
      <c r="B1136" t="inlineStr">
        <is>
          <t>MeOH</t>
        </is>
      </c>
      <c r="D1136" t="n">
        <v>13.24</v>
      </c>
      <c r="E1136" t="n">
        <v>177.35</v>
      </c>
      <c r="F1136" t="n">
        <v>12.649</v>
      </c>
      <c r="G1136" t="n">
        <v>1364</v>
      </c>
      <c r="H1136" t="inlineStr">
        <is>
          <t>bb</t>
        </is>
      </c>
    </row>
    <row r="1137">
      <c r="A1137" t="n">
        <v>10</v>
      </c>
      <c r="B1137" t="inlineStr">
        <is>
          <t>MeOH</t>
        </is>
      </c>
      <c r="D1137" t="n">
        <v>13.28</v>
      </c>
      <c r="E1137" t="n">
        <v>117.893</v>
      </c>
      <c r="F1137" t="n">
        <v>153.988</v>
      </c>
      <c r="G1137" t="n">
        <v>6.03</v>
      </c>
      <c r="H1137" t="inlineStr">
        <is>
          <t>bb</t>
        </is>
      </c>
    </row>
    <row r="1138">
      <c r="A1138" t="n">
        <v>11</v>
      </c>
      <c r="B1138" t="inlineStr">
        <is>
          <t>SB1</t>
        </is>
      </c>
      <c r="D1138" t="n">
        <v>13.31</v>
      </c>
      <c r="E1138" t="n">
        <v>93.092</v>
      </c>
      <c r="F1138" t="n">
        <v>78.959</v>
      </c>
      <c r="G1138" t="n">
        <v>3.426</v>
      </c>
      <c r="H1138" t="inlineStr">
        <is>
          <t>bb</t>
        </is>
      </c>
    </row>
    <row r="1139">
      <c r="A1139" t="n">
        <v>12</v>
      </c>
      <c r="B1139" t="inlineStr">
        <is>
          <t>SB2</t>
        </is>
      </c>
      <c r="F1139" t="n">
        <v>226.09</v>
      </c>
    </row>
    <row r="1140">
      <c r="A1140" t="n">
        <v>13</v>
      </c>
      <c r="B1140" t="inlineStr">
        <is>
          <t>SB3</t>
        </is>
      </c>
      <c r="F1140" t="n">
        <v>208.117</v>
      </c>
    </row>
    <row r="1141">
      <c r="A1141" t="n">
        <v>14</v>
      </c>
      <c r="B1141" t="inlineStr">
        <is>
          <t>SS1</t>
        </is>
      </c>
      <c r="D1141" t="n">
        <v>13.31</v>
      </c>
      <c r="E1141" t="n">
        <v>25797.387</v>
      </c>
      <c r="F1141" t="n">
        <v>255.416</v>
      </c>
      <c r="G1141" t="n">
        <v>970.654</v>
      </c>
      <c r="H1141" t="inlineStr">
        <is>
          <t>bb</t>
        </is>
      </c>
    </row>
    <row r="1142">
      <c r="A1142" t="n">
        <v>15</v>
      </c>
      <c r="B1142" t="inlineStr">
        <is>
          <t>SS2</t>
        </is>
      </c>
      <c r="D1142" t="n">
        <v>13.32</v>
      </c>
      <c r="E1142" t="n">
        <v>27394.631</v>
      </c>
      <c r="F1142" t="n">
        <v>196.185</v>
      </c>
      <c r="G1142" t="n">
        <v>182.739</v>
      </c>
      <c r="H1142" t="inlineStr">
        <is>
          <t>bb</t>
        </is>
      </c>
    </row>
    <row r="1143">
      <c r="A1143" t="n">
        <v>16</v>
      </c>
      <c r="B1143" t="inlineStr">
        <is>
          <t>SS3</t>
        </is>
      </c>
      <c r="D1143" t="n">
        <v>13.32</v>
      </c>
      <c r="E1143" t="n">
        <v>23621.74</v>
      </c>
      <c r="F1143" t="n">
        <v>226.935</v>
      </c>
      <c r="G1143" t="n">
        <v>2275.061</v>
      </c>
      <c r="H1143" t="inlineStr">
        <is>
          <t>bb</t>
        </is>
      </c>
    </row>
    <row r="1145">
      <c r="A1145" t="inlineStr">
        <is>
          <t>Compound 58:  NBP1 1</t>
        </is>
      </c>
    </row>
    <row r="1147">
      <c r="B1147" t="inlineStr">
        <is>
          <t>Sample Text</t>
        </is>
      </c>
      <c r="C1147" t="inlineStr">
        <is>
          <t>Std. Conc</t>
        </is>
      </c>
      <c r="D1147" t="inlineStr">
        <is>
          <t>RT</t>
        </is>
      </c>
      <c r="E1147" t="inlineStr">
        <is>
          <t>Area</t>
        </is>
      </c>
      <c r="F1147" t="inlineStr">
        <is>
          <t>IS Area</t>
        </is>
      </c>
      <c r="G1147" t="inlineStr">
        <is>
          <t>S/N</t>
        </is>
      </c>
      <c r="H1147" t="inlineStr">
        <is>
          <t>Primary Flags</t>
        </is>
      </c>
      <c r="I1147" t="inlineStr">
        <is>
          <t>Response</t>
        </is>
      </c>
      <c r="J1147" t="inlineStr">
        <is>
          <t>Conc.</t>
        </is>
      </c>
    </row>
    <row r="1148">
      <c r="A1148" t="n">
        <v>1</v>
      </c>
      <c r="B1148" t="inlineStr">
        <is>
          <t>EPA1633 &amp; diPAPs Calibration 0 ppb</t>
        </is>
      </c>
      <c r="D1148" t="n">
        <v>11.51</v>
      </c>
      <c r="E1148" t="n">
        <v>29.021</v>
      </c>
      <c r="G1148" t="n">
        <v>3.857</v>
      </c>
      <c r="H1148" t="inlineStr">
        <is>
          <t>MM</t>
        </is>
      </c>
      <c r="I1148" t="n">
        <v>29.021</v>
      </c>
    </row>
    <row r="1149">
      <c r="A1149" t="n">
        <v>2</v>
      </c>
      <c r="B1149" t="inlineStr">
        <is>
          <t>EPA1633 &amp; diPAPs Calibration 0.02 ppb</t>
        </is>
      </c>
      <c r="D1149" t="n">
        <v>11.59</v>
      </c>
      <c r="E1149" t="n">
        <v>18.079</v>
      </c>
      <c r="G1149" t="n">
        <v>0.76</v>
      </c>
      <c r="H1149" t="inlineStr">
        <is>
          <t>bb</t>
        </is>
      </c>
      <c r="I1149" t="n">
        <v>18.079</v>
      </c>
    </row>
    <row r="1150">
      <c r="A1150" t="n">
        <v>3</v>
      </c>
      <c r="B1150" t="inlineStr">
        <is>
          <t>EPA1633 &amp; diPAPs Calibration 0.1 ppb</t>
        </is>
      </c>
      <c r="D1150" t="n">
        <v>11.56</v>
      </c>
      <c r="E1150" t="n">
        <v>257.153</v>
      </c>
      <c r="G1150" t="n">
        <v>5.812</v>
      </c>
      <c r="H1150" t="inlineStr">
        <is>
          <t>bb</t>
        </is>
      </c>
      <c r="I1150" t="n">
        <v>257.153</v>
      </c>
    </row>
    <row r="1151">
      <c r="A1151" t="n">
        <v>4</v>
      </c>
      <c r="B1151" t="inlineStr">
        <is>
          <t>EPA1633 &amp; diPAPs Calibration 0.4 ppb</t>
        </is>
      </c>
      <c r="D1151" t="n">
        <v>11.56</v>
      </c>
      <c r="E1151" t="n">
        <v>889.227</v>
      </c>
      <c r="G1151" t="n">
        <v>37.122</v>
      </c>
      <c r="H1151" t="inlineStr">
        <is>
          <t>bb</t>
        </is>
      </c>
      <c r="I1151" t="n">
        <v>889.227</v>
      </c>
    </row>
    <row r="1152">
      <c r="A1152" t="n">
        <v>5</v>
      </c>
      <c r="B1152" t="inlineStr">
        <is>
          <t>EPA1633 &amp; diPAPs Calibration 1 ppb</t>
        </is>
      </c>
      <c r="D1152" t="n">
        <v>11.57</v>
      </c>
      <c r="E1152" t="n">
        <v>1541.285</v>
      </c>
      <c r="G1152" t="n">
        <v>51.701</v>
      </c>
      <c r="H1152" t="inlineStr">
        <is>
          <t>bb</t>
        </is>
      </c>
      <c r="I1152" t="n">
        <v>1541.285</v>
      </c>
    </row>
    <row r="1153">
      <c r="A1153" t="n">
        <v>6</v>
      </c>
      <c r="B1153" t="inlineStr">
        <is>
          <t>EPA1633 &amp; diPAPs Calibration 5 ppb</t>
        </is>
      </c>
      <c r="D1153" t="n">
        <v>11.46</v>
      </c>
      <c r="E1153" t="n">
        <v>5555.634</v>
      </c>
      <c r="G1153" t="n">
        <v>94.502</v>
      </c>
      <c r="H1153" t="inlineStr">
        <is>
          <t>MM</t>
        </is>
      </c>
      <c r="I1153" t="n">
        <v>5555.634</v>
      </c>
    </row>
    <row r="1154">
      <c r="A1154" t="n">
        <v>7</v>
      </c>
      <c r="B1154" t="inlineStr">
        <is>
          <t>EPA1633 &amp; diPAPs Calibration 10 ppb</t>
        </is>
      </c>
      <c r="D1154" t="n">
        <v>11.49</v>
      </c>
      <c r="E1154" t="n">
        <v>9949.161</v>
      </c>
      <c r="G1154" t="n">
        <v>228.799</v>
      </c>
      <c r="H1154" t="inlineStr">
        <is>
          <t>bb</t>
        </is>
      </c>
      <c r="I1154" t="n">
        <v>9949.161</v>
      </c>
    </row>
    <row r="1155">
      <c r="A1155" t="n">
        <v>8</v>
      </c>
      <c r="B1155" t="inlineStr">
        <is>
          <t>EPA1633 &amp; diPAPs Calibration 20 ppb</t>
        </is>
      </c>
      <c r="D1155" t="n">
        <v>11.53</v>
      </c>
      <c r="E1155" t="n">
        <v>20879.131</v>
      </c>
      <c r="G1155" t="n">
        <v>472.153</v>
      </c>
      <c r="H1155" t="inlineStr">
        <is>
          <t>bb</t>
        </is>
      </c>
      <c r="I1155" t="n">
        <v>20879.131</v>
      </c>
    </row>
    <row r="1156">
      <c r="A1156" t="n">
        <v>9</v>
      </c>
      <c r="B1156" t="inlineStr">
        <is>
          <t>MeOH</t>
        </is>
      </c>
      <c r="D1156" t="n">
        <v>11.17</v>
      </c>
      <c r="E1156" t="n">
        <v>13.497</v>
      </c>
      <c r="G1156" t="n">
        <v>1.32</v>
      </c>
      <c r="H1156" t="inlineStr">
        <is>
          <t>bb</t>
        </is>
      </c>
      <c r="I1156" t="n">
        <v>13.497</v>
      </c>
    </row>
    <row r="1157">
      <c r="A1157" t="n">
        <v>10</v>
      </c>
      <c r="B1157" t="inlineStr">
        <is>
          <t>MeOH</t>
        </is>
      </c>
      <c r="D1157" t="n">
        <v>11.61</v>
      </c>
      <c r="E1157" t="n">
        <v>11.835</v>
      </c>
      <c r="G1157" t="n">
        <v>100</v>
      </c>
      <c r="H1157" t="inlineStr">
        <is>
          <t>bb</t>
        </is>
      </c>
      <c r="I1157" t="n">
        <v>11.835</v>
      </c>
    </row>
    <row r="1158">
      <c r="A1158" t="n">
        <v>11</v>
      </c>
      <c r="B1158" t="inlineStr">
        <is>
          <t>SB1</t>
        </is>
      </c>
    </row>
    <row r="1159">
      <c r="A1159" t="n">
        <v>12</v>
      </c>
      <c r="B1159" t="inlineStr">
        <is>
          <t>SB2</t>
        </is>
      </c>
      <c r="D1159" t="n">
        <v>11.84</v>
      </c>
      <c r="E1159" t="n">
        <v>2.338</v>
      </c>
      <c r="G1159" t="n">
        <v>22</v>
      </c>
      <c r="H1159" t="inlineStr">
        <is>
          <t>bb</t>
        </is>
      </c>
      <c r="I1159" t="n">
        <v>2.338</v>
      </c>
    </row>
    <row r="1160">
      <c r="A1160" t="n">
        <v>13</v>
      </c>
      <c r="B1160" t="inlineStr">
        <is>
          <t>SB3</t>
        </is>
      </c>
      <c r="D1160" t="n">
        <v>11.27</v>
      </c>
      <c r="E1160" t="n">
        <v>36.663</v>
      </c>
      <c r="G1160" t="n">
        <v>350</v>
      </c>
      <c r="H1160" t="inlineStr">
        <is>
          <t>bb</t>
        </is>
      </c>
      <c r="I1160" t="n">
        <v>36.663</v>
      </c>
    </row>
    <row r="1161">
      <c r="A1161" t="n">
        <v>14</v>
      </c>
      <c r="B1161" t="inlineStr">
        <is>
          <t>SS1</t>
        </is>
      </c>
      <c r="D1161" t="n">
        <v>11.6</v>
      </c>
      <c r="E1161" t="n">
        <v>3877.506</v>
      </c>
      <c r="G1161" t="n">
        <v>117.362</v>
      </c>
      <c r="H1161" t="inlineStr">
        <is>
          <t>bb</t>
        </is>
      </c>
      <c r="I1161" t="n">
        <v>3877.506</v>
      </c>
    </row>
    <row r="1162">
      <c r="A1162" t="n">
        <v>15</v>
      </c>
      <c r="B1162" t="inlineStr">
        <is>
          <t>SS2</t>
        </is>
      </c>
      <c r="D1162" t="n">
        <v>11.61</v>
      </c>
      <c r="E1162" t="n">
        <v>3750.636</v>
      </c>
      <c r="G1162" t="n">
        <v>74.76300000000001</v>
      </c>
      <c r="H1162" t="inlineStr">
        <is>
          <t>bb</t>
        </is>
      </c>
      <c r="I1162" t="n">
        <v>3750.636</v>
      </c>
    </row>
    <row r="1163">
      <c r="A1163" t="n">
        <v>16</v>
      </c>
      <c r="B1163" t="inlineStr">
        <is>
          <t>SS3</t>
        </is>
      </c>
      <c r="D1163" t="n">
        <v>11.61</v>
      </c>
      <c r="E1163" t="n">
        <v>4148.715</v>
      </c>
      <c r="G1163" t="n">
        <v>173.505</v>
      </c>
      <c r="H1163" t="inlineStr">
        <is>
          <t>bb</t>
        </is>
      </c>
      <c r="I1163" t="n">
        <v>4148.715</v>
      </c>
    </row>
    <row r="1165">
      <c r="A1165" t="inlineStr">
        <is>
          <t>Compound 59:  NBP1 2</t>
        </is>
      </c>
    </row>
    <row r="1167">
      <c r="B1167" t="inlineStr">
        <is>
          <t>Sample Text</t>
        </is>
      </c>
      <c r="C1167" t="inlineStr">
        <is>
          <t>Std. Conc</t>
        </is>
      </c>
      <c r="D1167" t="inlineStr">
        <is>
          <t>RT</t>
        </is>
      </c>
      <c r="E1167" t="inlineStr">
        <is>
          <t>Area</t>
        </is>
      </c>
      <c r="F1167" t="inlineStr">
        <is>
          <t>IS Area</t>
        </is>
      </c>
      <c r="G1167" t="inlineStr">
        <is>
          <t>S/N</t>
        </is>
      </c>
      <c r="H1167" t="inlineStr">
        <is>
          <t>Primary Flags</t>
        </is>
      </c>
      <c r="I1167" t="inlineStr">
        <is>
          <t>Response</t>
        </is>
      </c>
      <c r="J1167" t="inlineStr">
        <is>
          <t>Conc.</t>
        </is>
      </c>
    </row>
    <row r="1168">
      <c r="A1168" t="n">
        <v>1</v>
      </c>
      <c r="B1168" t="inlineStr">
        <is>
          <t>EPA1633 &amp; diPAPs Calibration 0 ppb</t>
        </is>
      </c>
      <c r="D1168" t="n">
        <v>11.52</v>
      </c>
      <c r="E1168" t="n">
        <v>194.964</v>
      </c>
      <c r="G1168" t="n">
        <v>1627</v>
      </c>
      <c r="H1168" t="inlineStr">
        <is>
          <t>bb</t>
        </is>
      </c>
      <c r="I1168" t="n">
        <v>194.964</v>
      </c>
    </row>
    <row r="1169">
      <c r="A1169" t="n">
        <v>2</v>
      </c>
      <c r="B1169" t="inlineStr">
        <is>
          <t>EPA1633 &amp; diPAPs Calibration 0.02 ppb</t>
        </is>
      </c>
      <c r="D1169" t="n">
        <v>11.56</v>
      </c>
      <c r="E1169" t="n">
        <v>923.289</v>
      </c>
      <c r="G1169" t="n">
        <v>809.573</v>
      </c>
      <c r="H1169" t="inlineStr">
        <is>
          <t>bb</t>
        </is>
      </c>
      <c r="I1169" t="n">
        <v>923.289</v>
      </c>
    </row>
    <row r="1170">
      <c r="A1170" t="n">
        <v>3</v>
      </c>
      <c r="B1170" t="inlineStr">
        <is>
          <t>EPA1633 &amp; diPAPs Calibration 0.1 ppb</t>
        </is>
      </c>
      <c r="D1170" t="n">
        <v>11.56</v>
      </c>
      <c r="E1170" t="n">
        <v>733.72</v>
      </c>
      <c r="G1170" t="n">
        <v>4586</v>
      </c>
      <c r="H1170" t="inlineStr">
        <is>
          <t>bb</t>
        </is>
      </c>
      <c r="I1170" t="n">
        <v>733.72</v>
      </c>
    </row>
    <row r="1171">
      <c r="A1171" t="n">
        <v>4</v>
      </c>
      <c r="B1171" t="inlineStr">
        <is>
          <t>EPA1633 &amp; diPAPs Calibration 0.4 ppb</t>
        </is>
      </c>
      <c r="D1171" t="n">
        <v>11.56</v>
      </c>
      <c r="E1171" t="n">
        <v>3804.713</v>
      </c>
      <c r="G1171" t="n">
        <v>34.609</v>
      </c>
      <c r="H1171" t="inlineStr">
        <is>
          <t>bb</t>
        </is>
      </c>
      <c r="I1171" t="n">
        <v>3804.713</v>
      </c>
    </row>
    <row r="1172">
      <c r="A1172" t="n">
        <v>5</v>
      </c>
      <c r="B1172" t="inlineStr">
        <is>
          <t>EPA1633 &amp; diPAPs Calibration 1 ppb</t>
        </is>
      </c>
      <c r="D1172" t="n">
        <v>11.57</v>
      </c>
      <c r="E1172" t="n">
        <v>6137.07</v>
      </c>
      <c r="G1172" t="n">
        <v>1302.585</v>
      </c>
      <c r="H1172" t="inlineStr">
        <is>
          <t>bb</t>
        </is>
      </c>
      <c r="I1172" t="n">
        <v>6137.07</v>
      </c>
    </row>
    <row r="1173">
      <c r="A1173" t="n">
        <v>6</v>
      </c>
      <c r="B1173" t="inlineStr">
        <is>
          <t>EPA1633 &amp; diPAPs Calibration 5 ppb</t>
        </is>
      </c>
      <c r="D1173" t="n">
        <v>11.46</v>
      </c>
      <c r="E1173" t="n">
        <v>26769.188</v>
      </c>
      <c r="G1173" t="n">
        <v>200802</v>
      </c>
      <c r="H1173" t="inlineStr">
        <is>
          <t>bb</t>
        </is>
      </c>
      <c r="I1173" t="n">
        <v>26769.188</v>
      </c>
    </row>
    <row r="1174">
      <c r="A1174" t="n">
        <v>7</v>
      </c>
      <c r="B1174" t="inlineStr">
        <is>
          <t>EPA1633 &amp; diPAPs Calibration 10 ppb</t>
        </is>
      </c>
      <c r="D1174" t="n">
        <v>11.49</v>
      </c>
      <c r="E1174" t="n">
        <v>48568.988</v>
      </c>
      <c r="G1174" t="n">
        <v>1938.638</v>
      </c>
      <c r="H1174" t="inlineStr">
        <is>
          <t>bb</t>
        </is>
      </c>
      <c r="I1174" t="n">
        <v>48568.988</v>
      </c>
    </row>
    <row r="1175">
      <c r="A1175" t="n">
        <v>8</v>
      </c>
      <c r="B1175" t="inlineStr">
        <is>
          <t>EPA1633 &amp; diPAPs Calibration 20 ppb</t>
        </is>
      </c>
      <c r="D1175" t="n">
        <v>11.53</v>
      </c>
      <c r="E1175" t="n">
        <v>98993.898</v>
      </c>
      <c r="G1175" t="n">
        <v>3633.145</v>
      </c>
      <c r="H1175" t="inlineStr">
        <is>
          <t>bb</t>
        </is>
      </c>
      <c r="I1175" t="n">
        <v>98993.898</v>
      </c>
    </row>
    <row r="1176">
      <c r="A1176" t="n">
        <v>9</v>
      </c>
      <c r="B1176" t="inlineStr">
        <is>
          <t>MeOH</t>
        </is>
      </c>
      <c r="D1176" t="n">
        <v>11.55</v>
      </c>
      <c r="E1176" t="n">
        <v>69.694</v>
      </c>
      <c r="G1176" t="n">
        <v>8.555999999999999</v>
      </c>
      <c r="H1176" t="inlineStr">
        <is>
          <t>bb</t>
        </is>
      </c>
      <c r="I1176" t="n">
        <v>69.694</v>
      </c>
    </row>
    <row r="1177">
      <c r="A1177" t="n">
        <v>10</v>
      </c>
      <c r="B1177" t="inlineStr">
        <is>
          <t>MeOH</t>
        </is>
      </c>
      <c r="D1177" t="n">
        <v>11.56</v>
      </c>
      <c r="E1177" t="n">
        <v>235.791</v>
      </c>
      <c r="G1177" t="n">
        <v>7.641</v>
      </c>
      <c r="H1177" t="inlineStr">
        <is>
          <t>bb</t>
        </is>
      </c>
      <c r="I1177" t="n">
        <v>235.791</v>
      </c>
    </row>
    <row r="1178">
      <c r="A1178" t="n">
        <v>11</v>
      </c>
      <c r="B1178" t="inlineStr">
        <is>
          <t>SB1</t>
        </is>
      </c>
      <c r="D1178" t="n">
        <v>11.56</v>
      </c>
      <c r="E1178" t="n">
        <v>78.72799999999999</v>
      </c>
      <c r="G1178" t="n">
        <v>657</v>
      </c>
      <c r="H1178" t="inlineStr">
        <is>
          <t>bb</t>
        </is>
      </c>
      <c r="I1178" t="n">
        <v>78.72799999999999</v>
      </c>
    </row>
    <row r="1179">
      <c r="A1179" t="n">
        <v>12</v>
      </c>
      <c r="B1179" t="inlineStr">
        <is>
          <t>SB2</t>
        </is>
      </c>
      <c r="D1179" t="n">
        <v>11.61</v>
      </c>
      <c r="E1179" t="n">
        <v>6.774</v>
      </c>
      <c r="G1179" t="n">
        <v>41</v>
      </c>
      <c r="H1179" t="inlineStr">
        <is>
          <t>bb</t>
        </is>
      </c>
      <c r="I1179" t="n">
        <v>6.774</v>
      </c>
    </row>
    <row r="1180">
      <c r="A1180" t="n">
        <v>13</v>
      </c>
      <c r="B1180" t="inlineStr">
        <is>
          <t>SB3</t>
        </is>
      </c>
      <c r="D1180" t="n">
        <v>11.57</v>
      </c>
      <c r="E1180" t="n">
        <v>19.033</v>
      </c>
      <c r="G1180" t="n">
        <v>166</v>
      </c>
      <c r="H1180" t="inlineStr">
        <is>
          <t>bb</t>
        </is>
      </c>
      <c r="I1180" t="n">
        <v>19.033</v>
      </c>
    </row>
    <row r="1181">
      <c r="A1181" t="n">
        <v>14</v>
      </c>
      <c r="B1181" t="inlineStr">
        <is>
          <t>SS1</t>
        </is>
      </c>
      <c r="D1181" t="n">
        <v>11.6</v>
      </c>
      <c r="E1181" t="n">
        <v>19556.543</v>
      </c>
      <c r="G1181" t="n">
        <v>1272.246</v>
      </c>
      <c r="H1181" t="inlineStr">
        <is>
          <t>bb</t>
        </is>
      </c>
      <c r="I1181" t="n">
        <v>19556.543</v>
      </c>
    </row>
    <row r="1182">
      <c r="A1182" t="n">
        <v>15</v>
      </c>
      <c r="B1182" t="inlineStr">
        <is>
          <t>SS2</t>
        </is>
      </c>
      <c r="D1182" t="n">
        <v>11.61</v>
      </c>
      <c r="E1182" t="n">
        <v>20232.305</v>
      </c>
      <c r="G1182" t="n">
        <v>9720.161</v>
      </c>
      <c r="H1182" t="inlineStr">
        <is>
          <t>bb</t>
        </is>
      </c>
      <c r="I1182" t="n">
        <v>20232.305</v>
      </c>
    </row>
    <row r="1183">
      <c r="A1183" t="n">
        <v>16</v>
      </c>
      <c r="B1183" t="inlineStr">
        <is>
          <t>SS3</t>
        </is>
      </c>
      <c r="D1183" t="n">
        <v>11.63</v>
      </c>
      <c r="E1183" t="n">
        <v>18778.289</v>
      </c>
      <c r="G1183" t="n">
        <v>138846</v>
      </c>
      <c r="H1183" t="inlineStr">
        <is>
          <t>bb</t>
        </is>
      </c>
      <c r="I1183" t="n">
        <v>18778.289</v>
      </c>
    </row>
    <row r="1185">
      <c r="A1185" t="inlineStr">
        <is>
          <t>Compound 60:  PFHpS 1</t>
        </is>
      </c>
    </row>
    <row r="1187">
      <c r="B1187" t="inlineStr">
        <is>
          <t>Sample Text</t>
        </is>
      </c>
      <c r="C1187" t="inlineStr">
        <is>
          <t>Std. Conc</t>
        </is>
      </c>
      <c r="D1187" t="inlineStr">
        <is>
          <t>RT</t>
        </is>
      </c>
      <c r="E1187" t="inlineStr">
        <is>
          <t>Area</t>
        </is>
      </c>
      <c r="F1187" t="inlineStr">
        <is>
          <t>IS Area</t>
        </is>
      </c>
      <c r="G1187" t="inlineStr">
        <is>
          <t>S/N</t>
        </is>
      </c>
      <c r="H1187" t="inlineStr">
        <is>
          <t>Primary Flags</t>
        </is>
      </c>
      <c r="I1187" t="inlineStr">
        <is>
          <t>Response</t>
        </is>
      </c>
      <c r="J1187" t="inlineStr">
        <is>
          <t>Conc.</t>
        </is>
      </c>
    </row>
    <row r="1188">
      <c r="A1188" t="n">
        <v>1</v>
      </c>
      <c r="B1188" t="inlineStr">
        <is>
          <t>EPA1633 &amp; diPAPs Calibration 0 ppb</t>
        </is>
      </c>
      <c r="F1188" t="n">
        <v>16637.717</v>
      </c>
    </row>
    <row r="1189">
      <c r="A1189" t="n">
        <v>2</v>
      </c>
      <c r="B1189" t="inlineStr">
        <is>
          <t>EPA1633 &amp; diPAPs Calibration 0.02 ppb</t>
        </is>
      </c>
      <c r="D1189" t="n">
        <v>11.97</v>
      </c>
      <c r="E1189" t="n">
        <v>19.077</v>
      </c>
      <c r="F1189" t="n">
        <v>14442.151</v>
      </c>
      <c r="G1189" t="n">
        <v>175</v>
      </c>
      <c r="H1189" t="inlineStr">
        <is>
          <t>bb</t>
        </is>
      </c>
    </row>
    <row r="1190">
      <c r="A1190" t="n">
        <v>3</v>
      </c>
      <c r="B1190" t="inlineStr">
        <is>
          <t>EPA1633 &amp; diPAPs Calibration 0.1 ppb</t>
        </is>
      </c>
      <c r="D1190" t="n">
        <v>11.98</v>
      </c>
      <c r="E1190" t="n">
        <v>22.566</v>
      </c>
      <c r="F1190" t="n">
        <v>14939.226</v>
      </c>
      <c r="G1190" t="n">
        <v>206</v>
      </c>
      <c r="H1190" t="inlineStr">
        <is>
          <t>bb</t>
        </is>
      </c>
    </row>
    <row r="1191">
      <c r="A1191" t="n">
        <v>4</v>
      </c>
      <c r="B1191" t="inlineStr">
        <is>
          <t>EPA1633 &amp; diPAPs Calibration 0.4 ppb</t>
        </is>
      </c>
      <c r="D1191" t="n">
        <v>12.01</v>
      </c>
      <c r="E1191" t="n">
        <v>97.345</v>
      </c>
      <c r="F1191" t="n">
        <v>14017.551</v>
      </c>
      <c r="G1191" t="n">
        <v>755</v>
      </c>
      <c r="H1191" t="inlineStr">
        <is>
          <t>bb</t>
        </is>
      </c>
    </row>
    <row r="1192">
      <c r="A1192" t="n">
        <v>5</v>
      </c>
      <c r="B1192" t="inlineStr">
        <is>
          <t>EPA1633 &amp; diPAPs Calibration 1 ppb</t>
        </is>
      </c>
      <c r="D1192" t="n">
        <v>12.04</v>
      </c>
      <c r="E1192" t="n">
        <v>201.055</v>
      </c>
      <c r="F1192" t="n">
        <v>15819.927</v>
      </c>
      <c r="G1192" t="n">
        <v>11.556</v>
      </c>
      <c r="H1192" t="inlineStr">
        <is>
          <t>MM</t>
        </is>
      </c>
    </row>
    <row r="1193">
      <c r="A1193" t="n">
        <v>6</v>
      </c>
      <c r="B1193" t="inlineStr">
        <is>
          <t>EPA1633 &amp; diPAPs Calibration 5 ppb</t>
        </is>
      </c>
      <c r="D1193" t="n">
        <v>11.91</v>
      </c>
      <c r="E1193" t="n">
        <v>1344.277</v>
      </c>
      <c r="F1193" t="n">
        <v>14259.822</v>
      </c>
      <c r="G1193" t="n">
        <v>43.997</v>
      </c>
      <c r="H1193" t="inlineStr">
        <is>
          <t>bb</t>
        </is>
      </c>
    </row>
    <row r="1194">
      <c r="A1194" t="n">
        <v>7</v>
      </c>
      <c r="B1194" t="inlineStr">
        <is>
          <t>EPA1633 &amp; diPAPs Calibration 10 ppb</t>
        </is>
      </c>
      <c r="D1194" t="n">
        <v>11.94</v>
      </c>
      <c r="E1194" t="n">
        <v>2955.396</v>
      </c>
      <c r="F1194" t="n">
        <v>11049.457</v>
      </c>
      <c r="G1194" t="n">
        <v>21932</v>
      </c>
      <c r="H1194" t="inlineStr">
        <is>
          <t>bb</t>
        </is>
      </c>
    </row>
    <row r="1195">
      <c r="A1195" t="n">
        <v>8</v>
      </c>
      <c r="B1195" t="inlineStr">
        <is>
          <t>EPA1633 &amp; diPAPs Calibration 20 ppb</t>
        </is>
      </c>
      <c r="D1195" t="n">
        <v>11.97</v>
      </c>
      <c r="E1195" t="n">
        <v>4788.935</v>
      </c>
      <c r="F1195" t="n">
        <v>12460.612</v>
      </c>
      <c r="G1195" t="n">
        <v>34766</v>
      </c>
      <c r="H1195" t="inlineStr">
        <is>
          <t>bb</t>
        </is>
      </c>
    </row>
    <row r="1196">
      <c r="A1196" t="n">
        <v>9</v>
      </c>
      <c r="B1196" t="inlineStr">
        <is>
          <t>MeOH</t>
        </is>
      </c>
      <c r="F1196" t="n">
        <v>4.973</v>
      </c>
    </row>
    <row r="1197">
      <c r="A1197" t="n">
        <v>10</v>
      </c>
      <c r="B1197" t="inlineStr">
        <is>
          <t>MeOH</t>
        </is>
      </c>
      <c r="F1197" t="n">
        <v>0.6820000000000001</v>
      </c>
    </row>
    <row r="1198">
      <c r="A1198" t="n">
        <v>11</v>
      </c>
      <c r="B1198" t="inlineStr">
        <is>
          <t>SB1</t>
        </is>
      </c>
      <c r="F1198" t="n">
        <v>6414.278</v>
      </c>
    </row>
    <row r="1199">
      <c r="A1199" t="n">
        <v>12</v>
      </c>
      <c r="B1199" t="inlineStr">
        <is>
          <t>SB2</t>
        </is>
      </c>
      <c r="D1199" t="n">
        <v>12.15</v>
      </c>
      <c r="E1199" t="n">
        <v>10.161</v>
      </c>
      <c r="F1199" t="n">
        <v>5459.898</v>
      </c>
      <c r="G1199" t="n">
        <v>90</v>
      </c>
      <c r="H1199" t="inlineStr">
        <is>
          <t>bb</t>
        </is>
      </c>
    </row>
    <row r="1200">
      <c r="A1200" t="n">
        <v>13</v>
      </c>
      <c r="B1200" t="inlineStr">
        <is>
          <t>SB3</t>
        </is>
      </c>
      <c r="F1200" t="n">
        <v>5569.052</v>
      </c>
    </row>
    <row r="1201">
      <c r="A1201" t="n">
        <v>14</v>
      </c>
      <c r="B1201" t="inlineStr">
        <is>
          <t>SS1</t>
        </is>
      </c>
      <c r="D1201" t="n">
        <v>12.05</v>
      </c>
      <c r="E1201" t="n">
        <v>685.371</v>
      </c>
      <c r="F1201" t="n">
        <v>5405.744</v>
      </c>
      <c r="G1201" t="n">
        <v>118.744</v>
      </c>
      <c r="H1201" t="inlineStr">
        <is>
          <t>bb</t>
        </is>
      </c>
    </row>
    <row r="1202">
      <c r="A1202" t="n">
        <v>15</v>
      </c>
      <c r="B1202" t="inlineStr">
        <is>
          <t>SS2</t>
        </is>
      </c>
      <c r="D1202" t="n">
        <v>12.05</v>
      </c>
      <c r="E1202" t="n">
        <v>775.087</v>
      </c>
      <c r="F1202" t="n">
        <v>5358.604</v>
      </c>
      <c r="G1202" t="n">
        <v>5491</v>
      </c>
      <c r="H1202" t="inlineStr">
        <is>
          <t>bb</t>
        </is>
      </c>
    </row>
    <row r="1203">
      <c r="A1203" t="n">
        <v>16</v>
      </c>
      <c r="B1203" t="inlineStr">
        <is>
          <t>SS3</t>
        </is>
      </c>
      <c r="D1203" t="n">
        <v>12.05</v>
      </c>
      <c r="E1203" t="n">
        <v>542.578</v>
      </c>
      <c r="F1203" t="n">
        <v>5299.512</v>
      </c>
      <c r="G1203" t="n">
        <v>3685</v>
      </c>
      <c r="H1203" t="inlineStr">
        <is>
          <t>bb</t>
        </is>
      </c>
    </row>
    <row r="1205">
      <c r="A1205" t="inlineStr">
        <is>
          <t>Compound 61:  PFHpS 2</t>
        </is>
      </c>
    </row>
    <row r="1207">
      <c r="B1207" t="inlineStr">
        <is>
          <t>Sample Text</t>
        </is>
      </c>
      <c r="C1207" t="inlineStr">
        <is>
          <t>Std. Conc</t>
        </is>
      </c>
      <c r="D1207" t="inlineStr">
        <is>
          <t>RT</t>
        </is>
      </c>
      <c r="E1207" t="inlineStr">
        <is>
          <t>Area</t>
        </is>
      </c>
      <c r="F1207" t="inlineStr">
        <is>
          <t>IS Area</t>
        </is>
      </c>
      <c r="G1207" t="inlineStr">
        <is>
          <t>S/N</t>
        </is>
      </c>
      <c r="H1207" t="inlineStr">
        <is>
          <t>Primary Flags</t>
        </is>
      </c>
      <c r="I1207" t="inlineStr">
        <is>
          <t>Response</t>
        </is>
      </c>
      <c r="J1207" t="inlineStr">
        <is>
          <t>Conc.</t>
        </is>
      </c>
    </row>
    <row r="1208">
      <c r="A1208" t="n">
        <v>1</v>
      </c>
      <c r="B1208" t="inlineStr">
        <is>
          <t>EPA1633 &amp; diPAPs Calibration 0 ppb</t>
        </is>
      </c>
      <c r="D1208" t="n">
        <v>11.7</v>
      </c>
      <c r="E1208" t="n">
        <v>8.904</v>
      </c>
      <c r="F1208" t="n">
        <v>16637.717</v>
      </c>
      <c r="G1208" t="n">
        <v>0.57</v>
      </c>
      <c r="H1208" t="inlineStr">
        <is>
          <t>bb</t>
        </is>
      </c>
    </row>
    <row r="1209">
      <c r="A1209" t="n">
        <v>2</v>
      </c>
      <c r="B1209" t="inlineStr">
        <is>
          <t>EPA1633 &amp; diPAPs Calibration 0.02 ppb</t>
        </is>
      </c>
      <c r="D1209" t="n">
        <v>11.98</v>
      </c>
      <c r="E1209" t="n">
        <v>3.918</v>
      </c>
      <c r="F1209" t="n">
        <v>14442.151</v>
      </c>
      <c r="G1209" t="n">
        <v>0.273</v>
      </c>
      <c r="H1209" t="inlineStr">
        <is>
          <t>MM</t>
        </is>
      </c>
    </row>
    <row r="1210">
      <c r="A1210" t="n">
        <v>3</v>
      </c>
      <c r="B1210" t="inlineStr">
        <is>
          <t>EPA1633 &amp; diPAPs Calibration 0.1 ppb</t>
        </is>
      </c>
      <c r="D1210" t="n">
        <v>11.95</v>
      </c>
      <c r="E1210" t="n">
        <v>55.971</v>
      </c>
      <c r="F1210" t="n">
        <v>14939.226</v>
      </c>
      <c r="G1210" t="n">
        <v>487</v>
      </c>
      <c r="H1210" t="inlineStr">
        <is>
          <t>MM</t>
        </is>
      </c>
    </row>
    <row r="1211">
      <c r="A1211" t="n">
        <v>4</v>
      </c>
      <c r="B1211" t="inlineStr">
        <is>
          <t>EPA1633 &amp; diPAPs Calibration 0.4 ppb</t>
        </is>
      </c>
      <c r="D1211" t="n">
        <v>12.01</v>
      </c>
      <c r="E1211" t="n">
        <v>188.639</v>
      </c>
      <c r="F1211" t="n">
        <v>14017.551</v>
      </c>
      <c r="G1211" t="n">
        <v>28.157</v>
      </c>
      <c r="H1211" t="inlineStr">
        <is>
          <t>MM</t>
        </is>
      </c>
    </row>
    <row r="1212">
      <c r="A1212" t="n">
        <v>5</v>
      </c>
      <c r="B1212" t="inlineStr">
        <is>
          <t>EPA1633 &amp; diPAPs Calibration 1 ppb</t>
        </is>
      </c>
      <c r="D1212" t="n">
        <v>11.99</v>
      </c>
      <c r="E1212" t="n">
        <v>353.496</v>
      </c>
      <c r="F1212" t="n">
        <v>15819.927</v>
      </c>
      <c r="G1212" t="n">
        <v>2569</v>
      </c>
      <c r="H1212" t="inlineStr">
        <is>
          <t>bb</t>
        </is>
      </c>
    </row>
    <row r="1213">
      <c r="A1213" t="n">
        <v>6</v>
      </c>
      <c r="B1213" t="inlineStr">
        <is>
          <t>EPA1633 &amp; diPAPs Calibration 5 ppb</t>
        </is>
      </c>
      <c r="D1213" t="n">
        <v>11.91</v>
      </c>
      <c r="E1213" t="n">
        <v>864.218</v>
      </c>
      <c r="F1213" t="n">
        <v>14259.822</v>
      </c>
      <c r="G1213" t="n">
        <v>147.787</v>
      </c>
      <c r="H1213" t="inlineStr">
        <is>
          <t>bb</t>
        </is>
      </c>
    </row>
    <row r="1214">
      <c r="A1214" t="n">
        <v>7</v>
      </c>
      <c r="B1214" t="inlineStr">
        <is>
          <t>EPA1633 &amp; diPAPs Calibration 10 ppb</t>
        </is>
      </c>
      <c r="D1214" t="n">
        <v>11.92</v>
      </c>
      <c r="E1214" t="n">
        <v>2393.051</v>
      </c>
      <c r="F1214" t="n">
        <v>11049.457</v>
      </c>
      <c r="G1214" t="n">
        <v>78.828</v>
      </c>
      <c r="H1214" t="inlineStr">
        <is>
          <t>bb</t>
        </is>
      </c>
    </row>
    <row r="1215">
      <c r="A1215" t="n">
        <v>8</v>
      </c>
      <c r="B1215" t="inlineStr">
        <is>
          <t>EPA1633 &amp; diPAPs Calibration 20 ppb</t>
        </is>
      </c>
      <c r="D1215" t="n">
        <v>11.97</v>
      </c>
      <c r="E1215" t="n">
        <v>4145.67</v>
      </c>
      <c r="F1215" t="n">
        <v>12460.612</v>
      </c>
      <c r="G1215" t="n">
        <v>195.978</v>
      </c>
      <c r="H1215" t="inlineStr">
        <is>
          <t>bb</t>
        </is>
      </c>
    </row>
    <row r="1216">
      <c r="A1216" t="n">
        <v>9</v>
      </c>
      <c r="B1216" t="inlineStr">
        <is>
          <t>MeOH</t>
        </is>
      </c>
      <c r="D1216" t="n">
        <v>11.68</v>
      </c>
      <c r="E1216" t="n">
        <v>4.675</v>
      </c>
      <c r="F1216" t="n">
        <v>4.973</v>
      </c>
      <c r="G1216" t="n">
        <v>46</v>
      </c>
      <c r="H1216" t="inlineStr">
        <is>
          <t>bb</t>
        </is>
      </c>
    </row>
    <row r="1217">
      <c r="A1217" t="n">
        <v>10</v>
      </c>
      <c r="B1217" t="inlineStr">
        <is>
          <t>MeOH</t>
        </is>
      </c>
      <c r="D1217" t="n">
        <v>11.74</v>
      </c>
      <c r="E1217" t="n">
        <v>8.326000000000001</v>
      </c>
      <c r="F1217" t="n">
        <v>0.6820000000000001</v>
      </c>
      <c r="G1217" t="n">
        <v>8.32</v>
      </c>
      <c r="H1217" t="inlineStr">
        <is>
          <t>bb</t>
        </is>
      </c>
    </row>
    <row r="1218">
      <c r="A1218" t="n">
        <v>11</v>
      </c>
      <c r="B1218" t="inlineStr">
        <is>
          <t>SB1</t>
        </is>
      </c>
      <c r="D1218" t="n">
        <v>12.48</v>
      </c>
      <c r="E1218" t="n">
        <v>1.057</v>
      </c>
      <c r="F1218" t="n">
        <v>6414.278</v>
      </c>
      <c r="G1218" t="n">
        <v>10</v>
      </c>
      <c r="H1218" t="inlineStr">
        <is>
          <t>bb</t>
        </is>
      </c>
    </row>
    <row r="1219">
      <c r="A1219" t="n">
        <v>12</v>
      </c>
      <c r="B1219" t="inlineStr">
        <is>
          <t>SB2</t>
        </is>
      </c>
      <c r="D1219" t="n">
        <v>12.04</v>
      </c>
      <c r="E1219" t="n">
        <v>0.591</v>
      </c>
      <c r="F1219" t="n">
        <v>5459.898</v>
      </c>
      <c r="G1219" t="n">
        <v>5</v>
      </c>
      <c r="H1219" t="inlineStr">
        <is>
          <t>MM</t>
        </is>
      </c>
    </row>
    <row r="1220">
      <c r="A1220" t="n">
        <v>13</v>
      </c>
      <c r="B1220" t="inlineStr">
        <is>
          <t>SB3</t>
        </is>
      </c>
      <c r="D1220" t="n">
        <v>12.41</v>
      </c>
      <c r="E1220" t="n">
        <v>9.17</v>
      </c>
      <c r="F1220" t="n">
        <v>5569.052</v>
      </c>
      <c r="G1220" t="n">
        <v>86</v>
      </c>
      <c r="H1220" t="inlineStr">
        <is>
          <t>bb</t>
        </is>
      </c>
    </row>
    <row r="1221">
      <c r="A1221" t="n">
        <v>14</v>
      </c>
      <c r="B1221" t="inlineStr">
        <is>
          <t>SS1</t>
        </is>
      </c>
      <c r="D1221" t="n">
        <v>12.04</v>
      </c>
      <c r="E1221" t="n">
        <v>904.127</v>
      </c>
      <c r="F1221" t="n">
        <v>5405.744</v>
      </c>
      <c r="G1221" t="n">
        <v>155.592</v>
      </c>
      <c r="H1221" t="inlineStr">
        <is>
          <t>bb</t>
        </is>
      </c>
    </row>
    <row r="1222">
      <c r="A1222" t="n">
        <v>15</v>
      </c>
      <c r="B1222" t="inlineStr">
        <is>
          <t>SS2</t>
        </is>
      </c>
      <c r="D1222" t="n">
        <v>12.07</v>
      </c>
      <c r="E1222" t="n">
        <v>922.801</v>
      </c>
      <c r="F1222" t="n">
        <v>5358.604</v>
      </c>
      <c r="G1222" t="n">
        <v>135.482</v>
      </c>
      <c r="H1222" t="inlineStr">
        <is>
          <t>bb</t>
        </is>
      </c>
    </row>
    <row r="1223">
      <c r="A1223" t="n">
        <v>16</v>
      </c>
      <c r="B1223" t="inlineStr">
        <is>
          <t>SS3</t>
        </is>
      </c>
      <c r="D1223" t="n">
        <v>12.05</v>
      </c>
      <c r="E1223" t="n">
        <v>870.918</v>
      </c>
      <c r="F1223" t="n">
        <v>5299.512</v>
      </c>
      <c r="G1223" t="n">
        <v>6559</v>
      </c>
      <c r="H1223" t="inlineStr">
        <is>
          <t>bb</t>
        </is>
      </c>
    </row>
    <row r="1225">
      <c r="A1225" t="inlineStr">
        <is>
          <t>Compound 62:  m2 8:2 FTUCA</t>
        </is>
      </c>
    </row>
    <row r="1227">
      <c r="B1227" t="inlineStr">
        <is>
          <t>Sample Text</t>
        </is>
      </c>
      <c r="C1227" t="inlineStr">
        <is>
          <t>Std. Conc</t>
        </is>
      </c>
      <c r="D1227" t="inlineStr">
        <is>
          <t>RT</t>
        </is>
      </c>
      <c r="E1227" t="inlineStr">
        <is>
          <t>Area</t>
        </is>
      </c>
      <c r="F1227" t="inlineStr">
        <is>
          <t>IS Area</t>
        </is>
      </c>
      <c r="G1227" t="inlineStr">
        <is>
          <t>S/N</t>
        </is>
      </c>
      <c r="H1227" t="inlineStr">
        <is>
          <t>Primary Flags</t>
        </is>
      </c>
      <c r="I1227" t="inlineStr">
        <is>
          <t>Response</t>
        </is>
      </c>
      <c r="J1227" t="inlineStr">
        <is>
          <t>Conc.</t>
        </is>
      </c>
    </row>
    <row r="1228">
      <c r="A1228" t="n">
        <v>1</v>
      </c>
      <c r="B1228" t="inlineStr">
        <is>
          <t>EPA1633 &amp; diPAPs Calibration 0 ppb</t>
        </is>
      </c>
      <c r="D1228" t="n">
        <v>13.33</v>
      </c>
      <c r="E1228" t="n">
        <v>40689.801</v>
      </c>
      <c r="G1228" t="n">
        <v>1723.39</v>
      </c>
      <c r="H1228" t="inlineStr">
        <is>
          <t>bb</t>
        </is>
      </c>
      <c r="I1228" t="n">
        <v>40689.801</v>
      </c>
    </row>
    <row r="1229">
      <c r="A1229" t="n">
        <v>2</v>
      </c>
      <c r="B1229" t="inlineStr">
        <is>
          <t>EPA1633 &amp; diPAPs Calibration 0.02 ppb</t>
        </is>
      </c>
      <c r="D1229" t="n">
        <v>13.34</v>
      </c>
      <c r="E1229" t="n">
        <v>36095.207</v>
      </c>
      <c r="G1229" t="n">
        <v>216.44</v>
      </c>
      <c r="H1229" t="inlineStr">
        <is>
          <t>bb</t>
        </is>
      </c>
      <c r="I1229" t="n">
        <v>36095.207</v>
      </c>
    </row>
    <row r="1230">
      <c r="A1230" t="n">
        <v>3</v>
      </c>
      <c r="B1230" t="inlineStr">
        <is>
          <t>EPA1633 &amp; diPAPs Calibration 0.1 ppb</t>
        </is>
      </c>
      <c r="D1230" t="n">
        <v>13.36</v>
      </c>
      <c r="E1230" t="n">
        <v>37979.938</v>
      </c>
      <c r="G1230" t="n">
        <v>641.215</v>
      </c>
      <c r="H1230" t="inlineStr">
        <is>
          <t>bb</t>
        </is>
      </c>
      <c r="I1230" t="n">
        <v>37979.938</v>
      </c>
    </row>
    <row r="1231">
      <c r="A1231" t="n">
        <v>4</v>
      </c>
      <c r="B1231" t="inlineStr">
        <is>
          <t>EPA1633 &amp; diPAPs Calibration 0.4 ppb</t>
        </is>
      </c>
      <c r="D1231" t="n">
        <v>13.36</v>
      </c>
      <c r="E1231" t="n">
        <v>33747.172</v>
      </c>
      <c r="G1231" t="n">
        <v>669.564</v>
      </c>
      <c r="H1231" t="inlineStr">
        <is>
          <t>bb</t>
        </is>
      </c>
      <c r="I1231" t="n">
        <v>33747.172</v>
      </c>
    </row>
    <row r="1232">
      <c r="A1232" t="n">
        <v>5</v>
      </c>
      <c r="B1232" t="inlineStr">
        <is>
          <t>EPA1633 &amp; diPAPs Calibration 1 ppb</t>
        </is>
      </c>
      <c r="D1232" t="n">
        <v>13.36</v>
      </c>
      <c r="E1232" t="n">
        <v>39159.301</v>
      </c>
      <c r="G1232" t="n">
        <v>872.5069999999999</v>
      </c>
      <c r="H1232" t="inlineStr">
        <is>
          <t>bb</t>
        </is>
      </c>
      <c r="I1232" t="n">
        <v>39159.301</v>
      </c>
    </row>
    <row r="1233">
      <c r="A1233" t="n">
        <v>6</v>
      </c>
      <c r="B1233" t="inlineStr">
        <is>
          <t>EPA1633 &amp; diPAPs Calibration 5 ppb</t>
        </is>
      </c>
      <c r="D1233" t="n">
        <v>13.29</v>
      </c>
      <c r="E1233" t="n">
        <v>31353.115</v>
      </c>
      <c r="G1233" t="n">
        <v>163.155</v>
      </c>
      <c r="H1233" t="inlineStr">
        <is>
          <t>bb</t>
        </is>
      </c>
      <c r="I1233" t="n">
        <v>31353.115</v>
      </c>
    </row>
    <row r="1234">
      <c r="A1234" t="n">
        <v>7</v>
      </c>
      <c r="B1234" t="inlineStr">
        <is>
          <t>EPA1633 &amp; diPAPs Calibration 10 ppb</t>
        </is>
      </c>
      <c r="D1234" t="n">
        <v>13.31</v>
      </c>
      <c r="E1234" t="n">
        <v>24876.852</v>
      </c>
      <c r="G1234" t="n">
        <v>267.158</v>
      </c>
      <c r="H1234" t="inlineStr">
        <is>
          <t>bb</t>
        </is>
      </c>
      <c r="I1234" t="n">
        <v>24876.852</v>
      </c>
    </row>
    <row r="1235">
      <c r="A1235" t="n">
        <v>8</v>
      </c>
      <c r="B1235" t="inlineStr">
        <is>
          <t>EPA1633 &amp; diPAPs Calibration 20 ppb</t>
        </is>
      </c>
      <c r="D1235" t="n">
        <v>13.33</v>
      </c>
      <c r="E1235" t="n">
        <v>27180.736</v>
      </c>
      <c r="G1235" t="n">
        <v>84.465</v>
      </c>
      <c r="H1235" t="inlineStr">
        <is>
          <t>bb</t>
        </is>
      </c>
      <c r="I1235" t="n">
        <v>27180.736</v>
      </c>
    </row>
    <row r="1236">
      <c r="A1236" t="n">
        <v>9</v>
      </c>
      <c r="B1236" t="inlineStr">
        <is>
          <t>MeOH</t>
        </is>
      </c>
      <c r="D1236" t="n">
        <v>13.39</v>
      </c>
      <c r="E1236" t="n">
        <v>104.067</v>
      </c>
      <c r="G1236" t="n">
        <v>4.809</v>
      </c>
      <c r="H1236" t="inlineStr">
        <is>
          <t>bb</t>
        </is>
      </c>
      <c r="I1236" t="n">
        <v>104.067</v>
      </c>
    </row>
    <row r="1237">
      <c r="A1237" t="n">
        <v>10</v>
      </c>
      <c r="B1237" t="inlineStr">
        <is>
          <t>MeOH</t>
        </is>
      </c>
    </row>
    <row r="1238">
      <c r="A1238" t="n">
        <v>11</v>
      </c>
      <c r="B1238" t="inlineStr">
        <is>
          <t>SB1</t>
        </is>
      </c>
      <c r="D1238" t="n">
        <v>13.37</v>
      </c>
      <c r="E1238" t="n">
        <v>11892.281</v>
      </c>
      <c r="G1238" t="n">
        <v>479.455</v>
      </c>
      <c r="H1238" t="inlineStr">
        <is>
          <t>bb</t>
        </is>
      </c>
      <c r="I1238" t="n">
        <v>11892.281</v>
      </c>
    </row>
    <row r="1239">
      <c r="A1239" t="n">
        <v>12</v>
      </c>
      <c r="B1239" t="inlineStr">
        <is>
          <t>SB2</t>
        </is>
      </c>
      <c r="D1239" t="n">
        <v>13.37</v>
      </c>
      <c r="E1239" t="n">
        <v>11647.292</v>
      </c>
      <c r="G1239" t="n">
        <v>451.319</v>
      </c>
      <c r="H1239" t="inlineStr">
        <is>
          <t>bb</t>
        </is>
      </c>
      <c r="I1239" t="n">
        <v>11647.292</v>
      </c>
    </row>
    <row r="1240">
      <c r="A1240" t="n">
        <v>13</v>
      </c>
      <c r="B1240" t="inlineStr">
        <is>
          <t>SB3</t>
        </is>
      </c>
      <c r="D1240" t="n">
        <v>13.37</v>
      </c>
      <c r="E1240" t="n">
        <v>11095.197</v>
      </c>
      <c r="G1240" t="n">
        <v>75.405</v>
      </c>
      <c r="H1240" t="inlineStr">
        <is>
          <t>bb</t>
        </is>
      </c>
      <c r="I1240" t="n">
        <v>11095.197</v>
      </c>
    </row>
    <row r="1241">
      <c r="A1241" t="n">
        <v>14</v>
      </c>
      <c r="B1241" t="inlineStr">
        <is>
          <t>SS1</t>
        </is>
      </c>
      <c r="D1241" t="n">
        <v>13.41</v>
      </c>
      <c r="E1241" t="n">
        <v>11531.352</v>
      </c>
      <c r="G1241" t="n">
        <v>113.83</v>
      </c>
      <c r="H1241" t="inlineStr">
        <is>
          <t>bb</t>
        </is>
      </c>
      <c r="I1241" t="n">
        <v>11531.352</v>
      </c>
    </row>
    <row r="1242">
      <c r="A1242" t="n">
        <v>15</v>
      </c>
      <c r="B1242" t="inlineStr">
        <is>
          <t>SS2</t>
        </is>
      </c>
      <c r="D1242" t="n">
        <v>13.41</v>
      </c>
      <c r="E1242" t="n">
        <v>12029.308</v>
      </c>
      <c r="G1242" t="n">
        <v>247.896</v>
      </c>
      <c r="H1242" t="inlineStr">
        <is>
          <t>bb</t>
        </is>
      </c>
      <c r="I1242" t="n">
        <v>12029.308</v>
      </c>
    </row>
    <row r="1243">
      <c r="A1243" t="n">
        <v>16</v>
      </c>
      <c r="B1243" t="inlineStr">
        <is>
          <t>SS3</t>
        </is>
      </c>
      <c r="D1243" t="n">
        <v>13.42</v>
      </c>
      <c r="E1243" t="n">
        <v>11215.118</v>
      </c>
      <c r="G1243" t="n">
        <v>1064.23</v>
      </c>
      <c r="H1243" t="inlineStr">
        <is>
          <t>bb</t>
        </is>
      </c>
      <c r="I1243" t="n">
        <v>11215.118</v>
      </c>
    </row>
    <row r="1245">
      <c r="A1245" t="inlineStr">
        <is>
          <t>Compound 63:  PFNA 1</t>
        </is>
      </c>
    </row>
    <row r="1247">
      <c r="B1247" t="inlineStr">
        <is>
          <t>Sample Text</t>
        </is>
      </c>
      <c r="C1247" t="inlineStr">
        <is>
          <t>Std. Conc</t>
        </is>
      </c>
      <c r="D1247" t="inlineStr">
        <is>
          <t>RT</t>
        </is>
      </c>
      <c r="E1247" t="inlineStr">
        <is>
          <t>Area</t>
        </is>
      </c>
      <c r="F1247" t="inlineStr">
        <is>
          <t>IS Area</t>
        </is>
      </c>
      <c r="G1247" t="inlineStr">
        <is>
          <t>S/N</t>
        </is>
      </c>
      <c r="H1247" t="inlineStr">
        <is>
          <t>Primary Flags</t>
        </is>
      </c>
      <c r="I1247" t="inlineStr">
        <is>
          <t>Response</t>
        </is>
      </c>
      <c r="J1247" t="inlineStr">
        <is>
          <t>Conc.</t>
        </is>
      </c>
    </row>
    <row r="1248">
      <c r="A1248" t="n">
        <v>1</v>
      </c>
      <c r="B1248" t="inlineStr">
        <is>
          <t>EPA1633 &amp; diPAPs Calibration 0 ppb</t>
        </is>
      </c>
      <c r="D1248" t="n">
        <v>13.12</v>
      </c>
      <c r="E1248" t="n">
        <v>640.7140000000001</v>
      </c>
      <c r="F1248" t="n">
        <v>8092.868</v>
      </c>
      <c r="G1248" t="n">
        <v>7.011</v>
      </c>
      <c r="H1248" t="inlineStr">
        <is>
          <t>MM</t>
        </is>
      </c>
    </row>
    <row r="1249">
      <c r="A1249" t="n">
        <v>2</v>
      </c>
      <c r="B1249" t="inlineStr">
        <is>
          <t>EPA1633 &amp; diPAPs Calibration 0.02 ppb</t>
        </is>
      </c>
      <c r="D1249" t="n">
        <v>13.08</v>
      </c>
      <c r="E1249" t="n">
        <v>659.1319999999999</v>
      </c>
      <c r="F1249" t="n">
        <v>8014.825</v>
      </c>
      <c r="G1249" t="n">
        <v>11.639</v>
      </c>
      <c r="H1249" t="inlineStr">
        <is>
          <t>MM</t>
        </is>
      </c>
    </row>
    <row r="1250">
      <c r="A1250" t="n">
        <v>3</v>
      </c>
      <c r="B1250" t="inlineStr">
        <is>
          <t>EPA1633 &amp; diPAPs Calibration 0.1 ppb</t>
        </is>
      </c>
      <c r="D1250" t="n">
        <v>13.06</v>
      </c>
      <c r="E1250" t="n">
        <v>1142.956</v>
      </c>
      <c r="F1250" t="n">
        <v>7789.75</v>
      </c>
      <c r="G1250" t="n">
        <v>8.387</v>
      </c>
      <c r="H1250" t="inlineStr">
        <is>
          <t>MM</t>
        </is>
      </c>
    </row>
    <row r="1251">
      <c r="A1251" t="n">
        <v>4</v>
      </c>
      <c r="B1251" t="inlineStr">
        <is>
          <t>EPA1633 &amp; diPAPs Calibration 0.4 ppb</t>
        </is>
      </c>
      <c r="D1251" t="n">
        <v>13.03</v>
      </c>
      <c r="E1251" t="n">
        <v>1572.106</v>
      </c>
      <c r="F1251" t="n">
        <v>7364.624</v>
      </c>
      <c r="G1251" t="n">
        <v>10.553</v>
      </c>
      <c r="H1251" t="inlineStr">
        <is>
          <t>bb</t>
        </is>
      </c>
    </row>
    <row r="1252">
      <c r="A1252" t="n">
        <v>5</v>
      </c>
      <c r="B1252" t="inlineStr">
        <is>
          <t>EPA1633 &amp; diPAPs Calibration 1 ppb</t>
        </is>
      </c>
      <c r="D1252" t="n">
        <v>13.05</v>
      </c>
      <c r="E1252" t="n">
        <v>2271.313</v>
      </c>
      <c r="F1252" t="n">
        <v>8117.523</v>
      </c>
      <c r="G1252" t="n">
        <v>29.189</v>
      </c>
      <c r="H1252" t="inlineStr">
        <is>
          <t>bb</t>
        </is>
      </c>
    </row>
    <row r="1253">
      <c r="A1253" t="n">
        <v>6</v>
      </c>
      <c r="B1253" t="inlineStr">
        <is>
          <t>EPA1633 &amp; diPAPs Calibration 5 ppb</t>
        </is>
      </c>
      <c r="D1253" t="n">
        <v>12.96</v>
      </c>
      <c r="E1253" t="n">
        <v>8166.67</v>
      </c>
      <c r="F1253" t="n">
        <v>6441.461</v>
      </c>
      <c r="G1253" t="n">
        <v>183.309</v>
      </c>
      <c r="H1253" t="inlineStr">
        <is>
          <t>db</t>
        </is>
      </c>
    </row>
    <row r="1254">
      <c r="A1254" t="n">
        <v>7</v>
      </c>
      <c r="B1254" t="inlineStr">
        <is>
          <t>EPA1633 &amp; diPAPs Calibration 10 ppb</t>
        </is>
      </c>
      <c r="D1254" t="n">
        <v>12.96</v>
      </c>
      <c r="E1254" t="n">
        <v>13376.505</v>
      </c>
      <c r="F1254" t="n">
        <v>5311.949</v>
      </c>
      <c r="G1254" t="n">
        <v>149.528</v>
      </c>
      <c r="H1254" t="inlineStr">
        <is>
          <t>MM</t>
        </is>
      </c>
    </row>
    <row r="1255">
      <c r="A1255" t="n">
        <v>8</v>
      </c>
      <c r="B1255" t="inlineStr">
        <is>
          <t>EPA1633 &amp; diPAPs Calibration 20 ppb</t>
        </is>
      </c>
      <c r="D1255" t="n">
        <v>12.99</v>
      </c>
      <c r="E1255" t="n">
        <v>25391.307</v>
      </c>
      <c r="F1255" t="n">
        <v>4766.589</v>
      </c>
      <c r="G1255" t="n">
        <v>316.806</v>
      </c>
      <c r="H1255" t="inlineStr">
        <is>
          <t>MM</t>
        </is>
      </c>
    </row>
    <row r="1256">
      <c r="A1256" t="n">
        <v>9</v>
      </c>
      <c r="B1256" t="inlineStr">
        <is>
          <t>MeOH</t>
        </is>
      </c>
    </row>
    <row r="1257">
      <c r="A1257" t="n">
        <v>10</v>
      </c>
      <c r="B1257" t="inlineStr">
        <is>
          <t>MeOH</t>
        </is>
      </c>
      <c r="D1257" t="n">
        <v>13.2</v>
      </c>
      <c r="E1257" t="n">
        <v>501.355</v>
      </c>
      <c r="G1257" t="n">
        <v>4.841</v>
      </c>
      <c r="H1257" t="inlineStr">
        <is>
          <t>bb</t>
        </is>
      </c>
    </row>
    <row r="1258">
      <c r="A1258" t="n">
        <v>11</v>
      </c>
      <c r="B1258" t="inlineStr">
        <is>
          <t>SB1</t>
        </is>
      </c>
      <c r="D1258" t="n">
        <v>13.03</v>
      </c>
      <c r="E1258" t="n">
        <v>3584.243</v>
      </c>
      <c r="F1258" t="n">
        <v>2451.924</v>
      </c>
      <c r="G1258" t="n">
        <v>56.209</v>
      </c>
      <c r="H1258" t="inlineStr">
        <is>
          <t>bb</t>
        </is>
      </c>
    </row>
    <row r="1259">
      <c r="A1259" t="n">
        <v>12</v>
      </c>
      <c r="B1259" t="inlineStr">
        <is>
          <t>SB2</t>
        </is>
      </c>
      <c r="D1259" t="n">
        <v>13.09</v>
      </c>
      <c r="E1259" t="n">
        <v>389.298</v>
      </c>
      <c r="F1259" t="n">
        <v>2271.8</v>
      </c>
      <c r="G1259" t="n">
        <v>7.844</v>
      </c>
      <c r="H1259" t="inlineStr">
        <is>
          <t>MM</t>
        </is>
      </c>
    </row>
    <row r="1260">
      <c r="A1260" t="n">
        <v>13</v>
      </c>
      <c r="B1260" t="inlineStr">
        <is>
          <t>SB3</t>
        </is>
      </c>
      <c r="D1260" t="n">
        <v>13.11</v>
      </c>
      <c r="E1260" t="n">
        <v>394.23</v>
      </c>
      <c r="F1260" t="n">
        <v>1817.396</v>
      </c>
      <c r="G1260" t="n">
        <v>4.042</v>
      </c>
      <c r="H1260" t="inlineStr">
        <is>
          <t>bb</t>
        </is>
      </c>
    </row>
    <row r="1261">
      <c r="A1261" t="n">
        <v>14</v>
      </c>
      <c r="B1261" t="inlineStr">
        <is>
          <t>SS1</t>
        </is>
      </c>
      <c r="D1261" t="n">
        <v>13.06</v>
      </c>
      <c r="E1261" t="n">
        <v>5492.266</v>
      </c>
      <c r="F1261" t="n">
        <v>2217.159</v>
      </c>
      <c r="G1261" t="n">
        <v>97.759</v>
      </c>
      <c r="H1261" t="inlineStr">
        <is>
          <t>bb</t>
        </is>
      </c>
    </row>
    <row r="1262">
      <c r="A1262" t="n">
        <v>15</v>
      </c>
      <c r="B1262" t="inlineStr">
        <is>
          <t>SS2</t>
        </is>
      </c>
      <c r="D1262" t="n">
        <v>13.08</v>
      </c>
      <c r="E1262" t="n">
        <v>7719.185</v>
      </c>
      <c r="F1262" t="n">
        <v>2505.109</v>
      </c>
      <c r="G1262" t="n">
        <v>72.21599999999999</v>
      </c>
      <c r="H1262" t="inlineStr">
        <is>
          <t>MM</t>
        </is>
      </c>
    </row>
    <row r="1263">
      <c r="A1263" t="n">
        <v>16</v>
      </c>
      <c r="B1263" t="inlineStr">
        <is>
          <t>SS3</t>
        </is>
      </c>
      <c r="D1263" t="n">
        <v>13.08</v>
      </c>
      <c r="E1263" t="n">
        <v>5334.001</v>
      </c>
      <c r="F1263" t="n">
        <v>1762.056</v>
      </c>
      <c r="G1263" t="n">
        <v>142.022</v>
      </c>
      <c r="H1263" t="inlineStr">
        <is>
          <t>MM</t>
        </is>
      </c>
    </row>
    <row r="1265">
      <c r="A1265" t="inlineStr">
        <is>
          <t>Compound 64:  PFNA 2</t>
        </is>
      </c>
    </row>
    <row r="1267">
      <c r="B1267" t="inlineStr">
        <is>
          <t>Sample Text</t>
        </is>
      </c>
      <c r="C1267" t="inlineStr">
        <is>
          <t>Std. Conc</t>
        </is>
      </c>
      <c r="D1267" t="inlineStr">
        <is>
          <t>RT</t>
        </is>
      </c>
      <c r="E1267" t="inlineStr">
        <is>
          <t>Area</t>
        </is>
      </c>
      <c r="F1267" t="inlineStr">
        <is>
          <t>IS Area</t>
        </is>
      </c>
      <c r="G1267" t="inlineStr">
        <is>
          <t>S/N</t>
        </is>
      </c>
      <c r="H1267" t="inlineStr">
        <is>
          <t>Primary Flags</t>
        </is>
      </c>
      <c r="I1267" t="inlineStr">
        <is>
          <t>Response</t>
        </is>
      </c>
      <c r="J1267" t="inlineStr">
        <is>
          <t>Conc.</t>
        </is>
      </c>
    </row>
    <row r="1268">
      <c r="A1268" t="n">
        <v>1</v>
      </c>
      <c r="B1268" t="inlineStr">
        <is>
          <t>EPA1633 &amp; diPAPs Calibration 0 ppb</t>
        </is>
      </c>
      <c r="D1268" t="n">
        <v>12.95</v>
      </c>
      <c r="E1268" t="n">
        <v>2.389</v>
      </c>
      <c r="F1268" t="n">
        <v>8092.868</v>
      </c>
      <c r="G1268" t="n">
        <v>3.571</v>
      </c>
      <c r="H1268" t="inlineStr">
        <is>
          <t>MM</t>
        </is>
      </c>
    </row>
    <row r="1269">
      <c r="A1269" t="n">
        <v>2</v>
      </c>
      <c r="B1269" t="inlineStr">
        <is>
          <t>EPA1633 &amp; diPAPs Calibration 0.02 ppb</t>
        </is>
      </c>
      <c r="D1269" t="n">
        <v>13.05</v>
      </c>
      <c r="E1269" t="n">
        <v>90.023</v>
      </c>
      <c r="F1269" t="n">
        <v>8014.825</v>
      </c>
      <c r="G1269" t="n">
        <v>7.331</v>
      </c>
      <c r="H1269" t="inlineStr">
        <is>
          <t>bb</t>
        </is>
      </c>
    </row>
    <row r="1270">
      <c r="A1270" t="n">
        <v>3</v>
      </c>
      <c r="B1270" t="inlineStr">
        <is>
          <t>EPA1633 &amp; diPAPs Calibration 0.1 ppb</t>
        </is>
      </c>
      <c r="D1270" t="n">
        <v>13.06</v>
      </c>
      <c r="E1270" t="n">
        <v>80.38500000000001</v>
      </c>
      <c r="F1270" t="n">
        <v>7789.75</v>
      </c>
      <c r="G1270" t="n">
        <v>8.787000000000001</v>
      </c>
      <c r="H1270" t="inlineStr">
        <is>
          <t>MM</t>
        </is>
      </c>
    </row>
    <row r="1271">
      <c r="A1271" t="n">
        <v>4</v>
      </c>
      <c r="B1271" t="inlineStr">
        <is>
          <t>EPA1633 &amp; diPAPs Calibration 0.4 ppb</t>
        </is>
      </c>
      <c r="D1271" t="n">
        <v>13.05</v>
      </c>
      <c r="E1271" t="n">
        <v>102.917</v>
      </c>
      <c r="F1271" t="n">
        <v>7364.624</v>
      </c>
      <c r="G1271" t="n">
        <v>1.28</v>
      </c>
      <c r="H1271" t="inlineStr">
        <is>
          <t>MM</t>
        </is>
      </c>
    </row>
    <row r="1272">
      <c r="A1272" t="n">
        <v>5</v>
      </c>
      <c r="B1272" t="inlineStr">
        <is>
          <t>EPA1633 &amp; diPAPs Calibration 1 ppb</t>
        </is>
      </c>
      <c r="D1272" t="n">
        <v>13.03</v>
      </c>
      <c r="E1272" t="n">
        <v>740.186</v>
      </c>
      <c r="F1272" t="n">
        <v>8117.523</v>
      </c>
      <c r="G1272" t="n">
        <v>48.471</v>
      </c>
      <c r="H1272" t="inlineStr">
        <is>
          <t>bb</t>
        </is>
      </c>
    </row>
    <row r="1273">
      <c r="A1273" t="n">
        <v>6</v>
      </c>
      <c r="B1273" t="inlineStr">
        <is>
          <t>EPA1633 &amp; diPAPs Calibration 5 ppb</t>
        </is>
      </c>
      <c r="D1273" t="n">
        <v>12.95</v>
      </c>
      <c r="E1273" t="n">
        <v>2133.471</v>
      </c>
      <c r="F1273" t="n">
        <v>6441.461</v>
      </c>
      <c r="G1273" t="n">
        <v>35.579</v>
      </c>
      <c r="H1273" t="inlineStr">
        <is>
          <t>bb</t>
        </is>
      </c>
    </row>
    <row r="1274">
      <c r="A1274" t="n">
        <v>7</v>
      </c>
      <c r="B1274" t="inlineStr">
        <is>
          <t>EPA1633 &amp; diPAPs Calibration 10 ppb</t>
        </is>
      </c>
      <c r="D1274" t="n">
        <v>12.98</v>
      </c>
      <c r="E1274" t="n">
        <v>4445.396</v>
      </c>
      <c r="F1274" t="n">
        <v>5311.949</v>
      </c>
      <c r="G1274" t="n">
        <v>82.383</v>
      </c>
      <c r="H1274" t="inlineStr">
        <is>
          <t>bb</t>
        </is>
      </c>
    </row>
    <row r="1275">
      <c r="A1275" t="n">
        <v>8</v>
      </c>
      <c r="B1275" t="inlineStr">
        <is>
          <t>EPA1633 &amp; diPAPs Calibration 20 ppb</t>
        </is>
      </c>
      <c r="D1275" t="n">
        <v>13</v>
      </c>
      <c r="E1275" t="n">
        <v>8187.567</v>
      </c>
      <c r="F1275" t="n">
        <v>4766.589</v>
      </c>
      <c r="G1275" t="n">
        <v>152.197</v>
      </c>
      <c r="H1275" t="inlineStr">
        <is>
          <t>bb</t>
        </is>
      </c>
    </row>
    <row r="1276">
      <c r="A1276" t="n">
        <v>9</v>
      </c>
      <c r="B1276" t="inlineStr">
        <is>
          <t>MeOH</t>
        </is>
      </c>
      <c r="D1276" t="n">
        <v>13.29</v>
      </c>
      <c r="E1276" t="n">
        <v>40.417</v>
      </c>
      <c r="G1276" t="n">
        <v>312</v>
      </c>
      <c r="H1276" t="inlineStr">
        <is>
          <t>bb</t>
        </is>
      </c>
    </row>
    <row r="1277">
      <c r="A1277" t="n">
        <v>10</v>
      </c>
      <c r="B1277" t="inlineStr">
        <is>
          <t>MeOH</t>
        </is>
      </c>
      <c r="D1277" t="n">
        <v>13.09</v>
      </c>
      <c r="E1277" t="n">
        <v>154.803</v>
      </c>
      <c r="G1277" t="n">
        <v>8.173</v>
      </c>
      <c r="H1277" t="inlineStr">
        <is>
          <t>bb</t>
        </is>
      </c>
    </row>
    <row r="1278">
      <c r="A1278" t="n">
        <v>11</v>
      </c>
      <c r="B1278" t="inlineStr">
        <is>
          <t>SB1</t>
        </is>
      </c>
      <c r="D1278" t="n">
        <v>13.02</v>
      </c>
      <c r="E1278" t="n">
        <v>1057.32</v>
      </c>
      <c r="F1278" t="n">
        <v>2451.924</v>
      </c>
      <c r="G1278" t="n">
        <v>7399</v>
      </c>
      <c r="H1278" t="inlineStr">
        <is>
          <t>bb</t>
        </is>
      </c>
    </row>
    <row r="1279">
      <c r="A1279" t="n">
        <v>12</v>
      </c>
      <c r="B1279" t="inlineStr">
        <is>
          <t>SB2</t>
        </is>
      </c>
      <c r="D1279" t="n">
        <v>13.11</v>
      </c>
      <c r="E1279" t="n">
        <v>202.253</v>
      </c>
      <c r="F1279" t="n">
        <v>2271.8</v>
      </c>
      <c r="G1279" t="n">
        <v>1129</v>
      </c>
      <c r="H1279" t="inlineStr">
        <is>
          <t>bb</t>
        </is>
      </c>
    </row>
    <row r="1280">
      <c r="A1280" t="n">
        <v>13</v>
      </c>
      <c r="B1280" t="inlineStr">
        <is>
          <t>SB3</t>
        </is>
      </c>
      <c r="D1280" t="n">
        <v>13.37</v>
      </c>
      <c r="E1280" t="n">
        <v>21.007</v>
      </c>
      <c r="F1280" t="n">
        <v>1817.396</v>
      </c>
      <c r="G1280" t="n">
        <v>3.572</v>
      </c>
      <c r="H1280" t="inlineStr">
        <is>
          <t>MM</t>
        </is>
      </c>
    </row>
    <row r="1281">
      <c r="A1281" t="n">
        <v>14</v>
      </c>
      <c r="B1281" t="inlineStr">
        <is>
          <t>SS1</t>
        </is>
      </c>
      <c r="D1281" t="n">
        <v>13.06</v>
      </c>
      <c r="E1281" t="n">
        <v>1532.532</v>
      </c>
      <c r="F1281" t="n">
        <v>2217.159</v>
      </c>
      <c r="G1281" t="n">
        <v>11083</v>
      </c>
      <c r="H1281" t="inlineStr">
        <is>
          <t>bb</t>
        </is>
      </c>
    </row>
    <row r="1282">
      <c r="A1282" t="n">
        <v>15</v>
      </c>
      <c r="B1282" t="inlineStr">
        <is>
          <t>SS2</t>
        </is>
      </c>
      <c r="D1282" t="n">
        <v>13.08</v>
      </c>
      <c r="E1282" t="n">
        <v>2436.197</v>
      </c>
      <c r="F1282" t="n">
        <v>2505.109</v>
      </c>
      <c r="G1282" t="n">
        <v>462.908</v>
      </c>
      <c r="H1282" t="inlineStr">
        <is>
          <t>bb</t>
        </is>
      </c>
    </row>
    <row r="1283">
      <c r="A1283" t="n">
        <v>16</v>
      </c>
      <c r="B1283" t="inlineStr">
        <is>
          <t>SS3</t>
        </is>
      </c>
      <c r="D1283" t="n">
        <v>13.08</v>
      </c>
      <c r="E1283" t="n">
        <v>2026.125</v>
      </c>
      <c r="F1283" t="n">
        <v>1762.056</v>
      </c>
      <c r="G1283" t="n">
        <v>113.673</v>
      </c>
      <c r="H1283" t="inlineStr">
        <is>
          <t>bb</t>
        </is>
      </c>
    </row>
    <row r="1285">
      <c r="A1285" t="inlineStr">
        <is>
          <t>Compound 65:  NBP2</t>
        </is>
      </c>
    </row>
    <row r="1287">
      <c r="B1287" t="inlineStr">
        <is>
          <t>Sample Text</t>
        </is>
      </c>
      <c r="C1287" t="inlineStr">
        <is>
          <t>Std. Conc</t>
        </is>
      </c>
      <c r="D1287" t="inlineStr">
        <is>
          <t>RT</t>
        </is>
      </c>
      <c r="E1287" t="inlineStr">
        <is>
          <t>Area</t>
        </is>
      </c>
      <c r="F1287" t="inlineStr">
        <is>
          <t>IS Area</t>
        </is>
      </c>
      <c r="G1287" t="inlineStr">
        <is>
          <t>S/N</t>
        </is>
      </c>
      <c r="H1287" t="inlineStr">
        <is>
          <t>Primary Flags</t>
        </is>
      </c>
      <c r="I1287" t="inlineStr">
        <is>
          <t>Response</t>
        </is>
      </c>
      <c r="J1287" t="inlineStr">
        <is>
          <t>Conc.</t>
        </is>
      </c>
    </row>
    <row r="1288">
      <c r="A1288" t="n">
        <v>1</v>
      </c>
      <c r="B1288" t="inlineStr">
        <is>
          <t>EPA1633 &amp; diPAPs Calibration 0 ppb</t>
        </is>
      </c>
      <c r="D1288" t="n">
        <v>11.08</v>
      </c>
      <c r="E1288" t="n">
        <v>112.808</v>
      </c>
      <c r="G1288" t="n">
        <v>969</v>
      </c>
      <c r="H1288" t="inlineStr">
        <is>
          <t>MM</t>
        </is>
      </c>
      <c r="I1288" t="n">
        <v>112.808</v>
      </c>
    </row>
    <row r="1289">
      <c r="A1289" t="n">
        <v>2</v>
      </c>
      <c r="B1289" t="inlineStr">
        <is>
          <t>EPA1633 &amp; diPAPs Calibration 0.02 ppb</t>
        </is>
      </c>
      <c r="D1289" t="n">
        <v>11.11</v>
      </c>
      <c r="E1289" t="n">
        <v>181.578</v>
      </c>
      <c r="G1289" t="n">
        <v>1583</v>
      </c>
      <c r="H1289" t="inlineStr">
        <is>
          <t>bb</t>
        </is>
      </c>
      <c r="I1289" t="n">
        <v>181.578</v>
      </c>
    </row>
    <row r="1290">
      <c r="A1290" t="n">
        <v>3</v>
      </c>
      <c r="B1290" t="inlineStr">
        <is>
          <t>EPA1633 &amp; diPAPs Calibration 0.1 ppb</t>
        </is>
      </c>
      <c r="D1290" t="n">
        <v>11.08</v>
      </c>
      <c r="E1290" t="n">
        <v>531.147</v>
      </c>
      <c r="G1290" t="n">
        <v>5081</v>
      </c>
      <c r="H1290" t="inlineStr">
        <is>
          <t>MM</t>
        </is>
      </c>
      <c r="I1290" t="n">
        <v>531.147</v>
      </c>
    </row>
    <row r="1291">
      <c r="A1291" t="n">
        <v>4</v>
      </c>
      <c r="B1291" t="inlineStr">
        <is>
          <t>EPA1633 &amp; diPAPs Calibration 0.4 ppb</t>
        </is>
      </c>
      <c r="D1291" t="n">
        <v>11.09</v>
      </c>
      <c r="E1291" t="n">
        <v>1579.271</v>
      </c>
      <c r="G1291" t="n">
        <v>114.033</v>
      </c>
      <c r="H1291" t="inlineStr">
        <is>
          <t>MM</t>
        </is>
      </c>
      <c r="I1291" t="n">
        <v>1579.271</v>
      </c>
    </row>
    <row r="1292">
      <c r="A1292" t="n">
        <v>5</v>
      </c>
      <c r="B1292" t="inlineStr">
        <is>
          <t>EPA1633 &amp; diPAPs Calibration 1 ppb</t>
        </is>
      </c>
      <c r="D1292" t="n">
        <v>11.1</v>
      </c>
      <c r="E1292" t="n">
        <v>1080.139</v>
      </c>
      <c r="G1292" t="n">
        <v>16.943</v>
      </c>
      <c r="H1292" t="inlineStr">
        <is>
          <t>MM</t>
        </is>
      </c>
      <c r="I1292" t="n">
        <v>1080.139</v>
      </c>
    </row>
    <row r="1293">
      <c r="A1293" t="n">
        <v>6</v>
      </c>
      <c r="B1293" t="inlineStr">
        <is>
          <t>EPA1633 &amp; diPAPs Calibration 5 ppb</t>
        </is>
      </c>
      <c r="D1293" t="n">
        <v>10.99</v>
      </c>
      <c r="E1293" t="n">
        <v>7963.25</v>
      </c>
      <c r="G1293" t="n">
        <v>282.99</v>
      </c>
      <c r="H1293" t="inlineStr">
        <is>
          <t>MM</t>
        </is>
      </c>
      <c r="I1293" t="n">
        <v>7963.25</v>
      </c>
    </row>
    <row r="1294">
      <c r="A1294" t="n">
        <v>7</v>
      </c>
      <c r="B1294" t="inlineStr">
        <is>
          <t>EPA1633 &amp; diPAPs Calibration 10 ppb</t>
        </is>
      </c>
      <c r="D1294" t="n">
        <v>11.03</v>
      </c>
      <c r="E1294" t="n">
        <v>14812.25</v>
      </c>
      <c r="G1294" t="n">
        <v>128640</v>
      </c>
      <c r="H1294" t="inlineStr">
        <is>
          <t>MM</t>
        </is>
      </c>
      <c r="I1294" t="n">
        <v>14812.25</v>
      </c>
    </row>
    <row r="1295">
      <c r="A1295" t="n">
        <v>8</v>
      </c>
      <c r="B1295" t="inlineStr">
        <is>
          <t>EPA1633 &amp; diPAPs Calibration 20 ppb</t>
        </is>
      </c>
      <c r="D1295" t="n">
        <v>11.06</v>
      </c>
      <c r="E1295" t="n">
        <v>30525.117</v>
      </c>
      <c r="G1295" t="n">
        <v>977.7089999999999</v>
      </c>
      <c r="H1295" t="inlineStr">
        <is>
          <t>MM</t>
        </is>
      </c>
      <c r="I1295" t="n">
        <v>30525.117</v>
      </c>
    </row>
    <row r="1296">
      <c r="A1296" t="n">
        <v>9</v>
      </c>
      <c r="B1296" t="inlineStr">
        <is>
          <t>MeOH</t>
        </is>
      </c>
      <c r="H1296" t="inlineStr">
        <is>
          <t>MM-</t>
        </is>
      </c>
    </row>
    <row r="1297">
      <c r="A1297" t="n">
        <v>10</v>
      </c>
      <c r="B1297" t="inlineStr">
        <is>
          <t>MeOH</t>
        </is>
      </c>
      <c r="H1297" t="inlineStr">
        <is>
          <t>MM-</t>
        </is>
      </c>
    </row>
    <row r="1298">
      <c r="A1298" t="n">
        <v>11</v>
      </c>
      <c r="B1298" t="inlineStr">
        <is>
          <t>SB1</t>
        </is>
      </c>
      <c r="D1298" t="n">
        <v>11.09</v>
      </c>
      <c r="E1298" t="n">
        <v>86.66500000000001</v>
      </c>
      <c r="G1298" t="n">
        <v>757</v>
      </c>
      <c r="H1298" t="inlineStr">
        <is>
          <t>bb</t>
        </is>
      </c>
      <c r="I1298" t="n">
        <v>86.66500000000001</v>
      </c>
    </row>
    <row r="1299">
      <c r="A1299" t="n">
        <v>12</v>
      </c>
      <c r="B1299" t="inlineStr">
        <is>
          <t>SB2</t>
        </is>
      </c>
    </row>
    <row r="1300">
      <c r="A1300" t="n">
        <v>13</v>
      </c>
      <c r="B1300" t="inlineStr">
        <is>
          <t>SB3</t>
        </is>
      </c>
    </row>
    <row r="1301">
      <c r="A1301" t="n">
        <v>14</v>
      </c>
      <c r="B1301" t="inlineStr">
        <is>
          <t>SS1</t>
        </is>
      </c>
      <c r="D1301" t="n">
        <v>11.15</v>
      </c>
      <c r="E1301" t="n">
        <v>5705.678</v>
      </c>
      <c r="G1301" t="n">
        <v>97.92400000000001</v>
      </c>
      <c r="H1301" t="inlineStr">
        <is>
          <t>MM</t>
        </is>
      </c>
      <c r="I1301" t="n">
        <v>5705.678</v>
      </c>
    </row>
    <row r="1302">
      <c r="A1302" t="n">
        <v>15</v>
      </c>
      <c r="B1302" t="inlineStr">
        <is>
          <t>SS2</t>
        </is>
      </c>
      <c r="D1302" t="n">
        <v>11.15</v>
      </c>
      <c r="E1302" t="n">
        <v>5567.703</v>
      </c>
      <c r="G1302" t="n">
        <v>101.452</v>
      </c>
      <c r="H1302" t="inlineStr">
        <is>
          <t>MM</t>
        </is>
      </c>
      <c r="I1302" t="n">
        <v>5567.703</v>
      </c>
    </row>
    <row r="1303">
      <c r="A1303" t="n">
        <v>16</v>
      </c>
      <c r="B1303" t="inlineStr">
        <is>
          <t>SS3</t>
        </is>
      </c>
      <c r="D1303" t="n">
        <v>11.16</v>
      </c>
      <c r="E1303" t="n">
        <v>5354.171</v>
      </c>
      <c r="G1303" t="n">
        <v>47948</v>
      </c>
      <c r="H1303" t="inlineStr">
        <is>
          <t>MM</t>
        </is>
      </c>
      <c r="I1303" t="n">
        <v>5354.171</v>
      </c>
    </row>
    <row r="1305">
      <c r="A1305" t="inlineStr">
        <is>
          <t>Compound 66:  m9 PFNA 1</t>
        </is>
      </c>
    </row>
    <row r="1307">
      <c r="B1307" t="inlineStr">
        <is>
          <t>Sample Text</t>
        </is>
      </c>
      <c r="C1307" t="inlineStr">
        <is>
          <t>Std. Conc</t>
        </is>
      </c>
      <c r="D1307" t="inlineStr">
        <is>
          <t>RT</t>
        </is>
      </c>
      <c r="E1307" t="inlineStr">
        <is>
          <t>Area</t>
        </is>
      </c>
      <c r="F1307" t="inlineStr">
        <is>
          <t>IS Area</t>
        </is>
      </c>
      <c r="G1307" t="inlineStr">
        <is>
          <t>S/N</t>
        </is>
      </c>
      <c r="H1307" t="inlineStr">
        <is>
          <t>Primary Flags</t>
        </is>
      </c>
      <c r="I1307" t="inlineStr">
        <is>
          <t>Response</t>
        </is>
      </c>
      <c r="J1307" t="inlineStr">
        <is>
          <t>Conc.</t>
        </is>
      </c>
    </row>
    <row r="1308">
      <c r="A1308" t="n">
        <v>1</v>
      </c>
      <c r="B1308" t="inlineStr">
        <is>
          <t>EPA1633 &amp; diPAPs Calibration 0 ppb</t>
        </is>
      </c>
      <c r="D1308" t="n">
        <v>12.99</v>
      </c>
      <c r="E1308" t="n">
        <v>8092.868</v>
      </c>
      <c r="G1308" t="n">
        <v>57363</v>
      </c>
      <c r="H1308" t="inlineStr">
        <is>
          <t>bb</t>
        </is>
      </c>
      <c r="I1308" t="n">
        <v>8092.868</v>
      </c>
    </row>
    <row r="1309">
      <c r="A1309" t="n">
        <v>2</v>
      </c>
      <c r="B1309" t="inlineStr">
        <is>
          <t>EPA1633 &amp; diPAPs Calibration 0.02 ppb</t>
        </is>
      </c>
      <c r="D1309" t="n">
        <v>13.01</v>
      </c>
      <c r="E1309" t="n">
        <v>8014.825</v>
      </c>
      <c r="G1309" t="n">
        <v>859.668</v>
      </c>
      <c r="H1309" t="inlineStr">
        <is>
          <t>bb</t>
        </is>
      </c>
      <c r="I1309" t="n">
        <v>8014.825</v>
      </c>
    </row>
    <row r="1310">
      <c r="A1310" t="n">
        <v>3</v>
      </c>
      <c r="B1310" t="inlineStr">
        <is>
          <t>EPA1633 &amp; diPAPs Calibration 0.1 ppb</t>
        </is>
      </c>
      <c r="D1310" t="n">
        <v>13.01</v>
      </c>
      <c r="E1310" t="n">
        <v>7789.75</v>
      </c>
      <c r="G1310" t="n">
        <v>284.072</v>
      </c>
      <c r="H1310" t="inlineStr">
        <is>
          <t>bb</t>
        </is>
      </c>
      <c r="I1310" t="n">
        <v>7789.75</v>
      </c>
    </row>
    <row r="1311">
      <c r="A1311" t="n">
        <v>4</v>
      </c>
      <c r="B1311" t="inlineStr">
        <is>
          <t>EPA1633 &amp; diPAPs Calibration 0.4 ppb</t>
        </is>
      </c>
      <c r="D1311" t="n">
        <v>13.02</v>
      </c>
      <c r="E1311" t="n">
        <v>7364.624</v>
      </c>
      <c r="G1311" t="n">
        <v>93.70699999999999</v>
      </c>
      <c r="H1311" t="inlineStr">
        <is>
          <t>bb</t>
        </is>
      </c>
      <c r="I1311" t="n">
        <v>7364.624</v>
      </c>
    </row>
    <row r="1312">
      <c r="A1312" t="n">
        <v>5</v>
      </c>
      <c r="B1312" t="inlineStr">
        <is>
          <t>EPA1633 &amp; diPAPs Calibration 1 ppb</t>
        </is>
      </c>
      <c r="D1312" t="n">
        <v>13.03</v>
      </c>
      <c r="E1312" t="n">
        <v>8117.523</v>
      </c>
      <c r="G1312" t="n">
        <v>185.111</v>
      </c>
      <c r="H1312" t="inlineStr">
        <is>
          <t>bb</t>
        </is>
      </c>
      <c r="I1312" t="n">
        <v>8117.523</v>
      </c>
    </row>
    <row r="1313">
      <c r="A1313" t="n">
        <v>6</v>
      </c>
      <c r="B1313" t="inlineStr">
        <is>
          <t>EPA1633 &amp; diPAPs Calibration 5 ppb</t>
        </is>
      </c>
      <c r="D1313" t="n">
        <v>12.96</v>
      </c>
      <c r="E1313" t="n">
        <v>6441.461</v>
      </c>
      <c r="G1313" t="n">
        <v>569.761</v>
      </c>
      <c r="H1313" t="inlineStr">
        <is>
          <t>bb</t>
        </is>
      </c>
      <c r="I1313" t="n">
        <v>6441.461</v>
      </c>
    </row>
    <row r="1314">
      <c r="A1314" t="n">
        <v>7</v>
      </c>
      <c r="B1314" t="inlineStr">
        <is>
          <t>EPA1633 &amp; diPAPs Calibration 10 ppb</t>
        </is>
      </c>
      <c r="D1314" t="n">
        <v>12.98</v>
      </c>
      <c r="E1314" t="n">
        <v>5311.949</v>
      </c>
      <c r="G1314" t="n">
        <v>38562</v>
      </c>
      <c r="H1314" t="inlineStr">
        <is>
          <t>bb</t>
        </is>
      </c>
      <c r="I1314" t="n">
        <v>5311.949</v>
      </c>
    </row>
    <row r="1315">
      <c r="A1315" t="n">
        <v>8</v>
      </c>
      <c r="B1315" t="inlineStr">
        <is>
          <t>EPA1633 &amp; diPAPs Calibration 20 ppb</t>
        </is>
      </c>
      <c r="D1315" t="n">
        <v>13</v>
      </c>
      <c r="E1315" t="n">
        <v>4766.589</v>
      </c>
      <c r="G1315" t="n">
        <v>326.584</v>
      </c>
      <c r="H1315" t="inlineStr">
        <is>
          <t>bb</t>
        </is>
      </c>
      <c r="I1315" t="n">
        <v>4766.589</v>
      </c>
    </row>
    <row r="1316">
      <c r="A1316" t="n">
        <v>9</v>
      </c>
      <c r="B1316" t="inlineStr">
        <is>
          <t>MeOH</t>
        </is>
      </c>
    </row>
    <row r="1317">
      <c r="A1317" t="n">
        <v>10</v>
      </c>
      <c r="B1317" t="inlineStr">
        <is>
          <t>MeOH</t>
        </is>
      </c>
    </row>
    <row r="1318">
      <c r="A1318" t="n">
        <v>11</v>
      </c>
      <c r="B1318" t="inlineStr">
        <is>
          <t>SB1</t>
        </is>
      </c>
      <c r="D1318" t="n">
        <v>13.03</v>
      </c>
      <c r="E1318" t="n">
        <v>2451.924</v>
      </c>
      <c r="G1318" t="n">
        <v>17225</v>
      </c>
      <c r="H1318" t="inlineStr">
        <is>
          <t>bb</t>
        </is>
      </c>
      <c r="I1318" t="n">
        <v>2451.924</v>
      </c>
    </row>
    <row r="1319">
      <c r="A1319" t="n">
        <v>12</v>
      </c>
      <c r="B1319" t="inlineStr">
        <is>
          <t>SB2</t>
        </is>
      </c>
      <c r="D1319" t="n">
        <v>13.05</v>
      </c>
      <c r="E1319" t="n">
        <v>2271.8</v>
      </c>
      <c r="G1319" t="n">
        <v>16629</v>
      </c>
      <c r="H1319" t="inlineStr">
        <is>
          <t>bb</t>
        </is>
      </c>
      <c r="I1319" t="n">
        <v>2271.8</v>
      </c>
    </row>
    <row r="1320">
      <c r="A1320" t="n">
        <v>13</v>
      </c>
      <c r="B1320" t="inlineStr">
        <is>
          <t>SB3</t>
        </is>
      </c>
      <c r="D1320" t="n">
        <v>13.05</v>
      </c>
      <c r="E1320" t="n">
        <v>1817.396</v>
      </c>
      <c r="G1320" t="n">
        <v>12254</v>
      </c>
      <c r="H1320" t="inlineStr">
        <is>
          <t>bb</t>
        </is>
      </c>
      <c r="I1320" t="n">
        <v>1817.396</v>
      </c>
    </row>
    <row r="1321">
      <c r="A1321" t="n">
        <v>14</v>
      </c>
      <c r="B1321" t="inlineStr">
        <is>
          <t>SS1</t>
        </is>
      </c>
      <c r="D1321" t="n">
        <v>13.05</v>
      </c>
      <c r="E1321" t="n">
        <v>2217.159</v>
      </c>
      <c r="G1321" t="n">
        <v>15212</v>
      </c>
      <c r="H1321" t="inlineStr">
        <is>
          <t>bb</t>
        </is>
      </c>
      <c r="I1321" t="n">
        <v>2217.159</v>
      </c>
    </row>
    <row r="1322">
      <c r="A1322" t="n">
        <v>15</v>
      </c>
      <c r="B1322" t="inlineStr">
        <is>
          <t>SS2</t>
        </is>
      </c>
      <c r="D1322" t="n">
        <v>13.08</v>
      </c>
      <c r="E1322" t="n">
        <v>2505.109</v>
      </c>
      <c r="G1322" t="n">
        <v>16672</v>
      </c>
      <c r="H1322" t="inlineStr">
        <is>
          <t>bb</t>
        </is>
      </c>
      <c r="I1322" t="n">
        <v>2505.109</v>
      </c>
    </row>
    <row r="1323">
      <c r="A1323" t="n">
        <v>16</v>
      </c>
      <c r="B1323" t="inlineStr">
        <is>
          <t>SS3</t>
        </is>
      </c>
      <c r="D1323" t="n">
        <v>13.08</v>
      </c>
      <c r="E1323" t="n">
        <v>1762.056</v>
      </c>
      <c r="G1323" t="n">
        <v>13009</v>
      </c>
      <c r="H1323" t="inlineStr">
        <is>
          <t>bb</t>
        </is>
      </c>
      <c r="I1323" t="n">
        <v>1762.056</v>
      </c>
    </row>
    <row r="1325">
      <c r="A1325" t="inlineStr">
        <is>
          <t>Compound 67:  m9 PFNA 2</t>
        </is>
      </c>
    </row>
    <row r="1327">
      <c r="B1327" t="inlineStr">
        <is>
          <t>Sample Text</t>
        </is>
      </c>
      <c r="C1327" t="inlineStr">
        <is>
          <t>Std. Conc</t>
        </is>
      </c>
      <c r="D1327" t="inlineStr">
        <is>
          <t>RT</t>
        </is>
      </c>
      <c r="E1327" t="inlineStr">
        <is>
          <t>Area</t>
        </is>
      </c>
      <c r="F1327" t="inlineStr">
        <is>
          <t>IS Area</t>
        </is>
      </c>
      <c r="G1327" t="inlineStr">
        <is>
          <t>S/N</t>
        </is>
      </c>
      <c r="H1327" t="inlineStr">
        <is>
          <t>Primary Flags</t>
        </is>
      </c>
      <c r="I1327" t="inlineStr">
        <is>
          <t>Response</t>
        </is>
      </c>
      <c r="J1327" t="inlineStr">
        <is>
          <t>Conc.</t>
        </is>
      </c>
    </row>
    <row r="1328">
      <c r="A1328" t="n">
        <v>1</v>
      </c>
      <c r="B1328" t="inlineStr">
        <is>
          <t>EPA1633 &amp; diPAPs Calibration 0 ppb</t>
        </is>
      </c>
      <c r="D1328" t="n">
        <v>12.98</v>
      </c>
      <c r="E1328" t="n">
        <v>2831.308</v>
      </c>
      <c r="G1328" t="n">
        <v>20628</v>
      </c>
      <c r="H1328" t="inlineStr">
        <is>
          <t>bb</t>
        </is>
      </c>
      <c r="I1328" t="n">
        <v>2831.308</v>
      </c>
    </row>
    <row r="1329">
      <c r="A1329" t="n">
        <v>2</v>
      </c>
      <c r="B1329" t="inlineStr">
        <is>
          <t>EPA1633 &amp; diPAPs Calibration 0.02 ppb</t>
        </is>
      </c>
      <c r="D1329" t="n">
        <v>13.02</v>
      </c>
      <c r="E1329" t="n">
        <v>2619.608</v>
      </c>
      <c r="G1329" t="n">
        <v>18494</v>
      </c>
      <c r="H1329" t="inlineStr">
        <is>
          <t>bb</t>
        </is>
      </c>
      <c r="I1329" t="n">
        <v>2619.608</v>
      </c>
    </row>
    <row r="1330">
      <c r="A1330" t="n">
        <v>3</v>
      </c>
      <c r="B1330" t="inlineStr">
        <is>
          <t>EPA1633 &amp; diPAPs Calibration 0.1 ppb</t>
        </is>
      </c>
      <c r="D1330" t="n">
        <v>13.02</v>
      </c>
      <c r="E1330" t="n">
        <v>2699.614</v>
      </c>
      <c r="G1330" t="n">
        <v>19690</v>
      </c>
      <c r="H1330" t="inlineStr">
        <is>
          <t>bb</t>
        </is>
      </c>
      <c r="I1330" t="n">
        <v>2699.614</v>
      </c>
    </row>
    <row r="1331">
      <c r="A1331" t="n">
        <v>4</v>
      </c>
      <c r="B1331" t="inlineStr">
        <is>
          <t>EPA1633 &amp; diPAPs Calibration 0.4 ppb</t>
        </is>
      </c>
      <c r="D1331" t="n">
        <v>13.02</v>
      </c>
      <c r="E1331" t="n">
        <v>2691.37</v>
      </c>
      <c r="G1331" t="n">
        <v>19175</v>
      </c>
      <c r="H1331" t="inlineStr">
        <is>
          <t>bb</t>
        </is>
      </c>
      <c r="I1331" t="n">
        <v>2691.37</v>
      </c>
    </row>
    <row r="1332">
      <c r="A1332" t="n">
        <v>5</v>
      </c>
      <c r="B1332" t="inlineStr">
        <is>
          <t>EPA1633 &amp; diPAPs Calibration 1 ppb</t>
        </is>
      </c>
      <c r="D1332" t="n">
        <v>13.02</v>
      </c>
      <c r="E1332" t="n">
        <v>2702.2</v>
      </c>
      <c r="G1332" t="n">
        <v>86.09</v>
      </c>
      <c r="H1332" t="inlineStr">
        <is>
          <t>bb</t>
        </is>
      </c>
      <c r="I1332" t="n">
        <v>2702.2</v>
      </c>
    </row>
    <row r="1333">
      <c r="A1333" t="n">
        <v>6</v>
      </c>
      <c r="B1333" t="inlineStr">
        <is>
          <t>EPA1633 &amp; diPAPs Calibration 5 ppb</t>
        </is>
      </c>
      <c r="D1333" t="n">
        <v>12.95</v>
      </c>
      <c r="E1333" t="n">
        <v>1880.133</v>
      </c>
      <c r="G1333" t="n">
        <v>2663.819</v>
      </c>
      <c r="H1333" t="inlineStr">
        <is>
          <t>bb</t>
        </is>
      </c>
      <c r="I1333" t="n">
        <v>1880.133</v>
      </c>
    </row>
    <row r="1334">
      <c r="A1334" t="n">
        <v>7</v>
      </c>
      <c r="B1334" t="inlineStr">
        <is>
          <t>EPA1633 &amp; diPAPs Calibration 10 ppb</t>
        </is>
      </c>
      <c r="D1334" t="n">
        <v>12.98</v>
      </c>
      <c r="E1334" t="n">
        <v>1719.867</v>
      </c>
      <c r="G1334" t="n">
        <v>11453</v>
      </c>
      <c r="H1334" t="inlineStr">
        <is>
          <t>bb</t>
        </is>
      </c>
      <c r="I1334" t="n">
        <v>1719.867</v>
      </c>
    </row>
    <row r="1335">
      <c r="A1335" t="n">
        <v>8</v>
      </c>
      <c r="B1335" t="inlineStr">
        <is>
          <t>EPA1633 &amp; diPAPs Calibration 20 ppb</t>
        </is>
      </c>
      <c r="D1335" t="n">
        <v>12.99</v>
      </c>
      <c r="E1335" t="n">
        <v>1543.522</v>
      </c>
      <c r="G1335" t="n">
        <v>111.369</v>
      </c>
      <c r="H1335" t="inlineStr">
        <is>
          <t>bb</t>
        </is>
      </c>
      <c r="I1335" t="n">
        <v>1543.522</v>
      </c>
    </row>
    <row r="1336">
      <c r="A1336" t="n">
        <v>9</v>
      </c>
      <c r="B1336" t="inlineStr">
        <is>
          <t>MeOH</t>
        </is>
      </c>
    </row>
    <row r="1337">
      <c r="A1337" t="n">
        <v>10</v>
      </c>
      <c r="B1337" t="inlineStr">
        <is>
          <t>MeOH</t>
        </is>
      </c>
    </row>
    <row r="1338">
      <c r="A1338" t="n">
        <v>11</v>
      </c>
      <c r="B1338" t="inlineStr">
        <is>
          <t>SB1</t>
        </is>
      </c>
      <c r="D1338" t="n">
        <v>13.03</v>
      </c>
      <c r="E1338" t="n">
        <v>672.533</v>
      </c>
      <c r="G1338" t="n">
        <v>42.088</v>
      </c>
      <c r="H1338" t="inlineStr">
        <is>
          <t>bb</t>
        </is>
      </c>
      <c r="I1338" t="n">
        <v>672.533</v>
      </c>
    </row>
    <row r="1339">
      <c r="A1339" t="n">
        <v>12</v>
      </c>
      <c r="B1339" t="inlineStr">
        <is>
          <t>SB2</t>
        </is>
      </c>
      <c r="D1339" t="n">
        <v>13.03</v>
      </c>
      <c r="E1339" t="n">
        <v>548.9880000000001</v>
      </c>
      <c r="G1339" t="n">
        <v>566.2</v>
      </c>
      <c r="H1339" t="inlineStr">
        <is>
          <t>bb</t>
        </is>
      </c>
      <c r="I1339" t="n">
        <v>548.9880000000001</v>
      </c>
    </row>
    <row r="1340">
      <c r="A1340" t="n">
        <v>13</v>
      </c>
      <c r="B1340" t="inlineStr">
        <is>
          <t>SB3</t>
        </is>
      </c>
      <c r="D1340" t="n">
        <v>13.05</v>
      </c>
      <c r="E1340" t="n">
        <v>641.673</v>
      </c>
      <c r="G1340" t="n">
        <v>4326</v>
      </c>
      <c r="H1340" t="inlineStr">
        <is>
          <t>bb</t>
        </is>
      </c>
      <c r="I1340" t="n">
        <v>641.673</v>
      </c>
    </row>
    <row r="1341">
      <c r="A1341" t="n">
        <v>14</v>
      </c>
      <c r="B1341" t="inlineStr">
        <is>
          <t>SS1</t>
        </is>
      </c>
      <c r="D1341" t="n">
        <v>13.06</v>
      </c>
      <c r="E1341" t="n">
        <v>746.11</v>
      </c>
      <c r="G1341" t="n">
        <v>18.799</v>
      </c>
      <c r="H1341" t="inlineStr">
        <is>
          <t>bb</t>
        </is>
      </c>
      <c r="I1341" t="n">
        <v>746.11</v>
      </c>
    </row>
    <row r="1342">
      <c r="A1342" t="n">
        <v>15</v>
      </c>
      <c r="B1342" t="inlineStr">
        <is>
          <t>SS2</t>
        </is>
      </c>
      <c r="D1342" t="n">
        <v>13.08</v>
      </c>
      <c r="E1342" t="n">
        <v>732.299</v>
      </c>
      <c r="G1342" t="n">
        <v>34.876</v>
      </c>
      <c r="H1342" t="inlineStr">
        <is>
          <t>bb</t>
        </is>
      </c>
      <c r="I1342" t="n">
        <v>732.299</v>
      </c>
    </row>
    <row r="1343">
      <c r="A1343" t="n">
        <v>16</v>
      </c>
      <c r="B1343" t="inlineStr">
        <is>
          <t>SS3</t>
        </is>
      </c>
      <c r="D1343" t="n">
        <v>13.09</v>
      </c>
      <c r="E1343" t="n">
        <v>639.246</v>
      </c>
      <c r="G1343" t="n">
        <v>13.9</v>
      </c>
      <c r="H1343" t="inlineStr">
        <is>
          <t>bb</t>
        </is>
      </c>
      <c r="I1343" t="n">
        <v>639.246</v>
      </c>
    </row>
    <row r="1345">
      <c r="A1345" t="inlineStr">
        <is>
          <t>Compound 68:  8:2 FTCA</t>
        </is>
      </c>
    </row>
    <row r="1347">
      <c r="B1347" t="inlineStr">
        <is>
          <t>Sample Text</t>
        </is>
      </c>
      <c r="C1347" t="inlineStr">
        <is>
          <t>Std. Conc</t>
        </is>
      </c>
      <c r="D1347" t="inlineStr">
        <is>
          <t>RT</t>
        </is>
      </c>
      <c r="E1347" t="inlineStr">
        <is>
          <t>Area</t>
        </is>
      </c>
      <c r="F1347" t="inlineStr">
        <is>
          <t>IS Area</t>
        </is>
      </c>
      <c r="G1347" t="inlineStr">
        <is>
          <t>S/N</t>
        </is>
      </c>
      <c r="H1347" t="inlineStr">
        <is>
          <t>Primary Flags</t>
        </is>
      </c>
      <c r="I1347" t="inlineStr">
        <is>
          <t>Response</t>
        </is>
      </c>
      <c r="J1347" t="inlineStr">
        <is>
          <t>Conc.</t>
        </is>
      </c>
    </row>
    <row r="1348">
      <c r="A1348" t="n">
        <v>1</v>
      </c>
      <c r="B1348" t="inlineStr">
        <is>
          <t>EPA1633 &amp; diPAPs Calibration 0 ppb</t>
        </is>
      </c>
    </row>
    <row r="1349">
      <c r="A1349" t="n">
        <v>2</v>
      </c>
      <c r="B1349" t="inlineStr">
        <is>
          <t>EPA1633 &amp; diPAPs Calibration 0.02 ppb</t>
        </is>
      </c>
    </row>
    <row r="1350">
      <c r="A1350" t="n">
        <v>3</v>
      </c>
      <c r="B1350" t="inlineStr">
        <is>
          <t>EPA1633 &amp; diPAPs Calibration 0.1 ppb</t>
        </is>
      </c>
    </row>
    <row r="1351">
      <c r="A1351" t="n">
        <v>4</v>
      </c>
      <c r="B1351" t="inlineStr">
        <is>
          <t>EPA1633 &amp; diPAPs Calibration 0.4 ppb</t>
        </is>
      </c>
    </row>
    <row r="1352">
      <c r="A1352" t="n">
        <v>5</v>
      </c>
      <c r="B1352" t="inlineStr">
        <is>
          <t>EPA1633 &amp; diPAPs Calibration 1 ppb</t>
        </is>
      </c>
      <c r="D1352" t="n">
        <v>13.34</v>
      </c>
      <c r="E1352" t="n">
        <v>49.435</v>
      </c>
      <c r="G1352" t="n">
        <v>350</v>
      </c>
      <c r="H1352" t="inlineStr">
        <is>
          <t>bb</t>
        </is>
      </c>
      <c r="I1352" t="n">
        <v>49.435</v>
      </c>
    </row>
    <row r="1353">
      <c r="A1353" t="n">
        <v>6</v>
      </c>
      <c r="B1353" t="inlineStr">
        <is>
          <t>EPA1633 &amp; diPAPs Calibration 5 ppb</t>
        </is>
      </c>
      <c r="D1353" t="n">
        <v>14.4</v>
      </c>
      <c r="E1353" t="n">
        <v>6.389</v>
      </c>
      <c r="G1353" t="n">
        <v>59</v>
      </c>
      <c r="H1353" t="inlineStr">
        <is>
          <t>MM</t>
        </is>
      </c>
      <c r="I1353" t="n">
        <v>6.389</v>
      </c>
    </row>
    <row r="1354">
      <c r="A1354" t="n">
        <v>7</v>
      </c>
      <c r="B1354" t="inlineStr">
        <is>
          <t>EPA1633 &amp; diPAPs Calibration 10 ppb</t>
        </is>
      </c>
      <c r="D1354" t="n">
        <v>13.34</v>
      </c>
      <c r="E1354" t="n">
        <v>41.284</v>
      </c>
      <c r="G1354" t="n">
        <v>6.405</v>
      </c>
      <c r="H1354" t="inlineStr">
        <is>
          <t>bb</t>
        </is>
      </c>
      <c r="I1354" t="n">
        <v>41.284</v>
      </c>
    </row>
    <row r="1355">
      <c r="A1355" t="n">
        <v>8</v>
      </c>
      <c r="B1355" t="inlineStr">
        <is>
          <t>EPA1633 &amp; diPAPs Calibration 20 ppb</t>
        </is>
      </c>
      <c r="D1355" t="n">
        <v>13.38</v>
      </c>
      <c r="E1355" t="n">
        <v>224.692</v>
      </c>
      <c r="G1355" t="n">
        <v>3.057</v>
      </c>
      <c r="H1355" t="inlineStr">
        <is>
          <t>bb</t>
        </is>
      </c>
      <c r="I1355" t="n">
        <v>224.692</v>
      </c>
    </row>
    <row r="1356">
      <c r="A1356" t="n">
        <v>9</v>
      </c>
      <c r="B1356" t="inlineStr">
        <is>
          <t>MeOH</t>
        </is>
      </c>
    </row>
    <row r="1357">
      <c r="A1357" t="n">
        <v>10</v>
      </c>
      <c r="B1357" t="inlineStr">
        <is>
          <t>MeOH</t>
        </is>
      </c>
    </row>
    <row r="1358">
      <c r="A1358" t="n">
        <v>11</v>
      </c>
      <c r="B1358" t="inlineStr">
        <is>
          <t>SB1</t>
        </is>
      </c>
    </row>
    <row r="1359">
      <c r="A1359" t="n">
        <v>12</v>
      </c>
      <c r="B1359" t="inlineStr">
        <is>
          <t>SB2</t>
        </is>
      </c>
    </row>
    <row r="1360">
      <c r="A1360" t="n">
        <v>13</v>
      </c>
      <c r="B1360" t="inlineStr">
        <is>
          <t>SB3</t>
        </is>
      </c>
      <c r="D1360" t="n">
        <v>13</v>
      </c>
      <c r="E1360" t="n">
        <v>8.259</v>
      </c>
      <c r="G1360" t="n">
        <v>78</v>
      </c>
      <c r="H1360" t="inlineStr">
        <is>
          <t>bb</t>
        </is>
      </c>
      <c r="I1360" t="n">
        <v>8.259</v>
      </c>
    </row>
    <row r="1361">
      <c r="A1361" t="n">
        <v>14</v>
      </c>
      <c r="B1361" t="inlineStr">
        <is>
          <t>SS1</t>
        </is>
      </c>
    </row>
    <row r="1362">
      <c r="A1362" t="n">
        <v>15</v>
      </c>
      <c r="B1362" t="inlineStr">
        <is>
          <t>SS2</t>
        </is>
      </c>
    </row>
    <row r="1363">
      <c r="A1363" t="n">
        <v>16</v>
      </c>
      <c r="B1363" t="inlineStr">
        <is>
          <t>SS3</t>
        </is>
      </c>
    </row>
    <row r="1365">
      <c r="A1365" t="inlineStr">
        <is>
          <t>Compound 69:  m2 8:2 FTCA</t>
        </is>
      </c>
    </row>
    <row r="1367">
      <c r="B1367" t="inlineStr">
        <is>
          <t>Sample Text</t>
        </is>
      </c>
      <c r="C1367" t="inlineStr">
        <is>
          <t>Std. Conc</t>
        </is>
      </c>
      <c r="D1367" t="inlineStr">
        <is>
          <t>RT</t>
        </is>
      </c>
      <c r="E1367" t="inlineStr">
        <is>
          <t>Area</t>
        </is>
      </c>
      <c r="F1367" t="inlineStr">
        <is>
          <t>IS Area</t>
        </is>
      </c>
      <c r="G1367" t="inlineStr">
        <is>
          <t>S/N</t>
        </is>
      </c>
      <c r="H1367" t="inlineStr">
        <is>
          <t>Primary Flags</t>
        </is>
      </c>
      <c r="I1367" t="inlineStr">
        <is>
          <t>Response</t>
        </is>
      </c>
      <c r="J1367" t="inlineStr">
        <is>
          <t>Conc.</t>
        </is>
      </c>
    </row>
    <row r="1368">
      <c r="A1368" t="n">
        <v>1</v>
      </c>
      <c r="B1368" t="inlineStr">
        <is>
          <t>EPA1633 &amp; diPAPs Calibration 0 ppb</t>
        </is>
      </c>
    </row>
    <row r="1369">
      <c r="A1369" t="n">
        <v>2</v>
      </c>
      <c r="B1369" t="inlineStr">
        <is>
          <t>EPA1633 &amp; diPAPs Calibration 0.02 ppb</t>
        </is>
      </c>
    </row>
    <row r="1370">
      <c r="A1370" t="n">
        <v>3</v>
      </c>
      <c r="B1370" t="inlineStr">
        <is>
          <t>EPA1633 &amp; diPAPs Calibration 0.1 ppb</t>
        </is>
      </c>
    </row>
    <row r="1371">
      <c r="A1371" t="n">
        <v>4</v>
      </c>
      <c r="B1371" t="inlineStr">
        <is>
          <t>EPA1633 &amp; diPAPs Calibration 0.4 ppb</t>
        </is>
      </c>
      <c r="D1371" t="n">
        <v>13.52</v>
      </c>
      <c r="E1371" t="n">
        <v>3.914</v>
      </c>
      <c r="G1371" t="n">
        <v>38</v>
      </c>
      <c r="H1371" t="inlineStr">
        <is>
          <t>bb</t>
        </is>
      </c>
      <c r="I1371" t="n">
        <v>3.914</v>
      </c>
    </row>
    <row r="1372">
      <c r="A1372" t="n">
        <v>5</v>
      </c>
      <c r="B1372" t="inlineStr">
        <is>
          <t>EPA1633 &amp; diPAPs Calibration 1 ppb</t>
        </is>
      </c>
    </row>
    <row r="1373">
      <c r="A1373" t="n">
        <v>6</v>
      </c>
      <c r="B1373" t="inlineStr">
        <is>
          <t>EPA1633 &amp; diPAPs Calibration 5 ppb</t>
        </is>
      </c>
    </row>
    <row r="1374">
      <c r="A1374" t="n">
        <v>7</v>
      </c>
      <c r="B1374" t="inlineStr">
        <is>
          <t>EPA1633 &amp; diPAPs Calibration 10 ppb</t>
        </is>
      </c>
      <c r="D1374" t="n">
        <v>13.28</v>
      </c>
      <c r="E1374" t="n">
        <v>5.442</v>
      </c>
      <c r="G1374" t="n">
        <v>46</v>
      </c>
      <c r="H1374" t="inlineStr">
        <is>
          <t>bb</t>
        </is>
      </c>
      <c r="I1374" t="n">
        <v>5.442</v>
      </c>
    </row>
    <row r="1375">
      <c r="A1375" t="n">
        <v>8</v>
      </c>
      <c r="B1375" t="inlineStr">
        <is>
          <t>EPA1633 &amp; diPAPs Calibration 20 ppb</t>
        </is>
      </c>
    </row>
    <row r="1376">
      <c r="A1376" t="n">
        <v>9</v>
      </c>
      <c r="B1376" t="inlineStr">
        <is>
          <t>MeOH</t>
        </is>
      </c>
    </row>
    <row r="1377">
      <c r="A1377" t="n">
        <v>10</v>
      </c>
      <c r="B1377" t="inlineStr">
        <is>
          <t>MeOH</t>
        </is>
      </c>
    </row>
    <row r="1378">
      <c r="A1378" t="n">
        <v>11</v>
      </c>
      <c r="B1378" t="inlineStr">
        <is>
          <t>SB1</t>
        </is>
      </c>
      <c r="D1378" t="n">
        <v>13.79</v>
      </c>
      <c r="E1378" t="n">
        <v>9.566000000000001</v>
      </c>
      <c r="G1378" t="n">
        <v>92</v>
      </c>
      <c r="H1378" t="inlineStr">
        <is>
          <t>bb</t>
        </is>
      </c>
      <c r="I1378" t="n">
        <v>9.566000000000001</v>
      </c>
    </row>
    <row r="1379">
      <c r="A1379" t="n">
        <v>12</v>
      </c>
      <c r="B1379" t="inlineStr">
        <is>
          <t>SB2</t>
        </is>
      </c>
    </row>
    <row r="1380">
      <c r="A1380" t="n">
        <v>13</v>
      </c>
      <c r="B1380" t="inlineStr">
        <is>
          <t>SB3</t>
        </is>
      </c>
    </row>
    <row r="1381">
      <c r="A1381" t="n">
        <v>14</v>
      </c>
      <c r="B1381" t="inlineStr">
        <is>
          <t>SS1</t>
        </is>
      </c>
    </row>
    <row r="1382">
      <c r="A1382" t="n">
        <v>15</v>
      </c>
      <c r="B1382" t="inlineStr">
        <is>
          <t>SS2</t>
        </is>
      </c>
    </row>
    <row r="1383">
      <c r="A1383" t="n">
        <v>16</v>
      </c>
      <c r="B1383" t="inlineStr">
        <is>
          <t>SS3</t>
        </is>
      </c>
    </row>
    <row r="1385">
      <c r="A1385" t="inlineStr">
        <is>
          <t>Compound 70:  FOSA 1</t>
        </is>
      </c>
    </row>
    <row r="1387">
      <c r="B1387" t="inlineStr">
        <is>
          <t>Sample Text</t>
        </is>
      </c>
      <c r="C1387" t="inlineStr">
        <is>
          <t>Std. Conc</t>
        </is>
      </c>
      <c r="D1387" t="inlineStr">
        <is>
          <t>RT</t>
        </is>
      </c>
      <c r="E1387" t="inlineStr">
        <is>
          <t>Area</t>
        </is>
      </c>
      <c r="F1387" t="inlineStr">
        <is>
          <t>IS Area</t>
        </is>
      </c>
      <c r="G1387" t="inlineStr">
        <is>
          <t>S/N</t>
        </is>
      </c>
      <c r="H1387" t="inlineStr">
        <is>
          <t>Primary Flags</t>
        </is>
      </c>
      <c r="I1387" t="inlineStr">
        <is>
          <t>Response</t>
        </is>
      </c>
      <c r="J1387" t="inlineStr">
        <is>
          <t>Conc.</t>
        </is>
      </c>
    </row>
    <row r="1388">
      <c r="A1388" t="n">
        <v>1</v>
      </c>
      <c r="B1388" t="inlineStr">
        <is>
          <t>EPA1633 &amp; diPAPs Calibration 0 ppb</t>
        </is>
      </c>
      <c r="D1388" t="n">
        <v>13.09</v>
      </c>
      <c r="E1388" t="n">
        <v>100.982</v>
      </c>
      <c r="F1388" t="n">
        <v>13205.621</v>
      </c>
      <c r="G1388" t="n">
        <v>4.571</v>
      </c>
      <c r="H1388" t="inlineStr">
        <is>
          <t>bb</t>
        </is>
      </c>
    </row>
    <row r="1389">
      <c r="A1389" t="n">
        <v>2</v>
      </c>
      <c r="B1389" t="inlineStr">
        <is>
          <t>EPA1633 &amp; diPAPs Calibration 0.02 ppb</t>
        </is>
      </c>
      <c r="D1389" t="n">
        <v>13.13</v>
      </c>
      <c r="E1389" t="n">
        <v>29.256</v>
      </c>
      <c r="F1389" t="n">
        <v>13259.294</v>
      </c>
      <c r="G1389" t="n">
        <v>213</v>
      </c>
      <c r="H1389" t="inlineStr">
        <is>
          <t>bb</t>
        </is>
      </c>
    </row>
    <row r="1390">
      <c r="A1390" t="n">
        <v>3</v>
      </c>
      <c r="B1390" t="inlineStr">
        <is>
          <t>EPA1633 &amp; diPAPs Calibration 0.1 ppb</t>
        </is>
      </c>
      <c r="D1390" t="n">
        <v>13.16</v>
      </c>
      <c r="E1390" t="n">
        <v>554.35</v>
      </c>
      <c r="F1390" t="n">
        <v>14266.168</v>
      </c>
      <c r="G1390" t="n">
        <v>14.607</v>
      </c>
      <c r="H1390" t="inlineStr">
        <is>
          <t>bb</t>
        </is>
      </c>
    </row>
    <row r="1391">
      <c r="A1391" t="n">
        <v>4</v>
      </c>
      <c r="B1391" t="inlineStr">
        <is>
          <t>EPA1633 &amp; diPAPs Calibration 0.4 ppb</t>
        </is>
      </c>
      <c r="D1391" t="n">
        <v>13.17</v>
      </c>
      <c r="E1391" t="n">
        <v>1532.081</v>
      </c>
      <c r="F1391" t="n">
        <v>12275.191</v>
      </c>
      <c r="G1391" t="n">
        <v>13.18</v>
      </c>
      <c r="H1391" t="inlineStr">
        <is>
          <t>MM</t>
        </is>
      </c>
    </row>
    <row r="1392">
      <c r="A1392" t="n">
        <v>5</v>
      </c>
      <c r="B1392" t="inlineStr">
        <is>
          <t>EPA1633 &amp; diPAPs Calibration 1 ppb</t>
        </is>
      </c>
      <c r="D1392" t="n">
        <v>13.17</v>
      </c>
      <c r="E1392" t="n">
        <v>1987.902</v>
      </c>
      <c r="F1392" t="n">
        <v>14683.087</v>
      </c>
      <c r="G1392" t="n">
        <v>335.888</v>
      </c>
      <c r="H1392" t="inlineStr">
        <is>
          <t>bb</t>
        </is>
      </c>
    </row>
    <row r="1393">
      <c r="A1393" t="n">
        <v>6</v>
      </c>
      <c r="B1393" t="inlineStr">
        <is>
          <t>EPA1633 &amp; diPAPs Calibration 5 ppb</t>
        </is>
      </c>
      <c r="D1393" t="n">
        <v>13.09</v>
      </c>
      <c r="E1393" t="n">
        <v>9972.636</v>
      </c>
      <c r="F1393" t="n">
        <v>12289.724</v>
      </c>
      <c r="G1393" t="n">
        <v>132.641</v>
      </c>
      <c r="H1393" t="inlineStr">
        <is>
          <t>bb</t>
        </is>
      </c>
    </row>
    <row r="1394">
      <c r="A1394" t="n">
        <v>7</v>
      </c>
      <c r="B1394" t="inlineStr">
        <is>
          <t>EPA1633 &amp; diPAPs Calibration 10 ppb</t>
        </is>
      </c>
      <c r="D1394" t="n">
        <v>13.11</v>
      </c>
      <c r="E1394" t="n">
        <v>17594.711</v>
      </c>
      <c r="F1394" t="n">
        <v>9146.025</v>
      </c>
      <c r="G1394" t="n">
        <v>1701.693</v>
      </c>
      <c r="H1394" t="inlineStr">
        <is>
          <t>bb</t>
        </is>
      </c>
    </row>
    <row r="1395">
      <c r="A1395" t="n">
        <v>8</v>
      </c>
      <c r="B1395" t="inlineStr">
        <is>
          <t>EPA1633 &amp; diPAPs Calibration 20 ppb</t>
        </is>
      </c>
      <c r="D1395" t="n">
        <v>13.12</v>
      </c>
      <c r="E1395" t="n">
        <v>38660.688</v>
      </c>
      <c r="F1395" t="n">
        <v>10540.908</v>
      </c>
      <c r="G1395" t="n">
        <v>339.359</v>
      </c>
      <c r="H1395" t="inlineStr">
        <is>
          <t>bb</t>
        </is>
      </c>
    </row>
    <row r="1396">
      <c r="A1396" t="n">
        <v>9</v>
      </c>
      <c r="B1396" t="inlineStr">
        <is>
          <t>MeOH</t>
        </is>
      </c>
      <c r="D1396" t="n">
        <v>12.82</v>
      </c>
      <c r="E1396" t="n">
        <v>5.313</v>
      </c>
      <c r="G1396" t="n">
        <v>52</v>
      </c>
      <c r="H1396" t="inlineStr">
        <is>
          <t>bb</t>
        </is>
      </c>
    </row>
    <row r="1397">
      <c r="A1397" t="n">
        <v>10</v>
      </c>
      <c r="B1397" t="inlineStr">
        <is>
          <t>MeOH</t>
        </is>
      </c>
      <c r="D1397" t="n">
        <v>13.17</v>
      </c>
      <c r="E1397" t="n">
        <v>73.82899999999999</v>
      </c>
      <c r="G1397" t="n">
        <v>13.354</v>
      </c>
      <c r="H1397" t="inlineStr">
        <is>
          <t>bb</t>
        </is>
      </c>
    </row>
    <row r="1398">
      <c r="A1398" t="n">
        <v>11</v>
      </c>
      <c r="B1398" t="inlineStr">
        <is>
          <t>SB1</t>
        </is>
      </c>
      <c r="D1398" t="n">
        <v>13.17</v>
      </c>
      <c r="E1398" t="n">
        <v>8.913</v>
      </c>
      <c r="F1398" t="n">
        <v>4312.337</v>
      </c>
      <c r="G1398" t="n">
        <v>1.275</v>
      </c>
      <c r="H1398" t="inlineStr">
        <is>
          <t>MM</t>
        </is>
      </c>
    </row>
    <row r="1399">
      <c r="A1399" t="n">
        <v>12</v>
      </c>
      <c r="B1399" t="inlineStr">
        <is>
          <t>SB2</t>
        </is>
      </c>
      <c r="F1399" t="n">
        <v>3563.555</v>
      </c>
    </row>
    <row r="1400">
      <c r="A1400" t="n">
        <v>13</v>
      </c>
      <c r="B1400" t="inlineStr">
        <is>
          <t>SB3</t>
        </is>
      </c>
      <c r="D1400" t="n">
        <v>13.17</v>
      </c>
      <c r="E1400" t="n">
        <v>16.847</v>
      </c>
      <c r="F1400" t="n">
        <v>4440.152</v>
      </c>
      <c r="G1400" t="n">
        <v>149</v>
      </c>
      <c r="H1400" t="inlineStr">
        <is>
          <t>bb</t>
        </is>
      </c>
    </row>
    <row r="1401">
      <c r="A1401" t="n">
        <v>14</v>
      </c>
      <c r="B1401" t="inlineStr">
        <is>
          <t>SS1</t>
        </is>
      </c>
      <c r="D1401" t="n">
        <v>13.2</v>
      </c>
      <c r="E1401" t="n">
        <v>6559.153</v>
      </c>
      <c r="F1401" t="n">
        <v>4327.706</v>
      </c>
      <c r="G1401" t="n">
        <v>1002.67</v>
      </c>
      <c r="H1401" t="inlineStr">
        <is>
          <t>bb</t>
        </is>
      </c>
    </row>
    <row r="1402">
      <c r="A1402" t="n">
        <v>15</v>
      </c>
      <c r="B1402" t="inlineStr">
        <is>
          <t>SS2</t>
        </is>
      </c>
      <c r="D1402" t="n">
        <v>13.21</v>
      </c>
      <c r="E1402" t="n">
        <v>6642.175</v>
      </c>
      <c r="F1402" t="n">
        <v>4560.75</v>
      </c>
      <c r="G1402" t="n">
        <v>549.946</v>
      </c>
      <c r="H1402" t="inlineStr">
        <is>
          <t>MM</t>
        </is>
      </c>
    </row>
    <row r="1403">
      <c r="A1403" t="n">
        <v>16</v>
      </c>
      <c r="B1403" t="inlineStr">
        <is>
          <t>SS3</t>
        </is>
      </c>
      <c r="D1403" t="n">
        <v>13.21</v>
      </c>
      <c r="E1403" t="n">
        <v>6847.048</v>
      </c>
      <c r="F1403" t="n">
        <v>4386.909</v>
      </c>
      <c r="G1403" t="n">
        <v>1706.56</v>
      </c>
      <c r="H1403" t="inlineStr">
        <is>
          <t>bb</t>
        </is>
      </c>
    </row>
    <row r="1405">
      <c r="A1405" t="inlineStr">
        <is>
          <t>Compound 71:  FOSA 2</t>
        </is>
      </c>
    </row>
    <row r="1407">
      <c r="B1407" t="inlineStr">
        <is>
          <t>Sample Text</t>
        </is>
      </c>
      <c r="C1407" t="inlineStr">
        <is>
          <t>Std. Conc</t>
        </is>
      </c>
      <c r="D1407" t="inlineStr">
        <is>
          <t>RT</t>
        </is>
      </c>
      <c r="E1407" t="inlineStr">
        <is>
          <t>Area</t>
        </is>
      </c>
      <c r="F1407" t="inlineStr">
        <is>
          <t>IS Area</t>
        </is>
      </c>
      <c r="G1407" t="inlineStr">
        <is>
          <t>S/N</t>
        </is>
      </c>
      <c r="H1407" t="inlineStr">
        <is>
          <t>Primary Flags</t>
        </is>
      </c>
      <c r="I1407" t="inlineStr">
        <is>
          <t>Response</t>
        </is>
      </c>
      <c r="J1407" t="inlineStr">
        <is>
          <t>Conc.</t>
        </is>
      </c>
    </row>
    <row r="1408">
      <c r="A1408" t="n">
        <v>1</v>
      </c>
      <c r="B1408" t="inlineStr">
        <is>
          <t>EPA1633 &amp; diPAPs Calibration 0 ppb</t>
        </is>
      </c>
      <c r="F1408" t="n">
        <v>491.389</v>
      </c>
    </row>
    <row r="1409">
      <c r="A1409" t="n">
        <v>2</v>
      </c>
      <c r="B1409" t="inlineStr">
        <is>
          <t>EPA1633 &amp; diPAPs Calibration 0.02 ppb</t>
        </is>
      </c>
      <c r="D1409" t="n">
        <v>12.84</v>
      </c>
      <c r="E1409" t="n">
        <v>9.394</v>
      </c>
      <c r="F1409" t="n">
        <v>390.028</v>
      </c>
      <c r="G1409" t="n">
        <v>91</v>
      </c>
      <c r="H1409" t="inlineStr">
        <is>
          <t>bb</t>
        </is>
      </c>
    </row>
    <row r="1410">
      <c r="A1410" t="n">
        <v>3</v>
      </c>
      <c r="B1410" t="inlineStr">
        <is>
          <t>EPA1633 &amp; diPAPs Calibration 0.1 ppb</t>
        </is>
      </c>
      <c r="F1410" t="n">
        <v>359.321</v>
      </c>
    </row>
    <row r="1411">
      <c r="A1411" t="n">
        <v>4</v>
      </c>
      <c r="B1411" t="inlineStr">
        <is>
          <t>EPA1633 &amp; diPAPs Calibration 0.4 ppb</t>
        </is>
      </c>
      <c r="D1411" t="n">
        <v>13.15</v>
      </c>
      <c r="E1411" t="n">
        <v>5.885</v>
      </c>
      <c r="F1411" t="n">
        <v>464.166</v>
      </c>
      <c r="G1411" t="n">
        <v>44</v>
      </c>
      <c r="H1411" t="inlineStr">
        <is>
          <t>bb</t>
        </is>
      </c>
    </row>
    <row r="1412">
      <c r="A1412" t="n">
        <v>5</v>
      </c>
      <c r="B1412" t="inlineStr">
        <is>
          <t>EPA1633 &amp; diPAPs Calibration 1 ppb</t>
        </is>
      </c>
      <c r="D1412" t="n">
        <v>13.8</v>
      </c>
      <c r="E1412" t="n">
        <v>0.297</v>
      </c>
      <c r="F1412" t="n">
        <v>220.859</v>
      </c>
      <c r="G1412" t="n">
        <v>3</v>
      </c>
      <c r="H1412" t="inlineStr">
        <is>
          <t>bb</t>
        </is>
      </c>
    </row>
    <row r="1413">
      <c r="A1413" t="n">
        <v>6</v>
      </c>
      <c r="B1413" t="inlineStr">
        <is>
          <t>EPA1633 &amp; diPAPs Calibration 5 ppb</t>
        </is>
      </c>
      <c r="D1413" t="n">
        <v>13.09</v>
      </c>
      <c r="E1413" t="n">
        <v>411.606</v>
      </c>
      <c r="F1413" t="n">
        <v>555.775</v>
      </c>
      <c r="G1413" t="n">
        <v>4.81</v>
      </c>
      <c r="H1413" t="inlineStr">
        <is>
          <t>MM</t>
        </is>
      </c>
    </row>
    <row r="1414">
      <c r="A1414" t="n">
        <v>7</v>
      </c>
      <c r="B1414" t="inlineStr">
        <is>
          <t>EPA1633 &amp; diPAPs Calibration 10 ppb</t>
        </is>
      </c>
      <c r="D1414" t="n">
        <v>13.11</v>
      </c>
      <c r="E1414" t="n">
        <v>496.832</v>
      </c>
      <c r="F1414" t="n">
        <v>571.982</v>
      </c>
      <c r="G1414" t="n">
        <v>12.394</v>
      </c>
      <c r="H1414" t="inlineStr">
        <is>
          <t>bb</t>
        </is>
      </c>
    </row>
    <row r="1415">
      <c r="A1415" t="n">
        <v>8</v>
      </c>
      <c r="B1415" t="inlineStr">
        <is>
          <t>EPA1633 &amp; diPAPs Calibration 20 ppb</t>
        </is>
      </c>
      <c r="D1415" t="n">
        <v>13.14</v>
      </c>
      <c r="E1415" t="n">
        <v>1172.394</v>
      </c>
      <c r="F1415" t="n">
        <v>516.349</v>
      </c>
      <c r="G1415" t="n">
        <v>12.404</v>
      </c>
      <c r="H1415" t="inlineStr">
        <is>
          <t>bb</t>
        </is>
      </c>
    </row>
    <row r="1416">
      <c r="A1416" t="n">
        <v>9</v>
      </c>
      <c r="B1416" t="inlineStr">
        <is>
          <t>MeOH</t>
        </is>
      </c>
      <c r="F1416" t="n">
        <v>1.579</v>
      </c>
    </row>
    <row r="1417">
      <c r="A1417" t="n">
        <v>10</v>
      </c>
      <c r="B1417" t="inlineStr">
        <is>
          <t>MeOH</t>
        </is>
      </c>
    </row>
    <row r="1418">
      <c r="A1418" t="n">
        <v>11</v>
      </c>
      <c r="B1418" t="inlineStr">
        <is>
          <t>SB1</t>
        </is>
      </c>
      <c r="D1418" t="n">
        <v>13.18</v>
      </c>
      <c r="E1418" t="n">
        <v>8.217000000000001</v>
      </c>
      <c r="F1418" t="n">
        <v>61.863</v>
      </c>
      <c r="G1418" t="n">
        <v>69</v>
      </c>
      <c r="H1418" t="inlineStr">
        <is>
          <t>bb</t>
        </is>
      </c>
    </row>
    <row r="1419">
      <c r="A1419" t="n">
        <v>12</v>
      </c>
      <c r="B1419" t="inlineStr">
        <is>
          <t>SB2</t>
        </is>
      </c>
      <c r="F1419" t="n">
        <v>127.898</v>
      </c>
    </row>
    <row r="1420">
      <c r="A1420" t="n">
        <v>13</v>
      </c>
      <c r="B1420" t="inlineStr">
        <is>
          <t>SB3</t>
        </is>
      </c>
      <c r="F1420" t="n">
        <v>26.182</v>
      </c>
    </row>
    <row r="1421">
      <c r="A1421" t="n">
        <v>14</v>
      </c>
      <c r="B1421" t="inlineStr">
        <is>
          <t>SS1</t>
        </is>
      </c>
      <c r="D1421" t="n">
        <v>13.21</v>
      </c>
      <c r="E1421" t="n">
        <v>167.503</v>
      </c>
      <c r="F1421" t="n">
        <v>32.047</v>
      </c>
      <c r="G1421" t="n">
        <v>1.022</v>
      </c>
      <c r="H1421" t="inlineStr">
        <is>
          <t>bb</t>
        </is>
      </c>
    </row>
    <row r="1422">
      <c r="A1422" t="n">
        <v>15</v>
      </c>
      <c r="B1422" t="inlineStr">
        <is>
          <t>SS2</t>
        </is>
      </c>
      <c r="D1422" t="n">
        <v>13.21</v>
      </c>
      <c r="E1422" t="n">
        <v>248.751</v>
      </c>
      <c r="F1422" t="n">
        <v>61.008</v>
      </c>
      <c r="G1422" t="n">
        <v>2.593</v>
      </c>
      <c r="H1422" t="inlineStr">
        <is>
          <t>bb</t>
        </is>
      </c>
    </row>
    <row r="1423">
      <c r="A1423" t="n">
        <v>16</v>
      </c>
      <c r="B1423" t="inlineStr">
        <is>
          <t>SS3</t>
        </is>
      </c>
      <c r="D1423" t="n">
        <v>13.2</v>
      </c>
      <c r="E1423" t="n">
        <v>210.691</v>
      </c>
      <c r="F1423" t="n">
        <v>63.737</v>
      </c>
      <c r="G1423" t="n">
        <v>0.962</v>
      </c>
      <c r="H1423" t="inlineStr">
        <is>
          <t>MM</t>
        </is>
      </c>
    </row>
    <row r="1425">
      <c r="A1425" t="inlineStr">
        <is>
          <t>Compound 72:  PFOS 1</t>
        </is>
      </c>
    </row>
    <row r="1427">
      <c r="B1427" t="inlineStr">
        <is>
          <t>Sample Text</t>
        </is>
      </c>
      <c r="C1427" t="inlineStr">
        <is>
          <t>Std. Conc</t>
        </is>
      </c>
      <c r="D1427" t="inlineStr">
        <is>
          <t>RT</t>
        </is>
      </c>
      <c r="E1427" t="inlineStr">
        <is>
          <t>Area</t>
        </is>
      </c>
      <c r="F1427" t="inlineStr">
        <is>
          <t>IS Area</t>
        </is>
      </c>
      <c r="G1427" t="inlineStr">
        <is>
          <t>S/N</t>
        </is>
      </c>
      <c r="H1427" t="inlineStr">
        <is>
          <t>Primary Flags</t>
        </is>
      </c>
      <c r="I1427" t="inlineStr">
        <is>
          <t>Response</t>
        </is>
      </c>
      <c r="J1427" t="inlineStr">
        <is>
          <t>Conc.</t>
        </is>
      </c>
    </row>
    <row r="1428">
      <c r="A1428" t="n">
        <v>1</v>
      </c>
      <c r="B1428" t="inlineStr">
        <is>
          <t>EPA1633 &amp; diPAPs Calibration 0 ppb</t>
        </is>
      </c>
      <c r="D1428" t="n">
        <v>13.04</v>
      </c>
      <c r="E1428" t="n">
        <v>96.84</v>
      </c>
      <c r="F1428" t="n">
        <v>16637.717</v>
      </c>
      <c r="G1428" t="n">
        <v>2.767</v>
      </c>
      <c r="H1428" t="inlineStr">
        <is>
          <t>bb</t>
        </is>
      </c>
    </row>
    <row r="1429">
      <c r="A1429" t="n">
        <v>2</v>
      </c>
      <c r="B1429" t="inlineStr">
        <is>
          <t>EPA1633 &amp; diPAPs Calibration 0.02 ppb</t>
        </is>
      </c>
      <c r="D1429" t="n">
        <v>13.04</v>
      </c>
      <c r="E1429" t="n">
        <v>455.526</v>
      </c>
      <c r="F1429" t="n">
        <v>14442.151</v>
      </c>
      <c r="G1429" t="n">
        <v>28.569</v>
      </c>
      <c r="H1429" t="inlineStr">
        <is>
          <t>bb</t>
        </is>
      </c>
    </row>
    <row r="1430">
      <c r="A1430" t="n">
        <v>3</v>
      </c>
      <c r="B1430" t="inlineStr">
        <is>
          <t>EPA1633 &amp; diPAPs Calibration 0.1 ppb</t>
        </is>
      </c>
      <c r="D1430" t="n">
        <v>13.05</v>
      </c>
      <c r="E1430" t="n">
        <v>447.818</v>
      </c>
      <c r="F1430" t="n">
        <v>14939.226</v>
      </c>
      <c r="G1430" t="n">
        <v>30.537</v>
      </c>
      <c r="H1430" t="inlineStr">
        <is>
          <t>bb</t>
        </is>
      </c>
    </row>
    <row r="1431">
      <c r="A1431" t="n">
        <v>4</v>
      </c>
      <c r="B1431" t="inlineStr">
        <is>
          <t>EPA1633 &amp; diPAPs Calibration 0.4 ppb</t>
        </is>
      </c>
      <c r="D1431" t="n">
        <v>13.05</v>
      </c>
      <c r="E1431" t="n">
        <v>1981.462</v>
      </c>
      <c r="F1431" t="n">
        <v>14017.551</v>
      </c>
      <c r="G1431" t="n">
        <v>103.198</v>
      </c>
      <c r="H1431" t="inlineStr">
        <is>
          <t>bb</t>
        </is>
      </c>
    </row>
    <row r="1432">
      <c r="A1432" t="n">
        <v>5</v>
      </c>
      <c r="B1432" t="inlineStr">
        <is>
          <t>EPA1633 &amp; diPAPs Calibration 1 ppb</t>
        </is>
      </c>
      <c r="D1432" t="n">
        <v>13.05</v>
      </c>
      <c r="E1432" t="n">
        <v>2359.058</v>
      </c>
      <c r="F1432" t="n">
        <v>15819.927</v>
      </c>
      <c r="G1432" t="n">
        <v>36.117</v>
      </c>
      <c r="H1432" t="inlineStr">
        <is>
          <t>MM</t>
        </is>
      </c>
    </row>
    <row r="1433">
      <c r="A1433" t="n">
        <v>6</v>
      </c>
      <c r="B1433" t="inlineStr">
        <is>
          <t>EPA1633 &amp; diPAPs Calibration 5 ppb</t>
        </is>
      </c>
      <c r="D1433" t="n">
        <v>12.98</v>
      </c>
      <c r="E1433" t="n">
        <v>11868.883</v>
      </c>
      <c r="F1433" t="n">
        <v>14259.822</v>
      </c>
      <c r="G1433" t="n">
        <v>80727</v>
      </c>
      <c r="H1433" t="inlineStr">
        <is>
          <t>MM</t>
        </is>
      </c>
    </row>
    <row r="1434">
      <c r="A1434" t="n">
        <v>7</v>
      </c>
      <c r="B1434" t="inlineStr">
        <is>
          <t>EPA1633 &amp; diPAPs Calibration 10 ppb</t>
        </is>
      </c>
      <c r="D1434" t="n">
        <v>12.99</v>
      </c>
      <c r="E1434" t="n">
        <v>22008.389</v>
      </c>
      <c r="F1434" t="n">
        <v>11049.457</v>
      </c>
      <c r="G1434" t="n">
        <v>2027.901</v>
      </c>
      <c r="H1434" t="inlineStr">
        <is>
          <t>MM</t>
        </is>
      </c>
    </row>
    <row r="1435">
      <c r="A1435" t="n">
        <v>8</v>
      </c>
      <c r="B1435" t="inlineStr">
        <is>
          <t>EPA1633 &amp; diPAPs Calibration 20 ppb</t>
        </is>
      </c>
      <c r="D1435" t="n">
        <v>13.01</v>
      </c>
      <c r="E1435" t="n">
        <v>45815.148</v>
      </c>
      <c r="F1435" t="n">
        <v>12460.612</v>
      </c>
      <c r="G1435" t="n">
        <v>2089.385</v>
      </c>
      <c r="H1435" t="inlineStr">
        <is>
          <t>db</t>
        </is>
      </c>
    </row>
    <row r="1436">
      <c r="A1436" t="n">
        <v>9</v>
      </c>
      <c r="B1436" t="inlineStr">
        <is>
          <t>MeOH</t>
        </is>
      </c>
      <c r="D1436" t="n">
        <v>13.02</v>
      </c>
      <c r="E1436" t="n">
        <v>285.305</v>
      </c>
      <c r="F1436" t="n">
        <v>4.973</v>
      </c>
      <c r="G1436" t="n">
        <v>5.039</v>
      </c>
      <c r="H1436" t="inlineStr">
        <is>
          <t>bb</t>
        </is>
      </c>
    </row>
    <row r="1437">
      <c r="A1437" t="n">
        <v>10</v>
      </c>
      <c r="B1437" t="inlineStr">
        <is>
          <t>MeOH</t>
        </is>
      </c>
      <c r="D1437" t="n">
        <v>13.08</v>
      </c>
      <c r="E1437" t="n">
        <v>115.938</v>
      </c>
      <c r="F1437" t="n">
        <v>0.6820000000000001</v>
      </c>
      <c r="G1437" t="n">
        <v>13.274</v>
      </c>
      <c r="H1437" t="inlineStr">
        <is>
          <t>bb</t>
        </is>
      </c>
    </row>
    <row r="1438">
      <c r="A1438" t="n">
        <v>11</v>
      </c>
      <c r="B1438" t="inlineStr">
        <is>
          <t>SB1</t>
        </is>
      </c>
      <c r="D1438" t="n">
        <v>13.05</v>
      </c>
      <c r="E1438" t="n">
        <v>621.849</v>
      </c>
      <c r="F1438" t="n">
        <v>6414.278</v>
      </c>
      <c r="G1438" t="n">
        <v>4.434</v>
      </c>
      <c r="H1438" t="inlineStr">
        <is>
          <t>bb</t>
        </is>
      </c>
    </row>
    <row r="1439">
      <c r="A1439" t="n">
        <v>12</v>
      </c>
      <c r="B1439" t="inlineStr">
        <is>
          <t>SB2</t>
        </is>
      </c>
      <c r="D1439" t="n">
        <v>13.06</v>
      </c>
      <c r="E1439" t="n">
        <v>432.236</v>
      </c>
      <c r="F1439" t="n">
        <v>5459.898</v>
      </c>
      <c r="G1439" t="n">
        <v>13.6</v>
      </c>
      <c r="H1439" t="inlineStr">
        <is>
          <t>bb</t>
        </is>
      </c>
    </row>
    <row r="1440">
      <c r="A1440" t="n">
        <v>13</v>
      </c>
      <c r="B1440" t="inlineStr">
        <is>
          <t>SB3</t>
        </is>
      </c>
      <c r="D1440" t="n">
        <v>13.08</v>
      </c>
      <c r="E1440" t="n">
        <v>249.687</v>
      </c>
      <c r="F1440" t="n">
        <v>5569.052</v>
      </c>
      <c r="G1440" t="n">
        <v>24.701</v>
      </c>
      <c r="H1440" t="inlineStr">
        <is>
          <t>bb</t>
        </is>
      </c>
    </row>
    <row r="1441">
      <c r="A1441" t="n">
        <v>14</v>
      </c>
      <c r="B1441" t="inlineStr">
        <is>
          <t>SS1</t>
        </is>
      </c>
      <c r="D1441" t="n">
        <v>13.08</v>
      </c>
      <c r="E1441" t="n">
        <v>8683.874</v>
      </c>
      <c r="F1441" t="n">
        <v>5405.744</v>
      </c>
      <c r="G1441" t="n">
        <v>115.927</v>
      </c>
      <c r="H1441" t="inlineStr">
        <is>
          <t>MM</t>
        </is>
      </c>
    </row>
    <row r="1442">
      <c r="A1442" t="n">
        <v>15</v>
      </c>
      <c r="B1442" t="inlineStr">
        <is>
          <t>SS2</t>
        </is>
      </c>
      <c r="D1442" t="n">
        <v>13.09</v>
      </c>
      <c r="E1442" t="n">
        <v>9778.018</v>
      </c>
      <c r="F1442" t="n">
        <v>5358.604</v>
      </c>
      <c r="G1442" t="n">
        <v>273.629</v>
      </c>
      <c r="H1442" t="inlineStr">
        <is>
          <t>MM</t>
        </is>
      </c>
    </row>
    <row r="1443">
      <c r="A1443" t="n">
        <v>16</v>
      </c>
      <c r="B1443" t="inlineStr">
        <is>
          <t>SS3</t>
        </is>
      </c>
      <c r="D1443" t="n">
        <v>13.11</v>
      </c>
      <c r="E1443" t="n">
        <v>10325.898</v>
      </c>
      <c r="F1443" t="n">
        <v>5299.512</v>
      </c>
      <c r="G1443" t="n">
        <v>176.405</v>
      </c>
      <c r="H1443" t="inlineStr">
        <is>
          <t>bb</t>
        </is>
      </c>
    </row>
    <row r="1445">
      <c r="A1445" t="inlineStr">
        <is>
          <t>Compound 73:  PFOS 2</t>
        </is>
      </c>
    </row>
    <row r="1447">
      <c r="B1447" t="inlineStr">
        <is>
          <t>Sample Text</t>
        </is>
      </c>
      <c r="C1447" t="inlineStr">
        <is>
          <t>Std. Conc</t>
        </is>
      </c>
      <c r="D1447" t="inlineStr">
        <is>
          <t>RT</t>
        </is>
      </c>
      <c r="E1447" t="inlineStr">
        <is>
          <t>Area</t>
        </is>
      </c>
      <c r="F1447" t="inlineStr">
        <is>
          <t>IS Area</t>
        </is>
      </c>
      <c r="G1447" t="inlineStr">
        <is>
          <t>S/N</t>
        </is>
      </c>
      <c r="H1447" t="inlineStr">
        <is>
          <t>Primary Flags</t>
        </is>
      </c>
      <c r="I1447" t="inlineStr">
        <is>
          <t>Response</t>
        </is>
      </c>
      <c r="J1447" t="inlineStr">
        <is>
          <t>Conc.</t>
        </is>
      </c>
    </row>
    <row r="1448">
      <c r="A1448" t="n">
        <v>1</v>
      </c>
      <c r="B1448" t="inlineStr">
        <is>
          <t>EPA1633 &amp; diPAPs Calibration 0 ppb</t>
        </is>
      </c>
      <c r="D1448" t="n">
        <v>13.04</v>
      </c>
      <c r="E1448" t="n">
        <v>184.68</v>
      </c>
      <c r="F1448" t="n">
        <v>16637.717</v>
      </c>
      <c r="G1448" t="n">
        <v>2.656</v>
      </c>
      <c r="H1448" t="inlineStr">
        <is>
          <t>MM</t>
        </is>
      </c>
    </row>
    <row r="1449">
      <c r="A1449" t="n">
        <v>2</v>
      </c>
      <c r="B1449" t="inlineStr">
        <is>
          <t>EPA1633 &amp; diPAPs Calibration 0.02 ppb</t>
        </is>
      </c>
      <c r="D1449" t="n">
        <v>13.04</v>
      </c>
      <c r="E1449" t="n">
        <v>306.318</v>
      </c>
      <c r="F1449" t="n">
        <v>14442.151</v>
      </c>
      <c r="G1449" t="n">
        <v>16.557</v>
      </c>
      <c r="H1449" t="inlineStr">
        <is>
          <t>bb</t>
        </is>
      </c>
    </row>
    <row r="1450">
      <c r="A1450" t="n">
        <v>3</v>
      </c>
      <c r="B1450" t="inlineStr">
        <is>
          <t>EPA1633 &amp; diPAPs Calibration 0.1 ppb</t>
        </is>
      </c>
      <c r="D1450" t="n">
        <v>13.04</v>
      </c>
      <c r="E1450" t="n">
        <v>461.521</v>
      </c>
      <c r="F1450" t="n">
        <v>14939.226</v>
      </c>
      <c r="G1450" t="n">
        <v>14.566</v>
      </c>
      <c r="H1450" t="inlineStr">
        <is>
          <t>MM</t>
        </is>
      </c>
    </row>
    <row r="1451">
      <c r="A1451" t="n">
        <v>4</v>
      </c>
      <c r="B1451" t="inlineStr">
        <is>
          <t>EPA1633 &amp; diPAPs Calibration 0.4 ppb</t>
        </is>
      </c>
      <c r="D1451" t="n">
        <v>13.04</v>
      </c>
      <c r="E1451" t="n">
        <v>1127.916</v>
      </c>
      <c r="F1451" t="n">
        <v>14017.551</v>
      </c>
      <c r="G1451" t="n">
        <v>25.434</v>
      </c>
      <c r="H1451" t="inlineStr">
        <is>
          <t>bb</t>
        </is>
      </c>
    </row>
    <row r="1452">
      <c r="A1452" t="n">
        <v>5</v>
      </c>
      <c r="B1452" t="inlineStr">
        <is>
          <t>EPA1633 &amp; diPAPs Calibration 1 ppb</t>
        </is>
      </c>
      <c r="D1452" t="n">
        <v>13.05</v>
      </c>
      <c r="E1452" t="n">
        <v>1808.297</v>
      </c>
      <c r="F1452" t="n">
        <v>15819.927</v>
      </c>
      <c r="G1452" t="n">
        <v>33.804</v>
      </c>
      <c r="H1452" t="inlineStr">
        <is>
          <t>MM</t>
        </is>
      </c>
    </row>
    <row r="1453">
      <c r="A1453" t="n">
        <v>6</v>
      </c>
      <c r="B1453" t="inlineStr">
        <is>
          <t>EPA1633 &amp; diPAPs Calibration 5 ppb</t>
        </is>
      </c>
      <c r="D1453" t="n">
        <v>12.96</v>
      </c>
      <c r="E1453" t="n">
        <v>7432.766</v>
      </c>
      <c r="F1453" t="n">
        <v>14259.822</v>
      </c>
      <c r="G1453" t="n">
        <v>439.068</v>
      </c>
      <c r="H1453" t="inlineStr">
        <is>
          <t>MM</t>
        </is>
      </c>
    </row>
    <row r="1454">
      <c r="A1454" t="n">
        <v>7</v>
      </c>
      <c r="B1454" t="inlineStr">
        <is>
          <t>EPA1633 &amp; diPAPs Calibration 10 ppb</t>
        </is>
      </c>
      <c r="D1454" t="n">
        <v>12.98</v>
      </c>
      <c r="E1454" t="n">
        <v>13253.655</v>
      </c>
      <c r="F1454" t="n">
        <v>11049.457</v>
      </c>
      <c r="G1454" t="n">
        <v>491.502</v>
      </c>
      <c r="H1454" t="inlineStr">
        <is>
          <t>MM</t>
        </is>
      </c>
    </row>
    <row r="1455">
      <c r="A1455" t="n">
        <v>8</v>
      </c>
      <c r="B1455" t="inlineStr">
        <is>
          <t>EPA1633 &amp; diPAPs Calibration 20 ppb</t>
        </is>
      </c>
      <c r="D1455" t="n">
        <v>13.01</v>
      </c>
      <c r="E1455" t="n">
        <v>27561.484</v>
      </c>
      <c r="F1455" t="n">
        <v>12460.612</v>
      </c>
      <c r="G1455" t="n">
        <v>1328.934</v>
      </c>
      <c r="H1455" t="inlineStr">
        <is>
          <t>MM</t>
        </is>
      </c>
    </row>
    <row r="1456">
      <c r="A1456" t="n">
        <v>9</v>
      </c>
      <c r="B1456" t="inlineStr">
        <is>
          <t>MeOH</t>
        </is>
      </c>
      <c r="D1456" t="n">
        <v>13.05</v>
      </c>
      <c r="E1456" t="n">
        <v>254.963</v>
      </c>
      <c r="F1456" t="n">
        <v>4.973</v>
      </c>
      <c r="G1456" t="n">
        <v>12.046</v>
      </c>
      <c r="H1456" t="inlineStr">
        <is>
          <t>bb</t>
        </is>
      </c>
    </row>
    <row r="1457">
      <c r="A1457" t="n">
        <v>10</v>
      </c>
      <c r="B1457" t="inlineStr">
        <is>
          <t>MeOH</t>
        </is>
      </c>
      <c r="F1457" t="n">
        <v>0.6820000000000001</v>
      </c>
    </row>
    <row r="1458">
      <c r="A1458" t="n">
        <v>11</v>
      </c>
      <c r="B1458" t="inlineStr">
        <is>
          <t>SB1</t>
        </is>
      </c>
      <c r="D1458" t="n">
        <v>13.06</v>
      </c>
      <c r="E1458" t="n">
        <v>398.226</v>
      </c>
      <c r="F1458" t="n">
        <v>6414.278</v>
      </c>
      <c r="G1458" t="n">
        <v>18.197</v>
      </c>
      <c r="H1458" t="inlineStr">
        <is>
          <t>bb</t>
        </is>
      </c>
    </row>
    <row r="1459">
      <c r="A1459" t="n">
        <v>12</v>
      </c>
      <c r="B1459" t="inlineStr">
        <is>
          <t>SB2</t>
        </is>
      </c>
      <c r="D1459" t="n">
        <v>13.06</v>
      </c>
      <c r="E1459" t="n">
        <v>248.303</v>
      </c>
      <c r="F1459" t="n">
        <v>5459.898</v>
      </c>
      <c r="G1459" t="n">
        <v>7.355</v>
      </c>
      <c r="H1459" t="inlineStr">
        <is>
          <t>bb</t>
        </is>
      </c>
    </row>
    <row r="1460">
      <c r="A1460" t="n">
        <v>13</v>
      </c>
      <c r="B1460" t="inlineStr">
        <is>
          <t>SB3</t>
        </is>
      </c>
      <c r="D1460" t="n">
        <v>13.04</v>
      </c>
      <c r="E1460" t="n">
        <v>273.952</v>
      </c>
      <c r="F1460" t="n">
        <v>5569.052</v>
      </c>
      <c r="G1460" t="n">
        <v>10.767</v>
      </c>
      <c r="H1460" t="inlineStr">
        <is>
          <t>MM</t>
        </is>
      </c>
    </row>
    <row r="1461">
      <c r="A1461" t="n">
        <v>14</v>
      </c>
      <c r="B1461" t="inlineStr">
        <is>
          <t>SS1</t>
        </is>
      </c>
      <c r="D1461" t="n">
        <v>13.08</v>
      </c>
      <c r="E1461" t="n">
        <v>6353.529</v>
      </c>
      <c r="F1461" t="n">
        <v>5405.744</v>
      </c>
      <c r="G1461" t="n">
        <v>44.546</v>
      </c>
      <c r="H1461" t="inlineStr">
        <is>
          <t>MM</t>
        </is>
      </c>
    </row>
    <row r="1462">
      <c r="A1462" t="n">
        <v>15</v>
      </c>
      <c r="B1462" t="inlineStr">
        <is>
          <t>SS2</t>
        </is>
      </c>
      <c r="D1462" t="n">
        <v>13.09</v>
      </c>
      <c r="E1462" t="n">
        <v>6395.626</v>
      </c>
      <c r="F1462" t="n">
        <v>5358.604</v>
      </c>
      <c r="G1462" t="n">
        <v>62.03</v>
      </c>
      <c r="H1462" t="inlineStr">
        <is>
          <t>MM</t>
        </is>
      </c>
    </row>
    <row r="1463">
      <c r="A1463" t="n">
        <v>16</v>
      </c>
      <c r="B1463" t="inlineStr">
        <is>
          <t>SS3</t>
        </is>
      </c>
      <c r="D1463" t="n">
        <v>13.09</v>
      </c>
      <c r="E1463" t="n">
        <v>6605.225</v>
      </c>
      <c r="F1463" t="n">
        <v>5299.512</v>
      </c>
      <c r="G1463" t="n">
        <v>124.756</v>
      </c>
      <c r="H1463" t="inlineStr">
        <is>
          <t>bb</t>
        </is>
      </c>
    </row>
    <row r="1465">
      <c r="A1465" t="inlineStr">
        <is>
          <t>Compound 74:  m8 FOSA 1</t>
        </is>
      </c>
    </row>
    <row r="1467">
      <c r="B1467" t="inlineStr">
        <is>
          <t>Sample Text</t>
        </is>
      </c>
      <c r="C1467" t="inlineStr">
        <is>
          <t>Std. Conc</t>
        </is>
      </c>
      <c r="D1467" t="inlineStr">
        <is>
          <t>RT</t>
        </is>
      </c>
      <c r="E1467" t="inlineStr">
        <is>
          <t>Area</t>
        </is>
      </c>
      <c r="F1467" t="inlineStr">
        <is>
          <t>IS Area</t>
        </is>
      </c>
      <c r="G1467" t="inlineStr">
        <is>
          <t>S/N</t>
        </is>
      </c>
      <c r="H1467" t="inlineStr">
        <is>
          <t>Primary Flags</t>
        </is>
      </c>
      <c r="I1467" t="inlineStr">
        <is>
          <t>Response</t>
        </is>
      </c>
      <c r="J1467" t="inlineStr">
        <is>
          <t>Conc.</t>
        </is>
      </c>
    </row>
    <row r="1468">
      <c r="A1468" t="n">
        <v>1</v>
      </c>
      <c r="B1468" t="inlineStr">
        <is>
          <t>EPA1633 &amp; diPAPs Calibration 0 ppb</t>
        </is>
      </c>
      <c r="D1468" t="n">
        <v>13.13</v>
      </c>
      <c r="E1468" t="n">
        <v>13205.621</v>
      </c>
      <c r="G1468" t="n">
        <v>1766.381</v>
      </c>
      <c r="H1468" t="inlineStr">
        <is>
          <t>bb</t>
        </is>
      </c>
      <c r="I1468" t="n">
        <v>13205.621</v>
      </c>
    </row>
    <row r="1469">
      <c r="A1469" t="n">
        <v>2</v>
      </c>
      <c r="B1469" t="inlineStr">
        <is>
          <t>EPA1633 &amp; diPAPs Calibration 0.02 ppb</t>
        </is>
      </c>
      <c r="D1469" t="n">
        <v>13.16</v>
      </c>
      <c r="E1469" t="n">
        <v>13259.294</v>
      </c>
      <c r="G1469" t="n">
        <v>92150</v>
      </c>
      <c r="H1469" t="inlineStr">
        <is>
          <t>bb</t>
        </is>
      </c>
      <c r="I1469" t="n">
        <v>13259.294</v>
      </c>
    </row>
    <row r="1470">
      <c r="A1470" t="n">
        <v>3</v>
      </c>
      <c r="B1470" t="inlineStr">
        <is>
          <t>EPA1633 &amp; diPAPs Calibration 0.1 ppb</t>
        </is>
      </c>
      <c r="D1470" t="n">
        <v>13.14</v>
      </c>
      <c r="E1470" t="n">
        <v>14266.168</v>
      </c>
      <c r="G1470" t="n">
        <v>283.087</v>
      </c>
      <c r="H1470" t="inlineStr">
        <is>
          <t>bb</t>
        </is>
      </c>
      <c r="I1470" t="n">
        <v>14266.168</v>
      </c>
    </row>
    <row r="1471">
      <c r="A1471" t="n">
        <v>4</v>
      </c>
      <c r="B1471" t="inlineStr">
        <is>
          <t>EPA1633 &amp; diPAPs Calibration 0.4 ppb</t>
        </is>
      </c>
      <c r="D1471" t="n">
        <v>13.15</v>
      </c>
      <c r="E1471" t="n">
        <v>12275.191</v>
      </c>
      <c r="G1471" t="n">
        <v>165.497</v>
      </c>
      <c r="H1471" t="inlineStr">
        <is>
          <t>bb</t>
        </is>
      </c>
      <c r="I1471" t="n">
        <v>12275.191</v>
      </c>
    </row>
    <row r="1472">
      <c r="A1472" t="n">
        <v>5</v>
      </c>
      <c r="B1472" t="inlineStr">
        <is>
          <t>EPA1633 &amp; diPAPs Calibration 1 ppb</t>
        </is>
      </c>
      <c r="D1472" t="n">
        <v>13.17</v>
      </c>
      <c r="E1472" t="n">
        <v>14683.087</v>
      </c>
      <c r="G1472" t="n">
        <v>101559</v>
      </c>
      <c r="H1472" t="inlineStr">
        <is>
          <t>bb</t>
        </is>
      </c>
      <c r="I1472" t="n">
        <v>14683.087</v>
      </c>
    </row>
    <row r="1473">
      <c r="A1473" t="n">
        <v>6</v>
      </c>
      <c r="B1473" t="inlineStr">
        <is>
          <t>EPA1633 &amp; diPAPs Calibration 5 ppb</t>
        </is>
      </c>
      <c r="D1473" t="n">
        <v>13.1</v>
      </c>
      <c r="E1473" t="n">
        <v>12289.724</v>
      </c>
      <c r="G1473" t="n">
        <v>86755</v>
      </c>
      <c r="H1473" t="inlineStr">
        <is>
          <t>bb</t>
        </is>
      </c>
      <c r="I1473" t="n">
        <v>12289.724</v>
      </c>
    </row>
    <row r="1474">
      <c r="A1474" t="n">
        <v>7</v>
      </c>
      <c r="B1474" t="inlineStr">
        <is>
          <t>EPA1633 &amp; diPAPs Calibration 10 ppb</t>
        </is>
      </c>
      <c r="D1474" t="n">
        <v>13.1</v>
      </c>
      <c r="E1474" t="n">
        <v>9146.025</v>
      </c>
      <c r="G1474" t="n">
        <v>202.479</v>
      </c>
      <c r="H1474" t="inlineStr">
        <is>
          <t>bb</t>
        </is>
      </c>
      <c r="I1474" t="n">
        <v>9146.025</v>
      </c>
    </row>
    <row r="1475">
      <c r="A1475" t="n">
        <v>8</v>
      </c>
      <c r="B1475" t="inlineStr">
        <is>
          <t>EPA1633 &amp; diPAPs Calibration 20 ppb</t>
        </is>
      </c>
      <c r="D1475" t="n">
        <v>13.12</v>
      </c>
      <c r="E1475" t="n">
        <v>10540.908</v>
      </c>
      <c r="G1475" t="n">
        <v>165.121</v>
      </c>
      <c r="H1475" t="inlineStr">
        <is>
          <t>bb</t>
        </is>
      </c>
      <c r="I1475" t="n">
        <v>10540.908</v>
      </c>
    </row>
    <row r="1476">
      <c r="A1476" t="n">
        <v>9</v>
      </c>
      <c r="B1476" t="inlineStr">
        <is>
          <t>MeOH</t>
        </is>
      </c>
    </row>
    <row r="1477">
      <c r="A1477" t="n">
        <v>10</v>
      </c>
      <c r="B1477" t="inlineStr">
        <is>
          <t>MeOH</t>
        </is>
      </c>
    </row>
    <row r="1478">
      <c r="A1478" t="n">
        <v>11</v>
      </c>
      <c r="B1478" t="inlineStr">
        <is>
          <t>SB1</t>
        </is>
      </c>
      <c r="D1478" t="n">
        <v>13.17</v>
      </c>
      <c r="E1478" t="n">
        <v>4312.337</v>
      </c>
      <c r="G1478" t="n">
        <v>29112</v>
      </c>
      <c r="H1478" t="inlineStr">
        <is>
          <t>bb</t>
        </is>
      </c>
      <c r="I1478" t="n">
        <v>4312.337</v>
      </c>
    </row>
    <row r="1479">
      <c r="A1479" t="n">
        <v>12</v>
      </c>
      <c r="B1479" t="inlineStr">
        <is>
          <t>SB2</t>
        </is>
      </c>
      <c r="D1479" t="n">
        <v>13.18</v>
      </c>
      <c r="E1479" t="n">
        <v>3563.555</v>
      </c>
      <c r="G1479" t="n">
        <v>188.085</v>
      </c>
      <c r="H1479" t="inlineStr">
        <is>
          <t>bb</t>
        </is>
      </c>
      <c r="I1479" t="n">
        <v>3563.555</v>
      </c>
    </row>
    <row r="1480">
      <c r="A1480" t="n">
        <v>13</v>
      </c>
      <c r="B1480" t="inlineStr">
        <is>
          <t>SB3</t>
        </is>
      </c>
      <c r="D1480" t="n">
        <v>13.18</v>
      </c>
      <c r="E1480" t="n">
        <v>4440.152</v>
      </c>
      <c r="G1480" t="n">
        <v>1094.624</v>
      </c>
      <c r="H1480" t="inlineStr">
        <is>
          <t>bb</t>
        </is>
      </c>
      <c r="I1480" t="n">
        <v>4440.152</v>
      </c>
    </row>
    <row r="1481">
      <c r="A1481" t="n">
        <v>14</v>
      </c>
      <c r="B1481" t="inlineStr">
        <is>
          <t>SS1</t>
        </is>
      </c>
      <c r="D1481" t="n">
        <v>13.2</v>
      </c>
      <c r="E1481" t="n">
        <v>4327.706</v>
      </c>
      <c r="G1481" t="n">
        <v>115.983</v>
      </c>
      <c r="H1481" t="inlineStr">
        <is>
          <t>bb</t>
        </is>
      </c>
      <c r="I1481" t="n">
        <v>4327.706</v>
      </c>
    </row>
    <row r="1482">
      <c r="A1482" t="n">
        <v>15</v>
      </c>
      <c r="B1482" t="inlineStr">
        <is>
          <t>SS2</t>
        </is>
      </c>
      <c r="D1482" t="n">
        <v>13.22</v>
      </c>
      <c r="E1482" t="n">
        <v>4560.75</v>
      </c>
      <c r="G1482" t="n">
        <v>1297.448</v>
      </c>
      <c r="H1482" t="inlineStr">
        <is>
          <t>bb</t>
        </is>
      </c>
      <c r="I1482" t="n">
        <v>4560.75</v>
      </c>
    </row>
    <row r="1483">
      <c r="A1483" t="n">
        <v>16</v>
      </c>
      <c r="B1483" t="inlineStr">
        <is>
          <t>SS3</t>
        </is>
      </c>
      <c r="D1483" t="n">
        <v>13.22</v>
      </c>
      <c r="E1483" t="n">
        <v>4386.909</v>
      </c>
      <c r="G1483" t="n">
        <v>30138</v>
      </c>
      <c r="H1483" t="inlineStr">
        <is>
          <t>bb</t>
        </is>
      </c>
      <c r="I1483" t="n">
        <v>4386.909</v>
      </c>
    </row>
    <row r="1485">
      <c r="A1485" t="inlineStr">
        <is>
          <t>Compound 75:  m8 FOSA 2</t>
        </is>
      </c>
    </row>
    <row r="1487">
      <c r="B1487" t="inlineStr">
        <is>
          <t>Sample Text</t>
        </is>
      </c>
      <c r="C1487" t="inlineStr">
        <is>
          <t>Std. Conc</t>
        </is>
      </c>
      <c r="D1487" t="inlineStr">
        <is>
          <t>RT</t>
        </is>
      </c>
      <c r="E1487" t="inlineStr">
        <is>
          <t>Area</t>
        </is>
      </c>
      <c r="F1487" t="inlineStr">
        <is>
          <t>IS Area</t>
        </is>
      </c>
      <c r="G1487" t="inlineStr">
        <is>
          <t>S/N</t>
        </is>
      </c>
      <c r="H1487" t="inlineStr">
        <is>
          <t>Primary Flags</t>
        </is>
      </c>
      <c r="I1487" t="inlineStr">
        <is>
          <t>Response</t>
        </is>
      </c>
      <c r="J1487" t="inlineStr">
        <is>
          <t>Conc.</t>
        </is>
      </c>
    </row>
    <row r="1488">
      <c r="A1488" t="n">
        <v>1</v>
      </c>
      <c r="B1488" t="inlineStr">
        <is>
          <t>EPA1633 &amp; diPAPs Calibration 0 ppb</t>
        </is>
      </c>
      <c r="D1488" t="n">
        <v>13.14</v>
      </c>
      <c r="E1488" t="n">
        <v>491.389</v>
      </c>
      <c r="G1488" t="n">
        <v>3550</v>
      </c>
      <c r="H1488" t="inlineStr">
        <is>
          <t>bb</t>
        </is>
      </c>
      <c r="I1488" t="n">
        <v>491.389</v>
      </c>
    </row>
    <row r="1489">
      <c r="A1489" t="n">
        <v>2</v>
      </c>
      <c r="B1489" t="inlineStr">
        <is>
          <t>EPA1633 &amp; diPAPs Calibration 0.02 ppb</t>
        </is>
      </c>
      <c r="D1489" t="n">
        <v>13.14</v>
      </c>
      <c r="E1489" t="n">
        <v>390.028</v>
      </c>
      <c r="G1489" t="n">
        <v>3116</v>
      </c>
      <c r="H1489" t="inlineStr">
        <is>
          <t>bb</t>
        </is>
      </c>
      <c r="I1489" t="n">
        <v>390.028</v>
      </c>
    </row>
    <row r="1490">
      <c r="A1490" t="n">
        <v>3</v>
      </c>
      <c r="B1490" t="inlineStr">
        <is>
          <t>EPA1633 &amp; diPAPs Calibration 0.1 ppb</t>
        </is>
      </c>
      <c r="D1490" t="n">
        <v>13.14</v>
      </c>
      <c r="E1490" t="n">
        <v>359.321</v>
      </c>
      <c r="G1490" t="n">
        <v>2601</v>
      </c>
      <c r="H1490" t="inlineStr">
        <is>
          <t>bb</t>
        </is>
      </c>
      <c r="I1490" t="n">
        <v>359.321</v>
      </c>
    </row>
    <row r="1491">
      <c r="A1491" t="n">
        <v>4</v>
      </c>
      <c r="B1491" t="inlineStr">
        <is>
          <t>EPA1633 &amp; diPAPs Calibration 0.4 ppb</t>
        </is>
      </c>
      <c r="D1491" t="n">
        <v>13.17</v>
      </c>
      <c r="E1491" t="n">
        <v>464.166</v>
      </c>
      <c r="G1491" t="n">
        <v>3315</v>
      </c>
      <c r="H1491" t="inlineStr">
        <is>
          <t>bb</t>
        </is>
      </c>
      <c r="I1491" t="n">
        <v>464.166</v>
      </c>
    </row>
    <row r="1492">
      <c r="A1492" t="n">
        <v>5</v>
      </c>
      <c r="B1492" t="inlineStr">
        <is>
          <t>EPA1633 &amp; diPAPs Calibration 1 ppb</t>
        </is>
      </c>
      <c r="D1492" t="n">
        <v>13.15</v>
      </c>
      <c r="E1492" t="n">
        <v>220.859</v>
      </c>
      <c r="G1492" t="n">
        <v>1651</v>
      </c>
      <c r="H1492" t="inlineStr">
        <is>
          <t>bb</t>
        </is>
      </c>
      <c r="I1492" t="n">
        <v>220.859</v>
      </c>
    </row>
    <row r="1493">
      <c r="A1493" t="n">
        <v>6</v>
      </c>
      <c r="B1493" t="inlineStr">
        <is>
          <t>EPA1633 &amp; diPAPs Calibration 5 ppb</t>
        </is>
      </c>
      <c r="D1493" t="n">
        <v>13.11</v>
      </c>
      <c r="E1493" t="n">
        <v>555.775</v>
      </c>
      <c r="G1493" t="n">
        <v>3.374</v>
      </c>
      <c r="H1493" t="inlineStr">
        <is>
          <t>bb</t>
        </is>
      </c>
      <c r="I1493" t="n">
        <v>555.775</v>
      </c>
    </row>
    <row r="1494">
      <c r="A1494" t="n">
        <v>7</v>
      </c>
      <c r="B1494" t="inlineStr">
        <is>
          <t>EPA1633 &amp; diPAPs Calibration 10 ppb</t>
        </is>
      </c>
      <c r="D1494" t="n">
        <v>13.11</v>
      </c>
      <c r="E1494" t="n">
        <v>571.982</v>
      </c>
      <c r="G1494" t="n">
        <v>31.47</v>
      </c>
      <c r="H1494" t="inlineStr">
        <is>
          <t>bb</t>
        </is>
      </c>
      <c r="I1494" t="n">
        <v>571.982</v>
      </c>
    </row>
    <row r="1495">
      <c r="A1495" t="n">
        <v>8</v>
      </c>
      <c r="B1495" t="inlineStr">
        <is>
          <t>EPA1633 &amp; diPAPs Calibration 20 ppb</t>
        </is>
      </c>
      <c r="D1495" t="n">
        <v>13.12</v>
      </c>
      <c r="E1495" t="n">
        <v>516.349</v>
      </c>
      <c r="G1495" t="n">
        <v>70.471</v>
      </c>
      <c r="H1495" t="inlineStr">
        <is>
          <t>bb</t>
        </is>
      </c>
      <c r="I1495" t="n">
        <v>516.349</v>
      </c>
    </row>
    <row r="1496">
      <c r="A1496" t="n">
        <v>9</v>
      </c>
      <c r="B1496" t="inlineStr">
        <is>
          <t>MeOH</t>
        </is>
      </c>
      <c r="D1496" t="n">
        <v>13.43</v>
      </c>
      <c r="E1496" t="n">
        <v>1.579</v>
      </c>
      <c r="G1496" t="n">
        <v>13</v>
      </c>
      <c r="H1496" t="inlineStr">
        <is>
          <t>bb</t>
        </is>
      </c>
      <c r="I1496" t="n">
        <v>1.579</v>
      </c>
    </row>
    <row r="1497">
      <c r="A1497" t="n">
        <v>10</v>
      </c>
      <c r="B1497" t="inlineStr">
        <is>
          <t>MeOH</t>
        </is>
      </c>
    </row>
    <row r="1498">
      <c r="A1498" t="n">
        <v>11</v>
      </c>
      <c r="B1498" t="inlineStr">
        <is>
          <t>SB1</t>
        </is>
      </c>
      <c r="D1498" t="n">
        <v>13.2</v>
      </c>
      <c r="E1498" t="n">
        <v>61.863</v>
      </c>
      <c r="G1498" t="n">
        <v>3.683</v>
      </c>
      <c r="H1498" t="inlineStr">
        <is>
          <t>bb</t>
        </is>
      </c>
      <c r="I1498" t="n">
        <v>61.863</v>
      </c>
    </row>
    <row r="1499">
      <c r="A1499" t="n">
        <v>12</v>
      </c>
      <c r="B1499" t="inlineStr">
        <is>
          <t>SB2</t>
        </is>
      </c>
      <c r="D1499" t="n">
        <v>13.2</v>
      </c>
      <c r="E1499" t="n">
        <v>127.898</v>
      </c>
      <c r="G1499" t="n">
        <v>889</v>
      </c>
      <c r="H1499" t="inlineStr">
        <is>
          <t>bb</t>
        </is>
      </c>
      <c r="I1499" t="n">
        <v>127.898</v>
      </c>
    </row>
    <row r="1500">
      <c r="A1500" t="n">
        <v>13</v>
      </c>
      <c r="B1500" t="inlineStr">
        <is>
          <t>SB3</t>
        </is>
      </c>
      <c r="D1500" t="n">
        <v>13.15</v>
      </c>
      <c r="E1500" t="n">
        <v>26.182</v>
      </c>
      <c r="G1500" t="n">
        <v>215</v>
      </c>
      <c r="H1500" t="inlineStr">
        <is>
          <t>bb</t>
        </is>
      </c>
      <c r="I1500" t="n">
        <v>26.182</v>
      </c>
    </row>
    <row r="1501">
      <c r="A1501" t="n">
        <v>14</v>
      </c>
      <c r="B1501" t="inlineStr">
        <is>
          <t>SS1</t>
        </is>
      </c>
      <c r="D1501" t="n">
        <v>13.18</v>
      </c>
      <c r="E1501" t="n">
        <v>32.047</v>
      </c>
      <c r="G1501" t="n">
        <v>281</v>
      </c>
      <c r="H1501" t="inlineStr">
        <is>
          <t>bb</t>
        </is>
      </c>
      <c r="I1501" t="n">
        <v>32.047</v>
      </c>
    </row>
    <row r="1502">
      <c r="A1502" t="n">
        <v>15</v>
      </c>
      <c r="B1502" t="inlineStr">
        <is>
          <t>SS2</t>
        </is>
      </c>
      <c r="D1502" t="n">
        <v>13.23</v>
      </c>
      <c r="E1502" t="n">
        <v>61.008</v>
      </c>
      <c r="G1502" t="n">
        <v>447</v>
      </c>
      <c r="H1502" t="inlineStr">
        <is>
          <t>bb</t>
        </is>
      </c>
      <c r="I1502" t="n">
        <v>61.008</v>
      </c>
    </row>
    <row r="1503">
      <c r="A1503" t="n">
        <v>16</v>
      </c>
      <c r="B1503" t="inlineStr">
        <is>
          <t>SS3</t>
        </is>
      </c>
      <c r="D1503" t="n">
        <v>13.2</v>
      </c>
      <c r="E1503" t="n">
        <v>63.737</v>
      </c>
      <c r="G1503" t="n">
        <v>7.995</v>
      </c>
      <c r="H1503" t="inlineStr">
        <is>
          <t>bb</t>
        </is>
      </c>
      <c r="I1503" t="n">
        <v>63.737</v>
      </c>
    </row>
    <row r="1505">
      <c r="A1505" t="inlineStr">
        <is>
          <t>Compound 76:  m8 PFOS 1</t>
        </is>
      </c>
    </row>
    <row r="1507">
      <c r="B1507" t="inlineStr">
        <is>
          <t>Sample Text</t>
        </is>
      </c>
      <c r="C1507" t="inlineStr">
        <is>
          <t>Std. Conc</t>
        </is>
      </c>
      <c r="D1507" t="inlineStr">
        <is>
          <t>RT</t>
        </is>
      </c>
      <c r="E1507" t="inlineStr">
        <is>
          <t>Area</t>
        </is>
      </c>
      <c r="F1507" t="inlineStr">
        <is>
          <t>IS Area</t>
        </is>
      </c>
      <c r="G1507" t="inlineStr">
        <is>
          <t>S/N</t>
        </is>
      </c>
      <c r="H1507" t="inlineStr">
        <is>
          <t>Primary Flags</t>
        </is>
      </c>
      <c r="I1507" t="inlineStr">
        <is>
          <t>Response</t>
        </is>
      </c>
      <c r="J1507" t="inlineStr">
        <is>
          <t>Conc.</t>
        </is>
      </c>
    </row>
    <row r="1508">
      <c r="A1508" t="n">
        <v>1</v>
      </c>
      <c r="B1508" t="inlineStr">
        <is>
          <t>EPA1633 &amp; diPAPs Calibration 0 ppb</t>
        </is>
      </c>
      <c r="D1508" t="n">
        <v>12.99</v>
      </c>
      <c r="E1508" t="n">
        <v>16637.717</v>
      </c>
      <c r="G1508" t="n">
        <v>135.326</v>
      </c>
      <c r="H1508" t="inlineStr">
        <is>
          <t>bb</t>
        </is>
      </c>
      <c r="I1508" t="n">
        <v>16637.717</v>
      </c>
    </row>
    <row r="1509">
      <c r="A1509" t="n">
        <v>2</v>
      </c>
      <c r="B1509" t="inlineStr">
        <is>
          <t>EPA1633 &amp; diPAPs Calibration 0.02 ppb</t>
        </is>
      </c>
      <c r="D1509" t="n">
        <v>13.04</v>
      </c>
      <c r="E1509" t="n">
        <v>14442.151</v>
      </c>
      <c r="G1509" t="n">
        <v>350.433</v>
      </c>
      <c r="H1509" t="inlineStr">
        <is>
          <t>bb</t>
        </is>
      </c>
      <c r="I1509" t="n">
        <v>14442.151</v>
      </c>
    </row>
    <row r="1510">
      <c r="A1510" t="n">
        <v>3</v>
      </c>
      <c r="B1510" t="inlineStr">
        <is>
          <t>EPA1633 &amp; diPAPs Calibration 0.1 ppb</t>
        </is>
      </c>
      <c r="D1510" t="n">
        <v>13.04</v>
      </c>
      <c r="E1510" t="n">
        <v>14939.226</v>
      </c>
      <c r="G1510" t="n">
        <v>105193</v>
      </c>
      <c r="H1510" t="inlineStr">
        <is>
          <t>bb</t>
        </is>
      </c>
      <c r="I1510" t="n">
        <v>14939.226</v>
      </c>
    </row>
    <row r="1511">
      <c r="A1511" t="n">
        <v>4</v>
      </c>
      <c r="B1511" t="inlineStr">
        <is>
          <t>EPA1633 &amp; diPAPs Calibration 0.4 ppb</t>
        </is>
      </c>
      <c r="D1511" t="n">
        <v>13.04</v>
      </c>
      <c r="E1511" t="n">
        <v>14017.551</v>
      </c>
      <c r="G1511" t="n">
        <v>103540</v>
      </c>
      <c r="H1511" t="inlineStr">
        <is>
          <t>bb</t>
        </is>
      </c>
      <c r="I1511" t="n">
        <v>14017.551</v>
      </c>
    </row>
    <row r="1512">
      <c r="A1512" t="n">
        <v>5</v>
      </c>
      <c r="B1512" t="inlineStr">
        <is>
          <t>EPA1633 &amp; diPAPs Calibration 1 ppb</t>
        </is>
      </c>
      <c r="D1512" t="n">
        <v>13.05</v>
      </c>
      <c r="E1512" t="n">
        <v>15819.927</v>
      </c>
      <c r="G1512" t="n">
        <v>698.886</v>
      </c>
      <c r="H1512" t="inlineStr">
        <is>
          <t>bb</t>
        </is>
      </c>
      <c r="I1512" t="n">
        <v>15819.927</v>
      </c>
    </row>
    <row r="1513">
      <c r="A1513" t="n">
        <v>6</v>
      </c>
      <c r="B1513" t="inlineStr">
        <is>
          <t>EPA1633 &amp; diPAPs Calibration 5 ppb</t>
        </is>
      </c>
      <c r="D1513" t="n">
        <v>12.98</v>
      </c>
      <c r="E1513" t="n">
        <v>14259.822</v>
      </c>
      <c r="G1513" t="n">
        <v>637.001</v>
      </c>
      <c r="H1513" t="inlineStr">
        <is>
          <t>bb</t>
        </is>
      </c>
      <c r="I1513" t="n">
        <v>14259.822</v>
      </c>
    </row>
    <row r="1514">
      <c r="A1514" t="n">
        <v>7</v>
      </c>
      <c r="B1514" t="inlineStr">
        <is>
          <t>EPA1633 &amp; diPAPs Calibration 10 ppb</t>
        </is>
      </c>
      <c r="D1514" t="n">
        <v>12.99</v>
      </c>
      <c r="E1514" t="n">
        <v>11049.457</v>
      </c>
      <c r="G1514" t="n">
        <v>477.642</v>
      </c>
      <c r="H1514" t="inlineStr">
        <is>
          <t>bb</t>
        </is>
      </c>
      <c r="I1514" t="n">
        <v>11049.457</v>
      </c>
    </row>
    <row r="1515">
      <c r="A1515" t="n">
        <v>8</v>
      </c>
      <c r="B1515" t="inlineStr">
        <is>
          <t>EPA1633 &amp; diPAPs Calibration 20 ppb</t>
        </is>
      </c>
      <c r="D1515" t="n">
        <v>13.01</v>
      </c>
      <c r="E1515" t="n">
        <v>12460.612</v>
      </c>
      <c r="G1515" t="n">
        <v>400.6</v>
      </c>
      <c r="H1515" t="inlineStr">
        <is>
          <t>bb</t>
        </is>
      </c>
      <c r="I1515" t="n">
        <v>12460.612</v>
      </c>
    </row>
    <row r="1516">
      <c r="A1516" t="n">
        <v>9</v>
      </c>
      <c r="B1516" t="inlineStr">
        <is>
          <t>MeOH</t>
        </is>
      </c>
      <c r="D1516" t="n">
        <v>12.95</v>
      </c>
      <c r="E1516" t="n">
        <v>4.973</v>
      </c>
      <c r="G1516" t="n">
        <v>48</v>
      </c>
      <c r="H1516" t="inlineStr">
        <is>
          <t>bb</t>
        </is>
      </c>
      <c r="I1516" t="n">
        <v>4.973</v>
      </c>
    </row>
    <row r="1517">
      <c r="A1517" t="n">
        <v>10</v>
      </c>
      <c r="B1517" t="inlineStr">
        <is>
          <t>MeOH</t>
        </is>
      </c>
      <c r="D1517" t="n">
        <v>13.6</v>
      </c>
      <c r="E1517" t="n">
        <v>0.6820000000000001</v>
      </c>
      <c r="G1517" t="n">
        <v>7</v>
      </c>
      <c r="H1517" t="inlineStr">
        <is>
          <t>bb</t>
        </is>
      </c>
      <c r="I1517" t="n">
        <v>0.6820000000000001</v>
      </c>
    </row>
    <row r="1518">
      <c r="A1518" t="n">
        <v>11</v>
      </c>
      <c r="B1518" t="inlineStr">
        <is>
          <t>SB1</t>
        </is>
      </c>
      <c r="D1518" t="n">
        <v>13.05</v>
      </c>
      <c r="E1518" t="n">
        <v>6414.278</v>
      </c>
      <c r="G1518" t="n">
        <v>262.304</v>
      </c>
      <c r="H1518" t="inlineStr">
        <is>
          <t>bb</t>
        </is>
      </c>
      <c r="I1518" t="n">
        <v>6414.278</v>
      </c>
    </row>
    <row r="1519">
      <c r="A1519" t="n">
        <v>12</v>
      </c>
      <c r="B1519" t="inlineStr">
        <is>
          <t>SB2</t>
        </is>
      </c>
      <c r="D1519" t="n">
        <v>13.07</v>
      </c>
      <c r="E1519" t="n">
        <v>5459.898</v>
      </c>
      <c r="G1519" t="n">
        <v>13618.425</v>
      </c>
      <c r="H1519" t="inlineStr">
        <is>
          <t>bb</t>
        </is>
      </c>
      <c r="I1519" t="n">
        <v>5459.898</v>
      </c>
    </row>
    <row r="1520">
      <c r="A1520" t="n">
        <v>13</v>
      </c>
      <c r="B1520" t="inlineStr">
        <is>
          <t>SB3</t>
        </is>
      </c>
      <c r="D1520" t="n">
        <v>13.07</v>
      </c>
      <c r="E1520" t="n">
        <v>5569.052</v>
      </c>
      <c r="G1520" t="n">
        <v>39066</v>
      </c>
      <c r="H1520" t="inlineStr">
        <is>
          <t>bb</t>
        </is>
      </c>
      <c r="I1520" t="n">
        <v>5569.052</v>
      </c>
    </row>
    <row r="1521">
      <c r="A1521" t="n">
        <v>14</v>
      </c>
      <c r="B1521" t="inlineStr">
        <is>
          <t>SS1</t>
        </is>
      </c>
      <c r="D1521" t="n">
        <v>13.08</v>
      </c>
      <c r="E1521" t="n">
        <v>5405.744</v>
      </c>
      <c r="G1521" t="n">
        <v>4576.29</v>
      </c>
      <c r="H1521" t="inlineStr">
        <is>
          <t>bb</t>
        </is>
      </c>
      <c r="I1521" t="n">
        <v>5405.744</v>
      </c>
    </row>
    <row r="1522">
      <c r="A1522" t="n">
        <v>15</v>
      </c>
      <c r="B1522" t="inlineStr">
        <is>
          <t>SS2</t>
        </is>
      </c>
      <c r="D1522" t="n">
        <v>13.08</v>
      </c>
      <c r="E1522" t="n">
        <v>5358.604</v>
      </c>
      <c r="G1522" t="n">
        <v>35702</v>
      </c>
      <c r="H1522" t="inlineStr">
        <is>
          <t>bb</t>
        </is>
      </c>
      <c r="I1522" t="n">
        <v>5358.604</v>
      </c>
    </row>
    <row r="1523">
      <c r="A1523" t="n">
        <v>16</v>
      </c>
      <c r="B1523" t="inlineStr">
        <is>
          <t>SS3</t>
        </is>
      </c>
      <c r="D1523" t="n">
        <v>13.1</v>
      </c>
      <c r="E1523" t="n">
        <v>5299.512</v>
      </c>
      <c r="G1523" t="n">
        <v>37629</v>
      </c>
      <c r="H1523" t="inlineStr">
        <is>
          <t>bb</t>
        </is>
      </c>
      <c r="I1523" t="n">
        <v>5299.512</v>
      </c>
    </row>
    <row r="1525">
      <c r="A1525" t="inlineStr">
        <is>
          <t>Compound 77:  m8 PFOS 2</t>
        </is>
      </c>
    </row>
    <row r="1527">
      <c r="B1527" t="inlineStr">
        <is>
          <t>Sample Text</t>
        </is>
      </c>
      <c r="C1527" t="inlineStr">
        <is>
          <t>Std. Conc</t>
        </is>
      </c>
      <c r="D1527" t="inlineStr">
        <is>
          <t>RT</t>
        </is>
      </c>
      <c r="E1527" t="inlineStr">
        <is>
          <t>Area</t>
        </is>
      </c>
      <c r="F1527" t="inlineStr">
        <is>
          <t>IS Area</t>
        </is>
      </c>
      <c r="G1527" t="inlineStr">
        <is>
          <t>S/N</t>
        </is>
      </c>
      <c r="H1527" t="inlineStr">
        <is>
          <t>Primary Flags</t>
        </is>
      </c>
      <c r="I1527" t="inlineStr">
        <is>
          <t>Response</t>
        </is>
      </c>
      <c r="J1527" t="inlineStr">
        <is>
          <t>Conc.</t>
        </is>
      </c>
    </row>
    <row r="1528">
      <c r="A1528" t="n">
        <v>1</v>
      </c>
      <c r="B1528" t="inlineStr">
        <is>
          <t>EPA1633 &amp; diPAPs Calibration 0 ppb</t>
        </is>
      </c>
      <c r="D1528" t="n">
        <v>12.99</v>
      </c>
      <c r="E1528" t="n">
        <v>9572.626</v>
      </c>
      <c r="G1528" t="n">
        <v>208.207</v>
      </c>
      <c r="H1528" t="inlineStr">
        <is>
          <t>bb</t>
        </is>
      </c>
      <c r="I1528" t="n">
        <v>9572.626</v>
      </c>
    </row>
    <row r="1529">
      <c r="A1529" t="n">
        <v>2</v>
      </c>
      <c r="B1529" t="inlineStr">
        <is>
          <t>EPA1633 &amp; diPAPs Calibration 0.02 ppb</t>
        </is>
      </c>
      <c r="D1529" t="n">
        <v>13.04</v>
      </c>
      <c r="E1529" t="n">
        <v>8774.464</v>
      </c>
      <c r="G1529" t="n">
        <v>82.358</v>
      </c>
      <c r="H1529" t="inlineStr">
        <is>
          <t>bb</t>
        </is>
      </c>
      <c r="I1529" t="n">
        <v>8774.464</v>
      </c>
    </row>
    <row r="1530">
      <c r="A1530" t="n">
        <v>3</v>
      </c>
      <c r="B1530" t="inlineStr">
        <is>
          <t>EPA1633 &amp; diPAPs Calibration 0.1 ppb</t>
        </is>
      </c>
      <c r="D1530" t="n">
        <v>13.04</v>
      </c>
      <c r="E1530" t="n">
        <v>9391.353999999999</v>
      </c>
      <c r="G1530" t="n">
        <v>142.901</v>
      </c>
      <c r="H1530" t="inlineStr">
        <is>
          <t>bb</t>
        </is>
      </c>
      <c r="I1530" t="n">
        <v>9391.353999999999</v>
      </c>
    </row>
    <row r="1531">
      <c r="A1531" t="n">
        <v>4</v>
      </c>
      <c r="B1531" t="inlineStr">
        <is>
          <t>EPA1633 &amp; diPAPs Calibration 0.4 ppb</t>
        </is>
      </c>
      <c r="D1531" t="n">
        <v>13.04</v>
      </c>
      <c r="E1531" t="n">
        <v>8049.409</v>
      </c>
      <c r="G1531" t="n">
        <v>145.886</v>
      </c>
      <c r="H1531" t="inlineStr">
        <is>
          <t>bb</t>
        </is>
      </c>
      <c r="I1531" t="n">
        <v>8049.409</v>
      </c>
    </row>
    <row r="1532">
      <c r="A1532" t="n">
        <v>5</v>
      </c>
      <c r="B1532" t="inlineStr">
        <is>
          <t>EPA1633 &amp; diPAPs Calibration 1 ppb</t>
        </is>
      </c>
      <c r="D1532" t="n">
        <v>13.04</v>
      </c>
      <c r="E1532" t="n">
        <v>9591.328</v>
      </c>
      <c r="G1532" t="n">
        <v>523.278</v>
      </c>
      <c r="H1532" t="inlineStr">
        <is>
          <t>bb</t>
        </is>
      </c>
      <c r="I1532" t="n">
        <v>9591.328</v>
      </c>
    </row>
    <row r="1533">
      <c r="A1533" t="n">
        <v>6</v>
      </c>
      <c r="B1533" t="inlineStr">
        <is>
          <t>EPA1633 &amp; diPAPs Calibration 5 ppb</t>
        </is>
      </c>
      <c r="D1533" t="n">
        <v>12.96</v>
      </c>
      <c r="E1533" t="n">
        <v>8060.876</v>
      </c>
      <c r="G1533" t="n">
        <v>292.373</v>
      </c>
      <c r="H1533" t="inlineStr">
        <is>
          <t>bb</t>
        </is>
      </c>
      <c r="I1533" t="n">
        <v>8060.876</v>
      </c>
    </row>
    <row r="1534">
      <c r="A1534" t="n">
        <v>7</v>
      </c>
      <c r="B1534" t="inlineStr">
        <is>
          <t>EPA1633 &amp; diPAPs Calibration 10 ppb</t>
        </is>
      </c>
      <c r="D1534" t="n">
        <v>12.98</v>
      </c>
      <c r="E1534" t="n">
        <v>6829.292</v>
      </c>
      <c r="G1534" t="n">
        <v>260.786</v>
      </c>
      <c r="H1534" t="inlineStr">
        <is>
          <t>bb</t>
        </is>
      </c>
      <c r="I1534" t="n">
        <v>6829.292</v>
      </c>
    </row>
    <row r="1535">
      <c r="A1535" t="n">
        <v>8</v>
      </c>
      <c r="B1535" t="inlineStr">
        <is>
          <t>EPA1633 &amp; diPAPs Calibration 20 ppb</t>
        </is>
      </c>
      <c r="D1535" t="n">
        <v>13.01</v>
      </c>
      <c r="E1535" t="n">
        <v>7229.996</v>
      </c>
      <c r="G1535" t="n">
        <v>206.894</v>
      </c>
      <c r="H1535" t="inlineStr">
        <is>
          <t>bb</t>
        </is>
      </c>
      <c r="I1535" t="n">
        <v>7229.996</v>
      </c>
    </row>
    <row r="1536">
      <c r="A1536" t="n">
        <v>9</v>
      </c>
      <c r="B1536" t="inlineStr">
        <is>
          <t>MeOH</t>
        </is>
      </c>
      <c r="D1536" t="n">
        <v>12.27</v>
      </c>
      <c r="E1536" t="n">
        <v>43.974</v>
      </c>
      <c r="G1536" t="n">
        <v>1.534</v>
      </c>
      <c r="H1536" t="inlineStr">
        <is>
          <t>bb</t>
        </is>
      </c>
      <c r="I1536" t="n">
        <v>43.974</v>
      </c>
    </row>
    <row r="1537">
      <c r="A1537" t="n">
        <v>10</v>
      </c>
      <c r="B1537" t="inlineStr">
        <is>
          <t>MeOH</t>
        </is>
      </c>
      <c r="D1537" t="n">
        <v>13.26</v>
      </c>
      <c r="E1537" t="n">
        <v>54.92</v>
      </c>
      <c r="G1537" t="n">
        <v>1.082</v>
      </c>
      <c r="H1537" t="inlineStr">
        <is>
          <t>bb</t>
        </is>
      </c>
      <c r="I1537" t="n">
        <v>54.92</v>
      </c>
    </row>
    <row r="1538">
      <c r="A1538" t="n">
        <v>11</v>
      </c>
      <c r="B1538" t="inlineStr">
        <is>
          <t>SB1</t>
        </is>
      </c>
      <c r="D1538" t="n">
        <v>13.05</v>
      </c>
      <c r="E1538" t="n">
        <v>3581.911</v>
      </c>
      <c r="G1538" t="n">
        <v>157.217</v>
      </c>
      <c r="H1538" t="inlineStr">
        <is>
          <t>bb</t>
        </is>
      </c>
      <c r="I1538" t="n">
        <v>3581.911</v>
      </c>
    </row>
    <row r="1539">
      <c r="A1539" t="n">
        <v>12</v>
      </c>
      <c r="B1539" t="inlineStr">
        <is>
          <t>SB2</t>
        </is>
      </c>
      <c r="D1539" t="n">
        <v>13.05</v>
      </c>
      <c r="E1539" t="n">
        <v>3111.267</v>
      </c>
      <c r="G1539" t="n">
        <v>1140.281</v>
      </c>
      <c r="H1539" t="inlineStr">
        <is>
          <t>bb</t>
        </is>
      </c>
      <c r="I1539" t="n">
        <v>3111.267</v>
      </c>
    </row>
    <row r="1540">
      <c r="A1540" t="n">
        <v>13</v>
      </c>
      <c r="B1540" t="inlineStr">
        <is>
          <t>SB3</t>
        </is>
      </c>
      <c r="D1540" t="n">
        <v>13.07</v>
      </c>
      <c r="E1540" t="n">
        <v>3670.917</v>
      </c>
      <c r="G1540" t="n">
        <v>138.873</v>
      </c>
      <c r="H1540" t="inlineStr">
        <is>
          <t>bb</t>
        </is>
      </c>
      <c r="I1540" t="n">
        <v>3670.917</v>
      </c>
    </row>
    <row r="1541">
      <c r="A1541" t="n">
        <v>14</v>
      </c>
      <c r="B1541" t="inlineStr">
        <is>
          <t>SS1</t>
        </is>
      </c>
      <c r="D1541" t="n">
        <v>13.08</v>
      </c>
      <c r="E1541" t="n">
        <v>3474.229</v>
      </c>
      <c r="G1541" t="n">
        <v>193.882</v>
      </c>
      <c r="H1541" t="inlineStr">
        <is>
          <t>bb</t>
        </is>
      </c>
      <c r="I1541" t="n">
        <v>3474.229</v>
      </c>
    </row>
    <row r="1542">
      <c r="A1542" t="n">
        <v>15</v>
      </c>
      <c r="B1542" t="inlineStr">
        <is>
          <t>SS2</t>
        </is>
      </c>
      <c r="D1542" t="n">
        <v>13.1</v>
      </c>
      <c r="E1542" t="n">
        <v>3805.024</v>
      </c>
      <c r="G1542" t="n">
        <v>187.509</v>
      </c>
      <c r="H1542" t="inlineStr">
        <is>
          <t>MM</t>
        </is>
      </c>
      <c r="I1542" t="n">
        <v>3805.024</v>
      </c>
    </row>
    <row r="1543">
      <c r="A1543" t="n">
        <v>16</v>
      </c>
      <c r="B1543" t="inlineStr">
        <is>
          <t>SS3</t>
        </is>
      </c>
      <c r="D1543" t="n">
        <v>13.1</v>
      </c>
      <c r="E1543" t="n">
        <v>4013.002</v>
      </c>
      <c r="G1543" t="n">
        <v>27377</v>
      </c>
      <c r="H1543" t="inlineStr">
        <is>
          <t>bb</t>
        </is>
      </c>
      <c r="I1543" t="n">
        <v>4013.002</v>
      </c>
    </row>
    <row r="1545">
      <c r="A1545" t="inlineStr">
        <is>
          <t>Compound 78:  N-MeFOSA 1</t>
        </is>
      </c>
    </row>
    <row r="1547">
      <c r="B1547" t="inlineStr">
        <is>
          <t>Sample Text</t>
        </is>
      </c>
      <c r="C1547" t="inlineStr">
        <is>
          <t>Std. Conc</t>
        </is>
      </c>
      <c r="D1547" t="inlineStr">
        <is>
          <t>RT</t>
        </is>
      </c>
      <c r="E1547" t="inlineStr">
        <is>
          <t>Area</t>
        </is>
      </c>
      <c r="F1547" t="inlineStr">
        <is>
          <t>IS Area</t>
        </is>
      </c>
      <c r="G1547" t="inlineStr">
        <is>
          <t>S/N</t>
        </is>
      </c>
      <c r="H1547" t="inlineStr">
        <is>
          <t>Primary Flags</t>
        </is>
      </c>
      <c r="I1547" t="inlineStr">
        <is>
          <t>Response</t>
        </is>
      </c>
      <c r="J1547" t="inlineStr">
        <is>
          <t>Conc.</t>
        </is>
      </c>
    </row>
    <row r="1548">
      <c r="A1548" t="n">
        <v>1</v>
      </c>
      <c r="B1548" t="inlineStr">
        <is>
          <t>EPA1633 &amp; diPAPs Calibration 0 ppb</t>
        </is>
      </c>
      <c r="D1548" t="n">
        <v>15.37</v>
      </c>
      <c r="E1548" t="n">
        <v>134.836</v>
      </c>
      <c r="F1548" t="n">
        <v>8869.878000000001</v>
      </c>
      <c r="G1548" t="n">
        <v>0.782</v>
      </c>
      <c r="H1548" t="inlineStr">
        <is>
          <t>MM</t>
        </is>
      </c>
    </row>
    <row r="1549">
      <c r="A1549" t="n">
        <v>2</v>
      </c>
      <c r="B1549" t="inlineStr">
        <is>
          <t>EPA1633 &amp; diPAPs Calibration 0.02 ppb</t>
        </is>
      </c>
      <c r="D1549" t="n">
        <v>15.38</v>
      </c>
      <c r="E1549" t="n">
        <v>11.521</v>
      </c>
      <c r="F1549" t="n">
        <v>7362.827</v>
      </c>
      <c r="G1549" t="n">
        <v>0.342</v>
      </c>
      <c r="H1549" t="inlineStr">
        <is>
          <t>MM</t>
        </is>
      </c>
    </row>
    <row r="1550">
      <c r="A1550" t="n">
        <v>3</v>
      </c>
      <c r="B1550" t="inlineStr">
        <is>
          <t>EPA1633 &amp; diPAPs Calibration 0.1 ppb</t>
        </is>
      </c>
      <c r="D1550" t="n">
        <v>15.38</v>
      </c>
      <c r="E1550" t="n">
        <v>107.95</v>
      </c>
      <c r="F1550" t="n">
        <v>9670.424000000001</v>
      </c>
      <c r="G1550" t="n">
        <v>1.324</v>
      </c>
      <c r="H1550" t="inlineStr">
        <is>
          <t>MM</t>
        </is>
      </c>
    </row>
    <row r="1551">
      <c r="A1551" t="n">
        <v>4</v>
      </c>
      <c r="B1551" t="inlineStr">
        <is>
          <t>EPA1633 &amp; diPAPs Calibration 0.4 ppb</t>
        </is>
      </c>
      <c r="D1551" t="n">
        <v>15.39</v>
      </c>
      <c r="E1551" t="n">
        <v>535.005</v>
      </c>
      <c r="F1551" t="n">
        <v>8260.82</v>
      </c>
      <c r="G1551" t="n">
        <v>52.346</v>
      </c>
      <c r="H1551" t="inlineStr">
        <is>
          <t>MM</t>
        </is>
      </c>
    </row>
    <row r="1552">
      <c r="A1552" t="n">
        <v>5</v>
      </c>
      <c r="B1552" t="inlineStr">
        <is>
          <t>EPA1633 &amp; diPAPs Calibration 1 ppb</t>
        </is>
      </c>
      <c r="D1552" t="n">
        <v>15.37</v>
      </c>
      <c r="E1552" t="n">
        <v>735.872</v>
      </c>
      <c r="F1552" t="n">
        <v>9618.662</v>
      </c>
      <c r="G1552" t="n">
        <v>5357</v>
      </c>
      <c r="H1552" t="inlineStr">
        <is>
          <t>MM</t>
        </is>
      </c>
    </row>
    <row r="1553">
      <c r="A1553" t="n">
        <v>6</v>
      </c>
      <c r="B1553" t="inlineStr">
        <is>
          <t>EPA1633 &amp; diPAPs Calibration 5 ppb</t>
        </is>
      </c>
      <c r="D1553" t="n">
        <v>15.34</v>
      </c>
      <c r="E1553" t="n">
        <v>4448.286</v>
      </c>
      <c r="F1553" t="n">
        <v>7907.169</v>
      </c>
      <c r="G1553" t="n">
        <v>31261</v>
      </c>
      <c r="H1553" t="inlineStr">
        <is>
          <t>MM</t>
        </is>
      </c>
    </row>
    <row r="1554">
      <c r="A1554" t="n">
        <v>7</v>
      </c>
      <c r="B1554" t="inlineStr">
        <is>
          <t>EPA1633 &amp; diPAPs Calibration 10 ppb</t>
        </is>
      </c>
      <c r="D1554" t="n">
        <v>15.36</v>
      </c>
      <c r="E1554" t="n">
        <v>9227.802</v>
      </c>
      <c r="F1554" t="n">
        <v>6344.778</v>
      </c>
      <c r="G1554" t="n">
        <v>65645</v>
      </c>
      <c r="H1554" t="inlineStr">
        <is>
          <t>MM</t>
        </is>
      </c>
    </row>
    <row r="1555">
      <c r="A1555" t="n">
        <v>8</v>
      </c>
      <c r="B1555" t="inlineStr">
        <is>
          <t>EPA1633 &amp; diPAPs Calibration 20 ppb</t>
        </is>
      </c>
      <c r="D1555" t="n">
        <v>15.38</v>
      </c>
      <c r="E1555" t="n">
        <v>19508.637</v>
      </c>
      <c r="F1555" t="n">
        <v>6895.557</v>
      </c>
      <c r="G1555" t="n">
        <v>1829.865</v>
      </c>
      <c r="H1555" t="inlineStr">
        <is>
          <t>MM</t>
        </is>
      </c>
    </row>
    <row r="1556">
      <c r="A1556" t="n">
        <v>9</v>
      </c>
      <c r="B1556" t="inlineStr">
        <is>
          <t>MeOH</t>
        </is>
      </c>
      <c r="F1556" t="n">
        <v>65.31999999999999</v>
      </c>
    </row>
    <row r="1557">
      <c r="A1557" t="n">
        <v>10</v>
      </c>
      <c r="B1557" t="inlineStr">
        <is>
          <t>MeOH</t>
        </is>
      </c>
      <c r="F1557" t="n">
        <v>35.911</v>
      </c>
    </row>
    <row r="1558">
      <c r="A1558" t="n">
        <v>11</v>
      </c>
      <c r="B1558" t="inlineStr">
        <is>
          <t>SB1</t>
        </is>
      </c>
      <c r="F1558" t="n">
        <v>2375.932</v>
      </c>
    </row>
    <row r="1559">
      <c r="A1559" t="n">
        <v>12</v>
      </c>
      <c r="B1559" t="inlineStr">
        <is>
          <t>SB2</t>
        </is>
      </c>
      <c r="D1559" t="n">
        <v>14.98</v>
      </c>
      <c r="E1559" t="n">
        <v>14.819</v>
      </c>
      <c r="F1559" t="n">
        <v>2312.328</v>
      </c>
      <c r="G1559" t="n">
        <v>134</v>
      </c>
      <c r="H1559" t="inlineStr">
        <is>
          <t>MM</t>
        </is>
      </c>
    </row>
    <row r="1560">
      <c r="A1560" t="n">
        <v>13</v>
      </c>
      <c r="B1560" t="inlineStr">
        <is>
          <t>SB3</t>
        </is>
      </c>
      <c r="F1560" t="n">
        <v>2990.264</v>
      </c>
    </row>
    <row r="1561">
      <c r="A1561" t="n">
        <v>14</v>
      </c>
      <c r="B1561" t="inlineStr">
        <is>
          <t>SS1</t>
        </is>
      </c>
      <c r="D1561" t="n">
        <v>15.44</v>
      </c>
      <c r="E1561" t="n">
        <v>1605.637</v>
      </c>
      <c r="F1561" t="n">
        <v>1863.89</v>
      </c>
      <c r="G1561" t="n">
        <v>96.151</v>
      </c>
      <c r="H1561" t="inlineStr">
        <is>
          <t>MM</t>
        </is>
      </c>
    </row>
    <row r="1562">
      <c r="A1562" t="n">
        <v>15</v>
      </c>
      <c r="B1562" t="inlineStr">
        <is>
          <t>SS2</t>
        </is>
      </c>
      <c r="D1562" t="n">
        <v>15.44</v>
      </c>
      <c r="E1562" t="n">
        <v>2852.241</v>
      </c>
      <c r="F1562" t="n">
        <v>2404.218</v>
      </c>
      <c r="G1562" t="n">
        <v>20388</v>
      </c>
      <c r="H1562" t="inlineStr">
        <is>
          <t>MM</t>
        </is>
      </c>
    </row>
    <row r="1563">
      <c r="A1563" t="n">
        <v>16</v>
      </c>
      <c r="B1563" t="inlineStr">
        <is>
          <t>SS3</t>
        </is>
      </c>
      <c r="D1563" t="n">
        <v>15.46</v>
      </c>
      <c r="E1563" t="n">
        <v>2574.47</v>
      </c>
      <c r="F1563" t="n">
        <v>2091.666</v>
      </c>
      <c r="G1563" t="n">
        <v>18474</v>
      </c>
      <c r="H1563" t="inlineStr">
        <is>
          <t>MM</t>
        </is>
      </c>
    </row>
    <row r="1565">
      <c r="A1565" t="inlineStr">
        <is>
          <t>Compound 79:  N-MeFOSA 2</t>
        </is>
      </c>
    </row>
    <row r="1567">
      <c r="B1567" t="inlineStr">
        <is>
          <t>Sample Text</t>
        </is>
      </c>
      <c r="C1567" t="inlineStr">
        <is>
          <t>Std. Conc</t>
        </is>
      </c>
      <c r="D1567" t="inlineStr">
        <is>
          <t>RT</t>
        </is>
      </c>
      <c r="E1567" t="inlineStr">
        <is>
          <t>Area</t>
        </is>
      </c>
      <c r="F1567" t="inlineStr">
        <is>
          <t>IS Area</t>
        </is>
      </c>
      <c r="G1567" t="inlineStr">
        <is>
          <t>S/N</t>
        </is>
      </c>
      <c r="H1567" t="inlineStr">
        <is>
          <t>Primary Flags</t>
        </is>
      </c>
      <c r="I1567" t="inlineStr">
        <is>
          <t>Response</t>
        </is>
      </c>
      <c r="J1567" t="inlineStr">
        <is>
          <t>Conc.</t>
        </is>
      </c>
    </row>
    <row r="1568">
      <c r="A1568" t="n">
        <v>1</v>
      </c>
      <c r="B1568" t="inlineStr">
        <is>
          <t>EPA1633 &amp; diPAPs Calibration 0 ppb</t>
        </is>
      </c>
      <c r="D1568" t="n">
        <v>15.36</v>
      </c>
      <c r="E1568" t="n">
        <v>79.574</v>
      </c>
      <c r="F1568" t="n">
        <v>7928.266</v>
      </c>
      <c r="G1568" t="n">
        <v>5.141</v>
      </c>
      <c r="H1568" t="inlineStr">
        <is>
          <t>MM</t>
        </is>
      </c>
    </row>
    <row r="1569">
      <c r="A1569" t="n">
        <v>2</v>
      </c>
      <c r="B1569" t="inlineStr">
        <is>
          <t>EPA1633 &amp; diPAPs Calibration 0.02 ppb</t>
        </is>
      </c>
      <c r="D1569" t="n">
        <v>15.36</v>
      </c>
      <c r="E1569" t="n">
        <v>31.963</v>
      </c>
      <c r="F1569" t="n">
        <v>7608.637</v>
      </c>
      <c r="G1569" t="n">
        <v>256</v>
      </c>
      <c r="H1569" t="inlineStr">
        <is>
          <t>bb</t>
        </is>
      </c>
    </row>
    <row r="1570">
      <c r="A1570" t="n">
        <v>3</v>
      </c>
      <c r="B1570" t="inlineStr">
        <is>
          <t>EPA1633 &amp; diPAPs Calibration 0.1 ppb</t>
        </is>
      </c>
      <c r="D1570" t="n">
        <v>15.38</v>
      </c>
      <c r="E1570" t="n">
        <v>231.787</v>
      </c>
      <c r="F1570" t="n">
        <v>8112.798</v>
      </c>
      <c r="G1570" t="n">
        <v>81.238</v>
      </c>
      <c r="H1570" t="inlineStr">
        <is>
          <t>bb</t>
        </is>
      </c>
    </row>
    <row r="1571">
      <c r="A1571" t="n">
        <v>4</v>
      </c>
      <c r="B1571" t="inlineStr">
        <is>
          <t>EPA1633 &amp; diPAPs Calibration 0.4 ppb</t>
        </is>
      </c>
      <c r="D1571" t="n">
        <v>15.39</v>
      </c>
      <c r="E1571" t="n">
        <v>492.09</v>
      </c>
      <c r="F1571" t="n">
        <v>6399.63</v>
      </c>
      <c r="G1571" t="n">
        <v>3608</v>
      </c>
      <c r="H1571" t="inlineStr">
        <is>
          <t>bb</t>
        </is>
      </c>
    </row>
    <row r="1572">
      <c r="A1572" t="n">
        <v>5</v>
      </c>
      <c r="B1572" t="inlineStr">
        <is>
          <t>EPA1633 &amp; diPAPs Calibration 1 ppb</t>
        </is>
      </c>
      <c r="D1572" t="n">
        <v>15.39</v>
      </c>
      <c r="E1572" t="n">
        <v>1228.97</v>
      </c>
      <c r="F1572" t="n">
        <v>8360.057000000001</v>
      </c>
      <c r="G1572" t="n">
        <v>6.259</v>
      </c>
      <c r="H1572" t="inlineStr">
        <is>
          <t>bb</t>
        </is>
      </c>
    </row>
    <row r="1573">
      <c r="A1573" t="n">
        <v>6</v>
      </c>
      <c r="B1573" t="inlineStr">
        <is>
          <t>EPA1633 &amp; diPAPs Calibration 5 ppb</t>
        </is>
      </c>
      <c r="D1573" t="n">
        <v>15.34</v>
      </c>
      <c r="E1573" t="n">
        <v>5121.858</v>
      </c>
      <c r="F1573" t="n">
        <v>7818.083</v>
      </c>
      <c r="G1573" t="n">
        <v>35524</v>
      </c>
      <c r="H1573" t="inlineStr">
        <is>
          <t>bb</t>
        </is>
      </c>
    </row>
    <row r="1574">
      <c r="A1574" t="n">
        <v>7</v>
      </c>
      <c r="B1574" t="inlineStr">
        <is>
          <t>EPA1633 &amp; diPAPs Calibration 10 ppb</t>
        </is>
      </c>
      <c r="D1574" t="n">
        <v>15.36</v>
      </c>
      <c r="E1574" t="n">
        <v>8528.173000000001</v>
      </c>
      <c r="F1574" t="n">
        <v>6559.806</v>
      </c>
      <c r="G1574" t="n">
        <v>61.194</v>
      </c>
      <c r="H1574" t="inlineStr">
        <is>
          <t>bb</t>
        </is>
      </c>
    </row>
    <row r="1575">
      <c r="A1575" t="n">
        <v>8</v>
      </c>
      <c r="B1575" t="inlineStr">
        <is>
          <t>EPA1633 &amp; diPAPs Calibration 20 ppb</t>
        </is>
      </c>
      <c r="D1575" t="n">
        <v>15.38</v>
      </c>
      <c r="E1575" t="n">
        <v>20490.174</v>
      </c>
      <c r="F1575" t="n">
        <v>7556.676</v>
      </c>
      <c r="G1575" t="n">
        <v>205.832</v>
      </c>
      <c r="H1575" t="inlineStr">
        <is>
          <t>bb</t>
        </is>
      </c>
    </row>
    <row r="1576">
      <c r="A1576" t="n">
        <v>9</v>
      </c>
      <c r="B1576" t="inlineStr">
        <is>
          <t>MeOH</t>
        </is>
      </c>
      <c r="D1576" t="n">
        <v>15.44</v>
      </c>
      <c r="E1576" t="n">
        <v>30.542</v>
      </c>
      <c r="G1576" t="n">
        <v>253</v>
      </c>
      <c r="H1576" t="inlineStr">
        <is>
          <t>bb</t>
        </is>
      </c>
    </row>
    <row r="1577">
      <c r="A1577" t="n">
        <v>10</v>
      </c>
      <c r="B1577" t="inlineStr">
        <is>
          <t>MeOH</t>
        </is>
      </c>
      <c r="F1577" t="n">
        <v>8.925000000000001</v>
      </c>
    </row>
    <row r="1578">
      <c r="A1578" t="n">
        <v>11</v>
      </c>
      <c r="B1578" t="inlineStr">
        <is>
          <t>SB1</t>
        </is>
      </c>
      <c r="F1578" t="n">
        <v>2284.958</v>
      </c>
    </row>
    <row r="1579">
      <c r="A1579" t="n">
        <v>12</v>
      </c>
      <c r="B1579" t="inlineStr">
        <is>
          <t>SB2</t>
        </is>
      </c>
      <c r="F1579" t="n">
        <v>2156.616</v>
      </c>
    </row>
    <row r="1580">
      <c r="A1580" t="n">
        <v>13</v>
      </c>
      <c r="B1580" t="inlineStr">
        <is>
          <t>SB3</t>
        </is>
      </c>
      <c r="D1580" t="n">
        <v>15.41</v>
      </c>
      <c r="E1580" t="n">
        <v>1.045</v>
      </c>
      <c r="F1580" t="n">
        <v>2163.29</v>
      </c>
      <c r="G1580" t="n">
        <v>9</v>
      </c>
      <c r="H1580" t="inlineStr">
        <is>
          <t>bb</t>
        </is>
      </c>
    </row>
    <row r="1581">
      <c r="A1581" t="n">
        <v>14</v>
      </c>
      <c r="B1581" t="inlineStr">
        <is>
          <t>SS1</t>
        </is>
      </c>
      <c r="D1581" t="n">
        <v>15.44</v>
      </c>
      <c r="E1581" t="n">
        <v>2540.726</v>
      </c>
      <c r="F1581" t="n">
        <v>1828.107</v>
      </c>
      <c r="G1581" t="n">
        <v>17451</v>
      </c>
      <c r="H1581" t="inlineStr">
        <is>
          <t>MM</t>
        </is>
      </c>
    </row>
    <row r="1582">
      <c r="A1582" t="n">
        <v>15</v>
      </c>
      <c r="B1582" t="inlineStr">
        <is>
          <t>SS2</t>
        </is>
      </c>
      <c r="D1582" t="n">
        <v>15.44</v>
      </c>
      <c r="E1582" t="n">
        <v>2969.216</v>
      </c>
      <c r="F1582" t="n">
        <v>2612.876</v>
      </c>
      <c r="G1582" t="n">
        <v>83.05500000000001</v>
      </c>
      <c r="H1582" t="inlineStr">
        <is>
          <t>bb</t>
        </is>
      </c>
    </row>
    <row r="1583">
      <c r="A1583" t="n">
        <v>16</v>
      </c>
      <c r="B1583" t="inlineStr">
        <is>
          <t>SS3</t>
        </is>
      </c>
      <c r="D1583" t="n">
        <v>15.44</v>
      </c>
      <c r="E1583" t="n">
        <v>2289.851</v>
      </c>
      <c r="F1583" t="n">
        <v>1998.559</v>
      </c>
      <c r="G1583" t="n">
        <v>15990</v>
      </c>
      <c r="H1583" t="inlineStr">
        <is>
          <t>bb</t>
        </is>
      </c>
    </row>
    <row r="1585">
      <c r="A1585" t="inlineStr">
        <is>
          <t>Compound 80:  PFDA 1</t>
        </is>
      </c>
    </row>
    <row r="1587">
      <c r="B1587" t="inlineStr">
        <is>
          <t>Sample Text</t>
        </is>
      </c>
      <c r="C1587" t="inlineStr">
        <is>
          <t>Std. Conc</t>
        </is>
      </c>
      <c r="D1587" t="inlineStr">
        <is>
          <t>RT</t>
        </is>
      </c>
      <c r="E1587" t="inlineStr">
        <is>
          <t>Area</t>
        </is>
      </c>
      <c r="F1587" t="inlineStr">
        <is>
          <t>IS Area</t>
        </is>
      </c>
      <c r="G1587" t="inlineStr">
        <is>
          <t>S/N</t>
        </is>
      </c>
      <c r="H1587" t="inlineStr">
        <is>
          <t>Primary Flags</t>
        </is>
      </c>
      <c r="I1587" t="inlineStr">
        <is>
          <t>Response</t>
        </is>
      </c>
      <c r="J1587" t="inlineStr">
        <is>
          <t>Conc.</t>
        </is>
      </c>
    </row>
    <row r="1588">
      <c r="A1588" t="n">
        <v>1</v>
      </c>
      <c r="B1588" t="inlineStr">
        <is>
          <t>EPA1633 &amp; diPAPs Calibration 0 ppb</t>
        </is>
      </c>
      <c r="D1588" t="n">
        <v>14</v>
      </c>
      <c r="E1588" t="n">
        <v>212.436</v>
      </c>
      <c r="F1588" t="n">
        <v>300.866</v>
      </c>
      <c r="G1588" t="n">
        <v>3.663</v>
      </c>
      <c r="H1588" t="inlineStr">
        <is>
          <t>bb</t>
        </is>
      </c>
    </row>
    <row r="1589">
      <c r="A1589" t="n">
        <v>2</v>
      </c>
      <c r="B1589" t="inlineStr">
        <is>
          <t>EPA1633 &amp; diPAPs Calibration 0.02 ppb</t>
        </is>
      </c>
      <c r="D1589" t="n">
        <v>14.08</v>
      </c>
      <c r="E1589" t="n">
        <v>260.861</v>
      </c>
      <c r="F1589" t="n">
        <v>321.662</v>
      </c>
      <c r="G1589" t="n">
        <v>14.211</v>
      </c>
      <c r="H1589" t="inlineStr">
        <is>
          <t>bb</t>
        </is>
      </c>
    </row>
    <row r="1590">
      <c r="A1590" t="n">
        <v>3</v>
      </c>
      <c r="B1590" t="inlineStr">
        <is>
          <t>EPA1633 &amp; diPAPs Calibration 0.1 ppb</t>
        </is>
      </c>
      <c r="D1590" t="n">
        <v>13.99</v>
      </c>
      <c r="E1590" t="n">
        <v>432.717</v>
      </c>
      <c r="F1590" t="n">
        <v>271.981</v>
      </c>
      <c r="G1590" t="n">
        <v>5.538</v>
      </c>
      <c r="H1590" t="inlineStr">
        <is>
          <t>MM</t>
        </is>
      </c>
    </row>
    <row r="1591">
      <c r="A1591" t="n">
        <v>4</v>
      </c>
      <c r="B1591" t="inlineStr">
        <is>
          <t>EPA1633 &amp; diPAPs Calibration 0.4 ppb</t>
        </is>
      </c>
      <c r="D1591" t="n">
        <v>14</v>
      </c>
      <c r="E1591" t="n">
        <v>614.861</v>
      </c>
      <c r="F1591" t="n">
        <v>575.192</v>
      </c>
      <c r="G1591" t="n">
        <v>20.256</v>
      </c>
      <c r="H1591" t="inlineStr">
        <is>
          <t>bb</t>
        </is>
      </c>
    </row>
    <row r="1592">
      <c r="A1592" t="n">
        <v>5</v>
      </c>
      <c r="B1592" t="inlineStr">
        <is>
          <t>EPA1633 &amp; diPAPs Calibration 1 ppb</t>
        </is>
      </c>
      <c r="D1592" t="n">
        <v>13.99</v>
      </c>
      <c r="E1592" t="n">
        <v>827.0309999999999</v>
      </c>
      <c r="F1592" t="n">
        <v>121.731</v>
      </c>
      <c r="G1592" t="n">
        <v>39.81</v>
      </c>
      <c r="H1592" t="inlineStr">
        <is>
          <t>MM</t>
        </is>
      </c>
    </row>
    <row r="1593">
      <c r="A1593" t="n">
        <v>6</v>
      </c>
      <c r="B1593" t="inlineStr">
        <is>
          <t>EPA1633 &amp; diPAPs Calibration 5 ppb</t>
        </is>
      </c>
      <c r="D1593" t="n">
        <v>13.92</v>
      </c>
      <c r="E1593" t="n">
        <v>3454.264</v>
      </c>
      <c r="F1593" t="n">
        <v>630.125</v>
      </c>
      <c r="G1593" t="n">
        <v>23.296</v>
      </c>
      <c r="H1593" t="inlineStr">
        <is>
          <t>bb</t>
        </is>
      </c>
    </row>
    <row r="1594">
      <c r="A1594" t="n">
        <v>7</v>
      </c>
      <c r="B1594" t="inlineStr">
        <is>
          <t>EPA1633 &amp; diPAPs Calibration 10 ppb</t>
        </is>
      </c>
      <c r="D1594" t="n">
        <v>13.93</v>
      </c>
      <c r="E1594" t="n">
        <v>5960.041</v>
      </c>
      <c r="F1594" t="n">
        <v>189.169</v>
      </c>
      <c r="G1594" t="n">
        <v>103.052</v>
      </c>
      <c r="H1594" t="inlineStr">
        <is>
          <t>bb</t>
        </is>
      </c>
    </row>
    <row r="1595">
      <c r="A1595" t="n">
        <v>8</v>
      </c>
      <c r="B1595" t="inlineStr">
        <is>
          <t>EPA1633 &amp; diPAPs Calibration 20 ppb</t>
        </is>
      </c>
      <c r="D1595" t="n">
        <v>13.96</v>
      </c>
      <c r="E1595" t="n">
        <v>11033.229</v>
      </c>
      <c r="F1595" t="n">
        <v>34.629</v>
      </c>
      <c r="G1595" t="n">
        <v>47.206</v>
      </c>
      <c r="H1595" t="inlineStr">
        <is>
          <t>bb</t>
        </is>
      </c>
    </row>
    <row r="1596">
      <c r="A1596" t="n">
        <v>9</v>
      </c>
      <c r="B1596" t="inlineStr">
        <is>
          <t>MeOH</t>
        </is>
      </c>
      <c r="D1596" t="n">
        <v>14.05</v>
      </c>
      <c r="E1596" t="n">
        <v>153.122</v>
      </c>
      <c r="G1596" t="n">
        <v>1091</v>
      </c>
      <c r="H1596" t="inlineStr">
        <is>
          <t>bb</t>
        </is>
      </c>
    </row>
    <row r="1597">
      <c r="A1597" t="n">
        <v>10</v>
      </c>
      <c r="B1597" t="inlineStr">
        <is>
          <t>MeOH</t>
        </is>
      </c>
      <c r="D1597" t="n">
        <v>14.02</v>
      </c>
      <c r="E1597" t="n">
        <v>181.383</v>
      </c>
      <c r="G1597" t="n">
        <v>127.4</v>
      </c>
      <c r="H1597" t="inlineStr">
        <is>
          <t>bb</t>
        </is>
      </c>
    </row>
    <row r="1598">
      <c r="A1598" t="n">
        <v>11</v>
      </c>
      <c r="B1598" t="inlineStr">
        <is>
          <t>SB1</t>
        </is>
      </c>
      <c r="D1598" t="n">
        <v>13.99</v>
      </c>
      <c r="E1598" t="n">
        <v>154.719</v>
      </c>
      <c r="F1598" t="n">
        <v>61.924</v>
      </c>
      <c r="G1598" t="n">
        <v>4.242</v>
      </c>
      <c r="H1598" t="inlineStr">
        <is>
          <t>bb</t>
        </is>
      </c>
    </row>
    <row r="1599">
      <c r="A1599" t="n">
        <v>12</v>
      </c>
      <c r="B1599" t="inlineStr">
        <is>
          <t>SB2</t>
        </is>
      </c>
      <c r="D1599" t="n">
        <v>14.25</v>
      </c>
      <c r="E1599" t="n">
        <v>104.889</v>
      </c>
      <c r="F1599" t="n">
        <v>37.859</v>
      </c>
      <c r="G1599" t="n">
        <v>6.407</v>
      </c>
      <c r="H1599" t="inlineStr">
        <is>
          <t>MM</t>
        </is>
      </c>
    </row>
    <row r="1600">
      <c r="A1600" t="n">
        <v>13</v>
      </c>
      <c r="B1600" t="inlineStr">
        <is>
          <t>SB3</t>
        </is>
      </c>
      <c r="D1600" t="n">
        <v>14.03</v>
      </c>
      <c r="E1600" t="n">
        <v>224.878</v>
      </c>
      <c r="F1600" t="n">
        <v>151.1</v>
      </c>
      <c r="G1600" t="n">
        <v>17.378</v>
      </c>
      <c r="H1600" t="inlineStr">
        <is>
          <t>MM</t>
        </is>
      </c>
    </row>
    <row r="1601">
      <c r="A1601" t="n">
        <v>14</v>
      </c>
      <c r="B1601" t="inlineStr">
        <is>
          <t>SS1</t>
        </is>
      </c>
      <c r="D1601" t="n">
        <v>14.02</v>
      </c>
      <c r="E1601" t="n">
        <v>2284.392</v>
      </c>
      <c r="F1601" t="n">
        <v>120.184</v>
      </c>
      <c r="G1601" t="n">
        <v>87.626</v>
      </c>
      <c r="H1601" t="inlineStr">
        <is>
          <t>bb</t>
        </is>
      </c>
    </row>
    <row r="1602">
      <c r="A1602" t="n">
        <v>15</v>
      </c>
      <c r="B1602" t="inlineStr">
        <is>
          <t>SS2</t>
        </is>
      </c>
      <c r="D1602" t="n">
        <v>14.02</v>
      </c>
      <c r="E1602" t="n">
        <v>2148.452</v>
      </c>
      <c r="F1602" t="n">
        <v>140.114</v>
      </c>
      <c r="G1602" t="n">
        <v>56.566</v>
      </c>
      <c r="H1602" t="inlineStr">
        <is>
          <t>MM</t>
        </is>
      </c>
    </row>
    <row r="1603">
      <c r="A1603" t="n">
        <v>16</v>
      </c>
      <c r="B1603" t="inlineStr">
        <is>
          <t>SS3</t>
        </is>
      </c>
      <c r="D1603" t="n">
        <v>14.03</v>
      </c>
      <c r="E1603" t="n">
        <v>1883.769</v>
      </c>
      <c r="F1603" t="n">
        <v>104.483</v>
      </c>
      <c r="G1603" t="n">
        <v>131.751</v>
      </c>
      <c r="H1603" t="inlineStr">
        <is>
          <t>bb</t>
        </is>
      </c>
    </row>
    <row r="1605">
      <c r="A1605" t="inlineStr">
        <is>
          <t>Compound 81:  PFDA 2</t>
        </is>
      </c>
    </row>
    <row r="1607">
      <c r="B1607" t="inlineStr">
        <is>
          <t>Sample Text</t>
        </is>
      </c>
      <c r="C1607" t="inlineStr">
        <is>
          <t>Std. Conc</t>
        </is>
      </c>
      <c r="D1607" t="inlineStr">
        <is>
          <t>RT</t>
        </is>
      </c>
      <c r="E1607" t="inlineStr">
        <is>
          <t>Area</t>
        </is>
      </c>
      <c r="F1607" t="inlineStr">
        <is>
          <t>IS Area</t>
        </is>
      </c>
      <c r="G1607" t="inlineStr">
        <is>
          <t>S/N</t>
        </is>
      </c>
      <c r="H1607" t="inlineStr">
        <is>
          <t>Primary Flags</t>
        </is>
      </c>
      <c r="I1607" t="inlineStr">
        <is>
          <t>Response</t>
        </is>
      </c>
      <c r="J1607" t="inlineStr">
        <is>
          <t>Conc.</t>
        </is>
      </c>
    </row>
    <row r="1608">
      <c r="A1608" t="n">
        <v>1</v>
      </c>
      <c r="B1608" t="inlineStr">
        <is>
          <t>EPA1633 &amp; diPAPs Calibration 0 ppb</t>
        </is>
      </c>
      <c r="D1608" t="n">
        <v>13.81</v>
      </c>
      <c r="E1608" t="n">
        <v>42.19</v>
      </c>
      <c r="F1608" t="n">
        <v>300.866</v>
      </c>
      <c r="G1608" t="n">
        <v>1.3</v>
      </c>
      <c r="H1608" t="inlineStr">
        <is>
          <t>MM</t>
        </is>
      </c>
    </row>
    <row r="1609">
      <c r="A1609" t="n">
        <v>2</v>
      </c>
      <c r="B1609" t="inlineStr">
        <is>
          <t>EPA1633 &amp; diPAPs Calibration 0.02 ppb</t>
        </is>
      </c>
      <c r="D1609" t="n">
        <v>14.03</v>
      </c>
      <c r="E1609" t="n">
        <v>28.606</v>
      </c>
      <c r="F1609" t="n">
        <v>321.662</v>
      </c>
      <c r="G1609" t="n">
        <v>0.351</v>
      </c>
      <c r="H1609" t="inlineStr">
        <is>
          <t>MM</t>
        </is>
      </c>
    </row>
    <row r="1610">
      <c r="A1610" t="n">
        <v>3</v>
      </c>
      <c r="B1610" t="inlineStr">
        <is>
          <t>EPA1633 &amp; diPAPs Calibration 0.1 ppb</t>
        </is>
      </c>
      <c r="D1610" t="n">
        <v>14.06</v>
      </c>
      <c r="E1610" t="n">
        <v>161.658</v>
      </c>
      <c r="F1610" t="n">
        <v>271.981</v>
      </c>
      <c r="G1610" t="n">
        <v>2.148</v>
      </c>
      <c r="H1610" t="inlineStr">
        <is>
          <t>bb</t>
        </is>
      </c>
    </row>
    <row r="1611">
      <c r="A1611" t="n">
        <v>4</v>
      </c>
      <c r="B1611" t="inlineStr">
        <is>
          <t>EPA1633 &amp; diPAPs Calibration 0.4 ppb</t>
        </is>
      </c>
      <c r="D1611" t="n">
        <v>13.96</v>
      </c>
      <c r="E1611" t="n">
        <v>107.473</v>
      </c>
      <c r="F1611" t="n">
        <v>575.192</v>
      </c>
      <c r="G1611" t="n">
        <v>1.629</v>
      </c>
      <c r="H1611" t="inlineStr">
        <is>
          <t>MM</t>
        </is>
      </c>
    </row>
    <row r="1612">
      <c r="A1612" t="n">
        <v>5</v>
      </c>
      <c r="B1612" t="inlineStr">
        <is>
          <t>EPA1633 &amp; diPAPs Calibration 1 ppb</t>
        </is>
      </c>
      <c r="D1612" t="n">
        <v>13.98</v>
      </c>
      <c r="E1612" t="n">
        <v>335.193</v>
      </c>
      <c r="F1612" t="n">
        <v>121.731</v>
      </c>
      <c r="G1612" t="n">
        <v>15.265</v>
      </c>
      <c r="H1612" t="inlineStr">
        <is>
          <t>bb</t>
        </is>
      </c>
    </row>
    <row r="1613">
      <c r="A1613" t="n">
        <v>6</v>
      </c>
      <c r="B1613" t="inlineStr">
        <is>
          <t>EPA1633 &amp; diPAPs Calibration 5 ppb</t>
        </is>
      </c>
      <c r="D1613" t="n">
        <v>13.93</v>
      </c>
      <c r="E1613" t="n">
        <v>723.08</v>
      </c>
      <c r="F1613" t="n">
        <v>630.125</v>
      </c>
      <c r="G1613" t="n">
        <v>13.89</v>
      </c>
      <c r="H1613" t="inlineStr">
        <is>
          <t>bb</t>
        </is>
      </c>
    </row>
    <row r="1614">
      <c r="A1614" t="n">
        <v>7</v>
      </c>
      <c r="B1614" t="inlineStr">
        <is>
          <t>EPA1633 &amp; diPAPs Calibration 10 ppb</t>
        </is>
      </c>
      <c r="D1614" t="n">
        <v>13.93</v>
      </c>
      <c r="E1614" t="n">
        <v>1216.5</v>
      </c>
      <c r="F1614" t="n">
        <v>189.169</v>
      </c>
      <c r="G1614" t="n">
        <v>18.074</v>
      </c>
      <c r="H1614" t="inlineStr">
        <is>
          <t>bb</t>
        </is>
      </c>
    </row>
    <row r="1615">
      <c r="A1615" t="n">
        <v>8</v>
      </c>
      <c r="B1615" t="inlineStr">
        <is>
          <t>EPA1633 &amp; diPAPs Calibration 20 ppb</t>
        </is>
      </c>
      <c r="D1615" t="n">
        <v>13.96</v>
      </c>
      <c r="E1615" t="n">
        <v>2838.974</v>
      </c>
      <c r="F1615" t="n">
        <v>34.629</v>
      </c>
      <c r="G1615" t="n">
        <v>67.907</v>
      </c>
      <c r="H1615" t="inlineStr">
        <is>
          <t>MM</t>
        </is>
      </c>
    </row>
    <row r="1616">
      <c r="A1616" t="n">
        <v>9</v>
      </c>
      <c r="B1616" t="inlineStr">
        <is>
          <t>MeOH</t>
        </is>
      </c>
      <c r="D1616" t="n">
        <v>13.49</v>
      </c>
      <c r="E1616" t="n">
        <v>28.584</v>
      </c>
      <c r="G1616" t="n">
        <v>0.9330000000000001</v>
      </c>
      <c r="H1616" t="inlineStr">
        <is>
          <t>bb</t>
        </is>
      </c>
    </row>
    <row r="1617">
      <c r="A1617" t="n">
        <v>10</v>
      </c>
      <c r="B1617" t="inlineStr">
        <is>
          <t>MeOH</t>
        </is>
      </c>
      <c r="D1617" t="n">
        <v>14.08</v>
      </c>
      <c r="E1617" t="n">
        <v>130.406</v>
      </c>
      <c r="G1617" t="n">
        <v>2.186</v>
      </c>
      <c r="H1617" t="inlineStr">
        <is>
          <t>bb</t>
        </is>
      </c>
    </row>
    <row r="1618">
      <c r="A1618" t="n">
        <v>11</v>
      </c>
      <c r="B1618" t="inlineStr">
        <is>
          <t>SB1</t>
        </is>
      </c>
      <c r="D1618" t="n">
        <v>14.03</v>
      </c>
      <c r="E1618" t="n">
        <v>106.602</v>
      </c>
      <c r="F1618" t="n">
        <v>61.924</v>
      </c>
      <c r="G1618" t="n">
        <v>4.967</v>
      </c>
      <c r="H1618" t="inlineStr">
        <is>
          <t>bb</t>
        </is>
      </c>
    </row>
    <row r="1619">
      <c r="A1619" t="n">
        <v>12</v>
      </c>
      <c r="B1619" t="inlineStr">
        <is>
          <t>SB2</t>
        </is>
      </c>
      <c r="D1619" t="n">
        <v>14.03</v>
      </c>
      <c r="E1619" t="n">
        <v>49.749</v>
      </c>
      <c r="F1619" t="n">
        <v>37.859</v>
      </c>
      <c r="G1619" t="n">
        <v>0.649</v>
      </c>
      <c r="H1619" t="inlineStr">
        <is>
          <t>MM</t>
        </is>
      </c>
    </row>
    <row r="1620">
      <c r="A1620" t="n">
        <v>13</v>
      </c>
      <c r="B1620" t="inlineStr">
        <is>
          <t>SB3</t>
        </is>
      </c>
      <c r="D1620" t="n">
        <v>14.2</v>
      </c>
      <c r="E1620" t="n">
        <v>103.459</v>
      </c>
      <c r="F1620" t="n">
        <v>151.1</v>
      </c>
      <c r="G1620" t="n">
        <v>1.594</v>
      </c>
      <c r="H1620" t="inlineStr">
        <is>
          <t>MM</t>
        </is>
      </c>
    </row>
    <row r="1621">
      <c r="A1621" t="n">
        <v>14</v>
      </c>
      <c r="B1621" t="inlineStr">
        <is>
          <t>SS1</t>
        </is>
      </c>
      <c r="D1621" t="n">
        <v>14.02</v>
      </c>
      <c r="E1621" t="n">
        <v>829.455</v>
      </c>
      <c r="F1621" t="n">
        <v>120.184</v>
      </c>
      <c r="G1621" t="n">
        <v>20.961</v>
      </c>
      <c r="H1621" t="inlineStr">
        <is>
          <t>bb</t>
        </is>
      </c>
    </row>
    <row r="1622">
      <c r="A1622" t="n">
        <v>15</v>
      </c>
      <c r="B1622" t="inlineStr">
        <is>
          <t>SS2</t>
        </is>
      </c>
      <c r="D1622" t="n">
        <v>14.03</v>
      </c>
      <c r="E1622" t="n">
        <v>682.225</v>
      </c>
      <c r="F1622" t="n">
        <v>140.114</v>
      </c>
      <c r="G1622" t="n">
        <v>37.061</v>
      </c>
      <c r="H1622" t="inlineStr">
        <is>
          <t>bb</t>
        </is>
      </c>
    </row>
    <row r="1623">
      <c r="A1623" t="n">
        <v>16</v>
      </c>
      <c r="B1623" t="inlineStr">
        <is>
          <t>SS3</t>
        </is>
      </c>
      <c r="D1623" t="n">
        <v>14.03</v>
      </c>
      <c r="E1623" t="n">
        <v>433.474</v>
      </c>
      <c r="F1623" t="n">
        <v>104.483</v>
      </c>
      <c r="G1623" t="n">
        <v>8.302</v>
      </c>
      <c r="H1623" t="inlineStr">
        <is>
          <t>bb</t>
        </is>
      </c>
    </row>
    <row r="1625">
      <c r="A1625" t="inlineStr">
        <is>
          <t>Compound 82:  m3 N-MeFOSA 1</t>
        </is>
      </c>
    </row>
    <row r="1627">
      <c r="B1627" t="inlineStr">
        <is>
          <t>Sample Text</t>
        </is>
      </c>
      <c r="C1627" t="inlineStr">
        <is>
          <t>Std. Conc</t>
        </is>
      </c>
      <c r="D1627" t="inlineStr">
        <is>
          <t>RT</t>
        </is>
      </c>
      <c r="E1627" t="inlineStr">
        <is>
          <t>Area</t>
        </is>
      </c>
      <c r="F1627" t="inlineStr">
        <is>
          <t>IS Area</t>
        </is>
      </c>
      <c r="G1627" t="inlineStr">
        <is>
          <t>S/N</t>
        </is>
      </c>
      <c r="H1627" t="inlineStr">
        <is>
          <t>Primary Flags</t>
        </is>
      </c>
      <c r="I1627" t="inlineStr">
        <is>
          <t>Response</t>
        </is>
      </c>
      <c r="J1627" t="inlineStr">
        <is>
          <t>Conc.</t>
        </is>
      </c>
    </row>
    <row r="1628">
      <c r="A1628" t="n">
        <v>1</v>
      </c>
      <c r="B1628" t="inlineStr">
        <is>
          <t>EPA1633 &amp; diPAPs Calibration 0 ppb</t>
        </is>
      </c>
      <c r="D1628" t="n">
        <v>15.42</v>
      </c>
      <c r="E1628" t="n">
        <v>8869.878000000001</v>
      </c>
      <c r="G1628" t="n">
        <v>70.262</v>
      </c>
      <c r="H1628" t="inlineStr">
        <is>
          <t>bb</t>
        </is>
      </c>
      <c r="I1628" t="n">
        <v>8869.878000000001</v>
      </c>
    </row>
    <row r="1629">
      <c r="A1629" t="n">
        <v>2</v>
      </c>
      <c r="B1629" t="inlineStr">
        <is>
          <t>EPA1633 &amp; diPAPs Calibration 0.02 ppb</t>
        </is>
      </c>
      <c r="D1629" t="n">
        <v>15.44</v>
      </c>
      <c r="E1629" t="n">
        <v>7362.827</v>
      </c>
      <c r="G1629" t="n">
        <v>5969.252</v>
      </c>
      <c r="H1629" t="inlineStr">
        <is>
          <t>bb</t>
        </is>
      </c>
      <c r="I1629" t="n">
        <v>7362.827</v>
      </c>
    </row>
    <row r="1630">
      <c r="A1630" t="n">
        <v>3</v>
      </c>
      <c r="B1630" t="inlineStr">
        <is>
          <t>EPA1633 &amp; diPAPs Calibration 0.1 ppb</t>
        </is>
      </c>
      <c r="D1630" t="n">
        <v>15.46</v>
      </c>
      <c r="E1630" t="n">
        <v>9670.424000000001</v>
      </c>
      <c r="G1630" t="n">
        <v>336.963</v>
      </c>
      <c r="H1630" t="inlineStr">
        <is>
          <t>bb</t>
        </is>
      </c>
      <c r="I1630" t="n">
        <v>9670.424000000001</v>
      </c>
    </row>
    <row r="1631">
      <c r="A1631" t="n">
        <v>4</v>
      </c>
      <c r="B1631" t="inlineStr">
        <is>
          <t>EPA1633 &amp; diPAPs Calibration 0.4 ppb</t>
        </is>
      </c>
      <c r="D1631" t="n">
        <v>15.46</v>
      </c>
      <c r="E1631" t="n">
        <v>8260.82</v>
      </c>
      <c r="G1631" t="n">
        <v>638.495</v>
      </c>
      <c r="H1631" t="inlineStr">
        <is>
          <t>bb</t>
        </is>
      </c>
      <c r="I1631" t="n">
        <v>8260.82</v>
      </c>
    </row>
    <row r="1632">
      <c r="A1632" t="n">
        <v>5</v>
      </c>
      <c r="B1632" t="inlineStr">
        <is>
          <t>EPA1633 &amp; diPAPs Calibration 1 ppb</t>
        </is>
      </c>
      <c r="D1632" t="n">
        <v>15.44</v>
      </c>
      <c r="E1632" t="n">
        <v>9618.662</v>
      </c>
      <c r="G1632" t="n">
        <v>397.416</v>
      </c>
      <c r="H1632" t="inlineStr">
        <is>
          <t>MM</t>
        </is>
      </c>
      <c r="I1632" t="n">
        <v>9618.662</v>
      </c>
    </row>
    <row r="1633">
      <c r="A1633" t="n">
        <v>6</v>
      </c>
      <c r="B1633" t="inlineStr">
        <is>
          <t>EPA1633 &amp; diPAPs Calibration 5 ppb</t>
        </is>
      </c>
      <c r="D1633" t="n">
        <v>15.42</v>
      </c>
      <c r="E1633" t="n">
        <v>7907.169</v>
      </c>
      <c r="G1633" t="n">
        <v>980.145</v>
      </c>
      <c r="H1633" t="inlineStr">
        <is>
          <t>bb</t>
        </is>
      </c>
      <c r="I1633" t="n">
        <v>7907.169</v>
      </c>
    </row>
    <row r="1634">
      <c r="A1634" t="n">
        <v>7</v>
      </c>
      <c r="B1634" t="inlineStr">
        <is>
          <t>EPA1633 &amp; diPAPs Calibration 10 ppb</t>
        </is>
      </c>
      <c r="D1634" t="n">
        <v>15.43</v>
      </c>
      <c r="E1634" t="n">
        <v>6344.778</v>
      </c>
      <c r="G1634" t="n">
        <v>144.275</v>
      </c>
      <c r="H1634" t="inlineStr">
        <is>
          <t>bb</t>
        </is>
      </c>
      <c r="I1634" t="n">
        <v>6344.778</v>
      </c>
    </row>
    <row r="1635">
      <c r="A1635" t="n">
        <v>8</v>
      </c>
      <c r="B1635" t="inlineStr">
        <is>
          <t>EPA1633 &amp; diPAPs Calibration 20 ppb</t>
        </is>
      </c>
      <c r="D1635" t="n">
        <v>15.44</v>
      </c>
      <c r="E1635" t="n">
        <v>6895.557</v>
      </c>
      <c r="G1635" t="n">
        <v>269.242</v>
      </c>
      <c r="H1635" t="inlineStr">
        <is>
          <t>bb</t>
        </is>
      </c>
      <c r="I1635" t="n">
        <v>6895.557</v>
      </c>
    </row>
    <row r="1636">
      <c r="A1636" t="n">
        <v>9</v>
      </c>
      <c r="B1636" t="inlineStr">
        <is>
          <t>MeOH</t>
        </is>
      </c>
      <c r="D1636" t="n">
        <v>15.44</v>
      </c>
      <c r="E1636" t="n">
        <v>65.31999999999999</v>
      </c>
      <c r="G1636" t="n">
        <v>477</v>
      </c>
      <c r="H1636" t="inlineStr">
        <is>
          <t>bb</t>
        </is>
      </c>
      <c r="I1636" t="n">
        <v>65.31999999999999</v>
      </c>
    </row>
    <row r="1637">
      <c r="A1637" t="n">
        <v>10</v>
      </c>
      <c r="B1637" t="inlineStr">
        <is>
          <t>MeOH</t>
        </is>
      </c>
      <c r="D1637" t="n">
        <v>15.66</v>
      </c>
      <c r="E1637" t="n">
        <v>35.911</v>
      </c>
      <c r="G1637" t="n">
        <v>11.941</v>
      </c>
      <c r="H1637" t="inlineStr">
        <is>
          <t>bb</t>
        </is>
      </c>
      <c r="I1637" t="n">
        <v>35.911</v>
      </c>
    </row>
    <row r="1638">
      <c r="A1638" t="n">
        <v>11</v>
      </c>
      <c r="B1638" t="inlineStr">
        <is>
          <t>SB1</t>
        </is>
      </c>
      <c r="D1638" t="n">
        <v>15.47</v>
      </c>
      <c r="E1638" t="n">
        <v>2375.932</v>
      </c>
      <c r="G1638" t="n">
        <v>159.687</v>
      </c>
      <c r="H1638" t="inlineStr">
        <is>
          <t>bb</t>
        </is>
      </c>
      <c r="I1638" t="n">
        <v>2375.932</v>
      </c>
    </row>
    <row r="1639">
      <c r="A1639" t="n">
        <v>12</v>
      </c>
      <c r="B1639" t="inlineStr">
        <is>
          <t>SB2</t>
        </is>
      </c>
      <c r="D1639" t="n">
        <v>15.49</v>
      </c>
      <c r="E1639" t="n">
        <v>2312.328</v>
      </c>
      <c r="G1639" t="n">
        <v>49.505</v>
      </c>
      <c r="H1639" t="inlineStr">
        <is>
          <t>bb</t>
        </is>
      </c>
      <c r="I1639" t="n">
        <v>2312.328</v>
      </c>
    </row>
    <row r="1640">
      <c r="A1640" t="n">
        <v>13</v>
      </c>
      <c r="B1640" t="inlineStr">
        <is>
          <t>SB3</t>
        </is>
      </c>
      <c r="D1640" t="n">
        <v>15.48</v>
      </c>
      <c r="E1640" t="n">
        <v>2990.264</v>
      </c>
      <c r="G1640" t="n">
        <v>147.056</v>
      </c>
      <c r="H1640" t="inlineStr">
        <is>
          <t>bb</t>
        </is>
      </c>
      <c r="I1640" t="n">
        <v>2990.264</v>
      </c>
    </row>
    <row r="1641">
      <c r="A1641" t="n">
        <v>14</v>
      </c>
      <c r="B1641" t="inlineStr">
        <is>
          <t>SS1</t>
        </is>
      </c>
      <c r="D1641" t="n">
        <v>15.51</v>
      </c>
      <c r="E1641" t="n">
        <v>1863.89</v>
      </c>
      <c r="G1641" t="n">
        <v>44.012</v>
      </c>
      <c r="H1641" t="inlineStr">
        <is>
          <t>bb</t>
        </is>
      </c>
      <c r="I1641" t="n">
        <v>1863.89</v>
      </c>
    </row>
    <row r="1642">
      <c r="A1642" t="n">
        <v>15</v>
      </c>
      <c r="B1642" t="inlineStr">
        <is>
          <t>SS2</t>
        </is>
      </c>
      <c r="D1642" t="n">
        <v>15.52</v>
      </c>
      <c r="E1642" t="n">
        <v>2404.218</v>
      </c>
      <c r="G1642" t="n">
        <v>55.436</v>
      </c>
      <c r="H1642" t="inlineStr">
        <is>
          <t>bb</t>
        </is>
      </c>
      <c r="I1642" t="n">
        <v>2404.218</v>
      </c>
    </row>
    <row r="1643">
      <c r="A1643" t="n">
        <v>16</v>
      </c>
      <c r="B1643" t="inlineStr">
        <is>
          <t>SS3</t>
        </is>
      </c>
      <c r="D1643" t="n">
        <v>15.52</v>
      </c>
      <c r="E1643" t="n">
        <v>2091.666</v>
      </c>
      <c r="G1643" t="n">
        <v>32.604</v>
      </c>
      <c r="H1643" t="inlineStr">
        <is>
          <t>bb</t>
        </is>
      </c>
      <c r="I1643" t="n">
        <v>2091.666</v>
      </c>
    </row>
    <row r="1645">
      <c r="A1645" t="inlineStr">
        <is>
          <t>Compound 83:  m3 N-MeFOSA 2</t>
        </is>
      </c>
    </row>
    <row r="1647">
      <c r="B1647" t="inlineStr">
        <is>
          <t>Sample Text</t>
        </is>
      </c>
      <c r="C1647" t="inlineStr">
        <is>
          <t>Std. Conc</t>
        </is>
      </c>
      <c r="D1647" t="inlineStr">
        <is>
          <t>RT</t>
        </is>
      </c>
      <c r="E1647" t="inlineStr">
        <is>
          <t>Area</t>
        </is>
      </c>
      <c r="F1647" t="inlineStr">
        <is>
          <t>IS Area</t>
        </is>
      </c>
      <c r="G1647" t="inlineStr">
        <is>
          <t>S/N</t>
        </is>
      </c>
      <c r="H1647" t="inlineStr">
        <is>
          <t>Primary Flags</t>
        </is>
      </c>
      <c r="I1647" t="inlineStr">
        <is>
          <t>Response</t>
        </is>
      </c>
      <c r="J1647" t="inlineStr">
        <is>
          <t>Conc.</t>
        </is>
      </c>
    </row>
    <row r="1648">
      <c r="A1648" t="n">
        <v>1</v>
      </c>
      <c r="B1648" t="inlineStr">
        <is>
          <t>EPA1633 &amp; diPAPs Calibration 0 ppb</t>
        </is>
      </c>
      <c r="D1648" t="n">
        <v>15.42</v>
      </c>
      <c r="E1648" t="n">
        <v>7928.266</v>
      </c>
      <c r="G1648" t="n">
        <v>53898</v>
      </c>
      <c r="H1648" t="inlineStr">
        <is>
          <t>bb</t>
        </is>
      </c>
      <c r="I1648" t="n">
        <v>7928.266</v>
      </c>
    </row>
    <row r="1649">
      <c r="A1649" t="n">
        <v>2</v>
      </c>
      <c r="B1649" t="inlineStr">
        <is>
          <t>EPA1633 &amp; diPAPs Calibration 0.02 ppb</t>
        </is>
      </c>
      <c r="D1649" t="n">
        <v>15.46</v>
      </c>
      <c r="E1649" t="n">
        <v>7608.637</v>
      </c>
      <c r="G1649" t="n">
        <v>297.178</v>
      </c>
      <c r="H1649" t="inlineStr">
        <is>
          <t>bb</t>
        </is>
      </c>
      <c r="I1649" t="n">
        <v>7608.637</v>
      </c>
    </row>
    <row r="1650">
      <c r="A1650" t="n">
        <v>3</v>
      </c>
      <c r="B1650" t="inlineStr">
        <is>
          <t>EPA1633 &amp; diPAPs Calibration 0.1 ppb</t>
        </is>
      </c>
      <c r="D1650" t="n">
        <v>15.46</v>
      </c>
      <c r="E1650" t="n">
        <v>8112.798</v>
      </c>
      <c r="G1650" t="n">
        <v>366.29</v>
      </c>
      <c r="H1650" t="inlineStr">
        <is>
          <t>bb</t>
        </is>
      </c>
      <c r="I1650" t="n">
        <v>8112.798</v>
      </c>
    </row>
    <row r="1651">
      <c r="A1651" t="n">
        <v>4</v>
      </c>
      <c r="B1651" t="inlineStr">
        <is>
          <t>EPA1633 &amp; diPAPs Calibration 0.4 ppb</t>
        </is>
      </c>
      <c r="D1651" t="n">
        <v>15.46</v>
      </c>
      <c r="E1651" t="n">
        <v>6399.63</v>
      </c>
      <c r="G1651" t="n">
        <v>258.483</v>
      </c>
      <c r="H1651" t="inlineStr">
        <is>
          <t>bb</t>
        </is>
      </c>
      <c r="I1651" t="n">
        <v>6399.63</v>
      </c>
    </row>
    <row r="1652">
      <c r="A1652" t="n">
        <v>5</v>
      </c>
      <c r="B1652" t="inlineStr">
        <is>
          <t>EPA1633 &amp; diPAPs Calibration 1 ppb</t>
        </is>
      </c>
      <c r="D1652" t="n">
        <v>15.44</v>
      </c>
      <c r="E1652" t="n">
        <v>8360.057000000001</v>
      </c>
      <c r="G1652" t="n">
        <v>55794</v>
      </c>
      <c r="H1652" t="inlineStr">
        <is>
          <t>bb</t>
        </is>
      </c>
      <c r="I1652" t="n">
        <v>8360.057000000001</v>
      </c>
    </row>
    <row r="1653">
      <c r="A1653" t="n">
        <v>6</v>
      </c>
      <c r="B1653" t="inlineStr">
        <is>
          <t>EPA1633 &amp; diPAPs Calibration 5 ppb</t>
        </is>
      </c>
      <c r="D1653" t="n">
        <v>15.41</v>
      </c>
      <c r="E1653" t="n">
        <v>7818.083</v>
      </c>
      <c r="G1653" t="n">
        <v>292.374</v>
      </c>
      <c r="H1653" t="inlineStr">
        <is>
          <t>bb</t>
        </is>
      </c>
      <c r="I1653" t="n">
        <v>7818.083</v>
      </c>
    </row>
    <row r="1654">
      <c r="A1654" t="n">
        <v>7</v>
      </c>
      <c r="B1654" t="inlineStr">
        <is>
          <t>EPA1633 &amp; diPAPs Calibration 10 ppb</t>
        </is>
      </c>
      <c r="D1654" t="n">
        <v>15.43</v>
      </c>
      <c r="E1654" t="n">
        <v>6559.806</v>
      </c>
      <c r="G1654" t="n">
        <v>100.929</v>
      </c>
      <c r="H1654" t="inlineStr">
        <is>
          <t>bb</t>
        </is>
      </c>
      <c r="I1654" t="n">
        <v>6559.806</v>
      </c>
    </row>
    <row r="1655">
      <c r="A1655" t="n">
        <v>8</v>
      </c>
      <c r="B1655" t="inlineStr">
        <is>
          <t>EPA1633 &amp; diPAPs Calibration 20 ppb</t>
        </is>
      </c>
      <c r="D1655" t="n">
        <v>15.44</v>
      </c>
      <c r="E1655" t="n">
        <v>7556.676</v>
      </c>
      <c r="G1655" t="n">
        <v>93.241</v>
      </c>
      <c r="H1655" t="inlineStr">
        <is>
          <t>bb</t>
        </is>
      </c>
      <c r="I1655" t="n">
        <v>7556.676</v>
      </c>
    </row>
    <row r="1656">
      <c r="A1656" t="n">
        <v>9</v>
      </c>
      <c r="B1656" t="inlineStr">
        <is>
          <t>MeOH</t>
        </is>
      </c>
    </row>
    <row r="1657">
      <c r="A1657" t="n">
        <v>10</v>
      </c>
      <c r="B1657" t="inlineStr">
        <is>
          <t>MeOH</t>
        </is>
      </c>
      <c r="D1657" t="n">
        <v>15.46</v>
      </c>
      <c r="E1657" t="n">
        <v>8.925000000000001</v>
      </c>
      <c r="G1657" t="n">
        <v>75</v>
      </c>
      <c r="H1657" t="inlineStr">
        <is>
          <t>bb</t>
        </is>
      </c>
      <c r="I1657" t="n">
        <v>8.925000000000001</v>
      </c>
    </row>
    <row r="1658">
      <c r="A1658" t="n">
        <v>11</v>
      </c>
      <c r="B1658" t="inlineStr">
        <is>
          <t>SB1</t>
        </is>
      </c>
      <c r="D1658" t="n">
        <v>15.47</v>
      </c>
      <c r="E1658" t="n">
        <v>2284.958</v>
      </c>
      <c r="G1658" t="n">
        <v>46.382</v>
      </c>
      <c r="H1658" t="inlineStr">
        <is>
          <t>bb</t>
        </is>
      </c>
      <c r="I1658" t="n">
        <v>2284.958</v>
      </c>
    </row>
    <row r="1659">
      <c r="A1659" t="n">
        <v>12</v>
      </c>
      <c r="B1659" t="inlineStr">
        <is>
          <t>SB2</t>
        </is>
      </c>
      <c r="D1659" t="n">
        <v>15.49</v>
      </c>
      <c r="E1659" t="n">
        <v>2156.616</v>
      </c>
      <c r="G1659" t="n">
        <v>15376</v>
      </c>
      <c r="H1659" t="inlineStr">
        <is>
          <t>bb</t>
        </is>
      </c>
      <c r="I1659" t="n">
        <v>2156.616</v>
      </c>
    </row>
    <row r="1660">
      <c r="A1660" t="n">
        <v>13</v>
      </c>
      <c r="B1660" t="inlineStr">
        <is>
          <t>SB3</t>
        </is>
      </c>
      <c r="D1660" t="n">
        <v>15.49</v>
      </c>
      <c r="E1660" t="n">
        <v>2163.29</v>
      </c>
      <c r="G1660" t="n">
        <v>297.38</v>
      </c>
      <c r="H1660" t="inlineStr">
        <is>
          <t>bb</t>
        </is>
      </c>
      <c r="I1660" t="n">
        <v>2163.29</v>
      </c>
    </row>
    <row r="1661">
      <c r="A1661" t="n">
        <v>14</v>
      </c>
      <c r="B1661" t="inlineStr">
        <is>
          <t>SS1</t>
        </is>
      </c>
      <c r="D1661" t="n">
        <v>15.51</v>
      </c>
      <c r="E1661" t="n">
        <v>1828.107</v>
      </c>
      <c r="G1661" t="n">
        <v>38.881</v>
      </c>
      <c r="H1661" t="inlineStr">
        <is>
          <t>bb</t>
        </is>
      </c>
      <c r="I1661" t="n">
        <v>1828.107</v>
      </c>
    </row>
    <row r="1662">
      <c r="A1662" t="n">
        <v>15</v>
      </c>
      <c r="B1662" t="inlineStr">
        <is>
          <t>SS2</t>
        </is>
      </c>
      <c r="D1662" t="n">
        <v>15.52</v>
      </c>
      <c r="E1662" t="n">
        <v>2612.876</v>
      </c>
      <c r="G1662" t="n">
        <v>17935</v>
      </c>
      <c r="H1662" t="inlineStr">
        <is>
          <t>bb</t>
        </is>
      </c>
      <c r="I1662" t="n">
        <v>2612.876</v>
      </c>
    </row>
    <row r="1663">
      <c r="A1663" t="n">
        <v>16</v>
      </c>
      <c r="B1663" t="inlineStr">
        <is>
          <t>SS3</t>
        </is>
      </c>
      <c r="D1663" t="n">
        <v>15.54</v>
      </c>
      <c r="E1663" t="n">
        <v>1998.559</v>
      </c>
      <c r="G1663" t="n">
        <v>72.578</v>
      </c>
      <c r="H1663" t="inlineStr">
        <is>
          <t>bb</t>
        </is>
      </c>
      <c r="I1663" t="n">
        <v>1998.559</v>
      </c>
    </row>
    <row r="1665">
      <c r="A1665" t="inlineStr">
        <is>
          <t>Compound 84:  m6 PFDA 1</t>
        </is>
      </c>
    </row>
    <row r="1667">
      <c r="B1667" t="inlineStr">
        <is>
          <t>Sample Text</t>
        </is>
      </c>
      <c r="C1667" t="inlineStr">
        <is>
          <t>Std. Conc</t>
        </is>
      </c>
      <c r="D1667" t="inlineStr">
        <is>
          <t>RT</t>
        </is>
      </c>
      <c r="E1667" t="inlineStr">
        <is>
          <t>Area</t>
        </is>
      </c>
      <c r="F1667" t="inlineStr">
        <is>
          <t>IS Area</t>
        </is>
      </c>
      <c r="G1667" t="inlineStr">
        <is>
          <t>S/N</t>
        </is>
      </c>
      <c r="H1667" t="inlineStr">
        <is>
          <t>Primary Flags</t>
        </is>
      </c>
      <c r="I1667" t="inlineStr">
        <is>
          <t>Response</t>
        </is>
      </c>
      <c r="J1667" t="inlineStr">
        <is>
          <t>Conc.</t>
        </is>
      </c>
    </row>
    <row r="1668">
      <c r="A1668" t="n">
        <v>1</v>
      </c>
      <c r="B1668" t="inlineStr">
        <is>
          <t>EPA1633 &amp; diPAPs Calibration 0 ppb</t>
        </is>
      </c>
      <c r="D1668" t="n">
        <v>13.93</v>
      </c>
      <c r="E1668" t="n">
        <v>300.866</v>
      </c>
      <c r="G1668" t="n">
        <v>2157</v>
      </c>
      <c r="H1668" t="inlineStr">
        <is>
          <t>MM</t>
        </is>
      </c>
      <c r="I1668" t="n">
        <v>300.866</v>
      </c>
    </row>
    <row r="1669">
      <c r="A1669" t="n">
        <v>2</v>
      </c>
      <c r="B1669" t="inlineStr">
        <is>
          <t>EPA1633 &amp; diPAPs Calibration 0.02 ppb</t>
        </is>
      </c>
      <c r="D1669" t="n">
        <v>13.99</v>
      </c>
      <c r="E1669" t="n">
        <v>321.662</v>
      </c>
      <c r="G1669" t="n">
        <v>12.038</v>
      </c>
      <c r="H1669" t="inlineStr">
        <is>
          <t>MM</t>
        </is>
      </c>
      <c r="I1669" t="n">
        <v>321.662</v>
      </c>
    </row>
    <row r="1670">
      <c r="A1670" t="n">
        <v>3</v>
      </c>
      <c r="B1670" t="inlineStr">
        <is>
          <t>EPA1633 &amp; diPAPs Calibration 0.1 ppb</t>
        </is>
      </c>
      <c r="D1670" t="n">
        <v>13.96</v>
      </c>
      <c r="E1670" t="n">
        <v>271.981</v>
      </c>
      <c r="G1670" t="n">
        <v>891.052</v>
      </c>
      <c r="H1670" t="inlineStr">
        <is>
          <t>MM</t>
        </is>
      </c>
      <c r="I1670" t="n">
        <v>271.981</v>
      </c>
    </row>
    <row r="1671">
      <c r="A1671" t="n">
        <v>4</v>
      </c>
      <c r="B1671" t="inlineStr">
        <is>
          <t>EPA1633 &amp; diPAPs Calibration 0.4 ppb</t>
        </is>
      </c>
      <c r="D1671" t="n">
        <v>13.99</v>
      </c>
      <c r="E1671" t="n">
        <v>575.192</v>
      </c>
      <c r="G1671" t="n">
        <v>4340</v>
      </c>
      <c r="H1671" t="inlineStr">
        <is>
          <t>MM</t>
        </is>
      </c>
      <c r="I1671" t="n">
        <v>575.192</v>
      </c>
    </row>
    <row r="1672">
      <c r="A1672" t="n">
        <v>5</v>
      </c>
      <c r="B1672" t="inlineStr">
        <is>
          <t>EPA1633 &amp; diPAPs Calibration 1 ppb</t>
        </is>
      </c>
      <c r="D1672" t="n">
        <v>13.98</v>
      </c>
      <c r="E1672" t="n">
        <v>121.731</v>
      </c>
      <c r="G1672" t="n">
        <v>1081</v>
      </c>
      <c r="H1672" t="inlineStr">
        <is>
          <t>MM</t>
        </is>
      </c>
      <c r="I1672" t="n">
        <v>121.731</v>
      </c>
    </row>
    <row r="1673">
      <c r="A1673" t="n">
        <v>6</v>
      </c>
      <c r="B1673" t="inlineStr">
        <is>
          <t>EPA1633 &amp; diPAPs Calibration 5 ppb</t>
        </is>
      </c>
      <c r="D1673" t="n">
        <v>13.95</v>
      </c>
      <c r="E1673" t="n">
        <v>630.125</v>
      </c>
      <c r="G1673" t="n">
        <v>11.524</v>
      </c>
      <c r="H1673" t="inlineStr">
        <is>
          <t>MM</t>
        </is>
      </c>
      <c r="I1673" t="n">
        <v>630.125</v>
      </c>
    </row>
    <row r="1674">
      <c r="A1674" t="n">
        <v>7</v>
      </c>
      <c r="B1674" t="inlineStr">
        <is>
          <t>EPA1633 &amp; diPAPs Calibration 10 ppb</t>
        </is>
      </c>
      <c r="D1674" t="n">
        <v>13.95</v>
      </c>
      <c r="E1674" t="n">
        <v>189.169</v>
      </c>
      <c r="G1674" t="n">
        <v>1444</v>
      </c>
      <c r="H1674" t="inlineStr">
        <is>
          <t>MM</t>
        </is>
      </c>
      <c r="I1674" t="n">
        <v>189.169</v>
      </c>
    </row>
    <row r="1675">
      <c r="A1675" t="n">
        <v>8</v>
      </c>
      <c r="B1675" t="inlineStr">
        <is>
          <t>EPA1633 &amp; diPAPs Calibration 20 ppb</t>
        </is>
      </c>
      <c r="D1675" t="n">
        <v>13.98</v>
      </c>
      <c r="E1675" t="n">
        <v>34.629</v>
      </c>
      <c r="G1675" t="n">
        <v>276</v>
      </c>
      <c r="H1675" t="inlineStr">
        <is>
          <t>MM</t>
        </is>
      </c>
      <c r="I1675" t="n">
        <v>34.629</v>
      </c>
    </row>
    <row r="1676">
      <c r="A1676" t="n">
        <v>9</v>
      </c>
      <c r="B1676" t="inlineStr">
        <is>
          <t>MeOH</t>
        </is>
      </c>
    </row>
    <row r="1677">
      <c r="A1677" t="n">
        <v>10</v>
      </c>
      <c r="B1677" t="inlineStr">
        <is>
          <t>MeOH</t>
        </is>
      </c>
    </row>
    <row r="1678">
      <c r="A1678" t="n">
        <v>11</v>
      </c>
      <c r="B1678" t="inlineStr">
        <is>
          <t>SB1</t>
        </is>
      </c>
      <c r="D1678" t="n">
        <v>13.98</v>
      </c>
      <c r="E1678" t="n">
        <v>61.924</v>
      </c>
      <c r="G1678" t="n">
        <v>520</v>
      </c>
      <c r="H1678" t="inlineStr">
        <is>
          <t>MM</t>
        </is>
      </c>
      <c r="I1678" t="n">
        <v>61.924</v>
      </c>
    </row>
    <row r="1679">
      <c r="A1679" t="n">
        <v>12</v>
      </c>
      <c r="B1679" t="inlineStr">
        <is>
          <t>SB2</t>
        </is>
      </c>
      <c r="D1679" t="n">
        <v>14.06</v>
      </c>
      <c r="E1679" t="n">
        <v>37.859</v>
      </c>
      <c r="G1679" t="n">
        <v>336</v>
      </c>
      <c r="H1679" t="inlineStr">
        <is>
          <t>MM</t>
        </is>
      </c>
      <c r="I1679" t="n">
        <v>37.859</v>
      </c>
    </row>
    <row r="1680">
      <c r="A1680" t="n">
        <v>13</v>
      </c>
      <c r="B1680" t="inlineStr">
        <is>
          <t>SB3</t>
        </is>
      </c>
      <c r="D1680" t="n">
        <v>14.03</v>
      </c>
      <c r="E1680" t="n">
        <v>151.1</v>
      </c>
      <c r="G1680" t="n">
        <v>2.065</v>
      </c>
      <c r="H1680" t="inlineStr">
        <is>
          <t>MM</t>
        </is>
      </c>
      <c r="I1680" t="n">
        <v>151.1</v>
      </c>
    </row>
    <row r="1681">
      <c r="A1681" t="n">
        <v>14</v>
      </c>
      <c r="B1681" t="inlineStr">
        <is>
          <t>SS1</t>
        </is>
      </c>
      <c r="D1681" t="n">
        <v>14.05</v>
      </c>
      <c r="E1681" t="n">
        <v>120.184</v>
      </c>
      <c r="G1681" t="n">
        <v>1016</v>
      </c>
      <c r="H1681" t="inlineStr">
        <is>
          <t>MM</t>
        </is>
      </c>
      <c r="I1681" t="n">
        <v>120.184</v>
      </c>
    </row>
    <row r="1682">
      <c r="A1682" t="n">
        <v>15</v>
      </c>
      <c r="B1682" t="inlineStr">
        <is>
          <t>SS2</t>
        </is>
      </c>
      <c r="D1682" t="n">
        <v>14.04</v>
      </c>
      <c r="E1682" t="n">
        <v>140.114</v>
      </c>
      <c r="G1682" t="n">
        <v>10.113</v>
      </c>
      <c r="H1682" t="inlineStr">
        <is>
          <t>MM</t>
        </is>
      </c>
      <c r="I1682" t="n">
        <v>140.114</v>
      </c>
    </row>
    <row r="1683">
      <c r="A1683" t="n">
        <v>16</v>
      </c>
      <c r="B1683" t="inlineStr">
        <is>
          <t>SS3</t>
        </is>
      </c>
      <c r="D1683" t="n">
        <v>14.02</v>
      </c>
      <c r="E1683" t="n">
        <v>104.483</v>
      </c>
      <c r="G1683" t="n">
        <v>54.113</v>
      </c>
      <c r="H1683" t="inlineStr">
        <is>
          <t>MM</t>
        </is>
      </c>
      <c r="I1683" t="n">
        <v>104.483</v>
      </c>
    </row>
    <row r="1685">
      <c r="A1685" t="inlineStr">
        <is>
          <t>Compound 85:  m6 PFDA 2</t>
        </is>
      </c>
    </row>
    <row r="1687">
      <c r="B1687" t="inlineStr">
        <is>
          <t>Sample Text</t>
        </is>
      </c>
      <c r="C1687" t="inlineStr">
        <is>
          <t>Std. Conc</t>
        </is>
      </c>
      <c r="D1687" t="inlineStr">
        <is>
          <t>RT</t>
        </is>
      </c>
      <c r="E1687" t="inlineStr">
        <is>
          <t>Area</t>
        </is>
      </c>
      <c r="F1687" t="inlineStr">
        <is>
          <t>IS Area</t>
        </is>
      </c>
      <c r="G1687" t="inlineStr">
        <is>
          <t>S/N</t>
        </is>
      </c>
      <c r="H1687" t="inlineStr">
        <is>
          <t>Primary Flags</t>
        </is>
      </c>
      <c r="I1687" t="inlineStr">
        <is>
          <t>Response</t>
        </is>
      </c>
      <c r="J1687" t="inlineStr">
        <is>
          <t>Conc.</t>
        </is>
      </c>
    </row>
    <row r="1688">
      <c r="A1688" t="n">
        <v>1</v>
      </c>
      <c r="B1688" t="inlineStr">
        <is>
          <t>EPA1633 &amp; diPAPs Calibration 0 ppb</t>
        </is>
      </c>
      <c r="D1688" t="n">
        <v>13.92</v>
      </c>
      <c r="E1688" t="n">
        <v>999.385</v>
      </c>
      <c r="G1688" t="n">
        <v>25.07</v>
      </c>
      <c r="H1688" t="inlineStr">
        <is>
          <t>MM</t>
        </is>
      </c>
      <c r="I1688" t="n">
        <v>999.385</v>
      </c>
    </row>
    <row r="1689">
      <c r="A1689" t="n">
        <v>2</v>
      </c>
      <c r="B1689" t="inlineStr">
        <is>
          <t>EPA1633 &amp; diPAPs Calibration 0.02 ppb</t>
        </is>
      </c>
      <c r="D1689" t="n">
        <v>13.96</v>
      </c>
      <c r="E1689" t="n">
        <v>573.056</v>
      </c>
      <c r="G1689" t="n">
        <v>43.859</v>
      </c>
      <c r="H1689" t="inlineStr">
        <is>
          <t>MM</t>
        </is>
      </c>
      <c r="I1689" t="n">
        <v>573.056</v>
      </c>
    </row>
    <row r="1690">
      <c r="A1690" t="n">
        <v>3</v>
      </c>
      <c r="B1690" t="inlineStr">
        <is>
          <t>EPA1633 &amp; diPAPs Calibration 0.1 ppb</t>
        </is>
      </c>
      <c r="D1690" t="n">
        <v>13.99</v>
      </c>
      <c r="E1690" t="n">
        <v>733.905</v>
      </c>
      <c r="G1690" t="n">
        <v>14.249</v>
      </c>
      <c r="H1690" t="inlineStr">
        <is>
          <t>MM</t>
        </is>
      </c>
      <c r="I1690" t="n">
        <v>733.905</v>
      </c>
    </row>
    <row r="1691">
      <c r="A1691" t="n">
        <v>4</v>
      </c>
      <c r="B1691" t="inlineStr">
        <is>
          <t>EPA1633 &amp; diPAPs Calibration 0.4 ppb</t>
        </is>
      </c>
      <c r="D1691" t="n">
        <v>13.98</v>
      </c>
      <c r="E1691" t="n">
        <v>1000.62</v>
      </c>
      <c r="G1691" t="n">
        <v>25.549</v>
      </c>
      <c r="H1691" t="inlineStr">
        <is>
          <t>MM</t>
        </is>
      </c>
      <c r="I1691" t="n">
        <v>1000.62</v>
      </c>
    </row>
    <row r="1692">
      <c r="A1692" t="n">
        <v>5</v>
      </c>
      <c r="B1692" t="inlineStr">
        <is>
          <t>EPA1633 &amp; diPAPs Calibration 1 ppb</t>
        </is>
      </c>
      <c r="D1692" t="n">
        <v>13.98</v>
      </c>
      <c r="E1692" t="n">
        <v>767.744</v>
      </c>
      <c r="G1692" t="n">
        <v>313.071</v>
      </c>
      <c r="H1692" t="inlineStr">
        <is>
          <t>MM</t>
        </is>
      </c>
      <c r="I1692" t="n">
        <v>767.744</v>
      </c>
    </row>
    <row r="1693">
      <c r="A1693" t="n">
        <v>6</v>
      </c>
      <c r="B1693" t="inlineStr">
        <is>
          <t>EPA1633 &amp; diPAPs Calibration 5 ppb</t>
        </is>
      </c>
      <c r="D1693" t="n">
        <v>13.91</v>
      </c>
      <c r="E1693" t="n">
        <v>650.651</v>
      </c>
      <c r="G1693" t="n">
        <v>3.675</v>
      </c>
      <c r="H1693" t="inlineStr">
        <is>
          <t>MM</t>
        </is>
      </c>
      <c r="I1693" t="n">
        <v>650.651</v>
      </c>
    </row>
    <row r="1694">
      <c r="A1694" t="n">
        <v>7</v>
      </c>
      <c r="B1694" t="inlineStr">
        <is>
          <t>EPA1633 &amp; diPAPs Calibration 10 ppb</t>
        </is>
      </c>
      <c r="D1694" t="n">
        <v>13.93</v>
      </c>
      <c r="E1694" t="n">
        <v>547.686</v>
      </c>
      <c r="G1694" t="n">
        <v>7.474</v>
      </c>
      <c r="H1694" t="inlineStr">
        <is>
          <t>MM</t>
        </is>
      </c>
      <c r="I1694" t="n">
        <v>547.686</v>
      </c>
    </row>
    <row r="1695">
      <c r="A1695" t="n">
        <v>8</v>
      </c>
      <c r="B1695" t="inlineStr">
        <is>
          <t>EPA1633 &amp; diPAPs Calibration 20 ppb</t>
        </is>
      </c>
      <c r="D1695" t="n">
        <v>13.98</v>
      </c>
      <c r="E1695" t="n">
        <v>739.226</v>
      </c>
      <c r="G1695" t="n">
        <v>1.531</v>
      </c>
      <c r="H1695" t="inlineStr">
        <is>
          <t>MM</t>
        </is>
      </c>
      <c r="I1695" t="n">
        <v>739.226</v>
      </c>
    </row>
    <row r="1696">
      <c r="A1696" t="n">
        <v>9</v>
      </c>
      <c r="B1696" t="inlineStr">
        <is>
          <t>MeOH</t>
        </is>
      </c>
      <c r="D1696" t="n">
        <v>15.01</v>
      </c>
      <c r="E1696" t="n">
        <v>12.649</v>
      </c>
      <c r="G1696" t="n">
        <v>110</v>
      </c>
      <c r="H1696" t="inlineStr">
        <is>
          <t>bb</t>
        </is>
      </c>
      <c r="I1696" t="n">
        <v>12.649</v>
      </c>
    </row>
    <row r="1697">
      <c r="A1697" t="n">
        <v>10</v>
      </c>
      <c r="B1697" t="inlineStr">
        <is>
          <t>MeOH</t>
        </is>
      </c>
      <c r="D1697" t="n">
        <v>14.86</v>
      </c>
      <c r="E1697" t="n">
        <v>153.988</v>
      </c>
      <c r="G1697" t="n">
        <v>1199</v>
      </c>
      <c r="H1697" t="inlineStr">
        <is>
          <t>bb</t>
        </is>
      </c>
      <c r="I1697" t="n">
        <v>153.988</v>
      </c>
    </row>
    <row r="1698">
      <c r="A1698" t="n">
        <v>11</v>
      </c>
      <c r="B1698" t="inlineStr">
        <is>
          <t>SB1</t>
        </is>
      </c>
      <c r="D1698" t="n">
        <v>13.98</v>
      </c>
      <c r="E1698" t="n">
        <v>78.959</v>
      </c>
      <c r="G1698" t="n">
        <v>2.45</v>
      </c>
      <c r="H1698" t="inlineStr">
        <is>
          <t>MM</t>
        </is>
      </c>
      <c r="I1698" t="n">
        <v>78.959</v>
      </c>
    </row>
    <row r="1699">
      <c r="A1699" t="n">
        <v>12</v>
      </c>
      <c r="B1699" t="inlineStr">
        <is>
          <t>SB2</t>
        </is>
      </c>
      <c r="D1699" t="n">
        <v>13.99</v>
      </c>
      <c r="E1699" t="n">
        <v>226.09</v>
      </c>
      <c r="G1699" t="n">
        <v>5.242</v>
      </c>
      <c r="H1699" t="inlineStr">
        <is>
          <t>MM</t>
        </is>
      </c>
      <c r="I1699" t="n">
        <v>226.09</v>
      </c>
    </row>
    <row r="1700">
      <c r="A1700" t="n">
        <v>13</v>
      </c>
      <c r="B1700" t="inlineStr">
        <is>
          <t>SB3</t>
        </is>
      </c>
      <c r="D1700" t="n">
        <v>14.01</v>
      </c>
      <c r="E1700" t="n">
        <v>208.117</v>
      </c>
      <c r="G1700" t="n">
        <v>2.508</v>
      </c>
      <c r="H1700" t="inlineStr">
        <is>
          <t>MM</t>
        </is>
      </c>
      <c r="I1700" t="n">
        <v>208.117</v>
      </c>
    </row>
    <row r="1701">
      <c r="A1701" t="n">
        <v>14</v>
      </c>
      <c r="B1701" t="inlineStr">
        <is>
          <t>SS1</t>
        </is>
      </c>
      <c r="D1701" t="n">
        <v>14.02</v>
      </c>
      <c r="E1701" t="n">
        <v>255.416</v>
      </c>
      <c r="G1701" t="n">
        <v>12.722</v>
      </c>
      <c r="H1701" t="inlineStr">
        <is>
          <t>MM</t>
        </is>
      </c>
      <c r="I1701" t="n">
        <v>255.416</v>
      </c>
    </row>
    <row r="1702">
      <c r="A1702" t="n">
        <v>15</v>
      </c>
      <c r="B1702" t="inlineStr">
        <is>
          <t>SS2</t>
        </is>
      </c>
      <c r="D1702" t="n">
        <v>14.05</v>
      </c>
      <c r="E1702" t="n">
        <v>196.185</v>
      </c>
      <c r="G1702" t="n">
        <v>8.750999999999999</v>
      </c>
      <c r="H1702" t="inlineStr">
        <is>
          <t>MM</t>
        </is>
      </c>
      <c r="I1702" t="n">
        <v>196.185</v>
      </c>
    </row>
    <row r="1703">
      <c r="A1703" t="n">
        <v>16</v>
      </c>
      <c r="B1703" t="inlineStr">
        <is>
          <t>SS3</t>
        </is>
      </c>
      <c r="D1703" t="n">
        <v>14.05</v>
      </c>
      <c r="E1703" t="n">
        <v>226.935</v>
      </c>
      <c r="G1703" t="n">
        <v>13.685</v>
      </c>
      <c r="H1703" t="inlineStr">
        <is>
          <t>MM</t>
        </is>
      </c>
      <c r="I1703" t="n">
        <v>226.935</v>
      </c>
    </row>
    <row r="1705">
      <c r="A1705" t="inlineStr">
        <is>
          <t>Compound 86:  N-EtFOSA 1</t>
        </is>
      </c>
    </row>
    <row r="1707">
      <c r="B1707" t="inlineStr">
        <is>
          <t>Sample Text</t>
        </is>
      </c>
      <c r="C1707" t="inlineStr">
        <is>
          <t>Std. Conc</t>
        </is>
      </c>
      <c r="D1707" t="inlineStr">
        <is>
          <t>RT</t>
        </is>
      </c>
      <c r="E1707" t="inlineStr">
        <is>
          <t>Area</t>
        </is>
      </c>
      <c r="F1707" t="inlineStr">
        <is>
          <t>IS Area</t>
        </is>
      </c>
      <c r="G1707" t="inlineStr">
        <is>
          <t>S/N</t>
        </is>
      </c>
      <c r="H1707" t="inlineStr">
        <is>
          <t>Primary Flags</t>
        </is>
      </c>
      <c r="I1707" t="inlineStr">
        <is>
          <t>Response</t>
        </is>
      </c>
      <c r="J1707" t="inlineStr">
        <is>
          <t>Conc.</t>
        </is>
      </c>
    </row>
    <row r="1708">
      <c r="A1708" t="n">
        <v>1</v>
      </c>
      <c r="B1708" t="inlineStr">
        <is>
          <t>EPA1633 &amp; diPAPs Calibration 0 ppb</t>
        </is>
      </c>
      <c r="D1708" t="n">
        <v>16.43</v>
      </c>
      <c r="E1708" t="n">
        <v>84.759</v>
      </c>
      <c r="F1708" t="n">
        <v>9366.290999999999</v>
      </c>
      <c r="G1708" t="n">
        <v>2.131</v>
      </c>
      <c r="H1708" t="inlineStr">
        <is>
          <t>MM</t>
        </is>
      </c>
    </row>
    <row r="1709">
      <c r="A1709" t="n">
        <v>2</v>
      </c>
      <c r="B1709" t="inlineStr">
        <is>
          <t>EPA1633 &amp; diPAPs Calibration 0.02 ppb</t>
        </is>
      </c>
      <c r="D1709" t="n">
        <v>16.42</v>
      </c>
      <c r="E1709" t="n">
        <v>38.431</v>
      </c>
      <c r="F1709" t="n">
        <v>8227.450000000001</v>
      </c>
      <c r="G1709" t="n">
        <v>6.325</v>
      </c>
      <c r="H1709" t="inlineStr">
        <is>
          <t>bb</t>
        </is>
      </c>
    </row>
    <row r="1710">
      <c r="A1710" t="n">
        <v>3</v>
      </c>
      <c r="B1710" t="inlineStr">
        <is>
          <t>EPA1633 &amp; diPAPs Calibration 0.1 ppb</t>
        </is>
      </c>
      <c r="D1710" t="n">
        <v>16.44</v>
      </c>
      <c r="E1710" t="n">
        <v>156.368</v>
      </c>
      <c r="F1710" t="n">
        <v>8592.939</v>
      </c>
      <c r="G1710" t="n">
        <v>4.813</v>
      </c>
      <c r="H1710" t="inlineStr">
        <is>
          <t>MM</t>
        </is>
      </c>
    </row>
    <row r="1711">
      <c r="A1711" t="n">
        <v>4</v>
      </c>
      <c r="B1711" t="inlineStr">
        <is>
          <t>EPA1633 &amp; diPAPs Calibration 0.4 ppb</t>
        </is>
      </c>
      <c r="D1711" t="n">
        <v>16.44</v>
      </c>
      <c r="E1711" t="n">
        <v>534.498</v>
      </c>
      <c r="F1711" t="n">
        <v>8009.04</v>
      </c>
      <c r="G1711" t="n">
        <v>4.975</v>
      </c>
      <c r="H1711" t="inlineStr">
        <is>
          <t>MM</t>
        </is>
      </c>
    </row>
    <row r="1712">
      <c r="A1712" t="n">
        <v>5</v>
      </c>
      <c r="B1712" t="inlineStr">
        <is>
          <t>EPA1633 &amp; diPAPs Calibration 1 ppb</t>
        </is>
      </c>
      <c r="D1712" t="n">
        <v>16.42</v>
      </c>
      <c r="E1712" t="n">
        <v>904.566</v>
      </c>
      <c r="F1712" t="n">
        <v>9820.112999999999</v>
      </c>
      <c r="G1712" t="n">
        <v>7040</v>
      </c>
      <c r="H1712" t="inlineStr">
        <is>
          <t>MM</t>
        </is>
      </c>
    </row>
    <row r="1713">
      <c r="A1713" t="n">
        <v>6</v>
      </c>
      <c r="B1713" t="inlineStr">
        <is>
          <t>EPA1633 &amp; diPAPs Calibration 5 ppb</t>
        </is>
      </c>
      <c r="D1713" t="n">
        <v>16.4</v>
      </c>
      <c r="E1713" t="n">
        <v>5185.272</v>
      </c>
      <c r="F1713" t="n">
        <v>8875.213</v>
      </c>
      <c r="G1713" t="n">
        <v>23.241</v>
      </c>
      <c r="H1713" t="inlineStr">
        <is>
          <t>bb</t>
        </is>
      </c>
    </row>
    <row r="1714">
      <c r="A1714" t="n">
        <v>7</v>
      </c>
      <c r="B1714" t="inlineStr">
        <is>
          <t>EPA1633 &amp; diPAPs Calibration 10 ppb</t>
        </is>
      </c>
      <c r="D1714" t="n">
        <v>16.42</v>
      </c>
      <c r="E1714" t="n">
        <v>9113.175999999999</v>
      </c>
      <c r="F1714" t="n">
        <v>6292.695</v>
      </c>
      <c r="G1714" t="n">
        <v>366.025</v>
      </c>
      <c r="H1714" t="inlineStr">
        <is>
          <t>MM</t>
        </is>
      </c>
    </row>
    <row r="1715">
      <c r="A1715" t="n">
        <v>8</v>
      </c>
      <c r="B1715" t="inlineStr">
        <is>
          <t>EPA1633 &amp; diPAPs Calibration 20 ppb</t>
        </is>
      </c>
      <c r="D1715" t="n">
        <v>16.43</v>
      </c>
      <c r="E1715" t="n">
        <v>20767.504</v>
      </c>
      <c r="F1715" t="n">
        <v>7803.31</v>
      </c>
      <c r="G1715" t="n">
        <v>894.763</v>
      </c>
      <c r="H1715" t="inlineStr">
        <is>
          <t>MM</t>
        </is>
      </c>
    </row>
    <row r="1716">
      <c r="A1716" t="n">
        <v>9</v>
      </c>
      <c r="B1716" t="inlineStr">
        <is>
          <t>MeOH</t>
        </is>
      </c>
      <c r="F1716" t="n">
        <v>19.677</v>
      </c>
    </row>
    <row r="1717">
      <c r="A1717" t="n">
        <v>10</v>
      </c>
      <c r="B1717" t="inlineStr">
        <is>
          <t>MeOH</t>
        </is>
      </c>
      <c r="D1717" t="n">
        <v>16.71</v>
      </c>
      <c r="E1717" t="n">
        <v>1.213</v>
      </c>
      <c r="F1717" t="n">
        <v>0.218</v>
      </c>
      <c r="G1717" t="n">
        <v>16</v>
      </c>
      <c r="H1717" t="inlineStr">
        <is>
          <t>bb</t>
        </is>
      </c>
    </row>
    <row r="1718">
      <c r="A1718" t="n">
        <v>11</v>
      </c>
      <c r="B1718" t="inlineStr">
        <is>
          <t>SB1</t>
        </is>
      </c>
      <c r="D1718" t="n">
        <v>16.45</v>
      </c>
      <c r="E1718" t="n">
        <v>110.438</v>
      </c>
      <c r="F1718" t="n">
        <v>1812.627</v>
      </c>
      <c r="G1718" t="n">
        <v>45.241</v>
      </c>
      <c r="H1718" t="inlineStr">
        <is>
          <t>MM</t>
        </is>
      </c>
    </row>
    <row r="1719">
      <c r="A1719" t="n">
        <v>12</v>
      </c>
      <c r="B1719" t="inlineStr">
        <is>
          <t>SB2</t>
        </is>
      </c>
      <c r="D1719" t="n">
        <v>16.22</v>
      </c>
      <c r="E1719" t="n">
        <v>22.16</v>
      </c>
      <c r="F1719" t="n">
        <v>2140.853</v>
      </c>
      <c r="G1719" t="n">
        <v>4.322</v>
      </c>
      <c r="H1719" t="inlineStr">
        <is>
          <t>bb</t>
        </is>
      </c>
    </row>
    <row r="1720">
      <c r="A1720" t="n">
        <v>13</v>
      </c>
      <c r="B1720" t="inlineStr">
        <is>
          <t>SB3</t>
        </is>
      </c>
      <c r="F1720" t="n">
        <v>2104.667</v>
      </c>
    </row>
    <row r="1721">
      <c r="A1721" t="n">
        <v>14</v>
      </c>
      <c r="B1721" t="inlineStr">
        <is>
          <t>SS1</t>
        </is>
      </c>
      <c r="D1721" t="n">
        <v>16.49</v>
      </c>
      <c r="E1721" t="n">
        <v>2709.834</v>
      </c>
      <c r="F1721" t="n">
        <v>2157.787</v>
      </c>
      <c r="G1721" t="n">
        <v>25779</v>
      </c>
      <c r="H1721" t="inlineStr">
        <is>
          <t>MM</t>
        </is>
      </c>
    </row>
    <row r="1722">
      <c r="A1722" t="n">
        <v>15</v>
      </c>
      <c r="B1722" t="inlineStr">
        <is>
          <t>SS2</t>
        </is>
      </c>
      <c r="D1722" t="n">
        <v>16.5</v>
      </c>
      <c r="E1722" t="n">
        <v>2763.527</v>
      </c>
      <c r="F1722" t="n">
        <v>2467.77</v>
      </c>
      <c r="G1722" t="n">
        <v>25557</v>
      </c>
      <c r="H1722" t="inlineStr">
        <is>
          <t>MM</t>
        </is>
      </c>
    </row>
    <row r="1723">
      <c r="A1723" t="n">
        <v>16</v>
      </c>
      <c r="B1723" t="inlineStr">
        <is>
          <t>SS3</t>
        </is>
      </c>
      <c r="D1723" t="n">
        <v>16.51</v>
      </c>
      <c r="E1723" t="n">
        <v>2355.104</v>
      </c>
      <c r="F1723" t="n">
        <v>2130.298</v>
      </c>
      <c r="G1723" t="n">
        <v>90.137</v>
      </c>
      <c r="H1723" t="inlineStr">
        <is>
          <t>MM</t>
        </is>
      </c>
    </row>
    <row r="1725">
      <c r="A1725" t="inlineStr">
        <is>
          <t>Compound 87:  N-EtFOSA 2</t>
        </is>
      </c>
    </row>
    <row r="1727">
      <c r="B1727" t="inlineStr">
        <is>
          <t>Sample Text</t>
        </is>
      </c>
      <c r="C1727" t="inlineStr">
        <is>
          <t>Std. Conc</t>
        </is>
      </c>
      <c r="D1727" t="inlineStr">
        <is>
          <t>RT</t>
        </is>
      </c>
      <c r="E1727" t="inlineStr">
        <is>
          <t>Area</t>
        </is>
      </c>
      <c r="F1727" t="inlineStr">
        <is>
          <t>IS Area</t>
        </is>
      </c>
      <c r="G1727" t="inlineStr">
        <is>
          <t>S/N</t>
        </is>
      </c>
      <c r="H1727" t="inlineStr">
        <is>
          <t>Primary Flags</t>
        </is>
      </c>
      <c r="I1727" t="inlineStr">
        <is>
          <t>Response</t>
        </is>
      </c>
      <c r="J1727" t="inlineStr">
        <is>
          <t>Conc.</t>
        </is>
      </c>
    </row>
    <row r="1728">
      <c r="A1728" t="n">
        <v>1</v>
      </c>
      <c r="B1728" t="inlineStr">
        <is>
          <t>EPA1633 &amp; diPAPs Calibration 0 ppb</t>
        </is>
      </c>
      <c r="D1728" t="n">
        <v>16.44</v>
      </c>
      <c r="E1728" t="n">
        <v>72.907</v>
      </c>
      <c r="F1728" t="n">
        <v>8805.511</v>
      </c>
      <c r="G1728" t="n">
        <v>2.477</v>
      </c>
      <c r="H1728" t="inlineStr">
        <is>
          <t>bb</t>
        </is>
      </c>
    </row>
    <row r="1729">
      <c r="A1729" t="n">
        <v>2</v>
      </c>
      <c r="B1729" t="inlineStr">
        <is>
          <t>EPA1633 &amp; diPAPs Calibration 0.02 ppb</t>
        </is>
      </c>
      <c r="D1729" t="n">
        <v>16.43</v>
      </c>
      <c r="E1729" t="n">
        <v>100.898</v>
      </c>
      <c r="F1729" t="n">
        <v>8225.773999999999</v>
      </c>
      <c r="G1729" t="n">
        <v>3.341</v>
      </c>
      <c r="H1729" t="inlineStr">
        <is>
          <t>bb</t>
        </is>
      </c>
    </row>
    <row r="1730">
      <c r="A1730" t="n">
        <v>3</v>
      </c>
      <c r="B1730" t="inlineStr">
        <is>
          <t>EPA1633 &amp; diPAPs Calibration 0.1 ppb</t>
        </is>
      </c>
      <c r="D1730" t="n">
        <v>16.44</v>
      </c>
      <c r="E1730" t="n">
        <v>147.853</v>
      </c>
      <c r="F1730" t="n">
        <v>8206.088</v>
      </c>
      <c r="G1730" t="n">
        <v>4.81</v>
      </c>
      <c r="H1730" t="inlineStr">
        <is>
          <t>bb</t>
        </is>
      </c>
    </row>
    <row r="1731">
      <c r="A1731" t="n">
        <v>4</v>
      </c>
      <c r="B1731" t="inlineStr">
        <is>
          <t>EPA1633 &amp; diPAPs Calibration 0.4 ppb</t>
        </is>
      </c>
      <c r="D1731" t="n">
        <v>16.44</v>
      </c>
      <c r="E1731" t="n">
        <v>822.635</v>
      </c>
      <c r="F1731" t="n">
        <v>7974.231</v>
      </c>
      <c r="G1731" t="n">
        <v>14.554</v>
      </c>
      <c r="H1731" t="inlineStr">
        <is>
          <t>MM</t>
        </is>
      </c>
    </row>
    <row r="1732">
      <c r="A1732" t="n">
        <v>5</v>
      </c>
      <c r="B1732" t="inlineStr">
        <is>
          <t>EPA1633 &amp; diPAPs Calibration 1 ppb</t>
        </is>
      </c>
      <c r="D1732" t="n">
        <v>16.42</v>
      </c>
      <c r="E1732" t="n">
        <v>1277.525</v>
      </c>
      <c r="F1732" t="n">
        <v>9726.778</v>
      </c>
      <c r="G1732" t="n">
        <v>9.02</v>
      </c>
      <c r="H1732" t="inlineStr">
        <is>
          <t>bb</t>
        </is>
      </c>
    </row>
    <row r="1733">
      <c r="A1733" t="n">
        <v>6</v>
      </c>
      <c r="B1733" t="inlineStr">
        <is>
          <t>EPA1633 &amp; diPAPs Calibration 5 ppb</t>
        </is>
      </c>
      <c r="D1733" t="n">
        <v>16.4</v>
      </c>
      <c r="E1733" t="n">
        <v>4807.257</v>
      </c>
      <c r="F1733" t="n">
        <v>8449.726000000001</v>
      </c>
      <c r="G1733" t="n">
        <v>192.286</v>
      </c>
      <c r="H1733" t="inlineStr">
        <is>
          <t>bb</t>
        </is>
      </c>
    </row>
    <row r="1734">
      <c r="A1734" t="n">
        <v>7</v>
      </c>
      <c r="B1734" t="inlineStr">
        <is>
          <t>EPA1633 &amp; diPAPs Calibration 10 ppb</t>
        </is>
      </c>
      <c r="D1734" t="n">
        <v>16.42</v>
      </c>
      <c r="E1734" t="n">
        <v>9520.807000000001</v>
      </c>
      <c r="F1734" t="n">
        <v>6390.667</v>
      </c>
      <c r="G1734" t="n">
        <v>143.744</v>
      </c>
      <c r="H1734" t="inlineStr">
        <is>
          <t>bb</t>
        </is>
      </c>
    </row>
    <row r="1735">
      <c r="A1735" t="n">
        <v>8</v>
      </c>
      <c r="B1735" t="inlineStr">
        <is>
          <t>EPA1633 &amp; diPAPs Calibration 20 ppb</t>
        </is>
      </c>
      <c r="D1735" t="n">
        <v>16.43</v>
      </c>
      <c r="E1735" t="n">
        <v>20631.234</v>
      </c>
      <c r="F1735" t="n">
        <v>7988.824</v>
      </c>
      <c r="G1735" t="n">
        <v>336.812</v>
      </c>
      <c r="H1735" t="inlineStr">
        <is>
          <t>bb</t>
        </is>
      </c>
    </row>
    <row r="1736">
      <c r="A1736" t="n">
        <v>9</v>
      </c>
      <c r="B1736" t="inlineStr">
        <is>
          <t>MeOH</t>
        </is>
      </c>
      <c r="D1736" t="n">
        <v>16.44</v>
      </c>
      <c r="E1736" t="n">
        <v>46.602</v>
      </c>
      <c r="F1736" t="n">
        <v>12.127</v>
      </c>
      <c r="G1736" t="n">
        <v>6.041</v>
      </c>
      <c r="H1736" t="inlineStr">
        <is>
          <t>bb</t>
        </is>
      </c>
    </row>
    <row r="1737">
      <c r="A1737" t="n">
        <v>10</v>
      </c>
      <c r="B1737" t="inlineStr">
        <is>
          <t>MeOH</t>
        </is>
      </c>
      <c r="D1737" t="n">
        <v>16.13</v>
      </c>
      <c r="E1737" t="n">
        <v>5.379</v>
      </c>
      <c r="F1737" t="n">
        <v>0.467</v>
      </c>
      <c r="G1737" t="n">
        <v>57</v>
      </c>
      <c r="H1737" t="inlineStr">
        <is>
          <t>bb</t>
        </is>
      </c>
    </row>
    <row r="1738">
      <c r="A1738" t="n">
        <v>11</v>
      </c>
      <c r="B1738" t="inlineStr">
        <is>
          <t>SB1</t>
        </is>
      </c>
      <c r="D1738" t="n">
        <v>16.05</v>
      </c>
      <c r="E1738" t="n">
        <v>23.888</v>
      </c>
      <c r="F1738" t="n">
        <v>2056.203</v>
      </c>
      <c r="G1738" t="n">
        <v>242</v>
      </c>
      <c r="H1738" t="inlineStr">
        <is>
          <t>bb</t>
        </is>
      </c>
    </row>
    <row r="1739">
      <c r="A1739" t="n">
        <v>12</v>
      </c>
      <c r="B1739" t="inlineStr">
        <is>
          <t>SB2</t>
        </is>
      </c>
      <c r="D1739" t="n">
        <v>16.49</v>
      </c>
      <c r="E1739" t="n">
        <v>1.164</v>
      </c>
      <c r="F1739" t="n">
        <v>2037.142</v>
      </c>
      <c r="G1739" t="n">
        <v>14</v>
      </c>
      <c r="H1739" t="inlineStr">
        <is>
          <t>bb</t>
        </is>
      </c>
    </row>
    <row r="1740">
      <c r="A1740" t="n">
        <v>13</v>
      </c>
      <c r="B1740" t="inlineStr">
        <is>
          <t>SB3</t>
        </is>
      </c>
      <c r="D1740" t="n">
        <v>16.43</v>
      </c>
      <c r="E1740" t="n">
        <v>4.905</v>
      </c>
      <c r="F1740" t="n">
        <v>2209.288</v>
      </c>
      <c r="G1740" t="n">
        <v>54</v>
      </c>
      <c r="H1740" t="inlineStr">
        <is>
          <t>bb</t>
        </is>
      </c>
    </row>
    <row r="1741">
      <c r="A1741" t="n">
        <v>14</v>
      </c>
      <c r="B1741" t="inlineStr">
        <is>
          <t>SS1</t>
        </is>
      </c>
      <c r="D1741" t="n">
        <v>16.5</v>
      </c>
      <c r="E1741" t="n">
        <v>2290.933</v>
      </c>
      <c r="F1741" t="n">
        <v>1869.894</v>
      </c>
      <c r="G1741" t="n">
        <v>106.568</v>
      </c>
      <c r="H1741" t="inlineStr">
        <is>
          <t>bb</t>
        </is>
      </c>
    </row>
    <row r="1742">
      <c r="A1742" t="n">
        <v>15</v>
      </c>
      <c r="B1742" t="inlineStr">
        <is>
          <t>SS2</t>
        </is>
      </c>
      <c r="D1742" t="n">
        <v>16.5</v>
      </c>
      <c r="E1742" t="n">
        <v>3310.061</v>
      </c>
      <c r="F1742" t="n">
        <v>2527.979</v>
      </c>
      <c r="G1742" t="n">
        <v>26.763</v>
      </c>
      <c r="H1742" t="inlineStr">
        <is>
          <t>MM</t>
        </is>
      </c>
    </row>
    <row r="1743">
      <c r="A1743" t="n">
        <v>16</v>
      </c>
      <c r="B1743" t="inlineStr">
        <is>
          <t>SS3</t>
        </is>
      </c>
      <c r="D1743" t="n">
        <v>16.51</v>
      </c>
      <c r="E1743" t="n">
        <v>2739.205</v>
      </c>
      <c r="F1743" t="n">
        <v>2192.266</v>
      </c>
      <c r="G1743" t="n">
        <v>233.142</v>
      </c>
      <c r="H1743" t="inlineStr">
        <is>
          <t>MM</t>
        </is>
      </c>
    </row>
    <row r="1745">
      <c r="A1745" t="inlineStr">
        <is>
          <t>Compound 88:  8:2 FTS 1</t>
        </is>
      </c>
    </row>
    <row r="1747">
      <c r="B1747" t="inlineStr">
        <is>
          <t>Sample Text</t>
        </is>
      </c>
      <c r="C1747" t="inlineStr">
        <is>
          <t>Std. Conc</t>
        </is>
      </c>
      <c r="D1747" t="inlineStr">
        <is>
          <t>RT</t>
        </is>
      </c>
      <c r="E1747" t="inlineStr">
        <is>
          <t>Area</t>
        </is>
      </c>
      <c r="F1747" t="inlineStr">
        <is>
          <t>IS Area</t>
        </is>
      </c>
      <c r="G1747" t="inlineStr">
        <is>
          <t>S/N</t>
        </is>
      </c>
      <c r="H1747" t="inlineStr">
        <is>
          <t>Primary Flags</t>
        </is>
      </c>
      <c r="I1747" t="inlineStr">
        <is>
          <t>Response</t>
        </is>
      </c>
      <c r="J1747" t="inlineStr">
        <is>
          <t>Conc.</t>
        </is>
      </c>
    </row>
    <row r="1748">
      <c r="A1748" t="n">
        <v>1</v>
      </c>
      <c r="B1748" t="inlineStr">
        <is>
          <t>EPA1633 &amp; diPAPs Calibration 0 ppb</t>
        </is>
      </c>
      <c r="D1748" t="n">
        <v>13.85</v>
      </c>
      <c r="E1748" t="n">
        <v>276.706</v>
      </c>
      <c r="F1748" t="n">
        <v>30965.986</v>
      </c>
      <c r="G1748" t="n">
        <v>8.314</v>
      </c>
      <c r="H1748" t="inlineStr">
        <is>
          <t>bb</t>
        </is>
      </c>
    </row>
    <row r="1749">
      <c r="A1749" t="n">
        <v>2</v>
      </c>
      <c r="B1749" t="inlineStr">
        <is>
          <t>EPA1633 &amp; diPAPs Calibration 0.02 ppb</t>
        </is>
      </c>
      <c r="D1749" t="n">
        <v>13.86</v>
      </c>
      <c r="E1749" t="n">
        <v>1018.703</v>
      </c>
      <c r="F1749" t="n">
        <v>26256.979</v>
      </c>
      <c r="G1749" t="n">
        <v>7885</v>
      </c>
      <c r="H1749" t="inlineStr">
        <is>
          <t>bb</t>
        </is>
      </c>
    </row>
    <row r="1750">
      <c r="A1750" t="n">
        <v>3</v>
      </c>
      <c r="B1750" t="inlineStr">
        <is>
          <t>EPA1633 &amp; diPAPs Calibration 0.1 ppb</t>
        </is>
      </c>
      <c r="D1750" t="n">
        <v>13.86</v>
      </c>
      <c r="E1750" t="n">
        <v>2584.64</v>
      </c>
      <c r="F1750" t="n">
        <v>29442.266</v>
      </c>
      <c r="G1750" t="n">
        <v>170.53</v>
      </c>
      <c r="H1750" t="inlineStr">
        <is>
          <t>bb</t>
        </is>
      </c>
    </row>
    <row r="1751">
      <c r="A1751" t="n">
        <v>4</v>
      </c>
      <c r="B1751" t="inlineStr">
        <is>
          <t>EPA1633 &amp; diPAPs Calibration 0.4 ppb</t>
        </is>
      </c>
      <c r="D1751" t="n">
        <v>13.88</v>
      </c>
      <c r="E1751" t="n">
        <v>6387.782</v>
      </c>
      <c r="F1751" t="n">
        <v>26004.189</v>
      </c>
      <c r="G1751" t="n">
        <v>417.713</v>
      </c>
      <c r="H1751" t="inlineStr">
        <is>
          <t>bb</t>
        </is>
      </c>
    </row>
    <row r="1752">
      <c r="A1752" t="n">
        <v>5</v>
      </c>
      <c r="B1752" t="inlineStr">
        <is>
          <t>EPA1633 &amp; diPAPs Calibration 1 ppb</t>
        </is>
      </c>
      <c r="D1752" t="n">
        <v>13.86</v>
      </c>
      <c r="E1752" t="n">
        <v>11925.851</v>
      </c>
      <c r="F1752" t="n">
        <v>33901.273</v>
      </c>
      <c r="G1752" t="n">
        <v>86642</v>
      </c>
      <c r="H1752" t="inlineStr">
        <is>
          <t>bb</t>
        </is>
      </c>
    </row>
    <row r="1753">
      <c r="A1753" t="n">
        <v>6</v>
      </c>
      <c r="B1753" t="inlineStr">
        <is>
          <t>EPA1633 &amp; diPAPs Calibration 5 ppb</t>
        </is>
      </c>
      <c r="D1753" t="n">
        <v>13.81</v>
      </c>
      <c r="E1753" t="n">
        <v>55993.508</v>
      </c>
      <c r="F1753" t="n">
        <v>29163.5</v>
      </c>
      <c r="G1753" t="n">
        <v>1422.991</v>
      </c>
      <c r="H1753" t="inlineStr">
        <is>
          <t>bb</t>
        </is>
      </c>
    </row>
    <row r="1754">
      <c r="A1754" t="n">
        <v>7</v>
      </c>
      <c r="B1754" t="inlineStr">
        <is>
          <t>EPA1633 &amp; diPAPs Calibration 10 ppb</t>
        </is>
      </c>
      <c r="D1754" t="n">
        <v>13.82</v>
      </c>
      <c r="E1754" t="n">
        <v>96105.359</v>
      </c>
      <c r="F1754" t="n">
        <v>26316.053</v>
      </c>
      <c r="G1754" t="n">
        <v>721.8099999999999</v>
      </c>
      <c r="H1754" t="inlineStr">
        <is>
          <t>bb</t>
        </is>
      </c>
    </row>
    <row r="1755">
      <c r="A1755" t="n">
        <v>8</v>
      </c>
      <c r="B1755" t="inlineStr">
        <is>
          <t>EPA1633 &amp; diPAPs Calibration 20 ppb</t>
        </is>
      </c>
      <c r="D1755" t="n">
        <v>13.85</v>
      </c>
      <c r="E1755" t="n">
        <v>196691.609</v>
      </c>
      <c r="F1755" t="n">
        <v>34970.711</v>
      </c>
      <c r="G1755" t="n">
        <v>1007.646</v>
      </c>
      <c r="H1755" t="inlineStr">
        <is>
          <t>bb</t>
        </is>
      </c>
    </row>
    <row r="1756">
      <c r="A1756" t="n">
        <v>9</v>
      </c>
      <c r="B1756" t="inlineStr">
        <is>
          <t>MeOH</t>
        </is>
      </c>
      <c r="D1756" t="n">
        <v>13.88</v>
      </c>
      <c r="E1756" t="n">
        <v>485.21</v>
      </c>
      <c r="F1756" t="n">
        <v>190.67</v>
      </c>
      <c r="G1756" t="n">
        <v>3967</v>
      </c>
      <c r="H1756" t="inlineStr">
        <is>
          <t>bb</t>
        </is>
      </c>
    </row>
    <row r="1757">
      <c r="A1757" t="n">
        <v>10</v>
      </c>
      <c r="B1757" t="inlineStr">
        <is>
          <t>MeOH</t>
        </is>
      </c>
      <c r="D1757" t="n">
        <v>13.92</v>
      </c>
      <c r="E1757" t="n">
        <v>278.556</v>
      </c>
      <c r="G1757" t="n">
        <v>8.02</v>
      </c>
      <c r="H1757" t="inlineStr">
        <is>
          <t>bb</t>
        </is>
      </c>
    </row>
    <row r="1758">
      <c r="A1758" t="n">
        <v>11</v>
      </c>
      <c r="B1758" t="inlineStr">
        <is>
          <t>SB1</t>
        </is>
      </c>
      <c r="D1758" t="n">
        <v>13.86</v>
      </c>
      <c r="E1758" t="n">
        <v>85.29000000000001</v>
      </c>
      <c r="F1758" t="n">
        <v>13138.81</v>
      </c>
      <c r="G1758" t="n">
        <v>681</v>
      </c>
      <c r="H1758" t="inlineStr">
        <is>
          <t>bb</t>
        </is>
      </c>
    </row>
    <row r="1759">
      <c r="A1759" t="n">
        <v>12</v>
      </c>
      <c r="B1759" t="inlineStr">
        <is>
          <t>SB2</t>
        </is>
      </c>
      <c r="D1759" t="n">
        <v>13.91</v>
      </c>
      <c r="E1759" t="n">
        <v>8.859</v>
      </c>
      <c r="F1759" t="n">
        <v>10766.206</v>
      </c>
      <c r="G1759" t="n">
        <v>85</v>
      </c>
      <c r="H1759" t="inlineStr">
        <is>
          <t>bb</t>
        </is>
      </c>
    </row>
    <row r="1760">
      <c r="A1760" t="n">
        <v>13</v>
      </c>
      <c r="B1760" t="inlineStr">
        <is>
          <t>SB3</t>
        </is>
      </c>
      <c r="D1760" t="n">
        <v>13.85</v>
      </c>
      <c r="E1760" t="n">
        <v>36.471</v>
      </c>
      <c r="F1760" t="n">
        <v>11886.97</v>
      </c>
      <c r="G1760" t="n">
        <v>13.742</v>
      </c>
      <c r="H1760" t="inlineStr">
        <is>
          <t>bb</t>
        </is>
      </c>
    </row>
    <row r="1761">
      <c r="A1761" t="n">
        <v>14</v>
      </c>
      <c r="B1761" t="inlineStr">
        <is>
          <t>SS1</t>
        </is>
      </c>
      <c r="D1761" t="n">
        <v>13.91</v>
      </c>
      <c r="E1761" t="n">
        <v>43100.574</v>
      </c>
      <c r="F1761" t="n">
        <v>13876.597</v>
      </c>
      <c r="G1761" t="n">
        <v>293.098</v>
      </c>
      <c r="H1761" t="inlineStr">
        <is>
          <t>bb</t>
        </is>
      </c>
    </row>
    <row r="1762">
      <c r="A1762" t="n">
        <v>15</v>
      </c>
      <c r="B1762" t="inlineStr">
        <is>
          <t>SS2</t>
        </is>
      </c>
      <c r="D1762" t="n">
        <v>13.92</v>
      </c>
      <c r="E1762" t="n">
        <v>44511.66</v>
      </c>
      <c r="F1762" t="n">
        <v>13576.301</v>
      </c>
      <c r="G1762" t="n">
        <v>1531.261</v>
      </c>
      <c r="H1762" t="inlineStr">
        <is>
          <t>bb</t>
        </is>
      </c>
    </row>
    <row r="1763">
      <c r="A1763" t="n">
        <v>16</v>
      </c>
      <c r="B1763" t="inlineStr">
        <is>
          <t>SS3</t>
        </is>
      </c>
      <c r="D1763" t="n">
        <v>13.94</v>
      </c>
      <c r="E1763" t="n">
        <v>43011.988</v>
      </c>
      <c r="F1763" t="n">
        <v>12674.324</v>
      </c>
      <c r="G1763" t="n">
        <v>272.056</v>
      </c>
      <c r="H1763" t="inlineStr">
        <is>
          <t>bb</t>
        </is>
      </c>
    </row>
    <row r="1765">
      <c r="A1765" t="inlineStr">
        <is>
          <t>Compound 89:  8:2 FTS 2</t>
        </is>
      </c>
    </row>
    <row r="1767">
      <c r="B1767" t="inlineStr">
        <is>
          <t>Sample Text</t>
        </is>
      </c>
      <c r="C1767" t="inlineStr">
        <is>
          <t>Std. Conc</t>
        </is>
      </c>
      <c r="D1767" t="inlineStr">
        <is>
          <t>RT</t>
        </is>
      </c>
      <c r="E1767" t="inlineStr">
        <is>
          <t>Area</t>
        </is>
      </c>
      <c r="F1767" t="inlineStr">
        <is>
          <t>IS Area</t>
        </is>
      </c>
      <c r="G1767" t="inlineStr">
        <is>
          <t>S/N</t>
        </is>
      </c>
      <c r="H1767" t="inlineStr">
        <is>
          <t>Primary Flags</t>
        </is>
      </c>
      <c r="I1767" t="inlineStr">
        <is>
          <t>Response</t>
        </is>
      </c>
      <c r="J1767" t="inlineStr">
        <is>
          <t>Conc.</t>
        </is>
      </c>
    </row>
    <row r="1768">
      <c r="A1768" t="n">
        <v>1</v>
      </c>
      <c r="B1768" t="inlineStr">
        <is>
          <t>EPA1633 &amp; diPAPs Calibration 0 ppb</t>
        </is>
      </c>
      <c r="D1768" t="n">
        <v>13.82</v>
      </c>
      <c r="E1768" t="n">
        <v>50.116</v>
      </c>
      <c r="F1768" t="n">
        <v>30965.986</v>
      </c>
      <c r="G1768" t="n">
        <v>408</v>
      </c>
      <c r="H1768" t="inlineStr">
        <is>
          <t>bb</t>
        </is>
      </c>
    </row>
    <row r="1769">
      <c r="A1769" t="n">
        <v>2</v>
      </c>
      <c r="B1769" t="inlineStr">
        <is>
          <t>EPA1633 &amp; diPAPs Calibration 0.02 ppb</t>
        </is>
      </c>
      <c r="D1769" t="n">
        <v>13.86</v>
      </c>
      <c r="E1769" t="n">
        <v>306.98</v>
      </c>
      <c r="F1769" t="n">
        <v>26256.979</v>
      </c>
      <c r="G1769" t="n">
        <v>2253</v>
      </c>
      <c r="H1769" t="inlineStr">
        <is>
          <t>MM</t>
        </is>
      </c>
    </row>
    <row r="1770">
      <c r="A1770" t="n">
        <v>3</v>
      </c>
      <c r="B1770" t="inlineStr">
        <is>
          <t>EPA1633 &amp; diPAPs Calibration 0.1 ppb</t>
        </is>
      </c>
      <c r="D1770" t="n">
        <v>13.86</v>
      </c>
      <c r="E1770" t="n">
        <v>633.0309999999999</v>
      </c>
      <c r="F1770" t="n">
        <v>29442.266</v>
      </c>
      <c r="G1770" t="n">
        <v>13.28</v>
      </c>
      <c r="H1770" t="inlineStr">
        <is>
          <t>bb</t>
        </is>
      </c>
    </row>
    <row r="1771">
      <c r="A1771" t="n">
        <v>4</v>
      </c>
      <c r="B1771" t="inlineStr">
        <is>
          <t>EPA1633 &amp; diPAPs Calibration 0.4 ppb</t>
        </is>
      </c>
      <c r="D1771" t="n">
        <v>13.88</v>
      </c>
      <c r="E1771" t="n">
        <v>1994.163</v>
      </c>
      <c r="F1771" t="n">
        <v>26004.189</v>
      </c>
      <c r="G1771" t="n">
        <v>219.203</v>
      </c>
      <c r="H1771" t="inlineStr">
        <is>
          <t>bb</t>
        </is>
      </c>
    </row>
    <row r="1772">
      <c r="A1772" t="n">
        <v>5</v>
      </c>
      <c r="B1772" t="inlineStr">
        <is>
          <t>EPA1633 &amp; diPAPs Calibration 1 ppb</t>
        </is>
      </c>
      <c r="D1772" t="n">
        <v>13.88</v>
      </c>
      <c r="E1772" t="n">
        <v>3033.921</v>
      </c>
      <c r="F1772" t="n">
        <v>33901.273</v>
      </c>
      <c r="G1772" t="n">
        <v>22438</v>
      </c>
      <c r="H1772" t="inlineStr">
        <is>
          <t>bb</t>
        </is>
      </c>
    </row>
    <row r="1773">
      <c r="A1773" t="n">
        <v>6</v>
      </c>
      <c r="B1773" t="inlineStr">
        <is>
          <t>EPA1633 &amp; diPAPs Calibration 5 ppb</t>
        </is>
      </c>
      <c r="D1773" t="n">
        <v>13.81</v>
      </c>
      <c r="E1773" t="n">
        <v>13576.984</v>
      </c>
      <c r="F1773" t="n">
        <v>29163.5</v>
      </c>
      <c r="G1773" t="n">
        <v>489.194</v>
      </c>
      <c r="H1773" t="inlineStr">
        <is>
          <t>bb</t>
        </is>
      </c>
    </row>
    <row r="1774">
      <c r="A1774" t="n">
        <v>7</v>
      </c>
      <c r="B1774" t="inlineStr">
        <is>
          <t>EPA1633 &amp; diPAPs Calibration 10 ppb</t>
        </is>
      </c>
      <c r="D1774" t="n">
        <v>13.82</v>
      </c>
      <c r="E1774" t="n">
        <v>24868.111</v>
      </c>
      <c r="F1774" t="n">
        <v>26316.053</v>
      </c>
      <c r="G1774" t="n">
        <v>175224</v>
      </c>
      <c r="H1774" t="inlineStr">
        <is>
          <t>bb</t>
        </is>
      </c>
    </row>
    <row r="1775">
      <c r="A1775" t="n">
        <v>8</v>
      </c>
      <c r="B1775" t="inlineStr">
        <is>
          <t>EPA1633 &amp; diPAPs Calibration 20 ppb</t>
        </is>
      </c>
      <c r="D1775" t="n">
        <v>13.85</v>
      </c>
      <c r="E1775" t="n">
        <v>48056.652</v>
      </c>
      <c r="F1775" t="n">
        <v>34970.711</v>
      </c>
      <c r="G1775" t="n">
        <v>1671.691</v>
      </c>
      <c r="H1775" t="inlineStr">
        <is>
          <t>bb</t>
        </is>
      </c>
    </row>
    <row r="1776">
      <c r="A1776" t="n">
        <v>9</v>
      </c>
      <c r="B1776" t="inlineStr">
        <is>
          <t>MeOH</t>
        </is>
      </c>
      <c r="D1776" t="n">
        <v>13.86</v>
      </c>
      <c r="E1776" t="n">
        <v>68.65000000000001</v>
      </c>
      <c r="F1776" t="n">
        <v>190.67</v>
      </c>
      <c r="G1776" t="n">
        <v>442</v>
      </c>
      <c r="H1776" t="inlineStr">
        <is>
          <t>bb</t>
        </is>
      </c>
    </row>
    <row r="1777">
      <c r="A1777" t="n">
        <v>10</v>
      </c>
      <c r="B1777" t="inlineStr">
        <is>
          <t>MeOH</t>
        </is>
      </c>
      <c r="D1777" t="n">
        <v>13.92</v>
      </c>
      <c r="E1777" t="n">
        <v>20.302</v>
      </c>
      <c r="G1777" t="n">
        <v>7.128</v>
      </c>
      <c r="H1777" t="inlineStr">
        <is>
          <t>bb</t>
        </is>
      </c>
    </row>
    <row r="1778">
      <c r="A1778" t="n">
        <v>11</v>
      </c>
      <c r="B1778" t="inlineStr">
        <is>
          <t>SB1</t>
        </is>
      </c>
      <c r="D1778" t="n">
        <v>13.91</v>
      </c>
      <c r="E1778" t="n">
        <v>41.239</v>
      </c>
      <c r="F1778" t="n">
        <v>13138.81</v>
      </c>
      <c r="G1778" t="n">
        <v>357</v>
      </c>
      <c r="H1778" t="inlineStr">
        <is>
          <t>bb</t>
        </is>
      </c>
    </row>
    <row r="1779">
      <c r="A1779" t="n">
        <v>12</v>
      </c>
      <c r="B1779" t="inlineStr">
        <is>
          <t>SB2</t>
        </is>
      </c>
      <c r="F1779" t="n">
        <v>10766.206</v>
      </c>
    </row>
    <row r="1780">
      <c r="A1780" t="n">
        <v>13</v>
      </c>
      <c r="B1780" t="inlineStr">
        <is>
          <t>SB3</t>
        </is>
      </c>
      <c r="F1780" t="n">
        <v>11886.97</v>
      </c>
    </row>
    <row r="1781">
      <c r="A1781" t="n">
        <v>14</v>
      </c>
      <c r="B1781" t="inlineStr">
        <is>
          <t>SS1</t>
        </is>
      </c>
      <c r="D1781" t="n">
        <v>13.91</v>
      </c>
      <c r="E1781" t="n">
        <v>11076.557</v>
      </c>
      <c r="F1781" t="n">
        <v>13876.597</v>
      </c>
      <c r="G1781" t="n">
        <v>79371</v>
      </c>
      <c r="H1781" t="inlineStr">
        <is>
          <t>bb</t>
        </is>
      </c>
    </row>
    <row r="1782">
      <c r="A1782" t="n">
        <v>15</v>
      </c>
      <c r="B1782" t="inlineStr">
        <is>
          <t>SS2</t>
        </is>
      </c>
      <c r="D1782" t="n">
        <v>13.92</v>
      </c>
      <c r="E1782" t="n">
        <v>11054.829</v>
      </c>
      <c r="F1782" t="n">
        <v>13576.301</v>
      </c>
      <c r="G1782" t="n">
        <v>77809</v>
      </c>
      <c r="H1782" t="inlineStr">
        <is>
          <t>bb</t>
        </is>
      </c>
    </row>
    <row r="1783">
      <c r="A1783" t="n">
        <v>16</v>
      </c>
      <c r="B1783" t="inlineStr">
        <is>
          <t>SS3</t>
        </is>
      </c>
      <c r="D1783" t="n">
        <v>13.94</v>
      </c>
      <c r="E1783" t="n">
        <v>10419.543</v>
      </c>
      <c r="F1783" t="n">
        <v>12674.324</v>
      </c>
      <c r="G1783" t="n">
        <v>74550</v>
      </c>
      <c r="H1783" t="inlineStr">
        <is>
          <t>bb</t>
        </is>
      </c>
    </row>
    <row r="1785">
      <c r="A1785" t="inlineStr">
        <is>
          <t>Compound 90:  m2 8:2 FTS 1</t>
        </is>
      </c>
    </row>
    <row r="1787">
      <c r="B1787" t="inlineStr">
        <is>
          <t>Sample Text</t>
        </is>
      </c>
      <c r="C1787" t="inlineStr">
        <is>
          <t>Std. Conc</t>
        </is>
      </c>
      <c r="D1787" t="inlineStr">
        <is>
          <t>RT</t>
        </is>
      </c>
      <c r="E1787" t="inlineStr">
        <is>
          <t>Area</t>
        </is>
      </c>
      <c r="F1787" t="inlineStr">
        <is>
          <t>IS Area</t>
        </is>
      </c>
      <c r="G1787" t="inlineStr">
        <is>
          <t>S/N</t>
        </is>
      </c>
      <c r="H1787" t="inlineStr">
        <is>
          <t>Primary Flags</t>
        </is>
      </c>
      <c r="I1787" t="inlineStr">
        <is>
          <t>Response</t>
        </is>
      </c>
      <c r="J1787" t="inlineStr">
        <is>
          <t>Conc.</t>
        </is>
      </c>
    </row>
    <row r="1788">
      <c r="A1788" t="n">
        <v>1</v>
      </c>
      <c r="B1788" t="inlineStr">
        <is>
          <t>EPA1633 &amp; diPAPs Calibration 0 ppb</t>
        </is>
      </c>
      <c r="D1788" t="n">
        <v>13.84</v>
      </c>
      <c r="E1788" t="n">
        <v>30965.986</v>
      </c>
      <c r="G1788" t="n">
        <v>504.949</v>
      </c>
      <c r="H1788" t="inlineStr">
        <is>
          <t>bb</t>
        </is>
      </c>
      <c r="I1788" t="n">
        <v>30965.986</v>
      </c>
    </row>
    <row r="1789">
      <c r="A1789" t="n">
        <v>2</v>
      </c>
      <c r="B1789" t="inlineStr">
        <is>
          <t>EPA1633 &amp; diPAPs Calibration 0.02 ppb</t>
        </is>
      </c>
      <c r="D1789" t="n">
        <v>13.86</v>
      </c>
      <c r="E1789" t="n">
        <v>26256.979</v>
      </c>
      <c r="G1789" t="n">
        <v>1059.389</v>
      </c>
      <c r="H1789" t="inlineStr">
        <is>
          <t>bb</t>
        </is>
      </c>
      <c r="I1789" t="n">
        <v>26256.979</v>
      </c>
    </row>
    <row r="1790">
      <c r="A1790" t="n">
        <v>3</v>
      </c>
      <c r="B1790" t="inlineStr">
        <is>
          <t>EPA1633 &amp; diPAPs Calibration 0.1 ppb</t>
        </is>
      </c>
      <c r="D1790" t="n">
        <v>13.86</v>
      </c>
      <c r="E1790" t="n">
        <v>29442.266</v>
      </c>
      <c r="G1790" t="n">
        <v>595.121</v>
      </c>
      <c r="H1790" t="inlineStr">
        <is>
          <t>bb</t>
        </is>
      </c>
      <c r="I1790" t="n">
        <v>29442.266</v>
      </c>
    </row>
    <row r="1791">
      <c r="A1791" t="n">
        <v>4</v>
      </c>
      <c r="B1791" t="inlineStr">
        <is>
          <t>EPA1633 &amp; diPAPs Calibration 0.4 ppb</t>
        </is>
      </c>
      <c r="D1791" t="n">
        <v>13.86</v>
      </c>
      <c r="E1791" t="n">
        <v>26004.189</v>
      </c>
      <c r="G1791" t="n">
        <v>1556.526</v>
      </c>
      <c r="H1791" t="inlineStr">
        <is>
          <t>bb</t>
        </is>
      </c>
      <c r="I1791" t="n">
        <v>26004.189</v>
      </c>
    </row>
    <row r="1792">
      <c r="A1792" t="n">
        <v>5</v>
      </c>
      <c r="B1792" t="inlineStr">
        <is>
          <t>EPA1633 &amp; diPAPs Calibration 1 ppb</t>
        </is>
      </c>
      <c r="D1792" t="n">
        <v>13.88</v>
      </c>
      <c r="E1792" t="n">
        <v>33901.273</v>
      </c>
      <c r="G1792" t="n">
        <v>7431.682</v>
      </c>
      <c r="H1792" t="inlineStr">
        <is>
          <t>bb</t>
        </is>
      </c>
      <c r="I1792" t="n">
        <v>33901.273</v>
      </c>
    </row>
    <row r="1793">
      <c r="A1793" t="n">
        <v>6</v>
      </c>
      <c r="B1793" t="inlineStr">
        <is>
          <t>EPA1633 &amp; diPAPs Calibration 5 ppb</t>
        </is>
      </c>
      <c r="D1793" t="n">
        <v>13.81</v>
      </c>
      <c r="E1793" t="n">
        <v>29163.5</v>
      </c>
      <c r="G1793" t="n">
        <v>153.954</v>
      </c>
      <c r="H1793" t="inlineStr">
        <is>
          <t>bb</t>
        </is>
      </c>
      <c r="I1793" t="n">
        <v>29163.5</v>
      </c>
    </row>
    <row r="1794">
      <c r="A1794" t="n">
        <v>7</v>
      </c>
      <c r="B1794" t="inlineStr">
        <is>
          <t>EPA1633 &amp; diPAPs Calibration 10 ppb</t>
        </is>
      </c>
      <c r="D1794" t="n">
        <v>13.82</v>
      </c>
      <c r="E1794" t="n">
        <v>26316.053</v>
      </c>
      <c r="G1794" t="n">
        <v>1509.911</v>
      </c>
      <c r="H1794" t="inlineStr">
        <is>
          <t>bb</t>
        </is>
      </c>
      <c r="I1794" t="n">
        <v>26316.053</v>
      </c>
    </row>
    <row r="1795">
      <c r="A1795" t="n">
        <v>8</v>
      </c>
      <c r="B1795" t="inlineStr">
        <is>
          <t>EPA1633 &amp; diPAPs Calibration 20 ppb</t>
        </is>
      </c>
      <c r="D1795" t="n">
        <v>13.85</v>
      </c>
      <c r="E1795" t="n">
        <v>34970.711</v>
      </c>
      <c r="G1795" t="n">
        <v>2217.427</v>
      </c>
      <c r="H1795" t="inlineStr">
        <is>
          <t>bb</t>
        </is>
      </c>
      <c r="I1795" t="n">
        <v>34970.711</v>
      </c>
    </row>
    <row r="1796">
      <c r="A1796" t="n">
        <v>9</v>
      </c>
      <c r="B1796" t="inlineStr">
        <is>
          <t>MeOH</t>
        </is>
      </c>
      <c r="D1796" t="n">
        <v>13.86</v>
      </c>
      <c r="E1796" t="n">
        <v>190.67</v>
      </c>
      <c r="G1796" t="n">
        <v>3.118</v>
      </c>
      <c r="H1796" t="inlineStr">
        <is>
          <t>bb</t>
        </is>
      </c>
      <c r="I1796" t="n">
        <v>190.67</v>
      </c>
    </row>
    <row r="1797">
      <c r="A1797" t="n">
        <v>10</v>
      </c>
      <c r="B1797" t="inlineStr">
        <is>
          <t>MeOH</t>
        </is>
      </c>
    </row>
    <row r="1798">
      <c r="A1798" t="n">
        <v>11</v>
      </c>
      <c r="B1798" t="inlineStr">
        <is>
          <t>SB1</t>
        </is>
      </c>
      <c r="D1798" t="n">
        <v>13.89</v>
      </c>
      <c r="E1798" t="n">
        <v>13138.81</v>
      </c>
      <c r="G1798" t="n">
        <v>2859.607</v>
      </c>
      <c r="H1798" t="inlineStr">
        <is>
          <t>bb</t>
        </is>
      </c>
      <c r="I1798" t="n">
        <v>13138.81</v>
      </c>
    </row>
    <row r="1799">
      <c r="A1799" t="n">
        <v>12</v>
      </c>
      <c r="B1799" t="inlineStr">
        <is>
          <t>SB2</t>
        </is>
      </c>
      <c r="D1799" t="n">
        <v>13.89</v>
      </c>
      <c r="E1799" t="n">
        <v>10766.206</v>
      </c>
      <c r="G1799" t="n">
        <v>37.38</v>
      </c>
      <c r="H1799" t="inlineStr">
        <is>
          <t>bb</t>
        </is>
      </c>
      <c r="I1799" t="n">
        <v>10766.206</v>
      </c>
    </row>
    <row r="1800">
      <c r="A1800" t="n">
        <v>13</v>
      </c>
      <c r="B1800" t="inlineStr">
        <is>
          <t>SB3</t>
        </is>
      </c>
      <c r="D1800" t="n">
        <v>13.89</v>
      </c>
      <c r="E1800" t="n">
        <v>11886.97</v>
      </c>
      <c r="G1800" t="n">
        <v>1240.488</v>
      </c>
      <c r="H1800" t="inlineStr">
        <is>
          <t>bb</t>
        </is>
      </c>
      <c r="I1800" t="n">
        <v>11886.97</v>
      </c>
    </row>
    <row r="1801">
      <c r="A1801" t="n">
        <v>14</v>
      </c>
      <c r="B1801" t="inlineStr">
        <is>
          <t>SS1</t>
        </is>
      </c>
      <c r="D1801" t="n">
        <v>13.92</v>
      </c>
      <c r="E1801" t="n">
        <v>13876.597</v>
      </c>
      <c r="G1801" t="n">
        <v>428.599</v>
      </c>
      <c r="H1801" t="inlineStr">
        <is>
          <t>bb</t>
        </is>
      </c>
      <c r="I1801" t="n">
        <v>13876.597</v>
      </c>
    </row>
    <row r="1802">
      <c r="A1802" t="n">
        <v>15</v>
      </c>
      <c r="B1802" t="inlineStr">
        <is>
          <t>SS2</t>
        </is>
      </c>
      <c r="D1802" t="n">
        <v>13.92</v>
      </c>
      <c r="E1802" t="n">
        <v>13576.301</v>
      </c>
      <c r="G1802" t="n">
        <v>1015.962</v>
      </c>
      <c r="H1802" t="inlineStr">
        <is>
          <t>bb</t>
        </is>
      </c>
      <c r="I1802" t="n">
        <v>13576.301</v>
      </c>
    </row>
    <row r="1803">
      <c r="A1803" t="n">
        <v>16</v>
      </c>
      <c r="B1803" t="inlineStr">
        <is>
          <t>SS3</t>
        </is>
      </c>
      <c r="D1803" t="n">
        <v>13.92</v>
      </c>
      <c r="E1803" t="n">
        <v>12674.324</v>
      </c>
      <c r="G1803" t="n">
        <v>88519</v>
      </c>
      <c r="H1803" t="inlineStr">
        <is>
          <t>bb</t>
        </is>
      </c>
      <c r="I1803" t="n">
        <v>12674.324</v>
      </c>
    </row>
    <row r="1805">
      <c r="A1805" t="inlineStr">
        <is>
          <t>Compound 91:  m2 8:2 FTS 2</t>
        </is>
      </c>
    </row>
    <row r="1807">
      <c r="B1807" t="inlineStr">
        <is>
          <t>Sample Text</t>
        </is>
      </c>
      <c r="C1807" t="inlineStr">
        <is>
          <t>Std. Conc</t>
        </is>
      </c>
      <c r="D1807" t="inlineStr">
        <is>
          <t>RT</t>
        </is>
      </c>
      <c r="E1807" t="inlineStr">
        <is>
          <t>Area</t>
        </is>
      </c>
      <c r="F1807" t="inlineStr">
        <is>
          <t>IS Area</t>
        </is>
      </c>
      <c r="G1807" t="inlineStr">
        <is>
          <t>S/N</t>
        </is>
      </c>
      <c r="H1807" t="inlineStr">
        <is>
          <t>Primary Flags</t>
        </is>
      </c>
      <c r="I1807" t="inlineStr">
        <is>
          <t>Response</t>
        </is>
      </c>
      <c r="J1807" t="inlineStr">
        <is>
          <t>Conc.</t>
        </is>
      </c>
    </row>
    <row r="1808">
      <c r="A1808" t="n">
        <v>1</v>
      </c>
      <c r="B1808" t="inlineStr">
        <is>
          <t>EPA1633 &amp; diPAPs Calibration 0 ppb</t>
        </is>
      </c>
      <c r="D1808" t="n">
        <v>13.84</v>
      </c>
      <c r="E1808" t="n">
        <v>7445.884</v>
      </c>
      <c r="G1808" t="n">
        <v>54242</v>
      </c>
      <c r="H1808" t="inlineStr">
        <is>
          <t>bb</t>
        </is>
      </c>
      <c r="I1808" t="n">
        <v>7445.884</v>
      </c>
    </row>
    <row r="1809">
      <c r="A1809" t="n">
        <v>2</v>
      </c>
      <c r="B1809" t="inlineStr">
        <is>
          <t>EPA1633 &amp; diPAPs Calibration 0.02 ppb</t>
        </is>
      </c>
      <c r="D1809" t="n">
        <v>13.88</v>
      </c>
      <c r="E1809" t="n">
        <v>7029.203</v>
      </c>
      <c r="G1809" t="n">
        <v>237.922</v>
      </c>
      <c r="H1809" t="inlineStr">
        <is>
          <t>bb</t>
        </is>
      </c>
      <c r="I1809" t="n">
        <v>7029.203</v>
      </c>
    </row>
    <row r="1810">
      <c r="A1810" t="n">
        <v>3</v>
      </c>
      <c r="B1810" t="inlineStr">
        <is>
          <t>EPA1633 &amp; diPAPs Calibration 0.1 ppb</t>
        </is>
      </c>
      <c r="D1810" t="n">
        <v>13.86</v>
      </c>
      <c r="E1810" t="n">
        <v>7144.702</v>
      </c>
      <c r="G1810" t="n">
        <v>105.08</v>
      </c>
      <c r="H1810" t="inlineStr">
        <is>
          <t>bb</t>
        </is>
      </c>
      <c r="I1810" t="n">
        <v>7144.702</v>
      </c>
    </row>
    <row r="1811">
      <c r="A1811" t="n">
        <v>4</v>
      </c>
      <c r="B1811" t="inlineStr">
        <is>
          <t>EPA1633 &amp; diPAPs Calibration 0.4 ppb</t>
        </is>
      </c>
      <c r="D1811" t="n">
        <v>13.88</v>
      </c>
      <c r="E1811" t="n">
        <v>5913.394</v>
      </c>
      <c r="G1811" t="n">
        <v>237.778</v>
      </c>
      <c r="H1811" t="inlineStr">
        <is>
          <t>bb</t>
        </is>
      </c>
      <c r="I1811" t="n">
        <v>5913.394</v>
      </c>
    </row>
    <row r="1812">
      <c r="A1812" t="n">
        <v>5</v>
      </c>
      <c r="B1812" t="inlineStr">
        <is>
          <t>EPA1633 &amp; diPAPs Calibration 1 ppb</t>
        </is>
      </c>
      <c r="D1812" t="n">
        <v>13.86</v>
      </c>
      <c r="E1812" t="n">
        <v>7249.759</v>
      </c>
      <c r="G1812" t="n">
        <v>1527.417</v>
      </c>
      <c r="H1812" t="inlineStr">
        <is>
          <t>bb</t>
        </is>
      </c>
      <c r="I1812" t="n">
        <v>7249.759</v>
      </c>
    </row>
    <row r="1813">
      <c r="A1813" t="n">
        <v>6</v>
      </c>
      <c r="B1813" t="inlineStr">
        <is>
          <t>EPA1633 &amp; diPAPs Calibration 5 ppb</t>
        </is>
      </c>
      <c r="D1813" t="n">
        <v>13.82</v>
      </c>
      <c r="E1813" t="n">
        <v>6116.011</v>
      </c>
      <c r="G1813" t="n">
        <v>666.355</v>
      </c>
      <c r="H1813" t="inlineStr">
        <is>
          <t>bb</t>
        </is>
      </c>
      <c r="I1813" t="n">
        <v>6116.011</v>
      </c>
    </row>
    <row r="1814">
      <c r="A1814" t="n">
        <v>7</v>
      </c>
      <c r="B1814" t="inlineStr">
        <is>
          <t>EPA1633 &amp; diPAPs Calibration 10 ppb</t>
        </is>
      </c>
      <c r="D1814" t="n">
        <v>13.82</v>
      </c>
      <c r="E1814" t="n">
        <v>4776.336</v>
      </c>
      <c r="G1814" t="n">
        <v>33909</v>
      </c>
      <c r="H1814" t="inlineStr">
        <is>
          <t>bb</t>
        </is>
      </c>
      <c r="I1814" t="n">
        <v>4776.336</v>
      </c>
    </row>
    <row r="1815">
      <c r="A1815" t="n">
        <v>8</v>
      </c>
      <c r="B1815" t="inlineStr">
        <is>
          <t>EPA1633 &amp; diPAPs Calibration 20 ppb</t>
        </is>
      </c>
      <c r="D1815" t="n">
        <v>13.85</v>
      </c>
      <c r="E1815" t="n">
        <v>5429.761</v>
      </c>
      <c r="G1815" t="n">
        <v>919.694</v>
      </c>
      <c r="H1815" t="inlineStr">
        <is>
          <t>bb</t>
        </is>
      </c>
      <c r="I1815" t="n">
        <v>5429.761</v>
      </c>
    </row>
    <row r="1816">
      <c r="A1816" t="n">
        <v>9</v>
      </c>
      <c r="B1816" t="inlineStr">
        <is>
          <t>MeOH</t>
        </is>
      </c>
    </row>
    <row r="1817">
      <c r="A1817" t="n">
        <v>10</v>
      </c>
      <c r="B1817" t="inlineStr">
        <is>
          <t>MeOH</t>
        </is>
      </c>
      <c r="D1817" t="n">
        <v>13.86</v>
      </c>
      <c r="E1817" t="n">
        <v>3.039</v>
      </c>
      <c r="G1817" t="n">
        <v>29</v>
      </c>
      <c r="H1817" t="inlineStr">
        <is>
          <t>bb</t>
        </is>
      </c>
      <c r="I1817" t="n">
        <v>3.039</v>
      </c>
    </row>
    <row r="1818">
      <c r="A1818" t="n">
        <v>11</v>
      </c>
      <c r="B1818" t="inlineStr">
        <is>
          <t>SB1</t>
        </is>
      </c>
      <c r="D1818" t="n">
        <v>13.89</v>
      </c>
      <c r="E1818" t="n">
        <v>2844.639</v>
      </c>
      <c r="G1818" t="n">
        <v>20095</v>
      </c>
      <c r="H1818" t="inlineStr">
        <is>
          <t>bb</t>
        </is>
      </c>
      <c r="I1818" t="n">
        <v>2844.639</v>
      </c>
    </row>
    <row r="1819">
      <c r="A1819" t="n">
        <v>12</v>
      </c>
      <c r="B1819" t="inlineStr">
        <is>
          <t>SB2</t>
        </is>
      </c>
      <c r="D1819" t="n">
        <v>13.89</v>
      </c>
      <c r="E1819" t="n">
        <v>2844.536</v>
      </c>
      <c r="G1819" t="n">
        <v>27.385</v>
      </c>
      <c r="H1819" t="inlineStr">
        <is>
          <t>bb</t>
        </is>
      </c>
      <c r="I1819" t="n">
        <v>2844.536</v>
      </c>
    </row>
    <row r="1820">
      <c r="A1820" t="n">
        <v>13</v>
      </c>
      <c r="B1820" t="inlineStr">
        <is>
          <t>SB3</t>
        </is>
      </c>
      <c r="D1820" t="n">
        <v>13.89</v>
      </c>
      <c r="E1820" t="n">
        <v>3020.439</v>
      </c>
      <c r="G1820" t="n">
        <v>478.375</v>
      </c>
      <c r="H1820" t="inlineStr">
        <is>
          <t>bb</t>
        </is>
      </c>
      <c r="I1820" t="n">
        <v>3020.439</v>
      </c>
    </row>
    <row r="1821">
      <c r="A1821" t="n">
        <v>14</v>
      </c>
      <c r="B1821" t="inlineStr">
        <is>
          <t>SS1</t>
        </is>
      </c>
      <c r="D1821" t="n">
        <v>13.91</v>
      </c>
      <c r="E1821" t="n">
        <v>2437.281</v>
      </c>
      <c r="G1821" t="n">
        <v>17304</v>
      </c>
      <c r="H1821" t="inlineStr">
        <is>
          <t>bb</t>
        </is>
      </c>
      <c r="I1821" t="n">
        <v>2437.281</v>
      </c>
    </row>
    <row r="1822">
      <c r="A1822" t="n">
        <v>15</v>
      </c>
      <c r="B1822" t="inlineStr">
        <is>
          <t>SS2</t>
        </is>
      </c>
      <c r="D1822" t="n">
        <v>13.94</v>
      </c>
      <c r="E1822" t="n">
        <v>2738.092</v>
      </c>
      <c r="G1822" t="n">
        <v>19.321</v>
      </c>
      <c r="H1822" t="inlineStr">
        <is>
          <t>bb</t>
        </is>
      </c>
      <c r="I1822" t="n">
        <v>2738.092</v>
      </c>
    </row>
    <row r="1823">
      <c r="A1823" t="n">
        <v>16</v>
      </c>
      <c r="B1823" t="inlineStr">
        <is>
          <t>SS3</t>
        </is>
      </c>
      <c r="D1823" t="n">
        <v>13.94</v>
      </c>
      <c r="E1823" t="n">
        <v>2592.042</v>
      </c>
      <c r="G1823" t="n">
        <v>111.554</v>
      </c>
      <c r="H1823" t="inlineStr">
        <is>
          <t>bb</t>
        </is>
      </c>
      <c r="I1823" t="n">
        <v>2592.042</v>
      </c>
    </row>
    <row r="1825">
      <c r="A1825" t="inlineStr">
        <is>
          <t>Compound 92:  9Cl-PF3ONS 1</t>
        </is>
      </c>
    </row>
    <row r="1827">
      <c r="B1827" t="inlineStr">
        <is>
          <t>Sample Text</t>
        </is>
      </c>
      <c r="C1827" t="inlineStr">
        <is>
          <t>Std. Conc</t>
        </is>
      </c>
      <c r="D1827" t="inlineStr">
        <is>
          <t>RT</t>
        </is>
      </c>
      <c r="E1827" t="inlineStr">
        <is>
          <t>Area</t>
        </is>
      </c>
      <c r="F1827" t="inlineStr">
        <is>
          <t>IS Area</t>
        </is>
      </c>
      <c r="G1827" t="inlineStr">
        <is>
          <t>S/N</t>
        </is>
      </c>
      <c r="H1827" t="inlineStr">
        <is>
          <t>Primary Flags</t>
        </is>
      </c>
      <c r="I1827" t="inlineStr">
        <is>
          <t>Response</t>
        </is>
      </c>
      <c r="J1827" t="inlineStr">
        <is>
          <t>Conc.</t>
        </is>
      </c>
    </row>
    <row r="1828">
      <c r="A1828" t="n">
        <v>1</v>
      </c>
      <c r="B1828" t="inlineStr">
        <is>
          <t>EPA1633 &amp; diPAPs Calibration 0 ppb</t>
        </is>
      </c>
      <c r="D1828" t="n">
        <v>13.59</v>
      </c>
      <c r="E1828" t="n">
        <v>2699.672</v>
      </c>
      <c r="F1828" t="n">
        <v>818.542</v>
      </c>
      <c r="G1828" t="n">
        <v>140.596</v>
      </c>
      <c r="H1828" t="inlineStr">
        <is>
          <t>bb</t>
        </is>
      </c>
    </row>
    <row r="1829">
      <c r="A1829" t="n">
        <v>2</v>
      </c>
      <c r="B1829" t="inlineStr">
        <is>
          <t>EPA1633 &amp; diPAPs Calibration 0.02 ppb</t>
        </is>
      </c>
      <c r="D1829" t="n">
        <v>13.62</v>
      </c>
      <c r="E1829" t="n">
        <v>6565.071</v>
      </c>
      <c r="F1829" t="n">
        <v>878.931</v>
      </c>
      <c r="G1829" t="n">
        <v>787.866</v>
      </c>
      <c r="H1829" t="inlineStr">
        <is>
          <t>bb</t>
        </is>
      </c>
    </row>
    <row r="1830">
      <c r="A1830" t="n">
        <v>3</v>
      </c>
      <c r="B1830" t="inlineStr">
        <is>
          <t>EPA1633 &amp; diPAPs Calibration 0.1 ppb</t>
        </is>
      </c>
      <c r="D1830" t="n">
        <v>13.62</v>
      </c>
      <c r="E1830" t="n">
        <v>12696.771</v>
      </c>
      <c r="F1830" t="n">
        <v>947.3</v>
      </c>
      <c r="G1830" t="n">
        <v>508.955</v>
      </c>
      <c r="H1830" t="inlineStr">
        <is>
          <t>bb</t>
        </is>
      </c>
    </row>
    <row r="1831">
      <c r="A1831" t="n">
        <v>4</v>
      </c>
      <c r="B1831" t="inlineStr">
        <is>
          <t>EPA1633 &amp; diPAPs Calibration 0.4 ppb</t>
        </is>
      </c>
      <c r="D1831" t="n">
        <v>13.61</v>
      </c>
      <c r="E1831" t="n">
        <v>38141.039</v>
      </c>
      <c r="F1831" t="n">
        <v>785.4690000000001</v>
      </c>
      <c r="G1831" t="n">
        <v>872.6849999999999</v>
      </c>
      <c r="H1831" t="inlineStr">
        <is>
          <t>bb</t>
        </is>
      </c>
    </row>
    <row r="1832">
      <c r="A1832" t="n">
        <v>5</v>
      </c>
      <c r="B1832" t="inlineStr">
        <is>
          <t>EPA1633 &amp; diPAPs Calibration 1 ppb</t>
        </is>
      </c>
      <c r="D1832" t="n">
        <v>13.63</v>
      </c>
      <c r="E1832" t="n">
        <v>63651.219</v>
      </c>
      <c r="F1832" t="n">
        <v>1347.024</v>
      </c>
      <c r="G1832" t="n">
        <v>1327.623</v>
      </c>
      <c r="H1832" t="inlineStr">
        <is>
          <t>bb</t>
        </is>
      </c>
    </row>
    <row r="1833">
      <c r="A1833" t="n">
        <v>6</v>
      </c>
      <c r="B1833" t="inlineStr">
        <is>
          <t>EPA1633 &amp; diPAPs Calibration 5 ppb</t>
        </is>
      </c>
      <c r="D1833" t="n">
        <v>13.56</v>
      </c>
      <c r="E1833" t="n">
        <v>300471.5</v>
      </c>
      <c r="F1833" t="n">
        <v>950.485</v>
      </c>
      <c r="G1833" t="n">
        <v>7424.08</v>
      </c>
      <c r="H1833" t="inlineStr">
        <is>
          <t>bb</t>
        </is>
      </c>
    </row>
    <row r="1834">
      <c r="A1834" t="n">
        <v>7</v>
      </c>
      <c r="B1834" t="inlineStr">
        <is>
          <t>EPA1633 &amp; diPAPs Calibration 10 ppb</t>
        </is>
      </c>
      <c r="D1834" t="n">
        <v>13.57</v>
      </c>
      <c r="E1834" t="n">
        <v>539908.75</v>
      </c>
      <c r="F1834" t="n">
        <v>675.6130000000001</v>
      </c>
      <c r="G1834" t="n">
        <v>7375.817</v>
      </c>
      <c r="H1834" t="inlineStr">
        <is>
          <t>bb</t>
        </is>
      </c>
    </row>
    <row r="1835">
      <c r="A1835" t="n">
        <v>8</v>
      </c>
      <c r="B1835" t="inlineStr">
        <is>
          <t>EPA1633 &amp; diPAPs Calibration 20 ppb</t>
        </is>
      </c>
      <c r="D1835" t="n">
        <v>13.59</v>
      </c>
      <c r="E1835" t="n">
        <v>1066024</v>
      </c>
      <c r="F1835" t="n">
        <v>669.518</v>
      </c>
      <c r="G1835" t="n">
        <v>3999.661</v>
      </c>
      <c r="H1835" t="inlineStr">
        <is>
          <t>bb</t>
        </is>
      </c>
    </row>
    <row r="1836">
      <c r="A1836" t="n">
        <v>9</v>
      </c>
      <c r="B1836" t="inlineStr">
        <is>
          <t>MeOH</t>
        </is>
      </c>
      <c r="D1836" t="n">
        <v>13.61</v>
      </c>
      <c r="E1836" t="n">
        <v>2658.124</v>
      </c>
      <c r="G1836" t="n">
        <v>183.5</v>
      </c>
      <c r="H1836" t="inlineStr">
        <is>
          <t>bb</t>
        </is>
      </c>
    </row>
    <row r="1837">
      <c r="A1837" t="n">
        <v>10</v>
      </c>
      <c r="B1837" t="inlineStr">
        <is>
          <t>MeOH</t>
        </is>
      </c>
      <c r="D1837" t="n">
        <v>13.63</v>
      </c>
      <c r="E1837" t="n">
        <v>1898.098</v>
      </c>
      <c r="G1837" t="n">
        <v>14492</v>
      </c>
      <c r="H1837" t="inlineStr">
        <is>
          <t>bb</t>
        </is>
      </c>
    </row>
    <row r="1838">
      <c r="A1838" t="n">
        <v>11</v>
      </c>
      <c r="B1838" t="inlineStr">
        <is>
          <t>SB1</t>
        </is>
      </c>
      <c r="D1838" t="n">
        <v>13.64</v>
      </c>
      <c r="E1838" t="n">
        <v>910.8</v>
      </c>
      <c r="F1838" t="n">
        <v>454.851</v>
      </c>
      <c r="G1838" t="n">
        <v>74.871</v>
      </c>
      <c r="H1838" t="inlineStr">
        <is>
          <t>bb</t>
        </is>
      </c>
    </row>
    <row r="1839">
      <c r="A1839" t="n">
        <v>12</v>
      </c>
      <c r="B1839" t="inlineStr">
        <is>
          <t>SB2</t>
        </is>
      </c>
      <c r="D1839" t="n">
        <v>13.64</v>
      </c>
      <c r="E1839" t="n">
        <v>22.324</v>
      </c>
      <c r="F1839" t="n">
        <v>327.91</v>
      </c>
      <c r="G1839" t="n">
        <v>199</v>
      </c>
      <c r="H1839" t="inlineStr">
        <is>
          <t>bb</t>
        </is>
      </c>
    </row>
    <row r="1840">
      <c r="A1840" t="n">
        <v>13</v>
      </c>
      <c r="B1840" t="inlineStr">
        <is>
          <t>SB3</t>
        </is>
      </c>
      <c r="D1840" t="n">
        <v>13.66</v>
      </c>
      <c r="E1840" t="n">
        <v>264.035</v>
      </c>
      <c r="F1840" t="n">
        <v>222.426</v>
      </c>
      <c r="G1840" t="n">
        <v>17.385</v>
      </c>
      <c r="H1840" t="inlineStr">
        <is>
          <t>bb</t>
        </is>
      </c>
    </row>
    <row r="1841">
      <c r="A1841" t="n">
        <v>14</v>
      </c>
      <c r="B1841" t="inlineStr">
        <is>
          <t>SS1</t>
        </is>
      </c>
      <c r="D1841" t="n">
        <v>13.66</v>
      </c>
      <c r="E1841" t="n">
        <v>208530.359</v>
      </c>
      <c r="F1841" t="n">
        <v>226.192</v>
      </c>
      <c r="G1841" t="n">
        <v>18871.507</v>
      </c>
      <c r="H1841" t="inlineStr">
        <is>
          <t>bb</t>
        </is>
      </c>
    </row>
    <row r="1842">
      <c r="A1842" t="n">
        <v>15</v>
      </c>
      <c r="B1842" t="inlineStr">
        <is>
          <t>SS2</t>
        </is>
      </c>
      <c r="D1842" t="n">
        <v>13.67</v>
      </c>
      <c r="E1842" t="n">
        <v>226677.25</v>
      </c>
      <c r="F1842" t="n">
        <v>314.009</v>
      </c>
      <c r="G1842" t="n">
        <v>1949.23</v>
      </c>
      <c r="H1842" t="inlineStr">
        <is>
          <t>bb</t>
        </is>
      </c>
    </row>
    <row r="1843">
      <c r="A1843" t="n">
        <v>16</v>
      </c>
      <c r="B1843" t="inlineStr">
        <is>
          <t>SS3</t>
        </is>
      </c>
      <c r="D1843" t="n">
        <v>13.68</v>
      </c>
      <c r="E1843" t="n">
        <v>212668.875</v>
      </c>
      <c r="F1843" t="n">
        <v>235.115</v>
      </c>
      <c r="G1843" t="n">
        <v>7448.838</v>
      </c>
      <c r="H1843" t="inlineStr">
        <is>
          <t>bb</t>
        </is>
      </c>
    </row>
    <row r="1845">
      <c r="A1845" t="inlineStr">
        <is>
          <t>Compound 93:  9Cl-PF3ONS 2</t>
        </is>
      </c>
    </row>
    <row r="1847">
      <c r="B1847" t="inlineStr">
        <is>
          <t>Sample Text</t>
        </is>
      </c>
      <c r="C1847" t="inlineStr">
        <is>
          <t>Std. Conc</t>
        </is>
      </c>
      <c r="D1847" t="inlineStr">
        <is>
          <t>RT</t>
        </is>
      </c>
      <c r="E1847" t="inlineStr">
        <is>
          <t>Area</t>
        </is>
      </c>
      <c r="F1847" t="inlineStr">
        <is>
          <t>IS Area</t>
        </is>
      </c>
      <c r="G1847" t="inlineStr">
        <is>
          <t>S/N</t>
        </is>
      </c>
      <c r="H1847" t="inlineStr">
        <is>
          <t>Primary Flags</t>
        </is>
      </c>
      <c r="I1847" t="inlineStr">
        <is>
          <t>Response</t>
        </is>
      </c>
      <c r="J1847" t="inlineStr">
        <is>
          <t>Conc.</t>
        </is>
      </c>
    </row>
    <row r="1848">
      <c r="A1848" t="n">
        <v>1</v>
      </c>
      <c r="B1848" t="inlineStr">
        <is>
          <t>EPA1633 &amp; diPAPs Calibration 0 ppb</t>
        </is>
      </c>
      <c r="D1848" t="n">
        <v>13.6</v>
      </c>
      <c r="E1848" t="n">
        <v>64.026</v>
      </c>
      <c r="F1848" t="n">
        <v>818.542</v>
      </c>
      <c r="G1848" t="n">
        <v>6.269</v>
      </c>
      <c r="H1848" t="inlineStr">
        <is>
          <t>MM</t>
        </is>
      </c>
    </row>
    <row r="1849">
      <c r="A1849" t="n">
        <v>2</v>
      </c>
      <c r="B1849" t="inlineStr">
        <is>
          <t>EPA1633 &amp; diPAPs Calibration 0.02 ppb</t>
        </is>
      </c>
      <c r="D1849" t="n">
        <v>13.63</v>
      </c>
      <c r="E1849" t="n">
        <v>81.68000000000001</v>
      </c>
      <c r="F1849" t="n">
        <v>878.931</v>
      </c>
      <c r="G1849" t="n">
        <v>2.78</v>
      </c>
      <c r="H1849" t="inlineStr">
        <is>
          <t>MM</t>
        </is>
      </c>
    </row>
    <row r="1850">
      <c r="A1850" t="n">
        <v>3</v>
      </c>
      <c r="B1850" t="inlineStr">
        <is>
          <t>EPA1633 &amp; diPAPs Calibration 0.1 ppb</t>
        </is>
      </c>
      <c r="D1850" t="n">
        <v>13.63</v>
      </c>
      <c r="E1850" t="n">
        <v>293.448</v>
      </c>
      <c r="F1850" t="n">
        <v>947.3</v>
      </c>
      <c r="G1850" t="n">
        <v>0.789</v>
      </c>
      <c r="H1850" t="inlineStr">
        <is>
          <t>MM</t>
        </is>
      </c>
    </row>
    <row r="1851">
      <c r="A1851" t="n">
        <v>4</v>
      </c>
      <c r="B1851" t="inlineStr">
        <is>
          <t>EPA1633 &amp; diPAPs Calibration 0.4 ppb</t>
        </is>
      </c>
      <c r="D1851" t="n">
        <v>13.63</v>
      </c>
      <c r="E1851" t="n">
        <v>1353.247</v>
      </c>
      <c r="F1851" t="n">
        <v>785.4690000000001</v>
      </c>
      <c r="G1851" t="n">
        <v>10334</v>
      </c>
      <c r="H1851" t="inlineStr">
        <is>
          <t>bb</t>
        </is>
      </c>
    </row>
    <row r="1852">
      <c r="A1852" t="n">
        <v>5</v>
      </c>
      <c r="B1852" t="inlineStr">
        <is>
          <t>EPA1633 &amp; diPAPs Calibration 1 ppb</t>
        </is>
      </c>
      <c r="D1852" t="n">
        <v>13.63</v>
      </c>
      <c r="E1852" t="n">
        <v>1956.321</v>
      </c>
      <c r="F1852" t="n">
        <v>1347.024</v>
      </c>
      <c r="G1852" t="n">
        <v>45.922</v>
      </c>
      <c r="H1852" t="inlineStr">
        <is>
          <t>MM</t>
        </is>
      </c>
    </row>
    <row r="1853">
      <c r="A1853" t="n">
        <v>6</v>
      </c>
      <c r="B1853" t="inlineStr">
        <is>
          <t>EPA1633 &amp; diPAPs Calibration 5 ppb</t>
        </is>
      </c>
      <c r="D1853" t="n">
        <v>13.56</v>
      </c>
      <c r="E1853" t="n">
        <v>12368.653</v>
      </c>
      <c r="F1853" t="n">
        <v>950.485</v>
      </c>
      <c r="G1853" t="n">
        <v>392.743</v>
      </c>
      <c r="H1853" t="inlineStr">
        <is>
          <t>bb</t>
        </is>
      </c>
    </row>
    <row r="1854">
      <c r="A1854" t="n">
        <v>7</v>
      </c>
      <c r="B1854" t="inlineStr">
        <is>
          <t>EPA1633 &amp; diPAPs Calibration 10 ppb</t>
        </is>
      </c>
      <c r="D1854" t="n">
        <v>13.57</v>
      </c>
      <c r="E1854" t="n">
        <v>21653.168</v>
      </c>
      <c r="F1854" t="n">
        <v>675.6130000000001</v>
      </c>
      <c r="G1854" t="n">
        <v>137.793</v>
      </c>
      <c r="H1854" t="inlineStr">
        <is>
          <t>bb</t>
        </is>
      </c>
    </row>
    <row r="1855">
      <c r="A1855" t="n">
        <v>8</v>
      </c>
      <c r="B1855" t="inlineStr">
        <is>
          <t>EPA1633 &amp; diPAPs Calibration 20 ppb</t>
        </is>
      </c>
      <c r="D1855" t="n">
        <v>13.6</v>
      </c>
      <c r="E1855" t="n">
        <v>40225.934</v>
      </c>
      <c r="F1855" t="n">
        <v>669.518</v>
      </c>
      <c r="G1855" t="n">
        <v>1547.915</v>
      </c>
      <c r="H1855" t="inlineStr">
        <is>
          <t>bb</t>
        </is>
      </c>
    </row>
    <row r="1856">
      <c r="A1856" t="n">
        <v>9</v>
      </c>
      <c r="B1856" t="inlineStr">
        <is>
          <t>MeOH</t>
        </is>
      </c>
      <c r="D1856" t="n">
        <v>13.61</v>
      </c>
      <c r="E1856" t="n">
        <v>33.078</v>
      </c>
      <c r="G1856" t="n">
        <v>3.727</v>
      </c>
      <c r="H1856" t="inlineStr">
        <is>
          <t>bb</t>
        </is>
      </c>
    </row>
    <row r="1857">
      <c r="A1857" t="n">
        <v>10</v>
      </c>
      <c r="B1857" t="inlineStr">
        <is>
          <t>MeOH</t>
        </is>
      </c>
      <c r="D1857" t="n">
        <v>13.08</v>
      </c>
      <c r="E1857" t="n">
        <v>15.693</v>
      </c>
      <c r="G1857" t="n">
        <v>144</v>
      </c>
      <c r="H1857" t="inlineStr">
        <is>
          <t>bb</t>
        </is>
      </c>
    </row>
    <row r="1858">
      <c r="A1858" t="n">
        <v>11</v>
      </c>
      <c r="B1858" t="inlineStr">
        <is>
          <t>SB1</t>
        </is>
      </c>
      <c r="D1858" t="n">
        <v>13.89</v>
      </c>
      <c r="E1858" t="n">
        <v>247.531</v>
      </c>
      <c r="F1858" t="n">
        <v>454.851</v>
      </c>
      <c r="G1858" t="n">
        <v>2047</v>
      </c>
      <c r="H1858" t="inlineStr">
        <is>
          <t>bb</t>
        </is>
      </c>
    </row>
    <row r="1859">
      <c r="A1859" t="n">
        <v>12</v>
      </c>
      <c r="B1859" t="inlineStr">
        <is>
          <t>SB2</t>
        </is>
      </c>
      <c r="D1859" t="n">
        <v>13.89</v>
      </c>
      <c r="E1859" t="n">
        <v>173.193</v>
      </c>
      <c r="F1859" t="n">
        <v>327.91</v>
      </c>
      <c r="G1859" t="n">
        <v>4.339</v>
      </c>
      <c r="H1859" t="inlineStr">
        <is>
          <t>bb</t>
        </is>
      </c>
    </row>
    <row r="1860">
      <c r="A1860" t="n">
        <v>13</v>
      </c>
      <c r="B1860" t="inlineStr">
        <is>
          <t>SB3</t>
        </is>
      </c>
      <c r="D1860" t="n">
        <v>13.88</v>
      </c>
      <c r="E1860" t="n">
        <v>117.842</v>
      </c>
      <c r="F1860" t="n">
        <v>222.426</v>
      </c>
      <c r="G1860" t="n">
        <v>5.115</v>
      </c>
      <c r="H1860" t="inlineStr">
        <is>
          <t>MM</t>
        </is>
      </c>
    </row>
    <row r="1861">
      <c r="A1861" t="n">
        <v>14</v>
      </c>
      <c r="B1861" t="inlineStr">
        <is>
          <t>SS1</t>
        </is>
      </c>
      <c r="D1861" t="n">
        <v>13.66</v>
      </c>
      <c r="E1861" t="n">
        <v>7995.069</v>
      </c>
      <c r="F1861" t="n">
        <v>226.192</v>
      </c>
      <c r="G1861" t="n">
        <v>63972</v>
      </c>
      <c r="H1861" t="inlineStr">
        <is>
          <t>bb</t>
        </is>
      </c>
    </row>
    <row r="1862">
      <c r="A1862" t="n">
        <v>15</v>
      </c>
      <c r="B1862" t="inlineStr">
        <is>
          <t>SS2</t>
        </is>
      </c>
      <c r="D1862" t="n">
        <v>13.67</v>
      </c>
      <c r="E1862" t="n">
        <v>8570.555</v>
      </c>
      <c r="F1862" t="n">
        <v>314.009</v>
      </c>
      <c r="G1862" t="n">
        <v>511.156</v>
      </c>
      <c r="H1862" t="inlineStr">
        <is>
          <t>bb</t>
        </is>
      </c>
    </row>
    <row r="1863">
      <c r="A1863" t="n">
        <v>16</v>
      </c>
      <c r="B1863" t="inlineStr">
        <is>
          <t>SS3</t>
        </is>
      </c>
      <c r="D1863" t="n">
        <v>13.68</v>
      </c>
      <c r="E1863" t="n">
        <v>7812.568</v>
      </c>
      <c r="F1863" t="n">
        <v>235.115</v>
      </c>
      <c r="G1863" t="n">
        <v>420.322</v>
      </c>
      <c r="H1863" t="inlineStr">
        <is>
          <t>bb</t>
        </is>
      </c>
    </row>
    <row r="1865">
      <c r="A1865" t="inlineStr">
        <is>
          <t>Compound 94:  m5 N-EtFOSA 1</t>
        </is>
      </c>
    </row>
    <row r="1867">
      <c r="B1867" t="inlineStr">
        <is>
          <t>Sample Text</t>
        </is>
      </c>
      <c r="C1867" t="inlineStr">
        <is>
          <t>Std. Conc</t>
        </is>
      </c>
      <c r="D1867" t="inlineStr">
        <is>
          <t>RT</t>
        </is>
      </c>
      <c r="E1867" t="inlineStr">
        <is>
          <t>Area</t>
        </is>
      </c>
      <c r="F1867" t="inlineStr">
        <is>
          <t>IS Area</t>
        </is>
      </c>
      <c r="G1867" t="inlineStr">
        <is>
          <t>S/N</t>
        </is>
      </c>
      <c r="H1867" t="inlineStr">
        <is>
          <t>Primary Flags</t>
        </is>
      </c>
      <c r="I1867" t="inlineStr">
        <is>
          <t>Response</t>
        </is>
      </c>
      <c r="J1867" t="inlineStr">
        <is>
          <t>Conc.</t>
        </is>
      </c>
    </row>
    <row r="1868">
      <c r="A1868" t="n">
        <v>1</v>
      </c>
      <c r="B1868" t="inlineStr">
        <is>
          <t>EPA1633 &amp; diPAPs Calibration 0 ppb</t>
        </is>
      </c>
      <c r="D1868" t="n">
        <v>16.49</v>
      </c>
      <c r="E1868" t="n">
        <v>9366.290999999999</v>
      </c>
      <c r="G1868" t="n">
        <v>268.813</v>
      </c>
      <c r="H1868" t="inlineStr">
        <is>
          <t>bb</t>
        </is>
      </c>
      <c r="I1868" t="n">
        <v>9366.290999999999</v>
      </c>
    </row>
    <row r="1869">
      <c r="A1869" t="n">
        <v>2</v>
      </c>
      <c r="B1869" t="inlineStr">
        <is>
          <t>EPA1633 &amp; diPAPs Calibration 0.02 ppb</t>
        </is>
      </c>
      <c r="D1869" t="n">
        <v>16.52</v>
      </c>
      <c r="E1869" t="n">
        <v>8227.450000000001</v>
      </c>
      <c r="G1869" t="n">
        <v>73245</v>
      </c>
      <c r="H1869" t="inlineStr">
        <is>
          <t>bb</t>
        </is>
      </c>
      <c r="I1869" t="n">
        <v>8227.450000000001</v>
      </c>
    </row>
    <row r="1870">
      <c r="A1870" t="n">
        <v>3</v>
      </c>
      <c r="B1870" t="inlineStr">
        <is>
          <t>EPA1633 &amp; diPAPs Calibration 0.1 ppb</t>
        </is>
      </c>
      <c r="D1870" t="n">
        <v>16.52</v>
      </c>
      <c r="E1870" t="n">
        <v>8592.939</v>
      </c>
      <c r="G1870" t="n">
        <v>465.227</v>
      </c>
      <c r="H1870" t="inlineStr">
        <is>
          <t>bb</t>
        </is>
      </c>
      <c r="I1870" t="n">
        <v>8592.939</v>
      </c>
    </row>
    <row r="1871">
      <c r="A1871" t="n">
        <v>4</v>
      </c>
      <c r="B1871" t="inlineStr">
        <is>
          <t>EPA1633 &amp; diPAPs Calibration 0.4 ppb</t>
        </is>
      </c>
      <c r="D1871" t="n">
        <v>16.51</v>
      </c>
      <c r="E1871" t="n">
        <v>8009.04</v>
      </c>
      <c r="G1871" t="n">
        <v>68369</v>
      </c>
      <c r="H1871" t="inlineStr">
        <is>
          <t>bb</t>
        </is>
      </c>
      <c r="I1871" t="n">
        <v>8009.04</v>
      </c>
    </row>
    <row r="1872">
      <c r="A1872" t="n">
        <v>5</v>
      </c>
      <c r="B1872" t="inlineStr">
        <is>
          <t>EPA1633 &amp; diPAPs Calibration 1 ppb</t>
        </is>
      </c>
      <c r="D1872" t="n">
        <v>16.5</v>
      </c>
      <c r="E1872" t="n">
        <v>9820.112999999999</v>
      </c>
      <c r="G1872" t="n">
        <v>88.962</v>
      </c>
      <c r="H1872" t="inlineStr">
        <is>
          <t>bb</t>
        </is>
      </c>
      <c r="I1872" t="n">
        <v>9820.112999999999</v>
      </c>
    </row>
    <row r="1873">
      <c r="A1873" t="n">
        <v>6</v>
      </c>
      <c r="B1873" t="inlineStr">
        <is>
          <t>EPA1633 &amp; diPAPs Calibration 5 ppb</t>
        </is>
      </c>
      <c r="D1873" t="n">
        <v>16.49</v>
      </c>
      <c r="E1873" t="n">
        <v>8875.213</v>
      </c>
      <c r="G1873" t="n">
        <v>77238</v>
      </c>
      <c r="H1873" t="inlineStr">
        <is>
          <t>bb</t>
        </is>
      </c>
      <c r="I1873" t="n">
        <v>8875.213</v>
      </c>
    </row>
    <row r="1874">
      <c r="A1874" t="n">
        <v>7</v>
      </c>
      <c r="B1874" t="inlineStr">
        <is>
          <t>EPA1633 &amp; diPAPs Calibration 10 ppb</t>
        </is>
      </c>
      <c r="D1874" t="n">
        <v>16.49</v>
      </c>
      <c r="E1874" t="n">
        <v>6292.695</v>
      </c>
      <c r="G1874" t="n">
        <v>53555</v>
      </c>
      <c r="H1874" t="inlineStr">
        <is>
          <t>bb</t>
        </is>
      </c>
      <c r="I1874" t="n">
        <v>6292.695</v>
      </c>
    </row>
    <row r="1875">
      <c r="A1875" t="n">
        <v>8</v>
      </c>
      <c r="B1875" t="inlineStr">
        <is>
          <t>EPA1633 &amp; diPAPs Calibration 20 ppb</t>
        </is>
      </c>
      <c r="D1875" t="n">
        <v>16.5</v>
      </c>
      <c r="E1875" t="n">
        <v>7803.31</v>
      </c>
      <c r="G1875" t="n">
        <v>68320</v>
      </c>
      <c r="H1875" t="inlineStr">
        <is>
          <t>bb</t>
        </is>
      </c>
      <c r="I1875" t="n">
        <v>7803.31</v>
      </c>
    </row>
    <row r="1876">
      <c r="A1876" t="n">
        <v>9</v>
      </c>
      <c r="B1876" t="inlineStr">
        <is>
          <t>MeOH</t>
        </is>
      </c>
      <c r="D1876" t="n">
        <v>16.51</v>
      </c>
      <c r="E1876" t="n">
        <v>19.677</v>
      </c>
      <c r="G1876" t="n">
        <v>193</v>
      </c>
      <c r="H1876" t="inlineStr">
        <is>
          <t>bb</t>
        </is>
      </c>
      <c r="I1876" t="n">
        <v>19.677</v>
      </c>
    </row>
    <row r="1877">
      <c r="A1877" t="n">
        <v>10</v>
      </c>
      <c r="B1877" t="inlineStr">
        <is>
          <t>MeOH</t>
        </is>
      </c>
      <c r="D1877" t="n">
        <v>16.64</v>
      </c>
      <c r="E1877" t="n">
        <v>0.218</v>
      </c>
      <c r="G1877" t="n">
        <v>3</v>
      </c>
      <c r="H1877" t="inlineStr">
        <is>
          <t>bb</t>
        </is>
      </c>
      <c r="I1877" t="n">
        <v>0.218</v>
      </c>
    </row>
    <row r="1878">
      <c r="A1878" t="n">
        <v>11</v>
      </c>
      <c r="B1878" t="inlineStr">
        <is>
          <t>SB1</t>
        </is>
      </c>
      <c r="D1878" t="n">
        <v>16.54</v>
      </c>
      <c r="E1878" t="n">
        <v>1812.627</v>
      </c>
      <c r="G1878" t="n">
        <v>15812</v>
      </c>
      <c r="H1878" t="inlineStr">
        <is>
          <t>bb</t>
        </is>
      </c>
      <c r="I1878" t="n">
        <v>1812.627</v>
      </c>
    </row>
    <row r="1879">
      <c r="A1879" t="n">
        <v>12</v>
      </c>
      <c r="B1879" t="inlineStr">
        <is>
          <t>SB2</t>
        </is>
      </c>
      <c r="D1879" t="n">
        <v>16.55</v>
      </c>
      <c r="E1879" t="n">
        <v>2140.853</v>
      </c>
      <c r="G1879" t="n">
        <v>52.127</v>
      </c>
      <c r="H1879" t="inlineStr">
        <is>
          <t>bb</t>
        </is>
      </c>
      <c r="I1879" t="n">
        <v>2140.853</v>
      </c>
    </row>
    <row r="1880">
      <c r="A1880" t="n">
        <v>13</v>
      </c>
      <c r="B1880" t="inlineStr">
        <is>
          <t>SB3</t>
        </is>
      </c>
      <c r="D1880" t="n">
        <v>16.56</v>
      </c>
      <c r="E1880" t="n">
        <v>2104.667</v>
      </c>
      <c r="G1880" t="n">
        <v>18920</v>
      </c>
      <c r="H1880" t="inlineStr">
        <is>
          <t>bb</t>
        </is>
      </c>
      <c r="I1880" t="n">
        <v>2104.667</v>
      </c>
    </row>
    <row r="1881">
      <c r="A1881" t="n">
        <v>14</v>
      </c>
      <c r="B1881" t="inlineStr">
        <is>
          <t>SS1</t>
        </is>
      </c>
      <c r="D1881" t="n">
        <v>16.57</v>
      </c>
      <c r="E1881" t="n">
        <v>2157.787</v>
      </c>
      <c r="G1881" t="n">
        <v>21009</v>
      </c>
      <c r="H1881" t="inlineStr">
        <is>
          <t>bb</t>
        </is>
      </c>
      <c r="I1881" t="n">
        <v>2157.787</v>
      </c>
    </row>
    <row r="1882">
      <c r="A1882" t="n">
        <v>15</v>
      </c>
      <c r="B1882" t="inlineStr">
        <is>
          <t>SS2</t>
        </is>
      </c>
      <c r="D1882" t="n">
        <v>16.58</v>
      </c>
      <c r="E1882" t="n">
        <v>2467.77</v>
      </c>
      <c r="G1882" t="n">
        <v>63.715</v>
      </c>
      <c r="H1882" t="inlineStr">
        <is>
          <t>bb</t>
        </is>
      </c>
      <c r="I1882" t="n">
        <v>2467.77</v>
      </c>
    </row>
    <row r="1883">
      <c r="A1883" t="n">
        <v>16</v>
      </c>
      <c r="B1883" t="inlineStr">
        <is>
          <t>SS3</t>
        </is>
      </c>
      <c r="D1883" t="n">
        <v>16.59</v>
      </c>
      <c r="E1883" t="n">
        <v>2130.298</v>
      </c>
      <c r="G1883" t="n">
        <v>56.977</v>
      </c>
      <c r="H1883" t="inlineStr">
        <is>
          <t>bb</t>
        </is>
      </c>
      <c r="I1883" t="n">
        <v>2130.298</v>
      </c>
    </row>
    <row r="1885">
      <c r="A1885" t="inlineStr">
        <is>
          <t>Compound 95:  m5 N-EtFOSA 2</t>
        </is>
      </c>
    </row>
    <row r="1887">
      <c r="B1887" t="inlineStr">
        <is>
          <t>Sample Text</t>
        </is>
      </c>
      <c r="C1887" t="inlineStr">
        <is>
          <t>Std. Conc</t>
        </is>
      </c>
      <c r="D1887" t="inlineStr">
        <is>
          <t>RT</t>
        </is>
      </c>
      <c r="E1887" t="inlineStr">
        <is>
          <t>Area</t>
        </is>
      </c>
      <c r="F1887" t="inlineStr">
        <is>
          <t>IS Area</t>
        </is>
      </c>
      <c r="G1887" t="inlineStr">
        <is>
          <t>S/N</t>
        </is>
      </c>
      <c r="H1887" t="inlineStr">
        <is>
          <t>Primary Flags</t>
        </is>
      </c>
      <c r="I1887" t="inlineStr">
        <is>
          <t>Response</t>
        </is>
      </c>
      <c r="J1887" t="inlineStr">
        <is>
          <t>Conc.</t>
        </is>
      </c>
    </row>
    <row r="1888">
      <c r="A1888" t="n">
        <v>1</v>
      </c>
      <c r="B1888" t="inlineStr">
        <is>
          <t>EPA1633 &amp; diPAPs Calibration 0 ppb</t>
        </is>
      </c>
      <c r="D1888" t="n">
        <v>16.49</v>
      </c>
      <c r="E1888" t="n">
        <v>8805.511</v>
      </c>
      <c r="G1888" t="n">
        <v>311.753</v>
      </c>
      <c r="H1888" t="inlineStr">
        <is>
          <t>bb</t>
        </is>
      </c>
      <c r="I1888" t="n">
        <v>8805.511</v>
      </c>
    </row>
    <row r="1889">
      <c r="A1889" t="n">
        <v>2</v>
      </c>
      <c r="B1889" t="inlineStr">
        <is>
          <t>EPA1633 &amp; diPAPs Calibration 0.02 ppb</t>
        </is>
      </c>
      <c r="D1889" t="n">
        <v>16.52</v>
      </c>
      <c r="E1889" t="n">
        <v>8225.773999999999</v>
      </c>
      <c r="G1889" t="n">
        <v>687.333</v>
      </c>
      <c r="H1889" t="inlineStr">
        <is>
          <t>bb</t>
        </is>
      </c>
      <c r="I1889" t="n">
        <v>8225.773999999999</v>
      </c>
    </row>
    <row r="1890">
      <c r="A1890" t="n">
        <v>3</v>
      </c>
      <c r="B1890" t="inlineStr">
        <is>
          <t>EPA1633 &amp; diPAPs Calibration 0.1 ppb</t>
        </is>
      </c>
      <c r="D1890" t="n">
        <v>16.52</v>
      </c>
      <c r="E1890" t="n">
        <v>8206.088</v>
      </c>
      <c r="G1890" t="n">
        <v>72812</v>
      </c>
      <c r="H1890" t="inlineStr">
        <is>
          <t>bb</t>
        </is>
      </c>
      <c r="I1890" t="n">
        <v>8206.088</v>
      </c>
    </row>
    <row r="1891">
      <c r="A1891" t="n">
        <v>4</v>
      </c>
      <c r="B1891" t="inlineStr">
        <is>
          <t>EPA1633 &amp; diPAPs Calibration 0.4 ppb</t>
        </is>
      </c>
      <c r="D1891" t="n">
        <v>16.51</v>
      </c>
      <c r="E1891" t="n">
        <v>7974.231</v>
      </c>
      <c r="G1891" t="n">
        <v>917.388</v>
      </c>
      <c r="H1891" t="inlineStr">
        <is>
          <t>bb</t>
        </is>
      </c>
      <c r="I1891" t="n">
        <v>7974.231</v>
      </c>
    </row>
    <row r="1892">
      <c r="A1892" t="n">
        <v>5</v>
      </c>
      <c r="B1892" t="inlineStr">
        <is>
          <t>EPA1633 &amp; diPAPs Calibration 1 ppb</t>
        </is>
      </c>
      <c r="D1892" t="n">
        <v>16.5</v>
      </c>
      <c r="E1892" t="n">
        <v>9726.778</v>
      </c>
      <c r="G1892" t="n">
        <v>634.3339999999999</v>
      </c>
      <c r="H1892" t="inlineStr">
        <is>
          <t>bb</t>
        </is>
      </c>
      <c r="I1892" t="n">
        <v>9726.778</v>
      </c>
    </row>
    <row r="1893">
      <c r="A1893" t="n">
        <v>6</v>
      </c>
      <c r="B1893" t="inlineStr">
        <is>
          <t>EPA1633 &amp; diPAPs Calibration 5 ppb</t>
        </is>
      </c>
      <c r="D1893" t="n">
        <v>16.48</v>
      </c>
      <c r="E1893" t="n">
        <v>8449.726000000001</v>
      </c>
      <c r="G1893" t="n">
        <v>164.373</v>
      </c>
      <c r="H1893" t="inlineStr">
        <is>
          <t>bb</t>
        </is>
      </c>
      <c r="I1893" t="n">
        <v>8449.726000000001</v>
      </c>
    </row>
    <row r="1894">
      <c r="A1894" t="n">
        <v>7</v>
      </c>
      <c r="B1894" t="inlineStr">
        <is>
          <t>EPA1633 &amp; diPAPs Calibration 10 ppb</t>
        </is>
      </c>
      <c r="D1894" t="n">
        <v>16.49</v>
      </c>
      <c r="E1894" t="n">
        <v>6390.667</v>
      </c>
      <c r="G1894" t="n">
        <v>244.701</v>
      </c>
      <c r="H1894" t="inlineStr">
        <is>
          <t>bb</t>
        </is>
      </c>
      <c r="I1894" t="n">
        <v>6390.667</v>
      </c>
    </row>
    <row r="1895">
      <c r="A1895" t="n">
        <v>8</v>
      </c>
      <c r="B1895" t="inlineStr">
        <is>
          <t>EPA1633 &amp; diPAPs Calibration 20 ppb</t>
        </is>
      </c>
      <c r="D1895" t="n">
        <v>16.51</v>
      </c>
      <c r="E1895" t="n">
        <v>7988.824</v>
      </c>
      <c r="G1895" t="n">
        <v>1559.751</v>
      </c>
      <c r="H1895" t="inlineStr">
        <is>
          <t>bb</t>
        </is>
      </c>
      <c r="I1895" t="n">
        <v>7988.824</v>
      </c>
    </row>
    <row r="1896">
      <c r="A1896" t="n">
        <v>9</v>
      </c>
      <c r="B1896" t="inlineStr">
        <is>
          <t>MeOH</t>
        </is>
      </c>
      <c r="D1896" t="n">
        <v>16.42</v>
      </c>
      <c r="E1896" t="n">
        <v>12.127</v>
      </c>
      <c r="G1896" t="n">
        <v>117</v>
      </c>
      <c r="H1896" t="inlineStr">
        <is>
          <t>bb</t>
        </is>
      </c>
      <c r="I1896" t="n">
        <v>12.127</v>
      </c>
    </row>
    <row r="1897">
      <c r="A1897" t="n">
        <v>10</v>
      </c>
      <c r="B1897" t="inlineStr">
        <is>
          <t>MeOH</t>
        </is>
      </c>
      <c r="D1897" t="n">
        <v>16.58</v>
      </c>
      <c r="E1897" t="n">
        <v>0.467</v>
      </c>
      <c r="G1897" t="n">
        <v>6</v>
      </c>
      <c r="H1897" t="inlineStr">
        <is>
          <t>bb</t>
        </is>
      </c>
      <c r="I1897" t="n">
        <v>0.467</v>
      </c>
    </row>
    <row r="1898">
      <c r="A1898" t="n">
        <v>11</v>
      </c>
      <c r="B1898" t="inlineStr">
        <is>
          <t>SB1</t>
        </is>
      </c>
      <c r="D1898" t="n">
        <v>16.53</v>
      </c>
      <c r="E1898" t="n">
        <v>2056.203</v>
      </c>
      <c r="G1898" t="n">
        <v>18523</v>
      </c>
      <c r="H1898" t="inlineStr">
        <is>
          <t>bb</t>
        </is>
      </c>
      <c r="I1898" t="n">
        <v>2056.203</v>
      </c>
    </row>
    <row r="1899">
      <c r="A1899" t="n">
        <v>12</v>
      </c>
      <c r="B1899" t="inlineStr">
        <is>
          <t>SB2</t>
        </is>
      </c>
      <c r="D1899" t="n">
        <v>16.55</v>
      </c>
      <c r="E1899" t="n">
        <v>2037.142</v>
      </c>
      <c r="G1899" t="n">
        <v>172.241</v>
      </c>
      <c r="H1899" t="inlineStr">
        <is>
          <t>bb</t>
        </is>
      </c>
      <c r="I1899" t="n">
        <v>2037.142</v>
      </c>
    </row>
    <row r="1900">
      <c r="A1900" t="n">
        <v>13</v>
      </c>
      <c r="B1900" t="inlineStr">
        <is>
          <t>SB3</t>
        </is>
      </c>
      <c r="D1900" t="n">
        <v>16.56</v>
      </c>
      <c r="E1900" t="n">
        <v>2209.288</v>
      </c>
      <c r="G1900" t="n">
        <v>54.702</v>
      </c>
      <c r="H1900" t="inlineStr">
        <is>
          <t>bb</t>
        </is>
      </c>
      <c r="I1900" t="n">
        <v>2209.288</v>
      </c>
    </row>
    <row r="1901">
      <c r="A1901" t="n">
        <v>14</v>
      </c>
      <c r="B1901" t="inlineStr">
        <is>
          <t>SS1</t>
        </is>
      </c>
      <c r="D1901" t="n">
        <v>16.57</v>
      </c>
      <c r="E1901" t="n">
        <v>1869.894</v>
      </c>
      <c r="G1901" t="n">
        <v>163.95</v>
      </c>
      <c r="H1901" t="inlineStr">
        <is>
          <t>bb</t>
        </is>
      </c>
      <c r="I1901" t="n">
        <v>1869.894</v>
      </c>
    </row>
    <row r="1902">
      <c r="A1902" t="n">
        <v>15</v>
      </c>
      <c r="B1902" t="inlineStr">
        <is>
          <t>SS2</t>
        </is>
      </c>
      <c r="D1902" t="n">
        <v>16.58</v>
      </c>
      <c r="E1902" t="n">
        <v>2527.979</v>
      </c>
      <c r="G1902" t="n">
        <v>22463</v>
      </c>
      <c r="H1902" t="inlineStr">
        <is>
          <t>bb</t>
        </is>
      </c>
      <c r="I1902" t="n">
        <v>2527.979</v>
      </c>
    </row>
    <row r="1903">
      <c r="A1903" t="n">
        <v>16</v>
      </c>
      <c r="B1903" t="inlineStr">
        <is>
          <t>SS3</t>
        </is>
      </c>
      <c r="D1903" t="n">
        <v>16.59</v>
      </c>
      <c r="E1903" t="n">
        <v>2192.266</v>
      </c>
      <c r="G1903" t="n">
        <v>128.561</v>
      </c>
      <c r="H1903" t="inlineStr">
        <is>
          <t>bb</t>
        </is>
      </c>
      <c r="I1903" t="n">
        <v>2192.266</v>
      </c>
    </row>
    <row r="1905">
      <c r="A1905" t="inlineStr">
        <is>
          <t>Compound 96:  10:2 FTUCA 1</t>
        </is>
      </c>
    </row>
    <row r="1907">
      <c r="B1907" t="inlineStr">
        <is>
          <t>Sample Text</t>
        </is>
      </c>
      <c r="C1907" t="inlineStr">
        <is>
          <t>Std. Conc</t>
        </is>
      </c>
      <c r="D1907" t="inlineStr">
        <is>
          <t>RT</t>
        </is>
      </c>
      <c r="E1907" t="inlineStr">
        <is>
          <t>Area</t>
        </is>
      </c>
      <c r="F1907" t="inlineStr">
        <is>
          <t>IS Area</t>
        </is>
      </c>
      <c r="G1907" t="inlineStr">
        <is>
          <t>S/N</t>
        </is>
      </c>
      <c r="H1907" t="inlineStr">
        <is>
          <t>Primary Flags</t>
        </is>
      </c>
      <c r="I1907" t="inlineStr">
        <is>
          <t>Response</t>
        </is>
      </c>
      <c r="J1907" t="inlineStr">
        <is>
          <t>Conc.</t>
        </is>
      </c>
    </row>
    <row r="1908">
      <c r="A1908" t="n">
        <v>1</v>
      </c>
      <c r="B1908" t="inlineStr">
        <is>
          <t>EPA1633 &amp; diPAPs Calibration 0 ppb</t>
        </is>
      </c>
      <c r="D1908" t="n">
        <v>15.14</v>
      </c>
      <c r="E1908" t="n">
        <v>3983.531</v>
      </c>
      <c r="F1908" t="n">
        <v>68189.008</v>
      </c>
      <c r="G1908" t="n">
        <v>26.872</v>
      </c>
      <c r="H1908" t="inlineStr">
        <is>
          <t>bb</t>
        </is>
      </c>
    </row>
    <row r="1909">
      <c r="A1909" t="n">
        <v>2</v>
      </c>
      <c r="B1909" t="inlineStr">
        <is>
          <t>EPA1633 &amp; diPAPs Calibration 0.02 ppb</t>
        </is>
      </c>
      <c r="D1909" t="n">
        <v>15.17</v>
      </c>
      <c r="E1909" t="n">
        <v>6130.959</v>
      </c>
      <c r="F1909" t="n">
        <v>61484.391</v>
      </c>
      <c r="G1909" t="n">
        <v>164.126</v>
      </c>
      <c r="H1909" t="inlineStr">
        <is>
          <t>bb</t>
        </is>
      </c>
    </row>
    <row r="1910">
      <c r="A1910" t="n">
        <v>3</v>
      </c>
      <c r="B1910" t="inlineStr">
        <is>
          <t>EPA1633 &amp; diPAPs Calibration 0.1 ppb</t>
        </is>
      </c>
      <c r="D1910" t="n">
        <v>15.17</v>
      </c>
      <c r="E1910" t="n">
        <v>11482.545</v>
      </c>
      <c r="F1910" t="n">
        <v>63501.434</v>
      </c>
      <c r="G1910" t="n">
        <v>72902</v>
      </c>
      <c r="H1910" t="inlineStr">
        <is>
          <t>bb</t>
        </is>
      </c>
    </row>
    <row r="1911">
      <c r="A1911" t="n">
        <v>4</v>
      </c>
      <c r="B1911" t="inlineStr">
        <is>
          <t>EPA1633 &amp; diPAPs Calibration 0.4 ppb</t>
        </is>
      </c>
      <c r="D1911" t="n">
        <v>15.17</v>
      </c>
      <c r="E1911" t="n">
        <v>35478.27</v>
      </c>
      <c r="F1911" t="n">
        <v>57149.977</v>
      </c>
      <c r="G1911" t="n">
        <v>1015.565</v>
      </c>
      <c r="H1911" t="inlineStr">
        <is>
          <t>bb</t>
        </is>
      </c>
    </row>
    <row r="1912">
      <c r="A1912" t="n">
        <v>5</v>
      </c>
      <c r="B1912" t="inlineStr">
        <is>
          <t>EPA1633 &amp; diPAPs Calibration 1 ppb</t>
        </is>
      </c>
      <c r="D1912" t="n">
        <v>15.15</v>
      </c>
      <c r="E1912" t="n">
        <v>63231.914</v>
      </c>
      <c r="F1912" t="n">
        <v>71495.45299999999</v>
      </c>
      <c r="G1912" t="n">
        <v>2362.49</v>
      </c>
      <c r="H1912" t="inlineStr">
        <is>
          <t>bb</t>
        </is>
      </c>
    </row>
    <row r="1913">
      <c r="A1913" t="n">
        <v>6</v>
      </c>
      <c r="B1913" t="inlineStr">
        <is>
          <t>EPA1633 &amp; diPAPs Calibration 5 ppb</t>
        </is>
      </c>
      <c r="D1913" t="n">
        <v>15.13</v>
      </c>
      <c r="E1913" t="n">
        <v>265786.594</v>
      </c>
      <c r="F1913" t="n">
        <v>55511.488</v>
      </c>
      <c r="G1913" t="n">
        <v>997.176</v>
      </c>
      <c r="H1913" t="inlineStr">
        <is>
          <t>bb</t>
        </is>
      </c>
    </row>
    <row r="1914">
      <c r="A1914" t="n">
        <v>7</v>
      </c>
      <c r="B1914" t="inlineStr">
        <is>
          <t>EPA1633 &amp; diPAPs Calibration 10 ppb</t>
        </is>
      </c>
      <c r="D1914" t="n">
        <v>15.13</v>
      </c>
      <c r="E1914" t="n">
        <v>466660</v>
      </c>
      <c r="F1914" t="n">
        <v>42641.691</v>
      </c>
      <c r="G1914" t="n">
        <v>8034.862</v>
      </c>
      <c r="H1914" t="inlineStr">
        <is>
          <t>bb</t>
        </is>
      </c>
    </row>
    <row r="1915">
      <c r="A1915" t="n">
        <v>8</v>
      </c>
      <c r="B1915" t="inlineStr">
        <is>
          <t>EPA1633 &amp; diPAPs Calibration 20 ppb</t>
        </is>
      </c>
      <c r="D1915" t="n">
        <v>15.14</v>
      </c>
      <c r="E1915" t="n">
        <v>979481.875</v>
      </c>
      <c r="F1915" t="n">
        <v>48928.695</v>
      </c>
      <c r="G1915" t="n">
        <v>7103.993</v>
      </c>
      <c r="H1915" t="inlineStr">
        <is>
          <t>bb</t>
        </is>
      </c>
    </row>
    <row r="1916">
      <c r="A1916" t="n">
        <v>9</v>
      </c>
      <c r="B1916" t="inlineStr">
        <is>
          <t>MeOH</t>
        </is>
      </c>
      <c r="D1916" t="n">
        <v>15.17</v>
      </c>
      <c r="E1916" t="n">
        <v>2745.4</v>
      </c>
      <c r="F1916" t="n">
        <v>142.221</v>
      </c>
      <c r="G1916" t="n">
        <v>16394</v>
      </c>
      <c r="H1916" t="inlineStr">
        <is>
          <t>bb</t>
        </is>
      </c>
    </row>
    <row r="1917">
      <c r="A1917" t="n">
        <v>10</v>
      </c>
      <c r="B1917" t="inlineStr">
        <is>
          <t>MeOH</t>
        </is>
      </c>
      <c r="D1917" t="n">
        <v>15.18</v>
      </c>
      <c r="E1917" t="n">
        <v>1154.211</v>
      </c>
      <c r="F1917" t="n">
        <v>51.685</v>
      </c>
      <c r="G1917" t="n">
        <v>7210</v>
      </c>
      <c r="H1917" t="inlineStr">
        <is>
          <t>bb</t>
        </is>
      </c>
    </row>
    <row r="1918">
      <c r="A1918" t="n">
        <v>11</v>
      </c>
      <c r="B1918" t="inlineStr">
        <is>
          <t>SB1</t>
        </is>
      </c>
      <c r="D1918" t="n">
        <v>15.17</v>
      </c>
      <c r="E1918" t="n">
        <v>541.818</v>
      </c>
      <c r="F1918" t="n">
        <v>23240.385</v>
      </c>
      <c r="G1918" t="n">
        <v>10.423</v>
      </c>
      <c r="H1918" t="inlineStr">
        <is>
          <t>bb</t>
        </is>
      </c>
    </row>
    <row r="1919">
      <c r="A1919" t="n">
        <v>12</v>
      </c>
      <c r="B1919" t="inlineStr">
        <is>
          <t>SB2</t>
        </is>
      </c>
      <c r="D1919" t="n">
        <v>15.23</v>
      </c>
      <c r="E1919" t="n">
        <v>12.718</v>
      </c>
      <c r="F1919" t="n">
        <v>20862.051</v>
      </c>
      <c r="G1919" t="n">
        <v>108</v>
      </c>
      <c r="H1919" t="inlineStr">
        <is>
          <t>bb</t>
        </is>
      </c>
    </row>
    <row r="1920">
      <c r="A1920" t="n">
        <v>13</v>
      </c>
      <c r="B1920" t="inlineStr">
        <is>
          <t>SB3</t>
        </is>
      </c>
      <c r="D1920" t="n">
        <v>15.2</v>
      </c>
      <c r="E1920" t="n">
        <v>73.297</v>
      </c>
      <c r="F1920" t="n">
        <v>19219.836</v>
      </c>
      <c r="G1920" t="n">
        <v>475</v>
      </c>
      <c r="H1920" t="inlineStr">
        <is>
          <t>bb</t>
        </is>
      </c>
    </row>
    <row r="1921">
      <c r="A1921" t="n">
        <v>14</v>
      </c>
      <c r="B1921" t="inlineStr">
        <is>
          <t>SS1</t>
        </is>
      </c>
      <c r="D1921" t="n">
        <v>15.21</v>
      </c>
      <c r="E1921" t="n">
        <v>185035.766</v>
      </c>
      <c r="F1921" t="n">
        <v>19767.512</v>
      </c>
      <c r="G1921" t="n">
        <v>3214.406</v>
      </c>
      <c r="H1921" t="inlineStr">
        <is>
          <t>bb</t>
        </is>
      </c>
    </row>
    <row r="1922">
      <c r="A1922" t="n">
        <v>15</v>
      </c>
      <c r="B1922" t="inlineStr">
        <is>
          <t>SS2</t>
        </is>
      </c>
      <c r="D1922" t="n">
        <v>15.21</v>
      </c>
      <c r="E1922" t="n">
        <v>194341.172</v>
      </c>
      <c r="F1922" t="n">
        <v>20699.598</v>
      </c>
      <c r="G1922" t="n">
        <v>2008.061</v>
      </c>
      <c r="H1922" t="inlineStr">
        <is>
          <t>bb</t>
        </is>
      </c>
    </row>
    <row r="1923">
      <c r="A1923" t="n">
        <v>16</v>
      </c>
      <c r="B1923" t="inlineStr">
        <is>
          <t>SS3</t>
        </is>
      </c>
      <c r="D1923" t="n">
        <v>15.23</v>
      </c>
      <c r="E1923" t="n">
        <v>179323.094</v>
      </c>
      <c r="F1923" t="n">
        <v>17356.738</v>
      </c>
      <c r="G1923" t="n">
        <v>2044.404</v>
      </c>
      <c r="H1923" t="inlineStr">
        <is>
          <t>bb</t>
        </is>
      </c>
    </row>
    <row r="1925">
      <c r="A1925" t="inlineStr">
        <is>
          <t>Compound 97:  m2 10:2 FTUCA 1</t>
        </is>
      </c>
    </row>
    <row r="1927">
      <c r="B1927" t="inlineStr">
        <is>
          <t>Sample Text</t>
        </is>
      </c>
      <c r="C1927" t="inlineStr">
        <is>
          <t>Std. Conc</t>
        </is>
      </c>
      <c r="D1927" t="inlineStr">
        <is>
          <t>RT</t>
        </is>
      </c>
      <c r="E1927" t="inlineStr">
        <is>
          <t>Area</t>
        </is>
      </c>
      <c r="F1927" t="inlineStr">
        <is>
          <t>IS Area</t>
        </is>
      </c>
      <c r="G1927" t="inlineStr">
        <is>
          <t>S/N</t>
        </is>
      </c>
      <c r="H1927" t="inlineStr">
        <is>
          <t>Primary Flags</t>
        </is>
      </c>
      <c r="I1927" t="inlineStr">
        <is>
          <t>Response</t>
        </is>
      </c>
      <c r="J1927" t="inlineStr">
        <is>
          <t>Conc.</t>
        </is>
      </c>
    </row>
    <row r="1928">
      <c r="A1928" t="n">
        <v>1</v>
      </c>
      <c r="B1928" t="inlineStr">
        <is>
          <t>EPA1633 &amp; diPAPs Calibration 0 ppb</t>
        </is>
      </c>
      <c r="D1928" t="n">
        <v>15.14</v>
      </c>
      <c r="E1928" t="n">
        <v>68189.008</v>
      </c>
      <c r="G1928" t="n">
        <v>1342.261</v>
      </c>
      <c r="H1928" t="inlineStr">
        <is>
          <t>bb</t>
        </is>
      </c>
      <c r="I1928" t="n">
        <v>68189.008</v>
      </c>
    </row>
    <row r="1929">
      <c r="A1929" t="n">
        <v>2</v>
      </c>
      <c r="B1929" t="inlineStr">
        <is>
          <t>EPA1633 &amp; diPAPs Calibration 0.02 ppb</t>
        </is>
      </c>
      <c r="D1929" t="n">
        <v>15.17</v>
      </c>
      <c r="E1929" t="n">
        <v>61484.391</v>
      </c>
      <c r="G1929" t="n">
        <v>628.663</v>
      </c>
      <c r="H1929" t="inlineStr">
        <is>
          <t>bb</t>
        </is>
      </c>
      <c r="I1929" t="n">
        <v>61484.391</v>
      </c>
    </row>
    <row r="1930">
      <c r="A1930" t="n">
        <v>3</v>
      </c>
      <c r="B1930" t="inlineStr">
        <is>
          <t>EPA1633 &amp; diPAPs Calibration 0.1 ppb</t>
        </is>
      </c>
      <c r="D1930" t="n">
        <v>15.17</v>
      </c>
      <c r="E1930" t="n">
        <v>63501.434</v>
      </c>
      <c r="G1930" t="n">
        <v>690.821</v>
      </c>
      <c r="H1930" t="inlineStr">
        <is>
          <t>bb</t>
        </is>
      </c>
      <c r="I1930" t="n">
        <v>63501.434</v>
      </c>
    </row>
    <row r="1931">
      <c r="A1931" t="n">
        <v>4</v>
      </c>
      <c r="B1931" t="inlineStr">
        <is>
          <t>EPA1633 &amp; diPAPs Calibration 0.4 ppb</t>
        </is>
      </c>
      <c r="D1931" t="n">
        <v>15.17</v>
      </c>
      <c r="E1931" t="n">
        <v>57149.977</v>
      </c>
      <c r="G1931" t="n">
        <v>777.888</v>
      </c>
      <c r="H1931" t="inlineStr">
        <is>
          <t>bb</t>
        </is>
      </c>
      <c r="I1931" t="n">
        <v>57149.977</v>
      </c>
    </row>
    <row r="1932">
      <c r="A1932" t="n">
        <v>5</v>
      </c>
      <c r="B1932" t="inlineStr">
        <is>
          <t>EPA1633 &amp; diPAPs Calibration 1 ppb</t>
        </is>
      </c>
      <c r="D1932" t="n">
        <v>15.15</v>
      </c>
      <c r="E1932" t="n">
        <v>71495.45299999999</v>
      </c>
      <c r="G1932" t="n">
        <v>195.842</v>
      </c>
      <c r="H1932" t="inlineStr">
        <is>
          <t>bb</t>
        </is>
      </c>
      <c r="I1932" t="n">
        <v>71495.45299999999</v>
      </c>
    </row>
    <row r="1933">
      <c r="A1933" t="n">
        <v>6</v>
      </c>
      <c r="B1933" t="inlineStr">
        <is>
          <t>EPA1633 &amp; diPAPs Calibration 5 ppb</t>
        </is>
      </c>
      <c r="D1933" t="n">
        <v>15.13</v>
      </c>
      <c r="E1933" t="n">
        <v>55511.488</v>
      </c>
      <c r="G1933" t="n">
        <v>1431.417</v>
      </c>
      <c r="H1933" t="inlineStr">
        <is>
          <t>bb</t>
        </is>
      </c>
      <c r="I1933" t="n">
        <v>55511.488</v>
      </c>
    </row>
    <row r="1934">
      <c r="A1934" t="n">
        <v>7</v>
      </c>
      <c r="B1934" t="inlineStr">
        <is>
          <t>EPA1633 &amp; diPAPs Calibration 10 ppb</t>
        </is>
      </c>
      <c r="D1934" t="n">
        <v>15.13</v>
      </c>
      <c r="E1934" t="n">
        <v>42641.691</v>
      </c>
      <c r="G1934" t="n">
        <v>244.674</v>
      </c>
      <c r="H1934" t="inlineStr">
        <is>
          <t>bb</t>
        </is>
      </c>
      <c r="I1934" t="n">
        <v>42641.691</v>
      </c>
    </row>
    <row r="1935">
      <c r="A1935" t="n">
        <v>8</v>
      </c>
      <c r="B1935" t="inlineStr">
        <is>
          <t>EPA1633 &amp; diPAPs Calibration 20 ppb</t>
        </is>
      </c>
      <c r="D1935" t="n">
        <v>15.15</v>
      </c>
      <c r="E1935" t="n">
        <v>48928.695</v>
      </c>
      <c r="G1935" t="n">
        <v>1156.071</v>
      </c>
      <c r="H1935" t="inlineStr">
        <is>
          <t>bb</t>
        </is>
      </c>
      <c r="I1935" t="n">
        <v>48928.695</v>
      </c>
    </row>
    <row r="1936">
      <c r="A1936" t="n">
        <v>9</v>
      </c>
      <c r="B1936" t="inlineStr">
        <is>
          <t>MeOH</t>
        </is>
      </c>
      <c r="D1936" t="n">
        <v>15.14</v>
      </c>
      <c r="E1936" t="n">
        <v>142.221</v>
      </c>
      <c r="G1936" t="n">
        <v>1202</v>
      </c>
      <c r="H1936" t="inlineStr">
        <is>
          <t>bb</t>
        </is>
      </c>
      <c r="I1936" t="n">
        <v>142.221</v>
      </c>
    </row>
    <row r="1937">
      <c r="A1937" t="n">
        <v>10</v>
      </c>
      <c r="B1937" t="inlineStr">
        <is>
          <t>MeOH</t>
        </is>
      </c>
      <c r="D1937" t="n">
        <v>15.18</v>
      </c>
      <c r="E1937" t="n">
        <v>51.685</v>
      </c>
      <c r="G1937" t="n">
        <v>459</v>
      </c>
      <c r="H1937" t="inlineStr">
        <is>
          <t>bb</t>
        </is>
      </c>
      <c r="I1937" t="n">
        <v>51.685</v>
      </c>
    </row>
    <row r="1938">
      <c r="A1938" t="n">
        <v>11</v>
      </c>
      <c r="B1938" t="inlineStr">
        <is>
          <t>SB1</t>
        </is>
      </c>
      <c r="D1938" t="n">
        <v>15.18</v>
      </c>
      <c r="E1938" t="n">
        <v>23240.385</v>
      </c>
      <c r="G1938" t="n">
        <v>612.9160000000001</v>
      </c>
      <c r="H1938" t="inlineStr">
        <is>
          <t>bb</t>
        </is>
      </c>
      <c r="I1938" t="n">
        <v>23240.385</v>
      </c>
    </row>
    <row r="1939">
      <c r="A1939" t="n">
        <v>12</v>
      </c>
      <c r="B1939" t="inlineStr">
        <is>
          <t>SB2</t>
        </is>
      </c>
      <c r="D1939" t="n">
        <v>15.18</v>
      </c>
      <c r="E1939" t="n">
        <v>20862.051</v>
      </c>
      <c r="G1939" t="n">
        <v>466.954</v>
      </c>
      <c r="H1939" t="inlineStr">
        <is>
          <t>bb</t>
        </is>
      </c>
      <c r="I1939" t="n">
        <v>20862.051</v>
      </c>
    </row>
    <row r="1940">
      <c r="A1940" t="n">
        <v>13</v>
      </c>
      <c r="B1940" t="inlineStr">
        <is>
          <t>SB3</t>
        </is>
      </c>
      <c r="D1940" t="n">
        <v>15.2</v>
      </c>
      <c r="E1940" t="n">
        <v>19219.836</v>
      </c>
      <c r="G1940" t="n">
        <v>839.2430000000001</v>
      </c>
      <c r="H1940" t="inlineStr">
        <is>
          <t>bb</t>
        </is>
      </c>
      <c r="I1940" t="n">
        <v>19219.836</v>
      </c>
    </row>
    <row r="1941">
      <c r="A1941" t="n">
        <v>14</v>
      </c>
      <c r="B1941" t="inlineStr">
        <is>
          <t>SS1</t>
        </is>
      </c>
      <c r="D1941" t="n">
        <v>15.2</v>
      </c>
      <c r="E1941" t="n">
        <v>19767.512</v>
      </c>
      <c r="G1941" t="n">
        <v>252.647</v>
      </c>
      <c r="H1941" t="inlineStr">
        <is>
          <t>bb</t>
        </is>
      </c>
      <c r="I1941" t="n">
        <v>19767.512</v>
      </c>
    </row>
    <row r="1942">
      <c r="A1942" t="n">
        <v>15</v>
      </c>
      <c r="B1942" t="inlineStr">
        <is>
          <t>SS2</t>
        </is>
      </c>
      <c r="D1942" t="n">
        <v>15.23</v>
      </c>
      <c r="E1942" t="n">
        <v>20699.598</v>
      </c>
      <c r="G1942" t="n">
        <v>438.153</v>
      </c>
      <c r="H1942" t="inlineStr">
        <is>
          <t>bb</t>
        </is>
      </c>
      <c r="I1942" t="n">
        <v>20699.598</v>
      </c>
    </row>
    <row r="1943">
      <c r="A1943" t="n">
        <v>16</v>
      </c>
      <c r="B1943" t="inlineStr">
        <is>
          <t>SS3</t>
        </is>
      </c>
      <c r="D1943" t="n">
        <v>15.23</v>
      </c>
      <c r="E1943" t="n">
        <v>17356.738</v>
      </c>
      <c r="G1943" t="n">
        <v>582.908</v>
      </c>
      <c r="H1943" t="inlineStr">
        <is>
          <t>bb</t>
        </is>
      </c>
      <c r="I1943" t="n">
        <v>17356.738</v>
      </c>
    </row>
    <row r="1945">
      <c r="A1945" t="inlineStr">
        <is>
          <t>Compound 98:  PFUDA 1</t>
        </is>
      </c>
    </row>
    <row r="1947">
      <c r="B1947" t="inlineStr">
        <is>
          <t>Sample Text</t>
        </is>
      </c>
      <c r="C1947" t="inlineStr">
        <is>
          <t>Std. Conc</t>
        </is>
      </c>
      <c r="D1947" t="inlineStr">
        <is>
          <t>RT</t>
        </is>
      </c>
      <c r="E1947" t="inlineStr">
        <is>
          <t>Area</t>
        </is>
      </c>
      <c r="F1947" t="inlineStr">
        <is>
          <t>IS Area</t>
        </is>
      </c>
      <c r="G1947" t="inlineStr">
        <is>
          <t>S/N</t>
        </is>
      </c>
      <c r="H1947" t="inlineStr">
        <is>
          <t>Primary Flags</t>
        </is>
      </c>
      <c r="I1947" t="inlineStr">
        <is>
          <t>Response</t>
        </is>
      </c>
      <c r="J1947" t="inlineStr">
        <is>
          <t>Conc.</t>
        </is>
      </c>
    </row>
    <row r="1948">
      <c r="A1948" t="n">
        <v>1</v>
      </c>
      <c r="B1948" t="inlineStr">
        <is>
          <t>EPA1633 &amp; diPAPs Calibration 0 ppb</t>
        </is>
      </c>
      <c r="D1948" t="n">
        <v>14.78</v>
      </c>
      <c r="E1948" t="n">
        <v>176.054</v>
      </c>
      <c r="F1948" t="n">
        <v>818.542</v>
      </c>
      <c r="G1948" t="n">
        <v>6.124</v>
      </c>
      <c r="H1948" t="inlineStr">
        <is>
          <t>bb</t>
        </is>
      </c>
    </row>
    <row r="1949">
      <c r="A1949" t="n">
        <v>2</v>
      </c>
      <c r="B1949" t="inlineStr">
        <is>
          <t>EPA1633 &amp; diPAPs Calibration 0.02 ppb</t>
        </is>
      </c>
      <c r="D1949" t="n">
        <v>14.81</v>
      </c>
      <c r="E1949" t="n">
        <v>138.09</v>
      </c>
      <c r="F1949" t="n">
        <v>878.931</v>
      </c>
      <c r="G1949" t="n">
        <v>5.083</v>
      </c>
      <c r="H1949" t="inlineStr">
        <is>
          <t>bb</t>
        </is>
      </c>
    </row>
    <row r="1950">
      <c r="A1950" t="n">
        <v>3</v>
      </c>
      <c r="B1950" t="inlineStr">
        <is>
          <t>EPA1633 &amp; diPAPs Calibration 0.1 ppb</t>
        </is>
      </c>
      <c r="D1950" t="n">
        <v>14.81</v>
      </c>
      <c r="E1950" t="n">
        <v>149.586</v>
      </c>
      <c r="F1950" t="n">
        <v>947.3</v>
      </c>
      <c r="G1950" t="n">
        <v>1060</v>
      </c>
      <c r="H1950" t="inlineStr">
        <is>
          <t>bb</t>
        </is>
      </c>
    </row>
    <row r="1951">
      <c r="A1951" t="n">
        <v>4</v>
      </c>
      <c r="B1951" t="inlineStr">
        <is>
          <t>EPA1633 &amp; diPAPs Calibration 0.4 ppb</t>
        </is>
      </c>
      <c r="D1951" t="n">
        <v>14.84</v>
      </c>
      <c r="E1951" t="n">
        <v>556.372</v>
      </c>
      <c r="F1951" t="n">
        <v>785.4690000000001</v>
      </c>
      <c r="G1951" t="n">
        <v>2.859</v>
      </c>
      <c r="H1951" t="inlineStr">
        <is>
          <t>MM</t>
        </is>
      </c>
    </row>
    <row r="1952">
      <c r="A1952" t="n">
        <v>5</v>
      </c>
      <c r="B1952" t="inlineStr">
        <is>
          <t>EPA1633 &amp; diPAPs Calibration 1 ppb</t>
        </is>
      </c>
      <c r="D1952" t="n">
        <v>14.8</v>
      </c>
      <c r="E1952" t="n">
        <v>854.277</v>
      </c>
      <c r="F1952" t="n">
        <v>1347.024</v>
      </c>
      <c r="G1952" t="n">
        <v>20.524</v>
      </c>
      <c r="H1952" t="inlineStr">
        <is>
          <t>bb</t>
        </is>
      </c>
    </row>
    <row r="1953">
      <c r="A1953" t="n">
        <v>6</v>
      </c>
      <c r="B1953" t="inlineStr">
        <is>
          <t>EPA1633 &amp; diPAPs Calibration 5 ppb</t>
        </is>
      </c>
      <c r="D1953" t="n">
        <v>14.77</v>
      </c>
      <c r="E1953" t="n">
        <v>2860.832</v>
      </c>
      <c r="F1953" t="n">
        <v>950.485</v>
      </c>
      <c r="G1953" t="n">
        <v>17855</v>
      </c>
      <c r="H1953" t="inlineStr">
        <is>
          <t>bb</t>
        </is>
      </c>
    </row>
    <row r="1954">
      <c r="A1954" t="n">
        <v>7</v>
      </c>
      <c r="B1954" t="inlineStr">
        <is>
          <t>EPA1633 &amp; diPAPs Calibration 10 ppb</t>
        </is>
      </c>
      <c r="D1954" t="n">
        <v>14.78</v>
      </c>
      <c r="E1954" t="n">
        <v>5530.637</v>
      </c>
      <c r="F1954" t="n">
        <v>675.6130000000001</v>
      </c>
      <c r="G1954" t="n">
        <v>31.346</v>
      </c>
      <c r="H1954" t="inlineStr">
        <is>
          <t>bb</t>
        </is>
      </c>
    </row>
    <row r="1955">
      <c r="A1955" t="n">
        <v>8</v>
      </c>
      <c r="B1955" t="inlineStr">
        <is>
          <t>EPA1633 &amp; diPAPs Calibration 20 ppb</t>
        </is>
      </c>
      <c r="D1955" t="n">
        <v>14.8</v>
      </c>
      <c r="E1955" t="n">
        <v>12096.596</v>
      </c>
      <c r="F1955" t="n">
        <v>669.518</v>
      </c>
      <c r="G1955" t="n">
        <v>295.236</v>
      </c>
      <c r="H1955" t="inlineStr">
        <is>
          <t>bb</t>
        </is>
      </c>
    </row>
    <row r="1956">
      <c r="A1956" t="n">
        <v>9</v>
      </c>
      <c r="B1956" t="inlineStr">
        <is>
          <t>MeOH</t>
        </is>
      </c>
      <c r="D1956" t="n">
        <v>14.83</v>
      </c>
      <c r="E1956" t="n">
        <v>67.35599999999999</v>
      </c>
      <c r="G1956" t="n">
        <v>456</v>
      </c>
      <c r="H1956" t="inlineStr">
        <is>
          <t>bb</t>
        </is>
      </c>
    </row>
    <row r="1957">
      <c r="A1957" t="n">
        <v>10</v>
      </c>
      <c r="B1957" t="inlineStr">
        <is>
          <t>MeOH</t>
        </is>
      </c>
      <c r="D1957" t="n">
        <v>14.97</v>
      </c>
      <c r="E1957" t="n">
        <v>56.265</v>
      </c>
      <c r="G1957" t="n">
        <v>345</v>
      </c>
      <c r="H1957" t="inlineStr">
        <is>
          <t>bb</t>
        </is>
      </c>
    </row>
    <row r="1958">
      <c r="A1958" t="n">
        <v>11</v>
      </c>
      <c r="B1958" t="inlineStr">
        <is>
          <t>SB1</t>
        </is>
      </c>
      <c r="D1958" t="n">
        <v>14.81</v>
      </c>
      <c r="E1958" t="n">
        <v>871.876</v>
      </c>
      <c r="F1958" t="n">
        <v>454.851</v>
      </c>
      <c r="G1958" t="n">
        <v>68.051</v>
      </c>
      <c r="H1958" t="inlineStr">
        <is>
          <t>bb</t>
        </is>
      </c>
    </row>
    <row r="1959">
      <c r="A1959" t="n">
        <v>12</v>
      </c>
      <c r="B1959" t="inlineStr">
        <is>
          <t>SB2</t>
        </is>
      </c>
      <c r="D1959" t="n">
        <v>14.83</v>
      </c>
      <c r="E1959" t="n">
        <v>58.474</v>
      </c>
      <c r="F1959" t="n">
        <v>327.91</v>
      </c>
      <c r="G1959" t="n">
        <v>368</v>
      </c>
      <c r="H1959" t="inlineStr">
        <is>
          <t>bb</t>
        </is>
      </c>
    </row>
    <row r="1960">
      <c r="A1960" t="n">
        <v>13</v>
      </c>
      <c r="B1960" t="inlineStr">
        <is>
          <t>SB3</t>
        </is>
      </c>
      <c r="D1960" t="n">
        <v>14.91</v>
      </c>
      <c r="E1960" t="n">
        <v>107.296</v>
      </c>
      <c r="F1960" t="n">
        <v>222.426</v>
      </c>
      <c r="G1960" t="n">
        <v>8.166</v>
      </c>
      <c r="H1960" t="inlineStr">
        <is>
          <t>bb</t>
        </is>
      </c>
    </row>
    <row r="1961">
      <c r="A1961" t="n">
        <v>14</v>
      </c>
      <c r="B1961" t="inlineStr">
        <is>
          <t>SS1</t>
        </is>
      </c>
      <c r="D1961" t="n">
        <v>14.84</v>
      </c>
      <c r="E1961" t="n">
        <v>2915.842</v>
      </c>
      <c r="F1961" t="n">
        <v>226.192</v>
      </c>
      <c r="G1961" t="n">
        <v>16.713</v>
      </c>
      <c r="H1961" t="inlineStr">
        <is>
          <t>MM</t>
        </is>
      </c>
    </row>
    <row r="1962">
      <c r="A1962" t="n">
        <v>15</v>
      </c>
      <c r="B1962" t="inlineStr">
        <is>
          <t>SS2</t>
        </is>
      </c>
      <c r="D1962" t="n">
        <v>14.88</v>
      </c>
      <c r="E1962" t="n">
        <v>2162.63</v>
      </c>
      <c r="F1962" t="n">
        <v>314.009</v>
      </c>
      <c r="G1962" t="n">
        <v>14188</v>
      </c>
      <c r="H1962" t="inlineStr">
        <is>
          <t>bb</t>
        </is>
      </c>
    </row>
    <row r="1963">
      <c r="A1963" t="n">
        <v>16</v>
      </c>
      <c r="B1963" t="inlineStr">
        <is>
          <t>SS3</t>
        </is>
      </c>
      <c r="D1963" t="n">
        <v>14.88</v>
      </c>
      <c r="E1963" t="n">
        <v>2602.307</v>
      </c>
      <c r="F1963" t="n">
        <v>235.115</v>
      </c>
      <c r="G1963" t="n">
        <v>59.633</v>
      </c>
      <c r="H1963" t="inlineStr">
        <is>
          <t>bb</t>
        </is>
      </c>
    </row>
    <row r="1965">
      <c r="A1965" t="inlineStr">
        <is>
          <t>Compound 99:  PFUDA 2</t>
        </is>
      </c>
    </row>
    <row r="1967">
      <c r="B1967" t="inlineStr">
        <is>
          <t>Sample Text</t>
        </is>
      </c>
      <c r="C1967" t="inlineStr">
        <is>
          <t>Std. Conc</t>
        </is>
      </c>
      <c r="D1967" t="inlineStr">
        <is>
          <t>RT</t>
        </is>
      </c>
      <c r="E1967" t="inlineStr">
        <is>
          <t>Area</t>
        </is>
      </c>
      <c r="F1967" t="inlineStr">
        <is>
          <t>IS Area</t>
        </is>
      </c>
      <c r="G1967" t="inlineStr">
        <is>
          <t>S/N</t>
        </is>
      </c>
      <c r="H1967" t="inlineStr">
        <is>
          <t>Primary Flags</t>
        </is>
      </c>
      <c r="I1967" t="inlineStr">
        <is>
          <t>Response</t>
        </is>
      </c>
      <c r="J1967" t="inlineStr">
        <is>
          <t>Conc.</t>
        </is>
      </c>
    </row>
    <row r="1968">
      <c r="A1968" t="n">
        <v>1</v>
      </c>
      <c r="B1968" t="inlineStr">
        <is>
          <t>EPA1633 &amp; diPAPs Calibration 0 ppb</t>
        </is>
      </c>
      <c r="D1968" t="n">
        <v>14.63</v>
      </c>
      <c r="E1968" t="n">
        <v>28.295</v>
      </c>
      <c r="F1968" t="n">
        <v>818.542</v>
      </c>
      <c r="G1968" t="n">
        <v>1.739</v>
      </c>
      <c r="H1968" t="inlineStr">
        <is>
          <t>MM</t>
        </is>
      </c>
    </row>
    <row r="1969">
      <c r="A1969" t="n">
        <v>2</v>
      </c>
      <c r="B1969" t="inlineStr">
        <is>
          <t>EPA1633 &amp; diPAPs Calibration 0.02 ppb</t>
        </is>
      </c>
      <c r="D1969" t="n">
        <v>14.83</v>
      </c>
      <c r="E1969" t="n">
        <v>126.513</v>
      </c>
      <c r="F1969" t="n">
        <v>878.931</v>
      </c>
      <c r="G1969" t="n">
        <v>1.724</v>
      </c>
      <c r="H1969" t="inlineStr">
        <is>
          <t>MM</t>
        </is>
      </c>
    </row>
    <row r="1970">
      <c r="A1970" t="n">
        <v>3</v>
      </c>
      <c r="B1970" t="inlineStr">
        <is>
          <t>EPA1633 &amp; diPAPs Calibration 0.1 ppb</t>
        </is>
      </c>
      <c r="D1970" t="n">
        <v>15.03</v>
      </c>
      <c r="E1970" t="n">
        <v>25.109</v>
      </c>
      <c r="F1970" t="n">
        <v>947.3</v>
      </c>
      <c r="G1970" t="n">
        <v>118</v>
      </c>
      <c r="H1970" t="inlineStr">
        <is>
          <t>bb</t>
        </is>
      </c>
    </row>
    <row r="1971">
      <c r="A1971" t="n">
        <v>4</v>
      </c>
      <c r="B1971" t="inlineStr">
        <is>
          <t>EPA1633 &amp; diPAPs Calibration 0.4 ppb</t>
        </is>
      </c>
      <c r="D1971" t="n">
        <v>14.81</v>
      </c>
      <c r="E1971" t="n">
        <v>371.859</v>
      </c>
      <c r="F1971" t="n">
        <v>785.4690000000001</v>
      </c>
      <c r="G1971" t="n">
        <v>2.064</v>
      </c>
      <c r="H1971" t="inlineStr">
        <is>
          <t>bb</t>
        </is>
      </c>
    </row>
    <row r="1972">
      <c r="A1972" t="n">
        <v>5</v>
      </c>
      <c r="B1972" t="inlineStr">
        <is>
          <t>EPA1633 &amp; diPAPs Calibration 1 ppb</t>
        </is>
      </c>
      <c r="D1972" t="n">
        <v>14.83</v>
      </c>
      <c r="E1972" t="n">
        <v>375.427</v>
      </c>
      <c r="F1972" t="n">
        <v>1347.024</v>
      </c>
      <c r="G1972" t="n">
        <v>11.152</v>
      </c>
      <c r="H1972" t="inlineStr">
        <is>
          <t>bb</t>
        </is>
      </c>
    </row>
    <row r="1973">
      <c r="A1973" t="n">
        <v>6</v>
      </c>
      <c r="B1973" t="inlineStr">
        <is>
          <t>EPA1633 &amp; diPAPs Calibration 5 ppb</t>
        </is>
      </c>
      <c r="D1973" t="n">
        <v>14.77</v>
      </c>
      <c r="E1973" t="n">
        <v>1476.362</v>
      </c>
      <c r="F1973" t="n">
        <v>950.485</v>
      </c>
      <c r="G1973" t="n">
        <v>204.549</v>
      </c>
      <c r="H1973" t="inlineStr">
        <is>
          <t>bb</t>
        </is>
      </c>
    </row>
    <row r="1974">
      <c r="A1974" t="n">
        <v>7</v>
      </c>
      <c r="B1974" t="inlineStr">
        <is>
          <t>EPA1633 &amp; diPAPs Calibration 10 ppb</t>
        </is>
      </c>
      <c r="D1974" t="n">
        <v>14.78</v>
      </c>
      <c r="E1974" t="n">
        <v>2202.811</v>
      </c>
      <c r="F1974" t="n">
        <v>675.6130000000001</v>
      </c>
      <c r="G1974" t="n">
        <v>49.716</v>
      </c>
      <c r="H1974" t="inlineStr">
        <is>
          <t>bb</t>
        </is>
      </c>
    </row>
    <row r="1975">
      <c r="A1975" t="n">
        <v>8</v>
      </c>
      <c r="B1975" t="inlineStr">
        <is>
          <t>EPA1633 &amp; diPAPs Calibration 20 ppb</t>
        </is>
      </c>
      <c r="D1975" t="n">
        <v>14.8</v>
      </c>
      <c r="E1975" t="n">
        <v>5618.151</v>
      </c>
      <c r="F1975" t="n">
        <v>669.518</v>
      </c>
      <c r="G1975" t="n">
        <v>37914</v>
      </c>
      <c r="H1975" t="inlineStr">
        <is>
          <t>bb</t>
        </is>
      </c>
    </row>
    <row r="1976">
      <c r="A1976" t="n">
        <v>9</v>
      </c>
      <c r="B1976" t="inlineStr">
        <is>
          <t>MeOH</t>
        </is>
      </c>
      <c r="D1976" t="n">
        <v>14.86</v>
      </c>
      <c r="E1976" t="n">
        <v>66.559</v>
      </c>
      <c r="G1976" t="n">
        <v>1.386</v>
      </c>
      <c r="H1976" t="inlineStr">
        <is>
          <t>bb</t>
        </is>
      </c>
    </row>
    <row r="1977">
      <c r="A1977" t="n">
        <v>10</v>
      </c>
      <c r="B1977" t="inlineStr">
        <is>
          <t>MeOH</t>
        </is>
      </c>
      <c r="D1977" t="n">
        <v>14.83</v>
      </c>
      <c r="E1977" t="n">
        <v>25.604</v>
      </c>
      <c r="G1977" t="n">
        <v>216</v>
      </c>
      <c r="H1977" t="inlineStr">
        <is>
          <t>bb</t>
        </is>
      </c>
    </row>
    <row r="1978">
      <c r="A1978" t="n">
        <v>11</v>
      </c>
      <c r="B1978" t="inlineStr">
        <is>
          <t>SB1</t>
        </is>
      </c>
      <c r="D1978" t="n">
        <v>14.81</v>
      </c>
      <c r="E1978" t="n">
        <v>514.957</v>
      </c>
      <c r="F1978" t="n">
        <v>454.851</v>
      </c>
      <c r="G1978" t="n">
        <v>15.381</v>
      </c>
      <c r="H1978" t="inlineStr">
        <is>
          <t>bb</t>
        </is>
      </c>
    </row>
    <row r="1979">
      <c r="A1979" t="n">
        <v>12</v>
      </c>
      <c r="B1979" t="inlineStr">
        <is>
          <t>SB2</t>
        </is>
      </c>
      <c r="D1979" t="n">
        <v>14.7</v>
      </c>
      <c r="E1979" t="n">
        <v>28.093</v>
      </c>
      <c r="F1979" t="n">
        <v>327.91</v>
      </c>
      <c r="G1979" t="n">
        <v>18.657</v>
      </c>
      <c r="H1979" t="inlineStr">
        <is>
          <t>bb</t>
        </is>
      </c>
    </row>
    <row r="1980">
      <c r="A1980" t="n">
        <v>13</v>
      </c>
      <c r="B1980" t="inlineStr">
        <is>
          <t>SB3</t>
        </is>
      </c>
      <c r="D1980" t="n">
        <v>14.8</v>
      </c>
      <c r="E1980" t="n">
        <v>11.499</v>
      </c>
      <c r="F1980" t="n">
        <v>222.426</v>
      </c>
      <c r="G1980" t="n">
        <v>0.259</v>
      </c>
      <c r="H1980" t="inlineStr">
        <is>
          <t>bb</t>
        </is>
      </c>
    </row>
    <row r="1981">
      <c r="A1981" t="n">
        <v>14</v>
      </c>
      <c r="B1981" t="inlineStr">
        <is>
          <t>SS1</t>
        </is>
      </c>
      <c r="D1981" t="n">
        <v>14.86</v>
      </c>
      <c r="E1981" t="n">
        <v>1160.906</v>
      </c>
      <c r="F1981" t="n">
        <v>226.192</v>
      </c>
      <c r="G1981" t="n">
        <v>25.938</v>
      </c>
      <c r="H1981" t="inlineStr">
        <is>
          <t>bb</t>
        </is>
      </c>
    </row>
    <row r="1982">
      <c r="A1982" t="n">
        <v>15</v>
      </c>
      <c r="B1982" t="inlineStr">
        <is>
          <t>SS2</t>
        </is>
      </c>
      <c r="D1982" t="n">
        <v>14.88</v>
      </c>
      <c r="E1982" t="n">
        <v>979.415</v>
      </c>
      <c r="F1982" t="n">
        <v>314.009</v>
      </c>
      <c r="G1982" t="n">
        <v>95.30800000000001</v>
      </c>
      <c r="H1982" t="inlineStr">
        <is>
          <t>bb</t>
        </is>
      </c>
    </row>
    <row r="1983">
      <c r="A1983" t="n">
        <v>16</v>
      </c>
      <c r="B1983" t="inlineStr">
        <is>
          <t>SS3</t>
        </is>
      </c>
      <c r="D1983" t="n">
        <v>14.91</v>
      </c>
      <c r="E1983" t="n">
        <v>479.216</v>
      </c>
      <c r="F1983" t="n">
        <v>235.115</v>
      </c>
      <c r="G1983" t="n">
        <v>15.261</v>
      </c>
      <c r="H1983" t="inlineStr">
        <is>
          <t>bb</t>
        </is>
      </c>
    </row>
    <row r="1985">
      <c r="A1985" t="inlineStr">
        <is>
          <t>Compound 100:  m7 PFUDA 1</t>
        </is>
      </c>
    </row>
    <row r="1987">
      <c r="B1987" t="inlineStr">
        <is>
          <t>Sample Text</t>
        </is>
      </c>
      <c r="C1987" t="inlineStr">
        <is>
          <t>Std. Conc</t>
        </is>
      </c>
      <c r="D1987" t="inlineStr">
        <is>
          <t>RT</t>
        </is>
      </c>
      <c r="E1987" t="inlineStr">
        <is>
          <t>Area</t>
        </is>
      </c>
      <c r="F1987" t="inlineStr">
        <is>
          <t>IS Area</t>
        </is>
      </c>
      <c r="G1987" t="inlineStr">
        <is>
          <t>S/N</t>
        </is>
      </c>
      <c r="H1987" t="inlineStr">
        <is>
          <t>Primary Flags</t>
        </is>
      </c>
      <c r="I1987" t="inlineStr">
        <is>
          <t>Response</t>
        </is>
      </c>
      <c r="J1987" t="inlineStr">
        <is>
          <t>Conc.</t>
        </is>
      </c>
    </row>
    <row r="1988">
      <c r="A1988" t="n">
        <v>1</v>
      </c>
      <c r="B1988" t="inlineStr">
        <is>
          <t>EPA1633 &amp; diPAPs Calibration 0 ppb</t>
        </is>
      </c>
      <c r="D1988" t="n">
        <v>14.78</v>
      </c>
      <c r="E1988" t="n">
        <v>818.542</v>
      </c>
      <c r="G1988" t="n">
        <v>28.517</v>
      </c>
      <c r="H1988" t="inlineStr">
        <is>
          <t>bb</t>
        </is>
      </c>
      <c r="I1988" t="n">
        <v>818.542</v>
      </c>
    </row>
    <row r="1989">
      <c r="A1989" t="n">
        <v>2</v>
      </c>
      <c r="B1989" t="inlineStr">
        <is>
          <t>EPA1633 &amp; diPAPs Calibration 0.02 ppb</t>
        </is>
      </c>
      <c r="D1989" t="n">
        <v>14.81</v>
      </c>
      <c r="E1989" t="n">
        <v>878.931</v>
      </c>
      <c r="G1989" t="n">
        <v>12.277</v>
      </c>
      <c r="H1989" t="inlineStr">
        <is>
          <t>bb</t>
        </is>
      </c>
      <c r="I1989" t="n">
        <v>878.931</v>
      </c>
    </row>
    <row r="1990">
      <c r="A1990" t="n">
        <v>3</v>
      </c>
      <c r="B1990" t="inlineStr">
        <is>
          <t>EPA1633 &amp; diPAPs Calibration 0.1 ppb</t>
        </is>
      </c>
      <c r="D1990" t="n">
        <v>14.83</v>
      </c>
      <c r="E1990" t="n">
        <v>947.3</v>
      </c>
      <c r="G1990" t="n">
        <v>41.297</v>
      </c>
      <c r="H1990" t="inlineStr">
        <is>
          <t>bb</t>
        </is>
      </c>
      <c r="I1990" t="n">
        <v>947.3</v>
      </c>
    </row>
    <row r="1991">
      <c r="A1991" t="n">
        <v>4</v>
      </c>
      <c r="B1991" t="inlineStr">
        <is>
          <t>EPA1633 &amp; diPAPs Calibration 0.4 ppb</t>
        </is>
      </c>
      <c r="D1991" t="n">
        <v>14.83</v>
      </c>
      <c r="E1991" t="n">
        <v>785.4690000000001</v>
      </c>
      <c r="G1991" t="n">
        <v>4.764</v>
      </c>
      <c r="H1991" t="inlineStr">
        <is>
          <t>bb</t>
        </is>
      </c>
      <c r="I1991" t="n">
        <v>785.4690000000001</v>
      </c>
    </row>
    <row r="1992">
      <c r="A1992" t="n">
        <v>5</v>
      </c>
      <c r="B1992" t="inlineStr">
        <is>
          <t>EPA1633 &amp; diPAPs Calibration 1 ppb</t>
        </is>
      </c>
      <c r="D1992" t="n">
        <v>14.81</v>
      </c>
      <c r="E1992" t="n">
        <v>1347.024</v>
      </c>
      <c r="G1992" t="n">
        <v>2.002</v>
      </c>
      <c r="H1992" t="inlineStr">
        <is>
          <t>bb</t>
        </is>
      </c>
      <c r="I1992" t="n">
        <v>1347.024</v>
      </c>
    </row>
    <row r="1993">
      <c r="A1993" t="n">
        <v>6</v>
      </c>
      <c r="B1993" t="inlineStr">
        <is>
          <t>EPA1633 &amp; diPAPs Calibration 5 ppb</t>
        </is>
      </c>
      <c r="D1993" t="n">
        <v>14.77</v>
      </c>
      <c r="E1993" t="n">
        <v>950.485</v>
      </c>
      <c r="G1993" t="n">
        <v>13.145</v>
      </c>
      <c r="H1993" t="inlineStr">
        <is>
          <t>bb</t>
        </is>
      </c>
      <c r="I1993" t="n">
        <v>950.485</v>
      </c>
    </row>
    <row r="1994">
      <c r="A1994" t="n">
        <v>7</v>
      </c>
      <c r="B1994" t="inlineStr">
        <is>
          <t>EPA1633 &amp; diPAPs Calibration 10 ppb</t>
        </is>
      </c>
      <c r="D1994" t="n">
        <v>14.77</v>
      </c>
      <c r="E1994" t="n">
        <v>675.6130000000001</v>
      </c>
      <c r="G1994" t="n">
        <v>4747</v>
      </c>
      <c r="H1994" t="inlineStr">
        <is>
          <t>bb</t>
        </is>
      </c>
      <c r="I1994" t="n">
        <v>675.6130000000001</v>
      </c>
    </row>
    <row r="1995">
      <c r="A1995" t="n">
        <v>8</v>
      </c>
      <c r="B1995" t="inlineStr">
        <is>
          <t>EPA1633 &amp; diPAPs Calibration 20 ppb</t>
        </is>
      </c>
      <c r="D1995" t="n">
        <v>14.8</v>
      </c>
      <c r="E1995" t="n">
        <v>669.518</v>
      </c>
      <c r="G1995" t="n">
        <v>4.228</v>
      </c>
      <c r="H1995" t="inlineStr">
        <is>
          <t>bb</t>
        </is>
      </c>
      <c r="I1995" t="n">
        <v>669.518</v>
      </c>
    </row>
    <row r="1996">
      <c r="A1996" t="n">
        <v>9</v>
      </c>
      <c r="B1996" t="inlineStr">
        <is>
          <t>MeOH</t>
        </is>
      </c>
    </row>
    <row r="1997">
      <c r="A1997" t="n">
        <v>10</v>
      </c>
      <c r="B1997" t="inlineStr">
        <is>
          <t>MeOH</t>
        </is>
      </c>
    </row>
    <row r="1998">
      <c r="A1998" t="n">
        <v>11</v>
      </c>
      <c r="B1998" t="inlineStr">
        <is>
          <t>SB1</t>
        </is>
      </c>
      <c r="D1998" t="n">
        <v>14.83</v>
      </c>
      <c r="E1998" t="n">
        <v>454.851</v>
      </c>
      <c r="G1998" t="n">
        <v>5.863</v>
      </c>
      <c r="H1998" t="inlineStr">
        <is>
          <t>bb</t>
        </is>
      </c>
      <c r="I1998" t="n">
        <v>454.851</v>
      </c>
    </row>
    <row r="1999">
      <c r="A1999" t="n">
        <v>12</v>
      </c>
      <c r="B1999" t="inlineStr">
        <is>
          <t>SB2</t>
        </is>
      </c>
      <c r="D1999" t="n">
        <v>14.83</v>
      </c>
      <c r="E1999" t="n">
        <v>327.91</v>
      </c>
      <c r="G1999" t="n">
        <v>34.179</v>
      </c>
      <c r="H1999" t="inlineStr">
        <is>
          <t>bb</t>
        </is>
      </c>
      <c r="I1999" t="n">
        <v>327.91</v>
      </c>
    </row>
    <row r="2000">
      <c r="A2000" t="n">
        <v>13</v>
      </c>
      <c r="B2000" t="inlineStr">
        <is>
          <t>SB3</t>
        </is>
      </c>
      <c r="D2000" t="n">
        <v>14.84</v>
      </c>
      <c r="E2000" t="n">
        <v>222.426</v>
      </c>
      <c r="G2000" t="n">
        <v>3.05</v>
      </c>
      <c r="H2000" t="inlineStr">
        <is>
          <t>bb</t>
        </is>
      </c>
      <c r="I2000" t="n">
        <v>222.426</v>
      </c>
    </row>
    <row r="2001">
      <c r="A2001" t="n">
        <v>14</v>
      </c>
      <c r="B2001" t="inlineStr">
        <is>
          <t>SS1</t>
        </is>
      </c>
      <c r="D2001" t="n">
        <v>14.83</v>
      </c>
      <c r="E2001" t="n">
        <v>226.192</v>
      </c>
      <c r="G2001" t="n">
        <v>1.648</v>
      </c>
      <c r="H2001" t="inlineStr">
        <is>
          <t>bb</t>
        </is>
      </c>
      <c r="I2001" t="n">
        <v>226.192</v>
      </c>
    </row>
    <row r="2002">
      <c r="A2002" t="n">
        <v>15</v>
      </c>
      <c r="B2002" t="inlineStr">
        <is>
          <t>SS2</t>
        </is>
      </c>
      <c r="D2002" t="n">
        <v>14.88</v>
      </c>
      <c r="E2002" t="n">
        <v>314.009</v>
      </c>
      <c r="G2002" t="n">
        <v>10.427</v>
      </c>
      <c r="H2002" t="inlineStr">
        <is>
          <t>bb</t>
        </is>
      </c>
      <c r="I2002" t="n">
        <v>314.009</v>
      </c>
    </row>
    <row r="2003">
      <c r="A2003" t="n">
        <v>16</v>
      </c>
      <c r="B2003" t="inlineStr">
        <is>
          <t>SS3</t>
        </is>
      </c>
      <c r="D2003" t="n">
        <v>14.88</v>
      </c>
      <c r="E2003" t="n">
        <v>235.115</v>
      </c>
      <c r="G2003" t="n">
        <v>3.405</v>
      </c>
      <c r="H2003" t="inlineStr">
        <is>
          <t>bb</t>
        </is>
      </c>
      <c r="I2003" t="n">
        <v>235.115</v>
      </c>
    </row>
    <row r="2005">
      <c r="A2005" t="inlineStr">
        <is>
          <t>Compound 101:  m7 PFUDA 2</t>
        </is>
      </c>
    </row>
    <row r="2007">
      <c r="B2007" t="inlineStr">
        <is>
          <t>Sample Text</t>
        </is>
      </c>
      <c r="C2007" t="inlineStr">
        <is>
          <t>Std. Conc</t>
        </is>
      </c>
      <c r="D2007" t="inlineStr">
        <is>
          <t>RT</t>
        </is>
      </c>
      <c r="E2007" t="inlineStr">
        <is>
          <t>Area</t>
        </is>
      </c>
      <c r="F2007" t="inlineStr">
        <is>
          <t>IS Area</t>
        </is>
      </c>
      <c r="G2007" t="inlineStr">
        <is>
          <t>S/N</t>
        </is>
      </c>
      <c r="H2007" t="inlineStr">
        <is>
          <t>Primary Flags</t>
        </is>
      </c>
      <c r="I2007" t="inlineStr">
        <is>
          <t>Response</t>
        </is>
      </c>
      <c r="J2007" t="inlineStr">
        <is>
          <t>Conc.</t>
        </is>
      </c>
    </row>
    <row r="2008">
      <c r="A2008" t="n">
        <v>1</v>
      </c>
      <c r="B2008" t="inlineStr">
        <is>
          <t>EPA1633 &amp; diPAPs Calibration 0 ppb</t>
        </is>
      </c>
      <c r="D2008" t="n">
        <v>14.78</v>
      </c>
      <c r="E2008" t="n">
        <v>1074.467</v>
      </c>
      <c r="G2008" t="n">
        <v>7134</v>
      </c>
      <c r="H2008" t="inlineStr">
        <is>
          <t>bb</t>
        </is>
      </c>
      <c r="I2008" t="n">
        <v>1074.467</v>
      </c>
    </row>
    <row r="2009">
      <c r="A2009" t="n">
        <v>2</v>
      </c>
      <c r="B2009" t="inlineStr">
        <is>
          <t>EPA1633 &amp; diPAPs Calibration 0.02 ppb</t>
        </is>
      </c>
      <c r="D2009" t="n">
        <v>14.83</v>
      </c>
      <c r="E2009" t="n">
        <v>414.73</v>
      </c>
      <c r="G2009" t="n">
        <v>2766</v>
      </c>
      <c r="H2009" t="inlineStr">
        <is>
          <t>bb</t>
        </is>
      </c>
      <c r="I2009" t="n">
        <v>414.73</v>
      </c>
    </row>
    <row r="2010">
      <c r="A2010" t="n">
        <v>3</v>
      </c>
      <c r="B2010" t="inlineStr">
        <is>
          <t>EPA1633 &amp; diPAPs Calibration 0.1 ppb</t>
        </is>
      </c>
      <c r="D2010" t="n">
        <v>14.81</v>
      </c>
      <c r="E2010" t="n">
        <v>826.698</v>
      </c>
      <c r="G2010" t="n">
        <v>13.784</v>
      </c>
      <c r="H2010" t="inlineStr">
        <is>
          <t>bb</t>
        </is>
      </c>
      <c r="I2010" t="n">
        <v>826.698</v>
      </c>
    </row>
    <row r="2011">
      <c r="A2011" t="n">
        <v>4</v>
      </c>
      <c r="B2011" t="inlineStr">
        <is>
          <t>EPA1633 &amp; diPAPs Calibration 0.4 ppb</t>
        </is>
      </c>
      <c r="D2011" t="n">
        <v>14.81</v>
      </c>
      <c r="E2011" t="n">
        <v>716.3819999999999</v>
      </c>
      <c r="G2011" t="n">
        <v>12.672</v>
      </c>
      <c r="H2011" t="inlineStr">
        <is>
          <t>bb</t>
        </is>
      </c>
      <c r="I2011" t="n">
        <v>716.3819999999999</v>
      </c>
    </row>
    <row r="2012">
      <c r="A2012" t="n">
        <v>5</v>
      </c>
      <c r="B2012" t="inlineStr">
        <is>
          <t>EPA1633 &amp; diPAPs Calibration 1 ppb</t>
        </is>
      </c>
      <c r="D2012" t="n">
        <v>14.8</v>
      </c>
      <c r="E2012" t="n">
        <v>1114.145</v>
      </c>
      <c r="G2012" t="n">
        <v>8148</v>
      </c>
      <c r="H2012" t="inlineStr">
        <is>
          <t>bb</t>
        </is>
      </c>
      <c r="I2012" t="n">
        <v>1114.145</v>
      </c>
    </row>
    <row r="2013">
      <c r="A2013" t="n">
        <v>6</v>
      </c>
      <c r="B2013" t="inlineStr">
        <is>
          <t>EPA1633 &amp; diPAPs Calibration 5 ppb</t>
        </is>
      </c>
      <c r="D2013" t="n">
        <v>14.77</v>
      </c>
      <c r="E2013" t="n">
        <v>655.242</v>
      </c>
      <c r="G2013" t="n">
        <v>4505</v>
      </c>
      <c r="H2013" t="inlineStr">
        <is>
          <t>bb</t>
        </is>
      </c>
      <c r="I2013" t="n">
        <v>655.242</v>
      </c>
    </row>
    <row r="2014">
      <c r="A2014" t="n">
        <v>7</v>
      </c>
      <c r="B2014" t="inlineStr">
        <is>
          <t>EPA1633 &amp; diPAPs Calibration 10 ppb</t>
        </is>
      </c>
      <c r="D2014" t="n">
        <v>14.78</v>
      </c>
      <c r="E2014" t="n">
        <v>281.267</v>
      </c>
      <c r="G2014" t="n">
        <v>8.347</v>
      </c>
      <c r="H2014" t="inlineStr">
        <is>
          <t>bb</t>
        </is>
      </c>
      <c r="I2014" t="n">
        <v>281.267</v>
      </c>
    </row>
    <row r="2015">
      <c r="A2015" t="n">
        <v>8</v>
      </c>
      <c r="B2015" t="inlineStr">
        <is>
          <t>EPA1633 &amp; diPAPs Calibration 20 ppb</t>
        </is>
      </c>
      <c r="D2015" t="n">
        <v>14.8</v>
      </c>
      <c r="E2015" t="n">
        <v>590.654</v>
      </c>
      <c r="G2015" t="n">
        <v>3923</v>
      </c>
      <c r="H2015" t="inlineStr">
        <is>
          <t>bb</t>
        </is>
      </c>
      <c r="I2015" t="n">
        <v>590.654</v>
      </c>
    </row>
    <row r="2016">
      <c r="A2016" t="n">
        <v>9</v>
      </c>
      <c r="B2016" t="inlineStr">
        <is>
          <t>MeOH</t>
        </is>
      </c>
    </row>
    <row r="2017">
      <c r="A2017" t="n">
        <v>10</v>
      </c>
      <c r="B2017" t="inlineStr">
        <is>
          <t>MeOH</t>
        </is>
      </c>
    </row>
    <row r="2018">
      <c r="A2018" t="n">
        <v>11</v>
      </c>
      <c r="B2018" t="inlineStr">
        <is>
          <t>SB1</t>
        </is>
      </c>
      <c r="D2018" t="n">
        <v>14.81</v>
      </c>
      <c r="E2018" t="n">
        <v>211.395</v>
      </c>
      <c r="G2018" t="n">
        <v>1493</v>
      </c>
      <c r="H2018" t="inlineStr">
        <is>
          <t>bb</t>
        </is>
      </c>
      <c r="I2018" t="n">
        <v>211.395</v>
      </c>
    </row>
    <row r="2019">
      <c r="A2019" t="n">
        <v>12</v>
      </c>
      <c r="B2019" t="inlineStr">
        <is>
          <t>SB2</t>
        </is>
      </c>
      <c r="D2019" t="n">
        <v>14.84</v>
      </c>
      <c r="E2019" t="n">
        <v>209.016</v>
      </c>
      <c r="G2019" t="n">
        <v>7.467</v>
      </c>
      <c r="H2019" t="inlineStr">
        <is>
          <t>bb</t>
        </is>
      </c>
      <c r="I2019" t="n">
        <v>209.016</v>
      </c>
    </row>
    <row r="2020">
      <c r="A2020" t="n">
        <v>13</v>
      </c>
      <c r="B2020" t="inlineStr">
        <is>
          <t>SB3</t>
        </is>
      </c>
      <c r="D2020" t="n">
        <v>14.83</v>
      </c>
      <c r="E2020" t="n">
        <v>313.414</v>
      </c>
      <c r="G2020" t="n">
        <v>2490</v>
      </c>
      <c r="H2020" t="inlineStr">
        <is>
          <t>bb</t>
        </is>
      </c>
      <c r="I2020" t="n">
        <v>313.414</v>
      </c>
    </row>
    <row r="2021">
      <c r="A2021" t="n">
        <v>14</v>
      </c>
      <c r="B2021" t="inlineStr">
        <is>
          <t>SS1</t>
        </is>
      </c>
      <c r="D2021" t="n">
        <v>14.86</v>
      </c>
      <c r="E2021" t="n">
        <v>102.192</v>
      </c>
      <c r="G2021" t="n">
        <v>747</v>
      </c>
      <c r="H2021" t="inlineStr">
        <is>
          <t>bb</t>
        </is>
      </c>
      <c r="I2021" t="n">
        <v>102.192</v>
      </c>
    </row>
    <row r="2022">
      <c r="A2022" t="n">
        <v>15</v>
      </c>
      <c r="B2022" t="inlineStr">
        <is>
          <t>SS2</t>
        </is>
      </c>
      <c r="D2022" t="n">
        <v>14.88</v>
      </c>
      <c r="E2022" t="n">
        <v>112.026</v>
      </c>
      <c r="G2022" t="n">
        <v>9.590999999999999</v>
      </c>
      <c r="H2022" t="inlineStr">
        <is>
          <t>bb</t>
        </is>
      </c>
      <c r="I2022" t="n">
        <v>112.026</v>
      </c>
    </row>
    <row r="2023">
      <c r="A2023" t="n">
        <v>16</v>
      </c>
      <c r="B2023" t="inlineStr">
        <is>
          <t>SS3</t>
        </is>
      </c>
      <c r="D2023" t="n">
        <v>14.89</v>
      </c>
      <c r="E2023" t="n">
        <v>205.439</v>
      </c>
      <c r="G2023" t="n">
        <v>1347</v>
      </c>
      <c r="H2023" t="inlineStr">
        <is>
          <t>bb</t>
        </is>
      </c>
      <c r="I2023" t="n">
        <v>205.439</v>
      </c>
    </row>
    <row r="2025">
      <c r="A2025" t="inlineStr">
        <is>
          <t>Compound 102:  N-MeFOSAA 1</t>
        </is>
      </c>
    </row>
    <row r="2027">
      <c r="B2027" t="inlineStr">
        <is>
          <t>Sample Text</t>
        </is>
      </c>
      <c r="C2027" t="inlineStr">
        <is>
          <t>Std. Conc</t>
        </is>
      </c>
      <c r="D2027" t="inlineStr">
        <is>
          <t>RT</t>
        </is>
      </c>
      <c r="E2027" t="inlineStr">
        <is>
          <t>Area</t>
        </is>
      </c>
      <c r="F2027" t="inlineStr">
        <is>
          <t>IS Area</t>
        </is>
      </c>
      <c r="G2027" t="inlineStr">
        <is>
          <t>S/N</t>
        </is>
      </c>
      <c r="H2027" t="inlineStr">
        <is>
          <t>Primary Flags</t>
        </is>
      </c>
      <c r="I2027" t="inlineStr">
        <is>
          <t>Response</t>
        </is>
      </c>
      <c r="J2027" t="inlineStr">
        <is>
          <t>Conc.</t>
        </is>
      </c>
    </row>
    <row r="2028">
      <c r="A2028" t="n">
        <v>1</v>
      </c>
      <c r="B2028" t="inlineStr">
        <is>
          <t>EPA1633 &amp; diPAPs Calibration 0 ppb</t>
        </is>
      </c>
      <c r="D2028" t="n">
        <v>14.43</v>
      </c>
      <c r="E2028" t="n">
        <v>231.505</v>
      </c>
      <c r="F2028" t="n">
        <v>66948.406</v>
      </c>
      <c r="G2028" t="n">
        <v>3.649</v>
      </c>
      <c r="H2028" t="inlineStr">
        <is>
          <t>bb</t>
        </is>
      </c>
    </row>
    <row r="2029">
      <c r="A2029" t="n">
        <v>2</v>
      </c>
      <c r="B2029" t="inlineStr">
        <is>
          <t>EPA1633 &amp; diPAPs Calibration 0.02 ppb</t>
        </is>
      </c>
      <c r="D2029" t="n">
        <v>14.46</v>
      </c>
      <c r="E2029" t="n">
        <v>473.921</v>
      </c>
      <c r="F2029" t="n">
        <v>59700.34</v>
      </c>
      <c r="G2029" t="n">
        <v>2.673</v>
      </c>
      <c r="H2029" t="inlineStr">
        <is>
          <t>bb</t>
        </is>
      </c>
    </row>
    <row r="2030">
      <c r="A2030" t="n">
        <v>3</v>
      </c>
      <c r="B2030" t="inlineStr">
        <is>
          <t>EPA1633 &amp; diPAPs Calibration 0.1 ppb</t>
        </is>
      </c>
      <c r="D2030" t="n">
        <v>14.46</v>
      </c>
      <c r="E2030" t="n">
        <v>977.3819999999999</v>
      </c>
      <c r="F2030" t="n">
        <v>61532.309</v>
      </c>
      <c r="G2030" t="n">
        <v>58.621</v>
      </c>
      <c r="H2030" t="inlineStr">
        <is>
          <t>bb</t>
        </is>
      </c>
    </row>
    <row r="2031">
      <c r="A2031" t="n">
        <v>4</v>
      </c>
      <c r="B2031" t="inlineStr">
        <is>
          <t>EPA1633 &amp; diPAPs Calibration 0.4 ppb</t>
        </is>
      </c>
      <c r="D2031" t="n">
        <v>14.48</v>
      </c>
      <c r="E2031" t="n">
        <v>2410.224</v>
      </c>
      <c r="F2031" t="n">
        <v>55660.844</v>
      </c>
      <c r="G2031" t="n">
        <v>65.294</v>
      </c>
      <c r="H2031" t="inlineStr">
        <is>
          <t>bb</t>
        </is>
      </c>
    </row>
    <row r="2032">
      <c r="A2032" t="n">
        <v>5</v>
      </c>
      <c r="B2032" t="inlineStr">
        <is>
          <t>EPA1633 &amp; diPAPs Calibration 1 ppb</t>
        </is>
      </c>
      <c r="D2032" t="n">
        <v>14.48</v>
      </c>
      <c r="E2032" t="n">
        <v>4633.323</v>
      </c>
      <c r="F2032" t="n">
        <v>65274.496</v>
      </c>
      <c r="G2032" t="n">
        <v>252.048</v>
      </c>
      <c r="H2032" t="inlineStr">
        <is>
          <t>MM</t>
        </is>
      </c>
    </row>
    <row r="2033">
      <c r="A2033" t="n">
        <v>6</v>
      </c>
      <c r="B2033" t="inlineStr">
        <is>
          <t>EPA1633 &amp; diPAPs Calibration 5 ppb</t>
        </is>
      </c>
      <c r="D2033" t="n">
        <v>14.42</v>
      </c>
      <c r="E2033" t="n">
        <v>19750.473</v>
      </c>
      <c r="F2033" t="n">
        <v>54658.043</v>
      </c>
      <c r="G2033" t="n">
        <v>127425</v>
      </c>
      <c r="H2033" t="inlineStr">
        <is>
          <t>MM</t>
        </is>
      </c>
    </row>
    <row r="2034">
      <c r="A2034" t="n">
        <v>7</v>
      </c>
      <c r="B2034" t="inlineStr">
        <is>
          <t>EPA1633 &amp; diPAPs Calibration 10 ppb</t>
        </is>
      </c>
      <c r="D2034" t="n">
        <v>14.43</v>
      </c>
      <c r="E2034" t="n">
        <v>38774.004</v>
      </c>
      <c r="F2034" t="n">
        <v>43532.867</v>
      </c>
      <c r="G2034" t="n">
        <v>271.106</v>
      </c>
      <c r="H2034" t="inlineStr">
        <is>
          <t>MM</t>
        </is>
      </c>
    </row>
    <row r="2035">
      <c r="A2035" t="n">
        <v>8</v>
      </c>
      <c r="B2035" t="inlineStr">
        <is>
          <t>EPA1633 &amp; diPAPs Calibration 20 ppb</t>
        </is>
      </c>
      <c r="D2035" t="n">
        <v>14.45</v>
      </c>
      <c r="E2035" t="n">
        <v>77288.016</v>
      </c>
      <c r="F2035" t="n">
        <v>49701.246</v>
      </c>
      <c r="G2035" t="n">
        <v>1418.33</v>
      </c>
      <c r="H2035" t="inlineStr">
        <is>
          <t>MM</t>
        </is>
      </c>
    </row>
    <row r="2036">
      <c r="A2036" t="n">
        <v>9</v>
      </c>
      <c r="B2036" t="inlineStr">
        <is>
          <t>MeOH</t>
        </is>
      </c>
      <c r="D2036" t="n">
        <v>14.45</v>
      </c>
      <c r="E2036" t="n">
        <v>72.495</v>
      </c>
      <c r="F2036" t="n">
        <v>47.897</v>
      </c>
      <c r="G2036" t="n">
        <v>16.535</v>
      </c>
      <c r="H2036" t="inlineStr">
        <is>
          <t>bb</t>
        </is>
      </c>
    </row>
    <row r="2037">
      <c r="A2037" t="n">
        <v>10</v>
      </c>
      <c r="B2037" t="inlineStr">
        <is>
          <t>MeOH</t>
        </is>
      </c>
      <c r="D2037" t="n">
        <v>14.48</v>
      </c>
      <c r="E2037" t="n">
        <v>42.525</v>
      </c>
      <c r="F2037" t="n">
        <v>20.298</v>
      </c>
      <c r="G2037" t="n">
        <v>349</v>
      </c>
      <c r="H2037" t="inlineStr">
        <is>
          <t>bb</t>
        </is>
      </c>
    </row>
    <row r="2038">
      <c r="A2038" t="n">
        <v>11</v>
      </c>
      <c r="B2038" t="inlineStr">
        <is>
          <t>SB1</t>
        </is>
      </c>
      <c r="D2038" t="n">
        <v>14.46</v>
      </c>
      <c r="E2038" t="n">
        <v>2.35</v>
      </c>
      <c r="F2038" t="n">
        <v>22850.369</v>
      </c>
      <c r="G2038" t="n">
        <v>22</v>
      </c>
      <c r="H2038" t="inlineStr">
        <is>
          <t>bb</t>
        </is>
      </c>
    </row>
    <row r="2039">
      <c r="A2039" t="n">
        <v>12</v>
      </c>
      <c r="B2039" t="inlineStr">
        <is>
          <t>SB2</t>
        </is>
      </c>
      <c r="F2039" t="n">
        <v>22397.273</v>
      </c>
    </row>
    <row r="2040">
      <c r="A2040" t="n">
        <v>13</v>
      </c>
      <c r="B2040" t="inlineStr">
        <is>
          <t>SB3</t>
        </is>
      </c>
      <c r="F2040" t="n">
        <v>20408.439</v>
      </c>
    </row>
    <row r="2041">
      <c r="A2041" t="n">
        <v>14</v>
      </c>
      <c r="B2041" t="inlineStr">
        <is>
          <t>SS1</t>
        </is>
      </c>
      <c r="D2041" t="n">
        <v>14.51</v>
      </c>
      <c r="E2041" t="n">
        <v>13268.116</v>
      </c>
      <c r="F2041" t="n">
        <v>20513.979</v>
      </c>
      <c r="G2041" t="n">
        <v>116.599</v>
      </c>
      <c r="H2041" t="inlineStr">
        <is>
          <t>MM</t>
        </is>
      </c>
    </row>
    <row r="2042">
      <c r="A2042" t="n">
        <v>15</v>
      </c>
      <c r="B2042" t="inlineStr">
        <is>
          <t>SS2</t>
        </is>
      </c>
      <c r="D2042" t="n">
        <v>14.52</v>
      </c>
      <c r="E2042" t="n">
        <v>14231.771</v>
      </c>
      <c r="F2042" t="n">
        <v>22867.717</v>
      </c>
      <c r="G2042" t="n">
        <v>172.501</v>
      </c>
      <c r="H2042" t="inlineStr">
        <is>
          <t>MM</t>
        </is>
      </c>
    </row>
    <row r="2043">
      <c r="A2043" t="n">
        <v>16</v>
      </c>
      <c r="B2043" t="inlineStr">
        <is>
          <t>SS3</t>
        </is>
      </c>
      <c r="D2043" t="n">
        <v>14.54</v>
      </c>
      <c r="E2043" t="n">
        <v>14172.501</v>
      </c>
      <c r="F2043" t="n">
        <v>20747.598</v>
      </c>
      <c r="G2043" t="n">
        <v>268.122</v>
      </c>
      <c r="H2043" t="inlineStr">
        <is>
          <t>MM</t>
        </is>
      </c>
    </row>
    <row r="2045">
      <c r="A2045" t="inlineStr">
        <is>
          <t>Compound 103:  N-MeFOSAA 2</t>
        </is>
      </c>
    </row>
    <row r="2047">
      <c r="B2047" t="inlineStr">
        <is>
          <t>Sample Text</t>
        </is>
      </c>
      <c r="C2047" t="inlineStr">
        <is>
          <t>Std. Conc</t>
        </is>
      </c>
      <c r="D2047" t="inlineStr">
        <is>
          <t>RT</t>
        </is>
      </c>
      <c r="E2047" t="inlineStr">
        <is>
          <t>Area</t>
        </is>
      </c>
      <c r="F2047" t="inlineStr">
        <is>
          <t>IS Area</t>
        </is>
      </c>
      <c r="G2047" t="inlineStr">
        <is>
          <t>S/N</t>
        </is>
      </c>
      <c r="H2047" t="inlineStr">
        <is>
          <t>Primary Flags</t>
        </is>
      </c>
      <c r="I2047" t="inlineStr">
        <is>
          <t>Response</t>
        </is>
      </c>
      <c r="J2047" t="inlineStr">
        <is>
          <t>Conc.</t>
        </is>
      </c>
    </row>
    <row r="2048">
      <c r="A2048" t="n">
        <v>1</v>
      </c>
      <c r="B2048" t="inlineStr">
        <is>
          <t>EPA1633 &amp; diPAPs Calibration 0 ppb</t>
        </is>
      </c>
      <c r="F2048" t="n">
        <v>27552.617</v>
      </c>
    </row>
    <row r="2049">
      <c r="A2049" t="n">
        <v>2</v>
      </c>
      <c r="B2049" t="inlineStr">
        <is>
          <t>EPA1633 &amp; diPAPs Calibration 0.02 ppb</t>
        </is>
      </c>
      <c r="D2049" t="n">
        <v>14.45</v>
      </c>
      <c r="E2049" t="n">
        <v>139.256</v>
      </c>
      <c r="F2049" t="n">
        <v>23288.723</v>
      </c>
      <c r="G2049" t="n">
        <v>5.828</v>
      </c>
      <c r="H2049" t="inlineStr">
        <is>
          <t>bb</t>
        </is>
      </c>
    </row>
    <row r="2050">
      <c r="A2050" t="n">
        <v>3</v>
      </c>
      <c r="B2050" t="inlineStr">
        <is>
          <t>EPA1633 &amp; diPAPs Calibration 0.1 ppb</t>
        </is>
      </c>
      <c r="D2050" t="n">
        <v>14.51</v>
      </c>
      <c r="E2050" t="n">
        <v>34.723</v>
      </c>
      <c r="F2050" t="n">
        <v>24521.111</v>
      </c>
      <c r="G2050" t="n">
        <v>3.341</v>
      </c>
      <c r="H2050" t="inlineStr">
        <is>
          <t>bb</t>
        </is>
      </c>
    </row>
    <row r="2051">
      <c r="A2051" t="n">
        <v>4</v>
      </c>
      <c r="B2051" t="inlineStr">
        <is>
          <t>EPA1633 &amp; diPAPs Calibration 0.4 ppb</t>
        </is>
      </c>
      <c r="D2051" t="n">
        <v>14.46</v>
      </c>
      <c r="E2051" t="n">
        <v>535.7</v>
      </c>
      <c r="F2051" t="n">
        <v>22443.777</v>
      </c>
      <c r="G2051" t="n">
        <v>3.761</v>
      </c>
      <c r="H2051" t="inlineStr">
        <is>
          <t>bb</t>
        </is>
      </c>
    </row>
    <row r="2052">
      <c r="A2052" t="n">
        <v>5</v>
      </c>
      <c r="B2052" t="inlineStr">
        <is>
          <t>EPA1633 &amp; diPAPs Calibration 1 ppb</t>
        </is>
      </c>
      <c r="D2052" t="n">
        <v>14.45</v>
      </c>
      <c r="E2052" t="n">
        <v>463.473</v>
      </c>
      <c r="F2052" t="n">
        <v>25318.439</v>
      </c>
      <c r="G2052" t="n">
        <v>3.342</v>
      </c>
      <c r="H2052" t="inlineStr">
        <is>
          <t>bb</t>
        </is>
      </c>
    </row>
    <row r="2053">
      <c r="A2053" t="n">
        <v>6</v>
      </c>
      <c r="B2053" t="inlineStr">
        <is>
          <t>EPA1633 &amp; diPAPs Calibration 5 ppb</t>
        </is>
      </c>
      <c r="D2053" t="n">
        <v>14.42</v>
      </c>
      <c r="E2053" t="n">
        <v>2371</v>
      </c>
      <c r="F2053" t="n">
        <v>20607.959</v>
      </c>
      <c r="G2053" t="n">
        <v>105.667</v>
      </c>
      <c r="H2053" t="inlineStr">
        <is>
          <t>MM</t>
        </is>
      </c>
    </row>
    <row r="2054">
      <c r="A2054" t="n">
        <v>7</v>
      </c>
      <c r="B2054" t="inlineStr">
        <is>
          <t>EPA1633 &amp; diPAPs Calibration 10 ppb</t>
        </is>
      </c>
      <c r="D2054" t="n">
        <v>14.42</v>
      </c>
      <c r="E2054" t="n">
        <v>4208.902</v>
      </c>
      <c r="F2054" t="n">
        <v>17506.748</v>
      </c>
      <c r="G2054" t="n">
        <v>21.556</v>
      </c>
      <c r="H2054" t="inlineStr">
        <is>
          <t>MM</t>
        </is>
      </c>
    </row>
    <row r="2055">
      <c r="A2055" t="n">
        <v>8</v>
      </c>
      <c r="B2055" t="inlineStr">
        <is>
          <t>EPA1633 &amp; diPAPs Calibration 20 ppb</t>
        </is>
      </c>
      <c r="D2055" t="n">
        <v>14.45</v>
      </c>
      <c r="E2055" t="n">
        <v>10416.929</v>
      </c>
      <c r="F2055" t="n">
        <v>19765.049</v>
      </c>
      <c r="G2055" t="n">
        <v>202.943</v>
      </c>
      <c r="H2055" t="inlineStr">
        <is>
          <t>MM</t>
        </is>
      </c>
    </row>
    <row r="2056">
      <c r="A2056" t="n">
        <v>9</v>
      </c>
      <c r="B2056" t="inlineStr">
        <is>
          <t>MeOH</t>
        </is>
      </c>
      <c r="F2056" t="n">
        <v>66.075</v>
      </c>
    </row>
    <row r="2057">
      <c r="A2057" t="n">
        <v>10</v>
      </c>
      <c r="B2057" t="inlineStr">
        <is>
          <t>MeOH</t>
        </is>
      </c>
      <c r="F2057" t="n">
        <v>183.957</v>
      </c>
    </row>
    <row r="2058">
      <c r="A2058" t="n">
        <v>11</v>
      </c>
      <c r="B2058" t="inlineStr">
        <is>
          <t>SB1</t>
        </is>
      </c>
      <c r="F2058" t="n">
        <v>8514.804</v>
      </c>
    </row>
    <row r="2059">
      <c r="A2059" t="n">
        <v>12</v>
      </c>
      <c r="B2059" t="inlineStr">
        <is>
          <t>SB2</t>
        </is>
      </c>
      <c r="F2059" t="n">
        <v>8083.722</v>
      </c>
    </row>
    <row r="2060">
      <c r="A2060" t="n">
        <v>13</v>
      </c>
      <c r="B2060" t="inlineStr">
        <is>
          <t>SB3</t>
        </is>
      </c>
      <c r="F2060" t="n">
        <v>7758.756</v>
      </c>
    </row>
    <row r="2061">
      <c r="A2061" t="n">
        <v>14</v>
      </c>
      <c r="B2061" t="inlineStr">
        <is>
          <t>SS1</t>
        </is>
      </c>
      <c r="D2061" t="n">
        <v>14.52</v>
      </c>
      <c r="E2061" t="n">
        <v>2234.083</v>
      </c>
      <c r="F2061" t="n">
        <v>8307.972</v>
      </c>
      <c r="G2061" t="n">
        <v>16.678</v>
      </c>
      <c r="H2061" t="inlineStr">
        <is>
          <t>MM</t>
        </is>
      </c>
    </row>
    <row r="2062">
      <c r="A2062" t="n">
        <v>15</v>
      </c>
      <c r="B2062" t="inlineStr">
        <is>
          <t>SS2</t>
        </is>
      </c>
      <c r="D2062" t="n">
        <v>14.54</v>
      </c>
      <c r="E2062" t="n">
        <v>1981.457</v>
      </c>
      <c r="F2062" t="n">
        <v>8575.522000000001</v>
      </c>
      <c r="G2062" t="n">
        <v>13094</v>
      </c>
      <c r="H2062" t="inlineStr">
        <is>
          <t>MM</t>
        </is>
      </c>
    </row>
    <row r="2063">
      <c r="A2063" t="n">
        <v>16</v>
      </c>
      <c r="B2063" t="inlineStr">
        <is>
          <t>SS3</t>
        </is>
      </c>
      <c r="D2063" t="n">
        <v>14.52</v>
      </c>
      <c r="E2063" t="n">
        <v>1638.075</v>
      </c>
      <c r="F2063" t="n">
        <v>8175.201</v>
      </c>
      <c r="G2063" t="n">
        <v>21.794</v>
      </c>
      <c r="H2063" t="inlineStr">
        <is>
          <t>MM</t>
        </is>
      </c>
    </row>
    <row r="2065">
      <c r="A2065" t="inlineStr">
        <is>
          <t>Compound 104:  N-EtFOSE 1</t>
        </is>
      </c>
    </row>
    <row r="2067">
      <c r="B2067" t="inlineStr">
        <is>
          <t>Sample Text</t>
        </is>
      </c>
      <c r="C2067" t="inlineStr">
        <is>
          <t>Std. Conc</t>
        </is>
      </c>
      <c r="D2067" t="inlineStr">
        <is>
          <t>RT</t>
        </is>
      </c>
      <c r="E2067" t="inlineStr">
        <is>
          <t>Area</t>
        </is>
      </c>
      <c r="F2067" t="inlineStr">
        <is>
          <t>IS Area</t>
        </is>
      </c>
      <c r="G2067" t="inlineStr">
        <is>
          <t>S/N</t>
        </is>
      </c>
      <c r="H2067" t="inlineStr">
        <is>
          <t>Primary Flags</t>
        </is>
      </c>
      <c r="I2067" t="inlineStr">
        <is>
          <t>Response</t>
        </is>
      </c>
      <c r="J2067" t="inlineStr">
        <is>
          <t>Conc.</t>
        </is>
      </c>
    </row>
    <row r="2068">
      <c r="A2068" t="n">
        <v>1</v>
      </c>
      <c r="B2068" t="inlineStr">
        <is>
          <t>EPA1633 &amp; diPAPs Calibration 0 ppb</t>
        </is>
      </c>
      <c r="D2068" t="n">
        <v>18.85</v>
      </c>
      <c r="E2068" t="n">
        <v>62.884</v>
      </c>
      <c r="F2068" t="n">
        <v>4028.771</v>
      </c>
      <c r="G2068" t="n">
        <v>29.71</v>
      </c>
      <c r="H2068" t="inlineStr">
        <is>
          <t>bb</t>
        </is>
      </c>
    </row>
    <row r="2069">
      <c r="A2069" t="n">
        <v>2</v>
      </c>
      <c r="B2069" t="inlineStr">
        <is>
          <t>EPA1633 &amp; diPAPs Calibration 0.02 ppb</t>
        </is>
      </c>
      <c r="D2069" t="n">
        <v>18.87</v>
      </c>
      <c r="E2069" t="n">
        <v>45.132</v>
      </c>
      <c r="F2069" t="n">
        <v>3693.433</v>
      </c>
      <c r="G2069" t="n">
        <v>16.123</v>
      </c>
      <c r="H2069" t="inlineStr">
        <is>
          <t>bb</t>
        </is>
      </c>
    </row>
    <row r="2070">
      <c r="A2070" t="n">
        <v>3</v>
      </c>
      <c r="B2070" t="inlineStr">
        <is>
          <t>EPA1633 &amp; diPAPs Calibration 0.1 ppb</t>
        </is>
      </c>
      <c r="D2070" t="n">
        <v>18.86</v>
      </c>
      <c r="E2070" t="n">
        <v>91.652</v>
      </c>
      <c r="F2070" t="n">
        <v>3784.583</v>
      </c>
      <c r="G2070" t="n">
        <v>13.144</v>
      </c>
      <c r="H2070" t="inlineStr">
        <is>
          <t>MM</t>
        </is>
      </c>
    </row>
    <row r="2071">
      <c r="A2071" t="n">
        <v>4</v>
      </c>
      <c r="B2071" t="inlineStr">
        <is>
          <t>EPA1633 &amp; diPAPs Calibration 0.4 ppb</t>
        </is>
      </c>
      <c r="D2071" t="n">
        <v>18.86</v>
      </c>
      <c r="E2071" t="n">
        <v>218.398</v>
      </c>
      <c r="F2071" t="n">
        <v>3633.396</v>
      </c>
      <c r="G2071" t="n">
        <v>58.135</v>
      </c>
      <c r="H2071" t="inlineStr">
        <is>
          <t>MM</t>
        </is>
      </c>
    </row>
    <row r="2072">
      <c r="A2072" t="n">
        <v>5</v>
      </c>
      <c r="B2072" t="inlineStr">
        <is>
          <t>EPA1633 &amp; diPAPs Calibration 1 ppb</t>
        </is>
      </c>
      <c r="D2072" t="n">
        <v>18.84</v>
      </c>
      <c r="E2072" t="n">
        <v>458.093</v>
      </c>
      <c r="F2072" t="n">
        <v>4115.012</v>
      </c>
      <c r="G2072" t="n">
        <v>89.176</v>
      </c>
      <c r="H2072" t="inlineStr">
        <is>
          <t>MM</t>
        </is>
      </c>
    </row>
    <row r="2073">
      <c r="A2073" t="n">
        <v>6</v>
      </c>
      <c r="B2073" t="inlineStr">
        <is>
          <t>EPA1633 &amp; diPAPs Calibration 5 ppb</t>
        </is>
      </c>
      <c r="D2073" t="n">
        <v>18.84</v>
      </c>
      <c r="E2073" t="n">
        <v>2110.466</v>
      </c>
      <c r="F2073" t="n">
        <v>3380.772</v>
      </c>
      <c r="G2073" t="n">
        <v>638.475</v>
      </c>
      <c r="H2073" t="inlineStr">
        <is>
          <t>MM</t>
        </is>
      </c>
    </row>
    <row r="2074">
      <c r="A2074" t="n">
        <v>7</v>
      </c>
      <c r="B2074" t="inlineStr">
        <is>
          <t>EPA1633 &amp; diPAPs Calibration 10 ppb</t>
        </is>
      </c>
      <c r="D2074" t="n">
        <v>18.85</v>
      </c>
      <c r="E2074" t="n">
        <v>3697.562</v>
      </c>
      <c r="F2074" t="n">
        <v>2952.945</v>
      </c>
      <c r="G2074" t="n">
        <v>1680.601</v>
      </c>
      <c r="H2074" t="inlineStr">
        <is>
          <t>MM</t>
        </is>
      </c>
    </row>
    <row r="2075">
      <c r="A2075" t="n">
        <v>8</v>
      </c>
      <c r="B2075" t="inlineStr">
        <is>
          <t>EPA1633 &amp; diPAPs Calibration 20 ppb</t>
        </is>
      </c>
      <c r="D2075" t="n">
        <v>18.86</v>
      </c>
      <c r="E2075" t="n">
        <v>7585.031</v>
      </c>
      <c r="F2075" t="n">
        <v>3244.369</v>
      </c>
      <c r="G2075" t="n">
        <v>840.136</v>
      </c>
      <c r="H2075" t="inlineStr">
        <is>
          <t>MM</t>
        </is>
      </c>
    </row>
    <row r="2076">
      <c r="A2076" t="n">
        <v>9</v>
      </c>
      <c r="B2076" t="inlineStr">
        <is>
          <t>MeOH</t>
        </is>
      </c>
      <c r="D2076" t="n">
        <v>18.86</v>
      </c>
      <c r="E2076" t="n">
        <v>269.91</v>
      </c>
      <c r="F2076" t="n">
        <v>96.73</v>
      </c>
      <c r="G2076" t="n">
        <v>79.66800000000001</v>
      </c>
      <c r="H2076" t="inlineStr">
        <is>
          <t>bb</t>
        </is>
      </c>
    </row>
    <row r="2077">
      <c r="A2077" t="n">
        <v>10</v>
      </c>
      <c r="B2077" t="inlineStr">
        <is>
          <t>MeOH</t>
        </is>
      </c>
      <c r="D2077" t="n">
        <v>18.86</v>
      </c>
      <c r="E2077" t="n">
        <v>42.228</v>
      </c>
      <c r="F2077" t="n">
        <v>27.687</v>
      </c>
      <c r="G2077" t="n">
        <v>16.495</v>
      </c>
      <c r="H2077" t="inlineStr">
        <is>
          <t>bb</t>
        </is>
      </c>
    </row>
    <row r="2078">
      <c r="A2078" t="n">
        <v>11</v>
      </c>
      <c r="B2078" t="inlineStr">
        <is>
          <t>SB1</t>
        </is>
      </c>
      <c r="D2078" t="n">
        <v>18.87</v>
      </c>
      <c r="E2078" t="n">
        <v>35.863</v>
      </c>
      <c r="F2078" t="n">
        <v>1283.732</v>
      </c>
      <c r="G2078" t="n">
        <v>9.315</v>
      </c>
      <c r="H2078" t="inlineStr">
        <is>
          <t>bb</t>
        </is>
      </c>
    </row>
    <row r="2079">
      <c r="A2079" t="n">
        <v>12</v>
      </c>
      <c r="B2079" t="inlineStr">
        <is>
          <t>SB2</t>
        </is>
      </c>
      <c r="D2079" t="n">
        <v>18.88</v>
      </c>
      <c r="E2079" t="n">
        <v>25.28</v>
      </c>
      <c r="F2079" t="n">
        <v>1194.124</v>
      </c>
      <c r="G2079" t="n">
        <v>11.173</v>
      </c>
      <c r="H2079" t="inlineStr">
        <is>
          <t>bb</t>
        </is>
      </c>
    </row>
    <row r="2080">
      <c r="A2080" t="n">
        <v>13</v>
      </c>
      <c r="B2080" t="inlineStr">
        <is>
          <t>SB3</t>
        </is>
      </c>
      <c r="D2080" t="n">
        <v>18.92</v>
      </c>
      <c r="E2080" t="n">
        <v>3.773</v>
      </c>
      <c r="F2080" t="n">
        <v>1266.078</v>
      </c>
      <c r="G2080" t="n">
        <v>1.585</v>
      </c>
      <c r="H2080" t="inlineStr">
        <is>
          <t>MM</t>
        </is>
      </c>
    </row>
    <row r="2081">
      <c r="A2081" t="n">
        <v>14</v>
      </c>
      <c r="B2081" t="inlineStr">
        <is>
          <t>SS1</t>
        </is>
      </c>
      <c r="D2081" t="n">
        <v>18.89</v>
      </c>
      <c r="E2081" t="n">
        <v>1224.621</v>
      </c>
      <c r="F2081" t="n">
        <v>1121.533</v>
      </c>
      <c r="G2081" t="n">
        <v>323.903</v>
      </c>
      <c r="H2081" t="inlineStr">
        <is>
          <t>bb</t>
        </is>
      </c>
    </row>
    <row r="2082">
      <c r="A2082" t="n">
        <v>15</v>
      </c>
      <c r="B2082" t="inlineStr">
        <is>
          <t>SS2</t>
        </is>
      </c>
      <c r="D2082" t="n">
        <v>18.9</v>
      </c>
      <c r="E2082" t="n">
        <v>1438.788</v>
      </c>
      <c r="F2082" t="n">
        <v>1236.175</v>
      </c>
      <c r="G2082" t="n">
        <v>177.379</v>
      </c>
      <c r="H2082" t="inlineStr">
        <is>
          <t>bb</t>
        </is>
      </c>
    </row>
    <row r="2083">
      <c r="A2083" t="n">
        <v>16</v>
      </c>
      <c r="B2083" t="inlineStr">
        <is>
          <t>SS3</t>
        </is>
      </c>
      <c r="D2083" t="n">
        <v>18.9</v>
      </c>
      <c r="E2083" t="n">
        <v>1257.108</v>
      </c>
      <c r="F2083" t="n">
        <v>1076.699</v>
      </c>
      <c r="G2083" t="n">
        <v>1248.628</v>
      </c>
      <c r="H2083" t="inlineStr">
        <is>
          <t>MM</t>
        </is>
      </c>
    </row>
    <row r="2085">
      <c r="A2085" t="inlineStr">
        <is>
          <t>Compound 105:  N-EtFOSE 2</t>
        </is>
      </c>
    </row>
    <row r="2087">
      <c r="B2087" t="inlineStr">
        <is>
          <t>Sample Text</t>
        </is>
      </c>
      <c r="C2087" t="inlineStr">
        <is>
          <t>Std. Conc</t>
        </is>
      </c>
      <c r="D2087" t="inlineStr">
        <is>
          <t>RT</t>
        </is>
      </c>
      <c r="E2087" t="inlineStr">
        <is>
          <t>Area</t>
        </is>
      </c>
      <c r="F2087" t="inlineStr">
        <is>
          <t>IS Area</t>
        </is>
      </c>
      <c r="G2087" t="inlineStr">
        <is>
          <t>S/N</t>
        </is>
      </c>
      <c r="H2087" t="inlineStr">
        <is>
          <t>Primary Flags</t>
        </is>
      </c>
      <c r="I2087" t="inlineStr">
        <is>
          <t>Response</t>
        </is>
      </c>
      <c r="J2087" t="inlineStr">
        <is>
          <t>Conc.</t>
        </is>
      </c>
    </row>
    <row r="2088">
      <c r="A2088" t="n">
        <v>1</v>
      </c>
      <c r="B2088" t="inlineStr">
        <is>
          <t>EPA1633 &amp; diPAPs Calibration 0 ppb</t>
        </is>
      </c>
      <c r="D2088" t="n">
        <v>18.84</v>
      </c>
      <c r="E2088" t="n">
        <v>12.177</v>
      </c>
      <c r="F2088" t="n">
        <v>863.603</v>
      </c>
      <c r="G2088" t="n">
        <v>5.542</v>
      </c>
      <c r="H2088" t="inlineStr">
        <is>
          <t>bb</t>
        </is>
      </c>
    </row>
    <row r="2089">
      <c r="A2089" t="n">
        <v>2</v>
      </c>
      <c r="B2089" t="inlineStr">
        <is>
          <t>EPA1633 &amp; diPAPs Calibration 0.02 ppb</t>
        </is>
      </c>
      <c r="D2089" t="n">
        <v>18.86</v>
      </c>
      <c r="E2089" t="n">
        <v>15.264</v>
      </c>
      <c r="F2089" t="n">
        <v>880.98</v>
      </c>
      <c r="G2089" t="n">
        <v>29.648</v>
      </c>
      <c r="H2089" t="inlineStr">
        <is>
          <t>bb</t>
        </is>
      </c>
    </row>
    <row r="2090">
      <c r="A2090" t="n">
        <v>3</v>
      </c>
      <c r="B2090" t="inlineStr">
        <is>
          <t>EPA1633 &amp; diPAPs Calibration 0.1 ppb</t>
        </is>
      </c>
      <c r="D2090" t="n">
        <v>18.86</v>
      </c>
      <c r="E2090" t="n">
        <v>13.205</v>
      </c>
      <c r="F2090" t="n">
        <v>883.397</v>
      </c>
      <c r="G2090" t="n">
        <v>16.334</v>
      </c>
      <c r="H2090" t="inlineStr">
        <is>
          <t>bb</t>
        </is>
      </c>
    </row>
    <row r="2091">
      <c r="A2091" t="n">
        <v>4</v>
      </c>
      <c r="B2091" t="inlineStr">
        <is>
          <t>EPA1633 &amp; diPAPs Calibration 0.4 ppb</t>
        </is>
      </c>
      <c r="D2091" t="n">
        <v>18.87</v>
      </c>
      <c r="E2091" t="n">
        <v>51.929</v>
      </c>
      <c r="F2091" t="n">
        <v>875.073</v>
      </c>
      <c r="G2091" t="n">
        <v>17.242</v>
      </c>
      <c r="H2091" t="inlineStr">
        <is>
          <t>bb</t>
        </is>
      </c>
    </row>
    <row r="2092">
      <c r="A2092" t="n">
        <v>5</v>
      </c>
      <c r="B2092" t="inlineStr">
        <is>
          <t>EPA1633 &amp; diPAPs Calibration 1 ppb</t>
        </is>
      </c>
      <c r="D2092" t="n">
        <v>18.85</v>
      </c>
      <c r="E2092" t="n">
        <v>93.91800000000001</v>
      </c>
      <c r="F2092" t="n">
        <v>947.532</v>
      </c>
      <c r="G2092" t="n">
        <v>52.572</v>
      </c>
      <c r="H2092" t="inlineStr">
        <is>
          <t>MM</t>
        </is>
      </c>
    </row>
    <row r="2093">
      <c r="A2093" t="n">
        <v>6</v>
      </c>
      <c r="B2093" t="inlineStr">
        <is>
          <t>EPA1633 &amp; diPAPs Calibration 5 ppb</t>
        </is>
      </c>
      <c r="D2093" t="n">
        <v>18.85</v>
      </c>
      <c r="E2093" t="n">
        <v>381.16</v>
      </c>
      <c r="F2093" t="n">
        <v>789.326</v>
      </c>
      <c r="G2093" t="n">
        <v>128.595</v>
      </c>
      <c r="H2093" t="inlineStr">
        <is>
          <t>bb</t>
        </is>
      </c>
    </row>
    <row r="2094">
      <c r="A2094" t="n">
        <v>7</v>
      </c>
      <c r="B2094" t="inlineStr">
        <is>
          <t>EPA1633 &amp; diPAPs Calibration 10 ppb</t>
        </is>
      </c>
      <c r="D2094" t="n">
        <v>18.85</v>
      </c>
      <c r="E2094" t="n">
        <v>734.7910000000001</v>
      </c>
      <c r="F2094" t="n">
        <v>632.259</v>
      </c>
      <c r="G2094" t="n">
        <v>366.976</v>
      </c>
      <c r="H2094" t="inlineStr">
        <is>
          <t>MM</t>
        </is>
      </c>
    </row>
    <row r="2095">
      <c r="A2095" t="n">
        <v>8</v>
      </c>
      <c r="B2095" t="inlineStr">
        <is>
          <t>EPA1633 &amp; diPAPs Calibration 20 ppb</t>
        </is>
      </c>
      <c r="D2095" t="n">
        <v>18.86</v>
      </c>
      <c r="E2095" t="n">
        <v>1625.297</v>
      </c>
      <c r="F2095" t="n">
        <v>756.328</v>
      </c>
      <c r="G2095" t="n">
        <v>437.183</v>
      </c>
      <c r="H2095" t="inlineStr">
        <is>
          <t>MM</t>
        </is>
      </c>
    </row>
    <row r="2096">
      <c r="A2096" t="n">
        <v>9</v>
      </c>
      <c r="B2096" t="inlineStr">
        <is>
          <t>MeOH</t>
        </is>
      </c>
      <c r="D2096" t="n">
        <v>18.87</v>
      </c>
      <c r="E2096" t="n">
        <v>31.106</v>
      </c>
      <c r="F2096" t="n">
        <v>24.043</v>
      </c>
      <c r="G2096" t="n">
        <v>31.602</v>
      </c>
      <c r="H2096" t="inlineStr">
        <is>
          <t>bb</t>
        </is>
      </c>
    </row>
    <row r="2097">
      <c r="A2097" t="n">
        <v>10</v>
      </c>
      <c r="B2097" t="inlineStr">
        <is>
          <t>MeOH</t>
        </is>
      </c>
      <c r="D2097" t="n">
        <v>18.86</v>
      </c>
      <c r="E2097" t="n">
        <v>7.831</v>
      </c>
      <c r="F2097" t="n">
        <v>3.859</v>
      </c>
      <c r="G2097" t="n">
        <v>7.107</v>
      </c>
      <c r="H2097" t="inlineStr">
        <is>
          <t>bb</t>
        </is>
      </c>
    </row>
    <row r="2098">
      <c r="A2098" t="n">
        <v>11</v>
      </c>
      <c r="B2098" t="inlineStr">
        <is>
          <t>SB1</t>
        </is>
      </c>
      <c r="D2098" t="n">
        <v>18.87</v>
      </c>
      <c r="E2098" t="n">
        <v>6.428</v>
      </c>
      <c r="F2098" t="n">
        <v>271.561</v>
      </c>
      <c r="G2098" t="n">
        <v>32.208</v>
      </c>
      <c r="H2098" t="inlineStr">
        <is>
          <t>bb</t>
        </is>
      </c>
    </row>
    <row r="2099">
      <c r="A2099" t="n">
        <v>12</v>
      </c>
      <c r="B2099" t="inlineStr">
        <is>
          <t>SB2</t>
        </is>
      </c>
      <c r="D2099" t="n">
        <v>18.96</v>
      </c>
      <c r="E2099" t="n">
        <v>1.366</v>
      </c>
      <c r="F2099" t="n">
        <v>278.047</v>
      </c>
      <c r="G2099" t="n">
        <v>8.939</v>
      </c>
      <c r="H2099" t="inlineStr">
        <is>
          <t>bb</t>
        </is>
      </c>
    </row>
    <row r="2100">
      <c r="A2100" t="n">
        <v>13</v>
      </c>
      <c r="B2100" t="inlineStr">
        <is>
          <t>SB3</t>
        </is>
      </c>
      <c r="D2100" t="n">
        <v>18.84</v>
      </c>
      <c r="E2100" t="n">
        <v>5.217</v>
      </c>
      <c r="F2100" t="n">
        <v>309.649</v>
      </c>
      <c r="G2100" t="n">
        <v>40.934</v>
      </c>
      <c r="H2100" t="inlineStr">
        <is>
          <t>bb</t>
        </is>
      </c>
    </row>
    <row r="2101">
      <c r="A2101" t="n">
        <v>14</v>
      </c>
      <c r="B2101" t="inlineStr">
        <is>
          <t>SS1</t>
        </is>
      </c>
      <c r="D2101" t="n">
        <v>18.88</v>
      </c>
      <c r="E2101" t="n">
        <v>275.662</v>
      </c>
      <c r="F2101" t="n">
        <v>231.245</v>
      </c>
      <c r="G2101" t="n">
        <v>39.082</v>
      </c>
      <c r="H2101" t="inlineStr">
        <is>
          <t>MM</t>
        </is>
      </c>
    </row>
    <row r="2102">
      <c r="A2102" t="n">
        <v>15</v>
      </c>
      <c r="B2102" t="inlineStr">
        <is>
          <t>SS2</t>
        </is>
      </c>
      <c r="D2102" t="n">
        <v>18.9</v>
      </c>
      <c r="E2102" t="n">
        <v>271.684</v>
      </c>
      <c r="F2102" t="n">
        <v>275.501</v>
      </c>
      <c r="G2102" t="n">
        <v>65.381</v>
      </c>
      <c r="H2102" t="inlineStr">
        <is>
          <t>bb</t>
        </is>
      </c>
    </row>
    <row r="2103">
      <c r="A2103" t="n">
        <v>16</v>
      </c>
      <c r="B2103" t="inlineStr">
        <is>
          <t>SS3</t>
        </is>
      </c>
      <c r="D2103" t="n">
        <v>18.9</v>
      </c>
      <c r="E2103" t="n">
        <v>255.819</v>
      </c>
      <c r="F2103" t="n">
        <v>221.268</v>
      </c>
      <c r="G2103" t="n">
        <v>71.762</v>
      </c>
      <c r="H2103" t="inlineStr">
        <is>
          <t>bb</t>
        </is>
      </c>
    </row>
    <row r="2105">
      <c r="A2105" t="inlineStr">
        <is>
          <t>Compound 106:  m3 N-MeFOSAA 1</t>
        </is>
      </c>
    </row>
    <row r="2107">
      <c r="B2107" t="inlineStr">
        <is>
          <t>Sample Text</t>
        </is>
      </c>
      <c r="C2107" t="inlineStr">
        <is>
          <t>Std. Conc</t>
        </is>
      </c>
      <c r="D2107" t="inlineStr">
        <is>
          <t>RT</t>
        </is>
      </c>
      <c r="E2107" t="inlineStr">
        <is>
          <t>Area</t>
        </is>
      </c>
      <c r="F2107" t="inlineStr">
        <is>
          <t>IS Area</t>
        </is>
      </c>
      <c r="G2107" t="inlineStr">
        <is>
          <t>S/N</t>
        </is>
      </c>
      <c r="H2107" t="inlineStr">
        <is>
          <t>Primary Flags</t>
        </is>
      </c>
      <c r="I2107" t="inlineStr">
        <is>
          <t>Response</t>
        </is>
      </c>
      <c r="J2107" t="inlineStr">
        <is>
          <t>Conc.</t>
        </is>
      </c>
    </row>
    <row r="2108">
      <c r="A2108" t="n">
        <v>1</v>
      </c>
      <c r="B2108" t="inlineStr">
        <is>
          <t>EPA1633 &amp; diPAPs Calibration 0 ppb</t>
        </is>
      </c>
      <c r="D2108" t="n">
        <v>14.42</v>
      </c>
      <c r="E2108" t="n">
        <v>66948.406</v>
      </c>
      <c r="G2108" t="n">
        <v>1461.513</v>
      </c>
      <c r="H2108" t="inlineStr">
        <is>
          <t>bb</t>
        </is>
      </c>
      <c r="I2108" t="n">
        <v>66948.406</v>
      </c>
    </row>
    <row r="2109">
      <c r="A2109" t="n">
        <v>2</v>
      </c>
      <c r="B2109" t="inlineStr">
        <is>
          <t>EPA1633 &amp; diPAPs Calibration 0.02 ppb</t>
        </is>
      </c>
      <c r="D2109" t="n">
        <v>14.45</v>
      </c>
      <c r="E2109" t="n">
        <v>59700.34</v>
      </c>
      <c r="G2109" t="n">
        <v>1292.999</v>
      </c>
      <c r="H2109" t="inlineStr">
        <is>
          <t>bb</t>
        </is>
      </c>
      <c r="I2109" t="n">
        <v>59700.34</v>
      </c>
    </row>
    <row r="2110">
      <c r="A2110" t="n">
        <v>3</v>
      </c>
      <c r="B2110" t="inlineStr">
        <is>
          <t>EPA1633 &amp; diPAPs Calibration 0.1 ppb</t>
        </is>
      </c>
      <c r="D2110" t="n">
        <v>14.45</v>
      </c>
      <c r="E2110" t="n">
        <v>61532.309</v>
      </c>
      <c r="G2110" t="n">
        <v>2462.213</v>
      </c>
      <c r="H2110" t="inlineStr">
        <is>
          <t>bb</t>
        </is>
      </c>
      <c r="I2110" t="n">
        <v>61532.309</v>
      </c>
    </row>
    <row r="2111">
      <c r="A2111" t="n">
        <v>4</v>
      </c>
      <c r="B2111" t="inlineStr">
        <is>
          <t>EPA1633 &amp; diPAPs Calibration 0.4 ppb</t>
        </is>
      </c>
      <c r="D2111" t="n">
        <v>14.46</v>
      </c>
      <c r="E2111" t="n">
        <v>55660.844</v>
      </c>
      <c r="G2111" t="n">
        <v>602.516</v>
      </c>
      <c r="H2111" t="inlineStr">
        <is>
          <t>bb</t>
        </is>
      </c>
      <c r="I2111" t="n">
        <v>55660.844</v>
      </c>
    </row>
    <row r="2112">
      <c r="A2112" t="n">
        <v>5</v>
      </c>
      <c r="B2112" t="inlineStr">
        <is>
          <t>EPA1633 &amp; diPAPs Calibration 1 ppb</t>
        </is>
      </c>
      <c r="D2112" t="n">
        <v>14.46</v>
      </c>
      <c r="E2112" t="n">
        <v>65274.496</v>
      </c>
      <c r="G2112" t="n">
        <v>1330.07</v>
      </c>
      <c r="H2112" t="inlineStr">
        <is>
          <t>bb</t>
        </is>
      </c>
      <c r="I2112" t="n">
        <v>65274.496</v>
      </c>
    </row>
    <row r="2113">
      <c r="A2113" t="n">
        <v>6</v>
      </c>
      <c r="B2113" t="inlineStr">
        <is>
          <t>EPA1633 &amp; diPAPs Calibration 5 ppb</t>
        </is>
      </c>
      <c r="D2113" t="n">
        <v>14.4</v>
      </c>
      <c r="E2113" t="n">
        <v>54658.043</v>
      </c>
      <c r="G2113" t="n">
        <v>725.516</v>
      </c>
      <c r="H2113" t="inlineStr">
        <is>
          <t>bb</t>
        </is>
      </c>
      <c r="I2113" t="n">
        <v>54658.043</v>
      </c>
    </row>
    <row r="2114">
      <c r="A2114" t="n">
        <v>7</v>
      </c>
      <c r="B2114" t="inlineStr">
        <is>
          <t>EPA1633 &amp; diPAPs Calibration 10 ppb</t>
        </is>
      </c>
      <c r="D2114" t="n">
        <v>14.42</v>
      </c>
      <c r="E2114" t="n">
        <v>43532.867</v>
      </c>
      <c r="G2114" t="n">
        <v>233.186</v>
      </c>
      <c r="H2114" t="inlineStr">
        <is>
          <t>bb</t>
        </is>
      </c>
      <c r="I2114" t="n">
        <v>43532.867</v>
      </c>
    </row>
    <row r="2115">
      <c r="A2115" t="n">
        <v>8</v>
      </c>
      <c r="B2115" t="inlineStr">
        <is>
          <t>EPA1633 &amp; diPAPs Calibration 20 ppb</t>
        </is>
      </c>
      <c r="D2115" t="n">
        <v>14.43</v>
      </c>
      <c r="E2115" t="n">
        <v>49701.246</v>
      </c>
      <c r="G2115" t="n">
        <v>708.879</v>
      </c>
      <c r="H2115" t="inlineStr">
        <is>
          <t>bb</t>
        </is>
      </c>
      <c r="I2115" t="n">
        <v>49701.246</v>
      </c>
    </row>
    <row r="2116">
      <c r="A2116" t="n">
        <v>9</v>
      </c>
      <c r="B2116" t="inlineStr">
        <is>
          <t>MeOH</t>
        </is>
      </c>
      <c r="D2116" t="n">
        <v>14.49</v>
      </c>
      <c r="E2116" t="n">
        <v>47.897</v>
      </c>
      <c r="G2116" t="n">
        <v>368</v>
      </c>
      <c r="H2116" t="inlineStr">
        <is>
          <t>bb</t>
        </is>
      </c>
      <c r="I2116" t="n">
        <v>47.897</v>
      </c>
    </row>
    <row r="2117">
      <c r="A2117" t="n">
        <v>10</v>
      </c>
      <c r="B2117" t="inlineStr">
        <is>
          <t>MeOH</t>
        </is>
      </c>
      <c r="D2117" t="n">
        <v>14.49</v>
      </c>
      <c r="E2117" t="n">
        <v>20.298</v>
      </c>
      <c r="G2117" t="n">
        <v>62.815</v>
      </c>
      <c r="H2117" t="inlineStr">
        <is>
          <t>bb</t>
        </is>
      </c>
      <c r="I2117" t="n">
        <v>20.298</v>
      </c>
    </row>
    <row r="2118">
      <c r="A2118" t="n">
        <v>11</v>
      </c>
      <c r="B2118" t="inlineStr">
        <is>
          <t>SB1</t>
        </is>
      </c>
      <c r="D2118" t="n">
        <v>14.48</v>
      </c>
      <c r="E2118" t="n">
        <v>22850.369</v>
      </c>
      <c r="G2118" t="n">
        <v>180.099</v>
      </c>
      <c r="H2118" t="inlineStr">
        <is>
          <t>bb</t>
        </is>
      </c>
      <c r="I2118" t="n">
        <v>22850.369</v>
      </c>
    </row>
    <row r="2119">
      <c r="A2119" t="n">
        <v>12</v>
      </c>
      <c r="B2119" t="inlineStr">
        <is>
          <t>SB2</t>
        </is>
      </c>
      <c r="D2119" t="n">
        <v>14.48</v>
      </c>
      <c r="E2119" t="n">
        <v>22397.273</v>
      </c>
      <c r="G2119" t="n">
        <v>816.4640000000001</v>
      </c>
      <c r="H2119" t="inlineStr">
        <is>
          <t>bb</t>
        </is>
      </c>
      <c r="I2119" t="n">
        <v>22397.273</v>
      </c>
    </row>
    <row r="2120">
      <c r="A2120" t="n">
        <v>13</v>
      </c>
      <c r="B2120" t="inlineStr">
        <is>
          <t>SB3</t>
        </is>
      </c>
      <c r="D2120" t="n">
        <v>14.49</v>
      </c>
      <c r="E2120" t="n">
        <v>20408.439</v>
      </c>
      <c r="G2120" t="n">
        <v>114.042</v>
      </c>
      <c r="H2120" t="inlineStr">
        <is>
          <t>bb</t>
        </is>
      </c>
      <c r="I2120" t="n">
        <v>20408.439</v>
      </c>
    </row>
    <row r="2121">
      <c r="A2121" t="n">
        <v>14</v>
      </c>
      <c r="B2121" t="inlineStr">
        <is>
          <t>SS1</t>
        </is>
      </c>
      <c r="D2121" t="n">
        <v>14.51</v>
      </c>
      <c r="E2121" t="n">
        <v>20513.979</v>
      </c>
      <c r="G2121" t="n">
        <v>1048.529</v>
      </c>
      <c r="H2121" t="inlineStr">
        <is>
          <t>bb</t>
        </is>
      </c>
      <c r="I2121" t="n">
        <v>20513.979</v>
      </c>
    </row>
    <row r="2122">
      <c r="A2122" t="n">
        <v>15</v>
      </c>
      <c r="B2122" t="inlineStr">
        <is>
          <t>SS2</t>
        </is>
      </c>
      <c r="D2122" t="n">
        <v>14.52</v>
      </c>
      <c r="E2122" t="n">
        <v>22867.717</v>
      </c>
      <c r="G2122" t="n">
        <v>1661.606</v>
      </c>
      <c r="H2122" t="inlineStr">
        <is>
          <t>bb</t>
        </is>
      </c>
      <c r="I2122" t="n">
        <v>22867.717</v>
      </c>
    </row>
    <row r="2123">
      <c r="A2123" t="n">
        <v>16</v>
      </c>
      <c r="B2123" t="inlineStr">
        <is>
          <t>SS3</t>
        </is>
      </c>
      <c r="D2123" t="n">
        <v>14.52</v>
      </c>
      <c r="E2123" t="n">
        <v>20747.598</v>
      </c>
      <c r="G2123" t="n">
        <v>288.194</v>
      </c>
      <c r="H2123" t="inlineStr">
        <is>
          <t>bb</t>
        </is>
      </c>
      <c r="I2123" t="n">
        <v>20747.598</v>
      </c>
    </row>
    <row r="2125">
      <c r="A2125" t="inlineStr">
        <is>
          <t>Compound 107:  m3 N-MeFOSAA 2</t>
        </is>
      </c>
    </row>
    <row r="2127">
      <c r="B2127" t="inlineStr">
        <is>
          <t>Sample Text</t>
        </is>
      </c>
      <c r="C2127" t="inlineStr">
        <is>
          <t>Std. Conc</t>
        </is>
      </c>
      <c r="D2127" t="inlineStr">
        <is>
          <t>RT</t>
        </is>
      </c>
      <c r="E2127" t="inlineStr">
        <is>
          <t>Area</t>
        </is>
      </c>
      <c r="F2127" t="inlineStr">
        <is>
          <t>IS Area</t>
        </is>
      </c>
      <c r="G2127" t="inlineStr">
        <is>
          <t>S/N</t>
        </is>
      </c>
      <c r="H2127" t="inlineStr">
        <is>
          <t>Primary Flags</t>
        </is>
      </c>
      <c r="I2127" t="inlineStr">
        <is>
          <t>Response</t>
        </is>
      </c>
      <c r="J2127" t="inlineStr">
        <is>
          <t>Conc.</t>
        </is>
      </c>
    </row>
    <row r="2128">
      <c r="A2128" t="n">
        <v>1</v>
      </c>
      <c r="B2128" t="inlineStr">
        <is>
          <t>EPA1633 &amp; diPAPs Calibration 0 ppb</t>
        </is>
      </c>
      <c r="D2128" t="n">
        <v>14.42</v>
      </c>
      <c r="E2128" t="n">
        <v>27552.617</v>
      </c>
      <c r="G2128" t="n">
        <v>632.505</v>
      </c>
      <c r="H2128" t="inlineStr">
        <is>
          <t>bb</t>
        </is>
      </c>
      <c r="I2128" t="n">
        <v>27552.617</v>
      </c>
    </row>
    <row r="2129">
      <c r="A2129" t="n">
        <v>2</v>
      </c>
      <c r="B2129" t="inlineStr">
        <is>
          <t>EPA1633 &amp; diPAPs Calibration 0.02 ppb</t>
        </is>
      </c>
      <c r="D2129" t="n">
        <v>14.45</v>
      </c>
      <c r="E2129" t="n">
        <v>23288.723</v>
      </c>
      <c r="G2129" t="n">
        <v>340.694</v>
      </c>
      <c r="H2129" t="inlineStr">
        <is>
          <t>bb</t>
        </is>
      </c>
      <c r="I2129" t="n">
        <v>23288.723</v>
      </c>
    </row>
    <row r="2130">
      <c r="A2130" t="n">
        <v>3</v>
      </c>
      <c r="B2130" t="inlineStr">
        <is>
          <t>EPA1633 &amp; diPAPs Calibration 0.1 ppb</t>
        </is>
      </c>
      <c r="D2130" t="n">
        <v>14.45</v>
      </c>
      <c r="E2130" t="n">
        <v>24521.111</v>
      </c>
      <c r="G2130" t="n">
        <v>289.21</v>
      </c>
      <c r="H2130" t="inlineStr">
        <is>
          <t>bb</t>
        </is>
      </c>
      <c r="I2130" t="n">
        <v>24521.111</v>
      </c>
    </row>
    <row r="2131">
      <c r="A2131" t="n">
        <v>4</v>
      </c>
      <c r="B2131" t="inlineStr">
        <is>
          <t>EPA1633 &amp; diPAPs Calibration 0.4 ppb</t>
        </is>
      </c>
      <c r="D2131" t="n">
        <v>14.46</v>
      </c>
      <c r="E2131" t="n">
        <v>22443.777</v>
      </c>
      <c r="G2131" t="n">
        <v>110.639</v>
      </c>
      <c r="H2131" t="inlineStr">
        <is>
          <t>bb</t>
        </is>
      </c>
      <c r="I2131" t="n">
        <v>22443.777</v>
      </c>
    </row>
    <row r="2132">
      <c r="A2132" t="n">
        <v>5</v>
      </c>
      <c r="B2132" t="inlineStr">
        <is>
          <t>EPA1633 &amp; diPAPs Calibration 1 ppb</t>
        </is>
      </c>
      <c r="D2132" t="n">
        <v>14.46</v>
      </c>
      <c r="E2132" t="n">
        <v>25318.439</v>
      </c>
      <c r="G2132" t="n">
        <v>1014.107</v>
      </c>
      <c r="H2132" t="inlineStr">
        <is>
          <t>bb</t>
        </is>
      </c>
      <c r="I2132" t="n">
        <v>25318.439</v>
      </c>
    </row>
    <row r="2133">
      <c r="A2133" t="n">
        <v>6</v>
      </c>
      <c r="B2133" t="inlineStr">
        <is>
          <t>EPA1633 &amp; diPAPs Calibration 5 ppb</t>
        </is>
      </c>
      <c r="D2133" t="n">
        <v>14.4</v>
      </c>
      <c r="E2133" t="n">
        <v>20607.959</v>
      </c>
      <c r="G2133" t="n">
        <v>182.759</v>
      </c>
      <c r="H2133" t="inlineStr">
        <is>
          <t>bb</t>
        </is>
      </c>
      <c r="I2133" t="n">
        <v>20607.959</v>
      </c>
    </row>
    <row r="2134">
      <c r="A2134" t="n">
        <v>7</v>
      </c>
      <c r="B2134" t="inlineStr">
        <is>
          <t>EPA1633 &amp; diPAPs Calibration 10 ppb</t>
        </is>
      </c>
      <c r="D2134" t="n">
        <v>14.42</v>
      </c>
      <c r="E2134" t="n">
        <v>17506.748</v>
      </c>
      <c r="G2134" t="n">
        <v>260.786</v>
      </c>
      <c r="H2134" t="inlineStr">
        <is>
          <t>bb</t>
        </is>
      </c>
      <c r="I2134" t="n">
        <v>17506.748</v>
      </c>
    </row>
    <row r="2135">
      <c r="A2135" t="n">
        <v>8</v>
      </c>
      <c r="B2135" t="inlineStr">
        <is>
          <t>EPA1633 &amp; diPAPs Calibration 20 ppb</t>
        </is>
      </c>
      <c r="D2135" t="n">
        <v>14.43</v>
      </c>
      <c r="E2135" t="n">
        <v>19765.049</v>
      </c>
      <c r="G2135" t="n">
        <v>984.468</v>
      </c>
      <c r="H2135" t="inlineStr">
        <is>
          <t>bb</t>
        </is>
      </c>
      <c r="I2135" t="n">
        <v>19765.049</v>
      </c>
    </row>
    <row r="2136">
      <c r="A2136" t="n">
        <v>9</v>
      </c>
      <c r="B2136" t="inlineStr">
        <is>
          <t>MeOH</t>
        </is>
      </c>
      <c r="D2136" t="n">
        <v>14.04</v>
      </c>
      <c r="E2136" t="n">
        <v>66.075</v>
      </c>
      <c r="G2136" t="n">
        <v>2.133</v>
      </c>
      <c r="H2136" t="inlineStr">
        <is>
          <t>bb</t>
        </is>
      </c>
      <c r="I2136" t="n">
        <v>66.075</v>
      </c>
    </row>
    <row r="2137">
      <c r="A2137" t="n">
        <v>10</v>
      </c>
      <c r="B2137" t="inlineStr">
        <is>
          <t>MeOH</t>
        </is>
      </c>
      <c r="D2137" t="n">
        <v>14.35</v>
      </c>
      <c r="E2137" t="n">
        <v>183.957</v>
      </c>
      <c r="G2137" t="n">
        <v>5.4</v>
      </c>
      <c r="H2137" t="inlineStr">
        <is>
          <t>bb</t>
        </is>
      </c>
      <c r="I2137" t="n">
        <v>183.957</v>
      </c>
    </row>
    <row r="2138">
      <c r="A2138" t="n">
        <v>11</v>
      </c>
      <c r="B2138" t="inlineStr">
        <is>
          <t>SB1</t>
        </is>
      </c>
      <c r="D2138" t="n">
        <v>14.48</v>
      </c>
      <c r="E2138" t="n">
        <v>8514.804</v>
      </c>
      <c r="G2138" t="n">
        <v>171.67</v>
      </c>
      <c r="H2138" t="inlineStr">
        <is>
          <t>bb</t>
        </is>
      </c>
      <c r="I2138" t="n">
        <v>8514.804</v>
      </c>
    </row>
    <row r="2139">
      <c r="A2139" t="n">
        <v>12</v>
      </c>
      <c r="B2139" t="inlineStr">
        <is>
          <t>SB2</t>
        </is>
      </c>
      <c r="D2139" t="n">
        <v>14.48</v>
      </c>
      <c r="E2139" t="n">
        <v>8083.722</v>
      </c>
      <c r="G2139" t="n">
        <v>314.681</v>
      </c>
      <c r="H2139" t="inlineStr">
        <is>
          <t>bb</t>
        </is>
      </c>
      <c r="I2139" t="n">
        <v>8083.722</v>
      </c>
    </row>
    <row r="2140">
      <c r="A2140" t="n">
        <v>13</v>
      </c>
      <c r="B2140" t="inlineStr">
        <is>
          <t>SB3</t>
        </is>
      </c>
      <c r="D2140" t="n">
        <v>14.49</v>
      </c>
      <c r="E2140" t="n">
        <v>7758.756</v>
      </c>
      <c r="G2140" t="n">
        <v>135.254</v>
      </c>
      <c r="H2140" t="inlineStr">
        <is>
          <t>bd</t>
        </is>
      </c>
      <c r="I2140" t="n">
        <v>7758.756</v>
      </c>
    </row>
    <row r="2141">
      <c r="A2141" t="n">
        <v>14</v>
      </c>
      <c r="B2141" t="inlineStr">
        <is>
          <t>SS1</t>
        </is>
      </c>
      <c r="D2141" t="n">
        <v>14.51</v>
      </c>
      <c r="E2141" t="n">
        <v>8307.972</v>
      </c>
      <c r="G2141" t="n">
        <v>133.769</v>
      </c>
      <c r="H2141" t="inlineStr">
        <is>
          <t>bb</t>
        </is>
      </c>
      <c r="I2141" t="n">
        <v>8307.972</v>
      </c>
    </row>
    <row r="2142">
      <c r="A2142" t="n">
        <v>15</v>
      </c>
      <c r="B2142" t="inlineStr">
        <is>
          <t>SS2</t>
        </is>
      </c>
      <c r="D2142" t="n">
        <v>14.51</v>
      </c>
      <c r="E2142" t="n">
        <v>8575.522000000001</v>
      </c>
      <c r="G2142" t="n">
        <v>422.932</v>
      </c>
      <c r="H2142" t="inlineStr">
        <is>
          <t>bb</t>
        </is>
      </c>
      <c r="I2142" t="n">
        <v>8575.522000000001</v>
      </c>
    </row>
    <row r="2143">
      <c r="A2143" t="n">
        <v>16</v>
      </c>
      <c r="B2143" t="inlineStr">
        <is>
          <t>SS3</t>
        </is>
      </c>
      <c r="D2143" t="n">
        <v>14.52</v>
      </c>
      <c r="E2143" t="n">
        <v>8175.201</v>
      </c>
      <c r="G2143" t="n">
        <v>108.942</v>
      </c>
      <c r="H2143" t="inlineStr">
        <is>
          <t>bb</t>
        </is>
      </c>
      <c r="I2143" t="n">
        <v>8175.201</v>
      </c>
    </row>
    <row r="2145">
      <c r="A2145" t="inlineStr">
        <is>
          <t>Compound 108:  m9 N-EtFOSE 1</t>
        </is>
      </c>
    </row>
    <row r="2147">
      <c r="B2147" t="inlineStr">
        <is>
          <t>Sample Text</t>
        </is>
      </c>
      <c r="C2147" t="inlineStr">
        <is>
          <t>Std. Conc</t>
        </is>
      </c>
      <c r="D2147" t="inlineStr">
        <is>
          <t>RT</t>
        </is>
      </c>
      <c r="E2147" t="inlineStr">
        <is>
          <t>Area</t>
        </is>
      </c>
      <c r="F2147" t="inlineStr">
        <is>
          <t>IS Area</t>
        </is>
      </c>
      <c r="G2147" t="inlineStr">
        <is>
          <t>S/N</t>
        </is>
      </c>
      <c r="H2147" t="inlineStr">
        <is>
          <t>Primary Flags</t>
        </is>
      </c>
      <c r="I2147" t="inlineStr">
        <is>
          <t>Response</t>
        </is>
      </c>
      <c r="J2147" t="inlineStr">
        <is>
          <t>Conc.</t>
        </is>
      </c>
    </row>
    <row r="2148">
      <c r="A2148" t="n">
        <v>1</v>
      </c>
      <c r="B2148" t="inlineStr">
        <is>
          <t>EPA1633 &amp; diPAPs Calibration 0 ppb</t>
        </is>
      </c>
      <c r="D2148" t="n">
        <v>18.82</v>
      </c>
      <c r="E2148" t="n">
        <v>4028.771</v>
      </c>
      <c r="G2148" t="n">
        <v>3546.84</v>
      </c>
      <c r="H2148" t="inlineStr">
        <is>
          <t>bb</t>
        </is>
      </c>
      <c r="I2148" t="n">
        <v>4028.771</v>
      </c>
    </row>
    <row r="2149">
      <c r="A2149" t="n">
        <v>2</v>
      </c>
      <c r="B2149" t="inlineStr">
        <is>
          <t>EPA1633 &amp; diPAPs Calibration 0.02 ppb</t>
        </is>
      </c>
      <c r="D2149" t="n">
        <v>18.83</v>
      </c>
      <c r="E2149" t="n">
        <v>3693.433</v>
      </c>
      <c r="G2149" t="n">
        <v>2012.182</v>
      </c>
      <c r="H2149" t="inlineStr">
        <is>
          <t>bb</t>
        </is>
      </c>
      <c r="I2149" t="n">
        <v>3693.433</v>
      </c>
    </row>
    <row r="2150">
      <c r="A2150" t="n">
        <v>3</v>
      </c>
      <c r="B2150" t="inlineStr">
        <is>
          <t>EPA1633 &amp; diPAPs Calibration 0.1 ppb</t>
        </is>
      </c>
      <c r="D2150" t="n">
        <v>18.83</v>
      </c>
      <c r="E2150" t="n">
        <v>3784.583</v>
      </c>
      <c r="G2150" t="n">
        <v>1392.709</v>
      </c>
      <c r="H2150" t="inlineStr">
        <is>
          <t>bb</t>
        </is>
      </c>
      <c r="I2150" t="n">
        <v>3784.583</v>
      </c>
    </row>
    <row r="2151">
      <c r="A2151" t="n">
        <v>4</v>
      </c>
      <c r="B2151" t="inlineStr">
        <is>
          <t>EPA1633 &amp; diPAPs Calibration 0.4 ppb</t>
        </is>
      </c>
      <c r="D2151" t="n">
        <v>18.84</v>
      </c>
      <c r="E2151" t="n">
        <v>3633.396</v>
      </c>
      <c r="G2151" t="n">
        <v>1166.595</v>
      </c>
      <c r="H2151" t="inlineStr">
        <is>
          <t>bb</t>
        </is>
      </c>
      <c r="I2151" t="n">
        <v>3633.396</v>
      </c>
    </row>
    <row r="2152">
      <c r="A2152" t="n">
        <v>5</v>
      </c>
      <c r="B2152" t="inlineStr">
        <is>
          <t>EPA1633 &amp; diPAPs Calibration 1 ppb</t>
        </is>
      </c>
      <c r="D2152" t="n">
        <v>18.81</v>
      </c>
      <c r="E2152" t="n">
        <v>4115.012</v>
      </c>
      <c r="G2152" t="n">
        <v>4226.206</v>
      </c>
      <c r="H2152" t="inlineStr">
        <is>
          <t>bb</t>
        </is>
      </c>
      <c r="I2152" t="n">
        <v>4115.012</v>
      </c>
    </row>
    <row r="2153">
      <c r="A2153" t="n">
        <v>6</v>
      </c>
      <c r="B2153" t="inlineStr">
        <is>
          <t>EPA1633 &amp; diPAPs Calibration 5 ppb</t>
        </is>
      </c>
      <c r="D2153" t="n">
        <v>18.81</v>
      </c>
      <c r="E2153" t="n">
        <v>3380.772</v>
      </c>
      <c r="G2153" t="n">
        <v>2326.911</v>
      </c>
      <c r="H2153" t="inlineStr">
        <is>
          <t>bb</t>
        </is>
      </c>
      <c r="I2153" t="n">
        <v>3380.772</v>
      </c>
    </row>
    <row r="2154">
      <c r="A2154" t="n">
        <v>7</v>
      </c>
      <c r="B2154" t="inlineStr">
        <is>
          <t>EPA1633 &amp; diPAPs Calibration 10 ppb</t>
        </is>
      </c>
      <c r="D2154" t="n">
        <v>18.81</v>
      </c>
      <c r="E2154" t="n">
        <v>2952.945</v>
      </c>
      <c r="G2154" t="n">
        <v>2240.537</v>
      </c>
      <c r="H2154" t="inlineStr">
        <is>
          <t>bb</t>
        </is>
      </c>
      <c r="I2154" t="n">
        <v>2952.945</v>
      </c>
    </row>
    <row r="2155">
      <c r="A2155" t="n">
        <v>8</v>
      </c>
      <c r="B2155" t="inlineStr">
        <is>
          <t>EPA1633 &amp; diPAPs Calibration 20 ppb</t>
        </is>
      </c>
      <c r="D2155" t="n">
        <v>18.82</v>
      </c>
      <c r="E2155" t="n">
        <v>3244.369</v>
      </c>
      <c r="G2155" t="n">
        <v>1119.869</v>
      </c>
      <c r="H2155" t="inlineStr">
        <is>
          <t>bb</t>
        </is>
      </c>
      <c r="I2155" t="n">
        <v>3244.369</v>
      </c>
    </row>
    <row r="2156">
      <c r="A2156" t="n">
        <v>9</v>
      </c>
      <c r="B2156" t="inlineStr">
        <is>
          <t>MeOH</t>
        </is>
      </c>
      <c r="D2156" t="n">
        <v>18.83</v>
      </c>
      <c r="E2156" t="n">
        <v>96.73</v>
      </c>
      <c r="G2156" t="n">
        <v>276.125</v>
      </c>
      <c r="H2156" t="inlineStr">
        <is>
          <t>bb</t>
        </is>
      </c>
      <c r="I2156" t="n">
        <v>96.73</v>
      </c>
    </row>
    <row r="2157">
      <c r="A2157" t="n">
        <v>10</v>
      </c>
      <c r="B2157" t="inlineStr">
        <is>
          <t>MeOH</t>
        </is>
      </c>
      <c r="D2157" t="n">
        <v>18.84</v>
      </c>
      <c r="E2157" t="n">
        <v>27.687</v>
      </c>
      <c r="G2157" t="n">
        <v>21.587</v>
      </c>
      <c r="H2157" t="inlineStr">
        <is>
          <t>bb</t>
        </is>
      </c>
      <c r="I2157" t="n">
        <v>27.687</v>
      </c>
    </row>
    <row r="2158">
      <c r="A2158" t="n">
        <v>11</v>
      </c>
      <c r="B2158" t="inlineStr">
        <is>
          <t>SB1</t>
        </is>
      </c>
      <c r="D2158" t="n">
        <v>18.84</v>
      </c>
      <c r="E2158" t="n">
        <v>1283.732</v>
      </c>
      <c r="G2158" t="n">
        <v>1789.525</v>
      </c>
      <c r="H2158" t="inlineStr">
        <is>
          <t>bb</t>
        </is>
      </c>
      <c r="I2158" t="n">
        <v>1283.732</v>
      </c>
    </row>
    <row r="2159">
      <c r="A2159" t="n">
        <v>12</v>
      </c>
      <c r="B2159" t="inlineStr">
        <is>
          <t>SB2</t>
        </is>
      </c>
      <c r="D2159" t="n">
        <v>18.84</v>
      </c>
      <c r="E2159" t="n">
        <v>1194.124</v>
      </c>
      <c r="G2159" t="n">
        <v>1130.156</v>
      </c>
      <c r="H2159" t="inlineStr">
        <is>
          <t>bb</t>
        </is>
      </c>
      <c r="I2159" t="n">
        <v>1194.124</v>
      </c>
    </row>
    <row r="2160">
      <c r="A2160" t="n">
        <v>13</v>
      </c>
      <c r="B2160" t="inlineStr">
        <is>
          <t>SB3</t>
        </is>
      </c>
      <c r="D2160" t="n">
        <v>18.84</v>
      </c>
      <c r="E2160" t="n">
        <v>1266.078</v>
      </c>
      <c r="G2160" t="n">
        <v>732.857</v>
      </c>
      <c r="H2160" t="inlineStr">
        <is>
          <t>bb</t>
        </is>
      </c>
      <c r="I2160" t="n">
        <v>1266.078</v>
      </c>
    </row>
    <row r="2161">
      <c r="A2161" t="n">
        <v>14</v>
      </c>
      <c r="B2161" t="inlineStr">
        <is>
          <t>SS1</t>
        </is>
      </c>
      <c r="D2161" t="n">
        <v>18.85</v>
      </c>
      <c r="E2161" t="n">
        <v>1121.533</v>
      </c>
      <c r="G2161" t="n">
        <v>4424.103</v>
      </c>
      <c r="H2161" t="inlineStr">
        <is>
          <t>bb</t>
        </is>
      </c>
      <c r="I2161" t="n">
        <v>1121.533</v>
      </c>
    </row>
    <row r="2162">
      <c r="A2162" t="n">
        <v>15</v>
      </c>
      <c r="B2162" t="inlineStr">
        <is>
          <t>SS2</t>
        </is>
      </c>
      <c r="D2162" t="n">
        <v>18.86</v>
      </c>
      <c r="E2162" t="n">
        <v>1236.175</v>
      </c>
      <c r="G2162" t="n">
        <v>2166.584</v>
      </c>
      <c r="H2162" t="inlineStr">
        <is>
          <t>bb</t>
        </is>
      </c>
      <c r="I2162" t="n">
        <v>1236.175</v>
      </c>
    </row>
    <row r="2163">
      <c r="A2163" t="n">
        <v>16</v>
      </c>
      <c r="B2163" t="inlineStr">
        <is>
          <t>SS3</t>
        </is>
      </c>
      <c r="D2163" t="n">
        <v>18.86</v>
      </c>
      <c r="E2163" t="n">
        <v>1076.699</v>
      </c>
      <c r="G2163" t="n">
        <v>419.096</v>
      </c>
      <c r="H2163" t="inlineStr">
        <is>
          <t>bb</t>
        </is>
      </c>
      <c r="I2163" t="n">
        <v>1076.699</v>
      </c>
    </row>
    <row r="2165">
      <c r="A2165" t="inlineStr">
        <is>
          <t>Compound 109:  m9 N-EtFOSE 2</t>
        </is>
      </c>
    </row>
    <row r="2167">
      <c r="B2167" t="inlineStr">
        <is>
          <t>Sample Text</t>
        </is>
      </c>
      <c r="C2167" t="inlineStr">
        <is>
          <t>Std. Conc</t>
        </is>
      </c>
      <c r="D2167" t="inlineStr">
        <is>
          <t>RT</t>
        </is>
      </c>
      <c r="E2167" t="inlineStr">
        <is>
          <t>Area</t>
        </is>
      </c>
      <c r="F2167" t="inlineStr">
        <is>
          <t>IS Area</t>
        </is>
      </c>
      <c r="G2167" t="inlineStr">
        <is>
          <t>S/N</t>
        </is>
      </c>
      <c r="H2167" t="inlineStr">
        <is>
          <t>Primary Flags</t>
        </is>
      </c>
      <c r="I2167" t="inlineStr">
        <is>
          <t>Response</t>
        </is>
      </c>
      <c r="J2167" t="inlineStr">
        <is>
          <t>Conc.</t>
        </is>
      </c>
    </row>
    <row r="2168">
      <c r="A2168" t="n">
        <v>1</v>
      </c>
      <c r="B2168" t="inlineStr">
        <is>
          <t>EPA1633 &amp; diPAPs Calibration 0 ppb</t>
        </is>
      </c>
      <c r="D2168" t="n">
        <v>18.82</v>
      </c>
      <c r="E2168" t="n">
        <v>863.603</v>
      </c>
      <c r="G2168" t="n">
        <v>432.927</v>
      </c>
      <c r="H2168" t="inlineStr">
        <is>
          <t>bb</t>
        </is>
      </c>
      <c r="I2168" t="n">
        <v>863.603</v>
      </c>
    </row>
    <row r="2169">
      <c r="A2169" t="n">
        <v>2</v>
      </c>
      <c r="B2169" t="inlineStr">
        <is>
          <t>EPA1633 &amp; diPAPs Calibration 0.02 ppb</t>
        </is>
      </c>
      <c r="D2169" t="n">
        <v>18.83</v>
      </c>
      <c r="E2169" t="n">
        <v>880.98</v>
      </c>
      <c r="G2169" t="n">
        <v>309.571</v>
      </c>
      <c r="H2169" t="inlineStr">
        <is>
          <t>bb</t>
        </is>
      </c>
      <c r="I2169" t="n">
        <v>880.98</v>
      </c>
    </row>
    <row r="2170">
      <c r="A2170" t="n">
        <v>3</v>
      </c>
      <c r="B2170" t="inlineStr">
        <is>
          <t>EPA1633 &amp; diPAPs Calibration 0.1 ppb</t>
        </is>
      </c>
      <c r="D2170" t="n">
        <v>18.83</v>
      </c>
      <c r="E2170" t="n">
        <v>883.397</v>
      </c>
      <c r="G2170" t="n">
        <v>5486.604</v>
      </c>
      <c r="H2170" t="inlineStr">
        <is>
          <t>bb</t>
        </is>
      </c>
      <c r="I2170" t="n">
        <v>883.397</v>
      </c>
    </row>
    <row r="2171">
      <c r="A2171" t="n">
        <v>4</v>
      </c>
      <c r="B2171" t="inlineStr">
        <is>
          <t>EPA1633 &amp; diPAPs Calibration 0.4 ppb</t>
        </is>
      </c>
      <c r="D2171" t="n">
        <v>18.84</v>
      </c>
      <c r="E2171" t="n">
        <v>875.073</v>
      </c>
      <c r="G2171" t="n">
        <v>303.54</v>
      </c>
      <c r="H2171" t="inlineStr">
        <is>
          <t>bb</t>
        </is>
      </c>
      <c r="I2171" t="n">
        <v>875.073</v>
      </c>
    </row>
    <row r="2172">
      <c r="A2172" t="n">
        <v>5</v>
      </c>
      <c r="B2172" t="inlineStr">
        <is>
          <t>EPA1633 &amp; diPAPs Calibration 1 ppb</t>
        </is>
      </c>
      <c r="D2172" t="n">
        <v>18.81</v>
      </c>
      <c r="E2172" t="n">
        <v>947.532</v>
      </c>
      <c r="G2172" t="n">
        <v>1492.151</v>
      </c>
      <c r="H2172" t="inlineStr">
        <is>
          <t>bb</t>
        </is>
      </c>
      <c r="I2172" t="n">
        <v>947.532</v>
      </c>
    </row>
    <row r="2173">
      <c r="A2173" t="n">
        <v>6</v>
      </c>
      <c r="B2173" t="inlineStr">
        <is>
          <t>EPA1633 &amp; diPAPs Calibration 5 ppb</t>
        </is>
      </c>
      <c r="D2173" t="n">
        <v>18.82</v>
      </c>
      <c r="E2173" t="n">
        <v>789.326</v>
      </c>
      <c r="G2173" t="n">
        <v>193.076</v>
      </c>
      <c r="H2173" t="inlineStr">
        <is>
          <t>bb</t>
        </is>
      </c>
      <c r="I2173" t="n">
        <v>789.326</v>
      </c>
    </row>
    <row r="2174">
      <c r="A2174" t="n">
        <v>7</v>
      </c>
      <c r="B2174" t="inlineStr">
        <is>
          <t>EPA1633 &amp; diPAPs Calibration 10 ppb</t>
        </is>
      </c>
      <c r="D2174" t="n">
        <v>18.82</v>
      </c>
      <c r="E2174" t="n">
        <v>632.259</v>
      </c>
      <c r="G2174" t="n">
        <v>312.102</v>
      </c>
      <c r="H2174" t="inlineStr">
        <is>
          <t>bb</t>
        </is>
      </c>
      <c r="I2174" t="n">
        <v>632.259</v>
      </c>
    </row>
    <row r="2175">
      <c r="A2175" t="n">
        <v>8</v>
      </c>
      <c r="B2175" t="inlineStr">
        <is>
          <t>EPA1633 &amp; diPAPs Calibration 20 ppb</t>
        </is>
      </c>
      <c r="D2175" t="n">
        <v>18.82</v>
      </c>
      <c r="E2175" t="n">
        <v>756.328</v>
      </c>
      <c r="G2175" t="n">
        <v>651.37</v>
      </c>
      <c r="H2175" t="inlineStr">
        <is>
          <t>bb</t>
        </is>
      </c>
      <c r="I2175" t="n">
        <v>756.328</v>
      </c>
    </row>
    <row r="2176">
      <c r="A2176" t="n">
        <v>9</v>
      </c>
      <c r="B2176" t="inlineStr">
        <is>
          <t>MeOH</t>
        </is>
      </c>
      <c r="D2176" t="n">
        <v>18.84</v>
      </c>
      <c r="E2176" t="n">
        <v>24.043</v>
      </c>
      <c r="G2176" t="n">
        <v>13.401</v>
      </c>
      <c r="H2176" t="inlineStr">
        <is>
          <t>bb</t>
        </is>
      </c>
      <c r="I2176" t="n">
        <v>24.043</v>
      </c>
    </row>
    <row r="2177">
      <c r="A2177" t="n">
        <v>10</v>
      </c>
      <c r="B2177" t="inlineStr">
        <is>
          <t>MeOH</t>
        </is>
      </c>
      <c r="D2177" t="n">
        <v>18.89</v>
      </c>
      <c r="E2177" t="n">
        <v>3.859</v>
      </c>
      <c r="G2177" t="n">
        <v>7.732</v>
      </c>
      <c r="H2177" t="inlineStr">
        <is>
          <t>bb</t>
        </is>
      </c>
      <c r="I2177" t="n">
        <v>3.859</v>
      </c>
    </row>
    <row r="2178">
      <c r="A2178" t="n">
        <v>11</v>
      </c>
      <c r="B2178" t="inlineStr">
        <is>
          <t>SB1</t>
        </is>
      </c>
      <c r="D2178" t="n">
        <v>18.84</v>
      </c>
      <c r="E2178" t="n">
        <v>271.561</v>
      </c>
      <c r="G2178" t="n">
        <v>191.988</v>
      </c>
      <c r="H2178" t="inlineStr">
        <is>
          <t>bb</t>
        </is>
      </c>
      <c r="I2178" t="n">
        <v>271.561</v>
      </c>
    </row>
    <row r="2179">
      <c r="A2179" t="n">
        <v>12</v>
      </c>
      <c r="B2179" t="inlineStr">
        <is>
          <t>SB2</t>
        </is>
      </c>
      <c r="D2179" t="n">
        <v>18.84</v>
      </c>
      <c r="E2179" t="n">
        <v>278.047</v>
      </c>
      <c r="G2179" t="n">
        <v>250.629</v>
      </c>
      <c r="H2179" t="inlineStr">
        <is>
          <t>bb</t>
        </is>
      </c>
      <c r="I2179" t="n">
        <v>278.047</v>
      </c>
    </row>
    <row r="2180">
      <c r="A2180" t="n">
        <v>13</v>
      </c>
      <c r="B2180" t="inlineStr">
        <is>
          <t>SB3</t>
        </is>
      </c>
      <c r="D2180" t="n">
        <v>18.84</v>
      </c>
      <c r="E2180" t="n">
        <v>309.649</v>
      </c>
      <c r="G2180" t="n">
        <v>171.032</v>
      </c>
      <c r="H2180" t="inlineStr">
        <is>
          <t>bb</t>
        </is>
      </c>
      <c r="I2180" t="n">
        <v>309.649</v>
      </c>
    </row>
    <row r="2181">
      <c r="A2181" t="n">
        <v>14</v>
      </c>
      <c r="B2181" t="inlineStr">
        <is>
          <t>SS1</t>
        </is>
      </c>
      <c r="D2181" t="n">
        <v>18.85</v>
      </c>
      <c r="E2181" t="n">
        <v>231.245</v>
      </c>
      <c r="G2181" t="n">
        <v>62.695</v>
      </c>
      <c r="H2181" t="inlineStr">
        <is>
          <t>bb</t>
        </is>
      </c>
      <c r="I2181" t="n">
        <v>231.245</v>
      </c>
    </row>
    <row r="2182">
      <c r="A2182" t="n">
        <v>15</v>
      </c>
      <c r="B2182" t="inlineStr">
        <is>
          <t>SS2</t>
        </is>
      </c>
      <c r="D2182" t="n">
        <v>18.86</v>
      </c>
      <c r="E2182" t="n">
        <v>275.501</v>
      </c>
      <c r="G2182" t="n">
        <v>1372.012</v>
      </c>
      <c r="H2182" t="inlineStr">
        <is>
          <t>bb</t>
        </is>
      </c>
      <c r="I2182" t="n">
        <v>275.501</v>
      </c>
    </row>
    <row r="2183">
      <c r="A2183" t="n">
        <v>16</v>
      </c>
      <c r="B2183" t="inlineStr">
        <is>
          <t>SS3</t>
        </is>
      </c>
      <c r="D2183" t="n">
        <v>18.87</v>
      </c>
      <c r="E2183" t="n">
        <v>221.268</v>
      </c>
      <c r="G2183" t="n">
        <v>104.34</v>
      </c>
      <c r="H2183" t="inlineStr">
        <is>
          <t>bb</t>
        </is>
      </c>
      <c r="I2183" t="n">
        <v>221.268</v>
      </c>
    </row>
    <row r="2185">
      <c r="A2185" t="inlineStr">
        <is>
          <t>Compound 110:  N-EtFOSAA 1</t>
        </is>
      </c>
    </row>
    <row r="2187">
      <c r="B2187" t="inlineStr">
        <is>
          <t>Sample Text</t>
        </is>
      </c>
      <c r="C2187" t="inlineStr">
        <is>
          <t>Std. Conc</t>
        </is>
      </c>
      <c r="D2187" t="inlineStr">
        <is>
          <t>RT</t>
        </is>
      </c>
      <c r="E2187" t="inlineStr">
        <is>
          <t>Area</t>
        </is>
      </c>
      <c r="F2187" t="inlineStr">
        <is>
          <t>IS Area</t>
        </is>
      </c>
      <c r="G2187" t="inlineStr">
        <is>
          <t>S/N</t>
        </is>
      </c>
      <c r="H2187" t="inlineStr">
        <is>
          <t>Primary Flags</t>
        </is>
      </c>
      <c r="I2187" t="inlineStr">
        <is>
          <t>Response</t>
        </is>
      </c>
      <c r="J2187" t="inlineStr">
        <is>
          <t>Conc.</t>
        </is>
      </c>
    </row>
    <row r="2188">
      <c r="A2188" t="n">
        <v>1</v>
      </c>
      <c r="B2188" t="inlineStr">
        <is>
          <t>EPA1633 &amp; diPAPs Calibration 0 ppb</t>
        </is>
      </c>
      <c r="D2188" t="n">
        <v>14.89</v>
      </c>
      <c r="E2188" t="n">
        <v>174.231</v>
      </c>
      <c r="F2188" t="n">
        <v>65057.813</v>
      </c>
      <c r="G2188" t="n">
        <v>2.414</v>
      </c>
      <c r="H2188" t="inlineStr">
        <is>
          <t>bb</t>
        </is>
      </c>
    </row>
    <row r="2189">
      <c r="A2189" t="n">
        <v>2</v>
      </c>
      <c r="B2189" t="inlineStr">
        <is>
          <t>EPA1633 &amp; diPAPs Calibration 0.02 ppb</t>
        </is>
      </c>
      <c r="D2189" t="n">
        <v>14.91</v>
      </c>
      <c r="E2189" t="n">
        <v>343.613</v>
      </c>
      <c r="F2189" t="n">
        <v>57750.676</v>
      </c>
      <c r="G2189" t="n">
        <v>2173</v>
      </c>
      <c r="H2189" t="inlineStr">
        <is>
          <t>MM</t>
        </is>
      </c>
    </row>
    <row r="2190">
      <c r="A2190" t="n">
        <v>3</v>
      </c>
      <c r="B2190" t="inlineStr">
        <is>
          <t>EPA1633 &amp; diPAPs Calibration 0.1 ppb</t>
        </is>
      </c>
      <c r="D2190" t="n">
        <v>14.91</v>
      </c>
      <c r="E2190" t="n">
        <v>676.687</v>
      </c>
      <c r="F2190" t="n">
        <v>59400.441</v>
      </c>
      <c r="G2190" t="n">
        <v>7.153</v>
      </c>
      <c r="H2190" t="inlineStr">
        <is>
          <t>bb</t>
        </is>
      </c>
    </row>
    <row r="2191">
      <c r="A2191" t="n">
        <v>4</v>
      </c>
      <c r="B2191" t="inlineStr">
        <is>
          <t>EPA1633 &amp; diPAPs Calibration 0.4 ppb</t>
        </is>
      </c>
      <c r="D2191" t="n">
        <v>14.93</v>
      </c>
      <c r="E2191" t="n">
        <v>2795.131</v>
      </c>
      <c r="F2191" t="n">
        <v>50625.988</v>
      </c>
      <c r="G2191" t="n">
        <v>17002</v>
      </c>
      <c r="H2191" t="inlineStr">
        <is>
          <t>bb</t>
        </is>
      </c>
    </row>
    <row r="2192">
      <c r="A2192" t="n">
        <v>5</v>
      </c>
      <c r="B2192" t="inlineStr">
        <is>
          <t>EPA1633 &amp; diPAPs Calibration 1 ppb</t>
        </is>
      </c>
      <c r="D2192" t="n">
        <v>14.91</v>
      </c>
      <c r="E2192" t="n">
        <v>4300.565</v>
      </c>
      <c r="F2192" t="n">
        <v>60298.527</v>
      </c>
      <c r="G2192" t="n">
        <v>68.82299999999999</v>
      </c>
      <c r="H2192" t="inlineStr">
        <is>
          <t>MM</t>
        </is>
      </c>
    </row>
    <row r="2193">
      <c r="A2193" t="n">
        <v>6</v>
      </c>
      <c r="B2193" t="inlineStr">
        <is>
          <t>EPA1633 &amp; diPAPs Calibration 5 ppb</t>
        </is>
      </c>
      <c r="D2193" t="n">
        <v>14.88</v>
      </c>
      <c r="E2193" t="n">
        <v>22214.008</v>
      </c>
      <c r="F2193" t="n">
        <v>51469.859</v>
      </c>
      <c r="G2193" t="n">
        <v>415.062</v>
      </c>
      <c r="H2193" t="inlineStr">
        <is>
          <t>MM</t>
        </is>
      </c>
    </row>
    <row r="2194">
      <c r="A2194" t="n">
        <v>7</v>
      </c>
      <c r="B2194" t="inlineStr">
        <is>
          <t>EPA1633 &amp; diPAPs Calibration 10 ppb</t>
        </is>
      </c>
      <c r="D2194" t="n">
        <v>14.89</v>
      </c>
      <c r="E2194" t="n">
        <v>37532.332</v>
      </c>
      <c r="F2194" t="n">
        <v>41948.844</v>
      </c>
      <c r="G2194" t="n">
        <v>828.566</v>
      </c>
      <c r="H2194" t="inlineStr">
        <is>
          <t>MM</t>
        </is>
      </c>
    </row>
    <row r="2195">
      <c r="A2195" t="n">
        <v>8</v>
      </c>
      <c r="B2195" t="inlineStr">
        <is>
          <t>EPA1633 &amp; diPAPs Calibration 20 ppb</t>
        </is>
      </c>
      <c r="D2195" t="n">
        <v>14.91</v>
      </c>
      <c r="E2195" t="n">
        <v>77194.711</v>
      </c>
      <c r="F2195" t="n">
        <v>45131.258</v>
      </c>
      <c r="G2195" t="n">
        <v>650.647</v>
      </c>
      <c r="H2195" t="inlineStr">
        <is>
          <t>MM</t>
        </is>
      </c>
    </row>
    <row r="2196">
      <c r="A2196" t="n">
        <v>9</v>
      </c>
      <c r="B2196" t="inlineStr">
        <is>
          <t>MeOH</t>
        </is>
      </c>
      <c r="D2196" t="n">
        <v>14.93</v>
      </c>
      <c r="E2196" t="n">
        <v>43.64</v>
      </c>
      <c r="F2196" t="n">
        <v>64.01600000000001</v>
      </c>
      <c r="G2196" t="n">
        <v>2.809</v>
      </c>
      <c r="H2196" t="inlineStr">
        <is>
          <t>bb</t>
        </is>
      </c>
    </row>
    <row r="2197">
      <c r="A2197" t="n">
        <v>10</v>
      </c>
      <c r="B2197" t="inlineStr">
        <is>
          <t>MeOH</t>
        </is>
      </c>
      <c r="D2197" t="n">
        <v>14.96</v>
      </c>
      <c r="E2197" t="n">
        <v>109.797</v>
      </c>
      <c r="F2197" t="n">
        <v>14.842</v>
      </c>
      <c r="G2197" t="n">
        <v>10.141</v>
      </c>
      <c r="H2197" t="inlineStr">
        <is>
          <t>bb</t>
        </is>
      </c>
    </row>
    <row r="2198">
      <c r="A2198" t="n">
        <v>11</v>
      </c>
      <c r="B2198" t="inlineStr">
        <is>
          <t>SB1</t>
        </is>
      </c>
      <c r="F2198" t="n">
        <v>19023.547</v>
      </c>
    </row>
    <row r="2199">
      <c r="A2199" t="n">
        <v>12</v>
      </c>
      <c r="B2199" t="inlineStr">
        <is>
          <t>SB2</t>
        </is>
      </c>
      <c r="D2199" t="n">
        <v>14.93</v>
      </c>
      <c r="E2199" t="n">
        <v>19.087</v>
      </c>
      <c r="F2199" t="n">
        <v>19876.041</v>
      </c>
      <c r="G2199" t="n">
        <v>164</v>
      </c>
      <c r="H2199" t="inlineStr">
        <is>
          <t>bb</t>
        </is>
      </c>
    </row>
    <row r="2200">
      <c r="A2200" t="n">
        <v>13</v>
      </c>
      <c r="B2200" t="inlineStr">
        <is>
          <t>SB3</t>
        </is>
      </c>
      <c r="F2200" t="n">
        <v>19622.186</v>
      </c>
    </row>
    <row r="2201">
      <c r="A2201" t="n">
        <v>14</v>
      </c>
      <c r="B2201" t="inlineStr">
        <is>
          <t>SS1</t>
        </is>
      </c>
      <c r="D2201" t="n">
        <v>14.97</v>
      </c>
      <c r="E2201" t="n">
        <v>14167.78</v>
      </c>
      <c r="F2201" t="n">
        <v>19773.83</v>
      </c>
      <c r="G2201" t="n">
        <v>462.882</v>
      </c>
      <c r="H2201" t="inlineStr">
        <is>
          <t>MM</t>
        </is>
      </c>
    </row>
    <row r="2202">
      <c r="A2202" t="n">
        <v>15</v>
      </c>
      <c r="B2202" t="inlineStr">
        <is>
          <t>SS2</t>
        </is>
      </c>
      <c r="D2202" t="n">
        <v>14.97</v>
      </c>
      <c r="E2202" t="n">
        <v>14409.267</v>
      </c>
      <c r="F2202" t="n">
        <v>21252.592</v>
      </c>
      <c r="G2202" t="n">
        <v>203.405</v>
      </c>
      <c r="H2202" t="inlineStr">
        <is>
          <t>MM</t>
        </is>
      </c>
    </row>
    <row r="2203">
      <c r="A2203" t="n">
        <v>16</v>
      </c>
      <c r="B2203" t="inlineStr">
        <is>
          <t>SS3</t>
        </is>
      </c>
      <c r="D2203" t="n">
        <v>14.99</v>
      </c>
      <c r="E2203" t="n">
        <v>14605.328</v>
      </c>
      <c r="F2203" t="n">
        <v>19102.932</v>
      </c>
      <c r="G2203" t="n">
        <v>1261.511</v>
      </c>
      <c r="H2203" t="inlineStr">
        <is>
          <t>bb</t>
        </is>
      </c>
    </row>
    <row r="2205">
      <c r="A2205" t="inlineStr">
        <is>
          <t>Compound 111:  N-EtFOSAA 2</t>
        </is>
      </c>
    </row>
    <row r="2207">
      <c r="B2207" t="inlineStr">
        <is>
          <t>Sample Text</t>
        </is>
      </c>
      <c r="C2207" t="inlineStr">
        <is>
          <t>Std. Conc</t>
        </is>
      </c>
      <c r="D2207" t="inlineStr">
        <is>
          <t>RT</t>
        </is>
      </c>
      <c r="E2207" t="inlineStr">
        <is>
          <t>Area</t>
        </is>
      </c>
      <c r="F2207" t="inlineStr">
        <is>
          <t>IS Area</t>
        </is>
      </c>
      <c r="G2207" t="inlineStr">
        <is>
          <t>S/N</t>
        </is>
      </c>
      <c r="H2207" t="inlineStr">
        <is>
          <t>Primary Flags</t>
        </is>
      </c>
      <c r="I2207" t="inlineStr">
        <is>
          <t>Response</t>
        </is>
      </c>
      <c r="J2207" t="inlineStr">
        <is>
          <t>Conc.</t>
        </is>
      </c>
    </row>
    <row r="2208">
      <c r="A2208" t="n">
        <v>1</v>
      </c>
      <c r="B2208" t="inlineStr">
        <is>
          <t>EPA1633 &amp; diPAPs Calibration 0 ppb</t>
        </is>
      </c>
      <c r="D2208" t="n">
        <v>14.86</v>
      </c>
      <c r="E2208" t="n">
        <v>18.594</v>
      </c>
      <c r="F2208" t="n">
        <v>20135.783</v>
      </c>
      <c r="G2208" t="n">
        <v>155</v>
      </c>
      <c r="H2208" t="inlineStr">
        <is>
          <t>bb</t>
        </is>
      </c>
    </row>
    <row r="2209">
      <c r="A2209" t="n">
        <v>2</v>
      </c>
      <c r="B2209" t="inlineStr">
        <is>
          <t>EPA1633 &amp; diPAPs Calibration 0.02 ppb</t>
        </is>
      </c>
      <c r="D2209" t="n">
        <v>14.93</v>
      </c>
      <c r="E2209" t="n">
        <v>85.423</v>
      </c>
      <c r="F2209" t="n">
        <v>17568.809</v>
      </c>
      <c r="G2209" t="n">
        <v>565</v>
      </c>
      <c r="H2209" t="inlineStr">
        <is>
          <t>bb</t>
        </is>
      </c>
    </row>
    <row r="2210">
      <c r="A2210" t="n">
        <v>3</v>
      </c>
      <c r="B2210" t="inlineStr">
        <is>
          <t>EPA1633 &amp; diPAPs Calibration 0.1 ppb</t>
        </is>
      </c>
      <c r="D2210" t="n">
        <v>14.93</v>
      </c>
      <c r="E2210" t="n">
        <v>211.129</v>
      </c>
      <c r="F2210" t="n">
        <v>17795.822</v>
      </c>
      <c r="G2210" t="n">
        <v>3.098</v>
      </c>
      <c r="H2210" t="inlineStr">
        <is>
          <t>bb</t>
        </is>
      </c>
    </row>
    <row r="2211">
      <c r="A2211" t="n">
        <v>4</v>
      </c>
      <c r="B2211" t="inlineStr">
        <is>
          <t>EPA1633 &amp; diPAPs Calibration 0.4 ppb</t>
        </is>
      </c>
      <c r="D2211" t="n">
        <v>14.93</v>
      </c>
      <c r="E2211" t="n">
        <v>601.585</v>
      </c>
      <c r="F2211" t="n">
        <v>14504.334</v>
      </c>
      <c r="G2211" t="n">
        <v>7.942</v>
      </c>
      <c r="H2211" t="inlineStr">
        <is>
          <t>bb</t>
        </is>
      </c>
    </row>
    <row r="2212">
      <c r="A2212" t="n">
        <v>5</v>
      </c>
      <c r="B2212" t="inlineStr">
        <is>
          <t>EPA1633 &amp; diPAPs Calibration 1 ppb</t>
        </is>
      </c>
      <c r="D2212" t="n">
        <v>14.91</v>
      </c>
      <c r="E2212" t="n">
        <v>1692.533</v>
      </c>
      <c r="F2212" t="n">
        <v>18945.104</v>
      </c>
      <c r="G2212" t="n">
        <v>269.552</v>
      </c>
      <c r="H2212" t="inlineStr">
        <is>
          <t>MM</t>
        </is>
      </c>
    </row>
    <row r="2213">
      <c r="A2213" t="n">
        <v>6</v>
      </c>
      <c r="B2213" t="inlineStr">
        <is>
          <t>EPA1633 &amp; diPAPs Calibration 5 ppb</t>
        </is>
      </c>
      <c r="D2213" t="n">
        <v>14.88</v>
      </c>
      <c r="E2213" t="n">
        <v>7286.69</v>
      </c>
      <c r="F2213" t="n">
        <v>15134.777</v>
      </c>
      <c r="G2213" t="n">
        <v>161.729</v>
      </c>
      <c r="H2213" t="inlineStr">
        <is>
          <t>MM</t>
        </is>
      </c>
    </row>
    <row r="2214">
      <c r="A2214" t="n">
        <v>7</v>
      </c>
      <c r="B2214" t="inlineStr">
        <is>
          <t>EPA1633 &amp; diPAPs Calibration 10 ppb</t>
        </is>
      </c>
      <c r="D2214" t="n">
        <v>14.89</v>
      </c>
      <c r="E2214" t="n">
        <v>13649.488</v>
      </c>
      <c r="F2214" t="n">
        <v>11936.276</v>
      </c>
      <c r="G2214" t="n">
        <v>564.086</v>
      </c>
      <c r="H2214" t="inlineStr">
        <is>
          <t>MM</t>
        </is>
      </c>
    </row>
    <row r="2215">
      <c r="A2215" t="n">
        <v>8</v>
      </c>
      <c r="B2215" t="inlineStr">
        <is>
          <t>EPA1633 &amp; diPAPs Calibration 20 ppb</t>
        </is>
      </c>
      <c r="D2215" t="n">
        <v>14.91</v>
      </c>
      <c r="E2215" t="n">
        <v>26386.59</v>
      </c>
      <c r="F2215" t="n">
        <v>15042.936</v>
      </c>
      <c r="G2215" t="n">
        <v>798.941</v>
      </c>
      <c r="H2215" t="inlineStr">
        <is>
          <t>MM</t>
        </is>
      </c>
    </row>
    <row r="2216">
      <c r="A2216" t="n">
        <v>9</v>
      </c>
      <c r="B2216" t="inlineStr">
        <is>
          <t>MeOH</t>
        </is>
      </c>
      <c r="D2216" t="n">
        <v>14.91</v>
      </c>
      <c r="E2216" t="n">
        <v>121.912</v>
      </c>
      <c r="F2216" t="n">
        <v>3.2</v>
      </c>
      <c r="G2216" t="n">
        <v>994</v>
      </c>
      <c r="H2216" t="inlineStr">
        <is>
          <t>bb</t>
        </is>
      </c>
    </row>
    <row r="2217">
      <c r="A2217" t="n">
        <v>10</v>
      </c>
      <c r="B2217" t="inlineStr">
        <is>
          <t>MeOH</t>
        </is>
      </c>
      <c r="D2217" t="n">
        <v>14.86</v>
      </c>
      <c r="E2217" t="n">
        <v>14</v>
      </c>
      <c r="F2217" t="n">
        <v>1.631</v>
      </c>
      <c r="G2217" t="n">
        <v>120</v>
      </c>
      <c r="H2217" t="inlineStr">
        <is>
          <t>bb</t>
        </is>
      </c>
    </row>
    <row r="2218">
      <c r="A2218" t="n">
        <v>11</v>
      </c>
      <c r="B2218" t="inlineStr">
        <is>
          <t>SB1</t>
        </is>
      </c>
      <c r="D2218" t="n">
        <v>14.94</v>
      </c>
      <c r="E2218" t="n">
        <v>6.678</v>
      </c>
      <c r="F2218" t="n">
        <v>6142.097</v>
      </c>
      <c r="G2218" t="n">
        <v>51</v>
      </c>
      <c r="H2218" t="inlineStr">
        <is>
          <t>bb</t>
        </is>
      </c>
    </row>
    <row r="2219">
      <c r="A2219" t="n">
        <v>12</v>
      </c>
      <c r="B2219" t="inlineStr">
        <is>
          <t>SB2</t>
        </is>
      </c>
      <c r="F2219" t="n">
        <v>7099.807</v>
      </c>
    </row>
    <row r="2220">
      <c r="A2220" t="n">
        <v>13</v>
      </c>
      <c r="B2220" t="inlineStr">
        <is>
          <t>SB3</t>
        </is>
      </c>
      <c r="F2220" t="n">
        <v>6009.896</v>
      </c>
    </row>
    <row r="2221">
      <c r="A2221" t="n">
        <v>14</v>
      </c>
      <c r="B2221" t="inlineStr">
        <is>
          <t>SS1</t>
        </is>
      </c>
      <c r="D2221" t="n">
        <v>14.97</v>
      </c>
      <c r="E2221" t="n">
        <v>3593.913</v>
      </c>
      <c r="F2221" t="n">
        <v>6132.544</v>
      </c>
      <c r="G2221" t="n">
        <v>66.149</v>
      </c>
      <c r="H2221" t="inlineStr">
        <is>
          <t>MM</t>
        </is>
      </c>
    </row>
    <row r="2222">
      <c r="A2222" t="n">
        <v>15</v>
      </c>
      <c r="B2222" t="inlineStr">
        <is>
          <t>SS2</t>
        </is>
      </c>
      <c r="D2222" t="n">
        <v>14.97</v>
      </c>
      <c r="E2222" t="n">
        <v>4778.809</v>
      </c>
      <c r="F2222" t="n">
        <v>6032.383</v>
      </c>
      <c r="G2222" t="n">
        <v>37.431</v>
      </c>
      <c r="H2222" t="inlineStr">
        <is>
          <t>MM</t>
        </is>
      </c>
    </row>
    <row r="2223">
      <c r="A2223" t="n">
        <v>16</v>
      </c>
      <c r="B2223" t="inlineStr">
        <is>
          <t>SS3</t>
        </is>
      </c>
      <c r="D2223" t="n">
        <v>14.99</v>
      </c>
      <c r="E2223" t="n">
        <v>4734.331</v>
      </c>
      <c r="F2223" t="n">
        <v>5738.296</v>
      </c>
      <c r="G2223" t="n">
        <v>395.349</v>
      </c>
      <c r="H2223" t="inlineStr">
        <is>
          <t>MM</t>
        </is>
      </c>
    </row>
    <row r="2225">
      <c r="A2225" t="inlineStr">
        <is>
          <t>Compound 112:  m5 N-EtFOSAA 1</t>
        </is>
      </c>
    </row>
    <row r="2227">
      <c r="B2227" t="inlineStr">
        <is>
          <t>Sample Text</t>
        </is>
      </c>
      <c r="C2227" t="inlineStr">
        <is>
          <t>Std. Conc</t>
        </is>
      </c>
      <c r="D2227" t="inlineStr">
        <is>
          <t>RT</t>
        </is>
      </c>
      <c r="E2227" t="inlineStr">
        <is>
          <t>Area</t>
        </is>
      </c>
      <c r="F2227" t="inlineStr">
        <is>
          <t>IS Area</t>
        </is>
      </c>
      <c r="G2227" t="inlineStr">
        <is>
          <t>S/N</t>
        </is>
      </c>
      <c r="H2227" t="inlineStr">
        <is>
          <t>Primary Flags</t>
        </is>
      </c>
      <c r="I2227" t="inlineStr">
        <is>
          <t>Response</t>
        </is>
      </c>
      <c r="J2227" t="inlineStr">
        <is>
          <t>Conc.</t>
        </is>
      </c>
    </row>
    <row r="2228">
      <c r="A2228" t="n">
        <v>1</v>
      </c>
      <c r="B2228" t="inlineStr">
        <is>
          <t>EPA1633 &amp; diPAPs Calibration 0 ppb</t>
        </is>
      </c>
      <c r="D2228" t="n">
        <v>14.88</v>
      </c>
      <c r="E2228" t="n">
        <v>65057.813</v>
      </c>
      <c r="G2228" t="n">
        <v>1164.623</v>
      </c>
      <c r="H2228" t="inlineStr">
        <is>
          <t>bb</t>
        </is>
      </c>
      <c r="I2228" t="n">
        <v>65057.813</v>
      </c>
    </row>
    <row r="2229">
      <c r="A2229" t="n">
        <v>2</v>
      </c>
      <c r="B2229" t="inlineStr">
        <is>
          <t>EPA1633 &amp; diPAPs Calibration 0.02 ppb</t>
        </is>
      </c>
      <c r="D2229" t="n">
        <v>14.89</v>
      </c>
      <c r="E2229" t="n">
        <v>57750.676</v>
      </c>
      <c r="G2229" t="n">
        <v>569.135</v>
      </c>
      <c r="H2229" t="inlineStr">
        <is>
          <t>bb</t>
        </is>
      </c>
      <c r="I2229" t="n">
        <v>57750.676</v>
      </c>
    </row>
    <row r="2230">
      <c r="A2230" t="n">
        <v>3</v>
      </c>
      <c r="B2230" t="inlineStr">
        <is>
          <t>EPA1633 &amp; diPAPs Calibration 0.1 ppb</t>
        </is>
      </c>
      <c r="D2230" t="n">
        <v>14.89</v>
      </c>
      <c r="E2230" t="n">
        <v>59400.441</v>
      </c>
      <c r="G2230" t="n">
        <v>795.809</v>
      </c>
      <c r="H2230" t="inlineStr">
        <is>
          <t>bb</t>
        </is>
      </c>
      <c r="I2230" t="n">
        <v>59400.441</v>
      </c>
    </row>
    <row r="2231">
      <c r="A2231" t="n">
        <v>4</v>
      </c>
      <c r="B2231" t="inlineStr">
        <is>
          <t>EPA1633 &amp; diPAPs Calibration 0.4 ppb</t>
        </is>
      </c>
      <c r="D2231" t="n">
        <v>14.91</v>
      </c>
      <c r="E2231" t="n">
        <v>50625.988</v>
      </c>
      <c r="G2231" t="n">
        <v>1163.925</v>
      </c>
      <c r="H2231" t="inlineStr">
        <is>
          <t>bb</t>
        </is>
      </c>
      <c r="I2231" t="n">
        <v>50625.988</v>
      </c>
    </row>
    <row r="2232">
      <c r="A2232" t="n">
        <v>5</v>
      </c>
      <c r="B2232" t="inlineStr">
        <is>
          <t>EPA1633 &amp; diPAPs Calibration 1 ppb</t>
        </is>
      </c>
      <c r="D2232" t="n">
        <v>14.89</v>
      </c>
      <c r="E2232" t="n">
        <v>60298.527</v>
      </c>
      <c r="G2232" t="n">
        <v>1980.374</v>
      </c>
      <c r="H2232" t="inlineStr">
        <is>
          <t>bb</t>
        </is>
      </c>
      <c r="I2232" t="n">
        <v>60298.527</v>
      </c>
    </row>
    <row r="2233">
      <c r="A2233" t="n">
        <v>6</v>
      </c>
      <c r="B2233" t="inlineStr">
        <is>
          <t>EPA1633 &amp; diPAPs Calibration 5 ppb</t>
        </is>
      </c>
      <c r="D2233" t="n">
        <v>14.86</v>
      </c>
      <c r="E2233" t="n">
        <v>51469.859</v>
      </c>
      <c r="G2233" t="n">
        <v>112.995</v>
      </c>
      <c r="H2233" t="inlineStr">
        <is>
          <t>bb</t>
        </is>
      </c>
      <c r="I2233" t="n">
        <v>51469.859</v>
      </c>
    </row>
    <row r="2234">
      <c r="A2234" t="n">
        <v>7</v>
      </c>
      <c r="B2234" t="inlineStr">
        <is>
          <t>EPA1633 &amp; diPAPs Calibration 10 ppb</t>
        </is>
      </c>
      <c r="D2234" t="n">
        <v>14.88</v>
      </c>
      <c r="E2234" t="n">
        <v>41948.844</v>
      </c>
      <c r="G2234" t="n">
        <v>2489.333</v>
      </c>
      <c r="H2234" t="inlineStr">
        <is>
          <t>bb</t>
        </is>
      </c>
      <c r="I2234" t="n">
        <v>41948.844</v>
      </c>
    </row>
    <row r="2235">
      <c r="A2235" t="n">
        <v>8</v>
      </c>
      <c r="B2235" t="inlineStr">
        <is>
          <t>EPA1633 &amp; diPAPs Calibration 20 ppb</t>
        </is>
      </c>
      <c r="D2235" t="n">
        <v>14.89</v>
      </c>
      <c r="E2235" t="n">
        <v>45131.258</v>
      </c>
      <c r="G2235" t="n">
        <v>723.649</v>
      </c>
      <c r="H2235" t="inlineStr">
        <is>
          <t>bb</t>
        </is>
      </c>
      <c r="I2235" t="n">
        <v>45131.258</v>
      </c>
    </row>
    <row r="2236">
      <c r="A2236" t="n">
        <v>9</v>
      </c>
      <c r="B2236" t="inlineStr">
        <is>
          <t>MeOH</t>
        </is>
      </c>
      <c r="D2236" t="n">
        <v>14.89</v>
      </c>
      <c r="E2236" t="n">
        <v>64.01600000000001</v>
      </c>
      <c r="G2236" t="n">
        <v>453</v>
      </c>
      <c r="H2236" t="inlineStr">
        <is>
          <t>bb</t>
        </is>
      </c>
      <c r="I2236" t="n">
        <v>64.01600000000001</v>
      </c>
    </row>
    <row r="2237">
      <c r="A2237" t="n">
        <v>10</v>
      </c>
      <c r="B2237" t="inlineStr">
        <is>
          <t>MeOH</t>
        </is>
      </c>
      <c r="D2237" t="n">
        <v>14.93</v>
      </c>
      <c r="E2237" t="n">
        <v>14.842</v>
      </c>
      <c r="G2237" t="n">
        <v>125</v>
      </c>
      <c r="H2237" t="inlineStr">
        <is>
          <t>bb</t>
        </is>
      </c>
      <c r="I2237" t="n">
        <v>14.842</v>
      </c>
    </row>
    <row r="2238">
      <c r="A2238" t="n">
        <v>11</v>
      </c>
      <c r="B2238" t="inlineStr">
        <is>
          <t>SB1</t>
        </is>
      </c>
      <c r="D2238" t="n">
        <v>14.93</v>
      </c>
      <c r="E2238" t="n">
        <v>19023.547</v>
      </c>
      <c r="G2238" t="n">
        <v>388.656</v>
      </c>
      <c r="H2238" t="inlineStr">
        <is>
          <t>bb</t>
        </is>
      </c>
      <c r="I2238" t="n">
        <v>19023.547</v>
      </c>
    </row>
    <row r="2239">
      <c r="A2239" t="n">
        <v>12</v>
      </c>
      <c r="B2239" t="inlineStr">
        <is>
          <t>SB2</t>
        </is>
      </c>
      <c r="D2239" t="n">
        <v>14.93</v>
      </c>
      <c r="E2239" t="n">
        <v>19876.041</v>
      </c>
      <c r="G2239" t="n">
        <v>244.967</v>
      </c>
      <c r="H2239" t="inlineStr">
        <is>
          <t>bb</t>
        </is>
      </c>
      <c r="I2239" t="n">
        <v>19876.041</v>
      </c>
    </row>
    <row r="2240">
      <c r="A2240" t="n">
        <v>13</v>
      </c>
      <c r="B2240" t="inlineStr">
        <is>
          <t>SB3</t>
        </is>
      </c>
      <c r="D2240" t="n">
        <v>14.93</v>
      </c>
      <c r="E2240" t="n">
        <v>19622.186</v>
      </c>
      <c r="G2240" t="n">
        <v>574.504</v>
      </c>
      <c r="H2240" t="inlineStr">
        <is>
          <t>bb</t>
        </is>
      </c>
      <c r="I2240" t="n">
        <v>19622.186</v>
      </c>
    </row>
    <row r="2241">
      <c r="A2241" t="n">
        <v>14</v>
      </c>
      <c r="B2241" t="inlineStr">
        <is>
          <t>SS1</t>
        </is>
      </c>
      <c r="D2241" t="n">
        <v>14.94</v>
      </c>
      <c r="E2241" t="n">
        <v>19773.83</v>
      </c>
      <c r="G2241" t="n">
        <v>651.681</v>
      </c>
      <c r="H2241" t="inlineStr">
        <is>
          <t>bb</t>
        </is>
      </c>
      <c r="I2241" t="n">
        <v>19773.83</v>
      </c>
    </row>
    <row r="2242">
      <c r="A2242" t="n">
        <v>15</v>
      </c>
      <c r="B2242" t="inlineStr">
        <is>
          <t>SS2</t>
        </is>
      </c>
      <c r="D2242" t="n">
        <v>14.96</v>
      </c>
      <c r="E2242" t="n">
        <v>21252.592</v>
      </c>
      <c r="G2242" t="n">
        <v>747.787</v>
      </c>
      <c r="H2242" t="inlineStr">
        <is>
          <t>bb</t>
        </is>
      </c>
      <c r="I2242" t="n">
        <v>21252.592</v>
      </c>
    </row>
    <row r="2243">
      <c r="A2243" t="n">
        <v>16</v>
      </c>
      <c r="B2243" t="inlineStr">
        <is>
          <t>SS3</t>
        </is>
      </c>
      <c r="D2243" t="n">
        <v>14.97</v>
      </c>
      <c r="E2243" t="n">
        <v>19102.932</v>
      </c>
      <c r="G2243" t="n">
        <v>90.119</v>
      </c>
      <c r="H2243" t="inlineStr">
        <is>
          <t>bb</t>
        </is>
      </c>
      <c r="I2243" t="n">
        <v>19102.932</v>
      </c>
    </row>
    <row r="2245">
      <c r="A2245" t="inlineStr">
        <is>
          <t>Compound 113:  m5 N-EtFOSAA 2</t>
        </is>
      </c>
    </row>
    <row r="2247">
      <c r="B2247" t="inlineStr">
        <is>
          <t>Sample Text</t>
        </is>
      </c>
      <c r="C2247" t="inlineStr">
        <is>
          <t>Std. Conc</t>
        </is>
      </c>
      <c r="D2247" t="inlineStr">
        <is>
          <t>RT</t>
        </is>
      </c>
      <c r="E2247" t="inlineStr">
        <is>
          <t>Area</t>
        </is>
      </c>
      <c r="F2247" t="inlineStr">
        <is>
          <t>IS Area</t>
        </is>
      </c>
      <c r="G2247" t="inlineStr">
        <is>
          <t>S/N</t>
        </is>
      </c>
      <c r="H2247" t="inlineStr">
        <is>
          <t>Primary Flags</t>
        </is>
      </c>
      <c r="I2247" t="inlineStr">
        <is>
          <t>Response</t>
        </is>
      </c>
      <c r="J2247" t="inlineStr">
        <is>
          <t>Conc.</t>
        </is>
      </c>
    </row>
    <row r="2248">
      <c r="A2248" t="n">
        <v>1</v>
      </c>
      <c r="B2248" t="inlineStr">
        <is>
          <t>EPA1633 &amp; diPAPs Calibration 0 ppb</t>
        </is>
      </c>
      <c r="D2248" t="n">
        <v>14.88</v>
      </c>
      <c r="E2248" t="n">
        <v>20135.783</v>
      </c>
      <c r="G2248" t="n">
        <v>521.356</v>
      </c>
      <c r="H2248" t="inlineStr">
        <is>
          <t>bb</t>
        </is>
      </c>
      <c r="I2248" t="n">
        <v>20135.783</v>
      </c>
    </row>
    <row r="2249">
      <c r="A2249" t="n">
        <v>2</v>
      </c>
      <c r="B2249" t="inlineStr">
        <is>
          <t>EPA1633 &amp; diPAPs Calibration 0.02 ppb</t>
        </is>
      </c>
      <c r="D2249" t="n">
        <v>14.89</v>
      </c>
      <c r="E2249" t="n">
        <v>17568.809</v>
      </c>
      <c r="G2249" t="n">
        <v>107483</v>
      </c>
      <c r="H2249" t="inlineStr">
        <is>
          <t>bb</t>
        </is>
      </c>
      <c r="I2249" t="n">
        <v>17568.809</v>
      </c>
    </row>
    <row r="2250">
      <c r="A2250" t="n">
        <v>3</v>
      </c>
      <c r="B2250" t="inlineStr">
        <is>
          <t>EPA1633 &amp; diPAPs Calibration 0.1 ppb</t>
        </is>
      </c>
      <c r="D2250" t="n">
        <v>14.91</v>
      </c>
      <c r="E2250" t="n">
        <v>17795.822</v>
      </c>
      <c r="G2250" t="n">
        <v>297.276</v>
      </c>
      <c r="H2250" t="inlineStr">
        <is>
          <t>bb</t>
        </is>
      </c>
      <c r="I2250" t="n">
        <v>17795.822</v>
      </c>
    </row>
    <row r="2251">
      <c r="A2251" t="n">
        <v>4</v>
      </c>
      <c r="B2251" t="inlineStr">
        <is>
          <t>EPA1633 &amp; diPAPs Calibration 0.4 ppb</t>
        </is>
      </c>
      <c r="D2251" t="n">
        <v>14.91</v>
      </c>
      <c r="E2251" t="n">
        <v>14504.334</v>
      </c>
      <c r="G2251" t="n">
        <v>474.316</v>
      </c>
      <c r="H2251" t="inlineStr">
        <is>
          <t>bb</t>
        </is>
      </c>
      <c r="I2251" t="n">
        <v>14504.334</v>
      </c>
    </row>
    <row r="2252">
      <c r="A2252" t="n">
        <v>5</v>
      </c>
      <c r="B2252" t="inlineStr">
        <is>
          <t>EPA1633 &amp; diPAPs Calibration 1 ppb</t>
        </is>
      </c>
      <c r="D2252" t="n">
        <v>14.89</v>
      </c>
      <c r="E2252" t="n">
        <v>18945.104</v>
      </c>
      <c r="G2252" t="n">
        <v>677.604</v>
      </c>
      <c r="H2252" t="inlineStr">
        <is>
          <t>bb</t>
        </is>
      </c>
      <c r="I2252" t="n">
        <v>18945.104</v>
      </c>
    </row>
    <row r="2253">
      <c r="A2253" t="n">
        <v>6</v>
      </c>
      <c r="B2253" t="inlineStr">
        <is>
          <t>EPA1633 &amp; diPAPs Calibration 5 ppb</t>
        </is>
      </c>
      <c r="D2253" t="n">
        <v>14.86</v>
      </c>
      <c r="E2253" t="n">
        <v>15134.777</v>
      </c>
      <c r="G2253" t="n">
        <v>245.105</v>
      </c>
      <c r="H2253" t="inlineStr">
        <is>
          <t>bb</t>
        </is>
      </c>
      <c r="I2253" t="n">
        <v>15134.777</v>
      </c>
    </row>
    <row r="2254">
      <c r="A2254" t="n">
        <v>7</v>
      </c>
      <c r="B2254" t="inlineStr">
        <is>
          <t>EPA1633 &amp; diPAPs Calibration 10 ppb</t>
        </is>
      </c>
      <c r="D2254" t="n">
        <v>14.88</v>
      </c>
      <c r="E2254" t="n">
        <v>11936.276</v>
      </c>
      <c r="G2254" t="n">
        <v>275.126</v>
      </c>
      <c r="H2254" t="inlineStr">
        <is>
          <t>bb</t>
        </is>
      </c>
      <c r="I2254" t="n">
        <v>11936.276</v>
      </c>
    </row>
    <row r="2255">
      <c r="A2255" t="n">
        <v>8</v>
      </c>
      <c r="B2255" t="inlineStr">
        <is>
          <t>EPA1633 &amp; diPAPs Calibration 20 ppb</t>
        </is>
      </c>
      <c r="D2255" t="n">
        <v>14.89</v>
      </c>
      <c r="E2255" t="n">
        <v>15042.936</v>
      </c>
      <c r="G2255" t="n">
        <v>236.548</v>
      </c>
      <c r="H2255" t="inlineStr">
        <is>
          <t>bb</t>
        </is>
      </c>
      <c r="I2255" t="n">
        <v>15042.936</v>
      </c>
    </row>
    <row r="2256">
      <c r="A2256" t="n">
        <v>9</v>
      </c>
      <c r="B2256" t="inlineStr">
        <is>
          <t>MeOH</t>
        </is>
      </c>
      <c r="D2256" t="n">
        <v>14.88</v>
      </c>
      <c r="E2256" t="n">
        <v>3.2</v>
      </c>
      <c r="G2256" t="n">
        <v>27</v>
      </c>
      <c r="H2256" t="inlineStr">
        <is>
          <t>bb</t>
        </is>
      </c>
      <c r="I2256" t="n">
        <v>3.2</v>
      </c>
    </row>
    <row r="2257">
      <c r="A2257" t="n">
        <v>10</v>
      </c>
      <c r="B2257" t="inlineStr">
        <is>
          <t>MeOH</t>
        </is>
      </c>
      <c r="D2257" t="n">
        <v>14.48</v>
      </c>
      <c r="E2257" t="n">
        <v>1.631</v>
      </c>
      <c r="G2257" t="n">
        <v>15</v>
      </c>
      <c r="H2257" t="inlineStr">
        <is>
          <t>bb</t>
        </is>
      </c>
      <c r="I2257" t="n">
        <v>1.631</v>
      </c>
    </row>
    <row r="2258">
      <c r="A2258" t="n">
        <v>11</v>
      </c>
      <c r="B2258" t="inlineStr">
        <is>
          <t>SB1</t>
        </is>
      </c>
      <c r="D2258" t="n">
        <v>14.91</v>
      </c>
      <c r="E2258" t="n">
        <v>6142.097</v>
      </c>
      <c r="G2258" t="n">
        <v>145.166</v>
      </c>
      <c r="H2258" t="inlineStr">
        <is>
          <t>bb</t>
        </is>
      </c>
      <c r="I2258" t="n">
        <v>6142.097</v>
      </c>
    </row>
    <row r="2259">
      <c r="A2259" t="n">
        <v>12</v>
      </c>
      <c r="B2259" t="inlineStr">
        <is>
          <t>SB2</t>
        </is>
      </c>
      <c r="D2259" t="n">
        <v>14.93</v>
      </c>
      <c r="E2259" t="n">
        <v>7099.807</v>
      </c>
      <c r="G2259" t="n">
        <v>37.854</v>
      </c>
      <c r="H2259" t="inlineStr">
        <is>
          <t>bb</t>
        </is>
      </c>
      <c r="I2259" t="n">
        <v>7099.807</v>
      </c>
    </row>
    <row r="2260">
      <c r="A2260" t="n">
        <v>13</v>
      </c>
      <c r="B2260" t="inlineStr">
        <is>
          <t>SB3</t>
        </is>
      </c>
      <c r="D2260" t="n">
        <v>14.93</v>
      </c>
      <c r="E2260" t="n">
        <v>6009.896</v>
      </c>
      <c r="G2260" t="n">
        <v>16.984</v>
      </c>
      <c r="H2260" t="inlineStr">
        <is>
          <t>bb</t>
        </is>
      </c>
      <c r="I2260" t="n">
        <v>6009.896</v>
      </c>
    </row>
    <row r="2261">
      <c r="A2261" t="n">
        <v>14</v>
      </c>
      <c r="B2261" t="inlineStr">
        <is>
          <t>SS1</t>
        </is>
      </c>
      <c r="D2261" t="n">
        <v>14.96</v>
      </c>
      <c r="E2261" t="n">
        <v>6132.544</v>
      </c>
      <c r="G2261" t="n">
        <v>518.391</v>
      </c>
      <c r="H2261" t="inlineStr">
        <is>
          <t>bb</t>
        </is>
      </c>
      <c r="I2261" t="n">
        <v>6132.544</v>
      </c>
    </row>
    <row r="2262">
      <c r="A2262" t="n">
        <v>15</v>
      </c>
      <c r="B2262" t="inlineStr">
        <is>
          <t>SS2</t>
        </is>
      </c>
      <c r="D2262" t="n">
        <v>14.96</v>
      </c>
      <c r="E2262" t="n">
        <v>6032.383</v>
      </c>
      <c r="G2262" t="n">
        <v>110.23</v>
      </c>
      <c r="H2262" t="inlineStr">
        <is>
          <t>bb</t>
        </is>
      </c>
      <c r="I2262" t="n">
        <v>6032.383</v>
      </c>
    </row>
    <row r="2263">
      <c r="A2263" t="n">
        <v>16</v>
      </c>
      <c r="B2263" t="inlineStr">
        <is>
          <t>SS3</t>
        </is>
      </c>
      <c r="D2263" t="n">
        <v>14.96</v>
      </c>
      <c r="E2263" t="n">
        <v>5738.296</v>
      </c>
      <c r="G2263" t="n">
        <v>300.923</v>
      </c>
      <c r="H2263" t="inlineStr">
        <is>
          <t>bb</t>
        </is>
      </c>
      <c r="I2263" t="n">
        <v>5738.296</v>
      </c>
    </row>
    <row r="2265">
      <c r="A2265" t="inlineStr">
        <is>
          <t>Compound 114:  PFDoDA 1</t>
        </is>
      </c>
    </row>
    <row r="2267">
      <c r="B2267" t="inlineStr">
        <is>
          <t>Sample Text</t>
        </is>
      </c>
      <c r="C2267" t="inlineStr">
        <is>
          <t>Std. Conc</t>
        </is>
      </c>
      <c r="D2267" t="inlineStr">
        <is>
          <t>RT</t>
        </is>
      </c>
      <c r="E2267" t="inlineStr">
        <is>
          <t>Area</t>
        </is>
      </c>
      <c r="F2267" t="inlineStr">
        <is>
          <t>IS Area</t>
        </is>
      </c>
      <c r="G2267" t="inlineStr">
        <is>
          <t>S/N</t>
        </is>
      </c>
      <c r="H2267" t="inlineStr">
        <is>
          <t>Primary Flags</t>
        </is>
      </c>
      <c r="I2267" t="inlineStr">
        <is>
          <t>Response</t>
        </is>
      </c>
      <c r="J2267" t="inlineStr">
        <is>
          <t>Conc.</t>
        </is>
      </c>
    </row>
    <row r="2268">
      <c r="A2268" t="n">
        <v>1</v>
      </c>
      <c r="B2268" t="inlineStr">
        <is>
          <t>EPA1633 &amp; diPAPs Calibration 0 ppb</t>
        </is>
      </c>
      <c r="D2268" t="n">
        <v>15.51</v>
      </c>
      <c r="E2268" t="n">
        <v>8.455</v>
      </c>
      <c r="F2268" t="n">
        <v>1699.565</v>
      </c>
      <c r="G2268" t="n">
        <v>73</v>
      </c>
      <c r="H2268" t="inlineStr">
        <is>
          <t>MM</t>
        </is>
      </c>
    </row>
    <row r="2269">
      <c r="A2269" t="n">
        <v>2</v>
      </c>
      <c r="B2269" t="inlineStr">
        <is>
          <t>EPA1633 &amp; diPAPs Calibration 0.02 ppb</t>
        </is>
      </c>
      <c r="D2269" t="n">
        <v>15.56</v>
      </c>
      <c r="E2269" t="n">
        <v>70.995</v>
      </c>
      <c r="F2269" t="n">
        <v>1218.852</v>
      </c>
      <c r="G2269" t="n">
        <v>3.187</v>
      </c>
      <c r="H2269" t="inlineStr">
        <is>
          <t>bb</t>
        </is>
      </c>
    </row>
    <row r="2270">
      <c r="A2270" t="n">
        <v>3</v>
      </c>
      <c r="B2270" t="inlineStr">
        <is>
          <t>EPA1633 &amp; diPAPs Calibration 0.1 ppb</t>
        </is>
      </c>
      <c r="D2270" t="n">
        <v>15.53</v>
      </c>
      <c r="E2270" t="n">
        <v>286.072</v>
      </c>
      <c r="F2270" t="n">
        <v>1578.659</v>
      </c>
      <c r="G2270" t="n">
        <v>2076</v>
      </c>
      <c r="H2270" t="inlineStr">
        <is>
          <t>bb</t>
        </is>
      </c>
    </row>
    <row r="2271">
      <c r="A2271" t="n">
        <v>4</v>
      </c>
      <c r="B2271" t="inlineStr">
        <is>
          <t>EPA1633 &amp; diPAPs Calibration 0.4 ppb</t>
        </is>
      </c>
      <c r="D2271" t="n">
        <v>15.54</v>
      </c>
      <c r="E2271" t="n">
        <v>369.68</v>
      </c>
      <c r="F2271" t="n">
        <v>1176.884</v>
      </c>
      <c r="G2271" t="n">
        <v>2570</v>
      </c>
      <c r="H2271" t="inlineStr">
        <is>
          <t>bb</t>
        </is>
      </c>
    </row>
    <row r="2272">
      <c r="A2272" t="n">
        <v>5</v>
      </c>
      <c r="B2272" t="inlineStr">
        <is>
          <t>EPA1633 &amp; diPAPs Calibration 1 ppb</t>
        </is>
      </c>
      <c r="D2272" t="n">
        <v>15.54</v>
      </c>
      <c r="E2272" t="n">
        <v>954.679</v>
      </c>
      <c r="F2272" t="n">
        <v>1460.092</v>
      </c>
      <c r="G2272" t="n">
        <v>31.668</v>
      </c>
      <c r="H2272" t="inlineStr">
        <is>
          <t>bb</t>
        </is>
      </c>
    </row>
    <row r="2273">
      <c r="A2273" t="n">
        <v>6</v>
      </c>
      <c r="B2273" t="inlineStr">
        <is>
          <t>EPA1633 &amp; diPAPs Calibration 5 ppb</t>
        </is>
      </c>
      <c r="D2273" t="n">
        <v>15.51</v>
      </c>
      <c r="E2273" t="n">
        <v>4268.414</v>
      </c>
      <c r="F2273" t="n">
        <v>762.21</v>
      </c>
      <c r="G2273" t="n">
        <v>27330</v>
      </c>
      <c r="H2273" t="inlineStr">
        <is>
          <t>bb</t>
        </is>
      </c>
    </row>
    <row r="2274">
      <c r="A2274" t="n">
        <v>7</v>
      </c>
      <c r="B2274" t="inlineStr">
        <is>
          <t>EPA1633 &amp; diPAPs Calibration 10 ppb</t>
        </is>
      </c>
      <c r="D2274" t="n">
        <v>15.53</v>
      </c>
      <c r="E2274" t="n">
        <v>7789.855</v>
      </c>
      <c r="F2274" t="n">
        <v>854.968</v>
      </c>
      <c r="G2274" t="n">
        <v>174.576</v>
      </c>
      <c r="H2274" t="inlineStr">
        <is>
          <t>bb</t>
        </is>
      </c>
    </row>
    <row r="2275">
      <c r="A2275" t="n">
        <v>8</v>
      </c>
      <c r="B2275" t="inlineStr">
        <is>
          <t>EPA1633 &amp; diPAPs Calibration 20 ppb</t>
        </is>
      </c>
      <c r="D2275" t="n">
        <v>15.53</v>
      </c>
      <c r="E2275" t="n">
        <v>16204.569</v>
      </c>
      <c r="F2275" t="n">
        <v>850.52</v>
      </c>
      <c r="G2275" t="n">
        <v>670.13</v>
      </c>
      <c r="H2275" t="inlineStr">
        <is>
          <t>bb</t>
        </is>
      </c>
    </row>
    <row r="2276">
      <c r="A2276" t="n">
        <v>9</v>
      </c>
      <c r="B2276" t="inlineStr">
        <is>
          <t>MeOH</t>
        </is>
      </c>
      <c r="D2276" t="n">
        <v>15.2</v>
      </c>
      <c r="E2276" t="n">
        <v>12.849</v>
      </c>
      <c r="G2276" t="n">
        <v>2.832</v>
      </c>
      <c r="H2276" t="inlineStr">
        <is>
          <t>bb</t>
        </is>
      </c>
    </row>
    <row r="2277">
      <c r="A2277" t="n">
        <v>10</v>
      </c>
      <c r="B2277" t="inlineStr">
        <is>
          <t>MeOH</t>
        </is>
      </c>
    </row>
    <row r="2278">
      <c r="A2278" t="n">
        <v>11</v>
      </c>
      <c r="B2278" t="inlineStr">
        <is>
          <t>SB1</t>
        </is>
      </c>
      <c r="D2278" t="n">
        <v>15.57</v>
      </c>
      <c r="E2278" t="n">
        <v>28.151</v>
      </c>
      <c r="F2278" t="n">
        <v>280.929</v>
      </c>
      <c r="G2278" t="n">
        <v>7.028</v>
      </c>
      <c r="H2278" t="inlineStr">
        <is>
          <t>bb</t>
        </is>
      </c>
    </row>
    <row r="2279">
      <c r="A2279" t="n">
        <v>12</v>
      </c>
      <c r="B2279" t="inlineStr">
        <is>
          <t>SB2</t>
        </is>
      </c>
      <c r="D2279" t="n">
        <v>15.59</v>
      </c>
      <c r="E2279" t="n">
        <v>35.575</v>
      </c>
      <c r="F2279" t="n">
        <v>232.082</v>
      </c>
      <c r="G2279" t="n">
        <v>12.107</v>
      </c>
      <c r="H2279" t="inlineStr">
        <is>
          <t>bb</t>
        </is>
      </c>
    </row>
    <row r="2280">
      <c r="A2280" t="n">
        <v>13</v>
      </c>
      <c r="B2280" t="inlineStr">
        <is>
          <t>SB3</t>
        </is>
      </c>
      <c r="F2280" t="n">
        <v>402.233</v>
      </c>
    </row>
    <row r="2281">
      <c r="A2281" t="n">
        <v>14</v>
      </c>
      <c r="B2281" t="inlineStr">
        <is>
          <t>SS1</t>
        </is>
      </c>
      <c r="D2281" t="n">
        <v>15.59</v>
      </c>
      <c r="E2281" t="n">
        <v>2810.074</v>
      </c>
      <c r="F2281" t="n">
        <v>226.458</v>
      </c>
      <c r="G2281" t="n">
        <v>18983</v>
      </c>
      <c r="H2281" t="inlineStr">
        <is>
          <t>bb</t>
        </is>
      </c>
    </row>
    <row r="2282">
      <c r="A2282" t="n">
        <v>15</v>
      </c>
      <c r="B2282" t="inlineStr">
        <is>
          <t>SS2</t>
        </is>
      </c>
      <c r="D2282" t="n">
        <v>15.61</v>
      </c>
      <c r="E2282" t="n">
        <v>2270.172</v>
      </c>
      <c r="F2282" t="n">
        <v>147.337</v>
      </c>
      <c r="G2282" t="n">
        <v>15624</v>
      </c>
      <c r="H2282" t="inlineStr">
        <is>
          <t>bb</t>
        </is>
      </c>
    </row>
    <row r="2283">
      <c r="A2283" t="n">
        <v>16</v>
      </c>
      <c r="B2283" t="inlineStr">
        <is>
          <t>SS3</t>
        </is>
      </c>
      <c r="D2283" t="n">
        <v>15.61</v>
      </c>
      <c r="E2283" t="n">
        <v>2898.737</v>
      </c>
      <c r="F2283" t="n">
        <v>151.755</v>
      </c>
      <c r="G2283" t="n">
        <v>12.781</v>
      </c>
      <c r="H2283" t="inlineStr">
        <is>
          <t>bb</t>
        </is>
      </c>
    </row>
    <row r="2285">
      <c r="A2285" t="inlineStr">
        <is>
          <t>Compound 115:  PFDoDA 2</t>
        </is>
      </c>
    </row>
    <row r="2287">
      <c r="B2287" t="inlineStr">
        <is>
          <t>Sample Text</t>
        </is>
      </c>
      <c r="C2287" t="inlineStr">
        <is>
          <t>Std. Conc</t>
        </is>
      </c>
      <c r="D2287" t="inlineStr">
        <is>
          <t>RT</t>
        </is>
      </c>
      <c r="E2287" t="inlineStr">
        <is>
          <t>Area</t>
        </is>
      </c>
      <c r="F2287" t="inlineStr">
        <is>
          <t>IS Area</t>
        </is>
      </c>
      <c r="G2287" t="inlineStr">
        <is>
          <t>S/N</t>
        </is>
      </c>
      <c r="H2287" t="inlineStr">
        <is>
          <t>Primary Flags</t>
        </is>
      </c>
      <c r="I2287" t="inlineStr">
        <is>
          <t>Response</t>
        </is>
      </c>
      <c r="J2287" t="inlineStr">
        <is>
          <t>Conc.</t>
        </is>
      </c>
    </row>
    <row r="2288">
      <c r="A2288" t="n">
        <v>1</v>
      </c>
      <c r="B2288" t="inlineStr">
        <is>
          <t>EPA1633 &amp; diPAPs Calibration 0 ppb</t>
        </is>
      </c>
      <c r="D2288" t="n">
        <v>15.53</v>
      </c>
      <c r="E2288" t="n">
        <v>23.371</v>
      </c>
      <c r="F2288" t="n">
        <v>1699.565</v>
      </c>
      <c r="G2288" t="n">
        <v>0.964</v>
      </c>
      <c r="H2288" t="inlineStr">
        <is>
          <t>MM</t>
        </is>
      </c>
    </row>
    <row r="2289">
      <c r="A2289" t="n">
        <v>2</v>
      </c>
      <c r="B2289" t="inlineStr">
        <is>
          <t>EPA1633 &amp; diPAPs Calibration 0.02 ppb</t>
        </is>
      </c>
      <c r="D2289" t="n">
        <v>15.45</v>
      </c>
      <c r="E2289" t="n">
        <v>27.55</v>
      </c>
      <c r="F2289" t="n">
        <v>1218.852</v>
      </c>
      <c r="G2289" t="n">
        <v>205</v>
      </c>
      <c r="H2289" t="inlineStr">
        <is>
          <t>MM</t>
        </is>
      </c>
    </row>
    <row r="2290">
      <c r="A2290" t="n">
        <v>3</v>
      </c>
      <c r="B2290" t="inlineStr">
        <is>
          <t>EPA1633 &amp; diPAPs Calibration 0.1 ppb</t>
        </is>
      </c>
      <c r="D2290" t="n">
        <v>15.59</v>
      </c>
      <c r="E2290" t="n">
        <v>44.436</v>
      </c>
      <c r="F2290" t="n">
        <v>1578.659</v>
      </c>
      <c r="G2290" t="n">
        <v>1.774</v>
      </c>
      <c r="H2290" t="inlineStr">
        <is>
          <t>bb</t>
        </is>
      </c>
    </row>
    <row r="2291">
      <c r="A2291" t="n">
        <v>4</v>
      </c>
      <c r="B2291" t="inlineStr">
        <is>
          <t>EPA1633 &amp; diPAPs Calibration 0.4 ppb</t>
        </is>
      </c>
      <c r="D2291" t="n">
        <v>15.53</v>
      </c>
      <c r="E2291" t="n">
        <v>235.613</v>
      </c>
      <c r="F2291" t="n">
        <v>1176.884</v>
      </c>
      <c r="G2291" t="n">
        <v>12.975</v>
      </c>
      <c r="H2291" t="inlineStr">
        <is>
          <t>MM</t>
        </is>
      </c>
    </row>
    <row r="2292">
      <c r="A2292" t="n">
        <v>5</v>
      </c>
      <c r="B2292" t="inlineStr">
        <is>
          <t>EPA1633 &amp; diPAPs Calibration 1 ppb</t>
        </is>
      </c>
      <c r="D2292" t="n">
        <v>15.54</v>
      </c>
      <c r="E2292" t="n">
        <v>758.896</v>
      </c>
      <c r="F2292" t="n">
        <v>1460.092</v>
      </c>
      <c r="G2292" t="n">
        <v>2.53</v>
      </c>
      <c r="H2292" t="inlineStr">
        <is>
          <t>bb</t>
        </is>
      </c>
    </row>
    <row r="2293">
      <c r="A2293" t="n">
        <v>6</v>
      </c>
      <c r="B2293" t="inlineStr">
        <is>
          <t>EPA1633 &amp; diPAPs Calibration 5 ppb</t>
        </is>
      </c>
      <c r="D2293" t="n">
        <v>15.51</v>
      </c>
      <c r="E2293" t="n">
        <v>2727.841</v>
      </c>
      <c r="F2293" t="n">
        <v>762.21</v>
      </c>
      <c r="G2293" t="n">
        <v>31.445</v>
      </c>
      <c r="H2293" t="inlineStr">
        <is>
          <t>MM</t>
        </is>
      </c>
    </row>
    <row r="2294">
      <c r="A2294" t="n">
        <v>7</v>
      </c>
      <c r="B2294" t="inlineStr">
        <is>
          <t>EPA1633 &amp; diPAPs Calibration 10 ppb</t>
        </is>
      </c>
      <c r="D2294" t="n">
        <v>15.51</v>
      </c>
      <c r="E2294" t="n">
        <v>5620.038</v>
      </c>
      <c r="F2294" t="n">
        <v>854.968</v>
      </c>
      <c r="G2294" t="n">
        <v>82.654</v>
      </c>
      <c r="H2294" t="inlineStr">
        <is>
          <t>bb</t>
        </is>
      </c>
    </row>
    <row r="2295">
      <c r="A2295" t="n">
        <v>8</v>
      </c>
      <c r="B2295" t="inlineStr">
        <is>
          <t>EPA1633 &amp; diPAPs Calibration 20 ppb</t>
        </is>
      </c>
      <c r="D2295" t="n">
        <v>15.53</v>
      </c>
      <c r="E2295" t="n">
        <v>11334.845</v>
      </c>
      <c r="F2295" t="n">
        <v>850.52</v>
      </c>
      <c r="G2295" t="n">
        <v>130.529</v>
      </c>
      <c r="H2295" t="inlineStr">
        <is>
          <t>bb</t>
        </is>
      </c>
    </row>
    <row r="2296">
      <c r="A2296" t="n">
        <v>9</v>
      </c>
      <c r="B2296" t="inlineStr">
        <is>
          <t>MeOH</t>
        </is>
      </c>
      <c r="D2296" t="n">
        <v>15.54</v>
      </c>
      <c r="E2296" t="n">
        <v>1.821</v>
      </c>
      <c r="G2296" t="n">
        <v>1.048</v>
      </c>
      <c r="H2296" t="inlineStr">
        <is>
          <t>bb</t>
        </is>
      </c>
    </row>
    <row r="2297">
      <c r="A2297" t="n">
        <v>10</v>
      </c>
      <c r="B2297" t="inlineStr">
        <is>
          <t>MeOH</t>
        </is>
      </c>
      <c r="D2297" t="n">
        <v>15.68</v>
      </c>
      <c r="E2297" t="n">
        <v>195.501</v>
      </c>
      <c r="G2297" t="n">
        <v>2.569</v>
      </c>
      <c r="H2297" t="inlineStr">
        <is>
          <t>bb</t>
        </is>
      </c>
    </row>
    <row r="2298">
      <c r="A2298" t="n">
        <v>11</v>
      </c>
      <c r="B2298" t="inlineStr">
        <is>
          <t>SB1</t>
        </is>
      </c>
      <c r="D2298" t="n">
        <v>15.57</v>
      </c>
      <c r="E2298" t="n">
        <v>116.185</v>
      </c>
      <c r="F2298" t="n">
        <v>280.929</v>
      </c>
      <c r="G2298" t="n">
        <v>9.039999999999999</v>
      </c>
      <c r="H2298" t="inlineStr">
        <is>
          <t>bb</t>
        </is>
      </c>
    </row>
    <row r="2299">
      <c r="A2299" t="n">
        <v>12</v>
      </c>
      <c r="B2299" t="inlineStr">
        <is>
          <t>SB2</t>
        </is>
      </c>
      <c r="D2299" t="n">
        <v>15.86</v>
      </c>
      <c r="E2299" t="n">
        <v>54.323</v>
      </c>
      <c r="F2299" t="n">
        <v>232.082</v>
      </c>
      <c r="G2299" t="n">
        <v>1.814</v>
      </c>
      <c r="H2299" t="inlineStr">
        <is>
          <t>bb</t>
        </is>
      </c>
    </row>
    <row r="2300">
      <c r="A2300" t="n">
        <v>13</v>
      </c>
      <c r="B2300" t="inlineStr">
        <is>
          <t>SB3</t>
        </is>
      </c>
      <c r="D2300" t="n">
        <v>15.56</v>
      </c>
      <c r="E2300" t="n">
        <v>153.949</v>
      </c>
      <c r="F2300" t="n">
        <v>402.233</v>
      </c>
      <c r="G2300" t="n">
        <v>3.06</v>
      </c>
      <c r="H2300" t="inlineStr">
        <is>
          <t>bb</t>
        </is>
      </c>
    </row>
    <row r="2301">
      <c r="A2301" t="n">
        <v>14</v>
      </c>
      <c r="B2301" t="inlineStr">
        <is>
          <t>SS1</t>
        </is>
      </c>
      <c r="D2301" t="n">
        <v>15.59</v>
      </c>
      <c r="E2301" t="n">
        <v>1643.799</v>
      </c>
      <c r="F2301" t="n">
        <v>226.458</v>
      </c>
      <c r="G2301" t="n">
        <v>16.044</v>
      </c>
      <c r="H2301" t="inlineStr">
        <is>
          <t>bb</t>
        </is>
      </c>
    </row>
    <row r="2302">
      <c r="A2302" t="n">
        <v>15</v>
      </c>
      <c r="B2302" t="inlineStr">
        <is>
          <t>SS2</t>
        </is>
      </c>
      <c r="D2302" t="n">
        <v>15.59</v>
      </c>
      <c r="E2302" t="n">
        <v>1474.133</v>
      </c>
      <c r="F2302" t="n">
        <v>147.337</v>
      </c>
      <c r="G2302" t="n">
        <v>9258</v>
      </c>
      <c r="H2302" t="inlineStr">
        <is>
          <t>bb</t>
        </is>
      </c>
    </row>
    <row r="2303">
      <c r="A2303" t="n">
        <v>16</v>
      </c>
      <c r="B2303" t="inlineStr">
        <is>
          <t>SS3</t>
        </is>
      </c>
      <c r="D2303" t="n">
        <v>15.61</v>
      </c>
      <c r="E2303" t="n">
        <v>1936.4</v>
      </c>
      <c r="F2303" t="n">
        <v>151.755</v>
      </c>
      <c r="G2303" t="n">
        <v>58.805</v>
      </c>
      <c r="H2303" t="inlineStr">
        <is>
          <t>bb</t>
        </is>
      </c>
    </row>
    <row r="2305">
      <c r="A2305" t="inlineStr">
        <is>
          <t>Compound 116:  m2 PFDoDA 1</t>
        </is>
      </c>
    </row>
    <row r="2307">
      <c r="B2307" t="inlineStr">
        <is>
          <t>Sample Text</t>
        </is>
      </c>
      <c r="C2307" t="inlineStr">
        <is>
          <t>Std. Conc</t>
        </is>
      </c>
      <c r="D2307" t="inlineStr">
        <is>
          <t>RT</t>
        </is>
      </c>
      <c r="E2307" t="inlineStr">
        <is>
          <t>Area</t>
        </is>
      </c>
      <c r="F2307" t="inlineStr">
        <is>
          <t>IS Area</t>
        </is>
      </c>
      <c r="G2307" t="inlineStr">
        <is>
          <t>S/N</t>
        </is>
      </c>
      <c r="H2307" t="inlineStr">
        <is>
          <t>Primary Flags</t>
        </is>
      </c>
      <c r="I2307" t="inlineStr">
        <is>
          <t>Response</t>
        </is>
      </c>
      <c r="J2307" t="inlineStr">
        <is>
          <t>Conc.</t>
        </is>
      </c>
    </row>
    <row r="2308">
      <c r="A2308" t="n">
        <v>1</v>
      </c>
      <c r="B2308" t="inlineStr">
        <is>
          <t>EPA1633 &amp; diPAPs Calibration 0 ppb</t>
        </is>
      </c>
      <c r="D2308" t="n">
        <v>15.53</v>
      </c>
      <c r="E2308" t="n">
        <v>1699.565</v>
      </c>
      <c r="G2308" t="n">
        <v>86.54000000000001</v>
      </c>
      <c r="H2308" t="inlineStr">
        <is>
          <t>bb</t>
        </is>
      </c>
      <c r="I2308" t="n">
        <v>1699.565</v>
      </c>
    </row>
    <row r="2309">
      <c r="A2309" t="n">
        <v>2</v>
      </c>
      <c r="B2309" t="inlineStr">
        <is>
          <t>EPA1633 &amp; diPAPs Calibration 0.02 ppb</t>
        </is>
      </c>
      <c r="D2309" t="n">
        <v>15.53</v>
      </c>
      <c r="E2309" t="n">
        <v>1218.852</v>
      </c>
      <c r="G2309" t="n">
        <v>8971</v>
      </c>
      <c r="H2309" t="inlineStr">
        <is>
          <t>bb</t>
        </is>
      </c>
      <c r="I2309" t="n">
        <v>1218.852</v>
      </c>
    </row>
    <row r="2310">
      <c r="A2310" t="n">
        <v>3</v>
      </c>
      <c r="B2310" t="inlineStr">
        <is>
          <t>EPA1633 &amp; diPAPs Calibration 0.1 ppb</t>
        </is>
      </c>
      <c r="D2310" t="n">
        <v>15.55</v>
      </c>
      <c r="E2310" t="n">
        <v>1578.659</v>
      </c>
      <c r="G2310" t="n">
        <v>11.635</v>
      </c>
      <c r="H2310" t="inlineStr">
        <is>
          <t>bb</t>
        </is>
      </c>
      <c r="I2310" t="n">
        <v>1578.659</v>
      </c>
    </row>
    <row r="2311">
      <c r="A2311" t="n">
        <v>4</v>
      </c>
      <c r="B2311" t="inlineStr">
        <is>
          <t>EPA1633 &amp; diPAPs Calibration 0.4 ppb</t>
        </is>
      </c>
      <c r="D2311" t="n">
        <v>15.56</v>
      </c>
      <c r="E2311" t="n">
        <v>1176.884</v>
      </c>
      <c r="G2311" t="n">
        <v>128.01</v>
      </c>
      <c r="H2311" t="inlineStr">
        <is>
          <t>bb</t>
        </is>
      </c>
      <c r="I2311" t="n">
        <v>1176.884</v>
      </c>
    </row>
    <row r="2312">
      <c r="A2312" t="n">
        <v>5</v>
      </c>
      <c r="B2312" t="inlineStr">
        <is>
          <t>EPA1633 &amp; diPAPs Calibration 1 ppb</t>
        </is>
      </c>
      <c r="D2312" t="n">
        <v>15.53</v>
      </c>
      <c r="E2312" t="n">
        <v>1460.092</v>
      </c>
      <c r="G2312" t="n">
        <v>10116</v>
      </c>
      <c r="H2312" t="inlineStr">
        <is>
          <t>bb</t>
        </is>
      </c>
      <c r="I2312" t="n">
        <v>1460.092</v>
      </c>
    </row>
    <row r="2313">
      <c r="A2313" t="n">
        <v>6</v>
      </c>
      <c r="B2313" t="inlineStr">
        <is>
          <t>EPA1633 &amp; diPAPs Calibration 5 ppb</t>
        </is>
      </c>
      <c r="D2313" t="n">
        <v>15.51</v>
      </c>
      <c r="E2313" t="n">
        <v>762.21</v>
      </c>
      <c r="G2313" t="n">
        <v>4977</v>
      </c>
      <c r="H2313" t="inlineStr">
        <is>
          <t>bb</t>
        </is>
      </c>
      <c r="I2313" t="n">
        <v>762.21</v>
      </c>
    </row>
    <row r="2314">
      <c r="A2314" t="n">
        <v>7</v>
      </c>
      <c r="B2314" t="inlineStr">
        <is>
          <t>EPA1633 &amp; diPAPs Calibration 10 ppb</t>
        </is>
      </c>
      <c r="D2314" t="n">
        <v>15.51</v>
      </c>
      <c r="E2314" t="n">
        <v>854.968</v>
      </c>
      <c r="G2314" t="n">
        <v>6252</v>
      </c>
      <c r="H2314" t="inlineStr">
        <is>
          <t>bb</t>
        </is>
      </c>
      <c r="I2314" t="n">
        <v>854.968</v>
      </c>
    </row>
    <row r="2315">
      <c r="A2315" t="n">
        <v>8</v>
      </c>
      <c r="B2315" t="inlineStr">
        <is>
          <t>EPA1633 &amp; diPAPs Calibration 20 ppb</t>
        </is>
      </c>
      <c r="D2315" t="n">
        <v>15.53</v>
      </c>
      <c r="E2315" t="n">
        <v>850.52</v>
      </c>
      <c r="G2315" t="n">
        <v>6259</v>
      </c>
      <c r="H2315" t="inlineStr">
        <is>
          <t>bb</t>
        </is>
      </c>
      <c r="I2315" t="n">
        <v>850.52</v>
      </c>
    </row>
    <row r="2316">
      <c r="A2316" t="n">
        <v>9</v>
      </c>
      <c r="B2316" t="inlineStr">
        <is>
          <t>MeOH</t>
        </is>
      </c>
    </row>
    <row r="2317">
      <c r="A2317" t="n">
        <v>10</v>
      </c>
      <c r="B2317" t="inlineStr">
        <is>
          <t>MeOH</t>
        </is>
      </c>
    </row>
    <row r="2318">
      <c r="A2318" t="n">
        <v>11</v>
      </c>
      <c r="B2318" t="inlineStr">
        <is>
          <t>SB1</t>
        </is>
      </c>
      <c r="D2318" t="n">
        <v>15.54</v>
      </c>
      <c r="E2318" t="n">
        <v>280.929</v>
      </c>
      <c r="G2318" t="n">
        <v>10.344</v>
      </c>
      <c r="H2318" t="inlineStr">
        <is>
          <t>bb</t>
        </is>
      </c>
      <c r="I2318" t="n">
        <v>280.929</v>
      </c>
    </row>
    <row r="2319">
      <c r="A2319" t="n">
        <v>12</v>
      </c>
      <c r="B2319" t="inlineStr">
        <is>
          <t>SB2</t>
        </is>
      </c>
      <c r="D2319" t="n">
        <v>15.57</v>
      </c>
      <c r="E2319" t="n">
        <v>232.082</v>
      </c>
      <c r="G2319" t="n">
        <v>1479</v>
      </c>
      <c r="H2319" t="inlineStr">
        <is>
          <t>bb</t>
        </is>
      </c>
      <c r="I2319" t="n">
        <v>232.082</v>
      </c>
    </row>
    <row r="2320">
      <c r="A2320" t="n">
        <v>13</v>
      </c>
      <c r="B2320" t="inlineStr">
        <is>
          <t>SB3</t>
        </is>
      </c>
      <c r="D2320" t="n">
        <v>15.56</v>
      </c>
      <c r="E2320" t="n">
        <v>402.233</v>
      </c>
      <c r="G2320" t="n">
        <v>2795</v>
      </c>
      <c r="H2320" t="inlineStr">
        <is>
          <t>bb</t>
        </is>
      </c>
      <c r="I2320" t="n">
        <v>402.233</v>
      </c>
    </row>
    <row r="2321">
      <c r="A2321" t="n">
        <v>14</v>
      </c>
      <c r="B2321" t="inlineStr">
        <is>
          <t>SS1</t>
        </is>
      </c>
      <c r="D2321" t="n">
        <v>15.56</v>
      </c>
      <c r="E2321" t="n">
        <v>226.458</v>
      </c>
      <c r="G2321" t="n">
        <v>1677</v>
      </c>
      <c r="H2321" t="inlineStr">
        <is>
          <t>bb</t>
        </is>
      </c>
      <c r="I2321" t="n">
        <v>226.458</v>
      </c>
    </row>
    <row r="2322">
      <c r="A2322" t="n">
        <v>15</v>
      </c>
      <c r="B2322" t="inlineStr">
        <is>
          <t>SS2</t>
        </is>
      </c>
      <c r="D2322" t="n">
        <v>15.62</v>
      </c>
      <c r="E2322" t="n">
        <v>147.337</v>
      </c>
      <c r="G2322" t="n">
        <v>1151</v>
      </c>
      <c r="H2322" t="inlineStr">
        <is>
          <t>bb</t>
        </is>
      </c>
      <c r="I2322" t="n">
        <v>147.337</v>
      </c>
    </row>
    <row r="2323">
      <c r="A2323" t="n">
        <v>16</v>
      </c>
      <c r="B2323" t="inlineStr">
        <is>
          <t>SS3</t>
        </is>
      </c>
      <c r="D2323" t="n">
        <v>15.58</v>
      </c>
      <c r="E2323" t="n">
        <v>151.755</v>
      </c>
      <c r="G2323" t="n">
        <v>1137</v>
      </c>
      <c r="H2323" t="inlineStr">
        <is>
          <t>bb</t>
        </is>
      </c>
      <c r="I2323" t="n">
        <v>151.755</v>
      </c>
    </row>
    <row r="2325">
      <c r="A2325" t="inlineStr">
        <is>
          <t>Compound 117:  m2 PFDoDA 2</t>
        </is>
      </c>
    </row>
    <row r="2327">
      <c r="B2327" t="inlineStr">
        <is>
          <t>Sample Text</t>
        </is>
      </c>
      <c r="C2327" t="inlineStr">
        <is>
          <t>Std. Conc</t>
        </is>
      </c>
      <c r="D2327" t="inlineStr">
        <is>
          <t>RT</t>
        </is>
      </c>
      <c r="E2327" t="inlineStr">
        <is>
          <t>Area</t>
        </is>
      </c>
      <c r="F2327" t="inlineStr">
        <is>
          <t>IS Area</t>
        </is>
      </c>
      <c r="G2327" t="inlineStr">
        <is>
          <t>S/N</t>
        </is>
      </c>
      <c r="H2327" t="inlineStr">
        <is>
          <t>Primary Flags</t>
        </is>
      </c>
      <c r="I2327" t="inlineStr">
        <is>
          <t>Response</t>
        </is>
      </c>
      <c r="J2327" t="inlineStr">
        <is>
          <t>Conc.</t>
        </is>
      </c>
    </row>
    <row r="2328">
      <c r="A2328" t="n">
        <v>1</v>
      </c>
      <c r="B2328" t="inlineStr">
        <is>
          <t>EPA1633 &amp; diPAPs Calibration 0 ppb</t>
        </is>
      </c>
      <c r="D2328" t="n">
        <v>15.53</v>
      </c>
      <c r="E2328" t="n">
        <v>2075.32</v>
      </c>
      <c r="G2328" t="n">
        <v>154.246</v>
      </c>
      <c r="H2328" t="inlineStr">
        <is>
          <t>bb</t>
        </is>
      </c>
      <c r="I2328" t="n">
        <v>2075.32</v>
      </c>
    </row>
    <row r="2329">
      <c r="A2329" t="n">
        <v>2</v>
      </c>
      <c r="B2329" t="inlineStr">
        <is>
          <t>EPA1633 &amp; diPAPs Calibration 0.02 ppb</t>
        </is>
      </c>
      <c r="D2329" t="n">
        <v>15.55</v>
      </c>
      <c r="E2329" t="n">
        <v>1493.9</v>
      </c>
      <c r="G2329" t="n">
        <v>9664</v>
      </c>
      <c r="H2329" t="inlineStr">
        <is>
          <t>bb</t>
        </is>
      </c>
      <c r="I2329" t="n">
        <v>1493.9</v>
      </c>
    </row>
    <row r="2330">
      <c r="A2330" t="n">
        <v>3</v>
      </c>
      <c r="B2330" t="inlineStr">
        <is>
          <t>EPA1633 &amp; diPAPs Calibration 0.1 ppb</t>
        </is>
      </c>
      <c r="D2330" t="n">
        <v>15.55</v>
      </c>
      <c r="E2330" t="n">
        <v>1612.42</v>
      </c>
      <c r="G2330" t="n">
        <v>43.882</v>
      </c>
      <c r="H2330" t="inlineStr">
        <is>
          <t>bb</t>
        </is>
      </c>
      <c r="I2330" t="n">
        <v>1612.42</v>
      </c>
    </row>
    <row r="2331">
      <c r="A2331" t="n">
        <v>4</v>
      </c>
      <c r="B2331" t="inlineStr">
        <is>
          <t>EPA1633 &amp; diPAPs Calibration 0.4 ppb</t>
        </is>
      </c>
      <c r="D2331" t="n">
        <v>15.54</v>
      </c>
      <c r="E2331" t="n">
        <v>1737.063</v>
      </c>
      <c r="G2331" t="n">
        <v>2282.721</v>
      </c>
      <c r="H2331" t="inlineStr">
        <is>
          <t>bb</t>
        </is>
      </c>
      <c r="I2331" t="n">
        <v>1737.063</v>
      </c>
    </row>
    <row r="2332">
      <c r="A2332" t="n">
        <v>5</v>
      </c>
      <c r="B2332" t="inlineStr">
        <is>
          <t>EPA1633 &amp; diPAPs Calibration 1 ppb</t>
        </is>
      </c>
      <c r="D2332" t="n">
        <v>15.53</v>
      </c>
      <c r="E2332" t="n">
        <v>1934.109</v>
      </c>
      <c r="G2332" t="n">
        <v>62.159</v>
      </c>
      <c r="H2332" t="inlineStr">
        <is>
          <t>bb</t>
        </is>
      </c>
      <c r="I2332" t="n">
        <v>1934.109</v>
      </c>
    </row>
    <row r="2333">
      <c r="A2333" t="n">
        <v>6</v>
      </c>
      <c r="B2333" t="inlineStr">
        <is>
          <t>EPA1633 &amp; diPAPs Calibration 5 ppb</t>
        </is>
      </c>
      <c r="D2333" t="n">
        <v>15.51</v>
      </c>
      <c r="E2333" t="n">
        <v>1187.091</v>
      </c>
      <c r="G2333" t="n">
        <v>8363</v>
      </c>
      <c r="H2333" t="inlineStr">
        <is>
          <t>bb</t>
        </is>
      </c>
      <c r="I2333" t="n">
        <v>1187.091</v>
      </c>
    </row>
    <row r="2334">
      <c r="A2334" t="n">
        <v>7</v>
      </c>
      <c r="B2334" t="inlineStr">
        <is>
          <t>EPA1633 &amp; diPAPs Calibration 10 ppb</t>
        </is>
      </c>
      <c r="D2334" t="n">
        <v>15.53</v>
      </c>
      <c r="E2334" t="n">
        <v>1023.909</v>
      </c>
      <c r="G2334" t="n">
        <v>110.098</v>
      </c>
      <c r="H2334" t="inlineStr">
        <is>
          <t>bb</t>
        </is>
      </c>
      <c r="I2334" t="n">
        <v>1023.909</v>
      </c>
    </row>
    <row r="2335">
      <c r="A2335" t="n">
        <v>8</v>
      </c>
      <c r="B2335" t="inlineStr">
        <is>
          <t>EPA1633 &amp; diPAPs Calibration 20 ppb</t>
        </is>
      </c>
      <c r="D2335" t="n">
        <v>15.53</v>
      </c>
      <c r="E2335" t="n">
        <v>1412.892</v>
      </c>
      <c r="G2335" t="n">
        <v>9823</v>
      </c>
      <c r="H2335" t="inlineStr">
        <is>
          <t>bb</t>
        </is>
      </c>
      <c r="I2335" t="n">
        <v>1412.892</v>
      </c>
    </row>
    <row r="2336">
      <c r="A2336" t="n">
        <v>9</v>
      </c>
      <c r="B2336" t="inlineStr">
        <is>
          <t>MeOH</t>
        </is>
      </c>
    </row>
    <row r="2337">
      <c r="A2337" t="n">
        <v>10</v>
      </c>
      <c r="B2337" t="inlineStr">
        <is>
          <t>MeOH</t>
        </is>
      </c>
    </row>
    <row r="2338">
      <c r="A2338" t="n">
        <v>11</v>
      </c>
      <c r="B2338" t="inlineStr">
        <is>
          <t>SB1</t>
        </is>
      </c>
      <c r="D2338" t="n">
        <v>15.56</v>
      </c>
      <c r="E2338" t="n">
        <v>427.298</v>
      </c>
      <c r="G2338" t="n">
        <v>7.404</v>
      </c>
      <c r="H2338" t="inlineStr">
        <is>
          <t>bb</t>
        </is>
      </c>
      <c r="I2338" t="n">
        <v>427.298</v>
      </c>
    </row>
    <row r="2339">
      <c r="A2339" t="n">
        <v>12</v>
      </c>
      <c r="B2339" t="inlineStr">
        <is>
          <t>SB2</t>
        </is>
      </c>
      <c r="D2339" t="n">
        <v>15.57</v>
      </c>
      <c r="E2339" t="n">
        <v>432.105</v>
      </c>
      <c r="G2339" t="n">
        <v>3314</v>
      </c>
      <c r="H2339" t="inlineStr">
        <is>
          <t>bb</t>
        </is>
      </c>
      <c r="I2339" t="n">
        <v>432.105</v>
      </c>
    </row>
    <row r="2340">
      <c r="A2340" t="n">
        <v>13</v>
      </c>
      <c r="B2340" t="inlineStr">
        <is>
          <t>SB3</t>
        </is>
      </c>
      <c r="D2340" t="n">
        <v>15.59</v>
      </c>
      <c r="E2340" t="n">
        <v>318.387</v>
      </c>
      <c r="G2340" t="n">
        <v>3.143</v>
      </c>
      <c r="H2340" t="inlineStr">
        <is>
          <t>bb</t>
        </is>
      </c>
      <c r="I2340" t="n">
        <v>318.387</v>
      </c>
    </row>
    <row r="2341">
      <c r="A2341" t="n">
        <v>14</v>
      </c>
      <c r="B2341" t="inlineStr">
        <is>
          <t>SS1</t>
        </is>
      </c>
      <c r="D2341" t="n">
        <v>15.61</v>
      </c>
      <c r="E2341" t="n">
        <v>720.678</v>
      </c>
      <c r="G2341" t="n">
        <v>61.78</v>
      </c>
      <c r="H2341" t="inlineStr">
        <is>
          <t>bb</t>
        </is>
      </c>
      <c r="I2341" t="n">
        <v>720.678</v>
      </c>
    </row>
    <row r="2342">
      <c r="A2342" t="n">
        <v>15</v>
      </c>
      <c r="B2342" t="inlineStr">
        <is>
          <t>SS2</t>
        </is>
      </c>
      <c r="D2342" t="n">
        <v>15.61</v>
      </c>
      <c r="E2342" t="n">
        <v>452.362</v>
      </c>
      <c r="G2342" t="n">
        <v>3189</v>
      </c>
      <c r="H2342" t="inlineStr">
        <is>
          <t>bb</t>
        </is>
      </c>
      <c r="I2342" t="n">
        <v>452.362</v>
      </c>
    </row>
    <row r="2343">
      <c r="A2343" t="n">
        <v>16</v>
      </c>
      <c r="B2343" t="inlineStr">
        <is>
          <t>SS3</t>
        </is>
      </c>
      <c r="D2343" t="n">
        <v>15.62</v>
      </c>
      <c r="E2343" t="n">
        <v>357.911</v>
      </c>
      <c r="G2343" t="n">
        <v>2454</v>
      </c>
      <c r="H2343" t="inlineStr">
        <is>
          <t>bb</t>
        </is>
      </c>
      <c r="I2343" t="n">
        <v>357.911</v>
      </c>
    </row>
    <row r="2345">
      <c r="A2345" t="inlineStr">
        <is>
          <t>Compound 118:  11Cl-PF3OUdS 1</t>
        </is>
      </c>
    </row>
    <row r="2347">
      <c r="B2347" t="inlineStr">
        <is>
          <t>Sample Text</t>
        </is>
      </c>
      <c r="C2347" t="inlineStr">
        <is>
          <t>Std. Conc</t>
        </is>
      </c>
      <c r="D2347" t="inlineStr">
        <is>
          <t>RT</t>
        </is>
      </c>
      <c r="E2347" t="inlineStr">
        <is>
          <t>Area</t>
        </is>
      </c>
      <c r="F2347" t="inlineStr">
        <is>
          <t>IS Area</t>
        </is>
      </c>
      <c r="G2347" t="inlineStr">
        <is>
          <t>S/N</t>
        </is>
      </c>
      <c r="H2347" t="inlineStr">
        <is>
          <t>Primary Flags</t>
        </is>
      </c>
      <c r="I2347" t="inlineStr">
        <is>
          <t>Response</t>
        </is>
      </c>
      <c r="J2347" t="inlineStr">
        <is>
          <t>Conc.</t>
        </is>
      </c>
    </row>
    <row r="2348">
      <c r="A2348" t="n">
        <v>1</v>
      </c>
      <c r="B2348" t="inlineStr">
        <is>
          <t>EPA1633 &amp; diPAPs Calibration 0 ppb</t>
        </is>
      </c>
      <c r="D2348" t="n">
        <v>15.17</v>
      </c>
      <c r="E2348" t="n">
        <v>3736.617</v>
      </c>
      <c r="F2348" t="n">
        <v>1699.565</v>
      </c>
      <c r="G2348" t="n">
        <v>292.255</v>
      </c>
      <c r="H2348" t="inlineStr">
        <is>
          <t>bb</t>
        </is>
      </c>
    </row>
    <row r="2349">
      <c r="A2349" t="n">
        <v>2</v>
      </c>
      <c r="B2349" t="inlineStr">
        <is>
          <t>EPA1633 &amp; diPAPs Calibration 0.02 ppb</t>
        </is>
      </c>
      <c r="D2349" t="n">
        <v>15.19</v>
      </c>
      <c r="E2349" t="n">
        <v>4584.715</v>
      </c>
      <c r="F2349" t="n">
        <v>1218.852</v>
      </c>
      <c r="G2349" t="n">
        <v>32503</v>
      </c>
      <c r="H2349" t="inlineStr">
        <is>
          <t>bb</t>
        </is>
      </c>
    </row>
    <row r="2350">
      <c r="A2350" t="n">
        <v>3</v>
      </c>
      <c r="B2350" t="inlineStr">
        <is>
          <t>EPA1633 &amp; diPAPs Calibration 0.1 ppb</t>
        </is>
      </c>
      <c r="D2350" t="n">
        <v>15.19</v>
      </c>
      <c r="E2350" t="n">
        <v>9262.210999999999</v>
      </c>
      <c r="F2350" t="n">
        <v>1578.659</v>
      </c>
      <c r="G2350" t="n">
        <v>66728</v>
      </c>
      <c r="H2350" t="inlineStr">
        <is>
          <t>bb</t>
        </is>
      </c>
    </row>
    <row r="2351">
      <c r="A2351" t="n">
        <v>4</v>
      </c>
      <c r="B2351" t="inlineStr">
        <is>
          <t>EPA1633 &amp; diPAPs Calibration 0.4 ppb</t>
        </is>
      </c>
      <c r="D2351" t="n">
        <v>15.2</v>
      </c>
      <c r="E2351" t="n">
        <v>27300.711</v>
      </c>
      <c r="F2351" t="n">
        <v>1176.884</v>
      </c>
      <c r="G2351" t="n">
        <v>1288.806</v>
      </c>
      <c r="H2351" t="inlineStr">
        <is>
          <t>bb</t>
        </is>
      </c>
    </row>
    <row r="2352">
      <c r="A2352" t="n">
        <v>5</v>
      </c>
      <c r="B2352" t="inlineStr">
        <is>
          <t>EPA1633 &amp; diPAPs Calibration 1 ppb</t>
        </is>
      </c>
      <c r="D2352" t="n">
        <v>15.17</v>
      </c>
      <c r="E2352" t="n">
        <v>46589.152</v>
      </c>
      <c r="F2352" t="n">
        <v>1460.092</v>
      </c>
      <c r="G2352" t="n">
        <v>529.104</v>
      </c>
      <c r="H2352" t="inlineStr">
        <is>
          <t>bb</t>
        </is>
      </c>
    </row>
    <row r="2353">
      <c r="A2353" t="n">
        <v>6</v>
      </c>
      <c r="B2353" t="inlineStr">
        <is>
          <t>EPA1633 &amp; diPAPs Calibration 5 ppb</t>
        </is>
      </c>
      <c r="D2353" t="n">
        <v>15.14</v>
      </c>
      <c r="E2353" t="n">
        <v>207353.031</v>
      </c>
      <c r="F2353" t="n">
        <v>762.21</v>
      </c>
      <c r="G2353" t="n">
        <v>5015.203</v>
      </c>
      <c r="H2353" t="inlineStr">
        <is>
          <t>bb</t>
        </is>
      </c>
    </row>
    <row r="2354">
      <c r="A2354" t="n">
        <v>7</v>
      </c>
      <c r="B2354" t="inlineStr">
        <is>
          <t>EPA1633 &amp; diPAPs Calibration 10 ppb</t>
        </is>
      </c>
      <c r="D2354" t="n">
        <v>15.16</v>
      </c>
      <c r="E2354" t="n">
        <v>363562.125</v>
      </c>
      <c r="F2354" t="n">
        <v>854.968</v>
      </c>
      <c r="G2354" t="n">
        <v>6343.298</v>
      </c>
      <c r="H2354" t="inlineStr">
        <is>
          <t>bb</t>
        </is>
      </c>
    </row>
    <row r="2355">
      <c r="A2355" t="n">
        <v>8</v>
      </c>
      <c r="B2355" t="inlineStr">
        <is>
          <t>EPA1633 &amp; diPAPs Calibration 20 ppb</t>
        </is>
      </c>
      <c r="D2355" t="n">
        <v>15.17</v>
      </c>
      <c r="E2355" t="n">
        <v>724200.375</v>
      </c>
      <c r="F2355" t="n">
        <v>850.52</v>
      </c>
      <c r="G2355" t="n">
        <v>4563.527</v>
      </c>
      <c r="H2355" t="inlineStr">
        <is>
          <t>bb</t>
        </is>
      </c>
    </row>
    <row r="2356">
      <c r="A2356" t="n">
        <v>9</v>
      </c>
      <c r="B2356" t="inlineStr">
        <is>
          <t>MeOH</t>
        </is>
      </c>
      <c r="D2356" t="n">
        <v>15.19</v>
      </c>
      <c r="E2356" t="n">
        <v>2195.667</v>
      </c>
      <c r="G2356" t="n">
        <v>102.893</v>
      </c>
      <c r="H2356" t="inlineStr">
        <is>
          <t>bb</t>
        </is>
      </c>
    </row>
    <row r="2357">
      <c r="A2357" t="n">
        <v>10</v>
      </c>
      <c r="B2357" t="inlineStr">
        <is>
          <t>MeOH</t>
        </is>
      </c>
      <c r="D2357" t="n">
        <v>15.2</v>
      </c>
      <c r="E2357" t="n">
        <v>1325.172</v>
      </c>
      <c r="G2357" t="n">
        <v>342.395</v>
      </c>
      <c r="H2357" t="inlineStr">
        <is>
          <t>bb</t>
        </is>
      </c>
    </row>
    <row r="2358">
      <c r="A2358" t="n">
        <v>11</v>
      </c>
      <c r="B2358" t="inlineStr">
        <is>
          <t>SB1</t>
        </is>
      </c>
      <c r="D2358" t="n">
        <v>15.2</v>
      </c>
      <c r="E2358" t="n">
        <v>587.954</v>
      </c>
      <c r="F2358" t="n">
        <v>280.929</v>
      </c>
      <c r="G2358" t="n">
        <v>4367</v>
      </c>
      <c r="H2358" t="inlineStr">
        <is>
          <t>bb</t>
        </is>
      </c>
    </row>
    <row r="2359">
      <c r="A2359" t="n">
        <v>12</v>
      </c>
      <c r="B2359" t="inlineStr">
        <is>
          <t>SB2</t>
        </is>
      </c>
      <c r="D2359" t="n">
        <v>15.23</v>
      </c>
      <c r="E2359" t="n">
        <v>184.002</v>
      </c>
      <c r="F2359" t="n">
        <v>232.082</v>
      </c>
      <c r="G2359" t="n">
        <v>1458</v>
      </c>
      <c r="H2359" t="inlineStr">
        <is>
          <t>bb</t>
        </is>
      </c>
    </row>
    <row r="2360">
      <c r="A2360" t="n">
        <v>13</v>
      </c>
      <c r="B2360" t="inlineStr">
        <is>
          <t>SB3</t>
        </is>
      </c>
      <c r="D2360" t="n">
        <v>15.22</v>
      </c>
      <c r="E2360" t="n">
        <v>68.619</v>
      </c>
      <c r="F2360" t="n">
        <v>402.233</v>
      </c>
      <c r="G2360" t="n">
        <v>1.77</v>
      </c>
      <c r="H2360" t="inlineStr">
        <is>
          <t>bb</t>
        </is>
      </c>
    </row>
    <row r="2361">
      <c r="A2361" t="n">
        <v>14</v>
      </c>
      <c r="B2361" t="inlineStr">
        <is>
          <t>SS1</t>
        </is>
      </c>
      <c r="D2361" t="n">
        <v>15.23</v>
      </c>
      <c r="E2361" t="n">
        <v>136825.422</v>
      </c>
      <c r="F2361" t="n">
        <v>226.458</v>
      </c>
      <c r="G2361" t="n">
        <v>928930</v>
      </c>
      <c r="H2361" t="inlineStr">
        <is>
          <t>bb</t>
        </is>
      </c>
    </row>
    <row r="2362">
      <c r="A2362" t="n">
        <v>15</v>
      </c>
      <c r="B2362" t="inlineStr">
        <is>
          <t>SS2</t>
        </is>
      </c>
      <c r="D2362" t="n">
        <v>15.25</v>
      </c>
      <c r="E2362" t="n">
        <v>140776.094</v>
      </c>
      <c r="F2362" t="n">
        <v>147.337</v>
      </c>
      <c r="G2362" t="n">
        <v>1392.415</v>
      </c>
      <c r="H2362" t="inlineStr">
        <is>
          <t>bb</t>
        </is>
      </c>
    </row>
    <row r="2363">
      <c r="A2363" t="n">
        <v>16</v>
      </c>
      <c r="B2363" t="inlineStr">
        <is>
          <t>SS3</t>
        </is>
      </c>
      <c r="D2363" t="n">
        <v>15.25</v>
      </c>
      <c r="E2363" t="n">
        <v>134448.844</v>
      </c>
      <c r="F2363" t="n">
        <v>151.755</v>
      </c>
      <c r="G2363" t="n">
        <v>2702.157</v>
      </c>
      <c r="H2363" t="inlineStr">
        <is>
          <t>bb</t>
        </is>
      </c>
    </row>
    <row r="2365">
      <c r="A2365" t="inlineStr">
        <is>
          <t>Compound 119:  11Cl-PF3OUdS 2</t>
        </is>
      </c>
    </row>
    <row r="2367">
      <c r="B2367" t="inlineStr">
        <is>
          <t>Sample Text</t>
        </is>
      </c>
      <c r="C2367" t="inlineStr">
        <is>
          <t>Std. Conc</t>
        </is>
      </c>
      <c r="D2367" t="inlineStr">
        <is>
          <t>RT</t>
        </is>
      </c>
      <c r="E2367" t="inlineStr">
        <is>
          <t>Area</t>
        </is>
      </c>
      <c r="F2367" t="inlineStr">
        <is>
          <t>IS Area</t>
        </is>
      </c>
      <c r="G2367" t="inlineStr">
        <is>
          <t>S/N</t>
        </is>
      </c>
      <c r="H2367" t="inlineStr">
        <is>
          <t>Primary Flags</t>
        </is>
      </c>
      <c r="I2367" t="inlineStr">
        <is>
          <t>Response</t>
        </is>
      </c>
      <c r="J2367" t="inlineStr">
        <is>
          <t>Conc.</t>
        </is>
      </c>
    </row>
    <row r="2368">
      <c r="A2368" t="n">
        <v>1</v>
      </c>
      <c r="B2368" t="inlineStr">
        <is>
          <t>EPA1633 &amp; diPAPs Calibration 0 ppb</t>
        </is>
      </c>
      <c r="D2368" t="n">
        <v>15.16</v>
      </c>
      <c r="E2368" t="n">
        <v>40.566</v>
      </c>
      <c r="F2368" t="n">
        <v>1699.565</v>
      </c>
      <c r="G2368" t="n">
        <v>4.819</v>
      </c>
      <c r="H2368" t="inlineStr">
        <is>
          <t>bb</t>
        </is>
      </c>
    </row>
    <row r="2369">
      <c r="A2369" t="n">
        <v>2</v>
      </c>
      <c r="B2369" t="inlineStr">
        <is>
          <t>EPA1633 &amp; diPAPs Calibration 0.02 ppb</t>
        </is>
      </c>
      <c r="D2369" t="n">
        <v>15.17</v>
      </c>
      <c r="E2369" t="n">
        <v>240.874</v>
      </c>
      <c r="F2369" t="n">
        <v>1218.852</v>
      </c>
      <c r="G2369" t="n">
        <v>18.915</v>
      </c>
      <c r="H2369" t="inlineStr">
        <is>
          <t>bb</t>
        </is>
      </c>
    </row>
    <row r="2370">
      <c r="A2370" t="n">
        <v>3</v>
      </c>
      <c r="B2370" t="inlineStr">
        <is>
          <t>EPA1633 &amp; diPAPs Calibration 0.1 ppb</t>
        </is>
      </c>
      <c r="D2370" t="n">
        <v>15.2</v>
      </c>
      <c r="E2370" t="n">
        <v>322.125</v>
      </c>
      <c r="F2370" t="n">
        <v>1578.659</v>
      </c>
      <c r="G2370" t="n">
        <v>2.495</v>
      </c>
      <c r="H2370" t="inlineStr">
        <is>
          <t>bb</t>
        </is>
      </c>
    </row>
    <row r="2371">
      <c r="A2371" t="n">
        <v>4</v>
      </c>
      <c r="B2371" t="inlineStr">
        <is>
          <t>EPA1633 &amp; diPAPs Calibration 0.4 ppb</t>
        </is>
      </c>
      <c r="D2371" t="n">
        <v>15.2</v>
      </c>
      <c r="E2371" t="n">
        <v>1128.32</v>
      </c>
      <c r="F2371" t="n">
        <v>1176.884</v>
      </c>
      <c r="G2371" t="n">
        <v>7526</v>
      </c>
      <c r="H2371" t="inlineStr">
        <is>
          <t>bb</t>
        </is>
      </c>
    </row>
    <row r="2372">
      <c r="A2372" t="n">
        <v>5</v>
      </c>
      <c r="B2372" t="inlineStr">
        <is>
          <t>EPA1633 &amp; diPAPs Calibration 1 ppb</t>
        </is>
      </c>
      <c r="D2372" t="n">
        <v>15.17</v>
      </c>
      <c r="E2372" t="n">
        <v>2579.382</v>
      </c>
      <c r="F2372" t="n">
        <v>1460.092</v>
      </c>
      <c r="G2372" t="n">
        <v>18812</v>
      </c>
      <c r="H2372" t="inlineStr">
        <is>
          <t>bb</t>
        </is>
      </c>
    </row>
    <row r="2373">
      <c r="A2373" t="n">
        <v>6</v>
      </c>
      <c r="B2373" t="inlineStr">
        <is>
          <t>EPA1633 &amp; diPAPs Calibration 5 ppb</t>
        </is>
      </c>
      <c r="D2373" t="n">
        <v>15.14</v>
      </c>
      <c r="E2373" t="n">
        <v>11403.255</v>
      </c>
      <c r="F2373" t="n">
        <v>762.21</v>
      </c>
      <c r="G2373" t="n">
        <v>267.421</v>
      </c>
      <c r="H2373" t="inlineStr">
        <is>
          <t>bb</t>
        </is>
      </c>
    </row>
    <row r="2374">
      <c r="A2374" t="n">
        <v>7</v>
      </c>
      <c r="B2374" t="inlineStr">
        <is>
          <t>EPA1633 &amp; diPAPs Calibration 10 ppb</t>
        </is>
      </c>
      <c r="D2374" t="n">
        <v>15.16</v>
      </c>
      <c r="E2374" t="n">
        <v>19045.783</v>
      </c>
      <c r="F2374" t="n">
        <v>854.968</v>
      </c>
      <c r="G2374" t="n">
        <v>1051.347</v>
      </c>
      <c r="H2374" t="inlineStr">
        <is>
          <t>bb</t>
        </is>
      </c>
    </row>
    <row r="2375">
      <c r="A2375" t="n">
        <v>8</v>
      </c>
      <c r="B2375" t="inlineStr">
        <is>
          <t>EPA1633 &amp; diPAPs Calibration 20 ppb</t>
        </is>
      </c>
      <c r="D2375" t="n">
        <v>15.17</v>
      </c>
      <c r="E2375" t="n">
        <v>38088.668</v>
      </c>
      <c r="F2375" t="n">
        <v>850.52</v>
      </c>
      <c r="G2375" t="n">
        <v>5799.45</v>
      </c>
      <c r="H2375" t="inlineStr">
        <is>
          <t>bb</t>
        </is>
      </c>
    </row>
    <row r="2376">
      <c r="A2376" t="n">
        <v>9</v>
      </c>
      <c r="B2376" t="inlineStr">
        <is>
          <t>MeOH</t>
        </is>
      </c>
      <c r="D2376" t="n">
        <v>15.25</v>
      </c>
      <c r="E2376" t="n">
        <v>9.436999999999999</v>
      </c>
      <c r="G2376" t="n">
        <v>70</v>
      </c>
      <c r="H2376" t="inlineStr">
        <is>
          <t>bb</t>
        </is>
      </c>
    </row>
    <row r="2377">
      <c r="A2377" t="n">
        <v>10</v>
      </c>
      <c r="B2377" t="inlineStr">
        <is>
          <t>MeOH</t>
        </is>
      </c>
      <c r="D2377" t="n">
        <v>15.19</v>
      </c>
      <c r="E2377" t="n">
        <v>16.282</v>
      </c>
      <c r="G2377" t="n">
        <v>145</v>
      </c>
      <c r="H2377" t="inlineStr">
        <is>
          <t>bb</t>
        </is>
      </c>
    </row>
    <row r="2378">
      <c r="A2378" t="n">
        <v>11</v>
      </c>
      <c r="B2378" t="inlineStr">
        <is>
          <t>SB1</t>
        </is>
      </c>
      <c r="F2378" t="n">
        <v>280.929</v>
      </c>
    </row>
    <row r="2379">
      <c r="A2379" t="n">
        <v>12</v>
      </c>
      <c r="B2379" t="inlineStr">
        <is>
          <t>SB2</t>
        </is>
      </c>
      <c r="F2379" t="n">
        <v>232.082</v>
      </c>
    </row>
    <row r="2380">
      <c r="A2380" t="n">
        <v>13</v>
      </c>
      <c r="B2380" t="inlineStr">
        <is>
          <t>SB3</t>
        </is>
      </c>
      <c r="F2380" t="n">
        <v>402.233</v>
      </c>
    </row>
    <row r="2381">
      <c r="A2381" t="n">
        <v>14</v>
      </c>
      <c r="B2381" t="inlineStr">
        <is>
          <t>SS1</t>
        </is>
      </c>
      <c r="D2381" t="n">
        <v>15.23</v>
      </c>
      <c r="E2381" t="n">
        <v>6725.818</v>
      </c>
      <c r="F2381" t="n">
        <v>226.458</v>
      </c>
      <c r="G2381" t="n">
        <v>1689.118</v>
      </c>
      <c r="H2381" t="inlineStr">
        <is>
          <t>bb</t>
        </is>
      </c>
    </row>
    <row r="2382">
      <c r="A2382" t="n">
        <v>15</v>
      </c>
      <c r="B2382" t="inlineStr">
        <is>
          <t>SS2</t>
        </is>
      </c>
      <c r="D2382" t="n">
        <v>15.23</v>
      </c>
      <c r="E2382" t="n">
        <v>7635.923</v>
      </c>
      <c r="F2382" t="n">
        <v>147.337</v>
      </c>
      <c r="G2382" t="n">
        <v>51300</v>
      </c>
      <c r="H2382" t="inlineStr">
        <is>
          <t>bb</t>
        </is>
      </c>
    </row>
    <row r="2383">
      <c r="A2383" t="n">
        <v>16</v>
      </c>
      <c r="B2383" t="inlineStr">
        <is>
          <t>SS3</t>
        </is>
      </c>
      <c r="D2383" t="n">
        <v>15.25</v>
      </c>
      <c r="E2383" t="n">
        <v>6764.909</v>
      </c>
      <c r="F2383" t="n">
        <v>151.755</v>
      </c>
      <c r="G2383" t="n">
        <v>610.595</v>
      </c>
      <c r="H2383" t="inlineStr">
        <is>
          <t>bb</t>
        </is>
      </c>
    </row>
    <row r="2385">
      <c r="A2385" t="inlineStr">
        <is>
          <t>Compound 120:  PFTrDA 1</t>
        </is>
      </c>
    </row>
    <row r="2387">
      <c r="B2387" t="inlineStr">
        <is>
          <t>Sample Text</t>
        </is>
      </c>
      <c r="C2387" t="inlineStr">
        <is>
          <t>Std. Conc</t>
        </is>
      </c>
      <c r="D2387" t="inlineStr">
        <is>
          <t>RT</t>
        </is>
      </c>
      <c r="E2387" t="inlineStr">
        <is>
          <t>Area</t>
        </is>
      </c>
      <c r="F2387" t="inlineStr">
        <is>
          <t>IS Area</t>
        </is>
      </c>
      <c r="G2387" t="inlineStr">
        <is>
          <t>S/N</t>
        </is>
      </c>
      <c r="H2387" t="inlineStr">
        <is>
          <t>Primary Flags</t>
        </is>
      </c>
      <c r="I2387" t="inlineStr">
        <is>
          <t>Response</t>
        </is>
      </c>
      <c r="J2387" t="inlineStr">
        <is>
          <t>Conc.</t>
        </is>
      </c>
    </row>
    <row r="2388">
      <c r="A2388" t="n">
        <v>1</v>
      </c>
      <c r="B2388" t="inlineStr">
        <is>
          <t>EPA1633 &amp; diPAPs Calibration 0 ppb</t>
        </is>
      </c>
      <c r="D2388" t="n">
        <v>16.17</v>
      </c>
      <c r="E2388" t="n">
        <v>85.76600000000001</v>
      </c>
      <c r="F2388" t="n">
        <v>1320.569</v>
      </c>
      <c r="G2388" t="n">
        <v>788</v>
      </c>
      <c r="H2388" t="inlineStr">
        <is>
          <t>bb</t>
        </is>
      </c>
    </row>
    <row r="2389">
      <c r="A2389" t="n">
        <v>2</v>
      </c>
      <c r="B2389" t="inlineStr">
        <is>
          <t>EPA1633 &amp; diPAPs Calibration 0.02 ppb</t>
        </is>
      </c>
      <c r="D2389" t="n">
        <v>16.38</v>
      </c>
      <c r="E2389" t="n">
        <v>18.232</v>
      </c>
      <c r="F2389" t="n">
        <v>1092.248</v>
      </c>
      <c r="G2389" t="n">
        <v>103</v>
      </c>
      <c r="H2389" t="inlineStr">
        <is>
          <t>MM</t>
        </is>
      </c>
    </row>
    <row r="2390">
      <c r="A2390" t="n">
        <v>3</v>
      </c>
      <c r="B2390" t="inlineStr">
        <is>
          <t>EPA1633 &amp; diPAPs Calibration 0.1 ppb</t>
        </is>
      </c>
      <c r="D2390" t="n">
        <v>16.25</v>
      </c>
      <c r="E2390" t="n">
        <v>78.97799999999999</v>
      </c>
      <c r="F2390" t="n">
        <v>1259.575</v>
      </c>
      <c r="G2390" t="n">
        <v>5.178</v>
      </c>
      <c r="H2390" t="inlineStr">
        <is>
          <t>bb</t>
        </is>
      </c>
    </row>
    <row r="2391">
      <c r="A2391" t="n">
        <v>4</v>
      </c>
      <c r="B2391" t="inlineStr">
        <is>
          <t>EPA1633 &amp; diPAPs Calibration 0.4 ppb</t>
        </is>
      </c>
      <c r="D2391" t="n">
        <v>16.2</v>
      </c>
      <c r="E2391" t="n">
        <v>272.043</v>
      </c>
      <c r="F2391" t="n">
        <v>1040.151</v>
      </c>
      <c r="G2391" t="n">
        <v>2283</v>
      </c>
      <c r="H2391" t="inlineStr">
        <is>
          <t>MM</t>
        </is>
      </c>
    </row>
    <row r="2392">
      <c r="A2392" t="n">
        <v>5</v>
      </c>
      <c r="B2392" t="inlineStr">
        <is>
          <t>EPA1633 &amp; diPAPs Calibration 1 ppb</t>
        </is>
      </c>
      <c r="D2392" t="n">
        <v>16.17</v>
      </c>
      <c r="E2392" t="n">
        <v>586.314</v>
      </c>
      <c r="F2392" t="n">
        <v>1405.741</v>
      </c>
      <c r="G2392" t="n">
        <v>17.031</v>
      </c>
      <c r="H2392" t="inlineStr">
        <is>
          <t>bb</t>
        </is>
      </c>
    </row>
    <row r="2393">
      <c r="A2393" t="n">
        <v>6</v>
      </c>
      <c r="B2393" t="inlineStr">
        <is>
          <t>EPA1633 &amp; diPAPs Calibration 5 ppb</t>
        </is>
      </c>
      <c r="D2393" t="n">
        <v>16.17</v>
      </c>
      <c r="E2393" t="n">
        <v>2975.059</v>
      </c>
      <c r="F2393" t="n">
        <v>1256.498</v>
      </c>
      <c r="G2393" t="n">
        <v>131.305</v>
      </c>
      <c r="H2393" t="inlineStr">
        <is>
          <t>bb</t>
        </is>
      </c>
    </row>
    <row r="2394">
      <c r="A2394" t="n">
        <v>7</v>
      </c>
      <c r="B2394" t="inlineStr">
        <is>
          <t>EPA1633 &amp; diPAPs Calibration 10 ppb</t>
        </is>
      </c>
      <c r="D2394" t="n">
        <v>16.17</v>
      </c>
      <c r="E2394" t="n">
        <v>5041.954</v>
      </c>
      <c r="F2394" t="n">
        <v>964.71</v>
      </c>
      <c r="G2394" t="n">
        <v>36707</v>
      </c>
      <c r="H2394" t="inlineStr">
        <is>
          <t>bb</t>
        </is>
      </c>
    </row>
    <row r="2395">
      <c r="A2395" t="n">
        <v>8</v>
      </c>
      <c r="B2395" t="inlineStr">
        <is>
          <t>EPA1633 &amp; diPAPs Calibration 20 ppb</t>
        </is>
      </c>
      <c r="D2395" t="n">
        <v>16.19</v>
      </c>
      <c r="E2395" t="n">
        <v>11849.252</v>
      </c>
      <c r="F2395" t="n">
        <v>1026.499</v>
      </c>
      <c r="G2395" t="n">
        <v>174.353</v>
      </c>
      <c r="H2395" t="inlineStr">
        <is>
          <t>bb</t>
        </is>
      </c>
    </row>
    <row r="2396">
      <c r="A2396" t="n">
        <v>9</v>
      </c>
      <c r="B2396" t="inlineStr">
        <is>
          <t>MeOH</t>
        </is>
      </c>
      <c r="D2396" t="n">
        <v>16.11</v>
      </c>
      <c r="E2396" t="n">
        <v>7.078</v>
      </c>
      <c r="F2396" t="n">
        <v>11.688</v>
      </c>
      <c r="G2396" t="n">
        <v>67</v>
      </c>
      <c r="H2396" t="inlineStr">
        <is>
          <t>bb</t>
        </is>
      </c>
    </row>
    <row r="2397">
      <c r="A2397" t="n">
        <v>10</v>
      </c>
      <c r="B2397" t="inlineStr">
        <is>
          <t>MeOH</t>
        </is>
      </c>
      <c r="F2397" t="n">
        <v>3.639</v>
      </c>
    </row>
    <row r="2398">
      <c r="A2398" t="n">
        <v>11</v>
      </c>
      <c r="B2398" t="inlineStr">
        <is>
          <t>SB1</t>
        </is>
      </c>
      <c r="D2398" t="n">
        <v>16.22</v>
      </c>
      <c r="E2398" t="n">
        <v>374.72</v>
      </c>
      <c r="F2398" t="n">
        <v>414.528</v>
      </c>
      <c r="G2398" t="n">
        <v>10.906</v>
      </c>
      <c r="H2398" t="inlineStr">
        <is>
          <t>bb</t>
        </is>
      </c>
    </row>
    <row r="2399">
      <c r="A2399" t="n">
        <v>12</v>
      </c>
      <c r="B2399" t="inlineStr">
        <is>
          <t>SB2</t>
        </is>
      </c>
      <c r="F2399" t="n">
        <v>503.01</v>
      </c>
    </row>
    <row r="2400">
      <c r="A2400" t="n">
        <v>13</v>
      </c>
      <c r="B2400" t="inlineStr">
        <is>
          <t>SB3</t>
        </is>
      </c>
      <c r="F2400" t="n">
        <v>431.257</v>
      </c>
    </row>
    <row r="2401">
      <c r="A2401" t="n">
        <v>14</v>
      </c>
      <c r="B2401" t="inlineStr">
        <is>
          <t>SS1</t>
        </is>
      </c>
      <c r="D2401" t="n">
        <v>16.24</v>
      </c>
      <c r="E2401" t="n">
        <v>1873.128</v>
      </c>
      <c r="F2401" t="n">
        <v>427.401</v>
      </c>
      <c r="G2401" t="n">
        <v>191.519</v>
      </c>
      <c r="H2401" t="inlineStr">
        <is>
          <t>bb</t>
        </is>
      </c>
    </row>
    <row r="2402">
      <c r="A2402" t="n">
        <v>15</v>
      </c>
      <c r="B2402" t="inlineStr">
        <is>
          <t>SS2</t>
        </is>
      </c>
      <c r="D2402" t="n">
        <v>16.24</v>
      </c>
      <c r="E2402" t="n">
        <v>1862.518</v>
      </c>
      <c r="F2402" t="n">
        <v>452.262</v>
      </c>
      <c r="G2402" t="n">
        <v>317.99</v>
      </c>
      <c r="H2402" t="inlineStr">
        <is>
          <t>bb</t>
        </is>
      </c>
    </row>
    <row r="2403">
      <c r="A2403" t="n">
        <v>16</v>
      </c>
      <c r="B2403" t="inlineStr">
        <is>
          <t>SS3</t>
        </is>
      </c>
      <c r="D2403" t="n">
        <v>16.25</v>
      </c>
      <c r="E2403" t="n">
        <v>1874.324</v>
      </c>
      <c r="F2403" t="n">
        <v>344.206</v>
      </c>
      <c r="G2403" t="n">
        <v>69.715</v>
      </c>
      <c r="H2403" t="inlineStr">
        <is>
          <t>bb</t>
        </is>
      </c>
    </row>
    <row r="2405">
      <c r="A2405" t="inlineStr">
        <is>
          <t>Compound 121:  PFTrDA 2</t>
        </is>
      </c>
    </row>
    <row r="2407">
      <c r="B2407" t="inlineStr">
        <is>
          <t>Sample Text</t>
        </is>
      </c>
      <c r="C2407" t="inlineStr">
        <is>
          <t>Std. Conc</t>
        </is>
      </c>
      <c r="D2407" t="inlineStr">
        <is>
          <t>RT</t>
        </is>
      </c>
      <c r="E2407" t="inlineStr">
        <is>
          <t>Area</t>
        </is>
      </c>
      <c r="F2407" t="inlineStr">
        <is>
          <t>IS Area</t>
        </is>
      </c>
      <c r="G2407" t="inlineStr">
        <is>
          <t>S/N</t>
        </is>
      </c>
      <c r="H2407" t="inlineStr">
        <is>
          <t>Primary Flags</t>
        </is>
      </c>
      <c r="I2407" t="inlineStr">
        <is>
          <t>Response</t>
        </is>
      </c>
      <c r="J2407" t="inlineStr">
        <is>
          <t>Conc.</t>
        </is>
      </c>
    </row>
    <row r="2408">
      <c r="A2408" t="n">
        <v>1</v>
      </c>
      <c r="B2408" t="inlineStr">
        <is>
          <t>EPA1633 &amp; diPAPs Calibration 0 ppb</t>
        </is>
      </c>
      <c r="F2408" t="n">
        <v>1320.569</v>
      </c>
    </row>
    <row r="2409">
      <c r="A2409" t="n">
        <v>2</v>
      </c>
      <c r="B2409" t="inlineStr">
        <is>
          <t>EPA1633 &amp; diPAPs Calibration 0.02 ppb</t>
        </is>
      </c>
      <c r="D2409" t="n">
        <v>15.67</v>
      </c>
      <c r="E2409" t="n">
        <v>1.262</v>
      </c>
      <c r="F2409" t="n">
        <v>1092.248</v>
      </c>
      <c r="G2409" t="n">
        <v>11</v>
      </c>
      <c r="H2409" t="inlineStr">
        <is>
          <t>bb</t>
        </is>
      </c>
    </row>
    <row r="2410">
      <c r="A2410" t="n">
        <v>3</v>
      </c>
      <c r="B2410" t="inlineStr">
        <is>
          <t>EPA1633 &amp; diPAPs Calibration 0.1 ppb</t>
        </is>
      </c>
      <c r="D2410" t="n">
        <v>16.38</v>
      </c>
      <c r="E2410" t="n">
        <v>0.802</v>
      </c>
      <c r="F2410" t="n">
        <v>1259.575</v>
      </c>
      <c r="G2410" t="n">
        <v>9</v>
      </c>
      <c r="H2410" t="inlineStr">
        <is>
          <t>bb</t>
        </is>
      </c>
    </row>
    <row r="2411">
      <c r="A2411" t="n">
        <v>4</v>
      </c>
      <c r="B2411" t="inlineStr">
        <is>
          <t>EPA1633 &amp; diPAPs Calibration 0.4 ppb</t>
        </is>
      </c>
      <c r="D2411" t="n">
        <v>16.22</v>
      </c>
      <c r="E2411" t="n">
        <v>94.92400000000001</v>
      </c>
      <c r="F2411" t="n">
        <v>1040.151</v>
      </c>
      <c r="G2411" t="n">
        <v>6.702</v>
      </c>
      <c r="H2411" t="inlineStr">
        <is>
          <t>MM</t>
        </is>
      </c>
    </row>
    <row r="2412">
      <c r="A2412" t="n">
        <v>5</v>
      </c>
      <c r="B2412" t="inlineStr">
        <is>
          <t>EPA1633 &amp; diPAPs Calibration 1 ppb</t>
        </is>
      </c>
      <c r="D2412" t="n">
        <v>16.17</v>
      </c>
      <c r="E2412" t="n">
        <v>176.85</v>
      </c>
      <c r="F2412" t="n">
        <v>1405.741</v>
      </c>
      <c r="G2412" t="n">
        <v>1429</v>
      </c>
      <c r="H2412" t="inlineStr">
        <is>
          <t>bb</t>
        </is>
      </c>
    </row>
    <row r="2413">
      <c r="A2413" t="n">
        <v>6</v>
      </c>
      <c r="B2413" t="inlineStr">
        <is>
          <t>EPA1633 &amp; diPAPs Calibration 5 ppb</t>
        </is>
      </c>
      <c r="D2413" t="n">
        <v>16.16</v>
      </c>
      <c r="E2413" t="n">
        <v>560.563</v>
      </c>
      <c r="F2413" t="n">
        <v>1256.498</v>
      </c>
      <c r="G2413" t="n">
        <v>4654</v>
      </c>
      <c r="H2413" t="inlineStr">
        <is>
          <t>bb</t>
        </is>
      </c>
    </row>
    <row r="2414">
      <c r="A2414" t="n">
        <v>7</v>
      </c>
      <c r="B2414" t="inlineStr">
        <is>
          <t>EPA1633 &amp; diPAPs Calibration 10 ppb</t>
        </is>
      </c>
      <c r="D2414" t="n">
        <v>16.17</v>
      </c>
      <c r="E2414" t="n">
        <v>1444.139</v>
      </c>
      <c r="F2414" t="n">
        <v>964.71</v>
      </c>
      <c r="G2414" t="n">
        <v>24.822</v>
      </c>
      <c r="H2414" t="inlineStr">
        <is>
          <t>bb</t>
        </is>
      </c>
    </row>
    <row r="2415">
      <c r="A2415" t="n">
        <v>8</v>
      </c>
      <c r="B2415" t="inlineStr">
        <is>
          <t>EPA1633 &amp; diPAPs Calibration 20 ppb</t>
        </is>
      </c>
      <c r="D2415" t="n">
        <v>16.19</v>
      </c>
      <c r="E2415" t="n">
        <v>2722.672</v>
      </c>
      <c r="F2415" t="n">
        <v>1026.499</v>
      </c>
      <c r="G2415" t="n">
        <v>76.977</v>
      </c>
      <c r="H2415" t="inlineStr">
        <is>
          <t>bb</t>
        </is>
      </c>
    </row>
    <row r="2416">
      <c r="A2416" t="n">
        <v>9</v>
      </c>
      <c r="B2416" t="inlineStr">
        <is>
          <t>MeOH</t>
        </is>
      </c>
      <c r="F2416" t="n">
        <v>11.688</v>
      </c>
    </row>
    <row r="2417">
      <c r="A2417" t="n">
        <v>10</v>
      </c>
      <c r="B2417" t="inlineStr">
        <is>
          <t>MeOH</t>
        </is>
      </c>
      <c r="D2417" t="n">
        <v>16.26</v>
      </c>
      <c r="E2417" t="n">
        <v>12.186</v>
      </c>
      <c r="F2417" t="n">
        <v>3.639</v>
      </c>
      <c r="G2417" t="n">
        <v>3.56</v>
      </c>
      <c r="H2417" t="inlineStr">
        <is>
          <t>bb</t>
        </is>
      </c>
    </row>
    <row r="2418">
      <c r="A2418" t="n">
        <v>11</v>
      </c>
      <c r="B2418" t="inlineStr">
        <is>
          <t>SB1</t>
        </is>
      </c>
      <c r="D2418" t="n">
        <v>16.18</v>
      </c>
      <c r="E2418" t="n">
        <v>16.977</v>
      </c>
      <c r="F2418" t="n">
        <v>414.528</v>
      </c>
      <c r="G2418" t="n">
        <v>167</v>
      </c>
      <c r="H2418" t="inlineStr">
        <is>
          <t>bb</t>
        </is>
      </c>
    </row>
    <row r="2419">
      <c r="A2419" t="n">
        <v>12</v>
      </c>
      <c r="B2419" t="inlineStr">
        <is>
          <t>SB2</t>
        </is>
      </c>
      <c r="D2419" t="n">
        <v>16.65</v>
      </c>
      <c r="E2419" t="n">
        <v>20.215</v>
      </c>
      <c r="F2419" t="n">
        <v>503.01</v>
      </c>
      <c r="G2419" t="n">
        <v>243</v>
      </c>
      <c r="H2419" t="inlineStr">
        <is>
          <t>bb</t>
        </is>
      </c>
    </row>
    <row r="2420">
      <c r="A2420" t="n">
        <v>13</v>
      </c>
      <c r="B2420" t="inlineStr">
        <is>
          <t>SB3</t>
        </is>
      </c>
      <c r="D2420" t="n">
        <v>16.39</v>
      </c>
      <c r="E2420" t="n">
        <v>2.023</v>
      </c>
      <c r="F2420" t="n">
        <v>431.257</v>
      </c>
      <c r="G2420" t="n">
        <v>22</v>
      </c>
      <c r="H2420" t="inlineStr">
        <is>
          <t>bb</t>
        </is>
      </c>
    </row>
    <row r="2421">
      <c r="A2421" t="n">
        <v>14</v>
      </c>
      <c r="B2421" t="inlineStr">
        <is>
          <t>SS1</t>
        </is>
      </c>
      <c r="D2421" t="n">
        <v>16.26</v>
      </c>
      <c r="E2421" t="n">
        <v>482.482</v>
      </c>
      <c r="F2421" t="n">
        <v>427.401</v>
      </c>
      <c r="G2421" t="n">
        <v>2.582</v>
      </c>
      <c r="H2421" t="inlineStr">
        <is>
          <t>bb</t>
        </is>
      </c>
    </row>
    <row r="2422">
      <c r="A2422" t="n">
        <v>15</v>
      </c>
      <c r="B2422" t="inlineStr">
        <is>
          <t>SS2</t>
        </is>
      </c>
      <c r="D2422" t="n">
        <v>16.24</v>
      </c>
      <c r="E2422" t="n">
        <v>454.688</v>
      </c>
      <c r="F2422" t="n">
        <v>452.262</v>
      </c>
      <c r="G2422" t="n">
        <v>3355</v>
      </c>
      <c r="H2422" t="inlineStr">
        <is>
          <t>bb</t>
        </is>
      </c>
    </row>
    <row r="2423">
      <c r="A2423" t="n">
        <v>16</v>
      </c>
      <c r="B2423" t="inlineStr">
        <is>
          <t>SS3</t>
        </is>
      </c>
      <c r="D2423" t="n">
        <v>16.25</v>
      </c>
      <c r="E2423" t="n">
        <v>518.343</v>
      </c>
      <c r="F2423" t="n">
        <v>344.206</v>
      </c>
      <c r="G2423" t="n">
        <v>8.694000000000001</v>
      </c>
      <c r="H2423" t="inlineStr">
        <is>
          <t>bb</t>
        </is>
      </c>
    </row>
    <row r="2425">
      <c r="A2425" t="inlineStr">
        <is>
          <t> </t>
        </is>
      </c>
    </row>
    <row r="2427">
      <c r="B2427" t="inlineStr">
        <is>
          <t>Sample Text</t>
        </is>
      </c>
      <c r="C2427" t="inlineStr">
        <is>
          <t>Std. Conc</t>
        </is>
      </c>
      <c r="D2427" t="inlineStr">
        <is>
          <t>RT</t>
        </is>
      </c>
      <c r="E2427" t="inlineStr">
        <is>
          <t>Area</t>
        </is>
      </c>
      <c r="F2427" t="inlineStr">
        <is>
          <t>IS Area</t>
        </is>
      </c>
      <c r="G2427" t="inlineStr">
        <is>
          <t>S/N</t>
        </is>
      </c>
      <c r="H2427" t="inlineStr">
        <is>
          <t>Primary Flags</t>
        </is>
      </c>
      <c r="I2427" t="inlineStr">
        <is>
          <t>Response</t>
        </is>
      </c>
      <c r="J2427" t="inlineStr">
        <is>
          <t>Conc.</t>
        </is>
      </c>
    </row>
    <row r="2428">
      <c r="A2428" t="n">
        <v>1</v>
      </c>
      <c r="B2428" t="inlineStr">
        <is>
          <t>EPA1633 &amp; diPAPs Calibration 0 ppb</t>
        </is>
      </c>
      <c r="D2428" t="n">
        <v>16.76</v>
      </c>
      <c r="E2428" t="n">
        <v>70.06</v>
      </c>
      <c r="F2428" t="n">
        <v>1320.569</v>
      </c>
      <c r="G2428" t="n">
        <v>4.506</v>
      </c>
      <c r="H2428" t="inlineStr">
        <is>
          <t>bb</t>
        </is>
      </c>
    </row>
    <row r="2429">
      <c r="A2429" t="n">
        <v>2</v>
      </c>
      <c r="B2429" t="inlineStr">
        <is>
          <t>EPA1633 &amp; diPAPs Calibration 0.02 ppb</t>
        </is>
      </c>
      <c r="D2429" t="n">
        <v>16.77</v>
      </c>
      <c r="E2429" t="n">
        <v>250.588</v>
      </c>
      <c r="F2429" t="n">
        <v>1092.248</v>
      </c>
      <c r="G2429" t="n">
        <v>12.074</v>
      </c>
      <c r="H2429" t="inlineStr">
        <is>
          <t>bb</t>
        </is>
      </c>
    </row>
    <row r="2430">
      <c r="A2430" t="n">
        <v>3</v>
      </c>
      <c r="B2430" t="inlineStr">
        <is>
          <t>EPA1633 &amp; diPAPs Calibration 0.1 ppb</t>
        </is>
      </c>
      <c r="D2430" t="n">
        <v>16.77</v>
      </c>
      <c r="E2430" t="n">
        <v>331.607</v>
      </c>
      <c r="F2430" t="n">
        <v>1259.575</v>
      </c>
      <c r="G2430" t="n">
        <v>38.789</v>
      </c>
      <c r="H2430" t="inlineStr">
        <is>
          <t>bb</t>
        </is>
      </c>
    </row>
    <row r="2431">
      <c r="A2431" t="n">
        <v>4</v>
      </c>
      <c r="B2431" t="inlineStr">
        <is>
          <t>EPA1633 &amp; diPAPs Calibration 0.4 ppb</t>
        </is>
      </c>
      <c r="D2431" t="n">
        <v>16.78</v>
      </c>
      <c r="E2431" t="n">
        <v>672.612</v>
      </c>
      <c r="F2431" t="n">
        <v>1040.151</v>
      </c>
      <c r="G2431" t="n">
        <v>1273.736</v>
      </c>
      <c r="H2431" t="inlineStr">
        <is>
          <t>bb</t>
        </is>
      </c>
    </row>
    <row r="2432">
      <c r="A2432" t="n">
        <v>5</v>
      </c>
      <c r="B2432" t="inlineStr">
        <is>
          <t>EPA1633 &amp; diPAPs Calibration 1 ppb</t>
        </is>
      </c>
      <c r="D2432" t="n">
        <v>16.74</v>
      </c>
      <c r="E2432" t="n">
        <v>1250.665</v>
      </c>
      <c r="F2432" t="n">
        <v>1405.741</v>
      </c>
      <c r="G2432" t="n">
        <v>431.178</v>
      </c>
      <c r="H2432" t="inlineStr">
        <is>
          <t>bb</t>
        </is>
      </c>
    </row>
    <row r="2433">
      <c r="A2433" t="n">
        <v>6</v>
      </c>
      <c r="B2433" t="inlineStr">
        <is>
          <t>EPA1633 &amp; diPAPs Calibration 5 ppb</t>
        </is>
      </c>
      <c r="D2433" t="n">
        <v>16.75</v>
      </c>
      <c r="E2433" t="n">
        <v>4841.312</v>
      </c>
      <c r="F2433" t="n">
        <v>1256.498</v>
      </c>
      <c r="G2433" t="n">
        <v>128.388</v>
      </c>
      <c r="H2433" t="inlineStr">
        <is>
          <t>bb</t>
        </is>
      </c>
    </row>
    <row r="2434">
      <c r="A2434" t="n">
        <v>7</v>
      </c>
      <c r="B2434" t="inlineStr">
        <is>
          <t>EPA1633 &amp; diPAPs Calibration 10 ppb</t>
        </is>
      </c>
      <c r="D2434" t="n">
        <v>16.75</v>
      </c>
      <c r="E2434" t="n">
        <v>7773.212</v>
      </c>
      <c r="F2434" t="n">
        <v>964.71</v>
      </c>
      <c r="G2434" t="n">
        <v>868.002</v>
      </c>
      <c r="H2434" t="inlineStr">
        <is>
          <t>bb</t>
        </is>
      </c>
    </row>
    <row r="2435">
      <c r="A2435" t="n">
        <v>8</v>
      </c>
      <c r="B2435" t="inlineStr">
        <is>
          <t>EPA1633 &amp; diPAPs Calibration 20 ppb</t>
        </is>
      </c>
      <c r="D2435" t="n">
        <v>16.76</v>
      </c>
      <c r="E2435" t="n">
        <v>16775.973</v>
      </c>
      <c r="F2435" t="n">
        <v>1026.499</v>
      </c>
      <c r="G2435" t="n">
        <v>910.854</v>
      </c>
      <c r="H2435" t="inlineStr">
        <is>
          <t>bb</t>
        </is>
      </c>
    </row>
    <row r="2436">
      <c r="A2436" t="n">
        <v>9</v>
      </c>
      <c r="B2436" t="inlineStr">
        <is>
          <t>MeOH</t>
        </is>
      </c>
      <c r="D2436" t="n">
        <v>16.75</v>
      </c>
      <c r="E2436" t="n">
        <v>154.504</v>
      </c>
      <c r="F2436" t="n">
        <v>11.688</v>
      </c>
      <c r="G2436" t="n">
        <v>20.754</v>
      </c>
      <c r="H2436" t="inlineStr">
        <is>
          <t>bb</t>
        </is>
      </c>
    </row>
    <row r="2437">
      <c r="A2437" t="n">
        <v>10</v>
      </c>
      <c r="B2437" t="inlineStr">
        <is>
          <t>MeOH</t>
        </is>
      </c>
      <c r="D2437" t="n">
        <v>16.79</v>
      </c>
      <c r="E2437" t="n">
        <v>41.798</v>
      </c>
      <c r="F2437" t="n">
        <v>3.639</v>
      </c>
      <c r="G2437" t="n">
        <v>9.388999999999999</v>
      </c>
      <c r="H2437" t="inlineStr">
        <is>
          <t>bb</t>
        </is>
      </c>
    </row>
    <row r="2438">
      <c r="A2438" t="n">
        <v>11</v>
      </c>
      <c r="B2438" t="inlineStr">
        <is>
          <t>SB1</t>
        </is>
      </c>
      <c r="D2438" t="n">
        <v>16.79</v>
      </c>
      <c r="E2438" t="n">
        <v>112.26</v>
      </c>
      <c r="F2438" t="n">
        <v>414.528</v>
      </c>
      <c r="G2438" t="n">
        <v>51.663</v>
      </c>
      <c r="H2438" t="inlineStr">
        <is>
          <t>bb</t>
        </is>
      </c>
    </row>
    <row r="2439">
      <c r="A2439" t="n">
        <v>12</v>
      </c>
      <c r="B2439" t="inlineStr">
        <is>
          <t>SB2</t>
        </is>
      </c>
      <c r="D2439" t="n">
        <v>16.82</v>
      </c>
      <c r="E2439" t="n">
        <v>51.199</v>
      </c>
      <c r="F2439" t="n">
        <v>503.01</v>
      </c>
      <c r="G2439" t="n">
        <v>10.923</v>
      </c>
      <c r="H2439" t="inlineStr">
        <is>
          <t>bb</t>
        </is>
      </c>
    </row>
    <row r="2440">
      <c r="A2440" t="n">
        <v>13</v>
      </c>
      <c r="B2440" t="inlineStr">
        <is>
          <t>SB3</t>
        </is>
      </c>
      <c r="D2440" t="n">
        <v>16.92</v>
      </c>
      <c r="E2440" t="n">
        <v>28.77</v>
      </c>
      <c r="F2440" t="n">
        <v>431.257</v>
      </c>
      <c r="G2440" t="n">
        <v>1.432</v>
      </c>
      <c r="H2440" t="inlineStr">
        <is>
          <t>bb</t>
        </is>
      </c>
    </row>
    <row r="2441">
      <c r="A2441" t="n">
        <v>14</v>
      </c>
      <c r="B2441" t="inlineStr">
        <is>
          <t>SS1</t>
        </is>
      </c>
      <c r="D2441" t="n">
        <v>16.8</v>
      </c>
      <c r="E2441" t="n">
        <v>2840.091</v>
      </c>
      <c r="F2441" t="n">
        <v>427.401</v>
      </c>
      <c r="G2441" t="n">
        <v>190.577</v>
      </c>
      <c r="H2441" t="inlineStr">
        <is>
          <t>bb</t>
        </is>
      </c>
    </row>
    <row r="2442">
      <c r="A2442" t="n">
        <v>15</v>
      </c>
      <c r="B2442" t="inlineStr">
        <is>
          <t>SS2</t>
        </is>
      </c>
      <c r="D2442" t="n">
        <v>16.8</v>
      </c>
      <c r="E2442" t="n">
        <v>2903.208</v>
      </c>
      <c r="F2442" t="n">
        <v>452.262</v>
      </c>
      <c r="G2442" t="n">
        <v>203.512</v>
      </c>
      <c r="H2442" t="inlineStr">
        <is>
          <t>bb</t>
        </is>
      </c>
    </row>
    <row r="2443">
      <c r="A2443" t="n">
        <v>16</v>
      </c>
      <c r="B2443" t="inlineStr">
        <is>
          <t>SS3</t>
        </is>
      </c>
      <c r="D2443" t="n">
        <v>16.82</v>
      </c>
      <c r="E2443" t="n">
        <v>2867.345</v>
      </c>
      <c r="F2443" t="n">
        <v>344.206</v>
      </c>
      <c r="G2443" t="n">
        <v>705.468</v>
      </c>
      <c r="H2443" t="inlineStr">
        <is>
          <t>bb</t>
        </is>
      </c>
    </row>
    <row r="2445">
      <c r="A2445" t="inlineStr">
        <is>
          <t>Compound 123:  PFTeDA 2</t>
        </is>
      </c>
    </row>
    <row r="2447">
      <c r="B2447" t="inlineStr">
        <is>
          <t>Sample Text</t>
        </is>
      </c>
      <c r="C2447" t="inlineStr">
        <is>
          <t>Std. Conc</t>
        </is>
      </c>
      <c r="D2447" t="inlineStr">
        <is>
          <t>RT</t>
        </is>
      </c>
      <c r="E2447" t="inlineStr">
        <is>
          <t>Area</t>
        </is>
      </c>
      <c r="F2447" t="inlineStr">
        <is>
          <t>IS Area</t>
        </is>
      </c>
      <c r="G2447" t="inlineStr">
        <is>
          <t>S/N</t>
        </is>
      </c>
      <c r="H2447" t="inlineStr">
        <is>
          <t>Primary Flags</t>
        </is>
      </c>
      <c r="I2447" t="inlineStr">
        <is>
          <t>Response</t>
        </is>
      </c>
      <c r="J2447" t="inlineStr">
        <is>
          <t>Conc.</t>
        </is>
      </c>
    </row>
    <row r="2448">
      <c r="A2448" t="n">
        <v>1</v>
      </c>
      <c r="B2448" t="inlineStr">
        <is>
          <t>EPA1633 &amp; diPAPs Calibration 0 ppb</t>
        </is>
      </c>
      <c r="D2448" t="n">
        <v>16.76</v>
      </c>
      <c r="E2448" t="n">
        <v>245.047</v>
      </c>
      <c r="F2448" t="n">
        <v>1320.569</v>
      </c>
      <c r="G2448" t="n">
        <v>7.881</v>
      </c>
      <c r="H2448" t="inlineStr">
        <is>
          <t>bb</t>
        </is>
      </c>
    </row>
    <row r="2449">
      <c r="A2449" t="n">
        <v>2</v>
      </c>
      <c r="B2449" t="inlineStr">
        <is>
          <t>EPA1633 &amp; diPAPs Calibration 0.02 ppb</t>
        </is>
      </c>
      <c r="D2449" t="n">
        <v>16.77</v>
      </c>
      <c r="E2449" t="n">
        <v>212.198</v>
      </c>
      <c r="F2449" t="n">
        <v>1092.248</v>
      </c>
      <c r="G2449" t="n">
        <v>4.614</v>
      </c>
      <c r="H2449" t="inlineStr">
        <is>
          <t>bb</t>
        </is>
      </c>
    </row>
    <row r="2450">
      <c r="A2450" t="n">
        <v>3</v>
      </c>
      <c r="B2450" t="inlineStr">
        <is>
          <t>EPA1633 &amp; diPAPs Calibration 0.1 ppb</t>
        </is>
      </c>
      <c r="D2450" t="n">
        <v>16.77</v>
      </c>
      <c r="E2450" t="n">
        <v>322.259</v>
      </c>
      <c r="F2450" t="n">
        <v>1259.575</v>
      </c>
      <c r="G2450" t="n">
        <v>21.422</v>
      </c>
      <c r="H2450" t="inlineStr">
        <is>
          <t>bb</t>
        </is>
      </c>
    </row>
    <row r="2451">
      <c r="A2451" t="n">
        <v>4</v>
      </c>
      <c r="B2451" t="inlineStr">
        <is>
          <t>EPA1633 &amp; diPAPs Calibration 0.4 ppb</t>
        </is>
      </c>
      <c r="D2451" t="n">
        <v>16.78</v>
      </c>
      <c r="E2451" t="n">
        <v>1175.094</v>
      </c>
      <c r="F2451" t="n">
        <v>1040.151</v>
      </c>
      <c r="G2451" t="n">
        <v>107.803</v>
      </c>
      <c r="H2451" t="inlineStr">
        <is>
          <t>bb</t>
        </is>
      </c>
    </row>
    <row r="2452">
      <c r="A2452" t="n">
        <v>5</v>
      </c>
      <c r="B2452" t="inlineStr">
        <is>
          <t>EPA1633 &amp; diPAPs Calibration 1 ppb</t>
        </is>
      </c>
      <c r="D2452" t="n">
        <v>16.75</v>
      </c>
      <c r="E2452" t="n">
        <v>1661.792</v>
      </c>
      <c r="F2452" t="n">
        <v>1405.741</v>
      </c>
      <c r="G2452" t="n">
        <v>105.245</v>
      </c>
      <c r="H2452" t="inlineStr">
        <is>
          <t>bb</t>
        </is>
      </c>
    </row>
    <row r="2453">
      <c r="A2453" t="n">
        <v>6</v>
      </c>
      <c r="B2453" t="inlineStr">
        <is>
          <t>EPA1633 &amp; diPAPs Calibration 5 ppb</t>
        </is>
      </c>
      <c r="D2453" t="n">
        <v>16.74</v>
      </c>
      <c r="E2453" t="n">
        <v>6657.53</v>
      </c>
      <c r="F2453" t="n">
        <v>1256.498</v>
      </c>
      <c r="G2453" t="n">
        <v>447.611</v>
      </c>
      <c r="H2453" t="inlineStr">
        <is>
          <t>MM</t>
        </is>
      </c>
    </row>
    <row r="2454">
      <c r="A2454" t="n">
        <v>7</v>
      </c>
      <c r="B2454" t="inlineStr">
        <is>
          <t>EPA1633 &amp; diPAPs Calibration 10 ppb</t>
        </is>
      </c>
      <c r="D2454" t="n">
        <v>16.75</v>
      </c>
      <c r="E2454" t="n">
        <v>10734.408</v>
      </c>
      <c r="F2454" t="n">
        <v>964.71</v>
      </c>
      <c r="G2454" t="n">
        <v>261.576</v>
      </c>
      <c r="H2454" t="inlineStr">
        <is>
          <t>bb</t>
        </is>
      </c>
    </row>
    <row r="2455">
      <c r="A2455" t="n">
        <v>8</v>
      </c>
      <c r="B2455" t="inlineStr">
        <is>
          <t>EPA1633 &amp; diPAPs Calibration 20 ppb</t>
        </is>
      </c>
      <c r="D2455" t="n">
        <v>16.76</v>
      </c>
      <c r="E2455" t="n">
        <v>23252.658</v>
      </c>
      <c r="F2455" t="n">
        <v>1026.499</v>
      </c>
      <c r="G2455" t="n">
        <v>1153.505</v>
      </c>
      <c r="H2455" t="inlineStr">
        <is>
          <t>MM</t>
        </is>
      </c>
    </row>
    <row r="2456">
      <c r="A2456" t="n">
        <v>9</v>
      </c>
      <c r="B2456" t="inlineStr">
        <is>
          <t>MeOH</t>
        </is>
      </c>
      <c r="D2456" t="n">
        <v>16.78</v>
      </c>
      <c r="E2456" t="n">
        <v>168.081</v>
      </c>
      <c r="F2456" t="n">
        <v>11.688</v>
      </c>
      <c r="G2456" t="n">
        <v>9.577999999999999</v>
      </c>
      <c r="H2456" t="inlineStr">
        <is>
          <t>bb</t>
        </is>
      </c>
    </row>
    <row r="2457">
      <c r="A2457" t="n">
        <v>10</v>
      </c>
      <c r="B2457" t="inlineStr">
        <is>
          <t>MeOH</t>
        </is>
      </c>
      <c r="D2457" t="n">
        <v>16.78</v>
      </c>
      <c r="E2457" t="n">
        <v>119.959</v>
      </c>
      <c r="F2457" t="n">
        <v>3.639</v>
      </c>
      <c r="G2457" t="n">
        <v>4.732</v>
      </c>
      <c r="H2457" t="inlineStr">
        <is>
          <t>bb</t>
        </is>
      </c>
    </row>
    <row r="2458">
      <c r="A2458" t="n">
        <v>11</v>
      </c>
      <c r="B2458" t="inlineStr">
        <is>
          <t>SB1</t>
        </is>
      </c>
      <c r="D2458" t="n">
        <v>16.78</v>
      </c>
      <c r="E2458" t="n">
        <v>138.452</v>
      </c>
      <c r="F2458" t="n">
        <v>414.528</v>
      </c>
      <c r="G2458" t="n">
        <v>15.614</v>
      </c>
      <c r="H2458" t="inlineStr">
        <is>
          <t>MM</t>
        </is>
      </c>
    </row>
    <row r="2459">
      <c r="A2459" t="n">
        <v>12</v>
      </c>
      <c r="B2459" t="inlineStr">
        <is>
          <t>SB2</t>
        </is>
      </c>
      <c r="D2459" t="n">
        <v>16.7</v>
      </c>
      <c r="E2459" t="n">
        <v>70.973</v>
      </c>
      <c r="F2459" t="n">
        <v>503.01</v>
      </c>
      <c r="G2459" t="n">
        <v>1.517</v>
      </c>
      <c r="H2459" t="inlineStr">
        <is>
          <t>MM</t>
        </is>
      </c>
    </row>
    <row r="2460">
      <c r="A2460" t="n">
        <v>13</v>
      </c>
      <c r="B2460" t="inlineStr">
        <is>
          <t>SB3</t>
        </is>
      </c>
      <c r="D2460" t="n">
        <v>16.9</v>
      </c>
      <c r="E2460" t="n">
        <v>89.614</v>
      </c>
      <c r="F2460" t="n">
        <v>431.257</v>
      </c>
      <c r="G2460" t="n">
        <v>2.264</v>
      </c>
      <c r="H2460" t="inlineStr">
        <is>
          <t>MM</t>
        </is>
      </c>
    </row>
    <row r="2461">
      <c r="A2461" t="n">
        <v>14</v>
      </c>
      <c r="B2461" t="inlineStr">
        <is>
          <t>SS1</t>
        </is>
      </c>
      <c r="D2461" t="n">
        <v>16.8</v>
      </c>
      <c r="E2461" t="n">
        <v>3586.443</v>
      </c>
      <c r="F2461" t="n">
        <v>427.401</v>
      </c>
      <c r="G2461" t="n">
        <v>189.412</v>
      </c>
      <c r="H2461" t="inlineStr">
        <is>
          <t>bb</t>
        </is>
      </c>
    </row>
    <row r="2462">
      <c r="A2462" t="n">
        <v>15</v>
      </c>
      <c r="B2462" t="inlineStr">
        <is>
          <t>SS2</t>
        </is>
      </c>
      <c r="D2462" t="n">
        <v>16.8</v>
      </c>
      <c r="E2462" t="n">
        <v>3983.858</v>
      </c>
      <c r="F2462" t="n">
        <v>452.262</v>
      </c>
      <c r="G2462" t="n">
        <v>288.674</v>
      </c>
      <c r="H2462" t="inlineStr">
        <is>
          <t>bb</t>
        </is>
      </c>
    </row>
    <row r="2463">
      <c r="A2463" t="n">
        <v>16</v>
      </c>
      <c r="B2463" t="inlineStr">
        <is>
          <t>SS3</t>
        </is>
      </c>
      <c r="D2463" t="n">
        <v>16.82</v>
      </c>
      <c r="E2463" t="n">
        <v>3070.409</v>
      </c>
      <c r="F2463" t="n">
        <v>344.206</v>
      </c>
      <c r="G2463" t="n">
        <v>194.312</v>
      </c>
      <c r="H2463" t="inlineStr">
        <is>
          <t>bb</t>
        </is>
      </c>
    </row>
    <row r="2465">
      <c r="A2465" t="inlineStr">
        <is>
          <t>Compound 124:  m2 PFTeDA 1</t>
        </is>
      </c>
    </row>
    <row r="2467">
      <c r="B2467" t="inlineStr">
        <is>
          <t>Sample Text</t>
        </is>
      </c>
      <c r="C2467" t="inlineStr">
        <is>
          <t>Std. Conc</t>
        </is>
      </c>
      <c r="D2467" t="inlineStr">
        <is>
          <t>RT</t>
        </is>
      </c>
      <c r="E2467" t="inlineStr">
        <is>
          <t>Area</t>
        </is>
      </c>
      <c r="F2467" t="inlineStr">
        <is>
          <t>IS Area</t>
        </is>
      </c>
      <c r="G2467" t="inlineStr">
        <is>
          <t>S/N</t>
        </is>
      </c>
      <c r="H2467" t="inlineStr">
        <is>
          <t>Primary Flags</t>
        </is>
      </c>
      <c r="I2467" t="inlineStr">
        <is>
          <t>Response</t>
        </is>
      </c>
      <c r="J2467" t="inlineStr">
        <is>
          <t>Conc.</t>
        </is>
      </c>
    </row>
    <row r="2468">
      <c r="A2468" t="n">
        <v>1</v>
      </c>
      <c r="B2468" t="inlineStr">
        <is>
          <t>EPA1633 &amp; diPAPs Calibration 0 ppb</t>
        </is>
      </c>
      <c r="D2468" t="n">
        <v>16.75</v>
      </c>
      <c r="E2468" t="n">
        <v>1320.569</v>
      </c>
      <c r="G2468" t="n">
        <v>155.662</v>
      </c>
      <c r="H2468" t="inlineStr">
        <is>
          <t>bb</t>
        </is>
      </c>
      <c r="I2468" t="n">
        <v>1320.569</v>
      </c>
    </row>
    <row r="2469">
      <c r="A2469" t="n">
        <v>2</v>
      </c>
      <c r="B2469" t="inlineStr">
        <is>
          <t>EPA1633 &amp; diPAPs Calibration 0.02 ppb</t>
        </is>
      </c>
      <c r="D2469" t="n">
        <v>16.76</v>
      </c>
      <c r="E2469" t="n">
        <v>1092.248</v>
      </c>
      <c r="G2469" t="n">
        <v>117.317</v>
      </c>
      <c r="H2469" t="inlineStr">
        <is>
          <t>bb</t>
        </is>
      </c>
      <c r="I2469" t="n">
        <v>1092.248</v>
      </c>
    </row>
    <row r="2470">
      <c r="A2470" t="n">
        <v>3</v>
      </c>
      <c r="B2470" t="inlineStr">
        <is>
          <t>EPA1633 &amp; diPAPs Calibration 0.1 ppb</t>
        </is>
      </c>
      <c r="D2470" t="n">
        <v>16.77</v>
      </c>
      <c r="E2470" t="n">
        <v>1259.575</v>
      </c>
      <c r="G2470" t="n">
        <v>154.517</v>
      </c>
      <c r="H2470" t="inlineStr">
        <is>
          <t>MM</t>
        </is>
      </c>
      <c r="I2470" t="n">
        <v>1259.575</v>
      </c>
    </row>
    <row r="2471">
      <c r="A2471" t="n">
        <v>4</v>
      </c>
      <c r="B2471" t="inlineStr">
        <is>
          <t>EPA1633 &amp; diPAPs Calibration 0.4 ppb</t>
        </is>
      </c>
      <c r="D2471" t="n">
        <v>16.77</v>
      </c>
      <c r="E2471" t="n">
        <v>1040.151</v>
      </c>
      <c r="G2471" t="n">
        <v>105.313</v>
      </c>
      <c r="H2471" t="inlineStr">
        <is>
          <t>bb</t>
        </is>
      </c>
      <c r="I2471" t="n">
        <v>1040.151</v>
      </c>
    </row>
    <row r="2472">
      <c r="A2472" t="n">
        <v>5</v>
      </c>
      <c r="B2472" t="inlineStr">
        <is>
          <t>EPA1633 &amp; diPAPs Calibration 1 ppb</t>
        </is>
      </c>
      <c r="D2472" t="n">
        <v>16.75</v>
      </c>
      <c r="E2472" t="n">
        <v>1405.741</v>
      </c>
      <c r="G2472" t="n">
        <v>92.051</v>
      </c>
      <c r="H2472" t="inlineStr">
        <is>
          <t>bb</t>
        </is>
      </c>
      <c r="I2472" t="n">
        <v>1405.741</v>
      </c>
    </row>
    <row r="2473">
      <c r="A2473" t="n">
        <v>6</v>
      </c>
      <c r="B2473" t="inlineStr">
        <is>
          <t>EPA1633 &amp; diPAPs Calibration 5 ppb</t>
        </is>
      </c>
      <c r="D2473" t="n">
        <v>16.74</v>
      </c>
      <c r="E2473" t="n">
        <v>1256.498</v>
      </c>
      <c r="G2473" t="n">
        <v>144.897</v>
      </c>
      <c r="H2473" t="inlineStr">
        <is>
          <t>bb</t>
        </is>
      </c>
      <c r="I2473" t="n">
        <v>1256.498</v>
      </c>
    </row>
    <row r="2474">
      <c r="A2474" t="n">
        <v>7</v>
      </c>
      <c r="B2474" t="inlineStr">
        <is>
          <t>EPA1633 &amp; diPAPs Calibration 10 ppb</t>
        </is>
      </c>
      <c r="D2474" t="n">
        <v>16.75</v>
      </c>
      <c r="E2474" t="n">
        <v>964.71</v>
      </c>
      <c r="G2474" t="n">
        <v>202.489</v>
      </c>
      <c r="H2474" t="inlineStr">
        <is>
          <t>bb</t>
        </is>
      </c>
      <c r="I2474" t="n">
        <v>964.71</v>
      </c>
    </row>
    <row r="2475">
      <c r="A2475" t="n">
        <v>8</v>
      </c>
      <c r="B2475" t="inlineStr">
        <is>
          <t>EPA1633 &amp; diPAPs Calibration 20 ppb</t>
        </is>
      </c>
      <c r="D2475" t="n">
        <v>16.76</v>
      </c>
      <c r="E2475" t="n">
        <v>1026.499</v>
      </c>
      <c r="G2475" t="n">
        <v>306.672</v>
      </c>
      <c r="H2475" t="inlineStr">
        <is>
          <t>bb</t>
        </is>
      </c>
      <c r="I2475" t="n">
        <v>1026.499</v>
      </c>
    </row>
    <row r="2476">
      <c r="A2476" t="n">
        <v>9</v>
      </c>
      <c r="B2476" t="inlineStr">
        <is>
          <t>MeOH</t>
        </is>
      </c>
      <c r="D2476" t="n">
        <v>17.18</v>
      </c>
      <c r="E2476" t="n">
        <v>11.688</v>
      </c>
      <c r="G2476" t="n">
        <v>1.687</v>
      </c>
      <c r="H2476" t="inlineStr">
        <is>
          <t>bb</t>
        </is>
      </c>
      <c r="I2476" t="n">
        <v>11.688</v>
      </c>
    </row>
    <row r="2477">
      <c r="A2477" t="n">
        <v>10</v>
      </c>
      <c r="B2477" t="inlineStr">
        <is>
          <t>MeOH</t>
        </is>
      </c>
      <c r="D2477" t="n">
        <v>16.63</v>
      </c>
      <c r="E2477" t="n">
        <v>3.639</v>
      </c>
      <c r="G2477" t="n">
        <v>47</v>
      </c>
      <c r="H2477" t="inlineStr">
        <is>
          <t>bb</t>
        </is>
      </c>
      <c r="I2477" t="n">
        <v>3.639</v>
      </c>
    </row>
    <row r="2478">
      <c r="A2478" t="n">
        <v>11</v>
      </c>
      <c r="B2478" t="inlineStr">
        <is>
          <t>SB1</t>
        </is>
      </c>
      <c r="D2478" t="n">
        <v>16.79</v>
      </c>
      <c r="E2478" t="n">
        <v>414.528</v>
      </c>
      <c r="G2478" t="n">
        <v>34.078</v>
      </c>
      <c r="H2478" t="inlineStr">
        <is>
          <t>bb</t>
        </is>
      </c>
      <c r="I2478" t="n">
        <v>414.528</v>
      </c>
    </row>
    <row r="2479">
      <c r="A2479" t="n">
        <v>12</v>
      </c>
      <c r="B2479" t="inlineStr">
        <is>
          <t>SB2</t>
        </is>
      </c>
      <c r="D2479" t="n">
        <v>16.79</v>
      </c>
      <c r="E2479" t="n">
        <v>503.01</v>
      </c>
      <c r="G2479" t="n">
        <v>238.549</v>
      </c>
      <c r="H2479" t="inlineStr">
        <is>
          <t>bb</t>
        </is>
      </c>
      <c r="I2479" t="n">
        <v>503.01</v>
      </c>
    </row>
    <row r="2480">
      <c r="A2480" t="n">
        <v>13</v>
      </c>
      <c r="B2480" t="inlineStr">
        <is>
          <t>SB3</t>
        </is>
      </c>
      <c r="D2480" t="n">
        <v>16.79</v>
      </c>
      <c r="E2480" t="n">
        <v>431.257</v>
      </c>
      <c r="G2480" t="n">
        <v>51.502</v>
      </c>
      <c r="H2480" t="inlineStr">
        <is>
          <t>bb</t>
        </is>
      </c>
      <c r="I2480" t="n">
        <v>431.257</v>
      </c>
    </row>
    <row r="2481">
      <c r="A2481" t="n">
        <v>14</v>
      </c>
      <c r="B2481" t="inlineStr">
        <is>
          <t>SS1</t>
        </is>
      </c>
      <c r="D2481" t="n">
        <v>16.8</v>
      </c>
      <c r="E2481" t="n">
        <v>427.401</v>
      </c>
      <c r="G2481" t="n">
        <v>364.695</v>
      </c>
      <c r="H2481" t="inlineStr">
        <is>
          <t>bb</t>
        </is>
      </c>
      <c r="I2481" t="n">
        <v>427.401</v>
      </c>
    </row>
    <row r="2482">
      <c r="A2482" t="n">
        <v>15</v>
      </c>
      <c r="B2482" t="inlineStr">
        <is>
          <t>SS2</t>
        </is>
      </c>
      <c r="D2482" t="n">
        <v>16.8</v>
      </c>
      <c r="E2482" t="n">
        <v>452.262</v>
      </c>
      <c r="G2482" t="n">
        <v>3326</v>
      </c>
      <c r="H2482" t="inlineStr">
        <is>
          <t>bb</t>
        </is>
      </c>
      <c r="I2482" t="n">
        <v>452.262</v>
      </c>
    </row>
    <row r="2483">
      <c r="A2483" t="n">
        <v>16</v>
      </c>
      <c r="B2483" t="inlineStr">
        <is>
          <t>SS3</t>
        </is>
      </c>
      <c r="D2483" t="n">
        <v>16.82</v>
      </c>
      <c r="E2483" t="n">
        <v>344.206</v>
      </c>
      <c r="G2483" t="n">
        <v>2421</v>
      </c>
      <c r="H2483" t="inlineStr">
        <is>
          <t>bb</t>
        </is>
      </c>
      <c r="I2483" t="n">
        <v>344.206</v>
      </c>
    </row>
    <row r="2485">
      <c r="A2485" t="inlineStr">
        <is>
          <t>Compound 125:  m2 PFTeDA 2</t>
        </is>
      </c>
    </row>
    <row r="2487">
      <c r="B2487" t="inlineStr">
        <is>
          <t>Sample Text</t>
        </is>
      </c>
      <c r="C2487" t="inlineStr">
        <is>
          <t>Std. Conc</t>
        </is>
      </c>
      <c r="D2487" t="inlineStr">
        <is>
          <t>RT</t>
        </is>
      </c>
      <c r="E2487" t="inlineStr">
        <is>
          <t>Area</t>
        </is>
      </c>
      <c r="F2487" t="inlineStr">
        <is>
          <t>IS Area</t>
        </is>
      </c>
      <c r="G2487" t="inlineStr">
        <is>
          <t>S/N</t>
        </is>
      </c>
      <c r="H2487" t="inlineStr">
        <is>
          <t>Primary Flags</t>
        </is>
      </c>
      <c r="I2487" t="inlineStr">
        <is>
          <t>Response</t>
        </is>
      </c>
      <c r="J2487" t="inlineStr">
        <is>
          <t>Conc.</t>
        </is>
      </c>
    </row>
    <row r="2488">
      <c r="A2488" t="n">
        <v>1</v>
      </c>
      <c r="B2488" t="inlineStr">
        <is>
          <t>EPA1633 &amp; diPAPs Calibration 0 ppb</t>
        </is>
      </c>
      <c r="D2488" t="n">
        <v>16.75</v>
      </c>
      <c r="E2488" t="n">
        <v>3981.298</v>
      </c>
      <c r="G2488" t="n">
        <v>470.579</v>
      </c>
      <c r="H2488" t="inlineStr">
        <is>
          <t>bb</t>
        </is>
      </c>
      <c r="I2488" t="n">
        <v>3981.298</v>
      </c>
    </row>
    <row r="2489">
      <c r="A2489" t="n">
        <v>2</v>
      </c>
      <c r="B2489" t="inlineStr">
        <is>
          <t>EPA1633 &amp; diPAPs Calibration 0.02 ppb</t>
        </is>
      </c>
      <c r="D2489" t="n">
        <v>16.76</v>
      </c>
      <c r="E2489" t="n">
        <v>3624.406</v>
      </c>
      <c r="G2489" t="n">
        <v>718.895</v>
      </c>
      <c r="H2489" t="inlineStr">
        <is>
          <t>bb</t>
        </is>
      </c>
      <c r="I2489" t="n">
        <v>3624.406</v>
      </c>
    </row>
    <row r="2490">
      <c r="A2490" t="n">
        <v>3</v>
      </c>
      <c r="B2490" t="inlineStr">
        <is>
          <t>EPA1633 &amp; diPAPs Calibration 0.1 ppb</t>
        </is>
      </c>
      <c r="D2490" t="n">
        <v>16.76</v>
      </c>
      <c r="E2490" t="n">
        <v>3680.496</v>
      </c>
      <c r="G2490" t="n">
        <v>873.59</v>
      </c>
      <c r="H2490" t="inlineStr">
        <is>
          <t>bb</t>
        </is>
      </c>
      <c r="I2490" t="n">
        <v>3680.496</v>
      </c>
    </row>
    <row r="2491">
      <c r="A2491" t="n">
        <v>4</v>
      </c>
      <c r="B2491" t="inlineStr">
        <is>
          <t>EPA1633 &amp; diPAPs Calibration 0.4 ppb</t>
        </is>
      </c>
      <c r="D2491" t="n">
        <v>16.77</v>
      </c>
      <c r="E2491" t="n">
        <v>3082.405</v>
      </c>
      <c r="G2491" t="n">
        <v>24659</v>
      </c>
      <c r="H2491" t="inlineStr">
        <is>
          <t>bb</t>
        </is>
      </c>
      <c r="I2491" t="n">
        <v>3082.405</v>
      </c>
    </row>
    <row r="2492">
      <c r="A2492" t="n">
        <v>5</v>
      </c>
      <c r="B2492" t="inlineStr">
        <is>
          <t>EPA1633 &amp; diPAPs Calibration 1 ppb</t>
        </is>
      </c>
      <c r="D2492" t="n">
        <v>16.74</v>
      </c>
      <c r="E2492" t="n">
        <v>4000.116</v>
      </c>
      <c r="G2492" t="n">
        <v>136.253</v>
      </c>
      <c r="H2492" t="inlineStr">
        <is>
          <t>bb</t>
        </is>
      </c>
      <c r="I2492" t="n">
        <v>4000.116</v>
      </c>
    </row>
    <row r="2493">
      <c r="A2493" t="n">
        <v>6</v>
      </c>
      <c r="B2493" t="inlineStr">
        <is>
          <t>EPA1633 &amp; diPAPs Calibration 5 ppb</t>
        </is>
      </c>
      <c r="D2493" t="n">
        <v>16.74</v>
      </c>
      <c r="E2493" t="n">
        <v>3451.795</v>
      </c>
      <c r="G2493" t="n">
        <v>27754</v>
      </c>
      <c r="H2493" t="inlineStr">
        <is>
          <t>bb</t>
        </is>
      </c>
      <c r="I2493" t="n">
        <v>3451.795</v>
      </c>
    </row>
    <row r="2494">
      <c r="A2494" t="n">
        <v>7</v>
      </c>
      <c r="B2494" t="inlineStr">
        <is>
          <t>EPA1633 &amp; diPAPs Calibration 10 ppb</t>
        </is>
      </c>
      <c r="D2494" t="n">
        <v>16.75</v>
      </c>
      <c r="E2494" t="n">
        <v>2688.08</v>
      </c>
      <c r="G2494" t="n">
        <v>21036</v>
      </c>
      <c r="H2494" t="inlineStr">
        <is>
          <t>bb</t>
        </is>
      </c>
      <c r="I2494" t="n">
        <v>2688.08</v>
      </c>
    </row>
    <row r="2495">
      <c r="A2495" t="n">
        <v>8</v>
      </c>
      <c r="B2495" t="inlineStr">
        <is>
          <t>EPA1633 &amp; diPAPs Calibration 20 ppb</t>
        </is>
      </c>
      <c r="D2495" t="n">
        <v>16.76</v>
      </c>
      <c r="E2495" t="n">
        <v>2546.887</v>
      </c>
      <c r="G2495" t="n">
        <v>429.65</v>
      </c>
      <c r="H2495" t="inlineStr">
        <is>
          <t>bb</t>
        </is>
      </c>
      <c r="I2495" t="n">
        <v>2546.887</v>
      </c>
    </row>
    <row r="2496">
      <c r="A2496" t="n">
        <v>9</v>
      </c>
      <c r="B2496" t="inlineStr">
        <is>
          <t>MeOH</t>
        </is>
      </c>
      <c r="D2496" t="n">
        <v>16.75</v>
      </c>
      <c r="E2496" t="n">
        <v>11.681</v>
      </c>
      <c r="G2496" t="n">
        <v>3.875</v>
      </c>
      <c r="H2496" t="inlineStr">
        <is>
          <t>bb</t>
        </is>
      </c>
      <c r="I2496" t="n">
        <v>11.681</v>
      </c>
    </row>
    <row r="2497">
      <c r="A2497" t="n">
        <v>10</v>
      </c>
      <c r="B2497" t="inlineStr">
        <is>
          <t>MeOH</t>
        </is>
      </c>
      <c r="D2497" t="n">
        <v>16.78</v>
      </c>
      <c r="E2497" t="n">
        <v>1.379</v>
      </c>
      <c r="G2497" t="n">
        <v>15</v>
      </c>
      <c r="H2497" t="inlineStr">
        <is>
          <t>bb</t>
        </is>
      </c>
      <c r="I2497" t="n">
        <v>1.379</v>
      </c>
    </row>
    <row r="2498">
      <c r="A2498" t="n">
        <v>11</v>
      </c>
      <c r="B2498" t="inlineStr">
        <is>
          <t>SB1</t>
        </is>
      </c>
      <c r="D2498" t="n">
        <v>16.78</v>
      </c>
      <c r="E2498" t="n">
        <v>1255.58</v>
      </c>
      <c r="G2498" t="n">
        <v>1017.282</v>
      </c>
      <c r="H2498" t="inlineStr">
        <is>
          <t>bb</t>
        </is>
      </c>
      <c r="I2498" t="n">
        <v>1255.58</v>
      </c>
    </row>
    <row r="2499">
      <c r="A2499" t="n">
        <v>12</v>
      </c>
      <c r="B2499" t="inlineStr">
        <is>
          <t>SB2</t>
        </is>
      </c>
      <c r="D2499" t="n">
        <v>16.78</v>
      </c>
      <c r="E2499" t="n">
        <v>1156.893</v>
      </c>
      <c r="G2499" t="n">
        <v>13.752</v>
      </c>
      <c r="H2499" t="inlineStr">
        <is>
          <t>bb</t>
        </is>
      </c>
      <c r="I2499" t="n">
        <v>1156.893</v>
      </c>
    </row>
    <row r="2500">
      <c r="A2500" t="n">
        <v>13</v>
      </c>
      <c r="B2500" t="inlineStr">
        <is>
          <t>SB3</t>
        </is>
      </c>
      <c r="D2500" t="n">
        <v>16.79</v>
      </c>
      <c r="E2500" t="n">
        <v>1111.108</v>
      </c>
      <c r="G2500" t="n">
        <v>8505</v>
      </c>
      <c r="H2500" t="inlineStr">
        <is>
          <t>bb</t>
        </is>
      </c>
      <c r="I2500" t="n">
        <v>1111.108</v>
      </c>
    </row>
    <row r="2501">
      <c r="A2501" t="n">
        <v>14</v>
      </c>
      <c r="B2501" t="inlineStr">
        <is>
          <t>SS1</t>
        </is>
      </c>
      <c r="D2501" t="n">
        <v>16.8</v>
      </c>
      <c r="E2501" t="n">
        <v>768.797</v>
      </c>
      <c r="G2501" t="n">
        <v>561.806</v>
      </c>
      <c r="H2501" t="inlineStr">
        <is>
          <t>bb</t>
        </is>
      </c>
      <c r="I2501" t="n">
        <v>768.797</v>
      </c>
    </row>
    <row r="2502">
      <c r="A2502" t="n">
        <v>15</v>
      </c>
      <c r="B2502" t="inlineStr">
        <is>
          <t>SS2</t>
        </is>
      </c>
      <c r="D2502" t="n">
        <v>16.8</v>
      </c>
      <c r="E2502" t="n">
        <v>860.35</v>
      </c>
      <c r="G2502" t="n">
        <v>5772</v>
      </c>
      <c r="H2502" t="inlineStr">
        <is>
          <t>bb</t>
        </is>
      </c>
      <c r="I2502" t="n">
        <v>860.35</v>
      </c>
    </row>
    <row r="2503">
      <c r="A2503" t="n">
        <v>16</v>
      </c>
      <c r="B2503" t="inlineStr">
        <is>
          <t>SS3</t>
        </is>
      </c>
      <c r="D2503" t="n">
        <v>16.82</v>
      </c>
      <c r="E2503" t="n">
        <v>737.0309999999999</v>
      </c>
      <c r="G2503" t="n">
        <v>22.417</v>
      </c>
      <c r="H2503" t="inlineStr">
        <is>
          <t>bb</t>
        </is>
      </c>
      <c r="I2503" t="n">
        <v>737.0309999999999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378"/>
  <sheetViews>
    <sheetView topLeftCell="A4243" workbookViewId="0">
      <selection activeCell="R4261" sqref="R4261"/>
    </sheetView>
  </sheetViews>
  <sheetFormatPr baseColWidth="8" defaultColWidth="11" defaultRowHeight="16"/>
  <sheetData>
    <row r="1">
      <c r="A1" t="inlineStr">
        <is>
          <t xml:space="preserve">Quantify Compound Summary Report </t>
        </is>
      </c>
    </row>
    <row r="3">
      <c r="A3" t="inlineStr">
        <is>
          <t>Printed Fri May 16 14:45:35 2025</t>
        </is>
      </c>
    </row>
    <row r="5">
      <c r="A5" t="inlineStr">
        <is>
          <t>Compound 1:  TFA 1</t>
        </is>
      </c>
    </row>
    <row r="7">
      <c r="B7" t="inlineStr">
        <is>
          <t>Sample Text</t>
        </is>
      </c>
      <c r="C7" t="inlineStr">
        <is>
          <t>Std. Conc</t>
        </is>
      </c>
      <c r="D7" t="inlineStr">
        <is>
          <t>RT</t>
        </is>
      </c>
      <c r="E7" t="inlineStr">
        <is>
          <t>Area</t>
        </is>
      </c>
      <c r="F7" t="inlineStr">
        <is>
          <t>IS Area</t>
        </is>
      </c>
      <c r="G7" t="inlineStr">
        <is>
          <t>S/N</t>
        </is>
      </c>
      <c r="H7" t="inlineStr">
        <is>
          <t>Primary Flags</t>
        </is>
      </c>
      <c r="I7" t="inlineStr">
        <is>
          <t>Response</t>
        </is>
      </c>
      <c r="J7" t="inlineStr">
        <is>
          <t>Conc.</t>
        </is>
      </c>
    </row>
    <row r="8">
      <c r="A8" t="n">
        <v>1</v>
      </c>
      <c r="B8" t="inlineStr">
        <is>
          <t>K4-1A</t>
        </is>
      </c>
      <c r="D8" t="n">
        <v>1.2</v>
      </c>
      <c r="E8" t="n">
        <v>12.745</v>
      </c>
      <c r="F8" t="n">
        <v>3889.819</v>
      </c>
      <c r="G8" t="n">
        <v>4.346</v>
      </c>
      <c r="H8" t="inlineStr">
        <is>
          <t>bb</t>
        </is>
      </c>
    </row>
    <row r="9">
      <c r="A9" t="n">
        <v>2</v>
      </c>
      <c r="B9" t="inlineStr">
        <is>
          <t>K4-1B</t>
        </is>
      </c>
      <c r="D9" t="n">
        <v>1.18</v>
      </c>
      <c r="E9" t="n">
        <v>0.486</v>
      </c>
      <c r="F9" t="n">
        <v>3657.858</v>
      </c>
      <c r="G9" t="n">
        <v>7</v>
      </c>
      <c r="H9" t="inlineStr">
        <is>
          <t>MM</t>
        </is>
      </c>
    </row>
    <row r="10">
      <c r="A10" t="n">
        <v>3</v>
      </c>
      <c r="B10" t="inlineStr">
        <is>
          <t>K4-1C</t>
        </is>
      </c>
      <c r="D10" t="n">
        <v>1.2</v>
      </c>
      <c r="E10" t="n">
        <v>2.919</v>
      </c>
      <c r="F10" t="n">
        <v>3596.392</v>
      </c>
      <c r="G10" t="n">
        <v>37</v>
      </c>
      <c r="H10" t="inlineStr">
        <is>
          <t>bb</t>
        </is>
      </c>
    </row>
    <row r="11">
      <c r="A11" t="n">
        <v>4</v>
      </c>
      <c r="B11" t="inlineStr">
        <is>
          <t>K4-2A</t>
        </is>
      </c>
      <c r="D11" t="n">
        <v>1.18</v>
      </c>
      <c r="E11" t="n">
        <v>1.086</v>
      </c>
      <c r="F11" t="n">
        <v>3827.847</v>
      </c>
      <c r="G11" t="n">
        <v>12</v>
      </c>
      <c r="H11" t="inlineStr">
        <is>
          <t>bb</t>
        </is>
      </c>
    </row>
    <row r="12">
      <c r="A12" t="n">
        <v>5</v>
      </c>
      <c r="B12" t="inlineStr">
        <is>
          <t>K4-2B</t>
        </is>
      </c>
      <c r="D12" t="n">
        <v>1.18</v>
      </c>
      <c r="E12" t="n">
        <v>0.899</v>
      </c>
      <c r="F12" t="n">
        <v>3623.222</v>
      </c>
      <c r="G12" t="n">
        <v>6</v>
      </c>
      <c r="H12" t="inlineStr">
        <is>
          <t>bb</t>
        </is>
      </c>
    </row>
    <row r="13">
      <c r="A13" t="n">
        <v>6</v>
      </c>
      <c r="B13" t="inlineStr">
        <is>
          <t>K4-2C</t>
        </is>
      </c>
      <c r="D13" t="n">
        <v>1.45</v>
      </c>
      <c r="E13" t="n">
        <v>4.738</v>
      </c>
      <c r="F13" t="n">
        <v>3093.041</v>
      </c>
      <c r="G13" t="n">
        <v>57</v>
      </c>
      <c r="H13" t="inlineStr">
        <is>
          <t>bb</t>
        </is>
      </c>
    </row>
    <row r="14">
      <c r="A14" t="n">
        <v>7</v>
      </c>
      <c r="B14" t="inlineStr">
        <is>
          <t>MeOH</t>
        </is>
      </c>
      <c r="H14" t="inlineStr">
        <is>
          <t>MM-</t>
        </is>
      </c>
    </row>
    <row r="15">
      <c r="A15" t="n">
        <v>8</v>
      </c>
      <c r="B15" t="inlineStr">
        <is>
          <t>K4-4A</t>
        </is>
      </c>
      <c r="D15" t="n">
        <v>1.13</v>
      </c>
      <c r="E15" t="n">
        <v>0.885</v>
      </c>
      <c r="F15" t="n">
        <v>3907.045</v>
      </c>
      <c r="G15" t="n">
        <v>9</v>
      </c>
      <c r="H15" t="inlineStr">
        <is>
          <t>bb</t>
        </is>
      </c>
    </row>
    <row r="16">
      <c r="A16" t="n">
        <v>9</v>
      </c>
      <c r="B16" t="inlineStr">
        <is>
          <t>K4-4B</t>
        </is>
      </c>
      <c r="D16" t="n">
        <v>1.53</v>
      </c>
      <c r="E16" t="n">
        <v>4.547</v>
      </c>
      <c r="F16" t="n">
        <v>3594.542</v>
      </c>
      <c r="G16" t="n">
        <v>27.271</v>
      </c>
      <c r="H16" t="inlineStr">
        <is>
          <t>bb</t>
        </is>
      </c>
    </row>
    <row r="17">
      <c r="A17" t="n">
        <v>10</v>
      </c>
      <c r="B17" t="inlineStr">
        <is>
          <t>K4-4C</t>
        </is>
      </c>
      <c r="D17" t="n">
        <v>1.12</v>
      </c>
      <c r="E17" t="n">
        <v>1.598</v>
      </c>
      <c r="F17" t="n">
        <v>3586.092</v>
      </c>
      <c r="G17" t="n">
        <v>12</v>
      </c>
      <c r="H17" t="inlineStr">
        <is>
          <t>MM</t>
        </is>
      </c>
    </row>
    <row r="18">
      <c r="A18" t="n">
        <v>11</v>
      </c>
      <c r="B18" t="inlineStr">
        <is>
          <t>K4-5A</t>
        </is>
      </c>
      <c r="D18" t="n">
        <v>1.2</v>
      </c>
      <c r="E18" t="n">
        <v>1.855</v>
      </c>
      <c r="F18" t="n">
        <v>3387.509</v>
      </c>
      <c r="G18" t="n">
        <v>26</v>
      </c>
      <c r="H18" t="inlineStr">
        <is>
          <t>bb</t>
        </is>
      </c>
    </row>
    <row r="19">
      <c r="A19" t="n">
        <v>12</v>
      </c>
      <c r="B19" t="inlineStr">
        <is>
          <t>K4-5B</t>
        </is>
      </c>
      <c r="D19" t="n">
        <v>1.15</v>
      </c>
      <c r="E19" t="n">
        <v>0.923</v>
      </c>
      <c r="F19" t="n">
        <v>3401.243</v>
      </c>
      <c r="G19" t="n">
        <v>1.495</v>
      </c>
      <c r="H19" t="inlineStr">
        <is>
          <t>bb</t>
        </is>
      </c>
    </row>
    <row r="20">
      <c r="A20" t="n">
        <v>13</v>
      </c>
      <c r="B20" t="inlineStr">
        <is>
          <t>K4-5C</t>
        </is>
      </c>
      <c r="D20" t="n">
        <v>1.12</v>
      </c>
      <c r="E20" t="n">
        <v>1.23</v>
      </c>
      <c r="F20" t="n">
        <v>3767.266</v>
      </c>
      <c r="G20" t="n">
        <v>13</v>
      </c>
      <c r="H20" t="inlineStr">
        <is>
          <t>bb</t>
        </is>
      </c>
    </row>
    <row r="21">
      <c r="A21" t="n">
        <v>14</v>
      </c>
      <c r="B21" t="inlineStr">
        <is>
          <t>MeOH</t>
        </is>
      </c>
      <c r="H21" t="inlineStr">
        <is>
          <t>MM-</t>
        </is>
      </c>
    </row>
    <row r="22">
      <c r="A22" t="n">
        <v>15</v>
      </c>
      <c r="B22" t="inlineStr">
        <is>
          <t>K3-1A</t>
        </is>
      </c>
      <c r="D22" t="n">
        <v>1.2</v>
      </c>
      <c r="E22" t="n">
        <v>2.504</v>
      </c>
      <c r="F22" t="n">
        <v>3791.804</v>
      </c>
      <c r="G22" t="n">
        <v>26</v>
      </c>
      <c r="H22" t="inlineStr">
        <is>
          <t>bb</t>
        </is>
      </c>
    </row>
    <row r="23">
      <c r="A23" t="n">
        <v>16</v>
      </c>
      <c r="B23" t="inlineStr">
        <is>
          <t>K3-1B</t>
        </is>
      </c>
      <c r="D23" t="n">
        <v>1.18</v>
      </c>
      <c r="E23" t="n">
        <v>4.49</v>
      </c>
      <c r="F23" t="n">
        <v>3719.279</v>
      </c>
      <c r="G23" t="n">
        <v>64</v>
      </c>
      <c r="H23" t="inlineStr">
        <is>
          <t>MM</t>
        </is>
      </c>
    </row>
    <row r="24">
      <c r="A24" t="n">
        <v>17</v>
      </c>
      <c r="B24" t="inlineStr">
        <is>
          <t>K3-1C</t>
        </is>
      </c>
      <c r="D24" t="n">
        <v>1.23</v>
      </c>
      <c r="E24" t="n">
        <v>4.461</v>
      </c>
      <c r="F24" t="n">
        <v>4814.875</v>
      </c>
      <c r="G24" t="n">
        <v>39</v>
      </c>
      <c r="H24" t="inlineStr">
        <is>
          <t>bb</t>
        </is>
      </c>
    </row>
    <row r="25">
      <c r="A25" t="n">
        <v>18</v>
      </c>
      <c r="B25" t="inlineStr">
        <is>
          <t>K3-2A</t>
        </is>
      </c>
      <c r="D25" t="n">
        <v>1.22</v>
      </c>
      <c r="E25" t="n">
        <v>4.253</v>
      </c>
      <c r="F25" t="n">
        <v>4565.734</v>
      </c>
      <c r="G25" t="n">
        <v>4.334</v>
      </c>
      <c r="H25" t="inlineStr">
        <is>
          <t>bb</t>
        </is>
      </c>
    </row>
    <row r="26">
      <c r="A26" t="n">
        <v>19</v>
      </c>
      <c r="B26" t="inlineStr">
        <is>
          <t>K3-2B</t>
        </is>
      </c>
      <c r="D26" t="n">
        <v>1.21</v>
      </c>
      <c r="E26" t="n">
        <v>5.315</v>
      </c>
      <c r="F26" t="n">
        <v>4775.06</v>
      </c>
      <c r="G26" t="n">
        <v>7.381</v>
      </c>
      <c r="H26" t="inlineStr">
        <is>
          <t>bb</t>
        </is>
      </c>
    </row>
    <row r="27">
      <c r="A27" t="n">
        <v>20</v>
      </c>
      <c r="B27" t="inlineStr">
        <is>
          <t>K3-2C</t>
        </is>
      </c>
      <c r="D27" t="n">
        <v>1.18</v>
      </c>
      <c r="E27" t="n">
        <v>4.604</v>
      </c>
      <c r="F27" t="n">
        <v>4192.287</v>
      </c>
      <c r="G27" t="n">
        <v>2.896</v>
      </c>
      <c r="H27" t="inlineStr">
        <is>
          <t>bb</t>
        </is>
      </c>
    </row>
    <row r="28">
      <c r="A28" t="n">
        <v>21</v>
      </c>
      <c r="B28" t="inlineStr">
        <is>
          <t>MeOH</t>
        </is>
      </c>
      <c r="H28" t="inlineStr">
        <is>
          <t>MM-</t>
        </is>
      </c>
    </row>
    <row r="29">
      <c r="A29" t="n">
        <v>22</v>
      </c>
      <c r="B29" t="inlineStr">
        <is>
          <t>K3-3A</t>
        </is>
      </c>
      <c r="D29" t="n">
        <v>1.18</v>
      </c>
      <c r="E29" t="n">
        <v>5.301</v>
      </c>
      <c r="F29" t="n">
        <v>3883.396</v>
      </c>
      <c r="G29" t="n">
        <v>9.342000000000001</v>
      </c>
      <c r="H29" t="inlineStr">
        <is>
          <t>bb</t>
        </is>
      </c>
    </row>
    <row r="30">
      <c r="A30" t="n">
        <v>23</v>
      </c>
      <c r="B30" t="inlineStr">
        <is>
          <t>K3-3B</t>
        </is>
      </c>
      <c r="D30" t="n">
        <v>1.17</v>
      </c>
      <c r="E30" t="n">
        <v>17.779</v>
      </c>
      <c r="F30" t="n">
        <v>4786.087</v>
      </c>
      <c r="G30" t="n">
        <v>180</v>
      </c>
      <c r="H30" t="inlineStr">
        <is>
          <t>bb</t>
        </is>
      </c>
    </row>
    <row r="31">
      <c r="A31" t="n">
        <v>24</v>
      </c>
      <c r="B31" t="inlineStr">
        <is>
          <t>K3-3C</t>
        </is>
      </c>
      <c r="D31" t="n">
        <v>1.17</v>
      </c>
      <c r="E31" t="n">
        <v>2.947</v>
      </c>
      <c r="F31" t="n">
        <v>5066.448</v>
      </c>
      <c r="G31" t="n">
        <v>0.895</v>
      </c>
      <c r="H31" t="inlineStr">
        <is>
          <t>MM</t>
        </is>
      </c>
    </row>
    <row r="32">
      <c r="A32" t="n">
        <v>25</v>
      </c>
      <c r="B32" t="inlineStr">
        <is>
          <t>K3-4A</t>
        </is>
      </c>
      <c r="D32" t="n">
        <v>1.18</v>
      </c>
      <c r="E32" t="n">
        <v>3.301</v>
      </c>
      <c r="F32" t="n">
        <v>5114.056</v>
      </c>
      <c r="G32" t="n">
        <v>2.278</v>
      </c>
      <c r="H32" t="inlineStr">
        <is>
          <t>MM</t>
        </is>
      </c>
    </row>
    <row r="33">
      <c r="A33" t="n">
        <v>26</v>
      </c>
      <c r="B33" t="inlineStr">
        <is>
          <t>K3-4B</t>
        </is>
      </c>
      <c r="D33" t="n">
        <v>1.17</v>
      </c>
      <c r="E33" t="n">
        <v>4.102</v>
      </c>
      <c r="F33" t="n">
        <v>4902.364</v>
      </c>
      <c r="G33" t="n">
        <v>6.438</v>
      </c>
      <c r="H33" t="inlineStr">
        <is>
          <t>MM</t>
        </is>
      </c>
    </row>
    <row r="34">
      <c r="A34" t="n">
        <v>27</v>
      </c>
      <c r="B34" t="inlineStr">
        <is>
          <t>K3-4C</t>
        </is>
      </c>
      <c r="D34" t="n">
        <v>1.18</v>
      </c>
      <c r="E34" t="n">
        <v>10.151</v>
      </c>
      <c r="F34" t="n">
        <v>5366.199</v>
      </c>
      <c r="G34" t="n">
        <v>4.224</v>
      </c>
      <c r="H34" t="inlineStr">
        <is>
          <t>MM</t>
        </is>
      </c>
    </row>
    <row r="35">
      <c r="A35" t="n">
        <v>28</v>
      </c>
      <c r="B35" t="inlineStr">
        <is>
          <t>MeOH</t>
        </is>
      </c>
      <c r="H35" t="inlineStr">
        <is>
          <t>MM-</t>
        </is>
      </c>
    </row>
    <row r="36">
      <c r="A36" t="n">
        <v>29</v>
      </c>
      <c r="B36" t="inlineStr">
        <is>
          <t>K3-6A</t>
        </is>
      </c>
      <c r="D36" t="n">
        <v>1.21</v>
      </c>
      <c r="E36" t="n">
        <v>10.844</v>
      </c>
      <c r="F36" t="n">
        <v>5434.724</v>
      </c>
      <c r="G36" t="n">
        <v>26.383</v>
      </c>
      <c r="H36" t="inlineStr">
        <is>
          <t>bb</t>
        </is>
      </c>
    </row>
    <row r="37">
      <c r="A37" t="n">
        <v>30</v>
      </c>
      <c r="B37" t="inlineStr">
        <is>
          <t>K3-6B</t>
        </is>
      </c>
      <c r="D37" t="n">
        <v>1.21</v>
      </c>
      <c r="E37" t="n">
        <v>13.632</v>
      </c>
      <c r="F37" t="n">
        <v>4320.222</v>
      </c>
      <c r="G37" t="n">
        <v>50.056</v>
      </c>
      <c r="H37" t="inlineStr">
        <is>
          <t>bb</t>
        </is>
      </c>
    </row>
    <row r="38">
      <c r="A38" t="n">
        <v>31</v>
      </c>
      <c r="B38" t="inlineStr">
        <is>
          <t>K3-6C</t>
        </is>
      </c>
      <c r="D38" t="n">
        <v>1.23</v>
      </c>
      <c r="E38" t="n">
        <v>6.799</v>
      </c>
      <c r="F38" t="n">
        <v>4778.471</v>
      </c>
      <c r="G38" t="n">
        <v>4.79</v>
      </c>
      <c r="H38" t="inlineStr">
        <is>
          <t>MM</t>
        </is>
      </c>
    </row>
    <row r="40">
      <c r="A40" t="inlineStr">
        <is>
          <t>Compound 2:  PFMeS 1</t>
        </is>
      </c>
    </row>
    <row r="42">
      <c r="B42" t="inlineStr">
        <is>
          <t>Sample Text</t>
        </is>
      </c>
      <c r="C42" t="inlineStr">
        <is>
          <t>Std. Conc</t>
        </is>
      </c>
      <c r="D42" t="inlineStr">
        <is>
          <t>RT</t>
        </is>
      </c>
      <c r="E42" t="inlineStr">
        <is>
          <t>Area</t>
        </is>
      </c>
      <c r="F42" t="inlineStr">
        <is>
          <t>IS Area</t>
        </is>
      </c>
      <c r="G42" t="inlineStr">
        <is>
          <t>S/N</t>
        </is>
      </c>
      <c r="H42" t="inlineStr">
        <is>
          <t>Primary Flags</t>
        </is>
      </c>
      <c r="I42" t="inlineStr">
        <is>
          <t>Response</t>
        </is>
      </c>
      <c r="J42" t="inlineStr">
        <is>
          <t>Conc.</t>
        </is>
      </c>
    </row>
    <row r="43">
      <c r="A43" t="n">
        <v>1</v>
      </c>
      <c r="B43" t="inlineStr">
        <is>
          <t>K4-1A</t>
        </is>
      </c>
      <c r="D43" t="n">
        <v>1.66</v>
      </c>
      <c r="E43" t="n">
        <v>14.027</v>
      </c>
      <c r="F43" t="n">
        <v>3889.819</v>
      </c>
      <c r="G43" t="n">
        <v>140</v>
      </c>
      <c r="H43" t="inlineStr">
        <is>
          <t>bb</t>
        </is>
      </c>
    </row>
    <row r="44">
      <c r="A44" t="n">
        <v>2</v>
      </c>
      <c r="B44" t="inlineStr">
        <is>
          <t>K4-1B</t>
        </is>
      </c>
      <c r="D44" t="n">
        <v>1.6</v>
      </c>
      <c r="E44" t="n">
        <v>32.681</v>
      </c>
      <c r="F44" t="n">
        <v>3657.858</v>
      </c>
      <c r="G44" t="n">
        <v>340</v>
      </c>
      <c r="H44" t="inlineStr">
        <is>
          <t>bb</t>
        </is>
      </c>
    </row>
    <row r="45">
      <c r="A45" t="n">
        <v>3</v>
      </c>
      <c r="B45" t="inlineStr">
        <is>
          <t>K4-1C</t>
        </is>
      </c>
      <c r="D45" t="n">
        <v>1.63</v>
      </c>
      <c r="E45" t="n">
        <v>19.919</v>
      </c>
      <c r="F45" t="n">
        <v>3596.392</v>
      </c>
      <c r="G45" t="n">
        <v>22.848</v>
      </c>
      <c r="H45" t="inlineStr">
        <is>
          <t>bb</t>
        </is>
      </c>
    </row>
    <row r="46">
      <c r="A46" t="n">
        <v>4</v>
      </c>
      <c r="B46" t="inlineStr">
        <is>
          <t>K4-2A</t>
        </is>
      </c>
      <c r="D46" t="n">
        <v>1.64</v>
      </c>
      <c r="E46" t="n">
        <v>39040.527</v>
      </c>
      <c r="F46" t="n">
        <v>3827.847</v>
      </c>
      <c r="G46" t="n">
        <v>49219.708</v>
      </c>
      <c r="H46" t="inlineStr">
        <is>
          <t>bb</t>
        </is>
      </c>
    </row>
    <row r="47">
      <c r="A47" t="n">
        <v>5</v>
      </c>
      <c r="B47" t="inlineStr">
        <is>
          <t>K4-2B</t>
        </is>
      </c>
      <c r="D47" t="n">
        <v>1.63</v>
      </c>
      <c r="E47" t="n">
        <v>128.793</v>
      </c>
      <c r="F47" t="n">
        <v>3623.222</v>
      </c>
      <c r="G47" t="n">
        <v>1370</v>
      </c>
      <c r="H47" t="inlineStr">
        <is>
          <t>bb</t>
        </is>
      </c>
    </row>
    <row r="48">
      <c r="A48" t="n">
        <v>6</v>
      </c>
      <c r="B48" t="inlineStr">
        <is>
          <t>K4-2C</t>
        </is>
      </c>
      <c r="D48" t="n">
        <v>1.58</v>
      </c>
      <c r="E48" t="n">
        <v>50.15</v>
      </c>
      <c r="F48" t="n">
        <v>3093.041</v>
      </c>
      <c r="G48" t="n">
        <v>19.531</v>
      </c>
      <c r="H48" t="inlineStr">
        <is>
          <t>bb</t>
        </is>
      </c>
    </row>
    <row r="49">
      <c r="A49" t="n">
        <v>7</v>
      </c>
      <c r="B49" t="inlineStr">
        <is>
          <t>MeOH</t>
        </is>
      </c>
      <c r="H49" t="inlineStr">
        <is>
          <t>MM-</t>
        </is>
      </c>
    </row>
    <row r="50">
      <c r="A50" t="n">
        <v>8</v>
      </c>
      <c r="B50" t="inlineStr">
        <is>
          <t>K4-4A</t>
        </is>
      </c>
      <c r="D50" t="n">
        <v>1.68</v>
      </c>
      <c r="E50" t="n">
        <v>4.318</v>
      </c>
      <c r="F50" t="n">
        <v>3907.045</v>
      </c>
      <c r="G50" t="n">
        <v>49</v>
      </c>
      <c r="H50" t="inlineStr">
        <is>
          <t>bb</t>
        </is>
      </c>
    </row>
    <row r="51">
      <c r="A51" t="n">
        <v>9</v>
      </c>
      <c r="B51" t="inlineStr">
        <is>
          <t>K4-4B</t>
        </is>
      </c>
      <c r="D51" t="n">
        <v>1.64</v>
      </c>
      <c r="E51" t="n">
        <v>317.093</v>
      </c>
      <c r="F51" t="n">
        <v>3594.542</v>
      </c>
      <c r="G51" t="n">
        <v>229.059</v>
      </c>
      <c r="H51" t="inlineStr">
        <is>
          <t>bb</t>
        </is>
      </c>
    </row>
    <row r="52">
      <c r="A52" t="n">
        <v>10</v>
      </c>
      <c r="B52" t="inlineStr">
        <is>
          <t>K4-4C</t>
        </is>
      </c>
      <c r="D52" t="n">
        <v>1.66</v>
      </c>
      <c r="E52" t="n">
        <v>20.924</v>
      </c>
      <c r="F52" t="n">
        <v>3586.092</v>
      </c>
      <c r="G52" t="n">
        <v>219</v>
      </c>
      <c r="H52" t="inlineStr">
        <is>
          <t>bb</t>
        </is>
      </c>
    </row>
    <row r="53">
      <c r="A53" t="n">
        <v>11</v>
      </c>
      <c r="B53" t="inlineStr">
        <is>
          <t>K4-5A</t>
        </is>
      </c>
      <c r="D53" t="n">
        <v>1.65</v>
      </c>
      <c r="E53" t="n">
        <v>14.718</v>
      </c>
      <c r="F53" t="n">
        <v>3387.509</v>
      </c>
      <c r="G53" t="n">
        <v>34.216</v>
      </c>
      <c r="H53" t="inlineStr">
        <is>
          <t>bb</t>
        </is>
      </c>
    </row>
    <row r="54">
      <c r="A54" t="n">
        <v>12</v>
      </c>
      <c r="B54" t="inlineStr">
        <is>
          <t>K4-5B</t>
        </is>
      </c>
      <c r="D54" t="n">
        <v>1.61</v>
      </c>
      <c r="E54" t="n">
        <v>24.141</v>
      </c>
      <c r="F54" t="n">
        <v>3401.243</v>
      </c>
      <c r="G54" t="n">
        <v>42.391</v>
      </c>
      <c r="H54" t="inlineStr">
        <is>
          <t>bb</t>
        </is>
      </c>
    </row>
    <row r="55">
      <c r="A55" t="n">
        <v>13</v>
      </c>
      <c r="B55" t="inlineStr">
        <is>
          <t>K4-5C</t>
        </is>
      </c>
      <c r="D55" t="n">
        <v>1.66</v>
      </c>
      <c r="E55" t="n">
        <v>15.093</v>
      </c>
      <c r="F55" t="n">
        <v>3767.266</v>
      </c>
      <c r="G55" t="n">
        <v>25.83</v>
      </c>
      <c r="H55" t="inlineStr">
        <is>
          <t>bb</t>
        </is>
      </c>
    </row>
    <row r="56">
      <c r="A56" t="n">
        <v>14</v>
      </c>
      <c r="B56" t="inlineStr">
        <is>
          <t>MeOH</t>
        </is>
      </c>
      <c r="H56" t="inlineStr">
        <is>
          <t>MM-</t>
        </is>
      </c>
    </row>
    <row r="57">
      <c r="A57" t="n">
        <v>15</v>
      </c>
      <c r="B57" t="inlineStr">
        <is>
          <t>K3-1A</t>
        </is>
      </c>
      <c r="D57" t="n">
        <v>1.62</v>
      </c>
      <c r="E57" t="n">
        <v>8.638999999999999</v>
      </c>
      <c r="F57" t="n">
        <v>3791.804</v>
      </c>
      <c r="G57" t="n">
        <v>5.164</v>
      </c>
      <c r="H57" t="inlineStr">
        <is>
          <t>bb</t>
        </is>
      </c>
    </row>
    <row r="58">
      <c r="A58" t="n">
        <v>16</v>
      </c>
      <c r="B58" t="inlineStr">
        <is>
          <t>K3-1B</t>
        </is>
      </c>
      <c r="D58" t="n">
        <v>1.66</v>
      </c>
      <c r="E58" t="n">
        <v>6.971</v>
      </c>
      <c r="F58" t="n">
        <v>3719.279</v>
      </c>
      <c r="G58" t="n">
        <v>45.65</v>
      </c>
      <c r="H58" t="inlineStr">
        <is>
          <t>bb</t>
        </is>
      </c>
    </row>
    <row r="59">
      <c r="A59" t="n">
        <v>17</v>
      </c>
      <c r="B59" t="inlineStr">
        <is>
          <t>K3-1C</t>
        </is>
      </c>
      <c r="D59" t="n">
        <v>1.71</v>
      </c>
      <c r="E59" t="n">
        <v>14.275</v>
      </c>
      <c r="F59" t="n">
        <v>4814.875</v>
      </c>
      <c r="G59" t="n">
        <v>103.559</v>
      </c>
      <c r="H59" t="inlineStr">
        <is>
          <t>bb</t>
        </is>
      </c>
    </row>
    <row r="60">
      <c r="A60" t="n">
        <v>18</v>
      </c>
      <c r="B60" t="inlineStr">
        <is>
          <t>K3-2A</t>
        </is>
      </c>
      <c r="D60" t="n">
        <v>1.69</v>
      </c>
      <c r="E60" t="n">
        <v>13.983</v>
      </c>
      <c r="F60" t="n">
        <v>4565.734</v>
      </c>
      <c r="G60" t="n">
        <v>74.434</v>
      </c>
      <c r="H60" t="inlineStr">
        <is>
          <t>bb</t>
        </is>
      </c>
    </row>
    <row r="61">
      <c r="A61" t="n">
        <v>19</v>
      </c>
      <c r="B61" t="inlineStr">
        <is>
          <t>K3-2B</t>
        </is>
      </c>
      <c r="D61" t="n">
        <v>1.68</v>
      </c>
      <c r="E61" t="n">
        <v>12.382</v>
      </c>
      <c r="F61" t="n">
        <v>4775.06</v>
      </c>
      <c r="G61" t="n">
        <v>36.02</v>
      </c>
      <c r="H61" t="inlineStr">
        <is>
          <t>bb</t>
        </is>
      </c>
    </row>
    <row r="62">
      <c r="A62" t="n">
        <v>20</v>
      </c>
      <c r="B62" t="inlineStr">
        <is>
          <t>K3-2C</t>
        </is>
      </c>
      <c r="D62" t="n">
        <v>1.67</v>
      </c>
      <c r="E62" t="n">
        <v>8.936</v>
      </c>
      <c r="F62" t="n">
        <v>4192.287</v>
      </c>
      <c r="G62" t="n">
        <v>101</v>
      </c>
      <c r="H62" t="inlineStr">
        <is>
          <t>bb</t>
        </is>
      </c>
    </row>
    <row r="63">
      <c r="A63" t="n">
        <v>21</v>
      </c>
      <c r="B63" t="inlineStr">
        <is>
          <t>MeOH</t>
        </is>
      </c>
      <c r="H63" t="inlineStr">
        <is>
          <t>MM-</t>
        </is>
      </c>
    </row>
    <row r="64">
      <c r="A64" t="n">
        <v>22</v>
      </c>
      <c r="B64" t="inlineStr">
        <is>
          <t>K3-3A</t>
        </is>
      </c>
      <c r="D64" t="n">
        <v>1.66</v>
      </c>
      <c r="E64" t="n">
        <v>42.082</v>
      </c>
      <c r="F64" t="n">
        <v>3883.396</v>
      </c>
      <c r="G64" t="n">
        <v>296.988</v>
      </c>
      <c r="H64" t="inlineStr">
        <is>
          <t>bb</t>
        </is>
      </c>
    </row>
    <row r="65">
      <c r="A65" t="n">
        <v>23</v>
      </c>
      <c r="B65" t="inlineStr">
        <is>
          <t>K3-3B</t>
        </is>
      </c>
      <c r="D65" t="n">
        <v>1.66</v>
      </c>
      <c r="E65" t="n">
        <v>19.116</v>
      </c>
      <c r="F65" t="n">
        <v>4786.087</v>
      </c>
      <c r="G65" t="n">
        <v>197</v>
      </c>
      <c r="H65" t="inlineStr">
        <is>
          <t>bb</t>
        </is>
      </c>
    </row>
    <row r="66">
      <c r="A66" t="n">
        <v>24</v>
      </c>
      <c r="B66" t="inlineStr">
        <is>
          <t>K3-3C</t>
        </is>
      </c>
      <c r="D66" t="n">
        <v>1.69</v>
      </c>
      <c r="E66" t="n">
        <v>7.238</v>
      </c>
      <c r="F66" t="n">
        <v>5066.448</v>
      </c>
      <c r="G66" t="n">
        <v>9.193</v>
      </c>
      <c r="H66" t="inlineStr">
        <is>
          <t>bb</t>
        </is>
      </c>
    </row>
    <row r="67">
      <c r="A67" t="n">
        <v>25</v>
      </c>
      <c r="B67" t="inlineStr">
        <is>
          <t>K3-4A</t>
        </is>
      </c>
      <c r="D67" t="n">
        <v>1.68</v>
      </c>
      <c r="E67" t="n">
        <v>22.153</v>
      </c>
      <c r="F67" t="n">
        <v>5114.056</v>
      </c>
      <c r="G67" t="n">
        <v>231</v>
      </c>
      <c r="H67" t="inlineStr">
        <is>
          <t>bb</t>
        </is>
      </c>
    </row>
    <row r="68">
      <c r="A68" t="n">
        <v>26</v>
      </c>
      <c r="B68" t="inlineStr">
        <is>
          <t>K3-4B</t>
        </is>
      </c>
      <c r="D68" t="n">
        <v>1.63</v>
      </c>
      <c r="E68" t="n">
        <v>15.112</v>
      </c>
      <c r="F68" t="n">
        <v>4902.364</v>
      </c>
      <c r="G68" t="n">
        <v>164</v>
      </c>
      <c r="H68" t="inlineStr">
        <is>
          <t>bb</t>
        </is>
      </c>
    </row>
    <row r="69">
      <c r="A69" t="n">
        <v>27</v>
      </c>
      <c r="B69" t="inlineStr">
        <is>
          <t>K3-4C</t>
        </is>
      </c>
      <c r="D69" t="n">
        <v>1.73</v>
      </c>
      <c r="E69" t="n">
        <v>14.79</v>
      </c>
      <c r="F69" t="n">
        <v>5366.199</v>
      </c>
      <c r="G69" t="n">
        <v>165</v>
      </c>
      <c r="H69" t="inlineStr">
        <is>
          <t>bb</t>
        </is>
      </c>
    </row>
    <row r="70">
      <c r="A70" t="n">
        <v>28</v>
      </c>
      <c r="B70" t="inlineStr">
        <is>
          <t>MeOH</t>
        </is>
      </c>
      <c r="H70" t="inlineStr">
        <is>
          <t>MM-</t>
        </is>
      </c>
    </row>
    <row r="71">
      <c r="A71" t="n">
        <v>29</v>
      </c>
      <c r="B71" t="inlineStr">
        <is>
          <t>K3-6A</t>
        </is>
      </c>
      <c r="D71" t="n">
        <v>1.68</v>
      </c>
      <c r="E71" t="n">
        <v>8.853</v>
      </c>
      <c r="F71" t="n">
        <v>5434.724</v>
      </c>
      <c r="G71" t="n">
        <v>99</v>
      </c>
      <c r="H71" t="inlineStr">
        <is>
          <t>bb</t>
        </is>
      </c>
    </row>
    <row r="72">
      <c r="A72" t="n">
        <v>30</v>
      </c>
      <c r="B72" t="inlineStr">
        <is>
          <t>K3-6B</t>
        </is>
      </c>
      <c r="D72" t="n">
        <v>1.62</v>
      </c>
      <c r="E72" t="n">
        <v>3.392</v>
      </c>
      <c r="F72" t="n">
        <v>4320.222</v>
      </c>
      <c r="G72" t="n">
        <v>3.202</v>
      </c>
      <c r="H72" t="inlineStr">
        <is>
          <t>bb</t>
        </is>
      </c>
    </row>
    <row r="73">
      <c r="A73" t="n">
        <v>31</v>
      </c>
      <c r="B73" t="inlineStr">
        <is>
          <t>K3-6C</t>
        </is>
      </c>
      <c r="D73" t="n">
        <v>1.62</v>
      </c>
      <c r="E73" t="n">
        <v>103.159</v>
      </c>
      <c r="F73" t="n">
        <v>4778.471</v>
      </c>
      <c r="G73" t="n">
        <v>60.035</v>
      </c>
      <c r="H73" t="inlineStr">
        <is>
          <t>bb</t>
        </is>
      </c>
    </row>
    <row r="75">
      <c r="A75" t="inlineStr">
        <is>
          <t>Compound 3:  PFPrA 1</t>
        </is>
      </c>
    </row>
    <row r="77">
      <c r="B77" t="inlineStr">
        <is>
          <t>Sample Text</t>
        </is>
      </c>
      <c r="C77" t="inlineStr">
        <is>
          <t>Std. Conc</t>
        </is>
      </c>
      <c r="D77" t="inlineStr">
        <is>
          <t>RT</t>
        </is>
      </c>
      <c r="E77" t="inlineStr">
        <is>
          <t>Area</t>
        </is>
      </c>
      <c r="F77" t="inlineStr">
        <is>
          <t>IS Area</t>
        </is>
      </c>
      <c r="G77" t="inlineStr">
        <is>
          <t>S/N</t>
        </is>
      </c>
      <c r="H77" t="inlineStr">
        <is>
          <t>Primary Flags</t>
        </is>
      </c>
      <c r="I77" t="inlineStr">
        <is>
          <t>Response</t>
        </is>
      </c>
      <c r="J77" t="inlineStr">
        <is>
          <t>Conc.</t>
        </is>
      </c>
    </row>
    <row r="78">
      <c r="A78" t="n">
        <v>1</v>
      </c>
      <c r="B78" t="inlineStr">
        <is>
          <t>K4-1A</t>
        </is>
      </c>
      <c r="D78" t="n">
        <v>1.94</v>
      </c>
      <c r="E78" t="n">
        <v>3759.632</v>
      </c>
      <c r="F78" t="n">
        <v>3889.819</v>
      </c>
      <c r="G78" t="n">
        <v>962.431</v>
      </c>
      <c r="H78" t="inlineStr">
        <is>
          <t>bb</t>
        </is>
      </c>
    </row>
    <row r="79">
      <c r="A79" t="n">
        <v>2</v>
      </c>
      <c r="B79" t="inlineStr">
        <is>
          <t>K4-1B</t>
        </is>
      </c>
      <c r="D79" t="n">
        <v>1.88</v>
      </c>
      <c r="E79" t="n">
        <v>3657.669</v>
      </c>
      <c r="F79" t="n">
        <v>3657.858</v>
      </c>
      <c r="G79" t="n">
        <v>608.746</v>
      </c>
      <c r="H79" t="inlineStr">
        <is>
          <t>bb</t>
        </is>
      </c>
    </row>
    <row r="80">
      <c r="A80" t="n">
        <v>3</v>
      </c>
      <c r="B80" t="inlineStr">
        <is>
          <t>K4-1C</t>
        </is>
      </c>
      <c r="D80" t="n">
        <v>1.91</v>
      </c>
      <c r="E80" t="n">
        <v>3773.115</v>
      </c>
      <c r="F80" t="n">
        <v>3596.392</v>
      </c>
      <c r="G80" t="n">
        <v>417.464</v>
      </c>
      <c r="H80" t="inlineStr">
        <is>
          <t>bb</t>
        </is>
      </c>
    </row>
    <row r="81">
      <c r="A81" t="n">
        <v>4</v>
      </c>
      <c r="B81" t="inlineStr">
        <is>
          <t>K4-2A</t>
        </is>
      </c>
      <c r="D81" t="n">
        <v>1.92</v>
      </c>
      <c r="E81" t="n">
        <v>3644.483</v>
      </c>
      <c r="F81" t="n">
        <v>3827.847</v>
      </c>
      <c r="G81" t="n">
        <v>951.1180000000001</v>
      </c>
      <c r="H81" t="inlineStr">
        <is>
          <t>bb</t>
        </is>
      </c>
    </row>
    <row r="82">
      <c r="A82" t="n">
        <v>5</v>
      </c>
      <c r="B82" t="inlineStr">
        <is>
          <t>K4-2B</t>
        </is>
      </c>
      <c r="D82" t="n">
        <v>1.92</v>
      </c>
      <c r="E82" t="n">
        <v>2323.58</v>
      </c>
      <c r="F82" t="n">
        <v>3623.222</v>
      </c>
      <c r="G82" t="n">
        <v>429.107</v>
      </c>
      <c r="H82" t="inlineStr">
        <is>
          <t>MM</t>
        </is>
      </c>
    </row>
    <row r="83">
      <c r="A83" t="n">
        <v>6</v>
      </c>
      <c r="B83" t="inlineStr">
        <is>
          <t>K4-2C</t>
        </is>
      </c>
      <c r="D83" t="n">
        <v>1.87</v>
      </c>
      <c r="E83" t="n">
        <v>3272.847</v>
      </c>
      <c r="F83" t="n">
        <v>3093.041</v>
      </c>
      <c r="G83" t="n">
        <v>458.64</v>
      </c>
      <c r="H83" t="inlineStr">
        <is>
          <t>bb</t>
        </is>
      </c>
    </row>
    <row r="84">
      <c r="A84" t="n">
        <v>7</v>
      </c>
      <c r="B84" t="inlineStr">
        <is>
          <t>MeOH</t>
        </is>
      </c>
      <c r="H84" t="inlineStr">
        <is>
          <t>MM-</t>
        </is>
      </c>
    </row>
    <row r="85">
      <c r="A85" t="n">
        <v>8</v>
      </c>
      <c r="B85" t="inlineStr">
        <is>
          <t>K4-4A</t>
        </is>
      </c>
      <c r="D85" t="n">
        <v>1.97</v>
      </c>
      <c r="E85" t="n">
        <v>2994.091</v>
      </c>
      <c r="F85" t="n">
        <v>3907.045</v>
      </c>
      <c r="G85" t="n">
        <v>856.6079999999999</v>
      </c>
      <c r="H85" t="inlineStr">
        <is>
          <t>bb</t>
        </is>
      </c>
    </row>
    <row r="86">
      <c r="A86" t="n">
        <v>9</v>
      </c>
      <c r="B86" t="inlineStr">
        <is>
          <t>K4-4B</t>
        </is>
      </c>
      <c r="D86" t="n">
        <v>1.92</v>
      </c>
      <c r="E86" t="n">
        <v>3067.412</v>
      </c>
      <c r="F86" t="n">
        <v>3594.542</v>
      </c>
      <c r="G86" t="n">
        <v>706.857</v>
      </c>
      <c r="H86" t="inlineStr">
        <is>
          <t>bb</t>
        </is>
      </c>
    </row>
    <row r="87">
      <c r="A87" t="n">
        <v>10</v>
      </c>
      <c r="B87" t="inlineStr">
        <is>
          <t>K4-4C</t>
        </is>
      </c>
      <c r="D87" t="n">
        <v>1.94</v>
      </c>
      <c r="E87" t="n">
        <v>3164.328</v>
      </c>
      <c r="F87" t="n">
        <v>3586.092</v>
      </c>
      <c r="G87" t="n">
        <v>870.831</v>
      </c>
      <c r="H87" t="inlineStr">
        <is>
          <t>bb</t>
        </is>
      </c>
    </row>
    <row r="88">
      <c r="A88" t="n">
        <v>11</v>
      </c>
      <c r="B88" t="inlineStr">
        <is>
          <t>K4-5A</t>
        </is>
      </c>
      <c r="D88" t="n">
        <v>1.93</v>
      </c>
      <c r="E88" t="n">
        <v>4097.881</v>
      </c>
      <c r="F88" t="n">
        <v>3387.509</v>
      </c>
      <c r="G88" t="n">
        <v>852.587</v>
      </c>
      <c r="H88" t="inlineStr">
        <is>
          <t>bb</t>
        </is>
      </c>
    </row>
    <row r="89">
      <c r="A89" t="n">
        <v>12</v>
      </c>
      <c r="B89" t="inlineStr">
        <is>
          <t>K4-5B</t>
        </is>
      </c>
      <c r="D89" t="n">
        <v>1.89</v>
      </c>
      <c r="E89" t="n">
        <v>4755.82</v>
      </c>
      <c r="F89" t="n">
        <v>3401.243</v>
      </c>
      <c r="G89" t="n">
        <v>1189.659</v>
      </c>
      <c r="H89" t="inlineStr">
        <is>
          <t>bb</t>
        </is>
      </c>
    </row>
    <row r="90">
      <c r="A90" t="n">
        <v>13</v>
      </c>
      <c r="B90" t="inlineStr">
        <is>
          <t>K4-5C</t>
        </is>
      </c>
      <c r="D90" t="n">
        <v>1.93</v>
      </c>
      <c r="E90" t="n">
        <v>2975.819</v>
      </c>
      <c r="F90" t="n">
        <v>3767.266</v>
      </c>
      <c r="G90" t="n">
        <v>440.602</v>
      </c>
      <c r="H90" t="inlineStr">
        <is>
          <t>MM</t>
        </is>
      </c>
    </row>
    <row r="91">
      <c r="A91" t="n">
        <v>14</v>
      </c>
      <c r="B91" t="inlineStr">
        <is>
          <t>MeOH</t>
        </is>
      </c>
      <c r="H91" t="inlineStr">
        <is>
          <t>MM-</t>
        </is>
      </c>
    </row>
    <row r="92">
      <c r="A92" t="n">
        <v>15</v>
      </c>
      <c r="B92" t="inlineStr">
        <is>
          <t>K3-1A</t>
        </is>
      </c>
      <c r="D92" t="n">
        <v>1.89</v>
      </c>
      <c r="E92" t="n">
        <v>3237.622</v>
      </c>
      <c r="F92" t="n">
        <v>3791.804</v>
      </c>
      <c r="G92" t="n">
        <v>860.718</v>
      </c>
      <c r="H92" t="inlineStr">
        <is>
          <t>MM</t>
        </is>
      </c>
    </row>
    <row r="93">
      <c r="A93" t="n">
        <v>16</v>
      </c>
      <c r="B93" t="inlineStr">
        <is>
          <t>K3-1B</t>
        </is>
      </c>
      <c r="D93" t="n">
        <v>1.91</v>
      </c>
      <c r="E93" t="n">
        <v>2194.711</v>
      </c>
      <c r="F93" t="n">
        <v>3719.279</v>
      </c>
      <c r="G93" t="n">
        <v>311.131</v>
      </c>
      <c r="H93" t="inlineStr">
        <is>
          <t>MM</t>
        </is>
      </c>
    </row>
    <row r="94">
      <c r="A94" t="n">
        <v>17</v>
      </c>
      <c r="B94" t="inlineStr">
        <is>
          <t>K3-1C</t>
        </is>
      </c>
      <c r="D94" t="n">
        <v>1.98</v>
      </c>
      <c r="E94" t="n">
        <v>3846.579</v>
      </c>
      <c r="F94" t="n">
        <v>4814.875</v>
      </c>
      <c r="G94" t="n">
        <v>1400.656</v>
      </c>
      <c r="H94" t="inlineStr">
        <is>
          <t>bb</t>
        </is>
      </c>
    </row>
    <row r="95">
      <c r="A95" t="n">
        <v>18</v>
      </c>
      <c r="B95" t="inlineStr">
        <is>
          <t>K3-2A</t>
        </is>
      </c>
      <c r="D95" t="n">
        <v>1.98</v>
      </c>
      <c r="E95" t="n">
        <v>4072.01</v>
      </c>
      <c r="F95" t="n">
        <v>4565.734</v>
      </c>
      <c r="G95" t="n">
        <v>873.177</v>
      </c>
      <c r="H95" t="inlineStr">
        <is>
          <t>MM</t>
        </is>
      </c>
    </row>
    <row r="96">
      <c r="A96" t="n">
        <v>19</v>
      </c>
      <c r="B96" t="inlineStr">
        <is>
          <t>K3-2B</t>
        </is>
      </c>
      <c r="D96" t="n">
        <v>1.97</v>
      </c>
      <c r="E96" t="n">
        <v>2337.249</v>
      </c>
      <c r="F96" t="n">
        <v>4775.06</v>
      </c>
      <c r="G96" t="n">
        <v>253.668</v>
      </c>
      <c r="H96" t="inlineStr">
        <is>
          <t>bb</t>
        </is>
      </c>
    </row>
    <row r="97">
      <c r="A97" t="n">
        <v>20</v>
      </c>
      <c r="B97" t="inlineStr">
        <is>
          <t>K3-2C</t>
        </is>
      </c>
      <c r="D97" t="n">
        <v>1.94</v>
      </c>
      <c r="E97" t="n">
        <v>2272.543</v>
      </c>
      <c r="F97" t="n">
        <v>4192.287</v>
      </c>
      <c r="G97" t="n">
        <v>438.644</v>
      </c>
      <c r="H97" t="inlineStr">
        <is>
          <t>MM</t>
        </is>
      </c>
    </row>
    <row r="98">
      <c r="A98" t="n">
        <v>21</v>
      </c>
      <c r="B98" t="inlineStr">
        <is>
          <t>MeOH</t>
        </is>
      </c>
      <c r="H98" t="inlineStr">
        <is>
          <t>MM-</t>
        </is>
      </c>
    </row>
    <row r="99">
      <c r="A99" t="n">
        <v>22</v>
      </c>
      <c r="B99" t="inlineStr">
        <is>
          <t>K3-3A</t>
        </is>
      </c>
      <c r="D99" t="n">
        <v>1.94</v>
      </c>
      <c r="E99" t="n">
        <v>4056.138</v>
      </c>
      <c r="F99" t="n">
        <v>3883.396</v>
      </c>
      <c r="G99" t="n">
        <v>1034.389</v>
      </c>
      <c r="H99" t="inlineStr">
        <is>
          <t>bb</t>
        </is>
      </c>
    </row>
    <row r="100">
      <c r="A100" t="n">
        <v>23</v>
      </c>
      <c r="B100" t="inlineStr">
        <is>
          <t>K3-3B</t>
        </is>
      </c>
      <c r="D100" t="n">
        <v>1.94</v>
      </c>
      <c r="E100" t="n">
        <v>2971.076</v>
      </c>
      <c r="F100" t="n">
        <v>4786.087</v>
      </c>
      <c r="G100" t="n">
        <v>459.169</v>
      </c>
      <c r="H100" t="inlineStr">
        <is>
          <t>bb</t>
        </is>
      </c>
    </row>
    <row r="101">
      <c r="A101" t="n">
        <v>24</v>
      </c>
      <c r="B101" t="inlineStr">
        <is>
          <t>K3-3C</t>
        </is>
      </c>
      <c r="D101" t="n">
        <v>1.98</v>
      </c>
      <c r="E101" t="n">
        <v>3241.352</v>
      </c>
      <c r="F101" t="n">
        <v>5066.448</v>
      </c>
      <c r="G101" t="n">
        <v>647.297</v>
      </c>
      <c r="H101" t="inlineStr">
        <is>
          <t>db</t>
        </is>
      </c>
    </row>
    <row r="102">
      <c r="A102" t="n">
        <v>25</v>
      </c>
      <c r="B102" t="inlineStr">
        <is>
          <t>K3-4A</t>
        </is>
      </c>
      <c r="D102" t="n">
        <v>1.97</v>
      </c>
      <c r="E102" t="n">
        <v>3779.837</v>
      </c>
      <c r="F102" t="n">
        <v>5114.056</v>
      </c>
      <c r="G102" t="n">
        <v>965.121</v>
      </c>
      <c r="H102" t="inlineStr">
        <is>
          <t>bb</t>
        </is>
      </c>
    </row>
    <row r="103">
      <c r="A103" t="n">
        <v>26</v>
      </c>
      <c r="B103" t="inlineStr">
        <is>
          <t>K3-4B</t>
        </is>
      </c>
      <c r="D103" t="n">
        <v>1.92</v>
      </c>
      <c r="E103" t="n">
        <v>3861.823</v>
      </c>
      <c r="F103" t="n">
        <v>4902.364</v>
      </c>
      <c r="G103" t="n">
        <v>731.163</v>
      </c>
      <c r="H103" t="inlineStr">
        <is>
          <t>bb</t>
        </is>
      </c>
    </row>
    <row r="104">
      <c r="A104" t="n">
        <v>27</v>
      </c>
      <c r="B104" t="inlineStr">
        <is>
          <t>K3-4C</t>
        </is>
      </c>
      <c r="D104" t="n">
        <v>1.99</v>
      </c>
      <c r="E104" t="n">
        <v>4528.584</v>
      </c>
      <c r="F104" t="n">
        <v>5366.199</v>
      </c>
      <c r="G104" t="n">
        <v>549.407</v>
      </c>
      <c r="H104" t="inlineStr">
        <is>
          <t>bb</t>
        </is>
      </c>
    </row>
    <row r="105">
      <c r="A105" t="n">
        <v>28</v>
      </c>
      <c r="B105" t="inlineStr">
        <is>
          <t>MeOH</t>
        </is>
      </c>
      <c r="H105" t="inlineStr">
        <is>
          <t>MM-</t>
        </is>
      </c>
    </row>
    <row r="106">
      <c r="A106" t="n">
        <v>29</v>
      </c>
      <c r="B106" t="inlineStr">
        <is>
          <t>K3-6A</t>
        </is>
      </c>
      <c r="D106" t="n">
        <v>1.98</v>
      </c>
      <c r="E106" t="n">
        <v>3610.17</v>
      </c>
      <c r="F106" t="n">
        <v>5434.724</v>
      </c>
      <c r="G106" t="n">
        <v>942.446</v>
      </c>
      <c r="H106" t="inlineStr">
        <is>
          <t>MM</t>
        </is>
      </c>
    </row>
    <row r="107">
      <c r="A107" t="n">
        <v>30</v>
      </c>
      <c r="B107" t="inlineStr">
        <is>
          <t>K3-6B</t>
        </is>
      </c>
      <c r="D107" t="n">
        <v>1.92</v>
      </c>
      <c r="E107" t="n">
        <v>3400.503</v>
      </c>
      <c r="F107" t="n">
        <v>4320.222</v>
      </c>
      <c r="G107" t="n">
        <v>271.852</v>
      </c>
      <c r="H107" t="inlineStr">
        <is>
          <t>MM</t>
        </is>
      </c>
    </row>
    <row r="108">
      <c r="A108" t="n">
        <v>31</v>
      </c>
      <c r="B108" t="inlineStr">
        <is>
          <t>K3-6C</t>
        </is>
      </c>
      <c r="D108" t="n">
        <v>1.91</v>
      </c>
      <c r="E108" t="n">
        <v>3980.31</v>
      </c>
      <c r="F108" t="n">
        <v>4778.471</v>
      </c>
      <c r="G108" t="n">
        <v>982.046</v>
      </c>
      <c r="H108" t="inlineStr">
        <is>
          <t>bb</t>
        </is>
      </c>
    </row>
    <row r="110">
      <c r="A110" t="inlineStr">
        <is>
          <t>Compound 4:  PFEtS 1</t>
        </is>
      </c>
    </row>
    <row r="112">
      <c r="B112" t="inlineStr">
        <is>
          <t>Sample Text</t>
        </is>
      </c>
      <c r="C112" t="inlineStr">
        <is>
          <t>Std. Conc</t>
        </is>
      </c>
      <c r="D112" t="inlineStr">
        <is>
          <t>RT</t>
        </is>
      </c>
      <c r="E112" t="inlineStr">
        <is>
          <t>Area</t>
        </is>
      </c>
      <c r="F112" t="inlineStr">
        <is>
          <t>IS Area</t>
        </is>
      </c>
      <c r="G112" t="inlineStr">
        <is>
          <t>S/N</t>
        </is>
      </c>
      <c r="H112" t="inlineStr">
        <is>
          <t>Primary Flags</t>
        </is>
      </c>
      <c r="I112" t="inlineStr">
        <is>
          <t>Response</t>
        </is>
      </c>
      <c r="J112" t="inlineStr">
        <is>
          <t>Conc.</t>
        </is>
      </c>
    </row>
    <row r="113">
      <c r="A113" t="n">
        <v>1</v>
      </c>
      <c r="B113" t="inlineStr">
        <is>
          <t>K4-1A</t>
        </is>
      </c>
      <c r="D113" t="n">
        <v>1.78</v>
      </c>
      <c r="E113" t="n">
        <v>5.586</v>
      </c>
      <c r="F113" t="n">
        <v>3889.819</v>
      </c>
      <c r="G113" t="n">
        <v>25.762</v>
      </c>
      <c r="H113" t="inlineStr">
        <is>
          <t>bb</t>
        </is>
      </c>
    </row>
    <row r="114">
      <c r="A114" t="n">
        <v>2</v>
      </c>
      <c r="B114" t="inlineStr">
        <is>
          <t>K4-1B</t>
        </is>
      </c>
      <c r="D114" t="n">
        <v>1.65</v>
      </c>
      <c r="E114" t="n">
        <v>10.421</v>
      </c>
      <c r="F114" t="n">
        <v>3657.858</v>
      </c>
      <c r="G114" t="n">
        <v>47.479</v>
      </c>
      <c r="H114" t="inlineStr">
        <is>
          <t>MM</t>
        </is>
      </c>
    </row>
    <row r="115">
      <c r="A115" t="n">
        <v>3</v>
      </c>
      <c r="B115" t="inlineStr">
        <is>
          <t>K4-1C</t>
        </is>
      </c>
      <c r="D115" t="n">
        <v>1.75</v>
      </c>
      <c r="E115" t="n">
        <v>6.111</v>
      </c>
      <c r="F115" t="n">
        <v>3596.392</v>
      </c>
      <c r="G115" t="n">
        <v>3.435</v>
      </c>
      <c r="H115" t="inlineStr">
        <is>
          <t>bb</t>
        </is>
      </c>
    </row>
    <row r="116">
      <c r="A116" t="n">
        <v>4</v>
      </c>
      <c r="B116" t="inlineStr">
        <is>
          <t>K4-2A</t>
        </is>
      </c>
      <c r="D116" t="n">
        <v>1.75</v>
      </c>
      <c r="E116" t="n">
        <v>2.76</v>
      </c>
      <c r="F116" t="n">
        <v>3827.847</v>
      </c>
      <c r="G116" t="n">
        <v>1.926</v>
      </c>
      <c r="H116" t="inlineStr">
        <is>
          <t>MM</t>
        </is>
      </c>
    </row>
    <row r="117">
      <c r="A117" t="n">
        <v>5</v>
      </c>
      <c r="B117" t="inlineStr">
        <is>
          <t>K4-2B</t>
        </is>
      </c>
      <c r="D117" t="n">
        <v>1.75</v>
      </c>
      <c r="E117" t="n">
        <v>1.21</v>
      </c>
      <c r="F117" t="n">
        <v>3623.222</v>
      </c>
      <c r="G117" t="n">
        <v>2.097</v>
      </c>
      <c r="H117" t="inlineStr">
        <is>
          <t>MM</t>
        </is>
      </c>
    </row>
    <row r="118">
      <c r="A118" t="n">
        <v>6</v>
      </c>
      <c r="B118" t="inlineStr">
        <is>
          <t>K4-2C</t>
        </is>
      </c>
      <c r="D118" t="n">
        <v>1.72</v>
      </c>
      <c r="E118" t="n">
        <v>4.49</v>
      </c>
      <c r="F118" t="n">
        <v>3093.041</v>
      </c>
      <c r="G118" t="n">
        <v>28</v>
      </c>
      <c r="H118" t="inlineStr">
        <is>
          <t>bb</t>
        </is>
      </c>
    </row>
    <row r="119">
      <c r="A119" t="n">
        <v>7</v>
      </c>
      <c r="B119" t="inlineStr">
        <is>
          <t>MeOH</t>
        </is>
      </c>
      <c r="H119" t="inlineStr">
        <is>
          <t>MM-</t>
        </is>
      </c>
    </row>
    <row r="120">
      <c r="A120" t="n">
        <v>8</v>
      </c>
      <c r="B120" t="inlineStr">
        <is>
          <t>K4-4A</t>
        </is>
      </c>
      <c r="D120" t="n">
        <v>1.73</v>
      </c>
      <c r="E120" t="n">
        <v>3.211</v>
      </c>
      <c r="F120" t="n">
        <v>3907.045</v>
      </c>
      <c r="G120" t="n">
        <v>26</v>
      </c>
      <c r="H120" t="inlineStr">
        <is>
          <t>bb</t>
        </is>
      </c>
    </row>
    <row r="121">
      <c r="A121" t="n">
        <v>9</v>
      </c>
      <c r="B121" t="inlineStr">
        <is>
          <t>K4-4B</t>
        </is>
      </c>
      <c r="D121" t="n">
        <v>1.77</v>
      </c>
      <c r="E121" t="n">
        <v>9.965999999999999</v>
      </c>
      <c r="F121" t="n">
        <v>3594.542</v>
      </c>
      <c r="G121" t="n">
        <v>61.408</v>
      </c>
      <c r="H121" t="inlineStr">
        <is>
          <t>bb</t>
        </is>
      </c>
    </row>
    <row r="122">
      <c r="A122" t="n">
        <v>10</v>
      </c>
      <c r="B122" t="inlineStr">
        <is>
          <t>K4-4C</t>
        </is>
      </c>
      <c r="D122" t="n">
        <v>1.76</v>
      </c>
      <c r="E122" t="n">
        <v>13.692</v>
      </c>
      <c r="F122" t="n">
        <v>3586.092</v>
      </c>
      <c r="G122" t="n">
        <v>2.708</v>
      </c>
      <c r="H122" t="inlineStr">
        <is>
          <t>bb</t>
        </is>
      </c>
    </row>
    <row r="123">
      <c r="A123" t="n">
        <v>11</v>
      </c>
      <c r="B123" t="inlineStr">
        <is>
          <t>K4-5A</t>
        </is>
      </c>
      <c r="D123" t="n">
        <v>1.71</v>
      </c>
      <c r="E123" t="n">
        <v>1.797</v>
      </c>
      <c r="F123" t="n">
        <v>3387.509</v>
      </c>
      <c r="G123" t="n">
        <v>20</v>
      </c>
      <c r="H123" t="inlineStr">
        <is>
          <t>bb</t>
        </is>
      </c>
    </row>
    <row r="124">
      <c r="A124" t="n">
        <v>12</v>
      </c>
      <c r="B124" t="inlineStr">
        <is>
          <t>K4-5B</t>
        </is>
      </c>
      <c r="D124" t="n">
        <v>1.73</v>
      </c>
      <c r="E124" t="n">
        <v>1.983</v>
      </c>
      <c r="F124" t="n">
        <v>3401.243</v>
      </c>
      <c r="G124" t="n">
        <v>23</v>
      </c>
      <c r="H124" t="inlineStr">
        <is>
          <t>bb</t>
        </is>
      </c>
    </row>
    <row r="125">
      <c r="A125" t="n">
        <v>13</v>
      </c>
      <c r="B125" t="inlineStr">
        <is>
          <t>K4-5C</t>
        </is>
      </c>
      <c r="D125" t="n">
        <v>1.34</v>
      </c>
      <c r="E125" t="n">
        <v>1.731</v>
      </c>
      <c r="F125" t="n">
        <v>3767.266</v>
      </c>
      <c r="G125" t="n">
        <v>3.333</v>
      </c>
      <c r="H125" t="inlineStr">
        <is>
          <t>bb</t>
        </is>
      </c>
    </row>
    <row r="126">
      <c r="A126" t="n">
        <v>14</v>
      </c>
      <c r="B126" t="inlineStr">
        <is>
          <t>MeOH</t>
        </is>
      </c>
      <c r="H126" t="inlineStr">
        <is>
          <t>MM-</t>
        </is>
      </c>
    </row>
    <row r="127">
      <c r="A127" t="n">
        <v>15</v>
      </c>
      <c r="B127" t="inlineStr">
        <is>
          <t>K3-1A</t>
        </is>
      </c>
      <c r="D127" t="n">
        <v>1.69</v>
      </c>
      <c r="E127" t="n">
        <v>2.535</v>
      </c>
      <c r="F127" t="n">
        <v>3791.804</v>
      </c>
      <c r="G127" t="n">
        <v>3.98</v>
      </c>
      <c r="H127" t="inlineStr">
        <is>
          <t>bb</t>
        </is>
      </c>
    </row>
    <row r="128">
      <c r="A128" t="n">
        <v>16</v>
      </c>
      <c r="B128" t="inlineStr">
        <is>
          <t>K3-1B</t>
        </is>
      </c>
      <c r="D128" t="n">
        <v>2.23</v>
      </c>
      <c r="E128" t="n">
        <v>1.672</v>
      </c>
      <c r="F128" t="n">
        <v>3719.279</v>
      </c>
      <c r="G128" t="n">
        <v>6.995</v>
      </c>
      <c r="H128" t="inlineStr">
        <is>
          <t>bb</t>
        </is>
      </c>
    </row>
    <row r="129">
      <c r="A129" t="n">
        <v>17</v>
      </c>
      <c r="B129" t="inlineStr">
        <is>
          <t>K3-1C</t>
        </is>
      </c>
      <c r="D129" t="n">
        <v>1.82</v>
      </c>
      <c r="E129" t="n">
        <v>1.37</v>
      </c>
      <c r="F129" t="n">
        <v>4814.875</v>
      </c>
      <c r="G129" t="n">
        <v>2.669</v>
      </c>
      <c r="H129" t="inlineStr">
        <is>
          <t>MM</t>
        </is>
      </c>
    </row>
    <row r="130">
      <c r="A130" t="n">
        <v>18</v>
      </c>
      <c r="B130" t="inlineStr">
        <is>
          <t>K3-2A</t>
        </is>
      </c>
      <c r="D130" t="n">
        <v>1.85</v>
      </c>
      <c r="E130" t="n">
        <v>3.484</v>
      </c>
      <c r="F130" t="n">
        <v>4565.734</v>
      </c>
      <c r="G130" t="n">
        <v>3.909</v>
      </c>
      <c r="H130" t="inlineStr">
        <is>
          <t>MM</t>
        </is>
      </c>
    </row>
    <row r="131">
      <c r="A131" t="n">
        <v>19</v>
      </c>
      <c r="B131" t="inlineStr">
        <is>
          <t>K3-2B</t>
        </is>
      </c>
      <c r="D131" t="n">
        <v>1.78</v>
      </c>
      <c r="E131" t="n">
        <v>1.493</v>
      </c>
      <c r="F131" t="n">
        <v>4775.06</v>
      </c>
      <c r="G131" t="n">
        <v>4.848</v>
      </c>
      <c r="H131" t="inlineStr">
        <is>
          <t>MM</t>
        </is>
      </c>
    </row>
    <row r="132">
      <c r="A132" t="n">
        <v>20</v>
      </c>
      <c r="B132" t="inlineStr">
        <is>
          <t>K3-2C</t>
        </is>
      </c>
      <c r="D132" t="n">
        <v>1.8</v>
      </c>
      <c r="E132" t="n">
        <v>6.631</v>
      </c>
      <c r="F132" t="n">
        <v>4192.287</v>
      </c>
      <c r="G132" t="n">
        <v>5.162</v>
      </c>
      <c r="H132" t="inlineStr">
        <is>
          <t>bb</t>
        </is>
      </c>
    </row>
    <row r="133">
      <c r="A133" t="n">
        <v>21</v>
      </c>
      <c r="B133" t="inlineStr">
        <is>
          <t>MeOH</t>
        </is>
      </c>
      <c r="H133" t="inlineStr">
        <is>
          <t>MM-</t>
        </is>
      </c>
    </row>
    <row r="134">
      <c r="A134" t="n">
        <v>22</v>
      </c>
      <c r="B134" t="inlineStr">
        <is>
          <t>K3-3A</t>
        </is>
      </c>
      <c r="D134" t="n">
        <v>1.7</v>
      </c>
      <c r="E134" t="n">
        <v>9.609999999999999</v>
      </c>
      <c r="F134" t="n">
        <v>3883.396</v>
      </c>
      <c r="G134" t="n">
        <v>10.364</v>
      </c>
      <c r="H134" t="inlineStr">
        <is>
          <t>bb</t>
        </is>
      </c>
    </row>
    <row r="135">
      <c r="A135" t="n">
        <v>23</v>
      </c>
      <c r="B135" t="inlineStr">
        <is>
          <t>K3-3B</t>
        </is>
      </c>
      <c r="D135" t="n">
        <v>1.74</v>
      </c>
      <c r="E135" t="n">
        <v>5.064</v>
      </c>
      <c r="F135" t="n">
        <v>4786.087</v>
      </c>
      <c r="G135" t="n">
        <v>44</v>
      </c>
      <c r="H135" t="inlineStr">
        <is>
          <t>MM</t>
        </is>
      </c>
    </row>
    <row r="136">
      <c r="A136" t="n">
        <v>24</v>
      </c>
      <c r="B136" t="inlineStr">
        <is>
          <t>K3-3C</t>
        </is>
      </c>
      <c r="D136" t="n">
        <v>1.81</v>
      </c>
      <c r="E136" t="n">
        <v>2.603</v>
      </c>
      <c r="F136" t="n">
        <v>5066.448</v>
      </c>
      <c r="G136" t="n">
        <v>25</v>
      </c>
      <c r="H136" t="inlineStr">
        <is>
          <t>bb</t>
        </is>
      </c>
    </row>
    <row r="137">
      <c r="A137" t="n">
        <v>25</v>
      </c>
      <c r="B137" t="inlineStr">
        <is>
          <t>K3-4A</t>
        </is>
      </c>
      <c r="D137" t="n">
        <v>1.8</v>
      </c>
      <c r="E137" t="n">
        <v>5.879</v>
      </c>
      <c r="F137" t="n">
        <v>5114.056</v>
      </c>
      <c r="G137" t="n">
        <v>3.752</v>
      </c>
      <c r="H137" t="inlineStr">
        <is>
          <t>bb</t>
        </is>
      </c>
    </row>
    <row r="138">
      <c r="A138" t="n">
        <v>26</v>
      </c>
      <c r="B138" t="inlineStr">
        <is>
          <t>K3-4B</t>
        </is>
      </c>
      <c r="D138" t="n">
        <v>1.74</v>
      </c>
      <c r="E138" t="n">
        <v>3.24</v>
      </c>
      <c r="F138" t="n">
        <v>4902.364</v>
      </c>
      <c r="G138" t="n">
        <v>1.329</v>
      </c>
      <c r="H138" t="inlineStr">
        <is>
          <t>MM</t>
        </is>
      </c>
    </row>
    <row r="139">
      <c r="A139" t="n">
        <v>27</v>
      </c>
      <c r="B139" t="inlineStr">
        <is>
          <t>K3-4C</t>
        </is>
      </c>
      <c r="D139" t="n">
        <v>1.47</v>
      </c>
      <c r="E139" t="n">
        <v>2.571</v>
      </c>
      <c r="F139" t="n">
        <v>5366.199</v>
      </c>
      <c r="G139" t="n">
        <v>7.936</v>
      </c>
      <c r="H139" t="inlineStr">
        <is>
          <t>bb</t>
        </is>
      </c>
    </row>
    <row r="140">
      <c r="A140" t="n">
        <v>28</v>
      </c>
      <c r="B140" t="inlineStr">
        <is>
          <t>MeOH</t>
        </is>
      </c>
      <c r="D140" t="n">
        <v>1.71</v>
      </c>
      <c r="E140" t="n">
        <v>9.140000000000001</v>
      </c>
      <c r="G140" t="n">
        <v>4.366</v>
      </c>
      <c r="H140" t="inlineStr">
        <is>
          <t>bb</t>
        </is>
      </c>
    </row>
    <row r="141">
      <c r="A141" t="n">
        <v>29</v>
      </c>
      <c r="B141" t="inlineStr">
        <is>
          <t>K3-6A</t>
        </is>
      </c>
      <c r="D141" t="n">
        <v>1.51</v>
      </c>
      <c r="E141" t="n">
        <v>2.838</v>
      </c>
      <c r="F141" t="n">
        <v>5434.724</v>
      </c>
      <c r="G141" t="n">
        <v>25</v>
      </c>
      <c r="H141" t="inlineStr">
        <is>
          <t>MM</t>
        </is>
      </c>
    </row>
    <row r="142">
      <c r="A142" t="n">
        <v>30</v>
      </c>
      <c r="B142" t="inlineStr">
        <is>
          <t>K3-6B</t>
        </is>
      </c>
      <c r="D142" t="n">
        <v>1.68</v>
      </c>
      <c r="E142" t="n">
        <v>6.616</v>
      </c>
      <c r="F142" t="n">
        <v>4320.222</v>
      </c>
      <c r="G142" t="n">
        <v>8.715</v>
      </c>
      <c r="H142" t="inlineStr">
        <is>
          <t>bb</t>
        </is>
      </c>
    </row>
    <row r="143">
      <c r="A143" t="n">
        <v>31</v>
      </c>
      <c r="B143" t="inlineStr">
        <is>
          <t>K3-6C</t>
        </is>
      </c>
      <c r="D143" t="n">
        <v>1.95</v>
      </c>
      <c r="E143" t="n">
        <v>3.942</v>
      </c>
      <c r="F143" t="n">
        <v>4778.471</v>
      </c>
      <c r="G143" t="n">
        <v>7.788</v>
      </c>
      <c r="H143" t="inlineStr">
        <is>
          <t>MM</t>
        </is>
      </c>
    </row>
    <row r="145">
      <c r="A145" t="inlineStr">
        <is>
          <t>Compound 5:  PFBA 1</t>
        </is>
      </c>
    </row>
    <row r="147">
      <c r="B147" t="inlineStr">
        <is>
          <t>Sample Text</t>
        </is>
      </c>
      <c r="C147" t="inlineStr">
        <is>
          <t>Std. Conc</t>
        </is>
      </c>
      <c r="D147" t="inlineStr">
        <is>
          <t>RT</t>
        </is>
      </c>
      <c r="E147" t="inlineStr">
        <is>
          <t>Area</t>
        </is>
      </c>
      <c r="F147" t="inlineStr">
        <is>
          <t>IS Area</t>
        </is>
      </c>
      <c r="G147" t="inlineStr">
        <is>
          <t>S/N</t>
        </is>
      </c>
      <c r="H147" t="inlineStr">
        <is>
          <t>Primary Flags</t>
        </is>
      </c>
      <c r="I147" t="inlineStr">
        <is>
          <t>Response</t>
        </is>
      </c>
      <c r="J147" t="inlineStr">
        <is>
          <t>Conc.</t>
        </is>
      </c>
    </row>
    <row r="148">
      <c r="A148" t="n">
        <v>1</v>
      </c>
      <c r="B148" t="inlineStr">
        <is>
          <t>K4-1A</t>
        </is>
      </c>
      <c r="D148" t="n">
        <v>3</v>
      </c>
      <c r="E148" t="n">
        <v>519.145</v>
      </c>
      <c r="F148" t="n">
        <v>3889.819</v>
      </c>
      <c r="G148" t="n">
        <v>25.168</v>
      </c>
      <c r="H148" t="inlineStr">
        <is>
          <t>bb</t>
        </is>
      </c>
    </row>
    <row r="149">
      <c r="A149" t="n">
        <v>2</v>
      </c>
      <c r="B149" t="inlineStr">
        <is>
          <t>K4-1B</t>
        </is>
      </c>
      <c r="D149" t="n">
        <v>2.96</v>
      </c>
      <c r="E149" t="n">
        <v>363.112</v>
      </c>
      <c r="F149" t="n">
        <v>3657.858</v>
      </c>
      <c r="G149" t="n">
        <v>22.371</v>
      </c>
      <c r="H149" t="inlineStr">
        <is>
          <t>bb</t>
        </is>
      </c>
    </row>
    <row r="150">
      <c r="A150" t="n">
        <v>3</v>
      </c>
      <c r="B150" t="inlineStr">
        <is>
          <t>K4-1C</t>
        </is>
      </c>
      <c r="D150" t="n">
        <v>2.99</v>
      </c>
      <c r="E150" t="n">
        <v>458.949</v>
      </c>
      <c r="F150" t="n">
        <v>3596.392</v>
      </c>
      <c r="G150" t="n">
        <v>29.98</v>
      </c>
      <c r="H150" t="inlineStr">
        <is>
          <t>bd</t>
        </is>
      </c>
    </row>
    <row r="151">
      <c r="A151" t="n">
        <v>4</v>
      </c>
      <c r="B151" t="inlineStr">
        <is>
          <t>K4-2A</t>
        </is>
      </c>
      <c r="D151" t="n">
        <v>3.01</v>
      </c>
      <c r="E151" t="n">
        <v>570.948</v>
      </c>
      <c r="F151" t="n">
        <v>3827.847</v>
      </c>
      <c r="G151" t="n">
        <v>31.656</v>
      </c>
      <c r="H151" t="inlineStr">
        <is>
          <t>db</t>
        </is>
      </c>
    </row>
    <row r="152">
      <c r="A152" t="n">
        <v>5</v>
      </c>
      <c r="B152" t="inlineStr">
        <is>
          <t>K4-2B</t>
        </is>
      </c>
      <c r="D152" t="n">
        <v>3.01</v>
      </c>
      <c r="E152" t="n">
        <v>416.827</v>
      </c>
      <c r="F152" t="n">
        <v>3623.222</v>
      </c>
      <c r="G152" t="n">
        <v>33.291</v>
      </c>
      <c r="H152" t="inlineStr">
        <is>
          <t>bb</t>
        </is>
      </c>
    </row>
    <row r="153">
      <c r="A153" t="n">
        <v>6</v>
      </c>
      <c r="B153" t="inlineStr">
        <is>
          <t>K4-2C</t>
        </is>
      </c>
      <c r="D153" t="n">
        <v>2.99</v>
      </c>
      <c r="E153" t="n">
        <v>354.702</v>
      </c>
      <c r="F153" t="n">
        <v>3093.041</v>
      </c>
      <c r="G153" t="n">
        <v>21.019</v>
      </c>
      <c r="H153" t="inlineStr">
        <is>
          <t>bb</t>
        </is>
      </c>
    </row>
    <row r="154">
      <c r="A154" t="n">
        <v>7</v>
      </c>
      <c r="B154" t="inlineStr">
        <is>
          <t>MeOH</t>
        </is>
      </c>
      <c r="H154" t="inlineStr">
        <is>
          <t>MM-</t>
        </is>
      </c>
    </row>
    <row r="155">
      <c r="A155" t="n">
        <v>8</v>
      </c>
      <c r="B155" t="inlineStr">
        <is>
          <t>K4-4A</t>
        </is>
      </c>
      <c r="D155" t="n">
        <v>3.02</v>
      </c>
      <c r="E155" t="n">
        <v>488.221</v>
      </c>
      <c r="F155" t="n">
        <v>3907.045</v>
      </c>
      <c r="G155" t="n">
        <v>22.159</v>
      </c>
      <c r="H155" t="inlineStr">
        <is>
          <t>MM</t>
        </is>
      </c>
    </row>
    <row r="156">
      <c r="A156" t="n">
        <v>9</v>
      </c>
      <c r="B156" t="inlineStr">
        <is>
          <t>K4-4B</t>
        </is>
      </c>
      <c r="D156" t="n">
        <v>3.01</v>
      </c>
      <c r="E156" t="n">
        <v>370.478</v>
      </c>
      <c r="F156" t="n">
        <v>3594.542</v>
      </c>
      <c r="G156" t="n">
        <v>19.372</v>
      </c>
      <c r="H156" t="inlineStr">
        <is>
          <t>bb</t>
        </is>
      </c>
    </row>
    <row r="157">
      <c r="A157" t="n">
        <v>10</v>
      </c>
      <c r="B157" t="inlineStr">
        <is>
          <t>K4-4C</t>
        </is>
      </c>
      <c r="D157" t="n">
        <v>3.01</v>
      </c>
      <c r="E157" t="n">
        <v>478.702</v>
      </c>
      <c r="F157" t="n">
        <v>3586.092</v>
      </c>
      <c r="G157" t="n">
        <v>28.54</v>
      </c>
      <c r="H157" t="inlineStr">
        <is>
          <t>bb</t>
        </is>
      </c>
    </row>
    <row r="158">
      <c r="A158" t="n">
        <v>11</v>
      </c>
      <c r="B158" t="inlineStr">
        <is>
          <t>K4-5A</t>
        </is>
      </c>
      <c r="D158" t="n">
        <v>2.99</v>
      </c>
      <c r="E158" t="n">
        <v>559.438</v>
      </c>
      <c r="F158" t="n">
        <v>3387.509</v>
      </c>
      <c r="G158" t="n">
        <v>47.508</v>
      </c>
      <c r="H158" t="inlineStr">
        <is>
          <t>bb</t>
        </is>
      </c>
    </row>
    <row r="159">
      <c r="A159" t="n">
        <v>12</v>
      </c>
      <c r="B159" t="inlineStr">
        <is>
          <t>K4-5B</t>
        </is>
      </c>
      <c r="D159" t="n">
        <v>2.94</v>
      </c>
      <c r="E159" t="n">
        <v>529.191</v>
      </c>
      <c r="F159" t="n">
        <v>3401.243</v>
      </c>
      <c r="G159" t="n">
        <v>19.822</v>
      </c>
      <c r="H159" t="inlineStr">
        <is>
          <t>bb</t>
        </is>
      </c>
    </row>
    <row r="160">
      <c r="A160" t="n">
        <v>13</v>
      </c>
      <c r="B160" t="inlineStr">
        <is>
          <t>K4-5C</t>
        </is>
      </c>
      <c r="D160" t="n">
        <v>2.91</v>
      </c>
      <c r="E160" t="n">
        <v>481.145</v>
      </c>
      <c r="F160" t="n">
        <v>3767.266</v>
      </c>
      <c r="G160" t="n">
        <v>28.258</v>
      </c>
      <c r="H160" t="inlineStr">
        <is>
          <t>bb</t>
        </is>
      </c>
    </row>
    <row r="161">
      <c r="A161" t="n">
        <v>14</v>
      </c>
      <c r="B161" t="inlineStr">
        <is>
          <t>MeOH</t>
        </is>
      </c>
      <c r="H161" t="inlineStr">
        <is>
          <t>MM-</t>
        </is>
      </c>
    </row>
    <row r="162">
      <c r="A162" t="n">
        <v>15</v>
      </c>
      <c r="B162" t="inlineStr">
        <is>
          <t>K3-1A</t>
        </is>
      </c>
      <c r="D162" t="n">
        <v>2.79</v>
      </c>
      <c r="E162" t="n">
        <v>512.687</v>
      </c>
      <c r="F162" t="n">
        <v>3791.804</v>
      </c>
      <c r="G162" t="n">
        <v>25.548</v>
      </c>
      <c r="H162" t="inlineStr">
        <is>
          <t>bb</t>
        </is>
      </c>
    </row>
    <row r="163">
      <c r="A163" t="n">
        <v>16</v>
      </c>
      <c r="B163" t="inlineStr">
        <is>
          <t>K3-1B</t>
        </is>
      </c>
      <c r="D163" t="n">
        <v>2.85</v>
      </c>
      <c r="E163" t="n">
        <v>308.46</v>
      </c>
      <c r="F163" t="n">
        <v>3719.279</v>
      </c>
      <c r="G163" t="n">
        <v>13.311</v>
      </c>
      <c r="H163" t="inlineStr">
        <is>
          <t>bb</t>
        </is>
      </c>
    </row>
    <row r="164">
      <c r="A164" t="n">
        <v>17</v>
      </c>
      <c r="B164" t="inlineStr">
        <is>
          <t>K3-1C</t>
        </is>
      </c>
      <c r="D164" t="n">
        <v>2.88</v>
      </c>
      <c r="E164" t="n">
        <v>483.143</v>
      </c>
      <c r="F164" t="n">
        <v>4814.875</v>
      </c>
      <c r="G164" t="n">
        <v>21.931</v>
      </c>
      <c r="H164" t="inlineStr">
        <is>
          <t>db</t>
        </is>
      </c>
    </row>
    <row r="165">
      <c r="A165" t="n">
        <v>18</v>
      </c>
      <c r="B165" t="inlineStr">
        <is>
          <t>K3-2A</t>
        </is>
      </c>
      <c r="D165" t="n">
        <v>2.91</v>
      </c>
      <c r="E165" t="n">
        <v>720.6900000000001</v>
      </c>
      <c r="F165" t="n">
        <v>4565.734</v>
      </c>
      <c r="G165" t="n">
        <v>41.524</v>
      </c>
      <c r="H165" t="inlineStr">
        <is>
          <t>MM</t>
        </is>
      </c>
    </row>
    <row r="166">
      <c r="A166" t="n">
        <v>19</v>
      </c>
      <c r="B166" t="inlineStr">
        <is>
          <t>K3-2B</t>
        </is>
      </c>
      <c r="D166" t="n">
        <v>2.91</v>
      </c>
      <c r="E166" t="n">
        <v>399.606</v>
      </c>
      <c r="F166" t="n">
        <v>4775.06</v>
      </c>
      <c r="G166" t="n">
        <v>20.386</v>
      </c>
      <c r="H166" t="inlineStr">
        <is>
          <t>bb</t>
        </is>
      </c>
    </row>
    <row r="167">
      <c r="A167" t="n">
        <v>20</v>
      </c>
      <c r="B167" t="inlineStr">
        <is>
          <t>K3-2C</t>
        </is>
      </c>
      <c r="D167" t="n">
        <v>2.93</v>
      </c>
      <c r="E167" t="n">
        <v>282.17</v>
      </c>
      <c r="F167" t="n">
        <v>4192.287</v>
      </c>
      <c r="G167" t="n">
        <v>10.632</v>
      </c>
      <c r="H167" t="inlineStr">
        <is>
          <t>bb</t>
        </is>
      </c>
    </row>
    <row r="168">
      <c r="A168" t="n">
        <v>21</v>
      </c>
      <c r="B168" t="inlineStr">
        <is>
          <t>MeOH</t>
        </is>
      </c>
      <c r="H168" t="inlineStr">
        <is>
          <t>MM-</t>
        </is>
      </c>
    </row>
    <row r="169">
      <c r="A169" t="n">
        <v>22</v>
      </c>
      <c r="B169" t="inlineStr">
        <is>
          <t>K3-3A</t>
        </is>
      </c>
      <c r="D169" t="n">
        <v>2.93</v>
      </c>
      <c r="E169" t="n">
        <v>633.702</v>
      </c>
      <c r="F169" t="n">
        <v>3883.396</v>
      </c>
      <c r="G169" t="n">
        <v>27.09</v>
      </c>
      <c r="H169" t="inlineStr">
        <is>
          <t>bb</t>
        </is>
      </c>
    </row>
    <row r="170">
      <c r="A170" t="n">
        <v>23</v>
      </c>
      <c r="B170" t="inlineStr">
        <is>
          <t>K3-3B</t>
        </is>
      </c>
      <c r="D170" t="n">
        <v>2.93</v>
      </c>
      <c r="E170" t="n">
        <v>427.724</v>
      </c>
      <c r="F170" t="n">
        <v>4786.087</v>
      </c>
      <c r="G170" t="n">
        <v>20.313</v>
      </c>
      <c r="H170" t="inlineStr">
        <is>
          <t>bb</t>
        </is>
      </c>
    </row>
    <row r="171">
      <c r="A171" t="n">
        <v>24</v>
      </c>
      <c r="B171" t="inlineStr">
        <is>
          <t>K3-3C</t>
        </is>
      </c>
      <c r="D171" t="n">
        <v>2.96</v>
      </c>
      <c r="E171" t="n">
        <v>410.09</v>
      </c>
      <c r="F171" t="n">
        <v>5066.448</v>
      </c>
      <c r="G171" t="n">
        <v>16.683</v>
      </c>
      <c r="H171" t="inlineStr">
        <is>
          <t>MM</t>
        </is>
      </c>
    </row>
    <row r="172">
      <c r="A172" t="n">
        <v>25</v>
      </c>
      <c r="B172" t="inlineStr">
        <is>
          <t>K3-4A</t>
        </is>
      </c>
      <c r="D172" t="n">
        <v>2.95</v>
      </c>
      <c r="E172" t="n">
        <v>531.804</v>
      </c>
      <c r="F172" t="n">
        <v>5114.056</v>
      </c>
      <c r="G172" t="n">
        <v>29.802</v>
      </c>
      <c r="H172" t="inlineStr">
        <is>
          <t>MM</t>
        </is>
      </c>
    </row>
    <row r="173">
      <c r="A173" t="n">
        <v>26</v>
      </c>
      <c r="B173" t="inlineStr">
        <is>
          <t>K3-4B</t>
        </is>
      </c>
      <c r="D173" t="n">
        <v>2.94</v>
      </c>
      <c r="E173" t="n">
        <v>490.418</v>
      </c>
      <c r="F173" t="n">
        <v>4902.364</v>
      </c>
      <c r="G173" t="n">
        <v>19.29</v>
      </c>
      <c r="H173" t="inlineStr">
        <is>
          <t>bb</t>
        </is>
      </c>
    </row>
    <row r="174">
      <c r="A174" t="n">
        <v>27</v>
      </c>
      <c r="B174" t="inlineStr">
        <is>
          <t>K3-4C</t>
        </is>
      </c>
      <c r="D174" t="n">
        <v>2.99</v>
      </c>
      <c r="E174" t="n">
        <v>595.354</v>
      </c>
      <c r="F174" t="n">
        <v>5366.199</v>
      </c>
      <c r="G174" t="n">
        <v>27.511</v>
      </c>
      <c r="H174" t="inlineStr">
        <is>
          <t>bb</t>
        </is>
      </c>
    </row>
    <row r="175">
      <c r="A175" t="n">
        <v>28</v>
      </c>
      <c r="B175" t="inlineStr">
        <is>
          <t>MeOH</t>
        </is>
      </c>
      <c r="H175" t="inlineStr">
        <is>
          <t>MM-</t>
        </is>
      </c>
    </row>
    <row r="176">
      <c r="A176" t="n">
        <v>29</v>
      </c>
      <c r="B176" t="inlineStr">
        <is>
          <t>K3-6A</t>
        </is>
      </c>
      <c r="D176" t="n">
        <v>3.03</v>
      </c>
      <c r="E176" t="n">
        <v>451.328</v>
      </c>
      <c r="F176" t="n">
        <v>5434.724</v>
      </c>
      <c r="G176" t="n">
        <v>17.69</v>
      </c>
      <c r="H176" t="inlineStr">
        <is>
          <t>bb</t>
        </is>
      </c>
    </row>
    <row r="177">
      <c r="A177" t="n">
        <v>30</v>
      </c>
      <c r="B177" t="inlineStr">
        <is>
          <t>K3-6B</t>
        </is>
      </c>
      <c r="D177" t="n">
        <v>3</v>
      </c>
      <c r="E177" t="n">
        <v>347.351</v>
      </c>
      <c r="F177" t="n">
        <v>4320.222</v>
      </c>
      <c r="G177" t="n">
        <v>17.248</v>
      </c>
      <c r="H177" t="inlineStr">
        <is>
          <t>MM</t>
        </is>
      </c>
    </row>
    <row r="178">
      <c r="A178" t="n">
        <v>31</v>
      </c>
      <c r="B178" t="inlineStr">
        <is>
          <t>K3-6C</t>
        </is>
      </c>
      <c r="D178" t="n">
        <v>2.97</v>
      </c>
      <c r="E178" t="n">
        <v>354.678</v>
      </c>
      <c r="F178" t="n">
        <v>4778.471</v>
      </c>
      <c r="G178" t="n">
        <v>13.382</v>
      </c>
      <c r="H178" t="inlineStr">
        <is>
          <t>bb</t>
        </is>
      </c>
    </row>
    <row r="180">
      <c r="A180" t="inlineStr">
        <is>
          <t>Compound 6:  m4 PFBA 1</t>
        </is>
      </c>
    </row>
    <row r="182">
      <c r="B182" t="inlineStr">
        <is>
          <t>Sample Text</t>
        </is>
      </c>
      <c r="C182" t="inlineStr">
        <is>
          <t>Std. Conc</t>
        </is>
      </c>
      <c r="D182" t="inlineStr">
        <is>
          <t>RT</t>
        </is>
      </c>
      <c r="E182" t="inlineStr">
        <is>
          <t>Area</t>
        </is>
      </c>
      <c r="F182" t="inlineStr">
        <is>
          <t>IS Area</t>
        </is>
      </c>
      <c r="G182" t="inlineStr">
        <is>
          <t>S/N</t>
        </is>
      </c>
      <c r="H182" t="inlineStr">
        <is>
          <t>Primary Flags</t>
        </is>
      </c>
      <c r="I182" t="inlineStr">
        <is>
          <t>Response</t>
        </is>
      </c>
      <c r="J182" t="inlineStr">
        <is>
          <t>Conc.</t>
        </is>
      </c>
    </row>
    <row r="183">
      <c r="A183" t="n">
        <v>1</v>
      </c>
      <c r="B183" t="inlineStr">
        <is>
          <t>K4-1A</t>
        </is>
      </c>
      <c r="D183" t="n">
        <v>2.99</v>
      </c>
      <c r="E183" t="n">
        <v>3889.819</v>
      </c>
      <c r="G183" t="n">
        <v>1249.264</v>
      </c>
      <c r="H183" t="inlineStr">
        <is>
          <t>MM</t>
        </is>
      </c>
      <c r="I183" t="n">
        <v>3889.819</v>
      </c>
    </row>
    <row r="184">
      <c r="A184" t="n">
        <v>2</v>
      </c>
      <c r="B184" t="inlineStr">
        <is>
          <t>K4-1B</t>
        </is>
      </c>
      <c r="D184" t="n">
        <v>2.96</v>
      </c>
      <c r="E184" t="n">
        <v>3657.858</v>
      </c>
      <c r="G184" t="n">
        <v>898.871</v>
      </c>
      <c r="H184" t="inlineStr">
        <is>
          <t>MM</t>
        </is>
      </c>
      <c r="I184" t="n">
        <v>3657.858</v>
      </c>
    </row>
    <row r="185">
      <c r="A185" t="n">
        <v>3</v>
      </c>
      <c r="B185" t="inlineStr">
        <is>
          <t>K4-1C</t>
        </is>
      </c>
      <c r="D185" t="n">
        <v>2.99</v>
      </c>
      <c r="E185" t="n">
        <v>3596.392</v>
      </c>
      <c r="G185" t="n">
        <v>703.165</v>
      </c>
      <c r="H185" t="inlineStr">
        <is>
          <t>MM</t>
        </is>
      </c>
      <c r="I185" t="n">
        <v>3596.392</v>
      </c>
    </row>
    <row r="186">
      <c r="A186" t="n">
        <v>4</v>
      </c>
      <c r="B186" t="inlineStr">
        <is>
          <t>K4-2A</t>
        </is>
      </c>
      <c r="D186" t="n">
        <v>3</v>
      </c>
      <c r="E186" t="n">
        <v>3827.847</v>
      </c>
      <c r="G186" t="n">
        <v>1251.309</v>
      </c>
      <c r="H186" t="inlineStr">
        <is>
          <t>MM</t>
        </is>
      </c>
      <c r="I186" t="n">
        <v>3827.847</v>
      </c>
    </row>
    <row r="187">
      <c r="A187" t="n">
        <v>5</v>
      </c>
      <c r="B187" t="inlineStr">
        <is>
          <t>K4-2B</t>
        </is>
      </c>
      <c r="D187" t="n">
        <v>3</v>
      </c>
      <c r="E187" t="n">
        <v>3623.222</v>
      </c>
      <c r="G187" t="n">
        <v>3861.498</v>
      </c>
      <c r="H187" t="inlineStr">
        <is>
          <t>MM</t>
        </is>
      </c>
      <c r="I187" t="n">
        <v>3623.222</v>
      </c>
    </row>
    <row r="188">
      <c r="A188" t="n">
        <v>6</v>
      </c>
      <c r="B188" t="inlineStr">
        <is>
          <t>K4-2C</t>
        </is>
      </c>
      <c r="D188" t="n">
        <v>2.99</v>
      </c>
      <c r="E188" t="n">
        <v>3093.041</v>
      </c>
      <c r="G188" t="n">
        <v>2435.425</v>
      </c>
      <c r="H188" t="inlineStr">
        <is>
          <t>MM</t>
        </is>
      </c>
      <c r="I188" t="n">
        <v>3093.041</v>
      </c>
    </row>
    <row r="189">
      <c r="A189" t="n">
        <v>7</v>
      </c>
      <c r="B189" t="inlineStr">
        <is>
          <t>MeOH</t>
        </is>
      </c>
    </row>
    <row r="190">
      <c r="A190" t="n">
        <v>8</v>
      </c>
      <c r="B190" t="inlineStr">
        <is>
          <t>K4-4A</t>
        </is>
      </c>
      <c r="D190" t="n">
        <v>3.02</v>
      </c>
      <c r="E190" t="n">
        <v>3907.045</v>
      </c>
      <c r="G190" t="n">
        <v>4002.525</v>
      </c>
      <c r="H190" t="inlineStr">
        <is>
          <t>MM</t>
        </is>
      </c>
      <c r="I190" t="n">
        <v>3907.045</v>
      </c>
    </row>
    <row r="191">
      <c r="A191" t="n">
        <v>9</v>
      </c>
      <c r="B191" t="inlineStr">
        <is>
          <t>K4-4B</t>
        </is>
      </c>
      <c r="D191" t="n">
        <v>3</v>
      </c>
      <c r="E191" t="n">
        <v>3594.542</v>
      </c>
      <c r="G191" t="n">
        <v>342.742</v>
      </c>
      <c r="H191" t="inlineStr">
        <is>
          <t>MM</t>
        </is>
      </c>
      <c r="I191" t="n">
        <v>3594.542</v>
      </c>
    </row>
    <row r="192">
      <c r="A192" t="n">
        <v>10</v>
      </c>
      <c r="B192" t="inlineStr">
        <is>
          <t>K4-4C</t>
        </is>
      </c>
      <c r="D192" t="n">
        <v>3.01</v>
      </c>
      <c r="E192" t="n">
        <v>3586.092</v>
      </c>
      <c r="G192" t="n">
        <v>1232.479</v>
      </c>
      <c r="H192" t="inlineStr">
        <is>
          <t>MM</t>
        </is>
      </c>
      <c r="I192" t="n">
        <v>3586.092</v>
      </c>
    </row>
    <row r="193">
      <c r="A193" t="n">
        <v>11</v>
      </c>
      <c r="B193" t="inlineStr">
        <is>
          <t>K4-5A</t>
        </is>
      </c>
      <c r="D193" t="n">
        <v>2.98</v>
      </c>
      <c r="E193" t="n">
        <v>3387.509</v>
      </c>
      <c r="G193" t="n">
        <v>484.88</v>
      </c>
      <c r="H193" t="inlineStr">
        <is>
          <t>MM</t>
        </is>
      </c>
      <c r="I193" t="n">
        <v>3387.509</v>
      </c>
    </row>
    <row r="194">
      <c r="A194" t="n">
        <v>12</v>
      </c>
      <c r="B194" t="inlineStr">
        <is>
          <t>K4-5B</t>
        </is>
      </c>
      <c r="D194" t="n">
        <v>2.94</v>
      </c>
      <c r="E194" t="n">
        <v>3401.243</v>
      </c>
      <c r="G194" t="n">
        <v>1532.392</v>
      </c>
      <c r="H194" t="inlineStr">
        <is>
          <t>MM</t>
        </is>
      </c>
      <c r="I194" t="n">
        <v>3401.243</v>
      </c>
    </row>
    <row r="195">
      <c r="A195" t="n">
        <v>13</v>
      </c>
      <c r="B195" t="inlineStr">
        <is>
          <t>K4-5C</t>
        </is>
      </c>
      <c r="D195" t="n">
        <v>2.92</v>
      </c>
      <c r="E195" t="n">
        <v>3767.266</v>
      </c>
      <c r="G195" t="n">
        <v>1967.225</v>
      </c>
      <c r="H195" t="inlineStr">
        <is>
          <t>MM</t>
        </is>
      </c>
      <c r="I195" t="n">
        <v>3767.266</v>
      </c>
    </row>
    <row r="196">
      <c r="A196" t="n">
        <v>14</v>
      </c>
      <c r="B196" t="inlineStr">
        <is>
          <t>MeOH</t>
        </is>
      </c>
    </row>
    <row r="197">
      <c r="A197" t="n">
        <v>15</v>
      </c>
      <c r="B197" t="inlineStr">
        <is>
          <t>K3-1A</t>
        </is>
      </c>
      <c r="D197" t="n">
        <v>2.8</v>
      </c>
      <c r="E197" t="n">
        <v>3791.804</v>
      </c>
      <c r="G197" t="n">
        <v>1598.871</v>
      </c>
      <c r="H197" t="inlineStr">
        <is>
          <t>MM</t>
        </is>
      </c>
      <c r="I197" t="n">
        <v>3791.804</v>
      </c>
    </row>
    <row r="198">
      <c r="A198" t="n">
        <v>16</v>
      </c>
      <c r="B198" t="inlineStr">
        <is>
          <t>K3-1B</t>
        </is>
      </c>
      <c r="D198" t="n">
        <v>2.84</v>
      </c>
      <c r="E198" t="n">
        <v>3719.279</v>
      </c>
      <c r="G198" t="n">
        <v>7976.564</v>
      </c>
      <c r="H198" t="inlineStr">
        <is>
          <t>MM</t>
        </is>
      </c>
      <c r="I198" t="n">
        <v>3719.279</v>
      </c>
    </row>
    <row r="199">
      <c r="A199" t="n">
        <v>17</v>
      </c>
      <c r="B199" t="inlineStr">
        <is>
          <t>K3-1C</t>
        </is>
      </c>
      <c r="D199" t="n">
        <v>2.88</v>
      </c>
      <c r="E199" t="n">
        <v>4814.875</v>
      </c>
      <c r="G199" t="n">
        <v>1582.109</v>
      </c>
      <c r="H199" t="inlineStr">
        <is>
          <t>MM</t>
        </is>
      </c>
      <c r="I199" t="n">
        <v>4814.875</v>
      </c>
    </row>
    <row r="200">
      <c r="A200" t="n">
        <v>18</v>
      </c>
      <c r="B200" t="inlineStr">
        <is>
          <t>K3-2A</t>
        </is>
      </c>
      <c r="D200" t="n">
        <v>2.9</v>
      </c>
      <c r="E200" t="n">
        <v>4565.734</v>
      </c>
      <c r="G200" t="n">
        <v>2638.555</v>
      </c>
      <c r="H200" t="inlineStr">
        <is>
          <t>MM</t>
        </is>
      </c>
      <c r="I200" t="n">
        <v>4565.734</v>
      </c>
    </row>
    <row r="201">
      <c r="A201" t="n">
        <v>19</v>
      </c>
      <c r="B201" t="inlineStr">
        <is>
          <t>K3-2B</t>
        </is>
      </c>
      <c r="D201" t="n">
        <v>2.92</v>
      </c>
      <c r="E201" t="n">
        <v>4775.06</v>
      </c>
      <c r="G201" t="n">
        <v>1511.007</v>
      </c>
      <c r="H201" t="inlineStr">
        <is>
          <t>MM</t>
        </is>
      </c>
      <c r="I201" t="n">
        <v>4775.06</v>
      </c>
    </row>
    <row r="202">
      <c r="A202" t="n">
        <v>20</v>
      </c>
      <c r="B202" t="inlineStr">
        <is>
          <t>K3-2C</t>
        </is>
      </c>
      <c r="D202" t="n">
        <v>2.92</v>
      </c>
      <c r="E202" t="n">
        <v>4192.287</v>
      </c>
      <c r="G202" t="n">
        <v>974.114</v>
      </c>
      <c r="H202" t="inlineStr">
        <is>
          <t>MM</t>
        </is>
      </c>
      <c r="I202" t="n">
        <v>4192.287</v>
      </c>
    </row>
    <row r="203">
      <c r="A203" t="n">
        <v>21</v>
      </c>
      <c r="B203" t="inlineStr">
        <is>
          <t>MeOH</t>
        </is>
      </c>
    </row>
    <row r="204">
      <c r="A204" t="n">
        <v>22</v>
      </c>
      <c r="B204" t="inlineStr">
        <is>
          <t>K3-3A</t>
        </is>
      </c>
      <c r="D204" t="n">
        <v>2.93</v>
      </c>
      <c r="E204" t="n">
        <v>3883.396</v>
      </c>
      <c r="G204" t="n">
        <v>2126.862</v>
      </c>
      <c r="H204" t="inlineStr">
        <is>
          <t>MM</t>
        </is>
      </c>
      <c r="I204" t="n">
        <v>3883.396</v>
      </c>
    </row>
    <row r="205">
      <c r="A205" t="n">
        <v>23</v>
      </c>
      <c r="B205" t="inlineStr">
        <is>
          <t>K3-3B</t>
        </is>
      </c>
      <c r="D205" t="n">
        <v>2.93</v>
      </c>
      <c r="E205" t="n">
        <v>4786.087</v>
      </c>
      <c r="G205" t="n">
        <v>4222.905</v>
      </c>
      <c r="H205" t="inlineStr">
        <is>
          <t>MM</t>
        </is>
      </c>
      <c r="I205" t="n">
        <v>4786.087</v>
      </c>
    </row>
    <row r="206">
      <c r="A206" t="n">
        <v>24</v>
      </c>
      <c r="B206" t="inlineStr">
        <is>
          <t>K3-3C</t>
        </is>
      </c>
      <c r="D206" t="n">
        <v>2.95</v>
      </c>
      <c r="E206" t="n">
        <v>5066.448</v>
      </c>
      <c r="G206" t="n">
        <v>1927.121</v>
      </c>
      <c r="H206" t="inlineStr">
        <is>
          <t>MM</t>
        </is>
      </c>
      <c r="I206" t="n">
        <v>5066.448</v>
      </c>
    </row>
    <row r="207">
      <c r="A207" t="n">
        <v>25</v>
      </c>
      <c r="B207" t="inlineStr">
        <is>
          <t>K3-4A</t>
        </is>
      </c>
      <c r="D207" t="n">
        <v>2.95</v>
      </c>
      <c r="E207" t="n">
        <v>5114.056</v>
      </c>
      <c r="G207" t="n">
        <v>2018.138</v>
      </c>
      <c r="H207" t="inlineStr">
        <is>
          <t>MM</t>
        </is>
      </c>
      <c r="I207" t="n">
        <v>5114.056</v>
      </c>
    </row>
    <row r="208">
      <c r="A208" t="n">
        <v>26</v>
      </c>
      <c r="B208" t="inlineStr">
        <is>
          <t>K3-4B</t>
        </is>
      </c>
      <c r="D208" t="n">
        <v>2.94</v>
      </c>
      <c r="E208" t="n">
        <v>4902.364</v>
      </c>
      <c r="G208" t="n">
        <v>5948.335</v>
      </c>
      <c r="H208" t="inlineStr">
        <is>
          <t>MM</t>
        </is>
      </c>
      <c r="I208" t="n">
        <v>4902.364</v>
      </c>
    </row>
    <row r="209">
      <c r="A209" t="n">
        <v>27</v>
      </c>
      <c r="B209" t="inlineStr">
        <is>
          <t>K3-4C</t>
        </is>
      </c>
      <c r="D209" t="n">
        <v>2.98</v>
      </c>
      <c r="E209" t="n">
        <v>5366.199</v>
      </c>
      <c r="G209" t="n">
        <v>1942.349</v>
      </c>
      <c r="H209" t="inlineStr">
        <is>
          <t>MM</t>
        </is>
      </c>
      <c r="I209" t="n">
        <v>5366.199</v>
      </c>
    </row>
    <row r="210">
      <c r="A210" t="n">
        <v>28</v>
      </c>
      <c r="B210" t="inlineStr">
        <is>
          <t>MeOH</t>
        </is>
      </c>
    </row>
    <row r="211">
      <c r="A211" t="n">
        <v>29</v>
      </c>
      <c r="B211" t="inlineStr">
        <is>
          <t>K3-6A</t>
        </is>
      </c>
      <c r="D211" t="n">
        <v>3.03</v>
      </c>
      <c r="E211" t="n">
        <v>5434.724</v>
      </c>
      <c r="G211" t="n">
        <v>983.095</v>
      </c>
      <c r="H211" t="inlineStr">
        <is>
          <t>MM</t>
        </is>
      </c>
      <c r="I211" t="n">
        <v>5434.724</v>
      </c>
    </row>
    <row r="212">
      <c r="A212" t="n">
        <v>30</v>
      </c>
      <c r="B212" t="inlineStr">
        <is>
          <t>K3-6B</t>
        </is>
      </c>
      <c r="D212" t="n">
        <v>3</v>
      </c>
      <c r="E212" t="n">
        <v>4320.222</v>
      </c>
      <c r="G212" t="n">
        <v>2240.17</v>
      </c>
      <c r="H212" t="inlineStr">
        <is>
          <t>MM</t>
        </is>
      </c>
      <c r="I212" t="n">
        <v>4320.222</v>
      </c>
    </row>
    <row r="213">
      <c r="A213" t="n">
        <v>31</v>
      </c>
      <c r="B213" t="inlineStr">
        <is>
          <t>K3-6C</t>
        </is>
      </c>
      <c r="D213" t="n">
        <v>2.98</v>
      </c>
      <c r="E213" t="n">
        <v>4778.471</v>
      </c>
      <c r="G213" t="n">
        <v>612.1079999999999</v>
      </c>
      <c r="H213" t="inlineStr">
        <is>
          <t>MM</t>
        </is>
      </c>
      <c r="I213" t="n">
        <v>4778.471</v>
      </c>
    </row>
    <row r="215">
      <c r="A215" t="inlineStr">
        <is>
          <t>Compound 7:  PFO4PeA 1</t>
        </is>
      </c>
    </row>
    <row r="217">
      <c r="B217" t="inlineStr">
        <is>
          <t>Sample Text</t>
        </is>
      </c>
      <c r="C217" t="inlineStr">
        <is>
          <t>Std. Conc</t>
        </is>
      </c>
      <c r="D217" t="inlineStr">
        <is>
          <t>RT</t>
        </is>
      </c>
      <c r="E217" t="inlineStr">
        <is>
          <t>Area</t>
        </is>
      </c>
      <c r="F217" t="inlineStr">
        <is>
          <t>IS Area</t>
        </is>
      </c>
      <c r="G217" t="inlineStr">
        <is>
          <t>S/N</t>
        </is>
      </c>
      <c r="H217" t="inlineStr">
        <is>
          <t>Primary Flags</t>
        </is>
      </c>
      <c r="I217" t="inlineStr">
        <is>
          <t>Response</t>
        </is>
      </c>
      <c r="J217" t="inlineStr">
        <is>
          <t>Conc.</t>
        </is>
      </c>
    </row>
    <row r="218">
      <c r="A218" t="n">
        <v>1</v>
      </c>
      <c r="B218" t="inlineStr">
        <is>
          <t>K4-1A</t>
        </is>
      </c>
      <c r="D218" t="n">
        <v>4.23</v>
      </c>
      <c r="E218" t="n">
        <v>14.123</v>
      </c>
      <c r="F218" t="n">
        <v>1575.246</v>
      </c>
      <c r="G218" t="n">
        <v>2.913</v>
      </c>
      <c r="H218" t="inlineStr">
        <is>
          <t>bb</t>
        </is>
      </c>
    </row>
    <row r="219">
      <c r="A219" t="n">
        <v>2</v>
      </c>
      <c r="B219" t="inlineStr">
        <is>
          <t>K4-1B</t>
        </is>
      </c>
      <c r="D219" t="n">
        <v>4.22</v>
      </c>
      <c r="E219" t="n">
        <v>11.391</v>
      </c>
      <c r="F219" t="n">
        <v>1550.869</v>
      </c>
      <c r="G219" t="n">
        <v>2.766</v>
      </c>
      <c r="H219" t="inlineStr">
        <is>
          <t>bb</t>
        </is>
      </c>
    </row>
    <row r="220">
      <c r="A220" t="n">
        <v>3</v>
      </c>
      <c r="B220" t="inlineStr">
        <is>
          <t>K4-1C</t>
        </is>
      </c>
      <c r="D220" t="n">
        <v>4.25</v>
      </c>
      <c r="E220" t="n">
        <v>15</v>
      </c>
      <c r="F220" t="n">
        <v>1163.846</v>
      </c>
      <c r="G220" t="n">
        <v>3.906</v>
      </c>
      <c r="H220" t="inlineStr">
        <is>
          <t>MM</t>
        </is>
      </c>
    </row>
    <row r="221">
      <c r="A221" t="n">
        <v>4</v>
      </c>
      <c r="B221" t="inlineStr">
        <is>
          <t>K4-2A</t>
        </is>
      </c>
      <c r="D221" t="n">
        <v>4.28</v>
      </c>
      <c r="E221" t="n">
        <v>27.969</v>
      </c>
      <c r="F221" t="n">
        <v>1084.067</v>
      </c>
      <c r="G221" t="n">
        <v>5.6</v>
      </c>
      <c r="H221" t="inlineStr">
        <is>
          <t>bb</t>
        </is>
      </c>
    </row>
    <row r="222">
      <c r="A222" t="n">
        <v>5</v>
      </c>
      <c r="B222" t="inlineStr">
        <is>
          <t>K4-2B</t>
        </is>
      </c>
      <c r="D222" t="n">
        <v>4.39</v>
      </c>
      <c r="E222" t="n">
        <v>4.3</v>
      </c>
      <c r="F222" t="n">
        <v>1044.51</v>
      </c>
      <c r="G222" t="n">
        <v>1.632</v>
      </c>
      <c r="H222" t="inlineStr">
        <is>
          <t>bb</t>
        </is>
      </c>
    </row>
    <row r="223">
      <c r="A223" t="n">
        <v>6</v>
      </c>
      <c r="B223" t="inlineStr">
        <is>
          <t>K4-2C</t>
        </is>
      </c>
      <c r="D223" t="n">
        <v>4.24</v>
      </c>
      <c r="E223" t="n">
        <v>7.604</v>
      </c>
      <c r="F223" t="n">
        <v>1020.096</v>
      </c>
      <c r="G223" t="n">
        <v>2.383</v>
      </c>
      <c r="H223" t="inlineStr">
        <is>
          <t>bb</t>
        </is>
      </c>
    </row>
    <row r="224">
      <c r="A224" t="n">
        <v>7</v>
      </c>
      <c r="B224" t="inlineStr">
        <is>
          <t>MeOH</t>
        </is>
      </c>
      <c r="H224" t="inlineStr">
        <is>
          <t>MM-</t>
        </is>
      </c>
    </row>
    <row r="225">
      <c r="A225" t="n">
        <v>8</v>
      </c>
      <c r="B225" t="inlineStr">
        <is>
          <t>K4-4A</t>
        </is>
      </c>
      <c r="D225" t="n">
        <v>4.23</v>
      </c>
      <c r="E225" t="n">
        <v>16.224</v>
      </c>
      <c r="F225" t="n">
        <v>1051.351</v>
      </c>
      <c r="G225" t="n">
        <v>2.793</v>
      </c>
      <c r="H225" t="inlineStr">
        <is>
          <t>bb</t>
        </is>
      </c>
    </row>
    <row r="226">
      <c r="A226" t="n">
        <v>9</v>
      </c>
      <c r="B226" t="inlineStr">
        <is>
          <t>K4-4B</t>
        </is>
      </c>
      <c r="D226" t="n">
        <v>4.25</v>
      </c>
      <c r="E226" t="n">
        <v>21.336</v>
      </c>
      <c r="F226" t="n">
        <v>1035.151</v>
      </c>
      <c r="G226" t="n">
        <v>15.61</v>
      </c>
      <c r="H226" t="inlineStr">
        <is>
          <t>bb</t>
        </is>
      </c>
    </row>
    <row r="227">
      <c r="A227" t="n">
        <v>10</v>
      </c>
      <c r="B227" t="inlineStr">
        <is>
          <t>K4-4C</t>
        </is>
      </c>
      <c r="D227" t="n">
        <v>4.25</v>
      </c>
      <c r="E227" t="n">
        <v>22.314</v>
      </c>
      <c r="F227" t="n">
        <v>822.99</v>
      </c>
      <c r="G227" t="n">
        <v>5.204</v>
      </c>
      <c r="H227" t="inlineStr">
        <is>
          <t>bb</t>
        </is>
      </c>
    </row>
    <row r="228">
      <c r="A228" t="n">
        <v>11</v>
      </c>
      <c r="B228" t="inlineStr">
        <is>
          <t>K4-5A</t>
        </is>
      </c>
      <c r="D228" t="n">
        <v>4.23</v>
      </c>
      <c r="E228" t="n">
        <v>33.036</v>
      </c>
      <c r="F228" t="n">
        <v>985.0170000000001</v>
      </c>
      <c r="G228" t="n">
        <v>18.12</v>
      </c>
      <c r="H228" t="inlineStr">
        <is>
          <t>bb</t>
        </is>
      </c>
    </row>
    <row r="229">
      <c r="A229" t="n">
        <v>12</v>
      </c>
      <c r="B229" t="inlineStr">
        <is>
          <t>K4-5B</t>
        </is>
      </c>
      <c r="D229" t="n">
        <v>4.2</v>
      </c>
      <c r="E229" t="n">
        <v>17.593</v>
      </c>
      <c r="F229" t="n">
        <v>1024.411</v>
      </c>
      <c r="G229" t="n">
        <v>1.651</v>
      </c>
      <c r="H229" t="inlineStr">
        <is>
          <t>bb</t>
        </is>
      </c>
    </row>
    <row r="230">
      <c r="A230" t="n">
        <v>13</v>
      </c>
      <c r="B230" t="inlineStr">
        <is>
          <t>K4-5C</t>
        </is>
      </c>
      <c r="D230" t="n">
        <v>4.17</v>
      </c>
      <c r="E230" t="n">
        <v>12.384</v>
      </c>
      <c r="F230" t="n">
        <v>1313.31</v>
      </c>
      <c r="G230" t="n">
        <v>1.766</v>
      </c>
      <c r="H230" t="inlineStr">
        <is>
          <t>bb</t>
        </is>
      </c>
    </row>
    <row r="231">
      <c r="A231" t="n">
        <v>14</v>
      </c>
      <c r="B231" t="inlineStr">
        <is>
          <t>MeOH</t>
        </is>
      </c>
      <c r="H231" t="inlineStr">
        <is>
          <t>MM-</t>
        </is>
      </c>
    </row>
    <row r="232">
      <c r="A232" t="n">
        <v>15</v>
      </c>
      <c r="B232" t="inlineStr">
        <is>
          <t>K3-1A</t>
        </is>
      </c>
      <c r="D232" t="n">
        <v>4.2</v>
      </c>
      <c r="E232" t="n">
        <v>7.371</v>
      </c>
      <c r="F232" t="n">
        <v>1115.547</v>
      </c>
      <c r="G232" t="n">
        <v>2.428</v>
      </c>
      <c r="H232" t="inlineStr">
        <is>
          <t>bb</t>
        </is>
      </c>
    </row>
    <row r="233">
      <c r="A233" t="n">
        <v>16</v>
      </c>
      <c r="B233" t="inlineStr">
        <is>
          <t>K3-1B</t>
        </is>
      </c>
      <c r="D233" t="n">
        <v>3.97</v>
      </c>
      <c r="E233" t="n">
        <v>17.072</v>
      </c>
      <c r="F233" t="n">
        <v>868.492</v>
      </c>
      <c r="G233" t="n">
        <v>8.59</v>
      </c>
      <c r="H233" t="inlineStr">
        <is>
          <t>bb</t>
        </is>
      </c>
    </row>
    <row r="234">
      <c r="A234" t="n">
        <v>17</v>
      </c>
      <c r="B234" t="inlineStr">
        <is>
          <t>K3-1C</t>
        </is>
      </c>
      <c r="D234" t="n">
        <v>4.25</v>
      </c>
      <c r="E234" t="n">
        <v>5.644</v>
      </c>
      <c r="F234" t="n">
        <v>1891.713</v>
      </c>
      <c r="G234" t="n">
        <v>2.268</v>
      </c>
      <c r="H234" t="inlineStr">
        <is>
          <t>bb</t>
        </is>
      </c>
    </row>
    <row r="235">
      <c r="A235" t="n">
        <v>18</v>
      </c>
      <c r="B235" t="inlineStr">
        <is>
          <t>K3-2A</t>
        </is>
      </c>
      <c r="D235" t="n">
        <v>4.02</v>
      </c>
      <c r="E235" t="n">
        <v>20.882</v>
      </c>
      <c r="F235" t="n">
        <v>1176.041</v>
      </c>
      <c r="G235" t="n">
        <v>5.481</v>
      </c>
      <c r="H235" t="inlineStr">
        <is>
          <t>bb</t>
        </is>
      </c>
    </row>
    <row r="236">
      <c r="A236" t="n">
        <v>19</v>
      </c>
      <c r="B236" t="inlineStr">
        <is>
          <t>K3-2B</t>
        </is>
      </c>
      <c r="D236" t="n">
        <v>4.43</v>
      </c>
      <c r="E236" t="n">
        <v>1.825</v>
      </c>
      <c r="F236" t="n">
        <v>1321.349</v>
      </c>
      <c r="G236" t="n">
        <v>1.675</v>
      </c>
      <c r="H236" t="inlineStr">
        <is>
          <t>bb</t>
        </is>
      </c>
    </row>
    <row r="237">
      <c r="A237" t="n">
        <v>20</v>
      </c>
      <c r="B237" t="inlineStr">
        <is>
          <t>K3-2C</t>
        </is>
      </c>
      <c r="D237" t="n">
        <v>4.1</v>
      </c>
      <c r="E237" t="n">
        <v>11.889</v>
      </c>
      <c r="F237" t="n">
        <v>1479.533</v>
      </c>
      <c r="G237" t="n">
        <v>5.824</v>
      </c>
      <c r="H237" t="inlineStr">
        <is>
          <t>MM</t>
        </is>
      </c>
    </row>
    <row r="238">
      <c r="A238" t="n">
        <v>21</v>
      </c>
      <c r="B238" t="inlineStr">
        <is>
          <t>MeOH</t>
        </is>
      </c>
      <c r="H238" t="inlineStr">
        <is>
          <t>MM-</t>
        </is>
      </c>
    </row>
    <row r="239">
      <c r="A239" t="n">
        <v>22</v>
      </c>
      <c r="B239" t="inlineStr">
        <is>
          <t>K3-3A</t>
        </is>
      </c>
      <c r="D239" t="n">
        <v>4.1</v>
      </c>
      <c r="E239" t="n">
        <v>15.278</v>
      </c>
      <c r="F239" t="n">
        <v>1517.701</v>
      </c>
      <c r="G239" t="n">
        <v>4.105</v>
      </c>
      <c r="H239" t="inlineStr">
        <is>
          <t>bb</t>
        </is>
      </c>
    </row>
    <row r="240">
      <c r="A240" t="n">
        <v>23</v>
      </c>
      <c r="B240" t="inlineStr">
        <is>
          <t>K3-3B</t>
        </is>
      </c>
      <c r="D240" t="n">
        <v>4.11</v>
      </c>
      <c r="E240" t="n">
        <v>7.775</v>
      </c>
      <c r="F240" t="n">
        <v>1453.885</v>
      </c>
      <c r="G240" t="n">
        <v>1.982</v>
      </c>
      <c r="H240" t="inlineStr">
        <is>
          <t>bb</t>
        </is>
      </c>
    </row>
    <row r="241">
      <c r="A241" t="n">
        <v>24</v>
      </c>
      <c r="B241" t="inlineStr">
        <is>
          <t>K3-3C</t>
        </is>
      </c>
      <c r="D241" t="n">
        <v>4.15</v>
      </c>
      <c r="E241" t="n">
        <v>11.061</v>
      </c>
      <c r="F241" t="n">
        <v>1930.228</v>
      </c>
      <c r="G241" t="n">
        <v>3.459</v>
      </c>
      <c r="H241" t="inlineStr">
        <is>
          <t>bb</t>
        </is>
      </c>
    </row>
    <row r="242">
      <c r="A242" t="n">
        <v>25</v>
      </c>
      <c r="B242" t="inlineStr">
        <is>
          <t>K3-4A</t>
        </is>
      </c>
      <c r="D242" t="n">
        <v>4.17</v>
      </c>
      <c r="E242" t="n">
        <v>20.517</v>
      </c>
      <c r="F242" t="n">
        <v>2454.78</v>
      </c>
      <c r="G242" t="n">
        <v>16.517</v>
      </c>
      <c r="H242" t="inlineStr">
        <is>
          <t>bb</t>
        </is>
      </c>
    </row>
    <row r="243">
      <c r="A243" t="n">
        <v>26</v>
      </c>
      <c r="B243" t="inlineStr">
        <is>
          <t>K3-4B</t>
        </is>
      </c>
      <c r="D243" t="n">
        <v>4.18</v>
      </c>
      <c r="E243" t="n">
        <v>14.491</v>
      </c>
      <c r="F243" t="n">
        <v>2046.805</v>
      </c>
      <c r="G243" t="n">
        <v>8.365</v>
      </c>
      <c r="H243" t="inlineStr">
        <is>
          <t>bb</t>
        </is>
      </c>
    </row>
    <row r="244">
      <c r="A244" t="n">
        <v>27</v>
      </c>
      <c r="B244" t="inlineStr">
        <is>
          <t>K3-4C</t>
        </is>
      </c>
      <c r="D244" t="n">
        <v>4.21</v>
      </c>
      <c r="E244" t="n">
        <v>23.93</v>
      </c>
      <c r="F244" t="n">
        <v>1963.707</v>
      </c>
      <c r="G244" t="n">
        <v>4.559</v>
      </c>
      <c r="H244" t="inlineStr">
        <is>
          <t>bb</t>
        </is>
      </c>
    </row>
    <row r="245">
      <c r="A245" t="n">
        <v>28</v>
      </c>
      <c r="B245" t="inlineStr">
        <is>
          <t>MeOH</t>
        </is>
      </c>
      <c r="H245" t="inlineStr">
        <is>
          <t>MM-</t>
        </is>
      </c>
    </row>
    <row r="246">
      <c r="A246" t="n">
        <v>29</v>
      </c>
      <c r="B246" t="inlineStr">
        <is>
          <t>K3-6A</t>
        </is>
      </c>
      <c r="D246" t="n">
        <v>4.28</v>
      </c>
      <c r="E246" t="n">
        <v>10.809</v>
      </c>
      <c r="F246" t="n">
        <v>2063.159</v>
      </c>
      <c r="G246" t="n">
        <v>3.302</v>
      </c>
      <c r="H246" t="inlineStr">
        <is>
          <t>bb</t>
        </is>
      </c>
    </row>
    <row r="247">
      <c r="A247" t="n">
        <v>30</v>
      </c>
      <c r="B247" t="inlineStr">
        <is>
          <t>K3-6B</t>
        </is>
      </c>
      <c r="D247" t="n">
        <v>4.26</v>
      </c>
      <c r="E247" t="n">
        <v>5.635</v>
      </c>
      <c r="F247" t="n">
        <v>1701.403</v>
      </c>
      <c r="G247" t="n">
        <v>2.96</v>
      </c>
      <c r="H247" t="inlineStr">
        <is>
          <t>bb</t>
        </is>
      </c>
    </row>
    <row r="248">
      <c r="A248" t="n">
        <v>31</v>
      </c>
      <c r="B248" t="inlineStr">
        <is>
          <t>K3-6C</t>
        </is>
      </c>
      <c r="D248" t="n">
        <v>4.24</v>
      </c>
      <c r="E248" t="n">
        <v>14.915</v>
      </c>
      <c r="F248" t="n">
        <v>1921.069</v>
      </c>
      <c r="G248" t="n">
        <v>3.12</v>
      </c>
      <c r="H248" t="inlineStr">
        <is>
          <t>bb</t>
        </is>
      </c>
    </row>
    <row r="250">
      <c r="A250" t="inlineStr">
        <is>
          <t>Compound 8:  3:3 FTCA</t>
        </is>
      </c>
    </row>
    <row r="252">
      <c r="B252" t="inlineStr">
        <is>
          <t>Sample Text</t>
        </is>
      </c>
      <c r="C252" t="inlineStr">
        <is>
          <t>Std. Conc</t>
        </is>
      </c>
      <c r="D252" t="inlineStr">
        <is>
          <t>RT</t>
        </is>
      </c>
      <c r="E252" t="inlineStr">
        <is>
          <t>Area</t>
        </is>
      </c>
      <c r="F252" t="inlineStr">
        <is>
          <t>IS Area</t>
        </is>
      </c>
      <c r="G252" t="inlineStr">
        <is>
          <t>S/N</t>
        </is>
      </c>
      <c r="H252" t="inlineStr">
        <is>
          <t>Primary Flags</t>
        </is>
      </c>
      <c r="I252" t="inlineStr">
        <is>
          <t>Response</t>
        </is>
      </c>
      <c r="J252" t="inlineStr">
        <is>
          <t>Conc.</t>
        </is>
      </c>
    </row>
    <row r="253">
      <c r="A253" t="n">
        <v>1</v>
      </c>
      <c r="B253" t="inlineStr">
        <is>
          <t>K4-1A</t>
        </is>
      </c>
      <c r="D253" t="n">
        <v>5.99</v>
      </c>
      <c r="E253" t="n">
        <v>1.919</v>
      </c>
      <c r="F253" t="n">
        <v>1575.246</v>
      </c>
      <c r="G253" t="n">
        <v>2.794</v>
      </c>
      <c r="H253" t="inlineStr">
        <is>
          <t>bb</t>
        </is>
      </c>
    </row>
    <row r="254">
      <c r="A254" t="n">
        <v>2</v>
      </c>
      <c r="B254" t="inlineStr">
        <is>
          <t>K4-1B</t>
        </is>
      </c>
      <c r="D254" t="n">
        <v>6.64</v>
      </c>
      <c r="E254" t="n">
        <v>0.099</v>
      </c>
      <c r="F254" t="n">
        <v>1550.869</v>
      </c>
      <c r="G254" t="n">
        <v>2</v>
      </c>
      <c r="H254" t="inlineStr">
        <is>
          <t>MM</t>
        </is>
      </c>
    </row>
    <row r="255">
      <c r="A255" t="n">
        <v>3</v>
      </c>
      <c r="B255" t="inlineStr">
        <is>
          <t>K4-1C</t>
        </is>
      </c>
      <c r="D255" t="n">
        <v>6.24</v>
      </c>
      <c r="E255" t="n">
        <v>0.33</v>
      </c>
      <c r="F255" t="n">
        <v>1163.846</v>
      </c>
      <c r="G255" t="n">
        <v>7</v>
      </c>
      <c r="H255" t="inlineStr">
        <is>
          <t>bb</t>
        </is>
      </c>
    </row>
    <row r="256">
      <c r="A256" t="n">
        <v>4</v>
      </c>
      <c r="B256" t="inlineStr">
        <is>
          <t>K4-2A</t>
        </is>
      </c>
      <c r="D256" t="n">
        <v>6.61</v>
      </c>
      <c r="E256" t="n">
        <v>4.602</v>
      </c>
      <c r="F256" t="n">
        <v>1084.067</v>
      </c>
      <c r="G256" t="n">
        <v>95</v>
      </c>
      <c r="H256" t="inlineStr">
        <is>
          <t>MM</t>
        </is>
      </c>
    </row>
    <row r="257">
      <c r="A257" t="n">
        <v>5</v>
      </c>
      <c r="B257" t="inlineStr">
        <is>
          <t>K4-2B</t>
        </is>
      </c>
      <c r="D257" t="n">
        <v>6.38</v>
      </c>
      <c r="E257" t="n">
        <v>6.417</v>
      </c>
      <c r="F257" t="n">
        <v>1044.51</v>
      </c>
      <c r="G257" t="n">
        <v>4.151</v>
      </c>
      <c r="H257" t="inlineStr">
        <is>
          <t>bb</t>
        </is>
      </c>
    </row>
    <row r="258">
      <c r="A258" t="n">
        <v>6</v>
      </c>
      <c r="B258" t="inlineStr">
        <is>
          <t>K4-2C</t>
        </is>
      </c>
      <c r="D258" t="n">
        <v>6.18</v>
      </c>
      <c r="E258" t="n">
        <v>0.303</v>
      </c>
      <c r="F258" t="n">
        <v>1020.096</v>
      </c>
      <c r="G258" t="n">
        <v>0.433</v>
      </c>
      <c r="H258" t="inlineStr">
        <is>
          <t>MM</t>
        </is>
      </c>
    </row>
    <row r="259">
      <c r="A259" t="n">
        <v>7</v>
      </c>
      <c r="B259" t="inlineStr">
        <is>
          <t>MeOH</t>
        </is>
      </c>
      <c r="H259" t="inlineStr">
        <is>
          <t>MM-</t>
        </is>
      </c>
    </row>
    <row r="260">
      <c r="A260" t="n">
        <v>8</v>
      </c>
      <c r="B260" t="inlineStr">
        <is>
          <t>K4-4A</t>
        </is>
      </c>
      <c r="D260" t="n">
        <v>5.91</v>
      </c>
      <c r="E260" t="n">
        <v>0.978</v>
      </c>
      <c r="F260" t="n">
        <v>1051.351</v>
      </c>
      <c r="G260" t="n">
        <v>21</v>
      </c>
      <c r="H260" t="inlineStr">
        <is>
          <t>bb</t>
        </is>
      </c>
    </row>
    <row r="261">
      <c r="A261" t="n">
        <v>9</v>
      </c>
      <c r="B261" t="inlineStr">
        <is>
          <t>K4-4B</t>
        </is>
      </c>
      <c r="D261" t="n">
        <v>6.58</v>
      </c>
      <c r="E261" t="n">
        <v>0.448</v>
      </c>
      <c r="F261" t="n">
        <v>1035.151</v>
      </c>
      <c r="G261" t="n">
        <v>0.649</v>
      </c>
      <c r="H261" t="inlineStr">
        <is>
          <t>MM</t>
        </is>
      </c>
    </row>
    <row r="262">
      <c r="A262" t="n">
        <v>10</v>
      </c>
      <c r="B262" t="inlineStr">
        <is>
          <t>K4-4C</t>
        </is>
      </c>
      <c r="D262" t="n">
        <v>5.69</v>
      </c>
      <c r="E262" t="n">
        <v>0.451</v>
      </c>
      <c r="F262" t="n">
        <v>822.99</v>
      </c>
      <c r="G262" t="n">
        <v>10</v>
      </c>
      <c r="H262" t="inlineStr">
        <is>
          <t>bb</t>
        </is>
      </c>
    </row>
    <row r="263">
      <c r="A263" t="n">
        <v>11</v>
      </c>
      <c r="B263" t="inlineStr">
        <is>
          <t>K4-5A</t>
        </is>
      </c>
      <c r="F263" t="n">
        <v>985.0170000000001</v>
      </c>
    </row>
    <row r="264">
      <c r="A264" t="n">
        <v>12</v>
      </c>
      <c r="B264" t="inlineStr">
        <is>
          <t>K4-5B</t>
        </is>
      </c>
      <c r="D264" t="n">
        <v>5.38</v>
      </c>
      <c r="E264" t="n">
        <v>0.356</v>
      </c>
      <c r="F264" t="n">
        <v>1024.411</v>
      </c>
      <c r="G264" t="n">
        <v>8</v>
      </c>
      <c r="H264" t="inlineStr">
        <is>
          <t>MM</t>
        </is>
      </c>
    </row>
    <row r="265">
      <c r="A265" t="n">
        <v>13</v>
      </c>
      <c r="B265" t="inlineStr">
        <is>
          <t>K4-5C</t>
        </is>
      </c>
      <c r="D265" t="n">
        <v>5.95</v>
      </c>
      <c r="E265" t="n">
        <v>4.401</v>
      </c>
      <c r="F265" t="n">
        <v>1313.31</v>
      </c>
      <c r="G265" t="n">
        <v>94</v>
      </c>
      <c r="H265" t="inlineStr">
        <is>
          <t>bb</t>
        </is>
      </c>
    </row>
    <row r="266">
      <c r="A266" t="n">
        <v>14</v>
      </c>
      <c r="B266" t="inlineStr">
        <is>
          <t>MeOH</t>
        </is>
      </c>
      <c r="H266" t="inlineStr">
        <is>
          <t>MM-</t>
        </is>
      </c>
    </row>
    <row r="267">
      <c r="A267" t="n">
        <v>15</v>
      </c>
      <c r="B267" t="inlineStr">
        <is>
          <t>K3-1A</t>
        </is>
      </c>
      <c r="D267" t="n">
        <v>5.59</v>
      </c>
      <c r="E267" t="n">
        <v>8.977</v>
      </c>
      <c r="F267" t="n">
        <v>1115.547</v>
      </c>
      <c r="G267" t="n">
        <v>8.618</v>
      </c>
      <c r="H267" t="inlineStr">
        <is>
          <t>bb</t>
        </is>
      </c>
    </row>
    <row r="268">
      <c r="A268" t="n">
        <v>16</v>
      </c>
      <c r="B268" t="inlineStr">
        <is>
          <t>K3-1B</t>
        </is>
      </c>
      <c r="F268" t="n">
        <v>868.492</v>
      </c>
    </row>
    <row r="269">
      <c r="A269" t="n">
        <v>17</v>
      </c>
      <c r="B269" t="inlineStr">
        <is>
          <t>K3-1C</t>
        </is>
      </c>
      <c r="D269" t="n">
        <v>6.31</v>
      </c>
      <c r="E269" t="n">
        <v>0.571</v>
      </c>
      <c r="F269" t="n">
        <v>1891.713</v>
      </c>
      <c r="G269" t="n">
        <v>11</v>
      </c>
      <c r="H269" t="inlineStr">
        <is>
          <t>bb</t>
        </is>
      </c>
    </row>
    <row r="270">
      <c r="A270" t="n">
        <v>18</v>
      </c>
      <c r="B270" t="inlineStr">
        <is>
          <t>K3-2A</t>
        </is>
      </c>
      <c r="D270" t="n">
        <v>6.87</v>
      </c>
      <c r="E270" t="n">
        <v>0.22</v>
      </c>
      <c r="F270" t="n">
        <v>1176.041</v>
      </c>
      <c r="G270" t="n">
        <v>4</v>
      </c>
      <c r="H270" t="inlineStr">
        <is>
          <t>MM</t>
        </is>
      </c>
    </row>
    <row r="271">
      <c r="A271" t="n">
        <v>19</v>
      </c>
      <c r="B271" t="inlineStr">
        <is>
          <t>K3-2B</t>
        </is>
      </c>
      <c r="F271" t="n">
        <v>1321.349</v>
      </c>
    </row>
    <row r="272">
      <c r="A272" t="n">
        <v>20</v>
      </c>
      <c r="B272" t="inlineStr">
        <is>
          <t>K3-2C</t>
        </is>
      </c>
      <c r="D272" t="n">
        <v>6.84</v>
      </c>
      <c r="E272" t="n">
        <v>3.26</v>
      </c>
      <c r="F272" t="n">
        <v>1479.533</v>
      </c>
      <c r="G272" t="n">
        <v>63</v>
      </c>
      <c r="H272" t="inlineStr">
        <is>
          <t>MM</t>
        </is>
      </c>
    </row>
    <row r="273">
      <c r="A273" t="n">
        <v>21</v>
      </c>
      <c r="B273" t="inlineStr">
        <is>
          <t>MeOH</t>
        </is>
      </c>
      <c r="H273" t="inlineStr">
        <is>
          <t>MM-</t>
        </is>
      </c>
    </row>
    <row r="274">
      <c r="A274" t="n">
        <v>22</v>
      </c>
      <c r="B274" t="inlineStr">
        <is>
          <t>K3-3A</t>
        </is>
      </c>
      <c r="D274" t="n">
        <v>6.46</v>
      </c>
      <c r="E274" t="n">
        <v>1.923</v>
      </c>
      <c r="F274" t="n">
        <v>1517.701</v>
      </c>
      <c r="G274" t="n">
        <v>37</v>
      </c>
      <c r="H274" t="inlineStr">
        <is>
          <t>bb</t>
        </is>
      </c>
    </row>
    <row r="275">
      <c r="A275" t="n">
        <v>23</v>
      </c>
      <c r="B275" t="inlineStr">
        <is>
          <t>K3-3B</t>
        </is>
      </c>
      <c r="D275" t="n">
        <v>6.82</v>
      </c>
      <c r="E275" t="n">
        <v>0.078</v>
      </c>
      <c r="F275" t="n">
        <v>1453.885</v>
      </c>
      <c r="G275" t="n">
        <v>1</v>
      </c>
      <c r="H275" t="inlineStr">
        <is>
          <t>MM</t>
        </is>
      </c>
    </row>
    <row r="276">
      <c r="A276" t="n">
        <v>24</v>
      </c>
      <c r="B276" t="inlineStr">
        <is>
          <t>K3-3C</t>
        </is>
      </c>
      <c r="D276" t="n">
        <v>5.54</v>
      </c>
      <c r="E276" t="n">
        <v>3.055</v>
      </c>
      <c r="F276" t="n">
        <v>1930.228</v>
      </c>
      <c r="G276" t="n">
        <v>48</v>
      </c>
      <c r="H276" t="inlineStr">
        <is>
          <t>bb</t>
        </is>
      </c>
    </row>
    <row r="277">
      <c r="A277" t="n">
        <v>25</v>
      </c>
      <c r="B277" t="inlineStr">
        <is>
          <t>K3-4A</t>
        </is>
      </c>
      <c r="D277" t="n">
        <v>6.04</v>
      </c>
      <c r="E277" t="n">
        <v>0.165</v>
      </c>
      <c r="F277" t="n">
        <v>2454.78</v>
      </c>
      <c r="G277" t="n">
        <v>3</v>
      </c>
      <c r="H277" t="inlineStr">
        <is>
          <t>bb</t>
        </is>
      </c>
    </row>
    <row r="278">
      <c r="A278" t="n">
        <v>26</v>
      </c>
      <c r="B278" t="inlineStr">
        <is>
          <t>K3-4B</t>
        </is>
      </c>
      <c r="D278" t="n">
        <v>6.03</v>
      </c>
      <c r="E278" t="n">
        <v>0.185</v>
      </c>
      <c r="F278" t="n">
        <v>2046.805</v>
      </c>
      <c r="G278" t="n">
        <v>4</v>
      </c>
      <c r="H278" t="inlineStr">
        <is>
          <t>bb</t>
        </is>
      </c>
    </row>
    <row r="279">
      <c r="A279" t="n">
        <v>27</v>
      </c>
      <c r="B279" t="inlineStr">
        <is>
          <t>K3-4C</t>
        </is>
      </c>
      <c r="D279" t="n">
        <v>6.22</v>
      </c>
      <c r="E279" t="n">
        <v>4.798</v>
      </c>
      <c r="F279" t="n">
        <v>1963.707</v>
      </c>
      <c r="G279" t="n">
        <v>93</v>
      </c>
      <c r="H279" t="inlineStr">
        <is>
          <t>bb</t>
        </is>
      </c>
    </row>
    <row r="280">
      <c r="A280" t="n">
        <v>28</v>
      </c>
      <c r="B280" t="inlineStr">
        <is>
          <t>MeOH</t>
        </is>
      </c>
      <c r="H280" t="inlineStr">
        <is>
          <t>MM-</t>
        </is>
      </c>
    </row>
    <row r="281">
      <c r="A281" t="n">
        <v>29</v>
      </c>
      <c r="B281" t="inlineStr">
        <is>
          <t>K3-6A</t>
        </is>
      </c>
      <c r="D281" t="n">
        <v>7.05</v>
      </c>
      <c r="E281" t="n">
        <v>2.183</v>
      </c>
      <c r="F281" t="n">
        <v>2063.159</v>
      </c>
      <c r="G281" t="n">
        <v>42</v>
      </c>
      <c r="H281" t="inlineStr">
        <is>
          <t>MM</t>
        </is>
      </c>
    </row>
    <row r="282">
      <c r="A282" t="n">
        <v>30</v>
      </c>
      <c r="B282" t="inlineStr">
        <is>
          <t>K3-6B</t>
        </is>
      </c>
      <c r="D282" t="n">
        <v>6.68</v>
      </c>
      <c r="E282" t="n">
        <v>0.14</v>
      </c>
      <c r="F282" t="n">
        <v>1701.403</v>
      </c>
      <c r="G282" t="n">
        <v>3</v>
      </c>
      <c r="H282" t="inlineStr">
        <is>
          <t>MM</t>
        </is>
      </c>
    </row>
    <row r="283">
      <c r="A283" t="n">
        <v>31</v>
      </c>
      <c r="B283" t="inlineStr">
        <is>
          <t>K3-6C</t>
        </is>
      </c>
      <c r="F283" t="n">
        <v>1921.069</v>
      </c>
    </row>
    <row r="285">
      <c r="A285" t="inlineStr">
        <is>
          <t>Compound 9:  PFPeA 1</t>
        </is>
      </c>
    </row>
    <row r="287">
      <c r="B287" t="inlineStr">
        <is>
          <t>Sample Text</t>
        </is>
      </c>
      <c r="C287" t="inlineStr">
        <is>
          <t>Std. Conc</t>
        </is>
      </c>
      <c r="D287" t="inlineStr">
        <is>
          <t>RT</t>
        </is>
      </c>
      <c r="E287" t="inlineStr">
        <is>
          <t>Area</t>
        </is>
      </c>
      <c r="F287" t="inlineStr">
        <is>
          <t>IS Area</t>
        </is>
      </c>
      <c r="G287" t="inlineStr">
        <is>
          <t>S/N</t>
        </is>
      </c>
      <c r="H287" t="inlineStr">
        <is>
          <t>Primary Flags</t>
        </is>
      </c>
      <c r="I287" t="inlineStr">
        <is>
          <t>Response</t>
        </is>
      </c>
      <c r="J287" t="inlineStr">
        <is>
          <t>Conc.</t>
        </is>
      </c>
    </row>
    <row r="288">
      <c r="A288" t="n">
        <v>1</v>
      </c>
      <c r="B288" t="inlineStr">
        <is>
          <t>K4-1A</t>
        </is>
      </c>
      <c r="D288" t="n">
        <v>6.53</v>
      </c>
      <c r="E288" t="n">
        <v>14.785</v>
      </c>
      <c r="F288" t="n">
        <v>563.42</v>
      </c>
      <c r="G288" t="n">
        <v>1.736</v>
      </c>
      <c r="H288" t="inlineStr">
        <is>
          <t>bd</t>
        </is>
      </c>
    </row>
    <row r="289">
      <c r="A289" t="n">
        <v>2</v>
      </c>
      <c r="B289" t="inlineStr">
        <is>
          <t>K4-1B</t>
        </is>
      </c>
      <c r="D289" t="n">
        <v>6.51</v>
      </c>
      <c r="E289" t="n">
        <v>5.556</v>
      </c>
      <c r="F289" t="n">
        <v>700.124</v>
      </c>
      <c r="G289" t="n">
        <v>0.772</v>
      </c>
      <c r="H289" t="inlineStr">
        <is>
          <t>MM</t>
        </is>
      </c>
    </row>
    <row r="290">
      <c r="A290" t="n">
        <v>3</v>
      </c>
      <c r="B290" t="inlineStr">
        <is>
          <t>K4-1C</t>
        </is>
      </c>
      <c r="D290" t="n">
        <v>6.51</v>
      </c>
      <c r="E290" t="n">
        <v>24.276</v>
      </c>
      <c r="F290" t="n">
        <v>801.362</v>
      </c>
      <c r="G290" t="n">
        <v>2.481</v>
      </c>
      <c r="H290" t="inlineStr">
        <is>
          <t>bb</t>
        </is>
      </c>
    </row>
    <row r="291">
      <c r="A291" t="n">
        <v>4</v>
      </c>
      <c r="B291" t="inlineStr">
        <is>
          <t>K4-2A</t>
        </is>
      </c>
      <c r="D291" t="n">
        <v>6.63</v>
      </c>
      <c r="E291" t="n">
        <v>7.782</v>
      </c>
      <c r="F291" t="n">
        <v>625.455</v>
      </c>
      <c r="G291" t="n">
        <v>1.721</v>
      </c>
      <c r="H291" t="inlineStr">
        <is>
          <t>bb</t>
        </is>
      </c>
    </row>
    <row r="292">
      <c r="A292" t="n">
        <v>5</v>
      </c>
      <c r="B292" t="inlineStr">
        <is>
          <t>K4-2B</t>
        </is>
      </c>
      <c r="D292" t="n">
        <v>6.53</v>
      </c>
      <c r="E292" t="n">
        <v>31.505</v>
      </c>
      <c r="F292" t="n">
        <v>753.798</v>
      </c>
      <c r="G292" t="n">
        <v>3.196</v>
      </c>
      <c r="H292" t="inlineStr">
        <is>
          <t>MM</t>
        </is>
      </c>
    </row>
    <row r="293">
      <c r="A293" t="n">
        <v>6</v>
      </c>
      <c r="B293" t="inlineStr">
        <is>
          <t>K4-2C</t>
        </is>
      </c>
      <c r="D293" t="n">
        <v>6.57</v>
      </c>
      <c r="E293" t="n">
        <v>21.925</v>
      </c>
      <c r="F293" t="n">
        <v>571.371</v>
      </c>
      <c r="G293" t="n">
        <v>2.236</v>
      </c>
      <c r="H293" t="inlineStr">
        <is>
          <t>bb</t>
        </is>
      </c>
    </row>
    <row r="294">
      <c r="A294" t="n">
        <v>7</v>
      </c>
      <c r="B294" t="inlineStr">
        <is>
          <t>MeOH</t>
        </is>
      </c>
      <c r="H294" t="inlineStr">
        <is>
          <t>MM-</t>
        </is>
      </c>
    </row>
    <row r="295">
      <c r="A295" t="n">
        <v>8</v>
      </c>
      <c r="B295" t="inlineStr">
        <is>
          <t>K4-4A</t>
        </is>
      </c>
      <c r="D295" t="n">
        <v>6.54</v>
      </c>
      <c r="E295" t="n">
        <v>7.12</v>
      </c>
      <c r="F295" t="n">
        <v>708.6559999999999</v>
      </c>
      <c r="G295" t="n">
        <v>0.8</v>
      </c>
      <c r="H295" t="inlineStr">
        <is>
          <t>MM</t>
        </is>
      </c>
    </row>
    <row r="296">
      <c r="A296" t="n">
        <v>9</v>
      </c>
      <c r="B296" t="inlineStr">
        <is>
          <t>K4-4B</t>
        </is>
      </c>
      <c r="D296" t="n">
        <v>6.35</v>
      </c>
      <c r="E296" t="n">
        <v>29.915</v>
      </c>
      <c r="F296" t="n">
        <v>653.003</v>
      </c>
      <c r="G296" t="n">
        <v>8.628</v>
      </c>
      <c r="H296" t="inlineStr">
        <is>
          <t>bb</t>
        </is>
      </c>
    </row>
    <row r="297">
      <c r="A297" t="n">
        <v>10</v>
      </c>
      <c r="B297" t="inlineStr">
        <is>
          <t>K4-4C</t>
        </is>
      </c>
      <c r="D297" t="n">
        <v>6.66</v>
      </c>
      <c r="E297" t="n">
        <v>9.811999999999999</v>
      </c>
      <c r="F297" t="n">
        <v>688.335</v>
      </c>
      <c r="G297" t="n">
        <v>2.835</v>
      </c>
      <c r="H297" t="inlineStr">
        <is>
          <t>MM</t>
        </is>
      </c>
    </row>
    <row r="298">
      <c r="A298" t="n">
        <v>11</v>
      </c>
      <c r="B298" t="inlineStr">
        <is>
          <t>K4-5A</t>
        </is>
      </c>
      <c r="D298" t="n">
        <v>6.53</v>
      </c>
      <c r="E298" t="n">
        <v>12.364</v>
      </c>
      <c r="F298" t="n">
        <v>633.821</v>
      </c>
      <c r="G298" t="n">
        <v>3.181</v>
      </c>
      <c r="H298" t="inlineStr">
        <is>
          <t>bb</t>
        </is>
      </c>
    </row>
    <row r="299">
      <c r="A299" t="n">
        <v>12</v>
      </c>
      <c r="B299" t="inlineStr">
        <is>
          <t>K4-5B</t>
        </is>
      </c>
      <c r="D299" t="n">
        <v>6.49</v>
      </c>
      <c r="E299" t="n">
        <v>14.446</v>
      </c>
      <c r="F299" t="n">
        <v>702.6079999999999</v>
      </c>
      <c r="G299" t="n">
        <v>2.902</v>
      </c>
      <c r="H299" t="inlineStr">
        <is>
          <t>bb</t>
        </is>
      </c>
    </row>
    <row r="300">
      <c r="A300" t="n">
        <v>13</v>
      </c>
      <c r="B300" t="inlineStr">
        <is>
          <t>K4-5C</t>
        </is>
      </c>
      <c r="D300" t="n">
        <v>6.35</v>
      </c>
      <c r="E300" t="n">
        <v>23.316</v>
      </c>
      <c r="F300" t="n">
        <v>986.377</v>
      </c>
      <c r="G300" t="n">
        <v>2.208</v>
      </c>
      <c r="H300" t="inlineStr">
        <is>
          <t>bb</t>
        </is>
      </c>
    </row>
    <row r="301">
      <c r="A301" t="n">
        <v>14</v>
      </c>
      <c r="B301" t="inlineStr">
        <is>
          <t>MeOH</t>
        </is>
      </c>
      <c r="H301" t="inlineStr">
        <is>
          <t>MM-</t>
        </is>
      </c>
    </row>
    <row r="302">
      <c r="A302" t="n">
        <v>15</v>
      </c>
      <c r="B302" t="inlineStr">
        <is>
          <t>K3-1A</t>
        </is>
      </c>
      <c r="D302" t="n">
        <v>6.16</v>
      </c>
      <c r="E302" t="n">
        <v>14.792</v>
      </c>
      <c r="F302" t="n">
        <v>900.0069999999999</v>
      </c>
      <c r="G302" t="n">
        <v>1.396</v>
      </c>
      <c r="H302" t="inlineStr">
        <is>
          <t>MM</t>
        </is>
      </c>
    </row>
    <row r="303">
      <c r="A303" t="n">
        <v>16</v>
      </c>
      <c r="B303" t="inlineStr">
        <is>
          <t>K3-1B</t>
        </is>
      </c>
      <c r="D303" t="n">
        <v>6.24</v>
      </c>
      <c r="E303" t="n">
        <v>3.346</v>
      </c>
      <c r="F303" t="n">
        <v>676.23</v>
      </c>
      <c r="G303" t="n">
        <v>0.619</v>
      </c>
      <c r="H303" t="inlineStr">
        <is>
          <t>bb</t>
        </is>
      </c>
    </row>
    <row r="304">
      <c r="A304" t="n">
        <v>17</v>
      </c>
      <c r="B304" t="inlineStr">
        <is>
          <t>K3-1C</t>
        </is>
      </c>
      <c r="D304" t="n">
        <v>6.3</v>
      </c>
      <c r="E304" t="n">
        <v>26.006</v>
      </c>
      <c r="F304" t="n">
        <v>821.191</v>
      </c>
      <c r="G304" t="n">
        <v>4.323</v>
      </c>
      <c r="H304" t="inlineStr">
        <is>
          <t>bb</t>
        </is>
      </c>
    </row>
    <row r="305">
      <c r="A305" t="n">
        <v>18</v>
      </c>
      <c r="B305" t="inlineStr">
        <is>
          <t>K3-2A</t>
        </is>
      </c>
      <c r="D305" t="n">
        <v>6.33</v>
      </c>
      <c r="E305" t="n">
        <v>4.054</v>
      </c>
      <c r="F305" t="n">
        <v>747.972</v>
      </c>
      <c r="G305" t="n">
        <v>0.724</v>
      </c>
      <c r="H305" t="inlineStr">
        <is>
          <t>MM</t>
        </is>
      </c>
    </row>
    <row r="306">
      <c r="A306" t="n">
        <v>19</v>
      </c>
      <c r="B306" t="inlineStr">
        <is>
          <t>K3-2B</t>
        </is>
      </c>
      <c r="D306" t="n">
        <v>6.36</v>
      </c>
      <c r="E306" t="n">
        <v>10.502</v>
      </c>
      <c r="F306" t="n">
        <v>963.821</v>
      </c>
      <c r="G306" t="n">
        <v>0.951</v>
      </c>
      <c r="H306" t="inlineStr">
        <is>
          <t>MM</t>
        </is>
      </c>
    </row>
    <row r="307">
      <c r="A307" t="n">
        <v>20</v>
      </c>
      <c r="B307" t="inlineStr">
        <is>
          <t>K3-2C</t>
        </is>
      </c>
      <c r="D307" t="n">
        <v>6.42</v>
      </c>
      <c r="E307" t="n">
        <v>20.508</v>
      </c>
      <c r="F307" t="n">
        <v>766.044</v>
      </c>
      <c r="G307" t="n">
        <v>2.446</v>
      </c>
      <c r="H307" t="inlineStr">
        <is>
          <t>bb</t>
        </is>
      </c>
    </row>
    <row r="308">
      <c r="A308" t="n">
        <v>21</v>
      </c>
      <c r="B308" t="inlineStr">
        <is>
          <t>MeOH</t>
        </is>
      </c>
      <c r="H308" t="inlineStr">
        <is>
          <t>MM-</t>
        </is>
      </c>
    </row>
    <row r="309">
      <c r="A309" t="n">
        <v>22</v>
      </c>
      <c r="B309" t="inlineStr">
        <is>
          <t>K3-3A</t>
        </is>
      </c>
      <c r="D309" t="n">
        <v>6.41</v>
      </c>
      <c r="E309" t="n">
        <v>67.877</v>
      </c>
      <c r="F309" t="n">
        <v>820.27</v>
      </c>
      <c r="G309" t="n">
        <v>8.901999999999999</v>
      </c>
      <c r="H309" t="inlineStr">
        <is>
          <t>bb</t>
        </is>
      </c>
    </row>
    <row r="310">
      <c r="A310" t="n">
        <v>23</v>
      </c>
      <c r="B310" t="inlineStr">
        <is>
          <t>K3-3B</t>
        </is>
      </c>
      <c r="D310" t="n">
        <v>6.39</v>
      </c>
      <c r="E310" t="n">
        <v>43.46</v>
      </c>
      <c r="F310" t="n">
        <v>953.821</v>
      </c>
      <c r="G310" t="n">
        <v>1.94</v>
      </c>
      <c r="H310" t="inlineStr">
        <is>
          <t>bb</t>
        </is>
      </c>
    </row>
    <row r="311">
      <c r="A311" t="n">
        <v>24</v>
      </c>
      <c r="B311" t="inlineStr">
        <is>
          <t>K3-3C</t>
        </is>
      </c>
      <c r="D311" t="n">
        <v>6.44</v>
      </c>
      <c r="E311" t="n">
        <v>27.619</v>
      </c>
      <c r="F311" t="n">
        <v>897.914</v>
      </c>
      <c r="G311" t="n">
        <v>3.242</v>
      </c>
      <c r="H311" t="inlineStr">
        <is>
          <t>MM</t>
        </is>
      </c>
    </row>
    <row r="312">
      <c r="A312" t="n">
        <v>25</v>
      </c>
      <c r="B312" t="inlineStr">
        <is>
          <t>K3-4A</t>
        </is>
      </c>
      <c r="D312" t="n">
        <v>6.54</v>
      </c>
      <c r="E312" t="n">
        <v>17.688</v>
      </c>
      <c r="F312" t="n">
        <v>908.869</v>
      </c>
      <c r="G312" t="n">
        <v>1.67</v>
      </c>
      <c r="H312" t="inlineStr">
        <is>
          <t>MM</t>
        </is>
      </c>
    </row>
    <row r="313">
      <c r="A313" t="n">
        <v>26</v>
      </c>
      <c r="B313" t="inlineStr">
        <is>
          <t>K3-4B</t>
        </is>
      </c>
      <c r="D313" t="n">
        <v>6.44</v>
      </c>
      <c r="E313" t="n">
        <v>55.561</v>
      </c>
      <c r="F313" t="n">
        <v>864.466</v>
      </c>
      <c r="G313" t="n">
        <v>6.241</v>
      </c>
      <c r="H313" t="inlineStr">
        <is>
          <t>bb</t>
        </is>
      </c>
    </row>
    <row r="314">
      <c r="A314" t="n">
        <v>27</v>
      </c>
      <c r="B314" t="inlineStr">
        <is>
          <t>K3-4C</t>
        </is>
      </c>
      <c r="D314" t="n">
        <v>6.44</v>
      </c>
      <c r="E314" t="n">
        <v>67.018</v>
      </c>
      <c r="F314" t="n">
        <v>1021.648</v>
      </c>
      <c r="G314" t="n">
        <v>2.955</v>
      </c>
      <c r="H314" t="inlineStr">
        <is>
          <t>bb</t>
        </is>
      </c>
    </row>
    <row r="315">
      <c r="A315" t="n">
        <v>28</v>
      </c>
      <c r="B315" t="inlineStr">
        <is>
          <t>MeOH</t>
        </is>
      </c>
      <c r="H315" t="inlineStr">
        <is>
          <t>MM-</t>
        </is>
      </c>
    </row>
    <row r="316">
      <c r="A316" t="n">
        <v>29</v>
      </c>
      <c r="B316" t="inlineStr">
        <is>
          <t>K3-6A</t>
        </is>
      </c>
      <c r="D316" t="n">
        <v>6.58</v>
      </c>
      <c r="E316" t="n">
        <v>25.657</v>
      </c>
      <c r="F316" t="n">
        <v>688.995</v>
      </c>
      <c r="G316" t="n">
        <v>2.696</v>
      </c>
      <c r="H316" t="inlineStr">
        <is>
          <t>bb</t>
        </is>
      </c>
    </row>
    <row r="317">
      <c r="A317" t="n">
        <v>30</v>
      </c>
      <c r="B317" t="inlineStr">
        <is>
          <t>K3-6B</t>
        </is>
      </c>
      <c r="D317" t="n">
        <v>6.58</v>
      </c>
      <c r="E317" t="n">
        <v>13.843</v>
      </c>
      <c r="F317" t="n">
        <v>917.0549999999999</v>
      </c>
      <c r="G317" t="n">
        <v>1.645</v>
      </c>
      <c r="H317" t="inlineStr">
        <is>
          <t>MM</t>
        </is>
      </c>
    </row>
    <row r="318">
      <c r="A318" t="n">
        <v>31</v>
      </c>
      <c r="B318" t="inlineStr">
        <is>
          <t>K3-6C</t>
        </is>
      </c>
      <c r="D318" t="n">
        <v>6.49</v>
      </c>
      <c r="E318" t="n">
        <v>37.946</v>
      </c>
      <c r="F318" t="n">
        <v>939.455</v>
      </c>
      <c r="G318" t="n">
        <v>6.806</v>
      </c>
      <c r="H318" t="inlineStr">
        <is>
          <t>MM</t>
        </is>
      </c>
    </row>
    <row r="320">
      <c r="A320" t="inlineStr">
        <is>
          <t>Compound 10:  m5 PFPeA 1</t>
        </is>
      </c>
    </row>
    <row r="322">
      <c r="B322" t="inlineStr">
        <is>
          <t>Sample Text</t>
        </is>
      </c>
      <c r="C322" t="inlineStr">
        <is>
          <t>Std. Conc</t>
        </is>
      </c>
      <c r="D322" t="inlineStr">
        <is>
          <t>RT</t>
        </is>
      </c>
      <c r="E322" t="inlineStr">
        <is>
          <t>Area</t>
        </is>
      </c>
      <c r="F322" t="inlineStr">
        <is>
          <t>IS Area</t>
        </is>
      </c>
      <c r="G322" t="inlineStr">
        <is>
          <t>S/N</t>
        </is>
      </c>
      <c r="H322" t="inlineStr">
        <is>
          <t>Primary Flags</t>
        </is>
      </c>
      <c r="I322" t="inlineStr">
        <is>
          <t>Response</t>
        </is>
      </c>
      <c r="J322" t="inlineStr">
        <is>
          <t>Conc.</t>
        </is>
      </c>
    </row>
    <row r="323">
      <c r="A323" t="n">
        <v>1</v>
      </c>
      <c r="B323" t="inlineStr">
        <is>
          <t>K4-1A</t>
        </is>
      </c>
      <c r="D323" t="n">
        <v>6.51</v>
      </c>
      <c r="E323" t="n">
        <v>563.42</v>
      </c>
      <c r="G323" t="n">
        <v>3.243</v>
      </c>
      <c r="H323" t="inlineStr">
        <is>
          <t>bb</t>
        </is>
      </c>
      <c r="I323" t="n">
        <v>563.42</v>
      </c>
    </row>
    <row r="324">
      <c r="A324" t="n">
        <v>2</v>
      </c>
      <c r="B324" t="inlineStr">
        <is>
          <t>K4-1B</t>
        </is>
      </c>
      <c r="D324" t="n">
        <v>6.48</v>
      </c>
      <c r="E324" t="n">
        <v>700.124</v>
      </c>
      <c r="G324" t="n">
        <v>7167</v>
      </c>
      <c r="H324" t="inlineStr">
        <is>
          <t>bb</t>
        </is>
      </c>
      <c r="I324" t="n">
        <v>700.124</v>
      </c>
    </row>
    <row r="325">
      <c r="A325" t="n">
        <v>3</v>
      </c>
      <c r="B325" t="inlineStr">
        <is>
          <t>K4-1C</t>
        </is>
      </c>
      <c r="D325" t="n">
        <v>6.49</v>
      </c>
      <c r="E325" t="n">
        <v>801.362</v>
      </c>
      <c r="G325" t="n">
        <v>27.444</v>
      </c>
      <c r="H325" t="inlineStr">
        <is>
          <t>bb</t>
        </is>
      </c>
      <c r="I325" t="n">
        <v>801.362</v>
      </c>
    </row>
    <row r="326">
      <c r="A326" t="n">
        <v>4</v>
      </c>
      <c r="B326" t="inlineStr">
        <is>
          <t>K4-2A</t>
        </is>
      </c>
      <c r="D326" t="n">
        <v>6.54</v>
      </c>
      <c r="E326" t="n">
        <v>625.455</v>
      </c>
      <c r="G326" t="n">
        <v>21.344</v>
      </c>
      <c r="H326" t="inlineStr">
        <is>
          <t>bb</t>
        </is>
      </c>
      <c r="I326" t="n">
        <v>625.455</v>
      </c>
    </row>
    <row r="327">
      <c r="A327" t="n">
        <v>5</v>
      </c>
      <c r="B327" t="inlineStr">
        <is>
          <t>K4-2B</t>
        </is>
      </c>
      <c r="D327" t="n">
        <v>6.5</v>
      </c>
      <c r="E327" t="n">
        <v>753.798</v>
      </c>
      <c r="G327" t="n">
        <v>20.292</v>
      </c>
      <c r="H327" t="inlineStr">
        <is>
          <t>bb</t>
        </is>
      </c>
      <c r="I327" t="n">
        <v>753.798</v>
      </c>
    </row>
    <row r="328">
      <c r="A328" t="n">
        <v>6</v>
      </c>
      <c r="B328" t="inlineStr">
        <is>
          <t>K4-2C</t>
        </is>
      </c>
      <c r="D328" t="n">
        <v>6.53</v>
      </c>
      <c r="E328" t="n">
        <v>571.371</v>
      </c>
      <c r="G328" t="n">
        <v>17.213</v>
      </c>
      <c r="H328" t="inlineStr">
        <is>
          <t>bb</t>
        </is>
      </c>
      <c r="I328" t="n">
        <v>571.371</v>
      </c>
    </row>
    <row r="329">
      <c r="A329" t="n">
        <v>7</v>
      </c>
      <c r="B329" t="inlineStr">
        <is>
          <t>MeOH</t>
        </is>
      </c>
    </row>
    <row r="330">
      <c r="A330" t="n">
        <v>8</v>
      </c>
      <c r="B330" t="inlineStr">
        <is>
          <t>K4-4A</t>
        </is>
      </c>
      <c r="D330" t="n">
        <v>6.53</v>
      </c>
      <c r="E330" t="n">
        <v>708.6559999999999</v>
      </c>
      <c r="G330" t="n">
        <v>6881</v>
      </c>
      <c r="H330" t="inlineStr">
        <is>
          <t>bb</t>
        </is>
      </c>
      <c r="I330" t="n">
        <v>708.6559999999999</v>
      </c>
    </row>
    <row r="331">
      <c r="A331" t="n">
        <v>9</v>
      </c>
      <c r="B331" t="inlineStr">
        <is>
          <t>K4-4B</t>
        </is>
      </c>
      <c r="D331" t="n">
        <v>6.53</v>
      </c>
      <c r="E331" t="n">
        <v>653.003</v>
      </c>
      <c r="G331" t="n">
        <v>27.125</v>
      </c>
      <c r="H331" t="inlineStr">
        <is>
          <t>bb</t>
        </is>
      </c>
      <c r="I331" t="n">
        <v>653.003</v>
      </c>
    </row>
    <row r="332">
      <c r="A332" t="n">
        <v>10</v>
      </c>
      <c r="B332" t="inlineStr">
        <is>
          <t>K4-4C</t>
        </is>
      </c>
      <c r="D332" t="n">
        <v>6.53</v>
      </c>
      <c r="E332" t="n">
        <v>688.335</v>
      </c>
      <c r="G332" t="n">
        <v>22.847</v>
      </c>
      <c r="H332" t="inlineStr">
        <is>
          <t>bb</t>
        </is>
      </c>
      <c r="I332" t="n">
        <v>688.335</v>
      </c>
    </row>
    <row r="333">
      <c r="A333" t="n">
        <v>11</v>
      </c>
      <c r="B333" t="inlineStr">
        <is>
          <t>K4-5A</t>
        </is>
      </c>
      <c r="D333" t="n">
        <v>6.51</v>
      </c>
      <c r="E333" t="n">
        <v>633.821</v>
      </c>
      <c r="G333" t="n">
        <v>32.379</v>
      </c>
      <c r="H333" t="inlineStr">
        <is>
          <t>bb</t>
        </is>
      </c>
      <c r="I333" t="n">
        <v>633.821</v>
      </c>
    </row>
    <row r="334">
      <c r="A334" t="n">
        <v>12</v>
      </c>
      <c r="B334" t="inlineStr">
        <is>
          <t>K4-5B</t>
        </is>
      </c>
      <c r="D334" t="n">
        <v>6.49</v>
      </c>
      <c r="E334" t="n">
        <v>702.6079999999999</v>
      </c>
      <c r="G334" t="n">
        <v>36.957</v>
      </c>
      <c r="H334" t="inlineStr">
        <is>
          <t>bb</t>
        </is>
      </c>
      <c r="I334" t="n">
        <v>702.6079999999999</v>
      </c>
    </row>
    <row r="335">
      <c r="A335" t="n">
        <v>13</v>
      </c>
      <c r="B335" t="inlineStr">
        <is>
          <t>K4-5C</t>
        </is>
      </c>
      <c r="D335" t="n">
        <v>6.38</v>
      </c>
      <c r="E335" t="n">
        <v>986.377</v>
      </c>
      <c r="G335" t="n">
        <v>26.65</v>
      </c>
      <c r="H335" t="inlineStr">
        <is>
          <t>bb</t>
        </is>
      </c>
      <c r="I335" t="n">
        <v>986.377</v>
      </c>
    </row>
    <row r="336">
      <c r="A336" t="n">
        <v>14</v>
      </c>
      <c r="B336" t="inlineStr">
        <is>
          <t>MeOH</t>
        </is>
      </c>
    </row>
    <row r="337">
      <c r="A337" t="n">
        <v>15</v>
      </c>
      <c r="B337" t="inlineStr">
        <is>
          <t>K3-1A</t>
        </is>
      </c>
      <c r="D337" t="n">
        <v>6.18</v>
      </c>
      <c r="E337" t="n">
        <v>900.0069999999999</v>
      </c>
      <c r="G337" t="n">
        <v>117.422</v>
      </c>
      <c r="H337" t="inlineStr">
        <is>
          <t>bb</t>
        </is>
      </c>
      <c r="I337" t="n">
        <v>900.0069999999999</v>
      </c>
    </row>
    <row r="338">
      <c r="A338" t="n">
        <v>16</v>
      </c>
      <c r="B338" t="inlineStr">
        <is>
          <t>K3-1B</t>
        </is>
      </c>
      <c r="D338" t="n">
        <v>6.27</v>
      </c>
      <c r="E338" t="n">
        <v>676.23</v>
      </c>
      <c r="G338" t="n">
        <v>290.813</v>
      </c>
      <c r="H338" t="inlineStr">
        <is>
          <t>bb</t>
        </is>
      </c>
      <c r="I338" t="n">
        <v>676.23</v>
      </c>
    </row>
    <row r="339">
      <c r="A339" t="n">
        <v>17</v>
      </c>
      <c r="B339" t="inlineStr">
        <is>
          <t>K3-1C</t>
        </is>
      </c>
      <c r="D339" t="n">
        <v>6.31</v>
      </c>
      <c r="E339" t="n">
        <v>821.191</v>
      </c>
      <c r="G339" t="n">
        <v>7883</v>
      </c>
      <c r="H339" t="inlineStr">
        <is>
          <t>bb</t>
        </is>
      </c>
      <c r="I339" t="n">
        <v>821.191</v>
      </c>
    </row>
    <row r="340">
      <c r="A340" t="n">
        <v>18</v>
      </c>
      <c r="B340" t="inlineStr">
        <is>
          <t>K3-2A</t>
        </is>
      </c>
      <c r="D340" t="n">
        <v>6.37</v>
      </c>
      <c r="E340" t="n">
        <v>747.972</v>
      </c>
      <c r="G340" t="n">
        <v>207.053</v>
      </c>
      <c r="H340" t="inlineStr">
        <is>
          <t>bb</t>
        </is>
      </c>
      <c r="I340" t="n">
        <v>747.972</v>
      </c>
    </row>
    <row r="341">
      <c r="A341" t="n">
        <v>19</v>
      </c>
      <c r="B341" t="inlineStr">
        <is>
          <t>K3-2B</t>
        </is>
      </c>
      <c r="D341" t="n">
        <v>6.38</v>
      </c>
      <c r="E341" t="n">
        <v>963.821</v>
      </c>
      <c r="G341" t="n">
        <v>13.557</v>
      </c>
      <c r="H341" t="inlineStr">
        <is>
          <t>bb</t>
        </is>
      </c>
      <c r="I341" t="n">
        <v>963.821</v>
      </c>
    </row>
    <row r="342">
      <c r="A342" t="n">
        <v>20</v>
      </c>
      <c r="B342" t="inlineStr">
        <is>
          <t>K3-2C</t>
        </is>
      </c>
      <c r="D342" t="n">
        <v>6.39</v>
      </c>
      <c r="E342" t="n">
        <v>766.044</v>
      </c>
      <c r="G342" t="n">
        <v>8.209</v>
      </c>
      <c r="H342" t="inlineStr">
        <is>
          <t>bb</t>
        </is>
      </c>
      <c r="I342" t="n">
        <v>766.044</v>
      </c>
    </row>
    <row r="343">
      <c r="A343" t="n">
        <v>21</v>
      </c>
      <c r="B343" t="inlineStr">
        <is>
          <t>MeOH</t>
        </is>
      </c>
    </row>
    <row r="344">
      <c r="A344" t="n">
        <v>22</v>
      </c>
      <c r="B344" t="inlineStr">
        <is>
          <t>K3-3A</t>
        </is>
      </c>
      <c r="D344" t="n">
        <v>6.39</v>
      </c>
      <c r="E344" t="n">
        <v>820.27</v>
      </c>
      <c r="G344" t="n">
        <v>24.977</v>
      </c>
      <c r="H344" t="inlineStr">
        <is>
          <t>bb</t>
        </is>
      </c>
      <c r="I344" t="n">
        <v>820.27</v>
      </c>
    </row>
    <row r="345">
      <c r="A345" t="n">
        <v>23</v>
      </c>
      <c r="B345" t="inlineStr">
        <is>
          <t>K3-3B</t>
        </is>
      </c>
      <c r="D345" t="n">
        <v>6.42</v>
      </c>
      <c r="E345" t="n">
        <v>953.821</v>
      </c>
      <c r="G345" t="n">
        <v>58.928</v>
      </c>
      <c r="H345" t="inlineStr">
        <is>
          <t>bb</t>
        </is>
      </c>
      <c r="I345" t="n">
        <v>953.821</v>
      </c>
    </row>
    <row r="346">
      <c r="A346" t="n">
        <v>24</v>
      </c>
      <c r="B346" t="inlineStr">
        <is>
          <t>K3-3C</t>
        </is>
      </c>
      <c r="D346" t="n">
        <v>6.42</v>
      </c>
      <c r="E346" t="n">
        <v>897.914</v>
      </c>
      <c r="G346" t="n">
        <v>36.554</v>
      </c>
      <c r="H346" t="inlineStr">
        <is>
          <t>bb</t>
        </is>
      </c>
      <c r="I346" t="n">
        <v>897.914</v>
      </c>
    </row>
    <row r="347">
      <c r="A347" t="n">
        <v>25</v>
      </c>
      <c r="B347" t="inlineStr">
        <is>
          <t>K3-4A</t>
        </is>
      </c>
      <c r="D347" t="n">
        <v>6.48</v>
      </c>
      <c r="E347" t="n">
        <v>908.869</v>
      </c>
      <c r="G347" t="n">
        <v>53.969</v>
      </c>
      <c r="H347" t="inlineStr">
        <is>
          <t>bb</t>
        </is>
      </c>
      <c r="I347" t="n">
        <v>908.869</v>
      </c>
    </row>
    <row r="348">
      <c r="A348" t="n">
        <v>26</v>
      </c>
      <c r="B348" t="inlineStr">
        <is>
          <t>K3-4B</t>
        </is>
      </c>
      <c r="D348" t="n">
        <v>6.44</v>
      </c>
      <c r="E348" t="n">
        <v>864.466</v>
      </c>
      <c r="G348" t="n">
        <v>229.543</v>
      </c>
      <c r="H348" t="inlineStr">
        <is>
          <t>bb</t>
        </is>
      </c>
      <c r="I348" t="n">
        <v>864.466</v>
      </c>
    </row>
    <row r="349">
      <c r="A349" t="n">
        <v>27</v>
      </c>
      <c r="B349" t="inlineStr">
        <is>
          <t>K3-4C</t>
        </is>
      </c>
      <c r="D349" t="n">
        <v>6.49</v>
      </c>
      <c r="E349" t="n">
        <v>1021.648</v>
      </c>
      <c r="G349" t="n">
        <v>171.405</v>
      </c>
      <c r="H349" t="inlineStr">
        <is>
          <t>bb</t>
        </is>
      </c>
      <c r="I349" t="n">
        <v>1021.648</v>
      </c>
    </row>
    <row r="350">
      <c r="A350" t="n">
        <v>28</v>
      </c>
      <c r="B350" t="inlineStr">
        <is>
          <t>MeOH</t>
        </is>
      </c>
    </row>
    <row r="351">
      <c r="A351" t="n">
        <v>29</v>
      </c>
      <c r="B351" t="inlineStr">
        <is>
          <t>K3-6A</t>
        </is>
      </c>
      <c r="D351" t="n">
        <v>6.55</v>
      </c>
      <c r="E351" t="n">
        <v>688.995</v>
      </c>
      <c r="G351" t="n">
        <v>7745</v>
      </c>
      <c r="H351" t="inlineStr">
        <is>
          <t>bb</t>
        </is>
      </c>
      <c r="I351" t="n">
        <v>688.995</v>
      </c>
    </row>
    <row r="352">
      <c r="A352" t="n">
        <v>30</v>
      </c>
      <c r="B352" t="inlineStr">
        <is>
          <t>K3-6B</t>
        </is>
      </c>
      <c r="D352" t="n">
        <v>6.51</v>
      </c>
      <c r="E352" t="n">
        <v>917.0549999999999</v>
      </c>
      <c r="G352" t="n">
        <v>5.56</v>
      </c>
      <c r="H352" t="inlineStr">
        <is>
          <t>bb</t>
        </is>
      </c>
      <c r="I352" t="n">
        <v>917.0549999999999</v>
      </c>
    </row>
    <row r="353">
      <c r="A353" t="n">
        <v>31</v>
      </c>
      <c r="B353" t="inlineStr">
        <is>
          <t>K3-6C</t>
        </is>
      </c>
      <c r="D353" t="n">
        <v>6.5</v>
      </c>
      <c r="E353" t="n">
        <v>939.455</v>
      </c>
      <c r="G353" t="n">
        <v>164.558</v>
      </c>
      <c r="H353" t="inlineStr">
        <is>
          <t>bb</t>
        </is>
      </c>
      <c r="I353" t="n">
        <v>939.455</v>
      </c>
    </row>
    <row r="355">
      <c r="A355" t="inlineStr">
        <is>
          <t>Compound 11:  PFO5HxA</t>
        </is>
      </c>
    </row>
    <row r="357">
      <c r="B357" t="inlineStr">
        <is>
          <t>Sample Text</t>
        </is>
      </c>
      <c r="C357" t="inlineStr">
        <is>
          <t>Std. Conc</t>
        </is>
      </c>
      <c r="D357" t="inlineStr">
        <is>
          <t>RT</t>
        </is>
      </c>
      <c r="E357" t="inlineStr">
        <is>
          <t>Area</t>
        </is>
      </c>
      <c r="F357" t="inlineStr">
        <is>
          <t>IS Area</t>
        </is>
      </c>
      <c r="G357" t="inlineStr">
        <is>
          <t>S/N</t>
        </is>
      </c>
      <c r="H357" t="inlineStr">
        <is>
          <t>Primary Flags</t>
        </is>
      </c>
      <c r="I357" t="inlineStr">
        <is>
          <t>Response</t>
        </is>
      </c>
      <c r="J357" t="inlineStr">
        <is>
          <t>Conc.</t>
        </is>
      </c>
    </row>
    <row r="358">
      <c r="A358" t="n">
        <v>1</v>
      </c>
      <c r="B358" t="inlineStr">
        <is>
          <t>K4-1A</t>
        </is>
      </c>
      <c r="F358" t="n">
        <v>1575.246</v>
      </c>
    </row>
    <row r="359">
      <c r="A359" t="n">
        <v>2</v>
      </c>
      <c r="B359" t="inlineStr">
        <is>
          <t>K4-1B</t>
        </is>
      </c>
      <c r="F359" t="n">
        <v>1550.869</v>
      </c>
    </row>
    <row r="360">
      <c r="A360" t="n">
        <v>3</v>
      </c>
      <c r="B360" t="inlineStr">
        <is>
          <t>K4-1C</t>
        </is>
      </c>
      <c r="F360" t="n">
        <v>1163.846</v>
      </c>
    </row>
    <row r="361">
      <c r="A361" t="n">
        <v>4</v>
      </c>
      <c r="B361" t="inlineStr">
        <is>
          <t>K4-2A</t>
        </is>
      </c>
      <c r="F361" t="n">
        <v>1084.067</v>
      </c>
    </row>
    <row r="362">
      <c r="A362" t="n">
        <v>5</v>
      </c>
      <c r="B362" t="inlineStr">
        <is>
          <t>K4-2B</t>
        </is>
      </c>
      <c r="F362" t="n">
        <v>1044.51</v>
      </c>
    </row>
    <row r="363">
      <c r="A363" t="n">
        <v>6</v>
      </c>
      <c r="B363" t="inlineStr">
        <is>
          <t>K4-2C</t>
        </is>
      </c>
      <c r="F363" t="n">
        <v>1020.096</v>
      </c>
    </row>
    <row r="364">
      <c r="A364" t="n">
        <v>7</v>
      </c>
      <c r="B364" t="inlineStr">
        <is>
          <t>MeOH</t>
        </is>
      </c>
    </row>
    <row r="365">
      <c r="A365" t="n">
        <v>8</v>
      </c>
      <c r="B365" t="inlineStr">
        <is>
          <t>K4-4A</t>
        </is>
      </c>
      <c r="D365" t="n">
        <v>7.17</v>
      </c>
      <c r="E365" t="n">
        <v>0.869</v>
      </c>
      <c r="F365" t="n">
        <v>1051.351</v>
      </c>
      <c r="G365" t="n">
        <v>16</v>
      </c>
      <c r="H365" t="inlineStr">
        <is>
          <t>bb</t>
        </is>
      </c>
    </row>
    <row r="366">
      <c r="A366" t="n">
        <v>9</v>
      </c>
      <c r="B366" t="inlineStr">
        <is>
          <t>K4-4B</t>
        </is>
      </c>
      <c r="D366" t="n">
        <v>7.44</v>
      </c>
      <c r="E366" t="n">
        <v>3.621</v>
      </c>
      <c r="F366" t="n">
        <v>1035.151</v>
      </c>
      <c r="G366" t="n">
        <v>61</v>
      </c>
      <c r="H366" t="inlineStr">
        <is>
          <t>bb</t>
        </is>
      </c>
    </row>
    <row r="367">
      <c r="A367" t="n">
        <v>10</v>
      </c>
      <c r="B367" t="inlineStr">
        <is>
          <t>K4-4C</t>
        </is>
      </c>
      <c r="F367" t="n">
        <v>822.99</v>
      </c>
    </row>
    <row r="368">
      <c r="A368" t="n">
        <v>11</v>
      </c>
      <c r="B368" t="inlineStr">
        <is>
          <t>K4-5A</t>
        </is>
      </c>
      <c r="F368" t="n">
        <v>985.0170000000001</v>
      </c>
    </row>
    <row r="369">
      <c r="A369" t="n">
        <v>12</v>
      </c>
      <c r="B369" t="inlineStr">
        <is>
          <t>K4-5B</t>
        </is>
      </c>
      <c r="F369" t="n">
        <v>1024.411</v>
      </c>
    </row>
    <row r="370">
      <c r="A370" t="n">
        <v>13</v>
      </c>
      <c r="B370" t="inlineStr">
        <is>
          <t>K4-5C</t>
        </is>
      </c>
      <c r="F370" t="n">
        <v>1313.31</v>
      </c>
    </row>
    <row r="371">
      <c r="A371" t="n">
        <v>14</v>
      </c>
      <c r="B371" t="inlineStr">
        <is>
          <t>MeOH</t>
        </is>
      </c>
    </row>
    <row r="372">
      <c r="A372" t="n">
        <v>15</v>
      </c>
      <c r="B372" t="inlineStr">
        <is>
          <t>K3-1A</t>
        </is>
      </c>
      <c r="F372" t="n">
        <v>1115.547</v>
      </c>
    </row>
    <row r="373">
      <c r="A373" t="n">
        <v>16</v>
      </c>
      <c r="B373" t="inlineStr">
        <is>
          <t>K3-1B</t>
        </is>
      </c>
      <c r="F373" t="n">
        <v>868.492</v>
      </c>
    </row>
    <row r="374">
      <c r="A374" t="n">
        <v>17</v>
      </c>
      <c r="B374" t="inlineStr">
        <is>
          <t>K3-1C</t>
        </is>
      </c>
      <c r="D374" t="n">
        <v>7.27</v>
      </c>
      <c r="E374" t="n">
        <v>0.122</v>
      </c>
      <c r="F374" t="n">
        <v>1891.713</v>
      </c>
      <c r="G374" t="n">
        <v>2</v>
      </c>
      <c r="H374" t="inlineStr">
        <is>
          <t>bb</t>
        </is>
      </c>
    </row>
    <row r="375">
      <c r="A375" t="n">
        <v>18</v>
      </c>
      <c r="B375" t="inlineStr">
        <is>
          <t>K3-2A</t>
        </is>
      </c>
      <c r="F375" t="n">
        <v>1176.041</v>
      </c>
    </row>
    <row r="376">
      <c r="A376" t="n">
        <v>19</v>
      </c>
      <c r="B376" t="inlineStr">
        <is>
          <t>K3-2B</t>
        </is>
      </c>
      <c r="F376" t="n">
        <v>1321.349</v>
      </c>
    </row>
    <row r="377">
      <c r="A377" t="n">
        <v>20</v>
      </c>
      <c r="B377" t="inlineStr">
        <is>
          <t>K3-2C</t>
        </is>
      </c>
      <c r="F377" t="n">
        <v>1479.533</v>
      </c>
    </row>
    <row r="378">
      <c r="A378" t="n">
        <v>21</v>
      </c>
      <c r="B378" t="inlineStr">
        <is>
          <t>MeOH</t>
        </is>
      </c>
    </row>
    <row r="379">
      <c r="A379" t="n">
        <v>22</v>
      </c>
      <c r="B379" t="inlineStr">
        <is>
          <t>K3-3A</t>
        </is>
      </c>
      <c r="F379" t="n">
        <v>1517.701</v>
      </c>
    </row>
    <row r="380">
      <c r="A380" t="n">
        <v>23</v>
      </c>
      <c r="B380" t="inlineStr">
        <is>
          <t>K3-3B</t>
        </is>
      </c>
      <c r="F380" t="n">
        <v>1453.885</v>
      </c>
    </row>
    <row r="381">
      <c r="A381" t="n">
        <v>24</v>
      </c>
      <c r="B381" t="inlineStr">
        <is>
          <t>K3-3C</t>
        </is>
      </c>
      <c r="F381" t="n">
        <v>1930.228</v>
      </c>
    </row>
    <row r="382">
      <c r="A382" t="n">
        <v>25</v>
      </c>
      <c r="B382" t="inlineStr">
        <is>
          <t>K3-4A</t>
        </is>
      </c>
      <c r="D382" t="n">
        <v>7.78</v>
      </c>
      <c r="E382" t="n">
        <v>2.852</v>
      </c>
      <c r="F382" t="n">
        <v>2454.78</v>
      </c>
      <c r="G382" t="n">
        <v>57</v>
      </c>
      <c r="H382" t="inlineStr">
        <is>
          <t>bb</t>
        </is>
      </c>
    </row>
    <row r="383">
      <c r="A383" t="n">
        <v>26</v>
      </c>
      <c r="B383" t="inlineStr">
        <is>
          <t>K3-4B</t>
        </is>
      </c>
      <c r="F383" t="n">
        <v>2046.805</v>
      </c>
    </row>
    <row r="384">
      <c r="A384" t="n">
        <v>27</v>
      </c>
      <c r="B384" t="inlineStr">
        <is>
          <t>K3-4C</t>
        </is>
      </c>
      <c r="F384" t="n">
        <v>1963.707</v>
      </c>
    </row>
    <row r="385">
      <c r="A385" t="n">
        <v>28</v>
      </c>
      <c r="B385" t="inlineStr">
        <is>
          <t>MeOH</t>
        </is>
      </c>
      <c r="H385" t="inlineStr">
        <is>
          <t>MM-</t>
        </is>
      </c>
    </row>
    <row r="386">
      <c r="A386" t="n">
        <v>29</v>
      </c>
      <c r="B386" t="inlineStr">
        <is>
          <t>K3-6A</t>
        </is>
      </c>
      <c r="F386" t="n">
        <v>2063.159</v>
      </c>
    </row>
    <row r="387">
      <c r="A387" t="n">
        <v>30</v>
      </c>
      <c r="B387" t="inlineStr">
        <is>
          <t>K3-6B</t>
        </is>
      </c>
      <c r="F387" t="n">
        <v>1701.403</v>
      </c>
    </row>
    <row r="388">
      <c r="A388" t="n">
        <v>31</v>
      </c>
      <c r="B388" t="inlineStr">
        <is>
          <t>K3-6C</t>
        </is>
      </c>
      <c r="F388" t="n">
        <v>1921.069</v>
      </c>
    </row>
    <row r="390">
      <c r="A390" t="inlineStr">
        <is>
          <t>Compound 12:  HFPO-DA</t>
        </is>
      </c>
    </row>
    <row r="392">
      <c r="B392" t="inlineStr">
        <is>
          <t>Sample Text</t>
        </is>
      </c>
      <c r="C392" t="inlineStr">
        <is>
          <t>Std. Conc</t>
        </is>
      </c>
      <c r="D392" t="inlineStr">
        <is>
          <t>RT</t>
        </is>
      </c>
      <c r="E392" t="inlineStr">
        <is>
          <t>Area</t>
        </is>
      </c>
      <c r="F392" t="inlineStr">
        <is>
          <t>IS Area</t>
        </is>
      </c>
      <c r="G392" t="inlineStr">
        <is>
          <t>S/N</t>
        </is>
      </c>
      <c r="H392" t="inlineStr">
        <is>
          <t>Primary Flags</t>
        </is>
      </c>
      <c r="I392" t="inlineStr">
        <is>
          <t>Response</t>
        </is>
      </c>
      <c r="J392" t="inlineStr">
        <is>
          <t>Conc.</t>
        </is>
      </c>
    </row>
    <row r="393">
      <c r="A393" t="n">
        <v>1</v>
      </c>
      <c r="B393" t="inlineStr">
        <is>
          <t>K4-1A</t>
        </is>
      </c>
      <c r="F393" t="n">
        <v>5.439</v>
      </c>
    </row>
    <row r="394">
      <c r="A394" t="n">
        <v>2</v>
      </c>
      <c r="B394" t="inlineStr">
        <is>
          <t>K4-1B</t>
        </is>
      </c>
    </row>
    <row r="395">
      <c r="A395" t="n">
        <v>3</v>
      </c>
      <c r="B395" t="inlineStr">
        <is>
          <t>K4-1C</t>
        </is>
      </c>
    </row>
    <row r="396">
      <c r="A396" t="n">
        <v>4</v>
      </c>
      <c r="B396" t="inlineStr">
        <is>
          <t>K4-2A</t>
        </is>
      </c>
    </row>
    <row r="397">
      <c r="A397" t="n">
        <v>5</v>
      </c>
      <c r="B397" t="inlineStr">
        <is>
          <t>K4-2B</t>
        </is>
      </c>
    </row>
    <row r="398">
      <c r="A398" t="n">
        <v>6</v>
      </c>
      <c r="B398" t="inlineStr">
        <is>
          <t>K4-2C</t>
        </is>
      </c>
      <c r="F398" t="n">
        <v>1.714</v>
      </c>
    </row>
    <row r="399">
      <c r="A399" t="n">
        <v>7</v>
      </c>
      <c r="B399" t="inlineStr">
        <is>
          <t>MeOH</t>
        </is>
      </c>
    </row>
    <row r="400">
      <c r="A400" t="n">
        <v>8</v>
      </c>
      <c r="B400" t="inlineStr">
        <is>
          <t>K4-4A</t>
        </is>
      </c>
    </row>
    <row r="401">
      <c r="A401" t="n">
        <v>9</v>
      </c>
      <c r="B401" t="inlineStr">
        <is>
          <t>K4-4B</t>
        </is>
      </c>
    </row>
    <row r="402">
      <c r="A402" t="n">
        <v>10</v>
      </c>
      <c r="B402" t="inlineStr">
        <is>
          <t>K4-4C</t>
        </is>
      </c>
      <c r="F402" t="n">
        <v>0.65</v>
      </c>
    </row>
    <row r="403">
      <c r="A403" t="n">
        <v>11</v>
      </c>
      <c r="B403" t="inlineStr">
        <is>
          <t>K4-5A</t>
        </is>
      </c>
    </row>
    <row r="404">
      <c r="A404" t="n">
        <v>12</v>
      </c>
      <c r="B404" t="inlineStr">
        <is>
          <t>K4-5B</t>
        </is>
      </c>
    </row>
    <row r="405">
      <c r="A405" t="n">
        <v>13</v>
      </c>
      <c r="B405" t="inlineStr">
        <is>
          <t>K4-5C</t>
        </is>
      </c>
      <c r="F405" t="n">
        <v>41.611</v>
      </c>
    </row>
    <row r="406">
      <c r="A406" t="n">
        <v>14</v>
      </c>
      <c r="B406" t="inlineStr">
        <is>
          <t>MeOH</t>
        </is>
      </c>
    </row>
    <row r="407">
      <c r="A407" t="n">
        <v>15</v>
      </c>
      <c r="B407" t="inlineStr">
        <is>
          <t>K3-1A</t>
        </is>
      </c>
      <c r="F407" t="n">
        <v>3.11</v>
      </c>
    </row>
    <row r="408">
      <c r="A408" t="n">
        <v>16</v>
      </c>
      <c r="B408" t="inlineStr">
        <is>
          <t>K3-1B</t>
        </is>
      </c>
    </row>
    <row r="409">
      <c r="A409" t="n">
        <v>17</v>
      </c>
      <c r="B409" t="inlineStr">
        <is>
          <t>K3-1C</t>
        </is>
      </c>
      <c r="F409" t="n">
        <v>8.337999999999999</v>
      </c>
    </row>
    <row r="410">
      <c r="A410" t="n">
        <v>18</v>
      </c>
      <c r="B410" t="inlineStr">
        <is>
          <t>K3-2A</t>
        </is>
      </c>
      <c r="F410" t="n">
        <v>4.234</v>
      </c>
    </row>
    <row r="411">
      <c r="A411" t="n">
        <v>19</v>
      </c>
      <c r="B411" t="inlineStr">
        <is>
          <t>K3-2B</t>
        </is>
      </c>
      <c r="F411" t="n">
        <v>18.982</v>
      </c>
    </row>
    <row r="412">
      <c r="A412" t="n">
        <v>20</v>
      </c>
      <c r="B412" t="inlineStr">
        <is>
          <t>K3-2C</t>
        </is>
      </c>
    </row>
    <row r="413">
      <c r="A413" t="n">
        <v>21</v>
      </c>
      <c r="B413" t="inlineStr">
        <is>
          <t>MeOH</t>
        </is>
      </c>
    </row>
    <row r="414">
      <c r="A414" t="n">
        <v>22</v>
      </c>
      <c r="B414" t="inlineStr">
        <is>
          <t>K3-3A</t>
        </is>
      </c>
      <c r="F414" t="n">
        <v>3.454</v>
      </c>
    </row>
    <row r="415">
      <c r="A415" t="n">
        <v>23</v>
      </c>
      <c r="B415" t="inlineStr">
        <is>
          <t>K3-3B</t>
        </is>
      </c>
      <c r="F415" t="n">
        <v>54.989</v>
      </c>
    </row>
    <row r="416">
      <c r="A416" t="n">
        <v>24</v>
      </c>
      <c r="B416" t="inlineStr">
        <is>
          <t>K3-3C</t>
        </is>
      </c>
      <c r="F416" t="n">
        <v>21.381</v>
      </c>
    </row>
    <row r="417">
      <c r="A417" t="n">
        <v>25</v>
      </c>
      <c r="B417" t="inlineStr">
        <is>
          <t>K3-4A</t>
        </is>
      </c>
      <c r="F417" t="n">
        <v>24.86</v>
      </c>
    </row>
    <row r="418">
      <c r="A418" t="n">
        <v>26</v>
      </c>
      <c r="B418" t="inlineStr">
        <is>
          <t>K3-4B</t>
        </is>
      </c>
      <c r="F418" t="n">
        <v>21.177</v>
      </c>
    </row>
    <row r="419">
      <c r="A419" t="n">
        <v>27</v>
      </c>
      <c r="B419" t="inlineStr">
        <is>
          <t>K3-4C</t>
        </is>
      </c>
      <c r="F419" t="n">
        <v>22.158</v>
      </c>
    </row>
    <row r="420">
      <c r="A420" t="n">
        <v>28</v>
      </c>
      <c r="B420" t="inlineStr">
        <is>
          <t>MeOH</t>
        </is>
      </c>
    </row>
    <row r="421">
      <c r="A421" t="n">
        <v>29</v>
      </c>
      <c r="B421" t="inlineStr">
        <is>
          <t>K3-6A</t>
        </is>
      </c>
      <c r="F421" t="n">
        <v>13.489</v>
      </c>
    </row>
    <row r="422">
      <c r="A422" t="n">
        <v>30</v>
      </c>
      <c r="B422" t="inlineStr">
        <is>
          <t>K3-6B</t>
        </is>
      </c>
      <c r="F422" t="n">
        <v>8.116</v>
      </c>
    </row>
    <row r="423">
      <c r="A423" t="n">
        <v>31</v>
      </c>
      <c r="B423" t="inlineStr">
        <is>
          <t>K3-6C</t>
        </is>
      </c>
      <c r="F423" t="n">
        <v>1.634</v>
      </c>
    </row>
    <row r="425">
      <c r="A425" t="inlineStr">
        <is>
          <t>Compound 13:  m3 HFPO-DA</t>
        </is>
      </c>
    </row>
    <row r="427">
      <c r="B427" t="inlineStr">
        <is>
          <t>Sample Text</t>
        </is>
      </c>
      <c r="C427" t="inlineStr">
        <is>
          <t>Std. Conc</t>
        </is>
      </c>
      <c r="D427" t="inlineStr">
        <is>
          <t>RT</t>
        </is>
      </c>
      <c r="E427" t="inlineStr">
        <is>
          <t>Area</t>
        </is>
      </c>
      <c r="F427" t="inlineStr">
        <is>
          <t>IS Area</t>
        </is>
      </c>
      <c r="G427" t="inlineStr">
        <is>
          <t>S/N</t>
        </is>
      </c>
      <c r="H427" t="inlineStr">
        <is>
          <t>Primary Flags</t>
        </is>
      </c>
      <c r="I427" t="inlineStr">
        <is>
          <t>Response</t>
        </is>
      </c>
      <c r="J427" t="inlineStr">
        <is>
          <t>Conc.</t>
        </is>
      </c>
    </row>
    <row r="428">
      <c r="A428" t="n">
        <v>1</v>
      </c>
      <c r="B428" t="inlineStr">
        <is>
          <t>K4-1A</t>
        </is>
      </c>
      <c r="D428" t="n">
        <v>9.5</v>
      </c>
      <c r="E428" t="n">
        <v>5.439</v>
      </c>
      <c r="G428" t="n">
        <v>63</v>
      </c>
      <c r="H428" t="inlineStr">
        <is>
          <t>bb</t>
        </is>
      </c>
      <c r="I428" t="n">
        <v>5.439</v>
      </c>
    </row>
    <row r="429">
      <c r="A429" t="n">
        <v>2</v>
      </c>
      <c r="B429" t="inlineStr">
        <is>
          <t>K4-1B</t>
        </is>
      </c>
    </row>
    <row r="430">
      <c r="A430" t="n">
        <v>3</v>
      </c>
      <c r="B430" t="inlineStr">
        <is>
          <t>K4-1C</t>
        </is>
      </c>
    </row>
    <row r="431">
      <c r="A431" t="n">
        <v>4</v>
      </c>
      <c r="B431" t="inlineStr">
        <is>
          <t>K4-2A</t>
        </is>
      </c>
    </row>
    <row r="432">
      <c r="A432" t="n">
        <v>5</v>
      </c>
      <c r="B432" t="inlineStr">
        <is>
          <t>K4-2B</t>
        </is>
      </c>
    </row>
    <row r="433">
      <c r="A433" t="n">
        <v>6</v>
      </c>
      <c r="B433" t="inlineStr">
        <is>
          <t>K4-2C</t>
        </is>
      </c>
      <c r="D433" t="n">
        <v>9.56</v>
      </c>
      <c r="E433" t="n">
        <v>1.714</v>
      </c>
      <c r="G433" t="n">
        <v>19</v>
      </c>
      <c r="H433" t="inlineStr">
        <is>
          <t>bb</t>
        </is>
      </c>
      <c r="I433" t="n">
        <v>1.714</v>
      </c>
    </row>
    <row r="434">
      <c r="A434" t="n">
        <v>7</v>
      </c>
      <c r="B434" t="inlineStr">
        <is>
          <t>MeOH</t>
        </is>
      </c>
    </row>
    <row r="435">
      <c r="A435" t="n">
        <v>8</v>
      </c>
      <c r="B435" t="inlineStr">
        <is>
          <t>K4-4A</t>
        </is>
      </c>
    </row>
    <row r="436">
      <c r="A436" t="n">
        <v>9</v>
      </c>
      <c r="B436" t="inlineStr">
        <is>
          <t>K4-4B</t>
        </is>
      </c>
    </row>
    <row r="437">
      <c r="A437" t="n">
        <v>10</v>
      </c>
      <c r="B437" t="inlineStr">
        <is>
          <t>K4-4C</t>
        </is>
      </c>
      <c r="D437" t="n">
        <v>9.58</v>
      </c>
      <c r="E437" t="n">
        <v>0.65</v>
      </c>
      <c r="G437" t="n">
        <v>7</v>
      </c>
      <c r="H437" t="inlineStr">
        <is>
          <t>bb</t>
        </is>
      </c>
      <c r="I437" t="n">
        <v>0.65</v>
      </c>
    </row>
    <row r="438">
      <c r="A438" t="n">
        <v>11</v>
      </c>
      <c r="B438" t="inlineStr">
        <is>
          <t>K4-5A</t>
        </is>
      </c>
    </row>
    <row r="439">
      <c r="A439" t="n">
        <v>12</v>
      </c>
      <c r="B439" t="inlineStr">
        <is>
          <t>K4-5B</t>
        </is>
      </c>
    </row>
    <row r="440">
      <c r="A440" t="n">
        <v>13</v>
      </c>
      <c r="B440" t="inlineStr">
        <is>
          <t>K4-5C</t>
        </is>
      </c>
      <c r="D440" t="n">
        <v>9.449999999999999</v>
      </c>
      <c r="E440" t="n">
        <v>41.611</v>
      </c>
      <c r="G440" t="n">
        <v>3.547</v>
      </c>
      <c r="H440" t="inlineStr">
        <is>
          <t>bb</t>
        </is>
      </c>
      <c r="I440" t="n">
        <v>41.611</v>
      </c>
    </row>
    <row r="441">
      <c r="A441" t="n">
        <v>14</v>
      </c>
      <c r="B441" t="inlineStr">
        <is>
          <t>MeOH</t>
        </is>
      </c>
    </row>
    <row r="442">
      <c r="A442" t="n">
        <v>15</v>
      </c>
      <c r="B442" t="inlineStr">
        <is>
          <t>K3-1A</t>
        </is>
      </c>
      <c r="D442" t="n">
        <v>9.359999999999999</v>
      </c>
      <c r="E442" t="n">
        <v>3.11</v>
      </c>
      <c r="G442" t="n">
        <v>38</v>
      </c>
      <c r="H442" t="inlineStr">
        <is>
          <t>bb</t>
        </is>
      </c>
      <c r="I442" t="n">
        <v>3.11</v>
      </c>
    </row>
    <row r="443">
      <c r="A443" t="n">
        <v>16</v>
      </c>
      <c r="B443" t="inlineStr">
        <is>
          <t>K3-1B</t>
        </is>
      </c>
    </row>
    <row r="444">
      <c r="A444" t="n">
        <v>17</v>
      </c>
      <c r="B444" t="inlineStr">
        <is>
          <t>K3-1C</t>
        </is>
      </c>
      <c r="D444" t="n">
        <v>9.390000000000001</v>
      </c>
      <c r="E444" t="n">
        <v>8.337999999999999</v>
      </c>
      <c r="G444" t="n">
        <v>98</v>
      </c>
      <c r="H444" t="inlineStr">
        <is>
          <t>bb</t>
        </is>
      </c>
      <c r="I444" t="n">
        <v>8.337999999999999</v>
      </c>
    </row>
    <row r="445">
      <c r="A445" t="n">
        <v>18</v>
      </c>
      <c r="B445" t="inlineStr">
        <is>
          <t>K3-2A</t>
        </is>
      </c>
      <c r="D445" t="n">
        <v>9.449999999999999</v>
      </c>
      <c r="E445" t="n">
        <v>4.234</v>
      </c>
      <c r="G445" t="n">
        <v>51</v>
      </c>
      <c r="H445" t="inlineStr">
        <is>
          <t>bb</t>
        </is>
      </c>
      <c r="I445" t="n">
        <v>4.234</v>
      </c>
    </row>
    <row r="446">
      <c r="A446" t="n">
        <v>19</v>
      </c>
      <c r="B446" t="inlineStr">
        <is>
          <t>K3-2B</t>
        </is>
      </c>
      <c r="D446" t="n">
        <v>9.449999999999999</v>
      </c>
      <c r="E446" t="n">
        <v>18.982</v>
      </c>
      <c r="G446" t="n">
        <v>216</v>
      </c>
      <c r="H446" t="inlineStr">
        <is>
          <t>bb</t>
        </is>
      </c>
      <c r="I446" t="n">
        <v>18.982</v>
      </c>
    </row>
    <row r="447">
      <c r="A447" t="n">
        <v>20</v>
      </c>
      <c r="B447" t="inlineStr">
        <is>
          <t>K3-2C</t>
        </is>
      </c>
    </row>
    <row r="448">
      <c r="A448" t="n">
        <v>21</v>
      </c>
      <c r="B448" t="inlineStr">
        <is>
          <t>MeOH</t>
        </is>
      </c>
    </row>
    <row r="449">
      <c r="A449" t="n">
        <v>22</v>
      </c>
      <c r="B449" t="inlineStr">
        <is>
          <t>K3-3A</t>
        </is>
      </c>
      <c r="D449" t="n">
        <v>9.460000000000001</v>
      </c>
      <c r="E449" t="n">
        <v>3.454</v>
      </c>
      <c r="G449" t="n">
        <v>41</v>
      </c>
      <c r="H449" t="inlineStr">
        <is>
          <t>bb</t>
        </is>
      </c>
      <c r="I449" t="n">
        <v>3.454</v>
      </c>
    </row>
    <row r="450">
      <c r="A450" t="n">
        <v>23</v>
      </c>
      <c r="B450" t="inlineStr">
        <is>
          <t>K3-3B</t>
        </is>
      </c>
      <c r="D450" t="n">
        <v>9.49</v>
      </c>
      <c r="E450" t="n">
        <v>54.989</v>
      </c>
      <c r="G450" t="n">
        <v>605</v>
      </c>
      <c r="H450" t="inlineStr">
        <is>
          <t>bb</t>
        </is>
      </c>
      <c r="I450" t="n">
        <v>54.989</v>
      </c>
    </row>
    <row r="451">
      <c r="A451" t="n">
        <v>24</v>
      </c>
      <c r="B451" t="inlineStr">
        <is>
          <t>K3-3C</t>
        </is>
      </c>
      <c r="D451" t="n">
        <v>9.539999999999999</v>
      </c>
      <c r="E451" t="n">
        <v>21.381</v>
      </c>
      <c r="G451" t="n">
        <v>4.425</v>
      </c>
      <c r="H451" t="inlineStr">
        <is>
          <t>bb</t>
        </is>
      </c>
      <c r="I451" t="n">
        <v>21.381</v>
      </c>
    </row>
    <row r="452">
      <c r="A452" t="n">
        <v>25</v>
      </c>
      <c r="B452" t="inlineStr">
        <is>
          <t>K3-4A</t>
        </is>
      </c>
      <c r="D452" t="n">
        <v>9.56</v>
      </c>
      <c r="E452" t="n">
        <v>24.86</v>
      </c>
      <c r="G452" t="n">
        <v>256</v>
      </c>
      <c r="H452" t="inlineStr">
        <is>
          <t>bb</t>
        </is>
      </c>
      <c r="I452" t="n">
        <v>24.86</v>
      </c>
    </row>
    <row r="453">
      <c r="A453" t="n">
        <v>26</v>
      </c>
      <c r="B453" t="inlineStr">
        <is>
          <t>K3-4B</t>
        </is>
      </c>
      <c r="D453" t="n">
        <v>9.51</v>
      </c>
      <c r="E453" t="n">
        <v>21.177</v>
      </c>
      <c r="G453" t="n">
        <v>237</v>
      </c>
      <c r="H453" t="inlineStr">
        <is>
          <t>bb</t>
        </is>
      </c>
      <c r="I453" t="n">
        <v>21.177</v>
      </c>
    </row>
    <row r="454">
      <c r="A454" t="n">
        <v>27</v>
      </c>
      <c r="B454" t="inlineStr">
        <is>
          <t>K3-4C</t>
        </is>
      </c>
      <c r="D454" t="n">
        <v>9.59</v>
      </c>
      <c r="E454" t="n">
        <v>22.158</v>
      </c>
      <c r="G454" t="n">
        <v>227</v>
      </c>
      <c r="H454" t="inlineStr">
        <is>
          <t>bb</t>
        </is>
      </c>
      <c r="I454" t="n">
        <v>22.158</v>
      </c>
    </row>
    <row r="455">
      <c r="A455" t="n">
        <v>28</v>
      </c>
      <c r="B455" t="inlineStr">
        <is>
          <t>MeOH</t>
        </is>
      </c>
      <c r="H455" t="inlineStr">
        <is>
          <t>MM-</t>
        </is>
      </c>
    </row>
    <row r="456">
      <c r="A456" t="n">
        <v>29</v>
      </c>
      <c r="B456" t="inlineStr">
        <is>
          <t>K3-6A</t>
        </is>
      </c>
      <c r="D456" t="n">
        <v>9.6</v>
      </c>
      <c r="E456" t="n">
        <v>13.489</v>
      </c>
      <c r="G456" t="n">
        <v>149</v>
      </c>
      <c r="H456" t="inlineStr">
        <is>
          <t>bb</t>
        </is>
      </c>
      <c r="I456" t="n">
        <v>13.489</v>
      </c>
    </row>
    <row r="457">
      <c r="A457" t="n">
        <v>30</v>
      </c>
      <c r="B457" t="inlineStr">
        <is>
          <t>K3-6B</t>
        </is>
      </c>
      <c r="D457" t="n">
        <v>9.56</v>
      </c>
      <c r="E457" t="n">
        <v>8.116</v>
      </c>
      <c r="G457" t="n">
        <v>88</v>
      </c>
      <c r="H457" t="inlineStr">
        <is>
          <t>bb</t>
        </is>
      </c>
      <c r="I457" t="n">
        <v>8.116</v>
      </c>
    </row>
    <row r="458">
      <c r="A458" t="n">
        <v>31</v>
      </c>
      <c r="B458" t="inlineStr">
        <is>
          <t>K3-6C</t>
        </is>
      </c>
      <c r="D458" t="n">
        <v>9.970000000000001</v>
      </c>
      <c r="E458" t="n">
        <v>1.634</v>
      </c>
      <c r="G458" t="n">
        <v>16</v>
      </c>
      <c r="H458" t="inlineStr">
        <is>
          <t>MM</t>
        </is>
      </c>
      <c r="I458" t="n">
        <v>1.634</v>
      </c>
    </row>
    <row r="460">
      <c r="A460" t="inlineStr">
        <is>
          <t>Compound 14:  3,6 OPFHpA 1</t>
        </is>
      </c>
    </row>
    <row r="462">
      <c r="B462" t="inlineStr">
        <is>
          <t>Sample Text</t>
        </is>
      </c>
      <c r="C462" t="inlineStr">
        <is>
          <t>Std. Conc</t>
        </is>
      </c>
      <c r="D462" t="inlineStr">
        <is>
          <t>RT</t>
        </is>
      </c>
      <c r="E462" t="inlineStr">
        <is>
          <t>Area</t>
        </is>
      </c>
      <c r="F462" t="inlineStr">
        <is>
          <t>IS Area</t>
        </is>
      </c>
      <c r="G462" t="inlineStr">
        <is>
          <t>S/N</t>
        </is>
      </c>
      <c r="H462" t="inlineStr">
        <is>
          <t>Primary Flags</t>
        </is>
      </c>
      <c r="I462" t="inlineStr">
        <is>
          <t>Response</t>
        </is>
      </c>
      <c r="J462" t="inlineStr">
        <is>
          <t>Conc.</t>
        </is>
      </c>
    </row>
    <row r="463">
      <c r="A463" t="n">
        <v>1</v>
      </c>
      <c r="B463" t="inlineStr">
        <is>
          <t>K4-1A</t>
        </is>
      </c>
      <c r="F463" t="n">
        <v>1575.246</v>
      </c>
    </row>
    <row r="464">
      <c r="A464" t="n">
        <v>2</v>
      </c>
      <c r="B464" t="inlineStr">
        <is>
          <t>K4-1B</t>
        </is>
      </c>
      <c r="F464" t="n">
        <v>1550.869</v>
      </c>
    </row>
    <row r="465">
      <c r="A465" t="n">
        <v>3</v>
      </c>
      <c r="B465" t="inlineStr">
        <is>
          <t>K4-1C</t>
        </is>
      </c>
      <c r="F465" t="n">
        <v>1163.846</v>
      </c>
    </row>
    <row r="466">
      <c r="A466" t="n">
        <v>4</v>
      </c>
      <c r="B466" t="inlineStr">
        <is>
          <t>K4-2A</t>
        </is>
      </c>
      <c r="F466" t="n">
        <v>1084.067</v>
      </c>
    </row>
    <row r="467">
      <c r="A467" t="n">
        <v>5</v>
      </c>
      <c r="B467" t="inlineStr">
        <is>
          <t>K4-2B</t>
        </is>
      </c>
      <c r="F467" t="n">
        <v>1044.51</v>
      </c>
    </row>
    <row r="468">
      <c r="A468" t="n">
        <v>6</v>
      </c>
      <c r="B468" t="inlineStr">
        <is>
          <t>K4-2C</t>
        </is>
      </c>
      <c r="F468" t="n">
        <v>1020.096</v>
      </c>
    </row>
    <row r="469">
      <c r="A469" t="n">
        <v>7</v>
      </c>
      <c r="B469" t="inlineStr">
        <is>
          <t>MeOH</t>
        </is>
      </c>
    </row>
    <row r="470">
      <c r="A470" t="n">
        <v>8</v>
      </c>
      <c r="B470" t="inlineStr">
        <is>
          <t>K4-4A</t>
        </is>
      </c>
      <c r="F470" t="n">
        <v>1051.351</v>
      </c>
    </row>
    <row r="471">
      <c r="A471" t="n">
        <v>9</v>
      </c>
      <c r="B471" t="inlineStr">
        <is>
          <t>K4-4B</t>
        </is>
      </c>
      <c r="F471" t="n">
        <v>1035.151</v>
      </c>
    </row>
    <row r="472">
      <c r="A472" t="n">
        <v>10</v>
      </c>
      <c r="B472" t="inlineStr">
        <is>
          <t>K4-4C</t>
        </is>
      </c>
      <c r="F472" t="n">
        <v>822.99</v>
      </c>
    </row>
    <row r="473">
      <c r="A473" t="n">
        <v>11</v>
      </c>
      <c r="B473" t="inlineStr">
        <is>
          <t>K4-5A</t>
        </is>
      </c>
      <c r="F473" t="n">
        <v>985.0170000000001</v>
      </c>
    </row>
    <row r="474">
      <c r="A474" t="n">
        <v>12</v>
      </c>
      <c r="B474" t="inlineStr">
        <is>
          <t>K4-5B</t>
        </is>
      </c>
      <c r="D474" t="n">
        <v>12.19</v>
      </c>
      <c r="E474" t="n">
        <v>0.583</v>
      </c>
      <c r="F474" t="n">
        <v>1024.411</v>
      </c>
      <c r="G474" t="n">
        <v>5</v>
      </c>
      <c r="H474" t="inlineStr">
        <is>
          <t>MM</t>
        </is>
      </c>
    </row>
    <row r="475">
      <c r="A475" t="n">
        <v>13</v>
      </c>
      <c r="B475" t="inlineStr">
        <is>
          <t>K4-5C</t>
        </is>
      </c>
      <c r="D475" t="n">
        <v>12.64</v>
      </c>
      <c r="E475" t="n">
        <v>0.5610000000000001</v>
      </c>
      <c r="F475" t="n">
        <v>1313.31</v>
      </c>
      <c r="G475" t="n">
        <v>5</v>
      </c>
      <c r="H475" t="inlineStr">
        <is>
          <t>MM</t>
        </is>
      </c>
    </row>
    <row r="476">
      <c r="A476" t="n">
        <v>14</v>
      </c>
      <c r="B476" t="inlineStr">
        <is>
          <t>MeOH</t>
        </is>
      </c>
    </row>
    <row r="477">
      <c r="A477" t="n">
        <v>15</v>
      </c>
      <c r="B477" t="inlineStr">
        <is>
          <t>K3-1A</t>
        </is>
      </c>
      <c r="F477" t="n">
        <v>1115.547</v>
      </c>
    </row>
    <row r="478">
      <c r="A478" t="n">
        <v>16</v>
      </c>
      <c r="B478" t="inlineStr">
        <is>
          <t>K3-1B</t>
        </is>
      </c>
      <c r="F478" t="n">
        <v>868.492</v>
      </c>
    </row>
    <row r="479">
      <c r="A479" t="n">
        <v>17</v>
      </c>
      <c r="B479" t="inlineStr">
        <is>
          <t>K3-1C</t>
        </is>
      </c>
      <c r="F479" t="n">
        <v>1891.713</v>
      </c>
    </row>
    <row r="480">
      <c r="A480" t="n">
        <v>18</v>
      </c>
      <c r="B480" t="inlineStr">
        <is>
          <t>K3-2A</t>
        </is>
      </c>
      <c r="F480" t="n">
        <v>1176.041</v>
      </c>
    </row>
    <row r="481">
      <c r="A481" t="n">
        <v>19</v>
      </c>
      <c r="B481" t="inlineStr">
        <is>
          <t>K3-2B</t>
        </is>
      </c>
      <c r="F481" t="n">
        <v>1321.349</v>
      </c>
    </row>
    <row r="482">
      <c r="A482" t="n">
        <v>20</v>
      </c>
      <c r="B482" t="inlineStr">
        <is>
          <t>K3-2C</t>
        </is>
      </c>
      <c r="F482" t="n">
        <v>1479.533</v>
      </c>
    </row>
    <row r="483">
      <c r="A483" t="n">
        <v>21</v>
      </c>
      <c r="B483" t="inlineStr">
        <is>
          <t>MeOH</t>
        </is>
      </c>
    </row>
    <row r="484">
      <c r="A484" t="n">
        <v>22</v>
      </c>
      <c r="B484" t="inlineStr">
        <is>
          <t>K3-3A</t>
        </is>
      </c>
      <c r="F484" t="n">
        <v>1517.701</v>
      </c>
    </row>
    <row r="485">
      <c r="A485" t="n">
        <v>23</v>
      </c>
      <c r="B485" t="inlineStr">
        <is>
          <t>K3-3B</t>
        </is>
      </c>
      <c r="F485" t="n">
        <v>1453.885</v>
      </c>
    </row>
    <row r="486">
      <c r="A486" t="n">
        <v>24</v>
      </c>
      <c r="B486" t="inlineStr">
        <is>
          <t>K3-3C</t>
        </is>
      </c>
      <c r="F486" t="n">
        <v>1930.228</v>
      </c>
    </row>
    <row r="487">
      <c r="A487" t="n">
        <v>25</v>
      </c>
      <c r="B487" t="inlineStr">
        <is>
          <t>K3-4A</t>
        </is>
      </c>
      <c r="F487" t="n">
        <v>2454.78</v>
      </c>
    </row>
    <row r="488">
      <c r="A488" t="n">
        <v>26</v>
      </c>
      <c r="B488" t="inlineStr">
        <is>
          <t>K3-4B</t>
        </is>
      </c>
      <c r="D488" t="n">
        <v>14.03</v>
      </c>
      <c r="E488" t="n">
        <v>0.336</v>
      </c>
      <c r="F488" t="n">
        <v>2046.805</v>
      </c>
      <c r="G488" t="n">
        <v>3</v>
      </c>
      <c r="H488" t="inlineStr">
        <is>
          <t>MM</t>
        </is>
      </c>
    </row>
    <row r="489">
      <c r="A489" t="n">
        <v>27</v>
      </c>
      <c r="B489" t="inlineStr">
        <is>
          <t>K3-4C</t>
        </is>
      </c>
      <c r="F489" t="n">
        <v>1963.707</v>
      </c>
    </row>
    <row r="490">
      <c r="A490" t="n">
        <v>28</v>
      </c>
      <c r="B490" t="inlineStr">
        <is>
          <t>MeOH</t>
        </is>
      </c>
    </row>
    <row r="491">
      <c r="A491" t="n">
        <v>29</v>
      </c>
      <c r="B491" t="inlineStr">
        <is>
          <t>K3-6A</t>
        </is>
      </c>
      <c r="F491" t="n">
        <v>2063.159</v>
      </c>
    </row>
    <row r="492">
      <c r="A492" t="n">
        <v>30</v>
      </c>
      <c r="B492" t="inlineStr">
        <is>
          <t>K3-6B</t>
        </is>
      </c>
      <c r="D492" t="n">
        <v>12.53</v>
      </c>
      <c r="E492" t="n">
        <v>1.2</v>
      </c>
      <c r="F492" t="n">
        <v>1701.403</v>
      </c>
      <c r="G492" t="n">
        <v>12</v>
      </c>
      <c r="H492" t="inlineStr">
        <is>
          <t>MM</t>
        </is>
      </c>
    </row>
    <row r="493">
      <c r="A493" t="n">
        <v>31</v>
      </c>
      <c r="B493" t="inlineStr">
        <is>
          <t>K3-6C</t>
        </is>
      </c>
      <c r="D493" t="n">
        <v>12.58</v>
      </c>
      <c r="E493" t="n">
        <v>10.922</v>
      </c>
      <c r="F493" t="n">
        <v>1921.069</v>
      </c>
      <c r="G493" t="n">
        <v>106</v>
      </c>
      <c r="H493" t="inlineStr">
        <is>
          <t>MM</t>
        </is>
      </c>
    </row>
    <row r="495">
      <c r="A495" t="inlineStr">
        <is>
          <t>Compound 15:  3,6 OPFHpA 2</t>
        </is>
      </c>
    </row>
    <row r="497">
      <c r="B497" t="inlineStr">
        <is>
          <t>Sample Text</t>
        </is>
      </c>
      <c r="C497" t="inlineStr">
        <is>
          <t>Std. Conc</t>
        </is>
      </c>
      <c r="D497" t="inlineStr">
        <is>
          <t>RT</t>
        </is>
      </c>
      <c r="E497" t="inlineStr">
        <is>
          <t>Area</t>
        </is>
      </c>
      <c r="F497" t="inlineStr">
        <is>
          <t>IS Area</t>
        </is>
      </c>
      <c r="G497" t="inlineStr">
        <is>
          <t>S/N</t>
        </is>
      </c>
      <c r="H497" t="inlineStr">
        <is>
          <t>Primary Flags</t>
        </is>
      </c>
      <c r="I497" t="inlineStr">
        <is>
          <t>Response</t>
        </is>
      </c>
      <c r="J497" t="inlineStr">
        <is>
          <t>Conc.</t>
        </is>
      </c>
    </row>
    <row r="498">
      <c r="A498" t="n">
        <v>1</v>
      </c>
      <c r="B498" t="inlineStr">
        <is>
          <t>K4-1A</t>
        </is>
      </c>
    </row>
    <row r="499">
      <c r="A499" t="n">
        <v>2</v>
      </c>
      <c r="B499" t="inlineStr">
        <is>
          <t>K4-1B</t>
        </is>
      </c>
    </row>
    <row r="500">
      <c r="A500" t="n">
        <v>3</v>
      </c>
      <c r="B500" t="inlineStr">
        <is>
          <t>K4-1C</t>
        </is>
      </c>
    </row>
    <row r="501">
      <c r="A501" t="n">
        <v>4</v>
      </c>
      <c r="B501" t="inlineStr">
        <is>
          <t>K4-2A</t>
        </is>
      </c>
      <c r="F501" t="n">
        <v>2.638</v>
      </c>
    </row>
    <row r="502">
      <c r="A502" t="n">
        <v>5</v>
      </c>
      <c r="B502" t="inlineStr">
        <is>
          <t>K4-2B</t>
        </is>
      </c>
    </row>
    <row r="503">
      <c r="A503" t="n">
        <v>6</v>
      </c>
      <c r="B503" t="inlineStr">
        <is>
          <t>K4-2C</t>
        </is>
      </c>
    </row>
    <row r="504">
      <c r="A504" t="n">
        <v>7</v>
      </c>
      <c r="B504" t="inlineStr">
        <is>
          <t>MeOH</t>
        </is>
      </c>
    </row>
    <row r="505">
      <c r="A505" t="n">
        <v>8</v>
      </c>
      <c r="B505" t="inlineStr">
        <is>
          <t>K4-4A</t>
        </is>
      </c>
    </row>
    <row r="506">
      <c r="A506" t="n">
        <v>9</v>
      </c>
      <c r="B506" t="inlineStr">
        <is>
          <t>K4-4B</t>
        </is>
      </c>
    </row>
    <row r="507">
      <c r="A507" t="n">
        <v>10</v>
      </c>
      <c r="B507" t="inlineStr">
        <is>
          <t>K4-4C</t>
        </is>
      </c>
    </row>
    <row r="508">
      <c r="A508" t="n">
        <v>11</v>
      </c>
      <c r="B508" t="inlineStr">
        <is>
          <t>K4-5A</t>
        </is>
      </c>
    </row>
    <row r="509">
      <c r="A509" t="n">
        <v>12</v>
      </c>
      <c r="B509" t="inlineStr">
        <is>
          <t>K4-5B</t>
        </is>
      </c>
    </row>
    <row r="510">
      <c r="A510" t="n">
        <v>13</v>
      </c>
      <c r="B510" t="inlineStr">
        <is>
          <t>K4-5C</t>
        </is>
      </c>
      <c r="F510" t="n">
        <v>0.545</v>
      </c>
    </row>
    <row r="511">
      <c r="A511" t="n">
        <v>14</v>
      </c>
      <c r="B511" t="inlineStr">
        <is>
          <t>MeOH</t>
        </is>
      </c>
    </row>
    <row r="512">
      <c r="A512" t="n">
        <v>15</v>
      </c>
      <c r="B512" t="inlineStr">
        <is>
          <t>K3-1A</t>
        </is>
      </c>
    </row>
    <row r="513">
      <c r="A513" t="n">
        <v>16</v>
      </c>
      <c r="B513" t="inlineStr">
        <is>
          <t>K3-1B</t>
        </is>
      </c>
    </row>
    <row r="514">
      <c r="A514" t="n">
        <v>17</v>
      </c>
      <c r="B514" t="inlineStr">
        <is>
          <t>K3-1C</t>
        </is>
      </c>
      <c r="F514" t="n">
        <v>8.029</v>
      </c>
    </row>
    <row r="515">
      <c r="A515" t="n">
        <v>18</v>
      </c>
      <c r="B515" t="inlineStr">
        <is>
          <t>K3-2A</t>
        </is>
      </c>
    </row>
    <row r="516">
      <c r="A516" t="n">
        <v>19</v>
      </c>
      <c r="B516" t="inlineStr">
        <is>
          <t>K3-2B</t>
        </is>
      </c>
      <c r="F516" t="n">
        <v>4.466</v>
      </c>
    </row>
    <row r="517">
      <c r="A517" t="n">
        <v>20</v>
      </c>
      <c r="B517" t="inlineStr">
        <is>
          <t>K3-2C</t>
        </is>
      </c>
      <c r="F517" t="n">
        <v>28.947</v>
      </c>
    </row>
    <row r="518">
      <c r="A518" t="n">
        <v>21</v>
      </c>
      <c r="B518" t="inlineStr">
        <is>
          <t>MeOH</t>
        </is>
      </c>
    </row>
    <row r="519">
      <c r="A519" t="n">
        <v>22</v>
      </c>
      <c r="B519" t="inlineStr">
        <is>
          <t>K3-3A</t>
        </is>
      </c>
      <c r="F519" t="n">
        <v>0.345</v>
      </c>
    </row>
    <row r="520">
      <c r="A520" t="n">
        <v>23</v>
      </c>
      <c r="B520" t="inlineStr">
        <is>
          <t>K3-3B</t>
        </is>
      </c>
    </row>
    <row r="521">
      <c r="A521" t="n">
        <v>24</v>
      </c>
      <c r="B521" t="inlineStr">
        <is>
          <t>K3-3C</t>
        </is>
      </c>
      <c r="F521" t="n">
        <v>0.44</v>
      </c>
    </row>
    <row r="522">
      <c r="A522" t="n">
        <v>25</v>
      </c>
      <c r="B522" t="inlineStr">
        <is>
          <t>K3-4A</t>
        </is>
      </c>
      <c r="F522" t="n">
        <v>6.734</v>
      </c>
    </row>
    <row r="523">
      <c r="A523" t="n">
        <v>26</v>
      </c>
      <c r="B523" t="inlineStr">
        <is>
          <t>K3-4B</t>
        </is>
      </c>
    </row>
    <row r="524">
      <c r="A524" t="n">
        <v>27</v>
      </c>
      <c r="B524" t="inlineStr">
        <is>
          <t>K3-4C</t>
        </is>
      </c>
    </row>
    <row r="525">
      <c r="A525" t="n">
        <v>28</v>
      </c>
      <c r="B525" t="inlineStr">
        <is>
          <t>MeOH</t>
        </is>
      </c>
    </row>
    <row r="526">
      <c r="A526" t="n">
        <v>29</v>
      </c>
      <c r="B526" t="inlineStr">
        <is>
          <t>K3-6A</t>
        </is>
      </c>
      <c r="F526" t="n">
        <v>6</v>
      </c>
    </row>
    <row r="527">
      <c r="A527" t="n">
        <v>30</v>
      </c>
      <c r="B527" t="inlineStr">
        <is>
          <t>K3-6B</t>
        </is>
      </c>
    </row>
    <row r="528">
      <c r="A528" t="n">
        <v>31</v>
      </c>
      <c r="B528" t="inlineStr">
        <is>
          <t>K3-6C</t>
        </is>
      </c>
    </row>
    <row r="530">
      <c r="A530" t="inlineStr">
        <is>
          <t>Compound 16:  PFBS 1</t>
        </is>
      </c>
    </row>
    <row r="532">
      <c r="B532" t="inlineStr">
        <is>
          <t>Sample Text</t>
        </is>
      </c>
      <c r="C532" t="inlineStr">
        <is>
          <t>Std. Conc</t>
        </is>
      </c>
      <c r="D532" t="inlineStr">
        <is>
          <t>RT</t>
        </is>
      </c>
      <c r="E532" t="inlineStr">
        <is>
          <t>Area</t>
        </is>
      </c>
      <c r="F532" t="inlineStr">
        <is>
          <t>IS Area</t>
        </is>
      </c>
      <c r="G532" t="inlineStr">
        <is>
          <t>S/N</t>
        </is>
      </c>
      <c r="H532" t="inlineStr">
        <is>
          <t>Primary Flags</t>
        </is>
      </c>
      <c r="I532" t="inlineStr">
        <is>
          <t>Response</t>
        </is>
      </c>
      <c r="J532" t="inlineStr">
        <is>
          <t>Conc.</t>
        </is>
      </c>
    </row>
    <row r="533">
      <c r="A533" t="n">
        <v>1</v>
      </c>
      <c r="B533" t="inlineStr">
        <is>
          <t>K4-1A</t>
        </is>
      </c>
      <c r="D533" t="n">
        <v>7.29</v>
      </c>
      <c r="E533" t="n">
        <v>1.701</v>
      </c>
      <c r="F533" t="n">
        <v>2136.637</v>
      </c>
      <c r="G533" t="n">
        <v>4.101</v>
      </c>
      <c r="H533" t="inlineStr">
        <is>
          <t>bb</t>
        </is>
      </c>
    </row>
    <row r="534">
      <c r="A534" t="n">
        <v>2</v>
      </c>
      <c r="B534" t="inlineStr">
        <is>
          <t>K4-1B</t>
        </is>
      </c>
      <c r="D534" t="n">
        <v>7.23</v>
      </c>
      <c r="E534" t="n">
        <v>12.034</v>
      </c>
      <c r="F534" t="n">
        <v>2067.104</v>
      </c>
      <c r="G534" t="n">
        <v>175</v>
      </c>
      <c r="H534" t="inlineStr">
        <is>
          <t>bb</t>
        </is>
      </c>
    </row>
    <row r="535">
      <c r="A535" t="n">
        <v>3</v>
      </c>
      <c r="B535" t="inlineStr">
        <is>
          <t>K4-1C</t>
        </is>
      </c>
      <c r="D535" t="n">
        <v>7.31</v>
      </c>
      <c r="E535" t="n">
        <v>119.609</v>
      </c>
      <c r="F535" t="n">
        <v>1624.895</v>
      </c>
      <c r="G535" t="n">
        <v>7.925</v>
      </c>
      <c r="H535" t="inlineStr">
        <is>
          <t>bb</t>
        </is>
      </c>
    </row>
    <row r="536">
      <c r="A536" t="n">
        <v>4</v>
      </c>
      <c r="B536" t="inlineStr">
        <is>
          <t>K4-2A</t>
        </is>
      </c>
      <c r="D536" t="n">
        <v>7.32</v>
      </c>
      <c r="E536" t="n">
        <v>6.405</v>
      </c>
      <c r="F536" t="n">
        <v>2164.142</v>
      </c>
      <c r="G536" t="n">
        <v>104</v>
      </c>
      <c r="H536" t="inlineStr">
        <is>
          <t>bb</t>
        </is>
      </c>
    </row>
    <row r="537">
      <c r="A537" t="n">
        <v>5</v>
      </c>
      <c r="B537" t="inlineStr">
        <is>
          <t>K4-2B</t>
        </is>
      </c>
      <c r="D537" t="n">
        <v>7.36</v>
      </c>
      <c r="E537" t="n">
        <v>1.904</v>
      </c>
      <c r="F537" t="n">
        <v>1849.896</v>
      </c>
      <c r="G537" t="n">
        <v>32</v>
      </c>
      <c r="H537" t="inlineStr">
        <is>
          <t>bb</t>
        </is>
      </c>
    </row>
    <row r="538">
      <c r="A538" t="n">
        <v>6</v>
      </c>
      <c r="B538" t="inlineStr">
        <is>
          <t>K4-2C</t>
        </is>
      </c>
      <c r="D538" t="n">
        <v>7.33</v>
      </c>
      <c r="E538" t="n">
        <v>41.618</v>
      </c>
      <c r="F538" t="n">
        <v>1827.576</v>
      </c>
      <c r="G538" t="n">
        <v>5.376</v>
      </c>
      <c r="H538" t="inlineStr">
        <is>
          <t>bb</t>
        </is>
      </c>
    </row>
    <row r="539">
      <c r="A539" t="n">
        <v>7</v>
      </c>
      <c r="B539" t="inlineStr">
        <is>
          <t>MeOH</t>
        </is>
      </c>
      <c r="H539" t="inlineStr">
        <is>
          <t>MM-</t>
        </is>
      </c>
    </row>
    <row r="540">
      <c r="A540" t="n">
        <v>8</v>
      </c>
      <c r="B540" t="inlineStr">
        <is>
          <t>K4-4A</t>
        </is>
      </c>
      <c r="D540" t="n">
        <v>7.37</v>
      </c>
      <c r="E540" t="n">
        <v>2.236</v>
      </c>
      <c r="F540" t="n">
        <v>1810.147</v>
      </c>
      <c r="G540" t="n">
        <v>21</v>
      </c>
      <c r="H540" t="inlineStr">
        <is>
          <t>bb</t>
        </is>
      </c>
    </row>
    <row r="541">
      <c r="A541" t="n">
        <v>9</v>
      </c>
      <c r="B541" t="inlineStr">
        <is>
          <t>K4-4B</t>
        </is>
      </c>
      <c r="D541" t="n">
        <v>7.33</v>
      </c>
      <c r="E541" t="n">
        <v>27.223</v>
      </c>
      <c r="F541" t="n">
        <v>1728.778</v>
      </c>
      <c r="G541" t="n">
        <v>397</v>
      </c>
      <c r="H541" t="inlineStr">
        <is>
          <t>bb</t>
        </is>
      </c>
    </row>
    <row r="542">
      <c r="A542" t="n">
        <v>10</v>
      </c>
      <c r="B542" t="inlineStr">
        <is>
          <t>K4-4C</t>
        </is>
      </c>
      <c r="D542" t="n">
        <v>7.36</v>
      </c>
      <c r="E542" t="n">
        <v>0.794</v>
      </c>
      <c r="F542" t="n">
        <v>1776.496</v>
      </c>
      <c r="G542" t="n">
        <v>13</v>
      </c>
      <c r="H542" t="inlineStr">
        <is>
          <t>bb</t>
        </is>
      </c>
    </row>
    <row r="543">
      <c r="A543" t="n">
        <v>11</v>
      </c>
      <c r="B543" t="inlineStr">
        <is>
          <t>K4-5A</t>
        </is>
      </c>
      <c r="D543" t="n">
        <v>7.34</v>
      </c>
      <c r="E543" t="n">
        <v>20.639</v>
      </c>
      <c r="F543" t="n">
        <v>1605.44</v>
      </c>
      <c r="G543" t="n">
        <v>241</v>
      </c>
      <c r="H543" t="inlineStr">
        <is>
          <t>bb</t>
        </is>
      </c>
    </row>
    <row r="544">
      <c r="A544" t="n">
        <v>12</v>
      </c>
      <c r="B544" t="inlineStr">
        <is>
          <t>K4-5B</t>
        </is>
      </c>
      <c r="F544" t="n">
        <v>1316.682</v>
      </c>
    </row>
    <row r="545">
      <c r="A545" t="n">
        <v>13</v>
      </c>
      <c r="B545" t="inlineStr">
        <is>
          <t>K4-5C</t>
        </is>
      </c>
      <c r="D545" t="n">
        <v>7.37</v>
      </c>
      <c r="E545" t="n">
        <v>0.511</v>
      </c>
      <c r="F545" t="n">
        <v>1805.932</v>
      </c>
      <c r="G545" t="n">
        <v>9</v>
      </c>
      <c r="H545" t="inlineStr">
        <is>
          <t>bb</t>
        </is>
      </c>
    </row>
    <row r="546">
      <c r="A546" t="n">
        <v>14</v>
      </c>
      <c r="B546" t="inlineStr">
        <is>
          <t>MeOH</t>
        </is>
      </c>
      <c r="H546" t="inlineStr">
        <is>
          <t>MM-</t>
        </is>
      </c>
    </row>
    <row r="547">
      <c r="A547" t="n">
        <v>15</v>
      </c>
      <c r="B547" t="inlineStr">
        <is>
          <t>K3-1A</t>
        </is>
      </c>
      <c r="D547" t="n">
        <v>7.45</v>
      </c>
      <c r="E547" t="n">
        <v>4.384</v>
      </c>
      <c r="F547" t="n">
        <v>1827.855</v>
      </c>
      <c r="G547" t="n">
        <v>74</v>
      </c>
      <c r="H547" t="inlineStr">
        <is>
          <t>bb</t>
        </is>
      </c>
    </row>
    <row r="548">
      <c r="A548" t="n">
        <v>16</v>
      </c>
      <c r="B548" t="inlineStr">
        <is>
          <t>K3-1B</t>
        </is>
      </c>
      <c r="D548" t="n">
        <v>7.07</v>
      </c>
      <c r="E548" t="n">
        <v>33.71</v>
      </c>
      <c r="F548" t="n">
        <v>1472.714</v>
      </c>
      <c r="G548" t="n">
        <v>57.896</v>
      </c>
      <c r="H548" t="inlineStr">
        <is>
          <t>bb</t>
        </is>
      </c>
    </row>
    <row r="549">
      <c r="A549" t="n">
        <v>17</v>
      </c>
      <c r="B549" t="inlineStr">
        <is>
          <t>K3-1C</t>
        </is>
      </c>
      <c r="D549" t="n">
        <v>7.14</v>
      </c>
      <c r="E549" t="n">
        <v>56.618</v>
      </c>
      <c r="F549" t="n">
        <v>2054.888</v>
      </c>
      <c r="G549" t="n">
        <v>7.272</v>
      </c>
      <c r="H549" t="inlineStr">
        <is>
          <t>bb</t>
        </is>
      </c>
    </row>
    <row r="550">
      <c r="A550" t="n">
        <v>18</v>
      </c>
      <c r="B550" t="inlineStr">
        <is>
          <t>K3-2A</t>
        </is>
      </c>
      <c r="D550" t="n">
        <v>7.18</v>
      </c>
      <c r="E550" t="n">
        <v>75.35299999999999</v>
      </c>
      <c r="F550" t="n">
        <v>1852.851</v>
      </c>
      <c r="G550" t="n">
        <v>8.252000000000001</v>
      </c>
      <c r="H550" t="inlineStr">
        <is>
          <t>bb</t>
        </is>
      </c>
    </row>
    <row r="551">
      <c r="A551" t="n">
        <v>19</v>
      </c>
      <c r="B551" t="inlineStr">
        <is>
          <t>K3-2B</t>
        </is>
      </c>
      <c r="D551" t="n">
        <v>7.17</v>
      </c>
      <c r="E551" t="n">
        <v>31.588</v>
      </c>
      <c r="F551" t="n">
        <v>2266.61</v>
      </c>
      <c r="G551" t="n">
        <v>5.516</v>
      </c>
      <c r="H551" t="inlineStr">
        <is>
          <t>MM</t>
        </is>
      </c>
    </row>
    <row r="552">
      <c r="A552" t="n">
        <v>20</v>
      </c>
      <c r="B552" t="inlineStr">
        <is>
          <t>K3-2C</t>
        </is>
      </c>
      <c r="D552" t="n">
        <v>7.19</v>
      </c>
      <c r="E552" t="n">
        <v>81.03</v>
      </c>
      <c r="F552" t="n">
        <v>2232.974</v>
      </c>
      <c r="G552" t="n">
        <v>3.179</v>
      </c>
      <c r="H552" t="inlineStr">
        <is>
          <t>bb</t>
        </is>
      </c>
    </row>
    <row r="553">
      <c r="A553" t="n">
        <v>21</v>
      </c>
      <c r="B553" t="inlineStr">
        <is>
          <t>MeOH</t>
        </is>
      </c>
      <c r="H553" t="inlineStr">
        <is>
          <t>MM-</t>
        </is>
      </c>
    </row>
    <row r="554">
      <c r="A554" t="n">
        <v>22</v>
      </c>
      <c r="B554" t="inlineStr">
        <is>
          <t>K3-3A</t>
        </is>
      </c>
      <c r="D554" t="n">
        <v>7.2</v>
      </c>
      <c r="E554" t="n">
        <v>64.833</v>
      </c>
      <c r="F554" t="n">
        <v>2247.504</v>
      </c>
      <c r="G554" t="n">
        <v>3.329</v>
      </c>
      <c r="H554" t="inlineStr">
        <is>
          <t>bb</t>
        </is>
      </c>
    </row>
    <row r="555">
      <c r="A555" t="n">
        <v>23</v>
      </c>
      <c r="B555" t="inlineStr">
        <is>
          <t>K3-3B</t>
        </is>
      </c>
      <c r="D555" t="n">
        <v>7.22</v>
      </c>
      <c r="E555" t="n">
        <v>181.909</v>
      </c>
      <c r="F555" t="n">
        <v>2836.518</v>
      </c>
      <c r="G555" t="n">
        <v>2212</v>
      </c>
      <c r="H555" t="inlineStr">
        <is>
          <t>bb</t>
        </is>
      </c>
    </row>
    <row r="556">
      <c r="A556" t="n">
        <v>24</v>
      </c>
      <c r="B556" t="inlineStr">
        <is>
          <t>K3-3C</t>
        </is>
      </c>
      <c r="D556" t="n">
        <v>7.23</v>
      </c>
      <c r="E556" t="n">
        <v>83.471</v>
      </c>
      <c r="F556" t="n">
        <v>2784.536</v>
      </c>
      <c r="G556" t="n">
        <v>15.019</v>
      </c>
      <c r="H556" t="inlineStr">
        <is>
          <t>MM</t>
        </is>
      </c>
    </row>
    <row r="557">
      <c r="A557" t="n">
        <v>25</v>
      </c>
      <c r="B557" t="inlineStr">
        <is>
          <t>K3-4A</t>
        </is>
      </c>
      <c r="D557" t="n">
        <v>7.28</v>
      </c>
      <c r="E557" t="n">
        <v>127.556</v>
      </c>
      <c r="F557" t="n">
        <v>3315.61</v>
      </c>
      <c r="G557" t="n">
        <v>9.928000000000001</v>
      </c>
      <c r="H557" t="inlineStr">
        <is>
          <t>bb</t>
        </is>
      </c>
    </row>
    <row r="558">
      <c r="A558" t="n">
        <v>26</v>
      </c>
      <c r="B558" t="inlineStr">
        <is>
          <t>K3-4B</t>
        </is>
      </c>
      <c r="D558" t="n">
        <v>7.29</v>
      </c>
      <c r="E558" t="n">
        <v>66.36</v>
      </c>
      <c r="F558" t="n">
        <v>2719.03</v>
      </c>
      <c r="G558" t="n">
        <v>28.18</v>
      </c>
      <c r="H558" t="inlineStr">
        <is>
          <t>bb</t>
        </is>
      </c>
    </row>
    <row r="559">
      <c r="A559" t="n">
        <v>27</v>
      </c>
      <c r="B559" t="inlineStr">
        <is>
          <t>K3-4C</t>
        </is>
      </c>
      <c r="D559" t="n">
        <v>7.3</v>
      </c>
      <c r="E559" t="n">
        <v>88.956</v>
      </c>
      <c r="F559" t="n">
        <v>3532.196</v>
      </c>
      <c r="G559" t="n">
        <v>1039</v>
      </c>
      <c r="H559" t="inlineStr">
        <is>
          <t>bb</t>
        </is>
      </c>
    </row>
    <row r="560">
      <c r="A560" t="n">
        <v>28</v>
      </c>
      <c r="B560" t="inlineStr">
        <is>
          <t>MeOH</t>
        </is>
      </c>
      <c r="H560" t="inlineStr">
        <is>
          <t>MM-</t>
        </is>
      </c>
    </row>
    <row r="561">
      <c r="A561" t="n">
        <v>29</v>
      </c>
      <c r="B561" t="inlineStr">
        <is>
          <t>K3-6A</t>
        </is>
      </c>
      <c r="D561" t="n">
        <v>7.39</v>
      </c>
      <c r="E561" t="n">
        <v>46.844</v>
      </c>
      <c r="F561" t="n">
        <v>3285.244</v>
      </c>
      <c r="G561" t="n">
        <v>24.411</v>
      </c>
      <c r="H561" t="inlineStr">
        <is>
          <t>bb</t>
        </is>
      </c>
    </row>
    <row r="562">
      <c r="A562" t="n">
        <v>30</v>
      </c>
      <c r="B562" t="inlineStr">
        <is>
          <t>K3-6B</t>
        </is>
      </c>
      <c r="D562" t="n">
        <v>7.32</v>
      </c>
      <c r="E562" t="n">
        <v>50.013</v>
      </c>
      <c r="F562" t="n">
        <v>2954.052</v>
      </c>
      <c r="G562" t="n">
        <v>638</v>
      </c>
      <c r="H562" t="inlineStr">
        <is>
          <t>bb</t>
        </is>
      </c>
    </row>
    <row r="563">
      <c r="A563" t="n">
        <v>31</v>
      </c>
      <c r="B563" t="inlineStr">
        <is>
          <t>K3-6C</t>
        </is>
      </c>
      <c r="D563" t="n">
        <v>7.31</v>
      </c>
      <c r="E563" t="n">
        <v>158.738</v>
      </c>
      <c r="F563" t="n">
        <v>3194.859</v>
      </c>
      <c r="G563" t="n">
        <v>12.846</v>
      </c>
      <c r="H563" t="inlineStr">
        <is>
          <t>bb</t>
        </is>
      </c>
    </row>
    <row r="565">
      <c r="A565" t="inlineStr">
        <is>
          <t>Compound 17:  PFBS 2</t>
        </is>
      </c>
    </row>
    <row r="567">
      <c r="B567" t="inlineStr">
        <is>
          <t>Sample Text</t>
        </is>
      </c>
      <c r="C567" t="inlineStr">
        <is>
          <t>Std. Conc</t>
        </is>
      </c>
      <c r="D567" t="inlineStr">
        <is>
          <t>RT</t>
        </is>
      </c>
      <c r="E567" t="inlineStr">
        <is>
          <t>Area</t>
        </is>
      </c>
      <c r="F567" t="inlineStr">
        <is>
          <t>IS Area</t>
        </is>
      </c>
      <c r="G567" t="inlineStr">
        <is>
          <t>S/N</t>
        </is>
      </c>
      <c r="H567" t="inlineStr">
        <is>
          <t>Primary Flags</t>
        </is>
      </c>
      <c r="I567" t="inlineStr">
        <is>
          <t>Response</t>
        </is>
      </c>
      <c r="J567" t="inlineStr">
        <is>
          <t>Conc.</t>
        </is>
      </c>
    </row>
    <row r="568">
      <c r="A568" t="n">
        <v>1</v>
      </c>
      <c r="B568" t="inlineStr">
        <is>
          <t>K4-1A</t>
        </is>
      </c>
      <c r="D568" t="n">
        <v>7.32</v>
      </c>
      <c r="E568" t="n">
        <v>4.447</v>
      </c>
      <c r="F568" t="n">
        <v>1269.057</v>
      </c>
      <c r="G568" t="n">
        <v>0.845</v>
      </c>
      <c r="H568" t="inlineStr">
        <is>
          <t>bb</t>
        </is>
      </c>
    </row>
    <row r="569">
      <c r="A569" t="n">
        <v>2</v>
      </c>
      <c r="B569" t="inlineStr">
        <is>
          <t>K4-1B</t>
        </is>
      </c>
      <c r="D569" t="n">
        <v>7.27</v>
      </c>
      <c r="E569" t="n">
        <v>46.82</v>
      </c>
      <c r="F569" t="n">
        <v>1190.098</v>
      </c>
      <c r="G569" t="n">
        <v>10.635</v>
      </c>
      <c r="H569" t="inlineStr">
        <is>
          <t>bb</t>
        </is>
      </c>
    </row>
    <row r="570">
      <c r="A570" t="n">
        <v>3</v>
      </c>
      <c r="B570" t="inlineStr">
        <is>
          <t>K4-1C</t>
        </is>
      </c>
      <c r="D570" t="n">
        <v>7.3</v>
      </c>
      <c r="E570" t="n">
        <v>71.75</v>
      </c>
      <c r="F570" t="n">
        <v>1102.583</v>
      </c>
      <c r="G570" t="n">
        <v>28.075</v>
      </c>
      <c r="H570" t="inlineStr">
        <is>
          <t>MM</t>
        </is>
      </c>
    </row>
    <row r="571">
      <c r="A571" t="n">
        <v>4</v>
      </c>
      <c r="B571" t="inlineStr">
        <is>
          <t>K4-2A</t>
        </is>
      </c>
      <c r="D571" t="n">
        <v>7.36</v>
      </c>
      <c r="E571" t="n">
        <v>33.501</v>
      </c>
      <c r="F571" t="n">
        <v>1164.009</v>
      </c>
      <c r="G571" t="n">
        <v>434</v>
      </c>
      <c r="H571" t="inlineStr">
        <is>
          <t>bb</t>
        </is>
      </c>
    </row>
    <row r="572">
      <c r="A572" t="n">
        <v>5</v>
      </c>
      <c r="B572" t="inlineStr">
        <is>
          <t>K4-2B</t>
        </is>
      </c>
      <c r="D572" t="n">
        <v>7.52</v>
      </c>
      <c r="E572" t="n">
        <v>10.828</v>
      </c>
      <c r="F572" t="n">
        <v>963.226</v>
      </c>
      <c r="G572" t="n">
        <v>1.22</v>
      </c>
      <c r="H572" t="inlineStr">
        <is>
          <t>bb</t>
        </is>
      </c>
    </row>
    <row r="573">
      <c r="A573" t="n">
        <v>6</v>
      </c>
      <c r="B573" t="inlineStr">
        <is>
          <t>K4-2C</t>
        </is>
      </c>
      <c r="D573" t="n">
        <v>7.33</v>
      </c>
      <c r="E573" t="n">
        <v>61.82</v>
      </c>
      <c r="F573" t="n">
        <v>987.529</v>
      </c>
      <c r="G573" t="n">
        <v>741</v>
      </c>
      <c r="H573" t="inlineStr">
        <is>
          <t>bb</t>
        </is>
      </c>
    </row>
    <row r="574">
      <c r="A574" t="n">
        <v>7</v>
      </c>
      <c r="B574" t="inlineStr">
        <is>
          <t>MeOH</t>
        </is>
      </c>
      <c r="H574" t="inlineStr">
        <is>
          <t>MM-</t>
        </is>
      </c>
    </row>
    <row r="575">
      <c r="A575" t="n">
        <v>8</v>
      </c>
      <c r="B575" t="inlineStr">
        <is>
          <t>K4-4A</t>
        </is>
      </c>
      <c r="D575" t="n">
        <v>7.65</v>
      </c>
      <c r="E575" t="n">
        <v>1.275</v>
      </c>
      <c r="F575" t="n">
        <v>1010.575</v>
      </c>
      <c r="G575" t="n">
        <v>25</v>
      </c>
      <c r="H575" t="inlineStr">
        <is>
          <t>MM</t>
        </is>
      </c>
    </row>
    <row r="576">
      <c r="A576" t="n">
        <v>9</v>
      </c>
      <c r="B576" t="inlineStr">
        <is>
          <t>K4-4B</t>
        </is>
      </c>
      <c r="D576" t="n">
        <v>7.05</v>
      </c>
      <c r="E576" t="n">
        <v>1.098</v>
      </c>
      <c r="F576" t="n">
        <v>958.828</v>
      </c>
      <c r="G576" t="n">
        <v>0.714</v>
      </c>
      <c r="H576" t="inlineStr">
        <is>
          <t>bb</t>
        </is>
      </c>
    </row>
    <row r="577">
      <c r="A577" t="n">
        <v>10</v>
      </c>
      <c r="B577" t="inlineStr">
        <is>
          <t>K4-4C</t>
        </is>
      </c>
      <c r="D577" t="n">
        <v>6.88</v>
      </c>
      <c r="E577" t="n">
        <v>2.862</v>
      </c>
      <c r="F577" t="n">
        <v>1063.871</v>
      </c>
      <c r="G577" t="n">
        <v>55</v>
      </c>
      <c r="H577" t="inlineStr">
        <is>
          <t>bb</t>
        </is>
      </c>
    </row>
    <row r="578">
      <c r="A578" t="n">
        <v>11</v>
      </c>
      <c r="B578" t="inlineStr">
        <is>
          <t>K4-5A</t>
        </is>
      </c>
      <c r="D578" t="n">
        <v>7.36</v>
      </c>
      <c r="E578" t="n">
        <v>4.011</v>
      </c>
      <c r="F578" t="n">
        <v>905.402</v>
      </c>
      <c r="G578" t="n">
        <v>0.867</v>
      </c>
      <c r="H578" t="inlineStr">
        <is>
          <t>bb</t>
        </is>
      </c>
    </row>
    <row r="579">
      <c r="A579" t="n">
        <v>12</v>
      </c>
      <c r="B579" t="inlineStr">
        <is>
          <t>K4-5B</t>
        </is>
      </c>
      <c r="D579" t="n">
        <v>7.17</v>
      </c>
      <c r="E579" t="n">
        <v>1.843</v>
      </c>
      <c r="F579" t="n">
        <v>818.7089999999999</v>
      </c>
      <c r="G579" t="n">
        <v>34</v>
      </c>
      <c r="H579" t="inlineStr">
        <is>
          <t>bb</t>
        </is>
      </c>
    </row>
    <row r="580">
      <c r="A580" t="n">
        <v>13</v>
      </c>
      <c r="B580" t="inlineStr">
        <is>
          <t>K4-5C</t>
        </is>
      </c>
      <c r="D580" t="n">
        <v>6.94</v>
      </c>
      <c r="E580" t="n">
        <v>24.05</v>
      </c>
      <c r="F580" t="n">
        <v>916.855</v>
      </c>
      <c r="G580" t="n">
        <v>6.476</v>
      </c>
      <c r="H580" t="inlineStr">
        <is>
          <t>bb</t>
        </is>
      </c>
    </row>
    <row r="581">
      <c r="A581" t="n">
        <v>14</v>
      </c>
      <c r="B581" t="inlineStr">
        <is>
          <t>MeOH</t>
        </is>
      </c>
      <c r="H581" t="inlineStr">
        <is>
          <t>MM-</t>
        </is>
      </c>
    </row>
    <row r="582">
      <c r="A582" t="n">
        <v>15</v>
      </c>
      <c r="B582" t="inlineStr">
        <is>
          <t>K3-1A</t>
        </is>
      </c>
      <c r="D582" t="n">
        <v>6.99</v>
      </c>
      <c r="E582" t="n">
        <v>58.13</v>
      </c>
      <c r="F582" t="n">
        <v>957.008</v>
      </c>
      <c r="G582" t="n">
        <v>113.85</v>
      </c>
      <c r="H582" t="inlineStr">
        <is>
          <t>bb</t>
        </is>
      </c>
    </row>
    <row r="583">
      <c r="A583" t="n">
        <v>16</v>
      </c>
      <c r="B583" t="inlineStr">
        <is>
          <t>K3-1B</t>
        </is>
      </c>
      <c r="D583" t="n">
        <v>7.04</v>
      </c>
      <c r="E583" t="n">
        <v>39.664</v>
      </c>
      <c r="F583" t="n">
        <v>859.682</v>
      </c>
      <c r="G583" t="n">
        <v>2.915</v>
      </c>
      <c r="H583" t="inlineStr">
        <is>
          <t>bb</t>
        </is>
      </c>
    </row>
    <row r="584">
      <c r="A584" t="n">
        <v>17</v>
      </c>
      <c r="B584" t="inlineStr">
        <is>
          <t>K3-1C</t>
        </is>
      </c>
      <c r="D584" t="n">
        <v>7.11</v>
      </c>
      <c r="E584" t="n">
        <v>36.825</v>
      </c>
      <c r="F584" t="n">
        <v>1270.221</v>
      </c>
      <c r="G584" t="n">
        <v>8.669</v>
      </c>
      <c r="H584" t="inlineStr">
        <is>
          <t>bb</t>
        </is>
      </c>
    </row>
    <row r="585">
      <c r="A585" t="n">
        <v>18</v>
      </c>
      <c r="B585" t="inlineStr">
        <is>
          <t>K3-2A</t>
        </is>
      </c>
      <c r="D585" t="n">
        <v>7.19</v>
      </c>
      <c r="E585" t="n">
        <v>9.792</v>
      </c>
      <c r="F585" t="n">
        <v>1420.763</v>
      </c>
      <c r="G585" t="n">
        <v>171</v>
      </c>
      <c r="H585" t="inlineStr">
        <is>
          <t>MM</t>
        </is>
      </c>
    </row>
    <row r="586">
      <c r="A586" t="n">
        <v>19</v>
      </c>
      <c r="B586" t="inlineStr">
        <is>
          <t>K3-2B</t>
        </is>
      </c>
      <c r="D586" t="n">
        <v>7.23</v>
      </c>
      <c r="E586" t="n">
        <v>45.829</v>
      </c>
      <c r="F586" t="n">
        <v>1536.833</v>
      </c>
      <c r="G586" t="n">
        <v>2.594</v>
      </c>
      <c r="H586" t="inlineStr">
        <is>
          <t>bb</t>
        </is>
      </c>
    </row>
    <row r="587">
      <c r="A587" t="n">
        <v>20</v>
      </c>
      <c r="B587" t="inlineStr">
        <is>
          <t>K3-2C</t>
        </is>
      </c>
      <c r="D587" t="n">
        <v>7.14</v>
      </c>
      <c r="E587" t="n">
        <v>2.31</v>
      </c>
      <c r="F587" t="n">
        <v>1243.186</v>
      </c>
      <c r="G587" t="n">
        <v>1.715</v>
      </c>
      <c r="H587" t="inlineStr">
        <is>
          <t>bb</t>
        </is>
      </c>
    </row>
    <row r="588">
      <c r="A588" t="n">
        <v>21</v>
      </c>
      <c r="B588" t="inlineStr">
        <is>
          <t>MeOH</t>
        </is>
      </c>
      <c r="H588" t="inlineStr">
        <is>
          <t>MM-</t>
        </is>
      </c>
    </row>
    <row r="589">
      <c r="A589" t="n">
        <v>22</v>
      </c>
      <c r="B589" t="inlineStr">
        <is>
          <t>K3-3A</t>
        </is>
      </c>
      <c r="D589" t="n">
        <v>7.21</v>
      </c>
      <c r="E589" t="n">
        <v>95.34699999999999</v>
      </c>
      <c r="F589" t="n">
        <v>1137.161</v>
      </c>
      <c r="G589" t="n">
        <v>53.883</v>
      </c>
      <c r="H589" t="inlineStr">
        <is>
          <t>bb</t>
        </is>
      </c>
    </row>
    <row r="590">
      <c r="A590" t="n">
        <v>23</v>
      </c>
      <c r="B590" t="inlineStr">
        <is>
          <t>K3-3B</t>
        </is>
      </c>
      <c r="D590" t="n">
        <v>7.23</v>
      </c>
      <c r="E590" t="n">
        <v>57.163</v>
      </c>
      <c r="F590" t="n">
        <v>1398.916</v>
      </c>
      <c r="G590" t="n">
        <v>4.073</v>
      </c>
      <c r="H590" t="inlineStr">
        <is>
          <t>MM</t>
        </is>
      </c>
    </row>
    <row r="591">
      <c r="A591" t="n">
        <v>24</v>
      </c>
      <c r="B591" t="inlineStr">
        <is>
          <t>K3-3C</t>
        </is>
      </c>
      <c r="D591" t="n">
        <v>7.25</v>
      </c>
      <c r="E591" t="n">
        <v>87.41800000000001</v>
      </c>
      <c r="F591" t="n">
        <v>1741.658</v>
      </c>
      <c r="G591" t="n">
        <v>9.781000000000001</v>
      </c>
      <c r="H591" t="inlineStr">
        <is>
          <t>bb</t>
        </is>
      </c>
    </row>
    <row r="592">
      <c r="A592" t="n">
        <v>25</v>
      </c>
      <c r="B592" t="inlineStr">
        <is>
          <t>K3-4A</t>
        </is>
      </c>
      <c r="D592" t="n">
        <v>7.31</v>
      </c>
      <c r="E592" t="n">
        <v>38.057</v>
      </c>
      <c r="F592" t="n">
        <v>1680.472</v>
      </c>
      <c r="G592" t="n">
        <v>1.153</v>
      </c>
      <c r="H592" t="inlineStr">
        <is>
          <t>MM</t>
        </is>
      </c>
    </row>
    <row r="593">
      <c r="A593" t="n">
        <v>26</v>
      </c>
      <c r="B593" t="inlineStr">
        <is>
          <t>K3-4B</t>
        </is>
      </c>
      <c r="D593" t="n">
        <v>7.24</v>
      </c>
      <c r="E593" t="n">
        <v>37.192</v>
      </c>
      <c r="F593" t="n">
        <v>1587.348</v>
      </c>
      <c r="G593" t="n">
        <v>5.073</v>
      </c>
      <c r="H593" t="inlineStr">
        <is>
          <t>bb</t>
        </is>
      </c>
    </row>
    <row r="594">
      <c r="A594" t="n">
        <v>27</v>
      </c>
      <c r="B594" t="inlineStr">
        <is>
          <t>K3-4C</t>
        </is>
      </c>
      <c r="D594" t="n">
        <v>7.27</v>
      </c>
      <c r="E594" t="n">
        <v>37.735</v>
      </c>
      <c r="F594" t="n">
        <v>2045.376</v>
      </c>
      <c r="G594" t="n">
        <v>12.039</v>
      </c>
      <c r="H594" t="inlineStr">
        <is>
          <t>bb</t>
        </is>
      </c>
    </row>
    <row r="595">
      <c r="A595" t="n">
        <v>28</v>
      </c>
      <c r="B595" t="inlineStr">
        <is>
          <t>MeOH</t>
        </is>
      </c>
      <c r="H595" t="inlineStr">
        <is>
          <t>MM-</t>
        </is>
      </c>
    </row>
    <row r="596">
      <c r="A596" t="n">
        <v>29</v>
      </c>
      <c r="B596" t="inlineStr">
        <is>
          <t>K3-6A</t>
        </is>
      </c>
      <c r="D596" t="n">
        <v>7.32</v>
      </c>
      <c r="E596" t="n">
        <v>82.636</v>
      </c>
      <c r="F596" t="n">
        <v>1709.253</v>
      </c>
      <c r="G596" t="n">
        <v>3.709</v>
      </c>
      <c r="H596" t="inlineStr">
        <is>
          <t>bb</t>
        </is>
      </c>
    </row>
    <row r="597">
      <c r="A597" t="n">
        <v>30</v>
      </c>
      <c r="B597" t="inlineStr">
        <is>
          <t>K3-6B</t>
        </is>
      </c>
      <c r="D597" t="n">
        <v>7.32</v>
      </c>
      <c r="E597" t="n">
        <v>50.462</v>
      </c>
      <c r="F597" t="n">
        <v>1829.777</v>
      </c>
      <c r="G597" t="n">
        <v>3.897</v>
      </c>
      <c r="H597" t="inlineStr">
        <is>
          <t>MM</t>
        </is>
      </c>
    </row>
    <row r="598">
      <c r="A598" t="n">
        <v>31</v>
      </c>
      <c r="B598" t="inlineStr">
        <is>
          <t>K3-6C</t>
        </is>
      </c>
      <c r="D598" t="n">
        <v>7.31</v>
      </c>
      <c r="E598" t="n">
        <v>87.97799999999999</v>
      </c>
      <c r="F598" t="n">
        <v>1884.642</v>
      </c>
      <c r="G598" t="n">
        <v>5.083</v>
      </c>
      <c r="H598" t="inlineStr">
        <is>
          <t>bb</t>
        </is>
      </c>
    </row>
    <row r="600">
      <c r="A600" t="inlineStr">
        <is>
          <t>Compound 18:  m3 PFBS 1</t>
        </is>
      </c>
    </row>
    <row r="602">
      <c r="B602" t="inlineStr">
        <is>
          <t>Sample Text</t>
        </is>
      </c>
      <c r="C602" t="inlineStr">
        <is>
          <t>Std. Conc</t>
        </is>
      </c>
      <c r="D602" t="inlineStr">
        <is>
          <t>RT</t>
        </is>
      </c>
      <c r="E602" t="inlineStr">
        <is>
          <t>Area</t>
        </is>
      </c>
      <c r="F602" t="inlineStr">
        <is>
          <t>IS Area</t>
        </is>
      </c>
      <c r="G602" t="inlineStr">
        <is>
          <t>S/N</t>
        </is>
      </c>
      <c r="H602" t="inlineStr">
        <is>
          <t>Primary Flags</t>
        </is>
      </c>
      <c r="I602" t="inlineStr">
        <is>
          <t>Response</t>
        </is>
      </c>
      <c r="J602" t="inlineStr">
        <is>
          <t>Conc.</t>
        </is>
      </c>
    </row>
    <row r="603">
      <c r="A603" t="n">
        <v>1</v>
      </c>
      <c r="B603" t="inlineStr">
        <is>
          <t>K4-1A</t>
        </is>
      </c>
      <c r="D603" t="n">
        <v>7.3</v>
      </c>
      <c r="E603" t="n">
        <v>2136.637</v>
      </c>
      <c r="G603" t="n">
        <v>20075</v>
      </c>
      <c r="H603" t="inlineStr">
        <is>
          <t>bb</t>
        </is>
      </c>
      <c r="I603" t="n">
        <v>2136.637</v>
      </c>
    </row>
    <row r="604">
      <c r="A604" t="n">
        <v>2</v>
      </c>
      <c r="B604" t="inlineStr">
        <is>
          <t>K4-1B</t>
        </is>
      </c>
      <c r="D604" t="n">
        <v>7.28</v>
      </c>
      <c r="E604" t="n">
        <v>2067.104</v>
      </c>
      <c r="G604" t="n">
        <v>65.43600000000001</v>
      </c>
      <c r="H604" t="inlineStr">
        <is>
          <t>bb</t>
        </is>
      </c>
      <c r="I604" t="n">
        <v>2067.104</v>
      </c>
    </row>
    <row r="605">
      <c r="A605" t="n">
        <v>3</v>
      </c>
      <c r="B605" t="inlineStr">
        <is>
          <t>K4-1C</t>
        </is>
      </c>
      <c r="D605" t="n">
        <v>7.3</v>
      </c>
      <c r="E605" t="n">
        <v>1624.895</v>
      </c>
      <c r="G605" t="n">
        <v>489.67</v>
      </c>
      <c r="H605" t="inlineStr">
        <is>
          <t>bb</t>
        </is>
      </c>
      <c r="I605" t="n">
        <v>1624.895</v>
      </c>
    </row>
    <row r="606">
      <c r="A606" t="n">
        <v>4</v>
      </c>
      <c r="B606" t="inlineStr">
        <is>
          <t>K4-2A</t>
        </is>
      </c>
      <c r="D606" t="n">
        <v>7.32</v>
      </c>
      <c r="E606" t="n">
        <v>2164.142</v>
      </c>
      <c r="G606" t="n">
        <v>1526.657</v>
      </c>
      <c r="H606" t="inlineStr">
        <is>
          <t>bb</t>
        </is>
      </c>
      <c r="I606" t="n">
        <v>2164.142</v>
      </c>
    </row>
    <row r="607">
      <c r="A607" t="n">
        <v>5</v>
      </c>
      <c r="B607" t="inlineStr">
        <is>
          <t>K4-2B</t>
        </is>
      </c>
      <c r="D607" t="n">
        <v>7.32</v>
      </c>
      <c r="E607" t="n">
        <v>1849.896</v>
      </c>
      <c r="G607" t="n">
        <v>15.29</v>
      </c>
      <c r="H607" t="inlineStr">
        <is>
          <t>bb</t>
        </is>
      </c>
      <c r="I607" t="n">
        <v>1849.896</v>
      </c>
    </row>
    <row r="608">
      <c r="A608" t="n">
        <v>6</v>
      </c>
      <c r="B608" t="inlineStr">
        <is>
          <t>K4-2C</t>
        </is>
      </c>
      <c r="D608" t="n">
        <v>7.33</v>
      </c>
      <c r="E608" t="n">
        <v>1827.576</v>
      </c>
      <c r="G608" t="n">
        <v>31.538</v>
      </c>
      <c r="H608" t="inlineStr">
        <is>
          <t>bb</t>
        </is>
      </c>
      <c r="I608" t="n">
        <v>1827.576</v>
      </c>
    </row>
    <row r="609">
      <c r="A609" t="n">
        <v>7</v>
      </c>
      <c r="B609" t="inlineStr">
        <is>
          <t>MeOH</t>
        </is>
      </c>
    </row>
    <row r="610">
      <c r="A610" t="n">
        <v>8</v>
      </c>
      <c r="B610" t="inlineStr">
        <is>
          <t>K4-4A</t>
        </is>
      </c>
      <c r="D610" t="n">
        <v>7.34</v>
      </c>
      <c r="E610" t="n">
        <v>1810.147</v>
      </c>
      <c r="G610" t="n">
        <v>105.241</v>
      </c>
      <c r="H610" t="inlineStr">
        <is>
          <t>bb</t>
        </is>
      </c>
      <c r="I610" t="n">
        <v>1810.147</v>
      </c>
    </row>
    <row r="611">
      <c r="A611" t="n">
        <v>9</v>
      </c>
      <c r="B611" t="inlineStr">
        <is>
          <t>K4-4B</t>
        </is>
      </c>
      <c r="D611" t="n">
        <v>7.33</v>
      </c>
      <c r="E611" t="n">
        <v>1728.778</v>
      </c>
      <c r="G611" t="n">
        <v>24.248</v>
      </c>
      <c r="H611" t="inlineStr">
        <is>
          <t>bb</t>
        </is>
      </c>
      <c r="I611" t="n">
        <v>1728.778</v>
      </c>
    </row>
    <row r="612">
      <c r="A612" t="n">
        <v>10</v>
      </c>
      <c r="B612" t="inlineStr">
        <is>
          <t>K4-4C</t>
        </is>
      </c>
      <c r="D612" t="n">
        <v>7.34</v>
      </c>
      <c r="E612" t="n">
        <v>1776.496</v>
      </c>
      <c r="G612" t="n">
        <v>3275.661</v>
      </c>
      <c r="H612" t="inlineStr">
        <is>
          <t>bb</t>
        </is>
      </c>
      <c r="I612" t="n">
        <v>1776.496</v>
      </c>
    </row>
    <row r="613">
      <c r="A613" t="n">
        <v>11</v>
      </c>
      <c r="B613" t="inlineStr">
        <is>
          <t>K4-5A</t>
        </is>
      </c>
      <c r="D613" t="n">
        <v>7.32</v>
      </c>
      <c r="E613" t="n">
        <v>1605.44</v>
      </c>
      <c r="G613" t="n">
        <v>15868</v>
      </c>
      <c r="H613" t="inlineStr">
        <is>
          <t>bb</t>
        </is>
      </c>
      <c r="I613" t="n">
        <v>1605.44</v>
      </c>
    </row>
    <row r="614">
      <c r="A614" t="n">
        <v>12</v>
      </c>
      <c r="B614" t="inlineStr">
        <is>
          <t>K4-5B</t>
        </is>
      </c>
      <c r="D614" t="n">
        <v>7.29</v>
      </c>
      <c r="E614" t="n">
        <v>1316.682</v>
      </c>
      <c r="G614" t="n">
        <v>137.728</v>
      </c>
      <c r="H614" t="inlineStr">
        <is>
          <t>bb</t>
        </is>
      </c>
      <c r="I614" t="n">
        <v>1316.682</v>
      </c>
    </row>
    <row r="615">
      <c r="A615" t="n">
        <v>13</v>
      </c>
      <c r="B615" t="inlineStr">
        <is>
          <t>K4-5C</t>
        </is>
      </c>
      <c r="D615" t="n">
        <v>7.19</v>
      </c>
      <c r="E615" t="n">
        <v>1805.932</v>
      </c>
      <c r="G615" t="n">
        <v>61.281</v>
      </c>
      <c r="H615" t="inlineStr">
        <is>
          <t>bb</t>
        </is>
      </c>
      <c r="I615" t="n">
        <v>1805.932</v>
      </c>
    </row>
    <row r="616">
      <c r="A616" t="n">
        <v>14</v>
      </c>
      <c r="B616" t="inlineStr">
        <is>
          <t>MeOH</t>
        </is>
      </c>
    </row>
    <row r="617">
      <c r="A617" t="n">
        <v>15</v>
      </c>
      <c r="B617" t="inlineStr">
        <is>
          <t>K3-1A</t>
        </is>
      </c>
      <c r="D617" t="n">
        <v>7</v>
      </c>
      <c r="E617" t="n">
        <v>1827.855</v>
      </c>
      <c r="G617" t="n">
        <v>18196</v>
      </c>
      <c r="H617" t="inlineStr">
        <is>
          <t>bb</t>
        </is>
      </c>
      <c r="I617" t="n">
        <v>1827.855</v>
      </c>
    </row>
    <row r="618">
      <c r="A618" t="n">
        <v>16</v>
      </c>
      <c r="B618" t="inlineStr">
        <is>
          <t>K3-1B</t>
        </is>
      </c>
      <c r="D618" t="n">
        <v>7.07</v>
      </c>
      <c r="E618" t="n">
        <v>1472.714</v>
      </c>
      <c r="G618" t="n">
        <v>14880</v>
      </c>
      <c r="H618" t="inlineStr">
        <is>
          <t>bb</t>
        </is>
      </c>
      <c r="I618" t="n">
        <v>1472.714</v>
      </c>
    </row>
    <row r="619">
      <c r="A619" t="n">
        <v>17</v>
      </c>
      <c r="B619" t="inlineStr">
        <is>
          <t>K3-1C</t>
        </is>
      </c>
      <c r="D619" t="n">
        <v>7.11</v>
      </c>
      <c r="E619" t="n">
        <v>2054.888</v>
      </c>
      <c r="G619" t="n">
        <v>5.217</v>
      </c>
      <c r="H619" t="inlineStr">
        <is>
          <t>bb</t>
        </is>
      </c>
      <c r="I619" t="n">
        <v>2054.888</v>
      </c>
    </row>
    <row r="620">
      <c r="A620" t="n">
        <v>18</v>
      </c>
      <c r="B620" t="inlineStr">
        <is>
          <t>K3-2A</t>
        </is>
      </c>
      <c r="D620" t="n">
        <v>7.18</v>
      </c>
      <c r="E620" t="n">
        <v>1852.851</v>
      </c>
      <c r="G620" t="n">
        <v>478.231</v>
      </c>
      <c r="H620" t="inlineStr">
        <is>
          <t>bb</t>
        </is>
      </c>
      <c r="I620" t="n">
        <v>1852.851</v>
      </c>
    </row>
    <row r="621">
      <c r="A621" t="n">
        <v>19</v>
      </c>
      <c r="B621" t="inlineStr">
        <is>
          <t>K3-2B</t>
        </is>
      </c>
      <c r="D621" t="n">
        <v>7.18</v>
      </c>
      <c r="E621" t="n">
        <v>2266.61</v>
      </c>
      <c r="G621" t="n">
        <v>22795</v>
      </c>
      <c r="H621" t="inlineStr">
        <is>
          <t>bb</t>
        </is>
      </c>
      <c r="I621" t="n">
        <v>2266.61</v>
      </c>
    </row>
    <row r="622">
      <c r="A622" t="n">
        <v>20</v>
      </c>
      <c r="B622" t="inlineStr">
        <is>
          <t>K3-2C</t>
        </is>
      </c>
      <c r="D622" t="n">
        <v>7.19</v>
      </c>
      <c r="E622" t="n">
        <v>2232.974</v>
      </c>
      <c r="G622" t="n">
        <v>6706.779</v>
      </c>
      <c r="H622" t="inlineStr">
        <is>
          <t>bb</t>
        </is>
      </c>
      <c r="I622" t="n">
        <v>2232.974</v>
      </c>
    </row>
    <row r="623">
      <c r="A623" t="n">
        <v>21</v>
      </c>
      <c r="B623" t="inlineStr">
        <is>
          <t>MeOH</t>
        </is>
      </c>
    </row>
    <row r="624">
      <c r="A624" t="n">
        <v>22</v>
      </c>
      <c r="B624" t="inlineStr">
        <is>
          <t>K3-3A</t>
        </is>
      </c>
      <c r="D624" t="n">
        <v>7.2</v>
      </c>
      <c r="E624" t="n">
        <v>2247.504</v>
      </c>
      <c r="G624" t="n">
        <v>505.812</v>
      </c>
      <c r="H624" t="inlineStr">
        <is>
          <t>bb</t>
        </is>
      </c>
      <c r="I624" t="n">
        <v>2247.504</v>
      </c>
    </row>
    <row r="625">
      <c r="A625" t="n">
        <v>23</v>
      </c>
      <c r="B625" t="inlineStr">
        <is>
          <t>K3-3B</t>
        </is>
      </c>
      <c r="D625" t="n">
        <v>7.21</v>
      </c>
      <c r="E625" t="n">
        <v>2836.518</v>
      </c>
      <c r="G625" t="n">
        <v>676.6950000000001</v>
      </c>
      <c r="H625" t="inlineStr">
        <is>
          <t>bb</t>
        </is>
      </c>
      <c r="I625" t="n">
        <v>2836.518</v>
      </c>
    </row>
    <row r="626">
      <c r="A626" t="n">
        <v>24</v>
      </c>
      <c r="B626" t="inlineStr">
        <is>
          <t>K3-3C</t>
        </is>
      </c>
      <c r="D626" t="n">
        <v>7.22</v>
      </c>
      <c r="E626" t="n">
        <v>2784.536</v>
      </c>
      <c r="G626" t="n">
        <v>340.61</v>
      </c>
      <c r="H626" t="inlineStr">
        <is>
          <t>bb</t>
        </is>
      </c>
      <c r="I626" t="n">
        <v>2784.536</v>
      </c>
    </row>
    <row r="627">
      <c r="A627" t="n">
        <v>25</v>
      </c>
      <c r="B627" t="inlineStr">
        <is>
          <t>K3-4A</t>
        </is>
      </c>
      <c r="D627" t="n">
        <v>7.29</v>
      </c>
      <c r="E627" t="n">
        <v>3315.61</v>
      </c>
      <c r="G627" t="n">
        <v>1899.339</v>
      </c>
      <c r="H627" t="inlineStr">
        <is>
          <t>bb</t>
        </is>
      </c>
      <c r="I627" t="n">
        <v>3315.61</v>
      </c>
    </row>
    <row r="628">
      <c r="A628" t="n">
        <v>26</v>
      </c>
      <c r="B628" t="inlineStr">
        <is>
          <t>K3-4B</t>
        </is>
      </c>
      <c r="D628" t="n">
        <v>7.25</v>
      </c>
      <c r="E628" t="n">
        <v>2719.03</v>
      </c>
      <c r="G628" t="n">
        <v>26932</v>
      </c>
      <c r="H628" t="inlineStr">
        <is>
          <t>bb</t>
        </is>
      </c>
      <c r="I628" t="n">
        <v>2719.03</v>
      </c>
    </row>
    <row r="629">
      <c r="A629" t="n">
        <v>27</v>
      </c>
      <c r="B629" t="inlineStr">
        <is>
          <t>K3-4C</t>
        </is>
      </c>
      <c r="D629" t="n">
        <v>7.29</v>
      </c>
      <c r="E629" t="n">
        <v>3532.196</v>
      </c>
      <c r="G629" t="n">
        <v>1018.906</v>
      </c>
      <c r="H629" t="inlineStr">
        <is>
          <t>bb</t>
        </is>
      </c>
      <c r="I629" t="n">
        <v>3532.196</v>
      </c>
    </row>
    <row r="630">
      <c r="A630" t="n">
        <v>28</v>
      </c>
      <c r="B630" t="inlineStr">
        <is>
          <t>MeOH</t>
        </is>
      </c>
      <c r="H630" t="inlineStr">
        <is>
          <t>MM-</t>
        </is>
      </c>
    </row>
    <row r="631">
      <c r="A631" t="n">
        <v>29</v>
      </c>
      <c r="B631" t="inlineStr">
        <is>
          <t>K3-6A</t>
        </is>
      </c>
      <c r="D631" t="n">
        <v>7.36</v>
      </c>
      <c r="E631" t="n">
        <v>3285.244</v>
      </c>
      <c r="G631" t="n">
        <v>120.958</v>
      </c>
      <c r="H631" t="inlineStr">
        <is>
          <t>bb</t>
        </is>
      </c>
      <c r="I631" t="n">
        <v>3285.244</v>
      </c>
    </row>
    <row r="632">
      <c r="A632" t="n">
        <v>30</v>
      </c>
      <c r="B632" t="inlineStr">
        <is>
          <t>K3-6B</t>
        </is>
      </c>
      <c r="D632" t="n">
        <v>7.32</v>
      </c>
      <c r="E632" t="n">
        <v>2954.052</v>
      </c>
      <c r="G632" t="n">
        <v>93.104</v>
      </c>
      <c r="H632" t="inlineStr">
        <is>
          <t>bb</t>
        </is>
      </c>
      <c r="I632" t="n">
        <v>2954.052</v>
      </c>
    </row>
    <row r="633">
      <c r="A633" t="n">
        <v>31</v>
      </c>
      <c r="B633" t="inlineStr">
        <is>
          <t>K3-6C</t>
        </is>
      </c>
      <c r="D633" t="n">
        <v>7.29</v>
      </c>
      <c r="E633" t="n">
        <v>3194.859</v>
      </c>
      <c r="G633" t="n">
        <v>433.871</v>
      </c>
      <c r="H633" t="inlineStr">
        <is>
          <t>bb</t>
        </is>
      </c>
      <c r="I633" t="n">
        <v>3194.859</v>
      </c>
    </row>
    <row r="635">
      <c r="A635" t="inlineStr">
        <is>
          <t>Compound 19:  m3 PFBS 2</t>
        </is>
      </c>
    </row>
    <row r="637">
      <c r="B637" t="inlineStr">
        <is>
          <t>Sample Text</t>
        </is>
      </c>
      <c r="C637" t="inlineStr">
        <is>
          <t>Std. Conc</t>
        </is>
      </c>
      <c r="D637" t="inlineStr">
        <is>
          <t>RT</t>
        </is>
      </c>
      <c r="E637" t="inlineStr">
        <is>
          <t>Area</t>
        </is>
      </c>
      <c r="F637" t="inlineStr">
        <is>
          <t>IS Area</t>
        </is>
      </c>
      <c r="G637" t="inlineStr">
        <is>
          <t>S/N</t>
        </is>
      </c>
      <c r="H637" t="inlineStr">
        <is>
          <t>Primary Flags</t>
        </is>
      </c>
      <c r="I637" t="inlineStr">
        <is>
          <t>Response</t>
        </is>
      </c>
      <c r="J637" t="inlineStr">
        <is>
          <t>Conc.</t>
        </is>
      </c>
    </row>
    <row r="638">
      <c r="A638" t="n">
        <v>1</v>
      </c>
      <c r="B638" t="inlineStr">
        <is>
          <t>K4-1A</t>
        </is>
      </c>
      <c r="D638" t="n">
        <v>7.31</v>
      </c>
      <c r="E638" t="n">
        <v>1269.057</v>
      </c>
      <c r="G638" t="n">
        <v>5.804</v>
      </c>
      <c r="H638" t="inlineStr">
        <is>
          <t>bb</t>
        </is>
      </c>
      <c r="I638" t="n">
        <v>1269.057</v>
      </c>
    </row>
    <row r="639">
      <c r="A639" t="n">
        <v>2</v>
      </c>
      <c r="B639" t="inlineStr">
        <is>
          <t>K4-1B</t>
        </is>
      </c>
      <c r="D639" t="n">
        <v>7.28</v>
      </c>
      <c r="E639" t="n">
        <v>1190.098</v>
      </c>
      <c r="G639" t="n">
        <v>50.716</v>
      </c>
      <c r="H639" t="inlineStr">
        <is>
          <t>bb</t>
        </is>
      </c>
      <c r="I639" t="n">
        <v>1190.098</v>
      </c>
    </row>
    <row r="640">
      <c r="A640" t="n">
        <v>3</v>
      </c>
      <c r="B640" t="inlineStr">
        <is>
          <t>K4-1C</t>
        </is>
      </c>
      <c r="D640" t="n">
        <v>7.3</v>
      </c>
      <c r="E640" t="n">
        <v>1102.583</v>
      </c>
      <c r="G640" t="n">
        <v>10.511</v>
      </c>
      <c r="H640" t="inlineStr">
        <is>
          <t>bb</t>
        </is>
      </c>
      <c r="I640" t="n">
        <v>1102.583</v>
      </c>
    </row>
    <row r="641">
      <c r="A641" t="n">
        <v>4</v>
      </c>
      <c r="B641" t="inlineStr">
        <is>
          <t>K4-2A</t>
        </is>
      </c>
      <c r="D641" t="n">
        <v>7.32</v>
      </c>
      <c r="E641" t="n">
        <v>1164.009</v>
      </c>
      <c r="G641" t="n">
        <v>46.478</v>
      </c>
      <c r="H641" t="inlineStr">
        <is>
          <t>bb</t>
        </is>
      </c>
      <c r="I641" t="n">
        <v>1164.009</v>
      </c>
    </row>
    <row r="642">
      <c r="A642" t="n">
        <v>5</v>
      </c>
      <c r="B642" t="inlineStr">
        <is>
          <t>K4-2B</t>
        </is>
      </c>
      <c r="D642" t="n">
        <v>7.32</v>
      </c>
      <c r="E642" t="n">
        <v>963.226</v>
      </c>
      <c r="G642" t="n">
        <v>922.981</v>
      </c>
      <c r="H642" t="inlineStr">
        <is>
          <t>bb</t>
        </is>
      </c>
      <c r="I642" t="n">
        <v>963.226</v>
      </c>
    </row>
    <row r="643">
      <c r="A643" t="n">
        <v>6</v>
      </c>
      <c r="B643" t="inlineStr">
        <is>
          <t>K4-2C</t>
        </is>
      </c>
      <c r="D643" t="n">
        <v>7.33</v>
      </c>
      <c r="E643" t="n">
        <v>987.529</v>
      </c>
      <c r="G643" t="n">
        <v>280.693</v>
      </c>
      <c r="H643" t="inlineStr">
        <is>
          <t>bb</t>
        </is>
      </c>
      <c r="I643" t="n">
        <v>987.529</v>
      </c>
    </row>
    <row r="644">
      <c r="A644" t="n">
        <v>7</v>
      </c>
      <c r="B644" t="inlineStr">
        <is>
          <t>MeOH</t>
        </is>
      </c>
      <c r="H644" t="inlineStr">
        <is>
          <t>MM-</t>
        </is>
      </c>
    </row>
    <row r="645">
      <c r="A645" t="n">
        <v>8</v>
      </c>
      <c r="B645" t="inlineStr">
        <is>
          <t>K4-4A</t>
        </is>
      </c>
      <c r="D645" t="n">
        <v>7.34</v>
      </c>
      <c r="E645" t="n">
        <v>1010.575</v>
      </c>
      <c r="G645" t="n">
        <v>9636</v>
      </c>
      <c r="H645" t="inlineStr">
        <is>
          <t>bb</t>
        </is>
      </c>
      <c r="I645" t="n">
        <v>1010.575</v>
      </c>
    </row>
    <row r="646">
      <c r="A646" t="n">
        <v>9</v>
      </c>
      <c r="B646" t="inlineStr">
        <is>
          <t>K4-4B</t>
        </is>
      </c>
      <c r="D646" t="n">
        <v>7.33</v>
      </c>
      <c r="E646" t="n">
        <v>958.828</v>
      </c>
      <c r="G646" t="n">
        <v>8862</v>
      </c>
      <c r="H646" t="inlineStr">
        <is>
          <t>bb</t>
        </is>
      </c>
      <c r="I646" t="n">
        <v>958.828</v>
      </c>
    </row>
    <row r="647">
      <c r="A647" t="n">
        <v>10</v>
      </c>
      <c r="B647" t="inlineStr">
        <is>
          <t>K4-4C</t>
        </is>
      </c>
      <c r="D647" t="n">
        <v>7.33</v>
      </c>
      <c r="E647" t="n">
        <v>1063.871</v>
      </c>
      <c r="G647" t="n">
        <v>12.666</v>
      </c>
      <c r="H647" t="inlineStr">
        <is>
          <t>bb</t>
        </is>
      </c>
      <c r="I647" t="n">
        <v>1063.871</v>
      </c>
    </row>
    <row r="648">
      <c r="A648" t="n">
        <v>11</v>
      </c>
      <c r="B648" t="inlineStr">
        <is>
          <t>K4-5A</t>
        </is>
      </c>
      <c r="D648" t="n">
        <v>7.32</v>
      </c>
      <c r="E648" t="n">
        <v>905.402</v>
      </c>
      <c r="G648" t="n">
        <v>8653</v>
      </c>
      <c r="H648" t="inlineStr">
        <is>
          <t>bb</t>
        </is>
      </c>
      <c r="I648" t="n">
        <v>905.402</v>
      </c>
    </row>
    <row r="649">
      <c r="A649" t="n">
        <v>12</v>
      </c>
      <c r="B649" t="inlineStr">
        <is>
          <t>K4-5B</t>
        </is>
      </c>
      <c r="D649" t="n">
        <v>7.28</v>
      </c>
      <c r="E649" t="n">
        <v>818.7089999999999</v>
      </c>
      <c r="G649" t="n">
        <v>23.143</v>
      </c>
      <c r="H649" t="inlineStr">
        <is>
          <t>bb</t>
        </is>
      </c>
      <c r="I649" t="n">
        <v>818.7089999999999</v>
      </c>
    </row>
    <row r="650">
      <c r="A650" t="n">
        <v>13</v>
      </c>
      <c r="B650" t="inlineStr">
        <is>
          <t>K4-5C</t>
        </is>
      </c>
      <c r="D650" t="n">
        <v>7.2</v>
      </c>
      <c r="E650" t="n">
        <v>916.855</v>
      </c>
      <c r="G650" t="n">
        <v>2536.909</v>
      </c>
      <c r="H650" t="inlineStr">
        <is>
          <t>bb</t>
        </is>
      </c>
      <c r="I650" t="n">
        <v>916.855</v>
      </c>
    </row>
    <row r="651">
      <c r="A651" t="n">
        <v>14</v>
      </c>
      <c r="B651" t="inlineStr">
        <is>
          <t>MeOH</t>
        </is>
      </c>
      <c r="H651" t="inlineStr">
        <is>
          <t>MM-</t>
        </is>
      </c>
    </row>
    <row r="652">
      <c r="A652" t="n">
        <v>15</v>
      </c>
      <c r="B652" t="inlineStr">
        <is>
          <t>K3-1A</t>
        </is>
      </c>
      <c r="D652" t="n">
        <v>7</v>
      </c>
      <c r="E652" t="n">
        <v>957.008</v>
      </c>
      <c r="G652" t="n">
        <v>11.216</v>
      </c>
      <c r="H652" t="inlineStr">
        <is>
          <t>bb</t>
        </is>
      </c>
      <c r="I652" t="n">
        <v>957.008</v>
      </c>
    </row>
    <row r="653">
      <c r="A653" t="n">
        <v>16</v>
      </c>
      <c r="B653" t="inlineStr">
        <is>
          <t>K3-1B</t>
        </is>
      </c>
      <c r="D653" t="n">
        <v>7.07</v>
      </c>
      <c r="E653" t="n">
        <v>859.682</v>
      </c>
      <c r="G653" t="n">
        <v>37.851</v>
      </c>
      <c r="H653" t="inlineStr">
        <is>
          <t>bb</t>
        </is>
      </c>
      <c r="I653" t="n">
        <v>859.682</v>
      </c>
    </row>
    <row r="654">
      <c r="A654" t="n">
        <v>17</v>
      </c>
      <c r="B654" t="inlineStr">
        <is>
          <t>K3-1C</t>
        </is>
      </c>
      <c r="D654" t="n">
        <v>7.11</v>
      </c>
      <c r="E654" t="n">
        <v>1270.221</v>
      </c>
      <c r="G654" t="n">
        <v>42.613</v>
      </c>
      <c r="H654" t="inlineStr">
        <is>
          <t>bb</t>
        </is>
      </c>
      <c r="I654" t="n">
        <v>1270.221</v>
      </c>
    </row>
    <row r="655">
      <c r="A655" t="n">
        <v>18</v>
      </c>
      <c r="B655" t="inlineStr">
        <is>
          <t>K3-2A</t>
        </is>
      </c>
      <c r="D655" t="n">
        <v>7.18</v>
      </c>
      <c r="E655" t="n">
        <v>1420.763</v>
      </c>
      <c r="G655" t="n">
        <v>27.803</v>
      </c>
      <c r="H655" t="inlineStr">
        <is>
          <t>bb</t>
        </is>
      </c>
      <c r="I655" t="n">
        <v>1420.763</v>
      </c>
    </row>
    <row r="656">
      <c r="A656" t="n">
        <v>19</v>
      </c>
      <c r="B656" t="inlineStr">
        <is>
          <t>K3-2B</t>
        </is>
      </c>
      <c r="D656" t="n">
        <v>7.19</v>
      </c>
      <c r="E656" t="n">
        <v>1536.833</v>
      </c>
      <c r="G656" t="n">
        <v>89.348</v>
      </c>
      <c r="H656" t="inlineStr">
        <is>
          <t>bb</t>
        </is>
      </c>
      <c r="I656" t="n">
        <v>1536.833</v>
      </c>
    </row>
    <row r="657">
      <c r="A657" t="n">
        <v>20</v>
      </c>
      <c r="B657" t="inlineStr">
        <is>
          <t>K3-2C</t>
        </is>
      </c>
      <c r="D657" t="n">
        <v>7.19</v>
      </c>
      <c r="E657" t="n">
        <v>1243.186</v>
      </c>
      <c r="G657" t="n">
        <v>260.442</v>
      </c>
      <c r="H657" t="inlineStr">
        <is>
          <t>bb</t>
        </is>
      </c>
      <c r="I657" t="n">
        <v>1243.186</v>
      </c>
    </row>
    <row r="658">
      <c r="A658" t="n">
        <v>21</v>
      </c>
      <c r="B658" t="inlineStr">
        <is>
          <t>MeOH</t>
        </is>
      </c>
      <c r="H658" t="inlineStr">
        <is>
          <t>MM-</t>
        </is>
      </c>
    </row>
    <row r="659">
      <c r="A659" t="n">
        <v>22</v>
      </c>
      <c r="B659" t="inlineStr">
        <is>
          <t>K3-3A</t>
        </is>
      </c>
      <c r="D659" t="n">
        <v>7.2</v>
      </c>
      <c r="E659" t="n">
        <v>1137.161</v>
      </c>
      <c r="G659" t="n">
        <v>28.114</v>
      </c>
      <c r="H659" t="inlineStr">
        <is>
          <t>bb</t>
        </is>
      </c>
      <c r="I659" t="n">
        <v>1137.161</v>
      </c>
    </row>
    <row r="660">
      <c r="A660" t="n">
        <v>23</v>
      </c>
      <c r="B660" t="inlineStr">
        <is>
          <t>K3-3B</t>
        </is>
      </c>
      <c r="D660" t="n">
        <v>7.21</v>
      </c>
      <c r="E660" t="n">
        <v>1398.916</v>
      </c>
      <c r="G660" t="n">
        <v>15451</v>
      </c>
      <c r="H660" t="inlineStr">
        <is>
          <t>bb</t>
        </is>
      </c>
      <c r="I660" t="n">
        <v>1398.916</v>
      </c>
    </row>
    <row r="661">
      <c r="A661" t="n">
        <v>24</v>
      </c>
      <c r="B661" t="inlineStr">
        <is>
          <t>K3-3C</t>
        </is>
      </c>
      <c r="D661" t="n">
        <v>7.23</v>
      </c>
      <c r="E661" t="n">
        <v>1741.658</v>
      </c>
      <c r="G661" t="n">
        <v>230.248</v>
      </c>
      <c r="H661" t="inlineStr">
        <is>
          <t>bb</t>
        </is>
      </c>
      <c r="I661" t="n">
        <v>1741.658</v>
      </c>
    </row>
    <row r="662">
      <c r="A662" t="n">
        <v>25</v>
      </c>
      <c r="B662" t="inlineStr">
        <is>
          <t>K3-4A</t>
        </is>
      </c>
      <c r="D662" t="n">
        <v>7.28</v>
      </c>
      <c r="E662" t="n">
        <v>1680.472</v>
      </c>
      <c r="G662" t="n">
        <v>52.759</v>
      </c>
      <c r="H662" t="inlineStr">
        <is>
          <t>bb</t>
        </is>
      </c>
      <c r="I662" t="n">
        <v>1680.472</v>
      </c>
    </row>
    <row r="663">
      <c r="A663" t="n">
        <v>26</v>
      </c>
      <c r="B663" t="inlineStr">
        <is>
          <t>K3-4B</t>
        </is>
      </c>
      <c r="D663" t="n">
        <v>7.25</v>
      </c>
      <c r="E663" t="n">
        <v>1587.348</v>
      </c>
      <c r="G663" t="n">
        <v>170.411</v>
      </c>
      <c r="H663" t="inlineStr">
        <is>
          <t>bb</t>
        </is>
      </c>
      <c r="I663" t="n">
        <v>1587.348</v>
      </c>
    </row>
    <row r="664">
      <c r="A664" t="n">
        <v>27</v>
      </c>
      <c r="B664" t="inlineStr">
        <is>
          <t>K3-4C</t>
        </is>
      </c>
      <c r="D664" t="n">
        <v>7.28</v>
      </c>
      <c r="E664" t="n">
        <v>2045.376</v>
      </c>
      <c r="G664" t="n">
        <v>22.661</v>
      </c>
      <c r="H664" t="inlineStr">
        <is>
          <t>bb</t>
        </is>
      </c>
      <c r="I664" t="n">
        <v>2045.376</v>
      </c>
    </row>
    <row r="665">
      <c r="A665" t="n">
        <v>28</v>
      </c>
      <c r="B665" t="inlineStr">
        <is>
          <t>MeOH</t>
        </is>
      </c>
      <c r="H665" t="inlineStr">
        <is>
          <t>MM-</t>
        </is>
      </c>
    </row>
    <row r="666">
      <c r="A666" t="n">
        <v>29</v>
      </c>
      <c r="B666" t="inlineStr">
        <is>
          <t>K3-6A</t>
        </is>
      </c>
      <c r="D666" t="n">
        <v>7.35</v>
      </c>
      <c r="E666" t="n">
        <v>1709.253</v>
      </c>
      <c r="G666" t="n">
        <v>150.515</v>
      </c>
      <c r="H666" t="inlineStr">
        <is>
          <t>bb</t>
        </is>
      </c>
      <c r="I666" t="n">
        <v>1709.253</v>
      </c>
    </row>
    <row r="667">
      <c r="A667" t="n">
        <v>30</v>
      </c>
      <c r="B667" t="inlineStr">
        <is>
          <t>K3-6B</t>
        </is>
      </c>
      <c r="D667" t="n">
        <v>7.32</v>
      </c>
      <c r="E667" t="n">
        <v>1829.777</v>
      </c>
      <c r="G667" t="n">
        <v>272.795</v>
      </c>
      <c r="H667" t="inlineStr">
        <is>
          <t>bb</t>
        </is>
      </c>
      <c r="I667" t="n">
        <v>1829.777</v>
      </c>
    </row>
    <row r="668">
      <c r="A668" t="n">
        <v>31</v>
      </c>
      <c r="B668" t="inlineStr">
        <is>
          <t>K3-6C</t>
        </is>
      </c>
      <c r="D668" t="n">
        <v>7.3</v>
      </c>
      <c r="E668" t="n">
        <v>1884.642</v>
      </c>
      <c r="G668" t="n">
        <v>160.712</v>
      </c>
      <c r="H668" t="inlineStr">
        <is>
          <t>bb</t>
        </is>
      </c>
      <c r="I668" t="n">
        <v>1884.642</v>
      </c>
    </row>
    <row r="670">
      <c r="A670" t="inlineStr">
        <is>
          <t>Compound 20:  PFHxA 1</t>
        </is>
      </c>
    </row>
    <row r="672">
      <c r="B672" t="inlineStr">
        <is>
          <t>Sample Text</t>
        </is>
      </c>
      <c r="C672" t="inlineStr">
        <is>
          <t>Std. Conc</t>
        </is>
      </c>
      <c r="D672" t="inlineStr">
        <is>
          <t>RT</t>
        </is>
      </c>
      <c r="E672" t="inlineStr">
        <is>
          <t>Area</t>
        </is>
      </c>
      <c r="F672" t="inlineStr">
        <is>
          <t>IS Area</t>
        </is>
      </c>
      <c r="G672" t="inlineStr">
        <is>
          <t>S/N</t>
        </is>
      </c>
      <c r="H672" t="inlineStr">
        <is>
          <t>Primary Flags</t>
        </is>
      </c>
      <c r="I672" t="inlineStr">
        <is>
          <t>Response</t>
        </is>
      </c>
      <c r="J672" t="inlineStr">
        <is>
          <t>Conc.</t>
        </is>
      </c>
    </row>
    <row r="673">
      <c r="A673" t="n">
        <v>1</v>
      </c>
      <c r="B673" t="inlineStr">
        <is>
          <t>K4-1A</t>
        </is>
      </c>
      <c r="D673" t="n">
        <v>9.199999999999999</v>
      </c>
      <c r="E673" t="n">
        <v>86.755</v>
      </c>
      <c r="F673" t="n">
        <v>1575.246</v>
      </c>
      <c r="G673" t="n">
        <v>1.201</v>
      </c>
      <c r="H673" t="inlineStr">
        <is>
          <t>db</t>
        </is>
      </c>
    </row>
    <row r="674">
      <c r="A674" t="n">
        <v>2</v>
      </c>
      <c r="B674" t="inlineStr">
        <is>
          <t>K4-1B</t>
        </is>
      </c>
      <c r="D674" t="n">
        <v>8.94</v>
      </c>
      <c r="E674" t="n">
        <v>106.088</v>
      </c>
      <c r="F674" t="n">
        <v>1550.869</v>
      </c>
      <c r="G674" t="n">
        <v>1.125</v>
      </c>
      <c r="H674" t="inlineStr">
        <is>
          <t>MM</t>
        </is>
      </c>
    </row>
    <row r="675">
      <c r="A675" t="n">
        <v>3</v>
      </c>
      <c r="B675" t="inlineStr">
        <is>
          <t>K4-1C</t>
        </is>
      </c>
      <c r="D675" t="n">
        <v>8.99</v>
      </c>
      <c r="E675" t="n">
        <v>164.052</v>
      </c>
      <c r="F675" t="n">
        <v>1163.846</v>
      </c>
      <c r="G675" t="n">
        <v>4.632</v>
      </c>
      <c r="H675" t="inlineStr">
        <is>
          <t>bb</t>
        </is>
      </c>
    </row>
    <row r="676">
      <c r="A676" t="n">
        <v>4</v>
      </c>
      <c r="B676" t="inlineStr">
        <is>
          <t>K4-2A</t>
        </is>
      </c>
      <c r="D676" t="n">
        <v>9</v>
      </c>
      <c r="E676" t="n">
        <v>201.887</v>
      </c>
      <c r="F676" t="n">
        <v>1084.067</v>
      </c>
      <c r="G676" t="n">
        <v>4.183</v>
      </c>
      <c r="H676" t="inlineStr">
        <is>
          <t>bb</t>
        </is>
      </c>
    </row>
    <row r="677">
      <c r="A677" t="n">
        <v>5</v>
      </c>
      <c r="B677" t="inlineStr">
        <is>
          <t>K4-2B</t>
        </is>
      </c>
      <c r="D677" t="n">
        <v>8.779999999999999</v>
      </c>
      <c r="E677" t="n">
        <v>88.65900000000001</v>
      </c>
      <c r="F677" t="n">
        <v>1044.51</v>
      </c>
      <c r="G677" t="n">
        <v>1.841</v>
      </c>
      <c r="H677" t="inlineStr">
        <is>
          <t>bb</t>
        </is>
      </c>
    </row>
    <row r="678">
      <c r="A678" t="n">
        <v>6</v>
      </c>
      <c r="B678" t="inlineStr">
        <is>
          <t>K4-2C</t>
        </is>
      </c>
      <c r="D678" t="n">
        <v>8.99</v>
      </c>
      <c r="E678" t="n">
        <v>97.10899999999999</v>
      </c>
      <c r="F678" t="n">
        <v>1020.096</v>
      </c>
      <c r="G678" t="n">
        <v>3.421</v>
      </c>
      <c r="H678" t="inlineStr">
        <is>
          <t>MM</t>
        </is>
      </c>
    </row>
    <row r="679">
      <c r="A679" t="n">
        <v>7</v>
      </c>
      <c r="B679" t="inlineStr">
        <is>
          <t>MeOH</t>
        </is>
      </c>
      <c r="H679" t="inlineStr">
        <is>
          <t>MM-</t>
        </is>
      </c>
    </row>
    <row r="680">
      <c r="A680" t="n">
        <v>8</v>
      </c>
      <c r="B680" t="inlineStr">
        <is>
          <t>K4-4A</t>
        </is>
      </c>
      <c r="D680" t="n">
        <v>8.800000000000001</v>
      </c>
      <c r="E680" t="n">
        <v>85.327</v>
      </c>
      <c r="F680" t="n">
        <v>1051.351</v>
      </c>
      <c r="G680" t="n">
        <v>2.9</v>
      </c>
      <c r="H680" t="inlineStr">
        <is>
          <t>bb</t>
        </is>
      </c>
    </row>
    <row r="681">
      <c r="A681" t="n">
        <v>9</v>
      </c>
      <c r="B681" t="inlineStr">
        <is>
          <t>K4-4B</t>
        </is>
      </c>
      <c r="D681" t="n">
        <v>9.029999999999999</v>
      </c>
      <c r="E681" t="n">
        <v>71.27800000000001</v>
      </c>
      <c r="F681" t="n">
        <v>1035.151</v>
      </c>
      <c r="G681" t="n">
        <v>1.569</v>
      </c>
      <c r="H681" t="inlineStr">
        <is>
          <t>MM</t>
        </is>
      </c>
    </row>
    <row r="682">
      <c r="A682" t="n">
        <v>10</v>
      </c>
      <c r="B682" t="inlineStr">
        <is>
          <t>K4-4C</t>
        </is>
      </c>
      <c r="D682" t="n">
        <v>9.07</v>
      </c>
      <c r="E682" t="n">
        <v>82.304</v>
      </c>
      <c r="F682" t="n">
        <v>822.99</v>
      </c>
      <c r="G682" t="n">
        <v>2.464</v>
      </c>
      <c r="H682" t="inlineStr">
        <is>
          <t>bb</t>
        </is>
      </c>
    </row>
    <row r="683">
      <c r="A683" t="n">
        <v>11</v>
      </c>
      <c r="B683" t="inlineStr">
        <is>
          <t>K4-5A</t>
        </is>
      </c>
      <c r="D683" t="n">
        <v>9.09</v>
      </c>
      <c r="E683" t="n">
        <v>67.68000000000001</v>
      </c>
      <c r="F683" t="n">
        <v>985.0170000000001</v>
      </c>
      <c r="G683" t="n">
        <v>1.497</v>
      </c>
      <c r="H683" t="inlineStr">
        <is>
          <t>MM</t>
        </is>
      </c>
    </row>
    <row r="684">
      <c r="A684" t="n">
        <v>12</v>
      </c>
      <c r="B684" t="inlineStr">
        <is>
          <t>K4-5B</t>
        </is>
      </c>
      <c r="D684" t="n">
        <v>8.970000000000001</v>
      </c>
      <c r="E684" t="n">
        <v>66.60299999999999</v>
      </c>
      <c r="F684" t="n">
        <v>1024.411</v>
      </c>
      <c r="G684" t="n">
        <v>2.014</v>
      </c>
      <c r="H684" t="inlineStr">
        <is>
          <t>MM</t>
        </is>
      </c>
    </row>
    <row r="685">
      <c r="A685" t="n">
        <v>13</v>
      </c>
      <c r="B685" t="inlineStr">
        <is>
          <t>K4-5C</t>
        </is>
      </c>
      <c r="D685" t="n">
        <v>8.859999999999999</v>
      </c>
      <c r="E685" t="n">
        <v>51.809</v>
      </c>
      <c r="F685" t="n">
        <v>1313.31</v>
      </c>
      <c r="G685" t="n">
        <v>1.74</v>
      </c>
      <c r="H685" t="inlineStr">
        <is>
          <t>bb</t>
        </is>
      </c>
    </row>
    <row r="686">
      <c r="A686" t="n">
        <v>14</v>
      </c>
      <c r="B686" t="inlineStr">
        <is>
          <t>MeOH</t>
        </is>
      </c>
      <c r="H686" t="inlineStr">
        <is>
          <t>MM-</t>
        </is>
      </c>
    </row>
    <row r="687">
      <c r="A687" t="n">
        <v>15</v>
      </c>
      <c r="B687" t="inlineStr">
        <is>
          <t>K3-1A</t>
        </is>
      </c>
      <c r="D687" t="n">
        <v>8.77</v>
      </c>
      <c r="E687" t="n">
        <v>75.202</v>
      </c>
      <c r="F687" t="n">
        <v>1115.547</v>
      </c>
      <c r="G687" t="n">
        <v>3.212</v>
      </c>
      <c r="H687" t="inlineStr">
        <is>
          <t>MM</t>
        </is>
      </c>
    </row>
    <row r="688">
      <c r="A688" t="n">
        <v>16</v>
      </c>
      <c r="B688" t="inlineStr">
        <is>
          <t>K3-1B</t>
        </is>
      </c>
      <c r="D688" t="n">
        <v>8.81</v>
      </c>
      <c r="E688" t="n">
        <v>218.343</v>
      </c>
      <c r="F688" t="n">
        <v>868.492</v>
      </c>
      <c r="G688" t="n">
        <v>8.435</v>
      </c>
      <c r="H688" t="inlineStr">
        <is>
          <t>bb</t>
        </is>
      </c>
    </row>
    <row r="689">
      <c r="A689" t="n">
        <v>17</v>
      </c>
      <c r="B689" t="inlineStr">
        <is>
          <t>K3-1C</t>
        </is>
      </c>
      <c r="D689" t="n">
        <v>8.93</v>
      </c>
      <c r="E689" t="n">
        <v>40.185</v>
      </c>
      <c r="F689" t="n">
        <v>1891.713</v>
      </c>
      <c r="G689" t="n">
        <v>1.333</v>
      </c>
      <c r="H689" t="inlineStr">
        <is>
          <t>MM</t>
        </is>
      </c>
    </row>
    <row r="690">
      <c r="A690" t="n">
        <v>18</v>
      </c>
      <c r="B690" t="inlineStr">
        <is>
          <t>K3-2A</t>
        </is>
      </c>
      <c r="D690" t="n">
        <v>8.94</v>
      </c>
      <c r="E690" t="n">
        <v>119.696</v>
      </c>
      <c r="F690" t="n">
        <v>1176.041</v>
      </c>
      <c r="G690" t="n">
        <v>1.569</v>
      </c>
      <c r="H690" t="inlineStr">
        <is>
          <t>MM</t>
        </is>
      </c>
    </row>
    <row r="691">
      <c r="A691" t="n">
        <v>19</v>
      </c>
      <c r="B691" t="inlineStr">
        <is>
          <t>K3-2B</t>
        </is>
      </c>
      <c r="D691" t="n">
        <v>8.92</v>
      </c>
      <c r="E691" t="n">
        <v>206.715</v>
      </c>
      <c r="F691" t="n">
        <v>1321.349</v>
      </c>
      <c r="G691" t="n">
        <v>6.581</v>
      </c>
      <c r="H691" t="inlineStr">
        <is>
          <t>bb</t>
        </is>
      </c>
    </row>
    <row r="692">
      <c r="A692" t="n">
        <v>20</v>
      </c>
      <c r="B692" t="inlineStr">
        <is>
          <t>K3-2C</t>
        </is>
      </c>
      <c r="D692" t="n">
        <v>8.92</v>
      </c>
      <c r="E692" t="n">
        <v>201.821</v>
      </c>
      <c r="F692" t="n">
        <v>1479.533</v>
      </c>
      <c r="G692" t="n">
        <v>4.617</v>
      </c>
      <c r="H692" t="inlineStr">
        <is>
          <t>bb</t>
        </is>
      </c>
    </row>
    <row r="693">
      <c r="A693" t="n">
        <v>21</v>
      </c>
      <c r="B693" t="inlineStr">
        <is>
          <t>MeOH</t>
        </is>
      </c>
      <c r="H693" t="inlineStr">
        <is>
          <t>MM-</t>
        </is>
      </c>
    </row>
    <row r="694">
      <c r="A694" t="n">
        <v>22</v>
      </c>
      <c r="B694" t="inlineStr">
        <is>
          <t>K3-3A</t>
        </is>
      </c>
      <c r="D694" t="n">
        <v>8.93</v>
      </c>
      <c r="E694" t="n">
        <v>195.613</v>
      </c>
      <c r="F694" t="n">
        <v>1517.701</v>
      </c>
      <c r="G694" t="n">
        <v>7.594</v>
      </c>
      <c r="H694" t="inlineStr">
        <is>
          <t>db</t>
        </is>
      </c>
    </row>
    <row r="695">
      <c r="A695" t="n">
        <v>23</v>
      </c>
      <c r="B695" t="inlineStr">
        <is>
          <t>K3-3B</t>
        </is>
      </c>
      <c r="D695" t="n">
        <v>8.92</v>
      </c>
      <c r="E695" t="n">
        <v>274.019</v>
      </c>
      <c r="F695" t="n">
        <v>1453.885</v>
      </c>
      <c r="G695" t="n">
        <v>10.804</v>
      </c>
      <c r="H695" t="inlineStr">
        <is>
          <t>bb</t>
        </is>
      </c>
    </row>
    <row r="696">
      <c r="A696" t="n">
        <v>24</v>
      </c>
      <c r="B696" t="inlineStr">
        <is>
          <t>K3-3C</t>
        </is>
      </c>
      <c r="D696" t="n">
        <v>8.949999999999999</v>
      </c>
      <c r="E696" t="n">
        <v>260.224</v>
      </c>
      <c r="F696" t="n">
        <v>1930.228</v>
      </c>
      <c r="G696" t="n">
        <v>7.655</v>
      </c>
      <c r="H696" t="inlineStr">
        <is>
          <t>MM</t>
        </is>
      </c>
    </row>
    <row r="697">
      <c r="A697" t="n">
        <v>25</v>
      </c>
      <c r="B697" t="inlineStr">
        <is>
          <t>K3-4A</t>
        </is>
      </c>
      <c r="D697" t="n">
        <v>8.99</v>
      </c>
      <c r="E697" t="n">
        <v>218.642</v>
      </c>
      <c r="F697" t="n">
        <v>2454.78</v>
      </c>
      <c r="G697" t="n">
        <v>6.426</v>
      </c>
      <c r="H697" t="inlineStr">
        <is>
          <t>MM</t>
        </is>
      </c>
    </row>
    <row r="698">
      <c r="A698" t="n">
        <v>26</v>
      </c>
      <c r="B698" t="inlineStr">
        <is>
          <t>K3-4B</t>
        </is>
      </c>
      <c r="D698" t="n">
        <v>8.98</v>
      </c>
      <c r="E698" t="n">
        <v>114.41</v>
      </c>
      <c r="F698" t="n">
        <v>2046.805</v>
      </c>
      <c r="G698" t="n">
        <v>2.376</v>
      </c>
      <c r="H698" t="inlineStr">
        <is>
          <t>bb</t>
        </is>
      </c>
    </row>
    <row r="699">
      <c r="A699" t="n">
        <v>27</v>
      </c>
      <c r="B699" t="inlineStr">
        <is>
          <t>K3-4C</t>
        </is>
      </c>
      <c r="D699" t="n">
        <v>9.01</v>
      </c>
      <c r="E699" t="n">
        <v>116.136</v>
      </c>
      <c r="F699" t="n">
        <v>1963.707</v>
      </c>
      <c r="G699" t="n">
        <v>2.899</v>
      </c>
      <c r="H699" t="inlineStr">
        <is>
          <t>bb</t>
        </is>
      </c>
    </row>
    <row r="700">
      <c r="A700" t="n">
        <v>28</v>
      </c>
      <c r="B700" t="inlineStr">
        <is>
          <t>MeOH</t>
        </is>
      </c>
      <c r="H700" t="inlineStr">
        <is>
          <t>MM-</t>
        </is>
      </c>
    </row>
    <row r="701">
      <c r="A701" t="n">
        <v>29</v>
      </c>
      <c r="B701" t="inlineStr">
        <is>
          <t>K3-6A</t>
        </is>
      </c>
      <c r="D701" t="n">
        <v>9.039999999999999</v>
      </c>
      <c r="E701" t="n">
        <v>62.141</v>
      </c>
      <c r="F701" t="n">
        <v>2063.159</v>
      </c>
      <c r="G701" t="n">
        <v>1.813</v>
      </c>
      <c r="H701" t="inlineStr">
        <is>
          <t>MM</t>
        </is>
      </c>
    </row>
    <row r="702">
      <c r="A702" t="n">
        <v>30</v>
      </c>
      <c r="B702" t="inlineStr">
        <is>
          <t>K3-6B</t>
        </is>
      </c>
      <c r="D702" t="n">
        <v>9.08</v>
      </c>
      <c r="E702" t="n">
        <v>160.323</v>
      </c>
      <c r="F702" t="n">
        <v>1701.403</v>
      </c>
      <c r="G702" t="n">
        <v>3.204</v>
      </c>
      <c r="H702" t="inlineStr">
        <is>
          <t>MM</t>
        </is>
      </c>
    </row>
    <row r="703">
      <c r="A703" t="n">
        <v>31</v>
      </c>
      <c r="B703" t="inlineStr">
        <is>
          <t>K3-6C</t>
        </is>
      </c>
      <c r="D703" t="n">
        <v>8.99</v>
      </c>
      <c r="E703" t="n">
        <v>212.529</v>
      </c>
      <c r="F703" t="n">
        <v>1921.069</v>
      </c>
      <c r="G703" t="n">
        <v>5.64</v>
      </c>
      <c r="H703" t="inlineStr">
        <is>
          <t>bb</t>
        </is>
      </c>
    </row>
    <row r="705">
      <c r="A705" t="inlineStr">
        <is>
          <t>Compound 21:  PFHxA 2</t>
        </is>
      </c>
    </row>
    <row r="707">
      <c r="B707" t="inlineStr">
        <is>
          <t>Sample Text</t>
        </is>
      </c>
      <c r="C707" t="inlineStr">
        <is>
          <t>Std. Conc</t>
        </is>
      </c>
      <c r="D707" t="inlineStr">
        <is>
          <t>RT</t>
        </is>
      </c>
      <c r="E707" t="inlineStr">
        <is>
          <t>Area</t>
        </is>
      </c>
      <c r="F707" t="inlineStr">
        <is>
          <t>IS Area</t>
        </is>
      </c>
      <c r="G707" t="inlineStr">
        <is>
          <t>S/N</t>
        </is>
      </c>
      <c r="H707" t="inlineStr">
        <is>
          <t>Primary Flags</t>
        </is>
      </c>
      <c r="I707" t="inlineStr">
        <is>
          <t>Response</t>
        </is>
      </c>
      <c r="J707" t="inlineStr">
        <is>
          <t>Conc.</t>
        </is>
      </c>
    </row>
    <row r="708">
      <c r="A708" t="n">
        <v>1</v>
      </c>
      <c r="B708" t="inlineStr">
        <is>
          <t>K4-1A</t>
        </is>
      </c>
      <c r="F708" t="n">
        <v>1575.246</v>
      </c>
    </row>
    <row r="709">
      <c r="A709" t="n">
        <v>2</v>
      </c>
      <c r="B709" t="inlineStr">
        <is>
          <t>K4-1B</t>
        </is>
      </c>
      <c r="D709" t="n">
        <v>9.199999999999999</v>
      </c>
      <c r="E709" t="n">
        <v>0.663</v>
      </c>
      <c r="F709" t="n">
        <v>1550.869</v>
      </c>
      <c r="G709" t="n">
        <v>8</v>
      </c>
      <c r="H709" t="inlineStr">
        <is>
          <t>bb</t>
        </is>
      </c>
    </row>
    <row r="710">
      <c r="A710" t="n">
        <v>3</v>
      </c>
      <c r="B710" t="inlineStr">
        <is>
          <t>K4-1C</t>
        </is>
      </c>
      <c r="F710" t="n">
        <v>1163.846</v>
      </c>
    </row>
    <row r="711">
      <c r="A711" t="n">
        <v>4</v>
      </c>
      <c r="B711" t="inlineStr">
        <is>
          <t>K4-2A</t>
        </is>
      </c>
      <c r="F711" t="n">
        <v>1084.067</v>
      </c>
    </row>
    <row r="712">
      <c r="A712" t="n">
        <v>5</v>
      </c>
      <c r="B712" t="inlineStr">
        <is>
          <t>K4-2B</t>
        </is>
      </c>
      <c r="F712" t="n">
        <v>1044.51</v>
      </c>
    </row>
    <row r="713">
      <c r="A713" t="n">
        <v>6</v>
      </c>
      <c r="B713" t="inlineStr">
        <is>
          <t>K4-2C</t>
        </is>
      </c>
      <c r="F713" t="n">
        <v>1020.096</v>
      </c>
    </row>
    <row r="714">
      <c r="A714" t="n">
        <v>7</v>
      </c>
      <c r="B714" t="inlineStr">
        <is>
          <t>MeOH</t>
        </is>
      </c>
    </row>
    <row r="715">
      <c r="A715" t="n">
        <v>8</v>
      </c>
      <c r="B715" t="inlineStr">
        <is>
          <t>K4-4A</t>
        </is>
      </c>
      <c r="F715" t="n">
        <v>1051.351</v>
      </c>
    </row>
    <row r="716">
      <c r="A716" t="n">
        <v>9</v>
      </c>
      <c r="B716" t="inlineStr">
        <is>
          <t>K4-4B</t>
        </is>
      </c>
      <c r="F716" t="n">
        <v>1035.151</v>
      </c>
    </row>
    <row r="717">
      <c r="A717" t="n">
        <v>10</v>
      </c>
      <c r="B717" t="inlineStr">
        <is>
          <t>K4-4C</t>
        </is>
      </c>
      <c r="F717" t="n">
        <v>822.99</v>
      </c>
    </row>
    <row r="718">
      <c r="A718" t="n">
        <v>11</v>
      </c>
      <c r="B718" t="inlineStr">
        <is>
          <t>K4-5A</t>
        </is>
      </c>
      <c r="F718" t="n">
        <v>985.0170000000001</v>
      </c>
    </row>
    <row r="719">
      <c r="A719" t="n">
        <v>12</v>
      </c>
      <c r="B719" t="inlineStr">
        <is>
          <t>K4-5B</t>
        </is>
      </c>
      <c r="F719" t="n">
        <v>1024.411</v>
      </c>
    </row>
    <row r="720">
      <c r="A720" t="n">
        <v>13</v>
      </c>
      <c r="B720" t="inlineStr">
        <is>
          <t>K4-5C</t>
        </is>
      </c>
      <c r="F720" t="n">
        <v>1313.31</v>
      </c>
    </row>
    <row r="721">
      <c r="A721" t="n">
        <v>14</v>
      </c>
      <c r="B721" t="inlineStr">
        <is>
          <t>MeOH</t>
        </is>
      </c>
    </row>
    <row r="722">
      <c r="A722" t="n">
        <v>15</v>
      </c>
      <c r="B722" t="inlineStr">
        <is>
          <t>K3-1A</t>
        </is>
      </c>
      <c r="F722" t="n">
        <v>1115.547</v>
      </c>
    </row>
    <row r="723">
      <c r="A723" t="n">
        <v>16</v>
      </c>
      <c r="B723" t="inlineStr">
        <is>
          <t>K3-1B</t>
        </is>
      </c>
      <c r="D723" t="n">
        <v>8.550000000000001</v>
      </c>
      <c r="E723" t="n">
        <v>0.443</v>
      </c>
      <c r="F723" t="n">
        <v>868.492</v>
      </c>
      <c r="G723" t="n">
        <v>6</v>
      </c>
      <c r="H723" t="inlineStr">
        <is>
          <t>bb</t>
        </is>
      </c>
    </row>
    <row r="724">
      <c r="A724" t="n">
        <v>17</v>
      </c>
      <c r="B724" t="inlineStr">
        <is>
          <t>K3-1C</t>
        </is>
      </c>
      <c r="F724" t="n">
        <v>1891.713</v>
      </c>
    </row>
    <row r="725">
      <c r="A725" t="n">
        <v>18</v>
      </c>
      <c r="B725" t="inlineStr">
        <is>
          <t>K3-2A</t>
        </is>
      </c>
      <c r="F725" t="n">
        <v>1176.041</v>
      </c>
    </row>
    <row r="726">
      <c r="A726" t="n">
        <v>19</v>
      </c>
      <c r="B726" t="inlineStr">
        <is>
          <t>K3-2B</t>
        </is>
      </c>
      <c r="F726" t="n">
        <v>1321.349</v>
      </c>
    </row>
    <row r="727">
      <c r="A727" t="n">
        <v>20</v>
      </c>
      <c r="B727" t="inlineStr">
        <is>
          <t>K3-2C</t>
        </is>
      </c>
      <c r="F727" t="n">
        <v>1479.533</v>
      </c>
    </row>
    <row r="728">
      <c r="A728" t="n">
        <v>21</v>
      </c>
      <c r="B728" t="inlineStr">
        <is>
          <t>MeOH</t>
        </is>
      </c>
    </row>
    <row r="729">
      <c r="A729" t="n">
        <v>22</v>
      </c>
      <c r="B729" t="inlineStr">
        <is>
          <t>K3-3A</t>
        </is>
      </c>
      <c r="F729" t="n">
        <v>1517.701</v>
      </c>
    </row>
    <row r="730">
      <c r="A730" t="n">
        <v>23</v>
      </c>
      <c r="B730" t="inlineStr">
        <is>
          <t>K3-3B</t>
        </is>
      </c>
      <c r="F730" t="n">
        <v>1453.885</v>
      </c>
    </row>
    <row r="731">
      <c r="A731" t="n">
        <v>24</v>
      </c>
      <c r="B731" t="inlineStr">
        <is>
          <t>K3-3C</t>
        </is>
      </c>
      <c r="F731" t="n">
        <v>1930.228</v>
      </c>
    </row>
    <row r="732">
      <c r="A732" t="n">
        <v>25</v>
      </c>
      <c r="B732" t="inlineStr">
        <is>
          <t>K3-4A</t>
        </is>
      </c>
      <c r="F732" t="n">
        <v>2454.78</v>
      </c>
    </row>
    <row r="733">
      <c r="A733" t="n">
        <v>26</v>
      </c>
      <c r="B733" t="inlineStr">
        <is>
          <t>K3-4B</t>
        </is>
      </c>
      <c r="F733" t="n">
        <v>2046.805</v>
      </c>
    </row>
    <row r="734">
      <c r="A734" t="n">
        <v>27</v>
      </c>
      <c r="B734" t="inlineStr">
        <is>
          <t>K3-4C</t>
        </is>
      </c>
      <c r="F734" t="n">
        <v>1963.707</v>
      </c>
    </row>
    <row r="735">
      <c r="A735" t="n">
        <v>28</v>
      </c>
      <c r="B735" t="inlineStr">
        <is>
          <t>MeOH</t>
        </is>
      </c>
    </row>
    <row r="736">
      <c r="A736" t="n">
        <v>29</v>
      </c>
      <c r="B736" t="inlineStr">
        <is>
          <t>K3-6A</t>
        </is>
      </c>
      <c r="F736" t="n">
        <v>2063.159</v>
      </c>
    </row>
    <row r="737">
      <c r="A737" t="n">
        <v>30</v>
      </c>
      <c r="B737" t="inlineStr">
        <is>
          <t>K3-6B</t>
        </is>
      </c>
      <c r="F737" t="n">
        <v>1701.403</v>
      </c>
    </row>
    <row r="738">
      <c r="A738" t="n">
        <v>31</v>
      </c>
      <c r="B738" t="inlineStr">
        <is>
          <t>K3-6C</t>
        </is>
      </c>
      <c r="F738" t="n">
        <v>1921.069</v>
      </c>
    </row>
    <row r="740">
      <c r="A740" t="inlineStr">
        <is>
          <t>Compound 22:  PFEESA 1</t>
        </is>
      </c>
    </row>
    <row r="742">
      <c r="B742" t="inlineStr">
        <is>
          <t>Sample Text</t>
        </is>
      </c>
      <c r="C742" t="inlineStr">
        <is>
          <t>Std. Conc</t>
        </is>
      </c>
      <c r="D742" t="inlineStr">
        <is>
          <t>RT</t>
        </is>
      </c>
      <c r="E742" t="inlineStr">
        <is>
          <t>Area</t>
        </is>
      </c>
      <c r="F742" t="inlineStr">
        <is>
          <t>IS Area</t>
        </is>
      </c>
      <c r="G742" t="inlineStr">
        <is>
          <t>S/N</t>
        </is>
      </c>
      <c r="H742" t="inlineStr">
        <is>
          <t>Primary Flags</t>
        </is>
      </c>
      <c r="I742" t="inlineStr">
        <is>
          <t>Response</t>
        </is>
      </c>
      <c r="J742" t="inlineStr">
        <is>
          <t>Conc.</t>
        </is>
      </c>
    </row>
    <row r="743">
      <c r="A743" t="n">
        <v>1</v>
      </c>
      <c r="B743" t="inlineStr">
        <is>
          <t>K4-1A</t>
        </is>
      </c>
      <c r="D743" t="n">
        <v>8.300000000000001</v>
      </c>
      <c r="E743" t="n">
        <v>52.895</v>
      </c>
      <c r="F743" t="n">
        <v>1575.246</v>
      </c>
      <c r="G743" t="n">
        <v>4.665</v>
      </c>
      <c r="H743" t="inlineStr">
        <is>
          <t>bb</t>
        </is>
      </c>
    </row>
    <row r="744">
      <c r="A744" t="n">
        <v>2</v>
      </c>
      <c r="B744" t="inlineStr">
        <is>
          <t>K4-1B</t>
        </is>
      </c>
      <c r="D744" t="n">
        <v>8.25</v>
      </c>
      <c r="E744" t="n">
        <v>77.521</v>
      </c>
      <c r="F744" t="n">
        <v>1550.869</v>
      </c>
      <c r="G744" t="n">
        <v>4.088</v>
      </c>
      <c r="H744" t="inlineStr">
        <is>
          <t>MM</t>
        </is>
      </c>
    </row>
    <row r="745">
      <c r="A745" t="n">
        <v>3</v>
      </c>
      <c r="B745" t="inlineStr">
        <is>
          <t>K4-1C</t>
        </is>
      </c>
      <c r="D745" t="n">
        <v>8.27</v>
      </c>
      <c r="E745" t="n">
        <v>31.313</v>
      </c>
      <c r="F745" t="n">
        <v>1163.846</v>
      </c>
      <c r="G745" t="n">
        <v>3.488</v>
      </c>
      <c r="H745" t="inlineStr">
        <is>
          <t>bb</t>
        </is>
      </c>
    </row>
    <row r="746">
      <c r="A746" t="n">
        <v>4</v>
      </c>
      <c r="B746" t="inlineStr">
        <is>
          <t>K4-2A</t>
        </is>
      </c>
      <c r="D746" t="n">
        <v>9.029999999999999</v>
      </c>
      <c r="E746" t="n">
        <v>10.386</v>
      </c>
      <c r="F746" t="n">
        <v>1084.067</v>
      </c>
      <c r="G746" t="n">
        <v>124</v>
      </c>
      <c r="H746" t="inlineStr">
        <is>
          <t>MM</t>
        </is>
      </c>
    </row>
    <row r="747">
      <c r="A747" t="n">
        <v>5</v>
      </c>
      <c r="B747" t="inlineStr">
        <is>
          <t>K4-2B</t>
        </is>
      </c>
      <c r="D747" t="n">
        <v>8.26</v>
      </c>
      <c r="E747" t="n">
        <v>6.714</v>
      </c>
      <c r="F747" t="n">
        <v>1044.51</v>
      </c>
      <c r="G747" t="n">
        <v>71</v>
      </c>
      <c r="H747" t="inlineStr">
        <is>
          <t>bb</t>
        </is>
      </c>
    </row>
    <row r="748">
      <c r="A748" t="n">
        <v>6</v>
      </c>
      <c r="B748" t="inlineStr">
        <is>
          <t>K4-2C</t>
        </is>
      </c>
      <c r="D748" t="n">
        <v>8.27</v>
      </c>
      <c r="E748" t="n">
        <v>4.29</v>
      </c>
      <c r="F748" t="n">
        <v>1020.096</v>
      </c>
      <c r="G748" t="n">
        <v>71</v>
      </c>
      <c r="H748" t="inlineStr">
        <is>
          <t>bb</t>
        </is>
      </c>
    </row>
    <row r="749">
      <c r="A749" t="n">
        <v>7</v>
      </c>
      <c r="B749" t="inlineStr">
        <is>
          <t>MeOH</t>
        </is>
      </c>
      <c r="H749" t="inlineStr">
        <is>
          <t>MM-</t>
        </is>
      </c>
    </row>
    <row r="750">
      <c r="A750" t="n">
        <v>8</v>
      </c>
      <c r="B750" t="inlineStr">
        <is>
          <t>K4-4A</t>
        </is>
      </c>
      <c r="F750" t="n">
        <v>1051.351</v>
      </c>
    </row>
    <row r="751">
      <c r="A751" t="n">
        <v>9</v>
      </c>
      <c r="B751" t="inlineStr">
        <is>
          <t>K4-4B</t>
        </is>
      </c>
      <c r="D751" t="n">
        <v>7.57</v>
      </c>
      <c r="E751" t="n">
        <v>0.32</v>
      </c>
      <c r="F751" t="n">
        <v>1035.151</v>
      </c>
      <c r="G751" t="n">
        <v>6</v>
      </c>
      <c r="H751" t="inlineStr">
        <is>
          <t>MM</t>
        </is>
      </c>
    </row>
    <row r="752">
      <c r="A752" t="n">
        <v>10</v>
      </c>
      <c r="B752" t="inlineStr">
        <is>
          <t>K4-4C</t>
        </is>
      </c>
      <c r="D752" t="n">
        <v>8.26</v>
      </c>
      <c r="E752" t="n">
        <v>7.245</v>
      </c>
      <c r="F752" t="n">
        <v>822.99</v>
      </c>
      <c r="G752" t="n">
        <v>90</v>
      </c>
      <c r="H752" t="inlineStr">
        <is>
          <t>MM</t>
        </is>
      </c>
    </row>
    <row r="753">
      <c r="A753" t="n">
        <v>11</v>
      </c>
      <c r="B753" t="inlineStr">
        <is>
          <t>K4-5A</t>
        </is>
      </c>
      <c r="F753" t="n">
        <v>985.0170000000001</v>
      </c>
    </row>
    <row r="754">
      <c r="A754" t="n">
        <v>12</v>
      </c>
      <c r="B754" t="inlineStr">
        <is>
          <t>K4-5B</t>
        </is>
      </c>
      <c r="D754" t="n">
        <v>8.6</v>
      </c>
      <c r="E754" t="n">
        <v>14.591</v>
      </c>
      <c r="F754" t="n">
        <v>1024.411</v>
      </c>
      <c r="G754" t="n">
        <v>205</v>
      </c>
      <c r="H754" t="inlineStr">
        <is>
          <t>MM</t>
        </is>
      </c>
    </row>
    <row r="755">
      <c r="A755" t="n">
        <v>13</v>
      </c>
      <c r="B755" t="inlineStr">
        <is>
          <t>K4-5C</t>
        </is>
      </c>
      <c r="D755" t="n">
        <v>8.18</v>
      </c>
      <c r="E755" t="n">
        <v>0.351</v>
      </c>
      <c r="F755" t="n">
        <v>1313.31</v>
      </c>
      <c r="G755" t="n">
        <v>6</v>
      </c>
      <c r="H755" t="inlineStr">
        <is>
          <t>bb</t>
        </is>
      </c>
    </row>
    <row r="756">
      <c r="A756" t="n">
        <v>14</v>
      </c>
      <c r="B756" t="inlineStr">
        <is>
          <t>MeOH</t>
        </is>
      </c>
      <c r="D756" t="n">
        <v>8.18</v>
      </c>
      <c r="E756" t="n">
        <v>218.737</v>
      </c>
      <c r="G756" t="n">
        <v>14.402</v>
      </c>
      <c r="H756" t="inlineStr">
        <is>
          <t>bb</t>
        </is>
      </c>
    </row>
    <row r="757">
      <c r="A757" t="n">
        <v>15</v>
      </c>
      <c r="B757" t="inlineStr">
        <is>
          <t>K3-1A</t>
        </is>
      </c>
      <c r="D757" t="n">
        <v>8.210000000000001</v>
      </c>
      <c r="E757" t="n">
        <v>1.462</v>
      </c>
      <c r="F757" t="n">
        <v>1115.547</v>
      </c>
      <c r="G757" t="n">
        <v>24</v>
      </c>
      <c r="H757" t="inlineStr">
        <is>
          <t>bb</t>
        </is>
      </c>
    </row>
    <row r="758">
      <c r="A758" t="n">
        <v>16</v>
      </c>
      <c r="B758" t="inlineStr">
        <is>
          <t>K3-1B</t>
        </is>
      </c>
      <c r="D758" t="n">
        <v>8.039999999999999</v>
      </c>
      <c r="E758" t="n">
        <v>59.68</v>
      </c>
      <c r="F758" t="n">
        <v>868.492</v>
      </c>
      <c r="G758" t="n">
        <v>610</v>
      </c>
      <c r="H758" t="inlineStr">
        <is>
          <t>bb</t>
        </is>
      </c>
    </row>
    <row r="759">
      <c r="A759" t="n">
        <v>17</v>
      </c>
      <c r="B759" t="inlineStr">
        <is>
          <t>K3-1C</t>
        </is>
      </c>
      <c r="D759" t="n">
        <v>8.08</v>
      </c>
      <c r="E759" t="n">
        <v>5.668</v>
      </c>
      <c r="F759" t="n">
        <v>1891.713</v>
      </c>
      <c r="G759" t="n">
        <v>10.979</v>
      </c>
      <c r="H759" t="inlineStr">
        <is>
          <t>bb</t>
        </is>
      </c>
    </row>
    <row r="760">
      <c r="A760" t="n">
        <v>18</v>
      </c>
      <c r="B760" t="inlineStr">
        <is>
          <t>K3-2A</t>
        </is>
      </c>
      <c r="D760" t="n">
        <v>8.539999999999999</v>
      </c>
      <c r="E760" t="n">
        <v>1.796</v>
      </c>
      <c r="F760" t="n">
        <v>1176.041</v>
      </c>
      <c r="G760" t="n">
        <v>26</v>
      </c>
      <c r="H760" t="inlineStr">
        <is>
          <t>bb</t>
        </is>
      </c>
    </row>
    <row r="761">
      <c r="A761" t="n">
        <v>19</v>
      </c>
      <c r="B761" t="inlineStr">
        <is>
          <t>K3-2B</t>
        </is>
      </c>
      <c r="F761" t="n">
        <v>1321.349</v>
      </c>
    </row>
    <row r="762">
      <c r="A762" t="n">
        <v>20</v>
      </c>
      <c r="B762" t="inlineStr">
        <is>
          <t>K3-2C</t>
        </is>
      </c>
      <c r="D762" t="n">
        <v>7.94</v>
      </c>
      <c r="E762" t="n">
        <v>3.163</v>
      </c>
      <c r="F762" t="n">
        <v>1479.533</v>
      </c>
      <c r="G762" t="n">
        <v>63</v>
      </c>
      <c r="H762" t="inlineStr">
        <is>
          <t>bb</t>
        </is>
      </c>
    </row>
    <row r="763">
      <c r="A763" t="n">
        <v>21</v>
      </c>
      <c r="B763" t="inlineStr">
        <is>
          <t>MeOH</t>
        </is>
      </c>
      <c r="H763" t="inlineStr">
        <is>
          <t>MM-</t>
        </is>
      </c>
    </row>
    <row r="764">
      <c r="A764" t="n">
        <v>22</v>
      </c>
      <c r="B764" t="inlineStr">
        <is>
          <t>K3-3A</t>
        </is>
      </c>
      <c r="D764" t="n">
        <v>8.789999999999999</v>
      </c>
      <c r="E764" t="n">
        <v>16.29</v>
      </c>
      <c r="F764" t="n">
        <v>1517.701</v>
      </c>
      <c r="G764" t="n">
        <v>229</v>
      </c>
      <c r="H764" t="inlineStr">
        <is>
          <t>MM</t>
        </is>
      </c>
    </row>
    <row r="765">
      <c r="A765" t="n">
        <v>23</v>
      </c>
      <c r="B765" t="inlineStr">
        <is>
          <t>K3-3B</t>
        </is>
      </c>
      <c r="D765" t="n">
        <v>7.71</v>
      </c>
      <c r="E765" t="n">
        <v>1.077</v>
      </c>
      <c r="F765" t="n">
        <v>1453.885</v>
      </c>
      <c r="G765" t="n">
        <v>21</v>
      </c>
      <c r="H765" t="inlineStr">
        <is>
          <t>bb</t>
        </is>
      </c>
    </row>
    <row r="766">
      <c r="A766" t="n">
        <v>24</v>
      </c>
      <c r="B766" t="inlineStr">
        <is>
          <t>K3-3C</t>
        </is>
      </c>
      <c r="F766" t="n">
        <v>1930.228</v>
      </c>
    </row>
    <row r="767">
      <c r="A767" t="n">
        <v>25</v>
      </c>
      <c r="B767" t="inlineStr">
        <is>
          <t>K3-4A</t>
        </is>
      </c>
      <c r="D767" t="n">
        <v>7.91</v>
      </c>
      <c r="E767" t="n">
        <v>0.211</v>
      </c>
      <c r="F767" t="n">
        <v>2454.78</v>
      </c>
      <c r="G767" t="n">
        <v>4</v>
      </c>
      <c r="H767" t="inlineStr">
        <is>
          <t>bb</t>
        </is>
      </c>
    </row>
    <row r="768">
      <c r="A768" t="n">
        <v>26</v>
      </c>
      <c r="B768" t="inlineStr">
        <is>
          <t>K3-4B</t>
        </is>
      </c>
      <c r="D768" t="n">
        <v>8.07</v>
      </c>
      <c r="E768" t="n">
        <v>7.899</v>
      </c>
      <c r="F768" t="n">
        <v>2046.805</v>
      </c>
      <c r="G768" t="n">
        <v>132</v>
      </c>
      <c r="H768" t="inlineStr">
        <is>
          <t>bb</t>
        </is>
      </c>
    </row>
    <row r="769">
      <c r="A769" t="n">
        <v>27</v>
      </c>
      <c r="B769" t="inlineStr">
        <is>
          <t>K3-4C</t>
        </is>
      </c>
      <c r="D769" t="n">
        <v>8.300000000000001</v>
      </c>
      <c r="E769" t="n">
        <v>13.216</v>
      </c>
      <c r="F769" t="n">
        <v>1963.707</v>
      </c>
      <c r="G769" t="n">
        <v>216</v>
      </c>
      <c r="H769" t="inlineStr">
        <is>
          <t>bb</t>
        </is>
      </c>
    </row>
    <row r="770">
      <c r="A770" t="n">
        <v>28</v>
      </c>
      <c r="B770" t="inlineStr">
        <is>
          <t>MeOH</t>
        </is>
      </c>
      <c r="D770" t="n">
        <v>8.300000000000001</v>
      </c>
      <c r="E770" t="n">
        <v>319.027</v>
      </c>
      <c r="G770" t="n">
        <v>25.575</v>
      </c>
      <c r="H770" t="inlineStr">
        <is>
          <t>bb</t>
        </is>
      </c>
    </row>
    <row r="771">
      <c r="A771" t="n">
        <v>29</v>
      </c>
      <c r="B771" t="inlineStr">
        <is>
          <t>K3-6A</t>
        </is>
      </c>
      <c r="D771" t="n">
        <v>7.93</v>
      </c>
      <c r="E771" t="n">
        <v>7.351</v>
      </c>
      <c r="F771" t="n">
        <v>2063.159</v>
      </c>
      <c r="G771" t="n">
        <v>144</v>
      </c>
      <c r="H771" t="inlineStr">
        <is>
          <t>bb</t>
        </is>
      </c>
    </row>
    <row r="772">
      <c r="A772" t="n">
        <v>30</v>
      </c>
      <c r="B772" t="inlineStr">
        <is>
          <t>K3-6B</t>
        </is>
      </c>
      <c r="D772" t="n">
        <v>8.17</v>
      </c>
      <c r="E772" t="n">
        <v>4.207</v>
      </c>
      <c r="F772" t="n">
        <v>1701.403</v>
      </c>
      <c r="G772" t="n">
        <v>70</v>
      </c>
      <c r="H772" t="inlineStr">
        <is>
          <t>bb</t>
        </is>
      </c>
    </row>
    <row r="773">
      <c r="A773" t="n">
        <v>31</v>
      </c>
      <c r="B773" t="inlineStr">
        <is>
          <t>K3-6C</t>
        </is>
      </c>
      <c r="D773" t="n">
        <v>8.27</v>
      </c>
      <c r="E773" t="n">
        <v>9.449999999999999</v>
      </c>
      <c r="F773" t="n">
        <v>1921.069</v>
      </c>
      <c r="G773" t="n">
        <v>157</v>
      </c>
      <c r="H773" t="inlineStr">
        <is>
          <t>bb</t>
        </is>
      </c>
    </row>
    <row r="775">
      <c r="A775" t="inlineStr">
        <is>
          <t>Compound 23:  PFEESA 2</t>
        </is>
      </c>
    </row>
    <row r="777">
      <c r="B777" t="inlineStr">
        <is>
          <t>Sample Text</t>
        </is>
      </c>
      <c r="C777" t="inlineStr">
        <is>
          <t>Std. Conc</t>
        </is>
      </c>
      <c r="D777" t="inlineStr">
        <is>
          <t>RT</t>
        </is>
      </c>
      <c r="E777" t="inlineStr">
        <is>
          <t>Area</t>
        </is>
      </c>
      <c r="F777" t="inlineStr">
        <is>
          <t>IS Area</t>
        </is>
      </c>
      <c r="G777" t="inlineStr">
        <is>
          <t>S/N</t>
        </is>
      </c>
      <c r="H777" t="inlineStr">
        <is>
          <t>Primary Flags</t>
        </is>
      </c>
      <c r="I777" t="inlineStr">
        <is>
          <t>Response</t>
        </is>
      </c>
      <c r="J777" t="inlineStr">
        <is>
          <t>Conc.</t>
        </is>
      </c>
    </row>
    <row r="778">
      <c r="A778" t="n">
        <v>1</v>
      </c>
      <c r="B778" t="inlineStr">
        <is>
          <t>K4-1A</t>
        </is>
      </c>
    </row>
    <row r="779">
      <c r="A779" t="n">
        <v>2</v>
      </c>
      <c r="B779" t="inlineStr">
        <is>
          <t>K4-1B</t>
        </is>
      </c>
    </row>
    <row r="780">
      <c r="A780" t="n">
        <v>3</v>
      </c>
      <c r="B780" t="inlineStr">
        <is>
          <t>K4-1C</t>
        </is>
      </c>
      <c r="D780" t="n">
        <v>7.64</v>
      </c>
      <c r="E780" t="n">
        <v>13.189</v>
      </c>
      <c r="G780" t="n">
        <v>259</v>
      </c>
      <c r="H780" t="inlineStr">
        <is>
          <t>bb</t>
        </is>
      </c>
    </row>
    <row r="781">
      <c r="A781" t="n">
        <v>4</v>
      </c>
      <c r="B781" t="inlineStr">
        <is>
          <t>K4-2A</t>
        </is>
      </c>
      <c r="D781" t="n">
        <v>7.95</v>
      </c>
      <c r="E781" t="n">
        <v>3.845</v>
      </c>
      <c r="F781" t="n">
        <v>2.638</v>
      </c>
      <c r="G781" t="n">
        <v>77</v>
      </c>
      <c r="H781" t="inlineStr">
        <is>
          <t>bb</t>
        </is>
      </c>
    </row>
    <row r="782">
      <c r="A782" t="n">
        <v>5</v>
      </c>
      <c r="B782" t="inlineStr">
        <is>
          <t>K4-2B</t>
        </is>
      </c>
    </row>
    <row r="783">
      <c r="A783" t="n">
        <v>6</v>
      </c>
      <c r="B783" t="inlineStr">
        <is>
          <t>K4-2C</t>
        </is>
      </c>
      <c r="D783" t="n">
        <v>8.19</v>
      </c>
      <c r="E783" t="n">
        <v>1.184</v>
      </c>
      <c r="G783" t="n">
        <v>16</v>
      </c>
      <c r="H783" t="inlineStr">
        <is>
          <t>bb</t>
        </is>
      </c>
    </row>
    <row r="784">
      <c r="A784" t="n">
        <v>7</v>
      </c>
      <c r="B784" t="inlineStr">
        <is>
          <t>MeOH</t>
        </is>
      </c>
    </row>
    <row r="785">
      <c r="A785" t="n">
        <v>8</v>
      </c>
      <c r="B785" t="inlineStr">
        <is>
          <t>K4-4A</t>
        </is>
      </c>
      <c r="D785" t="n">
        <v>7.78</v>
      </c>
      <c r="E785" t="n">
        <v>0.143</v>
      </c>
      <c r="G785" t="n">
        <v>3</v>
      </c>
      <c r="H785" t="inlineStr">
        <is>
          <t>bb</t>
        </is>
      </c>
    </row>
    <row r="786">
      <c r="A786" t="n">
        <v>9</v>
      </c>
      <c r="B786" t="inlineStr">
        <is>
          <t>K4-4B</t>
        </is>
      </c>
    </row>
    <row r="787">
      <c r="A787" t="n">
        <v>10</v>
      </c>
      <c r="B787" t="inlineStr">
        <is>
          <t>K4-4C</t>
        </is>
      </c>
    </row>
    <row r="788">
      <c r="A788" t="n">
        <v>11</v>
      </c>
      <c r="B788" t="inlineStr">
        <is>
          <t>K4-5A</t>
        </is>
      </c>
    </row>
    <row r="789">
      <c r="A789" t="n">
        <v>12</v>
      </c>
      <c r="B789" t="inlineStr">
        <is>
          <t>K4-5B</t>
        </is>
      </c>
      <c r="D789" t="n">
        <v>8.289999999999999</v>
      </c>
      <c r="E789" t="n">
        <v>0.956</v>
      </c>
      <c r="G789" t="n">
        <v>16</v>
      </c>
      <c r="H789" t="inlineStr">
        <is>
          <t>bb</t>
        </is>
      </c>
    </row>
    <row r="790">
      <c r="A790" t="n">
        <v>13</v>
      </c>
      <c r="B790" t="inlineStr">
        <is>
          <t>K4-5C</t>
        </is>
      </c>
      <c r="F790" t="n">
        <v>0.545</v>
      </c>
    </row>
    <row r="791">
      <c r="A791" t="n">
        <v>14</v>
      </c>
      <c r="B791" t="inlineStr">
        <is>
          <t>MeOH</t>
        </is>
      </c>
    </row>
    <row r="792">
      <c r="A792" t="n">
        <v>15</v>
      </c>
      <c r="B792" t="inlineStr">
        <is>
          <t>K3-1A</t>
        </is>
      </c>
    </row>
    <row r="793">
      <c r="A793" t="n">
        <v>16</v>
      </c>
      <c r="B793" t="inlineStr">
        <is>
          <t>K3-1B</t>
        </is>
      </c>
    </row>
    <row r="794">
      <c r="A794" t="n">
        <v>17</v>
      </c>
      <c r="B794" t="inlineStr">
        <is>
          <t>K3-1C</t>
        </is>
      </c>
      <c r="F794" t="n">
        <v>8.029</v>
      </c>
    </row>
    <row r="795">
      <c r="A795" t="n">
        <v>18</v>
      </c>
      <c r="B795" t="inlineStr">
        <is>
          <t>K3-2A</t>
        </is>
      </c>
    </row>
    <row r="796">
      <c r="A796" t="n">
        <v>19</v>
      </c>
      <c r="B796" t="inlineStr">
        <is>
          <t>K3-2B</t>
        </is>
      </c>
      <c r="D796" t="n">
        <v>8.279999999999999</v>
      </c>
      <c r="E796" t="n">
        <v>0.253</v>
      </c>
      <c r="F796" t="n">
        <v>4.466</v>
      </c>
      <c r="G796" t="n">
        <v>4</v>
      </c>
      <c r="H796" t="inlineStr">
        <is>
          <t>bb</t>
        </is>
      </c>
    </row>
    <row r="797">
      <c r="A797" t="n">
        <v>20</v>
      </c>
      <c r="B797" t="inlineStr">
        <is>
          <t>K3-2C</t>
        </is>
      </c>
      <c r="F797" t="n">
        <v>28.947</v>
      </c>
    </row>
    <row r="798">
      <c r="A798" t="n">
        <v>21</v>
      </c>
      <c r="B798" t="inlineStr">
        <is>
          <t>MeOH</t>
        </is>
      </c>
    </row>
    <row r="799">
      <c r="A799" t="n">
        <v>22</v>
      </c>
      <c r="B799" t="inlineStr">
        <is>
          <t>K3-3A</t>
        </is>
      </c>
      <c r="F799" t="n">
        <v>0.345</v>
      </c>
    </row>
    <row r="800">
      <c r="A800" t="n">
        <v>23</v>
      </c>
      <c r="B800" t="inlineStr">
        <is>
          <t>K3-3B</t>
        </is>
      </c>
      <c r="D800" t="n">
        <v>7.67</v>
      </c>
      <c r="E800" t="n">
        <v>1.411</v>
      </c>
      <c r="G800" t="n">
        <v>28</v>
      </c>
      <c r="H800" t="inlineStr">
        <is>
          <t>bb</t>
        </is>
      </c>
    </row>
    <row r="801">
      <c r="A801" t="n">
        <v>24</v>
      </c>
      <c r="B801" t="inlineStr">
        <is>
          <t>K3-3C</t>
        </is>
      </c>
      <c r="F801" t="n">
        <v>0.44</v>
      </c>
    </row>
    <row r="802">
      <c r="A802" t="n">
        <v>25</v>
      </c>
      <c r="B802" t="inlineStr">
        <is>
          <t>K3-4A</t>
        </is>
      </c>
      <c r="F802" t="n">
        <v>6.734</v>
      </c>
    </row>
    <row r="803">
      <c r="A803" t="n">
        <v>26</v>
      </c>
      <c r="B803" t="inlineStr">
        <is>
          <t>K3-4B</t>
        </is>
      </c>
    </row>
    <row r="804">
      <c r="A804" t="n">
        <v>27</v>
      </c>
      <c r="B804" t="inlineStr">
        <is>
          <t>K3-4C</t>
        </is>
      </c>
      <c r="D804" t="n">
        <v>7.79</v>
      </c>
      <c r="E804" t="n">
        <v>1.391</v>
      </c>
      <c r="G804" t="n">
        <v>28</v>
      </c>
      <c r="H804" t="inlineStr">
        <is>
          <t>bb</t>
        </is>
      </c>
    </row>
    <row r="805">
      <c r="A805" t="n">
        <v>28</v>
      </c>
      <c r="B805" t="inlineStr">
        <is>
          <t>MeOH</t>
        </is>
      </c>
    </row>
    <row r="806">
      <c r="A806" t="n">
        <v>29</v>
      </c>
      <c r="B806" t="inlineStr">
        <is>
          <t>K3-6A</t>
        </is>
      </c>
      <c r="F806" t="n">
        <v>6</v>
      </c>
    </row>
    <row r="807">
      <c r="A807" t="n">
        <v>30</v>
      </c>
      <c r="B807" t="inlineStr">
        <is>
          <t>K3-6B</t>
        </is>
      </c>
    </row>
    <row r="808">
      <c r="A808" t="n">
        <v>31</v>
      </c>
      <c r="B808" t="inlineStr">
        <is>
          <t>K3-6C</t>
        </is>
      </c>
    </row>
    <row r="810">
      <c r="A810" t="inlineStr">
        <is>
          <t>Compound 24:  m5 PFHxA 1</t>
        </is>
      </c>
    </row>
    <row r="812">
      <c r="B812" t="inlineStr">
        <is>
          <t>Sample Text</t>
        </is>
      </c>
      <c r="C812" t="inlineStr">
        <is>
          <t>Std. Conc</t>
        </is>
      </c>
      <c r="D812" t="inlineStr">
        <is>
          <t>RT</t>
        </is>
      </c>
      <c r="E812" t="inlineStr">
        <is>
          <t>Area</t>
        </is>
      </c>
      <c r="F812" t="inlineStr">
        <is>
          <t>IS Area</t>
        </is>
      </c>
      <c r="G812" t="inlineStr">
        <is>
          <t>S/N</t>
        </is>
      </c>
      <c r="H812" t="inlineStr">
        <is>
          <t>Primary Flags</t>
        </is>
      </c>
      <c r="I812" t="inlineStr">
        <is>
          <t>Response</t>
        </is>
      </c>
      <c r="J812" t="inlineStr">
        <is>
          <t>Conc.</t>
        </is>
      </c>
    </row>
    <row r="813">
      <c r="A813" t="n">
        <v>1</v>
      </c>
      <c r="B813" t="inlineStr">
        <is>
          <t>K4-1A</t>
        </is>
      </c>
      <c r="D813" t="n">
        <v>9</v>
      </c>
      <c r="E813" t="n">
        <v>1575.246</v>
      </c>
      <c r="G813" t="n">
        <v>287.563</v>
      </c>
      <c r="H813" t="inlineStr">
        <is>
          <t>MM</t>
        </is>
      </c>
      <c r="I813" t="n">
        <v>1575.246</v>
      </c>
    </row>
    <row r="814">
      <c r="A814" t="n">
        <v>2</v>
      </c>
      <c r="B814" t="inlineStr">
        <is>
          <t>K4-1B</t>
        </is>
      </c>
      <c r="D814" t="n">
        <v>8.98</v>
      </c>
      <c r="E814" t="n">
        <v>1550.869</v>
      </c>
      <c r="G814" t="n">
        <v>221.437</v>
      </c>
      <c r="H814" t="inlineStr">
        <is>
          <t>MM</t>
        </is>
      </c>
      <c r="I814" t="n">
        <v>1550.869</v>
      </c>
    </row>
    <row r="815">
      <c r="A815" t="n">
        <v>3</v>
      </c>
      <c r="B815" t="inlineStr">
        <is>
          <t>K4-1C</t>
        </is>
      </c>
      <c r="D815" t="n">
        <v>8.99</v>
      </c>
      <c r="E815" t="n">
        <v>1163.846</v>
      </c>
      <c r="G815" t="n">
        <v>138.74</v>
      </c>
      <c r="H815" t="inlineStr">
        <is>
          <t>MM</t>
        </is>
      </c>
      <c r="I815" t="n">
        <v>1163.846</v>
      </c>
    </row>
    <row r="816">
      <c r="A816" t="n">
        <v>4</v>
      </c>
      <c r="B816" t="inlineStr">
        <is>
          <t>K4-2A</t>
        </is>
      </c>
      <c r="D816" t="n">
        <v>9.029999999999999</v>
      </c>
      <c r="E816" t="n">
        <v>1084.067</v>
      </c>
      <c r="G816" t="n">
        <v>685.83</v>
      </c>
      <c r="H816" t="inlineStr">
        <is>
          <t>MM</t>
        </is>
      </c>
      <c r="I816" t="n">
        <v>1084.067</v>
      </c>
    </row>
    <row r="817">
      <c r="A817" t="n">
        <v>5</v>
      </c>
      <c r="B817" t="inlineStr">
        <is>
          <t>K4-2B</t>
        </is>
      </c>
      <c r="D817" t="n">
        <v>9.01</v>
      </c>
      <c r="E817" t="n">
        <v>1044.51</v>
      </c>
      <c r="G817" t="n">
        <v>8288</v>
      </c>
      <c r="H817" t="inlineStr">
        <is>
          <t>MM</t>
        </is>
      </c>
      <c r="I817" t="n">
        <v>1044.51</v>
      </c>
    </row>
    <row r="818">
      <c r="A818" t="n">
        <v>6</v>
      </c>
      <c r="B818" t="inlineStr">
        <is>
          <t>K4-2C</t>
        </is>
      </c>
      <c r="D818" t="n">
        <v>9.029999999999999</v>
      </c>
      <c r="E818" t="n">
        <v>1020.096</v>
      </c>
      <c r="G818" t="n">
        <v>8902</v>
      </c>
      <c r="H818" t="inlineStr">
        <is>
          <t>MM</t>
        </is>
      </c>
      <c r="I818" t="n">
        <v>1020.096</v>
      </c>
    </row>
    <row r="819">
      <c r="A819" t="n">
        <v>7</v>
      </c>
      <c r="B819" t="inlineStr">
        <is>
          <t>MeOH</t>
        </is>
      </c>
    </row>
    <row r="820">
      <c r="A820" t="n">
        <v>8</v>
      </c>
      <c r="B820" t="inlineStr">
        <is>
          <t>K4-4A</t>
        </is>
      </c>
      <c r="D820" t="n">
        <v>9.029999999999999</v>
      </c>
      <c r="E820" t="n">
        <v>1051.351</v>
      </c>
      <c r="G820" t="n">
        <v>9242</v>
      </c>
      <c r="H820" t="inlineStr">
        <is>
          <t>MM</t>
        </is>
      </c>
      <c r="I820" t="n">
        <v>1051.351</v>
      </c>
    </row>
    <row r="821">
      <c r="A821" t="n">
        <v>9</v>
      </c>
      <c r="B821" t="inlineStr">
        <is>
          <t>K4-4B</t>
        </is>
      </c>
      <c r="D821" t="n">
        <v>9.029999999999999</v>
      </c>
      <c r="E821" t="n">
        <v>1035.151</v>
      </c>
      <c r="G821" t="n">
        <v>83.45</v>
      </c>
      <c r="H821" t="inlineStr">
        <is>
          <t>MM</t>
        </is>
      </c>
      <c r="I821" t="n">
        <v>1035.151</v>
      </c>
    </row>
    <row r="822">
      <c r="A822" t="n">
        <v>10</v>
      </c>
      <c r="B822" t="inlineStr">
        <is>
          <t>K4-4C</t>
        </is>
      </c>
      <c r="D822" t="n">
        <v>9.050000000000001</v>
      </c>
      <c r="E822" t="n">
        <v>822.99</v>
      </c>
      <c r="G822" t="n">
        <v>559.434</v>
      </c>
      <c r="H822" t="inlineStr">
        <is>
          <t>MM</t>
        </is>
      </c>
      <c r="I822" t="n">
        <v>822.99</v>
      </c>
    </row>
    <row r="823">
      <c r="A823" t="n">
        <v>11</v>
      </c>
      <c r="B823" t="inlineStr">
        <is>
          <t>K4-5A</t>
        </is>
      </c>
      <c r="D823" t="n">
        <v>9</v>
      </c>
      <c r="E823" t="n">
        <v>985.0170000000001</v>
      </c>
      <c r="G823" t="n">
        <v>8949</v>
      </c>
      <c r="H823" t="inlineStr">
        <is>
          <t>MM</t>
        </is>
      </c>
      <c r="I823" t="n">
        <v>985.0170000000001</v>
      </c>
    </row>
    <row r="824">
      <c r="A824" t="n">
        <v>12</v>
      </c>
      <c r="B824" t="inlineStr">
        <is>
          <t>K4-5B</t>
        </is>
      </c>
      <c r="D824" t="n">
        <v>8.99</v>
      </c>
      <c r="E824" t="n">
        <v>1024.411</v>
      </c>
      <c r="G824" t="n">
        <v>8147</v>
      </c>
      <c r="H824" t="inlineStr">
        <is>
          <t>MM</t>
        </is>
      </c>
      <c r="I824" t="n">
        <v>1024.411</v>
      </c>
    </row>
    <row r="825">
      <c r="A825" t="n">
        <v>13</v>
      </c>
      <c r="B825" t="inlineStr">
        <is>
          <t>K4-5C</t>
        </is>
      </c>
      <c r="D825" t="n">
        <v>8.9</v>
      </c>
      <c r="E825" t="n">
        <v>1313.31</v>
      </c>
      <c r="G825" t="n">
        <v>85.384</v>
      </c>
      <c r="H825" t="inlineStr">
        <is>
          <t>MM</t>
        </is>
      </c>
      <c r="I825" t="n">
        <v>1313.31</v>
      </c>
    </row>
    <row r="826">
      <c r="A826" t="n">
        <v>14</v>
      </c>
      <c r="B826" t="inlineStr">
        <is>
          <t>MeOH</t>
        </is>
      </c>
    </row>
    <row r="827">
      <c r="A827" t="n">
        <v>15</v>
      </c>
      <c r="B827" t="inlineStr">
        <is>
          <t>K3-1A</t>
        </is>
      </c>
      <c r="D827" t="n">
        <v>8.76</v>
      </c>
      <c r="E827" t="n">
        <v>1115.547</v>
      </c>
      <c r="G827" t="n">
        <v>10861</v>
      </c>
      <c r="H827" t="inlineStr">
        <is>
          <t>MM</t>
        </is>
      </c>
      <c r="I827" t="n">
        <v>1115.547</v>
      </c>
    </row>
    <row r="828">
      <c r="A828" t="n">
        <v>16</v>
      </c>
      <c r="B828" t="inlineStr">
        <is>
          <t>K3-1B</t>
        </is>
      </c>
      <c r="D828" t="n">
        <v>8.81</v>
      </c>
      <c r="E828" t="n">
        <v>868.492</v>
      </c>
      <c r="G828" t="n">
        <v>67.188</v>
      </c>
      <c r="H828" t="inlineStr">
        <is>
          <t>MM</t>
        </is>
      </c>
      <c r="I828" t="n">
        <v>868.492</v>
      </c>
    </row>
    <row r="829">
      <c r="A829" t="n">
        <v>17</v>
      </c>
      <c r="B829" t="inlineStr">
        <is>
          <t>K3-1C</t>
        </is>
      </c>
      <c r="D829" t="n">
        <v>8.85</v>
      </c>
      <c r="E829" t="n">
        <v>1891.713</v>
      </c>
      <c r="G829" t="n">
        <v>16786</v>
      </c>
      <c r="H829" t="inlineStr">
        <is>
          <t>MM</t>
        </is>
      </c>
      <c r="I829" t="n">
        <v>1891.713</v>
      </c>
    </row>
    <row r="830">
      <c r="A830" t="n">
        <v>18</v>
      </c>
      <c r="B830" t="inlineStr">
        <is>
          <t>K3-2A</t>
        </is>
      </c>
      <c r="D830" t="n">
        <v>8.91</v>
      </c>
      <c r="E830" t="n">
        <v>1176.041</v>
      </c>
      <c r="G830" t="n">
        <v>80.78100000000001</v>
      </c>
      <c r="H830" t="inlineStr">
        <is>
          <t>MM</t>
        </is>
      </c>
      <c r="I830" t="n">
        <v>1176.041</v>
      </c>
    </row>
    <row r="831">
      <c r="A831" t="n">
        <v>19</v>
      </c>
      <c r="B831" t="inlineStr">
        <is>
          <t>K3-2B</t>
        </is>
      </c>
      <c r="D831" t="n">
        <v>8.9</v>
      </c>
      <c r="E831" t="n">
        <v>1321.349</v>
      </c>
      <c r="G831" t="n">
        <v>11865</v>
      </c>
      <c r="H831" t="inlineStr">
        <is>
          <t>MM</t>
        </is>
      </c>
      <c r="I831" t="n">
        <v>1321.349</v>
      </c>
    </row>
    <row r="832">
      <c r="A832" t="n">
        <v>20</v>
      </c>
      <c r="B832" t="inlineStr">
        <is>
          <t>K3-2C</t>
        </is>
      </c>
      <c r="D832" t="n">
        <v>8.9</v>
      </c>
      <c r="E832" t="n">
        <v>1479.533</v>
      </c>
      <c r="G832" t="n">
        <v>112.45</v>
      </c>
      <c r="H832" t="inlineStr">
        <is>
          <t>MM</t>
        </is>
      </c>
      <c r="I832" t="n">
        <v>1479.533</v>
      </c>
    </row>
    <row r="833">
      <c r="A833" t="n">
        <v>21</v>
      </c>
      <c r="B833" t="inlineStr">
        <is>
          <t>MeOH</t>
        </is>
      </c>
    </row>
    <row r="834">
      <c r="A834" t="n">
        <v>22</v>
      </c>
      <c r="B834" t="inlineStr">
        <is>
          <t>K3-3A</t>
        </is>
      </c>
      <c r="D834" t="n">
        <v>8.93</v>
      </c>
      <c r="E834" t="n">
        <v>1517.701</v>
      </c>
      <c r="G834" t="n">
        <v>14786</v>
      </c>
      <c r="H834" t="inlineStr">
        <is>
          <t>MM</t>
        </is>
      </c>
      <c r="I834" t="n">
        <v>1517.701</v>
      </c>
    </row>
    <row r="835">
      <c r="A835" t="n">
        <v>23</v>
      </c>
      <c r="B835" t="inlineStr">
        <is>
          <t>K3-3B</t>
        </is>
      </c>
      <c r="D835" t="n">
        <v>8.94</v>
      </c>
      <c r="E835" t="n">
        <v>1453.885</v>
      </c>
      <c r="G835" t="n">
        <v>13016</v>
      </c>
      <c r="H835" t="inlineStr">
        <is>
          <t>MM</t>
        </is>
      </c>
      <c r="I835" t="n">
        <v>1453.885</v>
      </c>
    </row>
    <row r="836">
      <c r="A836" t="n">
        <v>24</v>
      </c>
      <c r="B836" t="inlineStr">
        <is>
          <t>K3-3C</t>
        </is>
      </c>
      <c r="D836" t="n">
        <v>8.94</v>
      </c>
      <c r="E836" t="n">
        <v>1930.228</v>
      </c>
      <c r="G836" t="n">
        <v>42.863</v>
      </c>
      <c r="H836" t="inlineStr">
        <is>
          <t>MM</t>
        </is>
      </c>
      <c r="I836" t="n">
        <v>1930.228</v>
      </c>
    </row>
    <row r="837">
      <c r="A837" t="n">
        <v>25</v>
      </c>
      <c r="B837" t="inlineStr">
        <is>
          <t>K3-4A</t>
        </is>
      </c>
      <c r="D837" t="n">
        <v>9.01</v>
      </c>
      <c r="E837" t="n">
        <v>2454.78</v>
      </c>
      <c r="G837" t="n">
        <v>22021</v>
      </c>
      <c r="H837" t="inlineStr">
        <is>
          <t>MM</t>
        </is>
      </c>
      <c r="I837" t="n">
        <v>2454.78</v>
      </c>
    </row>
    <row r="838">
      <c r="A838" t="n">
        <v>26</v>
      </c>
      <c r="B838" t="inlineStr">
        <is>
          <t>K3-4B</t>
        </is>
      </c>
      <c r="D838" t="n">
        <v>8.98</v>
      </c>
      <c r="E838" t="n">
        <v>2046.805</v>
      </c>
      <c r="G838" t="n">
        <v>18884</v>
      </c>
      <c r="H838" t="inlineStr">
        <is>
          <t>MM</t>
        </is>
      </c>
      <c r="I838" t="n">
        <v>2046.805</v>
      </c>
    </row>
    <row r="839">
      <c r="A839" t="n">
        <v>27</v>
      </c>
      <c r="B839" t="inlineStr">
        <is>
          <t>K3-4C</t>
        </is>
      </c>
      <c r="D839" t="n">
        <v>9.01</v>
      </c>
      <c r="E839" t="n">
        <v>1963.707</v>
      </c>
      <c r="G839" t="n">
        <v>7.904</v>
      </c>
      <c r="H839" t="inlineStr">
        <is>
          <t>MM</t>
        </is>
      </c>
      <c r="I839" t="n">
        <v>1963.707</v>
      </c>
    </row>
    <row r="840">
      <c r="A840" t="n">
        <v>28</v>
      </c>
      <c r="B840" t="inlineStr">
        <is>
          <t>MeOH</t>
        </is>
      </c>
    </row>
    <row r="841">
      <c r="A841" t="n">
        <v>29</v>
      </c>
      <c r="B841" t="inlineStr">
        <is>
          <t>K3-6A</t>
        </is>
      </c>
      <c r="D841" t="n">
        <v>9.050000000000001</v>
      </c>
      <c r="E841" t="n">
        <v>2063.159</v>
      </c>
      <c r="G841" t="n">
        <v>146.732</v>
      </c>
      <c r="H841" t="inlineStr">
        <is>
          <t>MM</t>
        </is>
      </c>
      <c r="I841" t="n">
        <v>2063.159</v>
      </c>
    </row>
    <row r="842">
      <c r="A842" t="n">
        <v>30</v>
      </c>
      <c r="B842" t="inlineStr">
        <is>
          <t>K3-6B</t>
        </is>
      </c>
      <c r="D842" t="n">
        <v>9.029999999999999</v>
      </c>
      <c r="E842" t="n">
        <v>1701.403</v>
      </c>
      <c r="G842" t="n">
        <v>14735</v>
      </c>
      <c r="H842" t="inlineStr">
        <is>
          <t>MM</t>
        </is>
      </c>
      <c r="I842" t="n">
        <v>1701.403</v>
      </c>
    </row>
    <row r="843">
      <c r="A843" t="n">
        <v>31</v>
      </c>
      <c r="B843" t="inlineStr">
        <is>
          <t>K3-6C</t>
        </is>
      </c>
      <c r="D843" t="n">
        <v>8.99</v>
      </c>
      <c r="E843" t="n">
        <v>1921.069</v>
      </c>
      <c r="G843" t="n">
        <v>4617.567</v>
      </c>
      <c r="H843" t="inlineStr">
        <is>
          <t>MM</t>
        </is>
      </c>
      <c r="I843" t="n">
        <v>1921.069</v>
      </c>
    </row>
    <row r="845">
      <c r="A845" t="inlineStr">
        <is>
          <t>Compound 25:  m5 PFHxA 2</t>
        </is>
      </c>
    </row>
    <row r="847">
      <c r="B847" t="inlineStr">
        <is>
          <t>Sample Text</t>
        </is>
      </c>
      <c r="C847" t="inlineStr">
        <is>
          <t>Std. Conc</t>
        </is>
      </c>
      <c r="D847" t="inlineStr">
        <is>
          <t>RT</t>
        </is>
      </c>
      <c r="E847" t="inlineStr">
        <is>
          <t>Area</t>
        </is>
      </c>
      <c r="F847" t="inlineStr">
        <is>
          <t>IS Area</t>
        </is>
      </c>
      <c r="G847" t="inlineStr">
        <is>
          <t>S/N</t>
        </is>
      </c>
      <c r="H847" t="inlineStr">
        <is>
          <t>Primary Flags</t>
        </is>
      </c>
      <c r="I847" t="inlineStr">
        <is>
          <t>Response</t>
        </is>
      </c>
      <c r="J847" t="inlineStr">
        <is>
          <t>Conc.</t>
        </is>
      </c>
    </row>
    <row r="848">
      <c r="A848" t="n">
        <v>1</v>
      </c>
      <c r="B848" t="inlineStr">
        <is>
          <t>K4-1A</t>
        </is>
      </c>
    </row>
    <row r="849">
      <c r="A849" t="n">
        <v>2</v>
      </c>
      <c r="B849" t="inlineStr">
        <is>
          <t>K4-1B</t>
        </is>
      </c>
    </row>
    <row r="850">
      <c r="A850" t="n">
        <v>3</v>
      </c>
      <c r="B850" t="inlineStr">
        <is>
          <t>K4-1C</t>
        </is>
      </c>
    </row>
    <row r="851">
      <c r="A851" t="n">
        <v>4</v>
      </c>
      <c r="B851" t="inlineStr">
        <is>
          <t>K4-2A</t>
        </is>
      </c>
      <c r="D851" t="n">
        <v>9.01</v>
      </c>
      <c r="E851" t="n">
        <v>2.638</v>
      </c>
      <c r="G851" t="n">
        <v>32</v>
      </c>
      <c r="H851" t="inlineStr">
        <is>
          <t>bb</t>
        </is>
      </c>
      <c r="I851" t="n">
        <v>2.638</v>
      </c>
    </row>
    <row r="852">
      <c r="A852" t="n">
        <v>5</v>
      </c>
      <c r="B852" t="inlineStr">
        <is>
          <t>K4-2B</t>
        </is>
      </c>
    </row>
    <row r="853">
      <c r="A853" t="n">
        <v>6</v>
      </c>
      <c r="B853" t="inlineStr">
        <is>
          <t>K4-2C</t>
        </is>
      </c>
    </row>
    <row r="854">
      <c r="A854" t="n">
        <v>7</v>
      </c>
      <c r="B854" t="inlineStr">
        <is>
          <t>MeOH</t>
        </is>
      </c>
    </row>
    <row r="855">
      <c r="A855" t="n">
        <v>8</v>
      </c>
      <c r="B855" t="inlineStr">
        <is>
          <t>K4-4A</t>
        </is>
      </c>
    </row>
    <row r="856">
      <c r="A856" t="n">
        <v>9</v>
      </c>
      <c r="B856" t="inlineStr">
        <is>
          <t>K4-4B</t>
        </is>
      </c>
    </row>
    <row r="857">
      <c r="A857" t="n">
        <v>10</v>
      </c>
      <c r="B857" t="inlineStr">
        <is>
          <t>K4-4C</t>
        </is>
      </c>
    </row>
    <row r="858">
      <c r="A858" t="n">
        <v>11</v>
      </c>
      <c r="B858" t="inlineStr">
        <is>
          <t>K4-5A</t>
        </is>
      </c>
    </row>
    <row r="859">
      <c r="A859" t="n">
        <v>12</v>
      </c>
      <c r="B859" t="inlineStr">
        <is>
          <t>K4-5B</t>
        </is>
      </c>
    </row>
    <row r="860">
      <c r="A860" t="n">
        <v>13</v>
      </c>
      <c r="B860" t="inlineStr">
        <is>
          <t>K4-5C</t>
        </is>
      </c>
      <c r="D860" t="n">
        <v>8.869999999999999</v>
      </c>
      <c r="E860" t="n">
        <v>0.545</v>
      </c>
      <c r="G860" t="n">
        <v>7</v>
      </c>
      <c r="H860" t="inlineStr">
        <is>
          <t>bb</t>
        </is>
      </c>
      <c r="I860" t="n">
        <v>0.545</v>
      </c>
    </row>
    <row r="861">
      <c r="A861" t="n">
        <v>14</v>
      </c>
      <c r="B861" t="inlineStr">
        <is>
          <t>MeOH</t>
        </is>
      </c>
    </row>
    <row r="862">
      <c r="A862" t="n">
        <v>15</v>
      </c>
      <c r="B862" t="inlineStr">
        <is>
          <t>K3-1A</t>
        </is>
      </c>
    </row>
    <row r="863">
      <c r="A863" t="n">
        <v>16</v>
      </c>
      <c r="B863" t="inlineStr">
        <is>
          <t>K3-1B</t>
        </is>
      </c>
    </row>
    <row r="864">
      <c r="A864" t="n">
        <v>17</v>
      </c>
      <c r="B864" t="inlineStr">
        <is>
          <t>K3-1C</t>
        </is>
      </c>
      <c r="D864" t="n">
        <v>8.82</v>
      </c>
      <c r="E864" t="n">
        <v>8.029</v>
      </c>
      <c r="G864" t="n">
        <v>113</v>
      </c>
      <c r="H864" t="inlineStr">
        <is>
          <t>bb</t>
        </is>
      </c>
      <c r="I864" t="n">
        <v>8.029</v>
      </c>
    </row>
    <row r="865">
      <c r="A865" t="n">
        <v>18</v>
      </c>
      <c r="B865" t="inlineStr">
        <is>
          <t>K3-2A</t>
        </is>
      </c>
    </row>
    <row r="866">
      <c r="A866" t="n">
        <v>19</v>
      </c>
      <c r="B866" t="inlineStr">
        <is>
          <t>K3-2B</t>
        </is>
      </c>
      <c r="D866" t="n">
        <v>8.869999999999999</v>
      </c>
      <c r="E866" t="n">
        <v>4.466</v>
      </c>
      <c r="G866" t="n">
        <v>62</v>
      </c>
      <c r="H866" t="inlineStr">
        <is>
          <t>bb</t>
        </is>
      </c>
      <c r="I866" t="n">
        <v>4.466</v>
      </c>
    </row>
    <row r="867">
      <c r="A867" t="n">
        <v>20</v>
      </c>
      <c r="B867" t="inlineStr">
        <is>
          <t>K3-2C</t>
        </is>
      </c>
      <c r="D867" t="n">
        <v>8.92</v>
      </c>
      <c r="E867" t="n">
        <v>28.947</v>
      </c>
      <c r="G867" t="n">
        <v>370</v>
      </c>
      <c r="H867" t="inlineStr">
        <is>
          <t>bb</t>
        </is>
      </c>
      <c r="I867" t="n">
        <v>28.947</v>
      </c>
    </row>
    <row r="868">
      <c r="A868" t="n">
        <v>21</v>
      </c>
      <c r="B868" t="inlineStr">
        <is>
          <t>MeOH</t>
        </is>
      </c>
    </row>
    <row r="869">
      <c r="A869" t="n">
        <v>22</v>
      </c>
      <c r="B869" t="inlineStr">
        <is>
          <t>K3-3A</t>
        </is>
      </c>
      <c r="D869" t="n">
        <v>8.890000000000001</v>
      </c>
      <c r="E869" t="n">
        <v>0.345</v>
      </c>
      <c r="G869" t="n">
        <v>5</v>
      </c>
      <c r="H869" t="inlineStr">
        <is>
          <t>bb</t>
        </is>
      </c>
      <c r="I869" t="n">
        <v>0.345</v>
      </c>
    </row>
    <row r="870">
      <c r="A870" t="n">
        <v>23</v>
      </c>
      <c r="B870" t="inlineStr">
        <is>
          <t>K3-3B</t>
        </is>
      </c>
    </row>
    <row r="871">
      <c r="A871" t="n">
        <v>24</v>
      </c>
      <c r="B871" t="inlineStr">
        <is>
          <t>K3-3C</t>
        </is>
      </c>
      <c r="D871" t="n">
        <v>8.92</v>
      </c>
      <c r="E871" t="n">
        <v>0.44</v>
      </c>
      <c r="G871" t="n">
        <v>6</v>
      </c>
      <c r="H871" t="inlineStr">
        <is>
          <t>bb</t>
        </is>
      </c>
      <c r="I871" t="n">
        <v>0.44</v>
      </c>
    </row>
    <row r="872">
      <c r="A872" t="n">
        <v>25</v>
      </c>
      <c r="B872" t="inlineStr">
        <is>
          <t>K3-4A</t>
        </is>
      </c>
      <c r="D872" t="n">
        <v>9.01</v>
      </c>
      <c r="E872" t="n">
        <v>6.734</v>
      </c>
      <c r="G872" t="n">
        <v>82</v>
      </c>
      <c r="H872" t="inlineStr">
        <is>
          <t>bb</t>
        </is>
      </c>
      <c r="I872" t="n">
        <v>6.734</v>
      </c>
    </row>
    <row r="873">
      <c r="A873" t="n">
        <v>26</v>
      </c>
      <c r="B873" t="inlineStr">
        <is>
          <t>K3-4B</t>
        </is>
      </c>
    </row>
    <row r="874">
      <c r="A874" t="n">
        <v>27</v>
      </c>
      <c r="B874" t="inlineStr">
        <is>
          <t>K3-4C</t>
        </is>
      </c>
    </row>
    <row r="875">
      <c r="A875" t="n">
        <v>28</v>
      </c>
      <c r="B875" t="inlineStr">
        <is>
          <t>MeOH</t>
        </is>
      </c>
    </row>
    <row r="876">
      <c r="A876" t="n">
        <v>29</v>
      </c>
      <c r="B876" t="inlineStr">
        <is>
          <t>K3-6A</t>
        </is>
      </c>
      <c r="D876" t="n">
        <v>9.029999999999999</v>
      </c>
      <c r="E876" t="n">
        <v>6</v>
      </c>
      <c r="G876" t="n">
        <v>4.866</v>
      </c>
      <c r="H876" t="inlineStr">
        <is>
          <t>bb</t>
        </is>
      </c>
      <c r="I876" t="n">
        <v>6</v>
      </c>
    </row>
    <row r="877">
      <c r="A877" t="n">
        <v>30</v>
      </c>
      <c r="B877" t="inlineStr">
        <is>
          <t>K3-6B</t>
        </is>
      </c>
    </row>
    <row r="878">
      <c r="A878" t="n">
        <v>31</v>
      </c>
      <c r="B878" t="inlineStr">
        <is>
          <t>K3-6C</t>
        </is>
      </c>
    </row>
    <row r="880">
      <c r="A880" t="inlineStr">
        <is>
          <t>Compound 26:  4:2 FTS 1</t>
        </is>
      </c>
    </row>
    <row r="882">
      <c r="B882" t="inlineStr">
        <is>
          <t>Sample Text</t>
        </is>
      </c>
      <c r="C882" t="inlineStr">
        <is>
          <t>Std. Conc</t>
        </is>
      </c>
      <c r="D882" t="inlineStr">
        <is>
          <t>RT</t>
        </is>
      </c>
      <c r="E882" t="inlineStr">
        <is>
          <t>Area</t>
        </is>
      </c>
      <c r="F882" t="inlineStr">
        <is>
          <t>IS Area</t>
        </is>
      </c>
      <c r="G882" t="inlineStr">
        <is>
          <t>S/N</t>
        </is>
      </c>
      <c r="H882" t="inlineStr">
        <is>
          <t>Primary Flags</t>
        </is>
      </c>
      <c r="I882" t="inlineStr">
        <is>
          <t>Response</t>
        </is>
      </c>
      <c r="J882" t="inlineStr">
        <is>
          <t>Conc.</t>
        </is>
      </c>
    </row>
    <row r="883">
      <c r="A883" t="n">
        <v>1</v>
      </c>
      <c r="B883" t="inlineStr">
        <is>
          <t>K4-1A</t>
        </is>
      </c>
      <c r="F883" t="n">
        <v>1575.246</v>
      </c>
    </row>
    <row r="884">
      <c r="A884" t="n">
        <v>2</v>
      </c>
      <c r="B884" t="inlineStr">
        <is>
          <t>K4-1B</t>
        </is>
      </c>
      <c r="F884" t="n">
        <v>1550.869</v>
      </c>
    </row>
    <row r="885">
      <c r="A885" t="n">
        <v>3</v>
      </c>
      <c r="B885" t="inlineStr">
        <is>
          <t>K4-1C</t>
        </is>
      </c>
      <c r="F885" t="n">
        <v>1163.846</v>
      </c>
    </row>
    <row r="886">
      <c r="A886" t="n">
        <v>4</v>
      </c>
      <c r="B886" t="inlineStr">
        <is>
          <t>K4-2A</t>
        </is>
      </c>
      <c r="F886" t="n">
        <v>1084.067</v>
      </c>
    </row>
    <row r="887">
      <c r="A887" t="n">
        <v>5</v>
      </c>
      <c r="B887" t="inlineStr">
        <is>
          <t>K4-2B</t>
        </is>
      </c>
      <c r="F887" t="n">
        <v>1044.51</v>
      </c>
    </row>
    <row r="888">
      <c r="A888" t="n">
        <v>6</v>
      </c>
      <c r="B888" t="inlineStr">
        <is>
          <t>K4-2C</t>
        </is>
      </c>
      <c r="F888" t="n">
        <v>1020.096</v>
      </c>
    </row>
    <row r="889">
      <c r="A889" t="n">
        <v>7</v>
      </c>
      <c r="B889" t="inlineStr">
        <is>
          <t>MeOH</t>
        </is>
      </c>
    </row>
    <row r="890">
      <c r="A890" t="n">
        <v>8</v>
      </c>
      <c r="B890" t="inlineStr">
        <is>
          <t>K4-4A</t>
        </is>
      </c>
      <c r="F890" t="n">
        <v>1051.351</v>
      </c>
    </row>
    <row r="891">
      <c r="A891" t="n">
        <v>9</v>
      </c>
      <c r="B891" t="inlineStr">
        <is>
          <t>K4-4B</t>
        </is>
      </c>
      <c r="F891" t="n">
        <v>1035.151</v>
      </c>
    </row>
    <row r="892">
      <c r="A892" t="n">
        <v>10</v>
      </c>
      <c r="B892" t="inlineStr">
        <is>
          <t>K4-4C</t>
        </is>
      </c>
      <c r="F892" t="n">
        <v>822.99</v>
      </c>
    </row>
    <row r="893">
      <c r="A893" t="n">
        <v>11</v>
      </c>
      <c r="B893" t="inlineStr">
        <is>
          <t>K4-5A</t>
        </is>
      </c>
      <c r="F893" t="n">
        <v>985.0170000000001</v>
      </c>
    </row>
    <row r="894">
      <c r="A894" t="n">
        <v>12</v>
      </c>
      <c r="B894" t="inlineStr">
        <is>
          <t>K4-5B</t>
        </is>
      </c>
      <c r="F894" t="n">
        <v>1024.411</v>
      </c>
    </row>
    <row r="895">
      <c r="A895" t="n">
        <v>13</v>
      </c>
      <c r="B895" t="inlineStr">
        <is>
          <t>K4-5C</t>
        </is>
      </c>
      <c r="F895" t="n">
        <v>1313.31</v>
      </c>
    </row>
    <row r="896">
      <c r="A896" t="n">
        <v>14</v>
      </c>
      <c r="B896" t="inlineStr">
        <is>
          <t>MeOH</t>
        </is>
      </c>
    </row>
    <row r="897">
      <c r="A897" t="n">
        <v>15</v>
      </c>
      <c r="B897" t="inlineStr">
        <is>
          <t>K3-1A</t>
        </is>
      </c>
      <c r="F897" t="n">
        <v>1115.547</v>
      </c>
    </row>
    <row r="898">
      <c r="A898" t="n">
        <v>16</v>
      </c>
      <c r="B898" t="inlineStr">
        <is>
          <t>K3-1B</t>
        </is>
      </c>
      <c r="F898" t="n">
        <v>868.492</v>
      </c>
    </row>
    <row r="899">
      <c r="A899" t="n">
        <v>17</v>
      </c>
      <c r="B899" t="inlineStr">
        <is>
          <t>K3-1C</t>
        </is>
      </c>
      <c r="F899" t="n">
        <v>1891.713</v>
      </c>
    </row>
    <row r="900">
      <c r="A900" t="n">
        <v>18</v>
      </c>
      <c r="B900" t="inlineStr">
        <is>
          <t>K3-2A</t>
        </is>
      </c>
      <c r="F900" t="n">
        <v>1176.041</v>
      </c>
    </row>
    <row r="901">
      <c r="A901" t="n">
        <v>19</v>
      </c>
      <c r="B901" t="inlineStr">
        <is>
          <t>K3-2B</t>
        </is>
      </c>
      <c r="F901" t="n">
        <v>1321.349</v>
      </c>
    </row>
    <row r="902">
      <c r="A902" t="n">
        <v>20</v>
      </c>
      <c r="B902" t="inlineStr">
        <is>
          <t>K3-2C</t>
        </is>
      </c>
      <c r="F902" t="n">
        <v>1479.533</v>
      </c>
    </row>
    <row r="903">
      <c r="A903" t="n">
        <v>21</v>
      </c>
      <c r="B903" t="inlineStr">
        <is>
          <t>MeOH</t>
        </is>
      </c>
    </row>
    <row r="904">
      <c r="A904" t="n">
        <v>22</v>
      </c>
      <c r="B904" t="inlineStr">
        <is>
          <t>K3-3A</t>
        </is>
      </c>
      <c r="D904" t="n">
        <v>9.050000000000001</v>
      </c>
      <c r="E904" t="n">
        <v>1.555</v>
      </c>
      <c r="F904" t="n">
        <v>1517.701</v>
      </c>
      <c r="G904" t="n">
        <v>18</v>
      </c>
      <c r="H904" t="inlineStr">
        <is>
          <t>bb</t>
        </is>
      </c>
    </row>
    <row r="905">
      <c r="A905" t="n">
        <v>23</v>
      </c>
      <c r="B905" t="inlineStr">
        <is>
          <t>K3-3B</t>
        </is>
      </c>
      <c r="F905" t="n">
        <v>1453.885</v>
      </c>
    </row>
    <row r="906">
      <c r="A906" t="n">
        <v>24</v>
      </c>
      <c r="B906" t="inlineStr">
        <is>
          <t>K3-3C</t>
        </is>
      </c>
      <c r="F906" t="n">
        <v>1930.228</v>
      </c>
    </row>
    <row r="907">
      <c r="A907" t="n">
        <v>25</v>
      </c>
      <c r="B907" t="inlineStr">
        <is>
          <t>K3-4A</t>
        </is>
      </c>
      <c r="F907" t="n">
        <v>2454.78</v>
      </c>
    </row>
    <row r="908">
      <c r="A908" t="n">
        <v>26</v>
      </c>
      <c r="B908" t="inlineStr">
        <is>
          <t>K3-4B</t>
        </is>
      </c>
      <c r="F908" t="n">
        <v>2046.805</v>
      </c>
    </row>
    <row r="909">
      <c r="A909" t="n">
        <v>27</v>
      </c>
      <c r="B909" t="inlineStr">
        <is>
          <t>K3-4C</t>
        </is>
      </c>
      <c r="F909" t="n">
        <v>1963.707</v>
      </c>
    </row>
    <row r="910">
      <c r="A910" t="n">
        <v>28</v>
      </c>
      <c r="B910" t="inlineStr">
        <is>
          <t>MeOH</t>
        </is>
      </c>
    </row>
    <row r="911">
      <c r="A911" t="n">
        <v>29</v>
      </c>
      <c r="B911" t="inlineStr">
        <is>
          <t>K3-6A</t>
        </is>
      </c>
      <c r="F911" t="n">
        <v>2063.159</v>
      </c>
    </row>
    <row r="912">
      <c r="A912" t="n">
        <v>30</v>
      </c>
      <c r="B912" t="inlineStr">
        <is>
          <t>K3-6B</t>
        </is>
      </c>
      <c r="F912" t="n">
        <v>1701.403</v>
      </c>
    </row>
    <row r="913">
      <c r="A913" t="n">
        <v>31</v>
      </c>
      <c r="B913" t="inlineStr">
        <is>
          <t>K3-6C</t>
        </is>
      </c>
      <c r="F913" t="n">
        <v>1921.069</v>
      </c>
    </row>
    <row r="915">
      <c r="A915" t="inlineStr">
        <is>
          <t>Compound 27:  4:2 FTS 2</t>
        </is>
      </c>
    </row>
    <row r="917">
      <c r="B917" t="inlineStr">
        <is>
          <t>Sample Text</t>
        </is>
      </c>
      <c r="C917" t="inlineStr">
        <is>
          <t>Std. Conc</t>
        </is>
      </c>
      <c r="D917" t="inlineStr">
        <is>
          <t>RT</t>
        </is>
      </c>
      <c r="E917" t="inlineStr">
        <is>
          <t>Area</t>
        </is>
      </c>
      <c r="F917" t="inlineStr">
        <is>
          <t>IS Area</t>
        </is>
      </c>
      <c r="G917" t="inlineStr">
        <is>
          <t>S/N</t>
        </is>
      </c>
      <c r="H917" t="inlineStr">
        <is>
          <t>Primary Flags</t>
        </is>
      </c>
      <c r="I917" t="inlineStr">
        <is>
          <t>Response</t>
        </is>
      </c>
      <c r="J917" t="inlineStr">
        <is>
          <t>Conc.</t>
        </is>
      </c>
    </row>
    <row r="918">
      <c r="A918" t="n">
        <v>1</v>
      </c>
      <c r="B918" t="inlineStr">
        <is>
          <t>K4-1A</t>
        </is>
      </c>
    </row>
    <row r="919">
      <c r="A919" t="n">
        <v>2</v>
      </c>
      <c r="B919" t="inlineStr">
        <is>
          <t>K4-1B</t>
        </is>
      </c>
    </row>
    <row r="920">
      <c r="A920" t="n">
        <v>3</v>
      </c>
      <c r="B920" t="inlineStr">
        <is>
          <t>K4-1C</t>
        </is>
      </c>
    </row>
    <row r="921">
      <c r="A921" t="n">
        <v>4</v>
      </c>
      <c r="B921" t="inlineStr">
        <is>
          <t>K4-2A</t>
        </is>
      </c>
      <c r="F921" t="n">
        <v>2.638</v>
      </c>
    </row>
    <row r="922">
      <c r="A922" t="n">
        <v>5</v>
      </c>
      <c r="B922" t="inlineStr">
        <is>
          <t>K4-2B</t>
        </is>
      </c>
    </row>
    <row r="923">
      <c r="A923" t="n">
        <v>6</v>
      </c>
      <c r="B923" t="inlineStr">
        <is>
          <t>K4-2C</t>
        </is>
      </c>
      <c r="D923" t="n">
        <v>8.789999999999999</v>
      </c>
      <c r="E923" t="n">
        <v>0.474</v>
      </c>
      <c r="G923" t="n">
        <v>7</v>
      </c>
      <c r="H923" t="inlineStr">
        <is>
          <t>bb</t>
        </is>
      </c>
    </row>
    <row r="924">
      <c r="A924" t="n">
        <v>7</v>
      </c>
      <c r="B924" t="inlineStr">
        <is>
          <t>MeOH</t>
        </is>
      </c>
    </row>
    <row r="925">
      <c r="A925" t="n">
        <v>8</v>
      </c>
      <c r="B925" t="inlineStr">
        <is>
          <t>K4-4A</t>
        </is>
      </c>
    </row>
    <row r="926">
      <c r="A926" t="n">
        <v>9</v>
      </c>
      <c r="B926" t="inlineStr">
        <is>
          <t>K4-4B</t>
        </is>
      </c>
    </row>
    <row r="927">
      <c r="A927" t="n">
        <v>10</v>
      </c>
      <c r="B927" t="inlineStr">
        <is>
          <t>K4-4C</t>
        </is>
      </c>
    </row>
    <row r="928">
      <c r="A928" t="n">
        <v>11</v>
      </c>
      <c r="B928" t="inlineStr">
        <is>
          <t>K4-5A</t>
        </is>
      </c>
    </row>
    <row r="929">
      <c r="A929" t="n">
        <v>12</v>
      </c>
      <c r="B929" t="inlineStr">
        <is>
          <t>K4-5B</t>
        </is>
      </c>
      <c r="D929" t="n">
        <v>8.49</v>
      </c>
      <c r="E929" t="n">
        <v>0.165</v>
      </c>
      <c r="G929" t="n">
        <v>3</v>
      </c>
      <c r="H929" t="inlineStr">
        <is>
          <t>bb</t>
        </is>
      </c>
    </row>
    <row r="930">
      <c r="A930" t="n">
        <v>13</v>
      </c>
      <c r="B930" t="inlineStr">
        <is>
          <t>K4-5C</t>
        </is>
      </c>
      <c r="F930" t="n">
        <v>0.545</v>
      </c>
    </row>
    <row r="931">
      <c r="A931" t="n">
        <v>14</v>
      </c>
      <c r="B931" t="inlineStr">
        <is>
          <t>MeOH</t>
        </is>
      </c>
    </row>
    <row r="932">
      <c r="A932" t="n">
        <v>15</v>
      </c>
      <c r="B932" t="inlineStr">
        <is>
          <t>K3-1A</t>
        </is>
      </c>
    </row>
    <row r="933">
      <c r="A933" t="n">
        <v>16</v>
      </c>
      <c r="B933" t="inlineStr">
        <is>
          <t>K3-1B</t>
        </is>
      </c>
    </row>
    <row r="934">
      <c r="A934" t="n">
        <v>17</v>
      </c>
      <c r="B934" t="inlineStr">
        <is>
          <t>K3-1C</t>
        </is>
      </c>
      <c r="F934" t="n">
        <v>8.029</v>
      </c>
    </row>
    <row r="935">
      <c r="A935" t="n">
        <v>18</v>
      </c>
      <c r="B935" t="inlineStr">
        <is>
          <t>K3-2A</t>
        </is>
      </c>
    </row>
    <row r="936">
      <c r="A936" t="n">
        <v>19</v>
      </c>
      <c r="B936" t="inlineStr">
        <is>
          <t>K3-2B</t>
        </is>
      </c>
      <c r="F936" t="n">
        <v>4.466</v>
      </c>
    </row>
    <row r="937">
      <c r="A937" t="n">
        <v>20</v>
      </c>
      <c r="B937" t="inlineStr">
        <is>
          <t>K3-2C</t>
        </is>
      </c>
      <c r="F937" t="n">
        <v>28.947</v>
      </c>
    </row>
    <row r="938">
      <c r="A938" t="n">
        <v>21</v>
      </c>
      <c r="B938" t="inlineStr">
        <is>
          <t>MeOH</t>
        </is>
      </c>
    </row>
    <row r="939">
      <c r="A939" t="n">
        <v>22</v>
      </c>
      <c r="B939" t="inlineStr">
        <is>
          <t>K3-3A</t>
        </is>
      </c>
      <c r="D939" t="n">
        <v>9</v>
      </c>
      <c r="E939" t="n">
        <v>5.906</v>
      </c>
      <c r="F939" t="n">
        <v>0.345</v>
      </c>
      <c r="G939" t="n">
        <v>73</v>
      </c>
      <c r="H939" t="inlineStr">
        <is>
          <t>bb</t>
        </is>
      </c>
    </row>
    <row r="940">
      <c r="A940" t="n">
        <v>23</v>
      </c>
      <c r="B940" t="inlineStr">
        <is>
          <t>K3-3B</t>
        </is>
      </c>
    </row>
    <row r="941">
      <c r="A941" t="n">
        <v>24</v>
      </c>
      <c r="B941" t="inlineStr">
        <is>
          <t>K3-3C</t>
        </is>
      </c>
      <c r="F941" t="n">
        <v>0.44</v>
      </c>
    </row>
    <row r="942">
      <c r="A942" t="n">
        <v>25</v>
      </c>
      <c r="B942" t="inlineStr">
        <is>
          <t>K3-4A</t>
        </is>
      </c>
      <c r="F942" t="n">
        <v>6.734</v>
      </c>
    </row>
    <row r="943">
      <c r="A943" t="n">
        <v>26</v>
      </c>
      <c r="B943" t="inlineStr">
        <is>
          <t>K3-4B</t>
        </is>
      </c>
    </row>
    <row r="944">
      <c r="A944" t="n">
        <v>27</v>
      </c>
      <c r="B944" t="inlineStr">
        <is>
          <t>K3-4C</t>
        </is>
      </c>
    </row>
    <row r="945">
      <c r="A945" t="n">
        <v>28</v>
      </c>
      <c r="B945" t="inlineStr">
        <is>
          <t>MeOH</t>
        </is>
      </c>
    </row>
    <row r="946">
      <c r="A946" t="n">
        <v>29</v>
      </c>
      <c r="B946" t="inlineStr">
        <is>
          <t>K3-6A</t>
        </is>
      </c>
      <c r="F946" t="n">
        <v>6</v>
      </c>
    </row>
    <row r="947">
      <c r="A947" t="n">
        <v>30</v>
      </c>
      <c r="B947" t="inlineStr">
        <is>
          <t>K3-6B</t>
        </is>
      </c>
    </row>
    <row r="948">
      <c r="A948" t="n">
        <v>31</v>
      </c>
      <c r="B948" t="inlineStr">
        <is>
          <t>K3-6C</t>
        </is>
      </c>
    </row>
    <row r="950">
      <c r="A950" t="inlineStr">
        <is>
          <t>Compound 28:  m2 4:2 FTS 1</t>
        </is>
      </c>
    </row>
    <row r="952">
      <c r="B952" t="inlineStr">
        <is>
          <t>Sample Text</t>
        </is>
      </c>
      <c r="C952" t="inlineStr">
        <is>
          <t>Std. Conc</t>
        </is>
      </c>
      <c r="D952" t="inlineStr">
        <is>
          <t>RT</t>
        </is>
      </c>
      <c r="E952" t="inlineStr">
        <is>
          <t>Area</t>
        </is>
      </c>
      <c r="F952" t="inlineStr">
        <is>
          <t>IS Area</t>
        </is>
      </c>
      <c r="G952" t="inlineStr">
        <is>
          <t>S/N</t>
        </is>
      </c>
      <c r="H952" t="inlineStr">
        <is>
          <t>Primary Flags</t>
        </is>
      </c>
      <c r="I952" t="inlineStr">
        <is>
          <t>Response</t>
        </is>
      </c>
      <c r="J952" t="inlineStr">
        <is>
          <t>Conc.</t>
        </is>
      </c>
    </row>
    <row r="953">
      <c r="A953" t="n">
        <v>1</v>
      </c>
      <c r="B953" t="inlineStr">
        <is>
          <t>K4-1A</t>
        </is>
      </c>
      <c r="D953" t="n">
        <v>8.76</v>
      </c>
      <c r="E953" t="n">
        <v>8756.108</v>
      </c>
      <c r="G953" t="n">
        <v>81134</v>
      </c>
      <c r="H953" t="inlineStr">
        <is>
          <t>bb</t>
        </is>
      </c>
      <c r="I953" t="n">
        <v>8756.108</v>
      </c>
    </row>
    <row r="954">
      <c r="A954" t="n">
        <v>2</v>
      </c>
      <c r="B954" t="inlineStr">
        <is>
          <t>K4-1B</t>
        </is>
      </c>
      <c r="D954" t="n">
        <v>8.74</v>
      </c>
      <c r="E954" t="n">
        <v>8306.129999999999</v>
      </c>
      <c r="G954" t="n">
        <v>73305</v>
      </c>
      <c r="H954" t="inlineStr">
        <is>
          <t>bb</t>
        </is>
      </c>
      <c r="I954" t="n">
        <v>8306.129999999999</v>
      </c>
    </row>
    <row r="955">
      <c r="A955" t="n">
        <v>3</v>
      </c>
      <c r="B955" t="inlineStr">
        <is>
          <t>K4-1C</t>
        </is>
      </c>
      <c r="D955" t="n">
        <v>8.75</v>
      </c>
      <c r="E955" t="n">
        <v>8189.494</v>
      </c>
      <c r="G955" t="n">
        <v>77097</v>
      </c>
      <c r="H955" t="inlineStr">
        <is>
          <t>bb</t>
        </is>
      </c>
      <c r="I955" t="n">
        <v>8189.494</v>
      </c>
    </row>
    <row r="956">
      <c r="A956" t="n">
        <v>4</v>
      </c>
      <c r="B956" t="inlineStr">
        <is>
          <t>K4-2A</t>
        </is>
      </c>
      <c r="D956" t="n">
        <v>8.779999999999999</v>
      </c>
      <c r="E956" t="n">
        <v>8361.569</v>
      </c>
      <c r="G956" t="n">
        <v>1264.74</v>
      </c>
      <c r="H956" t="inlineStr">
        <is>
          <t>bb</t>
        </is>
      </c>
      <c r="I956" t="n">
        <v>8361.569</v>
      </c>
    </row>
    <row r="957">
      <c r="A957" t="n">
        <v>5</v>
      </c>
      <c r="B957" t="inlineStr">
        <is>
          <t>K4-2B</t>
        </is>
      </c>
      <c r="D957" t="n">
        <v>8.77</v>
      </c>
      <c r="E957" t="n">
        <v>8017.347</v>
      </c>
      <c r="G957" t="n">
        <v>196.03</v>
      </c>
      <c r="H957" t="inlineStr">
        <is>
          <t>bb</t>
        </is>
      </c>
      <c r="I957" t="n">
        <v>8017.347</v>
      </c>
    </row>
    <row r="958">
      <c r="A958" t="n">
        <v>6</v>
      </c>
      <c r="B958" t="inlineStr">
        <is>
          <t>K4-2C</t>
        </is>
      </c>
      <c r="D958" t="n">
        <v>8.789999999999999</v>
      </c>
      <c r="E958" t="n">
        <v>7135.959</v>
      </c>
      <c r="G958" t="n">
        <v>67.70699999999999</v>
      </c>
      <c r="H958" t="inlineStr">
        <is>
          <t>bb</t>
        </is>
      </c>
      <c r="I958" t="n">
        <v>7135.959</v>
      </c>
    </row>
    <row r="959">
      <c r="A959" t="n">
        <v>7</v>
      </c>
      <c r="B959" t="inlineStr">
        <is>
          <t>MeOH</t>
        </is>
      </c>
      <c r="H959" t="inlineStr">
        <is>
          <t>MM-</t>
        </is>
      </c>
    </row>
    <row r="960">
      <c r="A960" t="n">
        <v>8</v>
      </c>
      <c r="B960" t="inlineStr">
        <is>
          <t>K4-4A</t>
        </is>
      </c>
      <c r="D960" t="n">
        <v>8.800000000000001</v>
      </c>
      <c r="E960" t="n">
        <v>8392.657999999999</v>
      </c>
      <c r="G960" t="n">
        <v>79036</v>
      </c>
      <c r="H960" t="inlineStr">
        <is>
          <t>bb</t>
        </is>
      </c>
      <c r="I960" t="n">
        <v>8392.657999999999</v>
      </c>
    </row>
    <row r="961">
      <c r="A961" t="n">
        <v>9</v>
      </c>
      <c r="B961" t="inlineStr">
        <is>
          <t>K4-4B</t>
        </is>
      </c>
      <c r="D961" t="n">
        <v>8.789999999999999</v>
      </c>
      <c r="E961" t="n">
        <v>7652.564</v>
      </c>
      <c r="G961" t="n">
        <v>71635</v>
      </c>
      <c r="H961" t="inlineStr">
        <is>
          <t>bb</t>
        </is>
      </c>
      <c r="I961" t="n">
        <v>7652.564</v>
      </c>
    </row>
    <row r="962">
      <c r="A962" t="n">
        <v>10</v>
      </c>
      <c r="B962" t="inlineStr">
        <is>
          <t>K4-4C</t>
        </is>
      </c>
      <c r="D962" t="n">
        <v>8.81</v>
      </c>
      <c r="E962" t="n">
        <v>8423.466</v>
      </c>
      <c r="G962" t="n">
        <v>75368</v>
      </c>
      <c r="H962" t="inlineStr">
        <is>
          <t>bb</t>
        </is>
      </c>
      <c r="I962" t="n">
        <v>8423.466</v>
      </c>
    </row>
    <row r="963">
      <c r="A963" t="n">
        <v>11</v>
      </c>
      <c r="B963" t="inlineStr">
        <is>
          <t>K4-5A</t>
        </is>
      </c>
      <c r="D963" t="n">
        <v>8.779999999999999</v>
      </c>
      <c r="E963" t="n">
        <v>7213.229</v>
      </c>
      <c r="G963" t="n">
        <v>469.015</v>
      </c>
      <c r="H963" t="inlineStr">
        <is>
          <t>bb</t>
        </is>
      </c>
      <c r="I963" t="n">
        <v>7213.229</v>
      </c>
    </row>
    <row r="964">
      <c r="A964" t="n">
        <v>12</v>
      </c>
      <c r="B964" t="inlineStr">
        <is>
          <t>K4-5B</t>
        </is>
      </c>
      <c r="D964" t="n">
        <v>8.76</v>
      </c>
      <c r="E964" t="n">
        <v>8386.013000000001</v>
      </c>
      <c r="G964" t="n">
        <v>77114</v>
      </c>
      <c r="H964" t="inlineStr">
        <is>
          <t>bb</t>
        </is>
      </c>
      <c r="I964" t="n">
        <v>8386.013000000001</v>
      </c>
    </row>
    <row r="965">
      <c r="A965" t="n">
        <v>13</v>
      </c>
      <c r="B965" t="inlineStr">
        <is>
          <t>K4-5C</t>
        </is>
      </c>
      <c r="D965" t="n">
        <v>8.67</v>
      </c>
      <c r="E965" t="n">
        <v>7518.579</v>
      </c>
      <c r="G965" t="n">
        <v>1085.148</v>
      </c>
      <c r="H965" t="inlineStr">
        <is>
          <t>bb</t>
        </is>
      </c>
      <c r="I965" t="n">
        <v>7518.579</v>
      </c>
    </row>
    <row r="966">
      <c r="A966" t="n">
        <v>14</v>
      </c>
      <c r="B966" t="inlineStr">
        <is>
          <t>MeOH</t>
        </is>
      </c>
    </row>
    <row r="967">
      <c r="A967" t="n">
        <v>15</v>
      </c>
      <c r="B967" t="inlineStr">
        <is>
          <t>K3-1A</t>
        </is>
      </c>
      <c r="D967" t="n">
        <v>8.5</v>
      </c>
      <c r="E967" t="n">
        <v>8298.058999999999</v>
      </c>
      <c r="G967" t="n">
        <v>461.708</v>
      </c>
      <c r="H967" t="inlineStr">
        <is>
          <t>bb</t>
        </is>
      </c>
      <c r="I967" t="n">
        <v>8298.058999999999</v>
      </c>
    </row>
    <row r="968">
      <c r="A968" t="n">
        <v>16</v>
      </c>
      <c r="B968" t="inlineStr">
        <is>
          <t>K3-1B</t>
        </is>
      </c>
      <c r="D968" t="n">
        <v>8.56</v>
      </c>
      <c r="E968" t="n">
        <v>8579.175999999999</v>
      </c>
      <c r="G968" t="n">
        <v>208.433</v>
      </c>
      <c r="H968" t="inlineStr">
        <is>
          <t>bb</t>
        </is>
      </c>
      <c r="I968" t="n">
        <v>8579.175999999999</v>
      </c>
    </row>
    <row r="969">
      <c r="A969" t="n">
        <v>17</v>
      </c>
      <c r="B969" t="inlineStr">
        <is>
          <t>K3-1C</t>
        </is>
      </c>
      <c r="D969" t="n">
        <v>8.6</v>
      </c>
      <c r="E969" t="n">
        <v>10205.074</v>
      </c>
      <c r="G969" t="n">
        <v>3707.111</v>
      </c>
      <c r="H969" t="inlineStr">
        <is>
          <t>bb</t>
        </is>
      </c>
      <c r="I969" t="n">
        <v>10205.074</v>
      </c>
    </row>
    <row r="970">
      <c r="A970" t="n">
        <v>18</v>
      </c>
      <c r="B970" t="inlineStr">
        <is>
          <t>K3-2A</t>
        </is>
      </c>
      <c r="D970" t="n">
        <v>8.66</v>
      </c>
      <c r="E970" t="n">
        <v>10121.598</v>
      </c>
      <c r="G970" t="n">
        <v>95648</v>
      </c>
      <c r="H970" t="inlineStr">
        <is>
          <t>bb</t>
        </is>
      </c>
      <c r="I970" t="n">
        <v>10121.598</v>
      </c>
    </row>
    <row r="971">
      <c r="A971" t="n">
        <v>19</v>
      </c>
      <c r="B971" t="inlineStr">
        <is>
          <t>K3-2B</t>
        </is>
      </c>
      <c r="D971" t="n">
        <v>8.66</v>
      </c>
      <c r="E971" t="n">
        <v>10678.956</v>
      </c>
      <c r="G971" t="n">
        <v>95050</v>
      </c>
      <c r="H971" t="inlineStr">
        <is>
          <t>bb</t>
        </is>
      </c>
      <c r="I971" t="n">
        <v>10678.956</v>
      </c>
    </row>
    <row r="972">
      <c r="A972" t="n">
        <v>20</v>
      </c>
      <c r="B972" t="inlineStr">
        <is>
          <t>K3-2C</t>
        </is>
      </c>
      <c r="D972" t="n">
        <v>8.65</v>
      </c>
      <c r="E972" t="n">
        <v>10542.837</v>
      </c>
      <c r="G972" t="n">
        <v>313.409</v>
      </c>
      <c r="H972" t="inlineStr">
        <is>
          <t>bb</t>
        </is>
      </c>
      <c r="I972" t="n">
        <v>10542.837</v>
      </c>
    </row>
    <row r="973">
      <c r="A973" t="n">
        <v>21</v>
      </c>
      <c r="B973" t="inlineStr">
        <is>
          <t>MeOH</t>
        </is>
      </c>
    </row>
    <row r="974">
      <c r="A974" t="n">
        <v>22</v>
      </c>
      <c r="B974" t="inlineStr">
        <is>
          <t>K3-3A</t>
        </is>
      </c>
      <c r="D974" t="n">
        <v>8.68</v>
      </c>
      <c r="E974" t="n">
        <v>9442.401</v>
      </c>
      <c r="G974" t="n">
        <v>134.112</v>
      </c>
      <c r="H974" t="inlineStr">
        <is>
          <t>bb</t>
        </is>
      </c>
      <c r="I974" t="n">
        <v>9442.401</v>
      </c>
    </row>
    <row r="975">
      <c r="A975" t="n">
        <v>23</v>
      </c>
      <c r="B975" t="inlineStr">
        <is>
          <t>K3-3B</t>
        </is>
      </c>
      <c r="D975" t="n">
        <v>8.69</v>
      </c>
      <c r="E975" t="n">
        <v>11225.356</v>
      </c>
      <c r="G975" t="n">
        <v>1813.004</v>
      </c>
      <c r="H975" t="inlineStr">
        <is>
          <t>bb</t>
        </is>
      </c>
      <c r="I975" t="n">
        <v>11225.356</v>
      </c>
    </row>
    <row r="976">
      <c r="A976" t="n">
        <v>24</v>
      </c>
      <c r="B976" t="inlineStr">
        <is>
          <t>K3-3C</t>
        </is>
      </c>
      <c r="D976" t="n">
        <v>8.699999999999999</v>
      </c>
      <c r="E976" t="n">
        <v>12921.541</v>
      </c>
      <c r="G976" t="n">
        <v>8720.197</v>
      </c>
      <c r="H976" t="inlineStr">
        <is>
          <t>bb</t>
        </is>
      </c>
      <c r="I976" t="n">
        <v>12921.541</v>
      </c>
    </row>
    <row r="977">
      <c r="A977" t="n">
        <v>25</v>
      </c>
      <c r="B977" t="inlineStr">
        <is>
          <t>K3-4A</t>
        </is>
      </c>
      <c r="D977" t="n">
        <v>8.779999999999999</v>
      </c>
      <c r="E977" t="n">
        <v>12663.679</v>
      </c>
      <c r="G977" t="n">
        <v>595.316</v>
      </c>
      <c r="H977" t="inlineStr">
        <is>
          <t>bb</t>
        </is>
      </c>
      <c r="I977" t="n">
        <v>12663.679</v>
      </c>
    </row>
    <row r="978">
      <c r="A978" t="n">
        <v>26</v>
      </c>
      <c r="B978" t="inlineStr">
        <is>
          <t>K3-4B</t>
        </is>
      </c>
      <c r="D978" t="n">
        <v>8.73</v>
      </c>
      <c r="E978" t="n">
        <v>12445.69</v>
      </c>
      <c r="G978" t="n">
        <v>3160.408</v>
      </c>
      <c r="H978" t="inlineStr">
        <is>
          <t>bb</t>
        </is>
      </c>
      <c r="I978" t="n">
        <v>12445.69</v>
      </c>
    </row>
    <row r="979">
      <c r="A979" t="n">
        <v>27</v>
      </c>
      <c r="B979" t="inlineStr">
        <is>
          <t>K3-4C</t>
        </is>
      </c>
      <c r="D979" t="n">
        <v>8.77</v>
      </c>
      <c r="E979" t="n">
        <v>13613.996</v>
      </c>
      <c r="G979" t="n">
        <v>1149.726</v>
      </c>
      <c r="H979" t="inlineStr">
        <is>
          <t>bb</t>
        </is>
      </c>
      <c r="I979" t="n">
        <v>13613.996</v>
      </c>
    </row>
    <row r="980">
      <c r="A980" t="n">
        <v>28</v>
      </c>
      <c r="B980" t="inlineStr">
        <is>
          <t>MeOH</t>
        </is>
      </c>
      <c r="H980" t="inlineStr">
        <is>
          <t>MM-</t>
        </is>
      </c>
    </row>
    <row r="981">
      <c r="A981" t="n">
        <v>29</v>
      </c>
      <c r="B981" t="inlineStr">
        <is>
          <t>K3-6A</t>
        </is>
      </c>
      <c r="D981" t="n">
        <v>8.82</v>
      </c>
      <c r="E981" t="n">
        <v>11819.168</v>
      </c>
      <c r="G981" t="n">
        <v>1778.244</v>
      </c>
      <c r="H981" t="inlineStr">
        <is>
          <t>bb</t>
        </is>
      </c>
      <c r="I981" t="n">
        <v>11819.168</v>
      </c>
    </row>
    <row r="982">
      <c r="A982" t="n">
        <v>30</v>
      </c>
      <c r="B982" t="inlineStr">
        <is>
          <t>K3-6B</t>
        </is>
      </c>
      <c r="D982" t="n">
        <v>8.789999999999999</v>
      </c>
      <c r="E982" t="n">
        <v>11328.001</v>
      </c>
      <c r="G982" t="n">
        <v>1131.259</v>
      </c>
      <c r="H982" t="inlineStr">
        <is>
          <t>bb</t>
        </is>
      </c>
      <c r="I982" t="n">
        <v>11328.001</v>
      </c>
    </row>
    <row r="983">
      <c r="A983" t="n">
        <v>31</v>
      </c>
      <c r="B983" t="inlineStr">
        <is>
          <t>K3-6C</t>
        </is>
      </c>
      <c r="D983" t="n">
        <v>8.76</v>
      </c>
      <c r="E983" t="n">
        <v>11077.627</v>
      </c>
      <c r="G983" t="n">
        <v>784.234</v>
      </c>
      <c r="H983" t="inlineStr">
        <is>
          <t>bb</t>
        </is>
      </c>
      <c r="I983" t="n">
        <v>11077.627</v>
      </c>
    </row>
    <row r="985">
      <c r="A985" t="inlineStr">
        <is>
          <t>Compound 29:  m2 4:2 FTS 2</t>
        </is>
      </c>
    </row>
    <row r="987">
      <c r="B987" t="inlineStr">
        <is>
          <t>Sample Text</t>
        </is>
      </c>
      <c r="C987" t="inlineStr">
        <is>
          <t>Std. Conc</t>
        </is>
      </c>
      <c r="D987" t="inlineStr">
        <is>
          <t>RT</t>
        </is>
      </c>
      <c r="E987" t="inlineStr">
        <is>
          <t>Area</t>
        </is>
      </c>
      <c r="F987" t="inlineStr">
        <is>
          <t>IS Area</t>
        </is>
      </c>
      <c r="G987" t="inlineStr">
        <is>
          <t>S/N</t>
        </is>
      </c>
      <c r="H987" t="inlineStr">
        <is>
          <t>Primary Flags</t>
        </is>
      </c>
      <c r="I987" t="inlineStr">
        <is>
          <t>Response</t>
        </is>
      </c>
      <c r="J987" t="inlineStr">
        <is>
          <t>Conc.</t>
        </is>
      </c>
    </row>
    <row r="988">
      <c r="A988" t="n">
        <v>1</v>
      </c>
      <c r="B988" t="inlineStr">
        <is>
          <t>K4-1A</t>
        </is>
      </c>
      <c r="D988" t="n">
        <v>8.76</v>
      </c>
      <c r="E988" t="n">
        <v>4312.87</v>
      </c>
      <c r="G988" t="n">
        <v>585.5410000000001</v>
      </c>
      <c r="H988" t="inlineStr">
        <is>
          <t>bb</t>
        </is>
      </c>
      <c r="I988" t="n">
        <v>4312.87</v>
      </c>
    </row>
    <row r="989">
      <c r="A989" t="n">
        <v>2</v>
      </c>
      <c r="B989" t="inlineStr">
        <is>
          <t>K4-1B</t>
        </is>
      </c>
      <c r="D989" t="n">
        <v>8.74</v>
      </c>
      <c r="E989" t="n">
        <v>4345.999</v>
      </c>
      <c r="G989" t="n">
        <v>14920.047</v>
      </c>
      <c r="H989" t="inlineStr">
        <is>
          <t>bb</t>
        </is>
      </c>
      <c r="I989" t="n">
        <v>4345.999</v>
      </c>
    </row>
    <row r="990">
      <c r="A990" t="n">
        <v>3</v>
      </c>
      <c r="B990" t="inlineStr">
        <is>
          <t>K4-1C</t>
        </is>
      </c>
      <c r="D990" t="n">
        <v>8.76</v>
      </c>
      <c r="E990" t="n">
        <v>4508.486</v>
      </c>
      <c r="G990" t="n">
        <v>184.872</v>
      </c>
      <c r="H990" t="inlineStr">
        <is>
          <t>bb</t>
        </is>
      </c>
      <c r="I990" t="n">
        <v>4508.486</v>
      </c>
    </row>
    <row r="991">
      <c r="A991" t="n">
        <v>4</v>
      </c>
      <c r="B991" t="inlineStr">
        <is>
          <t>K4-2A</t>
        </is>
      </c>
      <c r="D991" t="n">
        <v>8.779999999999999</v>
      </c>
      <c r="E991" t="n">
        <v>4612.583</v>
      </c>
      <c r="G991" t="n">
        <v>2992.625</v>
      </c>
      <c r="H991" t="inlineStr">
        <is>
          <t>bb</t>
        </is>
      </c>
      <c r="I991" t="n">
        <v>4612.583</v>
      </c>
    </row>
    <row r="992">
      <c r="A992" t="n">
        <v>5</v>
      </c>
      <c r="B992" t="inlineStr">
        <is>
          <t>K4-2B</t>
        </is>
      </c>
      <c r="D992" t="n">
        <v>8.779999999999999</v>
      </c>
      <c r="E992" t="n">
        <v>4375.102</v>
      </c>
      <c r="G992" t="n">
        <v>41086</v>
      </c>
      <c r="H992" t="inlineStr">
        <is>
          <t>bb</t>
        </is>
      </c>
      <c r="I992" t="n">
        <v>4375.102</v>
      </c>
    </row>
    <row r="993">
      <c r="A993" t="n">
        <v>6</v>
      </c>
      <c r="B993" t="inlineStr">
        <is>
          <t>K4-2C</t>
        </is>
      </c>
      <c r="D993" t="n">
        <v>8.789999999999999</v>
      </c>
      <c r="E993" t="n">
        <v>4151.526</v>
      </c>
      <c r="G993" t="n">
        <v>1225.291</v>
      </c>
      <c r="H993" t="inlineStr">
        <is>
          <t>bb</t>
        </is>
      </c>
      <c r="I993" t="n">
        <v>4151.526</v>
      </c>
    </row>
    <row r="994">
      <c r="A994" t="n">
        <v>7</v>
      </c>
      <c r="B994" t="inlineStr">
        <is>
          <t>MeOH</t>
        </is>
      </c>
      <c r="H994" t="inlineStr">
        <is>
          <t>MM-</t>
        </is>
      </c>
    </row>
    <row r="995">
      <c r="A995" t="n">
        <v>8</v>
      </c>
      <c r="B995" t="inlineStr">
        <is>
          <t>K4-4A</t>
        </is>
      </c>
      <c r="D995" t="n">
        <v>8.800000000000001</v>
      </c>
      <c r="E995" t="n">
        <v>4139.586</v>
      </c>
      <c r="G995" t="n">
        <v>1391.206</v>
      </c>
      <c r="H995" t="inlineStr">
        <is>
          <t>bb</t>
        </is>
      </c>
      <c r="I995" t="n">
        <v>4139.586</v>
      </c>
    </row>
    <row r="996">
      <c r="A996" t="n">
        <v>9</v>
      </c>
      <c r="B996" t="inlineStr">
        <is>
          <t>K4-4B</t>
        </is>
      </c>
      <c r="D996" t="n">
        <v>8.789999999999999</v>
      </c>
      <c r="E996" t="n">
        <v>4449.758</v>
      </c>
      <c r="G996" t="n">
        <v>110.803</v>
      </c>
      <c r="H996" t="inlineStr">
        <is>
          <t>bb</t>
        </is>
      </c>
      <c r="I996" t="n">
        <v>4449.758</v>
      </c>
    </row>
    <row r="997">
      <c r="A997" t="n">
        <v>10</v>
      </c>
      <c r="B997" t="inlineStr">
        <is>
          <t>K4-4C</t>
        </is>
      </c>
      <c r="D997" t="n">
        <v>8.800000000000001</v>
      </c>
      <c r="E997" t="n">
        <v>4659.721</v>
      </c>
      <c r="G997" t="n">
        <v>178.126</v>
      </c>
      <c r="H997" t="inlineStr">
        <is>
          <t>bb</t>
        </is>
      </c>
      <c r="I997" t="n">
        <v>4659.721</v>
      </c>
    </row>
    <row r="998">
      <c r="A998" t="n">
        <v>11</v>
      </c>
      <c r="B998" t="inlineStr">
        <is>
          <t>K4-5A</t>
        </is>
      </c>
      <c r="D998" t="n">
        <v>8.779999999999999</v>
      </c>
      <c r="E998" t="n">
        <v>4005.91</v>
      </c>
      <c r="G998" t="n">
        <v>115.344</v>
      </c>
      <c r="H998" t="inlineStr">
        <is>
          <t>bb</t>
        </is>
      </c>
      <c r="I998" t="n">
        <v>4005.91</v>
      </c>
    </row>
    <row r="999">
      <c r="A999" t="n">
        <v>12</v>
      </c>
      <c r="B999" t="inlineStr">
        <is>
          <t>K4-5B</t>
        </is>
      </c>
      <c r="D999" t="n">
        <v>8.76</v>
      </c>
      <c r="E999" t="n">
        <v>4305.782</v>
      </c>
      <c r="G999" t="n">
        <v>63.826</v>
      </c>
      <c r="H999" t="inlineStr">
        <is>
          <t>bb</t>
        </is>
      </c>
      <c r="I999" t="n">
        <v>4305.782</v>
      </c>
    </row>
    <row r="1000">
      <c r="A1000" t="n">
        <v>13</v>
      </c>
      <c r="B1000" t="inlineStr">
        <is>
          <t>K4-5C</t>
        </is>
      </c>
      <c r="D1000" t="n">
        <v>8.66</v>
      </c>
      <c r="E1000" t="n">
        <v>4275.741</v>
      </c>
      <c r="G1000" t="n">
        <v>165.749</v>
      </c>
      <c r="H1000" t="inlineStr">
        <is>
          <t>bb</t>
        </is>
      </c>
      <c r="I1000" t="n">
        <v>4275.741</v>
      </c>
    </row>
    <row r="1001">
      <c r="A1001" t="n">
        <v>14</v>
      </c>
      <c r="B1001" t="inlineStr">
        <is>
          <t>MeOH</t>
        </is>
      </c>
      <c r="D1001" t="n">
        <v>8.69</v>
      </c>
      <c r="E1001" t="n">
        <v>13.756</v>
      </c>
      <c r="G1001" t="n">
        <v>156</v>
      </c>
      <c r="H1001" t="inlineStr">
        <is>
          <t>bb</t>
        </is>
      </c>
      <c r="I1001" t="n">
        <v>13.756</v>
      </c>
    </row>
    <row r="1002">
      <c r="A1002" t="n">
        <v>15</v>
      </c>
      <c r="B1002" t="inlineStr">
        <is>
          <t>K3-1A</t>
        </is>
      </c>
      <c r="D1002" t="n">
        <v>8.5</v>
      </c>
      <c r="E1002" t="n">
        <v>4692.896</v>
      </c>
      <c r="G1002" t="n">
        <v>5.466</v>
      </c>
      <c r="H1002" t="inlineStr">
        <is>
          <t>bb</t>
        </is>
      </c>
      <c r="I1002" t="n">
        <v>4692.896</v>
      </c>
    </row>
    <row r="1003">
      <c r="A1003" t="n">
        <v>16</v>
      </c>
      <c r="B1003" t="inlineStr">
        <is>
          <t>K3-1B</t>
        </is>
      </c>
      <c r="D1003" t="n">
        <v>8.57</v>
      </c>
      <c r="E1003" t="n">
        <v>4280.427</v>
      </c>
      <c r="G1003" t="n">
        <v>303.146</v>
      </c>
      <c r="H1003" t="inlineStr">
        <is>
          <t>bb</t>
        </is>
      </c>
      <c r="I1003" t="n">
        <v>4280.427</v>
      </c>
    </row>
    <row r="1004">
      <c r="A1004" t="n">
        <v>17</v>
      </c>
      <c r="B1004" t="inlineStr">
        <is>
          <t>K3-1C</t>
        </is>
      </c>
      <c r="D1004" t="n">
        <v>8.609999999999999</v>
      </c>
      <c r="E1004" t="n">
        <v>5768.69</v>
      </c>
      <c r="G1004" t="n">
        <v>384.197</v>
      </c>
      <c r="H1004" t="inlineStr">
        <is>
          <t>bb</t>
        </is>
      </c>
      <c r="I1004" t="n">
        <v>5768.69</v>
      </c>
    </row>
    <row r="1005">
      <c r="A1005" t="n">
        <v>18</v>
      </c>
      <c r="B1005" t="inlineStr">
        <is>
          <t>K3-2A</t>
        </is>
      </c>
      <c r="D1005" t="n">
        <v>8.66</v>
      </c>
      <c r="E1005" t="n">
        <v>5610.056</v>
      </c>
      <c r="G1005" t="n">
        <v>629.566</v>
      </c>
      <c r="H1005" t="inlineStr">
        <is>
          <t>bb</t>
        </is>
      </c>
      <c r="I1005" t="n">
        <v>5610.056</v>
      </c>
    </row>
    <row r="1006">
      <c r="A1006" t="n">
        <v>19</v>
      </c>
      <c r="B1006" t="inlineStr">
        <is>
          <t>K3-2B</t>
        </is>
      </c>
      <c r="D1006" t="n">
        <v>8.66</v>
      </c>
      <c r="E1006" t="n">
        <v>5855.075</v>
      </c>
      <c r="G1006" t="n">
        <v>456.091</v>
      </c>
      <c r="H1006" t="inlineStr">
        <is>
          <t>bb</t>
        </is>
      </c>
      <c r="I1006" t="n">
        <v>5855.075</v>
      </c>
    </row>
    <row r="1007">
      <c r="A1007" t="n">
        <v>20</v>
      </c>
      <c r="B1007" t="inlineStr">
        <is>
          <t>K3-2C</t>
        </is>
      </c>
      <c r="D1007" t="n">
        <v>8.66</v>
      </c>
      <c r="E1007" t="n">
        <v>5580.815</v>
      </c>
      <c r="G1007" t="n">
        <v>99.27800000000001</v>
      </c>
      <c r="H1007" t="inlineStr">
        <is>
          <t>bb</t>
        </is>
      </c>
      <c r="I1007" t="n">
        <v>5580.815</v>
      </c>
    </row>
    <row r="1008">
      <c r="A1008" t="n">
        <v>21</v>
      </c>
      <c r="B1008" t="inlineStr">
        <is>
          <t>MeOH</t>
        </is>
      </c>
      <c r="D1008" t="n">
        <v>8.65</v>
      </c>
      <c r="E1008" t="n">
        <v>16.721</v>
      </c>
      <c r="G1008" t="n">
        <v>221</v>
      </c>
      <c r="H1008" t="inlineStr">
        <is>
          <t>bb</t>
        </is>
      </c>
      <c r="I1008" t="n">
        <v>16.721</v>
      </c>
    </row>
    <row r="1009">
      <c r="A1009" t="n">
        <v>22</v>
      </c>
      <c r="B1009" t="inlineStr">
        <is>
          <t>K3-3A</t>
        </is>
      </c>
      <c r="D1009" t="n">
        <v>8.69</v>
      </c>
      <c r="E1009" t="n">
        <v>5097.114</v>
      </c>
      <c r="G1009" t="n">
        <v>137.533</v>
      </c>
      <c r="H1009" t="inlineStr">
        <is>
          <t>bb</t>
        </is>
      </c>
      <c r="I1009" t="n">
        <v>5097.114</v>
      </c>
    </row>
    <row r="1010">
      <c r="A1010" t="n">
        <v>23</v>
      </c>
      <c r="B1010" t="inlineStr">
        <is>
          <t>K3-3B</t>
        </is>
      </c>
      <c r="D1010" t="n">
        <v>8.69</v>
      </c>
      <c r="E1010" t="n">
        <v>6168.294</v>
      </c>
      <c r="G1010" t="n">
        <v>220.103</v>
      </c>
      <c r="H1010" t="inlineStr">
        <is>
          <t>bb</t>
        </is>
      </c>
      <c r="I1010" t="n">
        <v>6168.294</v>
      </c>
    </row>
    <row r="1011">
      <c r="A1011" t="n">
        <v>24</v>
      </c>
      <c r="B1011" t="inlineStr">
        <is>
          <t>K3-3C</t>
        </is>
      </c>
      <c r="D1011" t="n">
        <v>8.699999999999999</v>
      </c>
      <c r="E1011" t="n">
        <v>7039.549</v>
      </c>
      <c r="G1011" t="n">
        <v>340.115</v>
      </c>
      <c r="H1011" t="inlineStr">
        <is>
          <t>bb</t>
        </is>
      </c>
      <c r="I1011" t="n">
        <v>7039.549</v>
      </c>
    </row>
    <row r="1012">
      <c r="A1012" t="n">
        <v>25</v>
      </c>
      <c r="B1012" t="inlineStr">
        <is>
          <t>K3-4A</t>
        </is>
      </c>
      <c r="D1012" t="n">
        <v>8.779999999999999</v>
      </c>
      <c r="E1012" t="n">
        <v>6512.501</v>
      </c>
      <c r="G1012" t="n">
        <v>60388</v>
      </c>
      <c r="H1012" t="inlineStr">
        <is>
          <t>bb</t>
        </is>
      </c>
      <c r="I1012" t="n">
        <v>6512.501</v>
      </c>
    </row>
    <row r="1013">
      <c r="A1013" t="n">
        <v>26</v>
      </c>
      <c r="B1013" t="inlineStr">
        <is>
          <t>K3-4B</t>
        </is>
      </c>
      <c r="D1013" t="n">
        <v>8.73</v>
      </c>
      <c r="E1013" t="n">
        <v>6610.126</v>
      </c>
      <c r="G1013" t="n">
        <v>215.46</v>
      </c>
      <c r="H1013" t="inlineStr">
        <is>
          <t>bb</t>
        </is>
      </c>
      <c r="I1013" t="n">
        <v>6610.126</v>
      </c>
    </row>
    <row r="1014">
      <c r="A1014" t="n">
        <v>27</v>
      </c>
      <c r="B1014" t="inlineStr">
        <is>
          <t>K3-4C</t>
        </is>
      </c>
      <c r="D1014" t="n">
        <v>8.77</v>
      </c>
      <c r="E1014" t="n">
        <v>6817.682</v>
      </c>
      <c r="G1014" t="n">
        <v>376.621</v>
      </c>
      <c r="H1014" t="inlineStr">
        <is>
          <t>bb</t>
        </is>
      </c>
      <c r="I1014" t="n">
        <v>6817.682</v>
      </c>
    </row>
    <row r="1015">
      <c r="A1015" t="n">
        <v>28</v>
      </c>
      <c r="B1015" t="inlineStr">
        <is>
          <t>MeOH</t>
        </is>
      </c>
      <c r="H1015" t="inlineStr">
        <is>
          <t>MM-</t>
        </is>
      </c>
    </row>
    <row r="1016">
      <c r="A1016" t="n">
        <v>29</v>
      </c>
      <c r="B1016" t="inlineStr">
        <is>
          <t>K3-6A</t>
        </is>
      </c>
      <c r="D1016" t="n">
        <v>8.81</v>
      </c>
      <c r="E1016" t="n">
        <v>6126.747</v>
      </c>
      <c r="G1016" t="n">
        <v>108.621</v>
      </c>
      <c r="H1016" t="inlineStr">
        <is>
          <t>bb</t>
        </is>
      </c>
      <c r="I1016" t="n">
        <v>6126.747</v>
      </c>
    </row>
    <row r="1017">
      <c r="A1017" t="n">
        <v>30</v>
      </c>
      <c r="B1017" t="inlineStr">
        <is>
          <t>K3-6B</t>
        </is>
      </c>
      <c r="D1017" t="n">
        <v>8.789999999999999</v>
      </c>
      <c r="E1017" t="n">
        <v>5982.639</v>
      </c>
      <c r="G1017" t="n">
        <v>473.574</v>
      </c>
      <c r="H1017" t="inlineStr">
        <is>
          <t>bb</t>
        </is>
      </c>
      <c r="I1017" t="n">
        <v>5982.639</v>
      </c>
    </row>
    <row r="1018">
      <c r="A1018" t="n">
        <v>31</v>
      </c>
      <c r="B1018" t="inlineStr">
        <is>
          <t>K3-6C</t>
        </is>
      </c>
      <c r="D1018" t="n">
        <v>8.76</v>
      </c>
      <c r="E1018" t="n">
        <v>6040.243</v>
      </c>
      <c r="G1018" t="n">
        <v>303.917</v>
      </c>
      <c r="H1018" t="inlineStr">
        <is>
          <t>bb</t>
        </is>
      </c>
      <c r="I1018" t="n">
        <v>6040.243</v>
      </c>
    </row>
    <row r="1020">
      <c r="A1020" t="inlineStr">
        <is>
          <t>Compound 30:  5:3 FTCA 1</t>
        </is>
      </c>
    </row>
    <row r="1022">
      <c r="B1022" t="inlineStr">
        <is>
          <t>Sample Text</t>
        </is>
      </c>
      <c r="C1022" t="inlineStr">
        <is>
          <t>Std. Conc</t>
        </is>
      </c>
      <c r="D1022" t="inlineStr">
        <is>
          <t>RT</t>
        </is>
      </c>
      <c r="E1022" t="inlineStr">
        <is>
          <t>Area</t>
        </is>
      </c>
      <c r="F1022" t="inlineStr">
        <is>
          <t>IS Area</t>
        </is>
      </c>
      <c r="G1022" t="inlineStr">
        <is>
          <t>S/N</t>
        </is>
      </c>
      <c r="H1022" t="inlineStr">
        <is>
          <t>Primary Flags</t>
        </is>
      </c>
      <c r="I1022" t="inlineStr">
        <is>
          <t>Response</t>
        </is>
      </c>
      <c r="J1022" t="inlineStr">
        <is>
          <t>Conc.</t>
        </is>
      </c>
    </row>
    <row r="1023">
      <c r="A1023" t="n">
        <v>1</v>
      </c>
      <c r="B1023" t="inlineStr">
        <is>
          <t>K4-1A</t>
        </is>
      </c>
      <c r="D1023" t="n">
        <v>10.82</v>
      </c>
      <c r="E1023" t="n">
        <v>6.598</v>
      </c>
      <c r="F1023" t="n">
        <v>2173.066</v>
      </c>
      <c r="G1023" t="n">
        <v>68</v>
      </c>
      <c r="H1023" t="inlineStr">
        <is>
          <t>bb</t>
        </is>
      </c>
    </row>
    <row r="1024">
      <c r="A1024" t="n">
        <v>2</v>
      </c>
      <c r="B1024" t="inlineStr">
        <is>
          <t>K4-1B</t>
        </is>
      </c>
      <c r="D1024" t="n">
        <v>10.74</v>
      </c>
      <c r="E1024" t="n">
        <v>21.458</v>
      </c>
      <c r="F1024" t="n">
        <v>2231.232</v>
      </c>
      <c r="G1024" t="n">
        <v>178</v>
      </c>
      <c r="H1024" t="inlineStr">
        <is>
          <t>bb</t>
        </is>
      </c>
    </row>
    <row r="1025">
      <c r="A1025" t="n">
        <v>3</v>
      </c>
      <c r="B1025" t="inlineStr">
        <is>
          <t>K4-1C</t>
        </is>
      </c>
      <c r="D1025" t="n">
        <v>10.79</v>
      </c>
      <c r="E1025" t="n">
        <v>8.093</v>
      </c>
      <c r="F1025" t="n">
        <v>2264.738</v>
      </c>
      <c r="G1025" t="n">
        <v>85</v>
      </c>
      <c r="H1025" t="inlineStr">
        <is>
          <t>bb</t>
        </is>
      </c>
    </row>
    <row r="1026">
      <c r="A1026" t="n">
        <v>4</v>
      </c>
      <c r="B1026" t="inlineStr">
        <is>
          <t>K4-2A</t>
        </is>
      </c>
      <c r="D1026" t="n">
        <v>10.78</v>
      </c>
      <c r="E1026" t="n">
        <v>21.772</v>
      </c>
      <c r="F1026" t="n">
        <v>2546.569</v>
      </c>
      <c r="G1026" t="n">
        <v>229</v>
      </c>
      <c r="H1026" t="inlineStr">
        <is>
          <t>bb</t>
        </is>
      </c>
    </row>
    <row r="1027">
      <c r="A1027" t="n">
        <v>5</v>
      </c>
      <c r="B1027" t="inlineStr">
        <is>
          <t>K4-2B</t>
        </is>
      </c>
      <c r="D1027" t="n">
        <v>10.63</v>
      </c>
      <c r="E1027" t="n">
        <v>1.767</v>
      </c>
      <c r="F1027" t="n">
        <v>1959.093</v>
      </c>
      <c r="G1027" t="n">
        <v>20</v>
      </c>
      <c r="H1027" t="inlineStr">
        <is>
          <t>bb</t>
        </is>
      </c>
    </row>
    <row r="1028">
      <c r="A1028" t="n">
        <v>6</v>
      </c>
      <c r="B1028" t="inlineStr">
        <is>
          <t>K4-2C</t>
        </is>
      </c>
      <c r="D1028" t="n">
        <v>10.71</v>
      </c>
      <c r="E1028" t="n">
        <v>4.763</v>
      </c>
      <c r="F1028" t="n">
        <v>1962.095</v>
      </c>
      <c r="G1028" t="n">
        <v>40</v>
      </c>
      <c r="H1028" t="inlineStr">
        <is>
          <t>bb</t>
        </is>
      </c>
    </row>
    <row r="1029">
      <c r="A1029" t="n">
        <v>7</v>
      </c>
      <c r="B1029" t="inlineStr">
        <is>
          <t>MeOH</t>
        </is>
      </c>
      <c r="H1029" t="inlineStr">
        <is>
          <t>MM-</t>
        </is>
      </c>
    </row>
    <row r="1030">
      <c r="A1030" t="n">
        <v>8</v>
      </c>
      <c r="B1030" t="inlineStr">
        <is>
          <t>K4-4A</t>
        </is>
      </c>
      <c r="D1030" t="n">
        <v>10.67</v>
      </c>
      <c r="E1030" t="n">
        <v>6.934</v>
      </c>
      <c r="F1030" t="n">
        <v>1890.679</v>
      </c>
      <c r="G1030" t="n">
        <v>79</v>
      </c>
      <c r="H1030" t="inlineStr">
        <is>
          <t>bb</t>
        </is>
      </c>
    </row>
    <row r="1031">
      <c r="A1031" t="n">
        <v>9</v>
      </c>
      <c r="B1031" t="inlineStr">
        <is>
          <t>K4-4B</t>
        </is>
      </c>
      <c r="D1031" t="n">
        <v>10.01</v>
      </c>
      <c r="E1031" t="n">
        <v>0.359</v>
      </c>
      <c r="F1031" t="n">
        <v>1558.258</v>
      </c>
      <c r="G1031" t="n">
        <v>4</v>
      </c>
      <c r="H1031" t="inlineStr">
        <is>
          <t>MM</t>
        </is>
      </c>
    </row>
    <row r="1032">
      <c r="A1032" t="n">
        <v>10</v>
      </c>
      <c r="B1032" t="inlineStr">
        <is>
          <t>K4-4C</t>
        </is>
      </c>
      <c r="F1032" t="n">
        <v>1217.543</v>
      </c>
    </row>
    <row r="1033">
      <c r="A1033" t="n">
        <v>11</v>
      </c>
      <c r="B1033" t="inlineStr">
        <is>
          <t>K4-5A</t>
        </is>
      </c>
      <c r="D1033" t="n">
        <v>11.12</v>
      </c>
      <c r="E1033" t="n">
        <v>1.446</v>
      </c>
      <c r="F1033" t="n">
        <v>1730.688</v>
      </c>
      <c r="G1033" t="n">
        <v>14</v>
      </c>
      <c r="H1033" t="inlineStr">
        <is>
          <t>bb</t>
        </is>
      </c>
    </row>
    <row r="1034">
      <c r="A1034" t="n">
        <v>12</v>
      </c>
      <c r="B1034" t="inlineStr">
        <is>
          <t>K4-5B</t>
        </is>
      </c>
      <c r="D1034" t="n">
        <v>11.68</v>
      </c>
      <c r="E1034" t="n">
        <v>4.385</v>
      </c>
      <c r="F1034" t="n">
        <v>2104.275</v>
      </c>
      <c r="G1034" t="n">
        <v>43</v>
      </c>
      <c r="H1034" t="inlineStr">
        <is>
          <t>MM</t>
        </is>
      </c>
    </row>
    <row r="1035">
      <c r="A1035" t="n">
        <v>13</v>
      </c>
      <c r="B1035" t="inlineStr">
        <is>
          <t>K4-5C</t>
        </is>
      </c>
      <c r="F1035" t="n">
        <v>2128.822</v>
      </c>
    </row>
    <row r="1036">
      <c r="A1036" t="n">
        <v>14</v>
      </c>
      <c r="B1036" t="inlineStr">
        <is>
          <t>MeOH</t>
        </is>
      </c>
      <c r="D1036" t="n">
        <v>10.72</v>
      </c>
      <c r="E1036" t="n">
        <v>172.357</v>
      </c>
      <c r="G1036" t="n">
        <v>1663</v>
      </c>
      <c r="H1036" t="inlineStr">
        <is>
          <t>bb</t>
        </is>
      </c>
    </row>
    <row r="1037">
      <c r="A1037" t="n">
        <v>15</v>
      </c>
      <c r="B1037" t="inlineStr">
        <is>
          <t>K3-1A</t>
        </is>
      </c>
      <c r="D1037" t="n">
        <v>10.17</v>
      </c>
      <c r="E1037" t="n">
        <v>2.046</v>
      </c>
      <c r="F1037" t="n">
        <v>2216.675</v>
      </c>
      <c r="G1037" t="n">
        <v>22</v>
      </c>
      <c r="H1037" t="inlineStr">
        <is>
          <t>bb</t>
        </is>
      </c>
    </row>
    <row r="1038">
      <c r="A1038" t="n">
        <v>16</v>
      </c>
      <c r="B1038" t="inlineStr">
        <is>
          <t>K3-1B</t>
        </is>
      </c>
      <c r="D1038" t="n">
        <v>10.92</v>
      </c>
      <c r="E1038" t="n">
        <v>44.468</v>
      </c>
      <c r="F1038" t="n">
        <v>1933.619</v>
      </c>
      <c r="G1038" t="n">
        <v>430</v>
      </c>
      <c r="H1038" t="inlineStr">
        <is>
          <t>bb</t>
        </is>
      </c>
    </row>
    <row r="1039">
      <c r="A1039" t="n">
        <v>17</v>
      </c>
      <c r="B1039" t="inlineStr">
        <is>
          <t>K3-1C</t>
        </is>
      </c>
      <c r="D1039" t="n">
        <v>9.470000000000001</v>
      </c>
      <c r="E1039" t="n">
        <v>0.639</v>
      </c>
      <c r="F1039" t="n">
        <v>2689.694</v>
      </c>
      <c r="G1039" t="n">
        <v>8</v>
      </c>
      <c r="H1039" t="inlineStr">
        <is>
          <t>MM</t>
        </is>
      </c>
    </row>
    <row r="1040">
      <c r="A1040" t="n">
        <v>18</v>
      </c>
      <c r="B1040" t="inlineStr">
        <is>
          <t>K3-2A</t>
        </is>
      </c>
      <c r="F1040" t="n">
        <v>2721.774</v>
      </c>
    </row>
    <row r="1041">
      <c r="A1041" t="n">
        <v>19</v>
      </c>
      <c r="B1041" t="inlineStr">
        <is>
          <t>K3-2B</t>
        </is>
      </c>
      <c r="D1041" t="n">
        <v>9.289999999999999</v>
      </c>
      <c r="E1041" t="n">
        <v>8.183</v>
      </c>
      <c r="F1041" t="n">
        <v>3173.245</v>
      </c>
      <c r="G1041" t="n">
        <v>94</v>
      </c>
      <c r="H1041" t="inlineStr">
        <is>
          <t>MM</t>
        </is>
      </c>
    </row>
    <row r="1042">
      <c r="A1042" t="n">
        <v>20</v>
      </c>
      <c r="B1042" t="inlineStr">
        <is>
          <t>K3-2C</t>
        </is>
      </c>
      <c r="D1042" t="n">
        <v>9.09</v>
      </c>
      <c r="E1042" t="n">
        <v>2.257</v>
      </c>
      <c r="F1042" t="n">
        <v>2698.936</v>
      </c>
      <c r="G1042" t="n">
        <v>26</v>
      </c>
      <c r="H1042" t="inlineStr">
        <is>
          <t>MM</t>
        </is>
      </c>
    </row>
    <row r="1043">
      <c r="A1043" t="n">
        <v>21</v>
      </c>
      <c r="B1043" t="inlineStr">
        <is>
          <t>MeOH</t>
        </is>
      </c>
      <c r="H1043" t="inlineStr">
        <is>
          <t>MM-</t>
        </is>
      </c>
    </row>
    <row r="1044">
      <c r="A1044" t="n">
        <v>22</v>
      </c>
      <c r="B1044" t="inlineStr">
        <is>
          <t>K3-3A</t>
        </is>
      </c>
      <c r="D1044" t="n">
        <v>10.03</v>
      </c>
      <c r="E1044" t="n">
        <v>16.213</v>
      </c>
      <c r="F1044" t="n">
        <v>2447.134</v>
      </c>
      <c r="G1044" t="n">
        <v>175</v>
      </c>
      <c r="H1044" t="inlineStr">
        <is>
          <t>MM</t>
        </is>
      </c>
    </row>
    <row r="1045">
      <c r="A1045" t="n">
        <v>23</v>
      </c>
      <c r="B1045" t="inlineStr">
        <is>
          <t>K3-3B</t>
        </is>
      </c>
      <c r="D1045" t="n">
        <v>10.72</v>
      </c>
      <c r="E1045" t="n">
        <v>17.869</v>
      </c>
      <c r="F1045" t="n">
        <v>2381.961</v>
      </c>
      <c r="G1045" t="n">
        <v>198</v>
      </c>
      <c r="H1045" t="inlineStr">
        <is>
          <t>bb</t>
        </is>
      </c>
    </row>
    <row r="1046">
      <c r="A1046" t="n">
        <v>24</v>
      </c>
      <c r="B1046" t="inlineStr">
        <is>
          <t>K3-3C</t>
        </is>
      </c>
      <c r="D1046" t="n">
        <v>10.32</v>
      </c>
      <c r="E1046" t="n">
        <v>0.806</v>
      </c>
      <c r="F1046" t="n">
        <v>2598.05</v>
      </c>
      <c r="G1046" t="n">
        <v>8</v>
      </c>
      <c r="H1046" t="inlineStr">
        <is>
          <t>bb</t>
        </is>
      </c>
    </row>
    <row r="1047">
      <c r="A1047" t="n">
        <v>25</v>
      </c>
      <c r="B1047" t="inlineStr">
        <is>
          <t>K3-4A</t>
        </is>
      </c>
      <c r="D1047" t="n">
        <v>10.58</v>
      </c>
      <c r="E1047" t="n">
        <v>1.573</v>
      </c>
      <c r="F1047" t="n">
        <v>2541.848</v>
      </c>
      <c r="G1047" t="n">
        <v>17</v>
      </c>
      <c r="H1047" t="inlineStr">
        <is>
          <t>bb</t>
        </is>
      </c>
    </row>
    <row r="1048">
      <c r="A1048" t="n">
        <v>26</v>
      </c>
      <c r="B1048" t="inlineStr">
        <is>
          <t>K3-4B</t>
        </is>
      </c>
      <c r="D1048" t="n">
        <v>10.73</v>
      </c>
      <c r="E1048" t="n">
        <v>1.854</v>
      </c>
      <c r="F1048" t="n">
        <v>2826.966</v>
      </c>
      <c r="G1048" t="n">
        <v>21</v>
      </c>
      <c r="H1048" t="inlineStr">
        <is>
          <t>bb</t>
        </is>
      </c>
    </row>
    <row r="1049">
      <c r="A1049" t="n">
        <v>27</v>
      </c>
      <c r="B1049" t="inlineStr">
        <is>
          <t>K3-4C</t>
        </is>
      </c>
      <c r="D1049" t="n">
        <v>10.61</v>
      </c>
      <c r="E1049" t="n">
        <v>3.882</v>
      </c>
      <c r="F1049" t="n">
        <v>2828.133</v>
      </c>
      <c r="G1049" t="n">
        <v>44</v>
      </c>
      <c r="H1049" t="inlineStr">
        <is>
          <t>bb</t>
        </is>
      </c>
    </row>
    <row r="1050">
      <c r="A1050" t="n">
        <v>28</v>
      </c>
      <c r="B1050" t="inlineStr">
        <is>
          <t>MeOH</t>
        </is>
      </c>
      <c r="H1050" t="inlineStr">
        <is>
          <t>MM-</t>
        </is>
      </c>
    </row>
    <row r="1051">
      <c r="A1051" t="n">
        <v>29</v>
      </c>
      <c r="B1051" t="inlineStr">
        <is>
          <t>K3-6A</t>
        </is>
      </c>
      <c r="D1051" t="n">
        <v>10.52</v>
      </c>
      <c r="E1051" t="n">
        <v>0.793</v>
      </c>
      <c r="F1051" t="n">
        <v>2704.998</v>
      </c>
      <c r="G1051" t="n">
        <v>0.046</v>
      </c>
      <c r="H1051" t="inlineStr">
        <is>
          <t>bb</t>
        </is>
      </c>
    </row>
    <row r="1052">
      <c r="A1052" t="n">
        <v>30</v>
      </c>
      <c r="B1052" t="inlineStr">
        <is>
          <t>K3-6B</t>
        </is>
      </c>
      <c r="F1052" t="n">
        <v>2228.994</v>
      </c>
    </row>
    <row r="1053">
      <c r="A1053" t="n">
        <v>31</v>
      </c>
      <c r="B1053" t="inlineStr">
        <is>
          <t>K3-6C</t>
        </is>
      </c>
      <c r="D1053" t="n">
        <v>10.25</v>
      </c>
      <c r="E1053" t="n">
        <v>12.156</v>
      </c>
      <c r="F1053" t="n">
        <v>2518.187</v>
      </c>
      <c r="G1053" t="n">
        <v>131</v>
      </c>
      <c r="H1053" t="inlineStr">
        <is>
          <t>bb</t>
        </is>
      </c>
    </row>
    <row r="1055">
      <c r="A1055" t="inlineStr">
        <is>
          <t>Compound 31:  5:3 FTCA 2</t>
        </is>
      </c>
    </row>
    <row r="1057">
      <c r="B1057" t="inlineStr">
        <is>
          <t>Sample Text</t>
        </is>
      </c>
      <c r="C1057" t="inlineStr">
        <is>
          <t>Std. Conc</t>
        </is>
      </c>
      <c r="D1057" t="inlineStr">
        <is>
          <t>RT</t>
        </is>
      </c>
      <c r="E1057" t="inlineStr">
        <is>
          <t>Area</t>
        </is>
      </c>
      <c r="F1057" t="inlineStr">
        <is>
          <t>IS Area</t>
        </is>
      </c>
      <c r="G1057" t="inlineStr">
        <is>
          <t>S/N</t>
        </is>
      </c>
      <c r="H1057" t="inlineStr">
        <is>
          <t>Primary Flags</t>
        </is>
      </c>
      <c r="I1057" t="inlineStr">
        <is>
          <t>Response</t>
        </is>
      </c>
      <c r="J1057" t="inlineStr">
        <is>
          <t>Conc.</t>
        </is>
      </c>
    </row>
    <row r="1058">
      <c r="A1058" t="n">
        <v>1</v>
      </c>
      <c r="B1058" t="inlineStr">
        <is>
          <t>K4-1A</t>
        </is>
      </c>
      <c r="D1058" t="n">
        <v>10.73</v>
      </c>
      <c r="E1058" t="n">
        <v>23.404</v>
      </c>
      <c r="F1058" t="n">
        <v>1064.917</v>
      </c>
      <c r="G1058" t="n">
        <v>262</v>
      </c>
      <c r="H1058" t="inlineStr">
        <is>
          <t>MM</t>
        </is>
      </c>
    </row>
    <row r="1059">
      <c r="A1059" t="n">
        <v>2</v>
      </c>
      <c r="B1059" t="inlineStr">
        <is>
          <t>K4-1B</t>
        </is>
      </c>
      <c r="D1059" t="n">
        <v>10.71</v>
      </c>
      <c r="E1059" t="n">
        <v>1.776</v>
      </c>
      <c r="F1059" t="n">
        <v>1263.963</v>
      </c>
      <c r="G1059" t="n">
        <v>0.239</v>
      </c>
      <c r="H1059" t="inlineStr">
        <is>
          <t>bb</t>
        </is>
      </c>
    </row>
    <row r="1060">
      <c r="A1060" t="n">
        <v>3</v>
      </c>
      <c r="B1060" t="inlineStr">
        <is>
          <t>K4-1C</t>
        </is>
      </c>
      <c r="D1060" t="n">
        <v>11.01</v>
      </c>
      <c r="E1060" t="n">
        <v>3.913</v>
      </c>
      <c r="F1060" t="n">
        <v>1240.47</v>
      </c>
      <c r="G1060" t="n">
        <v>0.5580000000000001</v>
      </c>
      <c r="H1060" t="inlineStr">
        <is>
          <t>MM</t>
        </is>
      </c>
    </row>
    <row r="1061">
      <c r="A1061" t="n">
        <v>4</v>
      </c>
      <c r="B1061" t="inlineStr">
        <is>
          <t>K4-2A</t>
        </is>
      </c>
      <c r="D1061" t="n">
        <v>10.85</v>
      </c>
      <c r="E1061" t="n">
        <v>17.795</v>
      </c>
      <c r="F1061" t="n">
        <v>1041.541</v>
      </c>
      <c r="G1061" t="n">
        <v>174</v>
      </c>
      <c r="H1061" t="inlineStr">
        <is>
          <t>bb</t>
        </is>
      </c>
    </row>
    <row r="1062">
      <c r="A1062" t="n">
        <v>5</v>
      </c>
      <c r="B1062" t="inlineStr">
        <is>
          <t>K4-2B</t>
        </is>
      </c>
      <c r="F1062" t="n">
        <v>1437.42</v>
      </c>
    </row>
    <row r="1063">
      <c r="A1063" t="n">
        <v>6</v>
      </c>
      <c r="B1063" t="inlineStr">
        <is>
          <t>K4-2C</t>
        </is>
      </c>
      <c r="D1063" t="n">
        <v>11.03</v>
      </c>
      <c r="E1063" t="n">
        <v>37.856</v>
      </c>
      <c r="F1063" t="n">
        <v>703.508</v>
      </c>
      <c r="G1063" t="n">
        <v>1.967</v>
      </c>
      <c r="H1063" t="inlineStr">
        <is>
          <t>bb</t>
        </is>
      </c>
    </row>
    <row r="1064">
      <c r="A1064" t="n">
        <v>7</v>
      </c>
      <c r="B1064" t="inlineStr">
        <is>
          <t>MeOH</t>
        </is>
      </c>
      <c r="H1064" t="inlineStr">
        <is>
          <t>MM-</t>
        </is>
      </c>
    </row>
    <row r="1065">
      <c r="A1065" t="n">
        <v>8</v>
      </c>
      <c r="B1065" t="inlineStr">
        <is>
          <t>K4-4A</t>
        </is>
      </c>
      <c r="D1065" t="n">
        <v>10.34</v>
      </c>
      <c r="E1065" t="n">
        <v>1.079</v>
      </c>
      <c r="F1065" t="n">
        <v>1022.507</v>
      </c>
      <c r="G1065" t="n">
        <v>12</v>
      </c>
      <c r="H1065" t="inlineStr">
        <is>
          <t>bb</t>
        </is>
      </c>
    </row>
    <row r="1066">
      <c r="A1066" t="n">
        <v>9</v>
      </c>
      <c r="B1066" t="inlineStr">
        <is>
          <t>K4-4B</t>
        </is>
      </c>
      <c r="D1066" t="n">
        <v>10.76</v>
      </c>
      <c r="E1066" t="n">
        <v>7.872</v>
      </c>
      <c r="F1066" t="n">
        <v>560.49</v>
      </c>
      <c r="G1066" t="n">
        <v>0.546</v>
      </c>
      <c r="H1066" t="inlineStr">
        <is>
          <t>bb</t>
        </is>
      </c>
    </row>
    <row r="1067">
      <c r="A1067" t="n">
        <v>10</v>
      </c>
      <c r="B1067" t="inlineStr">
        <is>
          <t>K4-4C</t>
        </is>
      </c>
      <c r="D1067" t="n">
        <v>9.92</v>
      </c>
      <c r="E1067" t="n">
        <v>27.608</v>
      </c>
      <c r="F1067" t="n">
        <v>760.7619999999999</v>
      </c>
      <c r="G1067" t="n">
        <v>266</v>
      </c>
      <c r="H1067" t="inlineStr">
        <is>
          <t>MM</t>
        </is>
      </c>
    </row>
    <row r="1068">
      <c r="A1068" t="n">
        <v>11</v>
      </c>
      <c r="B1068" t="inlineStr">
        <is>
          <t>K4-5A</t>
        </is>
      </c>
      <c r="D1068" t="n">
        <v>10.41</v>
      </c>
      <c r="E1068" t="n">
        <v>24.003</v>
      </c>
      <c r="F1068" t="n">
        <v>534.744</v>
      </c>
      <c r="G1068" t="n">
        <v>2.281</v>
      </c>
      <c r="H1068" t="inlineStr">
        <is>
          <t>bb</t>
        </is>
      </c>
    </row>
    <row r="1069">
      <c r="A1069" t="n">
        <v>12</v>
      </c>
      <c r="B1069" t="inlineStr">
        <is>
          <t>K4-5B</t>
        </is>
      </c>
      <c r="D1069" t="n">
        <v>10.41</v>
      </c>
      <c r="E1069" t="n">
        <v>2.368</v>
      </c>
      <c r="F1069" t="n">
        <v>1062.534</v>
      </c>
      <c r="G1069" t="n">
        <v>0.249</v>
      </c>
      <c r="H1069" t="inlineStr">
        <is>
          <t>bb</t>
        </is>
      </c>
    </row>
    <row r="1070">
      <c r="A1070" t="n">
        <v>13</v>
      </c>
      <c r="B1070" t="inlineStr">
        <is>
          <t>K4-5C</t>
        </is>
      </c>
      <c r="D1070" t="n">
        <v>10.71</v>
      </c>
      <c r="E1070" t="n">
        <v>16.264</v>
      </c>
      <c r="F1070" t="n">
        <v>694.841</v>
      </c>
      <c r="G1070" t="n">
        <v>180</v>
      </c>
      <c r="H1070" t="inlineStr">
        <is>
          <t>bb</t>
        </is>
      </c>
    </row>
    <row r="1071">
      <c r="A1071" t="n">
        <v>14</v>
      </c>
      <c r="B1071" t="inlineStr">
        <is>
          <t>MeOH</t>
        </is>
      </c>
      <c r="H1071" t="inlineStr">
        <is>
          <t>MM-</t>
        </is>
      </c>
    </row>
    <row r="1072">
      <c r="A1072" t="n">
        <v>15</v>
      </c>
      <c r="B1072" t="inlineStr">
        <is>
          <t>K3-1A</t>
        </is>
      </c>
      <c r="D1072" t="n">
        <v>10.25</v>
      </c>
      <c r="E1072" t="n">
        <v>1.042</v>
      </c>
      <c r="F1072" t="n">
        <v>1010.403</v>
      </c>
      <c r="G1072" t="n">
        <v>0.186</v>
      </c>
      <c r="H1072" t="inlineStr">
        <is>
          <t>bb</t>
        </is>
      </c>
    </row>
    <row r="1073">
      <c r="A1073" t="n">
        <v>16</v>
      </c>
      <c r="B1073" t="inlineStr">
        <is>
          <t>K3-1B</t>
        </is>
      </c>
      <c r="D1073" t="n">
        <v>10.5</v>
      </c>
      <c r="E1073" t="n">
        <v>14.664</v>
      </c>
      <c r="F1073" t="n">
        <v>1033.297</v>
      </c>
      <c r="G1073" t="n">
        <v>134</v>
      </c>
      <c r="H1073" t="inlineStr">
        <is>
          <t>bb</t>
        </is>
      </c>
    </row>
    <row r="1074">
      <c r="A1074" t="n">
        <v>17</v>
      </c>
      <c r="B1074" t="inlineStr">
        <is>
          <t>K3-1C</t>
        </is>
      </c>
      <c r="D1074" t="n">
        <v>11.42</v>
      </c>
      <c r="E1074" t="n">
        <v>85.92400000000001</v>
      </c>
      <c r="F1074" t="n">
        <v>1290.752</v>
      </c>
      <c r="G1074" t="n">
        <v>609</v>
      </c>
      <c r="H1074" t="inlineStr">
        <is>
          <t>MM</t>
        </is>
      </c>
    </row>
    <row r="1075">
      <c r="A1075" t="n">
        <v>18</v>
      </c>
      <c r="B1075" t="inlineStr">
        <is>
          <t>K3-2A</t>
        </is>
      </c>
      <c r="D1075" t="n">
        <v>10.97</v>
      </c>
      <c r="E1075" t="n">
        <v>37.35</v>
      </c>
      <c r="F1075" t="n">
        <v>1098.129</v>
      </c>
      <c r="G1075" t="n">
        <v>351</v>
      </c>
      <c r="H1075" t="inlineStr">
        <is>
          <t>bb</t>
        </is>
      </c>
    </row>
    <row r="1076">
      <c r="A1076" t="n">
        <v>19</v>
      </c>
      <c r="B1076" t="inlineStr">
        <is>
          <t>K3-2B</t>
        </is>
      </c>
      <c r="D1076" t="n">
        <v>10.59</v>
      </c>
      <c r="E1076" t="n">
        <v>5.612</v>
      </c>
      <c r="F1076" t="n">
        <v>1593.77</v>
      </c>
      <c r="G1076" t="n">
        <v>64</v>
      </c>
      <c r="H1076" t="inlineStr">
        <is>
          <t>bb</t>
        </is>
      </c>
    </row>
    <row r="1077">
      <c r="A1077" t="n">
        <v>20</v>
      </c>
      <c r="B1077" t="inlineStr">
        <is>
          <t>K3-2C</t>
        </is>
      </c>
      <c r="D1077" t="n">
        <v>10.71</v>
      </c>
      <c r="E1077" t="n">
        <v>22.25</v>
      </c>
      <c r="F1077" t="n">
        <v>1067.692</v>
      </c>
      <c r="G1077" t="n">
        <v>240</v>
      </c>
      <c r="H1077" t="inlineStr">
        <is>
          <t>bb</t>
        </is>
      </c>
    </row>
    <row r="1078">
      <c r="A1078" t="n">
        <v>21</v>
      </c>
      <c r="B1078" t="inlineStr">
        <is>
          <t>MeOH</t>
        </is>
      </c>
      <c r="D1078" t="n">
        <v>10.72</v>
      </c>
      <c r="E1078" t="n">
        <v>52.149</v>
      </c>
      <c r="G1078" t="n">
        <v>2.754</v>
      </c>
      <c r="H1078" t="inlineStr">
        <is>
          <t>bb</t>
        </is>
      </c>
    </row>
    <row r="1079">
      <c r="A1079" t="n">
        <v>22</v>
      </c>
      <c r="B1079" t="inlineStr">
        <is>
          <t>K3-3A</t>
        </is>
      </c>
      <c r="D1079" t="n">
        <v>10.2</v>
      </c>
      <c r="E1079" t="n">
        <v>37.404</v>
      </c>
      <c r="F1079" t="n">
        <v>892.886</v>
      </c>
      <c r="G1079" t="n">
        <v>44.884</v>
      </c>
      <c r="H1079" t="inlineStr">
        <is>
          <t>bb</t>
        </is>
      </c>
    </row>
    <row r="1080">
      <c r="A1080" t="n">
        <v>23</v>
      </c>
      <c r="B1080" t="inlineStr">
        <is>
          <t>K3-3B</t>
        </is>
      </c>
      <c r="D1080" t="n">
        <v>10.71</v>
      </c>
      <c r="E1080" t="n">
        <v>58.756</v>
      </c>
      <c r="F1080" t="n">
        <v>1753.089</v>
      </c>
      <c r="G1080" t="n">
        <v>31.649</v>
      </c>
      <c r="H1080" t="inlineStr">
        <is>
          <t>bb</t>
        </is>
      </c>
    </row>
    <row r="1081">
      <c r="A1081" t="n">
        <v>24</v>
      </c>
      <c r="B1081" t="inlineStr">
        <is>
          <t>K3-3C</t>
        </is>
      </c>
      <c r="D1081" t="n">
        <v>10.34</v>
      </c>
      <c r="E1081" t="n">
        <v>14.819</v>
      </c>
      <c r="F1081" t="n">
        <v>1692.502</v>
      </c>
      <c r="G1081" t="n">
        <v>1.97</v>
      </c>
      <c r="H1081" t="inlineStr">
        <is>
          <t>bb</t>
        </is>
      </c>
    </row>
    <row r="1082">
      <c r="A1082" t="n">
        <v>25</v>
      </c>
      <c r="B1082" t="inlineStr">
        <is>
          <t>K3-4A</t>
        </is>
      </c>
      <c r="F1082" t="n">
        <v>1319.701</v>
      </c>
    </row>
    <row r="1083">
      <c r="A1083" t="n">
        <v>26</v>
      </c>
      <c r="B1083" t="inlineStr">
        <is>
          <t>K3-4B</t>
        </is>
      </c>
      <c r="D1083" t="n">
        <v>11.03</v>
      </c>
      <c r="E1083" t="n">
        <v>16.401</v>
      </c>
      <c r="F1083" t="n">
        <v>1327.685</v>
      </c>
      <c r="G1083" t="n">
        <v>5.648</v>
      </c>
      <c r="H1083" t="inlineStr">
        <is>
          <t>bb</t>
        </is>
      </c>
    </row>
    <row r="1084">
      <c r="A1084" t="n">
        <v>27</v>
      </c>
      <c r="B1084" t="inlineStr">
        <is>
          <t>K3-4C</t>
        </is>
      </c>
      <c r="D1084" t="n">
        <v>10.97</v>
      </c>
      <c r="E1084" t="n">
        <v>0.8139999999999999</v>
      </c>
      <c r="F1084" t="n">
        <v>1089.646</v>
      </c>
      <c r="G1084" t="n">
        <v>6</v>
      </c>
      <c r="H1084" t="inlineStr">
        <is>
          <t>bb</t>
        </is>
      </c>
    </row>
    <row r="1085">
      <c r="A1085" t="n">
        <v>28</v>
      </c>
      <c r="B1085" t="inlineStr">
        <is>
          <t>MeOH</t>
        </is>
      </c>
      <c r="H1085" t="inlineStr">
        <is>
          <t>MM-</t>
        </is>
      </c>
    </row>
    <row r="1086">
      <c r="A1086" t="n">
        <v>29</v>
      </c>
      <c r="B1086" t="inlineStr">
        <is>
          <t>K3-6A</t>
        </is>
      </c>
      <c r="D1086" t="n">
        <v>10.68</v>
      </c>
      <c r="E1086" t="n">
        <v>60.112</v>
      </c>
      <c r="F1086" t="n">
        <v>1155.322</v>
      </c>
      <c r="G1086" t="n">
        <v>81.00700000000001</v>
      </c>
      <c r="H1086" t="inlineStr">
        <is>
          <t>bb</t>
        </is>
      </c>
    </row>
    <row r="1087">
      <c r="A1087" t="n">
        <v>30</v>
      </c>
      <c r="B1087" t="inlineStr">
        <is>
          <t>K3-6B</t>
        </is>
      </c>
      <c r="D1087" t="n">
        <v>10.25</v>
      </c>
      <c r="E1087" t="n">
        <v>5.308</v>
      </c>
      <c r="F1087" t="n">
        <v>1254.337</v>
      </c>
      <c r="G1087" t="n">
        <v>0.264</v>
      </c>
      <c r="H1087" t="inlineStr">
        <is>
          <t>bb</t>
        </is>
      </c>
    </row>
    <row r="1088">
      <c r="A1088" t="n">
        <v>31</v>
      </c>
      <c r="B1088" t="inlineStr">
        <is>
          <t>K3-6C</t>
        </is>
      </c>
      <c r="D1088" t="n">
        <v>11.13</v>
      </c>
      <c r="E1088" t="n">
        <v>42.986</v>
      </c>
      <c r="F1088" t="n">
        <v>894.672</v>
      </c>
      <c r="G1088" t="n">
        <v>349</v>
      </c>
      <c r="H1088" t="inlineStr">
        <is>
          <t>bb</t>
        </is>
      </c>
    </row>
    <row r="1090">
      <c r="A1090" t="inlineStr">
        <is>
          <t>Compound 32:  PFPeS 1</t>
        </is>
      </c>
    </row>
    <row r="1092">
      <c r="B1092" t="inlineStr">
        <is>
          <t>Sample Text</t>
        </is>
      </c>
      <c r="C1092" t="inlineStr">
        <is>
          <t>Std. Conc</t>
        </is>
      </c>
      <c r="D1092" t="inlineStr">
        <is>
          <t>RT</t>
        </is>
      </c>
      <c r="E1092" t="inlineStr">
        <is>
          <t>Area</t>
        </is>
      </c>
      <c r="F1092" t="inlineStr">
        <is>
          <t>IS Area</t>
        </is>
      </c>
      <c r="G1092" t="inlineStr">
        <is>
          <t>S/N</t>
        </is>
      </c>
      <c r="H1092" t="inlineStr">
        <is>
          <t>Primary Flags</t>
        </is>
      </c>
      <c r="I1092" t="inlineStr">
        <is>
          <t>Response</t>
        </is>
      </c>
      <c r="J1092" t="inlineStr">
        <is>
          <t>Conc.</t>
        </is>
      </c>
    </row>
    <row r="1093">
      <c r="A1093" t="n">
        <v>1</v>
      </c>
      <c r="B1093" t="inlineStr">
        <is>
          <t>K4-1A</t>
        </is>
      </c>
      <c r="F1093" t="n">
        <v>562.856</v>
      </c>
    </row>
    <row r="1094">
      <c r="A1094" t="n">
        <v>2</v>
      </c>
      <c r="B1094" t="inlineStr">
        <is>
          <t>K4-1B</t>
        </is>
      </c>
      <c r="F1094" t="n">
        <v>709.3200000000001</v>
      </c>
    </row>
    <row r="1095">
      <c r="A1095" t="n">
        <v>3</v>
      </c>
      <c r="B1095" t="inlineStr">
        <is>
          <t>K4-1C</t>
        </is>
      </c>
      <c r="F1095" t="n">
        <v>545.8630000000001</v>
      </c>
    </row>
    <row r="1096">
      <c r="A1096" t="n">
        <v>4</v>
      </c>
      <c r="B1096" t="inlineStr">
        <is>
          <t>K4-2A</t>
        </is>
      </c>
      <c r="D1096" t="n">
        <v>9.58</v>
      </c>
      <c r="E1096" t="n">
        <v>0.835</v>
      </c>
      <c r="F1096" t="n">
        <v>889.295</v>
      </c>
      <c r="G1096" t="n">
        <v>9</v>
      </c>
      <c r="H1096" t="inlineStr">
        <is>
          <t>bb</t>
        </is>
      </c>
    </row>
    <row r="1097">
      <c r="A1097" t="n">
        <v>5</v>
      </c>
      <c r="B1097" t="inlineStr">
        <is>
          <t>K4-2B</t>
        </is>
      </c>
      <c r="F1097" t="n">
        <v>819.534</v>
      </c>
    </row>
    <row r="1098">
      <c r="A1098" t="n">
        <v>6</v>
      </c>
      <c r="B1098" t="inlineStr">
        <is>
          <t>K4-2C</t>
        </is>
      </c>
      <c r="F1098" t="n">
        <v>609.211</v>
      </c>
    </row>
    <row r="1099">
      <c r="A1099" t="n">
        <v>7</v>
      </c>
      <c r="B1099" t="inlineStr">
        <is>
          <t>MeOH</t>
        </is>
      </c>
    </row>
    <row r="1100">
      <c r="A1100" t="n">
        <v>8</v>
      </c>
      <c r="B1100" t="inlineStr">
        <is>
          <t>K4-4A</t>
        </is>
      </c>
      <c r="F1100" t="n">
        <v>836.772</v>
      </c>
    </row>
    <row r="1101">
      <c r="A1101" t="n">
        <v>9</v>
      </c>
      <c r="B1101" t="inlineStr">
        <is>
          <t>K4-4B</t>
        </is>
      </c>
      <c r="F1101" t="n">
        <v>461.157</v>
      </c>
    </row>
    <row r="1102">
      <c r="A1102" t="n">
        <v>10</v>
      </c>
      <c r="B1102" t="inlineStr">
        <is>
          <t>K4-4C</t>
        </is>
      </c>
      <c r="F1102" t="n">
        <v>666.644</v>
      </c>
    </row>
    <row r="1103">
      <c r="A1103" t="n">
        <v>11</v>
      </c>
      <c r="B1103" t="inlineStr">
        <is>
          <t>K4-5A</t>
        </is>
      </c>
      <c r="F1103" t="n">
        <v>578.409</v>
      </c>
    </row>
    <row r="1104">
      <c r="A1104" t="n">
        <v>12</v>
      </c>
      <c r="B1104" t="inlineStr">
        <is>
          <t>K4-5B</t>
        </is>
      </c>
      <c r="D1104" t="n">
        <v>9.470000000000001</v>
      </c>
      <c r="E1104" t="n">
        <v>0.513</v>
      </c>
      <c r="F1104" t="n">
        <v>575.86</v>
      </c>
      <c r="G1104" t="n">
        <v>6</v>
      </c>
      <c r="H1104" t="inlineStr">
        <is>
          <t>bb</t>
        </is>
      </c>
    </row>
    <row r="1105">
      <c r="A1105" t="n">
        <v>13</v>
      </c>
      <c r="B1105" t="inlineStr">
        <is>
          <t>K4-5C</t>
        </is>
      </c>
      <c r="F1105" t="n">
        <v>648.184</v>
      </c>
    </row>
    <row r="1106">
      <c r="A1106" t="n">
        <v>14</v>
      </c>
      <c r="B1106" t="inlineStr">
        <is>
          <t>MeOH</t>
        </is>
      </c>
      <c r="D1106" t="n">
        <v>9.32</v>
      </c>
      <c r="E1106" t="n">
        <v>0.913</v>
      </c>
      <c r="G1106" t="n">
        <v>11</v>
      </c>
      <c r="H1106" t="inlineStr">
        <is>
          <t>bb</t>
        </is>
      </c>
    </row>
    <row r="1107">
      <c r="A1107" t="n">
        <v>15</v>
      </c>
      <c r="B1107" t="inlineStr">
        <is>
          <t>K3-1A</t>
        </is>
      </c>
      <c r="F1107" t="n">
        <v>704.658</v>
      </c>
    </row>
    <row r="1108">
      <c r="A1108" t="n">
        <v>16</v>
      </c>
      <c r="B1108" t="inlineStr">
        <is>
          <t>K3-1B</t>
        </is>
      </c>
      <c r="F1108" t="n">
        <v>589.025</v>
      </c>
    </row>
    <row r="1109">
      <c r="A1109" t="n">
        <v>17</v>
      </c>
      <c r="B1109" t="inlineStr">
        <is>
          <t>K3-1C</t>
        </is>
      </c>
      <c r="F1109" t="n">
        <v>902.054</v>
      </c>
    </row>
    <row r="1110">
      <c r="A1110" t="n">
        <v>18</v>
      </c>
      <c r="B1110" t="inlineStr">
        <is>
          <t>K3-2A</t>
        </is>
      </c>
      <c r="D1110" t="n">
        <v>9.359999999999999</v>
      </c>
      <c r="E1110" t="n">
        <v>3.651</v>
      </c>
      <c r="F1110" t="n">
        <v>786.168</v>
      </c>
      <c r="G1110" t="n">
        <v>44</v>
      </c>
      <c r="H1110" t="inlineStr">
        <is>
          <t>bb</t>
        </is>
      </c>
    </row>
    <row r="1111">
      <c r="A1111" t="n">
        <v>19</v>
      </c>
      <c r="B1111" t="inlineStr">
        <is>
          <t>K3-2B</t>
        </is>
      </c>
      <c r="D1111" t="n">
        <v>8.960000000000001</v>
      </c>
      <c r="E1111" t="n">
        <v>0.185</v>
      </c>
      <c r="F1111" t="n">
        <v>847.954</v>
      </c>
      <c r="G1111" t="n">
        <v>2</v>
      </c>
      <c r="H1111" t="inlineStr">
        <is>
          <t>bb</t>
        </is>
      </c>
    </row>
    <row r="1112">
      <c r="A1112" t="n">
        <v>20</v>
      </c>
      <c r="B1112" t="inlineStr">
        <is>
          <t>K3-2C</t>
        </is>
      </c>
      <c r="F1112" t="n">
        <v>549.966</v>
      </c>
    </row>
    <row r="1113">
      <c r="A1113" t="n">
        <v>21</v>
      </c>
      <c r="B1113" t="inlineStr">
        <is>
          <t>MeOH</t>
        </is>
      </c>
    </row>
    <row r="1114">
      <c r="A1114" t="n">
        <v>22</v>
      </c>
      <c r="B1114" t="inlineStr">
        <is>
          <t>K3-3A</t>
        </is>
      </c>
      <c r="F1114" t="n">
        <v>896.226</v>
      </c>
    </row>
    <row r="1115">
      <c r="A1115" t="n">
        <v>23</v>
      </c>
      <c r="B1115" t="inlineStr">
        <is>
          <t>K3-3B</t>
        </is>
      </c>
      <c r="F1115" t="n">
        <v>1005.7</v>
      </c>
    </row>
    <row r="1116">
      <c r="A1116" t="n">
        <v>24</v>
      </c>
      <c r="B1116" t="inlineStr">
        <is>
          <t>K3-3C</t>
        </is>
      </c>
      <c r="D1116" t="n">
        <v>9.51</v>
      </c>
      <c r="E1116" t="n">
        <v>2.444</v>
      </c>
      <c r="F1116" t="n">
        <v>1040.161</v>
      </c>
      <c r="G1116" t="n">
        <v>28</v>
      </c>
      <c r="H1116" t="inlineStr">
        <is>
          <t>bb</t>
        </is>
      </c>
    </row>
    <row r="1117">
      <c r="A1117" t="n">
        <v>25</v>
      </c>
      <c r="B1117" t="inlineStr">
        <is>
          <t>K3-4A</t>
        </is>
      </c>
      <c r="F1117" t="n">
        <v>1196.547</v>
      </c>
    </row>
    <row r="1118">
      <c r="A1118" t="n">
        <v>26</v>
      </c>
      <c r="B1118" t="inlineStr">
        <is>
          <t>K3-4B</t>
        </is>
      </c>
      <c r="F1118" t="n">
        <v>1065.462</v>
      </c>
    </row>
    <row r="1119">
      <c r="A1119" t="n">
        <v>27</v>
      </c>
      <c r="B1119" t="inlineStr">
        <is>
          <t>K3-4C</t>
        </is>
      </c>
      <c r="F1119" t="n">
        <v>841.401</v>
      </c>
    </row>
    <row r="1120">
      <c r="A1120" t="n">
        <v>28</v>
      </c>
      <c r="B1120" t="inlineStr">
        <is>
          <t>MeOH</t>
        </is>
      </c>
    </row>
    <row r="1121">
      <c r="A1121" t="n">
        <v>29</v>
      </c>
      <c r="B1121" t="inlineStr">
        <is>
          <t>K3-6A</t>
        </is>
      </c>
      <c r="F1121" t="n">
        <v>1044.224</v>
      </c>
    </row>
    <row r="1122">
      <c r="A1122" t="n">
        <v>30</v>
      </c>
      <c r="B1122" t="inlineStr">
        <is>
          <t>K3-6B</t>
        </is>
      </c>
      <c r="F1122" t="n">
        <v>517.776</v>
      </c>
    </row>
    <row r="1123">
      <c r="A1123" t="n">
        <v>31</v>
      </c>
      <c r="B1123" t="inlineStr">
        <is>
          <t>K3-6C</t>
        </is>
      </c>
      <c r="F1123" t="n">
        <v>709.654</v>
      </c>
    </row>
    <row r="1125">
      <c r="A1125" t="inlineStr">
        <is>
          <t>Compound 33:  PFPeS 2</t>
        </is>
      </c>
    </row>
    <row r="1127">
      <c r="B1127" t="inlineStr">
        <is>
          <t>Sample Text</t>
        </is>
      </c>
      <c r="C1127" t="inlineStr">
        <is>
          <t>Std. Conc</t>
        </is>
      </c>
      <c r="D1127" t="inlineStr">
        <is>
          <t>RT</t>
        </is>
      </c>
      <c r="E1127" t="inlineStr">
        <is>
          <t>Area</t>
        </is>
      </c>
      <c r="F1127" t="inlineStr">
        <is>
          <t>IS Area</t>
        </is>
      </c>
      <c r="G1127" t="inlineStr">
        <is>
          <t>S/N</t>
        </is>
      </c>
      <c r="H1127" t="inlineStr">
        <is>
          <t>Primary Flags</t>
        </is>
      </c>
      <c r="I1127" t="inlineStr">
        <is>
          <t>Response</t>
        </is>
      </c>
      <c r="J1127" t="inlineStr">
        <is>
          <t>Conc.</t>
        </is>
      </c>
    </row>
    <row r="1128">
      <c r="A1128" t="n">
        <v>1</v>
      </c>
      <c r="B1128" t="inlineStr">
        <is>
          <t>K4-1A</t>
        </is>
      </c>
      <c r="D1128" t="n">
        <v>9.07</v>
      </c>
      <c r="E1128" t="n">
        <v>16.916</v>
      </c>
      <c r="F1128" t="n">
        <v>562.856</v>
      </c>
      <c r="G1128" t="n">
        <v>1.269</v>
      </c>
      <c r="H1128" t="inlineStr">
        <is>
          <t>bb</t>
        </is>
      </c>
    </row>
    <row r="1129">
      <c r="A1129" t="n">
        <v>2</v>
      </c>
      <c r="B1129" t="inlineStr">
        <is>
          <t>K4-1B</t>
        </is>
      </c>
      <c r="D1129" t="n">
        <v>8.789999999999999</v>
      </c>
      <c r="E1129" t="n">
        <v>16.882</v>
      </c>
      <c r="F1129" t="n">
        <v>709.3200000000001</v>
      </c>
      <c r="G1129" t="n">
        <v>234</v>
      </c>
      <c r="H1129" t="inlineStr">
        <is>
          <t>bb</t>
        </is>
      </c>
    </row>
    <row r="1130">
      <c r="A1130" t="n">
        <v>3</v>
      </c>
      <c r="B1130" t="inlineStr">
        <is>
          <t>K4-1C</t>
        </is>
      </c>
      <c r="D1130" t="n">
        <v>8.93</v>
      </c>
      <c r="E1130" t="n">
        <v>9.448</v>
      </c>
      <c r="F1130" t="n">
        <v>545.8630000000001</v>
      </c>
      <c r="G1130" t="n">
        <v>125</v>
      </c>
      <c r="H1130" t="inlineStr">
        <is>
          <t>bb</t>
        </is>
      </c>
    </row>
    <row r="1131">
      <c r="A1131" t="n">
        <v>4</v>
      </c>
      <c r="B1131" t="inlineStr">
        <is>
          <t>K4-2A</t>
        </is>
      </c>
      <c r="D1131" t="n">
        <v>9.24</v>
      </c>
      <c r="E1131" t="n">
        <v>14.523</v>
      </c>
      <c r="F1131" t="n">
        <v>889.295</v>
      </c>
      <c r="G1131" t="n">
        <v>3.773</v>
      </c>
      <c r="H1131" t="inlineStr">
        <is>
          <t>bb</t>
        </is>
      </c>
    </row>
    <row r="1132">
      <c r="A1132" t="n">
        <v>5</v>
      </c>
      <c r="B1132" t="inlineStr">
        <is>
          <t>K4-2B</t>
        </is>
      </c>
      <c r="D1132" t="n">
        <v>9.69</v>
      </c>
      <c r="E1132" t="n">
        <v>2.248</v>
      </c>
      <c r="F1132" t="n">
        <v>819.534</v>
      </c>
      <c r="G1132" t="n">
        <v>25</v>
      </c>
      <c r="H1132" t="inlineStr">
        <is>
          <t>bb</t>
        </is>
      </c>
    </row>
    <row r="1133">
      <c r="A1133" t="n">
        <v>6</v>
      </c>
      <c r="B1133" t="inlineStr">
        <is>
          <t>K4-2C</t>
        </is>
      </c>
      <c r="F1133" t="n">
        <v>609.211</v>
      </c>
    </row>
    <row r="1134">
      <c r="A1134" t="n">
        <v>7</v>
      </c>
      <c r="B1134" t="inlineStr">
        <is>
          <t>MeOH</t>
        </is>
      </c>
      <c r="D1134" t="n">
        <v>9.43</v>
      </c>
      <c r="E1134" t="n">
        <v>4.932</v>
      </c>
      <c r="G1134" t="n">
        <v>13.517</v>
      </c>
      <c r="H1134" t="inlineStr">
        <is>
          <t>bb</t>
        </is>
      </c>
    </row>
    <row r="1135">
      <c r="A1135" t="n">
        <v>8</v>
      </c>
      <c r="B1135" t="inlineStr">
        <is>
          <t>K4-4A</t>
        </is>
      </c>
      <c r="D1135" t="n">
        <v>8.880000000000001</v>
      </c>
      <c r="E1135" t="n">
        <v>2.948</v>
      </c>
      <c r="F1135" t="n">
        <v>836.772</v>
      </c>
      <c r="G1135" t="n">
        <v>40</v>
      </c>
      <c r="H1135" t="inlineStr">
        <is>
          <t>bb</t>
        </is>
      </c>
    </row>
    <row r="1136">
      <c r="A1136" t="n">
        <v>9</v>
      </c>
      <c r="B1136" t="inlineStr">
        <is>
          <t>K4-4B</t>
        </is>
      </c>
      <c r="D1136" t="n">
        <v>9.34</v>
      </c>
      <c r="E1136" t="n">
        <v>5.929</v>
      </c>
      <c r="F1136" t="n">
        <v>461.157</v>
      </c>
      <c r="G1136" t="n">
        <v>72</v>
      </c>
      <c r="H1136" t="inlineStr">
        <is>
          <t>bb</t>
        </is>
      </c>
    </row>
    <row r="1137">
      <c r="A1137" t="n">
        <v>10</v>
      </c>
      <c r="B1137" t="inlineStr">
        <is>
          <t>K4-4C</t>
        </is>
      </c>
      <c r="D1137" t="n">
        <v>9.27</v>
      </c>
      <c r="E1137" t="n">
        <v>5.074</v>
      </c>
      <c r="F1137" t="n">
        <v>666.644</v>
      </c>
      <c r="G1137" t="n">
        <v>61</v>
      </c>
      <c r="H1137" t="inlineStr">
        <is>
          <t>bb</t>
        </is>
      </c>
    </row>
    <row r="1138">
      <c r="A1138" t="n">
        <v>11</v>
      </c>
      <c r="B1138" t="inlineStr">
        <is>
          <t>K4-5A</t>
        </is>
      </c>
      <c r="F1138" t="n">
        <v>578.409</v>
      </c>
    </row>
    <row r="1139">
      <c r="A1139" t="n">
        <v>12</v>
      </c>
      <c r="B1139" t="inlineStr">
        <is>
          <t>K4-5B</t>
        </is>
      </c>
      <c r="F1139" t="n">
        <v>575.86</v>
      </c>
    </row>
    <row r="1140">
      <c r="A1140" t="n">
        <v>13</v>
      </c>
      <c r="B1140" t="inlineStr">
        <is>
          <t>K4-5C</t>
        </is>
      </c>
      <c r="D1140" t="n">
        <v>9.17</v>
      </c>
      <c r="E1140" t="n">
        <v>1.179</v>
      </c>
      <c r="F1140" t="n">
        <v>648.184</v>
      </c>
      <c r="G1140" t="n">
        <v>14</v>
      </c>
      <c r="H1140" t="inlineStr">
        <is>
          <t>bb</t>
        </is>
      </c>
    </row>
    <row r="1141">
      <c r="A1141" t="n">
        <v>14</v>
      </c>
      <c r="B1141" t="inlineStr">
        <is>
          <t>MeOH</t>
        </is>
      </c>
    </row>
    <row r="1142">
      <c r="A1142" t="n">
        <v>15</v>
      </c>
      <c r="B1142" t="inlineStr">
        <is>
          <t>K3-1A</t>
        </is>
      </c>
      <c r="F1142" t="n">
        <v>704.658</v>
      </c>
    </row>
    <row r="1143">
      <c r="A1143" t="n">
        <v>16</v>
      </c>
      <c r="B1143" t="inlineStr">
        <is>
          <t>K3-1B</t>
        </is>
      </c>
      <c r="D1143" t="n">
        <v>9.25</v>
      </c>
      <c r="E1143" t="n">
        <v>13.609</v>
      </c>
      <c r="F1143" t="n">
        <v>589.025</v>
      </c>
      <c r="G1143" t="n">
        <v>14.806</v>
      </c>
      <c r="H1143" t="inlineStr">
        <is>
          <t>MM</t>
        </is>
      </c>
    </row>
    <row r="1144">
      <c r="A1144" t="n">
        <v>17</v>
      </c>
      <c r="B1144" t="inlineStr">
        <is>
          <t>K3-1C</t>
        </is>
      </c>
      <c r="F1144" t="n">
        <v>902.054</v>
      </c>
    </row>
    <row r="1145">
      <c r="A1145" t="n">
        <v>18</v>
      </c>
      <c r="B1145" t="inlineStr">
        <is>
          <t>K3-2A</t>
        </is>
      </c>
      <c r="D1145" t="n">
        <v>9.18</v>
      </c>
      <c r="E1145" t="n">
        <v>22.856</v>
      </c>
      <c r="F1145" t="n">
        <v>786.168</v>
      </c>
      <c r="G1145" t="n">
        <v>255</v>
      </c>
      <c r="H1145" t="inlineStr">
        <is>
          <t>bb</t>
        </is>
      </c>
    </row>
    <row r="1146">
      <c r="A1146" t="n">
        <v>19</v>
      </c>
      <c r="B1146" t="inlineStr">
        <is>
          <t>K3-2B</t>
        </is>
      </c>
      <c r="F1146" t="n">
        <v>847.954</v>
      </c>
    </row>
    <row r="1147">
      <c r="A1147" t="n">
        <v>20</v>
      </c>
      <c r="B1147" t="inlineStr">
        <is>
          <t>K3-2C</t>
        </is>
      </c>
      <c r="F1147" t="n">
        <v>549.966</v>
      </c>
    </row>
    <row r="1148">
      <c r="A1148" t="n">
        <v>21</v>
      </c>
      <c r="B1148" t="inlineStr">
        <is>
          <t>MeOH</t>
        </is>
      </c>
      <c r="H1148" t="inlineStr">
        <is>
          <t>MM-</t>
        </is>
      </c>
    </row>
    <row r="1149">
      <c r="A1149" t="n">
        <v>22</v>
      </c>
      <c r="B1149" t="inlineStr">
        <is>
          <t>K3-3A</t>
        </is>
      </c>
      <c r="D1149" t="n">
        <v>9.630000000000001</v>
      </c>
      <c r="E1149" t="n">
        <v>37.054</v>
      </c>
      <c r="F1149" t="n">
        <v>896.226</v>
      </c>
      <c r="G1149" t="n">
        <v>1.672</v>
      </c>
      <c r="H1149" t="inlineStr">
        <is>
          <t>bb</t>
        </is>
      </c>
    </row>
    <row r="1150">
      <c r="A1150" t="n">
        <v>23</v>
      </c>
      <c r="B1150" t="inlineStr">
        <is>
          <t>K3-3B</t>
        </is>
      </c>
      <c r="D1150" t="n">
        <v>8.77</v>
      </c>
      <c r="E1150" t="n">
        <v>2.697</v>
      </c>
      <c r="F1150" t="n">
        <v>1005.7</v>
      </c>
      <c r="G1150" t="n">
        <v>38</v>
      </c>
      <c r="H1150" t="inlineStr">
        <is>
          <t>bb</t>
        </is>
      </c>
    </row>
    <row r="1151">
      <c r="A1151" t="n">
        <v>24</v>
      </c>
      <c r="B1151" t="inlineStr">
        <is>
          <t>K3-3C</t>
        </is>
      </c>
      <c r="D1151" t="n">
        <v>9.18</v>
      </c>
      <c r="E1151" t="n">
        <v>3.216</v>
      </c>
      <c r="F1151" t="n">
        <v>1040.161</v>
      </c>
      <c r="G1151" t="n">
        <v>38</v>
      </c>
      <c r="H1151" t="inlineStr">
        <is>
          <t>bb</t>
        </is>
      </c>
    </row>
    <row r="1152">
      <c r="A1152" t="n">
        <v>25</v>
      </c>
      <c r="B1152" t="inlineStr">
        <is>
          <t>K3-4A</t>
        </is>
      </c>
      <c r="D1152" t="n">
        <v>9.23</v>
      </c>
      <c r="E1152" t="n">
        <v>9.548999999999999</v>
      </c>
      <c r="F1152" t="n">
        <v>1196.547</v>
      </c>
      <c r="G1152" t="n">
        <v>113</v>
      </c>
      <c r="H1152" t="inlineStr">
        <is>
          <t>bb</t>
        </is>
      </c>
    </row>
    <row r="1153">
      <c r="A1153" t="n">
        <v>26</v>
      </c>
      <c r="B1153" t="inlineStr">
        <is>
          <t>K3-4B</t>
        </is>
      </c>
      <c r="D1153" t="n">
        <v>9.74</v>
      </c>
      <c r="E1153" t="n">
        <v>9.888999999999999</v>
      </c>
      <c r="F1153" t="n">
        <v>1065.462</v>
      </c>
      <c r="G1153" t="n">
        <v>110</v>
      </c>
      <c r="H1153" t="inlineStr">
        <is>
          <t>bb</t>
        </is>
      </c>
    </row>
    <row r="1154">
      <c r="A1154" t="n">
        <v>27</v>
      </c>
      <c r="B1154" t="inlineStr">
        <is>
          <t>K3-4C</t>
        </is>
      </c>
      <c r="D1154" t="n">
        <v>9.369999999999999</v>
      </c>
      <c r="E1154" t="n">
        <v>23.595</v>
      </c>
      <c r="F1154" t="n">
        <v>841.401</v>
      </c>
      <c r="G1154" t="n">
        <v>280</v>
      </c>
      <c r="H1154" t="inlineStr">
        <is>
          <t>bb</t>
        </is>
      </c>
    </row>
    <row r="1155">
      <c r="A1155" t="n">
        <v>28</v>
      </c>
      <c r="B1155" t="inlineStr">
        <is>
          <t>MeOH</t>
        </is>
      </c>
    </row>
    <row r="1156">
      <c r="A1156" t="n">
        <v>29</v>
      </c>
      <c r="B1156" t="inlineStr">
        <is>
          <t>K3-6A</t>
        </is>
      </c>
      <c r="D1156" t="n">
        <v>9.42</v>
      </c>
      <c r="E1156" t="n">
        <v>5.352</v>
      </c>
      <c r="F1156" t="n">
        <v>1044.224</v>
      </c>
      <c r="G1156" t="n">
        <v>63</v>
      </c>
      <c r="H1156" t="inlineStr">
        <is>
          <t>bb</t>
        </is>
      </c>
    </row>
    <row r="1157">
      <c r="A1157" t="n">
        <v>30</v>
      </c>
      <c r="B1157" t="inlineStr">
        <is>
          <t>K3-6B</t>
        </is>
      </c>
      <c r="D1157" t="n">
        <v>9.390000000000001</v>
      </c>
      <c r="E1157" t="n">
        <v>6.022</v>
      </c>
      <c r="F1157" t="n">
        <v>517.776</v>
      </c>
      <c r="G1157" t="n">
        <v>72</v>
      </c>
      <c r="H1157" t="inlineStr">
        <is>
          <t>MM</t>
        </is>
      </c>
    </row>
    <row r="1158">
      <c r="A1158" t="n">
        <v>31</v>
      </c>
      <c r="B1158" t="inlineStr">
        <is>
          <t>K3-6C</t>
        </is>
      </c>
      <c r="D1158" t="n">
        <v>9.23</v>
      </c>
      <c r="E1158" t="n">
        <v>0.42</v>
      </c>
      <c r="F1158" t="n">
        <v>709.654</v>
      </c>
      <c r="G1158" t="n">
        <v>0.534</v>
      </c>
      <c r="H1158" t="inlineStr">
        <is>
          <t>bb</t>
        </is>
      </c>
    </row>
    <row r="1160">
      <c r="A1160" t="inlineStr">
        <is>
          <t>Compound 34:  6:2 FTUCA</t>
        </is>
      </c>
    </row>
    <row r="1162">
      <c r="B1162" t="inlineStr">
        <is>
          <t>Sample Text</t>
        </is>
      </c>
      <c r="C1162" t="inlineStr">
        <is>
          <t>Std. Conc</t>
        </is>
      </c>
      <c r="D1162" t="inlineStr">
        <is>
          <t>RT</t>
        </is>
      </c>
      <c r="E1162" t="inlineStr">
        <is>
          <t>Area</t>
        </is>
      </c>
      <c r="F1162" t="inlineStr">
        <is>
          <t>IS Area</t>
        </is>
      </c>
      <c r="G1162" t="inlineStr">
        <is>
          <t>S/N</t>
        </is>
      </c>
      <c r="H1162" t="inlineStr">
        <is>
          <t>Primary Flags</t>
        </is>
      </c>
      <c r="I1162" t="inlineStr">
        <is>
          <t>Response</t>
        </is>
      </c>
      <c r="J1162" t="inlineStr">
        <is>
          <t>Conc.</t>
        </is>
      </c>
    </row>
    <row r="1163">
      <c r="A1163" t="n">
        <v>1</v>
      </c>
      <c r="B1163" t="inlineStr">
        <is>
          <t>K4-1A</t>
        </is>
      </c>
      <c r="D1163" t="n">
        <v>11.03</v>
      </c>
      <c r="E1163" t="n">
        <v>66.499</v>
      </c>
      <c r="F1163" t="n">
        <v>5588.792</v>
      </c>
      <c r="G1163" t="n">
        <v>454</v>
      </c>
      <c r="H1163" t="inlineStr">
        <is>
          <t>bb</t>
        </is>
      </c>
    </row>
    <row r="1164">
      <c r="A1164" t="n">
        <v>2</v>
      </c>
      <c r="B1164" t="inlineStr">
        <is>
          <t>K4-1B</t>
        </is>
      </c>
      <c r="F1164" t="n">
        <v>6612.543</v>
      </c>
    </row>
    <row r="1165">
      <c r="A1165" t="n">
        <v>3</v>
      </c>
      <c r="B1165" t="inlineStr">
        <is>
          <t>K4-1C</t>
        </is>
      </c>
      <c r="F1165" t="n">
        <v>6643.125</v>
      </c>
    </row>
    <row r="1166">
      <c r="A1166" t="n">
        <v>4</v>
      </c>
      <c r="B1166" t="inlineStr">
        <is>
          <t>K4-2A</t>
        </is>
      </c>
      <c r="D1166" t="n">
        <v>11</v>
      </c>
      <c r="E1166" t="n">
        <v>11.868</v>
      </c>
      <c r="F1166" t="n">
        <v>7255.147</v>
      </c>
      <c r="G1166" t="n">
        <v>117</v>
      </c>
      <c r="H1166" t="inlineStr">
        <is>
          <t>bb</t>
        </is>
      </c>
    </row>
    <row r="1167">
      <c r="A1167" t="n">
        <v>5</v>
      </c>
      <c r="B1167" t="inlineStr">
        <is>
          <t>K4-2B</t>
        </is>
      </c>
      <c r="F1167" t="n">
        <v>5489.167</v>
      </c>
    </row>
    <row r="1168">
      <c r="A1168" t="n">
        <v>6</v>
      </c>
      <c r="B1168" t="inlineStr">
        <is>
          <t>K4-2C</t>
        </is>
      </c>
      <c r="D1168" t="n">
        <v>10.97</v>
      </c>
      <c r="E1168" t="n">
        <v>34.457</v>
      </c>
      <c r="F1168" t="n">
        <v>5628.638</v>
      </c>
      <c r="G1168" t="n">
        <v>12.121</v>
      </c>
      <c r="H1168" t="inlineStr">
        <is>
          <t>bb</t>
        </is>
      </c>
    </row>
    <row r="1169">
      <c r="A1169" t="n">
        <v>7</v>
      </c>
      <c r="B1169" t="inlineStr">
        <is>
          <t>MeOH</t>
        </is>
      </c>
      <c r="H1169" t="inlineStr">
        <is>
          <t>MM-</t>
        </is>
      </c>
    </row>
    <row r="1170">
      <c r="A1170" t="n">
        <v>8</v>
      </c>
      <c r="B1170" t="inlineStr">
        <is>
          <t>K4-4A</t>
        </is>
      </c>
      <c r="F1170" t="n">
        <v>6112.31</v>
      </c>
    </row>
    <row r="1171">
      <c r="A1171" t="n">
        <v>9</v>
      </c>
      <c r="B1171" t="inlineStr">
        <is>
          <t>K4-4B</t>
        </is>
      </c>
      <c r="F1171" t="n">
        <v>5729.232</v>
      </c>
    </row>
    <row r="1172">
      <c r="A1172" t="n">
        <v>10</v>
      </c>
      <c r="B1172" t="inlineStr">
        <is>
          <t>K4-4C</t>
        </is>
      </c>
      <c r="D1172" t="n">
        <v>11.33</v>
      </c>
      <c r="E1172" t="n">
        <v>3.971</v>
      </c>
      <c r="F1172" t="n">
        <v>6337.776</v>
      </c>
      <c r="G1172" t="n">
        <v>39</v>
      </c>
      <c r="H1172" t="inlineStr">
        <is>
          <t>bb</t>
        </is>
      </c>
    </row>
    <row r="1173">
      <c r="A1173" t="n">
        <v>11</v>
      </c>
      <c r="B1173" t="inlineStr">
        <is>
          <t>K4-5A</t>
        </is>
      </c>
      <c r="D1173" t="n">
        <v>11.05</v>
      </c>
      <c r="E1173" t="n">
        <v>0.846</v>
      </c>
      <c r="F1173" t="n">
        <v>5644.241</v>
      </c>
      <c r="G1173" t="n">
        <v>8</v>
      </c>
      <c r="H1173" t="inlineStr">
        <is>
          <t>bb</t>
        </is>
      </c>
    </row>
    <row r="1174">
      <c r="A1174" t="n">
        <v>12</v>
      </c>
      <c r="B1174" t="inlineStr">
        <is>
          <t>K4-5B</t>
        </is>
      </c>
      <c r="F1174" t="n">
        <v>5568.637</v>
      </c>
    </row>
    <row r="1175">
      <c r="A1175" t="n">
        <v>13</v>
      </c>
      <c r="B1175" t="inlineStr">
        <is>
          <t>K4-5C</t>
        </is>
      </c>
      <c r="F1175" t="n">
        <v>5454.151</v>
      </c>
    </row>
    <row r="1176">
      <c r="A1176" t="n">
        <v>14</v>
      </c>
      <c r="B1176" t="inlineStr">
        <is>
          <t>MeOH</t>
        </is>
      </c>
      <c r="H1176" t="inlineStr">
        <is>
          <t>MM-</t>
        </is>
      </c>
    </row>
    <row r="1177">
      <c r="A1177" t="n">
        <v>15</v>
      </c>
      <c r="B1177" t="inlineStr">
        <is>
          <t>K3-1A</t>
        </is>
      </c>
      <c r="D1177" t="n">
        <v>10.76</v>
      </c>
      <c r="E1177" t="n">
        <v>10.471</v>
      </c>
      <c r="F1177" t="n">
        <v>5057.887</v>
      </c>
      <c r="G1177" t="n">
        <v>115</v>
      </c>
      <c r="H1177" t="inlineStr">
        <is>
          <t>bb</t>
        </is>
      </c>
    </row>
    <row r="1178">
      <c r="A1178" t="n">
        <v>16</v>
      </c>
      <c r="B1178" t="inlineStr">
        <is>
          <t>K3-1B</t>
        </is>
      </c>
      <c r="D1178" t="n">
        <v>10.76</v>
      </c>
      <c r="E1178" t="n">
        <v>0.63</v>
      </c>
      <c r="F1178" t="n">
        <v>4520.08</v>
      </c>
      <c r="G1178" t="n">
        <v>7</v>
      </c>
      <c r="H1178" t="inlineStr">
        <is>
          <t>bb</t>
        </is>
      </c>
    </row>
    <row r="1179">
      <c r="A1179" t="n">
        <v>17</v>
      </c>
      <c r="B1179" t="inlineStr">
        <is>
          <t>K3-1C</t>
        </is>
      </c>
      <c r="D1179" t="n">
        <v>10.89</v>
      </c>
      <c r="E1179" t="n">
        <v>15.337</v>
      </c>
      <c r="F1179" t="n">
        <v>6122.734</v>
      </c>
      <c r="G1179" t="n">
        <v>151</v>
      </c>
      <c r="H1179" t="inlineStr">
        <is>
          <t>bb</t>
        </is>
      </c>
    </row>
    <row r="1180">
      <c r="A1180" t="n">
        <v>18</v>
      </c>
      <c r="B1180" t="inlineStr">
        <is>
          <t>K3-2A</t>
        </is>
      </c>
      <c r="D1180" t="n">
        <v>11.07</v>
      </c>
      <c r="E1180" t="n">
        <v>5.18</v>
      </c>
      <c r="F1180" t="n">
        <v>5685.445</v>
      </c>
      <c r="G1180" t="n">
        <v>51</v>
      </c>
      <c r="H1180" t="inlineStr">
        <is>
          <t>bb</t>
        </is>
      </c>
    </row>
    <row r="1181">
      <c r="A1181" t="n">
        <v>19</v>
      </c>
      <c r="B1181" t="inlineStr">
        <is>
          <t>K3-2B</t>
        </is>
      </c>
      <c r="F1181" t="n">
        <v>6763.122</v>
      </c>
    </row>
    <row r="1182">
      <c r="A1182" t="n">
        <v>20</v>
      </c>
      <c r="B1182" t="inlineStr">
        <is>
          <t>K3-2C</t>
        </is>
      </c>
      <c r="F1182" t="n">
        <v>5297.522</v>
      </c>
    </row>
    <row r="1183">
      <c r="A1183" t="n">
        <v>21</v>
      </c>
      <c r="B1183" t="inlineStr">
        <is>
          <t>MeOH</t>
        </is>
      </c>
      <c r="H1183" t="inlineStr">
        <is>
          <t>MM-</t>
        </is>
      </c>
    </row>
    <row r="1184">
      <c r="A1184" t="n">
        <v>22</v>
      </c>
      <c r="B1184" t="inlineStr">
        <is>
          <t>K3-3A</t>
        </is>
      </c>
      <c r="F1184" t="n">
        <v>4745.281</v>
      </c>
    </row>
    <row r="1185">
      <c r="A1185" t="n">
        <v>23</v>
      </c>
      <c r="B1185" t="inlineStr">
        <is>
          <t>K3-3B</t>
        </is>
      </c>
      <c r="F1185" t="n">
        <v>6101.583</v>
      </c>
    </row>
    <row r="1186">
      <c r="A1186" t="n">
        <v>24</v>
      </c>
      <c r="B1186" t="inlineStr">
        <is>
          <t>K3-3C</t>
        </is>
      </c>
      <c r="F1186" t="n">
        <v>6510.538</v>
      </c>
    </row>
    <row r="1187">
      <c r="A1187" t="n">
        <v>25</v>
      </c>
      <c r="B1187" t="inlineStr">
        <is>
          <t>K3-4A</t>
        </is>
      </c>
      <c r="F1187" t="n">
        <v>5583.224</v>
      </c>
    </row>
    <row r="1188">
      <c r="A1188" t="n">
        <v>26</v>
      </c>
      <c r="B1188" t="inlineStr">
        <is>
          <t>K3-4B</t>
        </is>
      </c>
      <c r="D1188" t="n">
        <v>11.03</v>
      </c>
      <c r="E1188" t="n">
        <v>14.789</v>
      </c>
      <c r="F1188" t="n">
        <v>5903.166</v>
      </c>
      <c r="G1188" t="n">
        <v>143</v>
      </c>
      <c r="H1188" t="inlineStr">
        <is>
          <t>bb</t>
        </is>
      </c>
    </row>
    <row r="1189">
      <c r="A1189" t="n">
        <v>27</v>
      </c>
      <c r="B1189" t="inlineStr">
        <is>
          <t>K3-4C</t>
        </is>
      </c>
      <c r="D1189" t="n">
        <v>11.33</v>
      </c>
      <c r="E1189" t="n">
        <v>0.375</v>
      </c>
      <c r="F1189" t="n">
        <v>5771.679</v>
      </c>
      <c r="G1189" t="n">
        <v>4</v>
      </c>
      <c r="H1189" t="inlineStr">
        <is>
          <t>bb</t>
        </is>
      </c>
    </row>
    <row r="1190">
      <c r="A1190" t="n">
        <v>28</v>
      </c>
      <c r="B1190" t="inlineStr">
        <is>
          <t>MeOH</t>
        </is>
      </c>
      <c r="H1190" t="inlineStr">
        <is>
          <t>MM-</t>
        </is>
      </c>
    </row>
    <row r="1191">
      <c r="A1191" t="n">
        <v>29</v>
      </c>
      <c r="B1191" t="inlineStr">
        <is>
          <t>K3-6A</t>
        </is>
      </c>
      <c r="F1191" t="n">
        <v>5487.978</v>
      </c>
    </row>
    <row r="1192">
      <c r="A1192" t="n">
        <v>30</v>
      </c>
      <c r="B1192" t="inlineStr">
        <is>
          <t>K3-6B</t>
        </is>
      </c>
      <c r="F1192" t="n">
        <v>4404.307</v>
      </c>
    </row>
    <row r="1193">
      <c r="A1193" t="n">
        <v>31</v>
      </c>
      <c r="B1193" t="inlineStr">
        <is>
          <t>K3-6C</t>
        </is>
      </c>
      <c r="D1193" t="n">
        <v>11.17</v>
      </c>
      <c r="E1193" t="n">
        <v>6.848</v>
      </c>
      <c r="F1193" t="n">
        <v>5559.999</v>
      </c>
      <c r="G1193" t="n">
        <v>67</v>
      </c>
      <c r="H1193" t="inlineStr">
        <is>
          <t>bb</t>
        </is>
      </c>
    </row>
    <row r="1195">
      <c r="A1195" t="inlineStr">
        <is>
          <t>Compound 35:  m2 6:2 FTUCA</t>
        </is>
      </c>
    </row>
    <row r="1197">
      <c r="B1197" t="inlineStr">
        <is>
          <t>Sample Text</t>
        </is>
      </c>
      <c r="C1197" t="inlineStr">
        <is>
          <t>Std. Conc</t>
        </is>
      </c>
      <c r="D1197" t="inlineStr">
        <is>
          <t>RT</t>
        </is>
      </c>
      <c r="E1197" t="inlineStr">
        <is>
          <t>Area</t>
        </is>
      </c>
      <c r="F1197" t="inlineStr">
        <is>
          <t>IS Area</t>
        </is>
      </c>
      <c r="G1197" t="inlineStr">
        <is>
          <t>S/N</t>
        </is>
      </c>
      <c r="H1197" t="inlineStr">
        <is>
          <t>Primary Flags</t>
        </is>
      </c>
      <c r="I1197" t="inlineStr">
        <is>
          <t>Response</t>
        </is>
      </c>
      <c r="J1197" t="inlineStr">
        <is>
          <t>Conc.</t>
        </is>
      </c>
    </row>
    <row r="1198">
      <c r="A1198" t="n">
        <v>1</v>
      </c>
      <c r="B1198" t="inlineStr">
        <is>
          <t>K4-1A</t>
        </is>
      </c>
      <c r="D1198" t="n">
        <v>10.97</v>
      </c>
      <c r="E1198" t="n">
        <v>5588.792</v>
      </c>
      <c r="G1198" t="n">
        <v>565.602</v>
      </c>
      <c r="H1198" t="inlineStr">
        <is>
          <t>bb</t>
        </is>
      </c>
      <c r="I1198" t="n">
        <v>5588.792</v>
      </c>
    </row>
    <row r="1199">
      <c r="A1199" t="n">
        <v>2</v>
      </c>
      <c r="B1199" t="inlineStr">
        <is>
          <t>K4-1B</t>
        </is>
      </c>
      <c r="D1199" t="n">
        <v>10.97</v>
      </c>
      <c r="E1199" t="n">
        <v>6612.543</v>
      </c>
      <c r="G1199" t="n">
        <v>770.042</v>
      </c>
      <c r="H1199" t="inlineStr">
        <is>
          <t>bb</t>
        </is>
      </c>
      <c r="I1199" t="n">
        <v>6612.543</v>
      </c>
    </row>
    <row r="1200">
      <c r="A1200" t="n">
        <v>3</v>
      </c>
      <c r="B1200" t="inlineStr">
        <is>
          <t>K4-1C</t>
        </is>
      </c>
      <c r="D1200" t="n">
        <v>10.99</v>
      </c>
      <c r="E1200" t="n">
        <v>6643.125</v>
      </c>
      <c r="G1200" t="n">
        <v>60.719</v>
      </c>
      <c r="H1200" t="inlineStr">
        <is>
          <t>bb</t>
        </is>
      </c>
      <c r="I1200" t="n">
        <v>6643.125</v>
      </c>
    </row>
    <row r="1201">
      <c r="A1201" t="n">
        <v>4</v>
      </c>
      <c r="B1201" t="inlineStr">
        <is>
          <t>K4-2A</t>
        </is>
      </c>
      <c r="D1201" t="n">
        <v>11</v>
      </c>
      <c r="E1201" t="n">
        <v>7255.147</v>
      </c>
      <c r="G1201" t="n">
        <v>50405</v>
      </c>
      <c r="H1201" t="inlineStr">
        <is>
          <t>bb</t>
        </is>
      </c>
      <c r="I1201" t="n">
        <v>7255.147</v>
      </c>
    </row>
    <row r="1202">
      <c r="A1202" t="n">
        <v>5</v>
      </c>
      <c r="B1202" t="inlineStr">
        <is>
          <t>K4-2B</t>
        </is>
      </c>
      <c r="D1202" t="n">
        <v>11</v>
      </c>
      <c r="E1202" t="n">
        <v>5489.167</v>
      </c>
      <c r="G1202" t="n">
        <v>36832</v>
      </c>
      <c r="H1202" t="inlineStr">
        <is>
          <t>bb</t>
        </is>
      </c>
      <c r="I1202" t="n">
        <v>5489.167</v>
      </c>
    </row>
    <row r="1203">
      <c r="A1203" t="n">
        <v>6</v>
      </c>
      <c r="B1203" t="inlineStr">
        <is>
          <t>K4-2C</t>
        </is>
      </c>
      <c r="D1203" t="n">
        <v>11.01</v>
      </c>
      <c r="E1203" t="n">
        <v>5628.638</v>
      </c>
      <c r="G1203" t="n">
        <v>70.164</v>
      </c>
      <c r="H1203" t="inlineStr">
        <is>
          <t>bb</t>
        </is>
      </c>
      <c r="I1203" t="n">
        <v>5628.638</v>
      </c>
    </row>
    <row r="1204">
      <c r="A1204" t="n">
        <v>7</v>
      </c>
      <c r="B1204" t="inlineStr">
        <is>
          <t>MeOH</t>
        </is>
      </c>
    </row>
    <row r="1205">
      <c r="A1205" t="n">
        <v>8</v>
      </c>
      <c r="B1205" t="inlineStr">
        <is>
          <t>K4-4A</t>
        </is>
      </c>
      <c r="D1205" t="n">
        <v>11.01</v>
      </c>
      <c r="E1205" t="n">
        <v>6112.31</v>
      </c>
      <c r="G1205" t="n">
        <v>43020</v>
      </c>
      <c r="H1205" t="inlineStr">
        <is>
          <t>bb</t>
        </is>
      </c>
      <c r="I1205" t="n">
        <v>6112.31</v>
      </c>
    </row>
    <row r="1206">
      <c r="A1206" t="n">
        <v>9</v>
      </c>
      <c r="B1206" t="inlineStr">
        <is>
          <t>K4-4B</t>
        </is>
      </c>
      <c r="D1206" t="n">
        <v>11.03</v>
      </c>
      <c r="E1206" t="n">
        <v>5729.232</v>
      </c>
      <c r="G1206" t="n">
        <v>66.07899999999999</v>
      </c>
      <c r="H1206" t="inlineStr">
        <is>
          <t>bb</t>
        </is>
      </c>
      <c r="I1206" t="n">
        <v>5729.232</v>
      </c>
    </row>
    <row r="1207">
      <c r="A1207" t="n">
        <v>10</v>
      </c>
      <c r="B1207" t="inlineStr">
        <is>
          <t>K4-4C</t>
        </is>
      </c>
      <c r="D1207" t="n">
        <v>11.03</v>
      </c>
      <c r="E1207" t="n">
        <v>6337.776</v>
      </c>
      <c r="G1207" t="n">
        <v>171.222</v>
      </c>
      <c r="H1207" t="inlineStr">
        <is>
          <t>bb</t>
        </is>
      </c>
      <c r="I1207" t="n">
        <v>6337.776</v>
      </c>
    </row>
    <row r="1208">
      <c r="A1208" t="n">
        <v>11</v>
      </c>
      <c r="B1208" t="inlineStr">
        <is>
          <t>K4-5A</t>
        </is>
      </c>
      <c r="D1208" t="n">
        <v>11.01</v>
      </c>
      <c r="E1208" t="n">
        <v>5644.241</v>
      </c>
      <c r="G1208" t="n">
        <v>103.314</v>
      </c>
      <c r="H1208" t="inlineStr">
        <is>
          <t>bb</t>
        </is>
      </c>
      <c r="I1208" t="n">
        <v>5644.241</v>
      </c>
    </row>
    <row r="1209">
      <c r="A1209" t="n">
        <v>12</v>
      </c>
      <c r="B1209" t="inlineStr">
        <is>
          <t>K4-5B</t>
        </is>
      </c>
      <c r="D1209" t="n">
        <v>10.99</v>
      </c>
      <c r="E1209" t="n">
        <v>5568.637</v>
      </c>
      <c r="G1209" t="n">
        <v>719.0940000000001</v>
      </c>
      <c r="H1209" t="inlineStr">
        <is>
          <t>bb</t>
        </is>
      </c>
      <c r="I1209" t="n">
        <v>5568.637</v>
      </c>
    </row>
    <row r="1210">
      <c r="A1210" t="n">
        <v>13</v>
      </c>
      <c r="B1210" t="inlineStr">
        <is>
          <t>K4-5C</t>
        </is>
      </c>
      <c r="D1210" t="n">
        <v>10.91</v>
      </c>
      <c r="E1210" t="n">
        <v>5454.151</v>
      </c>
      <c r="G1210" t="n">
        <v>87.91800000000001</v>
      </c>
      <c r="H1210" t="inlineStr">
        <is>
          <t>bb</t>
        </is>
      </c>
      <c r="I1210" t="n">
        <v>5454.151</v>
      </c>
    </row>
    <row r="1211">
      <c r="A1211" t="n">
        <v>14</v>
      </c>
      <c r="B1211" t="inlineStr">
        <is>
          <t>MeOH</t>
        </is>
      </c>
      <c r="H1211" t="inlineStr">
        <is>
          <t>MM-</t>
        </is>
      </c>
    </row>
    <row r="1212">
      <c r="A1212" t="n">
        <v>15</v>
      </c>
      <c r="B1212" t="inlineStr">
        <is>
          <t>K3-1A</t>
        </is>
      </c>
      <c r="D1212" t="n">
        <v>10.79</v>
      </c>
      <c r="E1212" t="n">
        <v>5057.887</v>
      </c>
      <c r="G1212" t="n">
        <v>951.741</v>
      </c>
      <c r="H1212" t="inlineStr">
        <is>
          <t>bb</t>
        </is>
      </c>
      <c r="I1212" t="n">
        <v>5057.887</v>
      </c>
    </row>
    <row r="1213">
      <c r="A1213" t="n">
        <v>16</v>
      </c>
      <c r="B1213" t="inlineStr">
        <is>
          <t>K3-1B</t>
        </is>
      </c>
      <c r="D1213" t="n">
        <v>10.82</v>
      </c>
      <c r="E1213" t="n">
        <v>4520.08</v>
      </c>
      <c r="G1213" t="n">
        <v>318.784</v>
      </c>
      <c r="H1213" t="inlineStr">
        <is>
          <t>bb</t>
        </is>
      </c>
      <c r="I1213" t="n">
        <v>4520.08</v>
      </c>
    </row>
    <row r="1214">
      <c r="A1214" t="n">
        <v>17</v>
      </c>
      <c r="B1214" t="inlineStr">
        <is>
          <t>K3-1C</t>
        </is>
      </c>
      <c r="D1214" t="n">
        <v>10.88</v>
      </c>
      <c r="E1214" t="n">
        <v>6122.734</v>
      </c>
      <c r="G1214" t="n">
        <v>44203</v>
      </c>
      <c r="H1214" t="inlineStr">
        <is>
          <t>bb</t>
        </is>
      </c>
      <c r="I1214" t="n">
        <v>6122.734</v>
      </c>
    </row>
    <row r="1215">
      <c r="A1215" t="n">
        <v>18</v>
      </c>
      <c r="B1215" t="inlineStr">
        <is>
          <t>K3-2A</t>
        </is>
      </c>
      <c r="D1215" t="n">
        <v>10.9</v>
      </c>
      <c r="E1215" t="n">
        <v>5685.445</v>
      </c>
      <c r="G1215" t="n">
        <v>37.873</v>
      </c>
      <c r="H1215" t="inlineStr">
        <is>
          <t>bb</t>
        </is>
      </c>
      <c r="I1215" t="n">
        <v>5685.445</v>
      </c>
    </row>
    <row r="1216">
      <c r="A1216" t="n">
        <v>19</v>
      </c>
      <c r="B1216" t="inlineStr">
        <is>
          <t>K3-2B</t>
        </is>
      </c>
      <c r="D1216" t="n">
        <v>10.91</v>
      </c>
      <c r="E1216" t="n">
        <v>6763.122</v>
      </c>
      <c r="G1216" t="n">
        <v>370.978</v>
      </c>
      <c r="H1216" t="inlineStr">
        <is>
          <t>bb</t>
        </is>
      </c>
      <c r="I1216" t="n">
        <v>6763.122</v>
      </c>
    </row>
    <row r="1217">
      <c r="A1217" t="n">
        <v>20</v>
      </c>
      <c r="B1217" t="inlineStr">
        <is>
          <t>K3-2C</t>
        </is>
      </c>
      <c r="D1217" t="n">
        <v>10.9</v>
      </c>
      <c r="E1217" t="n">
        <v>5297.522</v>
      </c>
      <c r="G1217" t="n">
        <v>36.693</v>
      </c>
      <c r="H1217" t="inlineStr">
        <is>
          <t>bb</t>
        </is>
      </c>
      <c r="I1217" t="n">
        <v>5297.522</v>
      </c>
    </row>
    <row r="1218">
      <c r="A1218" t="n">
        <v>21</v>
      </c>
      <c r="B1218" t="inlineStr">
        <is>
          <t>MeOH</t>
        </is>
      </c>
      <c r="H1218" t="inlineStr">
        <is>
          <t>MM-</t>
        </is>
      </c>
    </row>
    <row r="1219">
      <c r="A1219" t="n">
        <v>22</v>
      </c>
      <c r="B1219" t="inlineStr">
        <is>
          <t>K3-3A</t>
        </is>
      </c>
      <c r="D1219" t="n">
        <v>10.93</v>
      </c>
      <c r="E1219" t="n">
        <v>4745.281</v>
      </c>
      <c r="G1219" t="n">
        <v>47.904</v>
      </c>
      <c r="H1219" t="inlineStr">
        <is>
          <t>bb</t>
        </is>
      </c>
      <c r="I1219" t="n">
        <v>4745.281</v>
      </c>
    </row>
    <row r="1220">
      <c r="A1220" t="n">
        <v>23</v>
      </c>
      <c r="B1220" t="inlineStr">
        <is>
          <t>K3-3B</t>
        </is>
      </c>
      <c r="D1220" t="n">
        <v>10.95</v>
      </c>
      <c r="E1220" t="n">
        <v>6101.583</v>
      </c>
      <c r="G1220" t="n">
        <v>118.91</v>
      </c>
      <c r="H1220" t="inlineStr">
        <is>
          <t>bb</t>
        </is>
      </c>
      <c r="I1220" t="n">
        <v>6101.583</v>
      </c>
    </row>
    <row r="1221">
      <c r="A1221" t="n">
        <v>24</v>
      </c>
      <c r="B1221" t="inlineStr">
        <is>
          <t>K3-3C</t>
        </is>
      </c>
      <c r="D1221" t="n">
        <v>10.96</v>
      </c>
      <c r="E1221" t="n">
        <v>6510.538</v>
      </c>
      <c r="G1221" t="n">
        <v>214.599</v>
      </c>
      <c r="H1221" t="inlineStr">
        <is>
          <t>bb</t>
        </is>
      </c>
      <c r="I1221" t="n">
        <v>6510.538</v>
      </c>
    </row>
    <row r="1222">
      <c r="A1222" t="n">
        <v>25</v>
      </c>
      <c r="B1222" t="inlineStr">
        <is>
          <t>K3-4A</t>
        </is>
      </c>
      <c r="D1222" t="n">
        <v>11.03</v>
      </c>
      <c r="E1222" t="n">
        <v>5583.224</v>
      </c>
      <c r="G1222" t="n">
        <v>263.284</v>
      </c>
      <c r="H1222" t="inlineStr">
        <is>
          <t>bb</t>
        </is>
      </c>
      <c r="I1222" t="n">
        <v>5583.224</v>
      </c>
    </row>
    <row r="1223">
      <c r="A1223" t="n">
        <v>26</v>
      </c>
      <c r="B1223" t="inlineStr">
        <is>
          <t>K3-4B</t>
        </is>
      </c>
      <c r="D1223" t="n">
        <v>10.99</v>
      </c>
      <c r="E1223" t="n">
        <v>5903.166</v>
      </c>
      <c r="G1223" t="n">
        <v>887.4059999999999</v>
      </c>
      <c r="H1223" t="inlineStr">
        <is>
          <t>bb</t>
        </is>
      </c>
      <c r="I1223" t="n">
        <v>5903.166</v>
      </c>
    </row>
    <row r="1224">
      <c r="A1224" t="n">
        <v>27</v>
      </c>
      <c r="B1224" t="inlineStr">
        <is>
          <t>K3-4C</t>
        </is>
      </c>
      <c r="D1224" t="n">
        <v>11.03</v>
      </c>
      <c r="E1224" t="n">
        <v>5771.679</v>
      </c>
      <c r="G1224" t="n">
        <v>41453</v>
      </c>
      <c r="H1224" t="inlineStr">
        <is>
          <t>bb</t>
        </is>
      </c>
      <c r="I1224" t="n">
        <v>5771.679</v>
      </c>
    </row>
    <row r="1225">
      <c r="A1225" t="n">
        <v>28</v>
      </c>
      <c r="B1225" t="inlineStr">
        <is>
          <t>MeOH</t>
        </is>
      </c>
    </row>
    <row r="1226">
      <c r="A1226" t="n">
        <v>29</v>
      </c>
      <c r="B1226" t="inlineStr">
        <is>
          <t>K3-6A</t>
        </is>
      </c>
      <c r="D1226" t="n">
        <v>11.06</v>
      </c>
      <c r="E1226" t="n">
        <v>5487.978</v>
      </c>
      <c r="G1226" t="n">
        <v>550.7569999999999</v>
      </c>
      <c r="H1226" t="inlineStr">
        <is>
          <t>bb</t>
        </is>
      </c>
      <c r="I1226" t="n">
        <v>5487.978</v>
      </c>
    </row>
    <row r="1227">
      <c r="A1227" t="n">
        <v>30</v>
      </c>
      <c r="B1227" t="inlineStr">
        <is>
          <t>K3-6B</t>
        </is>
      </c>
      <c r="D1227" t="n">
        <v>11.04</v>
      </c>
      <c r="E1227" t="n">
        <v>4404.307</v>
      </c>
      <c r="G1227" t="n">
        <v>59.508</v>
      </c>
      <c r="H1227" t="inlineStr">
        <is>
          <t>bb</t>
        </is>
      </c>
      <c r="I1227" t="n">
        <v>4404.307</v>
      </c>
    </row>
    <row r="1228">
      <c r="A1228" t="n">
        <v>31</v>
      </c>
      <c r="B1228" t="inlineStr">
        <is>
          <t>K3-6C</t>
        </is>
      </c>
      <c r="D1228" t="n">
        <v>11.02</v>
      </c>
      <c r="E1228" t="n">
        <v>5559.999</v>
      </c>
      <c r="G1228" t="n">
        <v>1135.372</v>
      </c>
      <c r="H1228" t="inlineStr">
        <is>
          <t>bb</t>
        </is>
      </c>
      <c r="I1228" t="n">
        <v>5559.999</v>
      </c>
    </row>
    <row r="1230">
      <c r="A1230" t="inlineStr">
        <is>
          <t>Compound 36:  PFHpA 1</t>
        </is>
      </c>
    </row>
    <row r="1232">
      <c r="B1232" t="inlineStr">
        <is>
          <t>Sample Text</t>
        </is>
      </c>
      <c r="C1232" t="inlineStr">
        <is>
          <t>Std. Conc</t>
        </is>
      </c>
      <c r="D1232" t="inlineStr">
        <is>
          <t>RT</t>
        </is>
      </c>
      <c r="E1232" t="inlineStr">
        <is>
          <t>Area</t>
        </is>
      </c>
      <c r="F1232" t="inlineStr">
        <is>
          <t>IS Area</t>
        </is>
      </c>
      <c r="G1232" t="inlineStr">
        <is>
          <t>S/N</t>
        </is>
      </c>
      <c r="H1232" t="inlineStr">
        <is>
          <t>Primary Flags</t>
        </is>
      </c>
      <c r="I1232" t="inlineStr">
        <is>
          <t>Response</t>
        </is>
      </c>
      <c r="J1232" t="inlineStr">
        <is>
          <t>Conc.</t>
        </is>
      </c>
    </row>
    <row r="1233">
      <c r="A1233" t="n">
        <v>1</v>
      </c>
      <c r="B1233" t="inlineStr">
        <is>
          <t>K4-1A</t>
        </is>
      </c>
      <c r="D1233" t="n">
        <v>10.69</v>
      </c>
      <c r="E1233" t="n">
        <v>212.864</v>
      </c>
      <c r="F1233" t="n">
        <v>1955.025</v>
      </c>
      <c r="G1233" t="n">
        <v>3.363</v>
      </c>
      <c r="H1233" t="inlineStr">
        <is>
          <t>bb</t>
        </is>
      </c>
    </row>
    <row r="1234">
      <c r="A1234" t="n">
        <v>2</v>
      </c>
      <c r="B1234" t="inlineStr">
        <is>
          <t>K4-1B</t>
        </is>
      </c>
      <c r="D1234" t="n">
        <v>10.69</v>
      </c>
      <c r="E1234" t="n">
        <v>217.078</v>
      </c>
      <c r="F1234" t="n">
        <v>1600.471</v>
      </c>
      <c r="G1234" t="n">
        <v>2.978</v>
      </c>
      <c r="H1234" t="inlineStr">
        <is>
          <t>bb</t>
        </is>
      </c>
    </row>
    <row r="1235">
      <c r="A1235" t="n">
        <v>3</v>
      </c>
      <c r="B1235" t="inlineStr">
        <is>
          <t>K4-1C</t>
        </is>
      </c>
      <c r="D1235" t="n">
        <v>10.67</v>
      </c>
      <c r="E1235" t="n">
        <v>360.42</v>
      </c>
      <c r="F1235" t="n">
        <v>1707.683</v>
      </c>
      <c r="G1235" t="n">
        <v>7.208</v>
      </c>
      <c r="H1235" t="inlineStr">
        <is>
          <t>bb</t>
        </is>
      </c>
    </row>
    <row r="1236">
      <c r="A1236" t="n">
        <v>4</v>
      </c>
      <c r="B1236" t="inlineStr">
        <is>
          <t>K4-2A</t>
        </is>
      </c>
      <c r="D1236" t="n">
        <v>10.71</v>
      </c>
      <c r="E1236" t="n">
        <v>321.203</v>
      </c>
      <c r="F1236" t="n">
        <v>2151.199</v>
      </c>
      <c r="G1236" t="n">
        <v>4.71</v>
      </c>
      <c r="H1236" t="inlineStr">
        <is>
          <t>MM</t>
        </is>
      </c>
    </row>
    <row r="1237">
      <c r="A1237" t="n">
        <v>5</v>
      </c>
      <c r="B1237" t="inlineStr">
        <is>
          <t>K4-2B</t>
        </is>
      </c>
      <c r="D1237" t="n">
        <v>10.72</v>
      </c>
      <c r="E1237" t="n">
        <v>292.213</v>
      </c>
      <c r="F1237" t="n">
        <v>1627.57</v>
      </c>
      <c r="G1237" t="n">
        <v>3.941</v>
      </c>
      <c r="H1237" t="inlineStr">
        <is>
          <t>MM</t>
        </is>
      </c>
    </row>
    <row r="1238">
      <c r="A1238" t="n">
        <v>6</v>
      </c>
      <c r="B1238" t="inlineStr">
        <is>
          <t>K4-2C</t>
        </is>
      </c>
      <c r="D1238" t="n">
        <v>10.73</v>
      </c>
      <c r="E1238" t="n">
        <v>399.946</v>
      </c>
      <c r="F1238" t="n">
        <v>1993.504</v>
      </c>
      <c r="G1238" t="n">
        <v>5.765</v>
      </c>
      <c r="H1238" t="inlineStr">
        <is>
          <t>bb</t>
        </is>
      </c>
    </row>
    <row r="1239">
      <c r="A1239" t="n">
        <v>7</v>
      </c>
      <c r="B1239" t="inlineStr">
        <is>
          <t>MeOH</t>
        </is>
      </c>
      <c r="H1239" t="inlineStr">
        <is>
          <t>MM-</t>
        </is>
      </c>
    </row>
    <row r="1240">
      <c r="A1240" t="n">
        <v>8</v>
      </c>
      <c r="B1240" t="inlineStr">
        <is>
          <t>K4-4A</t>
        </is>
      </c>
      <c r="D1240" t="n">
        <v>10.7</v>
      </c>
      <c r="E1240" t="n">
        <v>297.069</v>
      </c>
      <c r="F1240" t="n">
        <v>1592.49</v>
      </c>
      <c r="G1240" t="n">
        <v>2.605</v>
      </c>
      <c r="H1240" t="inlineStr">
        <is>
          <t>bb</t>
        </is>
      </c>
    </row>
    <row r="1241">
      <c r="A1241" t="n">
        <v>9</v>
      </c>
      <c r="B1241" t="inlineStr">
        <is>
          <t>K4-4B</t>
        </is>
      </c>
      <c r="D1241" t="n">
        <v>10.72</v>
      </c>
      <c r="E1241" t="n">
        <v>487.479</v>
      </c>
      <c r="F1241" t="n">
        <v>1888.103</v>
      </c>
      <c r="G1241" t="n">
        <v>5.256</v>
      </c>
      <c r="H1241" t="inlineStr">
        <is>
          <t>bb</t>
        </is>
      </c>
    </row>
    <row r="1242">
      <c r="A1242" t="n">
        <v>10</v>
      </c>
      <c r="B1242" t="inlineStr">
        <is>
          <t>K4-4C</t>
        </is>
      </c>
      <c r="D1242" t="n">
        <v>10.99</v>
      </c>
      <c r="E1242" t="n">
        <v>225.828</v>
      </c>
      <c r="F1242" t="n">
        <v>1937.932</v>
      </c>
      <c r="G1242" t="n">
        <v>2.05</v>
      </c>
      <c r="H1242" t="inlineStr">
        <is>
          <t>MM</t>
        </is>
      </c>
    </row>
    <row r="1243">
      <c r="A1243" t="n">
        <v>11</v>
      </c>
      <c r="B1243" t="inlineStr">
        <is>
          <t>K4-5A</t>
        </is>
      </c>
      <c r="D1243" t="n">
        <v>10.71</v>
      </c>
      <c r="E1243" t="n">
        <v>234.375</v>
      </c>
      <c r="F1243" t="n">
        <v>1478.823</v>
      </c>
      <c r="G1243" t="n">
        <v>6.503</v>
      </c>
      <c r="H1243" t="inlineStr">
        <is>
          <t>bb</t>
        </is>
      </c>
    </row>
    <row r="1244">
      <c r="A1244" t="n">
        <v>12</v>
      </c>
      <c r="B1244" t="inlineStr">
        <is>
          <t>K4-5B</t>
        </is>
      </c>
      <c r="D1244" t="n">
        <v>10.7</v>
      </c>
      <c r="E1244" t="n">
        <v>283.318</v>
      </c>
      <c r="F1244" t="n">
        <v>1644.968</v>
      </c>
      <c r="G1244" t="n">
        <v>3.388</v>
      </c>
      <c r="H1244" t="inlineStr">
        <is>
          <t>bb</t>
        </is>
      </c>
    </row>
    <row r="1245">
      <c r="A1245" t="n">
        <v>13</v>
      </c>
      <c r="B1245" t="inlineStr">
        <is>
          <t>K4-5C</t>
        </is>
      </c>
      <c r="D1245" t="n">
        <v>10.58</v>
      </c>
      <c r="E1245" t="n">
        <v>349.763</v>
      </c>
      <c r="F1245" t="n">
        <v>1533.308</v>
      </c>
      <c r="G1245" t="n">
        <v>5.164</v>
      </c>
      <c r="H1245" t="inlineStr">
        <is>
          <t>MM</t>
        </is>
      </c>
    </row>
    <row r="1246">
      <c r="A1246" t="n">
        <v>14</v>
      </c>
      <c r="B1246" t="inlineStr">
        <is>
          <t>MeOH</t>
        </is>
      </c>
      <c r="H1246" t="inlineStr">
        <is>
          <t>MM-</t>
        </is>
      </c>
    </row>
    <row r="1247">
      <c r="A1247" t="n">
        <v>15</v>
      </c>
      <c r="B1247" t="inlineStr">
        <is>
          <t>K3-1A</t>
        </is>
      </c>
      <c r="D1247" t="n">
        <v>10.49</v>
      </c>
      <c r="E1247" t="n">
        <v>330.763</v>
      </c>
      <c r="F1247" t="n">
        <v>1539.783</v>
      </c>
      <c r="G1247" t="n">
        <v>4.173</v>
      </c>
      <c r="H1247" t="inlineStr">
        <is>
          <t>MM</t>
        </is>
      </c>
    </row>
    <row r="1248">
      <c r="A1248" t="n">
        <v>16</v>
      </c>
      <c r="B1248" t="inlineStr">
        <is>
          <t>K3-1B</t>
        </is>
      </c>
      <c r="D1248" t="n">
        <v>10.53</v>
      </c>
      <c r="E1248" t="n">
        <v>180.892</v>
      </c>
      <c r="F1248" t="n">
        <v>1096.782</v>
      </c>
      <c r="G1248" t="n">
        <v>3.135</v>
      </c>
      <c r="H1248" t="inlineStr">
        <is>
          <t>db</t>
        </is>
      </c>
    </row>
    <row r="1249">
      <c r="A1249" t="n">
        <v>17</v>
      </c>
      <c r="B1249" t="inlineStr">
        <is>
          <t>K3-1C</t>
        </is>
      </c>
      <c r="D1249" t="n">
        <v>10.57</v>
      </c>
      <c r="E1249" t="n">
        <v>259.883</v>
      </c>
      <c r="F1249" t="n">
        <v>2362.051</v>
      </c>
      <c r="G1249" t="n">
        <v>4.142</v>
      </c>
      <c r="H1249" t="inlineStr">
        <is>
          <t>MM</t>
        </is>
      </c>
    </row>
    <row r="1250">
      <c r="A1250" t="n">
        <v>18</v>
      </c>
      <c r="B1250" t="inlineStr">
        <is>
          <t>K3-2A</t>
        </is>
      </c>
      <c r="D1250" t="n">
        <v>10.64</v>
      </c>
      <c r="E1250" t="n">
        <v>280.96</v>
      </c>
      <c r="F1250" t="n">
        <v>1619.999</v>
      </c>
      <c r="G1250" t="n">
        <v>1.699</v>
      </c>
      <c r="H1250" t="inlineStr">
        <is>
          <t>bb</t>
        </is>
      </c>
    </row>
    <row r="1251">
      <c r="A1251" t="n">
        <v>19</v>
      </c>
      <c r="B1251" t="inlineStr">
        <is>
          <t>K3-2B</t>
        </is>
      </c>
      <c r="D1251" t="n">
        <v>10.59</v>
      </c>
      <c r="E1251" t="n">
        <v>299.727</v>
      </c>
      <c r="F1251" t="n">
        <v>2044.315</v>
      </c>
      <c r="G1251" t="n">
        <v>3.724</v>
      </c>
      <c r="H1251" t="inlineStr">
        <is>
          <t>MM</t>
        </is>
      </c>
    </row>
    <row r="1252">
      <c r="A1252" t="n">
        <v>20</v>
      </c>
      <c r="B1252" t="inlineStr">
        <is>
          <t>K3-2C</t>
        </is>
      </c>
      <c r="D1252" t="n">
        <v>10.71</v>
      </c>
      <c r="E1252" t="n">
        <v>274.712</v>
      </c>
      <c r="F1252" t="n">
        <v>2218.407</v>
      </c>
      <c r="G1252" t="n">
        <v>3.175</v>
      </c>
      <c r="H1252" t="inlineStr">
        <is>
          <t>bb</t>
        </is>
      </c>
    </row>
    <row r="1253">
      <c r="A1253" t="n">
        <v>21</v>
      </c>
      <c r="B1253" t="inlineStr">
        <is>
          <t>MeOH</t>
        </is>
      </c>
      <c r="H1253" t="inlineStr">
        <is>
          <t>MM-</t>
        </is>
      </c>
    </row>
    <row r="1254">
      <c r="A1254" t="n">
        <v>22</v>
      </c>
      <c r="B1254" t="inlineStr">
        <is>
          <t>K3-3A</t>
        </is>
      </c>
      <c r="D1254" t="n">
        <v>10.63</v>
      </c>
      <c r="E1254" t="n">
        <v>331.626</v>
      </c>
      <c r="F1254" t="n">
        <v>1515.995</v>
      </c>
      <c r="G1254" t="n">
        <v>5.076</v>
      </c>
      <c r="H1254" t="inlineStr">
        <is>
          <t>MM</t>
        </is>
      </c>
    </row>
    <row r="1255">
      <c r="A1255" t="n">
        <v>23</v>
      </c>
      <c r="B1255" t="inlineStr">
        <is>
          <t>K3-3B</t>
        </is>
      </c>
      <c r="D1255" t="n">
        <v>10.65</v>
      </c>
      <c r="E1255" t="n">
        <v>141.448</v>
      </c>
      <c r="F1255" t="n">
        <v>2110.115</v>
      </c>
      <c r="G1255" t="n">
        <v>2.443</v>
      </c>
      <c r="H1255" t="inlineStr">
        <is>
          <t>MM</t>
        </is>
      </c>
    </row>
    <row r="1256">
      <c r="A1256" t="n">
        <v>24</v>
      </c>
      <c r="B1256" t="inlineStr">
        <is>
          <t>K3-3C</t>
        </is>
      </c>
      <c r="D1256" t="n">
        <v>10.66</v>
      </c>
      <c r="E1256" t="n">
        <v>473.349</v>
      </c>
      <c r="F1256" t="n">
        <v>1783.99</v>
      </c>
      <c r="G1256" t="n">
        <v>5.938</v>
      </c>
      <c r="H1256" t="inlineStr">
        <is>
          <t>MM</t>
        </is>
      </c>
    </row>
    <row r="1257">
      <c r="A1257" t="n">
        <v>25</v>
      </c>
      <c r="B1257" t="inlineStr">
        <is>
          <t>K3-4A</t>
        </is>
      </c>
      <c r="D1257" t="n">
        <v>10.71</v>
      </c>
      <c r="E1257" t="n">
        <v>339.114</v>
      </c>
      <c r="F1257" t="n">
        <v>2029.2</v>
      </c>
      <c r="G1257" t="n">
        <v>4.323</v>
      </c>
      <c r="H1257" t="inlineStr">
        <is>
          <t>bb</t>
        </is>
      </c>
    </row>
    <row r="1258">
      <c r="A1258" t="n">
        <v>26</v>
      </c>
      <c r="B1258" t="inlineStr">
        <is>
          <t>K3-4B</t>
        </is>
      </c>
      <c r="D1258" t="n">
        <v>10.71</v>
      </c>
      <c r="E1258" t="n">
        <v>270.285</v>
      </c>
      <c r="F1258" t="n">
        <v>1683.879</v>
      </c>
      <c r="G1258" t="n">
        <v>2.934</v>
      </c>
      <c r="H1258" t="inlineStr">
        <is>
          <t>MM</t>
        </is>
      </c>
    </row>
    <row r="1259">
      <c r="A1259" t="n">
        <v>27</v>
      </c>
      <c r="B1259" t="inlineStr">
        <is>
          <t>K3-4C</t>
        </is>
      </c>
      <c r="D1259" t="n">
        <v>10.73</v>
      </c>
      <c r="E1259" t="n">
        <v>232.184</v>
      </c>
      <c r="F1259" t="n">
        <v>2361.376</v>
      </c>
      <c r="G1259" t="n">
        <v>1.602</v>
      </c>
      <c r="H1259" t="inlineStr">
        <is>
          <t>bb</t>
        </is>
      </c>
    </row>
    <row r="1260">
      <c r="A1260" t="n">
        <v>28</v>
      </c>
      <c r="B1260" t="inlineStr">
        <is>
          <t>MeOH</t>
        </is>
      </c>
      <c r="H1260" t="inlineStr">
        <is>
          <t>MM-</t>
        </is>
      </c>
    </row>
    <row r="1261">
      <c r="A1261" t="n">
        <v>29</v>
      </c>
      <c r="B1261" t="inlineStr">
        <is>
          <t>K3-6A</t>
        </is>
      </c>
      <c r="D1261" t="n">
        <v>10.75</v>
      </c>
      <c r="E1261" t="n">
        <v>298.755</v>
      </c>
      <c r="F1261" t="n">
        <v>2140.839</v>
      </c>
      <c r="G1261" t="n">
        <v>2.386</v>
      </c>
      <c r="H1261" t="inlineStr">
        <is>
          <t>bb</t>
        </is>
      </c>
    </row>
    <row r="1262">
      <c r="A1262" t="n">
        <v>30</v>
      </c>
      <c r="B1262" t="inlineStr">
        <is>
          <t>K3-6B</t>
        </is>
      </c>
      <c r="D1262" t="n">
        <v>10.7</v>
      </c>
      <c r="E1262" t="n">
        <v>190.814</v>
      </c>
      <c r="F1262" t="n">
        <v>2028.628</v>
      </c>
      <c r="G1262" t="n">
        <v>2.099</v>
      </c>
      <c r="H1262" t="inlineStr">
        <is>
          <t>MM</t>
        </is>
      </c>
    </row>
    <row r="1263">
      <c r="A1263" t="n">
        <v>31</v>
      </c>
      <c r="B1263" t="inlineStr">
        <is>
          <t>K3-6C</t>
        </is>
      </c>
      <c r="D1263" t="n">
        <v>10.84</v>
      </c>
      <c r="E1263" t="n">
        <v>200.246</v>
      </c>
      <c r="F1263" t="n">
        <v>1942.956</v>
      </c>
      <c r="G1263" t="n">
        <v>1.417</v>
      </c>
      <c r="H1263" t="inlineStr">
        <is>
          <t>MM</t>
        </is>
      </c>
    </row>
    <row r="1265">
      <c r="A1265" t="inlineStr">
        <is>
          <t>Compound 37:  PFHpA 2</t>
        </is>
      </c>
    </row>
    <row r="1267">
      <c r="B1267" t="inlineStr">
        <is>
          <t>Sample Text</t>
        </is>
      </c>
      <c r="C1267" t="inlineStr">
        <is>
          <t>Std. Conc</t>
        </is>
      </c>
      <c r="D1267" t="inlineStr">
        <is>
          <t>RT</t>
        </is>
      </c>
      <c r="E1267" t="inlineStr">
        <is>
          <t>Area</t>
        </is>
      </c>
      <c r="F1267" t="inlineStr">
        <is>
          <t>IS Area</t>
        </is>
      </c>
      <c r="G1267" t="inlineStr">
        <is>
          <t>S/N</t>
        </is>
      </c>
      <c r="H1267" t="inlineStr">
        <is>
          <t>Primary Flags</t>
        </is>
      </c>
      <c r="I1267" t="inlineStr">
        <is>
          <t>Response</t>
        </is>
      </c>
      <c r="J1267" t="inlineStr">
        <is>
          <t>Conc.</t>
        </is>
      </c>
    </row>
    <row r="1268">
      <c r="A1268" t="n">
        <v>1</v>
      </c>
      <c r="B1268" t="inlineStr">
        <is>
          <t>K4-1A</t>
        </is>
      </c>
      <c r="D1268" t="n">
        <v>10.65</v>
      </c>
      <c r="E1268" t="n">
        <v>76.501</v>
      </c>
      <c r="F1268" t="n">
        <v>1955.025</v>
      </c>
      <c r="G1268" t="n">
        <v>9.467000000000001</v>
      </c>
      <c r="H1268" t="inlineStr">
        <is>
          <t>bb</t>
        </is>
      </c>
    </row>
    <row r="1269">
      <c r="A1269" t="n">
        <v>2</v>
      </c>
      <c r="B1269" t="inlineStr">
        <is>
          <t>K4-1B</t>
        </is>
      </c>
      <c r="D1269" t="n">
        <v>10.67</v>
      </c>
      <c r="E1269" t="n">
        <v>2.944</v>
      </c>
      <c r="F1269" t="n">
        <v>1600.471</v>
      </c>
      <c r="G1269" t="n">
        <v>0.573</v>
      </c>
      <c r="H1269" t="inlineStr">
        <is>
          <t>MM</t>
        </is>
      </c>
    </row>
    <row r="1270">
      <c r="A1270" t="n">
        <v>3</v>
      </c>
      <c r="B1270" t="inlineStr">
        <is>
          <t>K4-1C</t>
        </is>
      </c>
      <c r="D1270" t="n">
        <v>10.7</v>
      </c>
      <c r="E1270" t="n">
        <v>35.885</v>
      </c>
      <c r="F1270" t="n">
        <v>1707.683</v>
      </c>
      <c r="G1270" t="n">
        <v>16.658</v>
      </c>
      <c r="H1270" t="inlineStr">
        <is>
          <t>MM</t>
        </is>
      </c>
    </row>
    <row r="1271">
      <c r="A1271" t="n">
        <v>4</v>
      </c>
      <c r="B1271" t="inlineStr">
        <is>
          <t>K4-2A</t>
        </is>
      </c>
      <c r="D1271" t="n">
        <v>10.71</v>
      </c>
      <c r="E1271" t="n">
        <v>46.224</v>
      </c>
      <c r="F1271" t="n">
        <v>2151.199</v>
      </c>
      <c r="G1271" t="n">
        <v>2.232</v>
      </c>
      <c r="H1271" t="inlineStr">
        <is>
          <t>bb</t>
        </is>
      </c>
    </row>
    <row r="1272">
      <c r="A1272" t="n">
        <v>5</v>
      </c>
      <c r="B1272" t="inlineStr">
        <is>
          <t>K4-2B</t>
        </is>
      </c>
      <c r="D1272" t="n">
        <v>10.68</v>
      </c>
      <c r="E1272" t="n">
        <v>118.428</v>
      </c>
      <c r="F1272" t="n">
        <v>1627.57</v>
      </c>
      <c r="G1272" t="n">
        <v>2.268</v>
      </c>
      <c r="H1272" t="inlineStr">
        <is>
          <t>MM</t>
        </is>
      </c>
    </row>
    <row r="1273">
      <c r="A1273" t="n">
        <v>6</v>
      </c>
      <c r="B1273" t="inlineStr">
        <is>
          <t>K4-2C</t>
        </is>
      </c>
      <c r="D1273" t="n">
        <v>10.7</v>
      </c>
      <c r="E1273" t="n">
        <v>70.97799999999999</v>
      </c>
      <c r="F1273" t="n">
        <v>1993.504</v>
      </c>
      <c r="G1273" t="n">
        <v>705</v>
      </c>
      <c r="H1273" t="inlineStr">
        <is>
          <t>MM</t>
        </is>
      </c>
    </row>
    <row r="1274">
      <c r="A1274" t="n">
        <v>7</v>
      </c>
      <c r="B1274" t="inlineStr">
        <is>
          <t>MeOH</t>
        </is>
      </c>
      <c r="H1274" t="inlineStr">
        <is>
          <t>MM-</t>
        </is>
      </c>
    </row>
    <row r="1275">
      <c r="A1275" t="n">
        <v>8</v>
      </c>
      <c r="B1275" t="inlineStr">
        <is>
          <t>K4-4A</t>
        </is>
      </c>
      <c r="D1275" t="n">
        <v>10.84</v>
      </c>
      <c r="E1275" t="n">
        <v>29.708</v>
      </c>
      <c r="F1275" t="n">
        <v>1592.49</v>
      </c>
      <c r="G1275" t="n">
        <v>230</v>
      </c>
      <c r="H1275" t="inlineStr">
        <is>
          <t>MM</t>
        </is>
      </c>
    </row>
    <row r="1276">
      <c r="A1276" t="n">
        <v>9</v>
      </c>
      <c r="B1276" t="inlineStr">
        <is>
          <t>K4-4B</t>
        </is>
      </c>
      <c r="D1276" t="n">
        <v>10.76</v>
      </c>
      <c r="E1276" t="n">
        <v>39.234</v>
      </c>
      <c r="F1276" t="n">
        <v>1888.103</v>
      </c>
      <c r="G1276" t="n">
        <v>416</v>
      </c>
      <c r="H1276" t="inlineStr">
        <is>
          <t>bb</t>
        </is>
      </c>
    </row>
    <row r="1277">
      <c r="A1277" t="n">
        <v>10</v>
      </c>
      <c r="B1277" t="inlineStr">
        <is>
          <t>K4-4C</t>
        </is>
      </c>
      <c r="D1277" t="n">
        <v>10.71</v>
      </c>
      <c r="E1277" t="n">
        <v>49.615</v>
      </c>
      <c r="F1277" t="n">
        <v>1937.932</v>
      </c>
      <c r="G1277" t="n">
        <v>484</v>
      </c>
      <c r="H1277" t="inlineStr">
        <is>
          <t>MM</t>
        </is>
      </c>
    </row>
    <row r="1278">
      <c r="A1278" t="n">
        <v>11</v>
      </c>
      <c r="B1278" t="inlineStr">
        <is>
          <t>K4-5A</t>
        </is>
      </c>
      <c r="D1278" t="n">
        <v>10.69</v>
      </c>
      <c r="E1278" t="n">
        <v>21.092</v>
      </c>
      <c r="F1278" t="n">
        <v>1478.823</v>
      </c>
      <c r="G1278" t="n">
        <v>4.552</v>
      </c>
      <c r="H1278" t="inlineStr">
        <is>
          <t>bb</t>
        </is>
      </c>
    </row>
    <row r="1279">
      <c r="A1279" t="n">
        <v>12</v>
      </c>
      <c r="B1279" t="inlineStr">
        <is>
          <t>K4-5B</t>
        </is>
      </c>
      <c r="D1279" t="n">
        <v>10.7</v>
      </c>
      <c r="E1279" t="n">
        <v>15.842</v>
      </c>
      <c r="F1279" t="n">
        <v>1644.968</v>
      </c>
      <c r="G1279" t="n">
        <v>2.103</v>
      </c>
      <c r="H1279" t="inlineStr">
        <is>
          <t>bb</t>
        </is>
      </c>
    </row>
    <row r="1280">
      <c r="A1280" t="n">
        <v>13</v>
      </c>
      <c r="B1280" t="inlineStr">
        <is>
          <t>K4-5C</t>
        </is>
      </c>
      <c r="D1280" t="n">
        <v>10.63</v>
      </c>
      <c r="E1280" t="n">
        <v>14.849</v>
      </c>
      <c r="F1280" t="n">
        <v>1533.308</v>
      </c>
      <c r="G1280" t="n">
        <v>153</v>
      </c>
      <c r="H1280" t="inlineStr">
        <is>
          <t>bb</t>
        </is>
      </c>
    </row>
    <row r="1281">
      <c r="A1281" t="n">
        <v>14</v>
      </c>
      <c r="B1281" t="inlineStr">
        <is>
          <t>MeOH</t>
        </is>
      </c>
      <c r="D1281" t="n">
        <v>10.66</v>
      </c>
      <c r="E1281" t="n">
        <v>83.504</v>
      </c>
      <c r="G1281" t="n">
        <v>810</v>
      </c>
      <c r="H1281" t="inlineStr">
        <is>
          <t>bb</t>
        </is>
      </c>
    </row>
    <row r="1282">
      <c r="A1282" t="n">
        <v>15</v>
      </c>
      <c r="B1282" t="inlineStr">
        <is>
          <t>K3-1A</t>
        </is>
      </c>
      <c r="D1282" t="n">
        <v>10.48</v>
      </c>
      <c r="E1282" t="n">
        <v>76.256</v>
      </c>
      <c r="F1282" t="n">
        <v>1539.783</v>
      </c>
      <c r="G1282" t="n">
        <v>8.949999999999999</v>
      </c>
      <c r="H1282" t="inlineStr">
        <is>
          <t>bb</t>
        </is>
      </c>
    </row>
    <row r="1283">
      <c r="A1283" t="n">
        <v>16</v>
      </c>
      <c r="B1283" t="inlineStr">
        <is>
          <t>K3-1B</t>
        </is>
      </c>
      <c r="D1283" t="n">
        <v>10.53</v>
      </c>
      <c r="E1283" t="n">
        <v>24.105</v>
      </c>
      <c r="F1283" t="n">
        <v>1096.782</v>
      </c>
      <c r="G1283" t="n">
        <v>235</v>
      </c>
      <c r="H1283" t="inlineStr">
        <is>
          <t>bb</t>
        </is>
      </c>
    </row>
    <row r="1284">
      <c r="A1284" t="n">
        <v>17</v>
      </c>
      <c r="B1284" t="inlineStr">
        <is>
          <t>K3-1C</t>
        </is>
      </c>
      <c r="D1284" t="n">
        <v>10.55</v>
      </c>
      <c r="E1284" t="n">
        <v>11.2</v>
      </c>
      <c r="F1284" t="n">
        <v>2362.051</v>
      </c>
      <c r="G1284" t="n">
        <v>3.403</v>
      </c>
      <c r="H1284" t="inlineStr">
        <is>
          <t>bb</t>
        </is>
      </c>
    </row>
    <row r="1285">
      <c r="A1285" t="n">
        <v>18</v>
      </c>
      <c r="B1285" t="inlineStr">
        <is>
          <t>K3-2A</t>
        </is>
      </c>
      <c r="D1285" t="n">
        <v>10.6</v>
      </c>
      <c r="E1285" t="n">
        <v>56.118</v>
      </c>
      <c r="F1285" t="n">
        <v>1619.999</v>
      </c>
      <c r="G1285" t="n">
        <v>3.752</v>
      </c>
      <c r="H1285" t="inlineStr">
        <is>
          <t>bb</t>
        </is>
      </c>
    </row>
    <row r="1286">
      <c r="A1286" t="n">
        <v>19</v>
      </c>
      <c r="B1286" t="inlineStr">
        <is>
          <t>K3-2B</t>
        </is>
      </c>
      <c r="D1286" t="n">
        <v>10.59</v>
      </c>
      <c r="E1286" t="n">
        <v>44.354</v>
      </c>
      <c r="F1286" t="n">
        <v>2044.315</v>
      </c>
      <c r="G1286" t="n">
        <v>30.117</v>
      </c>
      <c r="H1286" t="inlineStr">
        <is>
          <t>bb</t>
        </is>
      </c>
    </row>
    <row r="1287">
      <c r="A1287" t="n">
        <v>20</v>
      </c>
      <c r="B1287" t="inlineStr">
        <is>
          <t>K3-2C</t>
        </is>
      </c>
      <c r="D1287" t="n">
        <v>10.16</v>
      </c>
      <c r="E1287" t="n">
        <v>1.713</v>
      </c>
      <c r="F1287" t="n">
        <v>2218.407</v>
      </c>
      <c r="G1287" t="n">
        <v>19</v>
      </c>
      <c r="H1287" t="inlineStr">
        <is>
          <t>bb</t>
        </is>
      </c>
    </row>
    <row r="1288">
      <c r="A1288" t="n">
        <v>21</v>
      </c>
      <c r="B1288" t="inlineStr">
        <is>
          <t>MeOH</t>
        </is>
      </c>
      <c r="D1288" t="n">
        <v>10.64</v>
      </c>
      <c r="E1288" t="n">
        <v>13.267</v>
      </c>
      <c r="G1288" t="n">
        <v>150</v>
      </c>
      <c r="H1288" t="inlineStr">
        <is>
          <t>bb</t>
        </is>
      </c>
    </row>
    <row r="1289">
      <c r="A1289" t="n">
        <v>22</v>
      </c>
      <c r="B1289" t="inlineStr">
        <is>
          <t>K3-3A</t>
        </is>
      </c>
      <c r="D1289" t="n">
        <v>10.63</v>
      </c>
      <c r="E1289" t="n">
        <v>94.133</v>
      </c>
      <c r="F1289" t="n">
        <v>1515.995</v>
      </c>
      <c r="G1289" t="n">
        <v>803</v>
      </c>
      <c r="H1289" t="inlineStr">
        <is>
          <t>bb</t>
        </is>
      </c>
    </row>
    <row r="1290">
      <c r="A1290" t="n">
        <v>23</v>
      </c>
      <c r="B1290" t="inlineStr">
        <is>
          <t>K3-3B</t>
        </is>
      </c>
      <c r="D1290" t="n">
        <v>10.59</v>
      </c>
      <c r="E1290" t="n">
        <v>16.457</v>
      </c>
      <c r="F1290" t="n">
        <v>2110.115</v>
      </c>
      <c r="G1290" t="n">
        <v>171</v>
      </c>
      <c r="H1290" t="inlineStr">
        <is>
          <t>MM</t>
        </is>
      </c>
    </row>
    <row r="1291">
      <c r="A1291" t="n">
        <v>24</v>
      </c>
      <c r="B1291" t="inlineStr">
        <is>
          <t>K3-3C</t>
        </is>
      </c>
      <c r="D1291" t="n">
        <v>10.65</v>
      </c>
      <c r="E1291" t="n">
        <v>114.29</v>
      </c>
      <c r="F1291" t="n">
        <v>1783.99</v>
      </c>
      <c r="G1291" t="n">
        <v>2.972</v>
      </c>
      <c r="H1291" t="inlineStr">
        <is>
          <t>bb</t>
        </is>
      </c>
    </row>
    <row r="1292">
      <c r="A1292" t="n">
        <v>25</v>
      </c>
      <c r="B1292" t="inlineStr">
        <is>
          <t>K3-4A</t>
        </is>
      </c>
      <c r="D1292" t="n">
        <v>10.67</v>
      </c>
      <c r="E1292" t="n">
        <v>2.44</v>
      </c>
      <c r="F1292" t="n">
        <v>2029.2</v>
      </c>
      <c r="G1292" t="n">
        <v>28</v>
      </c>
      <c r="H1292" t="inlineStr">
        <is>
          <t>MM</t>
        </is>
      </c>
    </row>
    <row r="1293">
      <c r="A1293" t="n">
        <v>26</v>
      </c>
      <c r="B1293" t="inlineStr">
        <is>
          <t>K3-4B</t>
        </is>
      </c>
      <c r="D1293" t="n">
        <v>10.67</v>
      </c>
      <c r="E1293" t="n">
        <v>111.371</v>
      </c>
      <c r="F1293" t="n">
        <v>1683.879</v>
      </c>
      <c r="G1293" t="n">
        <v>16.132</v>
      </c>
      <c r="H1293" t="inlineStr">
        <is>
          <t>bb</t>
        </is>
      </c>
    </row>
    <row r="1294">
      <c r="A1294" t="n">
        <v>27</v>
      </c>
      <c r="B1294" t="inlineStr">
        <is>
          <t>K3-4C</t>
        </is>
      </c>
      <c r="D1294" t="n">
        <v>10.82</v>
      </c>
      <c r="E1294" t="n">
        <v>29.029</v>
      </c>
      <c r="F1294" t="n">
        <v>2361.376</v>
      </c>
      <c r="G1294" t="n">
        <v>2.997</v>
      </c>
      <c r="H1294" t="inlineStr">
        <is>
          <t>bb</t>
        </is>
      </c>
    </row>
    <row r="1295">
      <c r="A1295" t="n">
        <v>28</v>
      </c>
      <c r="B1295" t="inlineStr">
        <is>
          <t>MeOH</t>
        </is>
      </c>
      <c r="H1295" t="inlineStr">
        <is>
          <t>MM-</t>
        </is>
      </c>
    </row>
    <row r="1296">
      <c r="A1296" t="n">
        <v>29</v>
      </c>
      <c r="B1296" t="inlineStr">
        <is>
          <t>K3-6A</t>
        </is>
      </c>
      <c r="D1296" t="n">
        <v>10.61</v>
      </c>
      <c r="E1296" t="n">
        <v>33.159</v>
      </c>
      <c r="F1296" t="n">
        <v>2140.839</v>
      </c>
      <c r="G1296" t="n">
        <v>1.332</v>
      </c>
      <c r="H1296" t="inlineStr">
        <is>
          <t>MM</t>
        </is>
      </c>
    </row>
    <row r="1297">
      <c r="A1297" t="n">
        <v>30</v>
      </c>
      <c r="B1297" t="inlineStr">
        <is>
          <t>K3-6B</t>
        </is>
      </c>
      <c r="D1297" t="n">
        <v>10.86</v>
      </c>
      <c r="E1297" t="n">
        <v>31.344</v>
      </c>
      <c r="F1297" t="n">
        <v>2028.628</v>
      </c>
      <c r="G1297" t="n">
        <v>253</v>
      </c>
      <c r="H1297" t="inlineStr">
        <is>
          <t>bb</t>
        </is>
      </c>
    </row>
    <row r="1298">
      <c r="A1298" t="n">
        <v>31</v>
      </c>
      <c r="B1298" t="inlineStr">
        <is>
          <t>K3-6C</t>
        </is>
      </c>
      <c r="D1298" t="n">
        <v>10.72</v>
      </c>
      <c r="E1298" t="n">
        <v>66.199</v>
      </c>
      <c r="F1298" t="n">
        <v>1942.956</v>
      </c>
      <c r="G1298" t="n">
        <v>2.484</v>
      </c>
      <c r="H1298" t="inlineStr">
        <is>
          <t>bb</t>
        </is>
      </c>
    </row>
    <row r="1300">
      <c r="A1300" t="inlineStr">
        <is>
          <t>Compound 38:  m4 PFHpA 1</t>
        </is>
      </c>
    </row>
    <row r="1302">
      <c r="B1302" t="inlineStr">
        <is>
          <t>Sample Text</t>
        </is>
      </c>
      <c r="C1302" t="inlineStr">
        <is>
          <t>Std. Conc</t>
        </is>
      </c>
      <c r="D1302" t="inlineStr">
        <is>
          <t>RT</t>
        </is>
      </c>
      <c r="E1302" t="inlineStr">
        <is>
          <t>Area</t>
        </is>
      </c>
      <c r="F1302" t="inlineStr">
        <is>
          <t>IS Area</t>
        </is>
      </c>
      <c r="G1302" t="inlineStr">
        <is>
          <t>S/N</t>
        </is>
      </c>
      <c r="H1302" t="inlineStr">
        <is>
          <t>Primary Flags</t>
        </is>
      </c>
      <c r="I1302" t="inlineStr">
        <is>
          <t>Response</t>
        </is>
      </c>
      <c r="J1302" t="inlineStr">
        <is>
          <t>Conc.</t>
        </is>
      </c>
    </row>
    <row r="1303">
      <c r="A1303" t="n">
        <v>1</v>
      </c>
      <c r="B1303" t="inlineStr">
        <is>
          <t>K4-1A</t>
        </is>
      </c>
      <c r="D1303" t="n">
        <v>10.67</v>
      </c>
      <c r="E1303" t="n">
        <v>1955.025</v>
      </c>
      <c r="G1303" t="n">
        <v>14358</v>
      </c>
      <c r="H1303" t="inlineStr">
        <is>
          <t>bb</t>
        </is>
      </c>
      <c r="I1303" t="n">
        <v>1955.025</v>
      </c>
    </row>
    <row r="1304">
      <c r="A1304" t="n">
        <v>2</v>
      </c>
      <c r="B1304" t="inlineStr">
        <is>
          <t>K4-1B</t>
        </is>
      </c>
      <c r="D1304" t="n">
        <v>10.67</v>
      </c>
      <c r="E1304" t="n">
        <v>1600.471</v>
      </c>
      <c r="G1304" t="n">
        <v>13093</v>
      </c>
      <c r="H1304" t="inlineStr">
        <is>
          <t>bb</t>
        </is>
      </c>
      <c r="I1304" t="n">
        <v>1600.471</v>
      </c>
    </row>
    <row r="1305">
      <c r="A1305" t="n">
        <v>3</v>
      </c>
      <c r="B1305" t="inlineStr">
        <is>
          <t>K4-1C</t>
        </is>
      </c>
      <c r="D1305" t="n">
        <v>10.69</v>
      </c>
      <c r="E1305" t="n">
        <v>1707.683</v>
      </c>
      <c r="G1305" t="n">
        <v>13382</v>
      </c>
      <c r="H1305" t="inlineStr">
        <is>
          <t>bb</t>
        </is>
      </c>
      <c r="I1305" t="n">
        <v>1707.683</v>
      </c>
    </row>
    <row r="1306">
      <c r="A1306" t="n">
        <v>4</v>
      </c>
      <c r="B1306" t="inlineStr">
        <is>
          <t>K4-2A</t>
        </is>
      </c>
      <c r="D1306" t="n">
        <v>10.7</v>
      </c>
      <c r="E1306" t="n">
        <v>2151.199</v>
      </c>
      <c r="G1306" t="n">
        <v>123.317</v>
      </c>
      <c r="H1306" t="inlineStr">
        <is>
          <t>bb</t>
        </is>
      </c>
      <c r="I1306" t="n">
        <v>2151.199</v>
      </c>
    </row>
    <row r="1307">
      <c r="A1307" t="n">
        <v>5</v>
      </c>
      <c r="B1307" t="inlineStr">
        <is>
          <t>K4-2B</t>
        </is>
      </c>
      <c r="D1307" t="n">
        <v>10.7</v>
      </c>
      <c r="E1307" t="n">
        <v>1627.57</v>
      </c>
      <c r="G1307" t="n">
        <v>12124</v>
      </c>
      <c r="H1307" t="inlineStr">
        <is>
          <t>bb</t>
        </is>
      </c>
      <c r="I1307" t="n">
        <v>1627.57</v>
      </c>
    </row>
    <row r="1308">
      <c r="A1308" t="n">
        <v>6</v>
      </c>
      <c r="B1308" t="inlineStr">
        <is>
          <t>K4-2C</t>
        </is>
      </c>
      <c r="D1308" t="n">
        <v>10.71</v>
      </c>
      <c r="E1308" t="n">
        <v>1993.504</v>
      </c>
      <c r="G1308" t="n">
        <v>16621</v>
      </c>
      <c r="H1308" t="inlineStr">
        <is>
          <t>bb</t>
        </is>
      </c>
      <c r="I1308" t="n">
        <v>1993.504</v>
      </c>
    </row>
    <row r="1309">
      <c r="A1309" t="n">
        <v>7</v>
      </c>
      <c r="B1309" t="inlineStr">
        <is>
          <t>MeOH</t>
        </is>
      </c>
    </row>
    <row r="1310">
      <c r="A1310" t="n">
        <v>8</v>
      </c>
      <c r="B1310" t="inlineStr">
        <is>
          <t>K4-4A</t>
        </is>
      </c>
      <c r="D1310" t="n">
        <v>10.72</v>
      </c>
      <c r="E1310" t="n">
        <v>1592.49</v>
      </c>
      <c r="G1310" t="n">
        <v>13088</v>
      </c>
      <c r="H1310" t="inlineStr">
        <is>
          <t>bb</t>
        </is>
      </c>
      <c r="I1310" t="n">
        <v>1592.49</v>
      </c>
    </row>
    <row r="1311">
      <c r="A1311" t="n">
        <v>9</v>
      </c>
      <c r="B1311" t="inlineStr">
        <is>
          <t>K4-4B</t>
        </is>
      </c>
      <c r="D1311" t="n">
        <v>10.72</v>
      </c>
      <c r="E1311" t="n">
        <v>1888.103</v>
      </c>
      <c r="G1311" t="n">
        <v>27.629</v>
      </c>
      <c r="H1311" t="inlineStr">
        <is>
          <t>bb</t>
        </is>
      </c>
      <c r="I1311" t="n">
        <v>1888.103</v>
      </c>
    </row>
    <row r="1312">
      <c r="A1312" t="n">
        <v>10</v>
      </c>
      <c r="B1312" t="inlineStr">
        <is>
          <t>K4-4C</t>
        </is>
      </c>
      <c r="D1312" t="n">
        <v>10.72</v>
      </c>
      <c r="E1312" t="n">
        <v>1937.932</v>
      </c>
      <c r="G1312" t="n">
        <v>52.188</v>
      </c>
      <c r="H1312" t="inlineStr">
        <is>
          <t>bb</t>
        </is>
      </c>
      <c r="I1312" t="n">
        <v>1937.932</v>
      </c>
    </row>
    <row r="1313">
      <c r="A1313" t="n">
        <v>11</v>
      </c>
      <c r="B1313" t="inlineStr">
        <is>
          <t>K4-5A</t>
        </is>
      </c>
      <c r="D1313" t="n">
        <v>10.71</v>
      </c>
      <c r="E1313" t="n">
        <v>1478.823</v>
      </c>
      <c r="G1313" t="n">
        <v>424.64</v>
      </c>
      <c r="H1313" t="inlineStr">
        <is>
          <t>bb</t>
        </is>
      </c>
      <c r="I1313" t="n">
        <v>1478.823</v>
      </c>
    </row>
    <row r="1314">
      <c r="A1314" t="n">
        <v>12</v>
      </c>
      <c r="B1314" t="inlineStr">
        <is>
          <t>K4-5B</t>
        </is>
      </c>
      <c r="D1314" t="n">
        <v>10.69</v>
      </c>
      <c r="E1314" t="n">
        <v>1644.968</v>
      </c>
      <c r="G1314" t="n">
        <v>22.996</v>
      </c>
      <c r="H1314" t="inlineStr">
        <is>
          <t>bb</t>
        </is>
      </c>
      <c r="I1314" t="n">
        <v>1644.968</v>
      </c>
    </row>
    <row r="1315">
      <c r="A1315" t="n">
        <v>13</v>
      </c>
      <c r="B1315" t="inlineStr">
        <is>
          <t>K4-5C</t>
        </is>
      </c>
      <c r="D1315" t="n">
        <v>10.61</v>
      </c>
      <c r="E1315" t="n">
        <v>1533.308</v>
      </c>
      <c r="G1315" t="n">
        <v>12215</v>
      </c>
      <c r="H1315" t="inlineStr">
        <is>
          <t>bb</t>
        </is>
      </c>
      <c r="I1315" t="n">
        <v>1533.308</v>
      </c>
    </row>
    <row r="1316">
      <c r="A1316" t="n">
        <v>14</v>
      </c>
      <c r="B1316" t="inlineStr">
        <is>
          <t>MeOH</t>
        </is>
      </c>
    </row>
    <row r="1317">
      <c r="A1317" t="n">
        <v>15</v>
      </c>
      <c r="B1317" t="inlineStr">
        <is>
          <t>K3-1A</t>
        </is>
      </c>
      <c r="D1317" t="n">
        <v>10.49</v>
      </c>
      <c r="E1317" t="n">
        <v>1539.783</v>
      </c>
      <c r="G1317" t="n">
        <v>16.702</v>
      </c>
      <c r="H1317" t="inlineStr">
        <is>
          <t>bb</t>
        </is>
      </c>
      <c r="I1317" t="n">
        <v>1539.783</v>
      </c>
    </row>
    <row r="1318">
      <c r="A1318" t="n">
        <v>16</v>
      </c>
      <c r="B1318" t="inlineStr">
        <is>
          <t>K3-1B</t>
        </is>
      </c>
      <c r="D1318" t="n">
        <v>10.53</v>
      </c>
      <c r="E1318" t="n">
        <v>1096.782</v>
      </c>
      <c r="G1318" t="n">
        <v>9070</v>
      </c>
      <c r="H1318" t="inlineStr">
        <is>
          <t>bb</t>
        </is>
      </c>
      <c r="I1318" t="n">
        <v>1096.782</v>
      </c>
    </row>
    <row r="1319">
      <c r="A1319" t="n">
        <v>17</v>
      </c>
      <c r="B1319" t="inlineStr">
        <is>
          <t>K3-1C</t>
        </is>
      </c>
      <c r="D1319" t="n">
        <v>10.57</v>
      </c>
      <c r="E1319" t="n">
        <v>2362.051</v>
      </c>
      <c r="G1319" t="n">
        <v>71.45699999999999</v>
      </c>
      <c r="H1319" t="inlineStr">
        <is>
          <t>bb</t>
        </is>
      </c>
      <c r="I1319" t="n">
        <v>2362.051</v>
      </c>
    </row>
    <row r="1320">
      <c r="A1320" t="n">
        <v>18</v>
      </c>
      <c r="B1320" t="inlineStr">
        <is>
          <t>K3-2A</t>
        </is>
      </c>
      <c r="D1320" t="n">
        <v>10.61</v>
      </c>
      <c r="E1320" t="n">
        <v>1619.999</v>
      </c>
      <c r="G1320" t="n">
        <v>13436</v>
      </c>
      <c r="H1320" t="inlineStr">
        <is>
          <t>bb</t>
        </is>
      </c>
      <c r="I1320" t="n">
        <v>1619.999</v>
      </c>
    </row>
    <row r="1321">
      <c r="A1321" t="n">
        <v>19</v>
      </c>
      <c r="B1321" t="inlineStr">
        <is>
          <t>K3-2B</t>
        </is>
      </c>
      <c r="D1321" t="n">
        <v>10.62</v>
      </c>
      <c r="E1321" t="n">
        <v>2044.315</v>
      </c>
      <c r="G1321" t="n">
        <v>676.229</v>
      </c>
      <c r="H1321" t="inlineStr">
        <is>
          <t>bb</t>
        </is>
      </c>
      <c r="I1321" t="n">
        <v>2044.315</v>
      </c>
    </row>
    <row r="1322">
      <c r="A1322" t="n">
        <v>20</v>
      </c>
      <c r="B1322" t="inlineStr">
        <is>
          <t>K3-2C</t>
        </is>
      </c>
      <c r="D1322" t="n">
        <v>10.61</v>
      </c>
      <c r="E1322" t="n">
        <v>2218.407</v>
      </c>
      <c r="G1322" t="n">
        <v>17.626</v>
      </c>
      <c r="H1322" t="inlineStr">
        <is>
          <t>bb</t>
        </is>
      </c>
      <c r="I1322" t="n">
        <v>2218.407</v>
      </c>
    </row>
    <row r="1323">
      <c r="A1323" t="n">
        <v>21</v>
      </c>
      <c r="B1323" t="inlineStr">
        <is>
          <t>MeOH</t>
        </is>
      </c>
    </row>
    <row r="1324">
      <c r="A1324" t="n">
        <v>22</v>
      </c>
      <c r="B1324" t="inlineStr">
        <is>
          <t>K3-3A</t>
        </is>
      </c>
      <c r="D1324" t="n">
        <v>10.63</v>
      </c>
      <c r="E1324" t="n">
        <v>1515.995</v>
      </c>
      <c r="G1324" t="n">
        <v>12790</v>
      </c>
      <c r="H1324" t="inlineStr">
        <is>
          <t>bb</t>
        </is>
      </c>
      <c r="I1324" t="n">
        <v>1515.995</v>
      </c>
    </row>
    <row r="1325">
      <c r="A1325" t="n">
        <v>23</v>
      </c>
      <c r="B1325" t="inlineStr">
        <is>
          <t>K3-3B</t>
        </is>
      </c>
      <c r="D1325" t="n">
        <v>10.65</v>
      </c>
      <c r="E1325" t="n">
        <v>2110.115</v>
      </c>
      <c r="G1325" t="n">
        <v>100.785</v>
      </c>
      <c r="H1325" t="inlineStr">
        <is>
          <t>bb</t>
        </is>
      </c>
      <c r="I1325" t="n">
        <v>2110.115</v>
      </c>
    </row>
    <row r="1326">
      <c r="A1326" t="n">
        <v>24</v>
      </c>
      <c r="B1326" t="inlineStr">
        <is>
          <t>K3-3C</t>
        </is>
      </c>
      <c r="D1326" t="n">
        <v>10.65</v>
      </c>
      <c r="E1326" t="n">
        <v>1783.99</v>
      </c>
      <c r="G1326" t="n">
        <v>331.674</v>
      </c>
      <c r="H1326" t="inlineStr">
        <is>
          <t>bb</t>
        </is>
      </c>
      <c r="I1326" t="n">
        <v>1783.99</v>
      </c>
    </row>
    <row r="1327">
      <c r="A1327" t="n">
        <v>25</v>
      </c>
      <c r="B1327" t="inlineStr">
        <is>
          <t>K3-4A</t>
        </is>
      </c>
      <c r="D1327" t="n">
        <v>10.72</v>
      </c>
      <c r="E1327" t="n">
        <v>2029.2</v>
      </c>
      <c r="G1327" t="n">
        <v>218.811</v>
      </c>
      <c r="H1327" t="inlineStr">
        <is>
          <t>bb</t>
        </is>
      </c>
      <c r="I1327" t="n">
        <v>2029.2</v>
      </c>
    </row>
    <row r="1328">
      <c r="A1328" t="n">
        <v>26</v>
      </c>
      <c r="B1328" t="inlineStr">
        <is>
          <t>K3-4B</t>
        </is>
      </c>
      <c r="D1328" t="n">
        <v>10.68</v>
      </c>
      <c r="E1328" t="n">
        <v>1683.879</v>
      </c>
      <c r="G1328" t="n">
        <v>181.925</v>
      </c>
      <c r="H1328" t="inlineStr">
        <is>
          <t>bb</t>
        </is>
      </c>
      <c r="I1328" t="n">
        <v>1683.879</v>
      </c>
    </row>
    <row r="1329">
      <c r="A1329" t="n">
        <v>27</v>
      </c>
      <c r="B1329" t="inlineStr">
        <is>
          <t>K3-4C</t>
        </is>
      </c>
      <c r="D1329" t="n">
        <v>10.72</v>
      </c>
      <c r="E1329" t="n">
        <v>2361.376</v>
      </c>
      <c r="G1329" t="n">
        <v>165</v>
      </c>
      <c r="H1329" t="inlineStr">
        <is>
          <t>bb</t>
        </is>
      </c>
      <c r="I1329" t="n">
        <v>2361.376</v>
      </c>
    </row>
    <row r="1330">
      <c r="A1330" t="n">
        <v>28</v>
      </c>
      <c r="B1330" t="inlineStr">
        <is>
          <t>MeOH</t>
        </is>
      </c>
      <c r="H1330" t="inlineStr">
        <is>
          <t>MM-</t>
        </is>
      </c>
    </row>
    <row r="1331">
      <c r="A1331" t="n">
        <v>29</v>
      </c>
      <c r="B1331" t="inlineStr">
        <is>
          <t>K3-6A</t>
        </is>
      </c>
      <c r="D1331" t="n">
        <v>10.75</v>
      </c>
      <c r="E1331" t="n">
        <v>2140.839</v>
      </c>
      <c r="G1331" t="n">
        <v>632.494</v>
      </c>
      <c r="H1331" t="inlineStr">
        <is>
          <t>bb</t>
        </is>
      </c>
      <c r="I1331" t="n">
        <v>2140.839</v>
      </c>
    </row>
    <row r="1332">
      <c r="A1332" t="n">
        <v>30</v>
      </c>
      <c r="B1332" t="inlineStr">
        <is>
          <t>K3-6B</t>
        </is>
      </c>
      <c r="D1332" t="n">
        <v>10.72</v>
      </c>
      <c r="E1332" t="n">
        <v>2028.628</v>
      </c>
      <c r="G1332" t="n">
        <v>5107.631</v>
      </c>
      <c r="H1332" t="inlineStr">
        <is>
          <t>bb</t>
        </is>
      </c>
      <c r="I1332" t="n">
        <v>2028.628</v>
      </c>
    </row>
    <row r="1333">
      <c r="A1333" t="n">
        <v>31</v>
      </c>
      <c r="B1333" t="inlineStr">
        <is>
          <t>K3-6C</t>
        </is>
      </c>
      <c r="D1333" t="n">
        <v>10.71</v>
      </c>
      <c r="E1333" t="n">
        <v>1942.956</v>
      </c>
      <c r="G1333" t="n">
        <v>14574</v>
      </c>
      <c r="H1333" t="inlineStr">
        <is>
          <t>bb</t>
        </is>
      </c>
      <c r="I1333" t="n">
        <v>1942.956</v>
      </c>
    </row>
    <row r="1335">
      <c r="A1335" t="inlineStr">
        <is>
          <t>Compound 39:  m4 PFHpA 2</t>
        </is>
      </c>
    </row>
    <row r="1337">
      <c r="B1337" t="inlineStr">
        <is>
          <t>Sample Text</t>
        </is>
      </c>
      <c r="C1337" t="inlineStr">
        <is>
          <t>Std. Conc</t>
        </is>
      </c>
      <c r="D1337" t="inlineStr">
        <is>
          <t>RT</t>
        </is>
      </c>
      <c r="E1337" t="inlineStr">
        <is>
          <t>Area</t>
        </is>
      </c>
      <c r="F1337" t="inlineStr">
        <is>
          <t>IS Area</t>
        </is>
      </c>
      <c r="G1337" t="inlineStr">
        <is>
          <t>S/N</t>
        </is>
      </c>
      <c r="H1337" t="inlineStr">
        <is>
          <t>Primary Flags</t>
        </is>
      </c>
      <c r="I1337" t="inlineStr">
        <is>
          <t>Response</t>
        </is>
      </c>
      <c r="J1337" t="inlineStr">
        <is>
          <t>Conc.</t>
        </is>
      </c>
    </row>
    <row r="1338">
      <c r="A1338" t="n">
        <v>1</v>
      </c>
      <c r="B1338" t="inlineStr">
        <is>
          <t>K4-1A</t>
        </is>
      </c>
      <c r="D1338" t="n">
        <v>10.69</v>
      </c>
      <c r="E1338" t="n">
        <v>430.627</v>
      </c>
      <c r="G1338" t="n">
        <v>559.67</v>
      </c>
      <c r="H1338" t="inlineStr">
        <is>
          <t>bb</t>
        </is>
      </c>
      <c r="I1338" t="n">
        <v>430.627</v>
      </c>
    </row>
    <row r="1339">
      <c r="A1339" t="n">
        <v>2</v>
      </c>
      <c r="B1339" t="inlineStr">
        <is>
          <t>K4-1B</t>
        </is>
      </c>
      <c r="D1339" t="n">
        <v>10.66</v>
      </c>
      <c r="E1339" t="n">
        <v>434.459</v>
      </c>
      <c r="G1339" t="n">
        <v>5.048</v>
      </c>
      <c r="H1339" t="inlineStr">
        <is>
          <t>bb</t>
        </is>
      </c>
      <c r="I1339" t="n">
        <v>434.459</v>
      </c>
    </row>
    <row r="1340">
      <c r="A1340" t="n">
        <v>3</v>
      </c>
      <c r="B1340" t="inlineStr">
        <is>
          <t>K4-1C</t>
        </is>
      </c>
      <c r="D1340" t="n">
        <v>10.67</v>
      </c>
      <c r="E1340" t="n">
        <v>405.895</v>
      </c>
      <c r="G1340" t="n">
        <v>125.518</v>
      </c>
      <c r="H1340" t="inlineStr">
        <is>
          <t>bb</t>
        </is>
      </c>
      <c r="I1340" t="n">
        <v>405.895</v>
      </c>
    </row>
    <row r="1341">
      <c r="A1341" t="n">
        <v>4</v>
      </c>
      <c r="B1341" t="inlineStr">
        <is>
          <t>K4-2A</t>
        </is>
      </c>
      <c r="D1341" t="n">
        <v>10.71</v>
      </c>
      <c r="E1341" t="n">
        <v>542.183</v>
      </c>
      <c r="G1341" t="n">
        <v>28.35</v>
      </c>
      <c r="H1341" t="inlineStr">
        <is>
          <t>bb</t>
        </is>
      </c>
      <c r="I1341" t="n">
        <v>542.183</v>
      </c>
    </row>
    <row r="1342">
      <c r="A1342" t="n">
        <v>5</v>
      </c>
      <c r="B1342" t="inlineStr">
        <is>
          <t>K4-2B</t>
        </is>
      </c>
      <c r="D1342" t="n">
        <v>10.7</v>
      </c>
      <c r="E1342" t="n">
        <v>495.363</v>
      </c>
      <c r="G1342" t="n">
        <v>4090</v>
      </c>
      <c r="H1342" t="inlineStr">
        <is>
          <t>bb</t>
        </is>
      </c>
      <c r="I1342" t="n">
        <v>495.363</v>
      </c>
    </row>
    <row r="1343">
      <c r="A1343" t="n">
        <v>6</v>
      </c>
      <c r="B1343" t="inlineStr">
        <is>
          <t>K4-2C</t>
        </is>
      </c>
      <c r="D1343" t="n">
        <v>10.7</v>
      </c>
      <c r="E1343" t="n">
        <v>406.254</v>
      </c>
      <c r="G1343" t="n">
        <v>95.53</v>
      </c>
      <c r="H1343" t="inlineStr">
        <is>
          <t>bb</t>
        </is>
      </c>
      <c r="I1343" t="n">
        <v>406.254</v>
      </c>
    </row>
    <row r="1344">
      <c r="A1344" t="n">
        <v>7</v>
      </c>
      <c r="B1344" t="inlineStr">
        <is>
          <t>MeOH</t>
        </is>
      </c>
    </row>
    <row r="1345">
      <c r="A1345" t="n">
        <v>8</v>
      </c>
      <c r="B1345" t="inlineStr">
        <is>
          <t>K4-4A</t>
        </is>
      </c>
      <c r="D1345" t="n">
        <v>10.72</v>
      </c>
      <c r="E1345" t="n">
        <v>353.27</v>
      </c>
      <c r="G1345" t="n">
        <v>2742</v>
      </c>
      <c r="H1345" t="inlineStr">
        <is>
          <t>bb</t>
        </is>
      </c>
      <c r="I1345" t="n">
        <v>353.27</v>
      </c>
    </row>
    <row r="1346">
      <c r="A1346" t="n">
        <v>9</v>
      </c>
      <c r="B1346" t="inlineStr">
        <is>
          <t>K4-4B</t>
        </is>
      </c>
      <c r="D1346" t="n">
        <v>10.73</v>
      </c>
      <c r="E1346" t="n">
        <v>391.153</v>
      </c>
      <c r="G1346" t="n">
        <v>3271</v>
      </c>
      <c r="H1346" t="inlineStr">
        <is>
          <t>MM</t>
        </is>
      </c>
      <c r="I1346" t="n">
        <v>391.153</v>
      </c>
    </row>
    <row r="1347">
      <c r="A1347" t="n">
        <v>10</v>
      </c>
      <c r="B1347" t="inlineStr">
        <is>
          <t>K4-4C</t>
        </is>
      </c>
      <c r="D1347" t="n">
        <v>10.71</v>
      </c>
      <c r="E1347" t="n">
        <v>255.948</v>
      </c>
      <c r="G1347" t="n">
        <v>16.372</v>
      </c>
      <c r="H1347" t="inlineStr">
        <is>
          <t>bb</t>
        </is>
      </c>
      <c r="I1347" t="n">
        <v>255.948</v>
      </c>
    </row>
    <row r="1348">
      <c r="A1348" t="n">
        <v>11</v>
      </c>
      <c r="B1348" t="inlineStr">
        <is>
          <t>K4-5A</t>
        </is>
      </c>
      <c r="D1348" t="n">
        <v>10.72</v>
      </c>
      <c r="E1348" t="n">
        <v>283.625</v>
      </c>
      <c r="G1348" t="n">
        <v>20.801</v>
      </c>
      <c r="H1348" t="inlineStr">
        <is>
          <t>bb</t>
        </is>
      </c>
      <c r="I1348" t="n">
        <v>283.625</v>
      </c>
    </row>
    <row r="1349">
      <c r="A1349" t="n">
        <v>12</v>
      </c>
      <c r="B1349" t="inlineStr">
        <is>
          <t>K4-5B</t>
        </is>
      </c>
      <c r="D1349" t="n">
        <v>10.67</v>
      </c>
      <c r="E1349" t="n">
        <v>400.964</v>
      </c>
      <c r="G1349" t="n">
        <v>3044</v>
      </c>
      <c r="H1349" t="inlineStr">
        <is>
          <t>bb</t>
        </is>
      </c>
      <c r="I1349" t="n">
        <v>400.964</v>
      </c>
    </row>
    <row r="1350">
      <c r="A1350" t="n">
        <v>13</v>
      </c>
      <c r="B1350" t="inlineStr">
        <is>
          <t>K4-5C</t>
        </is>
      </c>
      <c r="D1350" t="n">
        <v>10.61</v>
      </c>
      <c r="E1350" t="n">
        <v>125.699</v>
      </c>
      <c r="G1350" t="n">
        <v>13.778</v>
      </c>
      <c r="H1350" t="inlineStr">
        <is>
          <t>bb</t>
        </is>
      </c>
      <c r="I1350" t="n">
        <v>125.699</v>
      </c>
    </row>
    <row r="1351">
      <c r="A1351" t="n">
        <v>14</v>
      </c>
      <c r="B1351" t="inlineStr">
        <is>
          <t>MeOH</t>
        </is>
      </c>
      <c r="H1351" t="inlineStr">
        <is>
          <t>MM-</t>
        </is>
      </c>
    </row>
    <row r="1352">
      <c r="A1352" t="n">
        <v>15</v>
      </c>
      <c r="B1352" t="inlineStr">
        <is>
          <t>K3-1A</t>
        </is>
      </c>
      <c r="D1352" t="n">
        <v>10.48</v>
      </c>
      <c r="E1352" t="n">
        <v>168.989</v>
      </c>
      <c r="G1352" t="n">
        <v>3.059</v>
      </c>
      <c r="H1352" t="inlineStr">
        <is>
          <t>MM</t>
        </is>
      </c>
      <c r="I1352" t="n">
        <v>168.989</v>
      </c>
    </row>
    <row r="1353">
      <c r="A1353" t="n">
        <v>16</v>
      </c>
      <c r="B1353" t="inlineStr">
        <is>
          <t>K3-1B</t>
        </is>
      </c>
      <c r="D1353" t="n">
        <v>10.52</v>
      </c>
      <c r="E1353" t="n">
        <v>138.587</v>
      </c>
      <c r="G1353" t="n">
        <v>7.128</v>
      </c>
      <c r="H1353" t="inlineStr">
        <is>
          <t>MM</t>
        </is>
      </c>
      <c r="I1353" t="n">
        <v>138.587</v>
      </c>
    </row>
    <row r="1354">
      <c r="A1354" t="n">
        <v>17</v>
      </c>
      <c r="B1354" t="inlineStr">
        <is>
          <t>K3-1C</t>
        </is>
      </c>
      <c r="D1354" t="n">
        <v>10.58</v>
      </c>
      <c r="E1354" t="n">
        <v>473.364</v>
      </c>
      <c r="G1354" t="n">
        <v>15.309</v>
      </c>
      <c r="H1354" t="inlineStr">
        <is>
          <t>bb</t>
        </is>
      </c>
      <c r="I1354" t="n">
        <v>473.364</v>
      </c>
    </row>
    <row r="1355">
      <c r="A1355" t="n">
        <v>18</v>
      </c>
      <c r="B1355" t="inlineStr">
        <is>
          <t>K3-2A</t>
        </is>
      </c>
      <c r="D1355" t="n">
        <v>10.6</v>
      </c>
      <c r="E1355" t="n">
        <v>346.798</v>
      </c>
      <c r="G1355" t="n">
        <v>2794</v>
      </c>
      <c r="H1355" t="inlineStr">
        <is>
          <t>bb</t>
        </is>
      </c>
      <c r="I1355" t="n">
        <v>346.798</v>
      </c>
    </row>
    <row r="1356">
      <c r="A1356" t="n">
        <v>19</v>
      </c>
      <c r="B1356" t="inlineStr">
        <is>
          <t>K3-2B</t>
        </is>
      </c>
      <c r="D1356" t="n">
        <v>10.61</v>
      </c>
      <c r="E1356" t="n">
        <v>466.386</v>
      </c>
      <c r="G1356" t="n">
        <v>4.337</v>
      </c>
      <c r="H1356" t="inlineStr">
        <is>
          <t>bb</t>
        </is>
      </c>
      <c r="I1356" t="n">
        <v>466.386</v>
      </c>
    </row>
    <row r="1357">
      <c r="A1357" t="n">
        <v>20</v>
      </c>
      <c r="B1357" t="inlineStr">
        <is>
          <t>K3-2C</t>
        </is>
      </c>
      <c r="D1357" t="n">
        <v>10.63</v>
      </c>
      <c r="E1357" t="n">
        <v>257.588</v>
      </c>
      <c r="G1357" t="n">
        <v>2003</v>
      </c>
      <c r="H1357" t="inlineStr">
        <is>
          <t>bb</t>
        </is>
      </c>
      <c r="I1357" t="n">
        <v>257.588</v>
      </c>
    </row>
    <row r="1358">
      <c r="A1358" t="n">
        <v>21</v>
      </c>
      <c r="B1358" t="inlineStr">
        <is>
          <t>MeOH</t>
        </is>
      </c>
    </row>
    <row r="1359">
      <c r="A1359" t="n">
        <v>22</v>
      </c>
      <c r="B1359" t="inlineStr">
        <is>
          <t>K3-3A</t>
        </is>
      </c>
      <c r="D1359" t="n">
        <v>10.64</v>
      </c>
      <c r="E1359" t="n">
        <v>523.019</v>
      </c>
      <c r="G1359" t="n">
        <v>4315</v>
      </c>
      <c r="H1359" t="inlineStr">
        <is>
          <t>bb</t>
        </is>
      </c>
      <c r="I1359" t="n">
        <v>523.019</v>
      </c>
    </row>
    <row r="1360">
      <c r="A1360" t="n">
        <v>23</v>
      </c>
      <c r="B1360" t="inlineStr">
        <is>
          <t>K3-3B</t>
        </is>
      </c>
      <c r="D1360" t="n">
        <v>10.65</v>
      </c>
      <c r="E1360" t="n">
        <v>197.315</v>
      </c>
      <c r="G1360" t="n">
        <v>6.702</v>
      </c>
      <c r="H1360" t="inlineStr">
        <is>
          <t>bb</t>
        </is>
      </c>
      <c r="I1360" t="n">
        <v>197.315</v>
      </c>
    </row>
    <row r="1361">
      <c r="A1361" t="n">
        <v>24</v>
      </c>
      <c r="B1361" t="inlineStr">
        <is>
          <t>K3-3C</t>
        </is>
      </c>
      <c r="D1361" t="n">
        <v>10.64</v>
      </c>
      <c r="E1361" t="n">
        <v>559.524</v>
      </c>
      <c r="G1361" t="n">
        <v>17.193</v>
      </c>
      <c r="H1361" t="inlineStr">
        <is>
          <t>bb</t>
        </is>
      </c>
      <c r="I1361" t="n">
        <v>559.524</v>
      </c>
    </row>
    <row r="1362">
      <c r="A1362" t="n">
        <v>25</v>
      </c>
      <c r="B1362" t="inlineStr">
        <is>
          <t>K3-4A</t>
        </is>
      </c>
      <c r="D1362" t="n">
        <v>10.73</v>
      </c>
      <c r="E1362" t="n">
        <v>341.95</v>
      </c>
      <c r="G1362" t="n">
        <v>3042</v>
      </c>
      <c r="H1362" t="inlineStr">
        <is>
          <t>bb</t>
        </is>
      </c>
      <c r="I1362" t="n">
        <v>341.95</v>
      </c>
    </row>
    <row r="1363">
      <c r="A1363" t="n">
        <v>26</v>
      </c>
      <c r="B1363" t="inlineStr">
        <is>
          <t>K3-4B</t>
        </is>
      </c>
      <c r="D1363" t="n">
        <v>10.69</v>
      </c>
      <c r="E1363" t="n">
        <v>376.83</v>
      </c>
      <c r="G1363" t="n">
        <v>8.257999999999999</v>
      </c>
      <c r="H1363" t="inlineStr">
        <is>
          <t>MM</t>
        </is>
      </c>
      <c r="I1363" t="n">
        <v>376.83</v>
      </c>
    </row>
    <row r="1364">
      <c r="A1364" t="n">
        <v>27</v>
      </c>
      <c r="B1364" t="inlineStr">
        <is>
          <t>K3-4C</t>
        </is>
      </c>
      <c r="D1364" t="n">
        <v>10.72</v>
      </c>
      <c r="E1364" t="n">
        <v>538.612</v>
      </c>
      <c r="G1364" t="n">
        <v>35.251</v>
      </c>
      <c r="H1364" t="inlineStr">
        <is>
          <t>bb</t>
        </is>
      </c>
      <c r="I1364" t="n">
        <v>538.612</v>
      </c>
    </row>
    <row r="1365">
      <c r="A1365" t="n">
        <v>28</v>
      </c>
      <c r="B1365" t="inlineStr">
        <is>
          <t>MeOH</t>
        </is>
      </c>
    </row>
    <row r="1366">
      <c r="A1366" t="n">
        <v>29</v>
      </c>
      <c r="B1366" t="inlineStr">
        <is>
          <t>K3-6A</t>
        </is>
      </c>
      <c r="D1366" t="n">
        <v>10.76</v>
      </c>
      <c r="E1366" t="n">
        <v>295.835</v>
      </c>
      <c r="G1366" t="n">
        <v>2349</v>
      </c>
      <c r="H1366" t="inlineStr">
        <is>
          <t>bb</t>
        </is>
      </c>
      <c r="I1366" t="n">
        <v>295.835</v>
      </c>
    </row>
    <row r="1367">
      <c r="A1367" t="n">
        <v>30</v>
      </c>
      <c r="B1367" t="inlineStr">
        <is>
          <t>K3-6B</t>
        </is>
      </c>
      <c r="D1367" t="n">
        <v>10.73</v>
      </c>
      <c r="E1367" t="n">
        <v>198.1</v>
      </c>
      <c r="G1367" t="n">
        <v>46.462</v>
      </c>
      <c r="H1367" t="inlineStr">
        <is>
          <t>bb</t>
        </is>
      </c>
      <c r="I1367" t="n">
        <v>198.1</v>
      </c>
    </row>
    <row r="1368">
      <c r="A1368" t="n">
        <v>31</v>
      </c>
      <c r="B1368" t="inlineStr">
        <is>
          <t>K3-6C</t>
        </is>
      </c>
      <c r="D1368" t="n">
        <v>10.74</v>
      </c>
      <c r="E1368" t="n">
        <v>498.783</v>
      </c>
      <c r="G1368" t="n">
        <v>16.279</v>
      </c>
      <c r="H1368" t="inlineStr">
        <is>
          <t>bb</t>
        </is>
      </c>
      <c r="I1368" t="n">
        <v>498.783</v>
      </c>
    </row>
    <row r="1370">
      <c r="A1370" t="inlineStr">
        <is>
          <t>Compound 40:  6:2 FTCA</t>
        </is>
      </c>
    </row>
    <row r="1372">
      <c r="B1372" t="inlineStr">
        <is>
          <t>Sample Text</t>
        </is>
      </c>
      <c r="C1372" t="inlineStr">
        <is>
          <t>Std. Conc</t>
        </is>
      </c>
      <c r="D1372" t="inlineStr">
        <is>
          <t>RT</t>
        </is>
      </c>
      <c r="E1372" t="inlineStr">
        <is>
          <t>Area</t>
        </is>
      </c>
      <c r="F1372" t="inlineStr">
        <is>
          <t>IS Area</t>
        </is>
      </c>
      <c r="G1372" t="inlineStr">
        <is>
          <t>S/N</t>
        </is>
      </c>
      <c r="H1372" t="inlineStr">
        <is>
          <t>Primary Flags</t>
        </is>
      </c>
      <c r="I1372" t="inlineStr">
        <is>
          <t>Response</t>
        </is>
      </c>
      <c r="J1372" t="inlineStr">
        <is>
          <t>Conc.</t>
        </is>
      </c>
    </row>
    <row r="1373">
      <c r="A1373" t="n">
        <v>1</v>
      </c>
      <c r="B1373" t="inlineStr">
        <is>
          <t>K4-1A</t>
        </is>
      </c>
    </row>
    <row r="1374">
      <c r="A1374" t="n">
        <v>2</v>
      </c>
      <c r="B1374" t="inlineStr">
        <is>
          <t>K4-1B</t>
        </is>
      </c>
    </row>
    <row r="1375">
      <c r="A1375" t="n">
        <v>3</v>
      </c>
      <c r="B1375" t="inlineStr">
        <is>
          <t>K4-1C</t>
        </is>
      </c>
    </row>
    <row r="1376">
      <c r="A1376" t="n">
        <v>4</v>
      </c>
      <c r="B1376" t="inlineStr">
        <is>
          <t>K4-2A</t>
        </is>
      </c>
    </row>
    <row r="1377">
      <c r="A1377" t="n">
        <v>5</v>
      </c>
      <c r="B1377" t="inlineStr">
        <is>
          <t>K4-2B</t>
        </is>
      </c>
    </row>
    <row r="1378">
      <c r="A1378" t="n">
        <v>6</v>
      </c>
      <c r="B1378" t="inlineStr">
        <is>
          <t>K4-2C</t>
        </is>
      </c>
    </row>
    <row r="1379">
      <c r="A1379" t="n">
        <v>7</v>
      </c>
      <c r="B1379" t="inlineStr">
        <is>
          <t>MeOH</t>
        </is>
      </c>
    </row>
    <row r="1380">
      <c r="A1380" t="n">
        <v>8</v>
      </c>
      <c r="B1380" t="inlineStr">
        <is>
          <t>K4-4A</t>
        </is>
      </c>
    </row>
    <row r="1381">
      <c r="A1381" t="n">
        <v>9</v>
      </c>
      <c r="B1381" t="inlineStr">
        <is>
          <t>K4-4B</t>
        </is>
      </c>
      <c r="D1381" t="n">
        <v>10.47</v>
      </c>
      <c r="E1381" t="n">
        <v>9.571</v>
      </c>
      <c r="G1381" t="n">
        <v>107</v>
      </c>
      <c r="H1381" t="inlineStr">
        <is>
          <t>bb</t>
        </is>
      </c>
      <c r="I1381" t="n">
        <v>9.571</v>
      </c>
    </row>
    <row r="1382">
      <c r="A1382" t="n">
        <v>10</v>
      </c>
      <c r="B1382" t="inlineStr">
        <is>
          <t>K4-4C</t>
        </is>
      </c>
    </row>
    <row r="1383">
      <c r="A1383" t="n">
        <v>11</v>
      </c>
      <c r="B1383" t="inlineStr">
        <is>
          <t>K4-5A</t>
        </is>
      </c>
    </row>
    <row r="1384">
      <c r="A1384" t="n">
        <v>12</v>
      </c>
      <c r="B1384" t="inlineStr">
        <is>
          <t>K4-5B</t>
        </is>
      </c>
    </row>
    <row r="1385">
      <c r="A1385" t="n">
        <v>13</v>
      </c>
      <c r="B1385" t="inlineStr">
        <is>
          <t>K4-5C</t>
        </is>
      </c>
    </row>
    <row r="1386">
      <c r="A1386" t="n">
        <v>14</v>
      </c>
      <c r="B1386" t="inlineStr">
        <is>
          <t>MeOH</t>
        </is>
      </c>
    </row>
    <row r="1387">
      <c r="A1387" t="n">
        <v>15</v>
      </c>
      <c r="B1387" t="inlineStr">
        <is>
          <t>K3-1A</t>
        </is>
      </c>
    </row>
    <row r="1388">
      <c r="A1388" t="n">
        <v>16</v>
      </c>
      <c r="B1388" t="inlineStr">
        <is>
          <t>K3-1B</t>
        </is>
      </c>
    </row>
    <row r="1389">
      <c r="A1389" t="n">
        <v>17</v>
      </c>
      <c r="B1389" t="inlineStr">
        <is>
          <t>K3-1C</t>
        </is>
      </c>
    </row>
    <row r="1390">
      <c r="A1390" t="n">
        <v>18</v>
      </c>
      <c r="B1390" t="inlineStr">
        <is>
          <t>K3-2A</t>
        </is>
      </c>
    </row>
    <row r="1391">
      <c r="A1391" t="n">
        <v>19</v>
      </c>
      <c r="B1391" t="inlineStr">
        <is>
          <t>K3-2B</t>
        </is>
      </c>
      <c r="D1391" t="n">
        <v>10.99</v>
      </c>
      <c r="E1391" t="n">
        <v>0.539</v>
      </c>
      <c r="G1391" t="n">
        <v>5</v>
      </c>
      <c r="H1391" t="inlineStr">
        <is>
          <t>bb</t>
        </is>
      </c>
      <c r="I1391" t="n">
        <v>0.539</v>
      </c>
    </row>
    <row r="1392">
      <c r="A1392" t="n">
        <v>20</v>
      </c>
      <c r="B1392" t="inlineStr">
        <is>
          <t>K3-2C</t>
        </is>
      </c>
      <c r="D1392" t="n">
        <v>10.97</v>
      </c>
      <c r="E1392" t="n">
        <v>0.276</v>
      </c>
      <c r="G1392" t="n">
        <v>3</v>
      </c>
      <c r="H1392" t="inlineStr">
        <is>
          <t>bb</t>
        </is>
      </c>
      <c r="I1392" t="n">
        <v>0.276</v>
      </c>
    </row>
    <row r="1393">
      <c r="A1393" t="n">
        <v>21</v>
      </c>
      <c r="B1393" t="inlineStr">
        <is>
          <t>MeOH</t>
        </is>
      </c>
    </row>
    <row r="1394">
      <c r="A1394" t="n">
        <v>22</v>
      </c>
      <c r="B1394" t="inlineStr">
        <is>
          <t>K3-3A</t>
        </is>
      </c>
    </row>
    <row r="1395">
      <c r="A1395" t="n">
        <v>23</v>
      </c>
      <c r="B1395" t="inlineStr">
        <is>
          <t>K3-3B</t>
        </is>
      </c>
    </row>
    <row r="1396">
      <c r="A1396" t="n">
        <v>24</v>
      </c>
      <c r="B1396" t="inlineStr">
        <is>
          <t>K3-3C</t>
        </is>
      </c>
    </row>
    <row r="1397">
      <c r="A1397" t="n">
        <v>25</v>
      </c>
      <c r="B1397" t="inlineStr">
        <is>
          <t>K3-4A</t>
        </is>
      </c>
    </row>
    <row r="1398">
      <c r="A1398" t="n">
        <v>26</v>
      </c>
      <c r="B1398" t="inlineStr">
        <is>
          <t>K3-4B</t>
        </is>
      </c>
      <c r="D1398" t="n">
        <v>10.91</v>
      </c>
      <c r="E1398" t="n">
        <v>2.149</v>
      </c>
      <c r="G1398" t="n">
        <v>21</v>
      </c>
      <c r="H1398" t="inlineStr">
        <is>
          <t>bb</t>
        </is>
      </c>
      <c r="I1398" t="n">
        <v>2.149</v>
      </c>
    </row>
    <row r="1399">
      <c r="A1399" t="n">
        <v>27</v>
      </c>
      <c r="B1399" t="inlineStr">
        <is>
          <t>K3-4C</t>
        </is>
      </c>
    </row>
    <row r="1400">
      <c r="A1400" t="n">
        <v>28</v>
      </c>
      <c r="B1400" t="inlineStr">
        <is>
          <t>MeOH</t>
        </is>
      </c>
    </row>
    <row r="1401">
      <c r="A1401" t="n">
        <v>29</v>
      </c>
      <c r="B1401" t="inlineStr">
        <is>
          <t>K3-6A</t>
        </is>
      </c>
      <c r="D1401" t="n">
        <v>10.97</v>
      </c>
      <c r="E1401" t="n">
        <v>1.643</v>
      </c>
      <c r="G1401" t="n">
        <v>16</v>
      </c>
      <c r="H1401" t="inlineStr">
        <is>
          <t>bb</t>
        </is>
      </c>
      <c r="I1401" t="n">
        <v>1.643</v>
      </c>
    </row>
    <row r="1402">
      <c r="A1402" t="n">
        <v>30</v>
      </c>
      <c r="B1402" t="inlineStr">
        <is>
          <t>K3-6B</t>
        </is>
      </c>
    </row>
    <row r="1403">
      <c r="A1403" t="n">
        <v>31</v>
      </c>
      <c r="B1403" t="inlineStr">
        <is>
          <t>K3-6C</t>
        </is>
      </c>
    </row>
    <row r="1405">
      <c r="A1405" t="inlineStr">
        <is>
          <t>Compound 41:  NaDONA 1</t>
        </is>
      </c>
    </row>
    <row r="1407">
      <c r="B1407" t="inlineStr">
        <is>
          <t>Sample Text</t>
        </is>
      </c>
      <c r="C1407" t="inlineStr">
        <is>
          <t>Std. Conc</t>
        </is>
      </c>
      <c r="D1407" t="inlineStr">
        <is>
          <t>RT</t>
        </is>
      </c>
      <c r="E1407" t="inlineStr">
        <is>
          <t>Area</t>
        </is>
      </c>
      <c r="F1407" t="inlineStr">
        <is>
          <t>IS Area</t>
        </is>
      </c>
      <c r="G1407" t="inlineStr">
        <is>
          <t>S/N</t>
        </is>
      </c>
      <c r="H1407" t="inlineStr">
        <is>
          <t>Primary Flags</t>
        </is>
      </c>
      <c r="I1407" t="inlineStr">
        <is>
          <t>Response</t>
        </is>
      </c>
      <c r="J1407" t="inlineStr">
        <is>
          <t>Conc.</t>
        </is>
      </c>
    </row>
    <row r="1408">
      <c r="A1408" t="n">
        <v>1</v>
      </c>
      <c r="B1408" t="inlineStr">
        <is>
          <t>K4-1A</t>
        </is>
      </c>
      <c r="D1408" t="n">
        <v>10.86</v>
      </c>
      <c r="E1408" t="n">
        <v>14.293</v>
      </c>
      <c r="F1408" t="n">
        <v>1089.252</v>
      </c>
      <c r="G1408" t="n">
        <v>141</v>
      </c>
      <c r="H1408" t="inlineStr">
        <is>
          <t>bb</t>
        </is>
      </c>
    </row>
    <row r="1409">
      <c r="A1409" t="n">
        <v>2</v>
      </c>
      <c r="B1409" t="inlineStr">
        <is>
          <t>K4-1B</t>
        </is>
      </c>
      <c r="D1409" t="n">
        <v>10.66</v>
      </c>
      <c r="E1409" t="n">
        <v>10.528</v>
      </c>
      <c r="F1409" t="n">
        <v>1115.616</v>
      </c>
      <c r="G1409" t="n">
        <v>117</v>
      </c>
      <c r="H1409" t="inlineStr">
        <is>
          <t>bb</t>
        </is>
      </c>
    </row>
    <row r="1410">
      <c r="A1410" t="n">
        <v>3</v>
      </c>
      <c r="B1410" t="inlineStr">
        <is>
          <t>K4-1C</t>
        </is>
      </c>
      <c r="F1410" t="n">
        <v>1132.369</v>
      </c>
    </row>
    <row r="1411">
      <c r="A1411" t="n">
        <v>4</v>
      </c>
      <c r="B1411" t="inlineStr">
        <is>
          <t>K4-2A</t>
        </is>
      </c>
      <c r="F1411" t="n">
        <v>1273.285</v>
      </c>
    </row>
    <row r="1412">
      <c r="A1412" t="n">
        <v>5</v>
      </c>
      <c r="B1412" t="inlineStr">
        <is>
          <t>K4-2B</t>
        </is>
      </c>
      <c r="F1412" t="n">
        <v>979.547</v>
      </c>
    </row>
    <row r="1413">
      <c r="A1413" t="n">
        <v>6</v>
      </c>
      <c r="B1413" t="inlineStr">
        <is>
          <t>K4-2C</t>
        </is>
      </c>
      <c r="F1413" t="n">
        <v>981.904</v>
      </c>
    </row>
    <row r="1414">
      <c r="A1414" t="n">
        <v>7</v>
      </c>
      <c r="B1414" t="inlineStr">
        <is>
          <t>MeOH</t>
        </is>
      </c>
      <c r="F1414" t="n">
        <v>0</v>
      </c>
      <c r="H1414" t="inlineStr">
        <is>
          <t>MM-</t>
        </is>
      </c>
    </row>
    <row r="1415">
      <c r="A1415" t="n">
        <v>8</v>
      </c>
      <c r="B1415" t="inlineStr">
        <is>
          <t>K4-4A</t>
        </is>
      </c>
      <c r="D1415" t="n">
        <v>12.72</v>
      </c>
      <c r="E1415" t="n">
        <v>2.861</v>
      </c>
      <c r="F1415" t="n">
        <v>945.34</v>
      </c>
      <c r="G1415" t="n">
        <v>28</v>
      </c>
      <c r="H1415" t="inlineStr">
        <is>
          <t>MM</t>
        </is>
      </c>
    </row>
    <row r="1416">
      <c r="A1416" t="n">
        <v>9</v>
      </c>
      <c r="B1416" t="inlineStr">
        <is>
          <t>K4-4B</t>
        </is>
      </c>
      <c r="D1416" t="n">
        <v>9.77</v>
      </c>
      <c r="E1416" t="n">
        <v>1.056</v>
      </c>
      <c r="F1416" t="n">
        <v>779.129</v>
      </c>
      <c r="G1416" t="n">
        <v>12</v>
      </c>
      <c r="H1416" t="inlineStr">
        <is>
          <t>MM</t>
        </is>
      </c>
    </row>
    <row r="1417">
      <c r="A1417" t="n">
        <v>10</v>
      </c>
      <c r="B1417" t="inlineStr">
        <is>
          <t>K4-4C</t>
        </is>
      </c>
      <c r="F1417" t="n">
        <v>609.096</v>
      </c>
    </row>
    <row r="1418">
      <c r="A1418" t="n">
        <v>11</v>
      </c>
      <c r="B1418" t="inlineStr">
        <is>
          <t>K4-5A</t>
        </is>
      </c>
      <c r="F1418" t="n">
        <v>865.3440000000001</v>
      </c>
    </row>
    <row r="1419">
      <c r="A1419" t="n">
        <v>12</v>
      </c>
      <c r="B1419" t="inlineStr">
        <is>
          <t>K4-5B</t>
        </is>
      </c>
      <c r="D1419" t="n">
        <v>10.06</v>
      </c>
      <c r="E1419" t="n">
        <v>3.992</v>
      </c>
      <c r="F1419" t="n">
        <v>1052.138</v>
      </c>
      <c r="G1419" t="n">
        <v>44</v>
      </c>
      <c r="H1419" t="inlineStr">
        <is>
          <t>MM</t>
        </is>
      </c>
    </row>
    <row r="1420">
      <c r="A1420" t="n">
        <v>13</v>
      </c>
      <c r="B1420" t="inlineStr">
        <is>
          <t>K4-5C</t>
        </is>
      </c>
      <c r="D1420" t="n">
        <v>12.09</v>
      </c>
      <c r="E1420" t="n">
        <v>30.4</v>
      </c>
      <c r="F1420" t="n">
        <v>1085.217</v>
      </c>
      <c r="G1420" t="n">
        <v>261</v>
      </c>
      <c r="H1420" t="inlineStr">
        <is>
          <t>MM</t>
        </is>
      </c>
    </row>
    <row r="1421">
      <c r="A1421" t="n">
        <v>14</v>
      </c>
      <c r="B1421" t="inlineStr">
        <is>
          <t>MeOH</t>
        </is>
      </c>
      <c r="F1421" t="n">
        <v>0</v>
      </c>
      <c r="H1421" t="inlineStr">
        <is>
          <t>MM-</t>
        </is>
      </c>
    </row>
    <row r="1422">
      <c r="A1422" t="n">
        <v>15</v>
      </c>
      <c r="B1422" t="inlineStr">
        <is>
          <t>K3-1A</t>
        </is>
      </c>
      <c r="D1422" t="n">
        <v>10.99</v>
      </c>
      <c r="E1422" t="n">
        <v>2.059</v>
      </c>
      <c r="F1422" t="n">
        <v>1109.893</v>
      </c>
      <c r="G1422" t="n">
        <v>20</v>
      </c>
      <c r="H1422" t="inlineStr">
        <is>
          <t>bb</t>
        </is>
      </c>
    </row>
    <row r="1423">
      <c r="A1423" t="n">
        <v>16</v>
      </c>
      <c r="B1423" t="inlineStr">
        <is>
          <t>K3-1B</t>
        </is>
      </c>
      <c r="D1423" t="n">
        <v>10.7</v>
      </c>
      <c r="E1423" t="n">
        <v>45.514</v>
      </c>
      <c r="F1423" t="n">
        <v>966.809</v>
      </c>
      <c r="G1423" t="n">
        <v>6.178</v>
      </c>
      <c r="H1423" t="inlineStr">
        <is>
          <t>bb</t>
        </is>
      </c>
    </row>
    <row r="1424">
      <c r="A1424" t="n">
        <v>17</v>
      </c>
      <c r="B1424" t="inlineStr">
        <is>
          <t>K3-1C</t>
        </is>
      </c>
      <c r="D1424" t="n">
        <v>12.2</v>
      </c>
      <c r="E1424" t="n">
        <v>4.177</v>
      </c>
      <c r="F1424" t="n">
        <v>1349.016</v>
      </c>
      <c r="G1424" t="n">
        <v>38</v>
      </c>
      <c r="H1424" t="inlineStr">
        <is>
          <t>MM</t>
        </is>
      </c>
    </row>
    <row r="1425">
      <c r="A1425" t="n">
        <v>18</v>
      </c>
      <c r="B1425" t="inlineStr">
        <is>
          <t>K3-2A</t>
        </is>
      </c>
      <c r="D1425" t="n">
        <v>12.83</v>
      </c>
      <c r="E1425" t="n">
        <v>3.659</v>
      </c>
      <c r="F1425" t="n">
        <v>1363.004</v>
      </c>
      <c r="G1425" t="n">
        <v>36</v>
      </c>
      <c r="H1425" t="inlineStr">
        <is>
          <t>MM</t>
        </is>
      </c>
    </row>
    <row r="1426">
      <c r="A1426" t="n">
        <v>19</v>
      </c>
      <c r="B1426" t="inlineStr">
        <is>
          <t>K3-2B</t>
        </is>
      </c>
      <c r="D1426" t="n">
        <v>9.720000000000001</v>
      </c>
      <c r="E1426" t="n">
        <v>2.813</v>
      </c>
      <c r="F1426" t="n">
        <v>1596.113</v>
      </c>
      <c r="G1426" t="n">
        <v>31</v>
      </c>
      <c r="H1426" t="inlineStr">
        <is>
          <t>MM</t>
        </is>
      </c>
    </row>
    <row r="1427">
      <c r="A1427" t="n">
        <v>20</v>
      </c>
      <c r="B1427" t="inlineStr">
        <is>
          <t>K3-2C</t>
        </is>
      </c>
      <c r="D1427" t="n">
        <v>11.21</v>
      </c>
      <c r="E1427" t="n">
        <v>24.471</v>
      </c>
      <c r="F1427" t="n">
        <v>1349.468</v>
      </c>
      <c r="G1427" t="n">
        <v>234</v>
      </c>
      <c r="H1427" t="inlineStr">
        <is>
          <t>MM</t>
        </is>
      </c>
    </row>
    <row r="1428">
      <c r="A1428" t="n">
        <v>21</v>
      </c>
      <c r="B1428" t="inlineStr">
        <is>
          <t>MeOH</t>
        </is>
      </c>
      <c r="F1428" t="n">
        <v>0</v>
      </c>
    </row>
    <row r="1429">
      <c r="A1429" t="n">
        <v>22</v>
      </c>
      <c r="B1429" t="inlineStr">
        <is>
          <t>K3-3A</t>
        </is>
      </c>
      <c r="D1429" t="n">
        <v>11.11</v>
      </c>
      <c r="E1429" t="n">
        <v>8.372999999999999</v>
      </c>
      <c r="F1429" t="n">
        <v>1225.294</v>
      </c>
      <c r="G1429" t="n">
        <v>82</v>
      </c>
      <c r="H1429" t="inlineStr">
        <is>
          <t>bb</t>
        </is>
      </c>
    </row>
    <row r="1430">
      <c r="A1430" t="n">
        <v>23</v>
      </c>
      <c r="B1430" t="inlineStr">
        <is>
          <t>K3-3B</t>
        </is>
      </c>
      <c r="F1430" t="n">
        <v>1218.475</v>
      </c>
    </row>
    <row r="1431">
      <c r="A1431" t="n">
        <v>24</v>
      </c>
      <c r="B1431" t="inlineStr">
        <is>
          <t>K3-3C</t>
        </is>
      </c>
      <c r="D1431" t="n">
        <v>10.57</v>
      </c>
      <c r="E1431" t="n">
        <v>1.728</v>
      </c>
      <c r="F1431" t="n">
        <v>1309.716</v>
      </c>
      <c r="G1431" t="n">
        <v>20</v>
      </c>
      <c r="H1431" t="inlineStr">
        <is>
          <t>bb</t>
        </is>
      </c>
    </row>
    <row r="1432">
      <c r="A1432" t="n">
        <v>25</v>
      </c>
      <c r="B1432" t="inlineStr">
        <is>
          <t>K3-4A</t>
        </is>
      </c>
      <c r="F1432" t="n">
        <v>1283.354</v>
      </c>
    </row>
    <row r="1433">
      <c r="A1433" t="n">
        <v>26</v>
      </c>
      <c r="B1433" t="inlineStr">
        <is>
          <t>K3-4B</t>
        </is>
      </c>
      <c r="D1433" t="n">
        <v>10.89</v>
      </c>
      <c r="E1433" t="n">
        <v>34.694</v>
      </c>
      <c r="F1433" t="n">
        <v>1424.072</v>
      </c>
      <c r="G1433" t="n">
        <v>2.902</v>
      </c>
      <c r="H1433" t="inlineStr">
        <is>
          <t>bb</t>
        </is>
      </c>
    </row>
    <row r="1434">
      <c r="A1434" t="n">
        <v>27</v>
      </c>
      <c r="B1434" t="inlineStr">
        <is>
          <t>K3-4C</t>
        </is>
      </c>
      <c r="D1434" t="n">
        <v>12.31</v>
      </c>
      <c r="E1434" t="n">
        <v>0.8100000000000001</v>
      </c>
      <c r="F1434" t="n">
        <v>1425.145</v>
      </c>
      <c r="G1434" t="n">
        <v>8</v>
      </c>
      <c r="H1434" t="inlineStr">
        <is>
          <t>MM</t>
        </is>
      </c>
    </row>
    <row r="1435">
      <c r="A1435" t="n">
        <v>28</v>
      </c>
      <c r="B1435" t="inlineStr">
        <is>
          <t>MeOH</t>
        </is>
      </c>
      <c r="F1435" t="n">
        <v>5.694</v>
      </c>
      <c r="H1435" t="inlineStr">
        <is>
          <t>MM-</t>
        </is>
      </c>
    </row>
    <row r="1436">
      <c r="A1436" t="n">
        <v>29</v>
      </c>
      <c r="B1436" t="inlineStr">
        <is>
          <t>K3-6A</t>
        </is>
      </c>
      <c r="F1436" t="n">
        <v>1359.244</v>
      </c>
    </row>
    <row r="1437">
      <c r="A1437" t="n">
        <v>30</v>
      </c>
      <c r="B1437" t="inlineStr">
        <is>
          <t>K3-6B</t>
        </is>
      </c>
      <c r="D1437" t="n">
        <v>12.51</v>
      </c>
      <c r="E1437" t="n">
        <v>0.553</v>
      </c>
      <c r="F1437" t="n">
        <v>1118.555</v>
      </c>
      <c r="G1437" t="n">
        <v>5</v>
      </c>
      <c r="H1437" t="inlineStr">
        <is>
          <t>MM</t>
        </is>
      </c>
    </row>
    <row r="1438">
      <c r="A1438" t="n">
        <v>31</v>
      </c>
      <c r="B1438" t="inlineStr">
        <is>
          <t>K3-6C</t>
        </is>
      </c>
      <c r="D1438" t="n">
        <v>10.82</v>
      </c>
      <c r="E1438" t="n">
        <v>5.258</v>
      </c>
      <c r="F1438" t="n">
        <v>1259.911</v>
      </c>
      <c r="G1438" t="n">
        <v>53</v>
      </c>
      <c r="H1438" t="inlineStr">
        <is>
          <t>bb</t>
        </is>
      </c>
    </row>
    <row r="1440">
      <c r="A1440" t="inlineStr">
        <is>
          <t>Compound 42:  NaDONA 2</t>
        </is>
      </c>
    </row>
    <row r="1442">
      <c r="B1442" t="inlineStr">
        <is>
          <t>Sample Text</t>
        </is>
      </c>
      <c r="C1442" t="inlineStr">
        <is>
          <t>Std. Conc</t>
        </is>
      </c>
      <c r="D1442" t="inlineStr">
        <is>
          <t>RT</t>
        </is>
      </c>
      <c r="E1442" t="inlineStr">
        <is>
          <t>Area</t>
        </is>
      </c>
      <c r="F1442" t="inlineStr">
        <is>
          <t>IS Area</t>
        </is>
      </c>
      <c r="G1442" t="inlineStr">
        <is>
          <t>S/N</t>
        </is>
      </c>
      <c r="H1442" t="inlineStr">
        <is>
          <t>Primary Flags</t>
        </is>
      </c>
      <c r="I1442" t="inlineStr">
        <is>
          <t>Response</t>
        </is>
      </c>
      <c r="J1442" t="inlineStr">
        <is>
          <t>Conc.</t>
        </is>
      </c>
    </row>
    <row r="1443">
      <c r="A1443" t="n">
        <v>1</v>
      </c>
      <c r="B1443" t="inlineStr">
        <is>
          <t>K4-1A</t>
        </is>
      </c>
      <c r="F1443" t="n">
        <v>1064.917</v>
      </c>
    </row>
    <row r="1444">
      <c r="A1444" t="n">
        <v>2</v>
      </c>
      <c r="B1444" t="inlineStr">
        <is>
          <t>K4-1B</t>
        </is>
      </c>
      <c r="D1444" t="n">
        <v>10.52</v>
      </c>
      <c r="E1444" t="n">
        <v>1.694</v>
      </c>
      <c r="F1444" t="n">
        <v>1263.963</v>
      </c>
      <c r="G1444" t="n">
        <v>19</v>
      </c>
      <c r="H1444" t="inlineStr">
        <is>
          <t>bb</t>
        </is>
      </c>
    </row>
    <row r="1445">
      <c r="A1445" t="n">
        <v>3</v>
      </c>
      <c r="B1445" t="inlineStr">
        <is>
          <t>K4-1C</t>
        </is>
      </c>
      <c r="F1445" t="n">
        <v>1240.47</v>
      </c>
    </row>
    <row r="1446">
      <c r="A1446" t="n">
        <v>4</v>
      </c>
      <c r="B1446" t="inlineStr">
        <is>
          <t>K4-2A</t>
        </is>
      </c>
      <c r="F1446" t="n">
        <v>1041.541</v>
      </c>
    </row>
    <row r="1447">
      <c r="A1447" t="n">
        <v>5</v>
      </c>
      <c r="B1447" t="inlineStr">
        <is>
          <t>K4-2B</t>
        </is>
      </c>
      <c r="D1447" t="n">
        <v>10.85</v>
      </c>
      <c r="E1447" t="n">
        <v>3.178</v>
      </c>
      <c r="F1447" t="n">
        <v>1437.42</v>
      </c>
      <c r="G1447" t="n">
        <v>32</v>
      </c>
      <c r="H1447" t="inlineStr">
        <is>
          <t>bb</t>
        </is>
      </c>
    </row>
    <row r="1448">
      <c r="A1448" t="n">
        <v>6</v>
      </c>
      <c r="B1448" t="inlineStr">
        <is>
          <t>K4-2C</t>
        </is>
      </c>
      <c r="F1448" t="n">
        <v>703.508</v>
      </c>
    </row>
    <row r="1449">
      <c r="A1449" t="n">
        <v>7</v>
      </c>
      <c r="B1449" t="inlineStr">
        <is>
          <t>MeOH</t>
        </is>
      </c>
      <c r="H1449" t="inlineStr">
        <is>
          <t>MM-</t>
        </is>
      </c>
    </row>
    <row r="1450">
      <c r="A1450" t="n">
        <v>8</v>
      </c>
      <c r="B1450" t="inlineStr">
        <is>
          <t>K4-4A</t>
        </is>
      </c>
      <c r="F1450" t="n">
        <v>1022.507</v>
      </c>
    </row>
    <row r="1451">
      <c r="A1451" t="n">
        <v>9</v>
      </c>
      <c r="B1451" t="inlineStr">
        <is>
          <t>K4-4B</t>
        </is>
      </c>
      <c r="F1451" t="n">
        <v>560.49</v>
      </c>
    </row>
    <row r="1452">
      <c r="A1452" t="n">
        <v>10</v>
      </c>
      <c r="B1452" t="inlineStr">
        <is>
          <t>K4-4C</t>
        </is>
      </c>
      <c r="F1452" t="n">
        <v>760.7619999999999</v>
      </c>
    </row>
    <row r="1453">
      <c r="A1453" t="n">
        <v>11</v>
      </c>
      <c r="B1453" t="inlineStr">
        <is>
          <t>K4-5A</t>
        </is>
      </c>
      <c r="F1453" t="n">
        <v>534.744</v>
      </c>
    </row>
    <row r="1454">
      <c r="A1454" t="n">
        <v>12</v>
      </c>
      <c r="B1454" t="inlineStr">
        <is>
          <t>K4-5B</t>
        </is>
      </c>
      <c r="D1454" t="n">
        <v>10.78</v>
      </c>
      <c r="E1454" t="n">
        <v>7.619</v>
      </c>
      <c r="F1454" t="n">
        <v>1062.534</v>
      </c>
      <c r="G1454" t="n">
        <v>81</v>
      </c>
      <c r="H1454" t="inlineStr">
        <is>
          <t>bb</t>
        </is>
      </c>
    </row>
    <row r="1455">
      <c r="A1455" t="n">
        <v>13</v>
      </c>
      <c r="B1455" t="inlineStr">
        <is>
          <t>K4-5C</t>
        </is>
      </c>
      <c r="F1455" t="n">
        <v>694.841</v>
      </c>
    </row>
    <row r="1456">
      <c r="A1456" t="n">
        <v>14</v>
      </c>
      <c r="B1456" t="inlineStr">
        <is>
          <t>MeOH</t>
        </is>
      </c>
      <c r="D1456" t="n">
        <v>10.81</v>
      </c>
      <c r="E1456" t="n">
        <v>73.57299999999999</v>
      </c>
      <c r="G1456" t="n">
        <v>6.448</v>
      </c>
      <c r="H1456" t="inlineStr">
        <is>
          <t>bb</t>
        </is>
      </c>
    </row>
    <row r="1457">
      <c r="A1457" t="n">
        <v>15</v>
      </c>
      <c r="B1457" t="inlineStr">
        <is>
          <t>K3-1A</t>
        </is>
      </c>
      <c r="F1457" t="n">
        <v>1010.403</v>
      </c>
    </row>
    <row r="1458">
      <c r="A1458" t="n">
        <v>16</v>
      </c>
      <c r="B1458" t="inlineStr">
        <is>
          <t>K3-1B</t>
        </is>
      </c>
      <c r="F1458" t="n">
        <v>1033.297</v>
      </c>
    </row>
    <row r="1459">
      <c r="A1459" t="n">
        <v>17</v>
      </c>
      <c r="B1459" t="inlineStr">
        <is>
          <t>K3-1C</t>
        </is>
      </c>
      <c r="F1459" t="n">
        <v>1290.752</v>
      </c>
    </row>
    <row r="1460">
      <c r="A1460" t="n">
        <v>18</v>
      </c>
      <c r="B1460" t="inlineStr">
        <is>
          <t>K3-2A</t>
        </is>
      </c>
      <c r="F1460" t="n">
        <v>1098.129</v>
      </c>
    </row>
    <row r="1461">
      <c r="A1461" t="n">
        <v>19</v>
      </c>
      <c r="B1461" t="inlineStr">
        <is>
          <t>K3-2B</t>
        </is>
      </c>
      <c r="F1461" t="n">
        <v>1593.77</v>
      </c>
    </row>
    <row r="1462">
      <c r="A1462" t="n">
        <v>20</v>
      </c>
      <c r="B1462" t="inlineStr">
        <is>
          <t>K3-2C</t>
        </is>
      </c>
      <c r="F1462" t="n">
        <v>1067.692</v>
      </c>
    </row>
    <row r="1463">
      <c r="A1463" t="n">
        <v>21</v>
      </c>
      <c r="B1463" t="inlineStr">
        <is>
          <t>MeOH</t>
        </is>
      </c>
      <c r="D1463" t="n">
        <v>10.84</v>
      </c>
      <c r="E1463" t="n">
        <v>62.621</v>
      </c>
      <c r="G1463" t="n">
        <v>587</v>
      </c>
      <c r="H1463" t="inlineStr">
        <is>
          <t>bb</t>
        </is>
      </c>
    </row>
    <row r="1464">
      <c r="A1464" t="n">
        <v>22</v>
      </c>
      <c r="B1464" t="inlineStr">
        <is>
          <t>K3-3A</t>
        </is>
      </c>
      <c r="F1464" t="n">
        <v>892.886</v>
      </c>
    </row>
    <row r="1465">
      <c r="A1465" t="n">
        <v>23</v>
      </c>
      <c r="B1465" t="inlineStr">
        <is>
          <t>K3-3B</t>
        </is>
      </c>
      <c r="D1465" t="n">
        <v>10.86</v>
      </c>
      <c r="E1465" t="n">
        <v>6.706</v>
      </c>
      <c r="F1465" t="n">
        <v>1753.089</v>
      </c>
      <c r="G1465" t="n">
        <v>67</v>
      </c>
      <c r="H1465" t="inlineStr">
        <is>
          <t>bb</t>
        </is>
      </c>
    </row>
    <row r="1466">
      <c r="A1466" t="n">
        <v>24</v>
      </c>
      <c r="B1466" t="inlineStr">
        <is>
          <t>K3-3C</t>
        </is>
      </c>
      <c r="F1466" t="n">
        <v>1692.502</v>
      </c>
    </row>
    <row r="1467">
      <c r="A1467" t="n">
        <v>25</v>
      </c>
      <c r="B1467" t="inlineStr">
        <is>
          <t>K3-4A</t>
        </is>
      </c>
      <c r="D1467" t="n">
        <v>10.52</v>
      </c>
      <c r="E1467" t="n">
        <v>0.264</v>
      </c>
      <c r="F1467" t="n">
        <v>1319.701</v>
      </c>
      <c r="G1467" t="n">
        <v>3</v>
      </c>
      <c r="H1467" t="inlineStr">
        <is>
          <t>bb</t>
        </is>
      </c>
    </row>
    <row r="1468">
      <c r="A1468" t="n">
        <v>26</v>
      </c>
      <c r="B1468" t="inlineStr">
        <is>
          <t>K3-4B</t>
        </is>
      </c>
      <c r="F1468" t="n">
        <v>1327.685</v>
      </c>
    </row>
    <row r="1469">
      <c r="A1469" t="n">
        <v>27</v>
      </c>
      <c r="B1469" t="inlineStr">
        <is>
          <t>K3-4C</t>
        </is>
      </c>
      <c r="F1469" t="n">
        <v>1089.646</v>
      </c>
    </row>
    <row r="1470">
      <c r="A1470" t="n">
        <v>28</v>
      </c>
      <c r="B1470" t="inlineStr">
        <is>
          <t>MeOH</t>
        </is>
      </c>
      <c r="D1470" t="n">
        <v>10.93</v>
      </c>
      <c r="E1470" t="n">
        <v>38.527</v>
      </c>
      <c r="G1470" t="n">
        <v>378</v>
      </c>
      <c r="H1470" t="inlineStr">
        <is>
          <t>bb</t>
        </is>
      </c>
    </row>
    <row r="1471">
      <c r="A1471" t="n">
        <v>29</v>
      </c>
      <c r="B1471" t="inlineStr">
        <is>
          <t>K3-6A</t>
        </is>
      </c>
      <c r="F1471" t="n">
        <v>1155.322</v>
      </c>
    </row>
    <row r="1472">
      <c r="A1472" t="n">
        <v>30</v>
      </c>
      <c r="B1472" t="inlineStr">
        <is>
          <t>K3-6B</t>
        </is>
      </c>
      <c r="F1472" t="n">
        <v>1254.337</v>
      </c>
    </row>
    <row r="1473">
      <c r="A1473" t="n">
        <v>31</v>
      </c>
      <c r="B1473" t="inlineStr">
        <is>
          <t>K3-6C</t>
        </is>
      </c>
      <c r="D1473" t="n">
        <v>10.56</v>
      </c>
      <c r="E1473" t="n">
        <v>0.241</v>
      </c>
      <c r="F1473" t="n">
        <v>894.672</v>
      </c>
      <c r="G1473" t="n">
        <v>3</v>
      </c>
      <c r="H1473" t="inlineStr">
        <is>
          <t>bb</t>
        </is>
      </c>
    </row>
    <row r="1475">
      <c r="A1475" t="inlineStr">
        <is>
          <t>Compound 43:  m2 6:2 FTCA 1</t>
        </is>
      </c>
    </row>
    <row r="1477">
      <c r="B1477" t="inlineStr">
        <is>
          <t>Sample Text</t>
        </is>
      </c>
      <c r="C1477" t="inlineStr">
        <is>
          <t>Std. Conc</t>
        </is>
      </c>
      <c r="D1477" t="inlineStr">
        <is>
          <t>RT</t>
        </is>
      </c>
      <c r="E1477" t="inlineStr">
        <is>
          <t>Area</t>
        </is>
      </c>
      <c r="F1477" t="inlineStr">
        <is>
          <t>IS Area</t>
        </is>
      </c>
      <c r="G1477" t="inlineStr">
        <is>
          <t>S/N</t>
        </is>
      </c>
      <c r="H1477" t="inlineStr">
        <is>
          <t>Primary Flags</t>
        </is>
      </c>
      <c r="I1477" t="inlineStr">
        <is>
          <t>Response</t>
        </is>
      </c>
      <c r="J1477" t="inlineStr">
        <is>
          <t>Conc.</t>
        </is>
      </c>
    </row>
    <row r="1478">
      <c r="A1478" t="n">
        <v>1</v>
      </c>
      <c r="B1478" t="inlineStr">
        <is>
          <t>K4-1A</t>
        </is>
      </c>
    </row>
    <row r="1479">
      <c r="A1479" t="n">
        <v>2</v>
      </c>
      <c r="B1479" t="inlineStr">
        <is>
          <t>K4-1B</t>
        </is>
      </c>
    </row>
    <row r="1480">
      <c r="A1480" t="n">
        <v>3</v>
      </c>
      <c r="B1480" t="inlineStr">
        <is>
          <t>K4-1C</t>
        </is>
      </c>
    </row>
    <row r="1481">
      <c r="A1481" t="n">
        <v>4</v>
      </c>
      <c r="B1481" t="inlineStr">
        <is>
          <t>K4-2A</t>
        </is>
      </c>
    </row>
    <row r="1482">
      <c r="A1482" t="n">
        <v>5</v>
      </c>
      <c r="B1482" t="inlineStr">
        <is>
          <t>K4-2B</t>
        </is>
      </c>
    </row>
    <row r="1483">
      <c r="A1483" t="n">
        <v>6</v>
      </c>
      <c r="B1483" t="inlineStr">
        <is>
          <t>K4-2C</t>
        </is>
      </c>
    </row>
    <row r="1484">
      <c r="A1484" t="n">
        <v>7</v>
      </c>
      <c r="B1484" t="inlineStr">
        <is>
          <t>MeOH</t>
        </is>
      </c>
    </row>
    <row r="1485">
      <c r="A1485" t="n">
        <v>8</v>
      </c>
      <c r="B1485" t="inlineStr">
        <is>
          <t>K4-4A</t>
        </is>
      </c>
    </row>
    <row r="1486">
      <c r="A1486" t="n">
        <v>9</v>
      </c>
      <c r="B1486" t="inlineStr">
        <is>
          <t>K4-4B</t>
        </is>
      </c>
    </row>
    <row r="1487">
      <c r="A1487" t="n">
        <v>10</v>
      </c>
      <c r="B1487" t="inlineStr">
        <is>
          <t>K4-4C</t>
        </is>
      </c>
      <c r="D1487" t="n">
        <v>11.42</v>
      </c>
      <c r="E1487" t="n">
        <v>0.333</v>
      </c>
      <c r="G1487" t="n">
        <v>3</v>
      </c>
      <c r="H1487" t="inlineStr">
        <is>
          <t>bb</t>
        </is>
      </c>
      <c r="I1487" t="n">
        <v>0.333</v>
      </c>
    </row>
    <row r="1488">
      <c r="A1488" t="n">
        <v>11</v>
      </c>
      <c r="B1488" t="inlineStr">
        <is>
          <t>K4-5A</t>
        </is>
      </c>
    </row>
    <row r="1489">
      <c r="A1489" t="n">
        <v>12</v>
      </c>
      <c r="B1489" t="inlineStr">
        <is>
          <t>K4-5B</t>
        </is>
      </c>
    </row>
    <row r="1490">
      <c r="A1490" t="n">
        <v>13</v>
      </c>
      <c r="B1490" t="inlineStr">
        <is>
          <t>K4-5C</t>
        </is>
      </c>
    </row>
    <row r="1491">
      <c r="A1491" t="n">
        <v>14</v>
      </c>
      <c r="B1491" t="inlineStr">
        <is>
          <t>MeOH</t>
        </is>
      </c>
    </row>
    <row r="1492">
      <c r="A1492" t="n">
        <v>15</v>
      </c>
      <c r="B1492" t="inlineStr">
        <is>
          <t>K3-1A</t>
        </is>
      </c>
    </row>
    <row r="1493">
      <c r="A1493" t="n">
        <v>16</v>
      </c>
      <c r="B1493" t="inlineStr">
        <is>
          <t>K3-1B</t>
        </is>
      </c>
    </row>
    <row r="1494">
      <c r="A1494" t="n">
        <v>17</v>
      </c>
      <c r="B1494" t="inlineStr">
        <is>
          <t>K3-1C</t>
        </is>
      </c>
    </row>
    <row r="1495">
      <c r="A1495" t="n">
        <v>18</v>
      </c>
      <c r="B1495" t="inlineStr">
        <is>
          <t>K3-2A</t>
        </is>
      </c>
    </row>
    <row r="1496">
      <c r="A1496" t="n">
        <v>19</v>
      </c>
      <c r="B1496" t="inlineStr">
        <is>
          <t>K3-2B</t>
        </is>
      </c>
    </row>
    <row r="1497">
      <c r="A1497" t="n">
        <v>20</v>
      </c>
      <c r="B1497" t="inlineStr">
        <is>
          <t>K3-2C</t>
        </is>
      </c>
    </row>
    <row r="1498">
      <c r="A1498" t="n">
        <v>21</v>
      </c>
      <c r="B1498" t="inlineStr">
        <is>
          <t>MeOH</t>
        </is>
      </c>
    </row>
    <row r="1499">
      <c r="A1499" t="n">
        <v>22</v>
      </c>
      <c r="B1499" t="inlineStr">
        <is>
          <t>K3-3A</t>
        </is>
      </c>
    </row>
    <row r="1500">
      <c r="A1500" t="n">
        <v>23</v>
      </c>
      <c r="B1500" t="inlineStr">
        <is>
          <t>K3-3B</t>
        </is>
      </c>
    </row>
    <row r="1501">
      <c r="A1501" t="n">
        <v>24</v>
      </c>
      <c r="B1501" t="inlineStr">
        <is>
          <t>K3-3C</t>
        </is>
      </c>
    </row>
    <row r="1502">
      <c r="A1502" t="n">
        <v>25</v>
      </c>
      <c r="B1502" t="inlineStr">
        <is>
          <t>K3-4A</t>
        </is>
      </c>
    </row>
    <row r="1503">
      <c r="A1503" t="n">
        <v>26</v>
      </c>
      <c r="B1503" t="inlineStr">
        <is>
          <t>K3-4B</t>
        </is>
      </c>
    </row>
    <row r="1504">
      <c r="A1504" t="n">
        <v>27</v>
      </c>
      <c r="B1504" t="inlineStr">
        <is>
          <t>K3-4C</t>
        </is>
      </c>
    </row>
    <row r="1505">
      <c r="A1505" t="n">
        <v>28</v>
      </c>
      <c r="B1505" t="inlineStr">
        <is>
          <t>MeOH</t>
        </is>
      </c>
    </row>
    <row r="1506">
      <c r="A1506" t="n">
        <v>29</v>
      </c>
      <c r="B1506" t="inlineStr">
        <is>
          <t>K3-6A</t>
        </is>
      </c>
    </row>
    <row r="1507">
      <c r="A1507" t="n">
        <v>30</v>
      </c>
      <c r="B1507" t="inlineStr">
        <is>
          <t>K3-6B</t>
        </is>
      </c>
    </row>
    <row r="1508">
      <c r="A1508" t="n">
        <v>31</v>
      </c>
      <c r="B1508" t="inlineStr">
        <is>
          <t>K3-6C</t>
        </is>
      </c>
    </row>
    <row r="1510">
      <c r="A1510" t="inlineStr">
        <is>
          <t>Compound 44:  PFHxS 1</t>
        </is>
      </c>
    </row>
    <row r="1512">
      <c r="B1512" t="inlineStr">
        <is>
          <t>Sample Text</t>
        </is>
      </c>
      <c r="C1512" t="inlineStr">
        <is>
          <t>Std. Conc</t>
        </is>
      </c>
      <c r="D1512" t="inlineStr">
        <is>
          <t>RT</t>
        </is>
      </c>
      <c r="E1512" t="inlineStr">
        <is>
          <t>Area</t>
        </is>
      </c>
      <c r="F1512" t="inlineStr">
        <is>
          <t>IS Area</t>
        </is>
      </c>
      <c r="G1512" t="inlineStr">
        <is>
          <t>S/N</t>
        </is>
      </c>
      <c r="H1512" t="inlineStr">
        <is>
          <t>Primary Flags</t>
        </is>
      </c>
      <c r="I1512" t="inlineStr">
        <is>
          <t>Response</t>
        </is>
      </c>
      <c r="J1512" t="inlineStr">
        <is>
          <t>Conc.</t>
        </is>
      </c>
    </row>
    <row r="1513">
      <c r="A1513" t="n">
        <v>1</v>
      </c>
      <c r="B1513" t="inlineStr">
        <is>
          <t>K4-1A</t>
        </is>
      </c>
      <c r="F1513" t="n">
        <v>562.856</v>
      </c>
    </row>
    <row r="1514">
      <c r="A1514" t="n">
        <v>2</v>
      </c>
      <c r="B1514" t="inlineStr">
        <is>
          <t>K4-1B</t>
        </is>
      </c>
      <c r="D1514" t="n">
        <v>10.8</v>
      </c>
      <c r="E1514" t="n">
        <v>2.49</v>
      </c>
      <c r="F1514" t="n">
        <v>709.3200000000001</v>
      </c>
      <c r="G1514" t="n">
        <v>26</v>
      </c>
      <c r="H1514" t="inlineStr">
        <is>
          <t>bb</t>
        </is>
      </c>
    </row>
    <row r="1515">
      <c r="A1515" t="n">
        <v>3</v>
      </c>
      <c r="B1515" t="inlineStr">
        <is>
          <t>K4-1C</t>
        </is>
      </c>
      <c r="F1515" t="n">
        <v>545.8630000000001</v>
      </c>
    </row>
    <row r="1516">
      <c r="A1516" t="n">
        <v>4</v>
      </c>
      <c r="B1516" t="inlineStr">
        <is>
          <t>K4-2A</t>
        </is>
      </c>
      <c r="D1516" t="n">
        <v>10.86</v>
      </c>
      <c r="E1516" t="n">
        <v>13.287</v>
      </c>
      <c r="F1516" t="n">
        <v>889.295</v>
      </c>
      <c r="G1516" t="n">
        <v>129</v>
      </c>
      <c r="H1516" t="inlineStr">
        <is>
          <t>bb</t>
        </is>
      </c>
    </row>
    <row r="1517">
      <c r="A1517" t="n">
        <v>5</v>
      </c>
      <c r="B1517" t="inlineStr">
        <is>
          <t>K4-2B</t>
        </is>
      </c>
      <c r="F1517" t="n">
        <v>819.534</v>
      </c>
    </row>
    <row r="1518">
      <c r="A1518" t="n">
        <v>6</v>
      </c>
      <c r="B1518" t="inlineStr">
        <is>
          <t>K4-2C</t>
        </is>
      </c>
      <c r="F1518" t="n">
        <v>609.211</v>
      </c>
    </row>
    <row r="1519">
      <c r="A1519" t="n">
        <v>7</v>
      </c>
      <c r="B1519" t="inlineStr">
        <is>
          <t>MeOH</t>
        </is>
      </c>
    </row>
    <row r="1520">
      <c r="A1520" t="n">
        <v>8</v>
      </c>
      <c r="B1520" t="inlineStr">
        <is>
          <t>K4-4A</t>
        </is>
      </c>
      <c r="F1520" t="n">
        <v>836.772</v>
      </c>
    </row>
    <row r="1521">
      <c r="A1521" t="n">
        <v>9</v>
      </c>
      <c r="B1521" t="inlineStr">
        <is>
          <t>K4-4B</t>
        </is>
      </c>
      <c r="F1521" t="n">
        <v>461.157</v>
      </c>
    </row>
    <row r="1522">
      <c r="A1522" t="n">
        <v>10</v>
      </c>
      <c r="B1522" t="inlineStr">
        <is>
          <t>K4-4C</t>
        </is>
      </c>
      <c r="F1522" t="n">
        <v>666.644</v>
      </c>
    </row>
    <row r="1523">
      <c r="A1523" t="n">
        <v>11</v>
      </c>
      <c r="B1523" t="inlineStr">
        <is>
          <t>K4-5A</t>
        </is>
      </c>
      <c r="F1523" t="n">
        <v>578.409</v>
      </c>
    </row>
    <row r="1524">
      <c r="A1524" t="n">
        <v>12</v>
      </c>
      <c r="B1524" t="inlineStr">
        <is>
          <t>K4-5B</t>
        </is>
      </c>
      <c r="F1524" t="n">
        <v>575.86</v>
      </c>
    </row>
    <row r="1525">
      <c r="A1525" t="n">
        <v>13</v>
      </c>
      <c r="B1525" t="inlineStr">
        <is>
          <t>K4-5C</t>
        </is>
      </c>
      <c r="D1525" t="n">
        <v>10.69</v>
      </c>
      <c r="E1525" t="n">
        <v>5.518</v>
      </c>
      <c r="F1525" t="n">
        <v>648.184</v>
      </c>
      <c r="G1525" t="n">
        <v>62</v>
      </c>
      <c r="H1525" t="inlineStr">
        <is>
          <t>bb</t>
        </is>
      </c>
    </row>
    <row r="1526">
      <c r="A1526" t="n">
        <v>14</v>
      </c>
      <c r="B1526" t="inlineStr">
        <is>
          <t>MeOH</t>
        </is>
      </c>
    </row>
    <row r="1527">
      <c r="A1527" t="n">
        <v>15</v>
      </c>
      <c r="B1527" t="inlineStr">
        <is>
          <t>K3-1A</t>
        </is>
      </c>
      <c r="F1527" t="n">
        <v>704.658</v>
      </c>
    </row>
    <row r="1528">
      <c r="A1528" t="n">
        <v>16</v>
      </c>
      <c r="B1528" t="inlineStr">
        <is>
          <t>K3-1B</t>
        </is>
      </c>
      <c r="F1528" t="n">
        <v>589.025</v>
      </c>
    </row>
    <row r="1529">
      <c r="A1529" t="n">
        <v>17</v>
      </c>
      <c r="B1529" t="inlineStr">
        <is>
          <t>K3-1C</t>
        </is>
      </c>
      <c r="D1529" t="n">
        <v>10.76</v>
      </c>
      <c r="E1529" t="n">
        <v>10.695</v>
      </c>
      <c r="F1529" t="n">
        <v>902.054</v>
      </c>
      <c r="G1529" t="n">
        <v>117</v>
      </c>
      <c r="H1529" t="inlineStr">
        <is>
          <t>bb</t>
        </is>
      </c>
    </row>
    <row r="1530">
      <c r="A1530" t="n">
        <v>18</v>
      </c>
      <c r="B1530" t="inlineStr">
        <is>
          <t>K3-2A</t>
        </is>
      </c>
      <c r="F1530" t="n">
        <v>786.168</v>
      </c>
    </row>
    <row r="1531">
      <c r="A1531" t="n">
        <v>19</v>
      </c>
      <c r="B1531" t="inlineStr">
        <is>
          <t>K3-2B</t>
        </is>
      </c>
      <c r="F1531" t="n">
        <v>847.954</v>
      </c>
    </row>
    <row r="1532">
      <c r="A1532" t="n">
        <v>20</v>
      </c>
      <c r="B1532" t="inlineStr">
        <is>
          <t>K3-2C</t>
        </is>
      </c>
      <c r="F1532" t="n">
        <v>549.966</v>
      </c>
    </row>
    <row r="1533">
      <c r="A1533" t="n">
        <v>21</v>
      </c>
      <c r="B1533" t="inlineStr">
        <is>
          <t>MeOH</t>
        </is>
      </c>
    </row>
    <row r="1534">
      <c r="A1534" t="n">
        <v>22</v>
      </c>
      <c r="B1534" t="inlineStr">
        <is>
          <t>K3-3A</t>
        </is>
      </c>
      <c r="F1534" t="n">
        <v>896.226</v>
      </c>
    </row>
    <row r="1535">
      <c r="A1535" t="n">
        <v>23</v>
      </c>
      <c r="B1535" t="inlineStr">
        <is>
          <t>K3-3B</t>
        </is>
      </c>
      <c r="F1535" t="n">
        <v>1005.7</v>
      </c>
    </row>
    <row r="1536">
      <c r="A1536" t="n">
        <v>24</v>
      </c>
      <c r="B1536" t="inlineStr">
        <is>
          <t>K3-3C</t>
        </is>
      </c>
      <c r="F1536" t="n">
        <v>1040.161</v>
      </c>
    </row>
    <row r="1537">
      <c r="A1537" t="n">
        <v>25</v>
      </c>
      <c r="B1537" t="inlineStr">
        <is>
          <t>K3-4A</t>
        </is>
      </c>
      <c r="F1537" t="n">
        <v>1196.547</v>
      </c>
    </row>
    <row r="1538">
      <c r="A1538" t="n">
        <v>26</v>
      </c>
      <c r="B1538" t="inlineStr">
        <is>
          <t>K3-4B</t>
        </is>
      </c>
      <c r="F1538" t="n">
        <v>1065.462</v>
      </c>
    </row>
    <row r="1539">
      <c r="A1539" t="n">
        <v>27</v>
      </c>
      <c r="B1539" t="inlineStr">
        <is>
          <t>K3-4C</t>
        </is>
      </c>
      <c r="F1539" t="n">
        <v>841.401</v>
      </c>
    </row>
    <row r="1540">
      <c r="A1540" t="n">
        <v>28</v>
      </c>
      <c r="B1540" t="inlineStr">
        <is>
          <t>MeOH</t>
        </is>
      </c>
      <c r="D1540" t="n">
        <v>10.81</v>
      </c>
      <c r="E1540" t="n">
        <v>0.753</v>
      </c>
      <c r="G1540" t="n">
        <v>8</v>
      </c>
      <c r="H1540" t="inlineStr">
        <is>
          <t>bb</t>
        </is>
      </c>
    </row>
    <row r="1541">
      <c r="A1541" t="n">
        <v>29</v>
      </c>
      <c r="B1541" t="inlineStr">
        <is>
          <t>K3-6A</t>
        </is>
      </c>
      <c r="F1541" t="n">
        <v>1044.224</v>
      </c>
    </row>
    <row r="1542">
      <c r="A1542" t="n">
        <v>30</v>
      </c>
      <c r="B1542" t="inlineStr">
        <is>
          <t>K3-6B</t>
        </is>
      </c>
      <c r="F1542" t="n">
        <v>517.776</v>
      </c>
    </row>
    <row r="1543">
      <c r="A1543" t="n">
        <v>31</v>
      </c>
      <c r="B1543" t="inlineStr">
        <is>
          <t>K3-6C</t>
        </is>
      </c>
      <c r="D1543" t="n">
        <v>10.84</v>
      </c>
      <c r="E1543" t="n">
        <v>14.124</v>
      </c>
      <c r="F1543" t="n">
        <v>709.654</v>
      </c>
      <c r="G1543" t="n">
        <v>142</v>
      </c>
      <c r="H1543" t="inlineStr">
        <is>
          <t>bb</t>
        </is>
      </c>
    </row>
    <row r="1545">
      <c r="A1545" t="inlineStr">
        <is>
          <t>Compound 45:  PFHxS 2</t>
        </is>
      </c>
    </row>
    <row r="1547">
      <c r="B1547" t="inlineStr">
        <is>
          <t>Sample Text</t>
        </is>
      </c>
      <c r="C1547" t="inlineStr">
        <is>
          <t>Std. Conc</t>
        </is>
      </c>
      <c r="D1547" t="inlineStr">
        <is>
          <t>RT</t>
        </is>
      </c>
      <c r="E1547" t="inlineStr">
        <is>
          <t>Area</t>
        </is>
      </c>
      <c r="F1547" t="inlineStr">
        <is>
          <t>IS Area</t>
        </is>
      </c>
      <c r="G1547" t="inlineStr">
        <is>
          <t>S/N</t>
        </is>
      </c>
      <c r="H1547" t="inlineStr">
        <is>
          <t>Primary Flags</t>
        </is>
      </c>
      <c r="I1547" t="inlineStr">
        <is>
          <t>Response</t>
        </is>
      </c>
      <c r="J1547" t="inlineStr">
        <is>
          <t>Conc.</t>
        </is>
      </c>
    </row>
    <row r="1548">
      <c r="A1548" t="n">
        <v>1</v>
      </c>
      <c r="B1548" t="inlineStr">
        <is>
          <t>K4-1A</t>
        </is>
      </c>
      <c r="D1548" t="n">
        <v>10.97</v>
      </c>
      <c r="E1548" t="n">
        <v>17.918</v>
      </c>
      <c r="F1548" t="n">
        <v>562.856</v>
      </c>
      <c r="G1548" t="n">
        <v>2.614</v>
      </c>
      <c r="H1548" t="inlineStr">
        <is>
          <t>bb</t>
        </is>
      </c>
    </row>
    <row r="1549">
      <c r="A1549" t="n">
        <v>2</v>
      </c>
      <c r="B1549" t="inlineStr">
        <is>
          <t>K4-1B</t>
        </is>
      </c>
      <c r="D1549" t="n">
        <v>10.88</v>
      </c>
      <c r="E1549" t="n">
        <v>0.275</v>
      </c>
      <c r="F1549" t="n">
        <v>709.3200000000001</v>
      </c>
      <c r="G1549" t="n">
        <v>3</v>
      </c>
      <c r="H1549" t="inlineStr">
        <is>
          <t>bb</t>
        </is>
      </c>
    </row>
    <row r="1550">
      <c r="A1550" t="n">
        <v>3</v>
      </c>
      <c r="B1550" t="inlineStr">
        <is>
          <t>K4-1C</t>
        </is>
      </c>
      <c r="D1550" t="n">
        <v>10.32</v>
      </c>
      <c r="E1550" t="n">
        <v>20.964</v>
      </c>
      <c r="F1550" t="n">
        <v>545.8630000000001</v>
      </c>
      <c r="G1550" t="n">
        <v>233</v>
      </c>
      <c r="H1550" t="inlineStr">
        <is>
          <t>MM</t>
        </is>
      </c>
    </row>
    <row r="1551">
      <c r="A1551" t="n">
        <v>4</v>
      </c>
      <c r="B1551" t="inlineStr">
        <is>
          <t>K4-2A</t>
        </is>
      </c>
      <c r="D1551" t="n">
        <v>10.85</v>
      </c>
      <c r="E1551" t="n">
        <v>9.263</v>
      </c>
      <c r="F1551" t="n">
        <v>889.295</v>
      </c>
      <c r="G1551" t="n">
        <v>90</v>
      </c>
      <c r="H1551" t="inlineStr">
        <is>
          <t>bb</t>
        </is>
      </c>
    </row>
    <row r="1552">
      <c r="A1552" t="n">
        <v>5</v>
      </c>
      <c r="B1552" t="inlineStr">
        <is>
          <t>K4-2B</t>
        </is>
      </c>
      <c r="D1552" t="n">
        <v>11.57</v>
      </c>
      <c r="E1552" t="n">
        <v>4.168</v>
      </c>
      <c r="F1552" t="n">
        <v>819.534</v>
      </c>
      <c r="G1552" t="n">
        <v>0.694</v>
      </c>
      <c r="H1552" t="inlineStr">
        <is>
          <t>MM</t>
        </is>
      </c>
    </row>
    <row r="1553">
      <c r="A1553" t="n">
        <v>6</v>
      </c>
      <c r="B1553" t="inlineStr">
        <is>
          <t>K4-2C</t>
        </is>
      </c>
      <c r="D1553" t="n">
        <v>10.5</v>
      </c>
      <c r="E1553" t="n">
        <v>12.937</v>
      </c>
      <c r="F1553" t="n">
        <v>609.211</v>
      </c>
      <c r="G1553" t="n">
        <v>138</v>
      </c>
      <c r="H1553" t="inlineStr">
        <is>
          <t>bb</t>
        </is>
      </c>
    </row>
    <row r="1554">
      <c r="A1554" t="n">
        <v>7</v>
      </c>
      <c r="B1554" t="inlineStr">
        <is>
          <t>MeOH</t>
        </is>
      </c>
      <c r="H1554" t="inlineStr">
        <is>
          <t>MM-</t>
        </is>
      </c>
    </row>
    <row r="1555">
      <c r="A1555" t="n">
        <v>8</v>
      </c>
      <c r="B1555" t="inlineStr">
        <is>
          <t>K4-4A</t>
        </is>
      </c>
      <c r="D1555" t="n">
        <v>10.93</v>
      </c>
      <c r="E1555" t="n">
        <v>3.278</v>
      </c>
      <c r="F1555" t="n">
        <v>836.772</v>
      </c>
      <c r="G1555" t="n">
        <v>0.276</v>
      </c>
      <c r="H1555" t="inlineStr">
        <is>
          <t>bb</t>
        </is>
      </c>
    </row>
    <row r="1556">
      <c r="A1556" t="n">
        <v>9</v>
      </c>
      <c r="B1556" t="inlineStr">
        <is>
          <t>K4-4B</t>
        </is>
      </c>
      <c r="D1556" t="n">
        <v>10.88</v>
      </c>
      <c r="E1556" t="n">
        <v>18.705</v>
      </c>
      <c r="F1556" t="n">
        <v>461.157</v>
      </c>
      <c r="G1556" t="n">
        <v>184</v>
      </c>
      <c r="H1556" t="inlineStr">
        <is>
          <t>bb</t>
        </is>
      </c>
    </row>
    <row r="1557">
      <c r="A1557" t="n">
        <v>10</v>
      </c>
      <c r="B1557" t="inlineStr">
        <is>
          <t>K4-4C</t>
        </is>
      </c>
      <c r="D1557" t="n">
        <v>10.92</v>
      </c>
      <c r="E1557" t="n">
        <v>9.164</v>
      </c>
      <c r="F1557" t="n">
        <v>666.644</v>
      </c>
      <c r="G1557" t="n">
        <v>0.429</v>
      </c>
      <c r="H1557" t="inlineStr">
        <is>
          <t>MM</t>
        </is>
      </c>
    </row>
    <row r="1558">
      <c r="A1558" t="n">
        <v>11</v>
      </c>
      <c r="B1558" t="inlineStr">
        <is>
          <t>K4-5A</t>
        </is>
      </c>
      <c r="D1558" t="n">
        <v>11.24</v>
      </c>
      <c r="E1558" t="n">
        <v>37.911</v>
      </c>
      <c r="F1558" t="n">
        <v>578.409</v>
      </c>
      <c r="G1558" t="n">
        <v>263</v>
      </c>
      <c r="H1558" t="inlineStr">
        <is>
          <t>bb</t>
        </is>
      </c>
    </row>
    <row r="1559">
      <c r="A1559" t="n">
        <v>12</v>
      </c>
      <c r="B1559" t="inlineStr">
        <is>
          <t>K4-5B</t>
        </is>
      </c>
      <c r="D1559" t="n">
        <v>10.3</v>
      </c>
      <c r="E1559" t="n">
        <v>5.615</v>
      </c>
      <c r="F1559" t="n">
        <v>575.86</v>
      </c>
      <c r="G1559" t="n">
        <v>0.6850000000000001</v>
      </c>
      <c r="H1559" t="inlineStr">
        <is>
          <t>bb</t>
        </is>
      </c>
    </row>
    <row r="1560">
      <c r="A1560" t="n">
        <v>13</v>
      </c>
      <c r="B1560" t="inlineStr">
        <is>
          <t>K4-5C</t>
        </is>
      </c>
      <c r="D1560" t="n">
        <v>10.47</v>
      </c>
      <c r="E1560" t="n">
        <v>27.942</v>
      </c>
      <c r="F1560" t="n">
        <v>648.184</v>
      </c>
      <c r="G1560" t="n">
        <v>218</v>
      </c>
      <c r="H1560" t="inlineStr">
        <is>
          <t>bb</t>
        </is>
      </c>
    </row>
    <row r="1561">
      <c r="A1561" t="n">
        <v>14</v>
      </c>
      <c r="B1561" t="inlineStr">
        <is>
          <t>MeOH</t>
        </is>
      </c>
      <c r="H1561" t="inlineStr">
        <is>
          <t>MM-</t>
        </is>
      </c>
    </row>
    <row r="1562">
      <c r="A1562" t="n">
        <v>15</v>
      </c>
      <c r="B1562" t="inlineStr">
        <is>
          <t>K3-1A</t>
        </is>
      </c>
      <c r="D1562" t="n">
        <v>11</v>
      </c>
      <c r="E1562" t="n">
        <v>24.11</v>
      </c>
      <c r="F1562" t="n">
        <v>704.658</v>
      </c>
      <c r="G1562" t="n">
        <v>156</v>
      </c>
      <c r="H1562" t="inlineStr">
        <is>
          <t>bb</t>
        </is>
      </c>
    </row>
    <row r="1563">
      <c r="A1563" t="n">
        <v>16</v>
      </c>
      <c r="B1563" t="inlineStr">
        <is>
          <t>K3-1B</t>
        </is>
      </c>
      <c r="D1563" t="n">
        <v>10.14</v>
      </c>
      <c r="E1563" t="n">
        <v>4.317</v>
      </c>
      <c r="F1563" t="n">
        <v>589.025</v>
      </c>
      <c r="G1563" t="n">
        <v>0.551</v>
      </c>
      <c r="H1563" t="inlineStr">
        <is>
          <t>MM</t>
        </is>
      </c>
    </row>
    <row r="1564">
      <c r="A1564" t="n">
        <v>17</v>
      </c>
      <c r="B1564" t="inlineStr">
        <is>
          <t>K3-1C</t>
        </is>
      </c>
      <c r="D1564" t="n">
        <v>10.2</v>
      </c>
      <c r="E1564" t="n">
        <v>11.245</v>
      </c>
      <c r="F1564" t="n">
        <v>902.054</v>
      </c>
      <c r="G1564" t="n">
        <v>2.291</v>
      </c>
      <c r="H1564" t="inlineStr">
        <is>
          <t>MM</t>
        </is>
      </c>
    </row>
    <row r="1565">
      <c r="A1565" t="n">
        <v>18</v>
      </c>
      <c r="B1565" t="inlineStr">
        <is>
          <t>K3-2A</t>
        </is>
      </c>
      <c r="D1565" t="n">
        <v>10.26</v>
      </c>
      <c r="E1565" t="n">
        <v>15.502</v>
      </c>
      <c r="F1565" t="n">
        <v>786.168</v>
      </c>
      <c r="G1565" t="n">
        <v>1.906</v>
      </c>
      <c r="H1565" t="inlineStr">
        <is>
          <t>bb</t>
        </is>
      </c>
    </row>
    <row r="1566">
      <c r="A1566" t="n">
        <v>19</v>
      </c>
      <c r="B1566" t="inlineStr">
        <is>
          <t>K3-2B</t>
        </is>
      </c>
      <c r="D1566" t="n">
        <v>11.28</v>
      </c>
      <c r="E1566" t="n">
        <v>0.889</v>
      </c>
      <c r="F1566" t="n">
        <v>847.954</v>
      </c>
      <c r="G1566" t="n">
        <v>0.449</v>
      </c>
      <c r="H1566" t="inlineStr">
        <is>
          <t>MM</t>
        </is>
      </c>
    </row>
    <row r="1567">
      <c r="A1567" t="n">
        <v>20</v>
      </c>
      <c r="B1567" t="inlineStr">
        <is>
          <t>K3-2C</t>
        </is>
      </c>
      <c r="F1567" t="n">
        <v>549.966</v>
      </c>
    </row>
    <row r="1568">
      <c r="A1568" t="n">
        <v>21</v>
      </c>
      <c r="B1568" t="inlineStr">
        <is>
          <t>MeOH</t>
        </is>
      </c>
    </row>
    <row r="1569">
      <c r="A1569" t="n">
        <v>22</v>
      </c>
      <c r="B1569" t="inlineStr">
        <is>
          <t>K3-3A</t>
        </is>
      </c>
      <c r="F1569" t="n">
        <v>896.226</v>
      </c>
    </row>
    <row r="1570">
      <c r="A1570" t="n">
        <v>23</v>
      </c>
      <c r="B1570" t="inlineStr">
        <is>
          <t>K3-3B</t>
        </is>
      </c>
      <c r="D1570" t="n">
        <v>10.48</v>
      </c>
      <c r="E1570" t="n">
        <v>0.498</v>
      </c>
      <c r="F1570" t="n">
        <v>1005.7</v>
      </c>
      <c r="G1570" t="n">
        <v>0.048</v>
      </c>
      <c r="H1570" t="inlineStr">
        <is>
          <t>bb</t>
        </is>
      </c>
    </row>
    <row r="1571">
      <c r="A1571" t="n">
        <v>24</v>
      </c>
      <c r="B1571" t="inlineStr">
        <is>
          <t>K3-3C</t>
        </is>
      </c>
      <c r="D1571" t="n">
        <v>10.76</v>
      </c>
      <c r="E1571" t="n">
        <v>0.519</v>
      </c>
      <c r="F1571" t="n">
        <v>1040.161</v>
      </c>
      <c r="G1571" t="n">
        <v>6</v>
      </c>
      <c r="H1571" t="inlineStr">
        <is>
          <t>bb</t>
        </is>
      </c>
    </row>
    <row r="1572">
      <c r="A1572" t="n">
        <v>25</v>
      </c>
      <c r="B1572" t="inlineStr">
        <is>
          <t>K3-4A</t>
        </is>
      </c>
      <c r="F1572" t="n">
        <v>1196.547</v>
      </c>
    </row>
    <row r="1573">
      <c r="A1573" t="n">
        <v>26</v>
      </c>
      <c r="B1573" t="inlineStr">
        <is>
          <t>K3-4B</t>
        </is>
      </c>
      <c r="D1573" t="n">
        <v>11.16</v>
      </c>
      <c r="E1573" t="n">
        <v>15.882</v>
      </c>
      <c r="F1573" t="n">
        <v>1065.462</v>
      </c>
      <c r="G1573" t="n">
        <v>169</v>
      </c>
      <c r="H1573" t="inlineStr">
        <is>
          <t>MM</t>
        </is>
      </c>
    </row>
    <row r="1574">
      <c r="A1574" t="n">
        <v>27</v>
      </c>
      <c r="B1574" t="inlineStr">
        <is>
          <t>K3-4C</t>
        </is>
      </c>
      <c r="F1574" t="n">
        <v>841.401</v>
      </c>
    </row>
    <row r="1575">
      <c r="A1575" t="n">
        <v>28</v>
      </c>
      <c r="B1575" t="inlineStr">
        <is>
          <t>MeOH</t>
        </is>
      </c>
      <c r="H1575" t="inlineStr">
        <is>
          <t>MM-</t>
        </is>
      </c>
    </row>
    <row r="1576">
      <c r="A1576" t="n">
        <v>29</v>
      </c>
      <c r="B1576" t="inlineStr">
        <is>
          <t>K3-6A</t>
        </is>
      </c>
      <c r="F1576" t="n">
        <v>1044.224</v>
      </c>
    </row>
    <row r="1577">
      <c r="A1577" t="n">
        <v>30</v>
      </c>
      <c r="B1577" t="inlineStr">
        <is>
          <t>K3-6B</t>
        </is>
      </c>
      <c r="D1577" t="n">
        <v>10.24</v>
      </c>
      <c r="E1577" t="n">
        <v>7.813</v>
      </c>
      <c r="F1577" t="n">
        <v>517.776</v>
      </c>
      <c r="G1577" t="n">
        <v>86</v>
      </c>
      <c r="H1577" t="inlineStr">
        <is>
          <t>bb</t>
        </is>
      </c>
    </row>
    <row r="1578">
      <c r="A1578" t="n">
        <v>31</v>
      </c>
      <c r="B1578" t="inlineStr">
        <is>
          <t>K3-6C</t>
        </is>
      </c>
      <c r="D1578" t="n">
        <v>10.87</v>
      </c>
      <c r="E1578" t="n">
        <v>23.907</v>
      </c>
      <c r="F1578" t="n">
        <v>709.654</v>
      </c>
      <c r="G1578" t="n">
        <v>27.579</v>
      </c>
      <c r="H1578" t="inlineStr">
        <is>
          <t>bb</t>
        </is>
      </c>
    </row>
    <row r="1580">
      <c r="A1580" t="inlineStr">
        <is>
          <t>Compound 46:  m3 PFHxS 1</t>
        </is>
      </c>
    </row>
    <row r="1582">
      <c r="B1582" t="inlineStr">
        <is>
          <t>Sample Text</t>
        </is>
      </c>
      <c r="C1582" t="inlineStr">
        <is>
          <t>Std. Conc</t>
        </is>
      </c>
      <c r="D1582" t="inlineStr">
        <is>
          <t>RT</t>
        </is>
      </c>
      <c r="E1582" t="inlineStr">
        <is>
          <t>Area</t>
        </is>
      </c>
      <c r="F1582" t="inlineStr">
        <is>
          <t>IS Area</t>
        </is>
      </c>
      <c r="G1582" t="inlineStr">
        <is>
          <t>S/N</t>
        </is>
      </c>
      <c r="H1582" t="inlineStr">
        <is>
          <t>Primary Flags</t>
        </is>
      </c>
      <c r="I1582" t="inlineStr">
        <is>
          <t>Response</t>
        </is>
      </c>
      <c r="J1582" t="inlineStr">
        <is>
          <t>Conc.</t>
        </is>
      </c>
    </row>
    <row r="1583">
      <c r="A1583" t="n">
        <v>1</v>
      </c>
      <c r="B1583" t="inlineStr">
        <is>
          <t>K4-1A</t>
        </is>
      </c>
      <c r="D1583" t="n">
        <v>10.82</v>
      </c>
      <c r="E1583" t="n">
        <v>562.856</v>
      </c>
      <c r="G1583" t="n">
        <v>4136</v>
      </c>
      <c r="H1583" t="inlineStr">
        <is>
          <t>bb</t>
        </is>
      </c>
      <c r="I1583" t="n">
        <v>562.856</v>
      </c>
    </row>
    <row r="1584">
      <c r="A1584" t="n">
        <v>2</v>
      </c>
      <c r="B1584" t="inlineStr">
        <is>
          <t>K4-1B</t>
        </is>
      </c>
      <c r="D1584" t="n">
        <v>10.85</v>
      </c>
      <c r="E1584" t="n">
        <v>709.3200000000001</v>
      </c>
      <c r="G1584" t="n">
        <v>1042.591</v>
      </c>
      <c r="H1584" t="inlineStr">
        <is>
          <t>bb</t>
        </is>
      </c>
      <c r="I1584" t="n">
        <v>709.3200000000001</v>
      </c>
    </row>
    <row r="1585">
      <c r="A1585" t="n">
        <v>3</v>
      </c>
      <c r="B1585" t="inlineStr">
        <is>
          <t>K4-1C</t>
        </is>
      </c>
      <c r="D1585" t="n">
        <v>10.87</v>
      </c>
      <c r="E1585" t="n">
        <v>545.8630000000001</v>
      </c>
      <c r="G1585" t="n">
        <v>266.492</v>
      </c>
      <c r="H1585" t="inlineStr">
        <is>
          <t>bb</t>
        </is>
      </c>
      <c r="I1585" t="n">
        <v>545.8630000000001</v>
      </c>
    </row>
    <row r="1586">
      <c r="A1586" t="n">
        <v>4</v>
      </c>
      <c r="B1586" t="inlineStr">
        <is>
          <t>K4-2A</t>
        </is>
      </c>
      <c r="D1586" t="n">
        <v>10.88</v>
      </c>
      <c r="E1586" t="n">
        <v>889.295</v>
      </c>
      <c r="G1586" t="n">
        <v>7047</v>
      </c>
      <c r="H1586" t="inlineStr">
        <is>
          <t>bb</t>
        </is>
      </c>
      <c r="I1586" t="n">
        <v>889.295</v>
      </c>
    </row>
    <row r="1587">
      <c r="A1587" t="n">
        <v>5</v>
      </c>
      <c r="B1587" t="inlineStr">
        <is>
          <t>K4-2B</t>
        </is>
      </c>
      <c r="D1587" t="n">
        <v>10.85</v>
      </c>
      <c r="E1587" t="n">
        <v>819.534</v>
      </c>
      <c r="G1587" t="n">
        <v>6373</v>
      </c>
      <c r="H1587" t="inlineStr">
        <is>
          <t>bb</t>
        </is>
      </c>
      <c r="I1587" t="n">
        <v>819.534</v>
      </c>
    </row>
    <row r="1588">
      <c r="A1588" t="n">
        <v>6</v>
      </c>
      <c r="B1588" t="inlineStr">
        <is>
          <t>K4-2C</t>
        </is>
      </c>
      <c r="D1588" t="n">
        <v>10.88</v>
      </c>
      <c r="E1588" t="n">
        <v>609.211</v>
      </c>
      <c r="G1588" t="n">
        <v>8.779999999999999</v>
      </c>
      <c r="H1588" t="inlineStr">
        <is>
          <t>bb</t>
        </is>
      </c>
      <c r="I1588" t="n">
        <v>609.211</v>
      </c>
    </row>
    <row r="1589">
      <c r="A1589" t="n">
        <v>7</v>
      </c>
      <c r="B1589" t="inlineStr">
        <is>
          <t>MeOH</t>
        </is>
      </c>
    </row>
    <row r="1590">
      <c r="A1590" t="n">
        <v>8</v>
      </c>
      <c r="B1590" t="inlineStr">
        <is>
          <t>K4-4A</t>
        </is>
      </c>
      <c r="D1590" t="n">
        <v>10.88</v>
      </c>
      <c r="E1590" t="n">
        <v>836.772</v>
      </c>
      <c r="G1590" t="n">
        <v>2455.572</v>
      </c>
      <c r="H1590" t="inlineStr">
        <is>
          <t>bb</t>
        </is>
      </c>
      <c r="I1590" t="n">
        <v>836.772</v>
      </c>
    </row>
    <row r="1591">
      <c r="A1591" t="n">
        <v>9</v>
      </c>
      <c r="B1591" t="inlineStr">
        <is>
          <t>K4-4B</t>
        </is>
      </c>
      <c r="D1591" t="n">
        <v>10.91</v>
      </c>
      <c r="E1591" t="n">
        <v>461.157</v>
      </c>
      <c r="G1591" t="n">
        <v>3469</v>
      </c>
      <c r="H1591" t="inlineStr">
        <is>
          <t>bb</t>
        </is>
      </c>
      <c r="I1591" t="n">
        <v>461.157</v>
      </c>
    </row>
    <row r="1592">
      <c r="A1592" t="n">
        <v>10</v>
      </c>
      <c r="B1592" t="inlineStr">
        <is>
          <t>K4-4C</t>
        </is>
      </c>
      <c r="D1592" t="n">
        <v>10.89</v>
      </c>
      <c r="E1592" t="n">
        <v>666.644</v>
      </c>
      <c r="G1592" t="n">
        <v>23.733</v>
      </c>
      <c r="H1592" t="inlineStr">
        <is>
          <t>bb</t>
        </is>
      </c>
      <c r="I1592" t="n">
        <v>666.644</v>
      </c>
    </row>
    <row r="1593">
      <c r="A1593" t="n">
        <v>11</v>
      </c>
      <c r="B1593" t="inlineStr">
        <is>
          <t>K4-5A</t>
        </is>
      </c>
      <c r="D1593" t="n">
        <v>10.88</v>
      </c>
      <c r="E1593" t="n">
        <v>578.409</v>
      </c>
      <c r="G1593" t="n">
        <v>4598</v>
      </c>
      <c r="H1593" t="inlineStr">
        <is>
          <t>bb</t>
        </is>
      </c>
      <c r="I1593" t="n">
        <v>578.409</v>
      </c>
    </row>
    <row r="1594">
      <c r="A1594" t="n">
        <v>12</v>
      </c>
      <c r="B1594" t="inlineStr">
        <is>
          <t>K4-5B</t>
        </is>
      </c>
      <c r="D1594" t="n">
        <v>10.84</v>
      </c>
      <c r="E1594" t="n">
        <v>575.86</v>
      </c>
      <c r="G1594" t="n">
        <v>4223</v>
      </c>
      <c r="H1594" t="inlineStr">
        <is>
          <t>bb</t>
        </is>
      </c>
      <c r="I1594" t="n">
        <v>575.86</v>
      </c>
    </row>
    <row r="1595">
      <c r="A1595" t="n">
        <v>13</v>
      </c>
      <c r="B1595" t="inlineStr">
        <is>
          <t>K4-5C</t>
        </is>
      </c>
      <c r="D1595" t="n">
        <v>10.76</v>
      </c>
      <c r="E1595" t="n">
        <v>648.184</v>
      </c>
      <c r="G1595" t="n">
        <v>92.797</v>
      </c>
      <c r="H1595" t="inlineStr">
        <is>
          <t>bb</t>
        </is>
      </c>
      <c r="I1595" t="n">
        <v>648.184</v>
      </c>
    </row>
    <row r="1596">
      <c r="A1596" t="n">
        <v>14</v>
      </c>
      <c r="B1596" t="inlineStr">
        <is>
          <t>MeOH</t>
        </is>
      </c>
    </row>
    <row r="1597">
      <c r="A1597" t="n">
        <v>15</v>
      </c>
      <c r="B1597" t="inlineStr">
        <is>
          <t>K3-1A</t>
        </is>
      </c>
      <c r="D1597" t="n">
        <v>10.66</v>
      </c>
      <c r="E1597" t="n">
        <v>704.658</v>
      </c>
      <c r="G1597" t="n">
        <v>5920</v>
      </c>
      <c r="H1597" t="inlineStr">
        <is>
          <t>bb</t>
        </is>
      </c>
      <c r="I1597" t="n">
        <v>704.658</v>
      </c>
    </row>
    <row r="1598">
      <c r="A1598" t="n">
        <v>16</v>
      </c>
      <c r="B1598" t="inlineStr">
        <is>
          <t>K3-1B</t>
        </is>
      </c>
      <c r="D1598" t="n">
        <v>10.69</v>
      </c>
      <c r="E1598" t="n">
        <v>589.025</v>
      </c>
      <c r="G1598" t="n">
        <v>4843</v>
      </c>
      <c r="H1598" t="inlineStr">
        <is>
          <t>bb</t>
        </is>
      </c>
      <c r="I1598" t="n">
        <v>589.025</v>
      </c>
    </row>
    <row r="1599">
      <c r="A1599" t="n">
        <v>17</v>
      </c>
      <c r="B1599" t="inlineStr">
        <is>
          <t>K3-1C</t>
        </is>
      </c>
      <c r="D1599" t="n">
        <v>10.75</v>
      </c>
      <c r="E1599" t="n">
        <v>902.054</v>
      </c>
      <c r="G1599" t="n">
        <v>8040</v>
      </c>
      <c r="H1599" t="inlineStr">
        <is>
          <t>bb</t>
        </is>
      </c>
      <c r="I1599" t="n">
        <v>902.054</v>
      </c>
    </row>
    <row r="1600">
      <c r="A1600" t="n">
        <v>18</v>
      </c>
      <c r="B1600" t="inlineStr">
        <is>
          <t>K3-2A</t>
        </is>
      </c>
      <c r="D1600" t="n">
        <v>10.77</v>
      </c>
      <c r="E1600" t="n">
        <v>786.168</v>
      </c>
      <c r="G1600" t="n">
        <v>130.875</v>
      </c>
      <c r="H1600" t="inlineStr">
        <is>
          <t>bb</t>
        </is>
      </c>
      <c r="I1600" t="n">
        <v>786.168</v>
      </c>
    </row>
    <row r="1601">
      <c r="A1601" t="n">
        <v>19</v>
      </c>
      <c r="B1601" t="inlineStr">
        <is>
          <t>K3-2B</t>
        </is>
      </c>
      <c r="D1601" t="n">
        <v>10.78</v>
      </c>
      <c r="E1601" t="n">
        <v>847.954</v>
      </c>
      <c r="G1601" t="n">
        <v>6917</v>
      </c>
      <c r="H1601" t="inlineStr">
        <is>
          <t>bb</t>
        </is>
      </c>
      <c r="I1601" t="n">
        <v>847.954</v>
      </c>
    </row>
    <row r="1602">
      <c r="A1602" t="n">
        <v>20</v>
      </c>
      <c r="B1602" t="inlineStr">
        <is>
          <t>K3-2C</t>
        </is>
      </c>
      <c r="D1602" t="n">
        <v>10.77</v>
      </c>
      <c r="E1602" t="n">
        <v>549.966</v>
      </c>
      <c r="G1602" t="n">
        <v>4206</v>
      </c>
      <c r="H1602" t="inlineStr">
        <is>
          <t>bb</t>
        </is>
      </c>
      <c r="I1602" t="n">
        <v>549.966</v>
      </c>
    </row>
    <row r="1603">
      <c r="A1603" t="n">
        <v>21</v>
      </c>
      <c r="B1603" t="inlineStr">
        <is>
          <t>MeOH</t>
        </is>
      </c>
    </row>
    <row r="1604">
      <c r="A1604" t="n">
        <v>22</v>
      </c>
      <c r="B1604" t="inlineStr">
        <is>
          <t>K3-3A</t>
        </is>
      </c>
      <c r="D1604" t="n">
        <v>10.81</v>
      </c>
      <c r="E1604" t="n">
        <v>896.226</v>
      </c>
      <c r="G1604" t="n">
        <v>7052</v>
      </c>
      <c r="H1604" t="inlineStr">
        <is>
          <t>bb</t>
        </is>
      </c>
      <c r="I1604" t="n">
        <v>896.226</v>
      </c>
    </row>
    <row r="1605">
      <c r="A1605" t="n">
        <v>23</v>
      </c>
      <c r="B1605" t="inlineStr">
        <is>
          <t>K3-3B</t>
        </is>
      </c>
      <c r="D1605" t="n">
        <v>10.81</v>
      </c>
      <c r="E1605" t="n">
        <v>1005.7</v>
      </c>
      <c r="G1605" t="n">
        <v>7753</v>
      </c>
      <c r="H1605" t="inlineStr">
        <is>
          <t>bb</t>
        </is>
      </c>
      <c r="I1605" t="n">
        <v>1005.7</v>
      </c>
    </row>
    <row r="1606">
      <c r="A1606" t="n">
        <v>24</v>
      </c>
      <c r="B1606" t="inlineStr">
        <is>
          <t>K3-3C</t>
        </is>
      </c>
      <c r="D1606" t="n">
        <v>10.82</v>
      </c>
      <c r="E1606" t="n">
        <v>1040.161</v>
      </c>
      <c r="G1606" t="n">
        <v>29.461</v>
      </c>
      <c r="H1606" t="inlineStr">
        <is>
          <t>bb</t>
        </is>
      </c>
      <c r="I1606" t="n">
        <v>1040.161</v>
      </c>
    </row>
    <row r="1607">
      <c r="A1607" t="n">
        <v>25</v>
      </c>
      <c r="B1607" t="inlineStr">
        <is>
          <t>K3-4A</t>
        </is>
      </c>
      <c r="D1607" t="n">
        <v>10.89</v>
      </c>
      <c r="E1607" t="n">
        <v>1196.547</v>
      </c>
      <c r="G1607" t="n">
        <v>9110</v>
      </c>
      <c r="H1607" t="inlineStr">
        <is>
          <t>bb</t>
        </is>
      </c>
      <c r="I1607" t="n">
        <v>1196.547</v>
      </c>
    </row>
    <row r="1608">
      <c r="A1608" t="n">
        <v>26</v>
      </c>
      <c r="B1608" t="inlineStr">
        <is>
          <t>K3-4B</t>
        </is>
      </c>
      <c r="D1608" t="n">
        <v>10.85</v>
      </c>
      <c r="E1608" t="n">
        <v>1065.462</v>
      </c>
      <c r="G1608" t="n">
        <v>142.497</v>
      </c>
      <c r="H1608" t="inlineStr">
        <is>
          <t>bb</t>
        </is>
      </c>
      <c r="I1608" t="n">
        <v>1065.462</v>
      </c>
    </row>
    <row r="1609">
      <c r="A1609" t="n">
        <v>27</v>
      </c>
      <c r="B1609" t="inlineStr">
        <is>
          <t>K3-4C</t>
        </is>
      </c>
      <c r="D1609" t="n">
        <v>10.89</v>
      </c>
      <c r="E1609" t="n">
        <v>841.401</v>
      </c>
      <c r="G1609" t="n">
        <v>13.923</v>
      </c>
      <c r="H1609" t="inlineStr">
        <is>
          <t>bb</t>
        </is>
      </c>
      <c r="I1609" t="n">
        <v>841.401</v>
      </c>
    </row>
    <row r="1610">
      <c r="A1610" t="n">
        <v>28</v>
      </c>
      <c r="B1610" t="inlineStr">
        <is>
          <t>MeOH</t>
        </is>
      </c>
    </row>
    <row r="1611">
      <c r="A1611" t="n">
        <v>29</v>
      </c>
      <c r="B1611" t="inlineStr">
        <is>
          <t>K3-6A</t>
        </is>
      </c>
      <c r="D1611" t="n">
        <v>10.92</v>
      </c>
      <c r="E1611" t="n">
        <v>1044.224</v>
      </c>
      <c r="G1611" t="n">
        <v>4.245</v>
      </c>
      <c r="H1611" t="inlineStr">
        <is>
          <t>bb</t>
        </is>
      </c>
      <c r="I1611" t="n">
        <v>1044.224</v>
      </c>
    </row>
    <row r="1612">
      <c r="A1612" t="n">
        <v>30</v>
      </c>
      <c r="B1612" t="inlineStr">
        <is>
          <t>K3-6B</t>
        </is>
      </c>
      <c r="D1612" t="n">
        <v>10.89</v>
      </c>
      <c r="E1612" t="n">
        <v>517.776</v>
      </c>
      <c r="G1612" t="n">
        <v>3842</v>
      </c>
      <c r="H1612" t="inlineStr">
        <is>
          <t>bb</t>
        </is>
      </c>
      <c r="I1612" t="n">
        <v>517.776</v>
      </c>
    </row>
    <row r="1613">
      <c r="A1613" t="n">
        <v>31</v>
      </c>
      <c r="B1613" t="inlineStr">
        <is>
          <t>K3-6C</t>
        </is>
      </c>
      <c r="D1613" t="n">
        <v>10.89</v>
      </c>
      <c r="E1613" t="n">
        <v>709.654</v>
      </c>
      <c r="G1613" t="n">
        <v>5294</v>
      </c>
      <c r="H1613" t="inlineStr">
        <is>
          <t>bb</t>
        </is>
      </c>
      <c r="I1613" t="n">
        <v>709.654</v>
      </c>
    </row>
    <row r="1615">
      <c r="A1615" t="inlineStr">
        <is>
          <t>Compound 47:  m3 PFHxS 2</t>
        </is>
      </c>
    </row>
    <row r="1617">
      <c r="B1617" t="inlineStr">
        <is>
          <t>Sample Text</t>
        </is>
      </c>
      <c r="C1617" t="inlineStr">
        <is>
          <t>Std. Conc</t>
        </is>
      </c>
      <c r="D1617" t="inlineStr">
        <is>
          <t>RT</t>
        </is>
      </c>
      <c r="E1617" t="inlineStr">
        <is>
          <t>Area</t>
        </is>
      </c>
      <c r="F1617" t="inlineStr">
        <is>
          <t>IS Area</t>
        </is>
      </c>
      <c r="G1617" t="inlineStr">
        <is>
          <t>S/N</t>
        </is>
      </c>
      <c r="H1617" t="inlineStr">
        <is>
          <t>Primary Flags</t>
        </is>
      </c>
      <c r="I1617" t="inlineStr">
        <is>
          <t>Response</t>
        </is>
      </c>
      <c r="J1617" t="inlineStr">
        <is>
          <t>Conc.</t>
        </is>
      </c>
    </row>
    <row r="1618">
      <c r="A1618" t="n">
        <v>1</v>
      </c>
      <c r="B1618" t="inlineStr">
        <is>
          <t>K4-1A</t>
        </is>
      </c>
      <c r="D1618" t="n">
        <v>10.85</v>
      </c>
      <c r="E1618" t="n">
        <v>761.456</v>
      </c>
      <c r="G1618" t="n">
        <v>5538</v>
      </c>
      <c r="H1618" t="inlineStr">
        <is>
          <t>bb</t>
        </is>
      </c>
      <c r="I1618" t="n">
        <v>761.456</v>
      </c>
    </row>
    <row r="1619">
      <c r="A1619" t="n">
        <v>2</v>
      </c>
      <c r="B1619" t="inlineStr">
        <is>
          <t>K4-1B</t>
        </is>
      </c>
      <c r="D1619" t="n">
        <v>10.84</v>
      </c>
      <c r="E1619" t="n">
        <v>461.211</v>
      </c>
      <c r="G1619" t="n">
        <v>44.685</v>
      </c>
      <c r="H1619" t="inlineStr">
        <is>
          <t>bb</t>
        </is>
      </c>
      <c r="I1619" t="n">
        <v>461.211</v>
      </c>
    </row>
    <row r="1620">
      <c r="A1620" t="n">
        <v>3</v>
      </c>
      <c r="B1620" t="inlineStr">
        <is>
          <t>K4-1C</t>
        </is>
      </c>
      <c r="D1620" t="n">
        <v>10.88</v>
      </c>
      <c r="E1620" t="n">
        <v>277.991</v>
      </c>
      <c r="G1620" t="n">
        <v>28.855</v>
      </c>
      <c r="H1620" t="inlineStr">
        <is>
          <t>bb</t>
        </is>
      </c>
      <c r="I1620" t="n">
        <v>277.991</v>
      </c>
    </row>
    <row r="1621">
      <c r="A1621" t="n">
        <v>4</v>
      </c>
      <c r="B1621" t="inlineStr">
        <is>
          <t>K4-2A</t>
        </is>
      </c>
      <c r="D1621" t="n">
        <v>10.87</v>
      </c>
      <c r="E1621" t="n">
        <v>935.228</v>
      </c>
      <c r="G1621" t="n">
        <v>109.255</v>
      </c>
      <c r="H1621" t="inlineStr">
        <is>
          <t>bb</t>
        </is>
      </c>
      <c r="I1621" t="n">
        <v>935.228</v>
      </c>
    </row>
    <row r="1622">
      <c r="A1622" t="n">
        <v>5</v>
      </c>
      <c r="B1622" t="inlineStr">
        <is>
          <t>K4-2B</t>
        </is>
      </c>
      <c r="D1622" t="n">
        <v>10.87</v>
      </c>
      <c r="E1622" t="n">
        <v>442.548</v>
      </c>
      <c r="G1622" t="n">
        <v>3417</v>
      </c>
      <c r="H1622" t="inlineStr">
        <is>
          <t>bb</t>
        </is>
      </c>
      <c r="I1622" t="n">
        <v>442.548</v>
      </c>
    </row>
    <row r="1623">
      <c r="A1623" t="n">
        <v>6</v>
      </c>
      <c r="B1623" t="inlineStr">
        <is>
          <t>K4-2C</t>
        </is>
      </c>
      <c r="D1623" t="n">
        <v>10.87</v>
      </c>
      <c r="E1623" t="n">
        <v>641.376</v>
      </c>
      <c r="G1623" t="n">
        <v>5154</v>
      </c>
      <c r="H1623" t="inlineStr">
        <is>
          <t>bb</t>
        </is>
      </c>
      <c r="I1623" t="n">
        <v>641.376</v>
      </c>
    </row>
    <row r="1624">
      <c r="A1624" t="n">
        <v>7</v>
      </c>
      <c r="B1624" t="inlineStr">
        <is>
          <t>MeOH</t>
        </is>
      </c>
    </row>
    <row r="1625">
      <c r="A1625" t="n">
        <v>8</v>
      </c>
      <c r="B1625" t="inlineStr">
        <is>
          <t>K4-4A</t>
        </is>
      </c>
      <c r="D1625" t="n">
        <v>10.89</v>
      </c>
      <c r="E1625" t="n">
        <v>303.474</v>
      </c>
      <c r="G1625" t="n">
        <v>74.203</v>
      </c>
      <c r="H1625" t="inlineStr">
        <is>
          <t>bb</t>
        </is>
      </c>
      <c r="I1625" t="n">
        <v>303.474</v>
      </c>
    </row>
    <row r="1626">
      <c r="A1626" t="n">
        <v>9</v>
      </c>
      <c r="B1626" t="inlineStr">
        <is>
          <t>K4-4B</t>
        </is>
      </c>
      <c r="D1626" t="n">
        <v>10.89</v>
      </c>
      <c r="E1626" t="n">
        <v>650.835</v>
      </c>
      <c r="G1626" t="n">
        <v>4679</v>
      </c>
      <c r="H1626" t="inlineStr">
        <is>
          <t>bb</t>
        </is>
      </c>
      <c r="I1626" t="n">
        <v>650.835</v>
      </c>
    </row>
    <row r="1627">
      <c r="A1627" t="n">
        <v>10</v>
      </c>
      <c r="B1627" t="inlineStr">
        <is>
          <t>K4-4C</t>
        </is>
      </c>
      <c r="D1627" t="n">
        <v>10.89</v>
      </c>
      <c r="E1627" t="n">
        <v>916.072</v>
      </c>
      <c r="G1627" t="n">
        <v>7481</v>
      </c>
      <c r="H1627" t="inlineStr">
        <is>
          <t>bb</t>
        </is>
      </c>
      <c r="I1627" t="n">
        <v>916.072</v>
      </c>
    </row>
    <row r="1628">
      <c r="A1628" t="n">
        <v>11</v>
      </c>
      <c r="B1628" t="inlineStr">
        <is>
          <t>K4-5A</t>
        </is>
      </c>
      <c r="D1628" t="n">
        <v>10.88</v>
      </c>
      <c r="E1628" t="n">
        <v>574.623</v>
      </c>
      <c r="G1628" t="n">
        <v>4575</v>
      </c>
      <c r="H1628" t="inlineStr">
        <is>
          <t>bb</t>
        </is>
      </c>
      <c r="I1628" t="n">
        <v>574.623</v>
      </c>
    </row>
    <row r="1629">
      <c r="A1629" t="n">
        <v>12</v>
      </c>
      <c r="B1629" t="inlineStr">
        <is>
          <t>K4-5B</t>
        </is>
      </c>
      <c r="D1629" t="n">
        <v>10.85</v>
      </c>
      <c r="E1629" t="n">
        <v>522.277</v>
      </c>
      <c r="G1629" t="n">
        <v>16.018</v>
      </c>
      <c r="H1629" t="inlineStr">
        <is>
          <t>bb</t>
        </is>
      </c>
      <c r="I1629" t="n">
        <v>522.277</v>
      </c>
    </row>
    <row r="1630">
      <c r="A1630" t="n">
        <v>13</v>
      </c>
      <c r="B1630" t="inlineStr">
        <is>
          <t>K4-5C</t>
        </is>
      </c>
      <c r="D1630" t="n">
        <v>10.78</v>
      </c>
      <c r="E1630" t="n">
        <v>572.672</v>
      </c>
      <c r="G1630" t="n">
        <v>1248.62</v>
      </c>
      <c r="H1630" t="inlineStr">
        <is>
          <t>bb</t>
        </is>
      </c>
      <c r="I1630" t="n">
        <v>572.672</v>
      </c>
    </row>
    <row r="1631">
      <c r="A1631" t="n">
        <v>14</v>
      </c>
      <c r="B1631" t="inlineStr">
        <is>
          <t>MeOH</t>
        </is>
      </c>
    </row>
    <row r="1632">
      <c r="A1632" t="n">
        <v>15</v>
      </c>
      <c r="B1632" t="inlineStr">
        <is>
          <t>K3-1A</t>
        </is>
      </c>
      <c r="D1632" t="n">
        <v>10.66</v>
      </c>
      <c r="E1632" t="n">
        <v>471.097</v>
      </c>
      <c r="G1632" t="n">
        <v>4125</v>
      </c>
      <c r="H1632" t="inlineStr">
        <is>
          <t>bb</t>
        </is>
      </c>
      <c r="I1632" t="n">
        <v>471.097</v>
      </c>
    </row>
    <row r="1633">
      <c r="A1633" t="n">
        <v>16</v>
      </c>
      <c r="B1633" t="inlineStr">
        <is>
          <t>K3-1B</t>
        </is>
      </c>
      <c r="D1633" t="n">
        <v>10.69</v>
      </c>
      <c r="E1633" t="n">
        <v>620.8390000000001</v>
      </c>
      <c r="G1633" t="n">
        <v>5594</v>
      </c>
      <c r="H1633" t="inlineStr">
        <is>
          <t>bb</t>
        </is>
      </c>
      <c r="I1633" t="n">
        <v>620.8390000000001</v>
      </c>
    </row>
    <row r="1634">
      <c r="A1634" t="n">
        <v>17</v>
      </c>
      <c r="B1634" t="inlineStr">
        <is>
          <t>K3-1C</t>
        </is>
      </c>
      <c r="D1634" t="n">
        <v>10.75</v>
      </c>
      <c r="E1634" t="n">
        <v>466.856</v>
      </c>
      <c r="G1634" t="n">
        <v>21.074</v>
      </c>
      <c r="H1634" t="inlineStr">
        <is>
          <t>bb</t>
        </is>
      </c>
      <c r="I1634" t="n">
        <v>466.856</v>
      </c>
    </row>
    <row r="1635">
      <c r="A1635" t="n">
        <v>18</v>
      </c>
      <c r="B1635" t="inlineStr">
        <is>
          <t>K3-2A</t>
        </is>
      </c>
      <c r="D1635" t="n">
        <v>10.77</v>
      </c>
      <c r="E1635" t="n">
        <v>1042.297</v>
      </c>
      <c r="G1635" t="n">
        <v>585.678</v>
      </c>
      <c r="H1635" t="inlineStr">
        <is>
          <t>bb</t>
        </is>
      </c>
      <c r="I1635" t="n">
        <v>1042.297</v>
      </c>
    </row>
    <row r="1636">
      <c r="A1636" t="n">
        <v>19</v>
      </c>
      <c r="B1636" t="inlineStr">
        <is>
          <t>K3-2B</t>
        </is>
      </c>
      <c r="D1636" t="n">
        <v>10.78</v>
      </c>
      <c r="E1636" t="n">
        <v>873.1319999999999</v>
      </c>
      <c r="G1636" t="n">
        <v>410.434</v>
      </c>
      <c r="H1636" t="inlineStr">
        <is>
          <t>bb</t>
        </is>
      </c>
      <c r="I1636" t="n">
        <v>873.1319999999999</v>
      </c>
    </row>
    <row r="1637">
      <c r="A1637" t="n">
        <v>20</v>
      </c>
      <c r="B1637" t="inlineStr">
        <is>
          <t>K3-2C</t>
        </is>
      </c>
      <c r="D1637" t="n">
        <v>10.77</v>
      </c>
      <c r="E1637" t="n">
        <v>626.237</v>
      </c>
      <c r="G1637" t="n">
        <v>4862</v>
      </c>
      <c r="H1637" t="inlineStr">
        <is>
          <t>bb</t>
        </is>
      </c>
      <c r="I1637" t="n">
        <v>626.237</v>
      </c>
    </row>
    <row r="1638">
      <c r="A1638" t="n">
        <v>21</v>
      </c>
      <c r="B1638" t="inlineStr">
        <is>
          <t>MeOH</t>
        </is>
      </c>
    </row>
    <row r="1639">
      <c r="A1639" t="n">
        <v>22</v>
      </c>
      <c r="B1639" t="inlineStr">
        <is>
          <t>K3-3A</t>
        </is>
      </c>
      <c r="D1639" t="n">
        <v>10.8</v>
      </c>
      <c r="E1639" t="n">
        <v>692.974</v>
      </c>
      <c r="G1639" t="n">
        <v>54.589</v>
      </c>
      <c r="H1639" t="inlineStr">
        <is>
          <t>bb</t>
        </is>
      </c>
      <c r="I1639" t="n">
        <v>692.974</v>
      </c>
    </row>
    <row r="1640">
      <c r="A1640" t="n">
        <v>23</v>
      </c>
      <c r="B1640" t="inlineStr">
        <is>
          <t>K3-3B</t>
        </is>
      </c>
      <c r="D1640" t="n">
        <v>10.82</v>
      </c>
      <c r="E1640" t="n">
        <v>525.057</v>
      </c>
      <c r="G1640" t="n">
        <v>97.967</v>
      </c>
      <c r="H1640" t="inlineStr">
        <is>
          <t>bb</t>
        </is>
      </c>
      <c r="I1640" t="n">
        <v>525.057</v>
      </c>
    </row>
    <row r="1641">
      <c r="A1641" t="n">
        <v>24</v>
      </c>
      <c r="B1641" t="inlineStr">
        <is>
          <t>K3-3C</t>
        </is>
      </c>
      <c r="D1641" t="n">
        <v>10.81</v>
      </c>
      <c r="E1641" t="n">
        <v>604.283</v>
      </c>
      <c r="G1641" t="n">
        <v>44.728</v>
      </c>
      <c r="H1641" t="inlineStr">
        <is>
          <t>bb</t>
        </is>
      </c>
      <c r="I1641" t="n">
        <v>604.283</v>
      </c>
    </row>
    <row r="1642">
      <c r="A1642" t="n">
        <v>25</v>
      </c>
      <c r="B1642" t="inlineStr">
        <is>
          <t>K3-4A</t>
        </is>
      </c>
      <c r="D1642" t="n">
        <v>10.88</v>
      </c>
      <c r="E1642" t="n">
        <v>810.347</v>
      </c>
      <c r="G1642" t="n">
        <v>6560</v>
      </c>
      <c r="H1642" t="inlineStr">
        <is>
          <t>bb</t>
        </is>
      </c>
      <c r="I1642" t="n">
        <v>810.347</v>
      </c>
    </row>
    <row r="1643">
      <c r="A1643" t="n">
        <v>26</v>
      </c>
      <c r="B1643" t="inlineStr">
        <is>
          <t>K3-4B</t>
        </is>
      </c>
      <c r="D1643" t="n">
        <v>10.85</v>
      </c>
      <c r="E1643" t="n">
        <v>662.284</v>
      </c>
      <c r="G1643" t="n">
        <v>17.813</v>
      </c>
      <c r="H1643" t="inlineStr">
        <is>
          <t>bb</t>
        </is>
      </c>
      <c r="I1643" t="n">
        <v>662.284</v>
      </c>
    </row>
    <row r="1644">
      <c r="A1644" t="n">
        <v>27</v>
      </c>
      <c r="B1644" t="inlineStr">
        <is>
          <t>K3-4C</t>
        </is>
      </c>
      <c r="D1644" t="n">
        <v>10.89</v>
      </c>
      <c r="E1644" t="n">
        <v>607.489</v>
      </c>
      <c r="G1644" t="n">
        <v>4328</v>
      </c>
      <c r="H1644" t="inlineStr">
        <is>
          <t>bb</t>
        </is>
      </c>
      <c r="I1644" t="n">
        <v>607.489</v>
      </c>
    </row>
    <row r="1645">
      <c r="A1645" t="n">
        <v>28</v>
      </c>
      <c r="B1645" t="inlineStr">
        <is>
          <t>MeOH</t>
        </is>
      </c>
      <c r="D1645" t="n">
        <v>10.72</v>
      </c>
      <c r="E1645" t="n">
        <v>8.281000000000001</v>
      </c>
      <c r="G1645" t="n">
        <v>93</v>
      </c>
      <c r="H1645" t="inlineStr">
        <is>
          <t>bb</t>
        </is>
      </c>
      <c r="I1645" t="n">
        <v>8.281000000000001</v>
      </c>
    </row>
    <row r="1646">
      <c r="A1646" t="n">
        <v>29</v>
      </c>
      <c r="B1646" t="inlineStr">
        <is>
          <t>K3-6A</t>
        </is>
      </c>
      <c r="D1646" t="n">
        <v>10.91</v>
      </c>
      <c r="E1646" t="n">
        <v>813.943</v>
      </c>
      <c r="G1646" t="n">
        <v>19.764</v>
      </c>
      <c r="H1646" t="inlineStr">
        <is>
          <t>bb</t>
        </is>
      </c>
      <c r="I1646" t="n">
        <v>813.943</v>
      </c>
    </row>
    <row r="1647">
      <c r="A1647" t="n">
        <v>30</v>
      </c>
      <c r="B1647" t="inlineStr">
        <is>
          <t>K3-6B</t>
        </is>
      </c>
      <c r="D1647" t="n">
        <v>10.89</v>
      </c>
      <c r="E1647" t="n">
        <v>717.693</v>
      </c>
      <c r="G1647" t="n">
        <v>18.285</v>
      </c>
      <c r="H1647" t="inlineStr">
        <is>
          <t>bb</t>
        </is>
      </c>
      <c r="I1647" t="n">
        <v>717.693</v>
      </c>
    </row>
    <row r="1648">
      <c r="A1648" t="n">
        <v>31</v>
      </c>
      <c r="B1648" t="inlineStr">
        <is>
          <t>K3-6C</t>
        </is>
      </c>
      <c r="D1648" t="n">
        <v>10.87</v>
      </c>
      <c r="E1648" t="n">
        <v>771.162</v>
      </c>
      <c r="G1648" t="n">
        <v>5579</v>
      </c>
      <c r="H1648" t="inlineStr">
        <is>
          <t>bb</t>
        </is>
      </c>
      <c r="I1648" t="n">
        <v>771.162</v>
      </c>
    </row>
    <row r="1650">
      <c r="A1650" t="inlineStr">
        <is>
          <t>Compound 48:  PFOA 1</t>
        </is>
      </c>
    </row>
    <row r="1652">
      <c r="B1652" t="inlineStr">
        <is>
          <t>Sample Text</t>
        </is>
      </c>
      <c r="C1652" t="inlineStr">
        <is>
          <t>Std. Conc</t>
        </is>
      </c>
      <c r="D1652" t="inlineStr">
        <is>
          <t>RT</t>
        </is>
      </c>
      <c r="E1652" t="inlineStr">
        <is>
          <t>Area</t>
        </is>
      </c>
      <c r="F1652" t="inlineStr">
        <is>
          <t>IS Area</t>
        </is>
      </c>
      <c r="G1652" t="inlineStr">
        <is>
          <t>S/N</t>
        </is>
      </c>
      <c r="H1652" t="inlineStr">
        <is>
          <t>Primary Flags</t>
        </is>
      </c>
      <c r="I1652" t="inlineStr">
        <is>
          <t>Response</t>
        </is>
      </c>
      <c r="J1652" t="inlineStr">
        <is>
          <t>Conc.</t>
        </is>
      </c>
    </row>
    <row r="1653">
      <c r="A1653" t="n">
        <v>1</v>
      </c>
      <c r="B1653" t="inlineStr">
        <is>
          <t>K4-1A</t>
        </is>
      </c>
      <c r="D1653" t="n">
        <v>12</v>
      </c>
      <c r="E1653" t="n">
        <v>1016.779</v>
      </c>
      <c r="F1653" t="n">
        <v>2173.066</v>
      </c>
      <c r="G1653" t="n">
        <v>30.514</v>
      </c>
      <c r="H1653" t="inlineStr">
        <is>
          <t>bb</t>
        </is>
      </c>
    </row>
    <row r="1654">
      <c r="A1654" t="n">
        <v>2</v>
      </c>
      <c r="B1654" t="inlineStr">
        <is>
          <t>K4-1B</t>
        </is>
      </c>
      <c r="D1654" t="n">
        <v>11.99</v>
      </c>
      <c r="E1654" t="n">
        <v>2142.668</v>
      </c>
      <c r="F1654" t="n">
        <v>2231.232</v>
      </c>
      <c r="G1654" t="n">
        <v>27.55</v>
      </c>
      <c r="H1654" t="inlineStr">
        <is>
          <t>MM</t>
        </is>
      </c>
    </row>
    <row r="1655">
      <c r="A1655" t="n">
        <v>3</v>
      </c>
      <c r="B1655" t="inlineStr">
        <is>
          <t>K4-1C</t>
        </is>
      </c>
      <c r="D1655" t="n">
        <v>11.99</v>
      </c>
      <c r="E1655" t="n">
        <v>2297.941</v>
      </c>
      <c r="F1655" t="n">
        <v>2264.738</v>
      </c>
      <c r="G1655" t="n">
        <v>160.597</v>
      </c>
      <c r="H1655" t="inlineStr">
        <is>
          <t>bb</t>
        </is>
      </c>
    </row>
    <row r="1656">
      <c r="A1656" t="n">
        <v>4</v>
      </c>
      <c r="B1656" t="inlineStr">
        <is>
          <t>K4-2A</t>
        </is>
      </c>
      <c r="D1656" t="n">
        <v>12.01</v>
      </c>
      <c r="E1656" t="n">
        <v>14661.41</v>
      </c>
      <c r="F1656" t="n">
        <v>2546.569</v>
      </c>
      <c r="G1656" t="n">
        <v>315.547</v>
      </c>
      <c r="H1656" t="inlineStr">
        <is>
          <t>bb</t>
        </is>
      </c>
    </row>
    <row r="1657">
      <c r="A1657" t="n">
        <v>5</v>
      </c>
      <c r="B1657" t="inlineStr">
        <is>
          <t>K4-2B</t>
        </is>
      </c>
      <c r="D1657" t="n">
        <v>11.99</v>
      </c>
      <c r="E1657" t="n">
        <v>1861.887</v>
      </c>
      <c r="F1657" t="n">
        <v>1959.093</v>
      </c>
      <c r="G1657" t="n">
        <v>27.692</v>
      </c>
      <c r="H1657" t="inlineStr">
        <is>
          <t>bb</t>
        </is>
      </c>
    </row>
    <row r="1658">
      <c r="A1658" t="n">
        <v>6</v>
      </c>
      <c r="B1658" t="inlineStr">
        <is>
          <t>K4-2C</t>
        </is>
      </c>
      <c r="D1658" t="n">
        <v>12.04</v>
      </c>
      <c r="E1658" t="n">
        <v>1009.192</v>
      </c>
      <c r="F1658" t="n">
        <v>1962.095</v>
      </c>
      <c r="G1658" t="n">
        <v>18.1</v>
      </c>
      <c r="H1658" t="inlineStr">
        <is>
          <t>bb</t>
        </is>
      </c>
    </row>
    <row r="1659">
      <c r="A1659" t="n">
        <v>7</v>
      </c>
      <c r="B1659" t="inlineStr">
        <is>
          <t>MeOH</t>
        </is>
      </c>
      <c r="H1659" t="inlineStr">
        <is>
          <t>MM-</t>
        </is>
      </c>
    </row>
    <row r="1660">
      <c r="A1660" t="n">
        <v>8</v>
      </c>
      <c r="B1660" t="inlineStr">
        <is>
          <t>K4-4A</t>
        </is>
      </c>
      <c r="D1660" t="n">
        <v>12.04</v>
      </c>
      <c r="E1660" t="n">
        <v>981.524</v>
      </c>
      <c r="F1660" t="n">
        <v>1890.679</v>
      </c>
      <c r="G1660" t="n">
        <v>14.456</v>
      </c>
      <c r="H1660" t="inlineStr">
        <is>
          <t>bb</t>
        </is>
      </c>
    </row>
    <row r="1661">
      <c r="A1661" t="n">
        <v>9</v>
      </c>
      <c r="B1661" t="inlineStr">
        <is>
          <t>K4-4B</t>
        </is>
      </c>
      <c r="D1661" t="n">
        <v>12.02</v>
      </c>
      <c r="E1661" t="n">
        <v>1736.965</v>
      </c>
      <c r="F1661" t="n">
        <v>1558.258</v>
      </c>
      <c r="G1661" t="n">
        <v>42.325</v>
      </c>
      <c r="H1661" t="inlineStr">
        <is>
          <t>bb</t>
        </is>
      </c>
    </row>
    <row r="1662">
      <c r="A1662" t="n">
        <v>10</v>
      </c>
      <c r="B1662" t="inlineStr">
        <is>
          <t>K4-4C</t>
        </is>
      </c>
      <c r="D1662" t="n">
        <v>12.04</v>
      </c>
      <c r="E1662" t="n">
        <v>998.47</v>
      </c>
      <c r="F1662" t="n">
        <v>1217.543</v>
      </c>
      <c r="G1662" t="n">
        <v>25.742</v>
      </c>
      <c r="H1662" t="inlineStr">
        <is>
          <t>MM</t>
        </is>
      </c>
    </row>
    <row r="1663">
      <c r="A1663" t="n">
        <v>11</v>
      </c>
      <c r="B1663" t="inlineStr">
        <is>
          <t>K4-5A</t>
        </is>
      </c>
      <c r="D1663" t="n">
        <v>12.02</v>
      </c>
      <c r="E1663" t="n">
        <v>2559.751</v>
      </c>
      <c r="F1663" t="n">
        <v>1730.688</v>
      </c>
      <c r="G1663" t="n">
        <v>82.58199999999999</v>
      </c>
      <c r="H1663" t="inlineStr">
        <is>
          <t>bb</t>
        </is>
      </c>
    </row>
    <row r="1664">
      <c r="A1664" t="n">
        <v>12</v>
      </c>
      <c r="B1664" t="inlineStr">
        <is>
          <t>K4-5B</t>
        </is>
      </c>
      <c r="D1664" t="n">
        <v>11.99</v>
      </c>
      <c r="E1664" t="n">
        <v>1160.597</v>
      </c>
      <c r="F1664" t="n">
        <v>2104.275</v>
      </c>
      <c r="G1664" t="n">
        <v>21.557</v>
      </c>
      <c r="H1664" t="inlineStr">
        <is>
          <t>bb</t>
        </is>
      </c>
    </row>
    <row r="1665">
      <c r="A1665" t="n">
        <v>13</v>
      </c>
      <c r="B1665" t="inlineStr">
        <is>
          <t>K4-5C</t>
        </is>
      </c>
      <c r="D1665" t="n">
        <v>11.92</v>
      </c>
      <c r="E1665" t="n">
        <v>1137.04</v>
      </c>
      <c r="F1665" t="n">
        <v>2128.822</v>
      </c>
      <c r="G1665" t="n">
        <v>18.37</v>
      </c>
      <c r="H1665" t="inlineStr">
        <is>
          <t>bb</t>
        </is>
      </c>
    </row>
    <row r="1666">
      <c r="A1666" t="n">
        <v>14</v>
      </c>
      <c r="B1666" t="inlineStr">
        <is>
          <t>MeOH</t>
        </is>
      </c>
      <c r="H1666" t="inlineStr">
        <is>
          <t>MM-</t>
        </is>
      </c>
    </row>
    <row r="1667">
      <c r="A1667" t="n">
        <v>15</v>
      </c>
      <c r="B1667" t="inlineStr">
        <is>
          <t>K3-1A</t>
        </is>
      </c>
      <c r="D1667" t="n">
        <v>11.83</v>
      </c>
      <c r="E1667" t="n">
        <v>1830.223</v>
      </c>
      <c r="F1667" t="n">
        <v>2216.675</v>
      </c>
      <c r="G1667" t="n">
        <v>15.992</v>
      </c>
      <c r="H1667" t="inlineStr">
        <is>
          <t>bb</t>
        </is>
      </c>
    </row>
    <row r="1668">
      <c r="A1668" t="n">
        <v>16</v>
      </c>
      <c r="B1668" t="inlineStr">
        <is>
          <t>K3-1B</t>
        </is>
      </c>
      <c r="D1668" t="n">
        <v>11.86</v>
      </c>
      <c r="E1668" t="n">
        <v>1360.896</v>
      </c>
      <c r="F1668" t="n">
        <v>1933.619</v>
      </c>
      <c r="G1668" t="n">
        <v>32.203</v>
      </c>
      <c r="H1668" t="inlineStr">
        <is>
          <t>bb</t>
        </is>
      </c>
    </row>
    <row r="1669">
      <c r="A1669" t="n">
        <v>17</v>
      </c>
      <c r="B1669" t="inlineStr">
        <is>
          <t>K3-1C</t>
        </is>
      </c>
      <c r="D1669" t="n">
        <v>11.91</v>
      </c>
      <c r="E1669" t="n">
        <v>1611.091</v>
      </c>
      <c r="F1669" t="n">
        <v>2689.694</v>
      </c>
      <c r="G1669" t="n">
        <v>46.494</v>
      </c>
      <c r="H1669" t="inlineStr">
        <is>
          <t>bb</t>
        </is>
      </c>
    </row>
    <row r="1670">
      <c r="A1670" t="n">
        <v>18</v>
      </c>
      <c r="B1670" t="inlineStr">
        <is>
          <t>K3-2A</t>
        </is>
      </c>
      <c r="D1670" t="n">
        <v>11.93</v>
      </c>
      <c r="E1670" t="n">
        <v>1237.273</v>
      </c>
      <c r="F1670" t="n">
        <v>2721.774</v>
      </c>
      <c r="G1670" t="n">
        <v>35.108</v>
      </c>
      <c r="H1670" t="inlineStr">
        <is>
          <t>MM</t>
        </is>
      </c>
    </row>
    <row r="1671">
      <c r="A1671" t="n">
        <v>19</v>
      </c>
      <c r="B1671" t="inlineStr">
        <is>
          <t>K3-2B</t>
        </is>
      </c>
      <c r="D1671" t="n">
        <v>11.92</v>
      </c>
      <c r="E1671" t="n">
        <v>1706.569</v>
      </c>
      <c r="F1671" t="n">
        <v>3173.245</v>
      </c>
      <c r="G1671" t="n">
        <v>25.746</v>
      </c>
      <c r="H1671" t="inlineStr">
        <is>
          <t>MM</t>
        </is>
      </c>
    </row>
    <row r="1672">
      <c r="A1672" t="n">
        <v>20</v>
      </c>
      <c r="B1672" t="inlineStr">
        <is>
          <t>K3-2C</t>
        </is>
      </c>
      <c r="D1672" t="n">
        <v>11.93</v>
      </c>
      <c r="E1672" t="n">
        <v>1615.712</v>
      </c>
      <c r="F1672" t="n">
        <v>2698.936</v>
      </c>
      <c r="G1672" t="n">
        <v>30.842</v>
      </c>
      <c r="H1672" t="inlineStr">
        <is>
          <t>bb</t>
        </is>
      </c>
    </row>
    <row r="1673">
      <c r="A1673" t="n">
        <v>21</v>
      </c>
      <c r="B1673" t="inlineStr">
        <is>
          <t>MeOH</t>
        </is>
      </c>
      <c r="H1673" t="inlineStr">
        <is>
          <t>MM-</t>
        </is>
      </c>
    </row>
    <row r="1674">
      <c r="A1674" t="n">
        <v>22</v>
      </c>
      <c r="B1674" t="inlineStr">
        <is>
          <t>K3-3A</t>
        </is>
      </c>
      <c r="D1674" t="n">
        <v>11.96</v>
      </c>
      <c r="E1674" t="n">
        <v>2683.825</v>
      </c>
      <c r="F1674" t="n">
        <v>2447.134</v>
      </c>
      <c r="G1674" t="n">
        <v>23.616</v>
      </c>
      <c r="H1674" t="inlineStr">
        <is>
          <t>bb</t>
        </is>
      </c>
    </row>
    <row r="1675">
      <c r="A1675" t="n">
        <v>23</v>
      </c>
      <c r="B1675" t="inlineStr">
        <is>
          <t>K3-3B</t>
        </is>
      </c>
      <c r="D1675" t="n">
        <v>11.98</v>
      </c>
      <c r="E1675" t="n">
        <v>2546.56</v>
      </c>
      <c r="F1675" t="n">
        <v>2381.961</v>
      </c>
      <c r="G1675" t="n">
        <v>28.144</v>
      </c>
      <c r="H1675" t="inlineStr">
        <is>
          <t>MM</t>
        </is>
      </c>
    </row>
    <row r="1676">
      <c r="A1676" t="n">
        <v>24</v>
      </c>
      <c r="B1676" t="inlineStr">
        <is>
          <t>K3-3C</t>
        </is>
      </c>
      <c r="D1676" t="n">
        <v>11.98</v>
      </c>
      <c r="E1676" t="n">
        <v>1798.203</v>
      </c>
      <c r="F1676" t="n">
        <v>2598.05</v>
      </c>
      <c r="G1676" t="n">
        <v>18.077</v>
      </c>
      <c r="H1676" t="inlineStr">
        <is>
          <t>MM</t>
        </is>
      </c>
    </row>
    <row r="1677">
      <c r="A1677" t="n">
        <v>25</v>
      </c>
      <c r="B1677" t="inlineStr">
        <is>
          <t>K3-4A</t>
        </is>
      </c>
      <c r="D1677" t="n">
        <v>12.04</v>
      </c>
      <c r="E1677" t="n">
        <v>1702.146</v>
      </c>
      <c r="F1677" t="n">
        <v>2541.848</v>
      </c>
      <c r="G1677" t="n">
        <v>30.34</v>
      </c>
      <c r="H1677" t="inlineStr">
        <is>
          <t>MM</t>
        </is>
      </c>
    </row>
    <row r="1678">
      <c r="A1678" t="n">
        <v>26</v>
      </c>
      <c r="B1678" t="inlineStr">
        <is>
          <t>K3-4B</t>
        </is>
      </c>
      <c r="D1678" t="n">
        <v>12.01</v>
      </c>
      <c r="E1678" t="n">
        <v>1877.541</v>
      </c>
      <c r="F1678" t="n">
        <v>2826.966</v>
      </c>
      <c r="G1678" t="n">
        <v>29.394</v>
      </c>
      <c r="H1678" t="inlineStr">
        <is>
          <t>bb</t>
        </is>
      </c>
    </row>
    <row r="1679">
      <c r="A1679" t="n">
        <v>27</v>
      </c>
      <c r="B1679" t="inlineStr">
        <is>
          <t>K3-4C</t>
        </is>
      </c>
      <c r="D1679" t="n">
        <v>12.05</v>
      </c>
      <c r="E1679" t="n">
        <v>1854.382</v>
      </c>
      <c r="F1679" t="n">
        <v>2828.133</v>
      </c>
      <c r="G1679" t="n">
        <v>19.512</v>
      </c>
      <c r="H1679" t="inlineStr">
        <is>
          <t>bb</t>
        </is>
      </c>
    </row>
    <row r="1680">
      <c r="A1680" t="n">
        <v>28</v>
      </c>
      <c r="B1680" t="inlineStr">
        <is>
          <t>MeOH</t>
        </is>
      </c>
      <c r="D1680" t="n">
        <v>12.13</v>
      </c>
      <c r="E1680" t="n">
        <v>579.917</v>
      </c>
      <c r="G1680" t="n">
        <v>5.44</v>
      </c>
      <c r="H1680" t="inlineStr">
        <is>
          <t>bb</t>
        </is>
      </c>
    </row>
    <row r="1681">
      <c r="A1681" t="n">
        <v>29</v>
      </c>
      <c r="B1681" t="inlineStr">
        <is>
          <t>K3-6A</t>
        </is>
      </c>
      <c r="D1681" t="n">
        <v>12.07</v>
      </c>
      <c r="E1681" t="n">
        <v>1220.255</v>
      </c>
      <c r="F1681" t="n">
        <v>2704.998</v>
      </c>
      <c r="G1681" t="n">
        <v>22.862</v>
      </c>
      <c r="H1681" t="inlineStr">
        <is>
          <t>MM</t>
        </is>
      </c>
    </row>
    <row r="1682">
      <c r="A1682" t="n">
        <v>30</v>
      </c>
      <c r="B1682" t="inlineStr">
        <is>
          <t>K3-6B</t>
        </is>
      </c>
      <c r="D1682" t="n">
        <v>12.05</v>
      </c>
      <c r="E1682" t="n">
        <v>1428.933</v>
      </c>
      <c r="F1682" t="n">
        <v>2228.994</v>
      </c>
      <c r="G1682" t="n">
        <v>18.989</v>
      </c>
      <c r="H1682" t="inlineStr">
        <is>
          <t>bb</t>
        </is>
      </c>
    </row>
    <row r="1683">
      <c r="A1683" t="n">
        <v>31</v>
      </c>
      <c r="B1683" t="inlineStr">
        <is>
          <t>K3-6C</t>
        </is>
      </c>
      <c r="D1683" t="n">
        <v>12.05</v>
      </c>
      <c r="E1683" t="n">
        <v>1846.879</v>
      </c>
      <c r="F1683" t="n">
        <v>2518.187</v>
      </c>
      <c r="G1683" t="n">
        <v>30.434</v>
      </c>
      <c r="H1683" t="inlineStr">
        <is>
          <t>MM</t>
        </is>
      </c>
    </row>
    <row r="1685">
      <c r="A1685" t="inlineStr">
        <is>
          <t>Compound 49:  PFOA 2</t>
        </is>
      </c>
    </row>
    <row r="1687">
      <c r="B1687" t="inlineStr">
        <is>
          <t>Sample Text</t>
        </is>
      </c>
      <c r="C1687" t="inlineStr">
        <is>
          <t>Std. Conc</t>
        </is>
      </c>
      <c r="D1687" t="inlineStr">
        <is>
          <t>RT</t>
        </is>
      </c>
      <c r="E1687" t="inlineStr">
        <is>
          <t>Area</t>
        </is>
      </c>
      <c r="F1687" t="inlineStr">
        <is>
          <t>IS Area</t>
        </is>
      </c>
      <c r="G1687" t="inlineStr">
        <is>
          <t>S/N</t>
        </is>
      </c>
      <c r="H1687" t="inlineStr">
        <is>
          <t>Primary Flags</t>
        </is>
      </c>
      <c r="I1687" t="inlineStr">
        <is>
          <t>Response</t>
        </is>
      </c>
      <c r="J1687" t="inlineStr">
        <is>
          <t>Conc.</t>
        </is>
      </c>
    </row>
    <row r="1688">
      <c r="A1688" t="n">
        <v>1</v>
      </c>
      <c r="B1688" t="inlineStr">
        <is>
          <t>K4-1A</t>
        </is>
      </c>
      <c r="D1688" t="n">
        <v>11.99</v>
      </c>
      <c r="E1688" t="n">
        <v>454.493</v>
      </c>
      <c r="F1688" t="n">
        <v>2173.066</v>
      </c>
      <c r="G1688" t="n">
        <v>13.508</v>
      </c>
      <c r="H1688" t="inlineStr">
        <is>
          <t>bb</t>
        </is>
      </c>
    </row>
    <row r="1689">
      <c r="A1689" t="n">
        <v>2</v>
      </c>
      <c r="B1689" t="inlineStr">
        <is>
          <t>K4-1B</t>
        </is>
      </c>
      <c r="D1689" t="n">
        <v>11.99</v>
      </c>
      <c r="E1689" t="n">
        <v>1042.672</v>
      </c>
      <c r="F1689" t="n">
        <v>2231.232</v>
      </c>
      <c r="G1689" t="n">
        <v>50.739</v>
      </c>
      <c r="H1689" t="inlineStr">
        <is>
          <t>bb</t>
        </is>
      </c>
    </row>
    <row r="1690">
      <c r="A1690" t="n">
        <v>3</v>
      </c>
      <c r="B1690" t="inlineStr">
        <is>
          <t>K4-1C</t>
        </is>
      </c>
      <c r="D1690" t="n">
        <v>11.99</v>
      </c>
      <c r="E1690" t="n">
        <v>1163.916</v>
      </c>
      <c r="F1690" t="n">
        <v>2264.738</v>
      </c>
      <c r="G1690" t="n">
        <v>85.59999999999999</v>
      </c>
      <c r="H1690" t="inlineStr">
        <is>
          <t>bb</t>
        </is>
      </c>
    </row>
    <row r="1691">
      <c r="A1691" t="n">
        <v>4</v>
      </c>
      <c r="B1691" t="inlineStr">
        <is>
          <t>K4-2A</t>
        </is>
      </c>
      <c r="D1691" t="n">
        <v>12.01</v>
      </c>
      <c r="E1691" t="n">
        <v>6732.866</v>
      </c>
      <c r="F1691" t="n">
        <v>2546.569</v>
      </c>
      <c r="G1691" t="n">
        <v>45506</v>
      </c>
      <c r="H1691" t="inlineStr">
        <is>
          <t>bb</t>
        </is>
      </c>
    </row>
    <row r="1692">
      <c r="A1692" t="n">
        <v>5</v>
      </c>
      <c r="B1692" t="inlineStr">
        <is>
          <t>K4-2B</t>
        </is>
      </c>
      <c r="D1692" t="n">
        <v>12.01</v>
      </c>
      <c r="E1692" t="n">
        <v>630.448</v>
      </c>
      <c r="F1692" t="n">
        <v>1959.093</v>
      </c>
      <c r="G1692" t="n">
        <v>1292.889</v>
      </c>
      <c r="H1692" t="inlineStr">
        <is>
          <t>bb</t>
        </is>
      </c>
    </row>
    <row r="1693">
      <c r="A1693" t="n">
        <v>6</v>
      </c>
      <c r="B1693" t="inlineStr">
        <is>
          <t>K4-2C</t>
        </is>
      </c>
      <c r="D1693" t="n">
        <v>11.99</v>
      </c>
      <c r="E1693" t="n">
        <v>327.269</v>
      </c>
      <c r="F1693" t="n">
        <v>1962.095</v>
      </c>
      <c r="G1693" t="n">
        <v>2320</v>
      </c>
      <c r="H1693" t="inlineStr">
        <is>
          <t>MM</t>
        </is>
      </c>
    </row>
    <row r="1694">
      <c r="A1694" t="n">
        <v>7</v>
      </c>
      <c r="B1694" t="inlineStr">
        <is>
          <t>MeOH</t>
        </is>
      </c>
      <c r="H1694" t="inlineStr">
        <is>
          <t>MM-</t>
        </is>
      </c>
    </row>
    <row r="1695">
      <c r="A1695" t="n">
        <v>8</v>
      </c>
      <c r="B1695" t="inlineStr">
        <is>
          <t>K4-4A</t>
        </is>
      </c>
      <c r="D1695" t="n">
        <v>12.02</v>
      </c>
      <c r="E1695" t="n">
        <v>411.095</v>
      </c>
      <c r="F1695" t="n">
        <v>1890.679</v>
      </c>
      <c r="G1695" t="n">
        <v>67.91800000000001</v>
      </c>
      <c r="H1695" t="inlineStr">
        <is>
          <t>MM</t>
        </is>
      </c>
    </row>
    <row r="1696">
      <c r="A1696" t="n">
        <v>9</v>
      </c>
      <c r="B1696" t="inlineStr">
        <is>
          <t>K4-4B</t>
        </is>
      </c>
      <c r="D1696" t="n">
        <v>12.04</v>
      </c>
      <c r="E1696" t="n">
        <v>817.611</v>
      </c>
      <c r="F1696" t="n">
        <v>1558.258</v>
      </c>
      <c r="G1696" t="n">
        <v>15.677</v>
      </c>
      <c r="H1696" t="inlineStr">
        <is>
          <t>MM</t>
        </is>
      </c>
    </row>
    <row r="1697">
      <c r="A1697" t="n">
        <v>10</v>
      </c>
      <c r="B1697" t="inlineStr">
        <is>
          <t>K4-4C</t>
        </is>
      </c>
      <c r="D1697" t="n">
        <v>12.05</v>
      </c>
      <c r="E1697" t="n">
        <v>167.376</v>
      </c>
      <c r="F1697" t="n">
        <v>1217.543</v>
      </c>
      <c r="G1697" t="n">
        <v>15.466</v>
      </c>
      <c r="H1697" t="inlineStr">
        <is>
          <t>bb</t>
        </is>
      </c>
    </row>
    <row r="1698">
      <c r="A1698" t="n">
        <v>11</v>
      </c>
      <c r="B1698" t="inlineStr">
        <is>
          <t>K4-5A</t>
        </is>
      </c>
      <c r="D1698" t="n">
        <v>12.02</v>
      </c>
      <c r="E1698" t="n">
        <v>1045.333</v>
      </c>
      <c r="F1698" t="n">
        <v>1730.688</v>
      </c>
      <c r="G1698" t="n">
        <v>54.855</v>
      </c>
      <c r="H1698" t="inlineStr">
        <is>
          <t>MM</t>
        </is>
      </c>
    </row>
    <row r="1699">
      <c r="A1699" t="n">
        <v>12</v>
      </c>
      <c r="B1699" t="inlineStr">
        <is>
          <t>K4-5B</t>
        </is>
      </c>
      <c r="D1699" t="n">
        <v>11.98</v>
      </c>
      <c r="E1699" t="n">
        <v>579.814</v>
      </c>
      <c r="F1699" t="n">
        <v>2104.275</v>
      </c>
      <c r="G1699" t="n">
        <v>20.884</v>
      </c>
      <c r="H1699" t="inlineStr">
        <is>
          <t>MM</t>
        </is>
      </c>
    </row>
    <row r="1700">
      <c r="A1700" t="n">
        <v>13</v>
      </c>
      <c r="B1700" t="inlineStr">
        <is>
          <t>K4-5C</t>
        </is>
      </c>
      <c r="D1700" t="n">
        <v>11.94</v>
      </c>
      <c r="E1700" t="n">
        <v>468.329</v>
      </c>
      <c r="F1700" t="n">
        <v>2128.822</v>
      </c>
      <c r="G1700" t="n">
        <v>24.115</v>
      </c>
      <c r="H1700" t="inlineStr">
        <is>
          <t>bb</t>
        </is>
      </c>
    </row>
    <row r="1701">
      <c r="A1701" t="n">
        <v>14</v>
      </c>
      <c r="B1701" t="inlineStr">
        <is>
          <t>MeOH</t>
        </is>
      </c>
    </row>
    <row r="1702">
      <c r="A1702" t="n">
        <v>15</v>
      </c>
      <c r="B1702" t="inlineStr">
        <is>
          <t>K3-1A</t>
        </is>
      </c>
      <c r="D1702" t="n">
        <v>11.85</v>
      </c>
      <c r="E1702" t="n">
        <v>170.539</v>
      </c>
      <c r="F1702" t="n">
        <v>2216.675</v>
      </c>
      <c r="G1702" t="n">
        <v>4.208</v>
      </c>
      <c r="H1702" t="inlineStr">
        <is>
          <t>MM</t>
        </is>
      </c>
    </row>
    <row r="1703">
      <c r="A1703" t="n">
        <v>16</v>
      </c>
      <c r="B1703" t="inlineStr">
        <is>
          <t>K3-1B</t>
        </is>
      </c>
      <c r="D1703" t="n">
        <v>11.86</v>
      </c>
      <c r="E1703" t="n">
        <v>570.325</v>
      </c>
      <c r="F1703" t="n">
        <v>1933.619</v>
      </c>
      <c r="G1703" t="n">
        <v>12.791</v>
      </c>
      <c r="H1703" t="inlineStr">
        <is>
          <t>bb</t>
        </is>
      </c>
    </row>
    <row r="1704">
      <c r="A1704" t="n">
        <v>17</v>
      </c>
      <c r="B1704" t="inlineStr">
        <is>
          <t>K3-1C</t>
        </is>
      </c>
      <c r="D1704" t="n">
        <v>11.92</v>
      </c>
      <c r="E1704" t="n">
        <v>769.252</v>
      </c>
      <c r="F1704" t="n">
        <v>2689.694</v>
      </c>
      <c r="G1704" t="n">
        <v>4983</v>
      </c>
      <c r="H1704" t="inlineStr">
        <is>
          <t>bb</t>
        </is>
      </c>
    </row>
    <row r="1705">
      <c r="A1705" t="n">
        <v>18</v>
      </c>
      <c r="B1705" t="inlineStr">
        <is>
          <t>K3-2A</t>
        </is>
      </c>
      <c r="D1705" t="n">
        <v>11.96</v>
      </c>
      <c r="E1705" t="n">
        <v>652.7569999999999</v>
      </c>
      <c r="F1705" t="n">
        <v>2721.774</v>
      </c>
      <c r="G1705" t="n">
        <v>10.113</v>
      </c>
      <c r="H1705" t="inlineStr">
        <is>
          <t>bb</t>
        </is>
      </c>
    </row>
    <row r="1706">
      <c r="A1706" t="n">
        <v>19</v>
      </c>
      <c r="B1706" t="inlineStr">
        <is>
          <t>K3-2B</t>
        </is>
      </c>
      <c r="D1706" t="n">
        <v>11.92</v>
      </c>
      <c r="E1706" t="n">
        <v>709.364</v>
      </c>
      <c r="F1706" t="n">
        <v>3173.245</v>
      </c>
      <c r="G1706" t="n">
        <v>15.253</v>
      </c>
      <c r="H1706" t="inlineStr">
        <is>
          <t>bb</t>
        </is>
      </c>
    </row>
    <row r="1707">
      <c r="A1707" t="n">
        <v>20</v>
      </c>
      <c r="B1707" t="inlineStr">
        <is>
          <t>K3-2C</t>
        </is>
      </c>
      <c r="D1707" t="n">
        <v>11.93</v>
      </c>
      <c r="E1707" t="n">
        <v>560.922</v>
      </c>
      <c r="F1707" t="n">
        <v>2698.936</v>
      </c>
      <c r="G1707" t="n">
        <v>4416</v>
      </c>
      <c r="H1707" t="inlineStr">
        <is>
          <t>bb</t>
        </is>
      </c>
    </row>
    <row r="1708">
      <c r="A1708" t="n">
        <v>21</v>
      </c>
      <c r="B1708" t="inlineStr">
        <is>
          <t>MeOH</t>
        </is>
      </c>
      <c r="H1708" t="inlineStr">
        <is>
          <t>MM-</t>
        </is>
      </c>
    </row>
    <row r="1709">
      <c r="A1709" t="n">
        <v>22</v>
      </c>
      <c r="B1709" t="inlineStr">
        <is>
          <t>K3-3A</t>
        </is>
      </c>
      <c r="D1709" t="n">
        <v>11.96</v>
      </c>
      <c r="E1709" t="n">
        <v>1101.441</v>
      </c>
      <c r="F1709" t="n">
        <v>2447.134</v>
      </c>
      <c r="G1709" t="n">
        <v>31.768</v>
      </c>
      <c r="H1709" t="inlineStr">
        <is>
          <t>bb</t>
        </is>
      </c>
    </row>
    <row r="1710">
      <c r="A1710" t="n">
        <v>23</v>
      </c>
      <c r="B1710" t="inlineStr">
        <is>
          <t>K3-3B</t>
        </is>
      </c>
      <c r="D1710" t="n">
        <v>11.98</v>
      </c>
      <c r="E1710" t="n">
        <v>855.091</v>
      </c>
      <c r="F1710" t="n">
        <v>2381.961</v>
      </c>
      <c r="G1710" t="n">
        <v>23.583</v>
      </c>
      <c r="H1710" t="inlineStr">
        <is>
          <t>bd</t>
        </is>
      </c>
    </row>
    <row r="1711">
      <c r="A1711" t="n">
        <v>24</v>
      </c>
      <c r="B1711" t="inlineStr">
        <is>
          <t>K3-3C</t>
        </is>
      </c>
      <c r="D1711" t="n">
        <v>11.96</v>
      </c>
      <c r="E1711" t="n">
        <v>807.933</v>
      </c>
      <c r="F1711" t="n">
        <v>2598.05</v>
      </c>
      <c r="G1711" t="n">
        <v>18.46</v>
      </c>
      <c r="H1711" t="inlineStr">
        <is>
          <t>bb</t>
        </is>
      </c>
    </row>
    <row r="1712">
      <c r="A1712" t="n">
        <v>25</v>
      </c>
      <c r="B1712" t="inlineStr">
        <is>
          <t>K3-4A</t>
        </is>
      </c>
      <c r="D1712" t="n">
        <v>12.04</v>
      </c>
      <c r="E1712" t="n">
        <v>845.968</v>
      </c>
      <c r="F1712" t="n">
        <v>2541.848</v>
      </c>
      <c r="G1712" t="n">
        <v>21.984</v>
      </c>
      <c r="H1712" t="inlineStr">
        <is>
          <t>bb</t>
        </is>
      </c>
    </row>
    <row r="1713">
      <c r="A1713" t="n">
        <v>26</v>
      </c>
      <c r="B1713" t="inlineStr">
        <is>
          <t>K3-4B</t>
        </is>
      </c>
      <c r="D1713" t="n">
        <v>12.02</v>
      </c>
      <c r="E1713" t="n">
        <v>884.938</v>
      </c>
      <c r="F1713" t="n">
        <v>2826.966</v>
      </c>
      <c r="G1713" t="n">
        <v>10.666</v>
      </c>
      <c r="H1713" t="inlineStr">
        <is>
          <t>bb</t>
        </is>
      </c>
    </row>
    <row r="1714">
      <c r="A1714" t="n">
        <v>27</v>
      </c>
      <c r="B1714" t="inlineStr">
        <is>
          <t>K3-4C</t>
        </is>
      </c>
      <c r="D1714" t="n">
        <v>12.05</v>
      </c>
      <c r="E1714" t="n">
        <v>505.177</v>
      </c>
      <c r="F1714" t="n">
        <v>2828.133</v>
      </c>
      <c r="G1714" t="n">
        <v>35.786</v>
      </c>
      <c r="H1714" t="inlineStr">
        <is>
          <t>bb</t>
        </is>
      </c>
    </row>
    <row r="1715">
      <c r="A1715" t="n">
        <v>28</v>
      </c>
      <c r="B1715" t="inlineStr">
        <is>
          <t>MeOH</t>
        </is>
      </c>
      <c r="D1715" t="n">
        <v>12.08</v>
      </c>
      <c r="E1715" t="n">
        <v>260.909</v>
      </c>
      <c r="G1715" t="n">
        <v>13.752</v>
      </c>
      <c r="H1715" t="inlineStr">
        <is>
          <t>bb</t>
        </is>
      </c>
    </row>
    <row r="1716">
      <c r="A1716" t="n">
        <v>29</v>
      </c>
      <c r="B1716" t="inlineStr">
        <is>
          <t>K3-6A</t>
        </is>
      </c>
      <c r="D1716" t="n">
        <v>12.04</v>
      </c>
      <c r="E1716" t="n">
        <v>335.246</v>
      </c>
      <c r="F1716" t="n">
        <v>2704.998</v>
      </c>
      <c r="G1716" t="n">
        <v>2426</v>
      </c>
      <c r="H1716" t="inlineStr">
        <is>
          <t>bb</t>
        </is>
      </c>
    </row>
    <row r="1717">
      <c r="A1717" t="n">
        <v>30</v>
      </c>
      <c r="B1717" t="inlineStr">
        <is>
          <t>K3-6B</t>
        </is>
      </c>
      <c r="D1717" t="n">
        <v>12.05</v>
      </c>
      <c r="E1717" t="n">
        <v>418.65</v>
      </c>
      <c r="F1717" t="n">
        <v>2228.994</v>
      </c>
      <c r="G1717" t="n">
        <v>2894</v>
      </c>
      <c r="H1717" t="inlineStr">
        <is>
          <t>bb</t>
        </is>
      </c>
    </row>
    <row r="1718">
      <c r="A1718" t="n">
        <v>31</v>
      </c>
      <c r="B1718" t="inlineStr">
        <is>
          <t>K3-6C</t>
        </is>
      </c>
      <c r="D1718" t="n">
        <v>12.04</v>
      </c>
      <c r="E1718" t="n">
        <v>635.691</v>
      </c>
      <c r="F1718" t="n">
        <v>2518.187</v>
      </c>
      <c r="G1718" t="n">
        <v>22.705</v>
      </c>
      <c r="H1718" t="inlineStr">
        <is>
          <t>bb</t>
        </is>
      </c>
    </row>
    <row r="1720">
      <c r="A1720" t="inlineStr">
        <is>
          <t>Compound 50:  m8 PFOA 1</t>
        </is>
      </c>
    </row>
    <row r="1722">
      <c r="B1722" t="inlineStr">
        <is>
          <t>Sample Text</t>
        </is>
      </c>
      <c r="C1722" t="inlineStr">
        <is>
          <t>Std. Conc</t>
        </is>
      </c>
      <c r="D1722" t="inlineStr">
        <is>
          <t>RT</t>
        </is>
      </c>
      <c r="E1722" t="inlineStr">
        <is>
          <t>Area</t>
        </is>
      </c>
      <c r="F1722" t="inlineStr">
        <is>
          <t>IS Area</t>
        </is>
      </c>
      <c r="G1722" t="inlineStr">
        <is>
          <t>S/N</t>
        </is>
      </c>
      <c r="H1722" t="inlineStr">
        <is>
          <t>Primary Flags</t>
        </is>
      </c>
      <c r="I1722" t="inlineStr">
        <is>
          <t>Response</t>
        </is>
      </c>
      <c r="J1722" t="inlineStr">
        <is>
          <t>Conc.</t>
        </is>
      </c>
    </row>
    <row r="1723">
      <c r="A1723" t="n">
        <v>1</v>
      </c>
      <c r="B1723" t="inlineStr">
        <is>
          <t>K4-1A</t>
        </is>
      </c>
      <c r="D1723" t="n">
        <v>11.98</v>
      </c>
      <c r="E1723" t="n">
        <v>2173.066</v>
      </c>
      <c r="G1723" t="n">
        <v>6195.856</v>
      </c>
      <c r="H1723" t="inlineStr">
        <is>
          <t>bb</t>
        </is>
      </c>
      <c r="I1723" t="n">
        <v>2173.066</v>
      </c>
    </row>
    <row r="1724">
      <c r="A1724" t="n">
        <v>2</v>
      </c>
      <c r="B1724" t="inlineStr">
        <is>
          <t>K4-1B</t>
        </is>
      </c>
      <c r="D1724" t="n">
        <v>11.98</v>
      </c>
      <c r="E1724" t="n">
        <v>2231.232</v>
      </c>
      <c r="G1724" t="n">
        <v>26.955</v>
      </c>
      <c r="H1724" t="inlineStr">
        <is>
          <t>bb</t>
        </is>
      </c>
      <c r="I1724" t="n">
        <v>2231.232</v>
      </c>
    </row>
    <row r="1725">
      <c r="A1725" t="n">
        <v>3</v>
      </c>
      <c r="B1725" t="inlineStr">
        <is>
          <t>K4-1C</t>
        </is>
      </c>
      <c r="D1725" t="n">
        <v>11.99</v>
      </c>
      <c r="E1725" t="n">
        <v>2264.738</v>
      </c>
      <c r="G1725" t="n">
        <v>876.369</v>
      </c>
      <c r="H1725" t="inlineStr">
        <is>
          <t>bb</t>
        </is>
      </c>
      <c r="I1725" t="n">
        <v>2264.738</v>
      </c>
    </row>
    <row r="1726">
      <c r="A1726" t="n">
        <v>4</v>
      </c>
      <c r="B1726" t="inlineStr">
        <is>
          <t>K4-2A</t>
        </is>
      </c>
      <c r="D1726" t="n">
        <v>12.01</v>
      </c>
      <c r="E1726" t="n">
        <v>2546.569</v>
      </c>
      <c r="G1726" t="n">
        <v>18298</v>
      </c>
      <c r="H1726" t="inlineStr">
        <is>
          <t>bb</t>
        </is>
      </c>
      <c r="I1726" t="n">
        <v>2546.569</v>
      </c>
    </row>
    <row r="1727">
      <c r="A1727" t="n">
        <v>5</v>
      </c>
      <c r="B1727" t="inlineStr">
        <is>
          <t>K4-2B</t>
        </is>
      </c>
      <c r="D1727" t="n">
        <v>12.01</v>
      </c>
      <c r="E1727" t="n">
        <v>1959.093</v>
      </c>
      <c r="G1727" t="n">
        <v>13509</v>
      </c>
      <c r="H1727" t="inlineStr">
        <is>
          <t>bb</t>
        </is>
      </c>
      <c r="I1727" t="n">
        <v>1959.093</v>
      </c>
    </row>
    <row r="1728">
      <c r="A1728" t="n">
        <v>6</v>
      </c>
      <c r="B1728" t="inlineStr">
        <is>
          <t>K4-2C</t>
        </is>
      </c>
      <c r="D1728" t="n">
        <v>12.01</v>
      </c>
      <c r="E1728" t="n">
        <v>1962.095</v>
      </c>
      <c r="G1728" t="n">
        <v>148.652</v>
      </c>
      <c r="H1728" t="inlineStr">
        <is>
          <t>bb</t>
        </is>
      </c>
      <c r="I1728" t="n">
        <v>1962.095</v>
      </c>
    </row>
    <row r="1729">
      <c r="A1729" t="n">
        <v>7</v>
      </c>
      <c r="B1729" t="inlineStr">
        <is>
          <t>MeOH</t>
        </is>
      </c>
    </row>
    <row r="1730">
      <c r="A1730" t="n">
        <v>8</v>
      </c>
      <c r="B1730" t="inlineStr">
        <is>
          <t>K4-4A</t>
        </is>
      </c>
      <c r="D1730" t="n">
        <v>12.02</v>
      </c>
      <c r="E1730" t="n">
        <v>1890.679</v>
      </c>
      <c r="G1730" t="n">
        <v>53.179</v>
      </c>
      <c r="H1730" t="inlineStr">
        <is>
          <t>bb</t>
        </is>
      </c>
      <c r="I1730" t="n">
        <v>1890.679</v>
      </c>
    </row>
    <row r="1731">
      <c r="A1731" t="n">
        <v>9</v>
      </c>
      <c r="B1731" t="inlineStr">
        <is>
          <t>K4-4B</t>
        </is>
      </c>
      <c r="D1731" t="n">
        <v>12.04</v>
      </c>
      <c r="E1731" t="n">
        <v>1558.258</v>
      </c>
      <c r="G1731" t="n">
        <v>10346</v>
      </c>
      <c r="H1731" t="inlineStr">
        <is>
          <t>bb</t>
        </is>
      </c>
      <c r="I1731" t="n">
        <v>1558.258</v>
      </c>
    </row>
    <row r="1732">
      <c r="A1732" t="n">
        <v>10</v>
      </c>
      <c r="B1732" t="inlineStr">
        <is>
          <t>K4-4C</t>
        </is>
      </c>
      <c r="D1732" t="n">
        <v>12.02</v>
      </c>
      <c r="E1732" t="n">
        <v>1217.543</v>
      </c>
      <c r="G1732" t="n">
        <v>64.578</v>
      </c>
      <c r="H1732" t="inlineStr">
        <is>
          <t>bb</t>
        </is>
      </c>
      <c r="I1732" t="n">
        <v>1217.543</v>
      </c>
    </row>
    <row r="1733">
      <c r="A1733" t="n">
        <v>11</v>
      </c>
      <c r="B1733" t="inlineStr">
        <is>
          <t>K4-5A</t>
        </is>
      </c>
      <c r="D1733" t="n">
        <v>12</v>
      </c>
      <c r="E1733" t="n">
        <v>1730.688</v>
      </c>
      <c r="G1733" t="n">
        <v>12875</v>
      </c>
      <c r="H1733" t="inlineStr">
        <is>
          <t>bb</t>
        </is>
      </c>
      <c r="I1733" t="n">
        <v>1730.688</v>
      </c>
    </row>
    <row r="1734">
      <c r="A1734" t="n">
        <v>12</v>
      </c>
      <c r="B1734" t="inlineStr">
        <is>
          <t>K4-5B</t>
        </is>
      </c>
      <c r="D1734" t="n">
        <v>11.98</v>
      </c>
      <c r="E1734" t="n">
        <v>2104.275</v>
      </c>
      <c r="G1734" t="n">
        <v>15212</v>
      </c>
      <c r="H1734" t="inlineStr">
        <is>
          <t>bb</t>
        </is>
      </c>
      <c r="I1734" t="n">
        <v>2104.275</v>
      </c>
    </row>
    <row r="1735">
      <c r="A1735" t="n">
        <v>13</v>
      </c>
      <c r="B1735" t="inlineStr">
        <is>
          <t>K4-5C</t>
        </is>
      </c>
      <c r="D1735" t="n">
        <v>11.91</v>
      </c>
      <c r="E1735" t="n">
        <v>2128.822</v>
      </c>
      <c r="G1735" t="n">
        <v>15970</v>
      </c>
      <c r="H1735" t="inlineStr">
        <is>
          <t>bb</t>
        </is>
      </c>
      <c r="I1735" t="n">
        <v>2128.822</v>
      </c>
    </row>
    <row r="1736">
      <c r="A1736" t="n">
        <v>14</v>
      </c>
      <c r="B1736" t="inlineStr">
        <is>
          <t>MeOH</t>
        </is>
      </c>
    </row>
    <row r="1737">
      <c r="A1737" t="n">
        <v>15</v>
      </c>
      <c r="B1737" t="inlineStr">
        <is>
          <t>K3-1A</t>
        </is>
      </c>
      <c r="D1737" t="n">
        <v>11.83</v>
      </c>
      <c r="E1737" t="n">
        <v>2216.675</v>
      </c>
      <c r="G1737" t="n">
        <v>16468</v>
      </c>
      <c r="H1737" t="inlineStr">
        <is>
          <t>bb</t>
        </is>
      </c>
      <c r="I1737" t="n">
        <v>2216.675</v>
      </c>
    </row>
    <row r="1738">
      <c r="A1738" t="n">
        <v>16</v>
      </c>
      <c r="B1738" t="inlineStr">
        <is>
          <t>K3-1B</t>
        </is>
      </c>
      <c r="D1738" t="n">
        <v>11.86</v>
      </c>
      <c r="E1738" t="n">
        <v>1933.619</v>
      </c>
      <c r="G1738" t="n">
        <v>14581</v>
      </c>
      <c r="H1738" t="inlineStr">
        <is>
          <t>bb</t>
        </is>
      </c>
      <c r="I1738" t="n">
        <v>1933.619</v>
      </c>
    </row>
    <row r="1739">
      <c r="A1739" t="n">
        <v>17</v>
      </c>
      <c r="B1739" t="inlineStr">
        <is>
          <t>K3-1C</t>
        </is>
      </c>
      <c r="D1739" t="n">
        <v>11.91</v>
      </c>
      <c r="E1739" t="n">
        <v>2689.694</v>
      </c>
      <c r="G1739" t="n">
        <v>87.705</v>
      </c>
      <c r="H1739" t="inlineStr">
        <is>
          <t>bb</t>
        </is>
      </c>
      <c r="I1739" t="n">
        <v>2689.694</v>
      </c>
    </row>
    <row r="1740">
      <c r="A1740" t="n">
        <v>18</v>
      </c>
      <c r="B1740" t="inlineStr">
        <is>
          <t>K3-2A</t>
        </is>
      </c>
      <c r="D1740" t="n">
        <v>11.93</v>
      </c>
      <c r="E1740" t="n">
        <v>2721.774</v>
      </c>
      <c r="G1740" t="n">
        <v>19435</v>
      </c>
      <c r="H1740" t="inlineStr">
        <is>
          <t>bb</t>
        </is>
      </c>
      <c r="I1740" t="n">
        <v>2721.774</v>
      </c>
    </row>
    <row r="1741">
      <c r="A1741" t="n">
        <v>19</v>
      </c>
      <c r="B1741" t="inlineStr">
        <is>
          <t>K3-2B</t>
        </is>
      </c>
      <c r="D1741" t="n">
        <v>11.92</v>
      </c>
      <c r="E1741" t="n">
        <v>3173.245</v>
      </c>
      <c r="G1741" t="n">
        <v>24065</v>
      </c>
      <c r="H1741" t="inlineStr">
        <is>
          <t>bb</t>
        </is>
      </c>
      <c r="I1741" t="n">
        <v>3173.245</v>
      </c>
    </row>
    <row r="1742">
      <c r="A1742" t="n">
        <v>20</v>
      </c>
      <c r="B1742" t="inlineStr">
        <is>
          <t>K3-2C</t>
        </is>
      </c>
      <c r="D1742" t="n">
        <v>11.92</v>
      </c>
      <c r="E1742" t="n">
        <v>2698.936</v>
      </c>
      <c r="G1742" t="n">
        <v>553.676</v>
      </c>
      <c r="H1742" t="inlineStr">
        <is>
          <t>bb</t>
        </is>
      </c>
      <c r="I1742" t="n">
        <v>2698.936</v>
      </c>
    </row>
    <row r="1743">
      <c r="A1743" t="n">
        <v>21</v>
      </c>
      <c r="B1743" t="inlineStr">
        <is>
          <t>MeOH</t>
        </is>
      </c>
    </row>
    <row r="1744">
      <c r="A1744" t="n">
        <v>22</v>
      </c>
      <c r="B1744" t="inlineStr">
        <is>
          <t>K3-3A</t>
        </is>
      </c>
      <c r="D1744" t="n">
        <v>11.95</v>
      </c>
      <c r="E1744" t="n">
        <v>2447.134</v>
      </c>
      <c r="G1744" t="n">
        <v>77.98699999999999</v>
      </c>
      <c r="H1744" t="inlineStr">
        <is>
          <t>bb</t>
        </is>
      </c>
      <c r="I1744" t="n">
        <v>2447.134</v>
      </c>
    </row>
    <row r="1745">
      <c r="A1745" t="n">
        <v>23</v>
      </c>
      <c r="B1745" t="inlineStr">
        <is>
          <t>K3-3B</t>
        </is>
      </c>
      <c r="D1745" t="n">
        <v>11.98</v>
      </c>
      <c r="E1745" t="n">
        <v>2381.961</v>
      </c>
      <c r="G1745" t="n">
        <v>17614</v>
      </c>
      <c r="H1745" t="inlineStr">
        <is>
          <t>bb</t>
        </is>
      </c>
      <c r="I1745" t="n">
        <v>2381.961</v>
      </c>
    </row>
    <row r="1746">
      <c r="A1746" t="n">
        <v>24</v>
      </c>
      <c r="B1746" t="inlineStr">
        <is>
          <t>K3-3C</t>
        </is>
      </c>
      <c r="D1746" t="n">
        <v>11.98</v>
      </c>
      <c r="E1746" t="n">
        <v>2598.05</v>
      </c>
      <c r="G1746" t="n">
        <v>1274.969</v>
      </c>
      <c r="H1746" t="inlineStr">
        <is>
          <t>bb</t>
        </is>
      </c>
      <c r="I1746" t="n">
        <v>2598.05</v>
      </c>
    </row>
    <row r="1747">
      <c r="A1747" t="n">
        <v>25</v>
      </c>
      <c r="B1747" t="inlineStr">
        <is>
          <t>K3-4A</t>
        </is>
      </c>
      <c r="D1747" t="n">
        <v>12.04</v>
      </c>
      <c r="E1747" t="n">
        <v>2541.848</v>
      </c>
      <c r="G1747" t="n">
        <v>17442</v>
      </c>
      <c r="H1747" t="inlineStr">
        <is>
          <t>bb</t>
        </is>
      </c>
      <c r="I1747" t="n">
        <v>2541.848</v>
      </c>
    </row>
    <row r="1748">
      <c r="A1748" t="n">
        <v>26</v>
      </c>
      <c r="B1748" t="inlineStr">
        <is>
          <t>K3-4B</t>
        </is>
      </c>
      <c r="D1748" t="n">
        <v>12.01</v>
      </c>
      <c r="E1748" t="n">
        <v>2826.966</v>
      </c>
      <c r="G1748" t="n">
        <v>20635</v>
      </c>
      <c r="H1748" t="inlineStr">
        <is>
          <t>bb</t>
        </is>
      </c>
      <c r="I1748" t="n">
        <v>2826.966</v>
      </c>
    </row>
    <row r="1749">
      <c r="A1749" t="n">
        <v>27</v>
      </c>
      <c r="B1749" t="inlineStr">
        <is>
          <t>K3-4C</t>
        </is>
      </c>
      <c r="D1749" t="n">
        <v>12.05</v>
      </c>
      <c r="E1749" t="n">
        <v>2828.133</v>
      </c>
      <c r="G1749" t="n">
        <v>20022</v>
      </c>
      <c r="H1749" t="inlineStr">
        <is>
          <t>bb</t>
        </is>
      </c>
      <c r="I1749" t="n">
        <v>2828.133</v>
      </c>
    </row>
    <row r="1750">
      <c r="A1750" t="n">
        <v>28</v>
      </c>
      <c r="B1750" t="inlineStr">
        <is>
          <t>MeOH</t>
        </is>
      </c>
    </row>
    <row r="1751">
      <c r="A1751" t="n">
        <v>29</v>
      </c>
      <c r="B1751" t="inlineStr">
        <is>
          <t>K3-6A</t>
        </is>
      </c>
      <c r="D1751" t="n">
        <v>12.07</v>
      </c>
      <c r="E1751" t="n">
        <v>2704.998</v>
      </c>
      <c r="G1751" t="n">
        <v>215.507</v>
      </c>
      <c r="H1751" t="inlineStr">
        <is>
          <t>bb</t>
        </is>
      </c>
      <c r="I1751" t="n">
        <v>2704.998</v>
      </c>
    </row>
    <row r="1752">
      <c r="A1752" t="n">
        <v>30</v>
      </c>
      <c r="B1752" t="inlineStr">
        <is>
          <t>K3-6B</t>
        </is>
      </c>
      <c r="D1752" t="n">
        <v>12.04</v>
      </c>
      <c r="E1752" t="n">
        <v>2228.994</v>
      </c>
      <c r="G1752" t="n">
        <v>16053</v>
      </c>
      <c r="H1752" t="inlineStr">
        <is>
          <t>bb</t>
        </is>
      </c>
      <c r="I1752" t="n">
        <v>2228.994</v>
      </c>
    </row>
    <row r="1753">
      <c r="A1753" t="n">
        <v>31</v>
      </c>
      <c r="B1753" t="inlineStr">
        <is>
          <t>K3-6C</t>
        </is>
      </c>
      <c r="D1753" t="n">
        <v>12.04</v>
      </c>
      <c r="E1753" t="n">
        <v>2518.187</v>
      </c>
      <c r="G1753" t="n">
        <v>16150</v>
      </c>
      <c r="H1753" t="inlineStr">
        <is>
          <t>bb</t>
        </is>
      </c>
      <c r="I1753" t="n">
        <v>2518.187</v>
      </c>
    </row>
    <row r="1755">
      <c r="A1755" t="inlineStr">
        <is>
          <t>Compound 51:  m8 PFOA 2</t>
        </is>
      </c>
    </row>
    <row r="1757">
      <c r="B1757" t="inlineStr">
        <is>
          <t>Sample Text</t>
        </is>
      </c>
      <c r="C1757" t="inlineStr">
        <is>
          <t>Std. Conc</t>
        </is>
      </c>
      <c r="D1757" t="inlineStr">
        <is>
          <t>RT</t>
        </is>
      </c>
      <c r="E1757" t="inlineStr">
        <is>
          <t>Area</t>
        </is>
      </c>
      <c r="F1757" t="inlineStr">
        <is>
          <t>IS Area</t>
        </is>
      </c>
      <c r="G1757" t="inlineStr">
        <is>
          <t>S/N</t>
        </is>
      </c>
      <c r="H1757" t="inlineStr">
        <is>
          <t>Primary Flags</t>
        </is>
      </c>
      <c r="I1757" t="inlineStr">
        <is>
          <t>Response</t>
        </is>
      </c>
      <c r="J1757" t="inlineStr">
        <is>
          <t>Conc.</t>
        </is>
      </c>
    </row>
    <row r="1758">
      <c r="A1758" t="n">
        <v>1</v>
      </c>
      <c r="B1758" t="inlineStr">
        <is>
          <t>K4-1A</t>
        </is>
      </c>
      <c r="D1758" t="n">
        <v>11.98</v>
      </c>
      <c r="E1758" t="n">
        <v>1064.917</v>
      </c>
      <c r="G1758" t="n">
        <v>8.923999999999999</v>
      </c>
      <c r="H1758" t="inlineStr">
        <is>
          <t>bb</t>
        </is>
      </c>
      <c r="I1758" t="n">
        <v>1064.917</v>
      </c>
    </row>
    <row r="1759">
      <c r="A1759" t="n">
        <v>2</v>
      </c>
      <c r="B1759" t="inlineStr">
        <is>
          <t>K4-1B</t>
        </is>
      </c>
      <c r="D1759" t="n">
        <v>11.98</v>
      </c>
      <c r="E1759" t="n">
        <v>1263.963</v>
      </c>
      <c r="G1759" t="n">
        <v>39.059</v>
      </c>
      <c r="H1759" t="inlineStr">
        <is>
          <t>bb</t>
        </is>
      </c>
      <c r="I1759" t="n">
        <v>1263.963</v>
      </c>
    </row>
    <row r="1760">
      <c r="A1760" t="n">
        <v>3</v>
      </c>
      <c r="B1760" t="inlineStr">
        <is>
          <t>K4-1C</t>
        </is>
      </c>
      <c r="D1760" t="n">
        <v>11.99</v>
      </c>
      <c r="E1760" t="n">
        <v>1240.47</v>
      </c>
      <c r="G1760" t="n">
        <v>9468</v>
      </c>
      <c r="H1760" t="inlineStr">
        <is>
          <t>bb</t>
        </is>
      </c>
      <c r="I1760" t="n">
        <v>1240.47</v>
      </c>
    </row>
    <row r="1761">
      <c r="A1761" t="n">
        <v>4</v>
      </c>
      <c r="B1761" t="inlineStr">
        <is>
          <t>K4-2A</t>
        </is>
      </c>
      <c r="D1761" t="n">
        <v>11.99</v>
      </c>
      <c r="E1761" t="n">
        <v>1041.541</v>
      </c>
      <c r="G1761" t="n">
        <v>36.296</v>
      </c>
      <c r="H1761" t="inlineStr">
        <is>
          <t>bb</t>
        </is>
      </c>
      <c r="I1761" t="n">
        <v>1041.541</v>
      </c>
    </row>
    <row r="1762">
      <c r="A1762" t="n">
        <v>5</v>
      </c>
      <c r="B1762" t="inlineStr">
        <is>
          <t>K4-2B</t>
        </is>
      </c>
      <c r="D1762" t="n">
        <v>11.99</v>
      </c>
      <c r="E1762" t="n">
        <v>1437.42</v>
      </c>
      <c r="G1762" t="n">
        <v>10805</v>
      </c>
      <c r="H1762" t="inlineStr">
        <is>
          <t>bb</t>
        </is>
      </c>
      <c r="I1762" t="n">
        <v>1437.42</v>
      </c>
    </row>
    <row r="1763">
      <c r="A1763" t="n">
        <v>6</v>
      </c>
      <c r="B1763" t="inlineStr">
        <is>
          <t>K4-2C</t>
        </is>
      </c>
      <c r="D1763" t="n">
        <v>12.01</v>
      </c>
      <c r="E1763" t="n">
        <v>703.508</v>
      </c>
      <c r="G1763" t="n">
        <v>56.359</v>
      </c>
      <c r="H1763" t="inlineStr">
        <is>
          <t>bb</t>
        </is>
      </c>
      <c r="I1763" t="n">
        <v>703.508</v>
      </c>
    </row>
    <row r="1764">
      <c r="A1764" t="n">
        <v>7</v>
      </c>
      <c r="B1764" t="inlineStr">
        <is>
          <t>MeOH</t>
        </is>
      </c>
    </row>
    <row r="1765">
      <c r="A1765" t="n">
        <v>8</v>
      </c>
      <c r="B1765" t="inlineStr">
        <is>
          <t>K4-4A</t>
        </is>
      </c>
      <c r="D1765" t="n">
        <v>12.04</v>
      </c>
      <c r="E1765" t="n">
        <v>1022.507</v>
      </c>
      <c r="G1765" t="n">
        <v>6988</v>
      </c>
      <c r="H1765" t="inlineStr">
        <is>
          <t>bb</t>
        </is>
      </c>
      <c r="I1765" t="n">
        <v>1022.507</v>
      </c>
    </row>
    <row r="1766">
      <c r="A1766" t="n">
        <v>9</v>
      </c>
      <c r="B1766" t="inlineStr">
        <is>
          <t>K4-4B</t>
        </is>
      </c>
      <c r="D1766" t="n">
        <v>12.02</v>
      </c>
      <c r="E1766" t="n">
        <v>560.49</v>
      </c>
      <c r="G1766" t="n">
        <v>24.019</v>
      </c>
      <c r="H1766" t="inlineStr">
        <is>
          <t>bb</t>
        </is>
      </c>
      <c r="I1766" t="n">
        <v>560.49</v>
      </c>
    </row>
    <row r="1767">
      <c r="A1767" t="n">
        <v>10</v>
      </c>
      <c r="B1767" t="inlineStr">
        <is>
          <t>K4-4C</t>
        </is>
      </c>
      <c r="D1767" t="n">
        <v>12.02</v>
      </c>
      <c r="E1767" t="n">
        <v>760.7619999999999</v>
      </c>
      <c r="G1767" t="n">
        <v>594.58</v>
      </c>
      <c r="H1767" t="inlineStr">
        <is>
          <t>bb</t>
        </is>
      </c>
      <c r="I1767" t="n">
        <v>760.7619999999999</v>
      </c>
    </row>
    <row r="1768">
      <c r="A1768" t="n">
        <v>11</v>
      </c>
      <c r="B1768" t="inlineStr">
        <is>
          <t>K4-5A</t>
        </is>
      </c>
      <c r="D1768" t="n">
        <v>12.02</v>
      </c>
      <c r="E1768" t="n">
        <v>534.744</v>
      </c>
      <c r="G1768" t="n">
        <v>3755</v>
      </c>
      <c r="H1768" t="inlineStr">
        <is>
          <t>bb</t>
        </is>
      </c>
      <c r="I1768" t="n">
        <v>534.744</v>
      </c>
    </row>
    <row r="1769">
      <c r="A1769" t="n">
        <v>12</v>
      </c>
      <c r="B1769" t="inlineStr">
        <is>
          <t>K4-5B</t>
        </is>
      </c>
      <c r="D1769" t="n">
        <v>11.99</v>
      </c>
      <c r="E1769" t="n">
        <v>1062.534</v>
      </c>
      <c r="G1769" t="n">
        <v>7887</v>
      </c>
      <c r="H1769" t="inlineStr">
        <is>
          <t>bb</t>
        </is>
      </c>
      <c r="I1769" t="n">
        <v>1062.534</v>
      </c>
    </row>
    <row r="1770">
      <c r="A1770" t="n">
        <v>13</v>
      </c>
      <c r="B1770" t="inlineStr">
        <is>
          <t>K4-5C</t>
        </is>
      </c>
      <c r="D1770" t="n">
        <v>11.92</v>
      </c>
      <c r="E1770" t="n">
        <v>694.841</v>
      </c>
      <c r="G1770" t="n">
        <v>4820</v>
      </c>
      <c r="H1770" t="inlineStr">
        <is>
          <t>bb</t>
        </is>
      </c>
      <c r="I1770" t="n">
        <v>694.841</v>
      </c>
    </row>
    <row r="1771">
      <c r="A1771" t="n">
        <v>14</v>
      </c>
      <c r="B1771" t="inlineStr">
        <is>
          <t>MeOH</t>
        </is>
      </c>
    </row>
    <row r="1772">
      <c r="A1772" t="n">
        <v>15</v>
      </c>
      <c r="B1772" t="inlineStr">
        <is>
          <t>K3-1A</t>
        </is>
      </c>
      <c r="D1772" t="n">
        <v>11.83</v>
      </c>
      <c r="E1772" t="n">
        <v>1010.403</v>
      </c>
      <c r="G1772" t="n">
        <v>7525</v>
      </c>
      <c r="H1772" t="inlineStr">
        <is>
          <t>bb</t>
        </is>
      </c>
      <c r="I1772" t="n">
        <v>1010.403</v>
      </c>
    </row>
    <row r="1773">
      <c r="A1773" t="n">
        <v>16</v>
      </c>
      <c r="B1773" t="inlineStr">
        <is>
          <t>K3-1B</t>
        </is>
      </c>
      <c r="D1773" t="n">
        <v>11.85</v>
      </c>
      <c r="E1773" t="n">
        <v>1033.297</v>
      </c>
      <c r="G1773" t="n">
        <v>7834</v>
      </c>
      <c r="H1773" t="inlineStr">
        <is>
          <t>bb</t>
        </is>
      </c>
      <c r="I1773" t="n">
        <v>1033.297</v>
      </c>
    </row>
    <row r="1774">
      <c r="A1774" t="n">
        <v>17</v>
      </c>
      <c r="B1774" t="inlineStr">
        <is>
          <t>K3-1C</t>
        </is>
      </c>
      <c r="D1774" t="n">
        <v>11.92</v>
      </c>
      <c r="E1774" t="n">
        <v>1290.752</v>
      </c>
      <c r="G1774" t="n">
        <v>9694</v>
      </c>
      <c r="H1774" t="inlineStr">
        <is>
          <t>bb</t>
        </is>
      </c>
      <c r="I1774" t="n">
        <v>1290.752</v>
      </c>
    </row>
    <row r="1775">
      <c r="A1775" t="n">
        <v>18</v>
      </c>
      <c r="B1775" t="inlineStr">
        <is>
          <t>K3-2A</t>
        </is>
      </c>
      <c r="D1775" t="n">
        <v>11.95</v>
      </c>
      <c r="E1775" t="n">
        <v>1098.129</v>
      </c>
      <c r="G1775" t="n">
        <v>8263</v>
      </c>
      <c r="H1775" t="inlineStr">
        <is>
          <t>bb</t>
        </is>
      </c>
      <c r="I1775" t="n">
        <v>1098.129</v>
      </c>
    </row>
    <row r="1776">
      <c r="A1776" t="n">
        <v>19</v>
      </c>
      <c r="B1776" t="inlineStr">
        <is>
          <t>K3-2B</t>
        </is>
      </c>
      <c r="D1776" t="n">
        <v>11.92</v>
      </c>
      <c r="E1776" t="n">
        <v>1593.77</v>
      </c>
      <c r="G1776" t="n">
        <v>11802</v>
      </c>
      <c r="H1776" t="inlineStr">
        <is>
          <t>bb</t>
        </is>
      </c>
      <c r="I1776" t="n">
        <v>1593.77</v>
      </c>
    </row>
    <row r="1777">
      <c r="A1777" t="n">
        <v>20</v>
      </c>
      <c r="B1777" t="inlineStr">
        <is>
          <t>K3-2C</t>
        </is>
      </c>
      <c r="D1777" t="n">
        <v>11.94</v>
      </c>
      <c r="E1777" t="n">
        <v>1067.692</v>
      </c>
      <c r="G1777" t="n">
        <v>75.069</v>
      </c>
      <c r="H1777" t="inlineStr">
        <is>
          <t>bb</t>
        </is>
      </c>
      <c r="I1777" t="n">
        <v>1067.692</v>
      </c>
    </row>
    <row r="1778">
      <c r="A1778" t="n">
        <v>21</v>
      </c>
      <c r="B1778" t="inlineStr">
        <is>
          <t>MeOH</t>
        </is>
      </c>
    </row>
    <row r="1779">
      <c r="A1779" t="n">
        <v>22</v>
      </c>
      <c r="B1779" t="inlineStr">
        <is>
          <t>K3-3A</t>
        </is>
      </c>
      <c r="D1779" t="n">
        <v>11.96</v>
      </c>
      <c r="E1779" t="n">
        <v>892.886</v>
      </c>
      <c r="G1779" t="n">
        <v>35.375</v>
      </c>
      <c r="H1779" t="inlineStr">
        <is>
          <t>bb</t>
        </is>
      </c>
      <c r="I1779" t="n">
        <v>892.886</v>
      </c>
    </row>
    <row r="1780">
      <c r="A1780" t="n">
        <v>23</v>
      </c>
      <c r="B1780" t="inlineStr">
        <is>
          <t>K3-3B</t>
        </is>
      </c>
      <c r="D1780" t="n">
        <v>11.98</v>
      </c>
      <c r="E1780" t="n">
        <v>1753.089</v>
      </c>
      <c r="G1780" t="n">
        <v>12410</v>
      </c>
      <c r="H1780" t="inlineStr">
        <is>
          <t>bb</t>
        </is>
      </c>
      <c r="I1780" t="n">
        <v>1753.089</v>
      </c>
    </row>
    <row r="1781">
      <c r="A1781" t="n">
        <v>24</v>
      </c>
      <c r="B1781" t="inlineStr">
        <is>
          <t>K3-3C</t>
        </is>
      </c>
      <c r="D1781" t="n">
        <v>11.98</v>
      </c>
      <c r="E1781" t="n">
        <v>1692.502</v>
      </c>
      <c r="G1781" t="n">
        <v>11935.847</v>
      </c>
      <c r="H1781" t="inlineStr">
        <is>
          <t>bb</t>
        </is>
      </c>
      <c r="I1781" t="n">
        <v>1692.502</v>
      </c>
    </row>
    <row r="1782">
      <c r="A1782" t="n">
        <v>25</v>
      </c>
      <c r="B1782" t="inlineStr">
        <is>
          <t>K3-4A</t>
        </is>
      </c>
      <c r="D1782" t="n">
        <v>12.04</v>
      </c>
      <c r="E1782" t="n">
        <v>1319.701</v>
      </c>
      <c r="G1782" t="n">
        <v>139.453</v>
      </c>
      <c r="H1782" t="inlineStr">
        <is>
          <t>bb</t>
        </is>
      </c>
      <c r="I1782" t="n">
        <v>1319.701</v>
      </c>
    </row>
    <row r="1783">
      <c r="A1783" t="n">
        <v>26</v>
      </c>
      <c r="B1783" t="inlineStr">
        <is>
          <t>K3-4B</t>
        </is>
      </c>
      <c r="D1783" t="n">
        <v>11.99</v>
      </c>
      <c r="E1783" t="n">
        <v>1327.685</v>
      </c>
      <c r="G1783" t="n">
        <v>9415</v>
      </c>
      <c r="H1783" t="inlineStr">
        <is>
          <t>bb</t>
        </is>
      </c>
      <c r="I1783" t="n">
        <v>1327.685</v>
      </c>
    </row>
    <row r="1784">
      <c r="A1784" t="n">
        <v>27</v>
      </c>
      <c r="B1784" t="inlineStr">
        <is>
          <t>K3-4C</t>
        </is>
      </c>
      <c r="D1784" t="n">
        <v>12.07</v>
      </c>
      <c r="E1784" t="n">
        <v>1089.646</v>
      </c>
      <c r="G1784" t="n">
        <v>7863</v>
      </c>
      <c r="H1784" t="inlineStr">
        <is>
          <t>bb</t>
        </is>
      </c>
      <c r="I1784" t="n">
        <v>1089.646</v>
      </c>
    </row>
    <row r="1785">
      <c r="A1785" t="n">
        <v>28</v>
      </c>
      <c r="B1785" t="inlineStr">
        <is>
          <t>MeOH</t>
        </is>
      </c>
    </row>
    <row r="1786">
      <c r="A1786" t="n">
        <v>29</v>
      </c>
      <c r="B1786" t="inlineStr">
        <is>
          <t>K3-6A</t>
        </is>
      </c>
      <c r="D1786" t="n">
        <v>12.07</v>
      </c>
      <c r="E1786" t="n">
        <v>1155.322</v>
      </c>
      <c r="G1786" t="n">
        <v>7915</v>
      </c>
      <c r="H1786" t="inlineStr">
        <is>
          <t>bb</t>
        </is>
      </c>
      <c r="I1786" t="n">
        <v>1155.322</v>
      </c>
    </row>
    <row r="1787">
      <c r="A1787" t="n">
        <v>30</v>
      </c>
      <c r="B1787" t="inlineStr">
        <is>
          <t>K3-6B</t>
        </is>
      </c>
      <c r="D1787" t="n">
        <v>12.05</v>
      </c>
      <c r="E1787" t="n">
        <v>1254.337</v>
      </c>
      <c r="G1787" t="n">
        <v>8953</v>
      </c>
      <c r="H1787" t="inlineStr">
        <is>
          <t>bb</t>
        </is>
      </c>
      <c r="I1787" t="n">
        <v>1254.337</v>
      </c>
    </row>
    <row r="1788">
      <c r="A1788" t="n">
        <v>31</v>
      </c>
      <c r="B1788" t="inlineStr">
        <is>
          <t>K3-6C</t>
        </is>
      </c>
      <c r="D1788" t="n">
        <v>12.04</v>
      </c>
      <c r="E1788" t="n">
        <v>894.672</v>
      </c>
      <c r="G1788" t="n">
        <v>96.321</v>
      </c>
      <c r="H1788" t="inlineStr">
        <is>
          <t>bb</t>
        </is>
      </c>
      <c r="I1788" t="n">
        <v>894.672</v>
      </c>
    </row>
    <row r="1790">
      <c r="A1790" t="inlineStr">
        <is>
          <t>Compound 52:  6:2 FTS 1</t>
        </is>
      </c>
    </row>
    <row r="1792">
      <c r="B1792" t="inlineStr">
        <is>
          <t>Sample Text</t>
        </is>
      </c>
      <c r="C1792" t="inlineStr">
        <is>
          <t>Std. Conc</t>
        </is>
      </c>
      <c r="D1792" t="inlineStr">
        <is>
          <t>RT</t>
        </is>
      </c>
      <c r="E1792" t="inlineStr">
        <is>
          <t>Area</t>
        </is>
      </c>
      <c r="F1792" t="inlineStr">
        <is>
          <t>IS Area</t>
        </is>
      </c>
      <c r="G1792" t="inlineStr">
        <is>
          <t>S/N</t>
        </is>
      </c>
      <c r="H1792" t="inlineStr">
        <is>
          <t>Primary Flags</t>
        </is>
      </c>
      <c r="I1792" t="inlineStr">
        <is>
          <t>Response</t>
        </is>
      </c>
      <c r="J1792" t="inlineStr">
        <is>
          <t>Conc.</t>
        </is>
      </c>
    </row>
    <row r="1793">
      <c r="A1793" t="n">
        <v>1</v>
      </c>
      <c r="B1793" t="inlineStr">
        <is>
          <t>K4-1A</t>
        </is>
      </c>
      <c r="D1793" t="n">
        <v>11.79</v>
      </c>
      <c r="E1793" t="n">
        <v>39.752</v>
      </c>
      <c r="F1793" t="n">
        <v>8643.662</v>
      </c>
      <c r="G1793" t="n">
        <v>361</v>
      </c>
      <c r="H1793" t="inlineStr">
        <is>
          <t>bb</t>
        </is>
      </c>
    </row>
    <row r="1794">
      <c r="A1794" t="n">
        <v>2</v>
      </c>
      <c r="B1794" t="inlineStr">
        <is>
          <t>K4-1B</t>
        </is>
      </c>
      <c r="D1794" t="n">
        <v>11.84</v>
      </c>
      <c r="E1794" t="n">
        <v>67.173</v>
      </c>
      <c r="F1794" t="n">
        <v>7778.754</v>
      </c>
      <c r="G1794" t="n">
        <v>616</v>
      </c>
      <c r="H1794" t="inlineStr">
        <is>
          <t>bb</t>
        </is>
      </c>
    </row>
    <row r="1795">
      <c r="A1795" t="n">
        <v>3</v>
      </c>
      <c r="B1795" t="inlineStr">
        <is>
          <t>K4-1C</t>
        </is>
      </c>
      <c r="D1795" t="n">
        <v>11.94</v>
      </c>
      <c r="E1795" t="n">
        <v>33.269</v>
      </c>
      <c r="F1795" t="n">
        <v>8090.841</v>
      </c>
      <c r="G1795" t="n">
        <v>179</v>
      </c>
      <c r="H1795" t="inlineStr">
        <is>
          <t>bb</t>
        </is>
      </c>
    </row>
    <row r="1796">
      <c r="A1796" t="n">
        <v>4</v>
      </c>
      <c r="B1796" t="inlineStr">
        <is>
          <t>K4-2A</t>
        </is>
      </c>
      <c r="D1796" t="n">
        <v>11.86</v>
      </c>
      <c r="E1796" t="n">
        <v>62.455</v>
      </c>
      <c r="F1796" t="n">
        <v>8274.536</v>
      </c>
      <c r="G1796" t="n">
        <v>3.017</v>
      </c>
      <c r="H1796" t="inlineStr">
        <is>
          <t>bb</t>
        </is>
      </c>
    </row>
    <row r="1797">
      <c r="A1797" t="n">
        <v>5</v>
      </c>
      <c r="B1797" t="inlineStr">
        <is>
          <t>K4-2B</t>
        </is>
      </c>
      <c r="D1797" t="n">
        <v>11.87</v>
      </c>
      <c r="E1797" t="n">
        <v>43.448</v>
      </c>
      <c r="F1797" t="n">
        <v>7255.211</v>
      </c>
      <c r="G1797" t="n">
        <v>341</v>
      </c>
      <c r="H1797" t="inlineStr">
        <is>
          <t>bb</t>
        </is>
      </c>
    </row>
    <row r="1798">
      <c r="A1798" t="n">
        <v>6</v>
      </c>
      <c r="B1798" t="inlineStr">
        <is>
          <t>K4-2C</t>
        </is>
      </c>
      <c r="D1798" t="n">
        <v>11.89</v>
      </c>
      <c r="E1798" t="n">
        <v>86.779</v>
      </c>
      <c r="F1798" t="n">
        <v>6344.476</v>
      </c>
      <c r="G1798" t="n">
        <v>740</v>
      </c>
      <c r="H1798" t="inlineStr">
        <is>
          <t>bb</t>
        </is>
      </c>
    </row>
    <row r="1799">
      <c r="A1799" t="n">
        <v>7</v>
      </c>
      <c r="B1799" t="inlineStr">
        <is>
          <t>MeOH</t>
        </is>
      </c>
      <c r="H1799" t="inlineStr">
        <is>
          <t>MM-</t>
        </is>
      </c>
    </row>
    <row r="1800">
      <c r="A1800" t="n">
        <v>8</v>
      </c>
      <c r="B1800" t="inlineStr">
        <is>
          <t>K4-4A</t>
        </is>
      </c>
      <c r="D1800" t="n">
        <v>11.92</v>
      </c>
      <c r="E1800" t="n">
        <v>19.173</v>
      </c>
      <c r="F1800" t="n">
        <v>8255.324000000001</v>
      </c>
      <c r="G1800" t="n">
        <v>120</v>
      </c>
      <c r="H1800" t="inlineStr">
        <is>
          <t>bb</t>
        </is>
      </c>
    </row>
    <row r="1801">
      <c r="A1801" t="n">
        <v>9</v>
      </c>
      <c r="B1801" t="inlineStr">
        <is>
          <t>K4-4B</t>
        </is>
      </c>
      <c r="F1801" t="n">
        <v>8700.057000000001</v>
      </c>
    </row>
    <row r="1802">
      <c r="A1802" t="n">
        <v>10</v>
      </c>
      <c r="B1802" t="inlineStr">
        <is>
          <t>K4-4C</t>
        </is>
      </c>
      <c r="D1802" t="n">
        <v>11.91</v>
      </c>
      <c r="E1802" t="n">
        <v>50.585</v>
      </c>
      <c r="F1802" t="n">
        <v>8862.481</v>
      </c>
      <c r="G1802" t="n">
        <v>3.671</v>
      </c>
      <c r="H1802" t="inlineStr">
        <is>
          <t>bb</t>
        </is>
      </c>
    </row>
    <row r="1803">
      <c r="A1803" t="n">
        <v>11</v>
      </c>
      <c r="B1803" t="inlineStr">
        <is>
          <t>K4-5A</t>
        </is>
      </c>
      <c r="D1803" t="n">
        <v>11.89</v>
      </c>
      <c r="E1803" t="n">
        <v>59.269</v>
      </c>
      <c r="F1803" t="n">
        <v>7566.267</v>
      </c>
      <c r="G1803" t="n">
        <v>3.432</v>
      </c>
      <c r="H1803" t="inlineStr">
        <is>
          <t>bb</t>
        </is>
      </c>
    </row>
    <row r="1804">
      <c r="A1804" t="n">
        <v>12</v>
      </c>
      <c r="B1804" t="inlineStr">
        <is>
          <t>K4-5B</t>
        </is>
      </c>
      <c r="D1804" t="n">
        <v>11.91</v>
      </c>
      <c r="E1804" t="n">
        <v>24.204</v>
      </c>
      <c r="F1804" t="n">
        <v>7728.61</v>
      </c>
      <c r="G1804" t="n">
        <v>220</v>
      </c>
      <c r="H1804" t="inlineStr">
        <is>
          <t>bb</t>
        </is>
      </c>
    </row>
    <row r="1805">
      <c r="A1805" t="n">
        <v>13</v>
      </c>
      <c r="B1805" t="inlineStr">
        <is>
          <t>K4-5C</t>
        </is>
      </c>
      <c r="D1805" t="n">
        <v>11.78</v>
      </c>
      <c r="E1805" t="n">
        <v>177.317</v>
      </c>
      <c r="F1805" t="n">
        <v>7892.756</v>
      </c>
      <c r="G1805" t="n">
        <v>1416</v>
      </c>
      <c r="H1805" t="inlineStr">
        <is>
          <t>bb</t>
        </is>
      </c>
    </row>
    <row r="1806">
      <c r="A1806" t="n">
        <v>14</v>
      </c>
      <c r="B1806" t="inlineStr">
        <is>
          <t>MeOH</t>
        </is>
      </c>
      <c r="H1806" t="inlineStr">
        <is>
          <t>MM-</t>
        </is>
      </c>
    </row>
    <row r="1807">
      <c r="A1807" t="n">
        <v>15</v>
      </c>
      <c r="B1807" t="inlineStr">
        <is>
          <t>K3-1A</t>
        </is>
      </c>
      <c r="D1807" t="n">
        <v>11.69</v>
      </c>
      <c r="E1807" t="n">
        <v>134.193</v>
      </c>
      <c r="F1807" t="n">
        <v>9463.556</v>
      </c>
      <c r="G1807" t="n">
        <v>738</v>
      </c>
      <c r="H1807" t="inlineStr">
        <is>
          <t>bb</t>
        </is>
      </c>
    </row>
    <row r="1808">
      <c r="A1808" t="n">
        <v>16</v>
      </c>
      <c r="B1808" t="inlineStr">
        <is>
          <t>K3-1B</t>
        </is>
      </c>
      <c r="D1808" t="n">
        <v>11.79</v>
      </c>
      <c r="E1808" t="n">
        <v>38.076</v>
      </c>
      <c r="F1808" t="n">
        <v>8614.062</v>
      </c>
      <c r="G1808" t="n">
        <v>201</v>
      </c>
      <c r="H1808" t="inlineStr">
        <is>
          <t>bb</t>
        </is>
      </c>
    </row>
    <row r="1809">
      <c r="A1809" t="n">
        <v>17</v>
      </c>
      <c r="B1809" t="inlineStr">
        <is>
          <t>K3-1C</t>
        </is>
      </c>
      <c r="D1809" t="n">
        <v>11.76</v>
      </c>
      <c r="E1809" t="n">
        <v>100.953</v>
      </c>
      <c r="F1809" t="n">
        <v>10580.468</v>
      </c>
      <c r="G1809" t="n">
        <v>2.857</v>
      </c>
      <c r="H1809" t="inlineStr">
        <is>
          <t>bb</t>
        </is>
      </c>
    </row>
    <row r="1810">
      <c r="A1810" t="n">
        <v>18</v>
      </c>
      <c r="B1810" t="inlineStr">
        <is>
          <t>K3-2A</t>
        </is>
      </c>
      <c r="D1810" t="n">
        <v>11.78</v>
      </c>
      <c r="E1810" t="n">
        <v>78.622</v>
      </c>
      <c r="F1810" t="n">
        <v>10118.425</v>
      </c>
      <c r="G1810" t="n">
        <v>671</v>
      </c>
      <c r="H1810" t="inlineStr">
        <is>
          <t>bb</t>
        </is>
      </c>
    </row>
    <row r="1811">
      <c r="A1811" t="n">
        <v>19</v>
      </c>
      <c r="B1811" t="inlineStr">
        <is>
          <t>K3-2B</t>
        </is>
      </c>
      <c r="F1811" t="n">
        <v>11670.299</v>
      </c>
    </row>
    <row r="1812">
      <c r="A1812" t="n">
        <v>20</v>
      </c>
      <c r="B1812" t="inlineStr">
        <is>
          <t>K3-2C</t>
        </is>
      </c>
      <c r="D1812" t="n">
        <v>11.78</v>
      </c>
      <c r="E1812" t="n">
        <v>104.013</v>
      </c>
      <c r="F1812" t="n">
        <v>10063.434</v>
      </c>
      <c r="G1812" t="n">
        <v>776</v>
      </c>
      <c r="H1812" t="inlineStr">
        <is>
          <t>bb</t>
        </is>
      </c>
    </row>
    <row r="1813">
      <c r="A1813" t="n">
        <v>21</v>
      </c>
      <c r="B1813" t="inlineStr">
        <is>
          <t>MeOH</t>
        </is>
      </c>
      <c r="D1813" t="n">
        <v>11.82</v>
      </c>
      <c r="E1813" t="n">
        <v>86.637</v>
      </c>
      <c r="G1813" t="n">
        <v>3.314</v>
      </c>
      <c r="H1813" t="inlineStr">
        <is>
          <t>bb</t>
        </is>
      </c>
    </row>
    <row r="1814">
      <c r="A1814" t="n">
        <v>22</v>
      </c>
      <c r="B1814" t="inlineStr">
        <is>
          <t>K3-3A</t>
        </is>
      </c>
      <c r="D1814" t="n">
        <v>11.81</v>
      </c>
      <c r="E1814" t="n">
        <v>46.902</v>
      </c>
      <c r="F1814" t="n">
        <v>9698.305</v>
      </c>
      <c r="G1814" t="n">
        <v>451</v>
      </c>
      <c r="H1814" t="inlineStr">
        <is>
          <t>bb</t>
        </is>
      </c>
    </row>
    <row r="1815">
      <c r="A1815" t="n">
        <v>23</v>
      </c>
      <c r="B1815" t="inlineStr">
        <is>
          <t>K3-3B</t>
        </is>
      </c>
      <c r="D1815" t="n">
        <v>11.85</v>
      </c>
      <c r="E1815" t="n">
        <v>147.728</v>
      </c>
      <c r="F1815" t="n">
        <v>11153.47</v>
      </c>
      <c r="G1815" t="n">
        <v>140.82</v>
      </c>
      <c r="H1815" t="inlineStr">
        <is>
          <t>bb</t>
        </is>
      </c>
    </row>
    <row r="1816">
      <c r="A1816" t="n">
        <v>24</v>
      </c>
      <c r="B1816" t="inlineStr">
        <is>
          <t>K3-3C</t>
        </is>
      </c>
      <c r="D1816" t="n">
        <v>11.81</v>
      </c>
      <c r="E1816" t="n">
        <v>14.235</v>
      </c>
      <c r="F1816" t="n">
        <v>13110.222</v>
      </c>
      <c r="G1816" t="n">
        <v>134</v>
      </c>
      <c r="H1816" t="inlineStr">
        <is>
          <t>bb</t>
        </is>
      </c>
    </row>
    <row r="1817">
      <c r="A1817" t="n">
        <v>25</v>
      </c>
      <c r="B1817" t="inlineStr">
        <is>
          <t>K3-4A</t>
        </is>
      </c>
      <c r="D1817" t="n">
        <v>11.91</v>
      </c>
      <c r="E1817" t="n">
        <v>20.144</v>
      </c>
      <c r="F1817" t="n">
        <v>13316.729</v>
      </c>
      <c r="G1817" t="n">
        <v>2.889</v>
      </c>
      <c r="H1817" t="inlineStr">
        <is>
          <t>bb</t>
        </is>
      </c>
    </row>
    <row r="1818">
      <c r="A1818" t="n">
        <v>26</v>
      </c>
      <c r="B1818" t="inlineStr">
        <is>
          <t>K3-4B</t>
        </is>
      </c>
      <c r="D1818" t="n">
        <v>11.91</v>
      </c>
      <c r="E1818" t="n">
        <v>209.483</v>
      </c>
      <c r="F1818" t="n">
        <v>13406.583</v>
      </c>
      <c r="G1818" t="n">
        <v>5.074</v>
      </c>
      <c r="H1818" t="inlineStr">
        <is>
          <t>bb</t>
        </is>
      </c>
    </row>
    <row r="1819">
      <c r="A1819" t="n">
        <v>27</v>
      </c>
      <c r="B1819" t="inlineStr">
        <is>
          <t>K3-4C</t>
        </is>
      </c>
      <c r="D1819" t="n">
        <v>11.92</v>
      </c>
      <c r="E1819" t="n">
        <v>137.553</v>
      </c>
      <c r="F1819" t="n">
        <v>15237.138</v>
      </c>
      <c r="G1819" t="n">
        <v>1164</v>
      </c>
      <c r="H1819" t="inlineStr">
        <is>
          <t>bb</t>
        </is>
      </c>
    </row>
    <row r="1820">
      <c r="A1820" t="n">
        <v>28</v>
      </c>
      <c r="B1820" t="inlineStr">
        <is>
          <t>MeOH</t>
        </is>
      </c>
      <c r="H1820" t="inlineStr">
        <is>
          <t>MM-</t>
        </is>
      </c>
    </row>
    <row r="1821">
      <c r="A1821" t="n">
        <v>29</v>
      </c>
      <c r="B1821" t="inlineStr">
        <is>
          <t>K3-6A</t>
        </is>
      </c>
      <c r="D1821" t="n">
        <v>11.91</v>
      </c>
      <c r="E1821" t="n">
        <v>57.444</v>
      </c>
      <c r="F1821" t="n">
        <v>12951.722</v>
      </c>
      <c r="G1821" t="n">
        <v>488</v>
      </c>
      <c r="H1821" t="inlineStr">
        <is>
          <t>bb</t>
        </is>
      </c>
    </row>
    <row r="1822">
      <c r="A1822" t="n">
        <v>30</v>
      </c>
      <c r="B1822" t="inlineStr">
        <is>
          <t>K3-6B</t>
        </is>
      </c>
      <c r="F1822" t="n">
        <v>12128.479</v>
      </c>
    </row>
    <row r="1823">
      <c r="A1823" t="n">
        <v>31</v>
      </c>
      <c r="B1823" t="inlineStr">
        <is>
          <t>K3-6C</t>
        </is>
      </c>
      <c r="D1823" t="n">
        <v>12.08</v>
      </c>
      <c r="E1823" t="n">
        <v>31.238</v>
      </c>
      <c r="F1823" t="n">
        <v>10764.568</v>
      </c>
      <c r="G1823" t="n">
        <v>275</v>
      </c>
      <c r="H1823" t="inlineStr">
        <is>
          <t>bb</t>
        </is>
      </c>
    </row>
    <row r="1825">
      <c r="A1825" t="inlineStr">
        <is>
          <t>Compound 53:  6:2 FTS 2</t>
        </is>
      </c>
    </row>
    <row r="1827">
      <c r="B1827" t="inlineStr">
        <is>
          <t>Sample Text</t>
        </is>
      </c>
      <c r="C1827" t="inlineStr">
        <is>
          <t>Std. Conc</t>
        </is>
      </c>
      <c r="D1827" t="inlineStr">
        <is>
          <t>RT</t>
        </is>
      </c>
      <c r="E1827" t="inlineStr">
        <is>
          <t>Area</t>
        </is>
      </c>
      <c r="F1827" t="inlineStr">
        <is>
          <t>IS Area</t>
        </is>
      </c>
      <c r="G1827" t="inlineStr">
        <is>
          <t>S/N</t>
        </is>
      </c>
      <c r="H1827" t="inlineStr">
        <is>
          <t>Primary Flags</t>
        </is>
      </c>
      <c r="I1827" t="inlineStr">
        <is>
          <t>Response</t>
        </is>
      </c>
      <c r="J1827" t="inlineStr">
        <is>
          <t>Conc.</t>
        </is>
      </c>
    </row>
    <row r="1828">
      <c r="A1828" t="n">
        <v>1</v>
      </c>
      <c r="B1828" t="inlineStr">
        <is>
          <t>K4-1A</t>
        </is>
      </c>
      <c r="D1828" t="n">
        <v>11.83</v>
      </c>
      <c r="E1828" t="n">
        <v>36.341</v>
      </c>
      <c r="F1828" t="n">
        <v>8643.662</v>
      </c>
      <c r="G1828" t="n">
        <v>319</v>
      </c>
      <c r="H1828" t="inlineStr">
        <is>
          <t>bb</t>
        </is>
      </c>
    </row>
    <row r="1829">
      <c r="A1829" t="n">
        <v>2</v>
      </c>
      <c r="B1829" t="inlineStr">
        <is>
          <t>K4-1B</t>
        </is>
      </c>
      <c r="F1829" t="n">
        <v>7778.754</v>
      </c>
    </row>
    <row r="1830">
      <c r="A1830" t="n">
        <v>3</v>
      </c>
      <c r="B1830" t="inlineStr">
        <is>
          <t>K4-1C</t>
        </is>
      </c>
      <c r="F1830" t="n">
        <v>8090.841</v>
      </c>
    </row>
    <row r="1831">
      <c r="A1831" t="n">
        <v>4</v>
      </c>
      <c r="B1831" t="inlineStr">
        <is>
          <t>K4-2A</t>
        </is>
      </c>
      <c r="D1831" t="n">
        <v>11.86</v>
      </c>
      <c r="E1831" t="n">
        <v>50.084</v>
      </c>
      <c r="F1831" t="n">
        <v>8274.536</v>
      </c>
      <c r="G1831" t="n">
        <v>4.047</v>
      </c>
      <c r="H1831" t="inlineStr">
        <is>
          <t>bb</t>
        </is>
      </c>
    </row>
    <row r="1832">
      <c r="A1832" t="n">
        <v>5</v>
      </c>
      <c r="B1832" t="inlineStr">
        <is>
          <t>K4-2B</t>
        </is>
      </c>
      <c r="F1832" t="n">
        <v>7255.211</v>
      </c>
    </row>
    <row r="1833">
      <c r="A1833" t="n">
        <v>6</v>
      </c>
      <c r="B1833" t="inlineStr">
        <is>
          <t>K4-2C</t>
        </is>
      </c>
      <c r="D1833" t="n">
        <v>11.89</v>
      </c>
      <c r="E1833" t="n">
        <v>20.209</v>
      </c>
      <c r="F1833" t="n">
        <v>6344.476</v>
      </c>
      <c r="G1833" t="n">
        <v>179</v>
      </c>
      <c r="H1833" t="inlineStr">
        <is>
          <t>bb</t>
        </is>
      </c>
    </row>
    <row r="1834">
      <c r="A1834" t="n">
        <v>7</v>
      </c>
      <c r="B1834" t="inlineStr">
        <is>
          <t>MeOH</t>
        </is>
      </c>
      <c r="H1834" t="inlineStr">
        <is>
          <t>MM-</t>
        </is>
      </c>
    </row>
    <row r="1835">
      <c r="A1835" t="n">
        <v>8</v>
      </c>
      <c r="B1835" t="inlineStr">
        <is>
          <t>K4-4A</t>
        </is>
      </c>
      <c r="F1835" t="n">
        <v>8255.324000000001</v>
      </c>
    </row>
    <row r="1836">
      <c r="A1836" t="n">
        <v>9</v>
      </c>
      <c r="B1836" t="inlineStr">
        <is>
          <t>K4-4B</t>
        </is>
      </c>
      <c r="D1836" t="n">
        <v>11.89</v>
      </c>
      <c r="E1836" t="n">
        <v>2.931</v>
      </c>
      <c r="F1836" t="n">
        <v>8700.057000000001</v>
      </c>
      <c r="G1836" t="n">
        <v>28</v>
      </c>
      <c r="H1836" t="inlineStr">
        <is>
          <t>bb</t>
        </is>
      </c>
    </row>
    <row r="1837">
      <c r="A1837" t="n">
        <v>10</v>
      </c>
      <c r="B1837" t="inlineStr">
        <is>
          <t>K4-4C</t>
        </is>
      </c>
      <c r="F1837" t="n">
        <v>8862.481</v>
      </c>
    </row>
    <row r="1838">
      <c r="A1838" t="n">
        <v>11</v>
      </c>
      <c r="B1838" t="inlineStr">
        <is>
          <t>K4-5A</t>
        </is>
      </c>
      <c r="F1838" t="n">
        <v>7566.267</v>
      </c>
    </row>
    <row r="1839">
      <c r="A1839" t="n">
        <v>12</v>
      </c>
      <c r="B1839" t="inlineStr">
        <is>
          <t>K4-5B</t>
        </is>
      </c>
      <c r="D1839" t="n">
        <v>11.86</v>
      </c>
      <c r="E1839" t="n">
        <v>3.625</v>
      </c>
      <c r="F1839" t="n">
        <v>7728.61</v>
      </c>
      <c r="G1839" t="n">
        <v>34</v>
      </c>
      <c r="H1839" t="inlineStr">
        <is>
          <t>bb</t>
        </is>
      </c>
    </row>
    <row r="1840">
      <c r="A1840" t="n">
        <v>13</v>
      </c>
      <c r="B1840" t="inlineStr">
        <is>
          <t>K4-5C</t>
        </is>
      </c>
      <c r="F1840" t="n">
        <v>7892.756</v>
      </c>
    </row>
    <row r="1841">
      <c r="A1841" t="n">
        <v>14</v>
      </c>
      <c r="B1841" t="inlineStr">
        <is>
          <t>MeOH</t>
        </is>
      </c>
      <c r="H1841" t="inlineStr">
        <is>
          <t>MM-</t>
        </is>
      </c>
    </row>
    <row r="1842">
      <c r="A1842" t="n">
        <v>15</v>
      </c>
      <c r="B1842" t="inlineStr">
        <is>
          <t>K3-1A</t>
        </is>
      </c>
      <c r="D1842" t="n">
        <v>11.76</v>
      </c>
      <c r="E1842" t="n">
        <v>1.75</v>
      </c>
      <c r="F1842" t="n">
        <v>9463.556</v>
      </c>
      <c r="G1842" t="n">
        <v>17</v>
      </c>
      <c r="H1842" t="inlineStr">
        <is>
          <t>bb</t>
        </is>
      </c>
    </row>
    <row r="1843">
      <c r="A1843" t="n">
        <v>16</v>
      </c>
      <c r="B1843" t="inlineStr">
        <is>
          <t>K3-1B</t>
        </is>
      </c>
      <c r="D1843" t="n">
        <v>11.68</v>
      </c>
      <c r="E1843" t="n">
        <v>23.112</v>
      </c>
      <c r="F1843" t="n">
        <v>8614.062</v>
      </c>
      <c r="G1843" t="n">
        <v>160</v>
      </c>
      <c r="H1843" t="inlineStr">
        <is>
          <t>bb</t>
        </is>
      </c>
    </row>
    <row r="1844">
      <c r="A1844" t="n">
        <v>17</v>
      </c>
      <c r="B1844" t="inlineStr">
        <is>
          <t>K3-1C</t>
        </is>
      </c>
      <c r="F1844" t="n">
        <v>10580.468</v>
      </c>
    </row>
    <row r="1845">
      <c r="A1845" t="n">
        <v>18</v>
      </c>
      <c r="B1845" t="inlineStr">
        <is>
          <t>K3-2A</t>
        </is>
      </c>
      <c r="D1845" t="n">
        <v>11.78</v>
      </c>
      <c r="E1845" t="n">
        <v>22.801</v>
      </c>
      <c r="F1845" t="n">
        <v>10118.425</v>
      </c>
      <c r="G1845" t="n">
        <v>216</v>
      </c>
      <c r="H1845" t="inlineStr">
        <is>
          <t>bb</t>
        </is>
      </c>
    </row>
    <row r="1846">
      <c r="A1846" t="n">
        <v>19</v>
      </c>
      <c r="B1846" t="inlineStr">
        <is>
          <t>K3-2B</t>
        </is>
      </c>
      <c r="F1846" t="n">
        <v>11670.299</v>
      </c>
    </row>
    <row r="1847">
      <c r="A1847" t="n">
        <v>20</v>
      </c>
      <c r="B1847" t="inlineStr">
        <is>
          <t>K3-2C</t>
        </is>
      </c>
      <c r="D1847" t="n">
        <v>11.76</v>
      </c>
      <c r="E1847" t="n">
        <v>2.59</v>
      </c>
      <c r="F1847" t="n">
        <v>10063.434</v>
      </c>
      <c r="G1847" t="n">
        <v>23</v>
      </c>
      <c r="H1847" t="inlineStr">
        <is>
          <t>bb</t>
        </is>
      </c>
    </row>
    <row r="1848">
      <c r="A1848" t="n">
        <v>21</v>
      </c>
      <c r="B1848" t="inlineStr">
        <is>
          <t>MeOH</t>
        </is>
      </c>
      <c r="D1848" t="n">
        <v>11.82</v>
      </c>
      <c r="E1848" t="n">
        <v>50.909</v>
      </c>
      <c r="G1848" t="n">
        <v>3.079</v>
      </c>
      <c r="H1848" t="inlineStr">
        <is>
          <t>bb</t>
        </is>
      </c>
    </row>
    <row r="1849">
      <c r="A1849" t="n">
        <v>22</v>
      </c>
      <c r="B1849" t="inlineStr">
        <is>
          <t>K3-3A</t>
        </is>
      </c>
      <c r="D1849" t="n">
        <v>11.76</v>
      </c>
      <c r="E1849" t="n">
        <v>2.465</v>
      </c>
      <c r="F1849" t="n">
        <v>9698.305</v>
      </c>
      <c r="G1849" t="n">
        <v>24</v>
      </c>
      <c r="H1849" t="inlineStr">
        <is>
          <t>bb</t>
        </is>
      </c>
    </row>
    <row r="1850">
      <c r="A1850" t="n">
        <v>23</v>
      </c>
      <c r="B1850" t="inlineStr">
        <is>
          <t>K3-3B</t>
        </is>
      </c>
      <c r="D1850" t="n">
        <v>11.84</v>
      </c>
      <c r="E1850" t="n">
        <v>20.064</v>
      </c>
      <c r="F1850" t="n">
        <v>11153.47</v>
      </c>
      <c r="G1850" t="n">
        <v>187</v>
      </c>
      <c r="H1850" t="inlineStr">
        <is>
          <t>bb</t>
        </is>
      </c>
    </row>
    <row r="1851">
      <c r="A1851" t="n">
        <v>24</v>
      </c>
      <c r="B1851" t="inlineStr">
        <is>
          <t>K3-3C</t>
        </is>
      </c>
      <c r="D1851" t="n">
        <v>11.84</v>
      </c>
      <c r="E1851" t="n">
        <v>16.408</v>
      </c>
      <c r="F1851" t="n">
        <v>13110.222</v>
      </c>
      <c r="G1851" t="n">
        <v>157</v>
      </c>
      <c r="H1851" t="inlineStr">
        <is>
          <t>bb</t>
        </is>
      </c>
    </row>
    <row r="1852">
      <c r="A1852" t="n">
        <v>25</v>
      </c>
      <c r="B1852" t="inlineStr">
        <is>
          <t>K3-4A</t>
        </is>
      </c>
      <c r="D1852" t="n">
        <v>11.86</v>
      </c>
      <c r="E1852" t="n">
        <v>7.867</v>
      </c>
      <c r="F1852" t="n">
        <v>13316.729</v>
      </c>
      <c r="G1852" t="n">
        <v>72</v>
      </c>
      <c r="H1852" t="inlineStr">
        <is>
          <t>bb</t>
        </is>
      </c>
    </row>
    <row r="1853">
      <c r="A1853" t="n">
        <v>26</v>
      </c>
      <c r="B1853" t="inlineStr">
        <is>
          <t>K3-4B</t>
        </is>
      </c>
      <c r="D1853" t="n">
        <v>11.84</v>
      </c>
      <c r="E1853" t="n">
        <v>4.022</v>
      </c>
      <c r="F1853" t="n">
        <v>13406.583</v>
      </c>
      <c r="G1853" t="n">
        <v>38</v>
      </c>
      <c r="H1853" t="inlineStr">
        <is>
          <t>bb</t>
        </is>
      </c>
    </row>
    <row r="1854">
      <c r="A1854" t="n">
        <v>27</v>
      </c>
      <c r="B1854" t="inlineStr">
        <is>
          <t>K3-4C</t>
        </is>
      </c>
      <c r="D1854" t="n">
        <v>12.26</v>
      </c>
      <c r="E1854" t="n">
        <v>15.069</v>
      </c>
      <c r="F1854" t="n">
        <v>15237.138</v>
      </c>
      <c r="G1854" t="n">
        <v>141</v>
      </c>
      <c r="H1854" t="inlineStr">
        <is>
          <t>bb</t>
        </is>
      </c>
    </row>
    <row r="1855">
      <c r="A1855" t="n">
        <v>28</v>
      </c>
      <c r="B1855" t="inlineStr">
        <is>
          <t>MeOH</t>
        </is>
      </c>
      <c r="H1855" t="inlineStr">
        <is>
          <t>MM-</t>
        </is>
      </c>
    </row>
    <row r="1856">
      <c r="A1856" t="n">
        <v>29</v>
      </c>
      <c r="B1856" t="inlineStr">
        <is>
          <t>K3-6A</t>
        </is>
      </c>
      <c r="D1856" t="n">
        <v>11.41</v>
      </c>
      <c r="E1856" t="n">
        <v>0.722</v>
      </c>
      <c r="F1856" t="n">
        <v>12951.722</v>
      </c>
      <c r="G1856" t="n">
        <v>7</v>
      </c>
      <c r="H1856" t="inlineStr">
        <is>
          <t>bb</t>
        </is>
      </c>
    </row>
    <row r="1857">
      <c r="A1857" t="n">
        <v>30</v>
      </c>
      <c r="B1857" t="inlineStr">
        <is>
          <t>K3-6B</t>
        </is>
      </c>
      <c r="F1857" t="n">
        <v>12128.479</v>
      </c>
    </row>
    <row r="1858">
      <c r="A1858" t="n">
        <v>31</v>
      </c>
      <c r="B1858" t="inlineStr">
        <is>
          <t>K3-6C</t>
        </is>
      </c>
      <c r="D1858" t="n">
        <v>11.94</v>
      </c>
      <c r="E1858" t="n">
        <v>0.416</v>
      </c>
      <c r="F1858" t="n">
        <v>10764.568</v>
      </c>
      <c r="G1858" t="n">
        <v>4</v>
      </c>
      <c r="H1858" t="inlineStr">
        <is>
          <t>bb</t>
        </is>
      </c>
    </row>
    <row r="1860">
      <c r="A1860" t="inlineStr">
        <is>
          <t>Compound 54:  m2 6:2 FTS 1</t>
        </is>
      </c>
    </row>
    <row r="1862">
      <c r="B1862" t="inlineStr">
        <is>
          <t>Sample Text</t>
        </is>
      </c>
      <c r="C1862" t="inlineStr">
        <is>
          <t>Std. Conc</t>
        </is>
      </c>
      <c r="D1862" t="inlineStr">
        <is>
          <t>RT</t>
        </is>
      </c>
      <c r="E1862" t="inlineStr">
        <is>
          <t>Area</t>
        </is>
      </c>
      <c r="F1862" t="inlineStr">
        <is>
          <t>IS Area</t>
        </is>
      </c>
      <c r="G1862" t="inlineStr">
        <is>
          <t>S/N</t>
        </is>
      </c>
      <c r="H1862" t="inlineStr">
        <is>
          <t>Primary Flags</t>
        </is>
      </c>
      <c r="I1862" t="inlineStr">
        <is>
          <t>Response</t>
        </is>
      </c>
      <c r="J1862" t="inlineStr">
        <is>
          <t>Conc.</t>
        </is>
      </c>
    </row>
    <row r="1863">
      <c r="A1863" t="n">
        <v>1</v>
      </c>
      <c r="B1863" t="inlineStr">
        <is>
          <t>K4-1A</t>
        </is>
      </c>
      <c r="D1863" t="n">
        <v>11.85</v>
      </c>
      <c r="E1863" t="n">
        <v>8643.662</v>
      </c>
      <c r="G1863" t="n">
        <v>63892</v>
      </c>
      <c r="H1863" t="inlineStr">
        <is>
          <t>bb</t>
        </is>
      </c>
      <c r="I1863" t="n">
        <v>8643.662</v>
      </c>
    </row>
    <row r="1864">
      <c r="A1864" t="n">
        <v>2</v>
      </c>
      <c r="B1864" t="inlineStr">
        <is>
          <t>K4-1B</t>
        </is>
      </c>
      <c r="D1864" t="n">
        <v>11.84</v>
      </c>
      <c r="E1864" t="n">
        <v>7778.754</v>
      </c>
      <c r="G1864" t="n">
        <v>2730.965</v>
      </c>
      <c r="H1864" t="inlineStr">
        <is>
          <t>bb</t>
        </is>
      </c>
      <c r="I1864" t="n">
        <v>7778.754</v>
      </c>
    </row>
    <row r="1865">
      <c r="A1865" t="n">
        <v>3</v>
      </c>
      <c r="B1865" t="inlineStr">
        <is>
          <t>K4-1C</t>
        </is>
      </c>
      <c r="D1865" t="n">
        <v>11.85</v>
      </c>
      <c r="E1865" t="n">
        <v>8090.841</v>
      </c>
      <c r="G1865" t="n">
        <v>58626</v>
      </c>
      <c r="H1865" t="inlineStr">
        <is>
          <t>bb</t>
        </is>
      </c>
      <c r="I1865" t="n">
        <v>8090.841</v>
      </c>
    </row>
    <row r="1866">
      <c r="A1866" t="n">
        <v>4</v>
      </c>
      <c r="B1866" t="inlineStr">
        <is>
          <t>K4-2A</t>
        </is>
      </c>
      <c r="D1866" t="n">
        <v>11.85</v>
      </c>
      <c r="E1866" t="n">
        <v>8274.536</v>
      </c>
      <c r="G1866" t="n">
        <v>68.419</v>
      </c>
      <c r="H1866" t="inlineStr">
        <is>
          <t>bb</t>
        </is>
      </c>
      <c r="I1866" t="n">
        <v>8274.536</v>
      </c>
    </row>
    <row r="1867">
      <c r="A1867" t="n">
        <v>5</v>
      </c>
      <c r="B1867" t="inlineStr">
        <is>
          <t>K4-2B</t>
        </is>
      </c>
      <c r="D1867" t="n">
        <v>11.87</v>
      </c>
      <c r="E1867" t="n">
        <v>7255.211</v>
      </c>
      <c r="G1867" t="n">
        <v>352.942</v>
      </c>
      <c r="H1867" t="inlineStr">
        <is>
          <t>bb</t>
        </is>
      </c>
      <c r="I1867" t="n">
        <v>7255.211</v>
      </c>
    </row>
    <row r="1868">
      <c r="A1868" t="n">
        <v>6</v>
      </c>
      <c r="B1868" t="inlineStr">
        <is>
          <t>K4-2C</t>
        </is>
      </c>
      <c r="D1868" t="n">
        <v>11.86</v>
      </c>
      <c r="E1868" t="n">
        <v>6344.476</v>
      </c>
      <c r="G1868" t="n">
        <v>45816</v>
      </c>
      <c r="H1868" t="inlineStr">
        <is>
          <t>bb</t>
        </is>
      </c>
      <c r="I1868" t="n">
        <v>6344.476</v>
      </c>
    </row>
    <row r="1869">
      <c r="A1869" t="n">
        <v>7</v>
      </c>
      <c r="B1869" t="inlineStr">
        <is>
          <t>MeOH</t>
        </is>
      </c>
      <c r="H1869" t="inlineStr">
        <is>
          <t>MM-</t>
        </is>
      </c>
    </row>
    <row r="1870">
      <c r="A1870" t="n">
        <v>8</v>
      </c>
      <c r="B1870" t="inlineStr">
        <is>
          <t>K4-4A</t>
        </is>
      </c>
      <c r="D1870" t="n">
        <v>11.88</v>
      </c>
      <c r="E1870" t="n">
        <v>8255.324000000001</v>
      </c>
      <c r="G1870" t="n">
        <v>70.011</v>
      </c>
      <c r="H1870" t="inlineStr">
        <is>
          <t>bb</t>
        </is>
      </c>
      <c r="I1870" t="n">
        <v>8255.324000000001</v>
      </c>
    </row>
    <row r="1871">
      <c r="A1871" t="n">
        <v>9</v>
      </c>
      <c r="B1871" t="inlineStr">
        <is>
          <t>K4-4B</t>
        </is>
      </c>
      <c r="D1871" t="n">
        <v>11.89</v>
      </c>
      <c r="E1871" t="n">
        <v>8700.057000000001</v>
      </c>
      <c r="G1871" t="n">
        <v>811.275</v>
      </c>
      <c r="H1871" t="inlineStr">
        <is>
          <t>bb</t>
        </is>
      </c>
      <c r="I1871" t="n">
        <v>8700.057000000001</v>
      </c>
    </row>
    <row r="1872">
      <c r="A1872" t="n">
        <v>10</v>
      </c>
      <c r="B1872" t="inlineStr">
        <is>
          <t>K4-4C</t>
        </is>
      </c>
      <c r="D1872" t="n">
        <v>11.89</v>
      </c>
      <c r="E1872" t="n">
        <v>8862.481</v>
      </c>
      <c r="G1872" t="n">
        <v>62820</v>
      </c>
      <c r="H1872" t="inlineStr">
        <is>
          <t>bb</t>
        </is>
      </c>
      <c r="I1872" t="n">
        <v>8862.481</v>
      </c>
    </row>
    <row r="1873">
      <c r="A1873" t="n">
        <v>11</v>
      </c>
      <c r="B1873" t="inlineStr">
        <is>
          <t>K4-5A</t>
        </is>
      </c>
      <c r="D1873" t="n">
        <v>11.88</v>
      </c>
      <c r="E1873" t="n">
        <v>7566.267</v>
      </c>
      <c r="G1873" t="n">
        <v>56931</v>
      </c>
      <c r="H1873" t="inlineStr">
        <is>
          <t>bb</t>
        </is>
      </c>
      <c r="I1873" t="n">
        <v>7566.267</v>
      </c>
    </row>
    <row r="1874">
      <c r="A1874" t="n">
        <v>12</v>
      </c>
      <c r="B1874" t="inlineStr">
        <is>
          <t>K4-5B</t>
        </is>
      </c>
      <c r="D1874" t="n">
        <v>11.84</v>
      </c>
      <c r="E1874" t="n">
        <v>7728.61</v>
      </c>
      <c r="G1874" t="n">
        <v>2081.284</v>
      </c>
      <c r="H1874" t="inlineStr">
        <is>
          <t>bb</t>
        </is>
      </c>
      <c r="I1874" t="n">
        <v>7728.61</v>
      </c>
    </row>
    <row r="1875">
      <c r="A1875" t="n">
        <v>13</v>
      </c>
      <c r="B1875" t="inlineStr">
        <is>
          <t>K4-5C</t>
        </is>
      </c>
      <c r="D1875" t="n">
        <v>11.77</v>
      </c>
      <c r="E1875" t="n">
        <v>7892.756</v>
      </c>
      <c r="G1875" t="n">
        <v>4509.818</v>
      </c>
      <c r="H1875" t="inlineStr">
        <is>
          <t>bb</t>
        </is>
      </c>
      <c r="I1875" t="n">
        <v>7892.756</v>
      </c>
    </row>
    <row r="1876">
      <c r="A1876" t="n">
        <v>14</v>
      </c>
      <c r="B1876" t="inlineStr">
        <is>
          <t>MeOH</t>
        </is>
      </c>
      <c r="H1876" t="inlineStr">
        <is>
          <t>MM-</t>
        </is>
      </c>
    </row>
    <row r="1877">
      <c r="A1877" t="n">
        <v>15</v>
      </c>
      <c r="B1877" t="inlineStr">
        <is>
          <t>K3-1A</t>
        </is>
      </c>
      <c r="D1877" t="n">
        <v>11.7</v>
      </c>
      <c r="E1877" t="n">
        <v>9463.556</v>
      </c>
      <c r="G1877" t="n">
        <v>69394</v>
      </c>
      <c r="H1877" t="inlineStr">
        <is>
          <t>bb</t>
        </is>
      </c>
      <c r="I1877" t="n">
        <v>9463.556</v>
      </c>
    </row>
    <row r="1878">
      <c r="A1878" t="n">
        <v>16</v>
      </c>
      <c r="B1878" t="inlineStr">
        <is>
          <t>K3-1B</t>
        </is>
      </c>
      <c r="D1878" t="n">
        <v>11.71</v>
      </c>
      <c r="E1878" t="n">
        <v>8614.062</v>
      </c>
      <c r="G1878" t="n">
        <v>234.42</v>
      </c>
      <c r="H1878" t="inlineStr">
        <is>
          <t>bb</t>
        </is>
      </c>
      <c r="I1878" t="n">
        <v>8614.062</v>
      </c>
    </row>
    <row r="1879">
      <c r="A1879" t="n">
        <v>17</v>
      </c>
      <c r="B1879" t="inlineStr">
        <is>
          <t>K3-1C</t>
        </is>
      </c>
      <c r="D1879" t="n">
        <v>11.77</v>
      </c>
      <c r="E1879" t="n">
        <v>10580.468</v>
      </c>
      <c r="G1879" t="n">
        <v>214.932</v>
      </c>
      <c r="H1879" t="inlineStr">
        <is>
          <t>bb</t>
        </is>
      </c>
      <c r="I1879" t="n">
        <v>10580.468</v>
      </c>
    </row>
    <row r="1880">
      <c r="A1880" t="n">
        <v>18</v>
      </c>
      <c r="B1880" t="inlineStr">
        <is>
          <t>K3-2A</t>
        </is>
      </c>
      <c r="D1880" t="n">
        <v>11.79</v>
      </c>
      <c r="E1880" t="n">
        <v>10118.425</v>
      </c>
      <c r="G1880" t="n">
        <v>72254</v>
      </c>
      <c r="H1880" t="inlineStr">
        <is>
          <t>bb</t>
        </is>
      </c>
      <c r="I1880" t="n">
        <v>10118.425</v>
      </c>
    </row>
    <row r="1881">
      <c r="A1881" t="n">
        <v>19</v>
      </c>
      <c r="B1881" t="inlineStr">
        <is>
          <t>K3-2B</t>
        </is>
      </c>
      <c r="D1881" t="n">
        <v>11.78</v>
      </c>
      <c r="E1881" t="n">
        <v>11670.299</v>
      </c>
      <c r="G1881" t="n">
        <v>88487</v>
      </c>
      <c r="H1881" t="inlineStr">
        <is>
          <t>bb</t>
        </is>
      </c>
      <c r="I1881" t="n">
        <v>11670.299</v>
      </c>
    </row>
    <row r="1882">
      <c r="A1882" t="n">
        <v>20</v>
      </c>
      <c r="B1882" t="inlineStr">
        <is>
          <t>K3-2C</t>
        </is>
      </c>
      <c r="D1882" t="n">
        <v>11.78</v>
      </c>
      <c r="E1882" t="n">
        <v>10063.434</v>
      </c>
      <c r="G1882" t="n">
        <v>2044.976</v>
      </c>
      <c r="H1882" t="inlineStr">
        <is>
          <t>bb</t>
        </is>
      </c>
      <c r="I1882" t="n">
        <v>10063.434</v>
      </c>
    </row>
    <row r="1883">
      <c r="A1883" t="n">
        <v>21</v>
      </c>
      <c r="B1883" t="inlineStr">
        <is>
          <t>MeOH</t>
        </is>
      </c>
      <c r="H1883" t="inlineStr">
        <is>
          <t>MM-</t>
        </is>
      </c>
    </row>
    <row r="1884">
      <c r="A1884" t="n">
        <v>22</v>
      </c>
      <c r="B1884" t="inlineStr">
        <is>
          <t>K3-3A</t>
        </is>
      </c>
      <c r="D1884" t="n">
        <v>11.81</v>
      </c>
      <c r="E1884" t="n">
        <v>9698.305</v>
      </c>
      <c r="G1884" t="n">
        <v>72348</v>
      </c>
      <c r="H1884" t="inlineStr">
        <is>
          <t>bb</t>
        </is>
      </c>
      <c r="I1884" t="n">
        <v>9698.305</v>
      </c>
    </row>
    <row r="1885">
      <c r="A1885" t="n">
        <v>23</v>
      </c>
      <c r="B1885" t="inlineStr">
        <is>
          <t>K3-3B</t>
        </is>
      </c>
      <c r="D1885" t="n">
        <v>11.84</v>
      </c>
      <c r="E1885" t="n">
        <v>11153.47</v>
      </c>
      <c r="G1885" t="n">
        <v>174.259</v>
      </c>
      <c r="H1885" t="inlineStr">
        <is>
          <t>bb</t>
        </is>
      </c>
      <c r="I1885" t="n">
        <v>11153.47</v>
      </c>
    </row>
    <row r="1886">
      <c r="A1886" t="n">
        <v>24</v>
      </c>
      <c r="B1886" t="inlineStr">
        <is>
          <t>K3-3C</t>
        </is>
      </c>
      <c r="D1886" t="n">
        <v>11.82</v>
      </c>
      <c r="E1886" t="n">
        <v>13110.222</v>
      </c>
      <c r="G1886" t="n">
        <v>120.799</v>
      </c>
      <c r="H1886" t="inlineStr">
        <is>
          <t>bb</t>
        </is>
      </c>
      <c r="I1886" t="n">
        <v>13110.222</v>
      </c>
    </row>
    <row r="1887">
      <c r="A1887" t="n">
        <v>25</v>
      </c>
      <c r="B1887" t="inlineStr">
        <is>
          <t>K3-4A</t>
        </is>
      </c>
      <c r="D1887" t="n">
        <v>11.89</v>
      </c>
      <c r="E1887" t="n">
        <v>13316.729</v>
      </c>
      <c r="G1887" t="n">
        <v>385.868</v>
      </c>
      <c r="H1887" t="inlineStr">
        <is>
          <t>bb</t>
        </is>
      </c>
      <c r="I1887" t="n">
        <v>13316.729</v>
      </c>
    </row>
    <row r="1888">
      <c r="A1888" t="n">
        <v>26</v>
      </c>
      <c r="B1888" t="inlineStr">
        <is>
          <t>K3-4B</t>
        </is>
      </c>
      <c r="D1888" t="n">
        <v>11.86</v>
      </c>
      <c r="E1888" t="n">
        <v>13406.583</v>
      </c>
      <c r="G1888" t="n">
        <v>2370.719</v>
      </c>
      <c r="H1888" t="inlineStr">
        <is>
          <t>bb</t>
        </is>
      </c>
      <c r="I1888" t="n">
        <v>13406.583</v>
      </c>
    </row>
    <row r="1889">
      <c r="A1889" t="n">
        <v>27</v>
      </c>
      <c r="B1889" t="inlineStr">
        <is>
          <t>K3-4C</t>
        </is>
      </c>
      <c r="D1889" t="n">
        <v>11.91</v>
      </c>
      <c r="E1889" t="n">
        <v>15237.138</v>
      </c>
      <c r="G1889" t="n">
        <v>19724.692</v>
      </c>
      <c r="H1889" t="inlineStr">
        <is>
          <t>bb</t>
        </is>
      </c>
      <c r="I1889" t="n">
        <v>15237.138</v>
      </c>
    </row>
    <row r="1890">
      <c r="A1890" t="n">
        <v>28</v>
      </c>
      <c r="B1890" t="inlineStr">
        <is>
          <t>MeOH</t>
        </is>
      </c>
    </row>
    <row r="1891">
      <c r="A1891" t="n">
        <v>29</v>
      </c>
      <c r="B1891" t="inlineStr">
        <is>
          <t>K3-6A</t>
        </is>
      </c>
      <c r="D1891" t="n">
        <v>11.92</v>
      </c>
      <c r="E1891" t="n">
        <v>12951.722</v>
      </c>
      <c r="G1891" t="n">
        <v>156.619</v>
      </c>
      <c r="H1891" t="inlineStr">
        <is>
          <t>bb</t>
        </is>
      </c>
      <c r="I1891" t="n">
        <v>12951.722</v>
      </c>
    </row>
    <row r="1892">
      <c r="A1892" t="n">
        <v>30</v>
      </c>
      <c r="B1892" t="inlineStr">
        <is>
          <t>K3-6B</t>
        </is>
      </c>
      <c r="D1892" t="n">
        <v>11.89</v>
      </c>
      <c r="E1892" t="n">
        <v>12128.479</v>
      </c>
      <c r="G1892" t="n">
        <v>227.325</v>
      </c>
      <c r="H1892" t="inlineStr">
        <is>
          <t>bb</t>
        </is>
      </c>
      <c r="I1892" t="n">
        <v>12128.479</v>
      </c>
    </row>
    <row r="1893">
      <c r="A1893" t="n">
        <v>31</v>
      </c>
      <c r="B1893" t="inlineStr">
        <is>
          <t>K3-6C</t>
        </is>
      </c>
      <c r="D1893" t="n">
        <v>11.89</v>
      </c>
      <c r="E1893" t="n">
        <v>10764.568</v>
      </c>
      <c r="G1893" t="n">
        <v>169.792</v>
      </c>
      <c r="H1893" t="inlineStr">
        <is>
          <t>bb</t>
        </is>
      </c>
      <c r="I1893" t="n">
        <v>10764.568</v>
      </c>
    </row>
    <row r="1895">
      <c r="A1895" t="inlineStr">
        <is>
          <t>Compound 55:  m2 6:2 FTS 2</t>
        </is>
      </c>
    </row>
    <row r="1897">
      <c r="B1897" t="inlineStr">
        <is>
          <t>Sample Text</t>
        </is>
      </c>
      <c r="C1897" t="inlineStr">
        <is>
          <t>Std. Conc</t>
        </is>
      </c>
      <c r="D1897" t="inlineStr">
        <is>
          <t>RT</t>
        </is>
      </c>
      <c r="E1897" t="inlineStr">
        <is>
          <t>Area</t>
        </is>
      </c>
      <c r="F1897" t="inlineStr">
        <is>
          <t>IS Area</t>
        </is>
      </c>
      <c r="G1897" t="inlineStr">
        <is>
          <t>S/N</t>
        </is>
      </c>
      <c r="H1897" t="inlineStr">
        <is>
          <t>Primary Flags</t>
        </is>
      </c>
      <c r="I1897" t="inlineStr">
        <is>
          <t>Response</t>
        </is>
      </c>
      <c r="J1897" t="inlineStr">
        <is>
          <t>Conc.</t>
        </is>
      </c>
    </row>
    <row r="1898">
      <c r="A1898" t="n">
        <v>1</v>
      </c>
      <c r="B1898" t="inlineStr">
        <is>
          <t>K4-1A</t>
        </is>
      </c>
      <c r="D1898" t="n">
        <v>11.83</v>
      </c>
      <c r="E1898" t="n">
        <v>2594.208</v>
      </c>
      <c r="G1898" t="n">
        <v>18253</v>
      </c>
      <c r="H1898" t="inlineStr">
        <is>
          <t>bb</t>
        </is>
      </c>
      <c r="I1898" t="n">
        <v>2594.208</v>
      </c>
    </row>
    <row r="1899">
      <c r="A1899" t="n">
        <v>2</v>
      </c>
      <c r="B1899" t="inlineStr">
        <is>
          <t>K4-1B</t>
        </is>
      </c>
      <c r="D1899" t="n">
        <v>11.85</v>
      </c>
      <c r="E1899" t="n">
        <v>2325.534</v>
      </c>
      <c r="G1899" t="n">
        <v>16396</v>
      </c>
      <c r="H1899" t="inlineStr">
        <is>
          <t>bb</t>
        </is>
      </c>
      <c r="I1899" t="n">
        <v>2325.534</v>
      </c>
    </row>
    <row r="1900">
      <c r="A1900" t="n">
        <v>3</v>
      </c>
      <c r="B1900" t="inlineStr">
        <is>
          <t>K4-1C</t>
        </is>
      </c>
      <c r="D1900" t="n">
        <v>11.85</v>
      </c>
      <c r="E1900" t="n">
        <v>2323.127</v>
      </c>
      <c r="G1900" t="n">
        <v>16835</v>
      </c>
      <c r="H1900" t="inlineStr">
        <is>
          <t>bb</t>
        </is>
      </c>
      <c r="I1900" t="n">
        <v>2323.127</v>
      </c>
    </row>
    <row r="1901">
      <c r="A1901" t="n">
        <v>4</v>
      </c>
      <c r="B1901" t="inlineStr">
        <is>
          <t>K4-2A</t>
        </is>
      </c>
      <c r="D1901" t="n">
        <v>11.86</v>
      </c>
      <c r="E1901" t="n">
        <v>2427.069</v>
      </c>
      <c r="G1901" t="n">
        <v>269.953</v>
      </c>
      <c r="H1901" t="inlineStr">
        <is>
          <t>bb</t>
        </is>
      </c>
      <c r="I1901" t="n">
        <v>2427.069</v>
      </c>
    </row>
    <row r="1902">
      <c r="A1902" t="n">
        <v>5</v>
      </c>
      <c r="B1902" t="inlineStr">
        <is>
          <t>K4-2B</t>
        </is>
      </c>
      <c r="D1902" t="n">
        <v>11.87</v>
      </c>
      <c r="E1902" t="n">
        <v>2478.638</v>
      </c>
      <c r="G1902" t="n">
        <v>87.355</v>
      </c>
      <c r="H1902" t="inlineStr">
        <is>
          <t>bb</t>
        </is>
      </c>
      <c r="I1902" t="n">
        <v>2478.638</v>
      </c>
    </row>
    <row r="1903">
      <c r="A1903" t="n">
        <v>6</v>
      </c>
      <c r="B1903" t="inlineStr">
        <is>
          <t>K4-2C</t>
        </is>
      </c>
      <c r="D1903" t="n">
        <v>11.88</v>
      </c>
      <c r="E1903" t="n">
        <v>1768.036</v>
      </c>
      <c r="G1903" t="n">
        <v>12721</v>
      </c>
      <c r="H1903" t="inlineStr">
        <is>
          <t>bb</t>
        </is>
      </c>
      <c r="I1903" t="n">
        <v>1768.036</v>
      </c>
    </row>
    <row r="1904">
      <c r="A1904" t="n">
        <v>7</v>
      </c>
      <c r="B1904" t="inlineStr">
        <is>
          <t>MeOH</t>
        </is>
      </c>
    </row>
    <row r="1905">
      <c r="A1905" t="n">
        <v>8</v>
      </c>
      <c r="B1905" t="inlineStr">
        <is>
          <t>K4-4A</t>
        </is>
      </c>
      <c r="D1905" t="n">
        <v>11.89</v>
      </c>
      <c r="E1905" t="n">
        <v>2907.558</v>
      </c>
      <c r="G1905" t="n">
        <v>553.753</v>
      </c>
      <c r="H1905" t="inlineStr">
        <is>
          <t>bb</t>
        </is>
      </c>
      <c r="I1905" t="n">
        <v>2907.558</v>
      </c>
    </row>
    <row r="1906">
      <c r="A1906" t="n">
        <v>9</v>
      </c>
      <c r="B1906" t="inlineStr">
        <is>
          <t>K4-4B</t>
        </is>
      </c>
      <c r="D1906" t="n">
        <v>11.89</v>
      </c>
      <c r="E1906" t="n">
        <v>2190.156</v>
      </c>
      <c r="G1906" t="n">
        <v>4240.97</v>
      </c>
      <c r="H1906" t="inlineStr">
        <is>
          <t>bb</t>
        </is>
      </c>
      <c r="I1906" t="n">
        <v>2190.156</v>
      </c>
    </row>
    <row r="1907">
      <c r="A1907" t="n">
        <v>10</v>
      </c>
      <c r="B1907" t="inlineStr">
        <is>
          <t>K4-4C</t>
        </is>
      </c>
      <c r="D1907" t="n">
        <v>11.89</v>
      </c>
      <c r="E1907" t="n">
        <v>2647.626</v>
      </c>
      <c r="G1907" t="n">
        <v>241.259</v>
      </c>
      <c r="H1907" t="inlineStr">
        <is>
          <t>bb</t>
        </is>
      </c>
      <c r="I1907" t="n">
        <v>2647.626</v>
      </c>
    </row>
    <row r="1908">
      <c r="A1908" t="n">
        <v>11</v>
      </c>
      <c r="B1908" t="inlineStr">
        <is>
          <t>K4-5A</t>
        </is>
      </c>
      <c r="D1908" t="n">
        <v>11.88</v>
      </c>
      <c r="E1908" t="n">
        <v>2007.725</v>
      </c>
      <c r="G1908" t="n">
        <v>14.111</v>
      </c>
      <c r="H1908" t="inlineStr">
        <is>
          <t>bb</t>
        </is>
      </c>
      <c r="I1908" t="n">
        <v>2007.725</v>
      </c>
    </row>
    <row r="1909">
      <c r="A1909" t="n">
        <v>12</v>
      </c>
      <c r="B1909" t="inlineStr">
        <is>
          <t>K4-5B</t>
        </is>
      </c>
      <c r="D1909" t="n">
        <v>11.84</v>
      </c>
      <c r="E1909" t="n">
        <v>2771.003</v>
      </c>
      <c r="G1909" t="n">
        <v>20247</v>
      </c>
      <c r="H1909" t="inlineStr">
        <is>
          <t>bb</t>
        </is>
      </c>
      <c r="I1909" t="n">
        <v>2771.003</v>
      </c>
    </row>
    <row r="1910">
      <c r="A1910" t="n">
        <v>13</v>
      </c>
      <c r="B1910" t="inlineStr">
        <is>
          <t>K4-5C</t>
        </is>
      </c>
      <c r="D1910" t="n">
        <v>11.77</v>
      </c>
      <c r="E1910" t="n">
        <v>2127.329</v>
      </c>
      <c r="G1910" t="n">
        <v>16929</v>
      </c>
      <c r="H1910" t="inlineStr">
        <is>
          <t>bb</t>
        </is>
      </c>
      <c r="I1910" t="n">
        <v>2127.329</v>
      </c>
    </row>
    <row r="1911">
      <c r="A1911" t="n">
        <v>14</v>
      </c>
      <c r="B1911" t="inlineStr">
        <is>
          <t>MeOH</t>
        </is>
      </c>
    </row>
    <row r="1912">
      <c r="A1912" t="n">
        <v>15</v>
      </c>
      <c r="B1912" t="inlineStr">
        <is>
          <t>K3-1A</t>
        </is>
      </c>
      <c r="D1912" t="n">
        <v>11.68</v>
      </c>
      <c r="E1912" t="n">
        <v>2579.163</v>
      </c>
      <c r="G1912" t="n">
        <v>20367</v>
      </c>
      <c r="H1912" t="inlineStr">
        <is>
          <t>bb</t>
        </is>
      </c>
      <c r="I1912" t="n">
        <v>2579.163</v>
      </c>
    </row>
    <row r="1913">
      <c r="A1913" t="n">
        <v>16</v>
      </c>
      <c r="B1913" t="inlineStr">
        <is>
          <t>K3-1B</t>
        </is>
      </c>
      <c r="D1913" t="n">
        <v>11.71</v>
      </c>
      <c r="E1913" t="n">
        <v>2657.656</v>
      </c>
      <c r="G1913" t="n">
        <v>79.16500000000001</v>
      </c>
      <c r="H1913" t="inlineStr">
        <is>
          <t>bb</t>
        </is>
      </c>
      <c r="I1913" t="n">
        <v>2657.656</v>
      </c>
    </row>
    <row r="1914">
      <c r="A1914" t="n">
        <v>17</v>
      </c>
      <c r="B1914" t="inlineStr">
        <is>
          <t>K3-1C</t>
        </is>
      </c>
      <c r="D1914" t="n">
        <v>11.77</v>
      </c>
      <c r="E1914" t="n">
        <v>3186.227</v>
      </c>
      <c r="G1914" t="n">
        <v>21.571</v>
      </c>
      <c r="H1914" t="inlineStr">
        <is>
          <t>bb</t>
        </is>
      </c>
      <c r="I1914" t="n">
        <v>3186.227</v>
      </c>
    </row>
    <row r="1915">
      <c r="A1915" t="n">
        <v>18</v>
      </c>
      <c r="B1915" t="inlineStr">
        <is>
          <t>K3-2A</t>
        </is>
      </c>
      <c r="D1915" t="n">
        <v>11.79</v>
      </c>
      <c r="E1915" t="n">
        <v>3605.115</v>
      </c>
      <c r="G1915" t="n">
        <v>26444</v>
      </c>
      <c r="H1915" t="inlineStr">
        <is>
          <t>bb</t>
        </is>
      </c>
      <c r="I1915" t="n">
        <v>3605.115</v>
      </c>
    </row>
    <row r="1916">
      <c r="A1916" t="n">
        <v>19</v>
      </c>
      <c r="B1916" t="inlineStr">
        <is>
          <t>K3-2B</t>
        </is>
      </c>
      <c r="D1916" t="n">
        <v>11.78</v>
      </c>
      <c r="E1916" t="n">
        <v>4129.621</v>
      </c>
      <c r="G1916" t="n">
        <v>60.489</v>
      </c>
      <c r="H1916" t="inlineStr">
        <is>
          <t>bb</t>
        </is>
      </c>
      <c r="I1916" t="n">
        <v>4129.621</v>
      </c>
    </row>
    <row r="1917">
      <c r="A1917" t="n">
        <v>20</v>
      </c>
      <c r="B1917" t="inlineStr">
        <is>
          <t>K3-2C</t>
        </is>
      </c>
      <c r="D1917" t="n">
        <v>11.78</v>
      </c>
      <c r="E1917" t="n">
        <v>2565.483</v>
      </c>
      <c r="G1917" t="n">
        <v>104.544</v>
      </c>
      <c r="H1917" t="inlineStr">
        <is>
          <t>bb</t>
        </is>
      </c>
      <c r="I1917" t="n">
        <v>2565.483</v>
      </c>
    </row>
    <row r="1918">
      <c r="A1918" t="n">
        <v>21</v>
      </c>
      <c r="B1918" t="inlineStr">
        <is>
          <t>MeOH</t>
        </is>
      </c>
    </row>
    <row r="1919">
      <c r="A1919" t="n">
        <v>22</v>
      </c>
      <c r="B1919" t="inlineStr">
        <is>
          <t>K3-3A</t>
        </is>
      </c>
      <c r="D1919" t="n">
        <v>11.81</v>
      </c>
      <c r="E1919" t="n">
        <v>2795.093</v>
      </c>
      <c r="G1919" t="n">
        <v>20055</v>
      </c>
      <c r="H1919" t="inlineStr">
        <is>
          <t>bb</t>
        </is>
      </c>
      <c r="I1919" t="n">
        <v>2795.093</v>
      </c>
    </row>
    <row r="1920">
      <c r="A1920" t="n">
        <v>23</v>
      </c>
      <c r="B1920" t="inlineStr">
        <is>
          <t>K3-3B</t>
        </is>
      </c>
      <c r="D1920" t="n">
        <v>11.84</v>
      </c>
      <c r="E1920" t="n">
        <v>3635.694</v>
      </c>
      <c r="G1920" t="n">
        <v>26072</v>
      </c>
      <c r="H1920" t="inlineStr">
        <is>
          <t>bb</t>
        </is>
      </c>
      <c r="I1920" t="n">
        <v>3635.694</v>
      </c>
    </row>
    <row r="1921">
      <c r="A1921" t="n">
        <v>24</v>
      </c>
      <c r="B1921" t="inlineStr">
        <is>
          <t>K3-3C</t>
        </is>
      </c>
      <c r="D1921" t="n">
        <v>11.82</v>
      </c>
      <c r="E1921" t="n">
        <v>3811.831</v>
      </c>
      <c r="G1921" t="n">
        <v>320.187</v>
      </c>
      <c r="H1921" t="inlineStr">
        <is>
          <t>bb</t>
        </is>
      </c>
      <c r="I1921" t="n">
        <v>3811.831</v>
      </c>
    </row>
    <row r="1922">
      <c r="A1922" t="n">
        <v>25</v>
      </c>
      <c r="B1922" t="inlineStr">
        <is>
          <t>K3-4A</t>
        </is>
      </c>
      <c r="D1922" t="n">
        <v>11.91</v>
      </c>
      <c r="E1922" t="n">
        <v>4106.951</v>
      </c>
      <c r="G1922" t="n">
        <v>29430</v>
      </c>
      <c r="H1922" t="inlineStr">
        <is>
          <t>bb</t>
        </is>
      </c>
      <c r="I1922" t="n">
        <v>4106.951</v>
      </c>
    </row>
    <row r="1923">
      <c r="A1923" t="n">
        <v>26</v>
      </c>
      <c r="B1923" t="inlineStr">
        <is>
          <t>K3-4B</t>
        </is>
      </c>
      <c r="D1923" t="n">
        <v>11.86</v>
      </c>
      <c r="E1923" t="n">
        <v>4488.239</v>
      </c>
      <c r="G1923" t="n">
        <v>34139</v>
      </c>
      <c r="H1923" t="inlineStr">
        <is>
          <t>bb</t>
        </is>
      </c>
      <c r="I1923" t="n">
        <v>4488.239</v>
      </c>
    </row>
    <row r="1924">
      <c r="A1924" t="n">
        <v>27</v>
      </c>
      <c r="B1924" t="inlineStr">
        <is>
          <t>K3-4C</t>
        </is>
      </c>
      <c r="D1924" t="n">
        <v>11.91</v>
      </c>
      <c r="E1924" t="n">
        <v>4199.208</v>
      </c>
      <c r="G1924" t="n">
        <v>30837</v>
      </c>
      <c r="H1924" t="inlineStr">
        <is>
          <t>bb</t>
        </is>
      </c>
      <c r="I1924" t="n">
        <v>4199.208</v>
      </c>
    </row>
    <row r="1925">
      <c r="A1925" t="n">
        <v>28</v>
      </c>
      <c r="B1925" t="inlineStr">
        <is>
          <t>MeOH</t>
        </is>
      </c>
      <c r="H1925" t="inlineStr">
        <is>
          <t>MM-</t>
        </is>
      </c>
    </row>
    <row r="1926">
      <c r="A1926" t="n">
        <v>29</v>
      </c>
      <c r="B1926" t="inlineStr">
        <is>
          <t>K3-6A</t>
        </is>
      </c>
      <c r="D1926" t="n">
        <v>11.92</v>
      </c>
      <c r="E1926" t="n">
        <v>3567.022</v>
      </c>
      <c r="G1926" t="n">
        <v>360.604</v>
      </c>
      <c r="H1926" t="inlineStr">
        <is>
          <t>bb</t>
        </is>
      </c>
      <c r="I1926" t="n">
        <v>3567.022</v>
      </c>
    </row>
    <row r="1927">
      <c r="A1927" t="n">
        <v>30</v>
      </c>
      <c r="B1927" t="inlineStr">
        <is>
          <t>K3-6B</t>
        </is>
      </c>
      <c r="D1927" t="n">
        <v>11.89</v>
      </c>
      <c r="E1927" t="n">
        <v>2942.227</v>
      </c>
      <c r="G1927" t="n">
        <v>39.994</v>
      </c>
      <c r="H1927" t="inlineStr">
        <is>
          <t>bb</t>
        </is>
      </c>
      <c r="I1927" t="n">
        <v>2942.227</v>
      </c>
    </row>
    <row r="1928">
      <c r="A1928" t="n">
        <v>31</v>
      </c>
      <c r="B1928" t="inlineStr">
        <is>
          <t>K3-6C</t>
        </is>
      </c>
      <c r="D1928" t="n">
        <v>11.91</v>
      </c>
      <c r="E1928" t="n">
        <v>3338.656</v>
      </c>
      <c r="G1928" t="n">
        <v>109.774</v>
      </c>
      <c r="H1928" t="inlineStr">
        <is>
          <t>bb</t>
        </is>
      </c>
      <c r="I1928" t="n">
        <v>3338.656</v>
      </c>
    </row>
    <row r="1930">
      <c r="A1930" t="inlineStr">
        <is>
          <t>Compound 56:  7:3 FTCA 1</t>
        </is>
      </c>
    </row>
    <row r="1932">
      <c r="B1932" t="inlineStr">
        <is>
          <t>Sample Text</t>
        </is>
      </c>
      <c r="C1932" t="inlineStr">
        <is>
          <t>Std. Conc</t>
        </is>
      </c>
      <c r="D1932" t="inlineStr">
        <is>
          <t>RT</t>
        </is>
      </c>
      <c r="E1932" t="inlineStr">
        <is>
          <t>Area</t>
        </is>
      </c>
      <c r="F1932" t="inlineStr">
        <is>
          <t>IS Area</t>
        </is>
      </c>
      <c r="G1932" t="inlineStr">
        <is>
          <t>S/N</t>
        </is>
      </c>
      <c r="H1932" t="inlineStr">
        <is>
          <t>Primary Flags</t>
        </is>
      </c>
      <c r="I1932" t="inlineStr">
        <is>
          <t>Response</t>
        </is>
      </c>
      <c r="J1932" t="inlineStr">
        <is>
          <t>Conc.</t>
        </is>
      </c>
    </row>
    <row r="1933">
      <c r="A1933" t="n">
        <v>1</v>
      </c>
      <c r="B1933" t="inlineStr">
        <is>
          <t>K4-1A</t>
        </is>
      </c>
      <c r="D1933" t="n">
        <v>13.32</v>
      </c>
      <c r="E1933" t="n">
        <v>167.659</v>
      </c>
      <c r="F1933" t="n">
        <v>293.287</v>
      </c>
      <c r="G1933" t="n">
        <v>1155</v>
      </c>
      <c r="H1933" t="inlineStr">
        <is>
          <t>MM</t>
        </is>
      </c>
    </row>
    <row r="1934">
      <c r="A1934" t="n">
        <v>2</v>
      </c>
      <c r="B1934" t="inlineStr">
        <is>
          <t>K4-1B</t>
        </is>
      </c>
      <c r="F1934" t="n">
        <v>121.913</v>
      </c>
    </row>
    <row r="1935">
      <c r="A1935" t="n">
        <v>3</v>
      </c>
      <c r="B1935" t="inlineStr">
        <is>
          <t>K4-1C</t>
        </is>
      </c>
      <c r="D1935" t="n">
        <v>13.32</v>
      </c>
      <c r="E1935" t="n">
        <v>81.762</v>
      </c>
      <c r="F1935" t="n">
        <v>278.029</v>
      </c>
      <c r="G1935" t="n">
        <v>35.307</v>
      </c>
      <c r="H1935" t="inlineStr">
        <is>
          <t>bb</t>
        </is>
      </c>
    </row>
    <row r="1936">
      <c r="A1936" t="n">
        <v>4</v>
      </c>
      <c r="B1936" t="inlineStr">
        <is>
          <t>K4-2A</t>
        </is>
      </c>
      <c r="D1936" t="n">
        <v>13.34</v>
      </c>
      <c r="E1936" t="n">
        <v>13.068</v>
      </c>
      <c r="F1936" t="n">
        <v>80.721</v>
      </c>
      <c r="G1936" t="n">
        <v>110</v>
      </c>
      <c r="H1936" t="inlineStr">
        <is>
          <t>bb</t>
        </is>
      </c>
    </row>
    <row r="1937">
      <c r="A1937" t="n">
        <v>5</v>
      </c>
      <c r="B1937" t="inlineStr">
        <is>
          <t>K4-2B</t>
        </is>
      </c>
      <c r="F1937" t="n">
        <v>1.117</v>
      </c>
    </row>
    <row r="1938">
      <c r="A1938" t="n">
        <v>6</v>
      </c>
      <c r="B1938" t="inlineStr">
        <is>
          <t>K4-2C</t>
        </is>
      </c>
      <c r="D1938" t="n">
        <v>13.34</v>
      </c>
      <c r="E1938" t="n">
        <v>16.898</v>
      </c>
      <c r="F1938" t="n">
        <v>64.84699999999999</v>
      </c>
      <c r="G1938" t="n">
        <v>135</v>
      </c>
      <c r="H1938" t="inlineStr">
        <is>
          <t>bb</t>
        </is>
      </c>
    </row>
    <row r="1939">
      <c r="A1939" t="n">
        <v>7</v>
      </c>
      <c r="B1939" t="inlineStr">
        <is>
          <t>MeOH</t>
        </is>
      </c>
      <c r="H1939" t="inlineStr">
        <is>
          <t>MM-</t>
        </is>
      </c>
    </row>
    <row r="1940">
      <c r="A1940" t="n">
        <v>8</v>
      </c>
      <c r="B1940" t="inlineStr">
        <is>
          <t>K4-4A</t>
        </is>
      </c>
      <c r="F1940" t="n">
        <v>92.72199999999999</v>
      </c>
    </row>
    <row r="1941">
      <c r="A1941" t="n">
        <v>9</v>
      </c>
      <c r="B1941" t="inlineStr">
        <is>
          <t>K4-4B</t>
        </is>
      </c>
      <c r="F1941" t="n">
        <v>96.197</v>
      </c>
    </row>
    <row r="1942">
      <c r="A1942" t="n">
        <v>10</v>
      </c>
      <c r="B1942" t="inlineStr">
        <is>
          <t>K4-4C</t>
        </is>
      </c>
      <c r="D1942" t="n">
        <v>13.02</v>
      </c>
      <c r="E1942" t="n">
        <v>1.665</v>
      </c>
      <c r="F1942" t="n">
        <v>122.295</v>
      </c>
      <c r="G1942" t="n">
        <v>16</v>
      </c>
      <c r="H1942" t="inlineStr">
        <is>
          <t>bb</t>
        </is>
      </c>
    </row>
    <row r="1943">
      <c r="A1943" t="n">
        <v>11</v>
      </c>
      <c r="B1943" t="inlineStr">
        <is>
          <t>K4-5A</t>
        </is>
      </c>
      <c r="F1943" t="n">
        <v>195.191</v>
      </c>
    </row>
    <row r="1944">
      <c r="A1944" t="n">
        <v>12</v>
      </c>
      <c r="B1944" t="inlineStr">
        <is>
          <t>K4-5B</t>
        </is>
      </c>
      <c r="D1944" t="n">
        <v>13.31</v>
      </c>
      <c r="E1944" t="n">
        <v>69.748</v>
      </c>
      <c r="F1944" t="n">
        <v>113.956</v>
      </c>
      <c r="G1944" t="n">
        <v>575</v>
      </c>
      <c r="H1944" t="inlineStr">
        <is>
          <t>bb</t>
        </is>
      </c>
    </row>
    <row r="1945">
      <c r="A1945" t="n">
        <v>13</v>
      </c>
      <c r="B1945" t="inlineStr">
        <is>
          <t>K4-5C</t>
        </is>
      </c>
      <c r="F1945" t="n">
        <v>84.712</v>
      </c>
    </row>
    <row r="1946">
      <c r="A1946" t="n">
        <v>14</v>
      </c>
      <c r="B1946" t="inlineStr">
        <is>
          <t>MeOH</t>
        </is>
      </c>
      <c r="H1946" t="inlineStr">
        <is>
          <t>MM-</t>
        </is>
      </c>
    </row>
    <row r="1947">
      <c r="A1947" t="n">
        <v>15</v>
      </c>
      <c r="B1947" t="inlineStr">
        <is>
          <t>K3-1A</t>
        </is>
      </c>
      <c r="D1947" t="n">
        <v>13.34</v>
      </c>
      <c r="E1947" t="n">
        <v>18.681</v>
      </c>
      <c r="F1947" t="n">
        <v>8.545999999999999</v>
      </c>
      <c r="G1947" t="n">
        <v>150</v>
      </c>
      <c r="H1947" t="inlineStr">
        <is>
          <t>bb</t>
        </is>
      </c>
    </row>
    <row r="1948">
      <c r="A1948" t="n">
        <v>16</v>
      </c>
      <c r="B1948" t="inlineStr">
        <is>
          <t>K3-1B</t>
        </is>
      </c>
      <c r="F1948" t="n">
        <v>51.544</v>
      </c>
    </row>
    <row r="1949">
      <c r="A1949" t="n">
        <v>17</v>
      </c>
      <c r="B1949" t="inlineStr">
        <is>
          <t>K3-1C</t>
        </is>
      </c>
      <c r="F1949" t="n">
        <v>205.27</v>
      </c>
    </row>
    <row r="1950">
      <c r="A1950" t="n">
        <v>18</v>
      </c>
      <c r="B1950" t="inlineStr">
        <is>
          <t>K3-2A</t>
        </is>
      </c>
      <c r="F1950" t="n">
        <v>175.825</v>
      </c>
    </row>
    <row r="1951">
      <c r="A1951" t="n">
        <v>19</v>
      </c>
      <c r="B1951" t="inlineStr">
        <is>
          <t>K3-2B</t>
        </is>
      </c>
      <c r="F1951" t="n">
        <v>73.20399999999999</v>
      </c>
    </row>
    <row r="1952">
      <c r="A1952" t="n">
        <v>20</v>
      </c>
      <c r="B1952" t="inlineStr">
        <is>
          <t>K3-2C</t>
        </is>
      </c>
      <c r="F1952" t="n">
        <v>179.966</v>
      </c>
    </row>
    <row r="1953">
      <c r="A1953" t="n">
        <v>21</v>
      </c>
      <c r="B1953" t="inlineStr">
        <is>
          <t>MeOH</t>
        </is>
      </c>
      <c r="H1953" t="inlineStr">
        <is>
          <t>MM-</t>
        </is>
      </c>
    </row>
    <row r="1954">
      <c r="A1954" t="n">
        <v>22</v>
      </c>
      <c r="B1954" t="inlineStr">
        <is>
          <t>K3-3A</t>
        </is>
      </c>
      <c r="D1954" t="n">
        <v>12.97</v>
      </c>
      <c r="E1954" t="n">
        <v>0.786</v>
      </c>
      <c r="F1954" t="n">
        <v>243.206</v>
      </c>
      <c r="G1954" t="n">
        <v>7</v>
      </c>
      <c r="H1954" t="inlineStr">
        <is>
          <t>bb</t>
        </is>
      </c>
    </row>
    <row r="1955">
      <c r="A1955" t="n">
        <v>23</v>
      </c>
      <c r="B1955" t="inlineStr">
        <is>
          <t>K3-3B</t>
        </is>
      </c>
      <c r="F1955" t="n">
        <v>281.241</v>
      </c>
    </row>
    <row r="1956">
      <c r="A1956" t="n">
        <v>24</v>
      </c>
      <c r="B1956" t="inlineStr">
        <is>
          <t>K3-3C</t>
        </is>
      </c>
      <c r="D1956" t="n">
        <v>13.66</v>
      </c>
      <c r="E1956" t="n">
        <v>5.61</v>
      </c>
      <c r="F1956" t="n">
        <v>124.019</v>
      </c>
      <c r="G1956" t="n">
        <v>56</v>
      </c>
      <c r="H1956" t="inlineStr">
        <is>
          <t>bb</t>
        </is>
      </c>
    </row>
    <row r="1957">
      <c r="A1957" t="n">
        <v>25</v>
      </c>
      <c r="B1957" t="inlineStr">
        <is>
          <t>K3-4A</t>
        </is>
      </c>
      <c r="F1957" t="n">
        <v>159.038</v>
      </c>
    </row>
    <row r="1958">
      <c r="A1958" t="n">
        <v>26</v>
      </c>
      <c r="B1958" t="inlineStr">
        <is>
          <t>K3-4B</t>
        </is>
      </c>
      <c r="D1958" t="n">
        <v>12.55</v>
      </c>
      <c r="E1958" t="n">
        <v>1.349</v>
      </c>
      <c r="F1958" t="n">
        <v>149.228</v>
      </c>
      <c r="G1958" t="n">
        <v>13</v>
      </c>
      <c r="H1958" t="inlineStr">
        <is>
          <t>bb</t>
        </is>
      </c>
    </row>
    <row r="1959">
      <c r="A1959" t="n">
        <v>27</v>
      </c>
      <c r="B1959" t="inlineStr">
        <is>
          <t>K3-4C</t>
        </is>
      </c>
      <c r="F1959" t="n">
        <v>244.215</v>
      </c>
    </row>
    <row r="1960">
      <c r="A1960" t="n">
        <v>28</v>
      </c>
      <c r="B1960" t="inlineStr">
        <is>
          <t>MeOH</t>
        </is>
      </c>
      <c r="D1960" t="n">
        <v>13.44</v>
      </c>
      <c r="E1960" t="n">
        <v>455.913</v>
      </c>
      <c r="G1960" t="n">
        <v>13.139</v>
      </c>
      <c r="H1960" t="inlineStr">
        <is>
          <t>bb</t>
        </is>
      </c>
    </row>
    <row r="1961">
      <c r="A1961" t="n">
        <v>29</v>
      </c>
      <c r="B1961" t="inlineStr">
        <is>
          <t>K3-6A</t>
        </is>
      </c>
      <c r="D1961" t="n">
        <v>13.45</v>
      </c>
      <c r="E1961" t="n">
        <v>18.388</v>
      </c>
      <c r="F1961" t="n">
        <v>11.224</v>
      </c>
      <c r="G1961" t="n">
        <v>161</v>
      </c>
      <c r="H1961" t="inlineStr">
        <is>
          <t>bb</t>
        </is>
      </c>
    </row>
    <row r="1962">
      <c r="A1962" t="n">
        <v>30</v>
      </c>
      <c r="B1962" t="inlineStr">
        <is>
          <t>K3-6B</t>
        </is>
      </c>
      <c r="D1962" t="n">
        <v>13.41</v>
      </c>
      <c r="E1962" t="n">
        <v>1.546</v>
      </c>
      <c r="F1962" t="n">
        <v>89.45099999999999</v>
      </c>
      <c r="G1962" t="n">
        <v>13</v>
      </c>
      <c r="H1962" t="inlineStr">
        <is>
          <t>bb</t>
        </is>
      </c>
    </row>
    <row r="1963">
      <c r="A1963" t="n">
        <v>31</v>
      </c>
      <c r="B1963" t="inlineStr">
        <is>
          <t>K3-6C</t>
        </is>
      </c>
      <c r="F1963" t="n">
        <v>231.601</v>
      </c>
    </row>
    <row r="1965">
      <c r="A1965" t="inlineStr">
        <is>
          <t>Compound 57:  7:3 FTCA 2</t>
        </is>
      </c>
    </row>
    <row r="1967">
      <c r="B1967" t="inlineStr">
        <is>
          <t>Sample Text</t>
        </is>
      </c>
      <c r="C1967" t="inlineStr">
        <is>
          <t>Std. Conc</t>
        </is>
      </c>
      <c r="D1967" t="inlineStr">
        <is>
          <t>RT</t>
        </is>
      </c>
      <c r="E1967" t="inlineStr">
        <is>
          <t>Area</t>
        </is>
      </c>
      <c r="F1967" t="inlineStr">
        <is>
          <t>IS Area</t>
        </is>
      </c>
      <c r="G1967" t="inlineStr">
        <is>
          <t>S/N</t>
        </is>
      </c>
      <c r="H1967" t="inlineStr">
        <is>
          <t>Primary Flags</t>
        </is>
      </c>
      <c r="I1967" t="inlineStr">
        <is>
          <t>Response</t>
        </is>
      </c>
      <c r="J1967" t="inlineStr">
        <is>
          <t>Conc.</t>
        </is>
      </c>
    </row>
    <row r="1968">
      <c r="A1968" t="n">
        <v>1</v>
      </c>
      <c r="B1968" t="inlineStr">
        <is>
          <t>K4-1A</t>
        </is>
      </c>
      <c r="D1968" t="n">
        <v>13.34</v>
      </c>
      <c r="E1968" t="n">
        <v>58.952</v>
      </c>
      <c r="F1968" t="n">
        <v>384.068</v>
      </c>
      <c r="G1968" t="n">
        <v>483</v>
      </c>
      <c r="H1968" t="inlineStr">
        <is>
          <t>bb</t>
        </is>
      </c>
    </row>
    <row r="1969">
      <c r="A1969" t="n">
        <v>2</v>
      </c>
      <c r="B1969" t="inlineStr">
        <is>
          <t>K4-1B</t>
        </is>
      </c>
      <c r="F1969" t="n">
        <v>333.688</v>
      </c>
    </row>
    <row r="1970">
      <c r="A1970" t="n">
        <v>3</v>
      </c>
      <c r="B1970" t="inlineStr">
        <is>
          <t>K4-1C</t>
        </is>
      </c>
      <c r="D1970" t="n">
        <v>13.34</v>
      </c>
      <c r="E1970" t="n">
        <v>14.002</v>
      </c>
      <c r="F1970" t="n">
        <v>158.296</v>
      </c>
      <c r="G1970" t="n">
        <v>115</v>
      </c>
      <c r="H1970" t="inlineStr">
        <is>
          <t>bb</t>
        </is>
      </c>
    </row>
    <row r="1971">
      <c r="A1971" t="n">
        <v>4</v>
      </c>
      <c r="B1971" t="inlineStr">
        <is>
          <t>K4-2A</t>
        </is>
      </c>
      <c r="F1971" t="n">
        <v>157.419</v>
      </c>
    </row>
    <row r="1972">
      <c r="A1972" t="n">
        <v>5</v>
      </c>
      <c r="B1972" t="inlineStr">
        <is>
          <t>K4-2B</t>
        </is>
      </c>
      <c r="D1972" t="n">
        <v>13.44</v>
      </c>
      <c r="E1972" t="n">
        <v>5.014</v>
      </c>
      <c r="F1972" t="n">
        <v>327.013</v>
      </c>
      <c r="G1972" t="n">
        <v>44</v>
      </c>
      <c r="H1972" t="inlineStr">
        <is>
          <t>bb</t>
        </is>
      </c>
    </row>
    <row r="1973">
      <c r="A1973" t="n">
        <v>6</v>
      </c>
      <c r="B1973" t="inlineStr">
        <is>
          <t>K4-2C</t>
        </is>
      </c>
      <c r="D1973" t="n">
        <v>13.5</v>
      </c>
      <c r="E1973" t="n">
        <v>8.297000000000001</v>
      </c>
      <c r="F1973" t="n">
        <v>170.863</v>
      </c>
      <c r="G1973" t="n">
        <v>79</v>
      </c>
      <c r="H1973" t="inlineStr">
        <is>
          <t>bb</t>
        </is>
      </c>
    </row>
    <row r="1974">
      <c r="A1974" t="n">
        <v>7</v>
      </c>
      <c r="B1974" t="inlineStr">
        <is>
          <t>MeOH</t>
        </is>
      </c>
    </row>
    <row r="1975">
      <c r="A1975" t="n">
        <v>8</v>
      </c>
      <c r="B1975" t="inlineStr">
        <is>
          <t>K4-4A</t>
        </is>
      </c>
      <c r="F1975" t="n">
        <v>327.307</v>
      </c>
    </row>
    <row r="1976">
      <c r="A1976" t="n">
        <v>9</v>
      </c>
      <c r="B1976" t="inlineStr">
        <is>
          <t>K4-4B</t>
        </is>
      </c>
      <c r="F1976" t="n">
        <v>387.554</v>
      </c>
    </row>
    <row r="1977">
      <c r="A1977" t="n">
        <v>10</v>
      </c>
      <c r="B1977" t="inlineStr">
        <is>
          <t>K4-4C</t>
        </is>
      </c>
      <c r="D1977" t="n">
        <v>13.11</v>
      </c>
      <c r="E1977" t="n">
        <v>0.313</v>
      </c>
      <c r="F1977" t="n">
        <v>384.708</v>
      </c>
      <c r="G1977" t="n">
        <v>3</v>
      </c>
      <c r="H1977" t="inlineStr">
        <is>
          <t>bb</t>
        </is>
      </c>
    </row>
    <row r="1978">
      <c r="A1978" t="n">
        <v>11</v>
      </c>
      <c r="B1978" t="inlineStr">
        <is>
          <t>K4-5A</t>
        </is>
      </c>
      <c r="D1978" t="n">
        <v>12.83</v>
      </c>
      <c r="E1978" t="n">
        <v>11.594</v>
      </c>
      <c r="F1978" t="n">
        <v>460.966</v>
      </c>
      <c r="G1978" t="n">
        <v>113</v>
      </c>
      <c r="H1978" t="inlineStr">
        <is>
          <t>bb</t>
        </is>
      </c>
    </row>
    <row r="1979">
      <c r="A1979" t="n">
        <v>12</v>
      </c>
      <c r="B1979" t="inlineStr">
        <is>
          <t>K4-5B</t>
        </is>
      </c>
      <c r="F1979" t="n">
        <v>279.508</v>
      </c>
    </row>
    <row r="1980">
      <c r="A1980" t="n">
        <v>13</v>
      </c>
      <c r="B1980" t="inlineStr">
        <is>
          <t>K4-5C</t>
        </is>
      </c>
      <c r="F1980" t="n">
        <v>181.064</v>
      </c>
    </row>
    <row r="1981">
      <c r="A1981" t="n">
        <v>14</v>
      </c>
      <c r="B1981" t="inlineStr">
        <is>
          <t>MeOH</t>
        </is>
      </c>
      <c r="H1981" t="inlineStr">
        <is>
          <t>MM-</t>
        </is>
      </c>
    </row>
    <row r="1982">
      <c r="A1982" t="n">
        <v>15</v>
      </c>
      <c r="B1982" t="inlineStr">
        <is>
          <t>K3-1A</t>
        </is>
      </c>
      <c r="F1982" t="n">
        <v>311.962</v>
      </c>
    </row>
    <row r="1983">
      <c r="A1983" t="n">
        <v>16</v>
      </c>
      <c r="B1983" t="inlineStr">
        <is>
          <t>K3-1B</t>
        </is>
      </c>
      <c r="F1983" t="n">
        <v>262.757</v>
      </c>
    </row>
    <row r="1984">
      <c r="A1984" t="n">
        <v>17</v>
      </c>
      <c r="B1984" t="inlineStr">
        <is>
          <t>K3-1C</t>
        </is>
      </c>
      <c r="F1984" t="n">
        <v>314.864</v>
      </c>
    </row>
    <row r="1985">
      <c r="A1985" t="n">
        <v>18</v>
      </c>
      <c r="B1985" t="inlineStr">
        <is>
          <t>K3-2A</t>
        </is>
      </c>
      <c r="F1985" t="n">
        <v>270.571</v>
      </c>
    </row>
    <row r="1986">
      <c r="A1986" t="n">
        <v>19</v>
      </c>
      <c r="B1986" t="inlineStr">
        <is>
          <t>K3-2B</t>
        </is>
      </c>
      <c r="F1986" t="n">
        <v>294.155</v>
      </c>
    </row>
    <row r="1987">
      <c r="A1987" t="n">
        <v>20</v>
      </c>
      <c r="B1987" t="inlineStr">
        <is>
          <t>K3-2C</t>
        </is>
      </c>
      <c r="D1987" t="n">
        <v>13.57</v>
      </c>
      <c r="E1987" t="n">
        <v>5.188</v>
      </c>
      <c r="F1987" t="n">
        <v>125.278</v>
      </c>
      <c r="G1987" t="n">
        <v>53</v>
      </c>
      <c r="H1987" t="inlineStr">
        <is>
          <t>bb</t>
        </is>
      </c>
    </row>
    <row r="1988">
      <c r="A1988" t="n">
        <v>21</v>
      </c>
      <c r="B1988" t="inlineStr">
        <is>
          <t>MeOH</t>
        </is>
      </c>
      <c r="H1988" t="inlineStr">
        <is>
          <t>MM-</t>
        </is>
      </c>
    </row>
    <row r="1989">
      <c r="A1989" t="n">
        <v>22</v>
      </c>
      <c r="B1989" t="inlineStr">
        <is>
          <t>K3-3A</t>
        </is>
      </c>
      <c r="D1989" t="n">
        <v>13.17</v>
      </c>
      <c r="E1989" t="n">
        <v>15.487</v>
      </c>
      <c r="F1989" t="n">
        <v>284.371</v>
      </c>
      <c r="G1989" t="n">
        <v>138</v>
      </c>
      <c r="H1989" t="inlineStr">
        <is>
          <t>bb</t>
        </is>
      </c>
    </row>
    <row r="1990">
      <c r="A1990" t="n">
        <v>23</v>
      </c>
      <c r="B1990" t="inlineStr">
        <is>
          <t>K3-3B</t>
        </is>
      </c>
      <c r="D1990" t="n">
        <v>13.02</v>
      </c>
      <c r="E1990" t="n">
        <v>3.927</v>
      </c>
      <c r="F1990" t="n">
        <v>313.979</v>
      </c>
      <c r="G1990" t="n">
        <v>37</v>
      </c>
      <c r="H1990" t="inlineStr">
        <is>
          <t>bb</t>
        </is>
      </c>
    </row>
    <row r="1991">
      <c r="A1991" t="n">
        <v>24</v>
      </c>
      <c r="B1991" t="inlineStr">
        <is>
          <t>K3-3C</t>
        </is>
      </c>
      <c r="D1991" t="n">
        <v>12.92</v>
      </c>
      <c r="E1991" t="n">
        <v>0.309</v>
      </c>
      <c r="F1991" t="n">
        <v>496.198</v>
      </c>
      <c r="G1991" t="n">
        <v>3</v>
      </c>
      <c r="H1991" t="inlineStr">
        <is>
          <t>bb</t>
        </is>
      </c>
    </row>
    <row r="1992">
      <c r="A1992" t="n">
        <v>25</v>
      </c>
      <c r="B1992" t="inlineStr">
        <is>
          <t>K3-4A</t>
        </is>
      </c>
      <c r="D1992" t="n">
        <v>13.41</v>
      </c>
      <c r="E1992" t="n">
        <v>6.852</v>
      </c>
      <c r="F1992" t="n">
        <v>478.689</v>
      </c>
      <c r="G1992" t="n">
        <v>58</v>
      </c>
      <c r="H1992" t="inlineStr">
        <is>
          <t>bb</t>
        </is>
      </c>
    </row>
    <row r="1993">
      <c r="A1993" t="n">
        <v>26</v>
      </c>
      <c r="B1993" t="inlineStr">
        <is>
          <t>K3-4B</t>
        </is>
      </c>
      <c r="D1993" t="n">
        <v>13.23</v>
      </c>
      <c r="E1993" t="n">
        <v>15.377</v>
      </c>
      <c r="F1993" t="n">
        <v>526.578</v>
      </c>
      <c r="G1993" t="n">
        <v>122</v>
      </c>
      <c r="H1993" t="inlineStr">
        <is>
          <t>bb</t>
        </is>
      </c>
    </row>
    <row r="1994">
      <c r="A1994" t="n">
        <v>27</v>
      </c>
      <c r="B1994" t="inlineStr">
        <is>
          <t>K3-4C</t>
        </is>
      </c>
      <c r="F1994" t="n">
        <v>461.389</v>
      </c>
    </row>
    <row r="1995">
      <c r="A1995" t="n">
        <v>28</v>
      </c>
      <c r="B1995" t="inlineStr">
        <is>
          <t>MeOH</t>
        </is>
      </c>
      <c r="H1995" t="inlineStr">
        <is>
          <t>MM-</t>
        </is>
      </c>
    </row>
    <row r="1996">
      <c r="A1996" t="n">
        <v>29</v>
      </c>
      <c r="B1996" t="inlineStr">
        <is>
          <t>K3-6A</t>
        </is>
      </c>
      <c r="F1996" t="n">
        <v>82.629</v>
      </c>
    </row>
    <row r="1997">
      <c r="A1997" t="n">
        <v>30</v>
      </c>
      <c r="B1997" t="inlineStr">
        <is>
          <t>K3-6B</t>
        </is>
      </c>
      <c r="F1997" t="n">
        <v>410.283</v>
      </c>
    </row>
    <row r="1998">
      <c r="A1998" t="n">
        <v>31</v>
      </c>
      <c r="B1998" t="inlineStr">
        <is>
          <t>K3-6C</t>
        </is>
      </c>
      <c r="F1998" t="n">
        <v>162.093</v>
      </c>
    </row>
    <row r="2000">
      <c r="A2000" t="inlineStr">
        <is>
          <t>Compound 58:  NBP1 1</t>
        </is>
      </c>
    </row>
    <row r="2002">
      <c r="B2002" t="inlineStr">
        <is>
          <t>Sample Text</t>
        </is>
      </c>
      <c r="C2002" t="inlineStr">
        <is>
          <t>Std. Conc</t>
        </is>
      </c>
      <c r="D2002" t="inlineStr">
        <is>
          <t>RT</t>
        </is>
      </c>
      <c r="E2002" t="inlineStr">
        <is>
          <t>Area</t>
        </is>
      </c>
      <c r="F2002" t="inlineStr">
        <is>
          <t>IS Area</t>
        </is>
      </c>
      <c r="G2002" t="inlineStr">
        <is>
          <t>S/N</t>
        </is>
      </c>
      <c r="H2002" t="inlineStr">
        <is>
          <t>Primary Flags</t>
        </is>
      </c>
      <c r="I2002" t="inlineStr">
        <is>
          <t>Response</t>
        </is>
      </c>
      <c r="J2002" t="inlineStr">
        <is>
          <t>Conc.</t>
        </is>
      </c>
    </row>
    <row r="2003">
      <c r="A2003" t="n">
        <v>1</v>
      </c>
      <c r="B2003" t="inlineStr">
        <is>
          <t>K4-1A</t>
        </is>
      </c>
      <c r="D2003" t="n">
        <v>12.41</v>
      </c>
      <c r="E2003" t="n">
        <v>2.371</v>
      </c>
      <c r="G2003" t="n">
        <v>22</v>
      </c>
      <c r="H2003" t="inlineStr">
        <is>
          <t>MM</t>
        </is>
      </c>
      <c r="I2003" t="n">
        <v>2.371</v>
      </c>
    </row>
    <row r="2004">
      <c r="A2004" t="n">
        <v>2</v>
      </c>
      <c r="B2004" t="inlineStr">
        <is>
          <t>K4-1B</t>
        </is>
      </c>
    </row>
    <row r="2005">
      <c r="A2005" t="n">
        <v>3</v>
      </c>
      <c r="B2005" t="inlineStr">
        <is>
          <t>K4-1C</t>
        </is>
      </c>
    </row>
    <row r="2006">
      <c r="A2006" t="n">
        <v>4</v>
      </c>
      <c r="B2006" t="inlineStr">
        <is>
          <t>K4-2A</t>
        </is>
      </c>
      <c r="D2006" t="n">
        <v>11.12</v>
      </c>
      <c r="E2006" t="n">
        <v>2.527</v>
      </c>
      <c r="G2006" t="n">
        <v>17</v>
      </c>
      <c r="H2006" t="inlineStr">
        <is>
          <t>bb</t>
        </is>
      </c>
      <c r="I2006" t="n">
        <v>2.527</v>
      </c>
    </row>
    <row r="2007">
      <c r="A2007" t="n">
        <v>5</v>
      </c>
      <c r="B2007" t="inlineStr">
        <is>
          <t>K4-2B</t>
        </is>
      </c>
      <c r="D2007" t="n">
        <v>12.13</v>
      </c>
      <c r="E2007" t="n">
        <v>7.076</v>
      </c>
      <c r="G2007" t="n">
        <v>63</v>
      </c>
      <c r="H2007" t="inlineStr">
        <is>
          <t>bb</t>
        </is>
      </c>
      <c r="I2007" t="n">
        <v>7.076</v>
      </c>
    </row>
    <row r="2008">
      <c r="A2008" t="n">
        <v>6</v>
      </c>
      <c r="B2008" t="inlineStr">
        <is>
          <t>K4-2C</t>
        </is>
      </c>
      <c r="D2008" t="n">
        <v>12.3</v>
      </c>
      <c r="E2008" t="n">
        <v>15.614</v>
      </c>
      <c r="G2008" t="n">
        <v>144</v>
      </c>
      <c r="H2008" t="inlineStr">
        <is>
          <t>MM</t>
        </is>
      </c>
      <c r="I2008" t="n">
        <v>15.614</v>
      </c>
    </row>
    <row r="2009">
      <c r="A2009" t="n">
        <v>7</v>
      </c>
      <c r="B2009" t="inlineStr">
        <is>
          <t>MeOH</t>
        </is>
      </c>
      <c r="H2009" t="inlineStr">
        <is>
          <t>MM-</t>
        </is>
      </c>
    </row>
    <row r="2010">
      <c r="A2010" t="n">
        <v>8</v>
      </c>
      <c r="B2010" t="inlineStr">
        <is>
          <t>K4-4A</t>
        </is>
      </c>
      <c r="D2010" t="n">
        <v>11.75</v>
      </c>
      <c r="E2010" t="n">
        <v>5.507</v>
      </c>
      <c r="G2010" t="n">
        <v>3.716</v>
      </c>
      <c r="H2010" t="inlineStr">
        <is>
          <t>bb</t>
        </is>
      </c>
      <c r="I2010" t="n">
        <v>5.507</v>
      </c>
    </row>
    <row r="2011">
      <c r="A2011" t="n">
        <v>9</v>
      </c>
      <c r="B2011" t="inlineStr">
        <is>
          <t>K4-4B</t>
        </is>
      </c>
      <c r="D2011" t="n">
        <v>12.01</v>
      </c>
      <c r="E2011" t="n">
        <v>16.84</v>
      </c>
      <c r="G2011" t="n">
        <v>152</v>
      </c>
      <c r="H2011" t="inlineStr">
        <is>
          <t>bb</t>
        </is>
      </c>
      <c r="I2011" t="n">
        <v>16.84</v>
      </c>
    </row>
    <row r="2012">
      <c r="A2012" t="n">
        <v>10</v>
      </c>
      <c r="B2012" t="inlineStr">
        <is>
          <t>K4-4C</t>
        </is>
      </c>
      <c r="D2012" t="n">
        <v>12.02</v>
      </c>
      <c r="E2012" t="n">
        <v>0.316</v>
      </c>
      <c r="G2012" t="n">
        <v>3</v>
      </c>
      <c r="H2012" t="inlineStr">
        <is>
          <t>bb</t>
        </is>
      </c>
      <c r="I2012" t="n">
        <v>0.316</v>
      </c>
    </row>
    <row r="2013">
      <c r="A2013" t="n">
        <v>11</v>
      </c>
      <c r="B2013" t="inlineStr">
        <is>
          <t>K4-5A</t>
        </is>
      </c>
      <c r="D2013" t="n">
        <v>11.67</v>
      </c>
      <c r="E2013" t="n">
        <v>0.652</v>
      </c>
      <c r="G2013" t="n">
        <v>6</v>
      </c>
      <c r="H2013" t="inlineStr">
        <is>
          <t>bb</t>
        </is>
      </c>
      <c r="I2013" t="n">
        <v>0.652</v>
      </c>
    </row>
    <row r="2014">
      <c r="A2014" t="n">
        <v>12</v>
      </c>
      <c r="B2014" t="inlineStr">
        <is>
          <t>K4-5B</t>
        </is>
      </c>
      <c r="D2014" t="n">
        <v>12.22</v>
      </c>
      <c r="E2014" t="n">
        <v>21.819</v>
      </c>
      <c r="G2014" t="n">
        <v>197</v>
      </c>
      <c r="H2014" t="inlineStr">
        <is>
          <t>bb</t>
        </is>
      </c>
      <c r="I2014" t="n">
        <v>21.819</v>
      </c>
    </row>
    <row r="2015">
      <c r="A2015" t="n">
        <v>13</v>
      </c>
      <c r="B2015" t="inlineStr">
        <is>
          <t>K4-5C</t>
        </is>
      </c>
      <c r="D2015" t="n">
        <v>11.09</v>
      </c>
      <c r="E2015" t="n">
        <v>21.181</v>
      </c>
      <c r="G2015" t="n">
        <v>205</v>
      </c>
      <c r="H2015" t="inlineStr">
        <is>
          <t>bb</t>
        </is>
      </c>
      <c r="I2015" t="n">
        <v>21.181</v>
      </c>
    </row>
    <row r="2016">
      <c r="A2016" t="n">
        <v>14</v>
      </c>
      <c r="B2016" t="inlineStr">
        <is>
          <t>MeOH</t>
        </is>
      </c>
      <c r="D2016" t="n">
        <v>11.59</v>
      </c>
      <c r="E2016" t="n">
        <v>0.65</v>
      </c>
      <c r="G2016" t="n">
        <v>7</v>
      </c>
      <c r="H2016" t="inlineStr">
        <is>
          <t>bb</t>
        </is>
      </c>
      <c r="I2016" t="n">
        <v>0.65</v>
      </c>
    </row>
    <row r="2017">
      <c r="A2017" t="n">
        <v>15</v>
      </c>
      <c r="B2017" t="inlineStr">
        <is>
          <t>K3-1A</t>
        </is>
      </c>
    </row>
    <row r="2018">
      <c r="A2018" t="n">
        <v>16</v>
      </c>
      <c r="B2018" t="inlineStr">
        <is>
          <t>K3-1B</t>
        </is>
      </c>
      <c r="D2018" t="n">
        <v>12.72</v>
      </c>
      <c r="E2018" t="n">
        <v>14.28</v>
      </c>
      <c r="G2018" t="n">
        <v>6.561</v>
      </c>
      <c r="H2018" t="inlineStr">
        <is>
          <t>MM</t>
        </is>
      </c>
      <c r="I2018" t="n">
        <v>14.28</v>
      </c>
    </row>
    <row r="2019">
      <c r="A2019" t="n">
        <v>17</v>
      </c>
      <c r="B2019" t="inlineStr">
        <is>
          <t>K3-1C</t>
        </is>
      </c>
      <c r="D2019" t="n">
        <v>12.09</v>
      </c>
      <c r="E2019" t="n">
        <v>35.631</v>
      </c>
      <c r="G2019" t="n">
        <v>307</v>
      </c>
      <c r="H2019" t="inlineStr">
        <is>
          <t>bb</t>
        </is>
      </c>
      <c r="I2019" t="n">
        <v>35.631</v>
      </c>
    </row>
    <row r="2020">
      <c r="A2020" t="n">
        <v>18</v>
      </c>
      <c r="B2020" t="inlineStr">
        <is>
          <t>K3-2A</t>
        </is>
      </c>
    </row>
    <row r="2021">
      <c r="A2021" t="n">
        <v>19</v>
      </c>
      <c r="B2021" t="inlineStr">
        <is>
          <t>K3-2B</t>
        </is>
      </c>
      <c r="D2021" t="n">
        <v>12.1</v>
      </c>
      <c r="E2021" t="n">
        <v>2.029</v>
      </c>
      <c r="G2021" t="n">
        <v>18</v>
      </c>
      <c r="H2021" t="inlineStr">
        <is>
          <t>bb</t>
        </is>
      </c>
      <c r="I2021" t="n">
        <v>2.029</v>
      </c>
    </row>
    <row r="2022">
      <c r="A2022" t="n">
        <v>20</v>
      </c>
      <c r="B2022" t="inlineStr">
        <is>
          <t>K3-2C</t>
        </is>
      </c>
    </row>
    <row r="2023">
      <c r="A2023" t="n">
        <v>21</v>
      </c>
      <c r="B2023" t="inlineStr">
        <is>
          <t>MeOH</t>
        </is>
      </c>
      <c r="H2023" t="inlineStr">
        <is>
          <t>MM-</t>
        </is>
      </c>
    </row>
    <row r="2024">
      <c r="A2024" t="n">
        <v>22</v>
      </c>
      <c r="B2024" t="inlineStr">
        <is>
          <t>K3-3A</t>
        </is>
      </c>
      <c r="D2024" t="n">
        <v>11.65</v>
      </c>
      <c r="E2024" t="n">
        <v>44.267</v>
      </c>
      <c r="G2024" t="n">
        <v>396</v>
      </c>
      <c r="H2024" t="inlineStr">
        <is>
          <t>bb</t>
        </is>
      </c>
      <c r="I2024" t="n">
        <v>44.267</v>
      </c>
    </row>
    <row r="2025">
      <c r="A2025" t="n">
        <v>23</v>
      </c>
      <c r="B2025" t="inlineStr">
        <is>
          <t>K3-3B</t>
        </is>
      </c>
      <c r="D2025" t="n">
        <v>12.9</v>
      </c>
      <c r="E2025" t="n">
        <v>24.049</v>
      </c>
      <c r="G2025" t="n">
        <v>222</v>
      </c>
      <c r="H2025" t="inlineStr">
        <is>
          <t>MM</t>
        </is>
      </c>
      <c r="I2025" t="n">
        <v>24.049</v>
      </c>
    </row>
    <row r="2026">
      <c r="A2026" t="n">
        <v>24</v>
      </c>
      <c r="B2026" t="inlineStr">
        <is>
          <t>K3-3C</t>
        </is>
      </c>
      <c r="D2026" t="n">
        <v>10.81</v>
      </c>
      <c r="E2026" t="n">
        <v>0.541</v>
      </c>
      <c r="G2026" t="n">
        <v>6</v>
      </c>
      <c r="H2026" t="inlineStr">
        <is>
          <t>bb</t>
        </is>
      </c>
      <c r="I2026" t="n">
        <v>0.541</v>
      </c>
    </row>
    <row r="2027">
      <c r="A2027" t="n">
        <v>25</v>
      </c>
      <c r="B2027" t="inlineStr">
        <is>
          <t>K3-4A</t>
        </is>
      </c>
      <c r="D2027" t="n">
        <v>11.61</v>
      </c>
      <c r="E2027" t="n">
        <v>6.797</v>
      </c>
      <c r="G2027" t="n">
        <v>67</v>
      </c>
      <c r="H2027" t="inlineStr">
        <is>
          <t>bb</t>
        </is>
      </c>
      <c r="I2027" t="n">
        <v>6.797</v>
      </c>
    </row>
    <row r="2028">
      <c r="A2028" t="n">
        <v>26</v>
      </c>
      <c r="B2028" t="inlineStr">
        <is>
          <t>K3-4B</t>
        </is>
      </c>
      <c r="D2028" t="n">
        <v>11.41</v>
      </c>
      <c r="E2028" t="n">
        <v>0.569</v>
      </c>
      <c r="G2028" t="n">
        <v>6</v>
      </c>
      <c r="H2028" t="inlineStr">
        <is>
          <t>bb</t>
        </is>
      </c>
      <c r="I2028" t="n">
        <v>0.569</v>
      </c>
    </row>
    <row r="2029">
      <c r="A2029" t="n">
        <v>27</v>
      </c>
      <c r="B2029" t="inlineStr">
        <is>
          <t>K3-4C</t>
        </is>
      </c>
      <c r="D2029" t="n">
        <v>11.94</v>
      </c>
      <c r="E2029" t="n">
        <v>46.632</v>
      </c>
      <c r="G2029" t="n">
        <v>2.641</v>
      </c>
      <c r="H2029" t="inlineStr">
        <is>
          <t>bb</t>
        </is>
      </c>
      <c r="I2029" t="n">
        <v>46.632</v>
      </c>
    </row>
    <row r="2030">
      <c r="A2030" t="n">
        <v>28</v>
      </c>
      <c r="B2030" t="inlineStr">
        <is>
          <t>MeOH</t>
        </is>
      </c>
      <c r="H2030" t="inlineStr">
        <is>
          <t>MM-</t>
        </is>
      </c>
    </row>
    <row r="2031">
      <c r="A2031" t="n">
        <v>29</v>
      </c>
      <c r="B2031" t="inlineStr">
        <is>
          <t>K3-6A</t>
        </is>
      </c>
      <c r="D2031" t="n">
        <v>11.91</v>
      </c>
      <c r="E2031" t="n">
        <v>22.691</v>
      </c>
      <c r="G2031" t="n">
        <v>206</v>
      </c>
      <c r="H2031" t="inlineStr">
        <is>
          <t>bb</t>
        </is>
      </c>
      <c r="I2031" t="n">
        <v>22.691</v>
      </c>
    </row>
    <row r="2032">
      <c r="A2032" t="n">
        <v>30</v>
      </c>
      <c r="B2032" t="inlineStr">
        <is>
          <t>K3-6B</t>
        </is>
      </c>
      <c r="D2032" t="n">
        <v>13.09</v>
      </c>
      <c r="E2032" t="n">
        <v>0.64</v>
      </c>
      <c r="G2032" t="n">
        <v>0.098</v>
      </c>
      <c r="H2032" t="inlineStr">
        <is>
          <t>MM</t>
        </is>
      </c>
      <c r="I2032" t="n">
        <v>0.64</v>
      </c>
    </row>
    <row r="2033">
      <c r="A2033" t="n">
        <v>31</v>
      </c>
      <c r="B2033" t="inlineStr">
        <is>
          <t>K3-6C</t>
        </is>
      </c>
      <c r="D2033" t="n">
        <v>10.88</v>
      </c>
      <c r="E2033" t="n">
        <v>1.486</v>
      </c>
      <c r="G2033" t="n">
        <v>15</v>
      </c>
      <c r="H2033" t="inlineStr">
        <is>
          <t>bb</t>
        </is>
      </c>
      <c r="I2033" t="n">
        <v>1.486</v>
      </c>
    </row>
    <row r="2035">
      <c r="A2035" t="inlineStr">
        <is>
          <t>Compound 59:  NBP1 2</t>
        </is>
      </c>
    </row>
    <row r="2037">
      <c r="B2037" t="inlineStr">
        <is>
          <t>Sample Text</t>
        </is>
      </c>
      <c r="C2037" t="inlineStr">
        <is>
          <t>Std. Conc</t>
        </is>
      </c>
      <c r="D2037" t="inlineStr">
        <is>
          <t>RT</t>
        </is>
      </c>
      <c r="E2037" t="inlineStr">
        <is>
          <t>Area</t>
        </is>
      </c>
      <c r="F2037" t="inlineStr">
        <is>
          <t>IS Area</t>
        </is>
      </c>
      <c r="G2037" t="inlineStr">
        <is>
          <t>S/N</t>
        </is>
      </c>
      <c r="H2037" t="inlineStr">
        <is>
          <t>Primary Flags</t>
        </is>
      </c>
      <c r="I2037" t="inlineStr">
        <is>
          <t>Response</t>
        </is>
      </c>
      <c r="J2037" t="inlineStr">
        <is>
          <t>Conc.</t>
        </is>
      </c>
    </row>
    <row r="2038">
      <c r="A2038" t="n">
        <v>1</v>
      </c>
      <c r="B2038" t="inlineStr">
        <is>
          <t>K4-1A</t>
        </is>
      </c>
      <c r="D2038" t="n">
        <v>11.6</v>
      </c>
      <c r="E2038" t="n">
        <v>16.342</v>
      </c>
      <c r="G2038" t="n">
        <v>84.66500000000001</v>
      </c>
      <c r="H2038" t="inlineStr">
        <is>
          <t>bb</t>
        </is>
      </c>
      <c r="I2038" t="n">
        <v>16.342</v>
      </c>
    </row>
    <row r="2039">
      <c r="A2039" t="n">
        <v>2</v>
      </c>
      <c r="B2039" t="inlineStr">
        <is>
          <t>K4-1B</t>
        </is>
      </c>
    </row>
    <row r="2040">
      <c r="A2040" t="n">
        <v>3</v>
      </c>
      <c r="B2040" t="inlineStr">
        <is>
          <t>K4-1C</t>
        </is>
      </c>
    </row>
    <row r="2041">
      <c r="A2041" t="n">
        <v>4</v>
      </c>
      <c r="B2041" t="inlineStr">
        <is>
          <t>K4-2A</t>
        </is>
      </c>
    </row>
    <row r="2042">
      <c r="A2042" t="n">
        <v>5</v>
      </c>
      <c r="B2042" t="inlineStr">
        <is>
          <t>K4-2B</t>
        </is>
      </c>
    </row>
    <row r="2043">
      <c r="A2043" t="n">
        <v>6</v>
      </c>
      <c r="B2043" t="inlineStr">
        <is>
          <t>K4-2C</t>
        </is>
      </c>
    </row>
    <row r="2044">
      <c r="A2044" t="n">
        <v>7</v>
      </c>
      <c r="B2044" t="inlineStr">
        <is>
          <t>MeOH</t>
        </is>
      </c>
      <c r="D2044" t="n">
        <v>11.65</v>
      </c>
      <c r="E2044" t="n">
        <v>45.267</v>
      </c>
      <c r="G2044" t="n">
        <v>376</v>
      </c>
      <c r="H2044" t="inlineStr">
        <is>
          <t>bb</t>
        </is>
      </c>
      <c r="I2044" t="n">
        <v>45.267</v>
      </c>
    </row>
    <row r="2045">
      <c r="A2045" t="n">
        <v>8</v>
      </c>
      <c r="B2045" t="inlineStr">
        <is>
          <t>K4-4A</t>
        </is>
      </c>
    </row>
    <row r="2046">
      <c r="A2046" t="n">
        <v>9</v>
      </c>
      <c r="B2046" t="inlineStr">
        <is>
          <t>K4-4B</t>
        </is>
      </c>
      <c r="D2046" t="n">
        <v>11.65</v>
      </c>
      <c r="E2046" t="n">
        <v>2.621</v>
      </c>
      <c r="G2046" t="n">
        <v>26</v>
      </c>
      <c r="H2046" t="inlineStr">
        <is>
          <t>bb</t>
        </is>
      </c>
      <c r="I2046" t="n">
        <v>2.621</v>
      </c>
    </row>
    <row r="2047">
      <c r="A2047" t="n">
        <v>10</v>
      </c>
      <c r="B2047" t="inlineStr">
        <is>
          <t>K4-4C</t>
        </is>
      </c>
    </row>
    <row r="2048">
      <c r="A2048" t="n">
        <v>11</v>
      </c>
      <c r="B2048" t="inlineStr">
        <is>
          <t>K4-5A</t>
        </is>
      </c>
    </row>
    <row r="2049">
      <c r="A2049" t="n">
        <v>12</v>
      </c>
      <c r="B2049" t="inlineStr">
        <is>
          <t>K4-5B</t>
        </is>
      </c>
    </row>
    <row r="2050">
      <c r="A2050" t="n">
        <v>13</v>
      </c>
      <c r="B2050" t="inlineStr">
        <is>
          <t>K4-5C</t>
        </is>
      </c>
    </row>
    <row r="2051">
      <c r="A2051" t="n">
        <v>14</v>
      </c>
      <c r="B2051" t="inlineStr">
        <is>
          <t>MeOH</t>
        </is>
      </c>
      <c r="D2051" t="n">
        <v>11.56</v>
      </c>
      <c r="E2051" t="n">
        <v>77.81999999999999</v>
      </c>
      <c r="G2051" t="n">
        <v>4.766</v>
      </c>
      <c r="H2051" t="inlineStr">
        <is>
          <t>bb</t>
        </is>
      </c>
      <c r="I2051" t="n">
        <v>77.81999999999999</v>
      </c>
    </row>
    <row r="2052">
      <c r="A2052" t="n">
        <v>15</v>
      </c>
      <c r="B2052" t="inlineStr">
        <is>
          <t>K3-1A</t>
        </is>
      </c>
    </row>
    <row r="2053">
      <c r="A2053" t="n">
        <v>16</v>
      </c>
      <c r="B2053" t="inlineStr">
        <is>
          <t>K3-1B</t>
        </is>
      </c>
      <c r="D2053" t="n">
        <v>11.48</v>
      </c>
      <c r="E2053" t="n">
        <v>10.814</v>
      </c>
      <c r="G2053" t="n">
        <v>5.555</v>
      </c>
      <c r="H2053" t="inlineStr">
        <is>
          <t>bb</t>
        </is>
      </c>
      <c r="I2053" t="n">
        <v>10.814</v>
      </c>
    </row>
    <row r="2054">
      <c r="A2054" t="n">
        <v>17</v>
      </c>
      <c r="B2054" t="inlineStr">
        <is>
          <t>K3-1C</t>
        </is>
      </c>
    </row>
    <row r="2055">
      <c r="A2055" t="n">
        <v>18</v>
      </c>
      <c r="B2055" t="inlineStr">
        <is>
          <t>K3-2A</t>
        </is>
      </c>
      <c r="D2055" t="n">
        <v>11.56</v>
      </c>
      <c r="E2055" t="n">
        <v>21.721</v>
      </c>
      <c r="G2055" t="n">
        <v>215</v>
      </c>
      <c r="H2055" t="inlineStr">
        <is>
          <t>bb</t>
        </is>
      </c>
      <c r="I2055" t="n">
        <v>21.721</v>
      </c>
    </row>
    <row r="2056">
      <c r="A2056" t="n">
        <v>19</v>
      </c>
      <c r="B2056" t="inlineStr">
        <is>
          <t>K3-2B</t>
        </is>
      </c>
      <c r="D2056" t="n">
        <v>11.56</v>
      </c>
      <c r="E2056" t="n">
        <v>7.648</v>
      </c>
      <c r="G2056" t="n">
        <v>78</v>
      </c>
      <c r="H2056" t="inlineStr">
        <is>
          <t>bb</t>
        </is>
      </c>
      <c r="I2056" t="n">
        <v>7.648</v>
      </c>
    </row>
    <row r="2057">
      <c r="A2057" t="n">
        <v>20</v>
      </c>
      <c r="B2057" t="inlineStr">
        <is>
          <t>K3-2C</t>
        </is>
      </c>
    </row>
    <row r="2058">
      <c r="A2058" t="n">
        <v>21</v>
      </c>
      <c r="B2058" t="inlineStr">
        <is>
          <t>MeOH</t>
        </is>
      </c>
      <c r="D2058" t="n">
        <v>11.61</v>
      </c>
      <c r="E2058" t="n">
        <v>8.051</v>
      </c>
      <c r="G2058" t="n">
        <v>78</v>
      </c>
      <c r="H2058" t="inlineStr">
        <is>
          <t>bb</t>
        </is>
      </c>
      <c r="I2058" t="n">
        <v>8.051</v>
      </c>
    </row>
    <row r="2059">
      <c r="A2059" t="n">
        <v>22</v>
      </c>
      <c r="B2059" t="inlineStr">
        <is>
          <t>K3-3A</t>
        </is>
      </c>
    </row>
    <row r="2060">
      <c r="A2060" t="n">
        <v>23</v>
      </c>
      <c r="B2060" t="inlineStr">
        <is>
          <t>K3-3B</t>
        </is>
      </c>
    </row>
    <row r="2061">
      <c r="A2061" t="n">
        <v>24</v>
      </c>
      <c r="B2061" t="inlineStr">
        <is>
          <t>K3-3C</t>
        </is>
      </c>
    </row>
    <row r="2062">
      <c r="A2062" t="n">
        <v>25</v>
      </c>
      <c r="B2062" t="inlineStr">
        <is>
          <t>K3-4A</t>
        </is>
      </c>
      <c r="D2062" t="n">
        <v>11.65</v>
      </c>
      <c r="E2062" t="n">
        <v>23.723</v>
      </c>
      <c r="G2062" t="n">
        <v>229</v>
      </c>
      <c r="H2062" t="inlineStr">
        <is>
          <t>bb</t>
        </is>
      </c>
      <c r="I2062" t="n">
        <v>23.723</v>
      </c>
    </row>
    <row r="2063">
      <c r="A2063" t="n">
        <v>26</v>
      </c>
      <c r="B2063" t="inlineStr">
        <is>
          <t>K3-4B</t>
        </is>
      </c>
    </row>
    <row r="2064">
      <c r="A2064" t="n">
        <v>27</v>
      </c>
      <c r="B2064" t="inlineStr">
        <is>
          <t>K3-4C</t>
        </is>
      </c>
    </row>
    <row r="2065">
      <c r="A2065" t="n">
        <v>28</v>
      </c>
      <c r="B2065" t="inlineStr">
        <is>
          <t>MeOH</t>
        </is>
      </c>
      <c r="D2065" t="n">
        <v>11.74</v>
      </c>
      <c r="E2065" t="n">
        <v>215.829</v>
      </c>
      <c r="G2065" t="n">
        <v>7.123</v>
      </c>
      <c r="H2065" t="inlineStr">
        <is>
          <t>bb</t>
        </is>
      </c>
      <c r="I2065" t="n">
        <v>215.829</v>
      </c>
    </row>
    <row r="2066">
      <c r="A2066" t="n">
        <v>29</v>
      </c>
      <c r="B2066" t="inlineStr">
        <is>
          <t>K3-6A</t>
        </is>
      </c>
      <c r="D2066" t="n">
        <v>11.72</v>
      </c>
      <c r="E2066" t="n">
        <v>28.019</v>
      </c>
      <c r="G2066" t="n">
        <v>4.377</v>
      </c>
      <c r="H2066" t="inlineStr">
        <is>
          <t>bb</t>
        </is>
      </c>
      <c r="I2066" t="n">
        <v>28.019</v>
      </c>
    </row>
    <row r="2067">
      <c r="A2067" t="n">
        <v>30</v>
      </c>
      <c r="B2067" t="inlineStr">
        <is>
          <t>K3-6B</t>
        </is>
      </c>
    </row>
    <row r="2068">
      <c r="A2068" t="n">
        <v>31</v>
      </c>
      <c r="B2068" t="inlineStr">
        <is>
          <t>K3-6C</t>
        </is>
      </c>
      <c r="D2068" t="n">
        <v>11.4</v>
      </c>
      <c r="E2068" t="n">
        <v>1.082</v>
      </c>
      <c r="G2068" t="n">
        <v>9</v>
      </c>
      <c r="H2068" t="inlineStr">
        <is>
          <t>bb</t>
        </is>
      </c>
      <c r="I2068" t="n">
        <v>1.082</v>
      </c>
    </row>
    <row r="2070">
      <c r="A2070" t="inlineStr">
        <is>
          <t>Compound 60:  PFHpS 1</t>
        </is>
      </c>
    </row>
    <row r="2072">
      <c r="B2072" t="inlineStr">
        <is>
          <t>Sample Text</t>
        </is>
      </c>
      <c r="C2072" t="inlineStr">
        <is>
          <t>Std. Conc</t>
        </is>
      </c>
      <c r="D2072" t="inlineStr">
        <is>
          <t>RT</t>
        </is>
      </c>
      <c r="E2072" t="inlineStr">
        <is>
          <t>Area</t>
        </is>
      </c>
      <c r="F2072" t="inlineStr">
        <is>
          <t>IS Area</t>
        </is>
      </c>
      <c r="G2072" t="inlineStr">
        <is>
          <t>S/N</t>
        </is>
      </c>
      <c r="H2072" t="inlineStr">
        <is>
          <t>Primary Flags</t>
        </is>
      </c>
      <c r="I2072" t="inlineStr">
        <is>
          <t>Response</t>
        </is>
      </c>
      <c r="J2072" t="inlineStr">
        <is>
          <t>Conc.</t>
        </is>
      </c>
    </row>
    <row r="2073">
      <c r="A2073" t="n">
        <v>1</v>
      </c>
      <c r="B2073" t="inlineStr">
        <is>
          <t>K4-1A</t>
        </is>
      </c>
      <c r="F2073" t="n">
        <v>7333.607</v>
      </c>
    </row>
    <row r="2074">
      <c r="A2074" t="n">
        <v>2</v>
      </c>
      <c r="B2074" t="inlineStr">
        <is>
          <t>K4-1B</t>
        </is>
      </c>
      <c r="F2074" t="n">
        <v>7556.923</v>
      </c>
    </row>
    <row r="2075">
      <c r="A2075" t="n">
        <v>3</v>
      </c>
      <c r="B2075" t="inlineStr">
        <is>
          <t>K4-1C</t>
        </is>
      </c>
      <c r="F2075" t="n">
        <v>7543.019</v>
      </c>
    </row>
    <row r="2076">
      <c r="A2076" t="n">
        <v>4</v>
      </c>
      <c r="B2076" t="inlineStr">
        <is>
          <t>K4-2A</t>
        </is>
      </c>
      <c r="F2076" t="n">
        <v>8613.116</v>
      </c>
    </row>
    <row r="2077">
      <c r="A2077" t="n">
        <v>5</v>
      </c>
      <c r="B2077" t="inlineStr">
        <is>
          <t>K4-2B</t>
        </is>
      </c>
      <c r="F2077" t="n">
        <v>6789.031</v>
      </c>
    </row>
    <row r="2078">
      <c r="A2078" t="n">
        <v>6</v>
      </c>
      <c r="B2078" t="inlineStr">
        <is>
          <t>K4-2C</t>
        </is>
      </c>
      <c r="F2078" t="n">
        <v>6441.085</v>
      </c>
    </row>
    <row r="2079">
      <c r="A2079" t="n">
        <v>7</v>
      </c>
      <c r="B2079" t="inlineStr">
        <is>
          <t>MeOH</t>
        </is>
      </c>
    </row>
    <row r="2080">
      <c r="A2080" t="n">
        <v>8</v>
      </c>
      <c r="B2080" t="inlineStr">
        <is>
          <t>K4-4A</t>
        </is>
      </c>
      <c r="F2080" t="n">
        <v>6856.379</v>
      </c>
    </row>
    <row r="2081">
      <c r="A2081" t="n">
        <v>9</v>
      </c>
      <c r="B2081" t="inlineStr">
        <is>
          <t>K4-4B</t>
        </is>
      </c>
      <c r="F2081" t="n">
        <v>8361.857</v>
      </c>
    </row>
    <row r="2082">
      <c r="A2082" t="n">
        <v>10</v>
      </c>
      <c r="B2082" t="inlineStr">
        <is>
          <t>K4-4C</t>
        </is>
      </c>
      <c r="F2082" t="n">
        <v>8247.347</v>
      </c>
    </row>
    <row r="2083">
      <c r="A2083" t="n">
        <v>11</v>
      </c>
      <c r="B2083" t="inlineStr">
        <is>
          <t>K4-5A</t>
        </is>
      </c>
      <c r="F2083" t="n">
        <v>7625.911</v>
      </c>
    </row>
    <row r="2084">
      <c r="A2084" t="n">
        <v>12</v>
      </c>
      <c r="B2084" t="inlineStr">
        <is>
          <t>K4-5B</t>
        </is>
      </c>
      <c r="F2084" t="n">
        <v>7830.348</v>
      </c>
    </row>
    <row r="2085">
      <c r="A2085" t="n">
        <v>13</v>
      </c>
      <c r="B2085" t="inlineStr">
        <is>
          <t>K4-5C</t>
        </is>
      </c>
      <c r="F2085" t="n">
        <v>6655.14</v>
      </c>
    </row>
    <row r="2086">
      <c r="A2086" t="n">
        <v>14</v>
      </c>
      <c r="B2086" t="inlineStr">
        <is>
          <t>MeOH</t>
        </is>
      </c>
    </row>
    <row r="2087">
      <c r="A2087" t="n">
        <v>15</v>
      </c>
      <c r="B2087" t="inlineStr">
        <is>
          <t>K3-1A</t>
        </is>
      </c>
      <c r="F2087" t="n">
        <v>8732.843000000001</v>
      </c>
    </row>
    <row r="2088">
      <c r="A2088" t="n">
        <v>16</v>
      </c>
      <c r="B2088" t="inlineStr">
        <is>
          <t>K3-1B</t>
        </is>
      </c>
      <c r="F2088" t="n">
        <v>7852.211</v>
      </c>
    </row>
    <row r="2089">
      <c r="A2089" t="n">
        <v>17</v>
      </c>
      <c r="B2089" t="inlineStr">
        <is>
          <t>K3-1C</t>
        </is>
      </c>
      <c r="F2089" t="n">
        <v>9807.196</v>
      </c>
    </row>
    <row r="2090">
      <c r="A2090" t="n">
        <v>18</v>
      </c>
      <c r="B2090" t="inlineStr">
        <is>
          <t>K3-2A</t>
        </is>
      </c>
      <c r="F2090" t="n">
        <v>10189.86</v>
      </c>
    </row>
    <row r="2091">
      <c r="A2091" t="n">
        <v>19</v>
      </c>
      <c r="B2091" t="inlineStr">
        <is>
          <t>K3-2B</t>
        </is>
      </c>
      <c r="F2091" t="n">
        <v>10207.86</v>
      </c>
    </row>
    <row r="2092">
      <c r="A2092" t="n">
        <v>20</v>
      </c>
      <c r="B2092" t="inlineStr">
        <is>
          <t>K3-2C</t>
        </is>
      </c>
      <c r="F2092" t="n">
        <v>8814.884</v>
      </c>
    </row>
    <row r="2093">
      <c r="A2093" t="n">
        <v>21</v>
      </c>
      <c r="B2093" t="inlineStr">
        <is>
          <t>MeOH</t>
        </is>
      </c>
    </row>
    <row r="2094">
      <c r="A2094" t="n">
        <v>22</v>
      </c>
      <c r="B2094" t="inlineStr">
        <is>
          <t>K3-3A</t>
        </is>
      </c>
      <c r="F2094" t="n">
        <v>8410.066000000001</v>
      </c>
    </row>
    <row r="2095">
      <c r="A2095" t="n">
        <v>23</v>
      </c>
      <c r="B2095" t="inlineStr">
        <is>
          <t>K3-3B</t>
        </is>
      </c>
      <c r="F2095" t="n">
        <v>8557.771000000001</v>
      </c>
    </row>
    <row r="2096">
      <c r="A2096" t="n">
        <v>24</v>
      </c>
      <c r="B2096" t="inlineStr">
        <is>
          <t>K3-3C</t>
        </is>
      </c>
      <c r="F2096" t="n">
        <v>9876.084000000001</v>
      </c>
    </row>
    <row r="2097">
      <c r="A2097" t="n">
        <v>25</v>
      </c>
      <c r="B2097" t="inlineStr">
        <is>
          <t>K3-4A</t>
        </is>
      </c>
      <c r="F2097" t="n">
        <v>10133.361</v>
      </c>
    </row>
    <row r="2098">
      <c r="A2098" t="n">
        <v>26</v>
      </c>
      <c r="B2098" t="inlineStr">
        <is>
          <t>K3-4B</t>
        </is>
      </c>
      <c r="D2098" t="n">
        <v>12.07</v>
      </c>
      <c r="E2098" t="n">
        <v>1.921</v>
      </c>
      <c r="F2098" t="n">
        <v>10043.649</v>
      </c>
      <c r="G2098" t="n">
        <v>17</v>
      </c>
      <c r="H2098" t="inlineStr">
        <is>
          <t>bb</t>
        </is>
      </c>
    </row>
    <row r="2099">
      <c r="A2099" t="n">
        <v>27</v>
      </c>
      <c r="B2099" t="inlineStr">
        <is>
          <t>K3-4C</t>
        </is>
      </c>
      <c r="F2099" t="n">
        <v>9604.054</v>
      </c>
    </row>
    <row r="2100">
      <c r="A2100" t="n">
        <v>28</v>
      </c>
      <c r="B2100" t="inlineStr">
        <is>
          <t>MeOH</t>
        </is>
      </c>
    </row>
    <row r="2101">
      <c r="A2101" t="n">
        <v>29</v>
      </c>
      <c r="B2101" t="inlineStr">
        <is>
          <t>K3-6A</t>
        </is>
      </c>
      <c r="F2101" t="n">
        <v>9362.067999999999</v>
      </c>
    </row>
    <row r="2102">
      <c r="A2102" t="n">
        <v>30</v>
      </c>
      <c r="B2102" t="inlineStr">
        <is>
          <t>K3-6B</t>
        </is>
      </c>
      <c r="F2102" t="n">
        <v>7438.873</v>
      </c>
    </row>
    <row r="2103">
      <c r="A2103" t="n">
        <v>31</v>
      </c>
      <c r="B2103" t="inlineStr">
        <is>
          <t>K3-6C</t>
        </is>
      </c>
      <c r="F2103" t="n">
        <v>7497.73</v>
      </c>
    </row>
    <row r="2105">
      <c r="A2105" t="inlineStr">
        <is>
          <t>Compound 61:  PFHpS 2</t>
        </is>
      </c>
    </row>
    <row r="2107">
      <c r="B2107" t="inlineStr">
        <is>
          <t>Sample Text</t>
        </is>
      </c>
      <c r="C2107" t="inlineStr">
        <is>
          <t>Std. Conc</t>
        </is>
      </c>
      <c r="D2107" t="inlineStr">
        <is>
          <t>RT</t>
        </is>
      </c>
      <c r="E2107" t="inlineStr">
        <is>
          <t>Area</t>
        </is>
      </c>
      <c r="F2107" t="inlineStr">
        <is>
          <t>IS Area</t>
        </is>
      </c>
      <c r="G2107" t="inlineStr">
        <is>
          <t>S/N</t>
        </is>
      </c>
      <c r="H2107" t="inlineStr">
        <is>
          <t>Primary Flags</t>
        </is>
      </c>
      <c r="I2107" t="inlineStr">
        <is>
          <t>Response</t>
        </is>
      </c>
      <c r="J2107" t="inlineStr">
        <is>
          <t>Conc.</t>
        </is>
      </c>
    </row>
    <row r="2108">
      <c r="A2108" t="n">
        <v>1</v>
      </c>
      <c r="B2108" t="inlineStr">
        <is>
          <t>K4-1A</t>
        </is>
      </c>
      <c r="D2108" t="n">
        <v>11.3</v>
      </c>
      <c r="E2108" t="n">
        <v>45.514</v>
      </c>
      <c r="F2108" t="n">
        <v>7333.607</v>
      </c>
      <c r="G2108" t="n">
        <v>4.323</v>
      </c>
      <c r="H2108" t="inlineStr">
        <is>
          <t>MM</t>
        </is>
      </c>
    </row>
    <row r="2109">
      <c r="A2109" t="n">
        <v>2</v>
      </c>
      <c r="B2109" t="inlineStr">
        <is>
          <t>K4-1B</t>
        </is>
      </c>
      <c r="D2109" t="n">
        <v>10.76</v>
      </c>
      <c r="E2109" t="n">
        <v>1.643</v>
      </c>
      <c r="F2109" t="n">
        <v>7556.923</v>
      </c>
      <c r="G2109" t="n">
        <v>18</v>
      </c>
      <c r="H2109" t="inlineStr">
        <is>
          <t>MM</t>
        </is>
      </c>
    </row>
    <row r="2110">
      <c r="A2110" t="n">
        <v>3</v>
      </c>
      <c r="B2110" t="inlineStr">
        <is>
          <t>K4-1C</t>
        </is>
      </c>
      <c r="D2110" t="n">
        <v>12.4</v>
      </c>
      <c r="E2110" t="n">
        <v>3.863</v>
      </c>
      <c r="F2110" t="n">
        <v>7543.019</v>
      </c>
      <c r="G2110" t="n">
        <v>36</v>
      </c>
      <c r="H2110" t="inlineStr">
        <is>
          <t>bb</t>
        </is>
      </c>
    </row>
    <row r="2111">
      <c r="A2111" t="n">
        <v>4</v>
      </c>
      <c r="B2111" t="inlineStr">
        <is>
          <t>K4-2A</t>
        </is>
      </c>
      <c r="D2111" t="n">
        <v>11.13</v>
      </c>
      <c r="E2111" t="n">
        <v>5.665</v>
      </c>
      <c r="F2111" t="n">
        <v>8613.116</v>
      </c>
      <c r="G2111" t="n">
        <v>56</v>
      </c>
      <c r="H2111" t="inlineStr">
        <is>
          <t>MM</t>
        </is>
      </c>
    </row>
    <row r="2112">
      <c r="A2112" t="n">
        <v>5</v>
      </c>
      <c r="B2112" t="inlineStr">
        <is>
          <t>K4-2B</t>
        </is>
      </c>
      <c r="D2112" t="n">
        <v>10.73</v>
      </c>
      <c r="E2112" t="n">
        <v>29.063</v>
      </c>
      <c r="F2112" t="n">
        <v>6789.031</v>
      </c>
      <c r="G2112" t="n">
        <v>323</v>
      </c>
      <c r="H2112" t="inlineStr">
        <is>
          <t>MM</t>
        </is>
      </c>
    </row>
    <row r="2113">
      <c r="A2113" t="n">
        <v>6</v>
      </c>
      <c r="B2113" t="inlineStr">
        <is>
          <t>K4-2C</t>
        </is>
      </c>
      <c r="D2113" t="n">
        <v>11.52</v>
      </c>
      <c r="E2113" t="n">
        <v>16.584</v>
      </c>
      <c r="F2113" t="n">
        <v>6441.085</v>
      </c>
      <c r="G2113" t="n">
        <v>159</v>
      </c>
      <c r="H2113" t="inlineStr">
        <is>
          <t>bb</t>
        </is>
      </c>
    </row>
    <row r="2114">
      <c r="A2114" t="n">
        <v>7</v>
      </c>
      <c r="B2114" t="inlineStr">
        <is>
          <t>MeOH</t>
        </is>
      </c>
      <c r="H2114" t="inlineStr">
        <is>
          <t>MM-</t>
        </is>
      </c>
    </row>
    <row r="2115">
      <c r="A2115" t="n">
        <v>8</v>
      </c>
      <c r="B2115" t="inlineStr">
        <is>
          <t>K4-4A</t>
        </is>
      </c>
      <c r="D2115" t="n">
        <v>11.64</v>
      </c>
      <c r="E2115" t="n">
        <v>8.477</v>
      </c>
      <c r="F2115" t="n">
        <v>6856.379</v>
      </c>
      <c r="G2115" t="n">
        <v>83</v>
      </c>
      <c r="H2115" t="inlineStr">
        <is>
          <t>bb</t>
        </is>
      </c>
    </row>
    <row r="2116">
      <c r="A2116" t="n">
        <v>9</v>
      </c>
      <c r="B2116" t="inlineStr">
        <is>
          <t>K4-4B</t>
        </is>
      </c>
      <c r="D2116" t="n">
        <v>11.92</v>
      </c>
      <c r="E2116" t="n">
        <v>84.896</v>
      </c>
      <c r="F2116" t="n">
        <v>8361.857</v>
      </c>
      <c r="G2116" t="n">
        <v>757</v>
      </c>
      <c r="H2116" t="inlineStr">
        <is>
          <t>bb</t>
        </is>
      </c>
    </row>
    <row r="2117">
      <c r="A2117" t="n">
        <v>10</v>
      </c>
      <c r="B2117" t="inlineStr">
        <is>
          <t>K4-4C</t>
        </is>
      </c>
      <c r="D2117" t="n">
        <v>12.04</v>
      </c>
      <c r="E2117" t="n">
        <v>26.341</v>
      </c>
      <c r="F2117" t="n">
        <v>8247.347</v>
      </c>
      <c r="G2117" t="n">
        <v>229</v>
      </c>
      <c r="H2117" t="inlineStr">
        <is>
          <t>bb</t>
        </is>
      </c>
    </row>
    <row r="2118">
      <c r="A2118" t="n">
        <v>11</v>
      </c>
      <c r="B2118" t="inlineStr">
        <is>
          <t>K4-5A</t>
        </is>
      </c>
      <c r="D2118" t="n">
        <v>11.25</v>
      </c>
      <c r="E2118" t="n">
        <v>21.998</v>
      </c>
      <c r="F2118" t="n">
        <v>7625.911</v>
      </c>
      <c r="G2118" t="n">
        <v>209</v>
      </c>
      <c r="H2118" t="inlineStr">
        <is>
          <t>MM</t>
        </is>
      </c>
    </row>
    <row r="2119">
      <c r="A2119" t="n">
        <v>12</v>
      </c>
      <c r="B2119" t="inlineStr">
        <is>
          <t>K4-5B</t>
        </is>
      </c>
      <c r="D2119" t="n">
        <v>12.12</v>
      </c>
      <c r="E2119" t="n">
        <v>5.437</v>
      </c>
      <c r="F2119" t="n">
        <v>7830.348</v>
      </c>
      <c r="G2119" t="n">
        <v>48</v>
      </c>
      <c r="H2119" t="inlineStr">
        <is>
          <t>bb</t>
        </is>
      </c>
    </row>
    <row r="2120">
      <c r="A2120" t="n">
        <v>13</v>
      </c>
      <c r="B2120" t="inlineStr">
        <is>
          <t>K4-5C</t>
        </is>
      </c>
      <c r="D2120" t="n">
        <v>11.67</v>
      </c>
      <c r="E2120" t="n">
        <v>5.017</v>
      </c>
      <c r="F2120" t="n">
        <v>6655.14</v>
      </c>
      <c r="G2120" t="n">
        <v>2.237</v>
      </c>
      <c r="H2120" t="inlineStr">
        <is>
          <t>bb</t>
        </is>
      </c>
    </row>
    <row r="2121">
      <c r="A2121" t="n">
        <v>14</v>
      </c>
      <c r="B2121" t="inlineStr">
        <is>
          <t>MeOH</t>
        </is>
      </c>
      <c r="H2121" t="inlineStr">
        <is>
          <t>MM-</t>
        </is>
      </c>
    </row>
    <row r="2122">
      <c r="A2122" t="n">
        <v>15</v>
      </c>
      <c r="B2122" t="inlineStr">
        <is>
          <t>K3-1A</t>
        </is>
      </c>
      <c r="D2122" t="n">
        <v>10.88</v>
      </c>
      <c r="E2122" t="n">
        <v>4.211</v>
      </c>
      <c r="F2122" t="n">
        <v>8732.843000000001</v>
      </c>
      <c r="G2122" t="n">
        <v>42</v>
      </c>
      <c r="H2122" t="inlineStr">
        <is>
          <t>MM</t>
        </is>
      </c>
    </row>
    <row r="2123">
      <c r="A2123" t="n">
        <v>16</v>
      </c>
      <c r="B2123" t="inlineStr">
        <is>
          <t>K3-1B</t>
        </is>
      </c>
      <c r="D2123" t="n">
        <v>11.95</v>
      </c>
      <c r="E2123" t="n">
        <v>2.258</v>
      </c>
      <c r="F2123" t="n">
        <v>7852.211</v>
      </c>
      <c r="G2123" t="n">
        <v>21</v>
      </c>
      <c r="H2123" t="inlineStr">
        <is>
          <t>bb</t>
        </is>
      </c>
    </row>
    <row r="2124">
      <c r="A2124" t="n">
        <v>17</v>
      </c>
      <c r="B2124" t="inlineStr">
        <is>
          <t>K3-1C</t>
        </is>
      </c>
      <c r="F2124" t="n">
        <v>9807.196</v>
      </c>
    </row>
    <row r="2125">
      <c r="A2125" t="n">
        <v>18</v>
      </c>
      <c r="B2125" t="inlineStr">
        <is>
          <t>K3-2A</t>
        </is>
      </c>
      <c r="D2125" t="n">
        <v>12.37</v>
      </c>
      <c r="E2125" t="n">
        <v>13.451</v>
      </c>
      <c r="F2125" t="n">
        <v>10189.86</v>
      </c>
      <c r="G2125" t="n">
        <v>123</v>
      </c>
      <c r="H2125" t="inlineStr">
        <is>
          <t>MM</t>
        </is>
      </c>
    </row>
    <row r="2126">
      <c r="A2126" t="n">
        <v>19</v>
      </c>
      <c r="B2126" t="inlineStr">
        <is>
          <t>K3-2B</t>
        </is>
      </c>
      <c r="D2126" t="n">
        <v>11.33</v>
      </c>
      <c r="E2126" t="n">
        <v>2.18</v>
      </c>
      <c r="F2126" t="n">
        <v>10207.86</v>
      </c>
      <c r="G2126" t="n">
        <v>2.355</v>
      </c>
      <c r="H2126" t="inlineStr">
        <is>
          <t>MM</t>
        </is>
      </c>
    </row>
    <row r="2127">
      <c r="A2127" t="n">
        <v>20</v>
      </c>
      <c r="B2127" t="inlineStr">
        <is>
          <t>K3-2C</t>
        </is>
      </c>
      <c r="D2127" t="n">
        <v>11.51</v>
      </c>
      <c r="E2127" t="n">
        <v>1.897</v>
      </c>
      <c r="F2127" t="n">
        <v>8814.884</v>
      </c>
      <c r="G2127" t="n">
        <v>19</v>
      </c>
      <c r="H2127" t="inlineStr">
        <is>
          <t>bb</t>
        </is>
      </c>
    </row>
    <row r="2128">
      <c r="A2128" t="n">
        <v>21</v>
      </c>
      <c r="B2128" t="inlineStr">
        <is>
          <t>MeOH</t>
        </is>
      </c>
      <c r="H2128" t="inlineStr">
        <is>
          <t>MM-</t>
        </is>
      </c>
    </row>
    <row r="2129">
      <c r="A2129" t="n">
        <v>22</v>
      </c>
      <c r="B2129" t="inlineStr">
        <is>
          <t>K3-3A</t>
        </is>
      </c>
      <c r="D2129" t="n">
        <v>11.49</v>
      </c>
      <c r="E2129" t="n">
        <v>22.818</v>
      </c>
      <c r="F2129" t="n">
        <v>8410.066000000001</v>
      </c>
      <c r="G2129" t="n">
        <v>213</v>
      </c>
      <c r="H2129" t="inlineStr">
        <is>
          <t>MM</t>
        </is>
      </c>
    </row>
    <row r="2130">
      <c r="A2130" t="n">
        <v>23</v>
      </c>
      <c r="B2130" t="inlineStr">
        <is>
          <t>K3-3B</t>
        </is>
      </c>
      <c r="D2130" t="n">
        <v>11.46</v>
      </c>
      <c r="E2130" t="n">
        <v>23.62</v>
      </c>
      <c r="F2130" t="n">
        <v>8557.771000000001</v>
      </c>
      <c r="G2130" t="n">
        <v>6.449</v>
      </c>
      <c r="H2130" t="inlineStr">
        <is>
          <t>bb</t>
        </is>
      </c>
    </row>
    <row r="2131">
      <c r="A2131" t="n">
        <v>24</v>
      </c>
      <c r="B2131" t="inlineStr">
        <is>
          <t>K3-3C</t>
        </is>
      </c>
      <c r="D2131" t="n">
        <v>12.35</v>
      </c>
      <c r="E2131" t="n">
        <v>22.209</v>
      </c>
      <c r="F2131" t="n">
        <v>9876.084000000001</v>
      </c>
      <c r="G2131" t="n">
        <v>3.364</v>
      </c>
      <c r="H2131" t="inlineStr">
        <is>
          <t>MM</t>
        </is>
      </c>
    </row>
    <row r="2132">
      <c r="A2132" t="n">
        <v>25</v>
      </c>
      <c r="B2132" t="inlineStr">
        <is>
          <t>K3-4A</t>
        </is>
      </c>
      <c r="D2132" t="n">
        <v>11.64</v>
      </c>
      <c r="E2132" t="n">
        <v>40.878</v>
      </c>
      <c r="F2132" t="n">
        <v>10133.361</v>
      </c>
      <c r="G2132" t="n">
        <v>389</v>
      </c>
      <c r="H2132" t="inlineStr">
        <is>
          <t>bb</t>
        </is>
      </c>
    </row>
    <row r="2133">
      <c r="A2133" t="n">
        <v>26</v>
      </c>
      <c r="B2133" t="inlineStr">
        <is>
          <t>K3-4B</t>
        </is>
      </c>
      <c r="D2133" t="n">
        <v>12.37</v>
      </c>
      <c r="E2133" t="n">
        <v>33.057</v>
      </c>
      <c r="F2133" t="n">
        <v>10043.649</v>
      </c>
      <c r="G2133" t="n">
        <v>6.962</v>
      </c>
      <c r="H2133" t="inlineStr">
        <is>
          <t>bb</t>
        </is>
      </c>
    </row>
    <row r="2134">
      <c r="A2134" t="n">
        <v>27</v>
      </c>
      <c r="B2134" t="inlineStr">
        <is>
          <t>K3-4C</t>
        </is>
      </c>
      <c r="D2134" t="n">
        <v>12.1</v>
      </c>
      <c r="E2134" t="n">
        <v>14.239</v>
      </c>
      <c r="F2134" t="n">
        <v>9604.054</v>
      </c>
      <c r="G2134" t="n">
        <v>1.036</v>
      </c>
      <c r="H2134" t="inlineStr">
        <is>
          <t>MM</t>
        </is>
      </c>
    </row>
    <row r="2135">
      <c r="A2135" t="n">
        <v>28</v>
      </c>
      <c r="B2135" t="inlineStr">
        <is>
          <t>MeOH</t>
        </is>
      </c>
      <c r="H2135" t="inlineStr">
        <is>
          <t>MM-</t>
        </is>
      </c>
    </row>
    <row r="2136">
      <c r="A2136" t="n">
        <v>29</v>
      </c>
      <c r="B2136" t="inlineStr">
        <is>
          <t>K3-6A</t>
        </is>
      </c>
      <c r="D2136" t="n">
        <v>11.64</v>
      </c>
      <c r="E2136" t="n">
        <v>49.762</v>
      </c>
      <c r="F2136" t="n">
        <v>9362.067999999999</v>
      </c>
      <c r="G2136" t="n">
        <v>40.088</v>
      </c>
      <c r="H2136" t="inlineStr">
        <is>
          <t>MM</t>
        </is>
      </c>
    </row>
    <row r="2137">
      <c r="A2137" t="n">
        <v>30</v>
      </c>
      <c r="B2137" t="inlineStr">
        <is>
          <t>K3-6B</t>
        </is>
      </c>
      <c r="D2137" t="n">
        <v>12.22</v>
      </c>
      <c r="E2137" t="n">
        <v>9.917</v>
      </c>
      <c r="F2137" t="n">
        <v>7438.873</v>
      </c>
      <c r="G2137" t="n">
        <v>87</v>
      </c>
      <c r="H2137" t="inlineStr">
        <is>
          <t>bb</t>
        </is>
      </c>
    </row>
    <row r="2138">
      <c r="A2138" t="n">
        <v>31</v>
      </c>
      <c r="B2138" t="inlineStr">
        <is>
          <t>K3-6C</t>
        </is>
      </c>
      <c r="D2138" t="n">
        <v>12.01</v>
      </c>
      <c r="E2138" t="n">
        <v>7.469</v>
      </c>
      <c r="F2138" t="n">
        <v>7497.73</v>
      </c>
      <c r="G2138" t="n">
        <v>1.458</v>
      </c>
      <c r="H2138" t="inlineStr">
        <is>
          <t>MM</t>
        </is>
      </c>
    </row>
    <row r="2140">
      <c r="A2140" t="inlineStr">
        <is>
          <t>Compound 62:  m2 8:2 FTUCA</t>
        </is>
      </c>
    </row>
    <row r="2142">
      <c r="B2142" t="inlineStr">
        <is>
          <t>Sample Text</t>
        </is>
      </c>
      <c r="C2142" t="inlineStr">
        <is>
          <t>Std. Conc</t>
        </is>
      </c>
      <c r="D2142" t="inlineStr">
        <is>
          <t>RT</t>
        </is>
      </c>
      <c r="E2142" t="inlineStr">
        <is>
          <t>Area</t>
        </is>
      </c>
      <c r="F2142" t="inlineStr">
        <is>
          <t>IS Area</t>
        </is>
      </c>
      <c r="G2142" t="inlineStr">
        <is>
          <t>S/N</t>
        </is>
      </c>
      <c r="H2142" t="inlineStr">
        <is>
          <t>Primary Flags</t>
        </is>
      </c>
      <c r="I2142" t="inlineStr">
        <is>
          <t>Response</t>
        </is>
      </c>
      <c r="J2142" t="inlineStr">
        <is>
          <t>Conc.</t>
        </is>
      </c>
    </row>
    <row r="2143">
      <c r="A2143" t="n">
        <v>1</v>
      </c>
      <c r="B2143" t="inlineStr">
        <is>
          <t>K4-1A</t>
        </is>
      </c>
      <c r="D2143" t="n">
        <v>13.42</v>
      </c>
      <c r="E2143" t="n">
        <v>14303.523</v>
      </c>
      <c r="G2143" t="n">
        <v>91096.55100000001</v>
      </c>
      <c r="H2143" t="inlineStr">
        <is>
          <t>bb</t>
        </is>
      </c>
      <c r="I2143" t="n">
        <v>14303.523</v>
      </c>
    </row>
    <row r="2144">
      <c r="A2144" t="n">
        <v>2</v>
      </c>
      <c r="B2144" t="inlineStr">
        <is>
          <t>K4-1B</t>
        </is>
      </c>
      <c r="D2144" t="n">
        <v>13.42</v>
      </c>
      <c r="E2144" t="n">
        <v>13586.268</v>
      </c>
      <c r="G2144" t="n">
        <v>1555.966</v>
      </c>
      <c r="H2144" t="inlineStr">
        <is>
          <t>bb</t>
        </is>
      </c>
      <c r="I2144" t="n">
        <v>13586.268</v>
      </c>
    </row>
    <row r="2145">
      <c r="A2145" t="n">
        <v>3</v>
      </c>
      <c r="B2145" t="inlineStr">
        <is>
          <t>K4-1C</t>
        </is>
      </c>
      <c r="D2145" t="n">
        <v>13.44</v>
      </c>
      <c r="E2145" t="n">
        <v>14246.736</v>
      </c>
      <c r="G2145" t="n">
        <v>1384.852</v>
      </c>
      <c r="H2145" t="inlineStr">
        <is>
          <t>bb</t>
        </is>
      </c>
      <c r="I2145" t="n">
        <v>14246.736</v>
      </c>
    </row>
    <row r="2146">
      <c r="A2146" t="n">
        <v>4</v>
      </c>
      <c r="B2146" t="inlineStr">
        <is>
          <t>K4-2A</t>
        </is>
      </c>
      <c r="D2146" t="n">
        <v>13.44</v>
      </c>
      <c r="E2146" t="n">
        <v>12497.551</v>
      </c>
      <c r="G2146" t="n">
        <v>189.924</v>
      </c>
      <c r="H2146" t="inlineStr">
        <is>
          <t>bb</t>
        </is>
      </c>
      <c r="I2146" t="n">
        <v>12497.551</v>
      </c>
    </row>
    <row r="2147">
      <c r="A2147" t="n">
        <v>5</v>
      </c>
      <c r="B2147" t="inlineStr">
        <is>
          <t>K4-2B</t>
        </is>
      </c>
      <c r="D2147" t="n">
        <v>13.44</v>
      </c>
      <c r="E2147" t="n">
        <v>11936.793</v>
      </c>
      <c r="G2147" t="n">
        <v>3182.717</v>
      </c>
      <c r="H2147" t="inlineStr">
        <is>
          <t>bb</t>
        </is>
      </c>
      <c r="I2147" t="n">
        <v>11936.793</v>
      </c>
    </row>
    <row r="2148">
      <c r="A2148" t="n">
        <v>6</v>
      </c>
      <c r="B2148" t="inlineStr">
        <is>
          <t>K4-2C</t>
        </is>
      </c>
      <c r="D2148" t="n">
        <v>13.46</v>
      </c>
      <c r="E2148" t="n">
        <v>10641.741</v>
      </c>
      <c r="G2148" t="n">
        <v>67818</v>
      </c>
      <c r="H2148" t="inlineStr">
        <is>
          <t>bb</t>
        </is>
      </c>
      <c r="I2148" t="n">
        <v>10641.741</v>
      </c>
    </row>
    <row r="2149">
      <c r="A2149" t="n">
        <v>7</v>
      </c>
      <c r="B2149" t="inlineStr">
        <is>
          <t>MeOH</t>
        </is>
      </c>
      <c r="H2149" t="inlineStr">
        <is>
          <t>MM-</t>
        </is>
      </c>
    </row>
    <row r="2150">
      <c r="A2150" t="n">
        <v>8</v>
      </c>
      <c r="B2150" t="inlineStr">
        <is>
          <t>K4-4A</t>
        </is>
      </c>
      <c r="D2150" t="n">
        <v>13.47</v>
      </c>
      <c r="E2150" t="n">
        <v>11983.559</v>
      </c>
      <c r="G2150" t="n">
        <v>437.66</v>
      </c>
      <c r="H2150" t="inlineStr">
        <is>
          <t>bb</t>
        </is>
      </c>
      <c r="I2150" t="n">
        <v>11983.559</v>
      </c>
    </row>
    <row r="2151">
      <c r="A2151" t="n">
        <v>9</v>
      </c>
      <c r="B2151" t="inlineStr">
        <is>
          <t>K4-4B</t>
        </is>
      </c>
      <c r="D2151" t="n">
        <v>13.47</v>
      </c>
      <c r="E2151" t="n">
        <v>11308.573</v>
      </c>
      <c r="G2151" t="n">
        <v>185.637</v>
      </c>
      <c r="H2151" t="inlineStr">
        <is>
          <t>bb</t>
        </is>
      </c>
      <c r="I2151" t="n">
        <v>11308.573</v>
      </c>
    </row>
    <row r="2152">
      <c r="A2152" t="n">
        <v>10</v>
      </c>
      <c r="B2152" t="inlineStr">
        <is>
          <t>K4-4C</t>
        </is>
      </c>
      <c r="D2152" t="n">
        <v>13.47</v>
      </c>
      <c r="E2152" t="n">
        <v>11266.559</v>
      </c>
      <c r="G2152" t="n">
        <v>925.572</v>
      </c>
      <c r="H2152" t="inlineStr">
        <is>
          <t>bb</t>
        </is>
      </c>
      <c r="I2152" t="n">
        <v>11266.559</v>
      </c>
    </row>
    <row r="2153">
      <c r="A2153" t="n">
        <v>11</v>
      </c>
      <c r="B2153" t="inlineStr">
        <is>
          <t>K4-5A</t>
        </is>
      </c>
      <c r="D2153" t="n">
        <v>13.45</v>
      </c>
      <c r="E2153" t="n">
        <v>11589.213</v>
      </c>
      <c r="G2153" t="n">
        <v>240.185</v>
      </c>
      <c r="H2153" t="inlineStr">
        <is>
          <t>bb</t>
        </is>
      </c>
      <c r="I2153" t="n">
        <v>11589.213</v>
      </c>
    </row>
    <row r="2154">
      <c r="A2154" t="n">
        <v>12</v>
      </c>
      <c r="B2154" t="inlineStr">
        <is>
          <t>K4-5B</t>
        </is>
      </c>
      <c r="D2154" t="n">
        <v>13.42</v>
      </c>
      <c r="E2154" t="n">
        <v>11507.958</v>
      </c>
      <c r="G2154" t="n">
        <v>1420.731</v>
      </c>
      <c r="H2154" t="inlineStr">
        <is>
          <t>bb</t>
        </is>
      </c>
      <c r="I2154" t="n">
        <v>11507.958</v>
      </c>
    </row>
    <row r="2155">
      <c r="A2155" t="n">
        <v>13</v>
      </c>
      <c r="B2155" t="inlineStr">
        <is>
          <t>K4-5C</t>
        </is>
      </c>
      <c r="D2155" t="n">
        <v>13.36</v>
      </c>
      <c r="E2155" t="n">
        <v>11597.774</v>
      </c>
      <c r="G2155" t="n">
        <v>2117.344</v>
      </c>
      <c r="H2155" t="inlineStr">
        <is>
          <t>bb</t>
        </is>
      </c>
      <c r="I2155" t="n">
        <v>11597.774</v>
      </c>
    </row>
    <row r="2156">
      <c r="A2156" t="n">
        <v>14</v>
      </c>
      <c r="B2156" t="inlineStr">
        <is>
          <t>MeOH</t>
        </is>
      </c>
    </row>
    <row r="2157">
      <c r="A2157" t="n">
        <v>15</v>
      </c>
      <c r="B2157" t="inlineStr">
        <is>
          <t>K3-1A</t>
        </is>
      </c>
      <c r="D2157" t="n">
        <v>13.31</v>
      </c>
      <c r="E2157" t="n">
        <v>11413.747</v>
      </c>
      <c r="G2157" t="n">
        <v>171.42</v>
      </c>
      <c r="H2157" t="inlineStr">
        <is>
          <t>bb</t>
        </is>
      </c>
      <c r="I2157" t="n">
        <v>11413.747</v>
      </c>
    </row>
    <row r="2158">
      <c r="A2158" t="n">
        <v>16</v>
      </c>
      <c r="B2158" t="inlineStr">
        <is>
          <t>K3-1B</t>
        </is>
      </c>
      <c r="D2158" t="n">
        <v>13.33</v>
      </c>
      <c r="E2158" t="n">
        <v>10497.812</v>
      </c>
      <c r="G2158" t="n">
        <v>382.168</v>
      </c>
      <c r="H2158" t="inlineStr">
        <is>
          <t>bb</t>
        </is>
      </c>
      <c r="I2158" t="n">
        <v>10497.812</v>
      </c>
    </row>
    <row r="2159">
      <c r="A2159" t="n">
        <v>17</v>
      </c>
      <c r="B2159" t="inlineStr">
        <is>
          <t>K3-1C</t>
        </is>
      </c>
      <c r="D2159" t="n">
        <v>13.37</v>
      </c>
      <c r="E2159" t="n">
        <v>15723.158</v>
      </c>
      <c r="G2159" t="n">
        <v>526.133</v>
      </c>
      <c r="H2159" t="inlineStr">
        <is>
          <t>bb</t>
        </is>
      </c>
      <c r="I2159" t="n">
        <v>15723.158</v>
      </c>
    </row>
    <row r="2160">
      <c r="A2160" t="n">
        <v>18</v>
      </c>
      <c r="B2160" t="inlineStr">
        <is>
          <t>K3-2A</t>
        </is>
      </c>
      <c r="D2160" t="n">
        <v>13.39</v>
      </c>
      <c r="E2160" t="n">
        <v>14455.79</v>
      </c>
      <c r="G2160" t="n">
        <v>91132</v>
      </c>
      <c r="H2160" t="inlineStr">
        <is>
          <t>bb</t>
        </is>
      </c>
      <c r="I2160" t="n">
        <v>14455.79</v>
      </c>
    </row>
    <row r="2161">
      <c r="A2161" t="n">
        <v>19</v>
      </c>
      <c r="B2161" t="inlineStr">
        <is>
          <t>K3-2B</t>
        </is>
      </c>
      <c r="D2161" t="n">
        <v>13.39</v>
      </c>
      <c r="E2161" t="n">
        <v>18298.676</v>
      </c>
      <c r="G2161" t="n">
        <v>136.629</v>
      </c>
      <c r="H2161" t="inlineStr">
        <is>
          <t>bb</t>
        </is>
      </c>
      <c r="I2161" t="n">
        <v>18298.676</v>
      </c>
    </row>
    <row r="2162">
      <c r="A2162" t="n">
        <v>20</v>
      </c>
      <c r="B2162" t="inlineStr">
        <is>
          <t>K3-2C</t>
        </is>
      </c>
      <c r="D2162" t="n">
        <v>13.39</v>
      </c>
      <c r="E2162" t="n">
        <v>14690.529</v>
      </c>
      <c r="G2162" t="n">
        <v>167.864</v>
      </c>
      <c r="H2162" t="inlineStr">
        <is>
          <t>bb</t>
        </is>
      </c>
      <c r="I2162" t="n">
        <v>14690.529</v>
      </c>
    </row>
    <row r="2163">
      <c r="A2163" t="n">
        <v>21</v>
      </c>
      <c r="B2163" t="inlineStr">
        <is>
          <t>MeOH</t>
        </is>
      </c>
    </row>
    <row r="2164">
      <c r="A2164" t="n">
        <v>22</v>
      </c>
      <c r="B2164" t="inlineStr">
        <is>
          <t>K3-3A</t>
        </is>
      </c>
      <c r="D2164" t="n">
        <v>13.42</v>
      </c>
      <c r="E2164" t="n">
        <v>13657.874</v>
      </c>
      <c r="G2164" t="n">
        <v>91.29900000000001</v>
      </c>
      <c r="H2164" t="inlineStr">
        <is>
          <t>bb</t>
        </is>
      </c>
      <c r="I2164" t="n">
        <v>13657.874</v>
      </c>
    </row>
    <row r="2165">
      <c r="A2165" t="n">
        <v>23</v>
      </c>
      <c r="B2165" t="inlineStr">
        <is>
          <t>K3-3B</t>
        </is>
      </c>
      <c r="D2165" t="n">
        <v>13.42</v>
      </c>
      <c r="E2165" t="n">
        <v>15926.61</v>
      </c>
      <c r="G2165" t="n">
        <v>99452</v>
      </c>
      <c r="H2165" t="inlineStr">
        <is>
          <t>bb</t>
        </is>
      </c>
      <c r="I2165" t="n">
        <v>15926.61</v>
      </c>
    </row>
    <row r="2166">
      <c r="A2166" t="n">
        <v>24</v>
      </c>
      <c r="B2166" t="inlineStr">
        <is>
          <t>K3-3C</t>
        </is>
      </c>
      <c r="D2166" t="n">
        <v>13.42</v>
      </c>
      <c r="E2166" t="n">
        <v>17799.131</v>
      </c>
      <c r="G2166" t="n">
        <v>1161.874</v>
      </c>
      <c r="H2166" t="inlineStr">
        <is>
          <t>bb</t>
        </is>
      </c>
      <c r="I2166" t="n">
        <v>17799.131</v>
      </c>
    </row>
    <row r="2167">
      <c r="A2167" t="n">
        <v>25</v>
      </c>
      <c r="B2167" t="inlineStr">
        <is>
          <t>K3-4A</t>
        </is>
      </c>
      <c r="D2167" t="n">
        <v>13.47</v>
      </c>
      <c r="E2167" t="n">
        <v>18321.529</v>
      </c>
      <c r="G2167" t="n">
        <v>1438.97</v>
      </c>
      <c r="H2167" t="inlineStr">
        <is>
          <t>bb</t>
        </is>
      </c>
      <c r="I2167" t="n">
        <v>18321.529</v>
      </c>
    </row>
    <row r="2168">
      <c r="A2168" t="n">
        <v>26</v>
      </c>
      <c r="B2168" t="inlineStr">
        <is>
          <t>K3-4B</t>
        </is>
      </c>
      <c r="D2168" t="n">
        <v>13.46</v>
      </c>
      <c r="E2168" t="n">
        <v>17738.742</v>
      </c>
      <c r="G2168" t="n">
        <v>114331</v>
      </c>
      <c r="H2168" t="inlineStr">
        <is>
          <t>bb</t>
        </is>
      </c>
      <c r="I2168" t="n">
        <v>17738.742</v>
      </c>
    </row>
    <row r="2169">
      <c r="A2169" t="n">
        <v>27</v>
      </c>
      <c r="B2169" t="inlineStr">
        <is>
          <t>K3-4C</t>
        </is>
      </c>
      <c r="D2169" t="n">
        <v>13.5</v>
      </c>
      <c r="E2169" t="n">
        <v>19555.072</v>
      </c>
      <c r="G2169" t="n">
        <v>1983.844</v>
      </c>
      <c r="H2169" t="inlineStr">
        <is>
          <t>bb</t>
        </is>
      </c>
      <c r="I2169" t="n">
        <v>19555.072</v>
      </c>
    </row>
    <row r="2170">
      <c r="A2170" t="n">
        <v>28</v>
      </c>
      <c r="B2170" t="inlineStr">
        <is>
          <t>MeOH</t>
        </is>
      </c>
      <c r="H2170" t="inlineStr">
        <is>
          <t>MM-</t>
        </is>
      </c>
    </row>
    <row r="2171">
      <c r="A2171" t="n">
        <v>29</v>
      </c>
      <c r="B2171" t="inlineStr">
        <is>
          <t>K3-6A</t>
        </is>
      </c>
      <c r="D2171" t="n">
        <v>13.5</v>
      </c>
      <c r="E2171" t="n">
        <v>18234.711</v>
      </c>
      <c r="G2171" t="n">
        <v>714.509</v>
      </c>
      <c r="H2171" t="inlineStr">
        <is>
          <t>bb</t>
        </is>
      </c>
      <c r="I2171" t="n">
        <v>18234.711</v>
      </c>
    </row>
    <row r="2172">
      <c r="A2172" t="n">
        <v>30</v>
      </c>
      <c r="B2172" t="inlineStr">
        <is>
          <t>K3-6B</t>
        </is>
      </c>
      <c r="D2172" t="n">
        <v>13.5</v>
      </c>
      <c r="E2172" t="n">
        <v>14472.663</v>
      </c>
      <c r="G2172" t="n">
        <v>96179</v>
      </c>
      <c r="H2172" t="inlineStr">
        <is>
          <t>bb</t>
        </is>
      </c>
      <c r="I2172" t="n">
        <v>14472.663</v>
      </c>
    </row>
    <row r="2173">
      <c r="A2173" t="n">
        <v>31</v>
      </c>
      <c r="B2173" t="inlineStr">
        <is>
          <t>K3-6C</t>
        </is>
      </c>
      <c r="D2173" t="n">
        <v>13.49</v>
      </c>
      <c r="E2173" t="n">
        <v>14478.732</v>
      </c>
      <c r="G2173" t="n">
        <v>542.622</v>
      </c>
      <c r="H2173" t="inlineStr">
        <is>
          <t>bb</t>
        </is>
      </c>
      <c r="I2173" t="n">
        <v>14478.732</v>
      </c>
    </row>
    <row r="2175">
      <c r="A2175" t="inlineStr">
        <is>
          <t>Compound 63:  PFNA 1</t>
        </is>
      </c>
    </row>
    <row r="2177">
      <c r="B2177" t="inlineStr">
        <is>
          <t>Sample Text</t>
        </is>
      </c>
      <c r="C2177" t="inlineStr">
        <is>
          <t>Std. Conc</t>
        </is>
      </c>
      <c r="D2177" t="inlineStr">
        <is>
          <t>RT</t>
        </is>
      </c>
      <c r="E2177" t="inlineStr">
        <is>
          <t>Area</t>
        </is>
      </c>
      <c r="F2177" t="inlineStr">
        <is>
          <t>IS Area</t>
        </is>
      </c>
      <c r="G2177" t="inlineStr">
        <is>
          <t>S/N</t>
        </is>
      </c>
      <c r="H2177" t="inlineStr">
        <is>
          <t>Primary Flags</t>
        </is>
      </c>
      <c r="I2177" t="inlineStr">
        <is>
          <t>Response</t>
        </is>
      </c>
      <c r="J2177" t="inlineStr">
        <is>
          <t>Conc.</t>
        </is>
      </c>
    </row>
    <row r="2178">
      <c r="A2178" t="n">
        <v>1</v>
      </c>
      <c r="B2178" t="inlineStr">
        <is>
          <t>K4-1A</t>
        </is>
      </c>
      <c r="D2178" t="n">
        <v>13.11</v>
      </c>
      <c r="E2178" t="n">
        <v>642.792</v>
      </c>
      <c r="F2178" t="n">
        <v>3034.158</v>
      </c>
      <c r="G2178" t="n">
        <v>11.675</v>
      </c>
      <c r="H2178" t="inlineStr">
        <is>
          <t>MM</t>
        </is>
      </c>
    </row>
    <row r="2179">
      <c r="A2179" t="n">
        <v>2</v>
      </c>
      <c r="B2179" t="inlineStr">
        <is>
          <t>K4-1B</t>
        </is>
      </c>
      <c r="D2179" t="n">
        <v>13.12</v>
      </c>
      <c r="E2179" t="n">
        <v>505.925</v>
      </c>
      <c r="F2179" t="n">
        <v>3000.833</v>
      </c>
      <c r="G2179" t="n">
        <v>4.532</v>
      </c>
      <c r="H2179" t="inlineStr">
        <is>
          <t>bb</t>
        </is>
      </c>
    </row>
    <row r="2180">
      <c r="A2180" t="n">
        <v>3</v>
      </c>
      <c r="B2180" t="inlineStr">
        <is>
          <t>K4-1C</t>
        </is>
      </c>
      <c r="D2180" t="n">
        <v>13.11</v>
      </c>
      <c r="E2180" t="n">
        <v>454.594</v>
      </c>
      <c r="F2180" t="n">
        <v>2957.755</v>
      </c>
      <c r="G2180" t="n">
        <v>9.218</v>
      </c>
      <c r="H2180" t="inlineStr">
        <is>
          <t>bb</t>
        </is>
      </c>
    </row>
    <row r="2181">
      <c r="A2181" t="n">
        <v>4</v>
      </c>
      <c r="B2181" t="inlineStr">
        <is>
          <t>K4-2A</t>
        </is>
      </c>
      <c r="D2181" t="n">
        <v>13.11</v>
      </c>
      <c r="E2181" t="n">
        <v>1004.704</v>
      </c>
      <c r="F2181" t="n">
        <v>2249.78</v>
      </c>
      <c r="G2181" t="n">
        <v>16.268</v>
      </c>
      <c r="H2181" t="inlineStr">
        <is>
          <t>MM</t>
        </is>
      </c>
    </row>
    <row r="2182">
      <c r="A2182" t="n">
        <v>5</v>
      </c>
      <c r="B2182" t="inlineStr">
        <is>
          <t>K4-2B</t>
        </is>
      </c>
      <c r="D2182" t="n">
        <v>13.12</v>
      </c>
      <c r="E2182" t="n">
        <v>300.603</v>
      </c>
      <c r="F2182" t="n">
        <v>2723.332</v>
      </c>
      <c r="G2182" t="n">
        <v>6.643</v>
      </c>
      <c r="H2182" t="inlineStr">
        <is>
          <t>MM</t>
        </is>
      </c>
    </row>
    <row r="2183">
      <c r="A2183" t="n">
        <v>6</v>
      </c>
      <c r="B2183" t="inlineStr">
        <is>
          <t>K4-2C</t>
        </is>
      </c>
      <c r="D2183" t="n">
        <v>13.15</v>
      </c>
      <c r="E2183" t="n">
        <v>168.883</v>
      </c>
      <c r="F2183" t="n">
        <v>2283.646</v>
      </c>
      <c r="G2183" t="n">
        <v>3.69</v>
      </c>
      <c r="H2183" t="inlineStr">
        <is>
          <t>MM</t>
        </is>
      </c>
    </row>
    <row r="2184">
      <c r="A2184" t="n">
        <v>7</v>
      </c>
      <c r="B2184" t="inlineStr">
        <is>
          <t>MeOH</t>
        </is>
      </c>
      <c r="H2184" t="inlineStr">
        <is>
          <t>MM-</t>
        </is>
      </c>
    </row>
    <row r="2185">
      <c r="A2185" t="n">
        <v>8</v>
      </c>
      <c r="B2185" t="inlineStr">
        <is>
          <t>K4-4A</t>
        </is>
      </c>
      <c r="D2185" t="n">
        <v>13.17</v>
      </c>
      <c r="E2185" t="n">
        <v>527.724</v>
      </c>
      <c r="F2185" t="n">
        <v>1724.848</v>
      </c>
      <c r="G2185" t="n">
        <v>8.891999999999999</v>
      </c>
      <c r="H2185" t="inlineStr">
        <is>
          <t>bb</t>
        </is>
      </c>
    </row>
    <row r="2186">
      <c r="A2186" t="n">
        <v>9</v>
      </c>
      <c r="B2186" t="inlineStr">
        <is>
          <t>K4-4B</t>
        </is>
      </c>
      <c r="D2186" t="n">
        <v>13.14</v>
      </c>
      <c r="E2186" t="n">
        <v>485.422</v>
      </c>
      <c r="F2186" t="n">
        <v>2218.471</v>
      </c>
      <c r="G2186" t="n">
        <v>12.22</v>
      </c>
      <c r="H2186" t="inlineStr">
        <is>
          <t>bd</t>
        </is>
      </c>
    </row>
    <row r="2187">
      <c r="A2187" t="n">
        <v>10</v>
      </c>
      <c r="B2187" t="inlineStr">
        <is>
          <t>K4-4C</t>
        </is>
      </c>
      <c r="D2187" t="n">
        <v>13.15</v>
      </c>
      <c r="E2187" t="n">
        <v>359.635</v>
      </c>
      <c r="F2187" t="n">
        <v>2598.377</v>
      </c>
      <c r="G2187" t="n">
        <v>4.496</v>
      </c>
      <c r="H2187" t="inlineStr">
        <is>
          <t>bb</t>
        </is>
      </c>
    </row>
    <row r="2188">
      <c r="A2188" t="n">
        <v>11</v>
      </c>
      <c r="B2188" t="inlineStr">
        <is>
          <t>K4-5A</t>
        </is>
      </c>
      <c r="D2188" t="n">
        <v>13.15</v>
      </c>
      <c r="E2188" t="n">
        <v>384.76</v>
      </c>
      <c r="F2188" t="n">
        <v>2438.789</v>
      </c>
      <c r="G2188" t="n">
        <v>3.399</v>
      </c>
      <c r="H2188" t="inlineStr">
        <is>
          <t>bb</t>
        </is>
      </c>
    </row>
    <row r="2189">
      <c r="A2189" t="n">
        <v>12</v>
      </c>
      <c r="B2189" t="inlineStr">
        <is>
          <t>K4-5B</t>
        </is>
      </c>
      <c r="D2189" t="n">
        <v>13.09</v>
      </c>
      <c r="E2189" t="n">
        <v>977.99</v>
      </c>
      <c r="F2189" t="n">
        <v>1988.313</v>
      </c>
      <c r="G2189" t="n">
        <v>14.322</v>
      </c>
      <c r="H2189" t="inlineStr">
        <is>
          <t>MM</t>
        </is>
      </c>
    </row>
    <row r="2190">
      <c r="A2190" t="n">
        <v>13</v>
      </c>
      <c r="B2190" t="inlineStr">
        <is>
          <t>K4-5C</t>
        </is>
      </c>
      <c r="D2190" t="n">
        <v>13.07</v>
      </c>
      <c r="E2190" t="n">
        <v>397.025</v>
      </c>
      <c r="F2190" t="n">
        <v>2087.422</v>
      </c>
      <c r="G2190" t="n">
        <v>7.543</v>
      </c>
      <c r="H2190" t="inlineStr">
        <is>
          <t>bb</t>
        </is>
      </c>
    </row>
    <row r="2191">
      <c r="A2191" t="n">
        <v>14</v>
      </c>
      <c r="B2191" t="inlineStr">
        <is>
          <t>MeOH</t>
        </is>
      </c>
      <c r="H2191" t="inlineStr">
        <is>
          <t>MM-</t>
        </is>
      </c>
    </row>
    <row r="2192">
      <c r="A2192" t="n">
        <v>15</v>
      </c>
      <c r="B2192" t="inlineStr">
        <is>
          <t>K3-1A</t>
        </is>
      </c>
      <c r="D2192" t="n">
        <v>12.96</v>
      </c>
      <c r="E2192" t="n">
        <v>2208.274</v>
      </c>
      <c r="F2192" t="n">
        <v>2907.094</v>
      </c>
      <c r="G2192" t="n">
        <v>43.125</v>
      </c>
      <c r="H2192" t="inlineStr">
        <is>
          <t>MM</t>
        </is>
      </c>
    </row>
    <row r="2193">
      <c r="A2193" t="n">
        <v>16</v>
      </c>
      <c r="B2193" t="inlineStr">
        <is>
          <t>K3-1B</t>
        </is>
      </c>
      <c r="D2193" t="n">
        <v>12.96</v>
      </c>
      <c r="E2193" t="n">
        <v>484.142</v>
      </c>
      <c r="F2193" t="n">
        <v>2080.127</v>
      </c>
      <c r="G2193" t="n">
        <v>9.672000000000001</v>
      </c>
      <c r="H2193" t="inlineStr">
        <is>
          <t>MM</t>
        </is>
      </c>
    </row>
    <row r="2194">
      <c r="A2194" t="n">
        <v>17</v>
      </c>
      <c r="B2194" t="inlineStr">
        <is>
          <t>K3-1C</t>
        </is>
      </c>
      <c r="D2194" t="n">
        <v>13.03</v>
      </c>
      <c r="E2194" t="n">
        <v>578.503</v>
      </c>
      <c r="F2194" t="n">
        <v>3637.841</v>
      </c>
      <c r="G2194" t="n">
        <v>11.247</v>
      </c>
      <c r="H2194" t="inlineStr">
        <is>
          <t>MM</t>
        </is>
      </c>
    </row>
    <row r="2195">
      <c r="A2195" t="n">
        <v>18</v>
      </c>
      <c r="B2195" t="inlineStr">
        <is>
          <t>K3-2A</t>
        </is>
      </c>
      <c r="D2195" t="n">
        <v>13.03</v>
      </c>
      <c r="E2195" t="n">
        <v>727.373</v>
      </c>
      <c r="F2195" t="n">
        <v>2822.439</v>
      </c>
      <c r="G2195" t="n">
        <v>12.475</v>
      </c>
      <c r="H2195" t="inlineStr">
        <is>
          <t>MM</t>
        </is>
      </c>
    </row>
    <row r="2196">
      <c r="A2196" t="n">
        <v>19</v>
      </c>
      <c r="B2196" t="inlineStr">
        <is>
          <t>K3-2B</t>
        </is>
      </c>
      <c r="D2196" t="n">
        <v>13.07</v>
      </c>
      <c r="E2196" t="n">
        <v>926.506</v>
      </c>
      <c r="F2196" t="n">
        <v>3615.067</v>
      </c>
      <c r="G2196" t="n">
        <v>7.394</v>
      </c>
      <c r="H2196" t="inlineStr">
        <is>
          <t>bb</t>
        </is>
      </c>
    </row>
    <row r="2197">
      <c r="A2197" t="n">
        <v>20</v>
      </c>
      <c r="B2197" t="inlineStr">
        <is>
          <t>K3-2C</t>
        </is>
      </c>
      <c r="D2197" t="n">
        <v>13.05</v>
      </c>
      <c r="E2197" t="n">
        <v>749.6079999999999</v>
      </c>
      <c r="F2197" t="n">
        <v>3528.332</v>
      </c>
      <c r="G2197" t="n">
        <v>11.862</v>
      </c>
      <c r="H2197" t="inlineStr">
        <is>
          <t>bb</t>
        </is>
      </c>
    </row>
    <row r="2198">
      <c r="A2198" t="n">
        <v>21</v>
      </c>
      <c r="B2198" t="inlineStr">
        <is>
          <t>MeOH</t>
        </is>
      </c>
      <c r="H2198" t="inlineStr">
        <is>
          <t>MM-</t>
        </is>
      </c>
    </row>
    <row r="2199">
      <c r="A2199" t="n">
        <v>22</v>
      </c>
      <c r="B2199" t="inlineStr">
        <is>
          <t>K3-3A</t>
        </is>
      </c>
      <c r="D2199" t="n">
        <v>13.09</v>
      </c>
      <c r="E2199" t="n">
        <v>628.421</v>
      </c>
      <c r="F2199" t="n">
        <v>2678.696</v>
      </c>
      <c r="G2199" t="n">
        <v>8.622999999999999</v>
      </c>
      <c r="H2199" t="inlineStr">
        <is>
          <t>bb</t>
        </is>
      </c>
    </row>
    <row r="2200">
      <c r="A2200" t="n">
        <v>23</v>
      </c>
      <c r="B2200" t="inlineStr">
        <is>
          <t>K3-3B</t>
        </is>
      </c>
      <c r="D2200" t="n">
        <v>13.09</v>
      </c>
      <c r="E2200" t="n">
        <v>895.456</v>
      </c>
      <c r="F2200" t="n">
        <v>2726.988</v>
      </c>
      <c r="G2200" t="n">
        <v>15.805</v>
      </c>
      <c r="H2200" t="inlineStr">
        <is>
          <t>bb</t>
        </is>
      </c>
    </row>
    <row r="2201">
      <c r="A2201" t="n">
        <v>24</v>
      </c>
      <c r="B2201" t="inlineStr">
        <is>
          <t>K3-3C</t>
        </is>
      </c>
      <c r="D2201" t="n">
        <v>13.09</v>
      </c>
      <c r="E2201" t="n">
        <v>1018.369</v>
      </c>
      <c r="F2201" t="n">
        <v>5082.269</v>
      </c>
      <c r="G2201" t="n">
        <v>17.586</v>
      </c>
      <c r="H2201" t="inlineStr">
        <is>
          <t>MM</t>
        </is>
      </c>
    </row>
    <row r="2202">
      <c r="A2202" t="n">
        <v>25</v>
      </c>
      <c r="B2202" t="inlineStr">
        <is>
          <t>K3-4A</t>
        </is>
      </c>
      <c r="D2202" t="n">
        <v>13.14</v>
      </c>
      <c r="E2202" t="n">
        <v>1100.625</v>
      </c>
      <c r="F2202" t="n">
        <v>4210.385</v>
      </c>
      <c r="G2202" t="n">
        <v>13.365</v>
      </c>
      <c r="H2202" t="inlineStr">
        <is>
          <t>bb</t>
        </is>
      </c>
    </row>
    <row r="2203">
      <c r="A2203" t="n">
        <v>26</v>
      </c>
      <c r="B2203" t="inlineStr">
        <is>
          <t>K3-4B</t>
        </is>
      </c>
      <c r="D2203" t="n">
        <v>13.12</v>
      </c>
      <c r="E2203" t="n">
        <v>1049.238</v>
      </c>
      <c r="F2203" t="n">
        <v>3844.751</v>
      </c>
      <c r="G2203" t="n">
        <v>11.956</v>
      </c>
      <c r="H2203" t="inlineStr">
        <is>
          <t>MM</t>
        </is>
      </c>
    </row>
    <row r="2204">
      <c r="A2204" t="n">
        <v>27</v>
      </c>
      <c r="B2204" t="inlineStr">
        <is>
          <t>K3-4C</t>
        </is>
      </c>
      <c r="D2204" t="n">
        <v>13.2</v>
      </c>
      <c r="E2204" t="n">
        <v>832.063</v>
      </c>
      <c r="F2204" t="n">
        <v>3926.421</v>
      </c>
      <c r="G2204" t="n">
        <v>10.266</v>
      </c>
      <c r="H2204" t="inlineStr">
        <is>
          <t>bb</t>
        </is>
      </c>
    </row>
    <row r="2205">
      <c r="A2205" t="n">
        <v>28</v>
      </c>
      <c r="B2205" t="inlineStr">
        <is>
          <t>MeOH</t>
        </is>
      </c>
      <c r="H2205" t="inlineStr">
        <is>
          <t>MM-</t>
        </is>
      </c>
    </row>
    <row r="2206">
      <c r="A2206" t="n">
        <v>29</v>
      </c>
      <c r="B2206" t="inlineStr">
        <is>
          <t>K3-6A</t>
        </is>
      </c>
      <c r="D2206" t="n">
        <v>13.17</v>
      </c>
      <c r="E2206" t="n">
        <v>1082.883</v>
      </c>
      <c r="F2206" t="n">
        <v>4791.03</v>
      </c>
      <c r="G2206" t="n">
        <v>8.803000000000001</v>
      </c>
      <c r="H2206" t="inlineStr">
        <is>
          <t>MM</t>
        </is>
      </c>
    </row>
    <row r="2207">
      <c r="A2207" t="n">
        <v>30</v>
      </c>
      <c r="B2207" t="inlineStr">
        <is>
          <t>K3-6B</t>
        </is>
      </c>
      <c r="D2207" t="n">
        <v>13.18</v>
      </c>
      <c r="E2207" t="n">
        <v>431.61</v>
      </c>
      <c r="F2207" t="n">
        <v>3140.853</v>
      </c>
      <c r="G2207" t="n">
        <v>4.082</v>
      </c>
      <c r="H2207" t="inlineStr">
        <is>
          <t>MM</t>
        </is>
      </c>
    </row>
    <row r="2208">
      <c r="A2208" t="n">
        <v>31</v>
      </c>
      <c r="B2208" t="inlineStr">
        <is>
          <t>K3-6C</t>
        </is>
      </c>
      <c r="D2208" t="n">
        <v>13.15</v>
      </c>
      <c r="E2208" t="n">
        <v>760.162</v>
      </c>
      <c r="F2208" t="n">
        <v>3659.982</v>
      </c>
      <c r="G2208" t="n">
        <v>12.368</v>
      </c>
      <c r="H2208" t="inlineStr">
        <is>
          <t>bb</t>
        </is>
      </c>
    </row>
    <row r="2210">
      <c r="A2210" t="inlineStr">
        <is>
          <t>Compound 64:  PFNA 2</t>
        </is>
      </c>
    </row>
    <row r="2212">
      <c r="B2212" t="inlineStr">
        <is>
          <t>Sample Text</t>
        </is>
      </c>
      <c r="C2212" t="inlineStr">
        <is>
          <t>Std. Conc</t>
        </is>
      </c>
      <c r="D2212" t="inlineStr">
        <is>
          <t>RT</t>
        </is>
      </c>
      <c r="E2212" t="inlineStr">
        <is>
          <t>Area</t>
        </is>
      </c>
      <c r="F2212" t="inlineStr">
        <is>
          <t>IS Area</t>
        </is>
      </c>
      <c r="G2212" t="inlineStr">
        <is>
          <t>S/N</t>
        </is>
      </c>
      <c r="H2212" t="inlineStr">
        <is>
          <t>Primary Flags</t>
        </is>
      </c>
      <c r="I2212" t="inlineStr">
        <is>
          <t>Response</t>
        </is>
      </c>
      <c r="J2212" t="inlineStr">
        <is>
          <t>Conc.</t>
        </is>
      </c>
    </row>
    <row r="2213">
      <c r="A2213" t="n">
        <v>1</v>
      </c>
      <c r="B2213" t="inlineStr">
        <is>
          <t>K4-1A</t>
        </is>
      </c>
      <c r="D2213" t="n">
        <v>13.08</v>
      </c>
      <c r="E2213" t="n">
        <v>129.792</v>
      </c>
      <c r="F2213" t="n">
        <v>3034.158</v>
      </c>
      <c r="G2213" t="n">
        <v>1020</v>
      </c>
      <c r="H2213" t="inlineStr">
        <is>
          <t>MM</t>
        </is>
      </c>
    </row>
    <row r="2214">
      <c r="A2214" t="n">
        <v>2</v>
      </c>
      <c r="B2214" t="inlineStr">
        <is>
          <t>K4-1B</t>
        </is>
      </c>
      <c r="D2214" t="n">
        <v>13.12</v>
      </c>
      <c r="E2214" t="n">
        <v>46.965</v>
      </c>
      <c r="F2214" t="n">
        <v>3000.833</v>
      </c>
      <c r="G2214" t="n">
        <v>33.197</v>
      </c>
      <c r="H2214" t="inlineStr">
        <is>
          <t>MM</t>
        </is>
      </c>
    </row>
    <row r="2215">
      <c r="A2215" t="n">
        <v>3</v>
      </c>
      <c r="B2215" t="inlineStr">
        <is>
          <t>K4-1C</t>
        </is>
      </c>
      <c r="D2215" t="n">
        <v>13.15</v>
      </c>
      <c r="E2215" t="n">
        <v>82.099</v>
      </c>
      <c r="F2215" t="n">
        <v>2957.755</v>
      </c>
      <c r="G2215" t="n">
        <v>660</v>
      </c>
      <c r="H2215" t="inlineStr">
        <is>
          <t>bb</t>
        </is>
      </c>
    </row>
    <row r="2216">
      <c r="A2216" t="n">
        <v>4</v>
      </c>
      <c r="B2216" t="inlineStr">
        <is>
          <t>K4-2A</t>
        </is>
      </c>
      <c r="D2216" t="n">
        <v>13.11</v>
      </c>
      <c r="E2216" t="n">
        <v>254.459</v>
      </c>
      <c r="F2216" t="n">
        <v>2249.78</v>
      </c>
      <c r="G2216" t="n">
        <v>5.376</v>
      </c>
      <c r="H2216" t="inlineStr">
        <is>
          <t>bb</t>
        </is>
      </c>
    </row>
    <row r="2217">
      <c r="A2217" t="n">
        <v>5</v>
      </c>
      <c r="B2217" t="inlineStr">
        <is>
          <t>K4-2B</t>
        </is>
      </c>
      <c r="D2217" t="n">
        <v>13.18</v>
      </c>
      <c r="E2217" t="n">
        <v>139.475</v>
      </c>
      <c r="F2217" t="n">
        <v>2723.332</v>
      </c>
      <c r="G2217" t="n">
        <v>10.074</v>
      </c>
      <c r="H2217" t="inlineStr">
        <is>
          <t>bb</t>
        </is>
      </c>
    </row>
    <row r="2218">
      <c r="A2218" t="n">
        <v>6</v>
      </c>
      <c r="B2218" t="inlineStr">
        <is>
          <t>K4-2C</t>
        </is>
      </c>
      <c r="D2218" t="n">
        <v>13.11</v>
      </c>
      <c r="E2218" t="n">
        <v>164.523</v>
      </c>
      <c r="F2218" t="n">
        <v>2283.646</v>
      </c>
      <c r="G2218" t="n">
        <v>1274</v>
      </c>
      <c r="H2218" t="inlineStr">
        <is>
          <t>bb</t>
        </is>
      </c>
    </row>
    <row r="2219">
      <c r="A2219" t="n">
        <v>7</v>
      </c>
      <c r="B2219" t="inlineStr">
        <is>
          <t>MeOH</t>
        </is>
      </c>
      <c r="H2219" t="inlineStr">
        <is>
          <t>MM-</t>
        </is>
      </c>
    </row>
    <row r="2220">
      <c r="A2220" t="n">
        <v>8</v>
      </c>
      <c r="B2220" t="inlineStr">
        <is>
          <t>K4-4A</t>
        </is>
      </c>
      <c r="D2220" t="n">
        <v>13.28</v>
      </c>
      <c r="E2220" t="n">
        <v>59.269</v>
      </c>
      <c r="F2220" t="n">
        <v>1724.848</v>
      </c>
      <c r="G2220" t="n">
        <v>3.391</v>
      </c>
      <c r="H2220" t="inlineStr">
        <is>
          <t>bb</t>
        </is>
      </c>
    </row>
    <row r="2221">
      <c r="A2221" t="n">
        <v>9</v>
      </c>
      <c r="B2221" t="inlineStr">
        <is>
          <t>K4-4B</t>
        </is>
      </c>
      <c r="D2221" t="n">
        <v>13.12</v>
      </c>
      <c r="E2221" t="n">
        <v>189.989</v>
      </c>
      <c r="F2221" t="n">
        <v>2218.471</v>
      </c>
      <c r="G2221" t="n">
        <v>5.837</v>
      </c>
      <c r="H2221" t="inlineStr">
        <is>
          <t>bb</t>
        </is>
      </c>
    </row>
    <row r="2222">
      <c r="A2222" t="n">
        <v>10</v>
      </c>
      <c r="B2222" t="inlineStr">
        <is>
          <t>K4-4C</t>
        </is>
      </c>
      <c r="D2222" t="n">
        <v>13.11</v>
      </c>
      <c r="E2222" t="n">
        <v>57.963</v>
      </c>
      <c r="F2222" t="n">
        <v>2598.377</v>
      </c>
      <c r="G2222" t="n">
        <v>264</v>
      </c>
      <c r="H2222" t="inlineStr">
        <is>
          <t>bb</t>
        </is>
      </c>
    </row>
    <row r="2223">
      <c r="A2223" t="n">
        <v>11</v>
      </c>
      <c r="B2223" t="inlineStr">
        <is>
          <t>K4-5A</t>
        </is>
      </c>
      <c r="D2223" t="n">
        <v>13.08</v>
      </c>
      <c r="E2223" t="n">
        <v>21.349</v>
      </c>
      <c r="F2223" t="n">
        <v>2438.789</v>
      </c>
      <c r="G2223" t="n">
        <v>177</v>
      </c>
      <c r="H2223" t="inlineStr">
        <is>
          <t>bb</t>
        </is>
      </c>
    </row>
    <row r="2224">
      <c r="A2224" t="n">
        <v>12</v>
      </c>
      <c r="B2224" t="inlineStr">
        <is>
          <t>K4-5B</t>
        </is>
      </c>
      <c r="D2224" t="n">
        <v>13.12</v>
      </c>
      <c r="E2224" t="n">
        <v>276.052</v>
      </c>
      <c r="F2224" t="n">
        <v>1988.313</v>
      </c>
      <c r="G2224" t="n">
        <v>9.167</v>
      </c>
      <c r="H2224" t="inlineStr">
        <is>
          <t>bb</t>
        </is>
      </c>
    </row>
    <row r="2225">
      <c r="A2225" t="n">
        <v>13</v>
      </c>
      <c r="B2225" t="inlineStr">
        <is>
          <t>K4-5C</t>
        </is>
      </c>
      <c r="D2225" t="n">
        <v>13.23</v>
      </c>
      <c r="E2225" t="n">
        <v>43.072</v>
      </c>
      <c r="F2225" t="n">
        <v>2087.422</v>
      </c>
      <c r="G2225" t="n">
        <v>208</v>
      </c>
      <c r="H2225" t="inlineStr">
        <is>
          <t>bb</t>
        </is>
      </c>
    </row>
    <row r="2226">
      <c r="A2226" t="n">
        <v>14</v>
      </c>
      <c r="B2226" t="inlineStr">
        <is>
          <t>MeOH</t>
        </is>
      </c>
      <c r="H2226" t="inlineStr">
        <is>
          <t>MM-</t>
        </is>
      </c>
    </row>
    <row r="2227">
      <c r="A2227" t="n">
        <v>15</v>
      </c>
      <c r="B2227" t="inlineStr">
        <is>
          <t>K3-1A</t>
        </is>
      </c>
      <c r="D2227" t="n">
        <v>12.99</v>
      </c>
      <c r="E2227" t="n">
        <v>367.342</v>
      </c>
      <c r="F2227" t="n">
        <v>2907.094</v>
      </c>
      <c r="G2227" t="n">
        <v>2685</v>
      </c>
      <c r="H2227" t="inlineStr">
        <is>
          <t>bb</t>
        </is>
      </c>
    </row>
    <row r="2228">
      <c r="A2228" t="n">
        <v>16</v>
      </c>
      <c r="B2228" t="inlineStr">
        <is>
          <t>K3-1B</t>
        </is>
      </c>
      <c r="D2228" t="n">
        <v>12.98</v>
      </c>
      <c r="E2228" t="n">
        <v>167.857</v>
      </c>
      <c r="F2228" t="n">
        <v>2080.127</v>
      </c>
      <c r="G2228" t="n">
        <v>7.577</v>
      </c>
      <c r="H2228" t="inlineStr">
        <is>
          <t>bb</t>
        </is>
      </c>
    </row>
    <row r="2229">
      <c r="A2229" t="n">
        <v>17</v>
      </c>
      <c r="B2229" t="inlineStr">
        <is>
          <t>K3-1C</t>
        </is>
      </c>
      <c r="D2229" t="n">
        <v>13.03</v>
      </c>
      <c r="E2229" t="n">
        <v>168.516</v>
      </c>
      <c r="F2229" t="n">
        <v>3637.841</v>
      </c>
      <c r="G2229" t="n">
        <v>11.205</v>
      </c>
      <c r="H2229" t="inlineStr">
        <is>
          <t>bb</t>
        </is>
      </c>
    </row>
    <row r="2230">
      <c r="A2230" t="n">
        <v>18</v>
      </c>
      <c r="B2230" t="inlineStr">
        <is>
          <t>K3-2A</t>
        </is>
      </c>
      <c r="D2230" t="n">
        <v>13.05</v>
      </c>
      <c r="E2230" t="n">
        <v>250.044</v>
      </c>
      <c r="F2230" t="n">
        <v>2822.439</v>
      </c>
      <c r="G2230" t="n">
        <v>4.422</v>
      </c>
      <c r="H2230" t="inlineStr">
        <is>
          <t>bb</t>
        </is>
      </c>
    </row>
    <row r="2231">
      <c r="A2231" t="n">
        <v>19</v>
      </c>
      <c r="B2231" t="inlineStr">
        <is>
          <t>K3-2B</t>
        </is>
      </c>
      <c r="D2231" t="n">
        <v>13.04</v>
      </c>
      <c r="E2231" t="n">
        <v>138.595</v>
      </c>
      <c r="F2231" t="n">
        <v>3615.067</v>
      </c>
      <c r="G2231" t="n">
        <v>3.275</v>
      </c>
      <c r="H2231" t="inlineStr">
        <is>
          <t>bb</t>
        </is>
      </c>
    </row>
    <row r="2232">
      <c r="A2232" t="n">
        <v>20</v>
      </c>
      <c r="B2232" t="inlineStr">
        <is>
          <t>K3-2C</t>
        </is>
      </c>
      <c r="D2232" t="n">
        <v>13.08</v>
      </c>
      <c r="E2232" t="n">
        <v>80.574</v>
      </c>
      <c r="F2232" t="n">
        <v>3528.332</v>
      </c>
      <c r="G2232" t="n">
        <v>2.988</v>
      </c>
      <c r="H2232" t="inlineStr">
        <is>
          <t>MM</t>
        </is>
      </c>
    </row>
    <row r="2233">
      <c r="A2233" t="n">
        <v>21</v>
      </c>
      <c r="B2233" t="inlineStr">
        <is>
          <t>MeOH</t>
        </is>
      </c>
      <c r="H2233" t="inlineStr">
        <is>
          <t>MM-</t>
        </is>
      </c>
    </row>
    <row r="2234">
      <c r="A2234" t="n">
        <v>22</v>
      </c>
      <c r="B2234" t="inlineStr">
        <is>
          <t>K3-3A</t>
        </is>
      </c>
      <c r="D2234" t="n">
        <v>13.06</v>
      </c>
      <c r="E2234" t="n">
        <v>385.068</v>
      </c>
      <c r="F2234" t="n">
        <v>2678.696</v>
      </c>
      <c r="G2234" t="n">
        <v>5.191</v>
      </c>
      <c r="H2234" t="inlineStr">
        <is>
          <t>bb</t>
        </is>
      </c>
    </row>
    <row r="2235">
      <c r="A2235" t="n">
        <v>23</v>
      </c>
      <c r="B2235" t="inlineStr">
        <is>
          <t>K3-3B</t>
        </is>
      </c>
      <c r="D2235" t="n">
        <v>13.08</v>
      </c>
      <c r="E2235" t="n">
        <v>274.59</v>
      </c>
      <c r="F2235" t="n">
        <v>2726.988</v>
      </c>
      <c r="G2235" t="n">
        <v>13.243</v>
      </c>
      <c r="H2235" t="inlineStr">
        <is>
          <t>MM</t>
        </is>
      </c>
    </row>
    <row r="2236">
      <c r="A2236" t="n">
        <v>24</v>
      </c>
      <c r="B2236" t="inlineStr">
        <is>
          <t>K3-3C</t>
        </is>
      </c>
      <c r="D2236" t="n">
        <v>13.11</v>
      </c>
      <c r="E2236" t="n">
        <v>159.293</v>
      </c>
      <c r="F2236" t="n">
        <v>5082.269</v>
      </c>
      <c r="G2236" t="n">
        <v>37.622</v>
      </c>
      <c r="H2236" t="inlineStr">
        <is>
          <t>bb</t>
        </is>
      </c>
    </row>
    <row r="2237">
      <c r="A2237" t="n">
        <v>25</v>
      </c>
      <c r="B2237" t="inlineStr">
        <is>
          <t>K3-4A</t>
        </is>
      </c>
      <c r="D2237" t="n">
        <v>13.15</v>
      </c>
      <c r="E2237" t="n">
        <v>250.466</v>
      </c>
      <c r="F2237" t="n">
        <v>4210.385</v>
      </c>
      <c r="G2237" t="n">
        <v>2.639</v>
      </c>
      <c r="H2237" t="inlineStr">
        <is>
          <t>bb</t>
        </is>
      </c>
    </row>
    <row r="2238">
      <c r="A2238" t="n">
        <v>26</v>
      </c>
      <c r="B2238" t="inlineStr">
        <is>
          <t>K3-4B</t>
        </is>
      </c>
      <c r="D2238" t="n">
        <v>13.17</v>
      </c>
      <c r="E2238" t="n">
        <v>167.848</v>
      </c>
      <c r="F2238" t="n">
        <v>3844.751</v>
      </c>
      <c r="G2238" t="n">
        <v>1150</v>
      </c>
      <c r="H2238" t="inlineStr">
        <is>
          <t>bb</t>
        </is>
      </c>
    </row>
    <row r="2239">
      <c r="A2239" t="n">
        <v>27</v>
      </c>
      <c r="B2239" t="inlineStr">
        <is>
          <t>K3-4C</t>
        </is>
      </c>
      <c r="D2239" t="n">
        <v>13.17</v>
      </c>
      <c r="E2239" t="n">
        <v>310.66</v>
      </c>
      <c r="F2239" t="n">
        <v>3926.421</v>
      </c>
      <c r="G2239" t="n">
        <v>26.738</v>
      </c>
      <c r="H2239" t="inlineStr">
        <is>
          <t>bb</t>
        </is>
      </c>
    </row>
    <row r="2240">
      <c r="A2240" t="n">
        <v>28</v>
      </c>
      <c r="B2240" t="inlineStr">
        <is>
          <t>MeOH</t>
        </is>
      </c>
      <c r="H2240" t="inlineStr">
        <is>
          <t>MM-</t>
        </is>
      </c>
    </row>
    <row r="2241">
      <c r="A2241" t="n">
        <v>29</v>
      </c>
      <c r="B2241" t="inlineStr">
        <is>
          <t>K3-6A</t>
        </is>
      </c>
      <c r="D2241" t="n">
        <v>13.18</v>
      </c>
      <c r="E2241" t="n">
        <v>163.957</v>
      </c>
      <c r="F2241" t="n">
        <v>4791.03</v>
      </c>
      <c r="G2241" t="n">
        <v>1.85</v>
      </c>
      <c r="H2241" t="inlineStr">
        <is>
          <t>MM</t>
        </is>
      </c>
    </row>
    <row r="2242">
      <c r="A2242" t="n">
        <v>30</v>
      </c>
      <c r="B2242" t="inlineStr">
        <is>
          <t>K3-6B</t>
        </is>
      </c>
      <c r="D2242" t="n">
        <v>13.17</v>
      </c>
      <c r="E2242" t="n">
        <v>201.047</v>
      </c>
      <c r="F2242" t="n">
        <v>3140.853</v>
      </c>
      <c r="G2242" t="n">
        <v>3.897</v>
      </c>
      <c r="H2242" t="inlineStr">
        <is>
          <t>bb</t>
        </is>
      </c>
    </row>
    <row r="2243">
      <c r="A2243" t="n">
        <v>31</v>
      </c>
      <c r="B2243" t="inlineStr">
        <is>
          <t>K3-6C</t>
        </is>
      </c>
      <c r="D2243" t="n">
        <v>13.15</v>
      </c>
      <c r="E2243" t="n">
        <v>199.393</v>
      </c>
      <c r="F2243" t="n">
        <v>3659.982</v>
      </c>
      <c r="G2243" t="n">
        <v>5.56</v>
      </c>
      <c r="H2243" t="inlineStr">
        <is>
          <t>bb</t>
        </is>
      </c>
    </row>
    <row r="2245">
      <c r="A2245" t="inlineStr">
        <is>
          <t>Compound 65:  NBP2</t>
        </is>
      </c>
    </row>
    <row r="2247">
      <c r="B2247" t="inlineStr">
        <is>
          <t>Sample Text</t>
        </is>
      </c>
      <c r="C2247" t="inlineStr">
        <is>
          <t>Std. Conc</t>
        </is>
      </c>
      <c r="D2247" t="inlineStr">
        <is>
          <t>RT</t>
        </is>
      </c>
      <c r="E2247" t="inlineStr">
        <is>
          <t>Area</t>
        </is>
      </c>
      <c r="F2247" t="inlineStr">
        <is>
          <t>IS Area</t>
        </is>
      </c>
      <c r="G2247" t="inlineStr">
        <is>
          <t>S/N</t>
        </is>
      </c>
      <c r="H2247" t="inlineStr">
        <is>
          <t>Primary Flags</t>
        </is>
      </c>
      <c r="I2247" t="inlineStr">
        <is>
          <t>Response</t>
        </is>
      </c>
      <c r="J2247" t="inlineStr">
        <is>
          <t>Conc.</t>
        </is>
      </c>
    </row>
    <row r="2248">
      <c r="A2248" t="n">
        <v>1</v>
      </c>
      <c r="B2248" t="inlineStr">
        <is>
          <t>K4-1A</t>
        </is>
      </c>
      <c r="D2248" t="n">
        <v>10.89</v>
      </c>
      <c r="E2248" t="n">
        <v>5.108</v>
      </c>
      <c r="G2248" t="n">
        <v>50</v>
      </c>
      <c r="H2248" t="inlineStr">
        <is>
          <t>bb</t>
        </is>
      </c>
      <c r="I2248" t="n">
        <v>5.108</v>
      </c>
    </row>
    <row r="2249">
      <c r="A2249" t="n">
        <v>2</v>
      </c>
      <c r="B2249" t="inlineStr">
        <is>
          <t>K4-1B</t>
        </is>
      </c>
    </row>
    <row r="2250">
      <c r="A2250" t="n">
        <v>3</v>
      </c>
      <c r="B2250" t="inlineStr">
        <is>
          <t>K4-1C</t>
        </is>
      </c>
      <c r="D2250" t="n">
        <v>11.13</v>
      </c>
      <c r="E2250" t="n">
        <v>3.463</v>
      </c>
      <c r="G2250" t="n">
        <v>34</v>
      </c>
      <c r="H2250" t="inlineStr">
        <is>
          <t>bb</t>
        </is>
      </c>
      <c r="I2250" t="n">
        <v>3.463</v>
      </c>
    </row>
    <row r="2251">
      <c r="A2251" t="n">
        <v>4</v>
      </c>
      <c r="B2251" t="inlineStr">
        <is>
          <t>K4-2A</t>
        </is>
      </c>
    </row>
    <row r="2252">
      <c r="A2252" t="n">
        <v>5</v>
      </c>
      <c r="B2252" t="inlineStr">
        <is>
          <t>K4-2B</t>
        </is>
      </c>
    </row>
    <row r="2253">
      <c r="A2253" t="n">
        <v>6</v>
      </c>
      <c r="B2253" t="inlineStr">
        <is>
          <t>K4-2C</t>
        </is>
      </c>
    </row>
    <row r="2254">
      <c r="A2254" t="n">
        <v>7</v>
      </c>
      <c r="B2254" t="inlineStr">
        <is>
          <t>MeOH</t>
        </is>
      </c>
    </row>
    <row r="2255">
      <c r="A2255" t="n">
        <v>8</v>
      </c>
      <c r="B2255" t="inlineStr">
        <is>
          <t>K4-4A</t>
        </is>
      </c>
    </row>
    <row r="2256">
      <c r="A2256" t="n">
        <v>9</v>
      </c>
      <c r="B2256" t="inlineStr">
        <is>
          <t>K4-4B</t>
        </is>
      </c>
    </row>
    <row r="2257">
      <c r="A2257" t="n">
        <v>10</v>
      </c>
      <c r="B2257" t="inlineStr">
        <is>
          <t>K4-4C</t>
        </is>
      </c>
      <c r="D2257" t="n">
        <v>11.05</v>
      </c>
      <c r="E2257" t="n">
        <v>0.306</v>
      </c>
      <c r="G2257" t="n">
        <v>3</v>
      </c>
      <c r="H2257" t="inlineStr">
        <is>
          <t>bb</t>
        </is>
      </c>
      <c r="I2257" t="n">
        <v>0.306</v>
      </c>
    </row>
    <row r="2258">
      <c r="A2258" t="n">
        <v>11</v>
      </c>
      <c r="B2258" t="inlineStr">
        <is>
          <t>K4-5A</t>
        </is>
      </c>
    </row>
    <row r="2259">
      <c r="A2259" t="n">
        <v>12</v>
      </c>
      <c r="B2259" t="inlineStr">
        <is>
          <t>K4-5B</t>
        </is>
      </c>
    </row>
    <row r="2260">
      <c r="A2260" t="n">
        <v>13</v>
      </c>
      <c r="B2260" t="inlineStr">
        <is>
          <t>K4-5C</t>
        </is>
      </c>
    </row>
    <row r="2261">
      <c r="A2261" t="n">
        <v>14</v>
      </c>
      <c r="B2261" t="inlineStr">
        <is>
          <t>MeOH</t>
        </is>
      </c>
      <c r="H2261" t="inlineStr">
        <is>
          <t>MM-</t>
        </is>
      </c>
    </row>
    <row r="2262">
      <c r="A2262" t="n">
        <v>15</v>
      </c>
      <c r="B2262" t="inlineStr">
        <is>
          <t>K3-1A</t>
        </is>
      </c>
      <c r="D2262" t="n">
        <v>10.79</v>
      </c>
      <c r="E2262" t="n">
        <v>4.092</v>
      </c>
      <c r="G2262" t="n">
        <v>44</v>
      </c>
      <c r="H2262" t="inlineStr">
        <is>
          <t>bb</t>
        </is>
      </c>
      <c r="I2262" t="n">
        <v>4.092</v>
      </c>
    </row>
    <row r="2263">
      <c r="A2263" t="n">
        <v>16</v>
      </c>
      <c r="B2263" t="inlineStr">
        <is>
          <t>K3-1B</t>
        </is>
      </c>
    </row>
    <row r="2264">
      <c r="A2264" t="n">
        <v>17</v>
      </c>
      <c r="B2264" t="inlineStr">
        <is>
          <t>K3-1C</t>
        </is>
      </c>
    </row>
    <row r="2265">
      <c r="A2265" t="n">
        <v>18</v>
      </c>
      <c r="B2265" t="inlineStr">
        <is>
          <t>K3-2A</t>
        </is>
      </c>
      <c r="D2265" t="n">
        <v>11.13</v>
      </c>
      <c r="E2265" t="n">
        <v>0.611</v>
      </c>
      <c r="G2265" t="n">
        <v>6</v>
      </c>
      <c r="H2265" t="inlineStr">
        <is>
          <t>bb</t>
        </is>
      </c>
      <c r="I2265" t="n">
        <v>0.611</v>
      </c>
    </row>
    <row r="2266">
      <c r="A2266" t="n">
        <v>19</v>
      </c>
      <c r="B2266" t="inlineStr">
        <is>
          <t>K3-2B</t>
        </is>
      </c>
      <c r="D2266" t="n">
        <v>11.09</v>
      </c>
      <c r="E2266" t="n">
        <v>12.352</v>
      </c>
      <c r="G2266" t="n">
        <v>3.351</v>
      </c>
      <c r="H2266" t="inlineStr">
        <is>
          <t>bb</t>
        </is>
      </c>
      <c r="I2266" t="n">
        <v>12.352</v>
      </c>
    </row>
    <row r="2267">
      <c r="A2267" t="n">
        <v>20</v>
      </c>
      <c r="B2267" t="inlineStr">
        <is>
          <t>K3-2C</t>
        </is>
      </c>
      <c r="D2267" t="n">
        <v>10.45</v>
      </c>
      <c r="E2267" t="n">
        <v>0.481</v>
      </c>
      <c r="G2267" t="n">
        <v>5</v>
      </c>
      <c r="H2267" t="inlineStr">
        <is>
          <t>bb</t>
        </is>
      </c>
      <c r="I2267" t="n">
        <v>0.481</v>
      </c>
    </row>
    <row r="2268">
      <c r="A2268" t="n">
        <v>21</v>
      </c>
      <c r="B2268" t="inlineStr">
        <is>
          <t>MeOH</t>
        </is>
      </c>
      <c r="D2268" t="n">
        <v>10.95</v>
      </c>
      <c r="E2268" t="n">
        <v>20.207</v>
      </c>
      <c r="G2268" t="n">
        <v>3.641</v>
      </c>
      <c r="H2268" t="inlineStr">
        <is>
          <t>bb</t>
        </is>
      </c>
      <c r="I2268" t="n">
        <v>20.207</v>
      </c>
    </row>
    <row r="2269">
      <c r="A2269" t="n">
        <v>22</v>
      </c>
      <c r="B2269" t="inlineStr">
        <is>
          <t>K3-3A</t>
        </is>
      </c>
    </row>
    <row r="2270">
      <c r="A2270" t="n">
        <v>23</v>
      </c>
      <c r="B2270" t="inlineStr">
        <is>
          <t>K3-3B</t>
        </is>
      </c>
    </row>
    <row r="2271">
      <c r="A2271" t="n">
        <v>24</v>
      </c>
      <c r="B2271" t="inlineStr">
        <is>
          <t>K3-3C</t>
        </is>
      </c>
    </row>
    <row r="2272">
      <c r="A2272" t="n">
        <v>25</v>
      </c>
      <c r="B2272" t="inlineStr">
        <is>
          <t>K3-4A</t>
        </is>
      </c>
      <c r="D2272" t="n">
        <v>11.68</v>
      </c>
      <c r="E2272" t="n">
        <v>7.653</v>
      </c>
      <c r="G2272" t="n">
        <v>75</v>
      </c>
      <c r="H2272" t="inlineStr">
        <is>
          <t>MM</t>
        </is>
      </c>
      <c r="I2272" t="n">
        <v>7.653</v>
      </c>
    </row>
    <row r="2273">
      <c r="A2273" t="n">
        <v>26</v>
      </c>
      <c r="B2273" t="inlineStr">
        <is>
          <t>K3-4B</t>
        </is>
      </c>
    </row>
    <row r="2274">
      <c r="A2274" t="n">
        <v>27</v>
      </c>
      <c r="B2274" t="inlineStr">
        <is>
          <t>K3-4C</t>
        </is>
      </c>
      <c r="D2274" t="n">
        <v>11.7</v>
      </c>
      <c r="E2274" t="n">
        <v>0.418</v>
      </c>
      <c r="G2274" t="n">
        <v>4</v>
      </c>
      <c r="H2274" t="inlineStr">
        <is>
          <t>MM</t>
        </is>
      </c>
      <c r="I2274" t="n">
        <v>0.418</v>
      </c>
    </row>
    <row r="2275">
      <c r="A2275" t="n">
        <v>28</v>
      </c>
      <c r="B2275" t="inlineStr">
        <is>
          <t>MeOH</t>
        </is>
      </c>
      <c r="D2275" t="n">
        <v>11.23</v>
      </c>
      <c r="E2275" t="n">
        <v>88.199</v>
      </c>
      <c r="G2275" t="n">
        <v>4.32</v>
      </c>
      <c r="H2275" t="inlineStr">
        <is>
          <t>bb</t>
        </is>
      </c>
      <c r="I2275" t="n">
        <v>88.199</v>
      </c>
    </row>
    <row r="2276">
      <c r="A2276" t="n">
        <v>29</v>
      </c>
      <c r="B2276" t="inlineStr">
        <is>
          <t>K3-6A</t>
        </is>
      </c>
      <c r="D2276" t="n">
        <v>11.22</v>
      </c>
      <c r="E2276" t="n">
        <v>33.219</v>
      </c>
      <c r="G2276" t="n">
        <v>1.891</v>
      </c>
      <c r="H2276" t="inlineStr">
        <is>
          <t>MM</t>
        </is>
      </c>
      <c r="I2276" t="n">
        <v>33.219</v>
      </c>
    </row>
    <row r="2277">
      <c r="A2277" t="n">
        <v>30</v>
      </c>
      <c r="B2277" t="inlineStr">
        <is>
          <t>K3-6B</t>
        </is>
      </c>
      <c r="D2277" t="n">
        <v>11.27</v>
      </c>
      <c r="E2277" t="n">
        <v>27.776</v>
      </c>
      <c r="G2277" t="n">
        <v>265</v>
      </c>
      <c r="H2277" t="inlineStr">
        <is>
          <t>bb</t>
        </is>
      </c>
      <c r="I2277" t="n">
        <v>27.776</v>
      </c>
    </row>
    <row r="2278">
      <c r="A2278" t="n">
        <v>31</v>
      </c>
      <c r="B2278" t="inlineStr">
        <is>
          <t>K3-6C</t>
        </is>
      </c>
      <c r="D2278" t="n">
        <v>11.04</v>
      </c>
      <c r="E2278" t="n">
        <v>2.265</v>
      </c>
      <c r="G2278" t="n">
        <v>18</v>
      </c>
      <c r="H2278" t="inlineStr">
        <is>
          <t>bb</t>
        </is>
      </c>
      <c r="I2278" t="n">
        <v>2.265</v>
      </c>
    </row>
    <row r="2280">
      <c r="A2280" t="inlineStr">
        <is>
          <t>Compound 66:  m9 PFNA 1</t>
        </is>
      </c>
    </row>
    <row r="2282">
      <c r="B2282" t="inlineStr">
        <is>
          <t>Sample Text</t>
        </is>
      </c>
      <c r="C2282" t="inlineStr">
        <is>
          <t>Std. Conc</t>
        </is>
      </c>
      <c r="D2282" t="inlineStr">
        <is>
          <t>RT</t>
        </is>
      </c>
      <c r="E2282" t="inlineStr">
        <is>
          <t>Area</t>
        </is>
      </c>
      <c r="F2282" t="inlineStr">
        <is>
          <t>IS Area</t>
        </is>
      </c>
      <c r="G2282" t="inlineStr">
        <is>
          <t>S/N</t>
        </is>
      </c>
      <c r="H2282" t="inlineStr">
        <is>
          <t>Primary Flags</t>
        </is>
      </c>
      <c r="I2282" t="inlineStr">
        <is>
          <t>Response</t>
        </is>
      </c>
      <c r="J2282" t="inlineStr">
        <is>
          <t>Conc.</t>
        </is>
      </c>
    </row>
    <row r="2283">
      <c r="A2283" t="n">
        <v>1</v>
      </c>
      <c r="B2283" t="inlineStr">
        <is>
          <t>K4-1A</t>
        </is>
      </c>
      <c r="D2283" t="n">
        <v>13.09</v>
      </c>
      <c r="E2283" t="n">
        <v>3034.158</v>
      </c>
      <c r="G2283" t="n">
        <v>22319</v>
      </c>
      <c r="H2283" t="inlineStr">
        <is>
          <t>bb</t>
        </is>
      </c>
      <c r="I2283" t="n">
        <v>3034.158</v>
      </c>
    </row>
    <row r="2284">
      <c r="A2284" t="n">
        <v>2</v>
      </c>
      <c r="B2284" t="inlineStr">
        <is>
          <t>K4-1B</t>
        </is>
      </c>
      <c r="D2284" t="n">
        <v>13.09</v>
      </c>
      <c r="E2284" t="n">
        <v>3000.833</v>
      </c>
      <c r="G2284" t="n">
        <v>21169</v>
      </c>
      <c r="H2284" t="inlineStr">
        <is>
          <t>bb</t>
        </is>
      </c>
      <c r="I2284" t="n">
        <v>3000.833</v>
      </c>
    </row>
    <row r="2285">
      <c r="A2285" t="n">
        <v>3</v>
      </c>
      <c r="B2285" t="inlineStr">
        <is>
          <t>K4-1C</t>
        </is>
      </c>
      <c r="D2285" t="n">
        <v>13.09</v>
      </c>
      <c r="E2285" t="n">
        <v>2957.755</v>
      </c>
      <c r="G2285" t="n">
        <v>509.159</v>
      </c>
      <c r="H2285" t="inlineStr">
        <is>
          <t>bb</t>
        </is>
      </c>
      <c r="I2285" t="n">
        <v>2957.755</v>
      </c>
    </row>
    <row r="2286">
      <c r="A2286" t="n">
        <v>4</v>
      </c>
      <c r="B2286" t="inlineStr">
        <is>
          <t>K4-2A</t>
        </is>
      </c>
      <c r="D2286" t="n">
        <v>13.11</v>
      </c>
      <c r="E2286" t="n">
        <v>2249.78</v>
      </c>
      <c r="G2286" t="n">
        <v>72.815</v>
      </c>
      <c r="H2286" t="inlineStr">
        <is>
          <t>bb</t>
        </is>
      </c>
      <c r="I2286" t="n">
        <v>2249.78</v>
      </c>
    </row>
    <row r="2287">
      <c r="A2287" t="n">
        <v>5</v>
      </c>
      <c r="B2287" t="inlineStr">
        <is>
          <t>K4-2B</t>
        </is>
      </c>
      <c r="D2287" t="n">
        <v>13.1</v>
      </c>
      <c r="E2287" t="n">
        <v>2723.332</v>
      </c>
      <c r="G2287" t="n">
        <v>259.404</v>
      </c>
      <c r="H2287" t="inlineStr">
        <is>
          <t>bb</t>
        </is>
      </c>
      <c r="I2287" t="n">
        <v>2723.332</v>
      </c>
    </row>
    <row r="2288">
      <c r="A2288" t="n">
        <v>6</v>
      </c>
      <c r="B2288" t="inlineStr">
        <is>
          <t>K4-2C</t>
        </is>
      </c>
      <c r="D2288" t="n">
        <v>13.11</v>
      </c>
      <c r="E2288" t="n">
        <v>2283.646</v>
      </c>
      <c r="G2288" t="n">
        <v>16007</v>
      </c>
      <c r="H2288" t="inlineStr">
        <is>
          <t>bb</t>
        </is>
      </c>
      <c r="I2288" t="n">
        <v>2283.646</v>
      </c>
    </row>
    <row r="2289">
      <c r="A2289" t="n">
        <v>7</v>
      </c>
      <c r="B2289" t="inlineStr">
        <is>
          <t>MeOH</t>
        </is>
      </c>
    </row>
    <row r="2290">
      <c r="A2290" t="n">
        <v>8</v>
      </c>
      <c r="B2290" t="inlineStr">
        <is>
          <t>K4-4A</t>
        </is>
      </c>
      <c r="D2290" t="n">
        <v>13.12</v>
      </c>
      <c r="E2290" t="n">
        <v>1724.848</v>
      </c>
      <c r="G2290" t="n">
        <v>11607</v>
      </c>
      <c r="H2290" t="inlineStr">
        <is>
          <t>bb</t>
        </is>
      </c>
      <c r="I2290" t="n">
        <v>1724.848</v>
      </c>
    </row>
    <row r="2291">
      <c r="A2291" t="n">
        <v>9</v>
      </c>
      <c r="B2291" t="inlineStr">
        <is>
          <t>K4-4B</t>
        </is>
      </c>
      <c r="D2291" t="n">
        <v>13.14</v>
      </c>
      <c r="E2291" t="n">
        <v>2218.471</v>
      </c>
      <c r="G2291" t="n">
        <v>73.295</v>
      </c>
      <c r="H2291" t="inlineStr">
        <is>
          <t>bb</t>
        </is>
      </c>
      <c r="I2291" t="n">
        <v>2218.471</v>
      </c>
    </row>
    <row r="2292">
      <c r="A2292" t="n">
        <v>10</v>
      </c>
      <c r="B2292" t="inlineStr">
        <is>
          <t>K4-4C</t>
        </is>
      </c>
      <c r="D2292" t="n">
        <v>13.14</v>
      </c>
      <c r="E2292" t="n">
        <v>2598.377</v>
      </c>
      <c r="G2292" t="n">
        <v>18103</v>
      </c>
      <c r="H2292" t="inlineStr">
        <is>
          <t>bb</t>
        </is>
      </c>
      <c r="I2292" t="n">
        <v>2598.377</v>
      </c>
    </row>
    <row r="2293">
      <c r="A2293" t="n">
        <v>11</v>
      </c>
      <c r="B2293" t="inlineStr">
        <is>
          <t>K4-5A</t>
        </is>
      </c>
      <c r="D2293" t="n">
        <v>13.11</v>
      </c>
      <c r="E2293" t="n">
        <v>2438.789</v>
      </c>
      <c r="G2293" t="n">
        <v>16991</v>
      </c>
      <c r="H2293" t="inlineStr">
        <is>
          <t>bb</t>
        </is>
      </c>
      <c r="I2293" t="n">
        <v>2438.789</v>
      </c>
    </row>
    <row r="2294">
      <c r="A2294" t="n">
        <v>12</v>
      </c>
      <c r="B2294" t="inlineStr">
        <is>
          <t>K4-5B</t>
        </is>
      </c>
      <c r="D2294" t="n">
        <v>13.08</v>
      </c>
      <c r="E2294" t="n">
        <v>1988.313</v>
      </c>
      <c r="G2294" t="n">
        <v>358.405</v>
      </c>
      <c r="H2294" t="inlineStr">
        <is>
          <t>bb</t>
        </is>
      </c>
      <c r="I2294" t="n">
        <v>1988.313</v>
      </c>
    </row>
    <row r="2295">
      <c r="A2295" t="n">
        <v>13</v>
      </c>
      <c r="B2295" t="inlineStr">
        <is>
          <t>K4-5C</t>
        </is>
      </c>
      <c r="D2295" t="n">
        <v>13.02</v>
      </c>
      <c r="E2295" t="n">
        <v>2087.422</v>
      </c>
      <c r="G2295" t="n">
        <v>79.655</v>
      </c>
      <c r="H2295" t="inlineStr">
        <is>
          <t>bb</t>
        </is>
      </c>
      <c r="I2295" t="n">
        <v>2087.422</v>
      </c>
    </row>
    <row r="2296">
      <c r="A2296" t="n">
        <v>14</v>
      </c>
      <c r="B2296" t="inlineStr">
        <is>
          <t>MeOH</t>
        </is>
      </c>
      <c r="H2296" t="inlineStr">
        <is>
          <t>MM-</t>
        </is>
      </c>
    </row>
    <row r="2297">
      <c r="A2297" t="n">
        <v>15</v>
      </c>
      <c r="B2297" t="inlineStr">
        <is>
          <t>K3-1A</t>
        </is>
      </c>
      <c r="D2297" t="n">
        <v>12.96</v>
      </c>
      <c r="E2297" t="n">
        <v>2907.094</v>
      </c>
      <c r="G2297" t="n">
        <v>1255.719</v>
      </c>
      <c r="H2297" t="inlineStr">
        <is>
          <t>bb</t>
        </is>
      </c>
      <c r="I2297" t="n">
        <v>2907.094</v>
      </c>
    </row>
    <row r="2298">
      <c r="A2298" t="n">
        <v>16</v>
      </c>
      <c r="B2298" t="inlineStr">
        <is>
          <t>K3-1B</t>
        </is>
      </c>
      <c r="D2298" t="n">
        <v>12.98</v>
      </c>
      <c r="E2298" t="n">
        <v>2080.127</v>
      </c>
      <c r="G2298" t="n">
        <v>15174</v>
      </c>
      <c r="H2298" t="inlineStr">
        <is>
          <t>bb</t>
        </is>
      </c>
      <c r="I2298" t="n">
        <v>2080.127</v>
      </c>
    </row>
    <row r="2299">
      <c r="A2299" t="n">
        <v>17</v>
      </c>
      <c r="B2299" t="inlineStr">
        <is>
          <t>K3-1C</t>
        </is>
      </c>
      <c r="D2299" t="n">
        <v>13.03</v>
      </c>
      <c r="E2299" t="n">
        <v>3637.841</v>
      </c>
      <c r="G2299" t="n">
        <v>493.37</v>
      </c>
      <c r="H2299" t="inlineStr">
        <is>
          <t>bb</t>
        </is>
      </c>
      <c r="I2299" t="n">
        <v>3637.841</v>
      </c>
    </row>
    <row r="2300">
      <c r="A2300" t="n">
        <v>18</v>
      </c>
      <c r="B2300" t="inlineStr">
        <is>
          <t>K3-2A</t>
        </is>
      </c>
      <c r="D2300" t="n">
        <v>13.05</v>
      </c>
      <c r="E2300" t="n">
        <v>2822.439</v>
      </c>
      <c r="G2300" t="n">
        <v>20369</v>
      </c>
      <c r="H2300" t="inlineStr">
        <is>
          <t>bb</t>
        </is>
      </c>
      <c r="I2300" t="n">
        <v>2822.439</v>
      </c>
    </row>
    <row r="2301">
      <c r="A2301" t="n">
        <v>19</v>
      </c>
      <c r="B2301" t="inlineStr">
        <is>
          <t>K3-2B</t>
        </is>
      </c>
      <c r="D2301" t="n">
        <v>13.04</v>
      </c>
      <c r="E2301" t="n">
        <v>3615.067</v>
      </c>
      <c r="G2301" t="n">
        <v>23415</v>
      </c>
      <c r="H2301" t="inlineStr">
        <is>
          <t>bb</t>
        </is>
      </c>
      <c r="I2301" t="n">
        <v>3615.067</v>
      </c>
    </row>
    <row r="2302">
      <c r="A2302" t="n">
        <v>20</v>
      </c>
      <c r="B2302" t="inlineStr">
        <is>
          <t>K3-2C</t>
        </is>
      </c>
      <c r="D2302" t="n">
        <v>13.03</v>
      </c>
      <c r="E2302" t="n">
        <v>3528.332</v>
      </c>
      <c r="G2302" t="n">
        <v>24492</v>
      </c>
      <c r="H2302" t="inlineStr">
        <is>
          <t>bb</t>
        </is>
      </c>
      <c r="I2302" t="n">
        <v>3528.332</v>
      </c>
    </row>
    <row r="2303">
      <c r="A2303" t="n">
        <v>21</v>
      </c>
      <c r="B2303" t="inlineStr">
        <is>
          <t>MeOH</t>
        </is>
      </c>
    </row>
    <row r="2304">
      <c r="A2304" t="n">
        <v>22</v>
      </c>
      <c r="B2304" t="inlineStr">
        <is>
          <t>K3-3A</t>
        </is>
      </c>
      <c r="D2304" t="n">
        <v>13.06</v>
      </c>
      <c r="E2304" t="n">
        <v>2678.696</v>
      </c>
      <c r="G2304" t="n">
        <v>1236.749</v>
      </c>
      <c r="H2304" t="inlineStr">
        <is>
          <t>bb</t>
        </is>
      </c>
      <c r="I2304" t="n">
        <v>2678.696</v>
      </c>
    </row>
    <row r="2305">
      <c r="A2305" t="n">
        <v>23</v>
      </c>
      <c r="B2305" t="inlineStr">
        <is>
          <t>K3-3B</t>
        </is>
      </c>
      <c r="D2305" t="n">
        <v>13.09</v>
      </c>
      <c r="E2305" t="n">
        <v>2726.988</v>
      </c>
      <c r="G2305" t="n">
        <v>645.058</v>
      </c>
      <c r="H2305" t="inlineStr">
        <is>
          <t>bb</t>
        </is>
      </c>
      <c r="I2305" t="n">
        <v>2726.988</v>
      </c>
    </row>
    <row r="2306">
      <c r="A2306" t="n">
        <v>24</v>
      </c>
      <c r="B2306" t="inlineStr">
        <is>
          <t>K3-3C</t>
        </is>
      </c>
      <c r="D2306" t="n">
        <v>13.08</v>
      </c>
      <c r="E2306" t="n">
        <v>5082.269</v>
      </c>
      <c r="G2306" t="n">
        <v>94.45399999999999</v>
      </c>
      <c r="H2306" t="inlineStr">
        <is>
          <t>bb</t>
        </is>
      </c>
      <c r="I2306" t="n">
        <v>5082.269</v>
      </c>
    </row>
    <row r="2307">
      <c r="A2307" t="n">
        <v>25</v>
      </c>
      <c r="B2307" t="inlineStr">
        <is>
          <t>K3-4A</t>
        </is>
      </c>
      <c r="D2307" t="n">
        <v>13.14</v>
      </c>
      <c r="E2307" t="n">
        <v>4210.385</v>
      </c>
      <c r="G2307" t="n">
        <v>29561</v>
      </c>
      <c r="H2307" t="inlineStr">
        <is>
          <t>bb</t>
        </is>
      </c>
      <c r="I2307" t="n">
        <v>4210.385</v>
      </c>
    </row>
    <row r="2308">
      <c r="A2308" t="n">
        <v>26</v>
      </c>
      <c r="B2308" t="inlineStr">
        <is>
          <t>K3-4B</t>
        </is>
      </c>
      <c r="D2308" t="n">
        <v>13.11</v>
      </c>
      <c r="E2308" t="n">
        <v>3844.751</v>
      </c>
      <c r="G2308" t="n">
        <v>28127</v>
      </c>
      <c r="H2308" t="inlineStr">
        <is>
          <t>bb</t>
        </is>
      </c>
      <c r="I2308" t="n">
        <v>3844.751</v>
      </c>
    </row>
    <row r="2309">
      <c r="A2309" t="n">
        <v>27</v>
      </c>
      <c r="B2309" t="inlineStr">
        <is>
          <t>K3-4C</t>
        </is>
      </c>
      <c r="D2309" t="n">
        <v>13.15</v>
      </c>
      <c r="E2309" t="n">
        <v>3926.421</v>
      </c>
      <c r="G2309" t="n">
        <v>27292</v>
      </c>
      <c r="H2309" t="inlineStr">
        <is>
          <t>bb</t>
        </is>
      </c>
      <c r="I2309" t="n">
        <v>3926.421</v>
      </c>
    </row>
    <row r="2310">
      <c r="A2310" t="n">
        <v>28</v>
      </c>
      <c r="B2310" t="inlineStr">
        <is>
          <t>MeOH</t>
        </is>
      </c>
      <c r="H2310" t="inlineStr">
        <is>
          <t>MM-</t>
        </is>
      </c>
    </row>
    <row r="2311">
      <c r="A2311" t="n">
        <v>29</v>
      </c>
      <c r="B2311" t="inlineStr">
        <is>
          <t>K3-6A</t>
        </is>
      </c>
      <c r="D2311" t="n">
        <v>13.17</v>
      </c>
      <c r="E2311" t="n">
        <v>4791.03</v>
      </c>
      <c r="G2311" t="n">
        <v>32278</v>
      </c>
      <c r="H2311" t="inlineStr">
        <is>
          <t>bb</t>
        </is>
      </c>
      <c r="I2311" t="n">
        <v>4791.03</v>
      </c>
    </row>
    <row r="2312">
      <c r="A2312" t="n">
        <v>30</v>
      </c>
      <c r="B2312" t="inlineStr">
        <is>
          <t>K3-6B</t>
        </is>
      </c>
      <c r="D2312" t="n">
        <v>13.15</v>
      </c>
      <c r="E2312" t="n">
        <v>3140.853</v>
      </c>
      <c r="G2312" t="n">
        <v>22.549</v>
      </c>
      <c r="H2312" t="inlineStr">
        <is>
          <t>bb</t>
        </is>
      </c>
      <c r="I2312" t="n">
        <v>3140.853</v>
      </c>
    </row>
    <row r="2313">
      <c r="A2313" t="n">
        <v>31</v>
      </c>
      <c r="B2313" t="inlineStr">
        <is>
          <t>K3-6C</t>
        </is>
      </c>
      <c r="D2313" t="n">
        <v>13.14</v>
      </c>
      <c r="E2313" t="n">
        <v>3659.982</v>
      </c>
      <c r="G2313" t="n">
        <v>197.149</v>
      </c>
      <c r="H2313" t="inlineStr">
        <is>
          <t>bb</t>
        </is>
      </c>
      <c r="I2313" t="n">
        <v>3659.982</v>
      </c>
    </row>
    <row r="2315">
      <c r="A2315" t="inlineStr">
        <is>
          <t>Compound 67:  m9 PFNA 2</t>
        </is>
      </c>
    </row>
    <row r="2317">
      <c r="B2317" t="inlineStr">
        <is>
          <t>Sample Text</t>
        </is>
      </c>
      <c r="C2317" t="inlineStr">
        <is>
          <t>Std. Conc</t>
        </is>
      </c>
      <c r="D2317" t="inlineStr">
        <is>
          <t>RT</t>
        </is>
      </c>
      <c r="E2317" t="inlineStr">
        <is>
          <t>Area</t>
        </is>
      </c>
      <c r="F2317" t="inlineStr">
        <is>
          <t>IS Area</t>
        </is>
      </c>
      <c r="G2317" t="inlineStr">
        <is>
          <t>S/N</t>
        </is>
      </c>
      <c r="H2317" t="inlineStr">
        <is>
          <t>Primary Flags</t>
        </is>
      </c>
      <c r="I2317" t="inlineStr">
        <is>
          <t>Response</t>
        </is>
      </c>
      <c r="J2317" t="inlineStr">
        <is>
          <t>Conc.</t>
        </is>
      </c>
    </row>
    <row r="2318">
      <c r="A2318" t="n">
        <v>1</v>
      </c>
      <c r="B2318" t="inlineStr">
        <is>
          <t>K4-1A</t>
        </is>
      </c>
      <c r="D2318" t="n">
        <v>13.11</v>
      </c>
      <c r="E2318" t="n">
        <v>920.3630000000001</v>
      </c>
      <c r="G2318" t="n">
        <v>128.003</v>
      </c>
      <c r="H2318" t="inlineStr">
        <is>
          <t>bb</t>
        </is>
      </c>
      <c r="I2318" t="n">
        <v>920.3630000000001</v>
      </c>
    </row>
    <row r="2319">
      <c r="A2319" t="n">
        <v>2</v>
      </c>
      <c r="B2319" t="inlineStr">
        <is>
          <t>K4-1B</t>
        </is>
      </c>
      <c r="D2319" t="n">
        <v>13.09</v>
      </c>
      <c r="E2319" t="n">
        <v>831.304</v>
      </c>
      <c r="G2319" t="n">
        <v>51.647</v>
      </c>
      <c r="H2319" t="inlineStr">
        <is>
          <t>bb</t>
        </is>
      </c>
      <c r="I2319" t="n">
        <v>831.304</v>
      </c>
    </row>
    <row r="2320">
      <c r="A2320" t="n">
        <v>3</v>
      </c>
      <c r="B2320" t="inlineStr">
        <is>
          <t>K4-1C</t>
        </is>
      </c>
      <c r="D2320" t="n">
        <v>13.09</v>
      </c>
      <c r="E2320" t="n">
        <v>575.635</v>
      </c>
      <c r="G2320" t="n">
        <v>6.989</v>
      </c>
      <c r="H2320" t="inlineStr">
        <is>
          <t>bb</t>
        </is>
      </c>
      <c r="I2320" t="n">
        <v>575.635</v>
      </c>
    </row>
    <row r="2321">
      <c r="A2321" t="n">
        <v>4</v>
      </c>
      <c r="B2321" t="inlineStr">
        <is>
          <t>K4-2A</t>
        </is>
      </c>
      <c r="D2321" t="n">
        <v>13.09</v>
      </c>
      <c r="E2321" t="n">
        <v>1257.208</v>
      </c>
      <c r="G2321" t="n">
        <v>11.197</v>
      </c>
      <c r="H2321" t="inlineStr">
        <is>
          <t>bb</t>
        </is>
      </c>
      <c r="I2321" t="n">
        <v>1257.208</v>
      </c>
    </row>
    <row r="2322">
      <c r="A2322" t="n">
        <v>5</v>
      </c>
      <c r="B2322" t="inlineStr">
        <is>
          <t>K4-2B</t>
        </is>
      </c>
      <c r="D2322" t="n">
        <v>13.11</v>
      </c>
      <c r="E2322" t="n">
        <v>819.403</v>
      </c>
      <c r="G2322" t="n">
        <v>9.141</v>
      </c>
      <c r="H2322" t="inlineStr">
        <is>
          <t>bb</t>
        </is>
      </c>
      <c r="I2322" t="n">
        <v>819.403</v>
      </c>
    </row>
    <row r="2323">
      <c r="A2323" t="n">
        <v>6</v>
      </c>
      <c r="B2323" t="inlineStr">
        <is>
          <t>K4-2C</t>
        </is>
      </c>
      <c r="D2323" t="n">
        <v>13.12</v>
      </c>
      <c r="E2323" t="n">
        <v>482.677</v>
      </c>
      <c r="G2323" t="n">
        <v>3238</v>
      </c>
      <c r="H2323" t="inlineStr">
        <is>
          <t>bb</t>
        </is>
      </c>
      <c r="I2323" t="n">
        <v>482.677</v>
      </c>
    </row>
    <row r="2324">
      <c r="A2324" t="n">
        <v>7</v>
      </c>
      <c r="B2324" t="inlineStr">
        <is>
          <t>MeOH</t>
        </is>
      </c>
    </row>
    <row r="2325">
      <c r="A2325" t="n">
        <v>8</v>
      </c>
      <c r="B2325" t="inlineStr">
        <is>
          <t>K4-4A</t>
        </is>
      </c>
      <c r="D2325" t="n">
        <v>13.14</v>
      </c>
      <c r="E2325" t="n">
        <v>548.153</v>
      </c>
      <c r="G2325" t="n">
        <v>51.955</v>
      </c>
      <c r="H2325" t="inlineStr">
        <is>
          <t>bb</t>
        </is>
      </c>
      <c r="I2325" t="n">
        <v>548.153</v>
      </c>
    </row>
    <row r="2326">
      <c r="A2326" t="n">
        <v>9</v>
      </c>
      <c r="B2326" t="inlineStr">
        <is>
          <t>K4-4B</t>
        </is>
      </c>
      <c r="D2326" t="n">
        <v>13.14</v>
      </c>
      <c r="E2326" t="n">
        <v>527.4059999999999</v>
      </c>
      <c r="G2326" t="n">
        <v>3138</v>
      </c>
      <c r="H2326" t="inlineStr">
        <is>
          <t>bb</t>
        </is>
      </c>
      <c r="I2326" t="n">
        <v>527.4059999999999</v>
      </c>
    </row>
    <row r="2327">
      <c r="A2327" t="n">
        <v>10</v>
      </c>
      <c r="B2327" t="inlineStr">
        <is>
          <t>K4-4C</t>
        </is>
      </c>
      <c r="D2327" t="n">
        <v>13.12</v>
      </c>
      <c r="E2327" t="n">
        <v>650.481</v>
      </c>
      <c r="G2327" t="n">
        <v>4663</v>
      </c>
      <c r="H2327" t="inlineStr">
        <is>
          <t>bb</t>
        </is>
      </c>
      <c r="I2327" t="n">
        <v>650.481</v>
      </c>
    </row>
    <row r="2328">
      <c r="A2328" t="n">
        <v>11</v>
      </c>
      <c r="B2328" t="inlineStr">
        <is>
          <t>K4-5A</t>
        </is>
      </c>
      <c r="D2328" t="n">
        <v>13.11</v>
      </c>
      <c r="E2328" t="n">
        <v>828.111</v>
      </c>
      <c r="G2328" t="n">
        <v>362.871</v>
      </c>
      <c r="H2328" t="inlineStr">
        <is>
          <t>bb</t>
        </is>
      </c>
      <c r="I2328" t="n">
        <v>828.111</v>
      </c>
    </row>
    <row r="2329">
      <c r="A2329" t="n">
        <v>12</v>
      </c>
      <c r="B2329" t="inlineStr">
        <is>
          <t>K4-5B</t>
        </is>
      </c>
      <c r="D2329" t="n">
        <v>13.09</v>
      </c>
      <c r="E2329" t="n">
        <v>620.655</v>
      </c>
      <c r="G2329" t="n">
        <v>4516</v>
      </c>
      <c r="H2329" t="inlineStr">
        <is>
          <t>bb</t>
        </is>
      </c>
      <c r="I2329" t="n">
        <v>620.655</v>
      </c>
    </row>
    <row r="2330">
      <c r="A2330" t="n">
        <v>13</v>
      </c>
      <c r="B2330" t="inlineStr">
        <is>
          <t>K4-5C</t>
        </is>
      </c>
      <c r="D2330" t="n">
        <v>13.02</v>
      </c>
      <c r="E2330" t="n">
        <v>857.463</v>
      </c>
      <c r="G2330" t="n">
        <v>15.728</v>
      </c>
      <c r="H2330" t="inlineStr">
        <is>
          <t>bb</t>
        </is>
      </c>
      <c r="I2330" t="n">
        <v>857.463</v>
      </c>
    </row>
    <row r="2331">
      <c r="A2331" t="n">
        <v>14</v>
      </c>
      <c r="B2331" t="inlineStr">
        <is>
          <t>MeOH</t>
        </is>
      </c>
    </row>
    <row r="2332">
      <c r="A2332" t="n">
        <v>15</v>
      </c>
      <c r="B2332" t="inlineStr">
        <is>
          <t>K3-1A</t>
        </is>
      </c>
      <c r="D2332" t="n">
        <v>12.96</v>
      </c>
      <c r="E2332" t="n">
        <v>1167.911</v>
      </c>
      <c r="G2332" t="n">
        <v>239.581</v>
      </c>
      <c r="H2332" t="inlineStr">
        <is>
          <t>bb</t>
        </is>
      </c>
      <c r="I2332" t="n">
        <v>1167.911</v>
      </c>
    </row>
    <row r="2333">
      <c r="A2333" t="n">
        <v>16</v>
      </c>
      <c r="B2333" t="inlineStr">
        <is>
          <t>K3-1B</t>
        </is>
      </c>
      <c r="D2333" t="n">
        <v>12.98</v>
      </c>
      <c r="E2333" t="n">
        <v>700.939</v>
      </c>
      <c r="G2333" t="n">
        <v>150</v>
      </c>
      <c r="H2333" t="inlineStr">
        <is>
          <t>bb</t>
        </is>
      </c>
      <c r="I2333" t="n">
        <v>700.939</v>
      </c>
    </row>
    <row r="2334">
      <c r="A2334" t="n">
        <v>17</v>
      </c>
      <c r="B2334" t="inlineStr">
        <is>
          <t>K3-1C</t>
        </is>
      </c>
      <c r="D2334" t="n">
        <v>13.03</v>
      </c>
      <c r="E2334" t="n">
        <v>1044.698</v>
      </c>
      <c r="G2334" t="n">
        <v>7313</v>
      </c>
      <c r="H2334" t="inlineStr">
        <is>
          <t>bb</t>
        </is>
      </c>
      <c r="I2334" t="n">
        <v>1044.698</v>
      </c>
    </row>
    <row r="2335">
      <c r="A2335" t="n">
        <v>18</v>
      </c>
      <c r="B2335" t="inlineStr">
        <is>
          <t>K3-2A</t>
        </is>
      </c>
      <c r="D2335" t="n">
        <v>13.05</v>
      </c>
      <c r="E2335" t="n">
        <v>927.946</v>
      </c>
      <c r="G2335" t="n">
        <v>6770</v>
      </c>
      <c r="H2335" t="inlineStr">
        <is>
          <t>bb</t>
        </is>
      </c>
      <c r="I2335" t="n">
        <v>927.946</v>
      </c>
    </row>
    <row r="2336">
      <c r="A2336" t="n">
        <v>19</v>
      </c>
      <c r="B2336" t="inlineStr">
        <is>
          <t>K3-2B</t>
        </is>
      </c>
      <c r="D2336" t="n">
        <v>13.05</v>
      </c>
      <c r="E2336" t="n">
        <v>933.991</v>
      </c>
      <c r="G2336" t="n">
        <v>36.23</v>
      </c>
      <c r="H2336" t="inlineStr">
        <is>
          <t>bb</t>
        </is>
      </c>
      <c r="I2336" t="n">
        <v>933.991</v>
      </c>
    </row>
    <row r="2337">
      <c r="A2337" t="n">
        <v>20</v>
      </c>
      <c r="B2337" t="inlineStr">
        <is>
          <t>K3-2C</t>
        </is>
      </c>
      <c r="D2337" t="n">
        <v>13.06</v>
      </c>
      <c r="E2337" t="n">
        <v>918.989</v>
      </c>
      <c r="G2337" t="n">
        <v>88.488</v>
      </c>
      <c r="H2337" t="inlineStr">
        <is>
          <t>bb</t>
        </is>
      </c>
      <c r="I2337" t="n">
        <v>918.989</v>
      </c>
    </row>
    <row r="2338">
      <c r="A2338" t="n">
        <v>21</v>
      </c>
      <c r="B2338" t="inlineStr">
        <is>
          <t>MeOH</t>
        </is>
      </c>
    </row>
    <row r="2339">
      <c r="A2339" t="n">
        <v>22</v>
      </c>
      <c r="B2339" t="inlineStr">
        <is>
          <t>K3-3A</t>
        </is>
      </c>
      <c r="D2339" t="n">
        <v>13.06</v>
      </c>
      <c r="E2339" t="n">
        <v>1063.891</v>
      </c>
      <c r="G2339" t="n">
        <v>151.847</v>
      </c>
      <c r="H2339" t="inlineStr">
        <is>
          <t>bb</t>
        </is>
      </c>
      <c r="I2339" t="n">
        <v>1063.891</v>
      </c>
    </row>
    <row r="2340">
      <c r="A2340" t="n">
        <v>23</v>
      </c>
      <c r="B2340" t="inlineStr">
        <is>
          <t>K3-3B</t>
        </is>
      </c>
      <c r="D2340" t="n">
        <v>13.09</v>
      </c>
      <c r="E2340" t="n">
        <v>955.169</v>
      </c>
      <c r="G2340" t="n">
        <v>7019</v>
      </c>
      <c r="H2340" t="inlineStr">
        <is>
          <t>bb</t>
        </is>
      </c>
      <c r="I2340" t="n">
        <v>955.169</v>
      </c>
    </row>
    <row r="2341">
      <c r="A2341" t="n">
        <v>24</v>
      </c>
      <c r="B2341" t="inlineStr">
        <is>
          <t>K3-3C</t>
        </is>
      </c>
      <c r="D2341" t="n">
        <v>13.06</v>
      </c>
      <c r="E2341" t="n">
        <v>1310.101</v>
      </c>
      <c r="G2341" t="n">
        <v>44.185</v>
      </c>
      <c r="H2341" t="inlineStr">
        <is>
          <t>bb</t>
        </is>
      </c>
      <c r="I2341" t="n">
        <v>1310.101</v>
      </c>
    </row>
    <row r="2342">
      <c r="A2342" t="n">
        <v>25</v>
      </c>
      <c r="B2342" t="inlineStr">
        <is>
          <t>K3-4A</t>
        </is>
      </c>
      <c r="D2342" t="n">
        <v>13.14</v>
      </c>
      <c r="E2342" t="n">
        <v>994.819</v>
      </c>
      <c r="G2342" t="n">
        <v>7369</v>
      </c>
      <c r="H2342" t="inlineStr">
        <is>
          <t>bb</t>
        </is>
      </c>
      <c r="I2342" t="n">
        <v>994.819</v>
      </c>
    </row>
    <row r="2343">
      <c r="A2343" t="n">
        <v>26</v>
      </c>
      <c r="B2343" t="inlineStr">
        <is>
          <t>K3-4B</t>
        </is>
      </c>
      <c r="D2343" t="n">
        <v>13.11</v>
      </c>
      <c r="E2343" t="n">
        <v>1440.548</v>
      </c>
      <c r="G2343" t="n">
        <v>9785</v>
      </c>
      <c r="H2343" t="inlineStr">
        <is>
          <t>bb</t>
        </is>
      </c>
      <c r="I2343" t="n">
        <v>1440.548</v>
      </c>
    </row>
    <row r="2344">
      <c r="A2344" t="n">
        <v>27</v>
      </c>
      <c r="B2344" t="inlineStr">
        <is>
          <t>K3-4C</t>
        </is>
      </c>
      <c r="D2344" t="n">
        <v>13.15</v>
      </c>
      <c r="E2344" t="n">
        <v>1157.666</v>
      </c>
      <c r="G2344" t="n">
        <v>74.009</v>
      </c>
      <c r="H2344" t="inlineStr">
        <is>
          <t>bb</t>
        </is>
      </c>
      <c r="I2344" t="n">
        <v>1157.666</v>
      </c>
    </row>
    <row r="2345">
      <c r="A2345" t="n">
        <v>28</v>
      </c>
      <c r="B2345" t="inlineStr">
        <is>
          <t>MeOH</t>
        </is>
      </c>
    </row>
    <row r="2346">
      <c r="A2346" t="n">
        <v>29</v>
      </c>
      <c r="B2346" t="inlineStr">
        <is>
          <t>K3-6A</t>
        </is>
      </c>
      <c r="D2346" t="n">
        <v>13.17</v>
      </c>
      <c r="E2346" t="n">
        <v>1242.992</v>
      </c>
      <c r="G2346" t="n">
        <v>12.257</v>
      </c>
      <c r="H2346" t="inlineStr">
        <is>
          <t>bb</t>
        </is>
      </c>
      <c r="I2346" t="n">
        <v>1242.992</v>
      </c>
    </row>
    <row r="2347">
      <c r="A2347" t="n">
        <v>30</v>
      </c>
      <c r="B2347" t="inlineStr">
        <is>
          <t>K3-6B</t>
        </is>
      </c>
      <c r="D2347" t="n">
        <v>13.15</v>
      </c>
      <c r="E2347" t="n">
        <v>885.144</v>
      </c>
      <c r="G2347" t="n">
        <v>34.272</v>
      </c>
      <c r="H2347" t="inlineStr">
        <is>
          <t>bb</t>
        </is>
      </c>
      <c r="I2347" t="n">
        <v>885.144</v>
      </c>
    </row>
    <row r="2348">
      <c r="A2348" t="n">
        <v>31</v>
      </c>
      <c r="B2348" t="inlineStr">
        <is>
          <t>K3-6C</t>
        </is>
      </c>
      <c r="D2348" t="n">
        <v>13.15</v>
      </c>
      <c r="E2348" t="n">
        <v>958.568</v>
      </c>
      <c r="G2348" t="n">
        <v>7015</v>
      </c>
      <c r="H2348" t="inlineStr">
        <is>
          <t>bb</t>
        </is>
      </c>
      <c r="I2348" t="n">
        <v>958.568</v>
      </c>
    </row>
    <row r="2350">
      <c r="A2350" t="inlineStr">
        <is>
          <t>Compound 68:  8:2 FTCA</t>
        </is>
      </c>
    </row>
    <row r="2352">
      <c r="B2352" t="inlineStr">
        <is>
          <t>Sample Text</t>
        </is>
      </c>
      <c r="C2352" t="inlineStr">
        <is>
          <t>Std. Conc</t>
        </is>
      </c>
      <c r="D2352" t="inlineStr">
        <is>
          <t>RT</t>
        </is>
      </c>
      <c r="E2352" t="inlineStr">
        <is>
          <t>Area</t>
        </is>
      </c>
      <c r="F2352" t="inlineStr">
        <is>
          <t>IS Area</t>
        </is>
      </c>
      <c r="G2352" t="inlineStr">
        <is>
          <t>S/N</t>
        </is>
      </c>
      <c r="H2352" t="inlineStr">
        <is>
          <t>Primary Flags</t>
        </is>
      </c>
      <c r="I2352" t="inlineStr">
        <is>
          <t>Response</t>
        </is>
      </c>
      <c r="J2352" t="inlineStr">
        <is>
          <t>Conc.</t>
        </is>
      </c>
    </row>
    <row r="2353">
      <c r="A2353" t="n">
        <v>1</v>
      </c>
      <c r="B2353" t="inlineStr">
        <is>
          <t>K4-1A</t>
        </is>
      </c>
    </row>
    <row r="2354">
      <c r="A2354" t="n">
        <v>2</v>
      </c>
      <c r="B2354" t="inlineStr">
        <is>
          <t>K4-1B</t>
        </is>
      </c>
    </row>
    <row r="2355">
      <c r="A2355" t="n">
        <v>3</v>
      </c>
      <c r="B2355" t="inlineStr">
        <is>
          <t>K4-1C</t>
        </is>
      </c>
    </row>
    <row r="2356">
      <c r="A2356" t="n">
        <v>4</v>
      </c>
      <c r="B2356" t="inlineStr">
        <is>
          <t>K4-2A</t>
        </is>
      </c>
    </row>
    <row r="2357">
      <c r="A2357" t="n">
        <v>5</v>
      </c>
      <c r="B2357" t="inlineStr">
        <is>
          <t>K4-2B</t>
        </is>
      </c>
    </row>
    <row r="2358">
      <c r="A2358" t="n">
        <v>6</v>
      </c>
      <c r="B2358" t="inlineStr">
        <is>
          <t>K4-2C</t>
        </is>
      </c>
    </row>
    <row r="2359">
      <c r="A2359" t="n">
        <v>7</v>
      </c>
      <c r="B2359" t="inlineStr">
        <is>
          <t>MeOH</t>
        </is>
      </c>
    </row>
    <row r="2360">
      <c r="A2360" t="n">
        <v>8</v>
      </c>
      <c r="B2360" t="inlineStr">
        <is>
          <t>K4-4A</t>
        </is>
      </c>
    </row>
    <row r="2361">
      <c r="A2361" t="n">
        <v>9</v>
      </c>
      <c r="B2361" t="inlineStr">
        <is>
          <t>K4-4B</t>
        </is>
      </c>
    </row>
    <row r="2362">
      <c r="A2362" t="n">
        <v>10</v>
      </c>
      <c r="B2362" t="inlineStr">
        <is>
          <t>K4-4C</t>
        </is>
      </c>
      <c r="D2362" t="n">
        <v>13.05</v>
      </c>
      <c r="E2362" t="n">
        <v>0.606</v>
      </c>
      <c r="G2362" t="n">
        <v>6</v>
      </c>
      <c r="H2362" t="inlineStr">
        <is>
          <t>bb</t>
        </is>
      </c>
      <c r="I2362" t="n">
        <v>0.606</v>
      </c>
    </row>
    <row r="2363">
      <c r="A2363" t="n">
        <v>11</v>
      </c>
      <c r="B2363" t="inlineStr">
        <is>
          <t>K4-5A</t>
        </is>
      </c>
    </row>
    <row r="2364">
      <c r="A2364" t="n">
        <v>12</v>
      </c>
      <c r="B2364" t="inlineStr">
        <is>
          <t>K4-5B</t>
        </is>
      </c>
    </row>
    <row r="2365">
      <c r="A2365" t="n">
        <v>13</v>
      </c>
      <c r="B2365" t="inlineStr">
        <is>
          <t>K4-5C</t>
        </is>
      </c>
    </row>
    <row r="2366">
      <c r="A2366" t="n">
        <v>14</v>
      </c>
      <c r="B2366" t="inlineStr">
        <is>
          <t>MeOH</t>
        </is>
      </c>
    </row>
    <row r="2367">
      <c r="A2367" t="n">
        <v>15</v>
      </c>
      <c r="B2367" t="inlineStr">
        <is>
          <t>K3-1A</t>
        </is>
      </c>
      <c r="D2367" t="n">
        <v>13.42</v>
      </c>
      <c r="E2367" t="n">
        <v>2.538</v>
      </c>
      <c r="G2367" t="n">
        <v>21</v>
      </c>
      <c r="H2367" t="inlineStr">
        <is>
          <t>bb</t>
        </is>
      </c>
      <c r="I2367" t="n">
        <v>2.538</v>
      </c>
    </row>
    <row r="2368">
      <c r="A2368" t="n">
        <v>16</v>
      </c>
      <c r="B2368" t="inlineStr">
        <is>
          <t>K3-1B</t>
        </is>
      </c>
    </row>
    <row r="2369">
      <c r="A2369" t="n">
        <v>17</v>
      </c>
      <c r="B2369" t="inlineStr">
        <is>
          <t>K3-1C</t>
        </is>
      </c>
    </row>
    <row r="2370">
      <c r="A2370" t="n">
        <v>18</v>
      </c>
      <c r="B2370" t="inlineStr">
        <is>
          <t>K3-2A</t>
        </is>
      </c>
      <c r="D2370" t="n">
        <v>13.5</v>
      </c>
      <c r="E2370" t="n">
        <v>30.903</v>
      </c>
      <c r="G2370" t="n">
        <v>284</v>
      </c>
      <c r="H2370" t="inlineStr">
        <is>
          <t>bb</t>
        </is>
      </c>
      <c r="I2370" t="n">
        <v>30.903</v>
      </c>
    </row>
    <row r="2371">
      <c r="A2371" t="n">
        <v>19</v>
      </c>
      <c r="B2371" t="inlineStr">
        <is>
          <t>K3-2B</t>
        </is>
      </c>
    </row>
    <row r="2372">
      <c r="A2372" t="n">
        <v>20</v>
      </c>
      <c r="B2372" t="inlineStr">
        <is>
          <t>K3-2C</t>
        </is>
      </c>
    </row>
    <row r="2373">
      <c r="A2373" t="n">
        <v>21</v>
      </c>
      <c r="B2373" t="inlineStr">
        <is>
          <t>MeOH</t>
        </is>
      </c>
    </row>
    <row r="2374">
      <c r="A2374" t="n">
        <v>22</v>
      </c>
      <c r="B2374" t="inlineStr">
        <is>
          <t>K3-3A</t>
        </is>
      </c>
    </row>
    <row r="2375">
      <c r="A2375" t="n">
        <v>23</v>
      </c>
      <c r="B2375" t="inlineStr">
        <is>
          <t>K3-3B</t>
        </is>
      </c>
    </row>
    <row r="2376">
      <c r="A2376" t="n">
        <v>24</v>
      </c>
      <c r="B2376" t="inlineStr">
        <is>
          <t>K3-3C</t>
        </is>
      </c>
    </row>
    <row r="2377">
      <c r="A2377" t="n">
        <v>25</v>
      </c>
      <c r="B2377" t="inlineStr">
        <is>
          <t>K3-4A</t>
        </is>
      </c>
    </row>
    <row r="2378">
      <c r="A2378" t="n">
        <v>26</v>
      </c>
      <c r="B2378" t="inlineStr">
        <is>
          <t>K3-4B</t>
        </is>
      </c>
    </row>
    <row r="2379">
      <c r="A2379" t="n">
        <v>27</v>
      </c>
      <c r="B2379" t="inlineStr">
        <is>
          <t>K3-4C</t>
        </is>
      </c>
    </row>
    <row r="2380">
      <c r="A2380" t="n">
        <v>28</v>
      </c>
      <c r="B2380" t="inlineStr">
        <is>
          <t>MeOH</t>
        </is>
      </c>
    </row>
    <row r="2381">
      <c r="A2381" t="n">
        <v>29</v>
      </c>
      <c r="B2381" t="inlineStr">
        <is>
          <t>K3-6A</t>
        </is>
      </c>
      <c r="D2381" t="n">
        <v>13.02</v>
      </c>
      <c r="E2381" t="n">
        <v>3.168</v>
      </c>
      <c r="G2381" t="n">
        <v>30</v>
      </c>
      <c r="H2381" t="inlineStr">
        <is>
          <t>bb</t>
        </is>
      </c>
      <c r="I2381" t="n">
        <v>3.168</v>
      </c>
    </row>
    <row r="2382">
      <c r="A2382" t="n">
        <v>30</v>
      </c>
      <c r="B2382" t="inlineStr">
        <is>
          <t>K3-6B</t>
        </is>
      </c>
      <c r="D2382" t="n">
        <v>13.02</v>
      </c>
      <c r="E2382" t="n">
        <v>14.585</v>
      </c>
      <c r="G2382" t="n">
        <v>136</v>
      </c>
      <c r="H2382" t="inlineStr">
        <is>
          <t>bb</t>
        </is>
      </c>
      <c r="I2382" t="n">
        <v>14.585</v>
      </c>
    </row>
    <row r="2383">
      <c r="A2383" t="n">
        <v>31</v>
      </c>
      <c r="B2383" t="inlineStr">
        <is>
          <t>K3-6C</t>
        </is>
      </c>
    </row>
    <row r="2385">
      <c r="A2385" t="inlineStr">
        <is>
          <t>Compound 69:  m2 8:2 FTCA</t>
        </is>
      </c>
    </row>
    <row r="2387">
      <c r="B2387" t="inlineStr">
        <is>
          <t>Sample Text</t>
        </is>
      </c>
      <c r="C2387" t="inlineStr">
        <is>
          <t>Std. Conc</t>
        </is>
      </c>
      <c r="D2387" t="inlineStr">
        <is>
          <t>RT</t>
        </is>
      </c>
      <c r="E2387" t="inlineStr">
        <is>
          <t>Area</t>
        </is>
      </c>
      <c r="F2387" t="inlineStr">
        <is>
          <t>IS Area</t>
        </is>
      </c>
      <c r="G2387" t="inlineStr">
        <is>
          <t>S/N</t>
        </is>
      </c>
      <c r="H2387" t="inlineStr">
        <is>
          <t>Primary Flags</t>
        </is>
      </c>
      <c r="I2387" t="inlineStr">
        <is>
          <t>Response</t>
        </is>
      </c>
      <c r="J2387" t="inlineStr">
        <is>
          <t>Conc.</t>
        </is>
      </c>
    </row>
    <row r="2388">
      <c r="A2388" t="n">
        <v>1</v>
      </c>
      <c r="B2388" t="inlineStr">
        <is>
          <t>K4-1A</t>
        </is>
      </c>
    </row>
    <row r="2389">
      <c r="A2389" t="n">
        <v>2</v>
      </c>
      <c r="B2389" t="inlineStr">
        <is>
          <t>K4-1B</t>
        </is>
      </c>
    </row>
    <row r="2390">
      <c r="A2390" t="n">
        <v>3</v>
      </c>
      <c r="B2390" t="inlineStr">
        <is>
          <t>K4-1C</t>
        </is>
      </c>
    </row>
    <row r="2391">
      <c r="A2391" t="n">
        <v>4</v>
      </c>
      <c r="B2391" t="inlineStr">
        <is>
          <t>K4-2A</t>
        </is>
      </c>
      <c r="D2391" t="n">
        <v>13.66</v>
      </c>
      <c r="E2391" t="n">
        <v>3.576</v>
      </c>
      <c r="G2391" t="n">
        <v>35</v>
      </c>
      <c r="H2391" t="inlineStr">
        <is>
          <t>bb</t>
        </is>
      </c>
      <c r="I2391" t="n">
        <v>3.576</v>
      </c>
    </row>
    <row r="2392">
      <c r="A2392" t="n">
        <v>5</v>
      </c>
      <c r="B2392" t="inlineStr">
        <is>
          <t>K4-2B</t>
        </is>
      </c>
    </row>
    <row r="2393">
      <c r="A2393" t="n">
        <v>6</v>
      </c>
      <c r="B2393" t="inlineStr">
        <is>
          <t>K4-2C</t>
        </is>
      </c>
      <c r="D2393" t="n">
        <v>13.54</v>
      </c>
      <c r="E2393" t="n">
        <v>18.463</v>
      </c>
      <c r="G2393" t="n">
        <v>186</v>
      </c>
      <c r="H2393" t="inlineStr">
        <is>
          <t>bb</t>
        </is>
      </c>
      <c r="I2393" t="n">
        <v>18.463</v>
      </c>
    </row>
    <row r="2394">
      <c r="A2394" t="n">
        <v>7</v>
      </c>
      <c r="B2394" t="inlineStr">
        <is>
          <t>MeOH</t>
        </is>
      </c>
    </row>
    <row r="2395">
      <c r="A2395" t="n">
        <v>8</v>
      </c>
      <c r="B2395" t="inlineStr">
        <is>
          <t>K4-4A</t>
        </is>
      </c>
    </row>
    <row r="2396">
      <c r="A2396" t="n">
        <v>9</v>
      </c>
      <c r="B2396" t="inlineStr">
        <is>
          <t>K4-4B</t>
        </is>
      </c>
    </row>
    <row r="2397">
      <c r="A2397" t="n">
        <v>10</v>
      </c>
      <c r="B2397" t="inlineStr">
        <is>
          <t>K4-4C</t>
        </is>
      </c>
    </row>
    <row r="2398">
      <c r="A2398" t="n">
        <v>11</v>
      </c>
      <c r="B2398" t="inlineStr">
        <is>
          <t>K4-5A</t>
        </is>
      </c>
    </row>
    <row r="2399">
      <c r="A2399" t="n">
        <v>12</v>
      </c>
      <c r="B2399" t="inlineStr">
        <is>
          <t>K4-5B</t>
        </is>
      </c>
    </row>
    <row r="2400">
      <c r="A2400" t="n">
        <v>13</v>
      </c>
      <c r="B2400" t="inlineStr">
        <is>
          <t>K4-5C</t>
        </is>
      </c>
    </row>
    <row r="2401">
      <c r="A2401" t="n">
        <v>14</v>
      </c>
      <c r="B2401" t="inlineStr">
        <is>
          <t>MeOH</t>
        </is>
      </c>
    </row>
    <row r="2402">
      <c r="A2402" t="n">
        <v>15</v>
      </c>
      <c r="B2402" t="inlineStr">
        <is>
          <t>K3-1A</t>
        </is>
      </c>
    </row>
    <row r="2403">
      <c r="A2403" t="n">
        <v>16</v>
      </c>
      <c r="B2403" t="inlineStr">
        <is>
          <t>K3-1B</t>
        </is>
      </c>
    </row>
    <row r="2404">
      <c r="A2404" t="n">
        <v>17</v>
      </c>
      <c r="B2404" t="inlineStr">
        <is>
          <t>K3-1C</t>
        </is>
      </c>
    </row>
    <row r="2405">
      <c r="A2405" t="n">
        <v>18</v>
      </c>
      <c r="B2405" t="inlineStr">
        <is>
          <t>K3-2A</t>
        </is>
      </c>
    </row>
    <row r="2406">
      <c r="A2406" t="n">
        <v>19</v>
      </c>
      <c r="B2406" t="inlineStr">
        <is>
          <t>K3-2B</t>
        </is>
      </c>
    </row>
    <row r="2407">
      <c r="A2407" t="n">
        <v>20</v>
      </c>
      <c r="B2407" t="inlineStr">
        <is>
          <t>K3-2C</t>
        </is>
      </c>
    </row>
    <row r="2408">
      <c r="A2408" t="n">
        <v>21</v>
      </c>
      <c r="B2408" t="inlineStr">
        <is>
          <t>MeOH</t>
        </is>
      </c>
    </row>
    <row r="2409">
      <c r="A2409" t="n">
        <v>22</v>
      </c>
      <c r="B2409" t="inlineStr">
        <is>
          <t>K3-3A</t>
        </is>
      </c>
    </row>
    <row r="2410">
      <c r="A2410" t="n">
        <v>23</v>
      </c>
      <c r="B2410" t="inlineStr">
        <is>
          <t>K3-3B</t>
        </is>
      </c>
    </row>
    <row r="2411">
      <c r="A2411" t="n">
        <v>24</v>
      </c>
      <c r="B2411" t="inlineStr">
        <is>
          <t>K3-3C</t>
        </is>
      </c>
    </row>
    <row r="2412">
      <c r="A2412" t="n">
        <v>25</v>
      </c>
      <c r="B2412" t="inlineStr">
        <is>
          <t>K3-4A</t>
        </is>
      </c>
    </row>
    <row r="2413">
      <c r="A2413" t="n">
        <v>26</v>
      </c>
      <c r="B2413" t="inlineStr">
        <is>
          <t>K3-4B</t>
        </is>
      </c>
    </row>
    <row r="2414">
      <c r="A2414" t="n">
        <v>27</v>
      </c>
      <c r="B2414" t="inlineStr">
        <is>
          <t>K3-4C</t>
        </is>
      </c>
    </row>
    <row r="2415">
      <c r="A2415" t="n">
        <v>28</v>
      </c>
      <c r="B2415" t="inlineStr">
        <is>
          <t>MeOH</t>
        </is>
      </c>
    </row>
    <row r="2416">
      <c r="A2416" t="n">
        <v>29</v>
      </c>
      <c r="B2416" t="inlineStr">
        <is>
          <t>K3-6A</t>
        </is>
      </c>
    </row>
    <row r="2417">
      <c r="A2417" t="n">
        <v>30</v>
      </c>
      <c r="B2417" t="inlineStr">
        <is>
          <t>K3-6B</t>
        </is>
      </c>
    </row>
    <row r="2418">
      <c r="A2418" t="n">
        <v>31</v>
      </c>
      <c r="B2418" t="inlineStr">
        <is>
          <t>K3-6C</t>
        </is>
      </c>
    </row>
    <row r="2420">
      <c r="A2420" t="inlineStr">
        <is>
          <t>Compound 70:  FOSA 1</t>
        </is>
      </c>
    </row>
    <row r="2422">
      <c r="B2422" t="inlineStr">
        <is>
          <t>Sample Text</t>
        </is>
      </c>
      <c r="C2422" t="inlineStr">
        <is>
          <t>Std. Conc</t>
        </is>
      </c>
      <c r="D2422" t="inlineStr">
        <is>
          <t>RT</t>
        </is>
      </c>
      <c r="E2422" t="inlineStr">
        <is>
          <t>Area</t>
        </is>
      </c>
      <c r="F2422" t="inlineStr">
        <is>
          <t>IS Area</t>
        </is>
      </c>
      <c r="G2422" t="inlineStr">
        <is>
          <t>S/N</t>
        </is>
      </c>
      <c r="H2422" t="inlineStr">
        <is>
          <t>Primary Flags</t>
        </is>
      </c>
      <c r="I2422" t="inlineStr">
        <is>
          <t>Response</t>
        </is>
      </c>
      <c r="J2422" t="inlineStr">
        <is>
          <t>Conc.</t>
        </is>
      </c>
    </row>
    <row r="2423">
      <c r="A2423" t="n">
        <v>1</v>
      </c>
      <c r="B2423" t="inlineStr">
        <is>
          <t>K4-1A</t>
        </is>
      </c>
      <c r="D2423" t="n">
        <v>13.2</v>
      </c>
      <c r="E2423" t="n">
        <v>119.214</v>
      </c>
      <c r="F2423" t="n">
        <v>6129.653</v>
      </c>
      <c r="G2423" t="n">
        <v>5.571</v>
      </c>
      <c r="H2423" t="inlineStr">
        <is>
          <t>bb</t>
        </is>
      </c>
    </row>
    <row r="2424">
      <c r="A2424" t="n">
        <v>2</v>
      </c>
      <c r="B2424" t="inlineStr">
        <is>
          <t>K4-1B</t>
        </is>
      </c>
      <c r="F2424" t="n">
        <v>6202.174</v>
      </c>
    </row>
    <row r="2425">
      <c r="A2425" t="n">
        <v>3</v>
      </c>
      <c r="B2425" t="inlineStr">
        <is>
          <t>K4-1C</t>
        </is>
      </c>
      <c r="D2425" t="n">
        <v>13.23</v>
      </c>
      <c r="E2425" t="n">
        <v>18.458</v>
      </c>
      <c r="F2425" t="n">
        <v>5567.882</v>
      </c>
      <c r="G2425" t="n">
        <v>4.083</v>
      </c>
      <c r="H2425" t="inlineStr">
        <is>
          <t>bb</t>
        </is>
      </c>
    </row>
    <row r="2426">
      <c r="A2426" t="n">
        <v>4</v>
      </c>
      <c r="B2426" t="inlineStr">
        <is>
          <t>K4-2A</t>
        </is>
      </c>
      <c r="D2426" t="n">
        <v>13.25</v>
      </c>
      <c r="E2426" t="n">
        <v>16.794</v>
      </c>
      <c r="F2426" t="n">
        <v>5829.725</v>
      </c>
      <c r="G2426" t="n">
        <v>2.533</v>
      </c>
      <c r="H2426" t="inlineStr">
        <is>
          <t>MM</t>
        </is>
      </c>
    </row>
    <row r="2427">
      <c r="A2427" t="n">
        <v>5</v>
      </c>
      <c r="B2427" t="inlineStr">
        <is>
          <t>K4-2B</t>
        </is>
      </c>
      <c r="D2427" t="n">
        <v>13.22</v>
      </c>
      <c r="E2427" t="n">
        <v>98.80800000000001</v>
      </c>
      <c r="F2427" t="n">
        <v>5298.286</v>
      </c>
      <c r="G2427" t="n">
        <v>729</v>
      </c>
      <c r="H2427" t="inlineStr">
        <is>
          <t>bb</t>
        </is>
      </c>
    </row>
    <row r="2428">
      <c r="A2428" t="n">
        <v>6</v>
      </c>
      <c r="B2428" t="inlineStr">
        <is>
          <t>K4-2C</t>
        </is>
      </c>
      <c r="D2428" t="n">
        <v>13.25</v>
      </c>
      <c r="E2428" t="n">
        <v>11.623</v>
      </c>
      <c r="F2428" t="n">
        <v>5070.005</v>
      </c>
      <c r="G2428" t="n">
        <v>99</v>
      </c>
      <c r="H2428" t="inlineStr">
        <is>
          <t>bb</t>
        </is>
      </c>
    </row>
    <row r="2429">
      <c r="A2429" t="n">
        <v>7</v>
      </c>
      <c r="B2429" t="inlineStr">
        <is>
          <t>MeOH</t>
        </is>
      </c>
      <c r="D2429" t="n">
        <v>13.26</v>
      </c>
      <c r="E2429" t="n">
        <v>30.588</v>
      </c>
      <c r="G2429" t="n">
        <v>252</v>
      </c>
      <c r="H2429" t="inlineStr">
        <is>
          <t>bb</t>
        </is>
      </c>
    </row>
    <row r="2430">
      <c r="A2430" t="n">
        <v>8</v>
      </c>
      <c r="B2430" t="inlineStr">
        <is>
          <t>K4-4A</t>
        </is>
      </c>
      <c r="F2430" t="n">
        <v>5768.776</v>
      </c>
    </row>
    <row r="2431">
      <c r="A2431" t="n">
        <v>9</v>
      </c>
      <c r="B2431" t="inlineStr">
        <is>
          <t>K4-4B</t>
        </is>
      </c>
      <c r="D2431" t="n">
        <v>13.26</v>
      </c>
      <c r="E2431" t="n">
        <v>4.601</v>
      </c>
      <c r="F2431" t="n">
        <v>5622.463</v>
      </c>
      <c r="G2431" t="n">
        <v>39</v>
      </c>
      <c r="H2431" t="inlineStr">
        <is>
          <t>bb</t>
        </is>
      </c>
    </row>
    <row r="2432">
      <c r="A2432" t="n">
        <v>10</v>
      </c>
      <c r="B2432" t="inlineStr">
        <is>
          <t>K4-4C</t>
        </is>
      </c>
      <c r="D2432" t="n">
        <v>13.28</v>
      </c>
      <c r="E2432" t="n">
        <v>3.812</v>
      </c>
      <c r="F2432" t="n">
        <v>6493.59</v>
      </c>
      <c r="G2432" t="n">
        <v>32</v>
      </c>
      <c r="H2432" t="inlineStr">
        <is>
          <t>bb</t>
        </is>
      </c>
    </row>
    <row r="2433">
      <c r="A2433" t="n">
        <v>11</v>
      </c>
      <c r="B2433" t="inlineStr">
        <is>
          <t>K4-5A</t>
        </is>
      </c>
      <c r="F2433" t="n">
        <v>5176.378</v>
      </c>
    </row>
    <row r="2434">
      <c r="A2434" t="n">
        <v>12</v>
      </c>
      <c r="B2434" t="inlineStr">
        <is>
          <t>K4-5B</t>
        </is>
      </c>
      <c r="D2434" t="n">
        <v>13.39</v>
      </c>
      <c r="E2434" t="n">
        <v>8.090999999999999</v>
      </c>
      <c r="F2434" t="n">
        <v>4979.178</v>
      </c>
      <c r="G2434" t="n">
        <v>68</v>
      </c>
      <c r="H2434" t="inlineStr">
        <is>
          <t>bb</t>
        </is>
      </c>
    </row>
    <row r="2435">
      <c r="A2435" t="n">
        <v>13</v>
      </c>
      <c r="B2435" t="inlineStr">
        <is>
          <t>K4-5C</t>
        </is>
      </c>
      <c r="D2435" t="n">
        <v>13.19</v>
      </c>
      <c r="E2435" t="n">
        <v>8.577999999999999</v>
      </c>
      <c r="F2435" t="n">
        <v>5149.499</v>
      </c>
      <c r="G2435" t="n">
        <v>4.069</v>
      </c>
      <c r="H2435" t="inlineStr">
        <is>
          <t>MM</t>
        </is>
      </c>
    </row>
    <row r="2436">
      <c r="A2436" t="n">
        <v>14</v>
      </c>
      <c r="B2436" t="inlineStr">
        <is>
          <t>MeOH</t>
        </is>
      </c>
      <c r="D2436" t="n">
        <v>13.17</v>
      </c>
      <c r="E2436" t="n">
        <v>37.986</v>
      </c>
      <c r="G2436" t="n">
        <v>10.332</v>
      </c>
      <c r="H2436" t="inlineStr">
        <is>
          <t>bb</t>
        </is>
      </c>
    </row>
    <row r="2437">
      <c r="A2437" t="n">
        <v>15</v>
      </c>
      <c r="B2437" t="inlineStr">
        <is>
          <t>K3-1A</t>
        </is>
      </c>
      <c r="D2437" t="n">
        <v>13.12</v>
      </c>
      <c r="E2437" t="n">
        <v>59.136</v>
      </c>
      <c r="F2437" t="n">
        <v>6155.055</v>
      </c>
      <c r="G2437" t="n">
        <v>11.9</v>
      </c>
      <c r="H2437" t="inlineStr">
        <is>
          <t>bb</t>
        </is>
      </c>
    </row>
    <row r="2438">
      <c r="A2438" t="n">
        <v>16</v>
      </c>
      <c r="B2438" t="inlineStr">
        <is>
          <t>K3-1B</t>
        </is>
      </c>
      <c r="D2438" t="n">
        <v>13.17</v>
      </c>
      <c r="E2438" t="n">
        <v>2.656</v>
      </c>
      <c r="F2438" t="n">
        <v>5160.451</v>
      </c>
      <c r="G2438" t="n">
        <v>24</v>
      </c>
      <c r="H2438" t="inlineStr">
        <is>
          <t>bb</t>
        </is>
      </c>
    </row>
    <row r="2439">
      <c r="A2439" t="n">
        <v>17</v>
      </c>
      <c r="B2439" t="inlineStr">
        <is>
          <t>K3-1C</t>
        </is>
      </c>
      <c r="D2439" t="n">
        <v>13.17</v>
      </c>
      <c r="E2439" t="n">
        <v>0.855</v>
      </c>
      <c r="F2439" t="n">
        <v>7465.032</v>
      </c>
      <c r="G2439" t="n">
        <v>8</v>
      </c>
      <c r="H2439" t="inlineStr">
        <is>
          <t>bb</t>
        </is>
      </c>
    </row>
    <row r="2440">
      <c r="A2440" t="n">
        <v>18</v>
      </c>
      <c r="B2440" t="inlineStr">
        <is>
          <t>K3-2A</t>
        </is>
      </c>
      <c r="D2440" t="n">
        <v>13.18</v>
      </c>
      <c r="E2440" t="n">
        <v>135.966</v>
      </c>
      <c r="F2440" t="n">
        <v>7342.454</v>
      </c>
      <c r="G2440" t="n">
        <v>6.585</v>
      </c>
      <c r="H2440" t="inlineStr">
        <is>
          <t>bb</t>
        </is>
      </c>
    </row>
    <row r="2441">
      <c r="A2441" t="n">
        <v>19</v>
      </c>
      <c r="B2441" t="inlineStr">
        <is>
          <t>K3-2B</t>
        </is>
      </c>
      <c r="D2441" t="n">
        <v>13.08</v>
      </c>
      <c r="E2441" t="n">
        <v>13.218</v>
      </c>
      <c r="F2441" t="n">
        <v>8155.675</v>
      </c>
      <c r="G2441" t="n">
        <v>121</v>
      </c>
      <c r="H2441" t="inlineStr">
        <is>
          <t>bb</t>
        </is>
      </c>
    </row>
    <row r="2442">
      <c r="A2442" t="n">
        <v>20</v>
      </c>
      <c r="B2442" t="inlineStr">
        <is>
          <t>K3-2C</t>
        </is>
      </c>
      <c r="D2442" t="n">
        <v>12.95</v>
      </c>
      <c r="E2442" t="n">
        <v>13.503</v>
      </c>
      <c r="F2442" t="n">
        <v>5978.155</v>
      </c>
      <c r="G2442" t="n">
        <v>128</v>
      </c>
      <c r="H2442" t="inlineStr">
        <is>
          <t>bb</t>
        </is>
      </c>
    </row>
    <row r="2443">
      <c r="A2443" t="n">
        <v>21</v>
      </c>
      <c r="B2443" t="inlineStr">
        <is>
          <t>MeOH</t>
        </is>
      </c>
    </row>
    <row r="2444">
      <c r="A2444" t="n">
        <v>22</v>
      </c>
      <c r="B2444" t="inlineStr">
        <is>
          <t>K3-3A</t>
        </is>
      </c>
      <c r="F2444" t="n">
        <v>5182.681</v>
      </c>
    </row>
    <row r="2445">
      <c r="A2445" t="n">
        <v>23</v>
      </c>
      <c r="B2445" t="inlineStr">
        <is>
          <t>K3-3B</t>
        </is>
      </c>
      <c r="D2445" t="n">
        <v>13.2</v>
      </c>
      <c r="E2445" t="n">
        <v>15.983</v>
      </c>
      <c r="F2445" t="n">
        <v>6315.599</v>
      </c>
      <c r="G2445" t="n">
        <v>91</v>
      </c>
      <c r="H2445" t="inlineStr">
        <is>
          <t>bb</t>
        </is>
      </c>
    </row>
    <row r="2446">
      <c r="A2446" t="n">
        <v>24</v>
      </c>
      <c r="B2446" t="inlineStr">
        <is>
          <t>K3-3C</t>
        </is>
      </c>
      <c r="D2446" t="n">
        <v>13.21</v>
      </c>
      <c r="E2446" t="n">
        <v>7.39</v>
      </c>
      <c r="F2446" t="n">
        <v>7248.654</v>
      </c>
      <c r="G2446" t="n">
        <v>64</v>
      </c>
      <c r="H2446" t="inlineStr">
        <is>
          <t>bb</t>
        </is>
      </c>
    </row>
    <row r="2447">
      <c r="A2447" t="n">
        <v>25</v>
      </c>
      <c r="B2447" t="inlineStr">
        <is>
          <t>K3-4A</t>
        </is>
      </c>
      <c r="D2447" t="n">
        <v>13.26</v>
      </c>
      <c r="E2447" t="n">
        <v>34.374</v>
      </c>
      <c r="F2447" t="n">
        <v>7757.742</v>
      </c>
      <c r="G2447" t="n">
        <v>276</v>
      </c>
      <c r="H2447" t="inlineStr">
        <is>
          <t>MM</t>
        </is>
      </c>
    </row>
    <row r="2448">
      <c r="A2448" t="n">
        <v>26</v>
      </c>
      <c r="B2448" t="inlineStr">
        <is>
          <t>K3-4B</t>
        </is>
      </c>
      <c r="D2448" t="n">
        <v>13.22</v>
      </c>
      <c r="E2448" t="n">
        <v>23.937</v>
      </c>
      <c r="F2448" t="n">
        <v>7034.812</v>
      </c>
      <c r="G2448" t="n">
        <v>193</v>
      </c>
      <c r="H2448" t="inlineStr">
        <is>
          <t>bb</t>
        </is>
      </c>
    </row>
    <row r="2449">
      <c r="A2449" t="n">
        <v>27</v>
      </c>
      <c r="B2449" t="inlineStr">
        <is>
          <t>K3-4C</t>
        </is>
      </c>
      <c r="D2449" t="n">
        <v>13.33</v>
      </c>
      <c r="E2449" t="n">
        <v>36.789</v>
      </c>
      <c r="F2449" t="n">
        <v>7000.271</v>
      </c>
      <c r="G2449" t="n">
        <v>309</v>
      </c>
      <c r="H2449" t="inlineStr">
        <is>
          <t>bb</t>
        </is>
      </c>
    </row>
    <row r="2450">
      <c r="A2450" t="n">
        <v>28</v>
      </c>
      <c r="B2450" t="inlineStr">
        <is>
          <t>MeOH</t>
        </is>
      </c>
      <c r="H2450" t="inlineStr">
        <is>
          <t>MM-</t>
        </is>
      </c>
    </row>
    <row r="2451">
      <c r="A2451" t="n">
        <v>29</v>
      </c>
      <c r="B2451" t="inlineStr">
        <is>
          <t>K3-6A</t>
        </is>
      </c>
      <c r="D2451" t="n">
        <v>13.39</v>
      </c>
      <c r="E2451" t="n">
        <v>64.899</v>
      </c>
      <c r="F2451" t="n">
        <v>6690.938</v>
      </c>
      <c r="G2451" t="n">
        <v>487</v>
      </c>
      <c r="H2451" t="inlineStr">
        <is>
          <t>bb</t>
        </is>
      </c>
    </row>
    <row r="2452">
      <c r="A2452" t="n">
        <v>30</v>
      </c>
      <c r="B2452" t="inlineStr">
        <is>
          <t>K3-6B</t>
        </is>
      </c>
      <c r="F2452" t="n">
        <v>5311.462</v>
      </c>
    </row>
    <row r="2453">
      <c r="A2453" t="n">
        <v>31</v>
      </c>
      <c r="B2453" t="inlineStr">
        <is>
          <t>K3-6C</t>
        </is>
      </c>
      <c r="F2453" t="n">
        <v>5807.998</v>
      </c>
    </row>
    <row r="2455">
      <c r="A2455" t="inlineStr">
        <is>
          <t>Compound 71:  FOSA 2</t>
        </is>
      </c>
    </row>
    <row r="2457">
      <c r="B2457" t="inlineStr">
        <is>
          <t>Sample Text</t>
        </is>
      </c>
      <c r="C2457" t="inlineStr">
        <is>
          <t>Std. Conc</t>
        </is>
      </c>
      <c r="D2457" t="inlineStr">
        <is>
          <t>RT</t>
        </is>
      </c>
      <c r="E2457" t="inlineStr">
        <is>
          <t>Area</t>
        </is>
      </c>
      <c r="F2457" t="inlineStr">
        <is>
          <t>IS Area</t>
        </is>
      </c>
      <c r="G2457" t="inlineStr">
        <is>
          <t>S/N</t>
        </is>
      </c>
      <c r="H2457" t="inlineStr">
        <is>
          <t>Primary Flags</t>
        </is>
      </c>
      <c r="I2457" t="inlineStr">
        <is>
          <t>Response</t>
        </is>
      </c>
      <c r="J2457" t="inlineStr">
        <is>
          <t>Conc.</t>
        </is>
      </c>
    </row>
    <row r="2458">
      <c r="A2458" t="n">
        <v>1</v>
      </c>
      <c r="B2458" t="inlineStr">
        <is>
          <t>K4-1A</t>
        </is>
      </c>
      <c r="F2458" t="n">
        <v>287.778</v>
      </c>
    </row>
    <row r="2459">
      <c r="A2459" t="n">
        <v>2</v>
      </c>
      <c r="B2459" t="inlineStr">
        <is>
          <t>K4-1B</t>
        </is>
      </c>
      <c r="F2459" t="n">
        <v>256.124</v>
      </c>
    </row>
    <row r="2460">
      <c r="A2460" t="n">
        <v>3</v>
      </c>
      <c r="B2460" t="inlineStr">
        <is>
          <t>K4-1C</t>
        </is>
      </c>
      <c r="F2460" t="n">
        <v>152.274</v>
      </c>
    </row>
    <row r="2461">
      <c r="A2461" t="n">
        <v>4</v>
      </c>
      <c r="B2461" t="inlineStr">
        <is>
          <t>K4-2A</t>
        </is>
      </c>
      <c r="F2461" t="n">
        <v>472.889</v>
      </c>
    </row>
    <row r="2462">
      <c r="A2462" t="n">
        <v>5</v>
      </c>
      <c r="B2462" t="inlineStr">
        <is>
          <t>K4-2B</t>
        </is>
      </c>
      <c r="F2462" t="n">
        <v>69.223</v>
      </c>
    </row>
    <row r="2463">
      <c r="A2463" t="n">
        <v>6</v>
      </c>
      <c r="B2463" t="inlineStr">
        <is>
          <t>K4-2C</t>
        </is>
      </c>
      <c r="F2463" t="n">
        <v>146.243</v>
      </c>
    </row>
    <row r="2464">
      <c r="A2464" t="n">
        <v>7</v>
      </c>
      <c r="B2464" t="inlineStr">
        <is>
          <t>MeOH</t>
        </is>
      </c>
    </row>
    <row r="2465">
      <c r="A2465" t="n">
        <v>8</v>
      </c>
      <c r="B2465" t="inlineStr">
        <is>
          <t>K4-4A</t>
        </is>
      </c>
      <c r="F2465" t="n">
        <v>76.39400000000001</v>
      </c>
    </row>
    <row r="2466">
      <c r="A2466" t="n">
        <v>9</v>
      </c>
      <c r="B2466" t="inlineStr">
        <is>
          <t>K4-4B</t>
        </is>
      </c>
      <c r="F2466" t="n">
        <v>159.293</v>
      </c>
    </row>
    <row r="2467">
      <c r="A2467" t="n">
        <v>10</v>
      </c>
      <c r="B2467" t="inlineStr">
        <is>
          <t>K4-4C</t>
        </is>
      </c>
      <c r="D2467" t="n">
        <v>14.19</v>
      </c>
      <c r="E2467" t="n">
        <v>0.674</v>
      </c>
      <c r="F2467" t="n">
        <v>53.688</v>
      </c>
      <c r="G2467" t="n">
        <v>6</v>
      </c>
      <c r="H2467" t="inlineStr">
        <is>
          <t>MM</t>
        </is>
      </c>
    </row>
    <row r="2468">
      <c r="A2468" t="n">
        <v>11</v>
      </c>
      <c r="B2468" t="inlineStr">
        <is>
          <t>K4-5A</t>
        </is>
      </c>
      <c r="F2468" t="n">
        <v>88.872</v>
      </c>
    </row>
    <row r="2469">
      <c r="A2469" t="n">
        <v>12</v>
      </c>
      <c r="B2469" t="inlineStr">
        <is>
          <t>K4-5B</t>
        </is>
      </c>
      <c r="F2469" t="n">
        <v>208.933</v>
      </c>
    </row>
    <row r="2470">
      <c r="A2470" t="n">
        <v>13</v>
      </c>
      <c r="B2470" t="inlineStr">
        <is>
          <t>K4-5C</t>
        </is>
      </c>
      <c r="F2470" t="n">
        <v>82.61799999999999</v>
      </c>
    </row>
    <row r="2471">
      <c r="A2471" t="n">
        <v>14</v>
      </c>
      <c r="B2471" t="inlineStr">
        <is>
          <t>MeOH</t>
        </is>
      </c>
    </row>
    <row r="2472">
      <c r="A2472" t="n">
        <v>15</v>
      </c>
      <c r="B2472" t="inlineStr">
        <is>
          <t>K3-1A</t>
        </is>
      </c>
      <c r="F2472" t="n">
        <v>146.583</v>
      </c>
    </row>
    <row r="2473">
      <c r="A2473" t="n">
        <v>16</v>
      </c>
      <c r="B2473" t="inlineStr">
        <is>
          <t>K3-1B</t>
        </is>
      </c>
      <c r="F2473" t="n">
        <v>10.965</v>
      </c>
    </row>
    <row r="2474">
      <c r="A2474" t="n">
        <v>17</v>
      </c>
      <c r="B2474" t="inlineStr">
        <is>
          <t>K3-1C</t>
        </is>
      </c>
      <c r="F2474" t="n">
        <v>255.644</v>
      </c>
    </row>
    <row r="2475">
      <c r="A2475" t="n">
        <v>18</v>
      </c>
      <c r="B2475" t="inlineStr">
        <is>
          <t>K3-2A</t>
        </is>
      </c>
      <c r="D2475" t="n">
        <v>13.14</v>
      </c>
      <c r="E2475" t="n">
        <v>21.295</v>
      </c>
      <c r="F2475" t="n">
        <v>141.416</v>
      </c>
      <c r="G2475" t="n">
        <v>193</v>
      </c>
      <c r="H2475" t="inlineStr">
        <is>
          <t>bb</t>
        </is>
      </c>
    </row>
    <row r="2476">
      <c r="A2476" t="n">
        <v>19</v>
      </c>
      <c r="B2476" t="inlineStr">
        <is>
          <t>K3-2B</t>
        </is>
      </c>
      <c r="D2476" t="n">
        <v>13.85</v>
      </c>
      <c r="E2476" t="n">
        <v>0.894</v>
      </c>
      <c r="F2476" t="n">
        <v>227.46</v>
      </c>
      <c r="G2476" t="n">
        <v>8</v>
      </c>
      <c r="H2476" t="inlineStr">
        <is>
          <t>bb</t>
        </is>
      </c>
    </row>
    <row r="2477">
      <c r="A2477" t="n">
        <v>20</v>
      </c>
      <c r="B2477" t="inlineStr">
        <is>
          <t>K3-2C</t>
        </is>
      </c>
      <c r="D2477" t="n">
        <v>13.38</v>
      </c>
      <c r="E2477" t="n">
        <v>8.253</v>
      </c>
      <c r="F2477" t="n">
        <v>178.071</v>
      </c>
      <c r="G2477" t="n">
        <v>69</v>
      </c>
      <c r="H2477" t="inlineStr">
        <is>
          <t>bb</t>
        </is>
      </c>
    </row>
    <row r="2478">
      <c r="A2478" t="n">
        <v>21</v>
      </c>
      <c r="B2478" t="inlineStr">
        <is>
          <t>MeOH</t>
        </is>
      </c>
    </row>
    <row r="2479">
      <c r="A2479" t="n">
        <v>22</v>
      </c>
      <c r="B2479" t="inlineStr">
        <is>
          <t>K3-3A</t>
        </is>
      </c>
      <c r="F2479" t="n">
        <v>173.32</v>
      </c>
    </row>
    <row r="2480">
      <c r="A2480" t="n">
        <v>23</v>
      </c>
      <c r="B2480" t="inlineStr">
        <is>
          <t>K3-3B</t>
        </is>
      </c>
      <c r="F2480" t="n">
        <v>348.971</v>
      </c>
    </row>
    <row r="2481">
      <c r="A2481" t="n">
        <v>24</v>
      </c>
      <c r="B2481" t="inlineStr">
        <is>
          <t>K3-3C</t>
        </is>
      </c>
      <c r="F2481" t="n">
        <v>281.935</v>
      </c>
    </row>
    <row r="2482">
      <c r="A2482" t="n">
        <v>25</v>
      </c>
      <c r="B2482" t="inlineStr">
        <is>
          <t>K3-4A</t>
        </is>
      </c>
      <c r="D2482" t="n">
        <v>13.9</v>
      </c>
      <c r="E2482" t="n">
        <v>12.244</v>
      </c>
      <c r="F2482" t="n">
        <v>53.822</v>
      </c>
      <c r="G2482" t="n">
        <v>117</v>
      </c>
      <c r="H2482" t="inlineStr">
        <is>
          <t>bb</t>
        </is>
      </c>
    </row>
    <row r="2483">
      <c r="A2483" t="n">
        <v>26</v>
      </c>
      <c r="B2483" t="inlineStr">
        <is>
          <t>K3-4B</t>
        </is>
      </c>
      <c r="D2483" t="n">
        <v>13.3</v>
      </c>
      <c r="E2483" t="n">
        <v>17.046</v>
      </c>
      <c r="F2483" t="n">
        <v>316.537</v>
      </c>
      <c r="G2483" t="n">
        <v>141</v>
      </c>
      <c r="H2483" t="inlineStr">
        <is>
          <t>bb</t>
        </is>
      </c>
    </row>
    <row r="2484">
      <c r="A2484" t="n">
        <v>27</v>
      </c>
      <c r="B2484" t="inlineStr">
        <is>
          <t>K3-4C</t>
        </is>
      </c>
      <c r="F2484" t="n">
        <v>287.021</v>
      </c>
    </row>
    <row r="2485">
      <c r="A2485" t="n">
        <v>28</v>
      </c>
      <c r="B2485" t="inlineStr">
        <is>
          <t>MeOH</t>
        </is>
      </c>
    </row>
    <row r="2486">
      <c r="A2486" t="n">
        <v>29</v>
      </c>
      <c r="B2486" t="inlineStr">
        <is>
          <t>K3-6A</t>
        </is>
      </c>
      <c r="D2486" t="n">
        <v>12.63</v>
      </c>
      <c r="E2486" t="n">
        <v>47.885</v>
      </c>
      <c r="F2486" t="n">
        <v>251.719</v>
      </c>
      <c r="G2486" t="n">
        <v>456</v>
      </c>
      <c r="H2486" t="inlineStr">
        <is>
          <t>bb</t>
        </is>
      </c>
    </row>
    <row r="2487">
      <c r="A2487" t="n">
        <v>30</v>
      </c>
      <c r="B2487" t="inlineStr">
        <is>
          <t>K3-6B</t>
        </is>
      </c>
      <c r="F2487" t="n">
        <v>130.221</v>
      </c>
    </row>
    <row r="2488">
      <c r="A2488" t="n">
        <v>31</v>
      </c>
      <c r="B2488" t="inlineStr">
        <is>
          <t>K3-6C</t>
        </is>
      </c>
      <c r="F2488" t="n">
        <v>153.609</v>
      </c>
    </row>
    <row r="2490">
      <c r="A2490" t="inlineStr">
        <is>
          <t>Compound 72:  PFOS 1</t>
        </is>
      </c>
    </row>
    <row r="2492">
      <c r="B2492" t="inlineStr">
        <is>
          <t>Sample Text</t>
        </is>
      </c>
      <c r="C2492" t="inlineStr">
        <is>
          <t>Std. Conc</t>
        </is>
      </c>
      <c r="D2492" t="inlineStr">
        <is>
          <t>RT</t>
        </is>
      </c>
      <c r="E2492" t="inlineStr">
        <is>
          <t>Area</t>
        </is>
      </c>
      <c r="F2492" t="inlineStr">
        <is>
          <t>IS Area</t>
        </is>
      </c>
      <c r="G2492" t="inlineStr">
        <is>
          <t>S/N</t>
        </is>
      </c>
      <c r="H2492" t="inlineStr">
        <is>
          <t>Primary Flags</t>
        </is>
      </c>
      <c r="I2492" t="inlineStr">
        <is>
          <t>Response</t>
        </is>
      </c>
      <c r="J2492" t="inlineStr">
        <is>
          <t>Conc.</t>
        </is>
      </c>
    </row>
    <row r="2493">
      <c r="A2493" t="n">
        <v>1</v>
      </c>
      <c r="B2493" t="inlineStr">
        <is>
          <t>K4-1A</t>
        </is>
      </c>
      <c r="D2493" t="n">
        <v>13.11</v>
      </c>
      <c r="E2493" t="n">
        <v>1747.074</v>
      </c>
      <c r="F2493" t="n">
        <v>7333.607</v>
      </c>
      <c r="G2493" t="n">
        <v>344.161</v>
      </c>
      <c r="H2493" t="inlineStr">
        <is>
          <t>bb</t>
        </is>
      </c>
    </row>
    <row r="2494">
      <c r="A2494" t="n">
        <v>2</v>
      </c>
      <c r="B2494" t="inlineStr">
        <is>
          <t>K4-1B</t>
        </is>
      </c>
      <c r="D2494" t="n">
        <v>13.11</v>
      </c>
      <c r="E2494" t="n">
        <v>1490.489</v>
      </c>
      <c r="F2494" t="n">
        <v>7556.923</v>
      </c>
      <c r="G2494" t="n">
        <v>47.148</v>
      </c>
      <c r="H2494" t="inlineStr">
        <is>
          <t>bb</t>
        </is>
      </c>
    </row>
    <row r="2495">
      <c r="A2495" t="n">
        <v>3</v>
      </c>
      <c r="B2495" t="inlineStr">
        <is>
          <t>K4-1C</t>
        </is>
      </c>
      <c r="D2495" t="n">
        <v>13.11</v>
      </c>
      <c r="E2495" t="n">
        <v>1895.908</v>
      </c>
      <c r="F2495" t="n">
        <v>7543.019</v>
      </c>
      <c r="G2495" t="n">
        <v>79.038</v>
      </c>
      <c r="H2495" t="inlineStr">
        <is>
          <t>bb</t>
        </is>
      </c>
    </row>
    <row r="2496">
      <c r="A2496" t="n">
        <v>4</v>
      </c>
      <c r="B2496" t="inlineStr">
        <is>
          <t>K4-2A</t>
        </is>
      </c>
      <c r="D2496" t="n">
        <v>13.11</v>
      </c>
      <c r="E2496" t="n">
        <v>2405.44</v>
      </c>
      <c r="F2496" t="n">
        <v>8613.116</v>
      </c>
      <c r="G2496" t="n">
        <v>17241</v>
      </c>
      <c r="H2496" t="inlineStr">
        <is>
          <t>bb</t>
        </is>
      </c>
    </row>
    <row r="2497">
      <c r="A2497" t="n">
        <v>5</v>
      </c>
      <c r="B2497" t="inlineStr">
        <is>
          <t>K4-2B</t>
        </is>
      </c>
      <c r="D2497" t="n">
        <v>13.13</v>
      </c>
      <c r="E2497" t="n">
        <v>1788.487</v>
      </c>
      <c r="F2497" t="n">
        <v>6789.031</v>
      </c>
      <c r="G2497" t="n">
        <v>248.759</v>
      </c>
      <c r="H2497" t="inlineStr">
        <is>
          <t>db</t>
        </is>
      </c>
    </row>
    <row r="2498">
      <c r="A2498" t="n">
        <v>6</v>
      </c>
      <c r="B2498" t="inlineStr">
        <is>
          <t>K4-2C</t>
        </is>
      </c>
      <c r="D2498" t="n">
        <v>13.12</v>
      </c>
      <c r="E2498" t="n">
        <v>1656.046</v>
      </c>
      <c r="F2498" t="n">
        <v>6441.085</v>
      </c>
      <c r="G2498" t="n">
        <v>91.003</v>
      </c>
      <c r="H2498" t="inlineStr">
        <is>
          <t>bb</t>
        </is>
      </c>
    </row>
    <row r="2499">
      <c r="A2499" t="n">
        <v>7</v>
      </c>
      <c r="B2499" t="inlineStr">
        <is>
          <t>MeOH</t>
        </is>
      </c>
      <c r="D2499" t="n">
        <v>13.15</v>
      </c>
      <c r="E2499" t="n">
        <v>134.681</v>
      </c>
      <c r="G2499" t="n">
        <v>2.696</v>
      </c>
      <c r="H2499" t="inlineStr">
        <is>
          <t>bb</t>
        </is>
      </c>
    </row>
    <row r="2500">
      <c r="A2500" t="n">
        <v>8</v>
      </c>
      <c r="B2500" t="inlineStr">
        <is>
          <t>K4-4A</t>
        </is>
      </c>
      <c r="D2500" t="n">
        <v>13.14</v>
      </c>
      <c r="E2500" t="n">
        <v>1660.847</v>
      </c>
      <c r="F2500" t="n">
        <v>6856.379</v>
      </c>
      <c r="G2500" t="n">
        <v>13.497</v>
      </c>
      <c r="H2500" t="inlineStr">
        <is>
          <t>MM</t>
        </is>
      </c>
    </row>
    <row r="2501">
      <c r="A2501" t="n">
        <v>9</v>
      </c>
      <c r="B2501" t="inlineStr">
        <is>
          <t>K4-4B</t>
        </is>
      </c>
      <c r="D2501" t="n">
        <v>13.15</v>
      </c>
      <c r="E2501" t="n">
        <v>1633.532</v>
      </c>
      <c r="F2501" t="n">
        <v>8361.857</v>
      </c>
      <c r="G2501" t="n">
        <v>126.285</v>
      </c>
      <c r="H2501" t="inlineStr">
        <is>
          <t>bb</t>
        </is>
      </c>
    </row>
    <row r="2502">
      <c r="A2502" t="n">
        <v>10</v>
      </c>
      <c r="B2502" t="inlineStr">
        <is>
          <t>K4-4C</t>
        </is>
      </c>
      <c r="D2502" t="n">
        <v>13.15</v>
      </c>
      <c r="E2502" t="n">
        <v>1522.114</v>
      </c>
      <c r="F2502" t="n">
        <v>8247.347</v>
      </c>
      <c r="G2502" t="n">
        <v>269.602</v>
      </c>
      <c r="H2502" t="inlineStr">
        <is>
          <t>bb</t>
        </is>
      </c>
    </row>
    <row r="2503">
      <c r="A2503" t="n">
        <v>11</v>
      </c>
      <c r="B2503" t="inlineStr">
        <is>
          <t>K4-5A</t>
        </is>
      </c>
      <c r="D2503" t="n">
        <v>13.14</v>
      </c>
      <c r="E2503" t="n">
        <v>1384.803</v>
      </c>
      <c r="F2503" t="n">
        <v>7625.911</v>
      </c>
      <c r="G2503" t="n">
        <v>13.487</v>
      </c>
      <c r="H2503" t="inlineStr">
        <is>
          <t>bb</t>
        </is>
      </c>
    </row>
    <row r="2504">
      <c r="A2504" t="n">
        <v>12</v>
      </c>
      <c r="B2504" t="inlineStr">
        <is>
          <t>K4-5B</t>
        </is>
      </c>
      <c r="D2504" t="n">
        <v>13.11</v>
      </c>
      <c r="E2504" t="n">
        <v>1515.453</v>
      </c>
      <c r="F2504" t="n">
        <v>7830.348</v>
      </c>
      <c r="G2504" t="n">
        <v>68.17700000000001</v>
      </c>
      <c r="H2504" t="inlineStr">
        <is>
          <t>bb</t>
        </is>
      </c>
    </row>
    <row r="2505">
      <c r="A2505" t="n">
        <v>13</v>
      </c>
      <c r="B2505" t="inlineStr">
        <is>
          <t>K4-5C</t>
        </is>
      </c>
      <c r="D2505" t="n">
        <v>13.04</v>
      </c>
      <c r="E2505" t="n">
        <v>1272.568</v>
      </c>
      <c r="F2505" t="n">
        <v>6655.14</v>
      </c>
      <c r="G2505" t="n">
        <v>48.928</v>
      </c>
      <c r="H2505" t="inlineStr">
        <is>
          <t>MM</t>
        </is>
      </c>
    </row>
    <row r="2506">
      <c r="A2506" t="n">
        <v>14</v>
      </c>
      <c r="B2506" t="inlineStr">
        <is>
          <t>MeOH</t>
        </is>
      </c>
      <c r="D2506" t="n">
        <v>13.01</v>
      </c>
      <c r="E2506" t="n">
        <v>166.852</v>
      </c>
      <c r="G2506" t="n">
        <v>3.587</v>
      </c>
      <c r="H2506" t="inlineStr">
        <is>
          <t>bb</t>
        </is>
      </c>
    </row>
    <row r="2507">
      <c r="A2507" t="n">
        <v>15</v>
      </c>
      <c r="B2507" t="inlineStr">
        <is>
          <t>K3-1A</t>
        </is>
      </c>
      <c r="D2507" t="n">
        <v>12.99</v>
      </c>
      <c r="E2507" t="n">
        <v>1939.733</v>
      </c>
      <c r="F2507" t="n">
        <v>8732.843000000001</v>
      </c>
      <c r="G2507" t="n">
        <v>72.17</v>
      </c>
      <c r="H2507" t="inlineStr">
        <is>
          <t>bb</t>
        </is>
      </c>
    </row>
    <row r="2508">
      <c r="A2508" t="n">
        <v>16</v>
      </c>
      <c r="B2508" t="inlineStr">
        <is>
          <t>K3-1B</t>
        </is>
      </c>
      <c r="D2508" t="n">
        <v>12.99</v>
      </c>
      <c r="E2508" t="n">
        <v>1959.561</v>
      </c>
      <c r="F2508" t="n">
        <v>7852.211</v>
      </c>
      <c r="G2508" t="n">
        <v>54.27</v>
      </c>
      <c r="H2508" t="inlineStr">
        <is>
          <t>bb</t>
        </is>
      </c>
    </row>
    <row r="2509">
      <c r="A2509" t="n">
        <v>17</v>
      </c>
      <c r="B2509" t="inlineStr">
        <is>
          <t>K3-1C</t>
        </is>
      </c>
      <c r="D2509" t="n">
        <v>13.04</v>
      </c>
      <c r="E2509" t="n">
        <v>2350.909</v>
      </c>
      <c r="F2509" t="n">
        <v>9807.196</v>
      </c>
      <c r="G2509" t="n">
        <v>151.166</v>
      </c>
      <c r="H2509" t="inlineStr">
        <is>
          <t>bb</t>
        </is>
      </c>
    </row>
    <row r="2510">
      <c r="A2510" t="n">
        <v>18</v>
      </c>
      <c r="B2510" t="inlineStr">
        <is>
          <t>K3-2A</t>
        </is>
      </c>
      <c r="D2510" t="n">
        <v>13.06</v>
      </c>
      <c r="E2510" t="n">
        <v>2778.413</v>
      </c>
      <c r="F2510" t="n">
        <v>10189.86</v>
      </c>
      <c r="G2510" t="n">
        <v>67.724</v>
      </c>
      <c r="H2510" t="inlineStr">
        <is>
          <t>MM</t>
        </is>
      </c>
    </row>
    <row r="2511">
      <c r="A2511" t="n">
        <v>19</v>
      </c>
      <c r="B2511" t="inlineStr">
        <is>
          <t>K3-2B</t>
        </is>
      </c>
      <c r="D2511" t="n">
        <v>13.05</v>
      </c>
      <c r="E2511" t="n">
        <v>2755.762</v>
      </c>
      <c r="F2511" t="n">
        <v>10207.86</v>
      </c>
      <c r="G2511" t="n">
        <v>118.981</v>
      </c>
      <c r="H2511" t="inlineStr">
        <is>
          <t>MM</t>
        </is>
      </c>
    </row>
    <row r="2512">
      <c r="A2512" t="n">
        <v>20</v>
      </c>
      <c r="B2512" t="inlineStr">
        <is>
          <t>K3-2C</t>
        </is>
      </c>
      <c r="D2512" t="n">
        <v>13.05</v>
      </c>
      <c r="E2512" t="n">
        <v>2565.152</v>
      </c>
      <c r="F2512" t="n">
        <v>8814.884</v>
      </c>
      <c r="G2512" t="n">
        <v>24.773</v>
      </c>
      <c r="H2512" t="inlineStr">
        <is>
          <t>bb</t>
        </is>
      </c>
    </row>
    <row r="2513">
      <c r="A2513" t="n">
        <v>21</v>
      </c>
      <c r="B2513" t="inlineStr">
        <is>
          <t>MeOH</t>
        </is>
      </c>
      <c r="H2513" t="inlineStr">
        <is>
          <t>MM-</t>
        </is>
      </c>
    </row>
    <row r="2514">
      <c r="A2514" t="n">
        <v>22</v>
      </c>
      <c r="B2514" t="inlineStr">
        <is>
          <t>K3-3A</t>
        </is>
      </c>
      <c r="D2514" t="n">
        <v>13.08</v>
      </c>
      <c r="E2514" t="n">
        <v>2893.752</v>
      </c>
      <c r="F2514" t="n">
        <v>8410.066000000001</v>
      </c>
      <c r="G2514" t="n">
        <v>202.815</v>
      </c>
      <c r="H2514" t="inlineStr">
        <is>
          <t>bb</t>
        </is>
      </c>
    </row>
    <row r="2515">
      <c r="A2515" t="n">
        <v>23</v>
      </c>
      <c r="B2515" t="inlineStr">
        <is>
          <t>K3-3B</t>
        </is>
      </c>
      <c r="D2515" t="n">
        <v>13.11</v>
      </c>
      <c r="E2515" t="n">
        <v>3141.079</v>
      </c>
      <c r="F2515" t="n">
        <v>8557.771000000001</v>
      </c>
      <c r="G2515" t="n">
        <v>29.922</v>
      </c>
      <c r="H2515" t="inlineStr">
        <is>
          <t>MM</t>
        </is>
      </c>
    </row>
    <row r="2516">
      <c r="A2516" t="n">
        <v>24</v>
      </c>
      <c r="B2516" t="inlineStr">
        <is>
          <t>K3-3C</t>
        </is>
      </c>
      <c r="D2516" t="n">
        <v>13.09</v>
      </c>
      <c r="E2516" t="n">
        <v>2671.486</v>
      </c>
      <c r="F2516" t="n">
        <v>9876.084000000001</v>
      </c>
      <c r="G2516" t="n">
        <v>217.829</v>
      </c>
      <c r="H2516" t="inlineStr">
        <is>
          <t>bb</t>
        </is>
      </c>
    </row>
    <row r="2517">
      <c r="A2517" t="n">
        <v>25</v>
      </c>
      <c r="B2517" t="inlineStr">
        <is>
          <t>K3-4A</t>
        </is>
      </c>
      <c r="D2517" t="n">
        <v>13.15</v>
      </c>
      <c r="E2517" t="n">
        <v>3336.302</v>
      </c>
      <c r="F2517" t="n">
        <v>10133.361</v>
      </c>
      <c r="G2517" t="n">
        <v>88.35299999999999</v>
      </c>
      <c r="H2517" t="inlineStr">
        <is>
          <t>MM</t>
        </is>
      </c>
    </row>
    <row r="2518">
      <c r="A2518" t="n">
        <v>26</v>
      </c>
      <c r="B2518" t="inlineStr">
        <is>
          <t>K3-4B</t>
        </is>
      </c>
      <c r="D2518" t="n">
        <v>13.13</v>
      </c>
      <c r="E2518" t="n">
        <v>3196.861</v>
      </c>
      <c r="F2518" t="n">
        <v>10043.649</v>
      </c>
      <c r="G2518" t="n">
        <v>103.597</v>
      </c>
      <c r="H2518" t="inlineStr">
        <is>
          <t>MM</t>
        </is>
      </c>
    </row>
    <row r="2519">
      <c r="A2519" t="n">
        <v>27</v>
      </c>
      <c r="B2519" t="inlineStr">
        <is>
          <t>K3-4C</t>
        </is>
      </c>
      <c r="D2519" t="n">
        <v>13.17</v>
      </c>
      <c r="E2519" t="n">
        <v>3197.22</v>
      </c>
      <c r="F2519" t="n">
        <v>9604.054</v>
      </c>
      <c r="G2519" t="n">
        <v>252.285</v>
      </c>
      <c r="H2519" t="inlineStr">
        <is>
          <t>MM</t>
        </is>
      </c>
    </row>
    <row r="2520">
      <c r="A2520" t="n">
        <v>28</v>
      </c>
      <c r="B2520" t="inlineStr">
        <is>
          <t>MeOH</t>
        </is>
      </c>
      <c r="D2520" t="n">
        <v>13.2</v>
      </c>
      <c r="E2520" t="n">
        <v>100.161</v>
      </c>
      <c r="G2520" t="n">
        <v>10.102</v>
      </c>
      <c r="H2520" t="inlineStr">
        <is>
          <t>bb</t>
        </is>
      </c>
    </row>
    <row r="2521">
      <c r="A2521" t="n">
        <v>29</v>
      </c>
      <c r="B2521" t="inlineStr">
        <is>
          <t>K3-6A</t>
        </is>
      </c>
      <c r="D2521" t="n">
        <v>13.17</v>
      </c>
      <c r="E2521" t="n">
        <v>2168.728</v>
      </c>
      <c r="F2521" t="n">
        <v>9362.067999999999</v>
      </c>
      <c r="G2521" t="n">
        <v>77.51600000000001</v>
      </c>
      <c r="H2521" t="inlineStr">
        <is>
          <t>bb</t>
        </is>
      </c>
    </row>
    <row r="2522">
      <c r="A2522" t="n">
        <v>30</v>
      </c>
      <c r="B2522" t="inlineStr">
        <is>
          <t>K3-6B</t>
        </is>
      </c>
      <c r="D2522" t="n">
        <v>13.15</v>
      </c>
      <c r="E2522" t="n">
        <v>1967.774</v>
      </c>
      <c r="F2522" t="n">
        <v>7438.873</v>
      </c>
      <c r="G2522" t="n">
        <v>85.624</v>
      </c>
      <c r="H2522" t="inlineStr">
        <is>
          <t>bb</t>
        </is>
      </c>
    </row>
    <row r="2523">
      <c r="A2523" t="n">
        <v>31</v>
      </c>
      <c r="B2523" t="inlineStr">
        <is>
          <t>K3-6C</t>
        </is>
      </c>
      <c r="D2523" t="n">
        <v>13.16</v>
      </c>
      <c r="E2523" t="n">
        <v>1822.744</v>
      </c>
      <c r="F2523" t="n">
        <v>7497.73</v>
      </c>
      <c r="G2523" t="n">
        <v>19.825</v>
      </c>
      <c r="H2523" t="inlineStr">
        <is>
          <t>bb</t>
        </is>
      </c>
    </row>
    <row r="2525">
      <c r="A2525" t="inlineStr">
        <is>
          <t>Compound 73:  PFOS 2</t>
        </is>
      </c>
    </row>
    <row r="2527">
      <c r="B2527" t="inlineStr">
        <is>
          <t>Sample Text</t>
        </is>
      </c>
      <c r="C2527" t="inlineStr">
        <is>
          <t>Std. Conc</t>
        </is>
      </c>
      <c r="D2527" t="inlineStr">
        <is>
          <t>RT</t>
        </is>
      </c>
      <c r="E2527" t="inlineStr">
        <is>
          <t>Area</t>
        </is>
      </c>
      <c r="F2527" t="inlineStr">
        <is>
          <t>IS Area</t>
        </is>
      </c>
      <c r="G2527" t="inlineStr">
        <is>
          <t>S/N</t>
        </is>
      </c>
      <c r="H2527" t="inlineStr">
        <is>
          <t>Primary Flags</t>
        </is>
      </c>
      <c r="I2527" t="inlineStr">
        <is>
          <t>Response</t>
        </is>
      </c>
      <c r="J2527" t="inlineStr">
        <is>
          <t>Conc.</t>
        </is>
      </c>
    </row>
    <row r="2528">
      <c r="A2528" t="n">
        <v>1</v>
      </c>
      <c r="B2528" t="inlineStr">
        <is>
          <t>K4-1A</t>
        </is>
      </c>
      <c r="D2528" t="n">
        <v>13.09</v>
      </c>
      <c r="E2528" t="n">
        <v>1320.709</v>
      </c>
      <c r="F2528" t="n">
        <v>7333.607</v>
      </c>
      <c r="G2528" t="n">
        <v>8.936</v>
      </c>
      <c r="H2528" t="inlineStr">
        <is>
          <t>MM</t>
        </is>
      </c>
    </row>
    <row r="2529">
      <c r="A2529" t="n">
        <v>2</v>
      </c>
      <c r="B2529" t="inlineStr">
        <is>
          <t>K4-1B</t>
        </is>
      </c>
      <c r="D2529" t="n">
        <v>13.11</v>
      </c>
      <c r="E2529" t="n">
        <v>1282.198</v>
      </c>
      <c r="F2529" t="n">
        <v>7556.923</v>
      </c>
      <c r="G2529" t="n">
        <v>38.077</v>
      </c>
      <c r="H2529" t="inlineStr">
        <is>
          <t>bb</t>
        </is>
      </c>
    </row>
    <row r="2530">
      <c r="A2530" t="n">
        <v>3</v>
      </c>
      <c r="B2530" t="inlineStr">
        <is>
          <t>K4-1C</t>
        </is>
      </c>
      <c r="D2530" t="n">
        <v>13.12</v>
      </c>
      <c r="E2530" t="n">
        <v>776.897</v>
      </c>
      <c r="F2530" t="n">
        <v>7543.019</v>
      </c>
      <c r="G2530" t="n">
        <v>11.022</v>
      </c>
      <c r="H2530" t="inlineStr">
        <is>
          <t>bb</t>
        </is>
      </c>
    </row>
    <row r="2531">
      <c r="A2531" t="n">
        <v>4</v>
      </c>
      <c r="B2531" t="inlineStr">
        <is>
          <t>K4-2A</t>
        </is>
      </c>
      <c r="D2531" t="n">
        <v>13.14</v>
      </c>
      <c r="E2531" t="n">
        <v>818.274</v>
      </c>
      <c r="F2531" t="n">
        <v>8613.116</v>
      </c>
      <c r="G2531" t="n">
        <v>7.515</v>
      </c>
      <c r="H2531" t="inlineStr">
        <is>
          <t>MM</t>
        </is>
      </c>
    </row>
    <row r="2532">
      <c r="A2532" t="n">
        <v>5</v>
      </c>
      <c r="B2532" t="inlineStr">
        <is>
          <t>K4-2B</t>
        </is>
      </c>
      <c r="D2532" t="n">
        <v>13.13</v>
      </c>
      <c r="E2532" t="n">
        <v>1314.566</v>
      </c>
      <c r="F2532" t="n">
        <v>6789.031</v>
      </c>
      <c r="G2532" t="n">
        <v>61.25</v>
      </c>
      <c r="H2532" t="inlineStr">
        <is>
          <t>bb</t>
        </is>
      </c>
    </row>
    <row r="2533">
      <c r="A2533" t="n">
        <v>6</v>
      </c>
      <c r="B2533" t="inlineStr">
        <is>
          <t>K4-2C</t>
        </is>
      </c>
      <c r="D2533" t="n">
        <v>13.14</v>
      </c>
      <c r="E2533" t="n">
        <v>750.04</v>
      </c>
      <c r="F2533" t="n">
        <v>6441.085</v>
      </c>
      <c r="G2533" t="n">
        <v>18.338</v>
      </c>
      <c r="H2533" t="inlineStr">
        <is>
          <t>bb</t>
        </is>
      </c>
    </row>
    <row r="2534">
      <c r="A2534" t="n">
        <v>7</v>
      </c>
      <c r="B2534" t="inlineStr">
        <is>
          <t>MeOH</t>
        </is>
      </c>
      <c r="D2534" t="n">
        <v>13.14</v>
      </c>
      <c r="E2534" t="n">
        <v>45.666</v>
      </c>
      <c r="G2534" t="n">
        <v>2.614</v>
      </c>
      <c r="H2534" t="inlineStr">
        <is>
          <t>bb</t>
        </is>
      </c>
    </row>
    <row r="2535">
      <c r="A2535" t="n">
        <v>8</v>
      </c>
      <c r="B2535" t="inlineStr">
        <is>
          <t>K4-4A</t>
        </is>
      </c>
      <c r="D2535" t="n">
        <v>13.15</v>
      </c>
      <c r="E2535" t="n">
        <v>1149.713</v>
      </c>
      <c r="F2535" t="n">
        <v>6856.379</v>
      </c>
      <c r="G2535" t="n">
        <v>30.355</v>
      </c>
      <c r="H2535" t="inlineStr">
        <is>
          <t>bb</t>
        </is>
      </c>
    </row>
    <row r="2536">
      <c r="A2536" t="n">
        <v>9</v>
      </c>
      <c r="B2536" t="inlineStr">
        <is>
          <t>K4-4B</t>
        </is>
      </c>
      <c r="D2536" t="n">
        <v>13.14</v>
      </c>
      <c r="E2536" t="n">
        <v>767.778</v>
      </c>
      <c r="F2536" t="n">
        <v>8361.857</v>
      </c>
      <c r="G2536" t="n">
        <v>403.327</v>
      </c>
      <c r="H2536" t="inlineStr">
        <is>
          <t>bb</t>
        </is>
      </c>
    </row>
    <row r="2537">
      <c r="A2537" t="n">
        <v>10</v>
      </c>
      <c r="B2537" t="inlineStr">
        <is>
          <t>K4-4C</t>
        </is>
      </c>
      <c r="D2537" t="n">
        <v>13.15</v>
      </c>
      <c r="E2537" t="n">
        <v>1216.649</v>
      </c>
      <c r="F2537" t="n">
        <v>8247.347</v>
      </c>
      <c r="G2537" t="n">
        <v>71.76900000000001</v>
      </c>
      <c r="H2537" t="inlineStr">
        <is>
          <t>bb</t>
        </is>
      </c>
    </row>
    <row r="2538">
      <c r="A2538" t="n">
        <v>11</v>
      </c>
      <c r="B2538" t="inlineStr">
        <is>
          <t>K4-5A</t>
        </is>
      </c>
      <c r="D2538" t="n">
        <v>13.14</v>
      </c>
      <c r="E2538" t="n">
        <v>1059.928</v>
      </c>
      <c r="F2538" t="n">
        <v>7625.911</v>
      </c>
      <c r="G2538" t="n">
        <v>32.013</v>
      </c>
      <c r="H2538" t="inlineStr">
        <is>
          <t>bb</t>
        </is>
      </c>
    </row>
    <row r="2539">
      <c r="A2539" t="n">
        <v>12</v>
      </c>
      <c r="B2539" t="inlineStr">
        <is>
          <t>K4-5B</t>
        </is>
      </c>
      <c r="D2539" t="n">
        <v>13.1</v>
      </c>
      <c r="E2539" t="n">
        <v>1047.822</v>
      </c>
      <c r="F2539" t="n">
        <v>7830.348</v>
      </c>
      <c r="G2539" t="n">
        <v>75.48999999999999</v>
      </c>
      <c r="H2539" t="inlineStr">
        <is>
          <t>MM</t>
        </is>
      </c>
    </row>
    <row r="2540">
      <c r="A2540" t="n">
        <v>13</v>
      </c>
      <c r="B2540" t="inlineStr">
        <is>
          <t>K4-5C</t>
        </is>
      </c>
      <c r="D2540" t="n">
        <v>13.04</v>
      </c>
      <c r="E2540" t="n">
        <v>890.364</v>
      </c>
      <c r="F2540" t="n">
        <v>6655.14</v>
      </c>
      <c r="G2540" t="n">
        <v>2.584</v>
      </c>
      <c r="H2540" t="inlineStr">
        <is>
          <t>bb</t>
        </is>
      </c>
    </row>
    <row r="2541">
      <c r="A2541" t="n">
        <v>14</v>
      </c>
      <c r="B2541" t="inlineStr">
        <is>
          <t>MeOH</t>
        </is>
      </c>
      <c r="H2541" t="inlineStr">
        <is>
          <t>MM-</t>
        </is>
      </c>
    </row>
    <row r="2542">
      <c r="A2542" t="n">
        <v>15</v>
      </c>
      <c r="B2542" t="inlineStr">
        <is>
          <t>K3-1A</t>
        </is>
      </c>
      <c r="D2542" t="n">
        <v>12.98</v>
      </c>
      <c r="E2542" t="n">
        <v>1387.613</v>
      </c>
      <c r="F2542" t="n">
        <v>8732.843000000001</v>
      </c>
      <c r="G2542" t="n">
        <v>58.843</v>
      </c>
      <c r="H2542" t="inlineStr">
        <is>
          <t>MM</t>
        </is>
      </c>
    </row>
    <row r="2543">
      <c r="A2543" t="n">
        <v>16</v>
      </c>
      <c r="B2543" t="inlineStr">
        <is>
          <t>K3-1B</t>
        </is>
      </c>
      <c r="D2543" t="n">
        <v>12.99</v>
      </c>
      <c r="E2543" t="n">
        <v>1003.527</v>
      </c>
      <c r="F2543" t="n">
        <v>7852.211</v>
      </c>
      <c r="G2543" t="n">
        <v>18.3</v>
      </c>
      <c r="H2543" t="inlineStr">
        <is>
          <t>MM</t>
        </is>
      </c>
    </row>
    <row r="2544">
      <c r="A2544" t="n">
        <v>17</v>
      </c>
      <c r="B2544" t="inlineStr">
        <is>
          <t>K3-1C</t>
        </is>
      </c>
      <c r="D2544" t="n">
        <v>13.05</v>
      </c>
      <c r="E2544" t="n">
        <v>1215.33</v>
      </c>
      <c r="F2544" t="n">
        <v>9807.196</v>
      </c>
      <c r="G2544" t="n">
        <v>60.252</v>
      </c>
      <c r="H2544" t="inlineStr">
        <is>
          <t>bb</t>
        </is>
      </c>
    </row>
    <row r="2545">
      <c r="A2545" t="n">
        <v>18</v>
      </c>
      <c r="B2545" t="inlineStr">
        <is>
          <t>K3-2A</t>
        </is>
      </c>
      <c r="D2545" t="n">
        <v>13.06</v>
      </c>
      <c r="E2545" t="n">
        <v>1713.921</v>
      </c>
      <c r="F2545" t="n">
        <v>10189.86</v>
      </c>
      <c r="G2545" t="n">
        <v>27.155</v>
      </c>
      <c r="H2545" t="inlineStr">
        <is>
          <t>MM</t>
        </is>
      </c>
    </row>
    <row r="2546">
      <c r="A2546" t="n">
        <v>19</v>
      </c>
      <c r="B2546" t="inlineStr">
        <is>
          <t>K3-2B</t>
        </is>
      </c>
      <c r="D2546" t="n">
        <v>13.05</v>
      </c>
      <c r="E2546" t="n">
        <v>1595.966</v>
      </c>
      <c r="F2546" t="n">
        <v>10207.86</v>
      </c>
      <c r="G2546" t="n">
        <v>40.092</v>
      </c>
      <c r="H2546" t="inlineStr">
        <is>
          <t>MM</t>
        </is>
      </c>
    </row>
    <row r="2547">
      <c r="A2547" t="n">
        <v>20</v>
      </c>
      <c r="B2547" t="inlineStr">
        <is>
          <t>K3-2C</t>
        </is>
      </c>
      <c r="D2547" t="n">
        <v>13.05</v>
      </c>
      <c r="E2547" t="n">
        <v>1608.677</v>
      </c>
      <c r="F2547" t="n">
        <v>8814.884</v>
      </c>
      <c r="G2547" t="n">
        <v>71.934</v>
      </c>
      <c r="H2547" t="inlineStr">
        <is>
          <t>bb</t>
        </is>
      </c>
    </row>
    <row r="2548">
      <c r="A2548" t="n">
        <v>21</v>
      </c>
      <c r="B2548" t="inlineStr">
        <is>
          <t>MeOH</t>
        </is>
      </c>
      <c r="H2548" t="inlineStr">
        <is>
          <t>MM-</t>
        </is>
      </c>
    </row>
    <row r="2549">
      <c r="A2549" t="n">
        <v>22</v>
      </c>
      <c r="B2549" t="inlineStr">
        <is>
          <t>K3-3A</t>
        </is>
      </c>
      <c r="D2549" t="n">
        <v>13.08</v>
      </c>
      <c r="E2549" t="n">
        <v>1766.249</v>
      </c>
      <c r="F2549" t="n">
        <v>8410.066000000001</v>
      </c>
      <c r="G2549" t="n">
        <v>80.077</v>
      </c>
      <c r="H2549" t="inlineStr">
        <is>
          <t>bb</t>
        </is>
      </c>
    </row>
    <row r="2550">
      <c r="A2550" t="n">
        <v>23</v>
      </c>
      <c r="B2550" t="inlineStr">
        <is>
          <t>K3-3B</t>
        </is>
      </c>
      <c r="D2550" t="n">
        <v>13.09</v>
      </c>
      <c r="E2550" t="n">
        <v>1696.104</v>
      </c>
      <c r="F2550" t="n">
        <v>8557.771000000001</v>
      </c>
      <c r="G2550" t="n">
        <v>61.748</v>
      </c>
      <c r="H2550" t="inlineStr">
        <is>
          <t>bb</t>
        </is>
      </c>
    </row>
    <row r="2551">
      <c r="A2551" t="n">
        <v>24</v>
      </c>
      <c r="B2551" t="inlineStr">
        <is>
          <t>K3-3C</t>
        </is>
      </c>
      <c r="D2551" t="n">
        <v>13.09</v>
      </c>
      <c r="E2551" t="n">
        <v>1718.192</v>
      </c>
      <c r="F2551" t="n">
        <v>9876.084000000001</v>
      </c>
      <c r="G2551" t="n">
        <v>129.695</v>
      </c>
      <c r="H2551" t="inlineStr">
        <is>
          <t>MM</t>
        </is>
      </c>
    </row>
    <row r="2552">
      <c r="A2552" t="n">
        <v>25</v>
      </c>
      <c r="B2552" t="inlineStr">
        <is>
          <t>K3-4A</t>
        </is>
      </c>
      <c r="D2552" t="n">
        <v>13.15</v>
      </c>
      <c r="E2552" t="n">
        <v>2191.184</v>
      </c>
      <c r="F2552" t="n">
        <v>10133.361</v>
      </c>
      <c r="G2552" t="n">
        <v>227.135</v>
      </c>
      <c r="H2552" t="inlineStr">
        <is>
          <t>MM</t>
        </is>
      </c>
    </row>
    <row r="2553">
      <c r="A2553" t="n">
        <v>26</v>
      </c>
      <c r="B2553" t="inlineStr">
        <is>
          <t>K3-4B</t>
        </is>
      </c>
      <c r="D2553" t="n">
        <v>13.11</v>
      </c>
      <c r="E2553" t="n">
        <v>2425.937</v>
      </c>
      <c r="F2553" t="n">
        <v>10043.649</v>
      </c>
      <c r="G2553" t="n">
        <v>39.884</v>
      </c>
      <c r="H2553" t="inlineStr">
        <is>
          <t>MM</t>
        </is>
      </c>
    </row>
    <row r="2554">
      <c r="A2554" t="n">
        <v>27</v>
      </c>
      <c r="B2554" t="inlineStr">
        <is>
          <t>K3-4C</t>
        </is>
      </c>
      <c r="D2554" t="n">
        <v>13.17</v>
      </c>
      <c r="E2554" t="n">
        <v>2044.023</v>
      </c>
      <c r="F2554" t="n">
        <v>9604.054</v>
      </c>
      <c r="G2554" t="n">
        <v>83.193</v>
      </c>
      <c r="H2554" t="inlineStr">
        <is>
          <t>MM</t>
        </is>
      </c>
    </row>
    <row r="2555">
      <c r="A2555" t="n">
        <v>28</v>
      </c>
      <c r="B2555" t="inlineStr">
        <is>
          <t>MeOH</t>
        </is>
      </c>
      <c r="H2555" t="inlineStr">
        <is>
          <t>MM-</t>
        </is>
      </c>
    </row>
    <row r="2556">
      <c r="A2556" t="n">
        <v>29</v>
      </c>
      <c r="B2556" t="inlineStr">
        <is>
          <t>K3-6A</t>
        </is>
      </c>
      <c r="D2556" t="n">
        <v>13.17</v>
      </c>
      <c r="E2556" t="n">
        <v>1365.062</v>
      </c>
      <c r="F2556" t="n">
        <v>9362.067999999999</v>
      </c>
      <c r="G2556" t="n">
        <v>99.06999999999999</v>
      </c>
      <c r="H2556" t="inlineStr">
        <is>
          <t>bb</t>
        </is>
      </c>
    </row>
    <row r="2557">
      <c r="A2557" t="n">
        <v>30</v>
      </c>
      <c r="B2557" t="inlineStr">
        <is>
          <t>K3-6B</t>
        </is>
      </c>
      <c r="D2557" t="n">
        <v>13.15</v>
      </c>
      <c r="E2557" t="n">
        <v>900.9450000000001</v>
      </c>
      <c r="F2557" t="n">
        <v>7438.873</v>
      </c>
      <c r="G2557" t="n">
        <v>19.358</v>
      </c>
      <c r="H2557" t="inlineStr">
        <is>
          <t>bb</t>
        </is>
      </c>
    </row>
    <row r="2558">
      <c r="A2558" t="n">
        <v>31</v>
      </c>
      <c r="B2558" t="inlineStr">
        <is>
          <t>K3-6C</t>
        </is>
      </c>
      <c r="D2558" t="n">
        <v>13.14</v>
      </c>
      <c r="E2558" t="n">
        <v>1134.604</v>
      </c>
      <c r="F2558" t="n">
        <v>7497.73</v>
      </c>
      <c r="G2558" t="n">
        <v>34.675</v>
      </c>
      <c r="H2558" t="inlineStr">
        <is>
          <t>bb</t>
        </is>
      </c>
    </row>
    <row r="2560">
      <c r="A2560" t="inlineStr">
        <is>
          <t>Compound 74:  m8 FOSA 1</t>
        </is>
      </c>
    </row>
    <row r="2562">
      <c r="B2562" t="inlineStr">
        <is>
          <t>Sample Text</t>
        </is>
      </c>
      <c r="C2562" t="inlineStr">
        <is>
          <t>Std. Conc</t>
        </is>
      </c>
      <c r="D2562" t="inlineStr">
        <is>
          <t>RT</t>
        </is>
      </c>
      <c r="E2562" t="inlineStr">
        <is>
          <t>Area</t>
        </is>
      </c>
      <c r="F2562" t="inlineStr">
        <is>
          <t>IS Area</t>
        </is>
      </c>
      <c r="G2562" t="inlineStr">
        <is>
          <t>S/N</t>
        </is>
      </c>
      <c r="H2562" t="inlineStr">
        <is>
          <t>Primary Flags</t>
        </is>
      </c>
      <c r="I2562" t="inlineStr">
        <is>
          <t>Response</t>
        </is>
      </c>
      <c r="J2562" t="inlineStr">
        <is>
          <t>Conc.</t>
        </is>
      </c>
    </row>
    <row r="2563">
      <c r="A2563" t="n">
        <v>1</v>
      </c>
      <c r="B2563" t="inlineStr">
        <is>
          <t>K4-1A</t>
        </is>
      </c>
      <c r="D2563" t="n">
        <v>13.23</v>
      </c>
      <c r="E2563" t="n">
        <v>6129.653</v>
      </c>
      <c r="G2563" t="n">
        <v>41453</v>
      </c>
      <c r="H2563" t="inlineStr">
        <is>
          <t>bb</t>
        </is>
      </c>
      <c r="I2563" t="n">
        <v>6129.653</v>
      </c>
    </row>
    <row r="2564">
      <c r="A2564" t="n">
        <v>2</v>
      </c>
      <c r="B2564" t="inlineStr">
        <is>
          <t>K4-1B</t>
        </is>
      </c>
      <c r="D2564" t="n">
        <v>13.23</v>
      </c>
      <c r="E2564" t="n">
        <v>6202.174</v>
      </c>
      <c r="G2564" t="n">
        <v>55</v>
      </c>
      <c r="H2564" t="inlineStr">
        <is>
          <t>bb</t>
        </is>
      </c>
      <c r="I2564" t="n">
        <v>6202.174</v>
      </c>
    </row>
    <row r="2565">
      <c r="A2565" t="n">
        <v>3</v>
      </c>
      <c r="B2565" t="inlineStr">
        <is>
          <t>K4-1C</t>
        </is>
      </c>
      <c r="D2565" t="n">
        <v>13.23</v>
      </c>
      <c r="E2565" t="n">
        <v>5567.882</v>
      </c>
      <c r="G2565" t="n">
        <v>15313.486</v>
      </c>
      <c r="H2565" t="inlineStr">
        <is>
          <t>bb</t>
        </is>
      </c>
      <c r="I2565" t="n">
        <v>5567.882</v>
      </c>
    </row>
    <row r="2566">
      <c r="A2566" t="n">
        <v>4</v>
      </c>
      <c r="B2566" t="inlineStr">
        <is>
          <t>K4-2A</t>
        </is>
      </c>
      <c r="D2566" t="n">
        <v>13.25</v>
      </c>
      <c r="E2566" t="n">
        <v>5829.725</v>
      </c>
      <c r="G2566" t="n">
        <v>4286.484</v>
      </c>
      <c r="H2566" t="inlineStr">
        <is>
          <t>bb</t>
        </is>
      </c>
      <c r="I2566" t="n">
        <v>5829.725</v>
      </c>
    </row>
    <row r="2567">
      <c r="A2567" t="n">
        <v>5</v>
      </c>
      <c r="B2567" t="inlineStr">
        <is>
          <t>K4-2B</t>
        </is>
      </c>
      <c r="D2567" t="n">
        <v>13.23</v>
      </c>
      <c r="E2567" t="n">
        <v>5298.286</v>
      </c>
      <c r="G2567" t="n">
        <v>35120</v>
      </c>
      <c r="H2567" t="inlineStr">
        <is>
          <t>bb</t>
        </is>
      </c>
      <c r="I2567" t="n">
        <v>5298.286</v>
      </c>
    </row>
    <row r="2568">
      <c r="A2568" t="n">
        <v>6</v>
      </c>
      <c r="B2568" t="inlineStr">
        <is>
          <t>K4-2C</t>
        </is>
      </c>
      <c r="D2568" t="n">
        <v>13.25</v>
      </c>
      <c r="E2568" t="n">
        <v>5070.005</v>
      </c>
      <c r="G2568" t="n">
        <v>35325</v>
      </c>
      <c r="H2568" t="inlineStr">
        <is>
          <t>bb</t>
        </is>
      </c>
      <c r="I2568" t="n">
        <v>5070.005</v>
      </c>
    </row>
    <row r="2569">
      <c r="A2569" t="n">
        <v>7</v>
      </c>
      <c r="B2569" t="inlineStr">
        <is>
          <t>MeOH</t>
        </is>
      </c>
    </row>
    <row r="2570">
      <c r="A2570" t="n">
        <v>8</v>
      </c>
      <c r="B2570" t="inlineStr">
        <is>
          <t>K4-4A</t>
        </is>
      </c>
      <c r="D2570" t="n">
        <v>13.26</v>
      </c>
      <c r="E2570" t="n">
        <v>5768.776</v>
      </c>
      <c r="G2570" t="n">
        <v>802.144</v>
      </c>
      <c r="H2570" t="inlineStr">
        <is>
          <t>bb</t>
        </is>
      </c>
      <c r="I2570" t="n">
        <v>5768.776</v>
      </c>
    </row>
    <row r="2571">
      <c r="A2571" t="n">
        <v>9</v>
      </c>
      <c r="B2571" t="inlineStr">
        <is>
          <t>K4-4B</t>
        </is>
      </c>
      <c r="D2571" t="n">
        <v>13.26</v>
      </c>
      <c r="E2571" t="n">
        <v>5622.463</v>
      </c>
      <c r="G2571" t="n">
        <v>140.221</v>
      </c>
      <c r="H2571" t="inlineStr">
        <is>
          <t>bb</t>
        </is>
      </c>
      <c r="I2571" t="n">
        <v>5622.463</v>
      </c>
    </row>
    <row r="2572">
      <c r="A2572" t="n">
        <v>10</v>
      </c>
      <c r="B2572" t="inlineStr">
        <is>
          <t>K4-4C</t>
        </is>
      </c>
      <c r="D2572" t="n">
        <v>13.26</v>
      </c>
      <c r="E2572" t="n">
        <v>6493.59</v>
      </c>
      <c r="G2572" t="n">
        <v>329.404</v>
      </c>
      <c r="H2572" t="inlineStr">
        <is>
          <t>bb</t>
        </is>
      </c>
      <c r="I2572" t="n">
        <v>6493.59</v>
      </c>
    </row>
    <row r="2573">
      <c r="A2573" t="n">
        <v>11</v>
      </c>
      <c r="B2573" t="inlineStr">
        <is>
          <t>K4-5A</t>
        </is>
      </c>
      <c r="D2573" t="n">
        <v>13.25</v>
      </c>
      <c r="E2573" t="n">
        <v>5176.378</v>
      </c>
      <c r="G2573" t="n">
        <v>35310</v>
      </c>
      <c r="H2573" t="inlineStr">
        <is>
          <t>bb</t>
        </is>
      </c>
      <c r="I2573" t="n">
        <v>5176.378</v>
      </c>
    </row>
    <row r="2574">
      <c r="A2574" t="n">
        <v>12</v>
      </c>
      <c r="B2574" t="inlineStr">
        <is>
          <t>K4-5B</t>
        </is>
      </c>
      <c r="D2574" t="n">
        <v>13.22</v>
      </c>
      <c r="E2574" t="n">
        <v>4979.178</v>
      </c>
      <c r="G2574" t="n">
        <v>34106</v>
      </c>
      <c r="H2574" t="inlineStr">
        <is>
          <t>bb</t>
        </is>
      </c>
      <c r="I2574" t="n">
        <v>4979.178</v>
      </c>
    </row>
    <row r="2575">
      <c r="A2575" t="n">
        <v>13</v>
      </c>
      <c r="B2575" t="inlineStr">
        <is>
          <t>K4-5C</t>
        </is>
      </c>
      <c r="D2575" t="n">
        <v>13.17</v>
      </c>
      <c r="E2575" t="n">
        <v>5149.499</v>
      </c>
      <c r="G2575" t="n">
        <v>440</v>
      </c>
      <c r="H2575" t="inlineStr">
        <is>
          <t>bb</t>
        </is>
      </c>
      <c r="I2575" t="n">
        <v>5149.499</v>
      </c>
    </row>
    <row r="2576">
      <c r="A2576" t="n">
        <v>14</v>
      </c>
      <c r="B2576" t="inlineStr">
        <is>
          <t>MeOH</t>
        </is>
      </c>
    </row>
    <row r="2577">
      <c r="A2577" t="n">
        <v>15</v>
      </c>
      <c r="B2577" t="inlineStr">
        <is>
          <t>K3-1A</t>
        </is>
      </c>
      <c r="D2577" t="n">
        <v>13.1</v>
      </c>
      <c r="E2577" t="n">
        <v>6155.055</v>
      </c>
      <c r="G2577" t="n">
        <v>14774.414</v>
      </c>
      <c r="H2577" t="inlineStr">
        <is>
          <t>bb</t>
        </is>
      </c>
      <c r="I2577" t="n">
        <v>6155.055</v>
      </c>
    </row>
    <row r="2578">
      <c r="A2578" t="n">
        <v>16</v>
      </c>
      <c r="B2578" t="inlineStr">
        <is>
          <t>K3-1B</t>
        </is>
      </c>
      <c r="D2578" t="n">
        <v>13.11</v>
      </c>
      <c r="E2578" t="n">
        <v>5160.451</v>
      </c>
      <c r="G2578" t="n">
        <v>605.0650000000001</v>
      </c>
      <c r="H2578" t="inlineStr">
        <is>
          <t>bb</t>
        </is>
      </c>
      <c r="I2578" t="n">
        <v>5160.451</v>
      </c>
    </row>
    <row r="2579">
      <c r="A2579" t="n">
        <v>17</v>
      </c>
      <c r="B2579" t="inlineStr">
        <is>
          <t>K3-1C</t>
        </is>
      </c>
      <c r="D2579" t="n">
        <v>13.17</v>
      </c>
      <c r="E2579" t="n">
        <v>7465.032</v>
      </c>
      <c r="G2579" t="n">
        <v>3799.503</v>
      </c>
      <c r="H2579" t="inlineStr">
        <is>
          <t>bb</t>
        </is>
      </c>
      <c r="I2579" t="n">
        <v>7465.032</v>
      </c>
    </row>
    <row r="2580">
      <c r="A2580" t="n">
        <v>18</v>
      </c>
      <c r="B2580" t="inlineStr">
        <is>
          <t>K3-2A</t>
        </is>
      </c>
      <c r="D2580" t="n">
        <v>13.18</v>
      </c>
      <c r="E2580" t="n">
        <v>7342.454</v>
      </c>
      <c r="G2580" t="n">
        <v>2120.419</v>
      </c>
      <c r="H2580" t="inlineStr">
        <is>
          <t>bb</t>
        </is>
      </c>
      <c r="I2580" t="n">
        <v>7342.454</v>
      </c>
    </row>
    <row r="2581">
      <c r="A2581" t="n">
        <v>19</v>
      </c>
      <c r="B2581" t="inlineStr">
        <is>
          <t>K3-2B</t>
        </is>
      </c>
      <c r="D2581" t="n">
        <v>13.19</v>
      </c>
      <c r="E2581" t="n">
        <v>8155.675</v>
      </c>
      <c r="G2581" t="n">
        <v>2442.867</v>
      </c>
      <c r="H2581" t="inlineStr">
        <is>
          <t>bb</t>
        </is>
      </c>
      <c r="I2581" t="n">
        <v>8155.675</v>
      </c>
    </row>
    <row r="2582">
      <c r="A2582" t="n">
        <v>20</v>
      </c>
      <c r="B2582" t="inlineStr">
        <is>
          <t>K3-2C</t>
        </is>
      </c>
      <c r="D2582" t="n">
        <v>13.18</v>
      </c>
      <c r="E2582" t="n">
        <v>5978.155</v>
      </c>
      <c r="G2582" t="n">
        <v>1391.069</v>
      </c>
      <c r="H2582" t="inlineStr">
        <is>
          <t>bb</t>
        </is>
      </c>
      <c r="I2582" t="n">
        <v>5978.155</v>
      </c>
    </row>
    <row r="2583">
      <c r="A2583" t="n">
        <v>21</v>
      </c>
      <c r="B2583" t="inlineStr">
        <is>
          <t>MeOH</t>
        </is>
      </c>
    </row>
    <row r="2584">
      <c r="A2584" t="n">
        <v>22</v>
      </c>
      <c r="B2584" t="inlineStr">
        <is>
          <t>K3-3A</t>
        </is>
      </c>
      <c r="D2584" t="n">
        <v>13.22</v>
      </c>
      <c r="E2584" t="n">
        <v>5182.681</v>
      </c>
      <c r="G2584" t="n">
        <v>113.252</v>
      </c>
      <c r="H2584" t="inlineStr">
        <is>
          <t>bb</t>
        </is>
      </c>
      <c r="I2584" t="n">
        <v>5182.681</v>
      </c>
    </row>
    <row r="2585">
      <c r="A2585" t="n">
        <v>23</v>
      </c>
      <c r="B2585" t="inlineStr">
        <is>
          <t>K3-3B</t>
        </is>
      </c>
      <c r="D2585" t="n">
        <v>13.23</v>
      </c>
      <c r="E2585" t="n">
        <v>6315.599</v>
      </c>
      <c r="G2585" t="n">
        <v>43746</v>
      </c>
      <c r="H2585" t="inlineStr">
        <is>
          <t>bb</t>
        </is>
      </c>
      <c r="I2585" t="n">
        <v>6315.599</v>
      </c>
    </row>
    <row r="2586">
      <c r="A2586" t="n">
        <v>24</v>
      </c>
      <c r="B2586" t="inlineStr">
        <is>
          <t>K3-3C</t>
        </is>
      </c>
      <c r="D2586" t="n">
        <v>13.23</v>
      </c>
      <c r="E2586" t="n">
        <v>7248.654</v>
      </c>
      <c r="G2586" t="n">
        <v>13002.812</v>
      </c>
      <c r="H2586" t="inlineStr">
        <is>
          <t>bb</t>
        </is>
      </c>
      <c r="I2586" t="n">
        <v>7248.654</v>
      </c>
    </row>
    <row r="2587">
      <c r="A2587" t="n">
        <v>25</v>
      </c>
      <c r="B2587" t="inlineStr">
        <is>
          <t>K3-4A</t>
        </is>
      </c>
      <c r="D2587" t="n">
        <v>13.28</v>
      </c>
      <c r="E2587" t="n">
        <v>7757.742</v>
      </c>
      <c r="G2587" t="n">
        <v>258.389</v>
      </c>
      <c r="H2587" t="inlineStr">
        <is>
          <t>bb</t>
        </is>
      </c>
      <c r="I2587" t="n">
        <v>7757.742</v>
      </c>
    </row>
    <row r="2588">
      <c r="A2588" t="n">
        <v>26</v>
      </c>
      <c r="B2588" t="inlineStr">
        <is>
          <t>K3-4B</t>
        </is>
      </c>
      <c r="D2588" t="n">
        <v>13.25</v>
      </c>
      <c r="E2588" t="n">
        <v>7034.812</v>
      </c>
      <c r="G2588" t="n">
        <v>47987</v>
      </c>
      <c r="H2588" t="inlineStr">
        <is>
          <t>bb</t>
        </is>
      </c>
      <c r="I2588" t="n">
        <v>7034.812</v>
      </c>
    </row>
    <row r="2589">
      <c r="A2589" t="n">
        <v>27</v>
      </c>
      <c r="B2589" t="inlineStr">
        <is>
          <t>K3-4C</t>
        </is>
      </c>
      <c r="D2589" t="n">
        <v>13.3</v>
      </c>
      <c r="E2589" t="n">
        <v>7000.271</v>
      </c>
      <c r="G2589" t="n">
        <v>535.566</v>
      </c>
      <c r="H2589" t="inlineStr">
        <is>
          <t>bb</t>
        </is>
      </c>
      <c r="I2589" t="n">
        <v>7000.271</v>
      </c>
    </row>
    <row r="2590">
      <c r="A2590" t="n">
        <v>28</v>
      </c>
      <c r="B2590" t="inlineStr">
        <is>
          <t>MeOH</t>
        </is>
      </c>
      <c r="H2590" t="inlineStr">
        <is>
          <t>MM-</t>
        </is>
      </c>
    </row>
    <row r="2591">
      <c r="A2591" t="n">
        <v>29</v>
      </c>
      <c r="B2591" t="inlineStr">
        <is>
          <t>K3-6A</t>
        </is>
      </c>
      <c r="D2591" t="n">
        <v>13.3</v>
      </c>
      <c r="E2591" t="n">
        <v>6690.938</v>
      </c>
      <c r="G2591" t="n">
        <v>796.271</v>
      </c>
      <c r="H2591" t="inlineStr">
        <is>
          <t>bb</t>
        </is>
      </c>
      <c r="I2591" t="n">
        <v>6690.938</v>
      </c>
    </row>
    <row r="2592">
      <c r="A2592" t="n">
        <v>30</v>
      </c>
      <c r="B2592" t="inlineStr">
        <is>
          <t>K3-6B</t>
        </is>
      </c>
      <c r="D2592" t="n">
        <v>13.3</v>
      </c>
      <c r="E2592" t="n">
        <v>5311.462</v>
      </c>
      <c r="G2592" t="n">
        <v>145.679</v>
      </c>
      <c r="H2592" t="inlineStr">
        <is>
          <t>bb</t>
        </is>
      </c>
      <c r="I2592" t="n">
        <v>5311.462</v>
      </c>
    </row>
    <row r="2593">
      <c r="A2593" t="n">
        <v>31</v>
      </c>
      <c r="B2593" t="inlineStr">
        <is>
          <t>K3-6C</t>
        </is>
      </c>
      <c r="D2593" t="n">
        <v>13.28</v>
      </c>
      <c r="E2593" t="n">
        <v>5807.998</v>
      </c>
      <c r="G2593" t="n">
        <v>582.174</v>
      </c>
      <c r="H2593" t="inlineStr">
        <is>
          <t>bb</t>
        </is>
      </c>
      <c r="I2593" t="n">
        <v>5807.998</v>
      </c>
    </row>
    <row r="2595">
      <c r="A2595" t="inlineStr">
        <is>
          <t>Compound 75:  m8 FOSA 2</t>
        </is>
      </c>
    </row>
    <row r="2597">
      <c r="B2597" t="inlineStr">
        <is>
          <t>Sample Text</t>
        </is>
      </c>
      <c r="C2597" t="inlineStr">
        <is>
          <t>Std. Conc</t>
        </is>
      </c>
      <c r="D2597" t="inlineStr">
        <is>
          <t>RT</t>
        </is>
      </c>
      <c r="E2597" t="inlineStr">
        <is>
          <t>Area</t>
        </is>
      </c>
      <c r="F2597" t="inlineStr">
        <is>
          <t>IS Area</t>
        </is>
      </c>
      <c r="G2597" t="inlineStr">
        <is>
          <t>S/N</t>
        </is>
      </c>
      <c r="H2597" t="inlineStr">
        <is>
          <t>Primary Flags</t>
        </is>
      </c>
      <c r="I2597" t="inlineStr">
        <is>
          <t>Response</t>
        </is>
      </c>
      <c r="J2597" t="inlineStr">
        <is>
          <t>Conc.</t>
        </is>
      </c>
    </row>
    <row r="2598">
      <c r="A2598" t="n">
        <v>1</v>
      </c>
      <c r="B2598" t="inlineStr">
        <is>
          <t>K4-1A</t>
        </is>
      </c>
      <c r="D2598" t="n">
        <v>13.23</v>
      </c>
      <c r="E2598" t="n">
        <v>287.778</v>
      </c>
      <c r="G2598" t="n">
        <v>4.873</v>
      </c>
      <c r="H2598" t="inlineStr">
        <is>
          <t>bb</t>
        </is>
      </c>
      <c r="I2598" t="n">
        <v>287.778</v>
      </c>
    </row>
    <row r="2599">
      <c r="A2599" t="n">
        <v>2</v>
      </c>
      <c r="B2599" t="inlineStr">
        <is>
          <t>K4-1B</t>
        </is>
      </c>
      <c r="D2599" t="n">
        <v>13.25</v>
      </c>
      <c r="E2599" t="n">
        <v>256.124</v>
      </c>
      <c r="G2599" t="n">
        <v>1710</v>
      </c>
      <c r="H2599" t="inlineStr">
        <is>
          <t>bb</t>
        </is>
      </c>
      <c r="I2599" t="n">
        <v>256.124</v>
      </c>
    </row>
    <row r="2600">
      <c r="A2600" t="n">
        <v>3</v>
      </c>
      <c r="B2600" t="inlineStr">
        <is>
          <t>K4-1C</t>
        </is>
      </c>
      <c r="D2600" t="n">
        <v>13.23</v>
      </c>
      <c r="E2600" t="n">
        <v>152.274</v>
      </c>
      <c r="G2600" t="n">
        <v>1183</v>
      </c>
      <c r="H2600" t="inlineStr">
        <is>
          <t>bb</t>
        </is>
      </c>
      <c r="I2600" t="n">
        <v>152.274</v>
      </c>
    </row>
    <row r="2601">
      <c r="A2601" t="n">
        <v>4</v>
      </c>
      <c r="B2601" t="inlineStr">
        <is>
          <t>K4-2A</t>
        </is>
      </c>
      <c r="D2601" t="n">
        <v>13.25</v>
      </c>
      <c r="E2601" t="n">
        <v>472.889</v>
      </c>
      <c r="G2601" t="n">
        <v>3365</v>
      </c>
      <c r="H2601" t="inlineStr">
        <is>
          <t>bb</t>
        </is>
      </c>
      <c r="I2601" t="n">
        <v>472.889</v>
      </c>
    </row>
    <row r="2602">
      <c r="A2602" t="n">
        <v>5</v>
      </c>
      <c r="B2602" t="inlineStr">
        <is>
          <t>K4-2B</t>
        </is>
      </c>
      <c r="D2602" t="n">
        <v>13.25</v>
      </c>
      <c r="E2602" t="n">
        <v>69.223</v>
      </c>
      <c r="G2602" t="n">
        <v>527</v>
      </c>
      <c r="H2602" t="inlineStr">
        <is>
          <t>bb</t>
        </is>
      </c>
      <c r="I2602" t="n">
        <v>69.223</v>
      </c>
    </row>
    <row r="2603">
      <c r="A2603" t="n">
        <v>6</v>
      </c>
      <c r="B2603" t="inlineStr">
        <is>
          <t>K4-2C</t>
        </is>
      </c>
      <c r="D2603" t="n">
        <v>13.26</v>
      </c>
      <c r="E2603" t="n">
        <v>146.243</v>
      </c>
      <c r="G2603" t="n">
        <v>13.448</v>
      </c>
      <c r="H2603" t="inlineStr">
        <is>
          <t>bb</t>
        </is>
      </c>
      <c r="I2603" t="n">
        <v>146.243</v>
      </c>
    </row>
    <row r="2604">
      <c r="A2604" t="n">
        <v>7</v>
      </c>
      <c r="B2604" t="inlineStr">
        <is>
          <t>MeOH</t>
        </is>
      </c>
    </row>
    <row r="2605">
      <c r="A2605" t="n">
        <v>8</v>
      </c>
      <c r="B2605" t="inlineStr">
        <is>
          <t>K4-4A</t>
        </is>
      </c>
      <c r="D2605" t="n">
        <v>13.31</v>
      </c>
      <c r="E2605" t="n">
        <v>76.39400000000001</v>
      </c>
      <c r="G2605" t="n">
        <v>3.824</v>
      </c>
      <c r="H2605" t="inlineStr">
        <is>
          <t>bb</t>
        </is>
      </c>
      <c r="I2605" t="n">
        <v>76.39400000000001</v>
      </c>
    </row>
    <row r="2606">
      <c r="A2606" t="n">
        <v>9</v>
      </c>
      <c r="B2606" t="inlineStr">
        <is>
          <t>K4-4B</t>
        </is>
      </c>
      <c r="D2606" t="n">
        <v>13.26</v>
      </c>
      <c r="E2606" t="n">
        <v>159.293</v>
      </c>
      <c r="G2606" t="n">
        <v>1107</v>
      </c>
      <c r="H2606" t="inlineStr">
        <is>
          <t>bb</t>
        </is>
      </c>
      <c r="I2606" t="n">
        <v>159.293</v>
      </c>
    </row>
    <row r="2607">
      <c r="A2607" t="n">
        <v>10</v>
      </c>
      <c r="B2607" t="inlineStr">
        <is>
          <t>K4-4C</t>
        </is>
      </c>
      <c r="D2607" t="n">
        <v>13.25</v>
      </c>
      <c r="E2607" t="n">
        <v>53.688</v>
      </c>
      <c r="G2607" t="n">
        <v>453</v>
      </c>
      <c r="H2607" t="inlineStr">
        <is>
          <t>bb</t>
        </is>
      </c>
      <c r="I2607" t="n">
        <v>53.688</v>
      </c>
    </row>
    <row r="2608">
      <c r="A2608" t="n">
        <v>11</v>
      </c>
      <c r="B2608" t="inlineStr">
        <is>
          <t>K4-5A</t>
        </is>
      </c>
      <c r="D2608" t="n">
        <v>13.25</v>
      </c>
      <c r="E2608" t="n">
        <v>88.872</v>
      </c>
      <c r="G2608" t="n">
        <v>603</v>
      </c>
      <c r="H2608" t="inlineStr">
        <is>
          <t>bb</t>
        </is>
      </c>
      <c r="I2608" t="n">
        <v>88.872</v>
      </c>
    </row>
    <row r="2609">
      <c r="A2609" t="n">
        <v>12</v>
      </c>
      <c r="B2609" t="inlineStr">
        <is>
          <t>K4-5B</t>
        </is>
      </c>
      <c r="D2609" t="n">
        <v>13.23</v>
      </c>
      <c r="E2609" t="n">
        <v>208.933</v>
      </c>
      <c r="G2609" t="n">
        <v>70.95699999999999</v>
      </c>
      <c r="H2609" t="inlineStr">
        <is>
          <t>bb</t>
        </is>
      </c>
      <c r="I2609" t="n">
        <v>208.933</v>
      </c>
    </row>
    <row r="2610">
      <c r="A2610" t="n">
        <v>13</v>
      </c>
      <c r="B2610" t="inlineStr">
        <is>
          <t>K4-5C</t>
        </is>
      </c>
      <c r="D2610" t="n">
        <v>13.14</v>
      </c>
      <c r="E2610" t="n">
        <v>82.61799999999999</v>
      </c>
      <c r="G2610" t="n">
        <v>683</v>
      </c>
      <c r="H2610" t="inlineStr">
        <is>
          <t>bb</t>
        </is>
      </c>
      <c r="I2610" t="n">
        <v>82.61799999999999</v>
      </c>
    </row>
    <row r="2611">
      <c r="A2611" t="n">
        <v>14</v>
      </c>
      <c r="B2611" t="inlineStr">
        <is>
          <t>MeOH</t>
        </is>
      </c>
    </row>
    <row r="2612">
      <c r="A2612" t="n">
        <v>15</v>
      </c>
      <c r="B2612" t="inlineStr">
        <is>
          <t>K3-1A</t>
        </is>
      </c>
      <c r="D2612" t="n">
        <v>13.1</v>
      </c>
      <c r="E2612" t="n">
        <v>146.583</v>
      </c>
      <c r="G2612" t="n">
        <v>4.465</v>
      </c>
      <c r="H2612" t="inlineStr">
        <is>
          <t>bb</t>
        </is>
      </c>
      <c r="I2612" t="n">
        <v>146.583</v>
      </c>
    </row>
    <row r="2613">
      <c r="A2613" t="n">
        <v>16</v>
      </c>
      <c r="B2613" t="inlineStr">
        <is>
          <t>K3-1B</t>
        </is>
      </c>
      <c r="D2613" t="n">
        <v>13.08</v>
      </c>
      <c r="E2613" t="n">
        <v>10.965</v>
      </c>
      <c r="G2613" t="n">
        <v>100</v>
      </c>
      <c r="H2613" t="inlineStr">
        <is>
          <t>bb</t>
        </is>
      </c>
      <c r="I2613" t="n">
        <v>10.965</v>
      </c>
    </row>
    <row r="2614">
      <c r="A2614" t="n">
        <v>17</v>
      </c>
      <c r="B2614" t="inlineStr">
        <is>
          <t>K3-1C</t>
        </is>
      </c>
      <c r="D2614" t="n">
        <v>13.15</v>
      </c>
      <c r="E2614" t="n">
        <v>255.644</v>
      </c>
      <c r="G2614" t="n">
        <v>3.079</v>
      </c>
      <c r="H2614" t="inlineStr">
        <is>
          <t>bb</t>
        </is>
      </c>
      <c r="I2614" t="n">
        <v>255.644</v>
      </c>
    </row>
    <row r="2615">
      <c r="A2615" t="n">
        <v>18</v>
      </c>
      <c r="B2615" t="inlineStr">
        <is>
          <t>K3-2A</t>
        </is>
      </c>
      <c r="D2615" t="n">
        <v>13.21</v>
      </c>
      <c r="E2615" t="n">
        <v>141.416</v>
      </c>
      <c r="G2615" t="n">
        <v>4.229</v>
      </c>
      <c r="H2615" t="inlineStr">
        <is>
          <t>bb</t>
        </is>
      </c>
      <c r="I2615" t="n">
        <v>141.416</v>
      </c>
    </row>
    <row r="2616">
      <c r="A2616" t="n">
        <v>19</v>
      </c>
      <c r="B2616" t="inlineStr">
        <is>
          <t>K3-2B</t>
        </is>
      </c>
      <c r="D2616" t="n">
        <v>13.2</v>
      </c>
      <c r="E2616" t="n">
        <v>227.46</v>
      </c>
      <c r="G2616" t="n">
        <v>1611</v>
      </c>
      <c r="H2616" t="inlineStr">
        <is>
          <t>MM</t>
        </is>
      </c>
      <c r="I2616" t="n">
        <v>227.46</v>
      </c>
    </row>
    <row r="2617">
      <c r="A2617" t="n">
        <v>20</v>
      </c>
      <c r="B2617" t="inlineStr">
        <is>
          <t>K3-2C</t>
        </is>
      </c>
      <c r="D2617" t="n">
        <v>13.17</v>
      </c>
      <c r="E2617" t="n">
        <v>178.071</v>
      </c>
      <c r="G2617" t="n">
        <v>78.54600000000001</v>
      </c>
      <c r="H2617" t="inlineStr">
        <is>
          <t>bb</t>
        </is>
      </c>
      <c r="I2617" t="n">
        <v>178.071</v>
      </c>
    </row>
    <row r="2618">
      <c r="A2618" t="n">
        <v>21</v>
      </c>
      <c r="B2618" t="inlineStr">
        <is>
          <t>MeOH</t>
        </is>
      </c>
    </row>
    <row r="2619">
      <c r="A2619" t="n">
        <v>22</v>
      </c>
      <c r="B2619" t="inlineStr">
        <is>
          <t>K3-3A</t>
        </is>
      </c>
      <c r="D2619" t="n">
        <v>13.2</v>
      </c>
      <c r="E2619" t="n">
        <v>173.32</v>
      </c>
      <c r="G2619" t="n">
        <v>1393</v>
      </c>
      <c r="H2619" t="inlineStr">
        <is>
          <t>bb</t>
        </is>
      </c>
      <c r="I2619" t="n">
        <v>173.32</v>
      </c>
    </row>
    <row r="2620">
      <c r="A2620" t="n">
        <v>23</v>
      </c>
      <c r="B2620" t="inlineStr">
        <is>
          <t>K3-3B</t>
        </is>
      </c>
      <c r="D2620" t="n">
        <v>13.22</v>
      </c>
      <c r="E2620" t="n">
        <v>348.971</v>
      </c>
      <c r="G2620" t="n">
        <v>14.912</v>
      </c>
      <c r="H2620" t="inlineStr">
        <is>
          <t>bb</t>
        </is>
      </c>
      <c r="I2620" t="n">
        <v>348.971</v>
      </c>
    </row>
    <row r="2621">
      <c r="A2621" t="n">
        <v>24</v>
      </c>
      <c r="B2621" t="inlineStr">
        <is>
          <t>K3-3C</t>
        </is>
      </c>
      <c r="D2621" t="n">
        <v>13.23</v>
      </c>
      <c r="E2621" t="n">
        <v>281.935</v>
      </c>
      <c r="G2621" t="n">
        <v>2063</v>
      </c>
      <c r="H2621" t="inlineStr">
        <is>
          <t>bb</t>
        </is>
      </c>
      <c r="I2621" t="n">
        <v>281.935</v>
      </c>
    </row>
    <row r="2622">
      <c r="A2622" t="n">
        <v>25</v>
      </c>
      <c r="B2622" t="inlineStr">
        <is>
          <t>K3-4A</t>
        </is>
      </c>
      <c r="D2622" t="n">
        <v>13.3</v>
      </c>
      <c r="E2622" t="n">
        <v>53.822</v>
      </c>
      <c r="G2622" t="n">
        <v>404</v>
      </c>
      <c r="H2622" t="inlineStr">
        <is>
          <t>bb</t>
        </is>
      </c>
      <c r="I2622" t="n">
        <v>53.822</v>
      </c>
    </row>
    <row r="2623">
      <c r="A2623" t="n">
        <v>26</v>
      </c>
      <c r="B2623" t="inlineStr">
        <is>
          <t>K3-4B</t>
        </is>
      </c>
      <c r="D2623" t="n">
        <v>13.22</v>
      </c>
      <c r="E2623" t="n">
        <v>316.537</v>
      </c>
      <c r="G2623" t="n">
        <v>26.09</v>
      </c>
      <c r="H2623" t="inlineStr">
        <is>
          <t>bb</t>
        </is>
      </c>
      <c r="I2623" t="n">
        <v>316.537</v>
      </c>
    </row>
    <row r="2624">
      <c r="A2624" t="n">
        <v>27</v>
      </c>
      <c r="B2624" t="inlineStr">
        <is>
          <t>K3-4C</t>
        </is>
      </c>
      <c r="D2624" t="n">
        <v>13.3</v>
      </c>
      <c r="E2624" t="n">
        <v>287.021</v>
      </c>
      <c r="G2624" t="n">
        <v>1951</v>
      </c>
      <c r="H2624" t="inlineStr">
        <is>
          <t>bb</t>
        </is>
      </c>
      <c r="I2624" t="n">
        <v>287.021</v>
      </c>
    </row>
    <row r="2625">
      <c r="A2625" t="n">
        <v>28</v>
      </c>
      <c r="B2625" t="inlineStr">
        <is>
          <t>MeOH</t>
        </is>
      </c>
    </row>
    <row r="2626">
      <c r="A2626" t="n">
        <v>29</v>
      </c>
      <c r="B2626" t="inlineStr">
        <is>
          <t>K3-6A</t>
        </is>
      </c>
      <c r="D2626" t="n">
        <v>13.33</v>
      </c>
      <c r="E2626" t="n">
        <v>251.719</v>
      </c>
      <c r="G2626" t="n">
        <v>2013</v>
      </c>
      <c r="H2626" t="inlineStr">
        <is>
          <t>bb</t>
        </is>
      </c>
      <c r="I2626" t="n">
        <v>251.719</v>
      </c>
    </row>
    <row r="2627">
      <c r="A2627" t="n">
        <v>30</v>
      </c>
      <c r="B2627" t="inlineStr">
        <is>
          <t>K3-6B</t>
        </is>
      </c>
      <c r="D2627" t="n">
        <v>13.31</v>
      </c>
      <c r="E2627" t="n">
        <v>130.221</v>
      </c>
      <c r="G2627" t="n">
        <v>983</v>
      </c>
      <c r="H2627" t="inlineStr">
        <is>
          <t>bb</t>
        </is>
      </c>
      <c r="I2627" t="n">
        <v>130.221</v>
      </c>
    </row>
    <row r="2628">
      <c r="A2628" t="n">
        <v>31</v>
      </c>
      <c r="B2628" t="inlineStr">
        <is>
          <t>K3-6C</t>
        </is>
      </c>
      <c r="D2628" t="n">
        <v>13.27</v>
      </c>
      <c r="E2628" t="n">
        <v>153.609</v>
      </c>
      <c r="G2628" t="n">
        <v>57.579</v>
      </c>
      <c r="H2628" t="inlineStr">
        <is>
          <t>bb</t>
        </is>
      </c>
      <c r="I2628" t="n">
        <v>153.609</v>
      </c>
    </row>
    <row r="2630">
      <c r="A2630" t="inlineStr">
        <is>
          <t>Compound 76:  m8 PFOS 1</t>
        </is>
      </c>
    </row>
    <row r="2632">
      <c r="B2632" t="inlineStr">
        <is>
          <t>Sample Text</t>
        </is>
      </c>
      <c r="C2632" t="inlineStr">
        <is>
          <t>Std. Conc</t>
        </is>
      </c>
      <c r="D2632" t="inlineStr">
        <is>
          <t>RT</t>
        </is>
      </c>
      <c r="E2632" t="inlineStr">
        <is>
          <t>Area</t>
        </is>
      </c>
      <c r="F2632" t="inlineStr">
        <is>
          <t>IS Area</t>
        </is>
      </c>
      <c r="G2632" t="inlineStr">
        <is>
          <t>S/N</t>
        </is>
      </c>
      <c r="H2632" t="inlineStr">
        <is>
          <t>Primary Flags</t>
        </is>
      </c>
      <c r="I2632" t="inlineStr">
        <is>
          <t>Response</t>
        </is>
      </c>
      <c r="J2632" t="inlineStr">
        <is>
          <t>Conc.</t>
        </is>
      </c>
    </row>
    <row r="2633">
      <c r="A2633" t="n">
        <v>1</v>
      </c>
      <c r="B2633" t="inlineStr">
        <is>
          <t>K4-1A</t>
        </is>
      </c>
      <c r="D2633" t="n">
        <v>13.09</v>
      </c>
      <c r="E2633" t="n">
        <v>7333.607</v>
      </c>
      <c r="G2633" t="n">
        <v>49625</v>
      </c>
      <c r="H2633" t="inlineStr">
        <is>
          <t>bb</t>
        </is>
      </c>
      <c r="I2633" t="n">
        <v>7333.607</v>
      </c>
    </row>
    <row r="2634">
      <c r="A2634" t="n">
        <v>2</v>
      </c>
      <c r="B2634" t="inlineStr">
        <is>
          <t>K4-1B</t>
        </is>
      </c>
      <c r="D2634" t="n">
        <v>13.11</v>
      </c>
      <c r="E2634" t="n">
        <v>7556.923</v>
      </c>
      <c r="G2634" t="n">
        <v>77.023</v>
      </c>
      <c r="H2634" t="inlineStr">
        <is>
          <t>bb</t>
        </is>
      </c>
      <c r="I2634" t="n">
        <v>7556.923</v>
      </c>
    </row>
    <row r="2635">
      <c r="A2635" t="n">
        <v>3</v>
      </c>
      <c r="B2635" t="inlineStr">
        <is>
          <t>K4-1C</t>
        </is>
      </c>
      <c r="D2635" t="n">
        <v>13.11</v>
      </c>
      <c r="E2635" t="n">
        <v>7543.019</v>
      </c>
      <c r="G2635" t="n">
        <v>275.305</v>
      </c>
      <c r="H2635" t="inlineStr">
        <is>
          <t>bb</t>
        </is>
      </c>
      <c r="I2635" t="n">
        <v>7543.019</v>
      </c>
    </row>
    <row r="2636">
      <c r="A2636" t="n">
        <v>4</v>
      </c>
      <c r="B2636" t="inlineStr">
        <is>
          <t>K4-2A</t>
        </is>
      </c>
      <c r="D2636" t="n">
        <v>13.11</v>
      </c>
      <c r="E2636" t="n">
        <v>8613.116</v>
      </c>
      <c r="G2636" t="n">
        <v>402.733</v>
      </c>
      <c r="H2636" t="inlineStr">
        <is>
          <t>bb</t>
        </is>
      </c>
      <c r="I2636" t="n">
        <v>8613.116</v>
      </c>
    </row>
    <row r="2637">
      <c r="A2637" t="n">
        <v>5</v>
      </c>
      <c r="B2637" t="inlineStr">
        <is>
          <t>K4-2B</t>
        </is>
      </c>
      <c r="D2637" t="n">
        <v>13.13</v>
      </c>
      <c r="E2637" t="n">
        <v>6789.031</v>
      </c>
      <c r="G2637" t="n">
        <v>93.502</v>
      </c>
      <c r="H2637" t="inlineStr">
        <is>
          <t>bb</t>
        </is>
      </c>
      <c r="I2637" t="n">
        <v>6789.031</v>
      </c>
    </row>
    <row r="2638">
      <c r="A2638" t="n">
        <v>6</v>
      </c>
      <c r="B2638" t="inlineStr">
        <is>
          <t>K4-2C</t>
        </is>
      </c>
      <c r="D2638" t="n">
        <v>13.13</v>
      </c>
      <c r="E2638" t="n">
        <v>6441.085</v>
      </c>
      <c r="G2638" t="n">
        <v>64.495</v>
      </c>
      <c r="H2638" t="inlineStr">
        <is>
          <t>bb</t>
        </is>
      </c>
      <c r="I2638" t="n">
        <v>6441.085</v>
      </c>
    </row>
    <row r="2639">
      <c r="A2639" t="n">
        <v>7</v>
      </c>
      <c r="B2639" t="inlineStr">
        <is>
          <t>MeOH</t>
        </is>
      </c>
      <c r="H2639" t="inlineStr">
        <is>
          <t>MM-</t>
        </is>
      </c>
    </row>
    <row r="2640">
      <c r="A2640" t="n">
        <v>8</v>
      </c>
      <c r="B2640" t="inlineStr">
        <is>
          <t>K4-4A</t>
        </is>
      </c>
      <c r="D2640" t="n">
        <v>13.14</v>
      </c>
      <c r="E2640" t="n">
        <v>6856.379</v>
      </c>
      <c r="G2640" t="n">
        <v>48326</v>
      </c>
      <c r="H2640" t="inlineStr">
        <is>
          <t>bb</t>
        </is>
      </c>
      <c r="I2640" t="n">
        <v>6856.379</v>
      </c>
    </row>
    <row r="2641">
      <c r="A2641" t="n">
        <v>9</v>
      </c>
      <c r="B2641" t="inlineStr">
        <is>
          <t>K4-4B</t>
        </is>
      </c>
      <c r="D2641" t="n">
        <v>13.16</v>
      </c>
      <c r="E2641" t="n">
        <v>8361.857</v>
      </c>
      <c r="G2641" t="n">
        <v>56985</v>
      </c>
      <c r="H2641" t="inlineStr">
        <is>
          <t>bb</t>
        </is>
      </c>
      <c r="I2641" t="n">
        <v>8361.857</v>
      </c>
    </row>
    <row r="2642">
      <c r="A2642" t="n">
        <v>10</v>
      </c>
      <c r="B2642" t="inlineStr">
        <is>
          <t>K4-4C</t>
        </is>
      </c>
      <c r="D2642" t="n">
        <v>13.14</v>
      </c>
      <c r="E2642" t="n">
        <v>8247.347</v>
      </c>
      <c r="G2642" t="n">
        <v>183.174</v>
      </c>
      <c r="H2642" t="inlineStr">
        <is>
          <t>bb</t>
        </is>
      </c>
      <c r="I2642" t="n">
        <v>8247.347</v>
      </c>
    </row>
    <row r="2643">
      <c r="A2643" t="n">
        <v>11</v>
      </c>
      <c r="B2643" t="inlineStr">
        <is>
          <t>K4-5A</t>
        </is>
      </c>
      <c r="D2643" t="n">
        <v>13.12</v>
      </c>
      <c r="E2643" t="n">
        <v>7625.911</v>
      </c>
      <c r="G2643" t="n">
        <v>53274</v>
      </c>
      <c r="H2643" t="inlineStr">
        <is>
          <t>bb</t>
        </is>
      </c>
      <c r="I2643" t="n">
        <v>7625.911</v>
      </c>
    </row>
    <row r="2644">
      <c r="A2644" t="n">
        <v>12</v>
      </c>
      <c r="B2644" t="inlineStr">
        <is>
          <t>K4-5B</t>
        </is>
      </c>
      <c r="D2644" t="n">
        <v>13.1</v>
      </c>
      <c r="E2644" t="n">
        <v>7830.348</v>
      </c>
      <c r="G2644" t="n">
        <v>55286</v>
      </c>
      <c r="H2644" t="inlineStr">
        <is>
          <t>bb</t>
        </is>
      </c>
      <c r="I2644" t="n">
        <v>7830.348</v>
      </c>
    </row>
    <row r="2645">
      <c r="A2645" t="n">
        <v>13</v>
      </c>
      <c r="B2645" t="inlineStr">
        <is>
          <t>K4-5C</t>
        </is>
      </c>
      <c r="D2645" t="n">
        <v>13.04</v>
      </c>
      <c r="E2645" t="n">
        <v>6655.14</v>
      </c>
      <c r="G2645" t="n">
        <v>139.536</v>
      </c>
      <c r="H2645" t="inlineStr">
        <is>
          <t>bb</t>
        </is>
      </c>
      <c r="I2645" t="n">
        <v>6655.14</v>
      </c>
    </row>
    <row r="2646">
      <c r="A2646" t="n">
        <v>14</v>
      </c>
      <c r="B2646" t="inlineStr">
        <is>
          <t>MeOH</t>
        </is>
      </c>
    </row>
    <row r="2647">
      <c r="A2647" t="n">
        <v>15</v>
      </c>
      <c r="B2647" t="inlineStr">
        <is>
          <t>K3-1A</t>
        </is>
      </c>
      <c r="D2647" t="n">
        <v>12.98</v>
      </c>
      <c r="E2647" t="n">
        <v>8732.843000000001</v>
      </c>
      <c r="G2647" t="n">
        <v>146.55</v>
      </c>
      <c r="H2647" t="inlineStr">
        <is>
          <t>bb</t>
        </is>
      </c>
      <c r="I2647" t="n">
        <v>8732.843000000001</v>
      </c>
    </row>
    <row r="2648">
      <c r="A2648" t="n">
        <v>16</v>
      </c>
      <c r="B2648" t="inlineStr">
        <is>
          <t>K3-1B</t>
        </is>
      </c>
      <c r="D2648" t="n">
        <v>12.98</v>
      </c>
      <c r="E2648" t="n">
        <v>7852.211</v>
      </c>
      <c r="G2648" t="n">
        <v>1620.233</v>
      </c>
      <c r="H2648" t="inlineStr">
        <is>
          <t>bb</t>
        </is>
      </c>
      <c r="I2648" t="n">
        <v>7852.211</v>
      </c>
    </row>
    <row r="2649">
      <c r="A2649" t="n">
        <v>17</v>
      </c>
      <c r="B2649" t="inlineStr">
        <is>
          <t>K3-1C</t>
        </is>
      </c>
      <c r="D2649" t="n">
        <v>13.04</v>
      </c>
      <c r="E2649" t="n">
        <v>9807.196</v>
      </c>
      <c r="G2649" t="n">
        <v>44.427</v>
      </c>
      <c r="H2649" t="inlineStr">
        <is>
          <t>bb</t>
        </is>
      </c>
      <c r="I2649" t="n">
        <v>9807.196</v>
      </c>
    </row>
    <row r="2650">
      <c r="A2650" t="n">
        <v>18</v>
      </c>
      <c r="B2650" t="inlineStr">
        <is>
          <t>K3-2A</t>
        </is>
      </c>
      <c r="D2650" t="n">
        <v>13.05</v>
      </c>
      <c r="E2650" t="n">
        <v>10189.86</v>
      </c>
      <c r="G2650" t="n">
        <v>239.782</v>
      </c>
      <c r="H2650" t="inlineStr">
        <is>
          <t>bb</t>
        </is>
      </c>
      <c r="I2650" t="n">
        <v>10189.86</v>
      </c>
    </row>
    <row r="2651">
      <c r="A2651" t="n">
        <v>19</v>
      </c>
      <c r="B2651" t="inlineStr">
        <is>
          <t>K3-2B</t>
        </is>
      </c>
      <c r="D2651" t="n">
        <v>13.05</v>
      </c>
      <c r="E2651" t="n">
        <v>10207.86</v>
      </c>
      <c r="G2651" t="n">
        <v>73421</v>
      </c>
      <c r="H2651" t="inlineStr">
        <is>
          <t>bb</t>
        </is>
      </c>
      <c r="I2651" t="n">
        <v>10207.86</v>
      </c>
    </row>
    <row r="2652">
      <c r="A2652" t="n">
        <v>20</v>
      </c>
      <c r="B2652" t="inlineStr">
        <is>
          <t>K3-2C</t>
        </is>
      </c>
      <c r="D2652" t="n">
        <v>13.05</v>
      </c>
      <c r="E2652" t="n">
        <v>8814.884</v>
      </c>
      <c r="G2652" t="n">
        <v>7689.108</v>
      </c>
      <c r="H2652" t="inlineStr">
        <is>
          <t>bb</t>
        </is>
      </c>
      <c r="I2652" t="n">
        <v>8814.884</v>
      </c>
    </row>
    <row r="2653">
      <c r="A2653" t="n">
        <v>21</v>
      </c>
      <c r="B2653" t="inlineStr">
        <is>
          <t>MeOH</t>
        </is>
      </c>
      <c r="H2653" t="inlineStr">
        <is>
          <t>MM-</t>
        </is>
      </c>
    </row>
    <row r="2654">
      <c r="A2654" t="n">
        <v>22</v>
      </c>
      <c r="B2654" t="inlineStr">
        <is>
          <t>K3-3A</t>
        </is>
      </c>
      <c r="D2654" t="n">
        <v>13.08</v>
      </c>
      <c r="E2654" t="n">
        <v>8410.066000000001</v>
      </c>
      <c r="G2654" t="n">
        <v>34.499</v>
      </c>
      <c r="H2654" t="inlineStr">
        <is>
          <t>bb</t>
        </is>
      </c>
      <c r="I2654" t="n">
        <v>8410.066000000001</v>
      </c>
    </row>
    <row r="2655">
      <c r="A2655" t="n">
        <v>23</v>
      </c>
      <c r="B2655" t="inlineStr">
        <is>
          <t>K3-3B</t>
        </is>
      </c>
      <c r="D2655" t="n">
        <v>13.1</v>
      </c>
      <c r="E2655" t="n">
        <v>8557.771000000001</v>
      </c>
      <c r="G2655" t="n">
        <v>411.551</v>
      </c>
      <c r="H2655" t="inlineStr">
        <is>
          <t>bb</t>
        </is>
      </c>
      <c r="I2655" t="n">
        <v>8557.771000000001</v>
      </c>
    </row>
    <row r="2656">
      <c r="A2656" t="n">
        <v>24</v>
      </c>
      <c r="B2656" t="inlineStr">
        <is>
          <t>K3-3C</t>
        </is>
      </c>
      <c r="D2656" t="n">
        <v>13.1</v>
      </c>
      <c r="E2656" t="n">
        <v>9876.084000000001</v>
      </c>
      <c r="G2656" t="n">
        <v>297.75</v>
      </c>
      <c r="H2656" t="inlineStr">
        <is>
          <t>bb</t>
        </is>
      </c>
      <c r="I2656" t="n">
        <v>9876.084000000001</v>
      </c>
    </row>
    <row r="2657">
      <c r="A2657" t="n">
        <v>25</v>
      </c>
      <c r="B2657" t="inlineStr">
        <is>
          <t>K3-4A</t>
        </is>
      </c>
      <c r="D2657" t="n">
        <v>13.16</v>
      </c>
      <c r="E2657" t="n">
        <v>10133.361</v>
      </c>
      <c r="G2657" t="n">
        <v>3925.74</v>
      </c>
      <c r="H2657" t="inlineStr">
        <is>
          <t>bb</t>
        </is>
      </c>
      <c r="I2657" t="n">
        <v>10133.361</v>
      </c>
    </row>
    <row r="2658">
      <c r="A2658" t="n">
        <v>26</v>
      </c>
      <c r="B2658" t="inlineStr">
        <is>
          <t>K3-4B</t>
        </is>
      </c>
      <c r="D2658" t="n">
        <v>13.13</v>
      </c>
      <c r="E2658" t="n">
        <v>10043.649</v>
      </c>
      <c r="G2658" t="n">
        <v>11386.407</v>
      </c>
      <c r="H2658" t="inlineStr">
        <is>
          <t>bb</t>
        </is>
      </c>
      <c r="I2658" t="n">
        <v>10043.649</v>
      </c>
    </row>
    <row r="2659">
      <c r="A2659" t="n">
        <v>27</v>
      </c>
      <c r="B2659" t="inlineStr">
        <is>
          <t>K3-4C</t>
        </is>
      </c>
      <c r="D2659" t="n">
        <v>13.17</v>
      </c>
      <c r="E2659" t="n">
        <v>9604.054</v>
      </c>
      <c r="G2659" t="n">
        <v>43.192</v>
      </c>
      <c r="H2659" t="inlineStr">
        <is>
          <t>bb</t>
        </is>
      </c>
      <c r="I2659" t="n">
        <v>9604.054</v>
      </c>
    </row>
    <row r="2660">
      <c r="A2660" t="n">
        <v>28</v>
      </c>
      <c r="B2660" t="inlineStr">
        <is>
          <t>MeOH</t>
        </is>
      </c>
    </row>
    <row r="2661">
      <c r="A2661" t="n">
        <v>29</v>
      </c>
      <c r="B2661" t="inlineStr">
        <is>
          <t>K3-6A</t>
        </is>
      </c>
      <c r="D2661" t="n">
        <v>13.17</v>
      </c>
      <c r="E2661" t="n">
        <v>9362.067999999999</v>
      </c>
      <c r="G2661" t="n">
        <v>294.804</v>
      </c>
      <c r="H2661" t="inlineStr">
        <is>
          <t>bb</t>
        </is>
      </c>
      <c r="I2661" t="n">
        <v>9362.067999999999</v>
      </c>
    </row>
    <row r="2662">
      <c r="A2662" t="n">
        <v>30</v>
      </c>
      <c r="B2662" t="inlineStr">
        <is>
          <t>K3-6B</t>
        </is>
      </c>
      <c r="D2662" t="n">
        <v>13.17</v>
      </c>
      <c r="E2662" t="n">
        <v>7438.873</v>
      </c>
      <c r="G2662" t="n">
        <v>547.0170000000001</v>
      </c>
      <c r="H2662" t="inlineStr">
        <is>
          <t>bb</t>
        </is>
      </c>
      <c r="I2662" t="n">
        <v>7438.873</v>
      </c>
    </row>
    <row r="2663">
      <c r="A2663" t="n">
        <v>31</v>
      </c>
      <c r="B2663" t="inlineStr">
        <is>
          <t>K3-6C</t>
        </is>
      </c>
      <c r="D2663" t="n">
        <v>13.16</v>
      </c>
      <c r="E2663" t="n">
        <v>7497.73</v>
      </c>
      <c r="G2663" t="n">
        <v>53598</v>
      </c>
      <c r="H2663" t="inlineStr">
        <is>
          <t>bb</t>
        </is>
      </c>
      <c r="I2663" t="n">
        <v>7497.73</v>
      </c>
    </row>
    <row r="2665">
      <c r="A2665" t="inlineStr">
        <is>
          <t>Compound 77:  m8 PFOS 2</t>
        </is>
      </c>
    </row>
    <row r="2667">
      <c r="B2667" t="inlineStr">
        <is>
          <t>Sample Text</t>
        </is>
      </c>
      <c r="C2667" t="inlineStr">
        <is>
          <t>Std. Conc</t>
        </is>
      </c>
      <c r="D2667" t="inlineStr">
        <is>
          <t>RT</t>
        </is>
      </c>
      <c r="E2667" t="inlineStr">
        <is>
          <t>Area</t>
        </is>
      </c>
      <c r="F2667" t="inlineStr">
        <is>
          <t>IS Area</t>
        </is>
      </c>
      <c r="G2667" t="inlineStr">
        <is>
          <t>S/N</t>
        </is>
      </c>
      <c r="H2667" t="inlineStr">
        <is>
          <t>Primary Flags</t>
        </is>
      </c>
      <c r="I2667" t="inlineStr">
        <is>
          <t>Response</t>
        </is>
      </c>
      <c r="J2667" t="inlineStr">
        <is>
          <t>Conc.</t>
        </is>
      </c>
    </row>
    <row r="2668">
      <c r="A2668" t="n">
        <v>1</v>
      </c>
      <c r="B2668" t="inlineStr">
        <is>
          <t>K4-1A</t>
        </is>
      </c>
      <c r="D2668" t="n">
        <v>13.09</v>
      </c>
      <c r="E2668" t="n">
        <v>4543.015</v>
      </c>
      <c r="G2668" t="n">
        <v>110.135</v>
      </c>
      <c r="H2668" t="inlineStr">
        <is>
          <t>bb</t>
        </is>
      </c>
      <c r="I2668" t="n">
        <v>4543.015</v>
      </c>
    </row>
    <row r="2669">
      <c r="A2669" t="n">
        <v>2</v>
      </c>
      <c r="B2669" t="inlineStr">
        <is>
          <t>K4-1B</t>
        </is>
      </c>
      <c r="D2669" t="n">
        <v>13.11</v>
      </c>
      <c r="E2669" t="n">
        <v>4872.304</v>
      </c>
      <c r="G2669" t="n">
        <v>139.672</v>
      </c>
      <c r="H2669" t="inlineStr">
        <is>
          <t>bb</t>
        </is>
      </c>
      <c r="I2669" t="n">
        <v>4872.304</v>
      </c>
    </row>
    <row r="2670">
      <c r="A2670" t="n">
        <v>3</v>
      </c>
      <c r="B2670" t="inlineStr">
        <is>
          <t>K4-1C</t>
        </is>
      </c>
      <c r="D2670" t="n">
        <v>13.11</v>
      </c>
      <c r="E2670" t="n">
        <v>4294.734</v>
      </c>
      <c r="G2670" t="n">
        <v>61.226</v>
      </c>
      <c r="H2670" t="inlineStr">
        <is>
          <t>bb</t>
        </is>
      </c>
      <c r="I2670" t="n">
        <v>4294.734</v>
      </c>
    </row>
    <row r="2671">
      <c r="A2671" t="n">
        <v>4</v>
      </c>
      <c r="B2671" t="inlineStr">
        <is>
          <t>K4-2A</t>
        </is>
      </c>
      <c r="D2671" t="n">
        <v>13.11</v>
      </c>
      <c r="E2671" t="n">
        <v>4467.562</v>
      </c>
      <c r="G2671" t="n">
        <v>31972</v>
      </c>
      <c r="H2671" t="inlineStr">
        <is>
          <t>bb</t>
        </is>
      </c>
      <c r="I2671" t="n">
        <v>4467.562</v>
      </c>
    </row>
    <row r="2672">
      <c r="A2672" t="n">
        <v>5</v>
      </c>
      <c r="B2672" t="inlineStr">
        <is>
          <t>K4-2B</t>
        </is>
      </c>
      <c r="D2672" t="n">
        <v>13.11</v>
      </c>
      <c r="E2672" t="n">
        <v>3948.013</v>
      </c>
      <c r="G2672" t="n">
        <v>28228</v>
      </c>
      <c r="H2672" t="inlineStr">
        <is>
          <t>bb</t>
        </is>
      </c>
      <c r="I2672" t="n">
        <v>3948.013</v>
      </c>
    </row>
    <row r="2673">
      <c r="A2673" t="n">
        <v>6</v>
      </c>
      <c r="B2673" t="inlineStr">
        <is>
          <t>K4-2C</t>
        </is>
      </c>
      <c r="D2673" t="n">
        <v>13.13</v>
      </c>
      <c r="E2673" t="n">
        <v>4364.321</v>
      </c>
      <c r="G2673" t="n">
        <v>10.745</v>
      </c>
      <c r="H2673" t="inlineStr">
        <is>
          <t>bb</t>
        </is>
      </c>
      <c r="I2673" t="n">
        <v>4364.321</v>
      </c>
    </row>
    <row r="2674">
      <c r="A2674" t="n">
        <v>7</v>
      </c>
      <c r="B2674" t="inlineStr">
        <is>
          <t>MeOH</t>
        </is>
      </c>
      <c r="H2674" t="inlineStr">
        <is>
          <t>MM-</t>
        </is>
      </c>
    </row>
    <row r="2675">
      <c r="A2675" t="n">
        <v>8</v>
      </c>
      <c r="B2675" t="inlineStr">
        <is>
          <t>K4-4A</t>
        </is>
      </c>
      <c r="D2675" t="n">
        <v>13.16</v>
      </c>
      <c r="E2675" t="n">
        <v>4306.722</v>
      </c>
      <c r="G2675" t="n">
        <v>225.401</v>
      </c>
      <c r="H2675" t="inlineStr">
        <is>
          <t>bb</t>
        </is>
      </c>
      <c r="I2675" t="n">
        <v>4306.722</v>
      </c>
    </row>
    <row r="2676">
      <c r="A2676" t="n">
        <v>9</v>
      </c>
      <c r="B2676" t="inlineStr">
        <is>
          <t>K4-4B</t>
        </is>
      </c>
      <c r="D2676" t="n">
        <v>13.16</v>
      </c>
      <c r="E2676" t="n">
        <v>4583.396</v>
      </c>
      <c r="G2676" t="n">
        <v>402.253</v>
      </c>
      <c r="H2676" t="inlineStr">
        <is>
          <t>bb</t>
        </is>
      </c>
      <c r="I2676" t="n">
        <v>4583.396</v>
      </c>
    </row>
    <row r="2677">
      <c r="A2677" t="n">
        <v>10</v>
      </c>
      <c r="B2677" t="inlineStr">
        <is>
          <t>K4-4C</t>
        </is>
      </c>
      <c r="D2677" t="n">
        <v>13.14</v>
      </c>
      <c r="E2677" t="n">
        <v>4681.859</v>
      </c>
      <c r="G2677" t="n">
        <v>89.512</v>
      </c>
      <c r="H2677" t="inlineStr">
        <is>
          <t>bb</t>
        </is>
      </c>
      <c r="I2677" t="n">
        <v>4681.859</v>
      </c>
    </row>
    <row r="2678">
      <c r="A2678" t="n">
        <v>11</v>
      </c>
      <c r="B2678" t="inlineStr">
        <is>
          <t>K4-5A</t>
        </is>
      </c>
      <c r="D2678" t="n">
        <v>13.12</v>
      </c>
      <c r="E2678" t="n">
        <v>4422.12</v>
      </c>
      <c r="G2678" t="n">
        <v>125.542</v>
      </c>
      <c r="H2678" t="inlineStr">
        <is>
          <t>bb</t>
        </is>
      </c>
      <c r="I2678" t="n">
        <v>4422.12</v>
      </c>
    </row>
    <row r="2679">
      <c r="A2679" t="n">
        <v>12</v>
      </c>
      <c r="B2679" t="inlineStr">
        <is>
          <t>K4-5B</t>
        </is>
      </c>
      <c r="D2679" t="n">
        <v>13.1</v>
      </c>
      <c r="E2679" t="n">
        <v>4687.8</v>
      </c>
      <c r="G2679" t="n">
        <v>33680</v>
      </c>
      <c r="H2679" t="inlineStr">
        <is>
          <t>bb</t>
        </is>
      </c>
      <c r="I2679" t="n">
        <v>4687.8</v>
      </c>
    </row>
    <row r="2680">
      <c r="A2680" t="n">
        <v>13</v>
      </c>
      <c r="B2680" t="inlineStr">
        <is>
          <t>K4-5C</t>
        </is>
      </c>
      <c r="D2680" t="n">
        <v>13.04</v>
      </c>
      <c r="E2680" t="n">
        <v>4384.865</v>
      </c>
      <c r="G2680" t="n">
        <v>21.383</v>
      </c>
      <c r="H2680" t="inlineStr">
        <is>
          <t>bb</t>
        </is>
      </c>
      <c r="I2680" t="n">
        <v>4384.865</v>
      </c>
    </row>
    <row r="2681">
      <c r="A2681" t="n">
        <v>14</v>
      </c>
      <c r="B2681" t="inlineStr">
        <is>
          <t>MeOH</t>
        </is>
      </c>
      <c r="H2681" t="inlineStr">
        <is>
          <t>MM-</t>
        </is>
      </c>
    </row>
    <row r="2682">
      <c r="A2682" t="n">
        <v>15</v>
      </c>
      <c r="B2682" t="inlineStr">
        <is>
          <t>K3-1A</t>
        </is>
      </c>
      <c r="D2682" t="n">
        <v>12.98</v>
      </c>
      <c r="E2682" t="n">
        <v>4459.036</v>
      </c>
      <c r="G2682" t="n">
        <v>102.318</v>
      </c>
      <c r="H2682" t="inlineStr">
        <is>
          <t>bb</t>
        </is>
      </c>
      <c r="I2682" t="n">
        <v>4459.036</v>
      </c>
    </row>
    <row r="2683">
      <c r="A2683" t="n">
        <v>16</v>
      </c>
      <c r="B2683" t="inlineStr">
        <is>
          <t>K3-1B</t>
        </is>
      </c>
      <c r="D2683" t="n">
        <v>12.99</v>
      </c>
      <c r="E2683" t="n">
        <v>4171.992</v>
      </c>
      <c r="G2683" t="n">
        <v>270.54</v>
      </c>
      <c r="H2683" t="inlineStr">
        <is>
          <t>bb</t>
        </is>
      </c>
      <c r="I2683" t="n">
        <v>4171.992</v>
      </c>
    </row>
    <row r="2684">
      <c r="A2684" t="n">
        <v>17</v>
      </c>
      <c r="B2684" t="inlineStr">
        <is>
          <t>K3-1C</t>
        </is>
      </c>
      <c r="D2684" t="n">
        <v>13.04</v>
      </c>
      <c r="E2684" t="n">
        <v>6034.731</v>
      </c>
      <c r="G2684" t="n">
        <v>42286</v>
      </c>
      <c r="H2684" t="inlineStr">
        <is>
          <t>bb</t>
        </is>
      </c>
      <c r="I2684" t="n">
        <v>6034.731</v>
      </c>
    </row>
    <row r="2685">
      <c r="A2685" t="n">
        <v>18</v>
      </c>
      <c r="B2685" t="inlineStr">
        <is>
          <t>K3-2A</t>
        </is>
      </c>
      <c r="D2685" t="n">
        <v>13.05</v>
      </c>
      <c r="E2685" t="n">
        <v>4969.539</v>
      </c>
      <c r="G2685" t="n">
        <v>597.866</v>
      </c>
      <c r="H2685" t="inlineStr">
        <is>
          <t>bb</t>
        </is>
      </c>
      <c r="I2685" t="n">
        <v>4969.539</v>
      </c>
    </row>
    <row r="2686">
      <c r="A2686" t="n">
        <v>19</v>
      </c>
      <c r="B2686" t="inlineStr">
        <is>
          <t>K3-2B</t>
        </is>
      </c>
      <c r="D2686" t="n">
        <v>13.05</v>
      </c>
      <c r="E2686" t="n">
        <v>6335.351</v>
      </c>
      <c r="G2686" t="n">
        <v>256.043</v>
      </c>
      <c r="H2686" t="inlineStr">
        <is>
          <t>bb</t>
        </is>
      </c>
      <c r="I2686" t="n">
        <v>6335.351</v>
      </c>
    </row>
    <row r="2687">
      <c r="A2687" t="n">
        <v>20</v>
      </c>
      <c r="B2687" t="inlineStr">
        <is>
          <t>K3-2C</t>
        </is>
      </c>
      <c r="D2687" t="n">
        <v>13.05</v>
      </c>
      <c r="E2687" t="n">
        <v>5241.567</v>
      </c>
      <c r="G2687" t="n">
        <v>36620</v>
      </c>
      <c r="H2687" t="inlineStr">
        <is>
          <t>bb</t>
        </is>
      </c>
      <c r="I2687" t="n">
        <v>5241.567</v>
      </c>
    </row>
    <row r="2688">
      <c r="A2688" t="n">
        <v>21</v>
      </c>
      <c r="B2688" t="inlineStr">
        <is>
          <t>MeOH</t>
        </is>
      </c>
      <c r="H2688" t="inlineStr">
        <is>
          <t>MM-</t>
        </is>
      </c>
    </row>
    <row r="2689">
      <c r="A2689" t="n">
        <v>22</v>
      </c>
      <c r="B2689" t="inlineStr">
        <is>
          <t>K3-3A</t>
        </is>
      </c>
      <c r="D2689" t="n">
        <v>13.08</v>
      </c>
      <c r="E2689" t="n">
        <v>4663.734</v>
      </c>
      <c r="G2689" t="n">
        <v>140.925</v>
      </c>
      <c r="H2689" t="inlineStr">
        <is>
          <t>bb</t>
        </is>
      </c>
      <c r="I2689" t="n">
        <v>4663.734</v>
      </c>
    </row>
    <row r="2690">
      <c r="A2690" t="n">
        <v>23</v>
      </c>
      <c r="B2690" t="inlineStr">
        <is>
          <t>K3-3B</t>
        </is>
      </c>
      <c r="D2690" t="n">
        <v>13.1</v>
      </c>
      <c r="E2690" t="n">
        <v>5276.267</v>
      </c>
      <c r="G2690" t="n">
        <v>448.932</v>
      </c>
      <c r="H2690" t="inlineStr">
        <is>
          <t>bb</t>
        </is>
      </c>
      <c r="I2690" t="n">
        <v>5276.267</v>
      </c>
    </row>
    <row r="2691">
      <c r="A2691" t="n">
        <v>24</v>
      </c>
      <c r="B2691" t="inlineStr">
        <is>
          <t>K3-3C</t>
        </is>
      </c>
      <c r="D2691" t="n">
        <v>13.1</v>
      </c>
      <c r="E2691" t="n">
        <v>5688.637</v>
      </c>
      <c r="G2691" t="n">
        <v>80.334</v>
      </c>
      <c r="H2691" t="inlineStr">
        <is>
          <t>bb</t>
        </is>
      </c>
      <c r="I2691" t="n">
        <v>5688.637</v>
      </c>
    </row>
    <row r="2692">
      <c r="A2692" t="n">
        <v>25</v>
      </c>
      <c r="B2692" t="inlineStr">
        <is>
          <t>K3-4A</t>
        </is>
      </c>
      <c r="D2692" t="n">
        <v>13.16</v>
      </c>
      <c r="E2692" t="n">
        <v>6768.774</v>
      </c>
      <c r="G2692" t="n">
        <v>138.954</v>
      </c>
      <c r="H2692" t="inlineStr">
        <is>
          <t>bb</t>
        </is>
      </c>
      <c r="I2692" t="n">
        <v>6768.774</v>
      </c>
    </row>
    <row r="2693">
      <c r="A2693" t="n">
        <v>26</v>
      </c>
      <c r="B2693" t="inlineStr">
        <is>
          <t>K3-4B</t>
        </is>
      </c>
      <c r="D2693" t="n">
        <v>13.13</v>
      </c>
      <c r="E2693" t="n">
        <v>5963.54</v>
      </c>
      <c r="G2693" t="n">
        <v>244.749</v>
      </c>
      <c r="H2693" t="inlineStr">
        <is>
          <t>bb</t>
        </is>
      </c>
      <c r="I2693" t="n">
        <v>5963.54</v>
      </c>
    </row>
    <row r="2694">
      <c r="A2694" t="n">
        <v>27</v>
      </c>
      <c r="B2694" t="inlineStr">
        <is>
          <t>K3-4C</t>
        </is>
      </c>
      <c r="D2694" t="n">
        <v>13.17</v>
      </c>
      <c r="E2694" t="n">
        <v>6636.725</v>
      </c>
      <c r="G2694" t="n">
        <v>194.171</v>
      </c>
      <c r="H2694" t="inlineStr">
        <is>
          <t>bb</t>
        </is>
      </c>
      <c r="I2694" t="n">
        <v>6636.725</v>
      </c>
    </row>
    <row r="2695">
      <c r="A2695" t="n">
        <v>28</v>
      </c>
      <c r="B2695" t="inlineStr">
        <is>
          <t>MeOH</t>
        </is>
      </c>
      <c r="H2695" t="inlineStr">
        <is>
          <t>MM-</t>
        </is>
      </c>
    </row>
    <row r="2696">
      <c r="A2696" t="n">
        <v>29</v>
      </c>
      <c r="B2696" t="inlineStr">
        <is>
          <t>K3-6A</t>
        </is>
      </c>
      <c r="D2696" t="n">
        <v>13.17</v>
      </c>
      <c r="E2696" t="n">
        <v>5230.771</v>
      </c>
      <c r="G2696" t="n">
        <v>166.213</v>
      </c>
      <c r="H2696" t="inlineStr">
        <is>
          <t>bb</t>
        </is>
      </c>
      <c r="I2696" t="n">
        <v>5230.771</v>
      </c>
    </row>
    <row r="2697">
      <c r="A2697" t="n">
        <v>30</v>
      </c>
      <c r="B2697" t="inlineStr">
        <is>
          <t>K3-6B</t>
        </is>
      </c>
      <c r="D2697" t="n">
        <v>13.17</v>
      </c>
      <c r="E2697" t="n">
        <v>4660.072</v>
      </c>
      <c r="G2697" t="n">
        <v>173.274</v>
      </c>
      <c r="H2697" t="inlineStr">
        <is>
          <t>bb</t>
        </is>
      </c>
      <c r="I2697" t="n">
        <v>4660.072</v>
      </c>
    </row>
    <row r="2698">
      <c r="A2698" t="n">
        <v>31</v>
      </c>
      <c r="B2698" t="inlineStr">
        <is>
          <t>K3-6C</t>
        </is>
      </c>
      <c r="D2698" t="n">
        <v>13.16</v>
      </c>
      <c r="E2698" t="n">
        <v>4161.123</v>
      </c>
      <c r="G2698" t="n">
        <v>531.355</v>
      </c>
      <c r="H2698" t="inlineStr">
        <is>
          <t>bb</t>
        </is>
      </c>
      <c r="I2698" t="n">
        <v>4161.123</v>
      </c>
    </row>
    <row r="2700">
      <c r="A2700" t="inlineStr">
        <is>
          <t>Compound 78:  N-MeFOSA 1</t>
        </is>
      </c>
    </row>
    <row r="2702">
      <c r="B2702" t="inlineStr">
        <is>
          <t>Sample Text</t>
        </is>
      </c>
      <c r="C2702" t="inlineStr">
        <is>
          <t>Std. Conc</t>
        </is>
      </c>
      <c r="D2702" t="inlineStr">
        <is>
          <t>RT</t>
        </is>
      </c>
      <c r="E2702" t="inlineStr">
        <is>
          <t>Area</t>
        </is>
      </c>
      <c r="F2702" t="inlineStr">
        <is>
          <t>IS Area</t>
        </is>
      </c>
      <c r="G2702" t="inlineStr">
        <is>
          <t>S/N</t>
        </is>
      </c>
      <c r="H2702" t="inlineStr">
        <is>
          <t>Primary Flags</t>
        </is>
      </c>
      <c r="I2702" t="inlineStr">
        <is>
          <t>Response</t>
        </is>
      </c>
      <c r="J2702" t="inlineStr">
        <is>
          <t>Conc.</t>
        </is>
      </c>
    </row>
    <row r="2703">
      <c r="A2703" t="n">
        <v>1</v>
      </c>
      <c r="B2703" t="inlineStr">
        <is>
          <t>K4-1A</t>
        </is>
      </c>
      <c r="F2703" t="n">
        <v>2980.241</v>
      </c>
    </row>
    <row r="2704">
      <c r="A2704" t="n">
        <v>2</v>
      </c>
      <c r="B2704" t="inlineStr">
        <is>
          <t>K4-1B</t>
        </is>
      </c>
      <c r="D2704" t="n">
        <v>14.02</v>
      </c>
      <c r="E2704" t="n">
        <v>0.595</v>
      </c>
      <c r="F2704" t="n">
        <v>3364.29</v>
      </c>
      <c r="G2704" t="n">
        <v>6</v>
      </c>
      <c r="H2704" t="inlineStr">
        <is>
          <t>MM</t>
        </is>
      </c>
    </row>
    <row r="2705">
      <c r="A2705" t="n">
        <v>3</v>
      </c>
      <c r="B2705" t="inlineStr">
        <is>
          <t>K4-1C</t>
        </is>
      </c>
      <c r="F2705" t="n">
        <v>3837.76</v>
      </c>
    </row>
    <row r="2706">
      <c r="A2706" t="n">
        <v>4</v>
      </c>
      <c r="B2706" t="inlineStr">
        <is>
          <t>K4-2A</t>
        </is>
      </c>
      <c r="F2706" t="n">
        <v>2988.778</v>
      </c>
    </row>
    <row r="2707">
      <c r="A2707" t="n">
        <v>5</v>
      </c>
      <c r="B2707" t="inlineStr">
        <is>
          <t>K4-2B</t>
        </is>
      </c>
      <c r="F2707" t="n">
        <v>2732.104</v>
      </c>
    </row>
    <row r="2708">
      <c r="A2708" t="n">
        <v>6</v>
      </c>
      <c r="B2708" t="inlineStr">
        <is>
          <t>K4-2C</t>
        </is>
      </c>
      <c r="F2708" t="n">
        <v>2088.237</v>
      </c>
    </row>
    <row r="2709">
      <c r="A2709" t="n">
        <v>7</v>
      </c>
      <c r="B2709" t="inlineStr">
        <is>
          <t>MeOH</t>
        </is>
      </c>
    </row>
    <row r="2710">
      <c r="A2710" t="n">
        <v>8</v>
      </c>
      <c r="B2710" t="inlineStr">
        <is>
          <t>K4-4A</t>
        </is>
      </c>
      <c r="F2710" t="n">
        <v>3222.134</v>
      </c>
    </row>
    <row r="2711">
      <c r="A2711" t="n">
        <v>9</v>
      </c>
      <c r="B2711" t="inlineStr">
        <is>
          <t>K4-4B</t>
        </is>
      </c>
      <c r="D2711" t="n">
        <v>13.86</v>
      </c>
      <c r="E2711" t="n">
        <v>0.696</v>
      </c>
      <c r="F2711" t="n">
        <v>2984.256</v>
      </c>
      <c r="G2711" t="n">
        <v>7</v>
      </c>
      <c r="H2711" t="inlineStr">
        <is>
          <t>MM</t>
        </is>
      </c>
    </row>
    <row r="2712">
      <c r="A2712" t="n">
        <v>10</v>
      </c>
      <c r="B2712" t="inlineStr">
        <is>
          <t>K4-4C</t>
        </is>
      </c>
      <c r="F2712" t="n">
        <v>3124.142</v>
      </c>
    </row>
    <row r="2713">
      <c r="A2713" t="n">
        <v>11</v>
      </c>
      <c r="B2713" t="inlineStr">
        <is>
          <t>K4-5A</t>
        </is>
      </c>
      <c r="F2713" t="n">
        <v>2396.031</v>
      </c>
    </row>
    <row r="2714">
      <c r="A2714" t="n">
        <v>12</v>
      </c>
      <c r="B2714" t="inlineStr">
        <is>
          <t>K4-5B</t>
        </is>
      </c>
      <c r="F2714" t="n">
        <v>2338.589</v>
      </c>
    </row>
    <row r="2715">
      <c r="A2715" t="n">
        <v>13</v>
      </c>
      <c r="B2715" t="inlineStr">
        <is>
          <t>K4-5C</t>
        </is>
      </c>
      <c r="F2715" t="n">
        <v>2243.741</v>
      </c>
    </row>
    <row r="2716">
      <c r="A2716" t="n">
        <v>14</v>
      </c>
      <c r="B2716" t="inlineStr">
        <is>
          <t>MeOH</t>
        </is>
      </c>
    </row>
    <row r="2717">
      <c r="A2717" t="n">
        <v>15</v>
      </c>
      <c r="B2717" t="inlineStr">
        <is>
          <t>K3-1A</t>
        </is>
      </c>
      <c r="D2717" t="n">
        <v>14.67</v>
      </c>
      <c r="E2717" t="n">
        <v>14.815</v>
      </c>
      <c r="F2717" t="n">
        <v>3346.899</v>
      </c>
      <c r="G2717" t="n">
        <v>134</v>
      </c>
      <c r="H2717" t="inlineStr">
        <is>
          <t>MM</t>
        </is>
      </c>
    </row>
    <row r="2718">
      <c r="A2718" t="n">
        <v>16</v>
      </c>
      <c r="B2718" t="inlineStr">
        <is>
          <t>K3-1B</t>
        </is>
      </c>
      <c r="F2718" t="n">
        <v>2776.687</v>
      </c>
    </row>
    <row r="2719">
      <c r="A2719" t="n">
        <v>17</v>
      </c>
      <c r="B2719" t="inlineStr">
        <is>
          <t>K3-1C</t>
        </is>
      </c>
      <c r="D2719" t="n">
        <v>15.07</v>
      </c>
      <c r="E2719" t="n">
        <v>1.122</v>
      </c>
      <c r="F2719" t="n">
        <v>4456.358</v>
      </c>
      <c r="G2719" t="n">
        <v>11</v>
      </c>
      <c r="H2719" t="inlineStr">
        <is>
          <t>MM</t>
        </is>
      </c>
    </row>
    <row r="2720">
      <c r="A2720" t="n">
        <v>18</v>
      </c>
      <c r="B2720" t="inlineStr">
        <is>
          <t>K3-2A</t>
        </is>
      </c>
      <c r="F2720" t="n">
        <v>4389.123</v>
      </c>
    </row>
    <row r="2721">
      <c r="A2721" t="n">
        <v>19</v>
      </c>
      <c r="B2721" t="inlineStr">
        <is>
          <t>K3-2B</t>
        </is>
      </c>
      <c r="F2721" t="n">
        <v>4280.789</v>
      </c>
    </row>
    <row r="2722">
      <c r="A2722" t="n">
        <v>20</v>
      </c>
      <c r="B2722" t="inlineStr">
        <is>
          <t>K3-2C</t>
        </is>
      </c>
      <c r="D2722" t="n">
        <v>14.34</v>
      </c>
      <c r="E2722" t="n">
        <v>31.027</v>
      </c>
      <c r="F2722" t="n">
        <v>2980.863</v>
      </c>
      <c r="G2722" t="n">
        <v>277</v>
      </c>
      <c r="H2722" t="inlineStr">
        <is>
          <t>MM</t>
        </is>
      </c>
    </row>
    <row r="2723">
      <c r="A2723" t="n">
        <v>21</v>
      </c>
      <c r="B2723" t="inlineStr">
        <is>
          <t>MeOH</t>
        </is>
      </c>
    </row>
    <row r="2724">
      <c r="A2724" t="n">
        <v>22</v>
      </c>
      <c r="B2724" t="inlineStr">
        <is>
          <t>K3-3A</t>
        </is>
      </c>
      <c r="F2724" t="n">
        <v>2857.398</v>
      </c>
    </row>
    <row r="2725">
      <c r="A2725" t="n">
        <v>23</v>
      </c>
      <c r="B2725" t="inlineStr">
        <is>
          <t>K3-3B</t>
        </is>
      </c>
      <c r="F2725" t="n">
        <v>2854.998</v>
      </c>
    </row>
    <row r="2726">
      <c r="A2726" t="n">
        <v>24</v>
      </c>
      <c r="B2726" t="inlineStr">
        <is>
          <t>K3-3C</t>
        </is>
      </c>
      <c r="D2726" t="n">
        <v>14.44</v>
      </c>
      <c r="E2726" t="n">
        <v>10.629</v>
      </c>
      <c r="F2726" t="n">
        <v>3426.938</v>
      </c>
      <c r="G2726" t="n">
        <v>98</v>
      </c>
      <c r="H2726" t="inlineStr">
        <is>
          <t>MM</t>
        </is>
      </c>
    </row>
    <row r="2727">
      <c r="A2727" t="n">
        <v>25</v>
      </c>
      <c r="B2727" t="inlineStr">
        <is>
          <t>K3-4A</t>
        </is>
      </c>
      <c r="F2727" t="n">
        <v>4359.233</v>
      </c>
    </row>
    <row r="2728">
      <c r="A2728" t="n">
        <v>26</v>
      </c>
      <c r="B2728" t="inlineStr">
        <is>
          <t>K3-4B</t>
        </is>
      </c>
      <c r="F2728" t="n">
        <v>3811.07</v>
      </c>
    </row>
    <row r="2729">
      <c r="A2729" t="n">
        <v>27</v>
      </c>
      <c r="B2729" t="inlineStr">
        <is>
          <t>K3-4C</t>
        </is>
      </c>
      <c r="D2729" t="n">
        <v>14.81</v>
      </c>
      <c r="E2729" t="n">
        <v>0.315</v>
      </c>
      <c r="F2729" t="n">
        <v>2743.947</v>
      </c>
      <c r="G2729" t="n">
        <v>3</v>
      </c>
      <c r="H2729" t="inlineStr">
        <is>
          <t>MM</t>
        </is>
      </c>
    </row>
    <row r="2730">
      <c r="A2730" t="n">
        <v>28</v>
      </c>
      <c r="B2730" t="inlineStr">
        <is>
          <t>MeOH</t>
        </is>
      </c>
    </row>
    <row r="2731">
      <c r="A2731" t="n">
        <v>29</v>
      </c>
      <c r="B2731" t="inlineStr">
        <is>
          <t>K3-6A</t>
        </is>
      </c>
      <c r="F2731" t="n">
        <v>3570.69</v>
      </c>
    </row>
    <row r="2732">
      <c r="A2732" t="n">
        <v>30</v>
      </c>
      <c r="B2732" t="inlineStr">
        <is>
          <t>K3-6B</t>
        </is>
      </c>
      <c r="F2732" t="n">
        <v>2023.379</v>
      </c>
    </row>
    <row r="2733">
      <c r="A2733" t="n">
        <v>31</v>
      </c>
      <c r="B2733" t="inlineStr">
        <is>
          <t>K3-6C</t>
        </is>
      </c>
      <c r="F2733" t="n">
        <v>2531.472</v>
      </c>
    </row>
    <row r="2735">
      <c r="A2735" t="inlineStr">
        <is>
          <t>Compound 79:  N-MeFOSA 2</t>
        </is>
      </c>
    </row>
    <row r="2737">
      <c r="B2737" t="inlineStr">
        <is>
          <t>Sample Text</t>
        </is>
      </c>
      <c r="C2737" t="inlineStr">
        <is>
          <t>Std. Conc</t>
        </is>
      </c>
      <c r="D2737" t="inlineStr">
        <is>
          <t>RT</t>
        </is>
      </c>
      <c r="E2737" t="inlineStr">
        <is>
          <t>Area</t>
        </is>
      </c>
      <c r="F2737" t="inlineStr">
        <is>
          <t>IS Area</t>
        </is>
      </c>
      <c r="G2737" t="inlineStr">
        <is>
          <t>S/N</t>
        </is>
      </c>
      <c r="H2737" t="inlineStr">
        <is>
          <t>Primary Flags</t>
        </is>
      </c>
      <c r="I2737" t="inlineStr">
        <is>
          <t>Response</t>
        </is>
      </c>
      <c r="J2737" t="inlineStr">
        <is>
          <t>Conc.</t>
        </is>
      </c>
    </row>
    <row r="2738">
      <c r="A2738" t="n">
        <v>1</v>
      </c>
      <c r="B2738" t="inlineStr">
        <is>
          <t>K4-1A</t>
        </is>
      </c>
      <c r="D2738" t="n">
        <v>15.44</v>
      </c>
      <c r="E2738" t="n">
        <v>3.002</v>
      </c>
      <c r="F2738" t="n">
        <v>3573.791</v>
      </c>
      <c r="G2738" t="n">
        <v>25</v>
      </c>
      <c r="H2738" t="inlineStr">
        <is>
          <t>bb</t>
        </is>
      </c>
    </row>
    <row r="2739">
      <c r="A2739" t="n">
        <v>2</v>
      </c>
      <c r="B2739" t="inlineStr">
        <is>
          <t>K4-1B</t>
        </is>
      </c>
      <c r="F2739" t="n">
        <v>3109.82</v>
      </c>
    </row>
    <row r="2740">
      <c r="A2740" t="n">
        <v>3</v>
      </c>
      <c r="B2740" t="inlineStr">
        <is>
          <t>K4-1C</t>
        </is>
      </c>
      <c r="F2740" t="n">
        <v>2940.167</v>
      </c>
    </row>
    <row r="2741">
      <c r="A2741" t="n">
        <v>4</v>
      </c>
      <c r="B2741" t="inlineStr">
        <is>
          <t>K4-2A</t>
        </is>
      </c>
      <c r="F2741" t="n">
        <v>3069.933</v>
      </c>
    </row>
    <row r="2742">
      <c r="A2742" t="n">
        <v>5</v>
      </c>
      <c r="B2742" t="inlineStr">
        <is>
          <t>K4-2B</t>
        </is>
      </c>
      <c r="D2742" t="n">
        <v>15.18</v>
      </c>
      <c r="E2742" t="n">
        <v>1.302</v>
      </c>
      <c r="F2742" t="n">
        <v>2584.384</v>
      </c>
      <c r="G2742" t="n">
        <v>12</v>
      </c>
      <c r="H2742" t="inlineStr">
        <is>
          <t>bb</t>
        </is>
      </c>
    </row>
    <row r="2743">
      <c r="A2743" t="n">
        <v>6</v>
      </c>
      <c r="B2743" t="inlineStr">
        <is>
          <t>K4-2C</t>
        </is>
      </c>
      <c r="F2743" t="n">
        <v>2146.444</v>
      </c>
    </row>
    <row r="2744">
      <c r="A2744" t="n">
        <v>7</v>
      </c>
      <c r="B2744" t="inlineStr">
        <is>
          <t>MeOH</t>
        </is>
      </c>
    </row>
    <row r="2745">
      <c r="A2745" t="n">
        <v>8</v>
      </c>
      <c r="B2745" t="inlineStr">
        <is>
          <t>K4-4A</t>
        </is>
      </c>
      <c r="F2745" t="n">
        <v>2819.079</v>
      </c>
    </row>
    <row r="2746">
      <c r="A2746" t="n">
        <v>9</v>
      </c>
      <c r="B2746" t="inlineStr">
        <is>
          <t>K4-4B</t>
        </is>
      </c>
      <c r="F2746" t="n">
        <v>3255.363</v>
      </c>
    </row>
    <row r="2747">
      <c r="A2747" t="n">
        <v>10</v>
      </c>
      <c r="B2747" t="inlineStr">
        <is>
          <t>K4-4C</t>
        </is>
      </c>
      <c r="F2747" t="n">
        <v>3613.709</v>
      </c>
    </row>
    <row r="2748">
      <c r="A2748" t="n">
        <v>11</v>
      </c>
      <c r="B2748" t="inlineStr">
        <is>
          <t>K4-5A</t>
        </is>
      </c>
      <c r="F2748" t="n">
        <v>2698.628</v>
      </c>
    </row>
    <row r="2749">
      <c r="A2749" t="n">
        <v>12</v>
      </c>
      <c r="B2749" t="inlineStr">
        <is>
          <t>K4-5B</t>
        </is>
      </c>
      <c r="F2749" t="n">
        <v>2771.299</v>
      </c>
    </row>
    <row r="2750">
      <c r="A2750" t="n">
        <v>13</v>
      </c>
      <c r="B2750" t="inlineStr">
        <is>
          <t>K4-5C</t>
        </is>
      </c>
      <c r="F2750" t="n">
        <v>2275.768</v>
      </c>
    </row>
    <row r="2751">
      <c r="A2751" t="n">
        <v>14</v>
      </c>
      <c r="B2751" t="inlineStr">
        <is>
          <t>MeOH</t>
        </is>
      </c>
    </row>
    <row r="2752">
      <c r="A2752" t="n">
        <v>15</v>
      </c>
      <c r="B2752" t="inlineStr">
        <is>
          <t>K3-1A</t>
        </is>
      </c>
      <c r="F2752" t="n">
        <v>2220.878</v>
      </c>
    </row>
    <row r="2753">
      <c r="A2753" t="n">
        <v>16</v>
      </c>
      <c r="B2753" t="inlineStr">
        <is>
          <t>K3-1B</t>
        </is>
      </c>
      <c r="F2753" t="n">
        <v>2678.757</v>
      </c>
    </row>
    <row r="2754">
      <c r="A2754" t="n">
        <v>17</v>
      </c>
      <c r="B2754" t="inlineStr">
        <is>
          <t>K3-1C</t>
        </is>
      </c>
      <c r="F2754" t="n">
        <v>3037.524</v>
      </c>
    </row>
    <row r="2755">
      <c r="A2755" t="n">
        <v>18</v>
      </c>
      <c r="B2755" t="inlineStr">
        <is>
          <t>K3-2A</t>
        </is>
      </c>
      <c r="F2755" t="n">
        <v>3605.779</v>
      </c>
    </row>
    <row r="2756">
      <c r="A2756" t="n">
        <v>19</v>
      </c>
      <c r="B2756" t="inlineStr">
        <is>
          <t>K3-2B</t>
        </is>
      </c>
      <c r="F2756" t="n">
        <v>3855.865</v>
      </c>
    </row>
    <row r="2757">
      <c r="A2757" t="n">
        <v>20</v>
      </c>
      <c r="B2757" t="inlineStr">
        <is>
          <t>K3-2C</t>
        </is>
      </c>
      <c r="F2757" t="n">
        <v>3281.956</v>
      </c>
    </row>
    <row r="2758">
      <c r="A2758" t="n">
        <v>21</v>
      </c>
      <c r="B2758" t="inlineStr">
        <is>
          <t>MeOH</t>
        </is>
      </c>
    </row>
    <row r="2759">
      <c r="A2759" t="n">
        <v>22</v>
      </c>
      <c r="B2759" t="inlineStr">
        <is>
          <t>K3-3A</t>
        </is>
      </c>
      <c r="F2759" t="n">
        <v>3023.307</v>
      </c>
    </row>
    <row r="2760">
      <c r="A2760" t="n">
        <v>23</v>
      </c>
      <c r="B2760" t="inlineStr">
        <is>
          <t>K3-3B</t>
        </is>
      </c>
      <c r="F2760" t="n">
        <v>2386.097</v>
      </c>
    </row>
    <row r="2761">
      <c r="A2761" t="n">
        <v>24</v>
      </c>
      <c r="B2761" t="inlineStr">
        <is>
          <t>K3-3C</t>
        </is>
      </c>
      <c r="F2761" t="n">
        <v>2943.477</v>
      </c>
    </row>
    <row r="2762">
      <c r="A2762" t="n">
        <v>25</v>
      </c>
      <c r="B2762" t="inlineStr">
        <is>
          <t>K3-4A</t>
        </is>
      </c>
      <c r="F2762" t="n">
        <v>3417.031</v>
      </c>
    </row>
    <row r="2763">
      <c r="A2763" t="n">
        <v>26</v>
      </c>
      <c r="B2763" t="inlineStr">
        <is>
          <t>K3-4B</t>
        </is>
      </c>
      <c r="F2763" t="n">
        <v>3262.915</v>
      </c>
    </row>
    <row r="2764">
      <c r="A2764" t="n">
        <v>27</v>
      </c>
      <c r="B2764" t="inlineStr">
        <is>
          <t>K3-4C</t>
        </is>
      </c>
      <c r="F2764" t="n">
        <v>3462.928</v>
      </c>
    </row>
    <row r="2765">
      <c r="A2765" t="n">
        <v>28</v>
      </c>
      <c r="B2765" t="inlineStr">
        <is>
          <t>MeOH</t>
        </is>
      </c>
    </row>
    <row r="2766">
      <c r="A2766" t="n">
        <v>29</v>
      </c>
      <c r="B2766" t="inlineStr">
        <is>
          <t>K3-6A</t>
        </is>
      </c>
      <c r="F2766" t="n">
        <v>2753.063</v>
      </c>
    </row>
    <row r="2767">
      <c r="A2767" t="n">
        <v>30</v>
      </c>
      <c r="B2767" t="inlineStr">
        <is>
          <t>K3-6B</t>
        </is>
      </c>
      <c r="F2767" t="n">
        <v>2864.424</v>
      </c>
    </row>
    <row r="2768">
      <c r="A2768" t="n">
        <v>31</v>
      </c>
      <c r="B2768" t="inlineStr">
        <is>
          <t>K3-6C</t>
        </is>
      </c>
      <c r="F2768" t="n">
        <v>2500.42</v>
      </c>
    </row>
    <row r="2770">
      <c r="A2770" t="inlineStr">
        <is>
          <t>Compound 80:  PFDA 1</t>
        </is>
      </c>
    </row>
    <row r="2772">
      <c r="B2772" t="inlineStr">
        <is>
          <t>Sample Text</t>
        </is>
      </c>
      <c r="C2772" t="inlineStr">
        <is>
          <t>Std. Conc</t>
        </is>
      </c>
      <c r="D2772" t="inlineStr">
        <is>
          <t>RT</t>
        </is>
      </c>
      <c r="E2772" t="inlineStr">
        <is>
          <t>Area</t>
        </is>
      </c>
      <c r="F2772" t="inlineStr">
        <is>
          <t>IS Area</t>
        </is>
      </c>
      <c r="G2772" t="inlineStr">
        <is>
          <t>S/N</t>
        </is>
      </c>
      <c r="H2772" t="inlineStr">
        <is>
          <t>Primary Flags</t>
        </is>
      </c>
      <c r="I2772" t="inlineStr">
        <is>
          <t>Response</t>
        </is>
      </c>
      <c r="J2772" t="inlineStr">
        <is>
          <t>Conc.</t>
        </is>
      </c>
    </row>
    <row r="2773">
      <c r="A2773" t="n">
        <v>1</v>
      </c>
      <c r="B2773" t="inlineStr">
        <is>
          <t>K4-1A</t>
        </is>
      </c>
      <c r="D2773" t="n">
        <v>14.05</v>
      </c>
      <c r="E2773" t="n">
        <v>258.784</v>
      </c>
      <c r="F2773" t="n">
        <v>293.287</v>
      </c>
      <c r="G2773" t="n">
        <v>1708</v>
      </c>
      <c r="H2773" t="inlineStr">
        <is>
          <t>bb</t>
        </is>
      </c>
    </row>
    <row r="2774">
      <c r="A2774" t="n">
        <v>2</v>
      </c>
      <c r="B2774" t="inlineStr">
        <is>
          <t>K4-1B</t>
        </is>
      </c>
      <c r="D2774" t="n">
        <v>14.09</v>
      </c>
      <c r="E2774" t="n">
        <v>226.117</v>
      </c>
      <c r="F2774" t="n">
        <v>121.913</v>
      </c>
      <c r="G2774" t="n">
        <v>1.881</v>
      </c>
      <c r="H2774" t="inlineStr">
        <is>
          <t>bb</t>
        </is>
      </c>
    </row>
    <row r="2775">
      <c r="A2775" t="n">
        <v>3</v>
      </c>
      <c r="B2775" t="inlineStr">
        <is>
          <t>K4-1C</t>
        </is>
      </c>
      <c r="D2775" t="n">
        <v>14.03</v>
      </c>
      <c r="E2775" t="n">
        <v>261.481</v>
      </c>
      <c r="F2775" t="n">
        <v>278.029</v>
      </c>
      <c r="G2775" t="n">
        <v>101.657</v>
      </c>
      <c r="H2775" t="inlineStr">
        <is>
          <t>bb</t>
        </is>
      </c>
    </row>
    <row r="2776">
      <c r="A2776" t="n">
        <v>4</v>
      </c>
      <c r="B2776" t="inlineStr">
        <is>
          <t>K4-2A</t>
        </is>
      </c>
      <c r="D2776" t="n">
        <v>14.05</v>
      </c>
      <c r="E2776" t="n">
        <v>23.92</v>
      </c>
      <c r="F2776" t="n">
        <v>80.721</v>
      </c>
      <c r="G2776" t="n">
        <v>179</v>
      </c>
      <c r="H2776" t="inlineStr">
        <is>
          <t>bb</t>
        </is>
      </c>
    </row>
    <row r="2777">
      <c r="A2777" t="n">
        <v>5</v>
      </c>
      <c r="B2777" t="inlineStr">
        <is>
          <t>K4-2B</t>
        </is>
      </c>
      <c r="D2777" t="n">
        <v>14.14</v>
      </c>
      <c r="E2777" t="n">
        <v>51.103</v>
      </c>
      <c r="F2777" t="n">
        <v>1.117</v>
      </c>
      <c r="G2777" t="n">
        <v>349</v>
      </c>
      <c r="H2777" t="inlineStr">
        <is>
          <t>bb</t>
        </is>
      </c>
    </row>
    <row r="2778">
      <c r="A2778" t="n">
        <v>6</v>
      </c>
      <c r="B2778" t="inlineStr">
        <is>
          <t>K4-2C</t>
        </is>
      </c>
      <c r="D2778" t="n">
        <v>14.12</v>
      </c>
      <c r="E2778" t="n">
        <v>108.897</v>
      </c>
      <c r="F2778" t="n">
        <v>64.84699999999999</v>
      </c>
      <c r="G2778" t="n">
        <v>819</v>
      </c>
      <c r="H2778" t="inlineStr">
        <is>
          <t>bb</t>
        </is>
      </c>
    </row>
    <row r="2779">
      <c r="A2779" t="n">
        <v>7</v>
      </c>
      <c r="B2779" t="inlineStr">
        <is>
          <t>MeOH</t>
        </is>
      </c>
      <c r="H2779" t="inlineStr">
        <is>
          <t>MM-</t>
        </is>
      </c>
    </row>
    <row r="2780">
      <c r="A2780" t="n">
        <v>8</v>
      </c>
      <c r="B2780" t="inlineStr">
        <is>
          <t>K4-4A</t>
        </is>
      </c>
      <c r="D2780" t="n">
        <v>14.06</v>
      </c>
      <c r="E2780" t="n">
        <v>144.435</v>
      </c>
      <c r="F2780" t="n">
        <v>92.72199999999999</v>
      </c>
      <c r="G2780" t="n">
        <v>1153</v>
      </c>
      <c r="H2780" t="inlineStr">
        <is>
          <t>bb</t>
        </is>
      </c>
    </row>
    <row r="2781">
      <c r="A2781" t="n">
        <v>9</v>
      </c>
      <c r="B2781" t="inlineStr">
        <is>
          <t>K4-4B</t>
        </is>
      </c>
      <c r="D2781" t="n">
        <v>14.12</v>
      </c>
      <c r="E2781" t="n">
        <v>157.587</v>
      </c>
      <c r="F2781" t="n">
        <v>96.197</v>
      </c>
      <c r="G2781" t="n">
        <v>1126</v>
      </c>
      <c r="H2781" t="inlineStr">
        <is>
          <t>MM</t>
        </is>
      </c>
    </row>
    <row r="2782">
      <c r="A2782" t="n">
        <v>10</v>
      </c>
      <c r="B2782" t="inlineStr">
        <is>
          <t>K4-4C</t>
        </is>
      </c>
      <c r="D2782" t="n">
        <v>14.14</v>
      </c>
      <c r="E2782" t="n">
        <v>168.837</v>
      </c>
      <c r="F2782" t="n">
        <v>122.295</v>
      </c>
      <c r="G2782" t="n">
        <v>11.018</v>
      </c>
      <c r="H2782" t="inlineStr">
        <is>
          <t>bb</t>
        </is>
      </c>
    </row>
    <row r="2783">
      <c r="A2783" t="n">
        <v>11</v>
      </c>
      <c r="B2783" t="inlineStr">
        <is>
          <t>K4-5A</t>
        </is>
      </c>
      <c r="D2783" t="n">
        <v>14.09</v>
      </c>
      <c r="E2783" t="n">
        <v>117.18</v>
      </c>
      <c r="F2783" t="n">
        <v>195.191</v>
      </c>
      <c r="G2783" t="n">
        <v>2.969</v>
      </c>
      <c r="H2783" t="inlineStr">
        <is>
          <t>bb</t>
        </is>
      </c>
    </row>
    <row r="2784">
      <c r="A2784" t="n">
        <v>12</v>
      </c>
      <c r="B2784" t="inlineStr">
        <is>
          <t>K4-5B</t>
        </is>
      </c>
      <c r="D2784" t="n">
        <v>14.05</v>
      </c>
      <c r="E2784" t="n">
        <v>57.857</v>
      </c>
      <c r="F2784" t="n">
        <v>113.956</v>
      </c>
      <c r="G2784" t="n">
        <v>492</v>
      </c>
      <c r="H2784" t="inlineStr">
        <is>
          <t>bb</t>
        </is>
      </c>
    </row>
    <row r="2785">
      <c r="A2785" t="n">
        <v>13</v>
      </c>
      <c r="B2785" t="inlineStr">
        <is>
          <t>K4-5C</t>
        </is>
      </c>
      <c r="D2785" t="n">
        <v>14.02</v>
      </c>
      <c r="E2785" t="n">
        <v>47.482</v>
      </c>
      <c r="F2785" t="n">
        <v>84.712</v>
      </c>
      <c r="G2785" t="n">
        <v>2.599</v>
      </c>
      <c r="H2785" t="inlineStr">
        <is>
          <t>bb</t>
        </is>
      </c>
    </row>
    <row r="2786">
      <c r="A2786" t="n">
        <v>14</v>
      </c>
      <c r="B2786" t="inlineStr">
        <is>
          <t>MeOH</t>
        </is>
      </c>
      <c r="H2786" t="inlineStr">
        <is>
          <t>MM-</t>
        </is>
      </c>
    </row>
    <row r="2787">
      <c r="A2787" t="n">
        <v>15</v>
      </c>
      <c r="B2787" t="inlineStr">
        <is>
          <t>K3-1A</t>
        </is>
      </c>
      <c r="D2787" t="n">
        <v>14.03</v>
      </c>
      <c r="E2787" t="n">
        <v>94.94199999999999</v>
      </c>
      <c r="F2787" t="n">
        <v>8.545999999999999</v>
      </c>
      <c r="G2787" t="n">
        <v>630</v>
      </c>
      <c r="H2787" t="inlineStr">
        <is>
          <t>bb</t>
        </is>
      </c>
    </row>
    <row r="2788">
      <c r="A2788" t="n">
        <v>16</v>
      </c>
      <c r="B2788" t="inlineStr">
        <is>
          <t>K3-1B</t>
        </is>
      </c>
      <c r="D2788" t="n">
        <v>13.98</v>
      </c>
      <c r="E2788" t="n">
        <v>217.252</v>
      </c>
      <c r="F2788" t="n">
        <v>51.544</v>
      </c>
      <c r="G2788" t="n">
        <v>7.107</v>
      </c>
      <c r="H2788" t="inlineStr">
        <is>
          <t>MM</t>
        </is>
      </c>
    </row>
    <row r="2789">
      <c r="A2789" t="n">
        <v>17</v>
      </c>
      <c r="B2789" t="inlineStr">
        <is>
          <t>K3-1C</t>
        </is>
      </c>
      <c r="D2789" t="n">
        <v>14.02</v>
      </c>
      <c r="E2789" t="n">
        <v>119.685</v>
      </c>
      <c r="F2789" t="n">
        <v>205.27</v>
      </c>
      <c r="G2789" t="n">
        <v>845</v>
      </c>
      <c r="H2789" t="inlineStr">
        <is>
          <t>bb</t>
        </is>
      </c>
    </row>
    <row r="2790">
      <c r="A2790" t="n">
        <v>18</v>
      </c>
      <c r="B2790" t="inlineStr">
        <is>
          <t>K3-2A</t>
        </is>
      </c>
      <c r="D2790" t="n">
        <v>14.03</v>
      </c>
      <c r="E2790" t="n">
        <v>166.926</v>
      </c>
      <c r="F2790" t="n">
        <v>175.825</v>
      </c>
      <c r="G2790" t="n">
        <v>114.577</v>
      </c>
      <c r="H2790" t="inlineStr">
        <is>
          <t>MM</t>
        </is>
      </c>
    </row>
    <row r="2791">
      <c r="A2791" t="n">
        <v>19</v>
      </c>
      <c r="B2791" t="inlineStr">
        <is>
          <t>K3-2B</t>
        </is>
      </c>
      <c r="D2791" t="n">
        <v>13.99</v>
      </c>
      <c r="E2791" t="n">
        <v>474.997</v>
      </c>
      <c r="F2791" t="n">
        <v>73.20399999999999</v>
      </c>
      <c r="G2791" t="n">
        <v>9.154</v>
      </c>
      <c r="H2791" t="inlineStr">
        <is>
          <t>bb</t>
        </is>
      </c>
    </row>
    <row r="2792">
      <c r="A2792" t="n">
        <v>20</v>
      </c>
      <c r="B2792" t="inlineStr">
        <is>
          <t>K3-2C</t>
        </is>
      </c>
      <c r="D2792" t="n">
        <v>14.03</v>
      </c>
      <c r="E2792" t="n">
        <v>246.684</v>
      </c>
      <c r="F2792" t="n">
        <v>179.966</v>
      </c>
      <c r="G2792" t="n">
        <v>1757</v>
      </c>
      <c r="H2792" t="inlineStr">
        <is>
          <t>MM</t>
        </is>
      </c>
    </row>
    <row r="2793">
      <c r="A2793" t="n">
        <v>21</v>
      </c>
      <c r="B2793" t="inlineStr">
        <is>
          <t>MeOH</t>
        </is>
      </c>
    </row>
    <row r="2794">
      <c r="A2794" t="n">
        <v>22</v>
      </c>
      <c r="B2794" t="inlineStr">
        <is>
          <t>K3-3A</t>
        </is>
      </c>
      <c r="D2794" t="n">
        <v>14.08</v>
      </c>
      <c r="E2794" t="n">
        <v>135.191</v>
      </c>
      <c r="F2794" t="n">
        <v>243.206</v>
      </c>
      <c r="G2794" t="n">
        <v>2.709</v>
      </c>
      <c r="H2794" t="inlineStr">
        <is>
          <t>bb</t>
        </is>
      </c>
    </row>
    <row r="2795">
      <c r="A2795" t="n">
        <v>23</v>
      </c>
      <c r="B2795" t="inlineStr">
        <is>
          <t>K3-3B</t>
        </is>
      </c>
      <c r="D2795" t="n">
        <v>14.08</v>
      </c>
      <c r="E2795" t="n">
        <v>155.001</v>
      </c>
      <c r="F2795" t="n">
        <v>281.241</v>
      </c>
      <c r="G2795" t="n">
        <v>3.865</v>
      </c>
      <c r="H2795" t="inlineStr">
        <is>
          <t>bb</t>
        </is>
      </c>
    </row>
    <row r="2796">
      <c r="A2796" t="n">
        <v>24</v>
      </c>
      <c r="B2796" t="inlineStr">
        <is>
          <t>K3-3C</t>
        </is>
      </c>
      <c r="D2796" t="n">
        <v>14.06</v>
      </c>
      <c r="E2796" t="n">
        <v>226.409</v>
      </c>
      <c r="F2796" t="n">
        <v>124.019</v>
      </c>
      <c r="G2796" t="n">
        <v>6.724</v>
      </c>
      <c r="H2796" t="inlineStr">
        <is>
          <t>bb</t>
        </is>
      </c>
    </row>
    <row r="2797">
      <c r="A2797" t="n">
        <v>25</v>
      </c>
      <c r="B2797" t="inlineStr">
        <is>
          <t>K3-4A</t>
        </is>
      </c>
      <c r="D2797" t="n">
        <v>14.11</v>
      </c>
      <c r="E2797" t="n">
        <v>368.873</v>
      </c>
      <c r="F2797" t="n">
        <v>159.038</v>
      </c>
      <c r="G2797" t="n">
        <v>12.03</v>
      </c>
      <c r="H2797" t="inlineStr">
        <is>
          <t>MM</t>
        </is>
      </c>
    </row>
    <row r="2798">
      <c r="A2798" t="n">
        <v>26</v>
      </c>
      <c r="B2798" t="inlineStr">
        <is>
          <t>K3-4B</t>
        </is>
      </c>
      <c r="D2798" t="n">
        <v>14.08</v>
      </c>
      <c r="E2798" t="n">
        <v>410.789</v>
      </c>
      <c r="F2798" t="n">
        <v>149.228</v>
      </c>
      <c r="G2798" t="n">
        <v>7.682</v>
      </c>
      <c r="H2798" t="inlineStr">
        <is>
          <t>bb</t>
        </is>
      </c>
    </row>
    <row r="2799">
      <c r="A2799" t="n">
        <v>27</v>
      </c>
      <c r="B2799" t="inlineStr">
        <is>
          <t>K3-4C</t>
        </is>
      </c>
      <c r="D2799" t="n">
        <v>14.14</v>
      </c>
      <c r="E2799" t="n">
        <v>331.5</v>
      </c>
      <c r="F2799" t="n">
        <v>244.215</v>
      </c>
      <c r="G2799" t="n">
        <v>14.213</v>
      </c>
      <c r="H2799" t="inlineStr">
        <is>
          <t>bb</t>
        </is>
      </c>
    </row>
    <row r="2800">
      <c r="A2800" t="n">
        <v>28</v>
      </c>
      <c r="B2800" t="inlineStr">
        <is>
          <t>MeOH</t>
        </is>
      </c>
      <c r="H2800" t="inlineStr">
        <is>
          <t>MM-</t>
        </is>
      </c>
    </row>
    <row r="2801">
      <c r="A2801" t="n">
        <v>29</v>
      </c>
      <c r="B2801" t="inlineStr">
        <is>
          <t>K3-6A</t>
        </is>
      </c>
      <c r="D2801" t="n">
        <v>14.12</v>
      </c>
      <c r="E2801" t="n">
        <v>48.382</v>
      </c>
      <c r="F2801" t="n">
        <v>11.224</v>
      </c>
      <c r="G2801" t="n">
        <v>6.683</v>
      </c>
      <c r="H2801" t="inlineStr">
        <is>
          <t>bd</t>
        </is>
      </c>
    </row>
    <row r="2802">
      <c r="A2802" t="n">
        <v>30</v>
      </c>
      <c r="B2802" t="inlineStr">
        <is>
          <t>K3-6B</t>
        </is>
      </c>
      <c r="D2802" t="n">
        <v>14.15</v>
      </c>
      <c r="E2802" t="n">
        <v>147.329</v>
      </c>
      <c r="F2802" t="n">
        <v>89.45099999999999</v>
      </c>
      <c r="G2802" t="n">
        <v>804</v>
      </c>
      <c r="H2802" t="inlineStr">
        <is>
          <t>MM</t>
        </is>
      </c>
    </row>
    <row r="2803">
      <c r="A2803" t="n">
        <v>31</v>
      </c>
      <c r="B2803" t="inlineStr">
        <is>
          <t>K3-6C</t>
        </is>
      </c>
      <c r="D2803" t="n">
        <v>14.09</v>
      </c>
      <c r="E2803" t="n">
        <v>70.621</v>
      </c>
      <c r="F2803" t="n">
        <v>231.601</v>
      </c>
      <c r="G2803" t="n">
        <v>573</v>
      </c>
      <c r="H2803" t="inlineStr">
        <is>
          <t>bb</t>
        </is>
      </c>
    </row>
    <row r="2805">
      <c r="A2805" t="inlineStr">
        <is>
          <t>Compound 81:  PFDA 2</t>
        </is>
      </c>
    </row>
    <row r="2807">
      <c r="B2807" t="inlineStr">
        <is>
          <t>Sample Text</t>
        </is>
      </c>
      <c r="C2807" t="inlineStr">
        <is>
          <t>Std. Conc</t>
        </is>
      </c>
      <c r="D2807" t="inlineStr">
        <is>
          <t>RT</t>
        </is>
      </c>
      <c r="E2807" t="inlineStr">
        <is>
          <t>Area</t>
        </is>
      </c>
      <c r="F2807" t="inlineStr">
        <is>
          <t>IS Area</t>
        </is>
      </c>
      <c r="G2807" t="inlineStr">
        <is>
          <t>S/N</t>
        </is>
      </c>
      <c r="H2807" t="inlineStr">
        <is>
          <t>Primary Flags</t>
        </is>
      </c>
      <c r="I2807" t="inlineStr">
        <is>
          <t>Response</t>
        </is>
      </c>
      <c r="J2807" t="inlineStr">
        <is>
          <t>Conc.</t>
        </is>
      </c>
    </row>
    <row r="2808">
      <c r="A2808" t="n">
        <v>1</v>
      </c>
      <c r="B2808" t="inlineStr">
        <is>
          <t>K4-1A</t>
        </is>
      </c>
      <c r="D2808" t="n">
        <v>14.03</v>
      </c>
      <c r="E2808" t="n">
        <v>232.954</v>
      </c>
      <c r="F2808" t="n">
        <v>293.287</v>
      </c>
      <c r="G2808" t="n">
        <v>2.059</v>
      </c>
      <c r="H2808" t="inlineStr">
        <is>
          <t>bb</t>
        </is>
      </c>
    </row>
    <row r="2809">
      <c r="A2809" t="n">
        <v>2</v>
      </c>
      <c r="B2809" t="inlineStr">
        <is>
          <t>K4-1B</t>
        </is>
      </c>
      <c r="D2809" t="n">
        <v>14.08</v>
      </c>
      <c r="E2809" t="n">
        <v>29.491</v>
      </c>
      <c r="F2809" t="n">
        <v>121.913</v>
      </c>
      <c r="G2809" t="n">
        <v>2.313</v>
      </c>
      <c r="H2809" t="inlineStr">
        <is>
          <t>MM</t>
        </is>
      </c>
    </row>
    <row r="2810">
      <c r="A2810" t="n">
        <v>3</v>
      </c>
      <c r="B2810" t="inlineStr">
        <is>
          <t>K4-1C</t>
        </is>
      </c>
      <c r="D2810" t="n">
        <v>14.12</v>
      </c>
      <c r="E2810" t="n">
        <v>82.785</v>
      </c>
      <c r="F2810" t="n">
        <v>278.029</v>
      </c>
      <c r="G2810" t="n">
        <v>1.082</v>
      </c>
      <c r="H2810" t="inlineStr">
        <is>
          <t>MM</t>
        </is>
      </c>
    </row>
    <row r="2811">
      <c r="A2811" t="n">
        <v>4</v>
      </c>
      <c r="B2811" t="inlineStr">
        <is>
          <t>K4-2A</t>
        </is>
      </c>
      <c r="D2811" t="n">
        <v>14.09</v>
      </c>
      <c r="E2811" t="n">
        <v>186.061</v>
      </c>
      <c r="F2811" t="n">
        <v>80.721</v>
      </c>
      <c r="G2811" t="n">
        <v>6.861</v>
      </c>
      <c r="H2811" t="inlineStr">
        <is>
          <t>MM</t>
        </is>
      </c>
    </row>
    <row r="2812">
      <c r="A2812" t="n">
        <v>5</v>
      </c>
      <c r="B2812" t="inlineStr">
        <is>
          <t>K4-2B</t>
        </is>
      </c>
      <c r="D2812" t="n">
        <v>14.4</v>
      </c>
      <c r="E2812" t="n">
        <v>32.742</v>
      </c>
      <c r="F2812" t="n">
        <v>1.117</v>
      </c>
      <c r="G2812" t="n">
        <v>1.04</v>
      </c>
      <c r="H2812" t="inlineStr">
        <is>
          <t>bb</t>
        </is>
      </c>
    </row>
    <row r="2813">
      <c r="A2813" t="n">
        <v>6</v>
      </c>
      <c r="B2813" t="inlineStr">
        <is>
          <t>K4-2C</t>
        </is>
      </c>
      <c r="D2813" t="n">
        <v>14.08</v>
      </c>
      <c r="E2813" t="n">
        <v>46.7</v>
      </c>
      <c r="F2813" t="n">
        <v>64.84699999999999</v>
      </c>
      <c r="G2813" t="n">
        <v>2.095</v>
      </c>
      <c r="H2813" t="inlineStr">
        <is>
          <t>bb</t>
        </is>
      </c>
    </row>
    <row r="2814">
      <c r="A2814" t="n">
        <v>7</v>
      </c>
      <c r="B2814" t="inlineStr">
        <is>
          <t>MeOH</t>
        </is>
      </c>
    </row>
    <row r="2815">
      <c r="A2815" t="n">
        <v>8</v>
      </c>
      <c r="B2815" t="inlineStr">
        <is>
          <t>K4-4A</t>
        </is>
      </c>
      <c r="D2815" t="n">
        <v>14.12</v>
      </c>
      <c r="E2815" t="n">
        <v>78.629</v>
      </c>
      <c r="F2815" t="n">
        <v>92.72199999999999</v>
      </c>
      <c r="G2815" t="n">
        <v>1.323</v>
      </c>
      <c r="H2815" t="inlineStr">
        <is>
          <t>bb</t>
        </is>
      </c>
    </row>
    <row r="2816">
      <c r="A2816" t="n">
        <v>9</v>
      </c>
      <c r="B2816" t="inlineStr">
        <is>
          <t>K4-4B</t>
        </is>
      </c>
      <c r="D2816" t="n">
        <v>14.44</v>
      </c>
      <c r="E2816" t="n">
        <v>43.318</v>
      </c>
      <c r="F2816" t="n">
        <v>96.197</v>
      </c>
      <c r="G2816" t="n">
        <v>0.847</v>
      </c>
      <c r="H2816" t="inlineStr">
        <is>
          <t>bb</t>
        </is>
      </c>
    </row>
    <row r="2817">
      <c r="A2817" t="n">
        <v>10</v>
      </c>
      <c r="B2817" t="inlineStr">
        <is>
          <t>K4-4C</t>
        </is>
      </c>
      <c r="D2817" t="n">
        <v>13.71</v>
      </c>
      <c r="E2817" t="n">
        <v>51.616</v>
      </c>
      <c r="F2817" t="n">
        <v>122.295</v>
      </c>
      <c r="G2817" t="n">
        <v>2.681</v>
      </c>
      <c r="H2817" t="inlineStr">
        <is>
          <t>bb</t>
        </is>
      </c>
    </row>
    <row r="2818">
      <c r="A2818" t="n">
        <v>11</v>
      </c>
      <c r="B2818" t="inlineStr">
        <is>
          <t>K4-5A</t>
        </is>
      </c>
      <c r="D2818" t="n">
        <v>14.15</v>
      </c>
      <c r="E2818" t="n">
        <v>29.663</v>
      </c>
      <c r="F2818" t="n">
        <v>195.191</v>
      </c>
      <c r="G2818" t="n">
        <v>0.736</v>
      </c>
      <c r="H2818" t="inlineStr">
        <is>
          <t>MM</t>
        </is>
      </c>
    </row>
    <row r="2819">
      <c r="A2819" t="n">
        <v>12</v>
      </c>
      <c r="B2819" t="inlineStr">
        <is>
          <t>K4-5B</t>
        </is>
      </c>
      <c r="D2819" t="n">
        <v>14.05</v>
      </c>
      <c r="E2819" t="n">
        <v>72.042</v>
      </c>
      <c r="F2819" t="n">
        <v>113.956</v>
      </c>
      <c r="G2819" t="n">
        <v>1.575</v>
      </c>
      <c r="H2819" t="inlineStr">
        <is>
          <t>bb</t>
        </is>
      </c>
    </row>
    <row r="2820">
      <c r="A2820" t="n">
        <v>13</v>
      </c>
      <c r="B2820" t="inlineStr">
        <is>
          <t>K4-5C</t>
        </is>
      </c>
      <c r="D2820" t="n">
        <v>14.09</v>
      </c>
      <c r="E2820" t="n">
        <v>28.001</v>
      </c>
      <c r="F2820" t="n">
        <v>84.712</v>
      </c>
      <c r="G2820" t="n">
        <v>0.525</v>
      </c>
      <c r="H2820" t="inlineStr">
        <is>
          <t>MM</t>
        </is>
      </c>
    </row>
    <row r="2821">
      <c r="A2821" t="n">
        <v>14</v>
      </c>
      <c r="B2821" t="inlineStr">
        <is>
          <t>MeOH</t>
        </is>
      </c>
      <c r="H2821" t="inlineStr">
        <is>
          <t>MM-</t>
        </is>
      </c>
    </row>
    <row r="2822">
      <c r="A2822" t="n">
        <v>15</v>
      </c>
      <c r="B2822" t="inlineStr">
        <is>
          <t>K3-1A</t>
        </is>
      </c>
      <c r="D2822" t="n">
        <v>13.95</v>
      </c>
      <c r="E2822" t="n">
        <v>61.673</v>
      </c>
      <c r="F2822" t="n">
        <v>8.545999999999999</v>
      </c>
      <c r="G2822" t="n">
        <v>0.646</v>
      </c>
      <c r="H2822" t="inlineStr">
        <is>
          <t>bb</t>
        </is>
      </c>
    </row>
    <row r="2823">
      <c r="A2823" t="n">
        <v>16</v>
      </c>
      <c r="B2823" t="inlineStr">
        <is>
          <t>K3-1B</t>
        </is>
      </c>
      <c r="D2823" t="n">
        <v>14.08</v>
      </c>
      <c r="E2823" t="n">
        <v>88.85299999999999</v>
      </c>
      <c r="F2823" t="n">
        <v>51.544</v>
      </c>
      <c r="G2823" t="n">
        <v>0.85</v>
      </c>
      <c r="H2823" t="inlineStr">
        <is>
          <t>MM</t>
        </is>
      </c>
    </row>
    <row r="2824">
      <c r="A2824" t="n">
        <v>17</v>
      </c>
      <c r="B2824" t="inlineStr">
        <is>
          <t>K3-1C</t>
        </is>
      </c>
      <c r="D2824" t="n">
        <v>13.99</v>
      </c>
      <c r="E2824" t="n">
        <v>30.657</v>
      </c>
      <c r="F2824" t="n">
        <v>205.27</v>
      </c>
      <c r="G2824" t="n">
        <v>0.46</v>
      </c>
      <c r="H2824" t="inlineStr">
        <is>
          <t>MM</t>
        </is>
      </c>
    </row>
    <row r="2825">
      <c r="A2825" t="n">
        <v>18</v>
      </c>
      <c r="B2825" t="inlineStr">
        <is>
          <t>K3-2A</t>
        </is>
      </c>
      <c r="D2825" t="n">
        <v>14.25</v>
      </c>
      <c r="E2825" t="n">
        <v>76.572</v>
      </c>
      <c r="F2825" t="n">
        <v>175.825</v>
      </c>
      <c r="G2825" t="n">
        <v>1.324</v>
      </c>
      <c r="H2825" t="inlineStr">
        <is>
          <t>bb</t>
        </is>
      </c>
    </row>
    <row r="2826">
      <c r="A2826" t="n">
        <v>19</v>
      </c>
      <c r="B2826" t="inlineStr">
        <is>
          <t>K3-2B</t>
        </is>
      </c>
      <c r="D2826" t="n">
        <v>14.02</v>
      </c>
      <c r="E2826" t="n">
        <v>60.458</v>
      </c>
      <c r="F2826" t="n">
        <v>73.20399999999999</v>
      </c>
      <c r="G2826" t="n">
        <v>1.803</v>
      </c>
      <c r="H2826" t="inlineStr">
        <is>
          <t>MM</t>
        </is>
      </c>
    </row>
    <row r="2827">
      <c r="A2827" t="n">
        <v>20</v>
      </c>
      <c r="B2827" t="inlineStr">
        <is>
          <t>K3-2C</t>
        </is>
      </c>
      <c r="D2827" t="n">
        <v>13.98</v>
      </c>
      <c r="E2827" t="n">
        <v>35.502</v>
      </c>
      <c r="F2827" t="n">
        <v>179.966</v>
      </c>
      <c r="G2827" t="n">
        <v>0.782</v>
      </c>
      <c r="H2827" t="inlineStr">
        <is>
          <t>bb</t>
        </is>
      </c>
    </row>
    <row r="2828">
      <c r="A2828" t="n">
        <v>21</v>
      </c>
      <c r="B2828" t="inlineStr">
        <is>
          <t>MeOH</t>
        </is>
      </c>
      <c r="H2828" t="inlineStr">
        <is>
          <t>MM-</t>
        </is>
      </c>
    </row>
    <row r="2829">
      <c r="A2829" t="n">
        <v>22</v>
      </c>
      <c r="B2829" t="inlineStr">
        <is>
          <t>K3-3A</t>
        </is>
      </c>
      <c r="D2829" t="n">
        <v>14.09</v>
      </c>
      <c r="E2829" t="n">
        <v>314.244</v>
      </c>
      <c r="F2829" t="n">
        <v>243.206</v>
      </c>
      <c r="G2829" t="n">
        <v>3.937</v>
      </c>
      <c r="H2829" t="inlineStr">
        <is>
          <t>bb</t>
        </is>
      </c>
    </row>
    <row r="2830">
      <c r="A2830" t="n">
        <v>23</v>
      </c>
      <c r="B2830" t="inlineStr">
        <is>
          <t>K3-3B</t>
        </is>
      </c>
      <c r="D2830" t="n">
        <v>14.06</v>
      </c>
      <c r="E2830" t="n">
        <v>96.74299999999999</v>
      </c>
      <c r="F2830" t="n">
        <v>281.241</v>
      </c>
      <c r="G2830" t="n">
        <v>1.003</v>
      </c>
      <c r="H2830" t="inlineStr">
        <is>
          <t>MM</t>
        </is>
      </c>
    </row>
    <row r="2831">
      <c r="A2831" t="n">
        <v>24</v>
      </c>
      <c r="B2831" t="inlineStr">
        <is>
          <t>K3-3C</t>
        </is>
      </c>
      <c r="D2831" t="n">
        <v>14.14</v>
      </c>
      <c r="E2831" t="n">
        <v>181.218</v>
      </c>
      <c r="F2831" t="n">
        <v>124.019</v>
      </c>
      <c r="G2831" t="n">
        <v>2.981</v>
      </c>
      <c r="H2831" t="inlineStr">
        <is>
          <t>bb</t>
        </is>
      </c>
    </row>
    <row r="2832">
      <c r="A2832" t="n">
        <v>25</v>
      </c>
      <c r="B2832" t="inlineStr">
        <is>
          <t>K3-4A</t>
        </is>
      </c>
      <c r="D2832" t="n">
        <v>14.08</v>
      </c>
      <c r="E2832" t="n">
        <v>332.34</v>
      </c>
      <c r="F2832" t="n">
        <v>159.038</v>
      </c>
      <c r="G2832" t="n">
        <v>3.83</v>
      </c>
      <c r="H2832" t="inlineStr">
        <is>
          <t>MM</t>
        </is>
      </c>
    </row>
    <row r="2833">
      <c r="A2833" t="n">
        <v>26</v>
      </c>
      <c r="B2833" t="inlineStr">
        <is>
          <t>K3-4B</t>
        </is>
      </c>
      <c r="D2833" t="n">
        <v>14.06</v>
      </c>
      <c r="E2833" t="n">
        <v>239.08</v>
      </c>
      <c r="F2833" t="n">
        <v>149.228</v>
      </c>
      <c r="G2833" t="n">
        <v>2.478</v>
      </c>
      <c r="H2833" t="inlineStr">
        <is>
          <t>bb</t>
        </is>
      </c>
    </row>
    <row r="2834">
      <c r="A2834" t="n">
        <v>27</v>
      </c>
      <c r="B2834" t="inlineStr">
        <is>
          <t>K3-4C</t>
        </is>
      </c>
      <c r="D2834" t="n">
        <v>14.11</v>
      </c>
      <c r="E2834" t="n">
        <v>307.167</v>
      </c>
      <c r="F2834" t="n">
        <v>244.215</v>
      </c>
      <c r="G2834" t="n">
        <v>3.719</v>
      </c>
      <c r="H2834" t="inlineStr">
        <is>
          <t>MM</t>
        </is>
      </c>
    </row>
    <row r="2835">
      <c r="A2835" t="n">
        <v>28</v>
      </c>
      <c r="B2835" t="inlineStr">
        <is>
          <t>MeOH</t>
        </is>
      </c>
      <c r="H2835" t="inlineStr">
        <is>
          <t>MM-</t>
        </is>
      </c>
    </row>
    <row r="2836">
      <c r="A2836" t="n">
        <v>29</v>
      </c>
      <c r="B2836" t="inlineStr">
        <is>
          <t>K3-6A</t>
        </is>
      </c>
      <c r="D2836" t="n">
        <v>14.14</v>
      </c>
      <c r="E2836" t="n">
        <v>115.108</v>
      </c>
      <c r="F2836" t="n">
        <v>11.224</v>
      </c>
      <c r="G2836" t="n">
        <v>2.209</v>
      </c>
      <c r="H2836" t="inlineStr">
        <is>
          <t>bb</t>
        </is>
      </c>
    </row>
    <row r="2837">
      <c r="A2837" t="n">
        <v>30</v>
      </c>
      <c r="B2837" t="inlineStr">
        <is>
          <t>K3-6B</t>
        </is>
      </c>
      <c r="D2837" t="n">
        <v>14.36</v>
      </c>
      <c r="E2837" t="n">
        <v>94.22799999999999</v>
      </c>
      <c r="F2837" t="n">
        <v>89.45099999999999</v>
      </c>
      <c r="G2837" t="n">
        <v>1.196</v>
      </c>
      <c r="H2837" t="inlineStr">
        <is>
          <t>MM</t>
        </is>
      </c>
    </row>
    <row r="2838">
      <c r="A2838" t="n">
        <v>31</v>
      </c>
      <c r="B2838" t="inlineStr">
        <is>
          <t>K3-6C</t>
        </is>
      </c>
      <c r="D2838" t="n">
        <v>14.17</v>
      </c>
      <c r="E2838" t="n">
        <v>60.008</v>
      </c>
      <c r="F2838" t="n">
        <v>231.601</v>
      </c>
      <c r="G2838" t="n">
        <v>2.124</v>
      </c>
      <c r="H2838" t="inlineStr">
        <is>
          <t>MM</t>
        </is>
      </c>
    </row>
    <row r="2840">
      <c r="A2840" t="inlineStr">
        <is>
          <t>Compound 82:  m3 N-MeFOSA 1</t>
        </is>
      </c>
    </row>
    <row r="2842">
      <c r="B2842" t="inlineStr">
        <is>
          <t>Sample Text</t>
        </is>
      </c>
      <c r="C2842" t="inlineStr">
        <is>
          <t>Std. Conc</t>
        </is>
      </c>
      <c r="D2842" t="inlineStr">
        <is>
          <t>RT</t>
        </is>
      </c>
      <c r="E2842" t="inlineStr">
        <is>
          <t>Area</t>
        </is>
      </c>
      <c r="F2842" t="inlineStr">
        <is>
          <t>IS Area</t>
        </is>
      </c>
      <c r="G2842" t="inlineStr">
        <is>
          <t>S/N</t>
        </is>
      </c>
      <c r="H2842" t="inlineStr">
        <is>
          <t>Primary Flags</t>
        </is>
      </c>
      <c r="I2842" t="inlineStr">
        <is>
          <t>Response</t>
        </is>
      </c>
      <c r="J2842" t="inlineStr">
        <is>
          <t>Conc.</t>
        </is>
      </c>
    </row>
    <row r="2843">
      <c r="A2843" t="n">
        <v>1</v>
      </c>
      <c r="B2843" t="inlineStr">
        <is>
          <t>K4-1A</t>
        </is>
      </c>
      <c r="D2843" t="n">
        <v>15.54</v>
      </c>
      <c r="E2843" t="n">
        <v>2980.241</v>
      </c>
      <c r="G2843" t="n">
        <v>100.352</v>
      </c>
      <c r="H2843" t="inlineStr">
        <is>
          <t>bb</t>
        </is>
      </c>
      <c r="I2843" t="n">
        <v>2980.241</v>
      </c>
    </row>
    <row r="2844">
      <c r="A2844" t="n">
        <v>2</v>
      </c>
      <c r="B2844" t="inlineStr">
        <is>
          <t>K4-1B</t>
        </is>
      </c>
      <c r="D2844" t="n">
        <v>15.54</v>
      </c>
      <c r="E2844" t="n">
        <v>3364.29</v>
      </c>
      <c r="G2844" t="n">
        <v>85.25700000000001</v>
      </c>
      <c r="H2844" t="inlineStr">
        <is>
          <t>bb</t>
        </is>
      </c>
      <c r="I2844" t="n">
        <v>3364.29</v>
      </c>
    </row>
    <row r="2845">
      <c r="A2845" t="n">
        <v>3</v>
      </c>
      <c r="B2845" t="inlineStr">
        <is>
          <t>K4-1C</t>
        </is>
      </c>
      <c r="D2845" t="n">
        <v>15.54</v>
      </c>
      <c r="E2845" t="n">
        <v>3837.76</v>
      </c>
      <c r="G2845" t="n">
        <v>158.546</v>
      </c>
      <c r="H2845" t="inlineStr">
        <is>
          <t>bb</t>
        </is>
      </c>
      <c r="I2845" t="n">
        <v>3837.76</v>
      </c>
    </row>
    <row r="2846">
      <c r="A2846" t="n">
        <v>4</v>
      </c>
      <c r="B2846" t="inlineStr">
        <is>
          <t>K4-2A</t>
        </is>
      </c>
      <c r="D2846" t="n">
        <v>15.54</v>
      </c>
      <c r="E2846" t="n">
        <v>2988.778</v>
      </c>
      <c r="G2846" t="n">
        <v>119.109</v>
      </c>
      <c r="H2846" t="inlineStr">
        <is>
          <t>bb</t>
        </is>
      </c>
      <c r="I2846" t="n">
        <v>2988.778</v>
      </c>
    </row>
    <row r="2847">
      <c r="A2847" t="n">
        <v>5</v>
      </c>
      <c r="B2847" t="inlineStr">
        <is>
          <t>K4-2B</t>
        </is>
      </c>
      <c r="D2847" t="n">
        <v>15.55</v>
      </c>
      <c r="E2847" t="n">
        <v>2732.104</v>
      </c>
      <c r="G2847" t="n">
        <v>407.896</v>
      </c>
      <c r="H2847" t="inlineStr">
        <is>
          <t>bb</t>
        </is>
      </c>
      <c r="I2847" t="n">
        <v>2732.104</v>
      </c>
    </row>
    <row r="2848">
      <c r="A2848" t="n">
        <v>6</v>
      </c>
      <c r="B2848" t="inlineStr">
        <is>
          <t>K4-2C</t>
        </is>
      </c>
      <c r="D2848" t="n">
        <v>15.55</v>
      </c>
      <c r="E2848" t="n">
        <v>2088.237</v>
      </c>
      <c r="G2848" t="n">
        <v>6.985</v>
      </c>
      <c r="H2848" t="inlineStr">
        <is>
          <t>bb</t>
        </is>
      </c>
      <c r="I2848" t="n">
        <v>2088.237</v>
      </c>
    </row>
    <row r="2849">
      <c r="A2849" t="n">
        <v>7</v>
      </c>
      <c r="B2849" t="inlineStr">
        <is>
          <t>MeOH</t>
        </is>
      </c>
    </row>
    <row r="2850">
      <c r="A2850" t="n">
        <v>8</v>
      </c>
      <c r="B2850" t="inlineStr">
        <is>
          <t>K4-4A</t>
        </is>
      </c>
      <c r="D2850" t="n">
        <v>15.58</v>
      </c>
      <c r="E2850" t="n">
        <v>3222.134</v>
      </c>
      <c r="G2850" t="n">
        <v>195.401</v>
      </c>
      <c r="H2850" t="inlineStr">
        <is>
          <t>bb</t>
        </is>
      </c>
      <c r="I2850" t="n">
        <v>3222.134</v>
      </c>
    </row>
    <row r="2851">
      <c r="A2851" t="n">
        <v>9</v>
      </c>
      <c r="B2851" t="inlineStr">
        <is>
          <t>K4-4B</t>
        </is>
      </c>
      <c r="D2851" t="n">
        <v>15.59</v>
      </c>
      <c r="E2851" t="n">
        <v>2984.256</v>
      </c>
      <c r="G2851" t="n">
        <v>21.66</v>
      </c>
      <c r="H2851" t="inlineStr">
        <is>
          <t>bb</t>
        </is>
      </c>
      <c r="I2851" t="n">
        <v>2984.256</v>
      </c>
    </row>
    <row r="2852">
      <c r="A2852" t="n">
        <v>10</v>
      </c>
      <c r="B2852" t="inlineStr">
        <is>
          <t>K4-4C</t>
        </is>
      </c>
      <c r="D2852" t="n">
        <v>15.58</v>
      </c>
      <c r="E2852" t="n">
        <v>3124.142</v>
      </c>
      <c r="G2852" t="n">
        <v>111.805</v>
      </c>
      <c r="H2852" t="inlineStr">
        <is>
          <t>bb</t>
        </is>
      </c>
      <c r="I2852" t="n">
        <v>3124.142</v>
      </c>
    </row>
    <row r="2853">
      <c r="A2853" t="n">
        <v>11</v>
      </c>
      <c r="B2853" t="inlineStr">
        <is>
          <t>K4-5A</t>
        </is>
      </c>
      <c r="D2853" t="n">
        <v>15.57</v>
      </c>
      <c r="E2853" t="n">
        <v>2396.031</v>
      </c>
      <c r="G2853" t="n">
        <v>16786</v>
      </c>
      <c r="H2853" t="inlineStr">
        <is>
          <t>bb</t>
        </is>
      </c>
      <c r="I2853" t="n">
        <v>2396.031</v>
      </c>
    </row>
    <row r="2854">
      <c r="A2854" t="n">
        <v>12</v>
      </c>
      <c r="B2854" t="inlineStr">
        <is>
          <t>K4-5B</t>
        </is>
      </c>
      <c r="D2854" t="n">
        <v>15.55</v>
      </c>
      <c r="E2854" t="n">
        <v>2338.589</v>
      </c>
      <c r="G2854" t="n">
        <v>221.958</v>
      </c>
      <c r="H2854" t="inlineStr">
        <is>
          <t>bb</t>
        </is>
      </c>
      <c r="I2854" t="n">
        <v>2338.589</v>
      </c>
    </row>
    <row r="2855">
      <c r="A2855" t="n">
        <v>13</v>
      </c>
      <c r="B2855" t="inlineStr">
        <is>
          <t>K4-5C</t>
        </is>
      </c>
      <c r="D2855" t="n">
        <v>15.51</v>
      </c>
      <c r="E2855" t="n">
        <v>2243.741</v>
      </c>
      <c r="G2855" t="n">
        <v>477.406</v>
      </c>
      <c r="H2855" t="inlineStr">
        <is>
          <t>bb</t>
        </is>
      </c>
      <c r="I2855" t="n">
        <v>2243.741</v>
      </c>
    </row>
    <row r="2856">
      <c r="A2856" t="n">
        <v>14</v>
      </c>
      <c r="B2856" t="inlineStr">
        <is>
          <t>MeOH</t>
        </is>
      </c>
      <c r="H2856" t="inlineStr">
        <is>
          <t>MM-</t>
        </is>
      </c>
    </row>
    <row r="2857">
      <c r="A2857" t="n">
        <v>15</v>
      </c>
      <c r="B2857" t="inlineStr">
        <is>
          <t>K3-1A</t>
        </is>
      </c>
      <c r="D2857" t="n">
        <v>15.49</v>
      </c>
      <c r="E2857" t="n">
        <v>3346.899</v>
      </c>
      <c r="G2857" t="n">
        <v>220.682</v>
      </c>
      <c r="H2857" t="inlineStr">
        <is>
          <t>bb</t>
        </is>
      </c>
      <c r="I2857" t="n">
        <v>3346.899</v>
      </c>
    </row>
    <row r="2858">
      <c r="A2858" t="n">
        <v>16</v>
      </c>
      <c r="B2858" t="inlineStr">
        <is>
          <t>K3-1B</t>
        </is>
      </c>
      <c r="D2858" t="n">
        <v>15.51</v>
      </c>
      <c r="E2858" t="n">
        <v>2776.687</v>
      </c>
      <c r="G2858" t="n">
        <v>27.347</v>
      </c>
      <c r="H2858" t="inlineStr">
        <is>
          <t>bb</t>
        </is>
      </c>
      <c r="I2858" t="n">
        <v>2776.687</v>
      </c>
    </row>
    <row r="2859">
      <c r="A2859" t="n">
        <v>17</v>
      </c>
      <c r="B2859" t="inlineStr">
        <is>
          <t>K3-1C</t>
        </is>
      </c>
      <c r="D2859" t="n">
        <v>15.52</v>
      </c>
      <c r="E2859" t="n">
        <v>4456.358</v>
      </c>
      <c r="G2859" t="n">
        <v>49.265</v>
      </c>
      <c r="H2859" t="inlineStr">
        <is>
          <t>bb</t>
        </is>
      </c>
      <c r="I2859" t="n">
        <v>4456.358</v>
      </c>
    </row>
    <row r="2860">
      <c r="A2860" t="n">
        <v>18</v>
      </c>
      <c r="B2860" t="inlineStr">
        <is>
          <t>K3-2A</t>
        </is>
      </c>
      <c r="D2860" t="n">
        <v>15.54</v>
      </c>
      <c r="E2860" t="n">
        <v>4389.123</v>
      </c>
      <c r="G2860" t="n">
        <v>74.789</v>
      </c>
      <c r="H2860" t="inlineStr">
        <is>
          <t>MM</t>
        </is>
      </c>
      <c r="I2860" t="n">
        <v>4389.123</v>
      </c>
    </row>
    <row r="2861">
      <c r="A2861" t="n">
        <v>19</v>
      </c>
      <c r="B2861" t="inlineStr">
        <is>
          <t>K3-2B</t>
        </is>
      </c>
      <c r="D2861" t="n">
        <v>15.54</v>
      </c>
      <c r="E2861" t="n">
        <v>4280.789</v>
      </c>
      <c r="G2861" t="n">
        <v>126.859</v>
      </c>
      <c r="H2861" t="inlineStr">
        <is>
          <t>bb</t>
        </is>
      </c>
      <c r="I2861" t="n">
        <v>4280.789</v>
      </c>
    </row>
    <row r="2862">
      <c r="A2862" t="n">
        <v>20</v>
      </c>
      <c r="B2862" t="inlineStr">
        <is>
          <t>K3-2C</t>
        </is>
      </c>
      <c r="D2862" t="n">
        <v>15.55</v>
      </c>
      <c r="E2862" t="n">
        <v>2980.863</v>
      </c>
      <c r="G2862" t="n">
        <v>267.727</v>
      </c>
      <c r="H2862" t="inlineStr">
        <is>
          <t>bb</t>
        </is>
      </c>
      <c r="I2862" t="n">
        <v>2980.863</v>
      </c>
    </row>
    <row r="2863">
      <c r="A2863" t="n">
        <v>21</v>
      </c>
      <c r="B2863" t="inlineStr">
        <is>
          <t>MeOH</t>
        </is>
      </c>
      <c r="H2863" t="inlineStr">
        <is>
          <t>MM-</t>
        </is>
      </c>
    </row>
    <row r="2864">
      <c r="A2864" t="n">
        <v>22</v>
      </c>
      <c r="B2864" t="inlineStr">
        <is>
          <t>K3-3A</t>
        </is>
      </c>
      <c r="D2864" t="n">
        <v>15.58</v>
      </c>
      <c r="E2864" t="n">
        <v>2857.398</v>
      </c>
      <c r="G2864" t="n">
        <v>38.905</v>
      </c>
      <c r="H2864" t="inlineStr">
        <is>
          <t>bb</t>
        </is>
      </c>
      <c r="I2864" t="n">
        <v>2857.398</v>
      </c>
    </row>
    <row r="2865">
      <c r="A2865" t="n">
        <v>23</v>
      </c>
      <c r="B2865" t="inlineStr">
        <is>
          <t>K3-3B</t>
        </is>
      </c>
      <c r="D2865" t="n">
        <v>15.6</v>
      </c>
      <c r="E2865" t="n">
        <v>2854.998</v>
      </c>
      <c r="G2865" t="n">
        <v>77.31999999999999</v>
      </c>
      <c r="H2865" t="inlineStr">
        <is>
          <t>bb</t>
        </is>
      </c>
      <c r="I2865" t="n">
        <v>2854.998</v>
      </c>
    </row>
    <row r="2866">
      <c r="A2866" t="n">
        <v>24</v>
      </c>
      <c r="B2866" t="inlineStr">
        <is>
          <t>K3-3C</t>
        </is>
      </c>
      <c r="D2866" t="n">
        <v>15.6</v>
      </c>
      <c r="E2866" t="n">
        <v>3426.938</v>
      </c>
      <c r="G2866" t="n">
        <v>39.75</v>
      </c>
      <c r="H2866" t="inlineStr">
        <is>
          <t>bb</t>
        </is>
      </c>
      <c r="I2866" t="n">
        <v>3426.938</v>
      </c>
    </row>
    <row r="2867">
      <c r="A2867" t="n">
        <v>25</v>
      </c>
      <c r="B2867" t="inlineStr">
        <is>
          <t>K3-4A</t>
        </is>
      </c>
      <c r="D2867" t="n">
        <v>15.63</v>
      </c>
      <c r="E2867" t="n">
        <v>4359.233</v>
      </c>
      <c r="G2867" t="n">
        <v>113.086</v>
      </c>
      <c r="H2867" t="inlineStr">
        <is>
          <t>bb</t>
        </is>
      </c>
      <c r="I2867" t="n">
        <v>4359.233</v>
      </c>
    </row>
    <row r="2868">
      <c r="A2868" t="n">
        <v>26</v>
      </c>
      <c r="B2868" t="inlineStr">
        <is>
          <t>K3-4B</t>
        </is>
      </c>
      <c r="D2868" t="n">
        <v>15.63</v>
      </c>
      <c r="E2868" t="n">
        <v>3811.07</v>
      </c>
      <c r="G2868" t="n">
        <v>74.06</v>
      </c>
      <c r="H2868" t="inlineStr">
        <is>
          <t>bb</t>
        </is>
      </c>
      <c r="I2868" t="n">
        <v>3811.07</v>
      </c>
    </row>
    <row r="2869">
      <c r="A2869" t="n">
        <v>27</v>
      </c>
      <c r="B2869" t="inlineStr">
        <is>
          <t>K3-4C</t>
        </is>
      </c>
      <c r="D2869" t="n">
        <v>15.66</v>
      </c>
      <c r="E2869" t="n">
        <v>2743.947</v>
      </c>
      <c r="G2869" t="n">
        <v>57.992</v>
      </c>
      <c r="H2869" t="inlineStr">
        <is>
          <t>bb</t>
        </is>
      </c>
      <c r="I2869" t="n">
        <v>2743.947</v>
      </c>
    </row>
    <row r="2870">
      <c r="A2870" t="n">
        <v>28</v>
      </c>
      <c r="B2870" t="inlineStr">
        <is>
          <t>MeOH</t>
        </is>
      </c>
      <c r="H2870" t="inlineStr">
        <is>
          <t>MM-</t>
        </is>
      </c>
    </row>
    <row r="2871">
      <c r="A2871" t="n">
        <v>29</v>
      </c>
      <c r="B2871" t="inlineStr">
        <is>
          <t>K3-6A</t>
        </is>
      </c>
      <c r="D2871" t="n">
        <v>15.68</v>
      </c>
      <c r="E2871" t="n">
        <v>3570.69</v>
      </c>
      <c r="G2871" t="n">
        <v>59.817</v>
      </c>
      <c r="H2871" t="inlineStr">
        <is>
          <t>bb</t>
        </is>
      </c>
      <c r="I2871" t="n">
        <v>3570.69</v>
      </c>
    </row>
    <row r="2872">
      <c r="A2872" t="n">
        <v>30</v>
      </c>
      <c r="B2872" t="inlineStr">
        <is>
          <t>K3-6B</t>
        </is>
      </c>
      <c r="D2872" t="n">
        <v>15.66</v>
      </c>
      <c r="E2872" t="n">
        <v>2023.379</v>
      </c>
      <c r="G2872" t="n">
        <v>133.6</v>
      </c>
      <c r="H2872" t="inlineStr">
        <is>
          <t>MM</t>
        </is>
      </c>
      <c r="I2872" t="n">
        <v>2023.379</v>
      </c>
    </row>
    <row r="2873">
      <c r="A2873" t="n">
        <v>31</v>
      </c>
      <c r="B2873" t="inlineStr">
        <is>
          <t>K3-6C</t>
        </is>
      </c>
      <c r="D2873" t="n">
        <v>15.63</v>
      </c>
      <c r="E2873" t="n">
        <v>2531.472</v>
      </c>
      <c r="G2873" t="n">
        <v>81.30200000000001</v>
      </c>
      <c r="H2873" t="inlineStr">
        <is>
          <t>bb</t>
        </is>
      </c>
      <c r="I2873" t="n">
        <v>2531.472</v>
      </c>
    </row>
    <row r="2875">
      <c r="A2875" t="inlineStr">
        <is>
          <t>Compound 83:  m3 N-MeFOSA 2</t>
        </is>
      </c>
    </row>
    <row r="2877">
      <c r="B2877" t="inlineStr">
        <is>
          <t>Sample Text</t>
        </is>
      </c>
      <c r="C2877" t="inlineStr">
        <is>
          <t>Std. Conc</t>
        </is>
      </c>
      <c r="D2877" t="inlineStr">
        <is>
          <t>RT</t>
        </is>
      </c>
      <c r="E2877" t="inlineStr">
        <is>
          <t>Area</t>
        </is>
      </c>
      <c r="F2877" t="inlineStr">
        <is>
          <t>IS Area</t>
        </is>
      </c>
      <c r="G2877" t="inlineStr">
        <is>
          <t>S/N</t>
        </is>
      </c>
      <c r="H2877" t="inlineStr">
        <is>
          <t>Primary Flags</t>
        </is>
      </c>
      <c r="I2877" t="inlineStr">
        <is>
          <t>Response</t>
        </is>
      </c>
      <c r="J2877" t="inlineStr">
        <is>
          <t>Conc.</t>
        </is>
      </c>
    </row>
    <row r="2878">
      <c r="A2878" t="n">
        <v>1</v>
      </c>
      <c r="B2878" t="inlineStr">
        <is>
          <t>K4-1A</t>
        </is>
      </c>
      <c r="D2878" t="n">
        <v>15.54</v>
      </c>
      <c r="E2878" t="n">
        <v>3573.791</v>
      </c>
      <c r="G2878" t="n">
        <v>366.329</v>
      </c>
      <c r="H2878" t="inlineStr">
        <is>
          <t>bb</t>
        </is>
      </c>
      <c r="I2878" t="n">
        <v>3573.791</v>
      </c>
    </row>
    <row r="2879">
      <c r="A2879" t="n">
        <v>2</v>
      </c>
      <c r="B2879" t="inlineStr">
        <is>
          <t>K4-1B</t>
        </is>
      </c>
      <c r="D2879" t="n">
        <v>15.54</v>
      </c>
      <c r="E2879" t="n">
        <v>3109.82</v>
      </c>
      <c r="G2879" t="n">
        <v>21582</v>
      </c>
      <c r="H2879" t="inlineStr">
        <is>
          <t>bb</t>
        </is>
      </c>
      <c r="I2879" t="n">
        <v>3109.82</v>
      </c>
    </row>
    <row r="2880">
      <c r="A2880" t="n">
        <v>3</v>
      </c>
      <c r="B2880" t="inlineStr">
        <is>
          <t>K4-1C</t>
        </is>
      </c>
      <c r="D2880" t="n">
        <v>15.54</v>
      </c>
      <c r="E2880" t="n">
        <v>2940.167</v>
      </c>
      <c r="G2880" t="n">
        <v>81.744</v>
      </c>
      <c r="H2880" t="inlineStr">
        <is>
          <t>bb</t>
        </is>
      </c>
      <c r="I2880" t="n">
        <v>2940.167</v>
      </c>
    </row>
    <row r="2881">
      <c r="A2881" t="n">
        <v>4</v>
      </c>
      <c r="B2881" t="inlineStr">
        <is>
          <t>K4-2A</t>
        </is>
      </c>
      <c r="D2881" t="n">
        <v>15.55</v>
      </c>
      <c r="E2881" t="n">
        <v>3069.933</v>
      </c>
      <c r="G2881" t="n">
        <v>20909</v>
      </c>
      <c r="H2881" t="inlineStr">
        <is>
          <t>bb</t>
        </is>
      </c>
      <c r="I2881" t="n">
        <v>3069.933</v>
      </c>
    </row>
    <row r="2882">
      <c r="A2882" t="n">
        <v>5</v>
      </c>
      <c r="B2882" t="inlineStr">
        <is>
          <t>K4-2B</t>
        </is>
      </c>
      <c r="D2882" t="n">
        <v>15.55</v>
      </c>
      <c r="E2882" t="n">
        <v>2584.384</v>
      </c>
      <c r="G2882" t="n">
        <v>101.364</v>
      </c>
      <c r="H2882" t="inlineStr">
        <is>
          <t>bb</t>
        </is>
      </c>
      <c r="I2882" t="n">
        <v>2584.384</v>
      </c>
    </row>
    <row r="2883">
      <c r="A2883" t="n">
        <v>6</v>
      </c>
      <c r="B2883" t="inlineStr">
        <is>
          <t>K4-2C</t>
        </is>
      </c>
      <c r="D2883" t="n">
        <v>15.55</v>
      </c>
      <c r="E2883" t="n">
        <v>2146.444</v>
      </c>
      <c r="G2883" t="n">
        <v>14173</v>
      </c>
      <c r="H2883" t="inlineStr">
        <is>
          <t>bb</t>
        </is>
      </c>
      <c r="I2883" t="n">
        <v>2146.444</v>
      </c>
    </row>
    <row r="2884">
      <c r="A2884" t="n">
        <v>7</v>
      </c>
      <c r="B2884" t="inlineStr">
        <is>
          <t>MeOH</t>
        </is>
      </c>
    </row>
    <row r="2885">
      <c r="A2885" t="n">
        <v>8</v>
      </c>
      <c r="B2885" t="inlineStr">
        <is>
          <t>K4-4A</t>
        </is>
      </c>
      <c r="D2885" t="n">
        <v>15.57</v>
      </c>
      <c r="E2885" t="n">
        <v>2819.079</v>
      </c>
      <c r="G2885" t="n">
        <v>39.704</v>
      </c>
      <c r="H2885" t="inlineStr">
        <is>
          <t>bb</t>
        </is>
      </c>
      <c r="I2885" t="n">
        <v>2819.079</v>
      </c>
    </row>
    <row r="2886">
      <c r="A2886" t="n">
        <v>9</v>
      </c>
      <c r="B2886" t="inlineStr">
        <is>
          <t>K4-4B</t>
        </is>
      </c>
      <c r="D2886" t="n">
        <v>15.59</v>
      </c>
      <c r="E2886" t="n">
        <v>3255.363</v>
      </c>
      <c r="G2886" t="n">
        <v>23246</v>
      </c>
      <c r="H2886" t="inlineStr">
        <is>
          <t>bb</t>
        </is>
      </c>
      <c r="I2886" t="n">
        <v>3255.363</v>
      </c>
    </row>
    <row r="2887">
      <c r="A2887" t="n">
        <v>10</v>
      </c>
      <c r="B2887" t="inlineStr">
        <is>
          <t>K4-4C</t>
        </is>
      </c>
      <c r="D2887" t="n">
        <v>15.57</v>
      </c>
      <c r="E2887" t="n">
        <v>3613.709</v>
      </c>
      <c r="G2887" t="n">
        <v>142.793</v>
      </c>
      <c r="H2887" t="inlineStr">
        <is>
          <t>bb</t>
        </is>
      </c>
      <c r="I2887" t="n">
        <v>3613.709</v>
      </c>
    </row>
    <row r="2888">
      <c r="A2888" t="n">
        <v>11</v>
      </c>
      <c r="B2888" t="inlineStr">
        <is>
          <t>K4-5A</t>
        </is>
      </c>
      <c r="D2888" t="n">
        <v>15.57</v>
      </c>
      <c r="E2888" t="n">
        <v>2698.628</v>
      </c>
      <c r="G2888" t="n">
        <v>273.075</v>
      </c>
      <c r="H2888" t="inlineStr">
        <is>
          <t>bb</t>
        </is>
      </c>
      <c r="I2888" t="n">
        <v>2698.628</v>
      </c>
    </row>
    <row r="2889">
      <c r="A2889" t="n">
        <v>12</v>
      </c>
      <c r="B2889" t="inlineStr">
        <is>
          <t>K4-5B</t>
        </is>
      </c>
      <c r="D2889" t="n">
        <v>15.55</v>
      </c>
      <c r="E2889" t="n">
        <v>2771.299</v>
      </c>
      <c r="G2889" t="n">
        <v>17.177</v>
      </c>
      <c r="H2889" t="inlineStr">
        <is>
          <t>bb</t>
        </is>
      </c>
      <c r="I2889" t="n">
        <v>2771.299</v>
      </c>
    </row>
    <row r="2890">
      <c r="A2890" t="n">
        <v>13</v>
      </c>
      <c r="B2890" t="inlineStr">
        <is>
          <t>K4-5C</t>
        </is>
      </c>
      <c r="D2890" t="n">
        <v>15.51</v>
      </c>
      <c r="E2890" t="n">
        <v>2275.768</v>
      </c>
      <c r="G2890" t="n">
        <v>1750.506</v>
      </c>
      <c r="H2890" t="inlineStr">
        <is>
          <t>bb</t>
        </is>
      </c>
      <c r="I2890" t="n">
        <v>2275.768</v>
      </c>
    </row>
    <row r="2891">
      <c r="A2891" t="n">
        <v>14</v>
      </c>
      <c r="B2891" t="inlineStr">
        <is>
          <t>MeOH</t>
        </is>
      </c>
      <c r="H2891" t="inlineStr">
        <is>
          <t>MM-</t>
        </is>
      </c>
    </row>
    <row r="2892">
      <c r="A2892" t="n">
        <v>15</v>
      </c>
      <c r="B2892" t="inlineStr">
        <is>
          <t>K3-1A</t>
        </is>
      </c>
      <c r="D2892" t="n">
        <v>15.48</v>
      </c>
      <c r="E2892" t="n">
        <v>2220.878</v>
      </c>
      <c r="G2892" t="n">
        <v>87.422</v>
      </c>
      <c r="H2892" t="inlineStr">
        <is>
          <t>bb</t>
        </is>
      </c>
      <c r="I2892" t="n">
        <v>2220.878</v>
      </c>
    </row>
    <row r="2893">
      <c r="A2893" t="n">
        <v>16</v>
      </c>
      <c r="B2893" t="inlineStr">
        <is>
          <t>K3-1B</t>
        </is>
      </c>
      <c r="D2893" t="n">
        <v>15.49</v>
      </c>
      <c r="E2893" t="n">
        <v>2678.757</v>
      </c>
      <c r="G2893" t="n">
        <v>37.325</v>
      </c>
      <c r="H2893" t="inlineStr">
        <is>
          <t>bb</t>
        </is>
      </c>
      <c r="I2893" t="n">
        <v>2678.757</v>
      </c>
    </row>
    <row r="2894">
      <c r="A2894" t="n">
        <v>17</v>
      </c>
      <c r="B2894" t="inlineStr">
        <is>
          <t>K3-1C</t>
        </is>
      </c>
      <c r="D2894" t="n">
        <v>15.52</v>
      </c>
      <c r="E2894" t="n">
        <v>3037.524</v>
      </c>
      <c r="G2894" t="n">
        <v>58.234</v>
      </c>
      <c r="H2894" t="inlineStr">
        <is>
          <t>MM</t>
        </is>
      </c>
      <c r="I2894" t="n">
        <v>3037.524</v>
      </c>
    </row>
    <row r="2895">
      <c r="A2895" t="n">
        <v>18</v>
      </c>
      <c r="B2895" t="inlineStr">
        <is>
          <t>K3-2A</t>
        </is>
      </c>
      <c r="D2895" t="n">
        <v>15.54</v>
      </c>
      <c r="E2895" t="n">
        <v>3605.779</v>
      </c>
      <c r="G2895" t="n">
        <v>143.714</v>
      </c>
      <c r="H2895" t="inlineStr">
        <is>
          <t>bb</t>
        </is>
      </c>
      <c r="I2895" t="n">
        <v>3605.779</v>
      </c>
    </row>
    <row r="2896">
      <c r="A2896" t="n">
        <v>19</v>
      </c>
      <c r="B2896" t="inlineStr">
        <is>
          <t>K3-2B</t>
        </is>
      </c>
      <c r="D2896" t="n">
        <v>15.54</v>
      </c>
      <c r="E2896" t="n">
        <v>3855.865</v>
      </c>
      <c r="G2896" t="n">
        <v>164.117</v>
      </c>
      <c r="H2896" t="inlineStr">
        <is>
          <t>bb</t>
        </is>
      </c>
      <c r="I2896" t="n">
        <v>3855.865</v>
      </c>
    </row>
    <row r="2897">
      <c r="A2897" t="n">
        <v>20</v>
      </c>
      <c r="B2897" t="inlineStr">
        <is>
          <t>K3-2C</t>
        </is>
      </c>
      <c r="D2897" t="n">
        <v>15.55</v>
      </c>
      <c r="E2897" t="n">
        <v>3281.956</v>
      </c>
      <c r="G2897" t="n">
        <v>57.56</v>
      </c>
      <c r="H2897" t="inlineStr">
        <is>
          <t>bb</t>
        </is>
      </c>
      <c r="I2897" t="n">
        <v>3281.956</v>
      </c>
    </row>
    <row r="2898">
      <c r="A2898" t="n">
        <v>21</v>
      </c>
      <c r="B2898" t="inlineStr">
        <is>
          <t>MeOH</t>
        </is>
      </c>
    </row>
    <row r="2899">
      <c r="A2899" t="n">
        <v>22</v>
      </c>
      <c r="B2899" t="inlineStr">
        <is>
          <t>K3-3A</t>
        </is>
      </c>
      <c r="D2899" t="n">
        <v>15.58</v>
      </c>
      <c r="E2899" t="n">
        <v>3023.307</v>
      </c>
      <c r="G2899" t="n">
        <v>125.421</v>
      </c>
      <c r="H2899" t="inlineStr">
        <is>
          <t>bb</t>
        </is>
      </c>
      <c r="I2899" t="n">
        <v>3023.307</v>
      </c>
    </row>
    <row r="2900">
      <c r="A2900" t="n">
        <v>23</v>
      </c>
      <c r="B2900" t="inlineStr">
        <is>
          <t>K3-3B</t>
        </is>
      </c>
      <c r="D2900" t="n">
        <v>15.6</v>
      </c>
      <c r="E2900" t="n">
        <v>2386.097</v>
      </c>
      <c r="G2900" t="n">
        <v>60.609</v>
      </c>
      <c r="H2900" t="inlineStr">
        <is>
          <t>bb</t>
        </is>
      </c>
      <c r="I2900" t="n">
        <v>2386.097</v>
      </c>
    </row>
    <row r="2901">
      <c r="A2901" t="n">
        <v>24</v>
      </c>
      <c r="B2901" t="inlineStr">
        <is>
          <t>K3-3C</t>
        </is>
      </c>
      <c r="D2901" t="n">
        <v>15.6</v>
      </c>
      <c r="E2901" t="n">
        <v>2943.477</v>
      </c>
      <c r="G2901" t="n">
        <v>19995</v>
      </c>
      <c r="H2901" t="inlineStr">
        <is>
          <t>bb</t>
        </is>
      </c>
      <c r="I2901" t="n">
        <v>2943.477</v>
      </c>
    </row>
    <row r="2902">
      <c r="A2902" t="n">
        <v>25</v>
      </c>
      <c r="B2902" t="inlineStr">
        <is>
          <t>K3-4A</t>
        </is>
      </c>
      <c r="D2902" t="n">
        <v>15.65</v>
      </c>
      <c r="E2902" t="n">
        <v>3417.031</v>
      </c>
      <c r="G2902" t="n">
        <v>196.819</v>
      </c>
      <c r="H2902" t="inlineStr">
        <is>
          <t>bb</t>
        </is>
      </c>
      <c r="I2902" t="n">
        <v>3417.031</v>
      </c>
    </row>
    <row r="2903">
      <c r="A2903" t="n">
        <v>26</v>
      </c>
      <c r="B2903" t="inlineStr">
        <is>
          <t>K3-4B</t>
        </is>
      </c>
      <c r="D2903" t="n">
        <v>15.63</v>
      </c>
      <c r="E2903" t="n">
        <v>3262.915</v>
      </c>
      <c r="G2903" t="n">
        <v>79.923</v>
      </c>
      <c r="H2903" t="inlineStr">
        <is>
          <t>bb</t>
        </is>
      </c>
      <c r="I2903" t="n">
        <v>3262.915</v>
      </c>
    </row>
    <row r="2904">
      <c r="A2904" t="n">
        <v>27</v>
      </c>
      <c r="B2904" t="inlineStr">
        <is>
          <t>K3-4C</t>
        </is>
      </c>
      <c r="D2904" t="n">
        <v>15.66</v>
      </c>
      <c r="E2904" t="n">
        <v>3462.928</v>
      </c>
      <c r="G2904" t="n">
        <v>28.041</v>
      </c>
      <c r="H2904" t="inlineStr">
        <is>
          <t>bb</t>
        </is>
      </c>
      <c r="I2904" t="n">
        <v>3462.928</v>
      </c>
    </row>
    <row r="2905">
      <c r="A2905" t="n">
        <v>28</v>
      </c>
      <c r="B2905" t="inlineStr">
        <is>
          <t>MeOH</t>
        </is>
      </c>
    </row>
    <row r="2906">
      <c r="A2906" t="n">
        <v>29</v>
      </c>
      <c r="B2906" t="inlineStr">
        <is>
          <t>K3-6A</t>
        </is>
      </c>
      <c r="D2906" t="n">
        <v>15.68</v>
      </c>
      <c r="E2906" t="n">
        <v>2753.063</v>
      </c>
      <c r="G2906" t="n">
        <v>110.292</v>
      </c>
      <c r="H2906" t="inlineStr">
        <is>
          <t>bb</t>
        </is>
      </c>
      <c r="I2906" t="n">
        <v>2753.063</v>
      </c>
    </row>
    <row r="2907">
      <c r="A2907" t="n">
        <v>30</v>
      </c>
      <c r="B2907" t="inlineStr">
        <is>
          <t>K3-6B</t>
        </is>
      </c>
      <c r="D2907" t="n">
        <v>15.67</v>
      </c>
      <c r="E2907" t="n">
        <v>2864.424</v>
      </c>
      <c r="G2907" t="n">
        <v>14129.708</v>
      </c>
      <c r="H2907" t="inlineStr">
        <is>
          <t>bb</t>
        </is>
      </c>
      <c r="I2907" t="n">
        <v>2864.424</v>
      </c>
    </row>
    <row r="2908">
      <c r="A2908" t="n">
        <v>31</v>
      </c>
      <c r="B2908" t="inlineStr">
        <is>
          <t>K3-6C</t>
        </is>
      </c>
      <c r="D2908" t="n">
        <v>15.65</v>
      </c>
      <c r="E2908" t="n">
        <v>2500.42</v>
      </c>
      <c r="G2908" t="n">
        <v>18285</v>
      </c>
      <c r="H2908" t="inlineStr">
        <is>
          <t>bb</t>
        </is>
      </c>
      <c r="I2908" t="n">
        <v>2500.42</v>
      </c>
    </row>
    <row r="2910">
      <c r="A2910" t="inlineStr">
        <is>
          <t>Compound 84:  m6 PFDA 1</t>
        </is>
      </c>
    </row>
    <row r="2912">
      <c r="B2912" t="inlineStr">
        <is>
          <t>Sample Text</t>
        </is>
      </c>
      <c r="C2912" t="inlineStr">
        <is>
          <t>Std. Conc</t>
        </is>
      </c>
      <c r="D2912" t="inlineStr">
        <is>
          <t>RT</t>
        </is>
      </c>
      <c r="E2912" t="inlineStr">
        <is>
          <t>Area</t>
        </is>
      </c>
      <c r="F2912" t="inlineStr">
        <is>
          <t>IS Area</t>
        </is>
      </c>
      <c r="G2912" t="inlineStr">
        <is>
          <t>S/N</t>
        </is>
      </c>
      <c r="H2912" t="inlineStr">
        <is>
          <t>Primary Flags</t>
        </is>
      </c>
      <c r="I2912" t="inlineStr">
        <is>
          <t>Response</t>
        </is>
      </c>
      <c r="J2912" t="inlineStr">
        <is>
          <t>Conc.</t>
        </is>
      </c>
    </row>
    <row r="2913">
      <c r="A2913" t="n">
        <v>1</v>
      </c>
      <c r="B2913" t="inlineStr">
        <is>
          <t>K4-1A</t>
        </is>
      </c>
      <c r="D2913" t="n">
        <v>14.02</v>
      </c>
      <c r="E2913" t="n">
        <v>293.287</v>
      </c>
      <c r="G2913" t="n">
        <v>3.327</v>
      </c>
      <c r="H2913" t="inlineStr">
        <is>
          <t>MM</t>
        </is>
      </c>
      <c r="I2913" t="n">
        <v>293.287</v>
      </c>
    </row>
    <row r="2914">
      <c r="A2914" t="n">
        <v>2</v>
      </c>
      <c r="B2914" t="inlineStr">
        <is>
          <t>K4-1B</t>
        </is>
      </c>
      <c r="D2914" t="n">
        <v>14.03</v>
      </c>
      <c r="E2914" t="n">
        <v>121.913</v>
      </c>
      <c r="G2914" t="n">
        <v>4.149</v>
      </c>
      <c r="H2914" t="inlineStr">
        <is>
          <t>MM</t>
        </is>
      </c>
      <c r="I2914" t="n">
        <v>121.913</v>
      </c>
    </row>
    <row r="2915">
      <c r="A2915" t="n">
        <v>3</v>
      </c>
      <c r="B2915" t="inlineStr">
        <is>
          <t>K4-1C</t>
        </is>
      </c>
      <c r="D2915" t="n">
        <v>14.03</v>
      </c>
      <c r="E2915" t="n">
        <v>278.029</v>
      </c>
      <c r="G2915" t="n">
        <v>11.481</v>
      </c>
      <c r="H2915" t="inlineStr">
        <is>
          <t>MM</t>
        </is>
      </c>
      <c r="I2915" t="n">
        <v>278.029</v>
      </c>
    </row>
    <row r="2916">
      <c r="A2916" t="n">
        <v>4</v>
      </c>
      <c r="B2916" t="inlineStr">
        <is>
          <t>K4-2A</t>
        </is>
      </c>
      <c r="D2916" t="n">
        <v>14.06</v>
      </c>
      <c r="E2916" t="n">
        <v>80.721</v>
      </c>
      <c r="G2916" t="n">
        <v>4.38</v>
      </c>
      <c r="H2916" t="inlineStr">
        <is>
          <t>MM</t>
        </is>
      </c>
      <c r="I2916" t="n">
        <v>80.721</v>
      </c>
    </row>
    <row r="2917">
      <c r="A2917" t="n">
        <v>5</v>
      </c>
      <c r="B2917" t="inlineStr">
        <is>
          <t>K4-2B</t>
        </is>
      </c>
      <c r="D2917" t="n">
        <v>14.02</v>
      </c>
      <c r="E2917" t="n">
        <v>1.117</v>
      </c>
      <c r="G2917" t="n">
        <v>10</v>
      </c>
      <c r="H2917" t="inlineStr">
        <is>
          <t>MM</t>
        </is>
      </c>
      <c r="I2917" t="n">
        <v>1.117</v>
      </c>
    </row>
    <row r="2918">
      <c r="A2918" t="n">
        <v>6</v>
      </c>
      <c r="B2918" t="inlineStr">
        <is>
          <t>K4-2C</t>
        </is>
      </c>
      <c r="D2918" t="n">
        <v>14.05</v>
      </c>
      <c r="E2918" t="n">
        <v>64.84699999999999</v>
      </c>
      <c r="G2918" t="n">
        <v>4.326</v>
      </c>
      <c r="H2918" t="inlineStr">
        <is>
          <t>MM</t>
        </is>
      </c>
      <c r="I2918" t="n">
        <v>64.84699999999999</v>
      </c>
    </row>
    <row r="2919">
      <c r="A2919" t="n">
        <v>7</v>
      </c>
      <c r="B2919" t="inlineStr">
        <is>
          <t>MeOH</t>
        </is>
      </c>
    </row>
    <row r="2920">
      <c r="A2920" t="n">
        <v>8</v>
      </c>
      <c r="B2920" t="inlineStr">
        <is>
          <t>K4-4A</t>
        </is>
      </c>
      <c r="D2920" t="n">
        <v>14.06</v>
      </c>
      <c r="E2920" t="n">
        <v>92.72199999999999</v>
      </c>
      <c r="G2920" t="n">
        <v>3.791</v>
      </c>
      <c r="H2920" t="inlineStr">
        <is>
          <t>MM</t>
        </is>
      </c>
      <c r="I2920" t="n">
        <v>92.72199999999999</v>
      </c>
    </row>
    <row r="2921">
      <c r="A2921" t="n">
        <v>9</v>
      </c>
      <c r="B2921" t="inlineStr">
        <is>
          <t>K4-4B</t>
        </is>
      </c>
      <c r="D2921" t="n">
        <v>14.09</v>
      </c>
      <c r="E2921" t="n">
        <v>96.197</v>
      </c>
      <c r="G2921" t="n">
        <v>710</v>
      </c>
      <c r="H2921" t="inlineStr">
        <is>
          <t>MM</t>
        </is>
      </c>
      <c r="I2921" t="n">
        <v>96.197</v>
      </c>
    </row>
    <row r="2922">
      <c r="A2922" t="n">
        <v>10</v>
      </c>
      <c r="B2922" t="inlineStr">
        <is>
          <t>K4-4C</t>
        </is>
      </c>
      <c r="D2922" t="n">
        <v>14.08</v>
      </c>
      <c r="E2922" t="n">
        <v>122.295</v>
      </c>
      <c r="G2922" t="n">
        <v>18.455</v>
      </c>
      <c r="H2922" t="inlineStr">
        <is>
          <t>MM</t>
        </is>
      </c>
      <c r="I2922" t="n">
        <v>122.295</v>
      </c>
    </row>
    <row r="2923">
      <c r="A2923" t="n">
        <v>11</v>
      </c>
      <c r="B2923" t="inlineStr">
        <is>
          <t>K4-5A</t>
        </is>
      </c>
      <c r="D2923" t="n">
        <v>14.05</v>
      </c>
      <c r="E2923" t="n">
        <v>195.191</v>
      </c>
      <c r="G2923" t="n">
        <v>1700</v>
      </c>
      <c r="H2923" t="inlineStr">
        <is>
          <t>MM</t>
        </is>
      </c>
      <c r="I2923" t="n">
        <v>195.191</v>
      </c>
    </row>
    <row r="2924">
      <c r="A2924" t="n">
        <v>12</v>
      </c>
      <c r="B2924" t="inlineStr">
        <is>
          <t>K4-5B</t>
        </is>
      </c>
      <c r="D2924" t="n">
        <v>14.03</v>
      </c>
      <c r="E2924" t="n">
        <v>113.956</v>
      </c>
      <c r="G2924" t="n">
        <v>947</v>
      </c>
      <c r="H2924" t="inlineStr">
        <is>
          <t>MM</t>
        </is>
      </c>
      <c r="I2924" t="n">
        <v>113.956</v>
      </c>
    </row>
    <row r="2925">
      <c r="A2925" t="n">
        <v>13</v>
      </c>
      <c r="B2925" t="inlineStr">
        <is>
          <t>K4-5C</t>
        </is>
      </c>
      <c r="D2925" t="n">
        <v>13.98</v>
      </c>
      <c r="E2925" t="n">
        <v>84.712</v>
      </c>
      <c r="G2925" t="n">
        <v>662</v>
      </c>
      <c r="H2925" t="inlineStr">
        <is>
          <t>MM</t>
        </is>
      </c>
      <c r="I2925" t="n">
        <v>84.712</v>
      </c>
    </row>
    <row r="2926">
      <c r="A2926" t="n">
        <v>14</v>
      </c>
      <c r="B2926" t="inlineStr">
        <is>
          <t>MeOH</t>
        </is>
      </c>
      <c r="H2926" t="inlineStr">
        <is>
          <t>MM-</t>
        </is>
      </c>
    </row>
    <row r="2927">
      <c r="A2927" t="n">
        <v>15</v>
      </c>
      <c r="B2927" t="inlineStr">
        <is>
          <t>K3-1A</t>
        </is>
      </c>
      <c r="D2927" t="n">
        <v>13.91</v>
      </c>
      <c r="E2927" t="n">
        <v>8.545999999999999</v>
      </c>
      <c r="G2927" t="n">
        <v>64</v>
      </c>
      <c r="H2927" t="inlineStr">
        <is>
          <t>MM</t>
        </is>
      </c>
      <c r="I2927" t="n">
        <v>8.545999999999999</v>
      </c>
    </row>
    <row r="2928">
      <c r="A2928" t="n">
        <v>16</v>
      </c>
      <c r="B2928" t="inlineStr">
        <is>
          <t>K3-1B</t>
        </is>
      </c>
      <c r="D2928" t="n">
        <v>14.02</v>
      </c>
      <c r="E2928" t="n">
        <v>51.544</v>
      </c>
      <c r="G2928" t="n">
        <v>322</v>
      </c>
      <c r="H2928" t="inlineStr">
        <is>
          <t>MM</t>
        </is>
      </c>
      <c r="I2928" t="n">
        <v>51.544</v>
      </c>
    </row>
    <row r="2929">
      <c r="A2929" t="n">
        <v>17</v>
      </c>
      <c r="B2929" t="inlineStr">
        <is>
          <t>K3-1C</t>
        </is>
      </c>
      <c r="D2929" t="n">
        <v>13.98</v>
      </c>
      <c r="E2929" t="n">
        <v>205.27</v>
      </c>
      <c r="G2929" t="n">
        <v>61.578</v>
      </c>
      <c r="H2929" t="inlineStr">
        <is>
          <t>MM</t>
        </is>
      </c>
      <c r="I2929" t="n">
        <v>205.27</v>
      </c>
    </row>
    <row r="2930">
      <c r="A2930" t="n">
        <v>18</v>
      </c>
      <c r="B2930" t="inlineStr">
        <is>
          <t>K3-2A</t>
        </is>
      </c>
      <c r="D2930" t="n">
        <v>14.02</v>
      </c>
      <c r="E2930" t="n">
        <v>175.825</v>
      </c>
      <c r="G2930" t="n">
        <v>4.61</v>
      </c>
      <c r="H2930" t="inlineStr">
        <is>
          <t>MM</t>
        </is>
      </c>
      <c r="I2930" t="n">
        <v>175.825</v>
      </c>
    </row>
    <row r="2931">
      <c r="A2931" t="n">
        <v>19</v>
      </c>
      <c r="B2931" t="inlineStr">
        <is>
          <t>K3-2B</t>
        </is>
      </c>
      <c r="D2931" t="n">
        <v>14.05</v>
      </c>
      <c r="E2931" t="n">
        <v>73.20399999999999</v>
      </c>
      <c r="G2931" t="n">
        <v>454</v>
      </c>
      <c r="H2931" t="inlineStr">
        <is>
          <t>MM</t>
        </is>
      </c>
      <c r="I2931" t="n">
        <v>73.20399999999999</v>
      </c>
    </row>
    <row r="2932">
      <c r="A2932" t="n">
        <v>20</v>
      </c>
      <c r="B2932" t="inlineStr">
        <is>
          <t>K3-2C</t>
        </is>
      </c>
      <c r="D2932" t="n">
        <v>14.01</v>
      </c>
      <c r="E2932" t="n">
        <v>179.966</v>
      </c>
      <c r="G2932" t="n">
        <v>3.569</v>
      </c>
      <c r="H2932" t="inlineStr">
        <is>
          <t>MM</t>
        </is>
      </c>
      <c r="I2932" t="n">
        <v>179.966</v>
      </c>
    </row>
    <row r="2933">
      <c r="A2933" t="n">
        <v>21</v>
      </c>
      <c r="B2933" t="inlineStr">
        <is>
          <t>MeOH</t>
        </is>
      </c>
      <c r="H2933" t="inlineStr">
        <is>
          <t>MM-</t>
        </is>
      </c>
    </row>
    <row r="2934">
      <c r="A2934" t="n">
        <v>22</v>
      </c>
      <c r="B2934" t="inlineStr">
        <is>
          <t>K3-3A</t>
        </is>
      </c>
      <c r="D2934" t="n">
        <v>14.08</v>
      </c>
      <c r="E2934" t="n">
        <v>243.206</v>
      </c>
      <c r="G2934" t="n">
        <v>1524</v>
      </c>
      <c r="H2934" t="inlineStr">
        <is>
          <t>MM</t>
        </is>
      </c>
      <c r="I2934" t="n">
        <v>243.206</v>
      </c>
    </row>
    <row r="2935">
      <c r="A2935" t="n">
        <v>23</v>
      </c>
      <c r="B2935" t="inlineStr">
        <is>
          <t>K3-3B</t>
        </is>
      </c>
      <c r="D2935" t="n">
        <v>14.05</v>
      </c>
      <c r="E2935" t="n">
        <v>281.241</v>
      </c>
      <c r="G2935" t="n">
        <v>2317</v>
      </c>
      <c r="H2935" t="inlineStr">
        <is>
          <t>MM</t>
        </is>
      </c>
      <c r="I2935" t="n">
        <v>281.241</v>
      </c>
    </row>
    <row r="2936">
      <c r="A2936" t="n">
        <v>24</v>
      </c>
      <c r="B2936" t="inlineStr">
        <is>
          <t>K3-3C</t>
        </is>
      </c>
      <c r="D2936" t="n">
        <v>14.02</v>
      </c>
      <c r="E2936" t="n">
        <v>124.019</v>
      </c>
      <c r="G2936" t="n">
        <v>4.892</v>
      </c>
      <c r="H2936" t="inlineStr">
        <is>
          <t>MM</t>
        </is>
      </c>
      <c r="I2936" t="n">
        <v>124.019</v>
      </c>
    </row>
    <row r="2937">
      <c r="A2937" t="n">
        <v>25</v>
      </c>
      <c r="B2937" t="inlineStr">
        <is>
          <t>K3-4A</t>
        </is>
      </c>
      <c r="D2937" t="n">
        <v>14.08</v>
      </c>
      <c r="E2937" t="n">
        <v>159.038</v>
      </c>
      <c r="G2937" t="n">
        <v>23.524</v>
      </c>
      <c r="H2937" t="inlineStr">
        <is>
          <t>MM</t>
        </is>
      </c>
      <c r="I2937" t="n">
        <v>159.038</v>
      </c>
    </row>
    <row r="2938">
      <c r="A2938" t="n">
        <v>26</v>
      </c>
      <c r="B2938" t="inlineStr">
        <is>
          <t>K3-4B</t>
        </is>
      </c>
      <c r="D2938" t="n">
        <v>14.06</v>
      </c>
      <c r="E2938" t="n">
        <v>149.228</v>
      </c>
      <c r="G2938" t="n">
        <v>1166</v>
      </c>
      <c r="H2938" t="inlineStr">
        <is>
          <t>MM</t>
        </is>
      </c>
      <c r="I2938" t="n">
        <v>149.228</v>
      </c>
    </row>
    <row r="2939">
      <c r="A2939" t="n">
        <v>27</v>
      </c>
      <c r="B2939" t="inlineStr">
        <is>
          <t>K3-4C</t>
        </is>
      </c>
      <c r="D2939" t="n">
        <v>14.11</v>
      </c>
      <c r="E2939" t="n">
        <v>244.215</v>
      </c>
      <c r="G2939" t="n">
        <v>13.223</v>
      </c>
      <c r="H2939" t="inlineStr">
        <is>
          <t>MM</t>
        </is>
      </c>
      <c r="I2939" t="n">
        <v>244.215</v>
      </c>
    </row>
    <row r="2940">
      <c r="A2940" t="n">
        <v>28</v>
      </c>
      <c r="B2940" t="inlineStr">
        <is>
          <t>MeOH</t>
        </is>
      </c>
      <c r="H2940" t="inlineStr">
        <is>
          <t>MM-</t>
        </is>
      </c>
    </row>
    <row r="2941">
      <c r="A2941" t="n">
        <v>29</v>
      </c>
      <c r="B2941" t="inlineStr">
        <is>
          <t>K3-6A</t>
        </is>
      </c>
      <c r="D2941" t="n">
        <v>14.15</v>
      </c>
      <c r="E2941" t="n">
        <v>11.224</v>
      </c>
      <c r="G2941" t="n">
        <v>0.636</v>
      </c>
      <c r="H2941" t="inlineStr">
        <is>
          <t>MM</t>
        </is>
      </c>
      <c r="I2941" t="n">
        <v>11.224</v>
      </c>
    </row>
    <row r="2942">
      <c r="A2942" t="n">
        <v>30</v>
      </c>
      <c r="B2942" t="inlineStr">
        <is>
          <t>K3-6B</t>
        </is>
      </c>
      <c r="D2942" t="n">
        <v>14.11</v>
      </c>
      <c r="E2942" t="n">
        <v>89.45099999999999</v>
      </c>
      <c r="G2942" t="n">
        <v>719</v>
      </c>
      <c r="H2942" t="inlineStr">
        <is>
          <t>MM</t>
        </is>
      </c>
      <c r="I2942" t="n">
        <v>89.45099999999999</v>
      </c>
    </row>
    <row r="2943">
      <c r="A2943" t="n">
        <v>31</v>
      </c>
      <c r="B2943" t="inlineStr">
        <is>
          <t>K3-6C</t>
        </is>
      </c>
      <c r="D2943" t="n">
        <v>14.08</v>
      </c>
      <c r="E2943" t="n">
        <v>231.601</v>
      </c>
      <c r="G2943" t="n">
        <v>1851</v>
      </c>
      <c r="H2943" t="inlineStr">
        <is>
          <t>MM</t>
        </is>
      </c>
      <c r="I2943" t="n">
        <v>231.601</v>
      </c>
    </row>
    <row r="2945">
      <c r="A2945" t="inlineStr">
        <is>
          <t>Compound 85:  m6 PFDA 2</t>
        </is>
      </c>
    </row>
    <row r="2947">
      <c r="B2947" t="inlineStr">
        <is>
          <t>Sample Text</t>
        </is>
      </c>
      <c r="C2947" t="inlineStr">
        <is>
          <t>Std. Conc</t>
        </is>
      </c>
      <c r="D2947" t="inlineStr">
        <is>
          <t>RT</t>
        </is>
      </c>
      <c r="E2947" t="inlineStr">
        <is>
          <t>Area</t>
        </is>
      </c>
      <c r="F2947" t="inlineStr">
        <is>
          <t>IS Area</t>
        </is>
      </c>
      <c r="G2947" t="inlineStr">
        <is>
          <t>S/N</t>
        </is>
      </c>
      <c r="H2947" t="inlineStr">
        <is>
          <t>Primary Flags</t>
        </is>
      </c>
      <c r="I2947" t="inlineStr">
        <is>
          <t>Response</t>
        </is>
      </c>
      <c r="J2947" t="inlineStr">
        <is>
          <t>Conc.</t>
        </is>
      </c>
    </row>
    <row r="2948">
      <c r="A2948" t="n">
        <v>1</v>
      </c>
      <c r="B2948" t="inlineStr">
        <is>
          <t>K4-1A</t>
        </is>
      </c>
      <c r="D2948" t="n">
        <v>14.03</v>
      </c>
      <c r="E2948" t="n">
        <v>384.068</v>
      </c>
      <c r="G2948" t="n">
        <v>35.922</v>
      </c>
      <c r="H2948" t="inlineStr">
        <is>
          <t>MM</t>
        </is>
      </c>
      <c r="I2948" t="n">
        <v>384.068</v>
      </c>
    </row>
    <row r="2949">
      <c r="A2949" t="n">
        <v>2</v>
      </c>
      <c r="B2949" t="inlineStr">
        <is>
          <t>K4-1B</t>
        </is>
      </c>
      <c r="D2949" t="n">
        <v>14.05</v>
      </c>
      <c r="E2949" t="n">
        <v>333.688</v>
      </c>
      <c r="G2949" t="n">
        <v>8.75</v>
      </c>
      <c r="H2949" t="inlineStr">
        <is>
          <t>MM</t>
        </is>
      </c>
      <c r="I2949" t="n">
        <v>333.688</v>
      </c>
    </row>
    <row r="2950">
      <c r="A2950" t="n">
        <v>3</v>
      </c>
      <c r="B2950" t="inlineStr">
        <is>
          <t>K4-1C</t>
        </is>
      </c>
      <c r="D2950" t="n">
        <v>14.06</v>
      </c>
      <c r="E2950" t="n">
        <v>158.296</v>
      </c>
      <c r="G2950" t="n">
        <v>1158</v>
      </c>
      <c r="H2950" t="inlineStr">
        <is>
          <t>MM</t>
        </is>
      </c>
      <c r="I2950" t="n">
        <v>158.296</v>
      </c>
    </row>
    <row r="2951">
      <c r="A2951" t="n">
        <v>4</v>
      </c>
      <c r="B2951" t="inlineStr">
        <is>
          <t>K4-2A</t>
        </is>
      </c>
      <c r="D2951" t="n">
        <v>14.06</v>
      </c>
      <c r="E2951" t="n">
        <v>157.419</v>
      </c>
      <c r="G2951" t="n">
        <v>1118</v>
      </c>
      <c r="H2951" t="inlineStr">
        <is>
          <t>MM</t>
        </is>
      </c>
      <c r="I2951" t="n">
        <v>157.419</v>
      </c>
    </row>
    <row r="2952">
      <c r="A2952" t="n">
        <v>5</v>
      </c>
      <c r="B2952" t="inlineStr">
        <is>
          <t>K4-2B</t>
        </is>
      </c>
      <c r="D2952" t="n">
        <v>14.06</v>
      </c>
      <c r="E2952" t="n">
        <v>327.013</v>
      </c>
      <c r="G2952" t="n">
        <v>2448</v>
      </c>
      <c r="H2952" t="inlineStr">
        <is>
          <t>MM</t>
        </is>
      </c>
      <c r="I2952" t="n">
        <v>327.013</v>
      </c>
    </row>
    <row r="2953">
      <c r="A2953" t="n">
        <v>6</v>
      </c>
      <c r="B2953" t="inlineStr">
        <is>
          <t>K4-2C</t>
        </is>
      </c>
      <c r="D2953" t="n">
        <v>14.08</v>
      </c>
      <c r="E2953" t="n">
        <v>170.863</v>
      </c>
      <c r="G2953" t="n">
        <v>1.519</v>
      </c>
      <c r="H2953" t="inlineStr">
        <is>
          <t>MM</t>
        </is>
      </c>
      <c r="I2953" t="n">
        <v>170.863</v>
      </c>
    </row>
    <row r="2954">
      <c r="A2954" t="n">
        <v>7</v>
      </c>
      <c r="B2954" t="inlineStr">
        <is>
          <t>MeOH</t>
        </is>
      </c>
      <c r="H2954" t="inlineStr">
        <is>
          <t>MM-</t>
        </is>
      </c>
    </row>
    <row r="2955">
      <c r="A2955" t="n">
        <v>8</v>
      </c>
      <c r="B2955" t="inlineStr">
        <is>
          <t>K4-4A</t>
        </is>
      </c>
      <c r="D2955" t="n">
        <v>14.09</v>
      </c>
      <c r="E2955" t="n">
        <v>327.307</v>
      </c>
      <c r="G2955" t="n">
        <v>7.096</v>
      </c>
      <c r="H2955" t="inlineStr">
        <is>
          <t>MM</t>
        </is>
      </c>
      <c r="I2955" t="n">
        <v>327.307</v>
      </c>
    </row>
    <row r="2956">
      <c r="A2956" t="n">
        <v>9</v>
      </c>
      <c r="B2956" t="inlineStr">
        <is>
          <t>K4-4B</t>
        </is>
      </c>
      <c r="D2956" t="n">
        <v>14.09</v>
      </c>
      <c r="E2956" t="n">
        <v>387.554</v>
      </c>
      <c r="G2956" t="n">
        <v>16.692</v>
      </c>
      <c r="H2956" t="inlineStr">
        <is>
          <t>MM</t>
        </is>
      </c>
      <c r="I2956" t="n">
        <v>387.554</v>
      </c>
    </row>
    <row r="2957">
      <c r="A2957" t="n">
        <v>10</v>
      </c>
      <c r="B2957" t="inlineStr">
        <is>
          <t>K4-4C</t>
        </is>
      </c>
      <c r="D2957" t="n">
        <v>14.08</v>
      </c>
      <c r="E2957" t="n">
        <v>384.708</v>
      </c>
      <c r="G2957" t="n">
        <v>7.598</v>
      </c>
      <c r="H2957" t="inlineStr">
        <is>
          <t>MM</t>
        </is>
      </c>
      <c r="I2957" t="n">
        <v>384.708</v>
      </c>
    </row>
    <row r="2958">
      <c r="A2958" t="n">
        <v>11</v>
      </c>
      <c r="B2958" t="inlineStr">
        <is>
          <t>K4-5A</t>
        </is>
      </c>
      <c r="D2958" t="n">
        <v>14.08</v>
      </c>
      <c r="E2958" t="n">
        <v>460.966</v>
      </c>
      <c r="G2958" t="n">
        <v>226.428</v>
      </c>
      <c r="H2958" t="inlineStr">
        <is>
          <t>MM</t>
        </is>
      </c>
      <c r="I2958" t="n">
        <v>460.966</v>
      </c>
    </row>
    <row r="2959">
      <c r="A2959" t="n">
        <v>12</v>
      </c>
      <c r="B2959" t="inlineStr">
        <is>
          <t>K4-5B</t>
        </is>
      </c>
      <c r="D2959" t="n">
        <v>14.06</v>
      </c>
      <c r="E2959" t="n">
        <v>279.508</v>
      </c>
      <c r="G2959" t="n">
        <v>2164</v>
      </c>
      <c r="H2959" t="inlineStr">
        <is>
          <t>MM</t>
        </is>
      </c>
      <c r="I2959" t="n">
        <v>279.508</v>
      </c>
    </row>
    <row r="2960">
      <c r="A2960" t="n">
        <v>13</v>
      </c>
      <c r="B2960" t="inlineStr">
        <is>
          <t>K4-5C</t>
        </is>
      </c>
      <c r="D2960" t="n">
        <v>13.98</v>
      </c>
      <c r="E2960" t="n">
        <v>181.064</v>
      </c>
      <c r="G2960" t="n">
        <v>38.832</v>
      </c>
      <c r="H2960" t="inlineStr">
        <is>
          <t>MM</t>
        </is>
      </c>
      <c r="I2960" t="n">
        <v>181.064</v>
      </c>
    </row>
    <row r="2961">
      <c r="A2961" t="n">
        <v>14</v>
      </c>
      <c r="B2961" t="inlineStr">
        <is>
          <t>MeOH</t>
        </is>
      </c>
      <c r="H2961" t="inlineStr">
        <is>
          <t>MM-</t>
        </is>
      </c>
    </row>
    <row r="2962">
      <c r="A2962" t="n">
        <v>15</v>
      </c>
      <c r="B2962" t="inlineStr">
        <is>
          <t>K3-1A</t>
        </is>
      </c>
      <c r="D2962" t="n">
        <v>13.92</v>
      </c>
      <c r="E2962" t="n">
        <v>311.962</v>
      </c>
      <c r="G2962" t="n">
        <v>23.169</v>
      </c>
      <c r="H2962" t="inlineStr">
        <is>
          <t>MM</t>
        </is>
      </c>
      <c r="I2962" t="n">
        <v>311.962</v>
      </c>
    </row>
    <row r="2963">
      <c r="A2963" t="n">
        <v>16</v>
      </c>
      <c r="B2963" t="inlineStr">
        <is>
          <t>K3-1B</t>
        </is>
      </c>
      <c r="D2963" t="n">
        <v>13.96</v>
      </c>
      <c r="E2963" t="n">
        <v>262.757</v>
      </c>
      <c r="G2963" t="n">
        <v>6.54</v>
      </c>
      <c r="H2963" t="inlineStr">
        <is>
          <t>MM</t>
        </is>
      </c>
      <c r="I2963" t="n">
        <v>262.757</v>
      </c>
    </row>
    <row r="2964">
      <c r="A2964" t="n">
        <v>17</v>
      </c>
      <c r="B2964" t="inlineStr">
        <is>
          <t>K3-1C</t>
        </is>
      </c>
      <c r="D2964" t="n">
        <v>13.98</v>
      </c>
      <c r="E2964" t="n">
        <v>314.864</v>
      </c>
      <c r="G2964" t="n">
        <v>1.909</v>
      </c>
      <c r="H2964" t="inlineStr">
        <is>
          <t>MM</t>
        </is>
      </c>
      <c r="I2964" t="n">
        <v>314.864</v>
      </c>
    </row>
    <row r="2965">
      <c r="A2965" t="n">
        <v>18</v>
      </c>
      <c r="B2965" t="inlineStr">
        <is>
          <t>K3-2A</t>
        </is>
      </c>
      <c r="D2965" t="n">
        <v>14.01</v>
      </c>
      <c r="E2965" t="n">
        <v>270.571</v>
      </c>
      <c r="G2965" t="n">
        <v>8.233000000000001</v>
      </c>
      <c r="H2965" t="inlineStr">
        <is>
          <t>MM</t>
        </is>
      </c>
      <c r="I2965" t="n">
        <v>270.571</v>
      </c>
    </row>
    <row r="2966">
      <c r="A2966" t="n">
        <v>19</v>
      </c>
      <c r="B2966" t="inlineStr">
        <is>
          <t>K3-2B</t>
        </is>
      </c>
      <c r="D2966" t="n">
        <v>13.99</v>
      </c>
      <c r="E2966" t="n">
        <v>294.155</v>
      </c>
      <c r="G2966" t="n">
        <v>8.214</v>
      </c>
      <c r="H2966" t="inlineStr">
        <is>
          <t>MM</t>
        </is>
      </c>
      <c r="I2966" t="n">
        <v>294.155</v>
      </c>
    </row>
    <row r="2967">
      <c r="A2967" t="n">
        <v>20</v>
      </c>
      <c r="B2967" t="inlineStr">
        <is>
          <t>K3-2C</t>
        </is>
      </c>
      <c r="D2967" t="n">
        <v>14.02</v>
      </c>
      <c r="E2967" t="n">
        <v>125.278</v>
      </c>
      <c r="G2967" t="n">
        <v>3.125</v>
      </c>
      <c r="H2967" t="inlineStr">
        <is>
          <t>MM</t>
        </is>
      </c>
      <c r="I2967" t="n">
        <v>125.278</v>
      </c>
    </row>
    <row r="2968">
      <c r="A2968" t="n">
        <v>21</v>
      </c>
      <c r="B2968" t="inlineStr">
        <is>
          <t>MeOH</t>
        </is>
      </c>
      <c r="H2968" t="inlineStr">
        <is>
          <t>MM-</t>
        </is>
      </c>
    </row>
    <row r="2969">
      <c r="A2969" t="n">
        <v>22</v>
      </c>
      <c r="B2969" t="inlineStr">
        <is>
          <t>K3-3A</t>
        </is>
      </c>
      <c r="D2969" t="n">
        <v>14.02</v>
      </c>
      <c r="E2969" t="n">
        <v>284.371</v>
      </c>
      <c r="G2969" t="n">
        <v>13.885</v>
      </c>
      <c r="H2969" t="inlineStr">
        <is>
          <t>MM</t>
        </is>
      </c>
      <c r="I2969" t="n">
        <v>284.371</v>
      </c>
    </row>
    <row r="2970">
      <c r="A2970" t="n">
        <v>23</v>
      </c>
      <c r="B2970" t="inlineStr">
        <is>
          <t>K3-3B</t>
        </is>
      </c>
      <c r="D2970" t="n">
        <v>14.05</v>
      </c>
      <c r="E2970" t="n">
        <v>313.979</v>
      </c>
      <c r="G2970" t="n">
        <v>7.803</v>
      </c>
      <c r="H2970" t="inlineStr">
        <is>
          <t>MM</t>
        </is>
      </c>
      <c r="I2970" t="n">
        <v>313.979</v>
      </c>
    </row>
    <row r="2971">
      <c r="A2971" t="n">
        <v>24</v>
      </c>
      <c r="B2971" t="inlineStr">
        <is>
          <t>K3-3C</t>
        </is>
      </c>
      <c r="D2971" t="n">
        <v>14.05</v>
      </c>
      <c r="E2971" t="n">
        <v>496.198</v>
      </c>
      <c r="G2971" t="n">
        <v>17.282</v>
      </c>
      <c r="H2971" t="inlineStr">
        <is>
          <t>MM</t>
        </is>
      </c>
      <c r="I2971" t="n">
        <v>496.198</v>
      </c>
    </row>
    <row r="2972">
      <c r="A2972" t="n">
        <v>25</v>
      </c>
      <c r="B2972" t="inlineStr">
        <is>
          <t>K3-4A</t>
        </is>
      </c>
      <c r="D2972" t="n">
        <v>14.09</v>
      </c>
      <c r="E2972" t="n">
        <v>478.689</v>
      </c>
      <c r="G2972" t="n">
        <v>12.943</v>
      </c>
      <c r="H2972" t="inlineStr">
        <is>
          <t>MM</t>
        </is>
      </c>
      <c r="I2972" t="n">
        <v>478.689</v>
      </c>
    </row>
    <row r="2973">
      <c r="A2973" t="n">
        <v>26</v>
      </c>
      <c r="B2973" t="inlineStr">
        <is>
          <t>K3-4B</t>
        </is>
      </c>
      <c r="D2973" t="n">
        <v>14.06</v>
      </c>
      <c r="E2973" t="n">
        <v>526.578</v>
      </c>
      <c r="G2973" t="n">
        <v>2.913</v>
      </c>
      <c r="H2973" t="inlineStr">
        <is>
          <t>MM</t>
        </is>
      </c>
      <c r="I2973" t="n">
        <v>526.578</v>
      </c>
    </row>
    <row r="2974">
      <c r="A2974" t="n">
        <v>27</v>
      </c>
      <c r="B2974" t="inlineStr">
        <is>
          <t>K3-4C</t>
        </is>
      </c>
      <c r="D2974" t="n">
        <v>14.12</v>
      </c>
      <c r="E2974" t="n">
        <v>461.389</v>
      </c>
      <c r="G2974" t="n">
        <v>2.568</v>
      </c>
      <c r="H2974" t="inlineStr">
        <is>
          <t>MM</t>
        </is>
      </c>
      <c r="I2974" t="n">
        <v>461.389</v>
      </c>
    </row>
    <row r="2975">
      <c r="A2975" t="n">
        <v>28</v>
      </c>
      <c r="B2975" t="inlineStr">
        <is>
          <t>MeOH</t>
        </is>
      </c>
      <c r="H2975" t="inlineStr">
        <is>
          <t>MM-</t>
        </is>
      </c>
    </row>
    <row r="2976">
      <c r="A2976" t="n">
        <v>29</v>
      </c>
      <c r="B2976" t="inlineStr">
        <is>
          <t>K3-6A</t>
        </is>
      </c>
      <c r="D2976" t="n">
        <v>14.12</v>
      </c>
      <c r="E2976" t="n">
        <v>82.629</v>
      </c>
      <c r="G2976" t="n">
        <v>2.617</v>
      </c>
      <c r="H2976" t="inlineStr">
        <is>
          <t>MM</t>
        </is>
      </c>
      <c r="I2976" t="n">
        <v>82.629</v>
      </c>
    </row>
    <row r="2977">
      <c r="A2977" t="n">
        <v>30</v>
      </c>
      <c r="B2977" t="inlineStr">
        <is>
          <t>K3-6B</t>
        </is>
      </c>
      <c r="D2977" t="n">
        <v>14.11</v>
      </c>
      <c r="E2977" t="n">
        <v>410.283</v>
      </c>
      <c r="G2977" t="n">
        <v>7.619</v>
      </c>
      <c r="H2977" t="inlineStr">
        <is>
          <t>MM</t>
        </is>
      </c>
      <c r="I2977" t="n">
        <v>410.283</v>
      </c>
    </row>
    <row r="2978">
      <c r="A2978" t="n">
        <v>31</v>
      </c>
      <c r="B2978" t="inlineStr">
        <is>
          <t>K3-6C</t>
        </is>
      </c>
      <c r="D2978" t="n">
        <v>14.11</v>
      </c>
      <c r="E2978" t="n">
        <v>162.093</v>
      </c>
      <c r="G2978" t="n">
        <v>2.012</v>
      </c>
      <c r="H2978" t="inlineStr">
        <is>
          <t>MM</t>
        </is>
      </c>
      <c r="I2978" t="n">
        <v>162.093</v>
      </c>
    </row>
    <row r="2980">
      <c r="A2980" t="inlineStr">
        <is>
          <t>Compound 86:  N-EtFOSA 1</t>
        </is>
      </c>
    </row>
    <row r="2982">
      <c r="B2982" t="inlineStr">
        <is>
          <t>Sample Text</t>
        </is>
      </c>
      <c r="C2982" t="inlineStr">
        <is>
          <t>Std. Conc</t>
        </is>
      </c>
      <c r="D2982" t="inlineStr">
        <is>
          <t>RT</t>
        </is>
      </c>
      <c r="E2982" t="inlineStr">
        <is>
          <t>Area</t>
        </is>
      </c>
      <c r="F2982" t="inlineStr">
        <is>
          <t>IS Area</t>
        </is>
      </c>
      <c r="G2982" t="inlineStr">
        <is>
          <t>S/N</t>
        </is>
      </c>
      <c r="H2982" t="inlineStr">
        <is>
          <t>Primary Flags</t>
        </is>
      </c>
      <c r="I2982" t="inlineStr">
        <is>
          <t>Response</t>
        </is>
      </c>
      <c r="J2982" t="inlineStr">
        <is>
          <t>Conc.</t>
        </is>
      </c>
    </row>
    <row r="2983">
      <c r="A2983" t="n">
        <v>1</v>
      </c>
      <c r="B2983" t="inlineStr">
        <is>
          <t>K4-1A</t>
        </is>
      </c>
      <c r="D2983" t="n">
        <v>16.92</v>
      </c>
      <c r="E2983" t="n">
        <v>49.901</v>
      </c>
      <c r="F2983" t="n">
        <v>3005.722</v>
      </c>
      <c r="G2983" t="n">
        <v>2.621</v>
      </c>
      <c r="H2983" t="inlineStr">
        <is>
          <t>bb</t>
        </is>
      </c>
    </row>
    <row r="2984">
      <c r="A2984" t="n">
        <v>2</v>
      </c>
      <c r="B2984" t="inlineStr">
        <is>
          <t>K4-1B</t>
        </is>
      </c>
      <c r="D2984" t="n">
        <v>16.27</v>
      </c>
      <c r="E2984" t="n">
        <v>5.42</v>
      </c>
      <c r="F2984" t="n">
        <v>2753.095</v>
      </c>
      <c r="G2984" t="n">
        <v>55</v>
      </c>
      <c r="H2984" t="inlineStr">
        <is>
          <t>bb</t>
        </is>
      </c>
    </row>
    <row r="2985">
      <c r="A2985" t="n">
        <v>3</v>
      </c>
      <c r="B2985" t="inlineStr">
        <is>
          <t>K4-1C</t>
        </is>
      </c>
      <c r="D2985" t="n">
        <v>16.28</v>
      </c>
      <c r="E2985" t="n">
        <v>1.058</v>
      </c>
      <c r="F2985" t="n">
        <v>3219.148</v>
      </c>
      <c r="G2985" t="n">
        <v>11</v>
      </c>
      <c r="H2985" t="inlineStr">
        <is>
          <t>bb</t>
        </is>
      </c>
    </row>
    <row r="2986">
      <c r="A2986" t="n">
        <v>4</v>
      </c>
      <c r="B2986" t="inlineStr">
        <is>
          <t>K4-2A</t>
        </is>
      </c>
      <c r="D2986" t="n">
        <v>16.49</v>
      </c>
      <c r="E2986" t="n">
        <v>12.297</v>
      </c>
      <c r="F2986" t="n">
        <v>3074.921</v>
      </c>
      <c r="G2986" t="n">
        <v>143</v>
      </c>
      <c r="H2986" t="inlineStr">
        <is>
          <t>MM</t>
        </is>
      </c>
    </row>
    <row r="2987">
      <c r="A2987" t="n">
        <v>5</v>
      </c>
      <c r="B2987" t="inlineStr">
        <is>
          <t>K4-2B</t>
        </is>
      </c>
      <c r="D2987" t="n">
        <v>16.15</v>
      </c>
      <c r="E2987" t="n">
        <v>1.072</v>
      </c>
      <c r="F2987" t="n">
        <v>2113.953</v>
      </c>
      <c r="G2987" t="n">
        <v>11</v>
      </c>
      <c r="H2987" t="inlineStr">
        <is>
          <t>bb</t>
        </is>
      </c>
    </row>
    <row r="2988">
      <c r="A2988" t="n">
        <v>6</v>
      </c>
      <c r="B2988" t="inlineStr">
        <is>
          <t>K4-2C</t>
        </is>
      </c>
      <c r="F2988" t="n">
        <v>2043.23</v>
      </c>
    </row>
    <row r="2989">
      <c r="A2989" t="n">
        <v>7</v>
      </c>
      <c r="B2989" t="inlineStr">
        <is>
          <t>MeOH</t>
        </is>
      </c>
    </row>
    <row r="2990">
      <c r="A2990" t="n">
        <v>8</v>
      </c>
      <c r="B2990" t="inlineStr">
        <is>
          <t>K4-4A</t>
        </is>
      </c>
      <c r="F2990" t="n">
        <v>3196.453</v>
      </c>
    </row>
    <row r="2991">
      <c r="A2991" t="n">
        <v>9</v>
      </c>
      <c r="B2991" t="inlineStr">
        <is>
          <t>K4-4B</t>
        </is>
      </c>
      <c r="D2991" t="n">
        <v>16.37</v>
      </c>
      <c r="E2991" t="n">
        <v>2.925</v>
      </c>
      <c r="F2991" t="n">
        <v>2390.072</v>
      </c>
      <c r="G2991" t="n">
        <v>32</v>
      </c>
      <c r="H2991" t="inlineStr">
        <is>
          <t>bb</t>
        </is>
      </c>
    </row>
    <row r="2992">
      <c r="A2992" t="n">
        <v>10</v>
      </c>
      <c r="B2992" t="inlineStr">
        <is>
          <t>K4-4C</t>
        </is>
      </c>
      <c r="F2992" t="n">
        <v>2962.253</v>
      </c>
    </row>
    <row r="2993">
      <c r="A2993" t="n">
        <v>11</v>
      </c>
      <c r="B2993" t="inlineStr">
        <is>
          <t>K4-5A</t>
        </is>
      </c>
      <c r="D2993" t="n">
        <v>16.57</v>
      </c>
      <c r="E2993" t="n">
        <v>1.826</v>
      </c>
      <c r="F2993" t="n">
        <v>2517.348</v>
      </c>
      <c r="G2993" t="n">
        <v>0.398</v>
      </c>
      <c r="H2993" t="inlineStr">
        <is>
          <t>bb</t>
        </is>
      </c>
    </row>
    <row r="2994">
      <c r="A2994" t="n">
        <v>12</v>
      </c>
      <c r="B2994" t="inlineStr">
        <is>
          <t>K4-5B</t>
        </is>
      </c>
      <c r="D2994" t="n">
        <v>16.52</v>
      </c>
      <c r="E2994" t="n">
        <v>11.006</v>
      </c>
      <c r="F2994" t="n">
        <v>2760.21</v>
      </c>
      <c r="G2994" t="n">
        <v>139</v>
      </c>
      <c r="H2994" t="inlineStr">
        <is>
          <t>MM</t>
        </is>
      </c>
    </row>
    <row r="2995">
      <c r="A2995" t="n">
        <v>13</v>
      </c>
      <c r="B2995" t="inlineStr">
        <is>
          <t>K4-5C</t>
        </is>
      </c>
      <c r="D2995" t="n">
        <v>16.03</v>
      </c>
      <c r="E2995" t="n">
        <v>4.277</v>
      </c>
      <c r="F2995" t="n">
        <v>2323.882</v>
      </c>
      <c r="G2995" t="n">
        <v>44</v>
      </c>
      <c r="H2995" t="inlineStr">
        <is>
          <t>bb</t>
        </is>
      </c>
    </row>
    <row r="2996">
      <c r="A2996" t="n">
        <v>14</v>
      </c>
      <c r="B2996" t="inlineStr">
        <is>
          <t>MeOH</t>
        </is>
      </c>
      <c r="H2996" t="inlineStr">
        <is>
          <t>MM-</t>
        </is>
      </c>
    </row>
    <row r="2997">
      <c r="A2997" t="n">
        <v>15</v>
      </c>
      <c r="B2997" t="inlineStr">
        <is>
          <t>K3-1A</t>
        </is>
      </c>
      <c r="F2997" t="n">
        <v>3000.735</v>
      </c>
    </row>
    <row r="2998">
      <c r="A2998" t="n">
        <v>16</v>
      </c>
      <c r="B2998" t="inlineStr">
        <is>
          <t>K3-1B</t>
        </is>
      </c>
      <c r="D2998" t="n">
        <v>16.5</v>
      </c>
      <c r="E2998" t="n">
        <v>1.102</v>
      </c>
      <c r="F2998" t="n">
        <v>1898.942</v>
      </c>
      <c r="G2998" t="n">
        <v>13</v>
      </c>
      <c r="H2998" t="inlineStr">
        <is>
          <t>bb</t>
        </is>
      </c>
    </row>
    <row r="2999">
      <c r="A2999" t="n">
        <v>17</v>
      </c>
      <c r="B2999" t="inlineStr">
        <is>
          <t>K3-1C</t>
        </is>
      </c>
      <c r="F2999" t="n">
        <v>3850.193</v>
      </c>
    </row>
    <row r="3000">
      <c r="A3000" t="n">
        <v>18</v>
      </c>
      <c r="B3000" t="inlineStr">
        <is>
          <t>K3-2A</t>
        </is>
      </c>
      <c r="D3000" t="n">
        <v>16.52</v>
      </c>
      <c r="E3000" t="n">
        <v>20.768</v>
      </c>
      <c r="F3000" t="n">
        <v>3639.932</v>
      </c>
      <c r="G3000" t="n">
        <v>4.785</v>
      </c>
      <c r="H3000" t="inlineStr">
        <is>
          <t>bb</t>
        </is>
      </c>
    </row>
    <row r="3001">
      <c r="A3001" t="n">
        <v>19</v>
      </c>
      <c r="B3001" t="inlineStr">
        <is>
          <t>K3-2B</t>
        </is>
      </c>
      <c r="D3001" t="n">
        <v>16.33</v>
      </c>
      <c r="E3001" t="n">
        <v>47.035</v>
      </c>
      <c r="F3001" t="n">
        <v>3692.815</v>
      </c>
      <c r="G3001" t="n">
        <v>4.214</v>
      </c>
      <c r="H3001" t="inlineStr">
        <is>
          <t>bb</t>
        </is>
      </c>
    </row>
    <row r="3002">
      <c r="A3002" t="n">
        <v>20</v>
      </c>
      <c r="B3002" t="inlineStr">
        <is>
          <t>K3-2C</t>
        </is>
      </c>
      <c r="F3002" t="n">
        <v>2895.058</v>
      </c>
    </row>
    <row r="3003">
      <c r="A3003" t="n">
        <v>21</v>
      </c>
      <c r="B3003" t="inlineStr">
        <is>
          <t>MeOH</t>
        </is>
      </c>
      <c r="D3003" t="n">
        <v>16.59</v>
      </c>
      <c r="E3003" t="n">
        <v>6.148</v>
      </c>
      <c r="G3003" t="n">
        <v>81</v>
      </c>
      <c r="H3003" t="inlineStr">
        <is>
          <t>bb</t>
        </is>
      </c>
    </row>
    <row r="3004">
      <c r="A3004" t="n">
        <v>22</v>
      </c>
      <c r="B3004" t="inlineStr">
        <is>
          <t>K3-3A</t>
        </is>
      </c>
      <c r="F3004" t="n">
        <v>2161.935</v>
      </c>
    </row>
    <row r="3005">
      <c r="A3005" t="n">
        <v>23</v>
      </c>
      <c r="B3005" t="inlineStr">
        <is>
          <t>K3-3B</t>
        </is>
      </c>
      <c r="D3005" t="n">
        <v>16.61</v>
      </c>
      <c r="E3005" t="n">
        <v>1.131</v>
      </c>
      <c r="F3005" t="n">
        <v>3048.598</v>
      </c>
      <c r="G3005" t="n">
        <v>15</v>
      </c>
      <c r="H3005" t="inlineStr">
        <is>
          <t>bb</t>
        </is>
      </c>
    </row>
    <row r="3006">
      <c r="A3006" t="n">
        <v>24</v>
      </c>
      <c r="B3006" t="inlineStr">
        <is>
          <t>K3-3C</t>
        </is>
      </c>
      <c r="D3006" t="n">
        <v>16.61</v>
      </c>
      <c r="E3006" t="n">
        <v>12.505</v>
      </c>
      <c r="F3006" t="n">
        <v>3225.971</v>
      </c>
      <c r="G3006" t="n">
        <v>155</v>
      </c>
      <c r="H3006" t="inlineStr">
        <is>
          <t>bb</t>
        </is>
      </c>
    </row>
    <row r="3007">
      <c r="A3007" t="n">
        <v>25</v>
      </c>
      <c r="B3007" t="inlineStr">
        <is>
          <t>K3-4A</t>
        </is>
      </c>
      <c r="F3007" t="n">
        <v>3658.864</v>
      </c>
    </row>
    <row r="3008">
      <c r="A3008" t="n">
        <v>26</v>
      </c>
      <c r="B3008" t="inlineStr">
        <is>
          <t>K3-4B</t>
        </is>
      </c>
      <c r="D3008" t="n">
        <v>16.39</v>
      </c>
      <c r="E3008" t="n">
        <v>7.001</v>
      </c>
      <c r="F3008" t="n">
        <v>3040.107</v>
      </c>
      <c r="G3008" t="n">
        <v>63</v>
      </c>
      <c r="H3008" t="inlineStr">
        <is>
          <t>MM</t>
        </is>
      </c>
    </row>
    <row r="3009">
      <c r="A3009" t="n">
        <v>27</v>
      </c>
      <c r="B3009" t="inlineStr">
        <is>
          <t>K3-4C</t>
        </is>
      </c>
      <c r="F3009" t="n">
        <v>3328.993</v>
      </c>
    </row>
    <row r="3010">
      <c r="A3010" t="n">
        <v>28</v>
      </c>
      <c r="B3010" t="inlineStr">
        <is>
          <t>MeOH</t>
        </is>
      </c>
      <c r="F3010" t="n">
        <v>22.63</v>
      </c>
      <c r="H3010" t="inlineStr">
        <is>
          <t>MM-</t>
        </is>
      </c>
    </row>
    <row r="3011">
      <c r="A3011" t="n">
        <v>29</v>
      </c>
      <c r="B3011" t="inlineStr">
        <is>
          <t>K3-6A</t>
        </is>
      </c>
      <c r="D3011" t="n">
        <v>16.49</v>
      </c>
      <c r="E3011" t="n">
        <v>12.383</v>
      </c>
      <c r="F3011" t="n">
        <v>3672.744</v>
      </c>
      <c r="G3011" t="n">
        <v>143</v>
      </c>
      <c r="H3011" t="inlineStr">
        <is>
          <t>bb</t>
        </is>
      </c>
    </row>
    <row r="3012">
      <c r="A3012" t="n">
        <v>30</v>
      </c>
      <c r="B3012" t="inlineStr">
        <is>
          <t>K3-6B</t>
        </is>
      </c>
      <c r="F3012" t="n">
        <v>2772.744</v>
      </c>
    </row>
    <row r="3013">
      <c r="A3013" t="n">
        <v>31</v>
      </c>
      <c r="B3013" t="inlineStr">
        <is>
          <t>K3-6C</t>
        </is>
      </c>
      <c r="D3013" t="n">
        <v>16.3</v>
      </c>
      <c r="E3013" t="n">
        <v>4.174</v>
      </c>
      <c r="F3013" t="n">
        <v>2464.405</v>
      </c>
      <c r="G3013" t="n">
        <v>45</v>
      </c>
      <c r="H3013" t="inlineStr">
        <is>
          <t>bb</t>
        </is>
      </c>
    </row>
    <row r="3015">
      <c r="A3015" t="inlineStr">
        <is>
          <t>Compound 87:  N-EtFOSA 2</t>
        </is>
      </c>
    </row>
    <row r="3017">
      <c r="B3017" t="inlineStr">
        <is>
          <t>Sample Text</t>
        </is>
      </c>
      <c r="C3017" t="inlineStr">
        <is>
          <t>Std. Conc</t>
        </is>
      </c>
      <c r="D3017" t="inlineStr">
        <is>
          <t>RT</t>
        </is>
      </c>
      <c r="E3017" t="inlineStr">
        <is>
          <t>Area</t>
        </is>
      </c>
      <c r="F3017" t="inlineStr">
        <is>
          <t>IS Area</t>
        </is>
      </c>
      <c r="G3017" t="inlineStr">
        <is>
          <t>S/N</t>
        </is>
      </c>
      <c r="H3017" t="inlineStr">
        <is>
          <t>Primary Flags</t>
        </is>
      </c>
      <c r="I3017" t="inlineStr">
        <is>
          <t>Response</t>
        </is>
      </c>
      <c r="J3017" t="inlineStr">
        <is>
          <t>Conc.</t>
        </is>
      </c>
    </row>
    <row r="3018">
      <c r="A3018" t="n">
        <v>1</v>
      </c>
      <c r="B3018" t="inlineStr">
        <is>
          <t>K4-1A</t>
        </is>
      </c>
      <c r="F3018" t="n">
        <v>3424.464</v>
      </c>
    </row>
    <row r="3019">
      <c r="A3019" t="n">
        <v>2</v>
      </c>
      <c r="B3019" t="inlineStr">
        <is>
          <t>K4-1B</t>
        </is>
      </c>
      <c r="D3019" t="n">
        <v>16.49</v>
      </c>
      <c r="E3019" t="n">
        <v>13.724</v>
      </c>
      <c r="F3019" t="n">
        <v>3163.093</v>
      </c>
      <c r="G3019" t="n">
        <v>164</v>
      </c>
      <c r="H3019" t="inlineStr">
        <is>
          <t>bb</t>
        </is>
      </c>
    </row>
    <row r="3020">
      <c r="A3020" t="n">
        <v>3</v>
      </c>
      <c r="B3020" t="inlineStr">
        <is>
          <t>K4-1C</t>
        </is>
      </c>
      <c r="F3020" t="n">
        <v>2991.645</v>
      </c>
    </row>
    <row r="3021">
      <c r="A3021" t="n">
        <v>4</v>
      </c>
      <c r="B3021" t="inlineStr">
        <is>
          <t>K4-2A</t>
        </is>
      </c>
      <c r="F3021" t="n">
        <v>2385.256</v>
      </c>
    </row>
    <row r="3022">
      <c r="A3022" t="n">
        <v>5</v>
      </c>
      <c r="B3022" t="inlineStr">
        <is>
          <t>K4-2B</t>
        </is>
      </c>
      <c r="D3022" t="n">
        <v>16.22</v>
      </c>
      <c r="E3022" t="n">
        <v>51.411</v>
      </c>
      <c r="F3022" t="n">
        <v>3131.821</v>
      </c>
      <c r="G3022" t="n">
        <v>3.469</v>
      </c>
      <c r="H3022" t="inlineStr">
        <is>
          <t>bb</t>
        </is>
      </c>
    </row>
    <row r="3023">
      <c r="A3023" t="n">
        <v>6</v>
      </c>
      <c r="B3023" t="inlineStr">
        <is>
          <t>K4-2C</t>
        </is>
      </c>
      <c r="F3023" t="n">
        <v>2135.685</v>
      </c>
    </row>
    <row r="3024">
      <c r="A3024" t="n">
        <v>7</v>
      </c>
      <c r="B3024" t="inlineStr">
        <is>
          <t>MeOH</t>
        </is>
      </c>
    </row>
    <row r="3025">
      <c r="A3025" t="n">
        <v>8</v>
      </c>
      <c r="B3025" t="inlineStr">
        <is>
          <t>K4-4A</t>
        </is>
      </c>
      <c r="F3025" t="n">
        <v>2887.29</v>
      </c>
    </row>
    <row r="3026">
      <c r="A3026" t="n">
        <v>9</v>
      </c>
      <c r="B3026" t="inlineStr">
        <is>
          <t>K4-4B</t>
        </is>
      </c>
      <c r="D3026" t="n">
        <v>16.51</v>
      </c>
      <c r="E3026" t="n">
        <v>5.742</v>
      </c>
      <c r="F3026" t="n">
        <v>2919.135</v>
      </c>
      <c r="G3026" t="n">
        <v>57</v>
      </c>
      <c r="H3026" t="inlineStr">
        <is>
          <t>bb</t>
        </is>
      </c>
    </row>
    <row r="3027">
      <c r="A3027" t="n">
        <v>10</v>
      </c>
      <c r="B3027" t="inlineStr">
        <is>
          <t>K4-4C</t>
        </is>
      </c>
      <c r="D3027" t="n">
        <v>16.51</v>
      </c>
      <c r="E3027" t="n">
        <v>18.157</v>
      </c>
      <c r="F3027" t="n">
        <v>3329.32</v>
      </c>
      <c r="G3027" t="n">
        <v>222</v>
      </c>
      <c r="H3027" t="inlineStr">
        <is>
          <t>bb</t>
        </is>
      </c>
    </row>
    <row r="3028">
      <c r="A3028" t="n">
        <v>11</v>
      </c>
      <c r="B3028" t="inlineStr">
        <is>
          <t>K4-5A</t>
        </is>
      </c>
      <c r="F3028" t="n">
        <v>1977.385</v>
      </c>
    </row>
    <row r="3029">
      <c r="A3029" t="n">
        <v>12</v>
      </c>
      <c r="B3029" t="inlineStr">
        <is>
          <t>K4-5B</t>
        </is>
      </c>
      <c r="F3029" t="n">
        <v>3131.076</v>
      </c>
    </row>
    <row r="3030">
      <c r="A3030" t="n">
        <v>13</v>
      </c>
      <c r="B3030" t="inlineStr">
        <is>
          <t>K4-5C</t>
        </is>
      </c>
      <c r="D3030" t="n">
        <v>16.51</v>
      </c>
      <c r="E3030" t="n">
        <v>3.761</v>
      </c>
      <c r="F3030" t="n">
        <v>2297.892</v>
      </c>
      <c r="G3030" t="n">
        <v>47</v>
      </c>
      <c r="H3030" t="inlineStr">
        <is>
          <t>bb</t>
        </is>
      </c>
    </row>
    <row r="3031">
      <c r="A3031" t="n">
        <v>14</v>
      </c>
      <c r="B3031" t="inlineStr">
        <is>
          <t>MeOH</t>
        </is>
      </c>
      <c r="F3031" t="n">
        <v>38.744</v>
      </c>
    </row>
    <row r="3032">
      <c r="A3032" t="n">
        <v>15</v>
      </c>
      <c r="B3032" t="inlineStr">
        <is>
          <t>K3-1A</t>
        </is>
      </c>
      <c r="D3032" t="n">
        <v>16.49</v>
      </c>
      <c r="E3032" t="n">
        <v>4.894</v>
      </c>
      <c r="F3032" t="n">
        <v>2985.162</v>
      </c>
      <c r="G3032" t="n">
        <v>59</v>
      </c>
      <c r="H3032" t="inlineStr">
        <is>
          <t>bb</t>
        </is>
      </c>
    </row>
    <row r="3033">
      <c r="A3033" t="n">
        <v>16</v>
      </c>
      <c r="B3033" t="inlineStr">
        <is>
          <t>K3-1B</t>
        </is>
      </c>
      <c r="D3033" t="n">
        <v>16.46</v>
      </c>
      <c r="E3033" t="n">
        <v>1.659</v>
      </c>
      <c r="F3033" t="n">
        <v>2676.21</v>
      </c>
      <c r="G3033" t="n">
        <v>19</v>
      </c>
      <c r="H3033" t="inlineStr">
        <is>
          <t>bb</t>
        </is>
      </c>
    </row>
    <row r="3034">
      <c r="A3034" t="n">
        <v>17</v>
      </c>
      <c r="B3034" t="inlineStr">
        <is>
          <t>K3-1C</t>
        </is>
      </c>
      <c r="F3034" t="n">
        <v>3875.137</v>
      </c>
    </row>
    <row r="3035">
      <c r="A3035" t="n">
        <v>18</v>
      </c>
      <c r="B3035" t="inlineStr">
        <is>
          <t>K3-2A</t>
        </is>
      </c>
      <c r="F3035" t="n">
        <v>3168.367</v>
      </c>
    </row>
    <row r="3036">
      <c r="A3036" t="n">
        <v>19</v>
      </c>
      <c r="B3036" t="inlineStr">
        <is>
          <t>K3-2B</t>
        </is>
      </c>
      <c r="F3036" t="n">
        <v>4417.959</v>
      </c>
    </row>
    <row r="3037">
      <c r="A3037" t="n">
        <v>20</v>
      </c>
      <c r="B3037" t="inlineStr">
        <is>
          <t>K3-2C</t>
        </is>
      </c>
      <c r="F3037" t="n">
        <v>2880.977</v>
      </c>
    </row>
    <row r="3038">
      <c r="A3038" t="n">
        <v>21</v>
      </c>
      <c r="B3038" t="inlineStr">
        <is>
          <t>MeOH</t>
        </is>
      </c>
    </row>
    <row r="3039">
      <c r="A3039" t="n">
        <v>22</v>
      </c>
      <c r="B3039" t="inlineStr">
        <is>
          <t>K3-3A</t>
        </is>
      </c>
      <c r="F3039" t="n">
        <v>2707.321</v>
      </c>
    </row>
    <row r="3040">
      <c r="A3040" t="n">
        <v>23</v>
      </c>
      <c r="B3040" t="inlineStr">
        <is>
          <t>K3-3B</t>
        </is>
      </c>
      <c r="F3040" t="n">
        <v>2642.736</v>
      </c>
    </row>
    <row r="3041">
      <c r="A3041" t="n">
        <v>24</v>
      </c>
      <c r="B3041" t="inlineStr">
        <is>
          <t>K3-3C</t>
        </is>
      </c>
      <c r="D3041" t="n">
        <v>16.57</v>
      </c>
      <c r="E3041" t="n">
        <v>18.532</v>
      </c>
      <c r="F3041" t="n">
        <v>3172.924</v>
      </c>
      <c r="G3041" t="n">
        <v>237</v>
      </c>
      <c r="H3041" t="inlineStr">
        <is>
          <t>bb</t>
        </is>
      </c>
    </row>
    <row r="3042">
      <c r="A3042" t="n">
        <v>25</v>
      </c>
      <c r="B3042" t="inlineStr">
        <is>
          <t>K3-4A</t>
        </is>
      </c>
      <c r="D3042" t="n">
        <v>16.73</v>
      </c>
      <c r="E3042" t="n">
        <v>8.66</v>
      </c>
      <c r="F3042" t="n">
        <v>3319.839</v>
      </c>
      <c r="G3042" t="n">
        <v>111</v>
      </c>
      <c r="H3042" t="inlineStr">
        <is>
          <t>bb</t>
        </is>
      </c>
    </row>
    <row r="3043">
      <c r="A3043" t="n">
        <v>26</v>
      </c>
      <c r="B3043" t="inlineStr">
        <is>
          <t>K3-4B</t>
        </is>
      </c>
      <c r="D3043" t="n">
        <v>16.46</v>
      </c>
      <c r="E3043" t="n">
        <v>36.294</v>
      </c>
      <c r="F3043" t="n">
        <v>3401.324</v>
      </c>
      <c r="G3043" t="n">
        <v>375</v>
      </c>
      <c r="H3043" t="inlineStr">
        <is>
          <t>bb</t>
        </is>
      </c>
    </row>
    <row r="3044">
      <c r="A3044" t="n">
        <v>27</v>
      </c>
      <c r="B3044" t="inlineStr">
        <is>
          <t>K3-4C</t>
        </is>
      </c>
      <c r="F3044" t="n">
        <v>3613.869</v>
      </c>
    </row>
    <row r="3045">
      <c r="A3045" t="n">
        <v>28</v>
      </c>
      <c r="B3045" t="inlineStr">
        <is>
          <t>MeOH</t>
        </is>
      </c>
      <c r="F3045" t="n">
        <v>15.748</v>
      </c>
    </row>
    <row r="3046">
      <c r="A3046" t="n">
        <v>29</v>
      </c>
      <c r="B3046" t="inlineStr">
        <is>
          <t>K3-6A</t>
        </is>
      </c>
      <c r="F3046" t="n">
        <v>2614.758</v>
      </c>
    </row>
    <row r="3047">
      <c r="A3047" t="n">
        <v>30</v>
      </c>
      <c r="B3047" t="inlineStr">
        <is>
          <t>K3-6B</t>
        </is>
      </c>
      <c r="F3047" t="n">
        <v>2672.94</v>
      </c>
    </row>
    <row r="3048">
      <c r="A3048" t="n">
        <v>31</v>
      </c>
      <c r="B3048" t="inlineStr">
        <is>
          <t>K3-6C</t>
        </is>
      </c>
      <c r="D3048" t="n">
        <v>16.3</v>
      </c>
      <c r="E3048" t="n">
        <v>53.191</v>
      </c>
      <c r="F3048" t="n">
        <v>2110.161</v>
      </c>
      <c r="G3048" t="n">
        <v>567</v>
      </c>
      <c r="H3048" t="inlineStr">
        <is>
          <t>bb</t>
        </is>
      </c>
    </row>
    <row r="3050">
      <c r="A3050" t="inlineStr">
        <is>
          <t>Compound 88:  8:2 FTS 1</t>
        </is>
      </c>
    </row>
    <row r="3052">
      <c r="B3052" t="inlineStr">
        <is>
          <t>Sample Text</t>
        </is>
      </c>
      <c r="C3052" t="inlineStr">
        <is>
          <t>Std. Conc</t>
        </is>
      </c>
      <c r="D3052" t="inlineStr">
        <is>
          <t>RT</t>
        </is>
      </c>
      <c r="E3052" t="inlineStr">
        <is>
          <t>Area</t>
        </is>
      </c>
      <c r="F3052" t="inlineStr">
        <is>
          <t>IS Area</t>
        </is>
      </c>
      <c r="G3052" t="inlineStr">
        <is>
          <t>S/N</t>
        </is>
      </c>
      <c r="H3052" t="inlineStr">
        <is>
          <t>Primary Flags</t>
        </is>
      </c>
      <c r="I3052" t="inlineStr">
        <is>
          <t>Response</t>
        </is>
      </c>
      <c r="J3052" t="inlineStr">
        <is>
          <t>Conc.</t>
        </is>
      </c>
    </row>
    <row r="3053">
      <c r="A3053" t="n">
        <v>1</v>
      </c>
      <c r="B3053" t="inlineStr">
        <is>
          <t>K4-1A</t>
        </is>
      </c>
      <c r="D3053" t="n">
        <v>13.91</v>
      </c>
      <c r="E3053" t="n">
        <v>119.703</v>
      </c>
      <c r="F3053" t="n">
        <v>14693.816</v>
      </c>
      <c r="G3053" t="n">
        <v>12.537</v>
      </c>
      <c r="H3053" t="inlineStr">
        <is>
          <t>bb</t>
        </is>
      </c>
    </row>
    <row r="3054">
      <c r="A3054" t="n">
        <v>2</v>
      </c>
      <c r="B3054" t="inlineStr">
        <is>
          <t>K4-1B</t>
        </is>
      </c>
      <c r="D3054" t="n">
        <v>13.92</v>
      </c>
      <c r="E3054" t="n">
        <v>0.797</v>
      </c>
      <c r="F3054" t="n">
        <v>13933.742</v>
      </c>
      <c r="G3054" t="n">
        <v>8</v>
      </c>
      <c r="H3054" t="inlineStr">
        <is>
          <t>bb</t>
        </is>
      </c>
    </row>
    <row r="3055">
      <c r="A3055" t="n">
        <v>3</v>
      </c>
      <c r="B3055" t="inlineStr">
        <is>
          <t>K4-1C</t>
        </is>
      </c>
      <c r="D3055" t="n">
        <v>13.89</v>
      </c>
      <c r="E3055" t="n">
        <v>16.122</v>
      </c>
      <c r="F3055" t="n">
        <v>14628.158</v>
      </c>
      <c r="G3055" t="n">
        <v>154</v>
      </c>
      <c r="H3055" t="inlineStr">
        <is>
          <t>bb</t>
        </is>
      </c>
    </row>
    <row r="3056">
      <c r="A3056" t="n">
        <v>4</v>
      </c>
      <c r="B3056" t="inlineStr">
        <is>
          <t>K4-2A</t>
        </is>
      </c>
      <c r="D3056" t="n">
        <v>13.96</v>
      </c>
      <c r="E3056" t="n">
        <v>12.869</v>
      </c>
      <c r="F3056" t="n">
        <v>15029.15</v>
      </c>
      <c r="G3056" t="n">
        <v>5.047</v>
      </c>
      <c r="H3056" t="inlineStr">
        <is>
          <t>bb</t>
        </is>
      </c>
    </row>
    <row r="3057">
      <c r="A3057" t="n">
        <v>5</v>
      </c>
      <c r="B3057" t="inlineStr">
        <is>
          <t>K4-2B</t>
        </is>
      </c>
      <c r="D3057" t="n">
        <v>13.95</v>
      </c>
      <c r="E3057" t="n">
        <v>11.621</v>
      </c>
      <c r="F3057" t="n">
        <v>13193.37</v>
      </c>
      <c r="G3057" t="n">
        <v>3.857</v>
      </c>
      <c r="H3057" t="inlineStr">
        <is>
          <t>bb</t>
        </is>
      </c>
    </row>
    <row r="3058">
      <c r="A3058" t="n">
        <v>6</v>
      </c>
      <c r="B3058" t="inlineStr">
        <is>
          <t>K4-2C</t>
        </is>
      </c>
      <c r="D3058" t="n">
        <v>13.99</v>
      </c>
      <c r="E3058" t="n">
        <v>1.771</v>
      </c>
      <c r="F3058" t="n">
        <v>11709.538</v>
      </c>
      <c r="G3058" t="n">
        <v>17</v>
      </c>
      <c r="H3058" t="inlineStr">
        <is>
          <t>bb</t>
        </is>
      </c>
    </row>
    <row r="3059">
      <c r="A3059" t="n">
        <v>7</v>
      </c>
      <c r="B3059" t="inlineStr">
        <is>
          <t>MeOH</t>
        </is>
      </c>
      <c r="H3059" t="inlineStr">
        <is>
          <t>MM-</t>
        </is>
      </c>
    </row>
    <row r="3060">
      <c r="A3060" t="n">
        <v>8</v>
      </c>
      <c r="B3060" t="inlineStr">
        <is>
          <t>K4-4A</t>
        </is>
      </c>
      <c r="D3060" t="n">
        <v>14.36</v>
      </c>
      <c r="E3060" t="n">
        <v>0.952</v>
      </c>
      <c r="F3060" t="n">
        <v>15668.421</v>
      </c>
      <c r="G3060" t="n">
        <v>9</v>
      </c>
      <c r="H3060" t="inlineStr">
        <is>
          <t>MM</t>
        </is>
      </c>
    </row>
    <row r="3061">
      <c r="A3061" t="n">
        <v>9</v>
      </c>
      <c r="B3061" t="inlineStr">
        <is>
          <t>K4-4B</t>
        </is>
      </c>
      <c r="D3061" t="n">
        <v>13.99</v>
      </c>
      <c r="E3061" t="n">
        <v>25.61</v>
      </c>
      <c r="F3061" t="n">
        <v>15767.02</v>
      </c>
      <c r="G3061" t="n">
        <v>238</v>
      </c>
      <c r="H3061" t="inlineStr">
        <is>
          <t>bb</t>
        </is>
      </c>
    </row>
    <row r="3062">
      <c r="A3062" t="n">
        <v>10</v>
      </c>
      <c r="B3062" t="inlineStr">
        <is>
          <t>K4-4C</t>
        </is>
      </c>
      <c r="D3062" t="n">
        <v>13.95</v>
      </c>
      <c r="E3062" t="n">
        <v>15.121</v>
      </c>
      <c r="F3062" t="n">
        <v>17637.92</v>
      </c>
      <c r="G3062" t="n">
        <v>144</v>
      </c>
      <c r="H3062" t="inlineStr">
        <is>
          <t>bb</t>
        </is>
      </c>
    </row>
    <row r="3063">
      <c r="A3063" t="n">
        <v>11</v>
      </c>
      <c r="B3063" t="inlineStr">
        <is>
          <t>K4-5A</t>
        </is>
      </c>
      <c r="F3063" t="n">
        <v>14951.4</v>
      </c>
    </row>
    <row r="3064">
      <c r="A3064" t="n">
        <v>12</v>
      </c>
      <c r="B3064" t="inlineStr">
        <is>
          <t>K4-5B</t>
        </is>
      </c>
      <c r="F3064" t="n">
        <v>14532.852</v>
      </c>
    </row>
    <row r="3065">
      <c r="A3065" t="n">
        <v>13</v>
      </c>
      <c r="B3065" t="inlineStr">
        <is>
          <t>K4-5C</t>
        </is>
      </c>
      <c r="D3065" t="n">
        <v>13.92</v>
      </c>
      <c r="E3065" t="n">
        <v>3.827</v>
      </c>
      <c r="F3065" t="n">
        <v>14835.213</v>
      </c>
      <c r="G3065" t="n">
        <v>37</v>
      </c>
      <c r="H3065" t="inlineStr">
        <is>
          <t>bb</t>
        </is>
      </c>
    </row>
    <row r="3066">
      <c r="A3066" t="n">
        <v>14</v>
      </c>
      <c r="B3066" t="inlineStr">
        <is>
          <t>MeOH</t>
        </is>
      </c>
      <c r="H3066" t="inlineStr">
        <is>
          <t>MM-</t>
        </is>
      </c>
    </row>
    <row r="3067">
      <c r="A3067" t="n">
        <v>15</v>
      </c>
      <c r="B3067" t="inlineStr">
        <is>
          <t>K3-1A</t>
        </is>
      </c>
      <c r="D3067" t="n">
        <v>13.76</v>
      </c>
      <c r="E3067" t="n">
        <v>0.406</v>
      </c>
      <c r="F3067" t="n">
        <v>15618.279</v>
      </c>
      <c r="G3067" t="n">
        <v>4</v>
      </c>
      <c r="H3067" t="inlineStr">
        <is>
          <t>bb</t>
        </is>
      </c>
    </row>
    <row r="3068">
      <c r="A3068" t="n">
        <v>16</v>
      </c>
      <c r="B3068" t="inlineStr">
        <is>
          <t>K3-1B</t>
        </is>
      </c>
      <c r="D3068" t="n">
        <v>13.85</v>
      </c>
      <c r="E3068" t="n">
        <v>35.68</v>
      </c>
      <c r="F3068" t="n">
        <v>15026.766</v>
      </c>
      <c r="G3068" t="n">
        <v>328</v>
      </c>
      <c r="H3068" t="inlineStr">
        <is>
          <t>bb</t>
        </is>
      </c>
    </row>
    <row r="3069">
      <c r="A3069" t="n">
        <v>17</v>
      </c>
      <c r="B3069" t="inlineStr">
        <is>
          <t>K3-1C</t>
        </is>
      </c>
      <c r="F3069" t="n">
        <v>20473.66</v>
      </c>
    </row>
    <row r="3070">
      <c r="A3070" t="n">
        <v>18</v>
      </c>
      <c r="B3070" t="inlineStr">
        <is>
          <t>K3-2A</t>
        </is>
      </c>
      <c r="D3070" t="n">
        <v>13.88</v>
      </c>
      <c r="E3070" t="n">
        <v>57.116</v>
      </c>
      <c r="F3070" t="n">
        <v>18932.715</v>
      </c>
      <c r="G3070" t="n">
        <v>3.817</v>
      </c>
      <c r="H3070" t="inlineStr">
        <is>
          <t>bb</t>
        </is>
      </c>
    </row>
    <row r="3071">
      <c r="A3071" t="n">
        <v>19</v>
      </c>
      <c r="B3071" t="inlineStr">
        <is>
          <t>K3-2B</t>
        </is>
      </c>
      <c r="D3071" t="n">
        <v>14.69</v>
      </c>
      <c r="E3071" t="n">
        <v>2.656</v>
      </c>
      <c r="F3071" t="n">
        <v>20441.465</v>
      </c>
      <c r="G3071" t="n">
        <v>24</v>
      </c>
      <c r="H3071" t="inlineStr">
        <is>
          <t>MM</t>
        </is>
      </c>
    </row>
    <row r="3072">
      <c r="A3072" t="n">
        <v>20</v>
      </c>
      <c r="B3072" t="inlineStr">
        <is>
          <t>K3-2C</t>
        </is>
      </c>
      <c r="F3072" t="n">
        <v>16814.209</v>
      </c>
    </row>
    <row r="3073">
      <c r="A3073" t="n">
        <v>21</v>
      </c>
      <c r="B3073" t="inlineStr">
        <is>
          <t>MeOH</t>
        </is>
      </c>
      <c r="H3073" t="inlineStr">
        <is>
          <t>MM-</t>
        </is>
      </c>
    </row>
    <row r="3074">
      <c r="A3074" t="n">
        <v>22</v>
      </c>
      <c r="B3074" t="inlineStr">
        <is>
          <t>K3-3A</t>
        </is>
      </c>
      <c r="F3074" t="n">
        <v>15959.362</v>
      </c>
    </row>
    <row r="3075">
      <c r="A3075" t="n">
        <v>23</v>
      </c>
      <c r="B3075" t="inlineStr">
        <is>
          <t>K3-3B</t>
        </is>
      </c>
      <c r="D3075" t="n">
        <v>13.96</v>
      </c>
      <c r="E3075" t="n">
        <v>1.57</v>
      </c>
      <c r="F3075" t="n">
        <v>18827.549</v>
      </c>
      <c r="G3075" t="n">
        <v>15</v>
      </c>
      <c r="H3075" t="inlineStr">
        <is>
          <t>bb</t>
        </is>
      </c>
    </row>
    <row r="3076">
      <c r="A3076" t="n">
        <v>24</v>
      </c>
      <c r="B3076" t="inlineStr">
        <is>
          <t>K3-3C</t>
        </is>
      </c>
      <c r="D3076" t="n">
        <v>13.94</v>
      </c>
      <c r="E3076" t="n">
        <v>34.513</v>
      </c>
      <c r="F3076" t="n">
        <v>20731.822</v>
      </c>
      <c r="G3076" t="n">
        <v>316</v>
      </c>
      <c r="H3076" t="inlineStr">
        <is>
          <t>bb</t>
        </is>
      </c>
    </row>
    <row r="3077">
      <c r="A3077" t="n">
        <v>25</v>
      </c>
      <c r="B3077" t="inlineStr">
        <is>
          <t>K3-4A</t>
        </is>
      </c>
      <c r="D3077" t="n">
        <v>14.3</v>
      </c>
      <c r="E3077" t="n">
        <v>3.736</v>
      </c>
      <c r="F3077" t="n">
        <v>23327.654</v>
      </c>
      <c r="G3077" t="n">
        <v>35</v>
      </c>
      <c r="H3077" t="inlineStr">
        <is>
          <t>MM</t>
        </is>
      </c>
    </row>
    <row r="3078">
      <c r="A3078" t="n">
        <v>26</v>
      </c>
      <c r="B3078" t="inlineStr">
        <is>
          <t>K3-4B</t>
        </is>
      </c>
      <c r="F3078" t="n">
        <v>21138.484</v>
      </c>
    </row>
    <row r="3079">
      <c r="A3079" t="n">
        <v>27</v>
      </c>
      <c r="B3079" t="inlineStr">
        <is>
          <t>K3-4C</t>
        </is>
      </c>
      <c r="F3079" t="n">
        <v>24052.029</v>
      </c>
    </row>
    <row r="3080">
      <c r="A3080" t="n">
        <v>28</v>
      </c>
      <c r="B3080" t="inlineStr">
        <is>
          <t>MeOH</t>
        </is>
      </c>
      <c r="H3080" t="inlineStr">
        <is>
          <t>MM-</t>
        </is>
      </c>
    </row>
    <row r="3081">
      <c r="A3081" t="n">
        <v>29</v>
      </c>
      <c r="B3081" t="inlineStr">
        <is>
          <t>K3-6A</t>
        </is>
      </c>
      <c r="F3081" t="n">
        <v>19976.734</v>
      </c>
    </row>
    <row r="3082">
      <c r="A3082" t="n">
        <v>30</v>
      </c>
      <c r="B3082" t="inlineStr">
        <is>
          <t>K3-6B</t>
        </is>
      </c>
      <c r="D3082" t="n">
        <v>14.08</v>
      </c>
      <c r="E3082" t="n">
        <v>62.805</v>
      </c>
      <c r="F3082" t="n">
        <v>15967.418</v>
      </c>
      <c r="G3082" t="n">
        <v>328</v>
      </c>
      <c r="H3082" t="inlineStr">
        <is>
          <t>bb</t>
        </is>
      </c>
    </row>
    <row r="3083">
      <c r="A3083" t="n">
        <v>31</v>
      </c>
      <c r="B3083" t="inlineStr">
        <is>
          <t>K3-6C</t>
        </is>
      </c>
      <c r="D3083" t="n">
        <v>14.11</v>
      </c>
      <c r="E3083" t="n">
        <v>31.911</v>
      </c>
      <c r="F3083" t="n">
        <v>14614.665</v>
      </c>
      <c r="G3083" t="n">
        <v>3.137</v>
      </c>
      <c r="H3083" t="inlineStr">
        <is>
          <t>bb</t>
        </is>
      </c>
    </row>
    <row r="3085">
      <c r="A3085" t="inlineStr">
        <is>
          <t>Compound 89:  8:2 FTS 2</t>
        </is>
      </c>
    </row>
    <row r="3087">
      <c r="B3087" t="inlineStr">
        <is>
          <t>Sample Text</t>
        </is>
      </c>
      <c r="C3087" t="inlineStr">
        <is>
          <t>Std. Conc</t>
        </is>
      </c>
      <c r="D3087" t="inlineStr">
        <is>
          <t>RT</t>
        </is>
      </c>
      <c r="E3087" t="inlineStr">
        <is>
          <t>Area</t>
        </is>
      </c>
      <c r="F3087" t="inlineStr">
        <is>
          <t>IS Area</t>
        </is>
      </c>
      <c r="G3087" t="inlineStr">
        <is>
          <t>S/N</t>
        </is>
      </c>
      <c r="H3087" t="inlineStr">
        <is>
          <t>Primary Flags</t>
        </is>
      </c>
      <c r="I3087" t="inlineStr">
        <is>
          <t>Response</t>
        </is>
      </c>
      <c r="J3087" t="inlineStr">
        <is>
          <t>Conc.</t>
        </is>
      </c>
    </row>
    <row r="3088">
      <c r="A3088" t="n">
        <v>1</v>
      </c>
      <c r="B3088" t="inlineStr">
        <is>
          <t>K4-1A</t>
        </is>
      </c>
      <c r="D3088" t="n">
        <v>13.92</v>
      </c>
      <c r="E3088" t="n">
        <v>32.755</v>
      </c>
      <c r="F3088" t="n">
        <v>14693.816</v>
      </c>
      <c r="G3088" t="n">
        <v>4.873</v>
      </c>
      <c r="H3088" t="inlineStr">
        <is>
          <t>bb</t>
        </is>
      </c>
    </row>
    <row r="3089">
      <c r="A3089" t="n">
        <v>2</v>
      </c>
      <c r="B3089" t="inlineStr">
        <is>
          <t>K4-1B</t>
        </is>
      </c>
      <c r="F3089" t="n">
        <v>13933.742</v>
      </c>
    </row>
    <row r="3090">
      <c r="A3090" t="n">
        <v>3</v>
      </c>
      <c r="B3090" t="inlineStr">
        <is>
          <t>K4-1C</t>
        </is>
      </c>
      <c r="F3090" t="n">
        <v>14628.158</v>
      </c>
    </row>
    <row r="3091">
      <c r="A3091" t="n">
        <v>4</v>
      </c>
      <c r="B3091" t="inlineStr">
        <is>
          <t>K4-2A</t>
        </is>
      </c>
      <c r="F3091" t="n">
        <v>15029.15</v>
      </c>
    </row>
    <row r="3092">
      <c r="A3092" t="n">
        <v>5</v>
      </c>
      <c r="B3092" t="inlineStr">
        <is>
          <t>K4-2B</t>
        </is>
      </c>
      <c r="F3092" t="n">
        <v>13193.37</v>
      </c>
    </row>
    <row r="3093">
      <c r="A3093" t="n">
        <v>6</v>
      </c>
      <c r="B3093" t="inlineStr">
        <is>
          <t>K4-2C</t>
        </is>
      </c>
      <c r="D3093" t="n">
        <v>13.67</v>
      </c>
      <c r="E3093" t="n">
        <v>5.688</v>
      </c>
      <c r="F3093" t="n">
        <v>11709.538</v>
      </c>
      <c r="G3093" t="n">
        <v>57</v>
      </c>
      <c r="H3093" t="inlineStr">
        <is>
          <t>bb</t>
        </is>
      </c>
    </row>
    <row r="3094">
      <c r="A3094" t="n">
        <v>7</v>
      </c>
      <c r="B3094" t="inlineStr">
        <is>
          <t>MeOH</t>
        </is>
      </c>
      <c r="H3094" t="inlineStr">
        <is>
          <t>MM-</t>
        </is>
      </c>
    </row>
    <row r="3095">
      <c r="A3095" t="n">
        <v>8</v>
      </c>
      <c r="B3095" t="inlineStr">
        <is>
          <t>K4-4A</t>
        </is>
      </c>
      <c r="F3095" t="n">
        <v>15668.421</v>
      </c>
    </row>
    <row r="3096">
      <c r="A3096" t="n">
        <v>9</v>
      </c>
      <c r="B3096" t="inlineStr">
        <is>
          <t>K4-4B</t>
        </is>
      </c>
      <c r="F3096" t="n">
        <v>15767.02</v>
      </c>
    </row>
    <row r="3097">
      <c r="A3097" t="n">
        <v>10</v>
      </c>
      <c r="B3097" t="inlineStr">
        <is>
          <t>K4-4C</t>
        </is>
      </c>
      <c r="F3097" t="n">
        <v>17637.92</v>
      </c>
    </row>
    <row r="3098">
      <c r="A3098" t="n">
        <v>11</v>
      </c>
      <c r="B3098" t="inlineStr">
        <is>
          <t>K4-5A</t>
        </is>
      </c>
      <c r="D3098" t="n">
        <v>13.79</v>
      </c>
      <c r="E3098" t="n">
        <v>0.338</v>
      </c>
      <c r="F3098" t="n">
        <v>14951.4</v>
      </c>
      <c r="G3098" t="n">
        <v>3</v>
      </c>
      <c r="H3098" t="inlineStr">
        <is>
          <t>bb</t>
        </is>
      </c>
    </row>
    <row r="3099">
      <c r="A3099" t="n">
        <v>12</v>
      </c>
      <c r="B3099" t="inlineStr">
        <is>
          <t>K4-5B</t>
        </is>
      </c>
      <c r="F3099" t="n">
        <v>14532.852</v>
      </c>
    </row>
    <row r="3100">
      <c r="A3100" t="n">
        <v>13</v>
      </c>
      <c r="B3100" t="inlineStr">
        <is>
          <t>K4-5C</t>
        </is>
      </c>
      <c r="F3100" t="n">
        <v>14835.213</v>
      </c>
    </row>
    <row r="3101">
      <c r="A3101" t="n">
        <v>14</v>
      </c>
      <c r="B3101" t="inlineStr">
        <is>
          <t>MeOH</t>
        </is>
      </c>
      <c r="D3101" t="n">
        <v>13.84</v>
      </c>
      <c r="E3101" t="n">
        <v>48.967</v>
      </c>
      <c r="G3101" t="n">
        <v>5.771</v>
      </c>
      <c r="H3101" t="inlineStr">
        <is>
          <t>bb</t>
        </is>
      </c>
    </row>
    <row r="3102">
      <c r="A3102" t="n">
        <v>15</v>
      </c>
      <c r="B3102" t="inlineStr">
        <is>
          <t>K3-1A</t>
        </is>
      </c>
      <c r="F3102" t="n">
        <v>15618.279</v>
      </c>
    </row>
    <row r="3103">
      <c r="A3103" t="n">
        <v>16</v>
      </c>
      <c r="B3103" t="inlineStr">
        <is>
          <t>K3-1B</t>
        </is>
      </c>
      <c r="D3103" t="n">
        <v>13.85</v>
      </c>
      <c r="E3103" t="n">
        <v>2.909</v>
      </c>
      <c r="F3103" t="n">
        <v>15026.766</v>
      </c>
      <c r="G3103" t="n">
        <v>28</v>
      </c>
      <c r="H3103" t="inlineStr">
        <is>
          <t>bb</t>
        </is>
      </c>
    </row>
    <row r="3104">
      <c r="A3104" t="n">
        <v>17</v>
      </c>
      <c r="B3104" t="inlineStr">
        <is>
          <t>K3-1C</t>
        </is>
      </c>
      <c r="F3104" t="n">
        <v>20473.66</v>
      </c>
    </row>
    <row r="3105">
      <c r="A3105" t="n">
        <v>18</v>
      </c>
      <c r="B3105" t="inlineStr">
        <is>
          <t>K3-2A</t>
        </is>
      </c>
      <c r="F3105" t="n">
        <v>18932.715</v>
      </c>
    </row>
    <row r="3106">
      <c r="A3106" t="n">
        <v>19</v>
      </c>
      <c r="B3106" t="inlineStr">
        <is>
          <t>K3-2B</t>
        </is>
      </c>
      <c r="F3106" t="n">
        <v>20441.465</v>
      </c>
    </row>
    <row r="3107">
      <c r="A3107" t="n">
        <v>20</v>
      </c>
      <c r="B3107" t="inlineStr">
        <is>
          <t>K3-2C</t>
        </is>
      </c>
      <c r="D3107" t="n">
        <v>14.02</v>
      </c>
      <c r="E3107" t="n">
        <v>0.5659999999999999</v>
      </c>
      <c r="F3107" t="n">
        <v>16814.209</v>
      </c>
      <c r="G3107" t="n">
        <v>5</v>
      </c>
      <c r="H3107" t="inlineStr">
        <is>
          <t>bb</t>
        </is>
      </c>
    </row>
    <row r="3108">
      <c r="A3108" t="n">
        <v>21</v>
      </c>
      <c r="B3108" t="inlineStr">
        <is>
          <t>MeOH</t>
        </is>
      </c>
      <c r="H3108" t="inlineStr">
        <is>
          <t>MM-</t>
        </is>
      </c>
    </row>
    <row r="3109">
      <c r="A3109" t="n">
        <v>22</v>
      </c>
      <c r="B3109" t="inlineStr">
        <is>
          <t>K3-3A</t>
        </is>
      </c>
      <c r="F3109" t="n">
        <v>15959.362</v>
      </c>
    </row>
    <row r="3110">
      <c r="A3110" t="n">
        <v>23</v>
      </c>
      <c r="B3110" t="inlineStr">
        <is>
          <t>K3-3B</t>
        </is>
      </c>
      <c r="F3110" t="n">
        <v>18827.549</v>
      </c>
    </row>
    <row r="3111">
      <c r="A3111" t="n">
        <v>24</v>
      </c>
      <c r="B3111" t="inlineStr">
        <is>
          <t>K3-3C</t>
        </is>
      </c>
      <c r="D3111" t="n">
        <v>14.3</v>
      </c>
      <c r="E3111" t="n">
        <v>3.488</v>
      </c>
      <c r="F3111" t="n">
        <v>20731.822</v>
      </c>
      <c r="G3111" t="n">
        <v>32</v>
      </c>
      <c r="H3111" t="inlineStr">
        <is>
          <t>MM</t>
        </is>
      </c>
    </row>
    <row r="3112">
      <c r="A3112" t="n">
        <v>25</v>
      </c>
      <c r="B3112" t="inlineStr">
        <is>
          <t>K3-4A</t>
        </is>
      </c>
      <c r="F3112" t="n">
        <v>23327.654</v>
      </c>
    </row>
    <row r="3113">
      <c r="A3113" t="n">
        <v>26</v>
      </c>
      <c r="B3113" t="inlineStr">
        <is>
          <t>K3-4B</t>
        </is>
      </c>
      <c r="F3113" t="n">
        <v>21138.484</v>
      </c>
    </row>
    <row r="3114">
      <c r="A3114" t="n">
        <v>27</v>
      </c>
      <c r="B3114" t="inlineStr">
        <is>
          <t>K3-4C</t>
        </is>
      </c>
      <c r="F3114" t="n">
        <v>24052.029</v>
      </c>
    </row>
    <row r="3115">
      <c r="A3115" t="n">
        <v>28</v>
      </c>
      <c r="B3115" t="inlineStr">
        <is>
          <t>MeOH</t>
        </is>
      </c>
      <c r="H3115" t="inlineStr">
        <is>
          <t>MM-</t>
        </is>
      </c>
    </row>
    <row r="3116">
      <c r="A3116" t="n">
        <v>29</v>
      </c>
      <c r="B3116" t="inlineStr">
        <is>
          <t>K3-6A</t>
        </is>
      </c>
      <c r="F3116" t="n">
        <v>19976.734</v>
      </c>
    </row>
    <row r="3117">
      <c r="A3117" t="n">
        <v>30</v>
      </c>
      <c r="B3117" t="inlineStr">
        <is>
          <t>K3-6B</t>
        </is>
      </c>
      <c r="F3117" t="n">
        <v>15967.418</v>
      </c>
    </row>
    <row r="3118">
      <c r="A3118" t="n">
        <v>31</v>
      </c>
      <c r="B3118" t="inlineStr">
        <is>
          <t>K3-6C</t>
        </is>
      </c>
      <c r="F3118" t="n">
        <v>14614.665</v>
      </c>
    </row>
    <row r="3120">
      <c r="A3120" t="inlineStr">
        <is>
          <t>Compound 90:  m2 8:2 FTS 1</t>
        </is>
      </c>
    </row>
    <row r="3122">
      <c r="B3122" t="inlineStr">
        <is>
          <t>Sample Text</t>
        </is>
      </c>
      <c r="C3122" t="inlineStr">
        <is>
          <t>Std. Conc</t>
        </is>
      </c>
      <c r="D3122" t="inlineStr">
        <is>
          <t>RT</t>
        </is>
      </c>
      <c r="E3122" t="inlineStr">
        <is>
          <t>Area</t>
        </is>
      </c>
      <c r="F3122" t="inlineStr">
        <is>
          <t>IS Area</t>
        </is>
      </c>
      <c r="G3122" t="inlineStr">
        <is>
          <t>S/N</t>
        </is>
      </c>
      <c r="H3122" t="inlineStr">
        <is>
          <t>Primary Flags</t>
        </is>
      </c>
      <c r="I3122" t="inlineStr">
        <is>
          <t>Response</t>
        </is>
      </c>
      <c r="J3122" t="inlineStr">
        <is>
          <t>Conc.</t>
        </is>
      </c>
    </row>
    <row r="3123">
      <c r="A3123" t="n">
        <v>1</v>
      </c>
      <c r="B3123" t="inlineStr">
        <is>
          <t>K4-1A</t>
        </is>
      </c>
      <c r="D3123" t="n">
        <v>13.94</v>
      </c>
      <c r="E3123" t="n">
        <v>14693.816</v>
      </c>
      <c r="G3123" t="n">
        <v>842.918</v>
      </c>
      <c r="H3123" t="inlineStr">
        <is>
          <t>bb</t>
        </is>
      </c>
      <c r="I3123" t="n">
        <v>14693.816</v>
      </c>
    </row>
    <row r="3124">
      <c r="A3124" t="n">
        <v>2</v>
      </c>
      <c r="B3124" t="inlineStr">
        <is>
          <t>K4-1B</t>
        </is>
      </c>
      <c r="D3124" t="n">
        <v>13.94</v>
      </c>
      <c r="E3124" t="n">
        <v>13933.742</v>
      </c>
      <c r="G3124" t="n">
        <v>96269</v>
      </c>
      <c r="H3124" t="inlineStr">
        <is>
          <t>bb</t>
        </is>
      </c>
      <c r="I3124" t="n">
        <v>13933.742</v>
      </c>
    </row>
    <row r="3125">
      <c r="A3125" t="n">
        <v>3</v>
      </c>
      <c r="B3125" t="inlineStr">
        <is>
          <t>K4-1C</t>
        </is>
      </c>
      <c r="D3125" t="n">
        <v>13.94</v>
      </c>
      <c r="E3125" t="n">
        <v>14628.158</v>
      </c>
      <c r="G3125" t="n">
        <v>141.129</v>
      </c>
      <c r="H3125" t="inlineStr">
        <is>
          <t>bb</t>
        </is>
      </c>
      <c r="I3125" t="n">
        <v>14628.158</v>
      </c>
    </row>
    <row r="3126">
      <c r="A3126" t="n">
        <v>4</v>
      </c>
      <c r="B3126" t="inlineStr">
        <is>
          <t>K4-2A</t>
        </is>
      </c>
      <c r="D3126" t="n">
        <v>13.95</v>
      </c>
      <c r="E3126" t="n">
        <v>15029.15</v>
      </c>
      <c r="G3126" t="n">
        <v>49.044</v>
      </c>
      <c r="H3126" t="inlineStr">
        <is>
          <t>bb</t>
        </is>
      </c>
      <c r="I3126" t="n">
        <v>15029.15</v>
      </c>
    </row>
    <row r="3127">
      <c r="A3127" t="n">
        <v>5</v>
      </c>
      <c r="B3127" t="inlineStr">
        <is>
          <t>K4-2B</t>
        </is>
      </c>
      <c r="D3127" t="n">
        <v>13.95</v>
      </c>
      <c r="E3127" t="n">
        <v>13193.37</v>
      </c>
      <c r="G3127" t="n">
        <v>839.325</v>
      </c>
      <c r="H3127" t="inlineStr">
        <is>
          <t>bb</t>
        </is>
      </c>
      <c r="I3127" t="n">
        <v>13193.37</v>
      </c>
    </row>
    <row r="3128">
      <c r="A3128" t="n">
        <v>6</v>
      </c>
      <c r="B3128" t="inlineStr">
        <is>
          <t>K4-2C</t>
        </is>
      </c>
      <c r="D3128" t="n">
        <v>13.96</v>
      </c>
      <c r="E3128" t="n">
        <v>11709.538</v>
      </c>
      <c r="G3128" t="n">
        <v>82443</v>
      </c>
      <c r="H3128" t="inlineStr">
        <is>
          <t>bb</t>
        </is>
      </c>
      <c r="I3128" t="n">
        <v>11709.538</v>
      </c>
    </row>
    <row r="3129">
      <c r="A3129" t="n">
        <v>7</v>
      </c>
      <c r="B3129" t="inlineStr">
        <is>
          <t>MeOH</t>
        </is>
      </c>
      <c r="H3129" t="inlineStr">
        <is>
          <t>MM-</t>
        </is>
      </c>
    </row>
    <row r="3130">
      <c r="A3130" t="n">
        <v>8</v>
      </c>
      <c r="B3130" t="inlineStr">
        <is>
          <t>K4-4A</t>
        </is>
      </c>
      <c r="D3130" t="n">
        <v>13.98</v>
      </c>
      <c r="E3130" t="n">
        <v>15668.421</v>
      </c>
      <c r="G3130" t="n">
        <v>339.782</v>
      </c>
      <c r="H3130" t="inlineStr">
        <is>
          <t>bb</t>
        </is>
      </c>
      <c r="I3130" t="n">
        <v>15668.421</v>
      </c>
    </row>
    <row r="3131">
      <c r="A3131" t="n">
        <v>9</v>
      </c>
      <c r="B3131" t="inlineStr">
        <is>
          <t>K4-4B</t>
        </is>
      </c>
      <c r="D3131" t="n">
        <v>13.98</v>
      </c>
      <c r="E3131" t="n">
        <v>15767.02</v>
      </c>
      <c r="G3131" t="n">
        <v>897.0890000000001</v>
      </c>
      <c r="H3131" t="inlineStr">
        <is>
          <t>bb</t>
        </is>
      </c>
      <c r="I3131" t="n">
        <v>15767.02</v>
      </c>
    </row>
    <row r="3132">
      <c r="A3132" t="n">
        <v>10</v>
      </c>
      <c r="B3132" t="inlineStr">
        <is>
          <t>K4-4C</t>
        </is>
      </c>
      <c r="D3132" t="n">
        <v>13.98</v>
      </c>
      <c r="E3132" t="n">
        <v>17637.92</v>
      </c>
      <c r="G3132" t="n">
        <v>793.067</v>
      </c>
      <c r="H3132" t="inlineStr">
        <is>
          <t>bb</t>
        </is>
      </c>
      <c r="I3132" t="n">
        <v>17637.92</v>
      </c>
    </row>
    <row r="3133">
      <c r="A3133" t="n">
        <v>11</v>
      </c>
      <c r="B3133" t="inlineStr">
        <is>
          <t>K4-5A</t>
        </is>
      </c>
      <c r="D3133" t="n">
        <v>13.96</v>
      </c>
      <c r="E3133" t="n">
        <v>14951.4</v>
      </c>
      <c r="G3133" t="n">
        <v>103325</v>
      </c>
      <c r="H3133" t="inlineStr">
        <is>
          <t>bb</t>
        </is>
      </c>
      <c r="I3133" t="n">
        <v>14951.4</v>
      </c>
    </row>
    <row r="3134">
      <c r="A3134" t="n">
        <v>12</v>
      </c>
      <c r="B3134" t="inlineStr">
        <is>
          <t>K4-5B</t>
        </is>
      </c>
      <c r="D3134" t="n">
        <v>13.94</v>
      </c>
      <c r="E3134" t="n">
        <v>14532.852</v>
      </c>
      <c r="G3134" t="n">
        <v>248.922</v>
      </c>
      <c r="H3134" t="inlineStr">
        <is>
          <t>bb</t>
        </is>
      </c>
      <c r="I3134" t="n">
        <v>14532.852</v>
      </c>
    </row>
    <row r="3135">
      <c r="A3135" t="n">
        <v>13</v>
      </c>
      <c r="B3135" t="inlineStr">
        <is>
          <t>K4-5C</t>
        </is>
      </c>
      <c r="D3135" t="n">
        <v>13.88</v>
      </c>
      <c r="E3135" t="n">
        <v>14835.213</v>
      </c>
      <c r="G3135" t="n">
        <v>24105.034</v>
      </c>
      <c r="H3135" t="inlineStr">
        <is>
          <t>bb</t>
        </is>
      </c>
      <c r="I3135" t="n">
        <v>14835.213</v>
      </c>
    </row>
    <row r="3136">
      <c r="A3136" t="n">
        <v>14</v>
      </c>
      <c r="B3136" t="inlineStr">
        <is>
          <t>MeOH</t>
        </is>
      </c>
      <c r="H3136" t="inlineStr">
        <is>
          <t>MM-</t>
        </is>
      </c>
    </row>
    <row r="3137">
      <c r="A3137" t="n">
        <v>15</v>
      </c>
      <c r="B3137" t="inlineStr">
        <is>
          <t>K3-1A</t>
        </is>
      </c>
      <c r="D3137" t="n">
        <v>13.84</v>
      </c>
      <c r="E3137" t="n">
        <v>15618.279</v>
      </c>
      <c r="G3137" t="n">
        <v>153.282</v>
      </c>
      <c r="H3137" t="inlineStr">
        <is>
          <t>bb</t>
        </is>
      </c>
      <c r="I3137" t="n">
        <v>15618.279</v>
      </c>
    </row>
    <row r="3138">
      <c r="A3138" t="n">
        <v>16</v>
      </c>
      <c r="B3138" t="inlineStr">
        <is>
          <t>K3-1B</t>
        </is>
      </c>
      <c r="D3138" t="n">
        <v>13.84</v>
      </c>
      <c r="E3138" t="n">
        <v>15026.766</v>
      </c>
      <c r="G3138" t="n">
        <v>105536</v>
      </c>
      <c r="H3138" t="inlineStr">
        <is>
          <t>bb</t>
        </is>
      </c>
      <c r="I3138" t="n">
        <v>15026.766</v>
      </c>
    </row>
    <row r="3139">
      <c r="A3139" t="n">
        <v>17</v>
      </c>
      <c r="B3139" t="inlineStr">
        <is>
          <t>K3-1C</t>
        </is>
      </c>
      <c r="D3139" t="n">
        <v>13.88</v>
      </c>
      <c r="E3139" t="n">
        <v>20473.66</v>
      </c>
      <c r="G3139" t="n">
        <v>141311</v>
      </c>
      <c r="H3139" t="inlineStr">
        <is>
          <t>bb</t>
        </is>
      </c>
      <c r="I3139" t="n">
        <v>20473.66</v>
      </c>
    </row>
    <row r="3140">
      <c r="A3140" t="n">
        <v>18</v>
      </c>
      <c r="B3140" t="inlineStr">
        <is>
          <t>K3-2A</t>
        </is>
      </c>
      <c r="D3140" t="n">
        <v>13.91</v>
      </c>
      <c r="E3140" t="n">
        <v>18932.715</v>
      </c>
      <c r="G3140" t="n">
        <v>108.997</v>
      </c>
      <c r="H3140" t="inlineStr">
        <is>
          <t>bb</t>
        </is>
      </c>
      <c r="I3140" t="n">
        <v>18932.715</v>
      </c>
    </row>
    <row r="3141">
      <c r="A3141" t="n">
        <v>19</v>
      </c>
      <c r="B3141" t="inlineStr">
        <is>
          <t>K3-2B</t>
        </is>
      </c>
      <c r="D3141" t="n">
        <v>13.89</v>
      </c>
      <c r="E3141" t="n">
        <v>20441.465</v>
      </c>
      <c r="G3141" t="n">
        <v>144398</v>
      </c>
      <c r="H3141" t="inlineStr">
        <is>
          <t>bb</t>
        </is>
      </c>
      <c r="I3141" t="n">
        <v>20441.465</v>
      </c>
    </row>
    <row r="3142">
      <c r="A3142" t="n">
        <v>20</v>
      </c>
      <c r="B3142" t="inlineStr">
        <is>
          <t>K3-2C</t>
        </is>
      </c>
      <c r="D3142" t="n">
        <v>13.91</v>
      </c>
      <c r="E3142" t="n">
        <v>16814.209</v>
      </c>
      <c r="G3142" t="n">
        <v>1031.626</v>
      </c>
      <c r="H3142" t="inlineStr">
        <is>
          <t>bb</t>
        </is>
      </c>
      <c r="I3142" t="n">
        <v>16814.209</v>
      </c>
    </row>
    <row r="3143">
      <c r="A3143" t="n">
        <v>21</v>
      </c>
      <c r="B3143" t="inlineStr">
        <is>
          <t>MeOH</t>
        </is>
      </c>
      <c r="H3143" t="inlineStr">
        <is>
          <t>MM-</t>
        </is>
      </c>
    </row>
    <row r="3144">
      <c r="A3144" t="n">
        <v>22</v>
      </c>
      <c r="B3144" t="inlineStr">
        <is>
          <t>K3-3A</t>
        </is>
      </c>
      <c r="D3144" t="n">
        <v>13.92</v>
      </c>
      <c r="E3144" t="n">
        <v>15959.362</v>
      </c>
      <c r="G3144" t="n">
        <v>116508</v>
      </c>
      <c r="H3144" t="inlineStr">
        <is>
          <t>bb</t>
        </is>
      </c>
      <c r="I3144" t="n">
        <v>15959.362</v>
      </c>
    </row>
    <row r="3145">
      <c r="A3145" t="n">
        <v>23</v>
      </c>
      <c r="B3145" t="inlineStr">
        <is>
          <t>K3-3B</t>
        </is>
      </c>
      <c r="D3145" t="n">
        <v>13.94</v>
      </c>
      <c r="E3145" t="n">
        <v>18827.549</v>
      </c>
      <c r="G3145" t="n">
        <v>132257</v>
      </c>
      <c r="H3145" t="inlineStr">
        <is>
          <t>bb</t>
        </is>
      </c>
      <c r="I3145" t="n">
        <v>18827.549</v>
      </c>
    </row>
    <row r="3146">
      <c r="A3146" t="n">
        <v>24</v>
      </c>
      <c r="B3146" t="inlineStr">
        <is>
          <t>K3-3C</t>
        </is>
      </c>
      <c r="D3146" t="n">
        <v>13.94</v>
      </c>
      <c r="E3146" t="n">
        <v>20731.822</v>
      </c>
      <c r="G3146" t="n">
        <v>145339</v>
      </c>
      <c r="H3146" t="inlineStr">
        <is>
          <t>bb</t>
        </is>
      </c>
      <c r="I3146" t="n">
        <v>20731.822</v>
      </c>
    </row>
    <row r="3147">
      <c r="A3147" t="n">
        <v>25</v>
      </c>
      <c r="B3147" t="inlineStr">
        <is>
          <t>K3-4A</t>
        </is>
      </c>
      <c r="D3147" t="n">
        <v>13.98</v>
      </c>
      <c r="E3147" t="n">
        <v>23327.654</v>
      </c>
      <c r="G3147" t="n">
        <v>226.219</v>
      </c>
      <c r="H3147" t="inlineStr">
        <is>
          <t>bb</t>
        </is>
      </c>
      <c r="I3147" t="n">
        <v>23327.654</v>
      </c>
    </row>
    <row r="3148">
      <c r="A3148" t="n">
        <v>26</v>
      </c>
      <c r="B3148" t="inlineStr">
        <is>
          <t>K3-4B</t>
        </is>
      </c>
      <c r="D3148" t="n">
        <v>13.96</v>
      </c>
      <c r="E3148" t="n">
        <v>21138.484</v>
      </c>
      <c r="G3148" t="n">
        <v>443.251</v>
      </c>
      <c r="H3148" t="inlineStr">
        <is>
          <t>bb</t>
        </is>
      </c>
      <c r="I3148" t="n">
        <v>21138.484</v>
      </c>
    </row>
    <row r="3149">
      <c r="A3149" t="n">
        <v>27</v>
      </c>
      <c r="B3149" t="inlineStr">
        <is>
          <t>K3-4C</t>
        </is>
      </c>
      <c r="D3149" t="n">
        <v>14.01</v>
      </c>
      <c r="E3149" t="n">
        <v>24052.029</v>
      </c>
      <c r="G3149" t="n">
        <v>182.267</v>
      </c>
      <c r="H3149" t="inlineStr">
        <is>
          <t>bb</t>
        </is>
      </c>
      <c r="I3149" t="n">
        <v>24052.029</v>
      </c>
    </row>
    <row r="3150">
      <c r="A3150" t="n">
        <v>28</v>
      </c>
      <c r="B3150" t="inlineStr">
        <is>
          <t>MeOH</t>
        </is>
      </c>
      <c r="H3150" t="inlineStr">
        <is>
          <t>MM-</t>
        </is>
      </c>
    </row>
    <row r="3151">
      <c r="A3151" t="n">
        <v>29</v>
      </c>
      <c r="B3151" t="inlineStr">
        <is>
          <t>K3-6A</t>
        </is>
      </c>
      <c r="D3151" t="n">
        <v>14.01</v>
      </c>
      <c r="E3151" t="n">
        <v>19976.734</v>
      </c>
      <c r="G3151" t="n">
        <v>929.782</v>
      </c>
      <c r="H3151" t="inlineStr">
        <is>
          <t>bb</t>
        </is>
      </c>
      <c r="I3151" t="n">
        <v>19976.734</v>
      </c>
    </row>
    <row r="3152">
      <c r="A3152" t="n">
        <v>30</v>
      </c>
      <c r="B3152" t="inlineStr">
        <is>
          <t>K3-6B</t>
        </is>
      </c>
      <c r="D3152" t="n">
        <v>14.01</v>
      </c>
      <c r="E3152" t="n">
        <v>15967.418</v>
      </c>
      <c r="G3152" t="n">
        <v>1461.75</v>
      </c>
      <c r="H3152" t="inlineStr">
        <is>
          <t>bb</t>
        </is>
      </c>
      <c r="I3152" t="n">
        <v>15967.418</v>
      </c>
    </row>
    <row r="3153">
      <c r="A3153" t="n">
        <v>31</v>
      </c>
      <c r="B3153" t="inlineStr">
        <is>
          <t>K3-6C</t>
        </is>
      </c>
      <c r="D3153" t="n">
        <v>13.99</v>
      </c>
      <c r="E3153" t="n">
        <v>14614.665</v>
      </c>
      <c r="G3153" t="n">
        <v>173.284</v>
      </c>
      <c r="H3153" t="inlineStr">
        <is>
          <t>bb</t>
        </is>
      </c>
      <c r="I3153" t="n">
        <v>14614.665</v>
      </c>
    </row>
    <row r="3155">
      <c r="A3155" t="inlineStr">
        <is>
          <t>Compound 91:  m2 8:2 FTS 2</t>
        </is>
      </c>
    </row>
    <row r="3157">
      <c r="B3157" t="inlineStr">
        <is>
          <t>Sample Text</t>
        </is>
      </c>
      <c r="C3157" t="inlineStr">
        <is>
          <t>Std. Conc</t>
        </is>
      </c>
      <c r="D3157" t="inlineStr">
        <is>
          <t>RT</t>
        </is>
      </c>
      <c r="E3157" t="inlineStr">
        <is>
          <t>Area</t>
        </is>
      </c>
      <c r="F3157" t="inlineStr">
        <is>
          <t>IS Area</t>
        </is>
      </c>
      <c r="G3157" t="inlineStr">
        <is>
          <t>S/N</t>
        </is>
      </c>
      <c r="H3157" t="inlineStr">
        <is>
          <t>Primary Flags</t>
        </is>
      </c>
      <c r="I3157" t="inlineStr">
        <is>
          <t>Response</t>
        </is>
      </c>
      <c r="J3157" t="inlineStr">
        <is>
          <t>Conc.</t>
        </is>
      </c>
    </row>
    <row r="3158">
      <c r="A3158" t="n">
        <v>1</v>
      </c>
      <c r="B3158" t="inlineStr">
        <is>
          <t>K4-1A</t>
        </is>
      </c>
      <c r="D3158" t="n">
        <v>13.94</v>
      </c>
      <c r="E3158" t="n">
        <v>3913.259</v>
      </c>
      <c r="G3158" t="n">
        <v>38.171</v>
      </c>
      <c r="H3158" t="inlineStr">
        <is>
          <t>bb</t>
        </is>
      </c>
      <c r="I3158" t="n">
        <v>3913.259</v>
      </c>
    </row>
    <row r="3159">
      <c r="A3159" t="n">
        <v>2</v>
      </c>
      <c r="B3159" t="inlineStr">
        <is>
          <t>K4-1B</t>
        </is>
      </c>
      <c r="D3159" t="n">
        <v>13.94</v>
      </c>
      <c r="E3159" t="n">
        <v>4037.735</v>
      </c>
      <c r="G3159" t="n">
        <v>471.793</v>
      </c>
      <c r="H3159" t="inlineStr">
        <is>
          <t>bb</t>
        </is>
      </c>
      <c r="I3159" t="n">
        <v>4037.735</v>
      </c>
    </row>
    <row r="3160">
      <c r="A3160" t="n">
        <v>3</v>
      </c>
      <c r="B3160" t="inlineStr">
        <is>
          <t>K4-1C</t>
        </is>
      </c>
      <c r="D3160" t="n">
        <v>13.94</v>
      </c>
      <c r="E3160" t="n">
        <v>3633.886</v>
      </c>
      <c r="G3160" t="n">
        <v>53.905</v>
      </c>
      <c r="H3160" t="inlineStr">
        <is>
          <t>bb</t>
        </is>
      </c>
      <c r="I3160" t="n">
        <v>3633.886</v>
      </c>
    </row>
    <row r="3161">
      <c r="A3161" t="n">
        <v>4</v>
      </c>
      <c r="B3161" t="inlineStr">
        <is>
          <t>K4-2A</t>
        </is>
      </c>
      <c r="D3161" t="n">
        <v>13.94</v>
      </c>
      <c r="E3161" t="n">
        <v>3590.479</v>
      </c>
      <c r="G3161" t="n">
        <v>50.529</v>
      </c>
      <c r="H3161" t="inlineStr">
        <is>
          <t>bb</t>
        </is>
      </c>
      <c r="I3161" t="n">
        <v>3590.479</v>
      </c>
    </row>
    <row r="3162">
      <c r="A3162" t="n">
        <v>5</v>
      </c>
      <c r="B3162" t="inlineStr">
        <is>
          <t>K4-2B</t>
        </is>
      </c>
      <c r="D3162" t="n">
        <v>13.95</v>
      </c>
      <c r="E3162" t="n">
        <v>3000.977</v>
      </c>
      <c r="G3162" t="n">
        <v>77.959</v>
      </c>
      <c r="H3162" t="inlineStr">
        <is>
          <t>bb</t>
        </is>
      </c>
      <c r="I3162" t="n">
        <v>3000.977</v>
      </c>
    </row>
    <row r="3163">
      <c r="A3163" t="n">
        <v>6</v>
      </c>
      <c r="B3163" t="inlineStr">
        <is>
          <t>K4-2C</t>
        </is>
      </c>
      <c r="D3163" t="n">
        <v>13.96</v>
      </c>
      <c r="E3163" t="n">
        <v>2687.606</v>
      </c>
      <c r="G3163" t="n">
        <v>18627</v>
      </c>
      <c r="H3163" t="inlineStr">
        <is>
          <t>bb</t>
        </is>
      </c>
      <c r="I3163" t="n">
        <v>2687.606</v>
      </c>
    </row>
    <row r="3164">
      <c r="A3164" t="n">
        <v>7</v>
      </c>
      <c r="B3164" t="inlineStr">
        <is>
          <t>MeOH</t>
        </is>
      </c>
      <c r="H3164" t="inlineStr">
        <is>
          <t>MM-</t>
        </is>
      </c>
    </row>
    <row r="3165">
      <c r="A3165" t="n">
        <v>8</v>
      </c>
      <c r="B3165" t="inlineStr">
        <is>
          <t>K4-4A</t>
        </is>
      </c>
      <c r="D3165" t="n">
        <v>13.96</v>
      </c>
      <c r="E3165" t="n">
        <v>3610.808</v>
      </c>
      <c r="G3165" t="n">
        <v>349.278</v>
      </c>
      <c r="H3165" t="inlineStr">
        <is>
          <t>bb</t>
        </is>
      </c>
      <c r="I3165" t="n">
        <v>3610.808</v>
      </c>
    </row>
    <row r="3166">
      <c r="A3166" t="n">
        <v>9</v>
      </c>
      <c r="B3166" t="inlineStr">
        <is>
          <t>K4-4B</t>
        </is>
      </c>
      <c r="D3166" t="n">
        <v>13.96</v>
      </c>
      <c r="E3166" t="n">
        <v>3902.035</v>
      </c>
      <c r="G3166" t="n">
        <v>320.65</v>
      </c>
      <c r="H3166" t="inlineStr">
        <is>
          <t>bb</t>
        </is>
      </c>
      <c r="I3166" t="n">
        <v>3902.035</v>
      </c>
    </row>
    <row r="3167">
      <c r="A3167" t="n">
        <v>10</v>
      </c>
      <c r="B3167" t="inlineStr">
        <is>
          <t>K4-4C</t>
        </is>
      </c>
      <c r="D3167" t="n">
        <v>13.98</v>
      </c>
      <c r="E3167" t="n">
        <v>3629.824</v>
      </c>
      <c r="G3167" t="n">
        <v>25952</v>
      </c>
      <c r="H3167" t="inlineStr">
        <is>
          <t>bb</t>
        </is>
      </c>
      <c r="I3167" t="n">
        <v>3629.824</v>
      </c>
    </row>
    <row r="3168">
      <c r="A3168" t="n">
        <v>11</v>
      </c>
      <c r="B3168" t="inlineStr">
        <is>
          <t>K4-5A</t>
        </is>
      </c>
      <c r="D3168" t="n">
        <v>13.96</v>
      </c>
      <c r="E3168" t="n">
        <v>3754.7</v>
      </c>
      <c r="G3168" t="n">
        <v>2085.354</v>
      </c>
      <c r="H3168" t="inlineStr">
        <is>
          <t>bb</t>
        </is>
      </c>
      <c r="I3168" t="n">
        <v>3754.7</v>
      </c>
    </row>
    <row r="3169">
      <c r="A3169" t="n">
        <v>12</v>
      </c>
      <c r="B3169" t="inlineStr">
        <is>
          <t>K4-5B</t>
        </is>
      </c>
      <c r="D3169" t="n">
        <v>13.94</v>
      </c>
      <c r="E3169" t="n">
        <v>3328.258</v>
      </c>
      <c r="G3169" t="n">
        <v>13408.594</v>
      </c>
      <c r="H3169" t="inlineStr">
        <is>
          <t>bb</t>
        </is>
      </c>
      <c r="I3169" t="n">
        <v>3328.258</v>
      </c>
    </row>
    <row r="3170">
      <c r="A3170" t="n">
        <v>13</v>
      </c>
      <c r="B3170" t="inlineStr">
        <is>
          <t>K4-5C</t>
        </is>
      </c>
      <c r="D3170" t="n">
        <v>13.88</v>
      </c>
      <c r="E3170" t="n">
        <v>3659.381</v>
      </c>
      <c r="G3170" t="n">
        <v>1360.335</v>
      </c>
      <c r="H3170" t="inlineStr">
        <is>
          <t>bb</t>
        </is>
      </c>
      <c r="I3170" t="n">
        <v>3659.381</v>
      </c>
    </row>
    <row r="3171">
      <c r="A3171" t="n">
        <v>14</v>
      </c>
      <c r="B3171" t="inlineStr">
        <is>
          <t>MeOH</t>
        </is>
      </c>
    </row>
    <row r="3172">
      <c r="A3172" t="n">
        <v>15</v>
      </c>
      <c r="B3172" t="inlineStr">
        <is>
          <t>K3-1A</t>
        </is>
      </c>
      <c r="D3172" t="n">
        <v>13.84</v>
      </c>
      <c r="E3172" t="n">
        <v>3389.787</v>
      </c>
      <c r="G3172" t="n">
        <v>119.085</v>
      </c>
      <c r="H3172" t="inlineStr">
        <is>
          <t>bb</t>
        </is>
      </c>
      <c r="I3172" t="n">
        <v>3389.787</v>
      </c>
    </row>
    <row r="3173">
      <c r="A3173" t="n">
        <v>16</v>
      </c>
      <c r="B3173" t="inlineStr">
        <is>
          <t>K3-1B</t>
        </is>
      </c>
      <c r="D3173" t="n">
        <v>13.85</v>
      </c>
      <c r="E3173" t="n">
        <v>3184.794</v>
      </c>
      <c r="G3173" t="n">
        <v>20756</v>
      </c>
      <c r="H3173" t="inlineStr">
        <is>
          <t>bb</t>
        </is>
      </c>
      <c r="I3173" t="n">
        <v>3184.794</v>
      </c>
    </row>
    <row r="3174">
      <c r="A3174" t="n">
        <v>17</v>
      </c>
      <c r="B3174" t="inlineStr">
        <is>
          <t>K3-1C</t>
        </is>
      </c>
      <c r="D3174" t="n">
        <v>13.88</v>
      </c>
      <c r="E3174" t="n">
        <v>5584.681</v>
      </c>
      <c r="G3174" t="n">
        <v>39943</v>
      </c>
      <c r="H3174" t="inlineStr">
        <is>
          <t>bb</t>
        </is>
      </c>
      <c r="I3174" t="n">
        <v>5584.681</v>
      </c>
    </row>
    <row r="3175">
      <c r="A3175" t="n">
        <v>18</v>
      </c>
      <c r="B3175" t="inlineStr">
        <is>
          <t>K3-2A</t>
        </is>
      </c>
      <c r="D3175" t="n">
        <v>13.91</v>
      </c>
      <c r="E3175" t="n">
        <v>4599.162</v>
      </c>
      <c r="G3175" t="n">
        <v>115.879</v>
      </c>
      <c r="H3175" t="inlineStr">
        <is>
          <t>bb</t>
        </is>
      </c>
      <c r="I3175" t="n">
        <v>4599.162</v>
      </c>
    </row>
    <row r="3176">
      <c r="A3176" t="n">
        <v>19</v>
      </c>
      <c r="B3176" t="inlineStr">
        <is>
          <t>K3-2B</t>
        </is>
      </c>
      <c r="D3176" t="n">
        <v>13.91</v>
      </c>
      <c r="E3176" t="n">
        <v>4712.333</v>
      </c>
      <c r="G3176" t="n">
        <v>301.28</v>
      </c>
      <c r="H3176" t="inlineStr">
        <is>
          <t>bb</t>
        </is>
      </c>
      <c r="I3176" t="n">
        <v>4712.333</v>
      </c>
    </row>
    <row r="3177">
      <c r="A3177" t="n">
        <v>20</v>
      </c>
      <c r="B3177" t="inlineStr">
        <is>
          <t>K3-2C</t>
        </is>
      </c>
      <c r="D3177" t="n">
        <v>13.91</v>
      </c>
      <c r="E3177" t="n">
        <v>4263.168</v>
      </c>
      <c r="G3177" t="n">
        <v>522.102</v>
      </c>
      <c r="H3177" t="inlineStr">
        <is>
          <t>bb</t>
        </is>
      </c>
      <c r="I3177" t="n">
        <v>4263.168</v>
      </c>
    </row>
    <row r="3178">
      <c r="A3178" t="n">
        <v>21</v>
      </c>
      <c r="B3178" t="inlineStr">
        <is>
          <t>MeOH</t>
        </is>
      </c>
      <c r="H3178" t="inlineStr">
        <is>
          <t>MM-</t>
        </is>
      </c>
    </row>
    <row r="3179">
      <c r="A3179" t="n">
        <v>22</v>
      </c>
      <c r="B3179" t="inlineStr">
        <is>
          <t>K3-3A</t>
        </is>
      </c>
      <c r="D3179" t="n">
        <v>13.92</v>
      </c>
      <c r="E3179" t="n">
        <v>4236.037</v>
      </c>
      <c r="G3179" t="n">
        <v>30212</v>
      </c>
      <c r="H3179" t="inlineStr">
        <is>
          <t>bb</t>
        </is>
      </c>
      <c r="I3179" t="n">
        <v>4236.037</v>
      </c>
    </row>
    <row r="3180">
      <c r="A3180" t="n">
        <v>23</v>
      </c>
      <c r="B3180" t="inlineStr">
        <is>
          <t>K3-3B</t>
        </is>
      </c>
      <c r="D3180" t="n">
        <v>13.94</v>
      </c>
      <c r="E3180" t="n">
        <v>4354.077</v>
      </c>
      <c r="G3180" t="n">
        <v>28737</v>
      </c>
      <c r="H3180" t="inlineStr">
        <is>
          <t>bb</t>
        </is>
      </c>
      <c r="I3180" t="n">
        <v>4354.077</v>
      </c>
    </row>
    <row r="3181">
      <c r="A3181" t="n">
        <v>24</v>
      </c>
      <c r="B3181" t="inlineStr">
        <is>
          <t>K3-3C</t>
        </is>
      </c>
      <c r="D3181" t="n">
        <v>13.95</v>
      </c>
      <c r="E3181" t="n">
        <v>5347.716</v>
      </c>
      <c r="G3181" t="n">
        <v>162.479</v>
      </c>
      <c r="H3181" t="inlineStr">
        <is>
          <t>bb</t>
        </is>
      </c>
      <c r="I3181" t="n">
        <v>5347.716</v>
      </c>
    </row>
    <row r="3182">
      <c r="A3182" t="n">
        <v>25</v>
      </c>
      <c r="B3182" t="inlineStr">
        <is>
          <t>K3-4A</t>
        </is>
      </c>
      <c r="D3182" t="n">
        <v>13.99</v>
      </c>
      <c r="E3182" t="n">
        <v>4947.275</v>
      </c>
      <c r="G3182" t="n">
        <v>472.834</v>
      </c>
      <c r="H3182" t="inlineStr">
        <is>
          <t>bb</t>
        </is>
      </c>
      <c r="I3182" t="n">
        <v>4947.275</v>
      </c>
    </row>
    <row r="3183">
      <c r="A3183" t="n">
        <v>26</v>
      </c>
      <c r="B3183" t="inlineStr">
        <is>
          <t>K3-4B</t>
        </is>
      </c>
      <c r="D3183" t="n">
        <v>13.96</v>
      </c>
      <c r="E3183" t="n">
        <v>4954.611</v>
      </c>
      <c r="G3183" t="n">
        <v>112.676</v>
      </c>
      <c r="H3183" t="inlineStr">
        <is>
          <t>bb</t>
        </is>
      </c>
      <c r="I3183" t="n">
        <v>4954.611</v>
      </c>
    </row>
    <row r="3184">
      <c r="A3184" t="n">
        <v>27</v>
      </c>
      <c r="B3184" t="inlineStr">
        <is>
          <t>K3-4C</t>
        </is>
      </c>
      <c r="D3184" t="n">
        <v>14.01</v>
      </c>
      <c r="E3184" t="n">
        <v>4999.269</v>
      </c>
      <c r="G3184" t="n">
        <v>36508</v>
      </c>
      <c r="H3184" t="inlineStr">
        <is>
          <t>bb</t>
        </is>
      </c>
      <c r="I3184" t="n">
        <v>4999.269</v>
      </c>
    </row>
    <row r="3185">
      <c r="A3185" t="n">
        <v>28</v>
      </c>
      <c r="B3185" t="inlineStr">
        <is>
          <t>MeOH</t>
        </is>
      </c>
    </row>
    <row r="3186">
      <c r="A3186" t="n">
        <v>29</v>
      </c>
      <c r="B3186" t="inlineStr">
        <is>
          <t>K3-6A</t>
        </is>
      </c>
      <c r="D3186" t="n">
        <v>14.01</v>
      </c>
      <c r="E3186" t="n">
        <v>4928.694</v>
      </c>
      <c r="G3186" t="n">
        <v>16211.7</v>
      </c>
      <c r="H3186" t="inlineStr">
        <is>
          <t>bb</t>
        </is>
      </c>
      <c r="I3186" t="n">
        <v>4928.694</v>
      </c>
    </row>
    <row r="3187">
      <c r="A3187" t="n">
        <v>30</v>
      </c>
      <c r="B3187" t="inlineStr">
        <is>
          <t>K3-6B</t>
        </is>
      </c>
      <c r="D3187" t="n">
        <v>14.01</v>
      </c>
      <c r="E3187" t="n">
        <v>3985.754</v>
      </c>
      <c r="G3187" t="n">
        <v>118.298</v>
      </c>
      <c r="H3187" t="inlineStr">
        <is>
          <t>bb</t>
        </is>
      </c>
      <c r="I3187" t="n">
        <v>3985.754</v>
      </c>
    </row>
    <row r="3188">
      <c r="A3188" t="n">
        <v>31</v>
      </c>
      <c r="B3188" t="inlineStr">
        <is>
          <t>K3-6C</t>
        </is>
      </c>
      <c r="D3188" t="n">
        <v>13.99</v>
      </c>
      <c r="E3188" t="n">
        <v>3403.593</v>
      </c>
      <c r="G3188" t="n">
        <v>23037</v>
      </c>
      <c r="H3188" t="inlineStr">
        <is>
          <t>bb</t>
        </is>
      </c>
      <c r="I3188" t="n">
        <v>3403.593</v>
      </c>
    </row>
    <row r="3190">
      <c r="A3190" t="inlineStr">
        <is>
          <t>Compound 92:  9Cl-PF3ONS 1</t>
        </is>
      </c>
    </row>
    <row r="3192">
      <c r="B3192" t="inlineStr">
        <is>
          <t>Sample Text</t>
        </is>
      </c>
      <c r="C3192" t="inlineStr">
        <is>
          <t>Std. Conc</t>
        </is>
      </c>
      <c r="D3192" t="inlineStr">
        <is>
          <t>RT</t>
        </is>
      </c>
      <c r="E3192" t="inlineStr">
        <is>
          <t>Area</t>
        </is>
      </c>
      <c r="F3192" t="inlineStr">
        <is>
          <t>IS Area</t>
        </is>
      </c>
      <c r="G3192" t="inlineStr">
        <is>
          <t>S/N</t>
        </is>
      </c>
      <c r="H3192" t="inlineStr">
        <is>
          <t>Primary Flags</t>
        </is>
      </c>
      <c r="I3192" t="inlineStr">
        <is>
          <t>Response</t>
        </is>
      </c>
      <c r="J3192" t="inlineStr">
        <is>
          <t>Conc.</t>
        </is>
      </c>
    </row>
    <row r="3193">
      <c r="A3193" t="n">
        <v>1</v>
      </c>
      <c r="B3193" t="inlineStr">
        <is>
          <t>K4-1A</t>
        </is>
      </c>
      <c r="D3193" t="n">
        <v>13.7</v>
      </c>
      <c r="E3193" t="n">
        <v>343.774</v>
      </c>
      <c r="F3193" t="n">
        <v>242.818</v>
      </c>
      <c r="G3193" t="n">
        <v>2634</v>
      </c>
      <c r="H3193" t="inlineStr">
        <is>
          <t>bb</t>
        </is>
      </c>
    </row>
    <row r="3194">
      <c r="A3194" t="n">
        <v>2</v>
      </c>
      <c r="B3194" t="inlineStr">
        <is>
          <t>K4-1B</t>
        </is>
      </c>
      <c r="D3194" t="n">
        <v>13.67</v>
      </c>
      <c r="E3194" t="n">
        <v>116.635</v>
      </c>
      <c r="F3194" t="n">
        <v>508.77</v>
      </c>
      <c r="G3194" t="n">
        <v>951</v>
      </c>
      <c r="H3194" t="inlineStr">
        <is>
          <t>bb</t>
        </is>
      </c>
    </row>
    <row r="3195">
      <c r="A3195" t="n">
        <v>3</v>
      </c>
      <c r="B3195" t="inlineStr">
        <is>
          <t>K4-1C</t>
        </is>
      </c>
      <c r="D3195" t="n">
        <v>13.71</v>
      </c>
      <c r="E3195" t="n">
        <v>181.267</v>
      </c>
      <c r="F3195" t="n">
        <v>189.276</v>
      </c>
      <c r="G3195" t="n">
        <v>3.925</v>
      </c>
      <c r="H3195" t="inlineStr">
        <is>
          <t>bb</t>
        </is>
      </c>
    </row>
    <row r="3196">
      <c r="A3196" t="n">
        <v>4</v>
      </c>
      <c r="B3196" t="inlineStr">
        <is>
          <t>K4-2A</t>
        </is>
      </c>
      <c r="D3196" t="n">
        <v>13.74</v>
      </c>
      <c r="E3196" t="n">
        <v>72.566</v>
      </c>
      <c r="F3196" t="n">
        <v>318.211</v>
      </c>
      <c r="G3196" t="n">
        <v>1.996</v>
      </c>
      <c r="H3196" t="inlineStr">
        <is>
          <t>bb</t>
        </is>
      </c>
    </row>
    <row r="3197">
      <c r="A3197" t="n">
        <v>5</v>
      </c>
      <c r="B3197" t="inlineStr">
        <is>
          <t>K4-2B</t>
        </is>
      </c>
      <c r="D3197" t="n">
        <v>13.68</v>
      </c>
      <c r="E3197" t="n">
        <v>19.759</v>
      </c>
      <c r="F3197" t="n">
        <v>608.7859999999999</v>
      </c>
      <c r="G3197" t="n">
        <v>1.197</v>
      </c>
      <c r="H3197" t="inlineStr">
        <is>
          <t>bb</t>
        </is>
      </c>
    </row>
    <row r="3198">
      <c r="A3198" t="n">
        <v>6</v>
      </c>
      <c r="B3198" t="inlineStr">
        <is>
          <t>K4-2C</t>
        </is>
      </c>
      <c r="D3198" t="n">
        <v>13.71</v>
      </c>
      <c r="E3198" t="n">
        <v>86.486</v>
      </c>
      <c r="F3198" t="n">
        <v>229.764</v>
      </c>
      <c r="G3198" t="n">
        <v>2.679</v>
      </c>
      <c r="H3198" t="inlineStr">
        <is>
          <t>bb</t>
        </is>
      </c>
    </row>
    <row r="3199">
      <c r="A3199" t="n">
        <v>7</v>
      </c>
      <c r="B3199" t="inlineStr">
        <is>
          <t>MeOH</t>
        </is>
      </c>
      <c r="H3199" t="inlineStr">
        <is>
          <t>MM-</t>
        </is>
      </c>
    </row>
    <row r="3200">
      <c r="A3200" t="n">
        <v>8</v>
      </c>
      <c r="B3200" t="inlineStr">
        <is>
          <t>K4-4A</t>
        </is>
      </c>
      <c r="D3200" t="n">
        <v>13.74</v>
      </c>
      <c r="E3200" t="n">
        <v>6.91</v>
      </c>
      <c r="F3200" t="n">
        <v>288.067</v>
      </c>
      <c r="G3200" t="n">
        <v>60</v>
      </c>
      <c r="H3200" t="inlineStr">
        <is>
          <t>bb</t>
        </is>
      </c>
    </row>
    <row r="3201">
      <c r="A3201" t="n">
        <v>9</v>
      </c>
      <c r="B3201" t="inlineStr">
        <is>
          <t>K4-4B</t>
        </is>
      </c>
      <c r="D3201" t="n">
        <v>13.71</v>
      </c>
      <c r="E3201" t="n">
        <v>99.43899999999999</v>
      </c>
      <c r="F3201" t="n">
        <v>219.81</v>
      </c>
      <c r="G3201" t="n">
        <v>936</v>
      </c>
      <c r="H3201" t="inlineStr">
        <is>
          <t>bb</t>
        </is>
      </c>
    </row>
    <row r="3202">
      <c r="A3202" t="n">
        <v>10</v>
      </c>
      <c r="B3202" t="inlineStr">
        <is>
          <t>K4-4C</t>
        </is>
      </c>
      <c r="D3202" t="n">
        <v>13.71</v>
      </c>
      <c r="E3202" t="n">
        <v>22.458</v>
      </c>
      <c r="F3202" t="n">
        <v>322.86</v>
      </c>
      <c r="G3202" t="n">
        <v>2.643</v>
      </c>
      <c r="H3202" t="inlineStr">
        <is>
          <t>bb</t>
        </is>
      </c>
    </row>
    <row r="3203">
      <c r="A3203" t="n">
        <v>11</v>
      </c>
      <c r="B3203" t="inlineStr">
        <is>
          <t>K4-5A</t>
        </is>
      </c>
      <c r="D3203" t="n">
        <v>13.7</v>
      </c>
      <c r="E3203" t="n">
        <v>96.556</v>
      </c>
      <c r="F3203" t="n">
        <v>302.863</v>
      </c>
      <c r="G3203" t="n">
        <v>702</v>
      </c>
      <c r="H3203" t="inlineStr">
        <is>
          <t>bb</t>
        </is>
      </c>
    </row>
    <row r="3204">
      <c r="A3204" t="n">
        <v>12</v>
      </c>
      <c r="B3204" t="inlineStr">
        <is>
          <t>K4-5B</t>
        </is>
      </c>
      <c r="D3204" t="n">
        <v>13.68</v>
      </c>
      <c r="E3204" t="n">
        <v>40.386</v>
      </c>
      <c r="F3204" t="n">
        <v>188.939</v>
      </c>
      <c r="G3204" t="n">
        <v>2.917</v>
      </c>
      <c r="H3204" t="inlineStr">
        <is>
          <t>bb</t>
        </is>
      </c>
    </row>
    <row r="3205">
      <c r="A3205" t="n">
        <v>13</v>
      </c>
      <c r="B3205" t="inlineStr">
        <is>
          <t>K4-5C</t>
        </is>
      </c>
      <c r="D3205" t="n">
        <v>13.24</v>
      </c>
      <c r="E3205" t="n">
        <v>3.91</v>
      </c>
      <c r="F3205" t="n">
        <v>386.08</v>
      </c>
      <c r="G3205" t="n">
        <v>33</v>
      </c>
      <c r="H3205" t="inlineStr">
        <is>
          <t>bb</t>
        </is>
      </c>
    </row>
    <row r="3206">
      <c r="A3206" t="n">
        <v>14</v>
      </c>
      <c r="B3206" t="inlineStr">
        <is>
          <t>MeOH</t>
        </is>
      </c>
      <c r="H3206" t="inlineStr">
        <is>
          <t>MM-</t>
        </is>
      </c>
    </row>
    <row r="3207">
      <c r="A3207" t="n">
        <v>15</v>
      </c>
      <c r="B3207" t="inlineStr">
        <is>
          <t>K3-1A</t>
        </is>
      </c>
      <c r="D3207" t="n">
        <v>13.6</v>
      </c>
      <c r="E3207" t="n">
        <v>164.905</v>
      </c>
      <c r="F3207" t="n">
        <v>273.068</v>
      </c>
      <c r="G3207" t="n">
        <v>4.676</v>
      </c>
      <c r="H3207" t="inlineStr">
        <is>
          <t>bb</t>
        </is>
      </c>
    </row>
    <row r="3208">
      <c r="A3208" t="n">
        <v>16</v>
      </c>
      <c r="B3208" t="inlineStr">
        <is>
          <t>K3-1B</t>
        </is>
      </c>
      <c r="D3208" t="n">
        <v>13.62</v>
      </c>
      <c r="E3208" t="n">
        <v>31.115</v>
      </c>
      <c r="F3208" t="n">
        <v>112.597</v>
      </c>
      <c r="G3208" t="n">
        <v>307</v>
      </c>
      <c r="H3208" t="inlineStr">
        <is>
          <t>bb</t>
        </is>
      </c>
    </row>
    <row r="3209">
      <c r="A3209" t="n">
        <v>17</v>
      </c>
      <c r="B3209" t="inlineStr">
        <is>
          <t>K3-1C</t>
        </is>
      </c>
      <c r="D3209" t="n">
        <v>13.63</v>
      </c>
      <c r="E3209" t="n">
        <v>7.239</v>
      </c>
      <c r="F3209" t="n">
        <v>575.867</v>
      </c>
      <c r="G3209" t="n">
        <v>73</v>
      </c>
      <c r="H3209" t="inlineStr">
        <is>
          <t>bb</t>
        </is>
      </c>
    </row>
    <row r="3210">
      <c r="A3210" t="n">
        <v>18</v>
      </c>
      <c r="B3210" t="inlineStr">
        <is>
          <t>K3-2A</t>
        </is>
      </c>
      <c r="F3210" t="n">
        <v>406.817</v>
      </c>
    </row>
    <row r="3211">
      <c r="A3211" t="n">
        <v>19</v>
      </c>
      <c r="B3211" t="inlineStr">
        <is>
          <t>K3-2B</t>
        </is>
      </c>
      <c r="D3211" t="n">
        <v>13.66</v>
      </c>
      <c r="E3211" t="n">
        <v>33.37</v>
      </c>
      <c r="F3211" t="n">
        <v>266.099</v>
      </c>
      <c r="G3211" t="n">
        <v>334</v>
      </c>
      <c r="H3211" t="inlineStr">
        <is>
          <t>bb</t>
        </is>
      </c>
    </row>
    <row r="3212">
      <c r="A3212" t="n">
        <v>20</v>
      </c>
      <c r="B3212" t="inlineStr">
        <is>
          <t>K3-2C</t>
        </is>
      </c>
      <c r="D3212" t="n">
        <v>12.81</v>
      </c>
      <c r="E3212" t="n">
        <v>2.257</v>
      </c>
      <c r="F3212" t="n">
        <v>84.498</v>
      </c>
      <c r="G3212" t="n">
        <v>22</v>
      </c>
      <c r="H3212" t="inlineStr">
        <is>
          <t>MM</t>
        </is>
      </c>
    </row>
    <row r="3213">
      <c r="A3213" t="n">
        <v>21</v>
      </c>
      <c r="B3213" t="inlineStr">
        <is>
          <t>MeOH</t>
        </is>
      </c>
      <c r="H3213" t="inlineStr">
        <is>
          <t>MM-</t>
        </is>
      </c>
    </row>
    <row r="3214">
      <c r="A3214" t="n">
        <v>22</v>
      </c>
      <c r="B3214" t="inlineStr">
        <is>
          <t>K3-3A</t>
        </is>
      </c>
      <c r="D3214" t="n">
        <v>13.67</v>
      </c>
      <c r="E3214" t="n">
        <v>20.468</v>
      </c>
      <c r="F3214" t="n">
        <v>164.973</v>
      </c>
      <c r="G3214" t="n">
        <v>192</v>
      </c>
      <c r="H3214" t="inlineStr">
        <is>
          <t>bb</t>
        </is>
      </c>
    </row>
    <row r="3215">
      <c r="A3215" t="n">
        <v>23</v>
      </c>
      <c r="B3215" t="inlineStr">
        <is>
          <t>K3-3B</t>
        </is>
      </c>
      <c r="D3215" t="n">
        <v>13.3</v>
      </c>
      <c r="E3215" t="n">
        <v>56.14</v>
      </c>
      <c r="F3215" t="n">
        <v>375.679</v>
      </c>
      <c r="G3215" t="n">
        <v>449</v>
      </c>
      <c r="H3215" t="inlineStr">
        <is>
          <t>MM</t>
        </is>
      </c>
    </row>
    <row r="3216">
      <c r="A3216" t="n">
        <v>24</v>
      </c>
      <c r="B3216" t="inlineStr">
        <is>
          <t>K3-3C</t>
        </is>
      </c>
      <c r="D3216" t="n">
        <v>13.68</v>
      </c>
      <c r="E3216" t="n">
        <v>1.014</v>
      </c>
      <c r="F3216" t="n">
        <v>522.725</v>
      </c>
      <c r="G3216" t="n">
        <v>10</v>
      </c>
      <c r="H3216" t="inlineStr">
        <is>
          <t>bb</t>
        </is>
      </c>
    </row>
    <row r="3217">
      <c r="A3217" t="n">
        <v>25</v>
      </c>
      <c r="B3217" t="inlineStr">
        <is>
          <t>K3-4A</t>
        </is>
      </c>
      <c r="D3217" t="n">
        <v>13.72</v>
      </c>
      <c r="E3217" t="n">
        <v>0.863</v>
      </c>
      <c r="F3217" t="n">
        <v>299.257</v>
      </c>
      <c r="G3217" t="n">
        <v>6</v>
      </c>
      <c r="H3217" t="inlineStr">
        <is>
          <t>bb</t>
        </is>
      </c>
    </row>
    <row r="3218">
      <c r="A3218" t="n">
        <v>26</v>
      </c>
      <c r="B3218" t="inlineStr">
        <is>
          <t>K3-4B</t>
        </is>
      </c>
      <c r="D3218" t="n">
        <v>13.71</v>
      </c>
      <c r="E3218" t="n">
        <v>22.487</v>
      </c>
      <c r="F3218" t="n">
        <v>449.922</v>
      </c>
      <c r="G3218" t="n">
        <v>206</v>
      </c>
      <c r="H3218" t="inlineStr">
        <is>
          <t>bb</t>
        </is>
      </c>
    </row>
    <row r="3219">
      <c r="A3219" t="n">
        <v>27</v>
      </c>
      <c r="B3219" t="inlineStr">
        <is>
          <t>K3-4C</t>
        </is>
      </c>
      <c r="D3219" t="n">
        <v>13.86</v>
      </c>
      <c r="E3219" t="n">
        <v>0.298</v>
      </c>
      <c r="F3219" t="n">
        <v>357.082</v>
      </c>
      <c r="G3219" t="n">
        <v>3</v>
      </c>
      <c r="H3219" t="inlineStr">
        <is>
          <t>bb</t>
        </is>
      </c>
    </row>
    <row r="3220">
      <c r="A3220" t="n">
        <v>28</v>
      </c>
      <c r="B3220" t="inlineStr">
        <is>
          <t>MeOH</t>
        </is>
      </c>
      <c r="H3220" t="inlineStr">
        <is>
          <t>MM-</t>
        </is>
      </c>
    </row>
    <row r="3221">
      <c r="A3221" t="n">
        <v>29</v>
      </c>
      <c r="B3221" t="inlineStr">
        <is>
          <t>K3-6A</t>
        </is>
      </c>
      <c r="D3221" t="n">
        <v>13.79</v>
      </c>
      <c r="E3221" t="n">
        <v>12.23</v>
      </c>
      <c r="F3221" t="n">
        <v>481.186</v>
      </c>
      <c r="G3221" t="n">
        <v>106</v>
      </c>
      <c r="H3221" t="inlineStr">
        <is>
          <t>bb</t>
        </is>
      </c>
    </row>
    <row r="3222">
      <c r="A3222" t="n">
        <v>30</v>
      </c>
      <c r="B3222" t="inlineStr">
        <is>
          <t>K3-6B</t>
        </is>
      </c>
      <c r="D3222" t="n">
        <v>13.72</v>
      </c>
      <c r="E3222" t="n">
        <v>7.958</v>
      </c>
      <c r="F3222" t="n">
        <v>210.944</v>
      </c>
      <c r="G3222" t="n">
        <v>78</v>
      </c>
      <c r="H3222" t="inlineStr">
        <is>
          <t>bb</t>
        </is>
      </c>
    </row>
    <row r="3223">
      <c r="A3223" t="n">
        <v>31</v>
      </c>
      <c r="B3223" t="inlineStr">
        <is>
          <t>K3-6C</t>
        </is>
      </c>
      <c r="D3223" t="n">
        <v>13.38</v>
      </c>
      <c r="E3223" t="n">
        <v>0.712</v>
      </c>
      <c r="F3223" t="n">
        <v>445.594</v>
      </c>
      <c r="G3223" t="n">
        <v>6</v>
      </c>
      <c r="H3223" t="inlineStr">
        <is>
          <t>bb</t>
        </is>
      </c>
    </row>
    <row r="3225">
      <c r="A3225" t="inlineStr">
        <is>
          <t>Compound 93:  9Cl-PF3ONS 2</t>
        </is>
      </c>
    </row>
    <row r="3227">
      <c r="B3227" t="inlineStr">
        <is>
          <t>Sample Text</t>
        </is>
      </c>
      <c r="C3227" t="inlineStr">
        <is>
          <t>Std. Conc</t>
        </is>
      </c>
      <c r="D3227" t="inlineStr">
        <is>
          <t>RT</t>
        </is>
      </c>
      <c r="E3227" t="inlineStr">
        <is>
          <t>Area</t>
        </is>
      </c>
      <c r="F3227" t="inlineStr">
        <is>
          <t>IS Area</t>
        </is>
      </c>
      <c r="G3227" t="inlineStr">
        <is>
          <t>S/N</t>
        </is>
      </c>
      <c r="H3227" t="inlineStr">
        <is>
          <t>Primary Flags</t>
        </is>
      </c>
      <c r="I3227" t="inlineStr">
        <is>
          <t>Response</t>
        </is>
      </c>
      <c r="J3227" t="inlineStr">
        <is>
          <t>Conc.</t>
        </is>
      </c>
    </row>
    <row r="3228">
      <c r="A3228" t="n">
        <v>1</v>
      </c>
      <c r="B3228" t="inlineStr">
        <is>
          <t>K4-1A</t>
        </is>
      </c>
      <c r="D3228" t="n">
        <v>13.92</v>
      </c>
      <c r="E3228" t="n">
        <v>379.711</v>
      </c>
      <c r="F3228" t="n">
        <v>242.818</v>
      </c>
      <c r="G3228" t="n">
        <v>3.735</v>
      </c>
      <c r="H3228" t="inlineStr">
        <is>
          <t>bb</t>
        </is>
      </c>
    </row>
    <row r="3229">
      <c r="A3229" t="n">
        <v>2</v>
      </c>
      <c r="B3229" t="inlineStr">
        <is>
          <t>K4-1B</t>
        </is>
      </c>
      <c r="D3229" t="n">
        <v>13.94</v>
      </c>
      <c r="E3229" t="n">
        <v>297.051</v>
      </c>
      <c r="F3229" t="n">
        <v>508.77</v>
      </c>
      <c r="G3229" t="n">
        <v>2118</v>
      </c>
      <c r="H3229" t="inlineStr">
        <is>
          <t>bb</t>
        </is>
      </c>
    </row>
    <row r="3230">
      <c r="A3230" t="n">
        <v>3</v>
      </c>
      <c r="B3230" t="inlineStr">
        <is>
          <t>K4-1C</t>
        </is>
      </c>
      <c r="D3230" t="n">
        <v>13.92</v>
      </c>
      <c r="E3230" t="n">
        <v>283.88</v>
      </c>
      <c r="F3230" t="n">
        <v>189.276</v>
      </c>
      <c r="G3230" t="n">
        <v>19.629</v>
      </c>
      <c r="H3230" t="inlineStr">
        <is>
          <t>bb</t>
        </is>
      </c>
    </row>
    <row r="3231">
      <c r="A3231" t="n">
        <v>4</v>
      </c>
      <c r="B3231" t="inlineStr">
        <is>
          <t>K4-2A</t>
        </is>
      </c>
      <c r="D3231" t="n">
        <v>13.98</v>
      </c>
      <c r="E3231" t="n">
        <v>156.212</v>
      </c>
      <c r="F3231" t="n">
        <v>318.211</v>
      </c>
      <c r="G3231" t="n">
        <v>2.298</v>
      </c>
      <c r="H3231" t="inlineStr">
        <is>
          <t>bb</t>
        </is>
      </c>
    </row>
    <row r="3232">
      <c r="A3232" t="n">
        <v>5</v>
      </c>
      <c r="B3232" t="inlineStr">
        <is>
          <t>K4-2B</t>
        </is>
      </c>
      <c r="D3232" t="n">
        <v>13.96</v>
      </c>
      <c r="E3232" t="n">
        <v>333.096</v>
      </c>
      <c r="F3232" t="n">
        <v>608.7859999999999</v>
      </c>
      <c r="G3232" t="n">
        <v>5.851</v>
      </c>
      <c r="H3232" t="inlineStr">
        <is>
          <t>bb</t>
        </is>
      </c>
    </row>
    <row r="3233">
      <c r="A3233" t="n">
        <v>6</v>
      </c>
      <c r="B3233" t="inlineStr">
        <is>
          <t>K4-2C</t>
        </is>
      </c>
      <c r="D3233" t="n">
        <v>13.96</v>
      </c>
      <c r="E3233" t="n">
        <v>301.496</v>
      </c>
      <c r="F3233" t="n">
        <v>229.764</v>
      </c>
      <c r="G3233" t="n">
        <v>2203</v>
      </c>
      <c r="H3233" t="inlineStr">
        <is>
          <t>bb</t>
        </is>
      </c>
    </row>
    <row r="3234">
      <c r="A3234" t="n">
        <v>7</v>
      </c>
      <c r="B3234" t="inlineStr">
        <is>
          <t>MeOH</t>
        </is>
      </c>
      <c r="D3234" t="n">
        <v>13.72</v>
      </c>
      <c r="E3234" t="n">
        <v>17.86</v>
      </c>
      <c r="G3234" t="n">
        <v>162</v>
      </c>
      <c r="H3234" t="inlineStr">
        <is>
          <t>bb</t>
        </is>
      </c>
    </row>
    <row r="3235">
      <c r="A3235" t="n">
        <v>8</v>
      </c>
      <c r="B3235" t="inlineStr">
        <is>
          <t>K4-4A</t>
        </is>
      </c>
      <c r="D3235" t="n">
        <v>13.98</v>
      </c>
      <c r="E3235" t="n">
        <v>401.673</v>
      </c>
      <c r="F3235" t="n">
        <v>288.067</v>
      </c>
      <c r="G3235" t="n">
        <v>102.917</v>
      </c>
      <c r="H3235" t="inlineStr">
        <is>
          <t>bb</t>
        </is>
      </c>
    </row>
    <row r="3236">
      <c r="A3236" t="n">
        <v>9</v>
      </c>
      <c r="B3236" t="inlineStr">
        <is>
          <t>K4-4B</t>
        </is>
      </c>
      <c r="D3236" t="n">
        <v>13.99</v>
      </c>
      <c r="E3236" t="n">
        <v>269.788</v>
      </c>
      <c r="F3236" t="n">
        <v>219.81</v>
      </c>
      <c r="G3236" t="n">
        <v>2057</v>
      </c>
      <c r="H3236" t="inlineStr">
        <is>
          <t>bb</t>
        </is>
      </c>
    </row>
    <row r="3237">
      <c r="A3237" t="n">
        <v>10</v>
      </c>
      <c r="B3237" t="inlineStr">
        <is>
          <t>K4-4C</t>
        </is>
      </c>
      <c r="D3237" t="n">
        <v>13.98</v>
      </c>
      <c r="E3237" t="n">
        <v>419.153</v>
      </c>
      <c r="F3237" t="n">
        <v>322.86</v>
      </c>
      <c r="G3237" t="n">
        <v>26.921</v>
      </c>
      <c r="H3237" t="inlineStr">
        <is>
          <t>bb</t>
        </is>
      </c>
    </row>
    <row r="3238">
      <c r="A3238" t="n">
        <v>11</v>
      </c>
      <c r="B3238" t="inlineStr">
        <is>
          <t>K4-5A</t>
        </is>
      </c>
      <c r="D3238" t="n">
        <v>13.95</v>
      </c>
      <c r="E3238" t="n">
        <v>234.142</v>
      </c>
      <c r="F3238" t="n">
        <v>302.863</v>
      </c>
      <c r="G3238" t="n">
        <v>1556</v>
      </c>
      <c r="H3238" t="inlineStr">
        <is>
          <t>bb</t>
        </is>
      </c>
    </row>
    <row r="3239">
      <c r="A3239" t="n">
        <v>12</v>
      </c>
      <c r="B3239" t="inlineStr">
        <is>
          <t>K4-5B</t>
        </is>
      </c>
      <c r="D3239" t="n">
        <v>13.95</v>
      </c>
      <c r="E3239" t="n">
        <v>353.638</v>
      </c>
      <c r="F3239" t="n">
        <v>188.939</v>
      </c>
      <c r="G3239" t="n">
        <v>17.532</v>
      </c>
      <c r="H3239" t="inlineStr">
        <is>
          <t>bb</t>
        </is>
      </c>
    </row>
    <row r="3240">
      <c r="A3240" t="n">
        <v>13</v>
      </c>
      <c r="B3240" t="inlineStr">
        <is>
          <t>K4-5C</t>
        </is>
      </c>
      <c r="D3240" t="n">
        <v>13.87</v>
      </c>
      <c r="E3240" t="n">
        <v>110.108</v>
      </c>
      <c r="F3240" t="n">
        <v>386.08</v>
      </c>
      <c r="G3240" t="n">
        <v>164.124</v>
      </c>
      <c r="H3240" t="inlineStr">
        <is>
          <t>bb</t>
        </is>
      </c>
    </row>
    <row r="3241">
      <c r="A3241" t="n">
        <v>14</v>
      </c>
      <c r="B3241" t="inlineStr">
        <is>
          <t>MeOH</t>
        </is>
      </c>
      <c r="D3241" t="n">
        <v>13.56</v>
      </c>
      <c r="E3241" t="n">
        <v>13.989</v>
      </c>
      <c r="G3241" t="n">
        <v>106</v>
      </c>
      <c r="H3241" t="inlineStr">
        <is>
          <t>bb</t>
        </is>
      </c>
    </row>
    <row r="3242">
      <c r="A3242" t="n">
        <v>15</v>
      </c>
      <c r="B3242" t="inlineStr">
        <is>
          <t>K3-1A</t>
        </is>
      </c>
      <c r="D3242" t="n">
        <v>13.82</v>
      </c>
      <c r="E3242" t="n">
        <v>332.377</v>
      </c>
      <c r="F3242" t="n">
        <v>273.068</v>
      </c>
      <c r="G3242" t="n">
        <v>6.662</v>
      </c>
      <c r="H3242" t="inlineStr">
        <is>
          <t>bb</t>
        </is>
      </c>
    </row>
    <row r="3243">
      <c r="A3243" t="n">
        <v>16</v>
      </c>
      <c r="B3243" t="inlineStr">
        <is>
          <t>K3-1B</t>
        </is>
      </c>
      <c r="D3243" t="n">
        <v>13.85</v>
      </c>
      <c r="E3243" t="n">
        <v>232.688</v>
      </c>
      <c r="F3243" t="n">
        <v>112.597</v>
      </c>
      <c r="G3243" t="n">
        <v>10.164</v>
      </c>
      <c r="H3243" t="inlineStr">
        <is>
          <t>bb</t>
        </is>
      </c>
    </row>
    <row r="3244">
      <c r="A3244" t="n">
        <v>17</v>
      </c>
      <c r="B3244" t="inlineStr">
        <is>
          <t>K3-1C</t>
        </is>
      </c>
      <c r="D3244" t="n">
        <v>13.88</v>
      </c>
      <c r="E3244" t="n">
        <v>501.713</v>
      </c>
      <c r="F3244" t="n">
        <v>575.867</v>
      </c>
      <c r="G3244" t="n">
        <v>3535</v>
      </c>
      <c r="H3244" t="inlineStr">
        <is>
          <t>bb</t>
        </is>
      </c>
    </row>
    <row r="3245">
      <c r="A3245" t="n">
        <v>18</v>
      </c>
      <c r="B3245" t="inlineStr">
        <is>
          <t>K3-2A</t>
        </is>
      </c>
      <c r="D3245" t="n">
        <v>13.89</v>
      </c>
      <c r="E3245" t="n">
        <v>446.14</v>
      </c>
      <c r="F3245" t="n">
        <v>406.817</v>
      </c>
      <c r="G3245" t="n">
        <v>3450</v>
      </c>
      <c r="H3245" t="inlineStr">
        <is>
          <t>bb</t>
        </is>
      </c>
    </row>
    <row r="3246">
      <c r="A3246" t="n">
        <v>19</v>
      </c>
      <c r="B3246" t="inlineStr">
        <is>
          <t>K3-2B</t>
        </is>
      </c>
      <c r="D3246" t="n">
        <v>13.91</v>
      </c>
      <c r="E3246" t="n">
        <v>464.805</v>
      </c>
      <c r="F3246" t="n">
        <v>266.099</v>
      </c>
      <c r="G3246" t="n">
        <v>21.759</v>
      </c>
      <c r="H3246" t="inlineStr">
        <is>
          <t>bb</t>
        </is>
      </c>
    </row>
    <row r="3247">
      <c r="A3247" t="n">
        <v>20</v>
      </c>
      <c r="B3247" t="inlineStr">
        <is>
          <t>K3-2C</t>
        </is>
      </c>
      <c r="D3247" t="n">
        <v>13.91</v>
      </c>
      <c r="E3247" t="n">
        <v>156.055</v>
      </c>
      <c r="F3247" t="n">
        <v>84.498</v>
      </c>
      <c r="G3247" t="n">
        <v>1142</v>
      </c>
      <c r="H3247" t="inlineStr">
        <is>
          <t>bb</t>
        </is>
      </c>
    </row>
    <row r="3248">
      <c r="A3248" t="n">
        <v>21</v>
      </c>
      <c r="B3248" t="inlineStr">
        <is>
          <t>MeOH</t>
        </is>
      </c>
      <c r="D3248" t="n">
        <v>13.66</v>
      </c>
      <c r="E3248" t="n">
        <v>13.711</v>
      </c>
      <c r="G3248" t="n">
        <v>129</v>
      </c>
      <c r="H3248" t="inlineStr">
        <is>
          <t>bb</t>
        </is>
      </c>
    </row>
    <row r="3249">
      <c r="A3249" t="n">
        <v>22</v>
      </c>
      <c r="B3249" t="inlineStr">
        <is>
          <t>K3-3A</t>
        </is>
      </c>
      <c r="D3249" t="n">
        <v>13.94</v>
      </c>
      <c r="E3249" t="n">
        <v>288.654</v>
      </c>
      <c r="F3249" t="n">
        <v>164.973</v>
      </c>
      <c r="G3249" t="n">
        <v>27.966</v>
      </c>
      <c r="H3249" t="inlineStr">
        <is>
          <t>bb</t>
        </is>
      </c>
    </row>
    <row r="3250">
      <c r="A3250" t="n">
        <v>23</v>
      </c>
      <c r="B3250" t="inlineStr">
        <is>
          <t>K3-3B</t>
        </is>
      </c>
      <c r="D3250" t="n">
        <v>13.94</v>
      </c>
      <c r="E3250" t="n">
        <v>246.015</v>
      </c>
      <c r="F3250" t="n">
        <v>375.679</v>
      </c>
      <c r="G3250" t="n">
        <v>1861</v>
      </c>
      <c r="H3250" t="inlineStr">
        <is>
          <t>bb</t>
        </is>
      </c>
    </row>
    <row r="3251">
      <c r="A3251" t="n">
        <v>24</v>
      </c>
      <c r="B3251" t="inlineStr">
        <is>
          <t>K3-3C</t>
        </is>
      </c>
      <c r="D3251" t="n">
        <v>13.95</v>
      </c>
      <c r="E3251" t="n">
        <v>344.21</v>
      </c>
      <c r="F3251" t="n">
        <v>522.725</v>
      </c>
      <c r="G3251" t="n">
        <v>2126</v>
      </c>
      <c r="H3251" t="inlineStr">
        <is>
          <t>MM</t>
        </is>
      </c>
    </row>
    <row r="3252">
      <c r="A3252" t="n">
        <v>25</v>
      </c>
      <c r="B3252" t="inlineStr">
        <is>
          <t>K3-4A</t>
        </is>
      </c>
      <c r="D3252" t="n">
        <v>13.98</v>
      </c>
      <c r="E3252" t="n">
        <v>393.136</v>
      </c>
      <c r="F3252" t="n">
        <v>299.257</v>
      </c>
      <c r="G3252" t="n">
        <v>68.81999999999999</v>
      </c>
      <c r="H3252" t="inlineStr">
        <is>
          <t>bb</t>
        </is>
      </c>
    </row>
    <row r="3253">
      <c r="A3253" t="n">
        <v>26</v>
      </c>
      <c r="B3253" t="inlineStr">
        <is>
          <t>K3-4B</t>
        </is>
      </c>
      <c r="D3253" t="n">
        <v>13.98</v>
      </c>
      <c r="E3253" t="n">
        <v>576.172</v>
      </c>
      <c r="F3253" t="n">
        <v>449.922</v>
      </c>
      <c r="G3253" t="n">
        <v>3888</v>
      </c>
      <c r="H3253" t="inlineStr">
        <is>
          <t>bb</t>
        </is>
      </c>
    </row>
    <row r="3254">
      <c r="A3254" t="n">
        <v>27</v>
      </c>
      <c r="B3254" t="inlineStr">
        <is>
          <t>K3-4C</t>
        </is>
      </c>
      <c r="D3254" t="n">
        <v>14.02</v>
      </c>
      <c r="E3254" t="n">
        <v>406.188</v>
      </c>
      <c r="F3254" t="n">
        <v>357.082</v>
      </c>
      <c r="G3254" t="n">
        <v>11.014</v>
      </c>
      <c r="H3254" t="inlineStr">
        <is>
          <t>bb</t>
        </is>
      </c>
    </row>
    <row r="3255">
      <c r="A3255" t="n">
        <v>28</v>
      </c>
      <c r="B3255" t="inlineStr">
        <is>
          <t>MeOH</t>
        </is>
      </c>
      <c r="D3255" t="n">
        <v>13.77</v>
      </c>
      <c r="E3255" t="n">
        <v>56.46</v>
      </c>
      <c r="G3255" t="n">
        <v>4.692</v>
      </c>
      <c r="H3255" t="inlineStr">
        <is>
          <t>bb</t>
        </is>
      </c>
    </row>
    <row r="3256">
      <c r="A3256" t="n">
        <v>29</v>
      </c>
      <c r="B3256" t="inlineStr">
        <is>
          <t>K3-6A</t>
        </is>
      </c>
      <c r="D3256" t="n">
        <v>14.01</v>
      </c>
      <c r="E3256" t="n">
        <v>346.514</v>
      </c>
      <c r="F3256" t="n">
        <v>481.186</v>
      </c>
      <c r="G3256" t="n">
        <v>2.19</v>
      </c>
      <c r="H3256" t="inlineStr">
        <is>
          <t>bb</t>
        </is>
      </c>
    </row>
    <row r="3257">
      <c r="A3257" t="n">
        <v>30</v>
      </c>
      <c r="B3257" t="inlineStr">
        <is>
          <t>K3-6B</t>
        </is>
      </c>
      <c r="D3257" t="n">
        <v>14.02</v>
      </c>
      <c r="E3257" t="n">
        <v>334.343</v>
      </c>
      <c r="F3257" t="n">
        <v>210.944</v>
      </c>
      <c r="G3257" t="n">
        <v>11.334</v>
      </c>
      <c r="H3257" t="inlineStr">
        <is>
          <t>bb</t>
        </is>
      </c>
    </row>
    <row r="3258">
      <c r="A3258" t="n">
        <v>31</v>
      </c>
      <c r="B3258" t="inlineStr">
        <is>
          <t>K3-6C</t>
        </is>
      </c>
      <c r="D3258" t="n">
        <v>13.96</v>
      </c>
      <c r="E3258" t="n">
        <v>291.619</v>
      </c>
      <c r="F3258" t="n">
        <v>445.594</v>
      </c>
      <c r="G3258" t="n">
        <v>22.708</v>
      </c>
      <c r="H3258" t="inlineStr">
        <is>
          <t>bb</t>
        </is>
      </c>
    </row>
    <row r="3260">
      <c r="A3260" t="inlineStr">
        <is>
          <t>Compound 94:  m5 N-EtFOSA 1</t>
        </is>
      </c>
    </row>
    <row r="3262">
      <c r="B3262" t="inlineStr">
        <is>
          <t>Sample Text</t>
        </is>
      </c>
      <c r="C3262" t="inlineStr">
        <is>
          <t>Std. Conc</t>
        </is>
      </c>
      <c r="D3262" t="inlineStr">
        <is>
          <t>RT</t>
        </is>
      </c>
      <c r="E3262" t="inlineStr">
        <is>
          <t>Area</t>
        </is>
      </c>
      <c r="F3262" t="inlineStr">
        <is>
          <t>IS Area</t>
        </is>
      </c>
      <c r="G3262" t="inlineStr">
        <is>
          <t>S/N</t>
        </is>
      </c>
      <c r="H3262" t="inlineStr">
        <is>
          <t>Primary Flags</t>
        </is>
      </c>
      <c r="I3262" t="inlineStr">
        <is>
          <t>Response</t>
        </is>
      </c>
      <c r="J3262" t="inlineStr">
        <is>
          <t>Conc.</t>
        </is>
      </c>
    </row>
    <row r="3263">
      <c r="A3263" t="n">
        <v>1</v>
      </c>
      <c r="B3263" t="inlineStr">
        <is>
          <t>K4-1A</t>
        </is>
      </c>
      <c r="D3263" t="n">
        <v>16.59</v>
      </c>
      <c r="E3263" t="n">
        <v>3005.722</v>
      </c>
      <c r="G3263" t="n">
        <v>85.029</v>
      </c>
      <c r="H3263" t="inlineStr">
        <is>
          <t>bb</t>
        </is>
      </c>
      <c r="I3263" t="n">
        <v>3005.722</v>
      </c>
    </row>
    <row r="3264">
      <c r="A3264" t="n">
        <v>2</v>
      </c>
      <c r="B3264" t="inlineStr">
        <is>
          <t>K4-1B</t>
        </is>
      </c>
      <c r="D3264" t="n">
        <v>16.6</v>
      </c>
      <c r="E3264" t="n">
        <v>2753.095</v>
      </c>
      <c r="G3264" t="n">
        <v>79.23699999999999</v>
      </c>
      <c r="H3264" t="inlineStr">
        <is>
          <t>bb</t>
        </is>
      </c>
      <c r="I3264" t="n">
        <v>2753.095</v>
      </c>
    </row>
    <row r="3265">
      <c r="A3265" t="n">
        <v>3</v>
      </c>
      <c r="B3265" t="inlineStr">
        <is>
          <t>K4-1C</t>
        </is>
      </c>
      <c r="D3265" t="n">
        <v>16.6</v>
      </c>
      <c r="E3265" t="n">
        <v>3219.148</v>
      </c>
      <c r="G3265" t="n">
        <v>30381</v>
      </c>
      <c r="H3265" t="inlineStr">
        <is>
          <t>bb</t>
        </is>
      </c>
      <c r="I3265" t="n">
        <v>3219.148</v>
      </c>
    </row>
    <row r="3266">
      <c r="A3266" t="n">
        <v>4</v>
      </c>
      <c r="B3266" t="inlineStr">
        <is>
          <t>K4-2A</t>
        </is>
      </c>
      <c r="D3266" t="n">
        <v>16.61</v>
      </c>
      <c r="E3266" t="n">
        <v>3074.921</v>
      </c>
      <c r="G3266" t="n">
        <v>20139.808</v>
      </c>
      <c r="H3266" t="inlineStr">
        <is>
          <t>bb</t>
        </is>
      </c>
      <c r="I3266" t="n">
        <v>3074.921</v>
      </c>
    </row>
    <row r="3267">
      <c r="A3267" t="n">
        <v>5</v>
      </c>
      <c r="B3267" t="inlineStr">
        <is>
          <t>K4-2B</t>
        </is>
      </c>
      <c r="D3267" t="n">
        <v>16.61</v>
      </c>
      <c r="E3267" t="n">
        <v>2113.953</v>
      </c>
      <c r="G3267" t="n">
        <v>18369</v>
      </c>
      <c r="H3267" t="inlineStr">
        <is>
          <t>bb</t>
        </is>
      </c>
      <c r="I3267" t="n">
        <v>2113.953</v>
      </c>
    </row>
    <row r="3268">
      <c r="A3268" t="n">
        <v>6</v>
      </c>
      <c r="B3268" t="inlineStr">
        <is>
          <t>K4-2C</t>
        </is>
      </c>
      <c r="D3268" t="n">
        <v>16.62</v>
      </c>
      <c r="E3268" t="n">
        <v>2043.23</v>
      </c>
      <c r="G3268" t="n">
        <v>419.625</v>
      </c>
      <c r="H3268" t="inlineStr">
        <is>
          <t>bb</t>
        </is>
      </c>
      <c r="I3268" t="n">
        <v>2043.23</v>
      </c>
    </row>
    <row r="3269">
      <c r="A3269" t="n">
        <v>7</v>
      </c>
      <c r="B3269" t="inlineStr">
        <is>
          <t>MeOH</t>
        </is>
      </c>
    </row>
    <row r="3270">
      <c r="A3270" t="n">
        <v>8</v>
      </c>
      <c r="B3270" t="inlineStr">
        <is>
          <t>K4-4A</t>
        </is>
      </c>
      <c r="D3270" t="n">
        <v>16.64</v>
      </c>
      <c r="E3270" t="n">
        <v>3196.453</v>
      </c>
      <c r="G3270" t="n">
        <v>100.454</v>
      </c>
      <c r="H3270" t="inlineStr">
        <is>
          <t>bb</t>
        </is>
      </c>
      <c r="I3270" t="n">
        <v>3196.453</v>
      </c>
    </row>
    <row r="3271">
      <c r="A3271" t="n">
        <v>9</v>
      </c>
      <c r="B3271" t="inlineStr">
        <is>
          <t>K4-4B</t>
        </is>
      </c>
      <c r="D3271" t="n">
        <v>16.64</v>
      </c>
      <c r="E3271" t="n">
        <v>2390.072</v>
      </c>
      <c r="G3271" t="n">
        <v>20446</v>
      </c>
      <c r="H3271" t="inlineStr">
        <is>
          <t>bb</t>
        </is>
      </c>
      <c r="I3271" t="n">
        <v>2390.072</v>
      </c>
    </row>
    <row r="3272">
      <c r="A3272" t="n">
        <v>10</v>
      </c>
      <c r="B3272" t="inlineStr">
        <is>
          <t>K4-4C</t>
        </is>
      </c>
      <c r="D3272" t="n">
        <v>16.64</v>
      </c>
      <c r="E3272" t="n">
        <v>2962.253</v>
      </c>
      <c r="G3272" t="n">
        <v>228.276</v>
      </c>
      <c r="H3272" t="inlineStr">
        <is>
          <t>bb</t>
        </is>
      </c>
      <c r="I3272" t="n">
        <v>2962.253</v>
      </c>
    </row>
    <row r="3273">
      <c r="A3273" t="n">
        <v>11</v>
      </c>
      <c r="B3273" t="inlineStr">
        <is>
          <t>K4-5A</t>
        </is>
      </c>
      <c r="D3273" t="n">
        <v>16.63</v>
      </c>
      <c r="E3273" t="n">
        <v>2517.348</v>
      </c>
      <c r="G3273" t="n">
        <v>269.659</v>
      </c>
      <c r="H3273" t="inlineStr">
        <is>
          <t>bb</t>
        </is>
      </c>
      <c r="I3273" t="n">
        <v>2517.348</v>
      </c>
    </row>
    <row r="3274">
      <c r="A3274" t="n">
        <v>12</v>
      </c>
      <c r="B3274" t="inlineStr">
        <is>
          <t>K4-5B</t>
        </is>
      </c>
      <c r="D3274" t="n">
        <v>16.62</v>
      </c>
      <c r="E3274" t="n">
        <v>2760.21</v>
      </c>
      <c r="G3274" t="n">
        <v>24569</v>
      </c>
      <c r="H3274" t="inlineStr">
        <is>
          <t>bb</t>
        </is>
      </c>
      <c r="I3274" t="n">
        <v>2760.21</v>
      </c>
    </row>
    <row r="3275">
      <c r="A3275" t="n">
        <v>13</v>
      </c>
      <c r="B3275" t="inlineStr">
        <is>
          <t>K4-5C</t>
        </is>
      </c>
      <c r="D3275" t="n">
        <v>16.58</v>
      </c>
      <c r="E3275" t="n">
        <v>2323.882</v>
      </c>
      <c r="G3275" t="n">
        <v>9.054</v>
      </c>
      <c r="H3275" t="inlineStr">
        <is>
          <t>bb</t>
        </is>
      </c>
      <c r="I3275" t="n">
        <v>2323.882</v>
      </c>
    </row>
    <row r="3276">
      <c r="A3276" t="n">
        <v>14</v>
      </c>
      <c r="B3276" t="inlineStr">
        <is>
          <t>MeOH</t>
        </is>
      </c>
    </row>
    <row r="3277">
      <c r="A3277" t="n">
        <v>15</v>
      </c>
      <c r="B3277" t="inlineStr">
        <is>
          <t>K3-1A</t>
        </is>
      </c>
      <c r="D3277" t="n">
        <v>16.57</v>
      </c>
      <c r="E3277" t="n">
        <v>3000.735</v>
      </c>
      <c r="G3277" t="n">
        <v>183.841</v>
      </c>
      <c r="H3277" t="inlineStr">
        <is>
          <t>bb</t>
        </is>
      </c>
      <c r="I3277" t="n">
        <v>3000.735</v>
      </c>
    </row>
    <row r="3278">
      <c r="A3278" t="n">
        <v>16</v>
      </c>
      <c r="B3278" t="inlineStr">
        <is>
          <t>K3-1B</t>
        </is>
      </c>
      <c r="D3278" t="n">
        <v>16.58</v>
      </c>
      <c r="E3278" t="n">
        <v>1898.942</v>
      </c>
      <c r="G3278" t="n">
        <v>16411</v>
      </c>
      <c r="H3278" t="inlineStr">
        <is>
          <t>bb</t>
        </is>
      </c>
      <c r="I3278" t="n">
        <v>1898.942</v>
      </c>
    </row>
    <row r="3279">
      <c r="A3279" t="n">
        <v>17</v>
      </c>
      <c r="B3279" t="inlineStr">
        <is>
          <t>K3-1C</t>
        </is>
      </c>
      <c r="D3279" t="n">
        <v>16.61</v>
      </c>
      <c r="E3279" t="n">
        <v>3850.193</v>
      </c>
      <c r="G3279" t="n">
        <v>34837</v>
      </c>
      <c r="H3279" t="inlineStr">
        <is>
          <t>bb</t>
        </is>
      </c>
      <c r="I3279" t="n">
        <v>3850.193</v>
      </c>
    </row>
    <row r="3280">
      <c r="A3280" t="n">
        <v>18</v>
      </c>
      <c r="B3280" t="inlineStr">
        <is>
          <t>K3-2A</t>
        </is>
      </c>
      <c r="D3280" t="n">
        <v>16.62</v>
      </c>
      <c r="E3280" t="n">
        <v>3639.932</v>
      </c>
      <c r="G3280" t="n">
        <v>34647</v>
      </c>
      <c r="H3280" t="inlineStr">
        <is>
          <t>bb</t>
        </is>
      </c>
      <c r="I3280" t="n">
        <v>3639.932</v>
      </c>
    </row>
    <row r="3281">
      <c r="A3281" t="n">
        <v>19</v>
      </c>
      <c r="B3281" t="inlineStr">
        <is>
          <t>K3-2B</t>
        </is>
      </c>
      <c r="D3281" t="n">
        <v>16.62</v>
      </c>
      <c r="E3281" t="n">
        <v>3692.815</v>
      </c>
      <c r="G3281" t="n">
        <v>751.625</v>
      </c>
      <c r="H3281" t="inlineStr">
        <is>
          <t>bb</t>
        </is>
      </c>
      <c r="I3281" t="n">
        <v>3692.815</v>
      </c>
    </row>
    <row r="3282">
      <c r="A3282" t="n">
        <v>20</v>
      </c>
      <c r="B3282" t="inlineStr">
        <is>
          <t>K3-2C</t>
        </is>
      </c>
      <c r="D3282" t="n">
        <v>16.64</v>
      </c>
      <c r="E3282" t="n">
        <v>2895.058</v>
      </c>
      <c r="G3282" t="n">
        <v>359.523</v>
      </c>
      <c r="H3282" t="inlineStr">
        <is>
          <t>bb</t>
        </is>
      </c>
      <c r="I3282" t="n">
        <v>2895.058</v>
      </c>
    </row>
    <row r="3283">
      <c r="A3283" t="n">
        <v>21</v>
      </c>
      <c r="B3283" t="inlineStr">
        <is>
          <t>MeOH</t>
        </is>
      </c>
    </row>
    <row r="3284">
      <c r="A3284" t="n">
        <v>22</v>
      </c>
      <c r="B3284" t="inlineStr">
        <is>
          <t>K3-3A</t>
        </is>
      </c>
      <c r="D3284" t="n">
        <v>16.65</v>
      </c>
      <c r="E3284" t="n">
        <v>2161.935</v>
      </c>
      <c r="G3284" t="n">
        <v>20548</v>
      </c>
      <c r="H3284" t="inlineStr">
        <is>
          <t>bb</t>
        </is>
      </c>
      <c r="I3284" t="n">
        <v>2161.935</v>
      </c>
    </row>
    <row r="3285">
      <c r="A3285" t="n">
        <v>23</v>
      </c>
      <c r="B3285" t="inlineStr">
        <is>
          <t>K3-3B</t>
        </is>
      </c>
      <c r="D3285" t="n">
        <v>16.67</v>
      </c>
      <c r="E3285" t="n">
        <v>3048.598</v>
      </c>
      <c r="G3285" t="n">
        <v>24524</v>
      </c>
      <c r="H3285" t="inlineStr">
        <is>
          <t>bb</t>
        </is>
      </c>
      <c r="I3285" t="n">
        <v>3048.598</v>
      </c>
    </row>
    <row r="3286">
      <c r="A3286" t="n">
        <v>24</v>
      </c>
      <c r="B3286" t="inlineStr">
        <is>
          <t>K3-3C</t>
        </is>
      </c>
      <c r="D3286" t="n">
        <v>16.67</v>
      </c>
      <c r="E3286" t="n">
        <v>3225.971</v>
      </c>
      <c r="G3286" t="n">
        <v>95.062</v>
      </c>
      <c r="H3286" t="inlineStr">
        <is>
          <t>bb</t>
        </is>
      </c>
      <c r="I3286" t="n">
        <v>3225.971</v>
      </c>
    </row>
    <row r="3287">
      <c r="A3287" t="n">
        <v>25</v>
      </c>
      <c r="B3287" t="inlineStr">
        <is>
          <t>K3-4A</t>
        </is>
      </c>
      <c r="D3287" t="n">
        <v>16.71</v>
      </c>
      <c r="E3287" t="n">
        <v>3658.864</v>
      </c>
      <c r="G3287" t="n">
        <v>644.114</v>
      </c>
      <c r="H3287" t="inlineStr">
        <is>
          <t>bb</t>
        </is>
      </c>
      <c r="I3287" t="n">
        <v>3658.864</v>
      </c>
    </row>
    <row r="3288">
      <c r="A3288" t="n">
        <v>26</v>
      </c>
      <c r="B3288" t="inlineStr">
        <is>
          <t>K3-4B</t>
        </is>
      </c>
      <c r="D3288" t="n">
        <v>16.7</v>
      </c>
      <c r="E3288" t="n">
        <v>3040.107</v>
      </c>
      <c r="G3288" t="n">
        <v>26630</v>
      </c>
      <c r="H3288" t="inlineStr">
        <is>
          <t>bb</t>
        </is>
      </c>
      <c r="I3288" t="n">
        <v>3040.107</v>
      </c>
    </row>
    <row r="3289">
      <c r="A3289" t="n">
        <v>27</v>
      </c>
      <c r="B3289" t="inlineStr">
        <is>
          <t>K3-4C</t>
        </is>
      </c>
      <c r="D3289" t="n">
        <v>16.74</v>
      </c>
      <c r="E3289" t="n">
        <v>3328.993</v>
      </c>
      <c r="G3289" t="n">
        <v>29036</v>
      </c>
      <c r="H3289" t="inlineStr">
        <is>
          <t>bb</t>
        </is>
      </c>
      <c r="I3289" t="n">
        <v>3328.993</v>
      </c>
    </row>
    <row r="3290">
      <c r="A3290" t="n">
        <v>28</v>
      </c>
      <c r="B3290" t="inlineStr">
        <is>
          <t>MeOH</t>
        </is>
      </c>
      <c r="D3290" t="n">
        <v>16.73</v>
      </c>
      <c r="E3290" t="n">
        <v>22.63</v>
      </c>
      <c r="G3290" t="n">
        <v>3.361</v>
      </c>
      <c r="H3290" t="inlineStr">
        <is>
          <t>bb</t>
        </is>
      </c>
      <c r="I3290" t="n">
        <v>22.63</v>
      </c>
    </row>
    <row r="3291">
      <c r="A3291" t="n">
        <v>29</v>
      </c>
      <c r="B3291" t="inlineStr">
        <is>
          <t>K3-6A</t>
        </is>
      </c>
      <c r="D3291" t="n">
        <v>16.74</v>
      </c>
      <c r="E3291" t="n">
        <v>3672.744</v>
      </c>
      <c r="G3291" t="n">
        <v>31021</v>
      </c>
      <c r="H3291" t="inlineStr">
        <is>
          <t>bb</t>
        </is>
      </c>
      <c r="I3291" t="n">
        <v>3672.744</v>
      </c>
    </row>
    <row r="3292">
      <c r="A3292" t="n">
        <v>30</v>
      </c>
      <c r="B3292" t="inlineStr">
        <is>
          <t>K3-6B</t>
        </is>
      </c>
      <c r="D3292" t="n">
        <v>16.73</v>
      </c>
      <c r="E3292" t="n">
        <v>2772.744</v>
      </c>
      <c r="G3292" t="n">
        <v>24065</v>
      </c>
      <c r="H3292" t="inlineStr">
        <is>
          <t>bb</t>
        </is>
      </c>
      <c r="I3292" t="n">
        <v>2772.744</v>
      </c>
    </row>
    <row r="3293">
      <c r="A3293" t="n">
        <v>31</v>
      </c>
      <c r="B3293" t="inlineStr">
        <is>
          <t>K3-6C</t>
        </is>
      </c>
      <c r="D3293" t="n">
        <v>16.71</v>
      </c>
      <c r="E3293" t="n">
        <v>2464.405</v>
      </c>
      <c r="G3293" t="n">
        <v>21726</v>
      </c>
      <c r="H3293" t="inlineStr">
        <is>
          <t>bb</t>
        </is>
      </c>
      <c r="I3293" t="n">
        <v>2464.405</v>
      </c>
    </row>
    <row r="3295">
      <c r="A3295" t="inlineStr">
        <is>
          <t>Compound 95:  m5 N-EtFOSA 2</t>
        </is>
      </c>
    </row>
    <row r="3297">
      <c r="B3297" t="inlineStr">
        <is>
          <t>Sample Text</t>
        </is>
      </c>
      <c r="C3297" t="inlineStr">
        <is>
          <t>Std. Conc</t>
        </is>
      </c>
      <c r="D3297" t="inlineStr">
        <is>
          <t>RT</t>
        </is>
      </c>
      <c r="E3297" t="inlineStr">
        <is>
          <t>Area</t>
        </is>
      </c>
      <c r="F3297" t="inlineStr">
        <is>
          <t>IS Area</t>
        </is>
      </c>
      <c r="G3297" t="inlineStr">
        <is>
          <t>S/N</t>
        </is>
      </c>
      <c r="H3297" t="inlineStr">
        <is>
          <t>Primary Flags</t>
        </is>
      </c>
      <c r="I3297" t="inlineStr">
        <is>
          <t>Response</t>
        </is>
      </c>
      <c r="J3297" t="inlineStr">
        <is>
          <t>Conc.</t>
        </is>
      </c>
    </row>
    <row r="3298">
      <c r="A3298" t="n">
        <v>1</v>
      </c>
      <c r="B3298" t="inlineStr">
        <is>
          <t>K4-1A</t>
        </is>
      </c>
      <c r="D3298" t="n">
        <v>16.58</v>
      </c>
      <c r="E3298" t="n">
        <v>3424.464</v>
      </c>
      <c r="G3298" t="n">
        <v>30447</v>
      </c>
      <c r="H3298" t="inlineStr">
        <is>
          <t>bb</t>
        </is>
      </c>
      <c r="I3298" t="n">
        <v>3424.464</v>
      </c>
    </row>
    <row r="3299">
      <c r="A3299" t="n">
        <v>2</v>
      </c>
      <c r="B3299" t="inlineStr">
        <is>
          <t>K4-1B</t>
        </is>
      </c>
      <c r="D3299" t="n">
        <v>16.6</v>
      </c>
      <c r="E3299" t="n">
        <v>3163.093</v>
      </c>
      <c r="G3299" t="n">
        <v>136.217</v>
      </c>
      <c r="H3299" t="inlineStr">
        <is>
          <t>bb</t>
        </is>
      </c>
      <c r="I3299" t="n">
        <v>3163.093</v>
      </c>
    </row>
    <row r="3300">
      <c r="A3300" t="n">
        <v>3</v>
      </c>
      <c r="B3300" t="inlineStr">
        <is>
          <t>K4-1C</t>
        </is>
      </c>
      <c r="D3300" t="n">
        <v>16.6</v>
      </c>
      <c r="E3300" t="n">
        <v>2991.645</v>
      </c>
      <c r="G3300" t="n">
        <v>542.129</v>
      </c>
      <c r="H3300" t="inlineStr">
        <is>
          <t>bb</t>
        </is>
      </c>
      <c r="I3300" t="n">
        <v>2991.645</v>
      </c>
    </row>
    <row r="3301">
      <c r="A3301" t="n">
        <v>4</v>
      </c>
      <c r="B3301" t="inlineStr">
        <is>
          <t>K4-2A</t>
        </is>
      </c>
      <c r="D3301" t="n">
        <v>16.61</v>
      </c>
      <c r="E3301" t="n">
        <v>2385.256</v>
      </c>
      <c r="G3301" t="n">
        <v>95.887</v>
      </c>
      <c r="H3301" t="inlineStr">
        <is>
          <t>bb</t>
        </is>
      </c>
      <c r="I3301" t="n">
        <v>2385.256</v>
      </c>
    </row>
    <row r="3302">
      <c r="A3302" t="n">
        <v>5</v>
      </c>
      <c r="B3302" t="inlineStr">
        <is>
          <t>K4-2B</t>
        </is>
      </c>
      <c r="D3302" t="n">
        <v>16.61</v>
      </c>
      <c r="E3302" t="n">
        <v>3131.821</v>
      </c>
      <c r="G3302" t="n">
        <v>29285</v>
      </c>
      <c r="H3302" t="inlineStr">
        <is>
          <t>bb</t>
        </is>
      </c>
      <c r="I3302" t="n">
        <v>3131.821</v>
      </c>
    </row>
    <row r="3303">
      <c r="A3303" t="n">
        <v>6</v>
      </c>
      <c r="B3303" t="inlineStr">
        <is>
          <t>K4-2C</t>
        </is>
      </c>
      <c r="D3303" t="n">
        <v>16.62</v>
      </c>
      <c r="E3303" t="n">
        <v>2135.685</v>
      </c>
      <c r="G3303" t="n">
        <v>20151</v>
      </c>
      <c r="H3303" t="inlineStr">
        <is>
          <t>bb</t>
        </is>
      </c>
      <c r="I3303" t="n">
        <v>2135.685</v>
      </c>
    </row>
    <row r="3304">
      <c r="A3304" t="n">
        <v>7</v>
      </c>
      <c r="B3304" t="inlineStr">
        <is>
          <t>MeOH</t>
        </is>
      </c>
      <c r="H3304" t="inlineStr">
        <is>
          <t>MM-</t>
        </is>
      </c>
    </row>
    <row r="3305">
      <c r="A3305" t="n">
        <v>8</v>
      </c>
      <c r="B3305" t="inlineStr">
        <is>
          <t>K4-4A</t>
        </is>
      </c>
      <c r="D3305" t="n">
        <v>16.64</v>
      </c>
      <c r="E3305" t="n">
        <v>2887.29</v>
      </c>
      <c r="G3305" t="n">
        <v>63.31</v>
      </c>
      <c r="H3305" t="inlineStr">
        <is>
          <t>bb</t>
        </is>
      </c>
      <c r="I3305" t="n">
        <v>2887.29</v>
      </c>
    </row>
    <row r="3306">
      <c r="A3306" t="n">
        <v>9</v>
      </c>
      <c r="B3306" t="inlineStr">
        <is>
          <t>K4-4B</t>
        </is>
      </c>
      <c r="D3306" t="n">
        <v>16.64</v>
      </c>
      <c r="E3306" t="n">
        <v>2919.135</v>
      </c>
      <c r="G3306" t="n">
        <v>321.15</v>
      </c>
      <c r="H3306" t="inlineStr">
        <is>
          <t>bb</t>
        </is>
      </c>
      <c r="I3306" t="n">
        <v>2919.135</v>
      </c>
    </row>
    <row r="3307">
      <c r="A3307" t="n">
        <v>10</v>
      </c>
      <c r="B3307" t="inlineStr">
        <is>
          <t>K4-4C</t>
        </is>
      </c>
      <c r="D3307" t="n">
        <v>16.64</v>
      </c>
      <c r="E3307" t="n">
        <v>3329.32</v>
      </c>
      <c r="G3307" t="n">
        <v>235.998</v>
      </c>
      <c r="H3307" t="inlineStr">
        <is>
          <t>bb</t>
        </is>
      </c>
      <c r="I3307" t="n">
        <v>3329.32</v>
      </c>
    </row>
    <row r="3308">
      <c r="A3308" t="n">
        <v>11</v>
      </c>
      <c r="B3308" t="inlineStr">
        <is>
          <t>K4-5A</t>
        </is>
      </c>
      <c r="D3308" t="n">
        <v>16.63</v>
      </c>
      <c r="E3308" t="n">
        <v>1977.385</v>
      </c>
      <c r="G3308" t="n">
        <v>17443</v>
      </c>
      <c r="H3308" t="inlineStr">
        <is>
          <t>bb</t>
        </is>
      </c>
      <c r="I3308" t="n">
        <v>1977.385</v>
      </c>
    </row>
    <row r="3309">
      <c r="A3309" t="n">
        <v>12</v>
      </c>
      <c r="B3309" t="inlineStr">
        <is>
          <t>K4-5B</t>
        </is>
      </c>
      <c r="D3309" t="n">
        <v>16.62</v>
      </c>
      <c r="E3309" t="n">
        <v>3131.076</v>
      </c>
      <c r="G3309" t="n">
        <v>29309</v>
      </c>
      <c r="H3309" t="inlineStr">
        <is>
          <t>bb</t>
        </is>
      </c>
      <c r="I3309" t="n">
        <v>3131.076</v>
      </c>
    </row>
    <row r="3310">
      <c r="A3310" t="n">
        <v>13</v>
      </c>
      <c r="B3310" t="inlineStr">
        <is>
          <t>K4-5C</t>
        </is>
      </c>
      <c r="D3310" t="n">
        <v>16.58</v>
      </c>
      <c r="E3310" t="n">
        <v>2297.892</v>
      </c>
      <c r="G3310" t="n">
        <v>138.487</v>
      </c>
      <c r="H3310" t="inlineStr">
        <is>
          <t>bb</t>
        </is>
      </c>
      <c r="I3310" t="n">
        <v>2297.892</v>
      </c>
    </row>
    <row r="3311">
      <c r="A3311" t="n">
        <v>14</v>
      </c>
      <c r="B3311" t="inlineStr">
        <is>
          <t>MeOH</t>
        </is>
      </c>
      <c r="D3311" t="n">
        <v>16.5</v>
      </c>
      <c r="E3311" t="n">
        <v>38.744</v>
      </c>
      <c r="G3311" t="n">
        <v>454</v>
      </c>
      <c r="H3311" t="inlineStr">
        <is>
          <t>bb</t>
        </is>
      </c>
      <c r="I3311" t="n">
        <v>38.744</v>
      </c>
    </row>
    <row r="3312">
      <c r="A3312" t="n">
        <v>15</v>
      </c>
      <c r="B3312" t="inlineStr">
        <is>
          <t>K3-1A</t>
        </is>
      </c>
      <c r="D3312" t="n">
        <v>16.57</v>
      </c>
      <c r="E3312" t="n">
        <v>2985.162</v>
      </c>
      <c r="G3312" t="n">
        <v>47.484</v>
      </c>
      <c r="H3312" t="inlineStr">
        <is>
          <t>bb</t>
        </is>
      </c>
      <c r="I3312" t="n">
        <v>2985.162</v>
      </c>
    </row>
    <row r="3313">
      <c r="A3313" t="n">
        <v>16</v>
      </c>
      <c r="B3313" t="inlineStr">
        <is>
          <t>K3-1B</t>
        </is>
      </c>
      <c r="D3313" t="n">
        <v>16.58</v>
      </c>
      <c r="E3313" t="n">
        <v>2676.21</v>
      </c>
      <c r="G3313" t="n">
        <v>502.492</v>
      </c>
      <c r="H3313" t="inlineStr">
        <is>
          <t>bb</t>
        </is>
      </c>
      <c r="I3313" t="n">
        <v>2676.21</v>
      </c>
    </row>
    <row r="3314">
      <c r="A3314" t="n">
        <v>17</v>
      </c>
      <c r="B3314" t="inlineStr">
        <is>
          <t>K3-1C</t>
        </is>
      </c>
      <c r="D3314" t="n">
        <v>16.61</v>
      </c>
      <c r="E3314" t="n">
        <v>3875.137</v>
      </c>
      <c r="G3314" t="n">
        <v>357.65</v>
      </c>
      <c r="H3314" t="inlineStr">
        <is>
          <t>bb</t>
        </is>
      </c>
      <c r="I3314" t="n">
        <v>3875.137</v>
      </c>
    </row>
    <row r="3315">
      <c r="A3315" t="n">
        <v>18</v>
      </c>
      <c r="B3315" t="inlineStr">
        <is>
          <t>K3-2A</t>
        </is>
      </c>
      <c r="D3315" t="n">
        <v>16.62</v>
      </c>
      <c r="E3315" t="n">
        <v>3168.367</v>
      </c>
      <c r="G3315" t="n">
        <v>489.773</v>
      </c>
      <c r="H3315" t="inlineStr">
        <is>
          <t>bb</t>
        </is>
      </c>
      <c r="I3315" t="n">
        <v>3168.367</v>
      </c>
    </row>
    <row r="3316">
      <c r="A3316" t="n">
        <v>19</v>
      </c>
      <c r="B3316" t="inlineStr">
        <is>
          <t>K3-2B</t>
        </is>
      </c>
      <c r="D3316" t="n">
        <v>16.61</v>
      </c>
      <c r="E3316" t="n">
        <v>4417.959</v>
      </c>
      <c r="G3316" t="n">
        <v>131.999</v>
      </c>
      <c r="H3316" t="inlineStr">
        <is>
          <t>bb</t>
        </is>
      </c>
      <c r="I3316" t="n">
        <v>4417.959</v>
      </c>
    </row>
    <row r="3317">
      <c r="A3317" t="n">
        <v>20</v>
      </c>
      <c r="B3317" t="inlineStr">
        <is>
          <t>K3-2C</t>
        </is>
      </c>
      <c r="D3317" t="n">
        <v>16.63</v>
      </c>
      <c r="E3317" t="n">
        <v>2880.977</v>
      </c>
      <c r="G3317" t="n">
        <v>186.474</v>
      </c>
      <c r="H3317" t="inlineStr">
        <is>
          <t>bb</t>
        </is>
      </c>
      <c r="I3317" t="n">
        <v>2880.977</v>
      </c>
    </row>
    <row r="3318">
      <c r="A3318" t="n">
        <v>21</v>
      </c>
      <c r="B3318" t="inlineStr">
        <is>
          <t>MeOH</t>
        </is>
      </c>
      <c r="H3318" t="inlineStr">
        <is>
          <t>MM-</t>
        </is>
      </c>
    </row>
    <row r="3319">
      <c r="A3319" t="n">
        <v>22</v>
      </c>
      <c r="B3319" t="inlineStr">
        <is>
          <t>K3-3A</t>
        </is>
      </c>
      <c r="D3319" t="n">
        <v>16.65</v>
      </c>
      <c r="E3319" t="n">
        <v>2707.321</v>
      </c>
      <c r="G3319" t="n">
        <v>24192</v>
      </c>
      <c r="H3319" t="inlineStr">
        <is>
          <t>bb</t>
        </is>
      </c>
      <c r="I3319" t="n">
        <v>2707.321</v>
      </c>
    </row>
    <row r="3320">
      <c r="A3320" t="n">
        <v>23</v>
      </c>
      <c r="B3320" t="inlineStr">
        <is>
          <t>K3-3B</t>
        </is>
      </c>
      <c r="D3320" t="n">
        <v>16.67</v>
      </c>
      <c r="E3320" t="n">
        <v>2642.736</v>
      </c>
      <c r="G3320" t="n">
        <v>172.329</v>
      </c>
      <c r="H3320" t="inlineStr">
        <is>
          <t>bb</t>
        </is>
      </c>
      <c r="I3320" t="n">
        <v>2642.736</v>
      </c>
    </row>
    <row r="3321">
      <c r="A3321" t="n">
        <v>24</v>
      </c>
      <c r="B3321" t="inlineStr">
        <is>
          <t>K3-3C</t>
        </is>
      </c>
      <c r="D3321" t="n">
        <v>16.67</v>
      </c>
      <c r="E3321" t="n">
        <v>3172.924</v>
      </c>
      <c r="G3321" t="n">
        <v>222.292</v>
      </c>
      <c r="H3321" t="inlineStr">
        <is>
          <t>bb</t>
        </is>
      </c>
      <c r="I3321" t="n">
        <v>3172.924</v>
      </c>
    </row>
    <row r="3322">
      <c r="A3322" t="n">
        <v>25</v>
      </c>
      <c r="B3322" t="inlineStr">
        <is>
          <t>K3-4A</t>
        </is>
      </c>
      <c r="D3322" t="n">
        <v>16.71</v>
      </c>
      <c r="E3322" t="n">
        <v>3319.839</v>
      </c>
      <c r="G3322" t="n">
        <v>178.042</v>
      </c>
      <c r="H3322" t="inlineStr">
        <is>
          <t>bb</t>
        </is>
      </c>
      <c r="I3322" t="n">
        <v>3319.839</v>
      </c>
    </row>
    <row r="3323">
      <c r="A3323" t="n">
        <v>26</v>
      </c>
      <c r="B3323" t="inlineStr">
        <is>
          <t>K3-4B</t>
        </is>
      </c>
      <c r="D3323" t="n">
        <v>16.71</v>
      </c>
      <c r="E3323" t="n">
        <v>3401.324</v>
      </c>
      <c r="G3323" t="n">
        <v>625.933</v>
      </c>
      <c r="H3323" t="inlineStr">
        <is>
          <t>bb</t>
        </is>
      </c>
      <c r="I3323" t="n">
        <v>3401.324</v>
      </c>
    </row>
    <row r="3324">
      <c r="A3324" t="n">
        <v>27</v>
      </c>
      <c r="B3324" t="inlineStr">
        <is>
          <t>K3-4C</t>
        </is>
      </c>
      <c r="D3324" t="n">
        <v>16.73</v>
      </c>
      <c r="E3324" t="n">
        <v>3613.869</v>
      </c>
      <c r="G3324" t="n">
        <v>163.728</v>
      </c>
      <c r="H3324" t="inlineStr">
        <is>
          <t>bb</t>
        </is>
      </c>
      <c r="I3324" t="n">
        <v>3613.869</v>
      </c>
    </row>
    <row r="3325">
      <c r="A3325" t="n">
        <v>28</v>
      </c>
      <c r="B3325" t="inlineStr">
        <is>
          <t>MeOH</t>
        </is>
      </c>
      <c r="D3325" t="n">
        <v>16.74</v>
      </c>
      <c r="E3325" t="n">
        <v>15.748</v>
      </c>
      <c r="G3325" t="n">
        <v>190</v>
      </c>
      <c r="H3325" t="inlineStr">
        <is>
          <t>bb</t>
        </is>
      </c>
      <c r="I3325" t="n">
        <v>15.748</v>
      </c>
    </row>
    <row r="3326">
      <c r="A3326" t="n">
        <v>29</v>
      </c>
      <c r="B3326" t="inlineStr">
        <is>
          <t>K3-6A</t>
        </is>
      </c>
      <c r="D3326" t="n">
        <v>16.74</v>
      </c>
      <c r="E3326" t="n">
        <v>2614.758</v>
      </c>
      <c r="G3326" t="n">
        <v>51.303</v>
      </c>
      <c r="H3326" t="inlineStr">
        <is>
          <t>bb</t>
        </is>
      </c>
      <c r="I3326" t="n">
        <v>2614.758</v>
      </c>
    </row>
    <row r="3327">
      <c r="A3327" t="n">
        <v>30</v>
      </c>
      <c r="B3327" t="inlineStr">
        <is>
          <t>K3-6B</t>
        </is>
      </c>
      <c r="D3327" t="n">
        <v>16.73</v>
      </c>
      <c r="E3327" t="n">
        <v>2672.94</v>
      </c>
      <c r="G3327" t="n">
        <v>24167</v>
      </c>
      <c r="H3327" t="inlineStr">
        <is>
          <t>bb</t>
        </is>
      </c>
      <c r="I3327" t="n">
        <v>2672.94</v>
      </c>
    </row>
    <row r="3328">
      <c r="A3328" t="n">
        <v>31</v>
      </c>
      <c r="B3328" t="inlineStr">
        <is>
          <t>K3-6C</t>
        </is>
      </c>
      <c r="D3328" t="n">
        <v>16.72</v>
      </c>
      <c r="E3328" t="n">
        <v>2110.161</v>
      </c>
      <c r="G3328" t="n">
        <v>18340</v>
      </c>
      <c r="H3328" t="inlineStr">
        <is>
          <t>bb</t>
        </is>
      </c>
      <c r="I3328" t="n">
        <v>2110.161</v>
      </c>
    </row>
    <row r="3330">
      <c r="A3330" t="inlineStr">
        <is>
          <t>Compound 96:  10:2 FTUCA 1</t>
        </is>
      </c>
    </row>
    <row r="3332">
      <c r="B3332" t="inlineStr">
        <is>
          <t>Sample Text</t>
        </is>
      </c>
      <c r="C3332" t="inlineStr">
        <is>
          <t>Std. Conc</t>
        </is>
      </c>
      <c r="D3332" t="inlineStr">
        <is>
          <t>RT</t>
        </is>
      </c>
      <c r="E3332" t="inlineStr">
        <is>
          <t>Area</t>
        </is>
      </c>
      <c r="F3332" t="inlineStr">
        <is>
          <t>IS Area</t>
        </is>
      </c>
      <c r="G3332" t="inlineStr">
        <is>
          <t>S/N</t>
        </is>
      </c>
      <c r="H3332" t="inlineStr">
        <is>
          <t>Primary Flags</t>
        </is>
      </c>
      <c r="I3332" t="inlineStr">
        <is>
          <t>Response</t>
        </is>
      </c>
      <c r="J3332" t="inlineStr">
        <is>
          <t>Conc.</t>
        </is>
      </c>
    </row>
    <row r="3333">
      <c r="A3333" t="n">
        <v>1</v>
      </c>
      <c r="B3333" t="inlineStr">
        <is>
          <t>K4-1A</t>
        </is>
      </c>
      <c r="D3333" t="n">
        <v>15.23</v>
      </c>
      <c r="E3333" t="n">
        <v>521.458</v>
      </c>
      <c r="F3333" t="n">
        <v>24821.027</v>
      </c>
      <c r="G3333" t="n">
        <v>3550</v>
      </c>
      <c r="H3333" t="inlineStr">
        <is>
          <t>bb</t>
        </is>
      </c>
    </row>
    <row r="3334">
      <c r="A3334" t="n">
        <v>2</v>
      </c>
      <c r="B3334" t="inlineStr">
        <is>
          <t>K4-1B</t>
        </is>
      </c>
      <c r="D3334" t="n">
        <v>15.23</v>
      </c>
      <c r="E3334" t="n">
        <v>181.737</v>
      </c>
      <c r="F3334" t="n">
        <v>24418.576</v>
      </c>
      <c r="G3334" t="n">
        <v>1252</v>
      </c>
      <c r="H3334" t="inlineStr">
        <is>
          <t>bb</t>
        </is>
      </c>
    </row>
    <row r="3335">
      <c r="A3335" t="n">
        <v>3</v>
      </c>
      <c r="B3335" t="inlineStr">
        <is>
          <t>K4-1C</t>
        </is>
      </c>
      <c r="D3335" t="n">
        <v>15.31</v>
      </c>
      <c r="E3335" t="n">
        <v>241.453</v>
      </c>
      <c r="F3335" t="n">
        <v>22987.746</v>
      </c>
      <c r="G3335" t="n">
        <v>1245</v>
      </c>
      <c r="H3335" t="inlineStr">
        <is>
          <t>bb</t>
        </is>
      </c>
    </row>
    <row r="3336">
      <c r="A3336" t="n">
        <v>4</v>
      </c>
      <c r="B3336" t="inlineStr">
        <is>
          <t>K4-2A</t>
        </is>
      </c>
      <c r="D3336" t="n">
        <v>15.26</v>
      </c>
      <c r="E3336" t="n">
        <v>84.518</v>
      </c>
      <c r="F3336" t="n">
        <v>22065.328</v>
      </c>
      <c r="G3336" t="n">
        <v>3.454</v>
      </c>
      <c r="H3336" t="inlineStr">
        <is>
          <t>bb</t>
        </is>
      </c>
    </row>
    <row r="3337">
      <c r="A3337" t="n">
        <v>5</v>
      </c>
      <c r="B3337" t="inlineStr">
        <is>
          <t>K4-2B</t>
        </is>
      </c>
      <c r="D3337" t="n">
        <v>15.31</v>
      </c>
      <c r="E3337" t="n">
        <v>52.84</v>
      </c>
      <c r="F3337" t="n">
        <v>22549.762</v>
      </c>
      <c r="G3337" t="n">
        <v>422</v>
      </c>
      <c r="H3337" t="inlineStr">
        <is>
          <t>bb</t>
        </is>
      </c>
    </row>
    <row r="3338">
      <c r="A3338" t="n">
        <v>6</v>
      </c>
      <c r="B3338" t="inlineStr">
        <is>
          <t>K4-2C</t>
        </is>
      </c>
      <c r="D3338" t="n">
        <v>15.3</v>
      </c>
      <c r="E3338" t="n">
        <v>56.226</v>
      </c>
      <c r="F3338" t="n">
        <v>21312.756</v>
      </c>
      <c r="G3338" t="n">
        <v>439</v>
      </c>
      <c r="H3338" t="inlineStr">
        <is>
          <t>bb</t>
        </is>
      </c>
    </row>
    <row r="3339">
      <c r="A3339" t="n">
        <v>7</v>
      </c>
      <c r="B3339" t="inlineStr">
        <is>
          <t>MeOH</t>
        </is>
      </c>
      <c r="H3339" t="inlineStr">
        <is>
          <t>MM-</t>
        </is>
      </c>
    </row>
    <row r="3340">
      <c r="A3340" t="n">
        <v>8</v>
      </c>
      <c r="B3340" t="inlineStr">
        <is>
          <t>K4-4A</t>
        </is>
      </c>
      <c r="F3340" t="n">
        <v>23539.836</v>
      </c>
    </row>
    <row r="3341">
      <c r="A3341" t="n">
        <v>9</v>
      </c>
      <c r="B3341" t="inlineStr">
        <is>
          <t>K4-4B</t>
        </is>
      </c>
      <c r="D3341" t="n">
        <v>15.33</v>
      </c>
      <c r="E3341" t="n">
        <v>147.751</v>
      </c>
      <c r="F3341" t="n">
        <v>23990.521</v>
      </c>
      <c r="G3341" t="n">
        <v>4.375</v>
      </c>
      <c r="H3341" t="inlineStr">
        <is>
          <t>bb</t>
        </is>
      </c>
    </row>
    <row r="3342">
      <c r="A3342" t="n">
        <v>10</v>
      </c>
      <c r="B3342" t="inlineStr">
        <is>
          <t>K4-4C</t>
        </is>
      </c>
      <c r="F3342" t="n">
        <v>26560.857</v>
      </c>
    </row>
    <row r="3343">
      <c r="A3343" t="n">
        <v>11</v>
      </c>
      <c r="B3343" t="inlineStr">
        <is>
          <t>K4-5A</t>
        </is>
      </c>
      <c r="D3343" t="n">
        <v>15.21</v>
      </c>
      <c r="E3343" t="n">
        <v>82.849</v>
      </c>
      <c r="F3343" t="n">
        <v>21848.643</v>
      </c>
      <c r="G3343" t="n">
        <v>613</v>
      </c>
      <c r="H3343" t="inlineStr">
        <is>
          <t>bb</t>
        </is>
      </c>
    </row>
    <row r="3344">
      <c r="A3344" t="n">
        <v>12</v>
      </c>
      <c r="B3344" t="inlineStr">
        <is>
          <t>K4-5B</t>
        </is>
      </c>
      <c r="D3344" t="n">
        <v>15.44</v>
      </c>
      <c r="E3344" t="n">
        <v>13.442</v>
      </c>
      <c r="F3344" t="n">
        <v>22835.781</v>
      </c>
      <c r="G3344" t="n">
        <v>111</v>
      </c>
      <c r="H3344" t="inlineStr">
        <is>
          <t>bb</t>
        </is>
      </c>
    </row>
    <row r="3345">
      <c r="A3345" t="n">
        <v>13</v>
      </c>
      <c r="B3345" t="inlineStr">
        <is>
          <t>K4-5C</t>
        </is>
      </c>
      <c r="D3345" t="n">
        <v>15.23</v>
      </c>
      <c r="E3345" t="n">
        <v>5.86</v>
      </c>
      <c r="F3345" t="n">
        <v>22675.041</v>
      </c>
      <c r="G3345" t="n">
        <v>50</v>
      </c>
      <c r="H3345" t="inlineStr">
        <is>
          <t>bb</t>
        </is>
      </c>
    </row>
    <row r="3346">
      <c r="A3346" t="n">
        <v>14</v>
      </c>
      <c r="B3346" t="inlineStr">
        <is>
          <t>MeOH</t>
        </is>
      </c>
      <c r="D3346" t="n">
        <v>15.13</v>
      </c>
      <c r="E3346" t="n">
        <v>1079.139</v>
      </c>
      <c r="G3346" t="n">
        <v>7490</v>
      </c>
      <c r="H3346" t="inlineStr">
        <is>
          <t>bb</t>
        </is>
      </c>
    </row>
    <row r="3347">
      <c r="A3347" t="n">
        <v>15</v>
      </c>
      <c r="B3347" t="inlineStr">
        <is>
          <t>K3-1A</t>
        </is>
      </c>
      <c r="D3347" t="n">
        <v>15.18</v>
      </c>
      <c r="E3347" t="n">
        <v>77.554</v>
      </c>
      <c r="F3347" t="n">
        <v>26872.742</v>
      </c>
      <c r="G3347" t="n">
        <v>653</v>
      </c>
      <c r="H3347" t="inlineStr">
        <is>
          <t>bb</t>
        </is>
      </c>
    </row>
    <row r="3348">
      <c r="A3348" t="n">
        <v>16</v>
      </c>
      <c r="B3348" t="inlineStr">
        <is>
          <t>K3-1B</t>
        </is>
      </c>
      <c r="D3348" t="n">
        <v>15.18</v>
      </c>
      <c r="E3348" t="n">
        <v>40.314</v>
      </c>
      <c r="F3348" t="n">
        <v>21870.893</v>
      </c>
      <c r="G3348" t="n">
        <v>272</v>
      </c>
      <c r="H3348" t="inlineStr">
        <is>
          <t>bb</t>
        </is>
      </c>
    </row>
    <row r="3349">
      <c r="A3349" t="n">
        <v>17</v>
      </c>
      <c r="B3349" t="inlineStr">
        <is>
          <t>K3-1C</t>
        </is>
      </c>
      <c r="D3349" t="n">
        <v>15.21</v>
      </c>
      <c r="E3349" t="n">
        <v>122.296</v>
      </c>
      <c r="F3349" t="n">
        <v>32909.313</v>
      </c>
      <c r="G3349" t="n">
        <v>1023</v>
      </c>
      <c r="H3349" t="inlineStr">
        <is>
          <t>bb</t>
        </is>
      </c>
    </row>
    <row r="3350">
      <c r="A3350" t="n">
        <v>18</v>
      </c>
      <c r="B3350" t="inlineStr">
        <is>
          <t>K3-2A</t>
        </is>
      </c>
      <c r="D3350" t="n">
        <v>15.23</v>
      </c>
      <c r="E3350" t="n">
        <v>33.673</v>
      </c>
      <c r="F3350" t="n">
        <v>26168.053</v>
      </c>
      <c r="G3350" t="n">
        <v>281</v>
      </c>
      <c r="H3350" t="inlineStr">
        <is>
          <t>bb</t>
        </is>
      </c>
    </row>
    <row r="3351">
      <c r="A3351" t="n">
        <v>19</v>
      </c>
      <c r="B3351" t="inlineStr">
        <is>
          <t>K3-2B</t>
        </is>
      </c>
      <c r="D3351" t="n">
        <v>15.18</v>
      </c>
      <c r="E3351" t="n">
        <v>7.903</v>
      </c>
      <c r="F3351" t="n">
        <v>31361.701</v>
      </c>
      <c r="G3351" t="n">
        <v>71</v>
      </c>
      <c r="H3351" t="inlineStr">
        <is>
          <t>bb</t>
        </is>
      </c>
    </row>
    <row r="3352">
      <c r="A3352" t="n">
        <v>20</v>
      </c>
      <c r="B3352" t="inlineStr">
        <is>
          <t>K3-2C</t>
        </is>
      </c>
      <c r="F3352" t="n">
        <v>25991.197</v>
      </c>
    </row>
    <row r="3353">
      <c r="A3353" t="n">
        <v>21</v>
      </c>
      <c r="B3353" t="inlineStr">
        <is>
          <t>MeOH</t>
        </is>
      </c>
      <c r="H3353" t="inlineStr">
        <is>
          <t>MM-</t>
        </is>
      </c>
    </row>
    <row r="3354">
      <c r="A3354" t="n">
        <v>22</v>
      </c>
      <c r="B3354" t="inlineStr">
        <is>
          <t>K3-3A</t>
        </is>
      </c>
      <c r="D3354" t="n">
        <v>15.23</v>
      </c>
      <c r="E3354" t="n">
        <v>60.186</v>
      </c>
      <c r="F3354" t="n">
        <v>22350.551</v>
      </c>
      <c r="G3354" t="n">
        <v>488</v>
      </c>
      <c r="H3354" t="inlineStr">
        <is>
          <t>bb</t>
        </is>
      </c>
    </row>
    <row r="3355">
      <c r="A3355" t="n">
        <v>23</v>
      </c>
      <c r="B3355" t="inlineStr">
        <is>
          <t>K3-3B</t>
        </is>
      </c>
      <c r="D3355" t="n">
        <v>15.26</v>
      </c>
      <c r="E3355" t="n">
        <v>9.75</v>
      </c>
      <c r="F3355" t="n">
        <v>25724.141</v>
      </c>
      <c r="G3355" t="n">
        <v>62</v>
      </c>
      <c r="H3355" t="inlineStr">
        <is>
          <t>bb</t>
        </is>
      </c>
    </row>
    <row r="3356">
      <c r="A3356" t="n">
        <v>24</v>
      </c>
      <c r="B3356" t="inlineStr">
        <is>
          <t>K3-3C</t>
        </is>
      </c>
      <c r="D3356" t="n">
        <v>15.28</v>
      </c>
      <c r="E3356" t="n">
        <v>25.568</v>
      </c>
      <c r="F3356" t="n">
        <v>29659.332</v>
      </c>
      <c r="G3356" t="n">
        <v>1.827</v>
      </c>
      <c r="H3356" t="inlineStr">
        <is>
          <t>bb</t>
        </is>
      </c>
    </row>
    <row r="3357">
      <c r="A3357" t="n">
        <v>25</v>
      </c>
      <c r="B3357" t="inlineStr">
        <is>
          <t>K3-4A</t>
        </is>
      </c>
      <c r="D3357" t="n">
        <v>15.4</v>
      </c>
      <c r="E3357" t="n">
        <v>48.419</v>
      </c>
      <c r="F3357" t="n">
        <v>31270.463</v>
      </c>
      <c r="G3357" t="n">
        <v>390</v>
      </c>
      <c r="H3357" t="inlineStr">
        <is>
          <t>bb</t>
        </is>
      </c>
    </row>
    <row r="3358">
      <c r="A3358" t="n">
        <v>26</v>
      </c>
      <c r="B3358" t="inlineStr">
        <is>
          <t>K3-4B</t>
        </is>
      </c>
      <c r="D3358" t="n">
        <v>15.36</v>
      </c>
      <c r="E3358" t="n">
        <v>0.733</v>
      </c>
      <c r="F3358" t="n">
        <v>30780.789</v>
      </c>
      <c r="G3358" t="n">
        <v>6</v>
      </c>
      <c r="H3358" t="inlineStr">
        <is>
          <t>bb</t>
        </is>
      </c>
    </row>
    <row r="3359">
      <c r="A3359" t="n">
        <v>27</v>
      </c>
      <c r="B3359" t="inlineStr">
        <is>
          <t>K3-4C</t>
        </is>
      </c>
      <c r="D3359" t="n">
        <v>15.28</v>
      </c>
      <c r="E3359" t="n">
        <v>43.694</v>
      </c>
      <c r="F3359" t="n">
        <v>31819.67</v>
      </c>
      <c r="G3359" t="n">
        <v>345</v>
      </c>
      <c r="H3359" t="inlineStr">
        <is>
          <t>bb</t>
        </is>
      </c>
    </row>
    <row r="3360">
      <c r="A3360" t="n">
        <v>28</v>
      </c>
      <c r="B3360" t="inlineStr">
        <is>
          <t>MeOH</t>
        </is>
      </c>
      <c r="H3360" t="inlineStr">
        <is>
          <t>MM-</t>
        </is>
      </c>
    </row>
    <row r="3361">
      <c r="A3361" t="n">
        <v>29</v>
      </c>
      <c r="B3361" t="inlineStr">
        <is>
          <t>K3-6A</t>
        </is>
      </c>
      <c r="D3361" t="n">
        <v>15.3</v>
      </c>
      <c r="E3361" t="n">
        <v>1.231</v>
      </c>
      <c r="F3361" t="n">
        <v>28759.182</v>
      </c>
      <c r="G3361" t="n">
        <v>10</v>
      </c>
      <c r="H3361" t="inlineStr">
        <is>
          <t>bb</t>
        </is>
      </c>
    </row>
    <row r="3362">
      <c r="A3362" t="n">
        <v>30</v>
      </c>
      <c r="B3362" t="inlineStr">
        <is>
          <t>K3-6B</t>
        </is>
      </c>
      <c r="D3362" t="n">
        <v>15.33</v>
      </c>
      <c r="E3362" t="n">
        <v>42.467</v>
      </c>
      <c r="F3362" t="n">
        <v>24892.369</v>
      </c>
      <c r="G3362" t="n">
        <v>2.269</v>
      </c>
      <c r="H3362" t="inlineStr">
        <is>
          <t>bb</t>
        </is>
      </c>
    </row>
    <row r="3363">
      <c r="A3363" t="n">
        <v>31</v>
      </c>
      <c r="B3363" t="inlineStr">
        <is>
          <t>K3-6C</t>
        </is>
      </c>
      <c r="F3363" t="n">
        <v>20317.258</v>
      </c>
    </row>
    <row r="3365">
      <c r="A3365" t="inlineStr">
        <is>
          <t>Compound 97:  m2 10:2 FTUCA 1</t>
        </is>
      </c>
    </row>
    <row r="3367">
      <c r="B3367" t="inlineStr">
        <is>
          <t>Sample Text</t>
        </is>
      </c>
      <c r="C3367" t="inlineStr">
        <is>
          <t>Std. Conc</t>
        </is>
      </c>
      <c r="D3367" t="inlineStr">
        <is>
          <t>RT</t>
        </is>
      </c>
      <c r="E3367" t="inlineStr">
        <is>
          <t>Area</t>
        </is>
      </c>
      <c r="F3367" t="inlineStr">
        <is>
          <t>IS Area</t>
        </is>
      </c>
      <c r="G3367" t="inlineStr">
        <is>
          <t>S/N</t>
        </is>
      </c>
      <c r="H3367" t="inlineStr">
        <is>
          <t>Primary Flags</t>
        </is>
      </c>
      <c r="I3367" t="inlineStr">
        <is>
          <t>Response</t>
        </is>
      </c>
      <c r="J3367" t="inlineStr">
        <is>
          <t>Conc.</t>
        </is>
      </c>
    </row>
    <row r="3368">
      <c r="A3368" t="n">
        <v>1</v>
      </c>
      <c r="B3368" t="inlineStr">
        <is>
          <t>K4-1A</t>
        </is>
      </c>
      <c r="D3368" t="n">
        <v>15.23</v>
      </c>
      <c r="E3368" t="n">
        <v>24821.027</v>
      </c>
      <c r="G3368" t="n">
        <v>114.515</v>
      </c>
      <c r="H3368" t="inlineStr">
        <is>
          <t>bb</t>
        </is>
      </c>
      <c r="I3368" t="n">
        <v>24821.027</v>
      </c>
    </row>
    <row r="3369">
      <c r="A3369" t="n">
        <v>2</v>
      </c>
      <c r="B3369" t="inlineStr">
        <is>
          <t>K4-1B</t>
        </is>
      </c>
      <c r="D3369" t="n">
        <v>15.25</v>
      </c>
      <c r="E3369" t="n">
        <v>24418.576</v>
      </c>
      <c r="G3369" t="n">
        <v>148830</v>
      </c>
      <c r="H3369" t="inlineStr">
        <is>
          <t>bb</t>
        </is>
      </c>
      <c r="I3369" t="n">
        <v>24418.576</v>
      </c>
    </row>
    <row r="3370">
      <c r="A3370" t="n">
        <v>3</v>
      </c>
      <c r="B3370" t="inlineStr">
        <is>
          <t>K4-1C</t>
        </is>
      </c>
      <c r="D3370" t="n">
        <v>15.25</v>
      </c>
      <c r="E3370" t="n">
        <v>22987.746</v>
      </c>
      <c r="G3370" t="n">
        <v>2125.012</v>
      </c>
      <c r="H3370" t="inlineStr">
        <is>
          <t>bb</t>
        </is>
      </c>
      <c r="I3370" t="n">
        <v>22987.746</v>
      </c>
    </row>
    <row r="3371">
      <c r="A3371" t="n">
        <v>4</v>
      </c>
      <c r="B3371" t="inlineStr">
        <is>
          <t>K4-2A</t>
        </is>
      </c>
      <c r="D3371" t="n">
        <v>15.24</v>
      </c>
      <c r="E3371" t="n">
        <v>22065.328</v>
      </c>
      <c r="G3371" t="n">
        <v>83.208</v>
      </c>
      <c r="H3371" t="inlineStr">
        <is>
          <t>bb</t>
        </is>
      </c>
      <c r="I3371" t="n">
        <v>22065.328</v>
      </c>
    </row>
    <row r="3372">
      <c r="A3372" t="n">
        <v>5</v>
      </c>
      <c r="B3372" t="inlineStr">
        <is>
          <t>K4-2B</t>
        </is>
      </c>
      <c r="D3372" t="n">
        <v>15.25</v>
      </c>
      <c r="E3372" t="n">
        <v>22549.762</v>
      </c>
      <c r="G3372" t="n">
        <v>187.45</v>
      </c>
      <c r="H3372" t="inlineStr">
        <is>
          <t>bb</t>
        </is>
      </c>
      <c r="I3372" t="n">
        <v>22549.762</v>
      </c>
    </row>
    <row r="3373">
      <c r="A3373" t="n">
        <v>6</v>
      </c>
      <c r="B3373" t="inlineStr">
        <is>
          <t>K4-2C</t>
        </is>
      </c>
      <c r="D3373" t="n">
        <v>15.26</v>
      </c>
      <c r="E3373" t="n">
        <v>21312.756</v>
      </c>
      <c r="G3373" t="n">
        <v>190.634</v>
      </c>
      <c r="H3373" t="inlineStr">
        <is>
          <t>bb</t>
        </is>
      </c>
      <c r="I3373" t="n">
        <v>21312.756</v>
      </c>
    </row>
    <row r="3374">
      <c r="A3374" t="n">
        <v>7</v>
      </c>
      <c r="B3374" t="inlineStr">
        <is>
          <t>MeOH</t>
        </is>
      </c>
      <c r="H3374" t="inlineStr">
        <is>
          <t>MM-</t>
        </is>
      </c>
    </row>
    <row r="3375">
      <c r="A3375" t="n">
        <v>8</v>
      </c>
      <c r="B3375" t="inlineStr">
        <is>
          <t>K4-4A</t>
        </is>
      </c>
      <c r="D3375" t="n">
        <v>15.28</v>
      </c>
      <c r="E3375" t="n">
        <v>23539.836</v>
      </c>
      <c r="G3375" t="n">
        <v>1043.283</v>
      </c>
      <c r="H3375" t="inlineStr">
        <is>
          <t>bb</t>
        </is>
      </c>
      <c r="I3375" t="n">
        <v>23539.836</v>
      </c>
    </row>
    <row r="3376">
      <c r="A3376" t="n">
        <v>9</v>
      </c>
      <c r="B3376" t="inlineStr">
        <is>
          <t>K4-4B</t>
        </is>
      </c>
      <c r="D3376" t="n">
        <v>15.28</v>
      </c>
      <c r="E3376" t="n">
        <v>23990.521</v>
      </c>
      <c r="G3376" t="n">
        <v>644.381</v>
      </c>
      <c r="H3376" t="inlineStr">
        <is>
          <t>bb</t>
        </is>
      </c>
      <c r="I3376" t="n">
        <v>23990.521</v>
      </c>
    </row>
    <row r="3377">
      <c r="A3377" t="n">
        <v>10</v>
      </c>
      <c r="B3377" t="inlineStr">
        <is>
          <t>K4-4C</t>
        </is>
      </c>
      <c r="D3377" t="n">
        <v>15.28</v>
      </c>
      <c r="E3377" t="n">
        <v>26560.857</v>
      </c>
      <c r="G3377" t="n">
        <v>900.677</v>
      </c>
      <c r="H3377" t="inlineStr">
        <is>
          <t>bb</t>
        </is>
      </c>
      <c r="I3377" t="n">
        <v>26560.857</v>
      </c>
    </row>
    <row r="3378">
      <c r="A3378" t="n">
        <v>11</v>
      </c>
      <c r="B3378" t="inlineStr">
        <is>
          <t>K4-5A</t>
        </is>
      </c>
      <c r="D3378" t="n">
        <v>15.26</v>
      </c>
      <c r="E3378" t="n">
        <v>21848.643</v>
      </c>
      <c r="G3378" t="n">
        <v>34.583</v>
      </c>
      <c r="H3378" t="inlineStr">
        <is>
          <t>bb</t>
        </is>
      </c>
      <c r="I3378" t="n">
        <v>21848.643</v>
      </c>
    </row>
    <row r="3379">
      <c r="A3379" t="n">
        <v>12</v>
      </c>
      <c r="B3379" t="inlineStr">
        <is>
          <t>K4-5B</t>
        </is>
      </c>
      <c r="D3379" t="n">
        <v>15.24</v>
      </c>
      <c r="E3379" t="n">
        <v>22835.781</v>
      </c>
      <c r="G3379" t="n">
        <v>51.119</v>
      </c>
      <c r="H3379" t="inlineStr">
        <is>
          <t>bb</t>
        </is>
      </c>
      <c r="I3379" t="n">
        <v>22835.781</v>
      </c>
    </row>
    <row r="3380">
      <c r="A3380" t="n">
        <v>13</v>
      </c>
      <c r="B3380" t="inlineStr">
        <is>
          <t>K4-5C</t>
        </is>
      </c>
      <c r="D3380" t="n">
        <v>15.2</v>
      </c>
      <c r="E3380" t="n">
        <v>22675.041</v>
      </c>
      <c r="G3380" t="n">
        <v>210.222</v>
      </c>
      <c r="H3380" t="inlineStr">
        <is>
          <t>bb</t>
        </is>
      </c>
      <c r="I3380" t="n">
        <v>22675.041</v>
      </c>
    </row>
    <row r="3381">
      <c r="A3381" t="n">
        <v>14</v>
      </c>
      <c r="B3381" t="inlineStr">
        <is>
          <t>MeOH</t>
        </is>
      </c>
      <c r="H3381" t="inlineStr">
        <is>
          <t>MM-</t>
        </is>
      </c>
    </row>
    <row r="3382">
      <c r="A3382" t="n">
        <v>15</v>
      </c>
      <c r="B3382" t="inlineStr">
        <is>
          <t>K3-1A</t>
        </is>
      </c>
      <c r="D3382" t="n">
        <v>15.15</v>
      </c>
      <c r="E3382" t="n">
        <v>26872.742</v>
      </c>
      <c r="G3382" t="n">
        <v>576.436</v>
      </c>
      <c r="H3382" t="inlineStr">
        <is>
          <t>bb</t>
        </is>
      </c>
      <c r="I3382" t="n">
        <v>26872.742</v>
      </c>
    </row>
    <row r="3383">
      <c r="A3383" t="n">
        <v>16</v>
      </c>
      <c r="B3383" t="inlineStr">
        <is>
          <t>K3-1B</t>
        </is>
      </c>
      <c r="D3383" t="n">
        <v>15.17</v>
      </c>
      <c r="E3383" t="n">
        <v>21870.893</v>
      </c>
      <c r="G3383" t="n">
        <v>608.403</v>
      </c>
      <c r="H3383" t="inlineStr">
        <is>
          <t>bb</t>
        </is>
      </c>
      <c r="I3383" t="n">
        <v>21870.893</v>
      </c>
    </row>
    <row r="3384">
      <c r="A3384" t="n">
        <v>17</v>
      </c>
      <c r="B3384" t="inlineStr">
        <is>
          <t>K3-1C</t>
        </is>
      </c>
      <c r="D3384" t="n">
        <v>15.2</v>
      </c>
      <c r="E3384" t="n">
        <v>32909.313</v>
      </c>
      <c r="G3384" t="n">
        <v>365.097</v>
      </c>
      <c r="H3384" t="inlineStr">
        <is>
          <t>bb</t>
        </is>
      </c>
      <c r="I3384" t="n">
        <v>32909.313</v>
      </c>
    </row>
    <row r="3385">
      <c r="A3385" t="n">
        <v>18</v>
      </c>
      <c r="B3385" t="inlineStr">
        <is>
          <t>K3-2A</t>
        </is>
      </c>
      <c r="D3385" t="n">
        <v>15.21</v>
      </c>
      <c r="E3385" t="n">
        <v>26168.053</v>
      </c>
      <c r="G3385" t="n">
        <v>650.152</v>
      </c>
      <c r="H3385" t="inlineStr">
        <is>
          <t>bb</t>
        </is>
      </c>
      <c r="I3385" t="n">
        <v>26168.053</v>
      </c>
    </row>
    <row r="3386">
      <c r="A3386" t="n">
        <v>19</v>
      </c>
      <c r="B3386" t="inlineStr">
        <is>
          <t>K3-2B</t>
        </is>
      </c>
      <c r="D3386" t="n">
        <v>15.21</v>
      </c>
      <c r="E3386" t="n">
        <v>31361.701</v>
      </c>
      <c r="G3386" t="n">
        <v>179.589</v>
      </c>
      <c r="H3386" t="inlineStr">
        <is>
          <t>bb</t>
        </is>
      </c>
      <c r="I3386" t="n">
        <v>31361.701</v>
      </c>
    </row>
    <row r="3387">
      <c r="A3387" t="n">
        <v>20</v>
      </c>
      <c r="B3387" t="inlineStr">
        <is>
          <t>K3-2C</t>
        </is>
      </c>
      <c r="D3387" t="n">
        <v>15.21</v>
      </c>
      <c r="E3387" t="n">
        <v>25991.197</v>
      </c>
      <c r="G3387" t="n">
        <v>445.222</v>
      </c>
      <c r="H3387" t="inlineStr">
        <is>
          <t>bb</t>
        </is>
      </c>
      <c r="I3387" t="n">
        <v>25991.197</v>
      </c>
    </row>
    <row r="3388">
      <c r="A3388" t="n">
        <v>21</v>
      </c>
      <c r="B3388" t="inlineStr">
        <is>
          <t>MeOH</t>
        </is>
      </c>
      <c r="H3388" t="inlineStr">
        <is>
          <t>MM-</t>
        </is>
      </c>
    </row>
    <row r="3389">
      <c r="A3389" t="n">
        <v>22</v>
      </c>
      <c r="B3389" t="inlineStr">
        <is>
          <t>K3-3A</t>
        </is>
      </c>
      <c r="D3389" t="n">
        <v>15.23</v>
      </c>
      <c r="E3389" t="n">
        <v>22350.551</v>
      </c>
      <c r="G3389" t="n">
        <v>1058.196</v>
      </c>
      <c r="H3389" t="inlineStr">
        <is>
          <t>bb</t>
        </is>
      </c>
      <c r="I3389" t="n">
        <v>22350.551</v>
      </c>
    </row>
    <row r="3390">
      <c r="A3390" t="n">
        <v>23</v>
      </c>
      <c r="B3390" t="inlineStr">
        <is>
          <t>K3-3B</t>
        </is>
      </c>
      <c r="D3390" t="n">
        <v>15.26</v>
      </c>
      <c r="E3390" t="n">
        <v>25724.141</v>
      </c>
      <c r="G3390" t="n">
        <v>155351</v>
      </c>
      <c r="H3390" t="inlineStr">
        <is>
          <t>bb</t>
        </is>
      </c>
      <c r="I3390" t="n">
        <v>25724.141</v>
      </c>
    </row>
    <row r="3391">
      <c r="A3391" t="n">
        <v>24</v>
      </c>
      <c r="B3391" t="inlineStr">
        <is>
          <t>K3-3C</t>
        </is>
      </c>
      <c r="D3391" t="n">
        <v>15.26</v>
      </c>
      <c r="E3391" t="n">
        <v>29659.332</v>
      </c>
      <c r="G3391" t="n">
        <v>367.053</v>
      </c>
      <c r="H3391" t="inlineStr">
        <is>
          <t>bb</t>
        </is>
      </c>
      <c r="I3391" t="n">
        <v>29659.332</v>
      </c>
    </row>
    <row r="3392">
      <c r="A3392" t="n">
        <v>25</v>
      </c>
      <c r="B3392" t="inlineStr">
        <is>
          <t>K3-4A</t>
        </is>
      </c>
      <c r="D3392" t="n">
        <v>15.3</v>
      </c>
      <c r="E3392" t="n">
        <v>31270.463</v>
      </c>
      <c r="G3392" t="n">
        <v>235.96</v>
      </c>
      <c r="H3392" t="inlineStr">
        <is>
          <t>bb</t>
        </is>
      </c>
      <c r="I3392" t="n">
        <v>31270.463</v>
      </c>
    </row>
    <row r="3393">
      <c r="A3393" t="n">
        <v>26</v>
      </c>
      <c r="B3393" t="inlineStr">
        <is>
          <t>K3-4B</t>
        </is>
      </c>
      <c r="D3393" t="n">
        <v>15.28</v>
      </c>
      <c r="E3393" t="n">
        <v>30780.789</v>
      </c>
      <c r="G3393" t="n">
        <v>658.503</v>
      </c>
      <c r="H3393" t="inlineStr">
        <is>
          <t>bb</t>
        </is>
      </c>
      <c r="I3393" t="n">
        <v>30780.789</v>
      </c>
    </row>
    <row r="3394">
      <c r="A3394" t="n">
        <v>27</v>
      </c>
      <c r="B3394" t="inlineStr">
        <is>
          <t>K3-4C</t>
        </is>
      </c>
      <c r="D3394" t="n">
        <v>15.31</v>
      </c>
      <c r="E3394" t="n">
        <v>31819.67</v>
      </c>
      <c r="G3394" t="n">
        <v>862.106</v>
      </c>
      <c r="H3394" t="inlineStr">
        <is>
          <t>bb</t>
        </is>
      </c>
      <c r="I3394" t="n">
        <v>31819.67</v>
      </c>
    </row>
    <row r="3395">
      <c r="A3395" t="n">
        <v>28</v>
      </c>
      <c r="B3395" t="inlineStr">
        <is>
          <t>MeOH</t>
        </is>
      </c>
      <c r="H3395" t="inlineStr">
        <is>
          <t>MM-</t>
        </is>
      </c>
    </row>
    <row r="3396">
      <c r="A3396" t="n">
        <v>29</v>
      </c>
      <c r="B3396" t="inlineStr">
        <is>
          <t>K3-6A</t>
        </is>
      </c>
      <c r="D3396" t="n">
        <v>15.33</v>
      </c>
      <c r="E3396" t="n">
        <v>28759.182</v>
      </c>
      <c r="G3396" t="n">
        <v>767.588</v>
      </c>
      <c r="H3396" t="inlineStr">
        <is>
          <t>bb</t>
        </is>
      </c>
      <c r="I3396" t="n">
        <v>28759.182</v>
      </c>
    </row>
    <row r="3397">
      <c r="A3397" t="n">
        <v>30</v>
      </c>
      <c r="B3397" t="inlineStr">
        <is>
          <t>K3-6B</t>
        </is>
      </c>
      <c r="D3397" t="n">
        <v>15.33</v>
      </c>
      <c r="E3397" t="n">
        <v>24892.369</v>
      </c>
      <c r="G3397" t="n">
        <v>692.313</v>
      </c>
      <c r="H3397" t="inlineStr">
        <is>
          <t>bb</t>
        </is>
      </c>
      <c r="I3397" t="n">
        <v>24892.369</v>
      </c>
    </row>
    <row r="3398">
      <c r="A3398" t="n">
        <v>31</v>
      </c>
      <c r="B3398" t="inlineStr">
        <is>
          <t>K3-6C</t>
        </is>
      </c>
      <c r="D3398" t="n">
        <v>15.3</v>
      </c>
      <c r="E3398" t="n">
        <v>20317.258</v>
      </c>
      <c r="G3398" t="n">
        <v>618.082</v>
      </c>
      <c r="H3398" t="inlineStr">
        <is>
          <t>bb</t>
        </is>
      </c>
      <c r="I3398" t="n">
        <v>20317.258</v>
      </c>
    </row>
    <row r="3400">
      <c r="A3400" t="inlineStr">
        <is>
          <t>Compound 98:  PFUDA 1</t>
        </is>
      </c>
    </row>
    <row r="3402">
      <c r="B3402" t="inlineStr">
        <is>
          <t>Sample Text</t>
        </is>
      </c>
      <c r="C3402" t="inlineStr">
        <is>
          <t>Std. Conc</t>
        </is>
      </c>
      <c r="D3402" t="inlineStr">
        <is>
          <t>RT</t>
        </is>
      </c>
      <c r="E3402" t="inlineStr">
        <is>
          <t>Area</t>
        </is>
      </c>
      <c r="F3402" t="inlineStr">
        <is>
          <t>IS Area</t>
        </is>
      </c>
      <c r="G3402" t="inlineStr">
        <is>
          <t>S/N</t>
        </is>
      </c>
      <c r="H3402" t="inlineStr">
        <is>
          <t>Primary Flags</t>
        </is>
      </c>
      <c r="I3402" t="inlineStr">
        <is>
          <t>Response</t>
        </is>
      </c>
      <c r="J3402" t="inlineStr">
        <is>
          <t>Conc.</t>
        </is>
      </c>
    </row>
    <row r="3403">
      <c r="A3403" t="n">
        <v>1</v>
      </c>
      <c r="B3403" t="inlineStr">
        <is>
          <t>K4-1A</t>
        </is>
      </c>
      <c r="D3403" t="n">
        <v>14.92</v>
      </c>
      <c r="E3403" t="n">
        <v>116.305</v>
      </c>
      <c r="F3403" t="n">
        <v>242.818</v>
      </c>
      <c r="G3403" t="n">
        <v>2.607</v>
      </c>
      <c r="H3403" t="inlineStr">
        <is>
          <t>bb</t>
        </is>
      </c>
    </row>
    <row r="3404">
      <c r="A3404" t="n">
        <v>2</v>
      </c>
      <c r="B3404" t="inlineStr">
        <is>
          <t>K4-1B</t>
        </is>
      </c>
      <c r="D3404" t="n">
        <v>14.88</v>
      </c>
      <c r="E3404" t="n">
        <v>31.993</v>
      </c>
      <c r="F3404" t="n">
        <v>508.77</v>
      </c>
      <c r="G3404" t="n">
        <v>262</v>
      </c>
      <c r="H3404" t="inlineStr">
        <is>
          <t>MM</t>
        </is>
      </c>
    </row>
    <row r="3405">
      <c r="A3405" t="n">
        <v>3</v>
      </c>
      <c r="B3405" t="inlineStr">
        <is>
          <t>K4-1C</t>
        </is>
      </c>
      <c r="D3405" t="n">
        <v>14.92</v>
      </c>
      <c r="E3405" t="n">
        <v>10.984</v>
      </c>
      <c r="F3405" t="n">
        <v>189.276</v>
      </c>
      <c r="G3405" t="n">
        <v>94</v>
      </c>
      <c r="H3405" t="inlineStr">
        <is>
          <t>MM</t>
        </is>
      </c>
    </row>
    <row r="3406">
      <c r="A3406" t="n">
        <v>4</v>
      </c>
      <c r="B3406" t="inlineStr">
        <is>
          <t>K4-2A</t>
        </is>
      </c>
      <c r="D3406" t="n">
        <v>14.89</v>
      </c>
      <c r="E3406" t="n">
        <v>72.783</v>
      </c>
      <c r="F3406" t="n">
        <v>318.211</v>
      </c>
      <c r="G3406" t="n">
        <v>2.807</v>
      </c>
      <c r="H3406" t="inlineStr">
        <is>
          <t>bb</t>
        </is>
      </c>
    </row>
    <row r="3407">
      <c r="A3407" t="n">
        <v>5</v>
      </c>
      <c r="B3407" t="inlineStr">
        <is>
          <t>K4-2B</t>
        </is>
      </c>
      <c r="D3407" t="n">
        <v>14.88</v>
      </c>
      <c r="E3407" t="n">
        <v>33.11</v>
      </c>
      <c r="F3407" t="n">
        <v>608.7859999999999</v>
      </c>
      <c r="G3407" t="n">
        <v>240</v>
      </c>
      <c r="H3407" t="inlineStr">
        <is>
          <t>bb</t>
        </is>
      </c>
    </row>
    <row r="3408">
      <c r="A3408" t="n">
        <v>6</v>
      </c>
      <c r="B3408" t="inlineStr">
        <is>
          <t>K4-2C</t>
        </is>
      </c>
      <c r="D3408" t="n">
        <v>14.92</v>
      </c>
      <c r="E3408" t="n">
        <v>254.143</v>
      </c>
      <c r="F3408" t="n">
        <v>229.764</v>
      </c>
      <c r="G3408" t="n">
        <v>30.804</v>
      </c>
      <c r="H3408" t="inlineStr">
        <is>
          <t>bb</t>
        </is>
      </c>
    </row>
    <row r="3409">
      <c r="A3409" t="n">
        <v>7</v>
      </c>
      <c r="B3409" t="inlineStr">
        <is>
          <t>MeOH</t>
        </is>
      </c>
      <c r="H3409" t="inlineStr">
        <is>
          <t>MM-</t>
        </is>
      </c>
    </row>
    <row r="3410">
      <c r="A3410" t="n">
        <v>8</v>
      </c>
      <c r="B3410" t="inlineStr">
        <is>
          <t>K4-4A</t>
        </is>
      </c>
      <c r="D3410" t="n">
        <v>14.92</v>
      </c>
      <c r="E3410" t="n">
        <v>97.292</v>
      </c>
      <c r="F3410" t="n">
        <v>288.067</v>
      </c>
      <c r="G3410" t="n">
        <v>725</v>
      </c>
      <c r="H3410" t="inlineStr">
        <is>
          <t>bb</t>
        </is>
      </c>
    </row>
    <row r="3411">
      <c r="A3411" t="n">
        <v>9</v>
      </c>
      <c r="B3411" t="inlineStr">
        <is>
          <t>K4-4B</t>
        </is>
      </c>
      <c r="D3411" t="n">
        <v>14.92</v>
      </c>
      <c r="E3411" t="n">
        <v>111.563</v>
      </c>
      <c r="F3411" t="n">
        <v>219.81</v>
      </c>
      <c r="G3411" t="n">
        <v>45.963</v>
      </c>
      <c r="H3411" t="inlineStr">
        <is>
          <t>bb</t>
        </is>
      </c>
    </row>
    <row r="3412">
      <c r="A3412" t="n">
        <v>10</v>
      </c>
      <c r="B3412" t="inlineStr">
        <is>
          <t>K4-4C</t>
        </is>
      </c>
      <c r="D3412" t="n">
        <v>14.94</v>
      </c>
      <c r="E3412" t="n">
        <v>18.054</v>
      </c>
      <c r="F3412" t="n">
        <v>322.86</v>
      </c>
      <c r="G3412" t="n">
        <v>156</v>
      </c>
      <c r="H3412" t="inlineStr">
        <is>
          <t>bb</t>
        </is>
      </c>
    </row>
    <row r="3413">
      <c r="A3413" t="n">
        <v>11</v>
      </c>
      <c r="B3413" t="inlineStr">
        <is>
          <t>K4-5A</t>
        </is>
      </c>
      <c r="D3413" t="n">
        <v>14.92</v>
      </c>
      <c r="E3413" t="n">
        <v>40.075</v>
      </c>
      <c r="F3413" t="n">
        <v>302.863</v>
      </c>
      <c r="G3413" t="n">
        <v>5.829</v>
      </c>
      <c r="H3413" t="inlineStr">
        <is>
          <t>bb</t>
        </is>
      </c>
    </row>
    <row r="3414">
      <c r="A3414" t="n">
        <v>12</v>
      </c>
      <c r="B3414" t="inlineStr">
        <is>
          <t>K4-5B</t>
        </is>
      </c>
      <c r="D3414" t="n">
        <v>14.84</v>
      </c>
      <c r="E3414" t="n">
        <v>87.521</v>
      </c>
      <c r="F3414" t="n">
        <v>188.939</v>
      </c>
      <c r="G3414" t="n">
        <v>2.63</v>
      </c>
      <c r="H3414" t="inlineStr">
        <is>
          <t>bb</t>
        </is>
      </c>
    </row>
    <row r="3415">
      <c r="A3415" t="n">
        <v>13</v>
      </c>
      <c r="B3415" t="inlineStr">
        <is>
          <t>K4-5C</t>
        </is>
      </c>
      <c r="D3415" t="n">
        <v>14.8</v>
      </c>
      <c r="E3415" t="n">
        <v>60.708</v>
      </c>
      <c r="F3415" t="n">
        <v>386.08</v>
      </c>
      <c r="G3415" t="n">
        <v>496</v>
      </c>
      <c r="H3415" t="inlineStr">
        <is>
          <t>MM</t>
        </is>
      </c>
    </row>
    <row r="3416">
      <c r="A3416" t="n">
        <v>14</v>
      </c>
      <c r="B3416" t="inlineStr">
        <is>
          <t>MeOH</t>
        </is>
      </c>
      <c r="H3416" t="inlineStr">
        <is>
          <t>MM-</t>
        </is>
      </c>
    </row>
    <row r="3417">
      <c r="A3417" t="n">
        <v>15</v>
      </c>
      <c r="B3417" t="inlineStr">
        <is>
          <t>K3-1A</t>
        </is>
      </c>
      <c r="D3417" t="n">
        <v>14.81</v>
      </c>
      <c r="E3417" t="n">
        <v>427.026</v>
      </c>
      <c r="F3417" t="n">
        <v>273.068</v>
      </c>
      <c r="G3417" t="n">
        <v>5.635</v>
      </c>
      <c r="H3417" t="inlineStr">
        <is>
          <t>bb</t>
        </is>
      </c>
    </row>
    <row r="3418">
      <c r="A3418" t="n">
        <v>16</v>
      </c>
      <c r="B3418" t="inlineStr">
        <is>
          <t>K3-1B</t>
        </is>
      </c>
      <c r="D3418" t="n">
        <v>14.81</v>
      </c>
      <c r="E3418" t="n">
        <v>12.344</v>
      </c>
      <c r="F3418" t="n">
        <v>112.597</v>
      </c>
      <c r="G3418" t="n">
        <v>8.893000000000001</v>
      </c>
      <c r="H3418" t="inlineStr">
        <is>
          <t>bb</t>
        </is>
      </c>
    </row>
    <row r="3419">
      <c r="A3419" t="n">
        <v>17</v>
      </c>
      <c r="B3419" t="inlineStr">
        <is>
          <t>K3-1C</t>
        </is>
      </c>
      <c r="D3419" t="n">
        <v>14.83</v>
      </c>
      <c r="E3419" t="n">
        <v>55.431</v>
      </c>
      <c r="F3419" t="n">
        <v>575.867</v>
      </c>
      <c r="G3419" t="n">
        <v>438</v>
      </c>
      <c r="H3419" t="inlineStr">
        <is>
          <t>bb</t>
        </is>
      </c>
    </row>
    <row r="3420">
      <c r="A3420" t="n">
        <v>18</v>
      </c>
      <c r="B3420" t="inlineStr">
        <is>
          <t>K3-2A</t>
        </is>
      </c>
      <c r="D3420" t="n">
        <v>14.88</v>
      </c>
      <c r="E3420" t="n">
        <v>35.019</v>
      </c>
      <c r="F3420" t="n">
        <v>406.817</v>
      </c>
      <c r="G3420" t="n">
        <v>3.175</v>
      </c>
      <c r="H3420" t="inlineStr">
        <is>
          <t>bb</t>
        </is>
      </c>
    </row>
    <row r="3421">
      <c r="A3421" t="n">
        <v>19</v>
      </c>
      <c r="B3421" t="inlineStr">
        <is>
          <t>K3-2B</t>
        </is>
      </c>
      <c r="D3421" t="n">
        <v>14.88</v>
      </c>
      <c r="E3421" t="n">
        <v>231.338</v>
      </c>
      <c r="F3421" t="n">
        <v>266.099</v>
      </c>
      <c r="G3421" t="n">
        <v>6.464</v>
      </c>
      <c r="H3421" t="inlineStr">
        <is>
          <t>bb</t>
        </is>
      </c>
    </row>
    <row r="3422">
      <c r="A3422" t="n">
        <v>20</v>
      </c>
      <c r="B3422" t="inlineStr">
        <is>
          <t>K3-2C</t>
        </is>
      </c>
      <c r="D3422" t="n">
        <v>14.89</v>
      </c>
      <c r="E3422" t="n">
        <v>36.611</v>
      </c>
      <c r="F3422" t="n">
        <v>84.498</v>
      </c>
      <c r="G3422" t="n">
        <v>2.716</v>
      </c>
      <c r="H3422" t="inlineStr">
        <is>
          <t>bb</t>
        </is>
      </c>
    </row>
    <row r="3423">
      <c r="A3423" t="n">
        <v>21</v>
      </c>
      <c r="B3423" t="inlineStr">
        <is>
          <t>MeOH</t>
        </is>
      </c>
      <c r="H3423" t="inlineStr">
        <is>
          <t>MM-</t>
        </is>
      </c>
    </row>
    <row r="3424">
      <c r="A3424" t="n">
        <v>22</v>
      </c>
      <c r="B3424" t="inlineStr">
        <is>
          <t>K3-3A</t>
        </is>
      </c>
      <c r="D3424" t="n">
        <v>14.91</v>
      </c>
      <c r="E3424" t="n">
        <v>95.76600000000001</v>
      </c>
      <c r="F3424" t="n">
        <v>164.973</v>
      </c>
      <c r="G3424" t="n">
        <v>655</v>
      </c>
      <c r="H3424" t="inlineStr">
        <is>
          <t>bb</t>
        </is>
      </c>
    </row>
    <row r="3425">
      <c r="A3425" t="n">
        <v>23</v>
      </c>
      <c r="B3425" t="inlineStr">
        <is>
          <t>K3-3B</t>
        </is>
      </c>
      <c r="D3425" t="n">
        <v>14.99</v>
      </c>
      <c r="E3425" t="n">
        <v>236.64</v>
      </c>
      <c r="F3425" t="n">
        <v>375.679</v>
      </c>
      <c r="G3425" t="n">
        <v>4.943</v>
      </c>
      <c r="H3425" t="inlineStr">
        <is>
          <t>bb</t>
        </is>
      </c>
    </row>
    <row r="3426">
      <c r="A3426" t="n">
        <v>24</v>
      </c>
      <c r="B3426" t="inlineStr">
        <is>
          <t>K3-3C</t>
        </is>
      </c>
      <c r="D3426" t="n">
        <v>14.91</v>
      </c>
      <c r="E3426" t="n">
        <v>47.31</v>
      </c>
      <c r="F3426" t="n">
        <v>522.725</v>
      </c>
      <c r="G3426" t="n">
        <v>339</v>
      </c>
      <c r="H3426" t="inlineStr">
        <is>
          <t>bb</t>
        </is>
      </c>
    </row>
    <row r="3427">
      <c r="A3427" t="n">
        <v>25</v>
      </c>
      <c r="B3427" t="inlineStr">
        <is>
          <t>K3-4A</t>
        </is>
      </c>
      <c r="D3427" t="n">
        <v>14.96</v>
      </c>
      <c r="E3427" t="n">
        <v>89.873</v>
      </c>
      <c r="F3427" t="n">
        <v>299.257</v>
      </c>
      <c r="G3427" t="n">
        <v>3.77</v>
      </c>
      <c r="H3427" t="inlineStr">
        <is>
          <t>bb</t>
        </is>
      </c>
    </row>
    <row r="3428">
      <c r="A3428" t="n">
        <v>26</v>
      </c>
      <c r="B3428" t="inlineStr">
        <is>
          <t>K3-4B</t>
        </is>
      </c>
      <c r="D3428" t="n">
        <v>14.94</v>
      </c>
      <c r="E3428" t="n">
        <v>58.598</v>
      </c>
      <c r="F3428" t="n">
        <v>449.922</v>
      </c>
      <c r="G3428" t="n">
        <v>374</v>
      </c>
      <c r="H3428" t="inlineStr">
        <is>
          <t>bb</t>
        </is>
      </c>
    </row>
    <row r="3429">
      <c r="A3429" t="n">
        <v>27</v>
      </c>
      <c r="B3429" t="inlineStr">
        <is>
          <t>K3-4C</t>
        </is>
      </c>
      <c r="D3429" t="n">
        <v>14.96</v>
      </c>
      <c r="E3429" t="n">
        <v>59.042</v>
      </c>
      <c r="F3429" t="n">
        <v>357.082</v>
      </c>
      <c r="G3429" t="n">
        <v>33.264</v>
      </c>
      <c r="H3429" t="inlineStr">
        <is>
          <t>bb</t>
        </is>
      </c>
    </row>
    <row r="3430">
      <c r="A3430" t="n">
        <v>28</v>
      </c>
      <c r="B3430" t="inlineStr">
        <is>
          <t>MeOH</t>
        </is>
      </c>
      <c r="H3430" t="inlineStr">
        <is>
          <t>MM-</t>
        </is>
      </c>
    </row>
    <row r="3431">
      <c r="A3431" t="n">
        <v>29</v>
      </c>
      <c r="B3431" t="inlineStr">
        <is>
          <t>K3-6A</t>
        </is>
      </c>
      <c r="D3431" t="n">
        <v>14.96</v>
      </c>
      <c r="E3431" t="n">
        <v>59.196</v>
      </c>
      <c r="F3431" t="n">
        <v>481.186</v>
      </c>
      <c r="G3431" t="n">
        <v>2.887</v>
      </c>
      <c r="H3431" t="inlineStr">
        <is>
          <t>MM</t>
        </is>
      </c>
    </row>
    <row r="3432">
      <c r="A3432" t="n">
        <v>30</v>
      </c>
      <c r="B3432" t="inlineStr">
        <is>
          <t>K3-6B</t>
        </is>
      </c>
      <c r="D3432" t="n">
        <v>14.96</v>
      </c>
      <c r="E3432" t="n">
        <v>174.796</v>
      </c>
      <c r="F3432" t="n">
        <v>210.944</v>
      </c>
      <c r="G3432" t="n">
        <v>10.782</v>
      </c>
      <c r="H3432" t="inlineStr">
        <is>
          <t>MM</t>
        </is>
      </c>
    </row>
    <row r="3433">
      <c r="A3433" t="n">
        <v>31</v>
      </c>
      <c r="B3433" t="inlineStr">
        <is>
          <t>K3-6C</t>
        </is>
      </c>
      <c r="D3433" t="n">
        <v>15.07</v>
      </c>
      <c r="E3433" t="n">
        <v>77.514</v>
      </c>
      <c r="F3433" t="n">
        <v>445.594</v>
      </c>
      <c r="G3433" t="n">
        <v>487</v>
      </c>
      <c r="H3433" t="inlineStr">
        <is>
          <t>bb</t>
        </is>
      </c>
    </row>
    <row r="3435">
      <c r="A3435" t="inlineStr">
        <is>
          <t>Compound 99:  PFUDA 2</t>
        </is>
      </c>
    </row>
    <row r="3437">
      <c r="B3437" t="inlineStr">
        <is>
          <t>Sample Text</t>
        </is>
      </c>
      <c r="C3437" t="inlineStr">
        <is>
          <t>Std. Conc</t>
        </is>
      </c>
      <c r="D3437" t="inlineStr">
        <is>
          <t>RT</t>
        </is>
      </c>
      <c r="E3437" t="inlineStr">
        <is>
          <t>Area</t>
        </is>
      </c>
      <c r="F3437" t="inlineStr">
        <is>
          <t>IS Area</t>
        </is>
      </c>
      <c r="G3437" t="inlineStr">
        <is>
          <t>S/N</t>
        </is>
      </c>
      <c r="H3437" t="inlineStr">
        <is>
          <t>Primary Flags</t>
        </is>
      </c>
      <c r="I3437" t="inlineStr">
        <is>
          <t>Response</t>
        </is>
      </c>
      <c r="J3437" t="inlineStr">
        <is>
          <t>Conc.</t>
        </is>
      </c>
    </row>
    <row r="3438">
      <c r="A3438" t="n">
        <v>1</v>
      </c>
      <c r="B3438" t="inlineStr">
        <is>
          <t>K4-1A</t>
        </is>
      </c>
      <c r="D3438" t="n">
        <v>15.15</v>
      </c>
      <c r="E3438" t="n">
        <v>8.004</v>
      </c>
      <c r="F3438" t="n">
        <v>242.818</v>
      </c>
      <c r="G3438" t="n">
        <v>77</v>
      </c>
      <c r="H3438" t="inlineStr">
        <is>
          <t>bb</t>
        </is>
      </c>
    </row>
    <row r="3439">
      <c r="A3439" t="n">
        <v>2</v>
      </c>
      <c r="B3439" t="inlineStr">
        <is>
          <t>K4-1B</t>
        </is>
      </c>
      <c r="D3439" t="n">
        <v>14.92</v>
      </c>
      <c r="E3439" t="n">
        <v>38.291</v>
      </c>
      <c r="F3439" t="n">
        <v>508.77</v>
      </c>
      <c r="G3439" t="n">
        <v>1.025</v>
      </c>
      <c r="H3439" t="inlineStr">
        <is>
          <t>bb</t>
        </is>
      </c>
    </row>
    <row r="3440">
      <c r="A3440" t="n">
        <v>3</v>
      </c>
      <c r="B3440" t="inlineStr">
        <is>
          <t>K4-1C</t>
        </is>
      </c>
      <c r="D3440" t="n">
        <v>14.91</v>
      </c>
      <c r="E3440" t="n">
        <v>32.499</v>
      </c>
      <c r="F3440" t="n">
        <v>189.276</v>
      </c>
      <c r="G3440" t="n">
        <v>0.804</v>
      </c>
      <c r="H3440" t="inlineStr">
        <is>
          <t>bb</t>
        </is>
      </c>
    </row>
    <row r="3441">
      <c r="A3441" t="n">
        <v>4</v>
      </c>
      <c r="B3441" t="inlineStr">
        <is>
          <t>K4-2A</t>
        </is>
      </c>
      <c r="D3441" t="n">
        <v>14.94</v>
      </c>
      <c r="E3441" t="n">
        <v>23.946</v>
      </c>
      <c r="F3441" t="n">
        <v>318.211</v>
      </c>
      <c r="G3441" t="n">
        <v>154</v>
      </c>
      <c r="H3441" t="inlineStr">
        <is>
          <t>bb</t>
        </is>
      </c>
    </row>
    <row r="3442">
      <c r="A3442" t="n">
        <v>5</v>
      </c>
      <c r="B3442" t="inlineStr">
        <is>
          <t>K4-2B</t>
        </is>
      </c>
      <c r="D3442" t="n">
        <v>14.92</v>
      </c>
      <c r="E3442" t="n">
        <v>8.074</v>
      </c>
      <c r="F3442" t="n">
        <v>608.7859999999999</v>
      </c>
      <c r="G3442" t="n">
        <v>78</v>
      </c>
      <c r="H3442" t="inlineStr">
        <is>
          <t>MM</t>
        </is>
      </c>
    </row>
    <row r="3443">
      <c r="A3443" t="n">
        <v>6</v>
      </c>
      <c r="B3443" t="inlineStr">
        <is>
          <t>K4-2C</t>
        </is>
      </c>
      <c r="D3443" t="n">
        <v>15.04</v>
      </c>
      <c r="E3443" t="n">
        <v>9.215999999999999</v>
      </c>
      <c r="F3443" t="n">
        <v>229.764</v>
      </c>
      <c r="G3443" t="n">
        <v>2.074</v>
      </c>
      <c r="H3443" t="inlineStr">
        <is>
          <t>bb</t>
        </is>
      </c>
    </row>
    <row r="3444">
      <c r="A3444" t="n">
        <v>7</v>
      </c>
      <c r="B3444" t="inlineStr">
        <is>
          <t>MeOH</t>
        </is>
      </c>
      <c r="H3444" t="inlineStr">
        <is>
          <t>MM-</t>
        </is>
      </c>
    </row>
    <row r="3445">
      <c r="A3445" t="n">
        <v>8</v>
      </c>
      <c r="B3445" t="inlineStr">
        <is>
          <t>K4-4A</t>
        </is>
      </c>
      <c r="D3445" t="n">
        <v>14.91</v>
      </c>
      <c r="E3445" t="n">
        <v>84.289</v>
      </c>
      <c r="F3445" t="n">
        <v>288.067</v>
      </c>
      <c r="G3445" t="n">
        <v>3.374</v>
      </c>
      <c r="H3445" t="inlineStr">
        <is>
          <t>bb</t>
        </is>
      </c>
    </row>
    <row r="3446">
      <c r="A3446" t="n">
        <v>9</v>
      </c>
      <c r="B3446" t="inlineStr">
        <is>
          <t>K4-4B</t>
        </is>
      </c>
      <c r="D3446" t="n">
        <v>14.92</v>
      </c>
      <c r="E3446" t="n">
        <v>157.191</v>
      </c>
      <c r="F3446" t="n">
        <v>219.81</v>
      </c>
      <c r="G3446" t="n">
        <v>8.682</v>
      </c>
      <c r="H3446" t="inlineStr">
        <is>
          <t>bb</t>
        </is>
      </c>
    </row>
    <row r="3447">
      <c r="A3447" t="n">
        <v>10</v>
      </c>
      <c r="B3447" t="inlineStr">
        <is>
          <t>K4-4C</t>
        </is>
      </c>
      <c r="D3447" t="n">
        <v>14.92</v>
      </c>
      <c r="E3447" t="n">
        <v>19.76</v>
      </c>
      <c r="F3447" t="n">
        <v>322.86</v>
      </c>
      <c r="G3447" t="n">
        <v>166</v>
      </c>
      <c r="H3447" t="inlineStr">
        <is>
          <t>bb</t>
        </is>
      </c>
    </row>
    <row r="3448">
      <c r="A3448" t="n">
        <v>11</v>
      </c>
      <c r="B3448" t="inlineStr">
        <is>
          <t>K4-5A</t>
        </is>
      </c>
      <c r="D3448" t="n">
        <v>15.06</v>
      </c>
      <c r="E3448" t="n">
        <v>13.176</v>
      </c>
      <c r="F3448" t="n">
        <v>302.863</v>
      </c>
      <c r="G3448" t="n">
        <v>119</v>
      </c>
      <c r="H3448" t="inlineStr">
        <is>
          <t>MM</t>
        </is>
      </c>
    </row>
    <row r="3449">
      <c r="A3449" t="n">
        <v>12</v>
      </c>
      <c r="B3449" t="inlineStr">
        <is>
          <t>K4-5B</t>
        </is>
      </c>
      <c r="D3449" t="n">
        <v>14.73</v>
      </c>
      <c r="E3449" t="n">
        <v>56.653</v>
      </c>
      <c r="F3449" t="n">
        <v>188.939</v>
      </c>
      <c r="G3449" t="n">
        <v>11.016</v>
      </c>
      <c r="H3449" t="inlineStr">
        <is>
          <t>bb</t>
        </is>
      </c>
    </row>
    <row r="3450">
      <c r="A3450" t="n">
        <v>13</v>
      </c>
      <c r="B3450" t="inlineStr">
        <is>
          <t>K4-5C</t>
        </is>
      </c>
      <c r="D3450" t="n">
        <v>14.83</v>
      </c>
      <c r="E3450" t="n">
        <v>58.229</v>
      </c>
      <c r="F3450" t="n">
        <v>386.08</v>
      </c>
      <c r="G3450" t="n">
        <v>17.542</v>
      </c>
      <c r="H3450" t="inlineStr">
        <is>
          <t>MM</t>
        </is>
      </c>
    </row>
    <row r="3451">
      <c r="A3451" t="n">
        <v>14</v>
      </c>
      <c r="B3451" t="inlineStr">
        <is>
          <t>MeOH</t>
        </is>
      </c>
      <c r="H3451" t="inlineStr">
        <is>
          <t>MM-</t>
        </is>
      </c>
    </row>
    <row r="3452">
      <c r="A3452" t="n">
        <v>15</v>
      </c>
      <c r="B3452" t="inlineStr">
        <is>
          <t>K3-1A</t>
        </is>
      </c>
      <c r="D3452" t="n">
        <v>14.84</v>
      </c>
      <c r="E3452" t="n">
        <v>76.396</v>
      </c>
      <c r="F3452" t="n">
        <v>273.068</v>
      </c>
      <c r="G3452" t="n">
        <v>11.235</v>
      </c>
      <c r="H3452" t="inlineStr">
        <is>
          <t>bb</t>
        </is>
      </c>
    </row>
    <row r="3453">
      <c r="A3453" t="n">
        <v>16</v>
      </c>
      <c r="B3453" t="inlineStr">
        <is>
          <t>K3-1B</t>
        </is>
      </c>
      <c r="D3453" t="n">
        <v>14.36</v>
      </c>
      <c r="E3453" t="n">
        <v>30.622</v>
      </c>
      <c r="F3453" t="n">
        <v>112.597</v>
      </c>
      <c r="G3453" t="n">
        <v>4.519</v>
      </c>
      <c r="H3453" t="inlineStr">
        <is>
          <t>bb</t>
        </is>
      </c>
    </row>
    <row r="3454">
      <c r="A3454" t="n">
        <v>17</v>
      </c>
      <c r="B3454" t="inlineStr">
        <is>
          <t>K3-1C</t>
        </is>
      </c>
      <c r="D3454" t="n">
        <v>14.37</v>
      </c>
      <c r="E3454" t="n">
        <v>67.267</v>
      </c>
      <c r="F3454" t="n">
        <v>575.867</v>
      </c>
      <c r="G3454" t="n">
        <v>6.568</v>
      </c>
      <c r="H3454" t="inlineStr">
        <is>
          <t>MM</t>
        </is>
      </c>
    </row>
    <row r="3455">
      <c r="A3455" t="n">
        <v>18</v>
      </c>
      <c r="B3455" t="inlineStr">
        <is>
          <t>K3-2A</t>
        </is>
      </c>
      <c r="D3455" t="n">
        <v>14.86</v>
      </c>
      <c r="E3455" t="n">
        <v>45.963</v>
      </c>
      <c r="F3455" t="n">
        <v>406.817</v>
      </c>
      <c r="G3455" t="n">
        <v>5.199</v>
      </c>
      <c r="H3455" t="inlineStr">
        <is>
          <t>bb</t>
        </is>
      </c>
    </row>
    <row r="3456">
      <c r="A3456" t="n">
        <v>19</v>
      </c>
      <c r="B3456" t="inlineStr">
        <is>
          <t>K3-2B</t>
        </is>
      </c>
      <c r="D3456" t="n">
        <v>14.81</v>
      </c>
      <c r="E3456" t="n">
        <v>24.314</v>
      </c>
      <c r="F3456" t="n">
        <v>266.099</v>
      </c>
      <c r="G3456" t="n">
        <v>0.755</v>
      </c>
      <c r="H3456" t="inlineStr">
        <is>
          <t>MM</t>
        </is>
      </c>
    </row>
    <row r="3457">
      <c r="A3457" t="n">
        <v>20</v>
      </c>
      <c r="B3457" t="inlineStr">
        <is>
          <t>K3-2C</t>
        </is>
      </c>
      <c r="D3457" t="n">
        <v>14.91</v>
      </c>
      <c r="E3457" t="n">
        <v>15.251</v>
      </c>
      <c r="F3457" t="n">
        <v>84.498</v>
      </c>
      <c r="G3457" t="n">
        <v>0.734</v>
      </c>
      <c r="H3457" t="inlineStr">
        <is>
          <t>MM</t>
        </is>
      </c>
    </row>
    <row r="3458">
      <c r="A3458" t="n">
        <v>21</v>
      </c>
      <c r="B3458" t="inlineStr">
        <is>
          <t>MeOH</t>
        </is>
      </c>
      <c r="H3458" t="inlineStr">
        <is>
          <t>MM-</t>
        </is>
      </c>
    </row>
    <row r="3459">
      <c r="A3459" t="n">
        <v>22</v>
      </c>
      <c r="B3459" t="inlineStr">
        <is>
          <t>K3-3A</t>
        </is>
      </c>
      <c r="D3459" t="n">
        <v>14.75</v>
      </c>
      <c r="E3459" t="n">
        <v>209.636</v>
      </c>
      <c r="F3459" t="n">
        <v>164.973</v>
      </c>
      <c r="G3459" t="n">
        <v>2.004</v>
      </c>
      <c r="H3459" t="inlineStr">
        <is>
          <t>bb</t>
        </is>
      </c>
    </row>
    <row r="3460">
      <c r="A3460" t="n">
        <v>23</v>
      </c>
      <c r="B3460" t="inlineStr">
        <is>
          <t>K3-3B</t>
        </is>
      </c>
      <c r="D3460" t="n">
        <v>15.17</v>
      </c>
      <c r="E3460" t="n">
        <v>96.459</v>
      </c>
      <c r="F3460" t="n">
        <v>375.679</v>
      </c>
      <c r="G3460" t="n">
        <v>1.681</v>
      </c>
      <c r="H3460" t="inlineStr">
        <is>
          <t>bb</t>
        </is>
      </c>
    </row>
    <row r="3461">
      <c r="A3461" t="n">
        <v>24</v>
      </c>
      <c r="B3461" t="inlineStr">
        <is>
          <t>K3-3C</t>
        </is>
      </c>
      <c r="D3461" t="n">
        <v>14.91</v>
      </c>
      <c r="E3461" t="n">
        <v>53.166</v>
      </c>
      <c r="F3461" t="n">
        <v>522.725</v>
      </c>
      <c r="G3461" t="n">
        <v>1.306</v>
      </c>
      <c r="H3461" t="inlineStr">
        <is>
          <t>MM</t>
        </is>
      </c>
    </row>
    <row r="3462">
      <c r="A3462" t="n">
        <v>25</v>
      </c>
      <c r="B3462" t="inlineStr">
        <is>
          <t>K3-4A</t>
        </is>
      </c>
      <c r="D3462" t="n">
        <v>14.96</v>
      </c>
      <c r="E3462" t="n">
        <v>93.55500000000001</v>
      </c>
      <c r="F3462" t="n">
        <v>299.257</v>
      </c>
      <c r="G3462" t="n">
        <v>3.253</v>
      </c>
      <c r="H3462" t="inlineStr">
        <is>
          <t>bb</t>
        </is>
      </c>
    </row>
    <row r="3463">
      <c r="A3463" t="n">
        <v>26</v>
      </c>
      <c r="B3463" t="inlineStr">
        <is>
          <t>K3-4B</t>
        </is>
      </c>
      <c r="D3463" t="n">
        <v>14.72</v>
      </c>
      <c r="E3463" t="n">
        <v>120.574</v>
      </c>
      <c r="F3463" t="n">
        <v>449.922</v>
      </c>
      <c r="G3463" t="n">
        <v>5.137</v>
      </c>
      <c r="H3463" t="inlineStr">
        <is>
          <t>bb</t>
        </is>
      </c>
    </row>
    <row r="3464">
      <c r="A3464" t="n">
        <v>27</v>
      </c>
      <c r="B3464" t="inlineStr">
        <is>
          <t>K3-4C</t>
        </is>
      </c>
      <c r="D3464" t="n">
        <v>15.16</v>
      </c>
      <c r="E3464" t="n">
        <v>89.39400000000001</v>
      </c>
      <c r="F3464" t="n">
        <v>357.082</v>
      </c>
      <c r="G3464" t="n">
        <v>2.85</v>
      </c>
      <c r="H3464" t="inlineStr">
        <is>
          <t>db</t>
        </is>
      </c>
    </row>
    <row r="3465">
      <c r="A3465" t="n">
        <v>28</v>
      </c>
      <c r="B3465" t="inlineStr">
        <is>
          <t>MeOH</t>
        </is>
      </c>
      <c r="H3465" t="inlineStr">
        <is>
          <t>MM-</t>
        </is>
      </c>
    </row>
    <row r="3466">
      <c r="A3466" t="n">
        <v>29</v>
      </c>
      <c r="B3466" t="inlineStr">
        <is>
          <t>K3-6A</t>
        </is>
      </c>
      <c r="D3466" t="n">
        <v>15</v>
      </c>
      <c r="E3466" t="n">
        <v>180.135</v>
      </c>
      <c r="F3466" t="n">
        <v>481.186</v>
      </c>
      <c r="G3466" t="n">
        <v>1.68</v>
      </c>
      <c r="H3466" t="inlineStr">
        <is>
          <t>bb</t>
        </is>
      </c>
    </row>
    <row r="3467">
      <c r="A3467" t="n">
        <v>30</v>
      </c>
      <c r="B3467" t="inlineStr">
        <is>
          <t>K3-6B</t>
        </is>
      </c>
      <c r="D3467" t="n">
        <v>14.97</v>
      </c>
      <c r="E3467" t="n">
        <v>49.389</v>
      </c>
      <c r="F3467" t="n">
        <v>210.944</v>
      </c>
      <c r="G3467" t="n">
        <v>373</v>
      </c>
      <c r="H3467" t="inlineStr">
        <is>
          <t>bb</t>
        </is>
      </c>
    </row>
    <row r="3468">
      <c r="A3468" t="n">
        <v>31</v>
      </c>
      <c r="B3468" t="inlineStr">
        <is>
          <t>K3-6C</t>
        </is>
      </c>
      <c r="D3468" t="n">
        <v>14.91</v>
      </c>
      <c r="E3468" t="n">
        <v>40.488</v>
      </c>
      <c r="F3468" t="n">
        <v>445.594</v>
      </c>
      <c r="G3468" t="n">
        <v>1.175</v>
      </c>
      <c r="H3468" t="inlineStr">
        <is>
          <t>bb</t>
        </is>
      </c>
    </row>
    <row r="3470">
      <c r="A3470" t="inlineStr">
        <is>
          <t>Compound 100:  m7 PFUDA 1</t>
        </is>
      </c>
    </row>
    <row r="3472">
      <c r="B3472" t="inlineStr">
        <is>
          <t>Sample Text</t>
        </is>
      </c>
      <c r="C3472" t="inlineStr">
        <is>
          <t>Std. Conc</t>
        </is>
      </c>
      <c r="D3472" t="inlineStr">
        <is>
          <t>RT</t>
        </is>
      </c>
      <c r="E3472" t="inlineStr">
        <is>
          <t>Area</t>
        </is>
      </c>
      <c r="F3472" t="inlineStr">
        <is>
          <t>IS Area</t>
        </is>
      </c>
      <c r="G3472" t="inlineStr">
        <is>
          <t>S/N</t>
        </is>
      </c>
      <c r="H3472" t="inlineStr">
        <is>
          <t>Primary Flags</t>
        </is>
      </c>
      <c r="I3472" t="inlineStr">
        <is>
          <t>Response</t>
        </is>
      </c>
      <c r="J3472" t="inlineStr">
        <is>
          <t>Conc.</t>
        </is>
      </c>
    </row>
    <row r="3473">
      <c r="A3473" t="n">
        <v>1</v>
      </c>
      <c r="B3473" t="inlineStr">
        <is>
          <t>K4-1A</t>
        </is>
      </c>
      <c r="D3473" t="n">
        <v>14.88</v>
      </c>
      <c r="E3473" t="n">
        <v>242.818</v>
      </c>
      <c r="G3473" t="n">
        <v>1412</v>
      </c>
      <c r="H3473" t="inlineStr">
        <is>
          <t>bb</t>
        </is>
      </c>
      <c r="I3473" t="n">
        <v>242.818</v>
      </c>
    </row>
    <row r="3474">
      <c r="A3474" t="n">
        <v>2</v>
      </c>
      <c r="B3474" t="inlineStr">
        <is>
          <t>K4-1B</t>
        </is>
      </c>
      <c r="D3474" t="n">
        <v>14.88</v>
      </c>
      <c r="E3474" t="n">
        <v>508.77</v>
      </c>
      <c r="G3474" t="n">
        <v>3308</v>
      </c>
      <c r="H3474" t="inlineStr">
        <is>
          <t>bb</t>
        </is>
      </c>
      <c r="I3474" t="n">
        <v>508.77</v>
      </c>
    </row>
    <row r="3475">
      <c r="A3475" t="n">
        <v>3</v>
      </c>
      <c r="B3475" t="inlineStr">
        <is>
          <t>K4-1C</t>
        </is>
      </c>
      <c r="D3475" t="n">
        <v>14.91</v>
      </c>
      <c r="E3475" t="n">
        <v>189.276</v>
      </c>
      <c r="G3475" t="n">
        <v>11.254</v>
      </c>
      <c r="H3475" t="inlineStr">
        <is>
          <t>bb</t>
        </is>
      </c>
      <c r="I3475" t="n">
        <v>189.276</v>
      </c>
    </row>
    <row r="3476">
      <c r="A3476" t="n">
        <v>4</v>
      </c>
      <c r="B3476" t="inlineStr">
        <is>
          <t>K4-2A</t>
        </is>
      </c>
      <c r="D3476" t="n">
        <v>14.88</v>
      </c>
      <c r="E3476" t="n">
        <v>318.211</v>
      </c>
      <c r="G3476" t="n">
        <v>34.176</v>
      </c>
      <c r="H3476" t="inlineStr">
        <is>
          <t>MM</t>
        </is>
      </c>
      <c r="I3476" t="n">
        <v>318.211</v>
      </c>
    </row>
    <row r="3477">
      <c r="A3477" t="n">
        <v>5</v>
      </c>
      <c r="B3477" t="inlineStr">
        <is>
          <t>K4-2B</t>
        </is>
      </c>
      <c r="D3477" t="n">
        <v>14.89</v>
      </c>
      <c r="E3477" t="n">
        <v>608.7859999999999</v>
      </c>
      <c r="G3477" t="n">
        <v>396.656</v>
      </c>
      <c r="H3477" t="inlineStr">
        <is>
          <t>bb</t>
        </is>
      </c>
      <c r="I3477" t="n">
        <v>608.7859999999999</v>
      </c>
    </row>
    <row r="3478">
      <c r="A3478" t="n">
        <v>6</v>
      </c>
      <c r="B3478" t="inlineStr">
        <is>
          <t>K4-2C</t>
        </is>
      </c>
      <c r="D3478" t="n">
        <v>14.89</v>
      </c>
      <c r="E3478" t="n">
        <v>229.764</v>
      </c>
      <c r="G3478" t="n">
        <v>4.81</v>
      </c>
      <c r="H3478" t="inlineStr">
        <is>
          <t>bb</t>
        </is>
      </c>
      <c r="I3478" t="n">
        <v>229.764</v>
      </c>
    </row>
    <row r="3479">
      <c r="A3479" t="n">
        <v>7</v>
      </c>
      <c r="B3479" t="inlineStr">
        <is>
          <t>MeOH</t>
        </is>
      </c>
    </row>
    <row r="3480">
      <c r="A3480" t="n">
        <v>8</v>
      </c>
      <c r="B3480" t="inlineStr">
        <is>
          <t>K4-4A</t>
        </is>
      </c>
      <c r="D3480" t="n">
        <v>14.89</v>
      </c>
      <c r="E3480" t="n">
        <v>288.067</v>
      </c>
      <c r="G3480" t="n">
        <v>4.022</v>
      </c>
      <c r="H3480" t="inlineStr">
        <is>
          <t>bb</t>
        </is>
      </c>
      <c r="I3480" t="n">
        <v>288.067</v>
      </c>
    </row>
    <row r="3481">
      <c r="A3481" t="n">
        <v>9</v>
      </c>
      <c r="B3481" t="inlineStr">
        <is>
          <t>K4-4B</t>
        </is>
      </c>
      <c r="D3481" t="n">
        <v>14.91</v>
      </c>
      <c r="E3481" t="n">
        <v>219.81</v>
      </c>
      <c r="G3481" t="n">
        <v>1.53</v>
      </c>
      <c r="H3481" t="inlineStr">
        <is>
          <t>bb</t>
        </is>
      </c>
      <c r="I3481" t="n">
        <v>219.81</v>
      </c>
    </row>
    <row r="3482">
      <c r="A3482" t="n">
        <v>10</v>
      </c>
      <c r="B3482" t="inlineStr">
        <is>
          <t>K4-4C</t>
        </is>
      </c>
      <c r="D3482" t="n">
        <v>14.96</v>
      </c>
      <c r="E3482" t="n">
        <v>322.86</v>
      </c>
      <c r="G3482" t="n">
        <v>1.152</v>
      </c>
      <c r="H3482" t="inlineStr">
        <is>
          <t>bb</t>
        </is>
      </c>
      <c r="I3482" t="n">
        <v>322.86</v>
      </c>
    </row>
    <row r="3483">
      <c r="A3483" t="n">
        <v>11</v>
      </c>
      <c r="B3483" t="inlineStr">
        <is>
          <t>K4-5A</t>
        </is>
      </c>
      <c r="D3483" t="n">
        <v>14.91</v>
      </c>
      <c r="E3483" t="n">
        <v>302.863</v>
      </c>
      <c r="G3483" t="n">
        <v>3.268</v>
      </c>
      <c r="H3483" t="inlineStr">
        <is>
          <t>bb</t>
        </is>
      </c>
      <c r="I3483" t="n">
        <v>302.863</v>
      </c>
    </row>
    <row r="3484">
      <c r="A3484" t="n">
        <v>12</v>
      </c>
      <c r="B3484" t="inlineStr">
        <is>
          <t>K4-5B</t>
        </is>
      </c>
      <c r="D3484" t="n">
        <v>14.89</v>
      </c>
      <c r="E3484" t="n">
        <v>188.939</v>
      </c>
      <c r="G3484" t="n">
        <v>1439</v>
      </c>
      <c r="H3484" t="inlineStr">
        <is>
          <t>bb</t>
        </is>
      </c>
      <c r="I3484" t="n">
        <v>188.939</v>
      </c>
    </row>
    <row r="3485">
      <c r="A3485" t="n">
        <v>13</v>
      </c>
      <c r="B3485" t="inlineStr">
        <is>
          <t>K4-5C</t>
        </is>
      </c>
      <c r="D3485" t="n">
        <v>14.83</v>
      </c>
      <c r="E3485" t="n">
        <v>386.08</v>
      </c>
      <c r="G3485" t="n">
        <v>6.888</v>
      </c>
      <c r="H3485" t="inlineStr">
        <is>
          <t>MM</t>
        </is>
      </c>
      <c r="I3485" t="n">
        <v>386.08</v>
      </c>
    </row>
    <row r="3486">
      <c r="A3486" t="n">
        <v>14</v>
      </c>
      <c r="B3486" t="inlineStr">
        <is>
          <t>MeOH</t>
        </is>
      </c>
    </row>
    <row r="3487">
      <c r="A3487" t="n">
        <v>15</v>
      </c>
      <c r="B3487" t="inlineStr">
        <is>
          <t>K3-1A</t>
        </is>
      </c>
      <c r="D3487" t="n">
        <v>14.8</v>
      </c>
      <c r="E3487" t="n">
        <v>273.068</v>
      </c>
      <c r="G3487" t="n">
        <v>45.599</v>
      </c>
      <c r="H3487" t="inlineStr">
        <is>
          <t>bb</t>
        </is>
      </c>
      <c r="I3487" t="n">
        <v>273.068</v>
      </c>
    </row>
    <row r="3488">
      <c r="A3488" t="n">
        <v>16</v>
      </c>
      <c r="B3488" t="inlineStr">
        <is>
          <t>K3-1B</t>
        </is>
      </c>
      <c r="D3488" t="n">
        <v>14.8</v>
      </c>
      <c r="E3488" t="n">
        <v>112.597</v>
      </c>
      <c r="G3488" t="n">
        <v>9.446</v>
      </c>
      <c r="H3488" t="inlineStr">
        <is>
          <t>MM</t>
        </is>
      </c>
      <c r="I3488" t="n">
        <v>112.597</v>
      </c>
    </row>
    <row r="3489">
      <c r="A3489" t="n">
        <v>17</v>
      </c>
      <c r="B3489" t="inlineStr">
        <is>
          <t>K3-1C</t>
        </is>
      </c>
      <c r="D3489" t="n">
        <v>14.83</v>
      </c>
      <c r="E3489" t="n">
        <v>575.867</v>
      </c>
      <c r="G3489" t="n">
        <v>3.15</v>
      </c>
      <c r="H3489" t="inlineStr">
        <is>
          <t>bb</t>
        </is>
      </c>
      <c r="I3489" t="n">
        <v>575.867</v>
      </c>
    </row>
    <row r="3490">
      <c r="A3490" t="n">
        <v>18</v>
      </c>
      <c r="B3490" t="inlineStr">
        <is>
          <t>K3-2A</t>
        </is>
      </c>
      <c r="D3490" t="n">
        <v>14.86</v>
      </c>
      <c r="E3490" t="n">
        <v>406.817</v>
      </c>
      <c r="G3490" t="n">
        <v>9.356</v>
      </c>
      <c r="H3490" t="inlineStr">
        <is>
          <t>bb</t>
        </is>
      </c>
      <c r="I3490" t="n">
        <v>406.817</v>
      </c>
    </row>
    <row r="3491">
      <c r="A3491" t="n">
        <v>19</v>
      </c>
      <c r="B3491" t="inlineStr">
        <is>
          <t>K3-2B</t>
        </is>
      </c>
      <c r="D3491" t="n">
        <v>14.86</v>
      </c>
      <c r="E3491" t="n">
        <v>266.099</v>
      </c>
      <c r="G3491" t="n">
        <v>2.118</v>
      </c>
      <c r="H3491" t="inlineStr">
        <is>
          <t>bb</t>
        </is>
      </c>
      <c r="I3491" t="n">
        <v>266.099</v>
      </c>
    </row>
    <row r="3492">
      <c r="A3492" t="n">
        <v>20</v>
      </c>
      <c r="B3492" t="inlineStr">
        <is>
          <t>K3-2C</t>
        </is>
      </c>
      <c r="D3492" t="n">
        <v>14.91</v>
      </c>
      <c r="E3492" t="n">
        <v>84.498</v>
      </c>
      <c r="G3492" t="n">
        <v>6.592</v>
      </c>
      <c r="H3492" t="inlineStr">
        <is>
          <t>bb</t>
        </is>
      </c>
      <c r="I3492" t="n">
        <v>84.498</v>
      </c>
    </row>
    <row r="3493">
      <c r="A3493" t="n">
        <v>21</v>
      </c>
      <c r="B3493" t="inlineStr">
        <is>
          <t>MeOH</t>
        </is>
      </c>
    </row>
    <row r="3494">
      <c r="A3494" t="n">
        <v>22</v>
      </c>
      <c r="B3494" t="inlineStr">
        <is>
          <t>K3-3A</t>
        </is>
      </c>
      <c r="D3494" t="n">
        <v>14.89</v>
      </c>
      <c r="E3494" t="n">
        <v>164.973</v>
      </c>
      <c r="G3494" t="n">
        <v>21.833</v>
      </c>
      <c r="H3494" t="inlineStr">
        <is>
          <t>bb</t>
        </is>
      </c>
      <c r="I3494" t="n">
        <v>164.973</v>
      </c>
    </row>
    <row r="3495">
      <c r="A3495" t="n">
        <v>23</v>
      </c>
      <c r="B3495" t="inlineStr">
        <is>
          <t>K3-3B</t>
        </is>
      </c>
      <c r="D3495" t="n">
        <v>14.91</v>
      </c>
      <c r="E3495" t="n">
        <v>375.679</v>
      </c>
      <c r="G3495" t="n">
        <v>3.212</v>
      </c>
      <c r="H3495" t="inlineStr">
        <is>
          <t>bb</t>
        </is>
      </c>
      <c r="I3495" t="n">
        <v>375.679</v>
      </c>
    </row>
    <row r="3496">
      <c r="A3496" t="n">
        <v>24</v>
      </c>
      <c r="B3496" t="inlineStr">
        <is>
          <t>K3-3C</t>
        </is>
      </c>
      <c r="D3496" t="n">
        <v>14.88</v>
      </c>
      <c r="E3496" t="n">
        <v>522.725</v>
      </c>
      <c r="G3496" t="n">
        <v>15.204</v>
      </c>
      <c r="H3496" t="inlineStr">
        <is>
          <t>bb</t>
        </is>
      </c>
      <c r="I3496" t="n">
        <v>522.725</v>
      </c>
    </row>
    <row r="3497">
      <c r="A3497" t="n">
        <v>25</v>
      </c>
      <c r="B3497" t="inlineStr">
        <is>
          <t>K3-4A</t>
        </is>
      </c>
      <c r="D3497" t="n">
        <v>14.94</v>
      </c>
      <c r="E3497" t="n">
        <v>299.257</v>
      </c>
      <c r="G3497" t="n">
        <v>2051</v>
      </c>
      <c r="H3497" t="inlineStr">
        <is>
          <t>bb</t>
        </is>
      </c>
      <c r="I3497" t="n">
        <v>299.257</v>
      </c>
    </row>
    <row r="3498">
      <c r="A3498" t="n">
        <v>26</v>
      </c>
      <c r="B3498" t="inlineStr">
        <is>
          <t>K3-4B</t>
        </is>
      </c>
      <c r="D3498" t="n">
        <v>14.94</v>
      </c>
      <c r="E3498" t="n">
        <v>449.922</v>
      </c>
      <c r="G3498" t="n">
        <v>4.867</v>
      </c>
      <c r="H3498" t="inlineStr">
        <is>
          <t>bb</t>
        </is>
      </c>
      <c r="I3498" t="n">
        <v>449.922</v>
      </c>
    </row>
    <row r="3499">
      <c r="A3499" t="n">
        <v>27</v>
      </c>
      <c r="B3499" t="inlineStr">
        <is>
          <t>K3-4C</t>
        </is>
      </c>
      <c r="D3499" t="n">
        <v>14.96</v>
      </c>
      <c r="E3499" t="n">
        <v>357.082</v>
      </c>
      <c r="G3499" t="n">
        <v>17.034</v>
      </c>
      <c r="H3499" t="inlineStr">
        <is>
          <t>bb</t>
        </is>
      </c>
      <c r="I3499" t="n">
        <v>357.082</v>
      </c>
    </row>
    <row r="3500">
      <c r="A3500" t="n">
        <v>28</v>
      </c>
      <c r="B3500" t="inlineStr">
        <is>
          <t>MeOH</t>
        </is>
      </c>
    </row>
    <row r="3501">
      <c r="A3501" t="n">
        <v>29</v>
      </c>
      <c r="B3501" t="inlineStr">
        <is>
          <t>K3-6A</t>
        </is>
      </c>
      <c r="D3501" t="n">
        <v>14.94</v>
      </c>
      <c r="E3501" t="n">
        <v>481.186</v>
      </c>
      <c r="G3501" t="n">
        <v>3637</v>
      </c>
      <c r="H3501" t="inlineStr">
        <is>
          <t>bb</t>
        </is>
      </c>
      <c r="I3501" t="n">
        <v>481.186</v>
      </c>
    </row>
    <row r="3502">
      <c r="A3502" t="n">
        <v>30</v>
      </c>
      <c r="B3502" t="inlineStr">
        <is>
          <t>K3-6B</t>
        </is>
      </c>
      <c r="D3502" t="n">
        <v>14.96</v>
      </c>
      <c r="E3502" t="n">
        <v>210.944</v>
      </c>
      <c r="G3502" t="n">
        <v>7.993</v>
      </c>
      <c r="H3502" t="inlineStr">
        <is>
          <t>bb</t>
        </is>
      </c>
      <c r="I3502" t="n">
        <v>210.944</v>
      </c>
    </row>
    <row r="3503">
      <c r="A3503" t="n">
        <v>31</v>
      </c>
      <c r="B3503" t="inlineStr">
        <is>
          <t>K3-6C</t>
        </is>
      </c>
      <c r="D3503" t="n">
        <v>14.92</v>
      </c>
      <c r="E3503" t="n">
        <v>445.594</v>
      </c>
      <c r="G3503" t="n">
        <v>22.839</v>
      </c>
      <c r="H3503" t="inlineStr">
        <is>
          <t>bb</t>
        </is>
      </c>
      <c r="I3503" t="n">
        <v>445.594</v>
      </c>
    </row>
    <row r="3505">
      <c r="A3505" t="inlineStr">
        <is>
          <t>Compound 101:  m7 PFUDA 2</t>
        </is>
      </c>
    </row>
    <row r="3507">
      <c r="B3507" t="inlineStr">
        <is>
          <t>Sample Text</t>
        </is>
      </c>
      <c r="C3507" t="inlineStr">
        <is>
          <t>Std. Conc</t>
        </is>
      </c>
      <c r="D3507" t="inlineStr">
        <is>
          <t>RT</t>
        </is>
      </c>
      <c r="E3507" t="inlineStr">
        <is>
          <t>Area</t>
        </is>
      </c>
      <c r="F3507" t="inlineStr">
        <is>
          <t>IS Area</t>
        </is>
      </c>
      <c r="G3507" t="inlineStr">
        <is>
          <t>S/N</t>
        </is>
      </c>
      <c r="H3507" t="inlineStr">
        <is>
          <t>Primary Flags</t>
        </is>
      </c>
      <c r="I3507" t="inlineStr">
        <is>
          <t>Response</t>
        </is>
      </c>
      <c r="J3507" t="inlineStr">
        <is>
          <t>Conc.</t>
        </is>
      </c>
    </row>
    <row r="3508">
      <c r="A3508" t="n">
        <v>1</v>
      </c>
      <c r="B3508" t="inlineStr">
        <is>
          <t>K4-1A</t>
        </is>
      </c>
      <c r="D3508" t="n">
        <v>14.88</v>
      </c>
      <c r="E3508" t="n">
        <v>535.819</v>
      </c>
      <c r="G3508" t="n">
        <v>6.402</v>
      </c>
      <c r="H3508" t="inlineStr">
        <is>
          <t>bb</t>
        </is>
      </c>
      <c r="I3508" t="n">
        <v>535.819</v>
      </c>
    </row>
    <row r="3509">
      <c r="A3509" t="n">
        <v>2</v>
      </c>
      <c r="B3509" t="inlineStr">
        <is>
          <t>K4-1B</t>
        </is>
      </c>
      <c r="D3509" t="n">
        <v>14.88</v>
      </c>
      <c r="E3509" t="n">
        <v>158.471</v>
      </c>
      <c r="G3509" t="n">
        <v>2.737</v>
      </c>
      <c r="H3509" t="inlineStr">
        <is>
          <t>bb</t>
        </is>
      </c>
      <c r="I3509" t="n">
        <v>158.471</v>
      </c>
    </row>
    <row r="3510">
      <c r="A3510" t="n">
        <v>3</v>
      </c>
      <c r="B3510" t="inlineStr">
        <is>
          <t>K4-1C</t>
        </is>
      </c>
      <c r="D3510" t="n">
        <v>14.88</v>
      </c>
      <c r="E3510" t="n">
        <v>341.625</v>
      </c>
      <c r="G3510" t="n">
        <v>9.427</v>
      </c>
      <c r="H3510" t="inlineStr">
        <is>
          <t>bb</t>
        </is>
      </c>
      <c r="I3510" t="n">
        <v>341.625</v>
      </c>
    </row>
    <row r="3511">
      <c r="A3511" t="n">
        <v>4</v>
      </c>
      <c r="B3511" t="inlineStr">
        <is>
          <t>K4-2A</t>
        </is>
      </c>
      <c r="D3511" t="n">
        <v>14.89</v>
      </c>
      <c r="E3511" t="n">
        <v>273.942</v>
      </c>
      <c r="G3511" t="n">
        <v>4.221</v>
      </c>
      <c r="H3511" t="inlineStr">
        <is>
          <t>bb</t>
        </is>
      </c>
      <c r="I3511" t="n">
        <v>273.942</v>
      </c>
    </row>
    <row r="3512">
      <c r="A3512" t="n">
        <v>5</v>
      </c>
      <c r="B3512" t="inlineStr">
        <is>
          <t>K4-2B</t>
        </is>
      </c>
      <c r="D3512" t="n">
        <v>14.89</v>
      </c>
      <c r="E3512" t="n">
        <v>314.431</v>
      </c>
      <c r="G3512" t="n">
        <v>16.683</v>
      </c>
      <c r="H3512" t="inlineStr">
        <is>
          <t>bb</t>
        </is>
      </c>
      <c r="I3512" t="n">
        <v>314.431</v>
      </c>
    </row>
    <row r="3513">
      <c r="A3513" t="n">
        <v>6</v>
      </c>
      <c r="B3513" t="inlineStr">
        <is>
          <t>K4-2C</t>
        </is>
      </c>
      <c r="D3513" t="n">
        <v>14.91</v>
      </c>
      <c r="E3513" t="n">
        <v>282.156</v>
      </c>
      <c r="G3513" t="n">
        <v>1744</v>
      </c>
      <c r="H3513" t="inlineStr">
        <is>
          <t>bb</t>
        </is>
      </c>
      <c r="I3513" t="n">
        <v>282.156</v>
      </c>
    </row>
    <row r="3514">
      <c r="A3514" t="n">
        <v>7</v>
      </c>
      <c r="B3514" t="inlineStr">
        <is>
          <t>MeOH</t>
        </is>
      </c>
    </row>
    <row r="3515">
      <c r="A3515" t="n">
        <v>8</v>
      </c>
      <c r="B3515" t="inlineStr">
        <is>
          <t>K4-4A</t>
        </is>
      </c>
      <c r="D3515" t="n">
        <v>14.94</v>
      </c>
      <c r="E3515" t="n">
        <v>123.42</v>
      </c>
      <c r="G3515" t="n">
        <v>12.078</v>
      </c>
      <c r="H3515" t="inlineStr">
        <is>
          <t>bb</t>
        </is>
      </c>
      <c r="I3515" t="n">
        <v>123.42</v>
      </c>
    </row>
    <row r="3516">
      <c r="A3516" t="n">
        <v>9</v>
      </c>
      <c r="B3516" t="inlineStr">
        <is>
          <t>K4-4B</t>
        </is>
      </c>
      <c r="D3516" t="n">
        <v>14.96</v>
      </c>
      <c r="E3516" t="n">
        <v>112.583</v>
      </c>
      <c r="G3516" t="n">
        <v>786</v>
      </c>
      <c r="H3516" t="inlineStr">
        <is>
          <t>bb</t>
        </is>
      </c>
      <c r="I3516" t="n">
        <v>112.583</v>
      </c>
    </row>
    <row r="3517">
      <c r="A3517" t="n">
        <v>10</v>
      </c>
      <c r="B3517" t="inlineStr">
        <is>
          <t>K4-4C</t>
        </is>
      </c>
      <c r="D3517" t="n">
        <v>14.94</v>
      </c>
      <c r="E3517" t="n">
        <v>149.259</v>
      </c>
      <c r="G3517" t="n">
        <v>1033</v>
      </c>
      <c r="H3517" t="inlineStr">
        <is>
          <t>bb</t>
        </is>
      </c>
      <c r="I3517" t="n">
        <v>149.259</v>
      </c>
    </row>
    <row r="3518">
      <c r="A3518" t="n">
        <v>11</v>
      </c>
      <c r="B3518" t="inlineStr">
        <is>
          <t>K4-5A</t>
        </is>
      </c>
      <c r="D3518" t="n">
        <v>14.89</v>
      </c>
      <c r="E3518" t="n">
        <v>237.28</v>
      </c>
      <c r="G3518" t="n">
        <v>6.179</v>
      </c>
      <c r="H3518" t="inlineStr">
        <is>
          <t>MM</t>
        </is>
      </c>
      <c r="I3518" t="n">
        <v>237.28</v>
      </c>
    </row>
    <row r="3519">
      <c r="A3519" t="n">
        <v>12</v>
      </c>
      <c r="B3519" t="inlineStr">
        <is>
          <t>K4-5B</t>
        </is>
      </c>
      <c r="D3519" t="n">
        <v>14.86</v>
      </c>
      <c r="E3519" t="n">
        <v>99.30200000000001</v>
      </c>
      <c r="G3519" t="n">
        <v>709</v>
      </c>
      <c r="H3519" t="inlineStr">
        <is>
          <t>bb</t>
        </is>
      </c>
      <c r="I3519" t="n">
        <v>99.30200000000001</v>
      </c>
    </row>
    <row r="3520">
      <c r="A3520" t="n">
        <v>13</v>
      </c>
      <c r="B3520" t="inlineStr">
        <is>
          <t>K4-5C</t>
        </is>
      </c>
      <c r="D3520" t="n">
        <v>14.8</v>
      </c>
      <c r="E3520" t="n">
        <v>227.115</v>
      </c>
      <c r="G3520" t="n">
        <v>1521</v>
      </c>
      <c r="H3520" t="inlineStr">
        <is>
          <t>bb</t>
        </is>
      </c>
      <c r="I3520" t="n">
        <v>227.115</v>
      </c>
    </row>
    <row r="3521">
      <c r="A3521" t="n">
        <v>14</v>
      </c>
      <c r="B3521" t="inlineStr">
        <is>
          <t>MeOH</t>
        </is>
      </c>
    </row>
    <row r="3522">
      <c r="A3522" t="n">
        <v>15</v>
      </c>
      <c r="B3522" t="inlineStr">
        <is>
          <t>K3-1A</t>
        </is>
      </c>
      <c r="D3522" t="n">
        <v>14.8</v>
      </c>
      <c r="E3522" t="n">
        <v>286.537</v>
      </c>
      <c r="G3522" t="n">
        <v>19.933</v>
      </c>
      <c r="H3522" t="inlineStr">
        <is>
          <t>bb</t>
        </is>
      </c>
      <c r="I3522" t="n">
        <v>286.537</v>
      </c>
    </row>
    <row r="3523">
      <c r="A3523" t="n">
        <v>16</v>
      </c>
      <c r="B3523" t="inlineStr">
        <is>
          <t>K3-1B</t>
        </is>
      </c>
      <c r="D3523" t="n">
        <v>14.81</v>
      </c>
      <c r="E3523" t="n">
        <v>317.157</v>
      </c>
      <c r="G3523" t="n">
        <v>25.301</v>
      </c>
      <c r="H3523" t="inlineStr">
        <is>
          <t>bb</t>
        </is>
      </c>
      <c r="I3523" t="n">
        <v>317.157</v>
      </c>
    </row>
    <row r="3524">
      <c r="A3524" t="n">
        <v>17</v>
      </c>
      <c r="B3524" t="inlineStr">
        <is>
          <t>K3-1C</t>
        </is>
      </c>
      <c r="D3524" t="n">
        <v>14.84</v>
      </c>
      <c r="E3524" t="n">
        <v>472.297</v>
      </c>
      <c r="G3524" t="n">
        <v>3476</v>
      </c>
      <c r="H3524" t="inlineStr">
        <is>
          <t>bb</t>
        </is>
      </c>
      <c r="I3524" t="n">
        <v>472.297</v>
      </c>
    </row>
    <row r="3525">
      <c r="A3525" t="n">
        <v>18</v>
      </c>
      <c r="B3525" t="inlineStr">
        <is>
          <t>K3-2A</t>
        </is>
      </c>
      <c r="D3525" t="n">
        <v>14.83</v>
      </c>
      <c r="E3525" t="n">
        <v>354.401</v>
      </c>
      <c r="G3525" t="n">
        <v>74.746</v>
      </c>
      <c r="H3525" t="inlineStr">
        <is>
          <t>bb</t>
        </is>
      </c>
      <c r="I3525" t="n">
        <v>354.401</v>
      </c>
    </row>
    <row r="3526">
      <c r="A3526" t="n">
        <v>19</v>
      </c>
      <c r="B3526" t="inlineStr">
        <is>
          <t>K3-2B</t>
        </is>
      </c>
      <c r="D3526" t="n">
        <v>14.86</v>
      </c>
      <c r="E3526" t="n">
        <v>603.4829999999999</v>
      </c>
      <c r="G3526" t="n">
        <v>3785</v>
      </c>
      <c r="H3526" t="inlineStr">
        <is>
          <t>bb</t>
        </is>
      </c>
      <c r="I3526" t="n">
        <v>603.4829999999999</v>
      </c>
    </row>
    <row r="3527">
      <c r="A3527" t="n">
        <v>20</v>
      </c>
      <c r="B3527" t="inlineStr">
        <is>
          <t>K3-2C</t>
        </is>
      </c>
      <c r="D3527" t="n">
        <v>14.86</v>
      </c>
      <c r="E3527" t="n">
        <v>180.799</v>
      </c>
      <c r="G3527" t="n">
        <v>129.497</v>
      </c>
      <c r="H3527" t="inlineStr">
        <is>
          <t>bb</t>
        </is>
      </c>
      <c r="I3527" t="n">
        <v>180.799</v>
      </c>
    </row>
    <row r="3528">
      <c r="A3528" t="n">
        <v>21</v>
      </c>
      <c r="B3528" t="inlineStr">
        <is>
          <t>MeOH</t>
        </is>
      </c>
    </row>
    <row r="3529">
      <c r="A3529" t="n">
        <v>22</v>
      </c>
      <c r="B3529" t="inlineStr">
        <is>
          <t>K3-3A</t>
        </is>
      </c>
      <c r="D3529" t="n">
        <v>14.86</v>
      </c>
      <c r="E3529" t="n">
        <v>496.833</v>
      </c>
      <c r="G3529" t="n">
        <v>2947</v>
      </c>
      <c r="H3529" t="inlineStr">
        <is>
          <t>bb</t>
        </is>
      </c>
      <c r="I3529" t="n">
        <v>496.833</v>
      </c>
    </row>
    <row r="3530">
      <c r="A3530" t="n">
        <v>23</v>
      </c>
      <c r="B3530" t="inlineStr">
        <is>
          <t>K3-3B</t>
        </is>
      </c>
      <c r="D3530" t="n">
        <v>14.88</v>
      </c>
      <c r="E3530" t="n">
        <v>293.632</v>
      </c>
      <c r="G3530" t="n">
        <v>12.569</v>
      </c>
      <c r="H3530" t="inlineStr">
        <is>
          <t>bb</t>
        </is>
      </c>
      <c r="I3530" t="n">
        <v>293.632</v>
      </c>
    </row>
    <row r="3531">
      <c r="A3531" t="n">
        <v>24</v>
      </c>
      <c r="B3531" t="inlineStr">
        <is>
          <t>K3-3C</t>
        </is>
      </c>
      <c r="D3531" t="n">
        <v>14.88</v>
      </c>
      <c r="E3531" t="n">
        <v>145.647</v>
      </c>
      <c r="G3531" t="n">
        <v>16.911</v>
      </c>
      <c r="H3531" t="inlineStr">
        <is>
          <t>bb</t>
        </is>
      </c>
      <c r="I3531" t="n">
        <v>145.647</v>
      </c>
    </row>
    <row r="3532">
      <c r="A3532" t="n">
        <v>25</v>
      </c>
      <c r="B3532" t="inlineStr">
        <is>
          <t>K3-4A</t>
        </is>
      </c>
      <c r="D3532" t="n">
        <v>14.92</v>
      </c>
      <c r="E3532" t="n">
        <v>324.969</v>
      </c>
      <c r="G3532" t="n">
        <v>2268</v>
      </c>
      <c r="H3532" t="inlineStr">
        <is>
          <t>bb</t>
        </is>
      </c>
      <c r="I3532" t="n">
        <v>324.969</v>
      </c>
    </row>
    <row r="3533">
      <c r="A3533" t="n">
        <v>26</v>
      </c>
      <c r="B3533" t="inlineStr">
        <is>
          <t>K3-4B</t>
        </is>
      </c>
      <c r="D3533" t="n">
        <v>14.91</v>
      </c>
      <c r="E3533" t="n">
        <v>334.376</v>
      </c>
      <c r="G3533" t="n">
        <v>2298</v>
      </c>
      <c r="H3533" t="inlineStr">
        <is>
          <t>bb</t>
        </is>
      </c>
      <c r="I3533" t="n">
        <v>334.376</v>
      </c>
    </row>
    <row r="3534">
      <c r="A3534" t="n">
        <v>27</v>
      </c>
      <c r="B3534" t="inlineStr">
        <is>
          <t>K3-4C</t>
        </is>
      </c>
      <c r="D3534" t="n">
        <v>14.94</v>
      </c>
      <c r="E3534" t="n">
        <v>352.862</v>
      </c>
      <c r="G3534" t="n">
        <v>2649</v>
      </c>
      <c r="H3534" t="inlineStr">
        <is>
          <t>bb</t>
        </is>
      </c>
      <c r="I3534" t="n">
        <v>352.862</v>
      </c>
    </row>
    <row r="3535">
      <c r="A3535" t="n">
        <v>28</v>
      </c>
      <c r="B3535" t="inlineStr">
        <is>
          <t>MeOH</t>
        </is>
      </c>
    </row>
    <row r="3536">
      <c r="A3536" t="n">
        <v>29</v>
      </c>
      <c r="B3536" t="inlineStr">
        <is>
          <t>K3-6A</t>
        </is>
      </c>
      <c r="D3536" t="n">
        <v>14.96</v>
      </c>
      <c r="E3536" t="n">
        <v>220.077</v>
      </c>
      <c r="G3536" t="n">
        <v>1369</v>
      </c>
      <c r="H3536" t="inlineStr">
        <is>
          <t>bb</t>
        </is>
      </c>
      <c r="I3536" t="n">
        <v>220.077</v>
      </c>
    </row>
    <row r="3537">
      <c r="A3537" t="n">
        <v>30</v>
      </c>
      <c r="B3537" t="inlineStr">
        <is>
          <t>K3-6B</t>
        </is>
      </c>
      <c r="D3537" t="n">
        <v>14.92</v>
      </c>
      <c r="E3537" t="n">
        <v>65.09699999999999</v>
      </c>
      <c r="G3537" t="n">
        <v>26.758</v>
      </c>
      <c r="H3537" t="inlineStr">
        <is>
          <t>bb</t>
        </is>
      </c>
      <c r="I3537" t="n">
        <v>65.09699999999999</v>
      </c>
    </row>
    <row r="3538">
      <c r="A3538" t="n">
        <v>31</v>
      </c>
      <c r="B3538" t="inlineStr">
        <is>
          <t>K3-6C</t>
        </is>
      </c>
      <c r="D3538" t="n">
        <v>14.92</v>
      </c>
      <c r="E3538" t="n">
        <v>322.026</v>
      </c>
      <c r="G3538" t="n">
        <v>9.151999999999999</v>
      </c>
      <c r="H3538" t="inlineStr">
        <is>
          <t>bb</t>
        </is>
      </c>
      <c r="I3538" t="n">
        <v>322.026</v>
      </c>
    </row>
    <row r="3540">
      <c r="A3540" t="inlineStr">
        <is>
          <t>Compound 102:  N-MeFOSAA 1</t>
        </is>
      </c>
    </row>
    <row r="3542">
      <c r="B3542" t="inlineStr">
        <is>
          <t>Sample Text</t>
        </is>
      </c>
      <c r="C3542" t="inlineStr">
        <is>
          <t>Std. Conc</t>
        </is>
      </c>
      <c r="D3542" t="inlineStr">
        <is>
          <t>RT</t>
        </is>
      </c>
      <c r="E3542" t="inlineStr">
        <is>
          <t>Area</t>
        </is>
      </c>
      <c r="F3542" t="inlineStr">
        <is>
          <t>IS Area</t>
        </is>
      </c>
      <c r="G3542" t="inlineStr">
        <is>
          <t>S/N</t>
        </is>
      </c>
      <c r="H3542" t="inlineStr">
        <is>
          <t>Primary Flags</t>
        </is>
      </c>
      <c r="I3542" t="inlineStr">
        <is>
          <t>Response</t>
        </is>
      </c>
      <c r="J3542" t="inlineStr">
        <is>
          <t>Conc.</t>
        </is>
      </c>
    </row>
    <row r="3543">
      <c r="A3543" t="n">
        <v>1</v>
      </c>
      <c r="B3543" t="inlineStr">
        <is>
          <t>K4-1A</t>
        </is>
      </c>
      <c r="F3543" t="n">
        <v>25781.148</v>
      </c>
    </row>
    <row r="3544">
      <c r="A3544" t="n">
        <v>2</v>
      </c>
      <c r="B3544" t="inlineStr">
        <is>
          <t>K4-1B</t>
        </is>
      </c>
      <c r="F3544" t="n">
        <v>24498.238</v>
      </c>
    </row>
    <row r="3545">
      <c r="A3545" t="n">
        <v>3</v>
      </c>
      <c r="B3545" t="inlineStr">
        <is>
          <t>K4-1C</t>
        </is>
      </c>
      <c r="F3545" t="n">
        <v>25078.18</v>
      </c>
    </row>
    <row r="3546">
      <c r="A3546" t="n">
        <v>4</v>
      </c>
      <c r="B3546" t="inlineStr">
        <is>
          <t>K4-2A</t>
        </is>
      </c>
      <c r="F3546" t="n">
        <v>26329.213</v>
      </c>
    </row>
    <row r="3547">
      <c r="A3547" t="n">
        <v>5</v>
      </c>
      <c r="B3547" t="inlineStr">
        <is>
          <t>K4-2B</t>
        </is>
      </c>
      <c r="F3547" t="n">
        <v>23001.746</v>
      </c>
    </row>
    <row r="3548">
      <c r="A3548" t="n">
        <v>6</v>
      </c>
      <c r="B3548" t="inlineStr">
        <is>
          <t>K4-2C</t>
        </is>
      </c>
      <c r="F3548" t="n">
        <v>20754.352</v>
      </c>
    </row>
    <row r="3549">
      <c r="A3549" t="n">
        <v>7</v>
      </c>
      <c r="B3549" t="inlineStr">
        <is>
          <t>MeOH</t>
        </is>
      </c>
      <c r="H3549" t="inlineStr">
        <is>
          <t>MM-</t>
        </is>
      </c>
    </row>
    <row r="3550">
      <c r="A3550" t="n">
        <v>8</v>
      </c>
      <c r="B3550" t="inlineStr">
        <is>
          <t>K4-4A</t>
        </is>
      </c>
      <c r="F3550" t="n">
        <v>26876.785</v>
      </c>
    </row>
    <row r="3551">
      <c r="A3551" t="n">
        <v>9</v>
      </c>
      <c r="B3551" t="inlineStr">
        <is>
          <t>K4-4B</t>
        </is>
      </c>
      <c r="F3551" t="n">
        <v>26592.869</v>
      </c>
    </row>
    <row r="3552">
      <c r="A3552" t="n">
        <v>10</v>
      </c>
      <c r="B3552" t="inlineStr">
        <is>
          <t>K4-4C</t>
        </is>
      </c>
      <c r="F3552" t="n">
        <v>27348.488</v>
      </c>
    </row>
    <row r="3553">
      <c r="A3553" t="n">
        <v>11</v>
      </c>
      <c r="B3553" t="inlineStr">
        <is>
          <t>K4-5A</t>
        </is>
      </c>
      <c r="F3553" t="n">
        <v>24556.311</v>
      </c>
    </row>
    <row r="3554">
      <c r="A3554" t="n">
        <v>12</v>
      </c>
      <c r="B3554" t="inlineStr">
        <is>
          <t>K4-5B</t>
        </is>
      </c>
      <c r="F3554" t="n">
        <v>25471.133</v>
      </c>
    </row>
    <row r="3555">
      <c r="A3555" t="n">
        <v>13</v>
      </c>
      <c r="B3555" t="inlineStr">
        <is>
          <t>K4-5C</t>
        </is>
      </c>
      <c r="F3555" t="n">
        <v>25624.244</v>
      </c>
    </row>
    <row r="3556">
      <c r="A3556" t="n">
        <v>14</v>
      </c>
      <c r="B3556" t="inlineStr">
        <is>
          <t>MeOH</t>
        </is>
      </c>
      <c r="D3556" t="n">
        <v>14.48</v>
      </c>
      <c r="E3556" t="n">
        <v>63.625</v>
      </c>
      <c r="G3556" t="n">
        <v>445</v>
      </c>
      <c r="H3556" t="inlineStr">
        <is>
          <t>bb</t>
        </is>
      </c>
    </row>
    <row r="3557">
      <c r="A3557" t="n">
        <v>15</v>
      </c>
      <c r="B3557" t="inlineStr">
        <is>
          <t>K3-1A</t>
        </is>
      </c>
      <c r="F3557" t="n">
        <v>27430.15</v>
      </c>
    </row>
    <row r="3558">
      <c r="A3558" t="n">
        <v>16</v>
      </c>
      <c r="B3558" t="inlineStr">
        <is>
          <t>K3-1B</t>
        </is>
      </c>
      <c r="D3558" t="n">
        <v>14.51</v>
      </c>
      <c r="E3558" t="n">
        <v>13.761</v>
      </c>
      <c r="F3558" t="n">
        <v>23993.336</v>
      </c>
      <c r="G3558" t="n">
        <v>125</v>
      </c>
      <c r="H3558" t="inlineStr">
        <is>
          <t>bb</t>
        </is>
      </c>
    </row>
    <row r="3559">
      <c r="A3559" t="n">
        <v>17</v>
      </c>
      <c r="B3559" t="inlineStr">
        <is>
          <t>K3-1C</t>
        </is>
      </c>
      <c r="F3559" t="n">
        <v>32579.355</v>
      </c>
    </row>
    <row r="3560">
      <c r="A3560" t="n">
        <v>18</v>
      </c>
      <c r="B3560" t="inlineStr">
        <is>
          <t>K3-2A</t>
        </is>
      </c>
      <c r="D3560" t="n">
        <v>14.52</v>
      </c>
      <c r="E3560" t="n">
        <v>0.914</v>
      </c>
      <c r="F3560" t="n">
        <v>32450.516</v>
      </c>
      <c r="G3560" t="n">
        <v>8</v>
      </c>
      <c r="H3560" t="inlineStr">
        <is>
          <t>bb</t>
        </is>
      </c>
    </row>
    <row r="3561">
      <c r="A3561" t="n">
        <v>19</v>
      </c>
      <c r="B3561" t="inlineStr">
        <is>
          <t>K3-2B</t>
        </is>
      </c>
      <c r="F3561" t="n">
        <v>35748.871</v>
      </c>
    </row>
    <row r="3562">
      <c r="A3562" t="n">
        <v>20</v>
      </c>
      <c r="B3562" t="inlineStr">
        <is>
          <t>K3-2C</t>
        </is>
      </c>
      <c r="F3562" t="n">
        <v>28929.938</v>
      </c>
    </row>
    <row r="3563">
      <c r="A3563" t="n">
        <v>21</v>
      </c>
      <c r="B3563" t="inlineStr">
        <is>
          <t>MeOH</t>
        </is>
      </c>
    </row>
    <row r="3564">
      <c r="A3564" t="n">
        <v>22</v>
      </c>
      <c r="B3564" t="inlineStr">
        <is>
          <t>K3-3A</t>
        </is>
      </c>
      <c r="F3564" t="n">
        <v>25978.053</v>
      </c>
    </row>
    <row r="3565">
      <c r="A3565" t="n">
        <v>23</v>
      </c>
      <c r="B3565" t="inlineStr">
        <is>
          <t>K3-3B</t>
        </is>
      </c>
      <c r="D3565" t="n">
        <v>14.92</v>
      </c>
      <c r="E3565" t="n">
        <v>40.155</v>
      </c>
      <c r="F3565" t="n">
        <v>29972.719</v>
      </c>
      <c r="G3565" t="n">
        <v>337</v>
      </c>
      <c r="H3565" t="inlineStr">
        <is>
          <t>bb</t>
        </is>
      </c>
    </row>
    <row r="3566">
      <c r="A3566" t="n">
        <v>24</v>
      </c>
      <c r="B3566" t="inlineStr">
        <is>
          <t>K3-3C</t>
        </is>
      </c>
      <c r="F3566" t="n">
        <v>34328.914</v>
      </c>
    </row>
    <row r="3567">
      <c r="A3567" t="n">
        <v>25</v>
      </c>
      <c r="B3567" t="inlineStr">
        <is>
          <t>K3-4A</t>
        </is>
      </c>
      <c r="F3567" t="n">
        <v>35665.301</v>
      </c>
    </row>
    <row r="3568">
      <c r="A3568" t="n">
        <v>26</v>
      </c>
      <c r="B3568" t="inlineStr">
        <is>
          <t>K3-4B</t>
        </is>
      </c>
      <c r="D3568" t="n">
        <v>14.54</v>
      </c>
      <c r="E3568" t="n">
        <v>18.435</v>
      </c>
      <c r="F3568" t="n">
        <v>32649.486</v>
      </c>
      <c r="G3568" t="n">
        <v>159</v>
      </c>
      <c r="H3568" t="inlineStr">
        <is>
          <t>bb</t>
        </is>
      </c>
    </row>
    <row r="3569">
      <c r="A3569" t="n">
        <v>27</v>
      </c>
      <c r="B3569" t="inlineStr">
        <is>
          <t>K3-4C</t>
        </is>
      </c>
      <c r="D3569" t="n">
        <v>14.66</v>
      </c>
      <c r="E3569" t="n">
        <v>25.789</v>
      </c>
      <c r="F3569" t="n">
        <v>37222.816</v>
      </c>
      <c r="G3569" t="n">
        <v>219</v>
      </c>
      <c r="H3569" t="inlineStr">
        <is>
          <t>bb</t>
        </is>
      </c>
    </row>
    <row r="3570">
      <c r="A3570" t="n">
        <v>28</v>
      </c>
      <c r="B3570" t="inlineStr">
        <is>
          <t>MeOH</t>
        </is>
      </c>
      <c r="F3570" t="n">
        <v>250.186</v>
      </c>
    </row>
    <row r="3571">
      <c r="A3571" t="n">
        <v>29</v>
      </c>
      <c r="B3571" t="inlineStr">
        <is>
          <t>K3-6A</t>
        </is>
      </c>
      <c r="D3571" t="n">
        <v>14.05</v>
      </c>
      <c r="E3571" t="n">
        <v>0.861</v>
      </c>
      <c r="F3571" t="n">
        <v>32457.338</v>
      </c>
      <c r="G3571" t="n">
        <v>8</v>
      </c>
      <c r="H3571" t="inlineStr">
        <is>
          <t>bb</t>
        </is>
      </c>
    </row>
    <row r="3572">
      <c r="A3572" t="n">
        <v>30</v>
      </c>
      <c r="B3572" t="inlineStr">
        <is>
          <t>K3-6B</t>
        </is>
      </c>
      <c r="F3572" t="n">
        <v>26206.738</v>
      </c>
    </row>
    <row r="3573">
      <c r="A3573" t="n">
        <v>31</v>
      </c>
      <c r="B3573" t="inlineStr">
        <is>
          <t>K3-6C</t>
        </is>
      </c>
      <c r="F3573" t="n">
        <v>24576.775</v>
      </c>
    </row>
    <row r="3575">
      <c r="A3575" t="inlineStr">
        <is>
          <t>Compound 103:  N-MeFOSAA 2</t>
        </is>
      </c>
    </row>
    <row r="3577">
      <c r="B3577" t="inlineStr">
        <is>
          <t>Sample Text</t>
        </is>
      </c>
      <c r="C3577" t="inlineStr">
        <is>
          <t>Std. Conc</t>
        </is>
      </c>
      <c r="D3577" t="inlineStr">
        <is>
          <t>RT</t>
        </is>
      </c>
      <c r="E3577" t="inlineStr">
        <is>
          <t>Area</t>
        </is>
      </c>
      <c r="F3577" t="inlineStr">
        <is>
          <t>IS Area</t>
        </is>
      </c>
      <c r="G3577" t="inlineStr">
        <is>
          <t>S/N</t>
        </is>
      </c>
      <c r="H3577" t="inlineStr">
        <is>
          <t>Primary Flags</t>
        </is>
      </c>
      <c r="I3577" t="inlineStr">
        <is>
          <t>Response</t>
        </is>
      </c>
      <c r="J3577" t="inlineStr">
        <is>
          <t>Conc.</t>
        </is>
      </c>
    </row>
    <row r="3578">
      <c r="A3578" t="n">
        <v>1</v>
      </c>
      <c r="B3578" t="inlineStr">
        <is>
          <t>K4-1A</t>
        </is>
      </c>
      <c r="F3578" t="n">
        <v>10322.775</v>
      </c>
    </row>
    <row r="3579">
      <c r="A3579" t="n">
        <v>2</v>
      </c>
      <c r="B3579" t="inlineStr">
        <is>
          <t>K4-1B</t>
        </is>
      </c>
      <c r="F3579" t="n">
        <v>10186.714</v>
      </c>
    </row>
    <row r="3580">
      <c r="A3580" t="n">
        <v>3</v>
      </c>
      <c r="B3580" t="inlineStr">
        <is>
          <t>K4-1C</t>
        </is>
      </c>
      <c r="F3580" t="n">
        <v>9628.906000000001</v>
      </c>
    </row>
    <row r="3581">
      <c r="A3581" t="n">
        <v>4</v>
      </c>
      <c r="B3581" t="inlineStr">
        <is>
          <t>K4-2A</t>
        </is>
      </c>
      <c r="F3581" t="n">
        <v>8744.664000000001</v>
      </c>
    </row>
    <row r="3582">
      <c r="A3582" t="n">
        <v>5</v>
      </c>
      <c r="B3582" t="inlineStr">
        <is>
          <t>K4-2B</t>
        </is>
      </c>
      <c r="F3582" t="n">
        <v>8444.098</v>
      </c>
    </row>
    <row r="3583">
      <c r="A3583" t="n">
        <v>6</v>
      </c>
      <c r="B3583" t="inlineStr">
        <is>
          <t>K4-2C</t>
        </is>
      </c>
      <c r="F3583" t="n">
        <v>7998.905</v>
      </c>
    </row>
    <row r="3584">
      <c r="A3584" t="n">
        <v>7</v>
      </c>
      <c r="B3584" t="inlineStr">
        <is>
          <t>MeOH</t>
        </is>
      </c>
      <c r="H3584" t="inlineStr">
        <is>
          <t>MM-</t>
        </is>
      </c>
    </row>
    <row r="3585">
      <c r="A3585" t="n">
        <v>8</v>
      </c>
      <c r="B3585" t="inlineStr">
        <is>
          <t>K4-4A</t>
        </is>
      </c>
      <c r="F3585" t="n">
        <v>9868.415000000001</v>
      </c>
    </row>
    <row r="3586">
      <c r="A3586" t="n">
        <v>9</v>
      </c>
      <c r="B3586" t="inlineStr">
        <is>
          <t>K4-4B</t>
        </is>
      </c>
      <c r="F3586" t="n">
        <v>9821.01</v>
      </c>
    </row>
    <row r="3587">
      <c r="A3587" t="n">
        <v>10</v>
      </c>
      <c r="B3587" t="inlineStr">
        <is>
          <t>K4-4C</t>
        </is>
      </c>
      <c r="F3587" t="n">
        <v>11852</v>
      </c>
    </row>
    <row r="3588">
      <c r="A3588" t="n">
        <v>11</v>
      </c>
      <c r="B3588" t="inlineStr">
        <is>
          <t>K4-5A</t>
        </is>
      </c>
      <c r="F3588" t="n">
        <v>9465.008</v>
      </c>
    </row>
    <row r="3589">
      <c r="A3589" t="n">
        <v>12</v>
      </c>
      <c r="B3589" t="inlineStr">
        <is>
          <t>K4-5B</t>
        </is>
      </c>
      <c r="F3589" t="n">
        <v>10675.469</v>
      </c>
    </row>
    <row r="3590">
      <c r="A3590" t="n">
        <v>13</v>
      </c>
      <c r="B3590" t="inlineStr">
        <is>
          <t>K4-5C</t>
        </is>
      </c>
      <c r="F3590" t="n">
        <v>9713.841</v>
      </c>
    </row>
    <row r="3591">
      <c r="A3591" t="n">
        <v>14</v>
      </c>
      <c r="B3591" t="inlineStr">
        <is>
          <t>MeOH</t>
        </is>
      </c>
    </row>
    <row r="3592">
      <c r="A3592" t="n">
        <v>15</v>
      </c>
      <c r="B3592" t="inlineStr">
        <is>
          <t>K3-1A</t>
        </is>
      </c>
      <c r="D3592" t="n">
        <v>14.61</v>
      </c>
      <c r="E3592" t="n">
        <v>1.572</v>
      </c>
      <c r="F3592" t="n">
        <v>11165.479</v>
      </c>
      <c r="G3592" t="n">
        <v>14</v>
      </c>
      <c r="H3592" t="inlineStr">
        <is>
          <t>bb</t>
        </is>
      </c>
    </row>
    <row r="3593">
      <c r="A3593" t="n">
        <v>16</v>
      </c>
      <c r="B3593" t="inlineStr">
        <is>
          <t>K3-1B</t>
        </is>
      </c>
      <c r="F3593" t="n">
        <v>10191.97</v>
      </c>
    </row>
    <row r="3594">
      <c r="A3594" t="n">
        <v>17</v>
      </c>
      <c r="B3594" t="inlineStr">
        <is>
          <t>K3-1C</t>
        </is>
      </c>
      <c r="F3594" t="n">
        <v>13663.627</v>
      </c>
    </row>
    <row r="3595">
      <c r="A3595" t="n">
        <v>18</v>
      </c>
      <c r="B3595" t="inlineStr">
        <is>
          <t>K3-2A</t>
        </is>
      </c>
      <c r="F3595" t="n">
        <v>12675.376</v>
      </c>
    </row>
    <row r="3596">
      <c r="A3596" t="n">
        <v>19</v>
      </c>
      <c r="B3596" t="inlineStr">
        <is>
          <t>K3-2B</t>
        </is>
      </c>
      <c r="D3596" t="n">
        <v>14.55</v>
      </c>
      <c r="E3596" t="n">
        <v>13.474</v>
      </c>
      <c r="F3596" t="n">
        <v>12602.38</v>
      </c>
      <c r="G3596" t="n">
        <v>120</v>
      </c>
      <c r="H3596" t="inlineStr">
        <is>
          <t>bb</t>
        </is>
      </c>
    </row>
    <row r="3597">
      <c r="A3597" t="n">
        <v>20</v>
      </c>
      <c r="B3597" t="inlineStr">
        <is>
          <t>K3-2C</t>
        </is>
      </c>
      <c r="F3597" t="n">
        <v>12657.865</v>
      </c>
    </row>
    <row r="3598">
      <c r="A3598" t="n">
        <v>21</v>
      </c>
      <c r="B3598" t="inlineStr">
        <is>
          <t>MeOH</t>
        </is>
      </c>
    </row>
    <row r="3599">
      <c r="A3599" t="n">
        <v>22</v>
      </c>
      <c r="B3599" t="inlineStr">
        <is>
          <t>K3-3A</t>
        </is>
      </c>
      <c r="F3599" t="n">
        <v>10197.11</v>
      </c>
    </row>
    <row r="3600">
      <c r="A3600" t="n">
        <v>23</v>
      </c>
      <c r="B3600" t="inlineStr">
        <is>
          <t>K3-3B</t>
        </is>
      </c>
      <c r="F3600" t="n">
        <v>11506.86</v>
      </c>
    </row>
    <row r="3601">
      <c r="A3601" t="n">
        <v>24</v>
      </c>
      <c r="B3601" t="inlineStr">
        <is>
          <t>K3-3C</t>
        </is>
      </c>
      <c r="F3601" t="n">
        <v>14119.439</v>
      </c>
    </row>
    <row r="3602">
      <c r="A3602" t="n">
        <v>25</v>
      </c>
      <c r="B3602" t="inlineStr">
        <is>
          <t>K3-4A</t>
        </is>
      </c>
      <c r="F3602" t="n">
        <v>13867.716</v>
      </c>
    </row>
    <row r="3603">
      <c r="A3603" t="n">
        <v>26</v>
      </c>
      <c r="B3603" t="inlineStr">
        <is>
          <t>K3-4B</t>
        </is>
      </c>
      <c r="F3603" t="n">
        <v>12810.85</v>
      </c>
    </row>
    <row r="3604">
      <c r="A3604" t="n">
        <v>27</v>
      </c>
      <c r="B3604" t="inlineStr">
        <is>
          <t>K3-4C</t>
        </is>
      </c>
      <c r="F3604" t="n">
        <v>15157.041</v>
      </c>
    </row>
    <row r="3605">
      <c r="A3605" t="n">
        <v>28</v>
      </c>
      <c r="B3605" t="inlineStr">
        <is>
          <t>MeOH</t>
        </is>
      </c>
      <c r="H3605" t="inlineStr">
        <is>
          <t>MM-</t>
        </is>
      </c>
    </row>
    <row r="3606">
      <c r="A3606" t="n">
        <v>29</v>
      </c>
      <c r="B3606" t="inlineStr">
        <is>
          <t>K3-6A</t>
        </is>
      </c>
      <c r="F3606" t="n">
        <v>12842.805</v>
      </c>
    </row>
    <row r="3607">
      <c r="A3607" t="n">
        <v>30</v>
      </c>
      <c r="B3607" t="inlineStr">
        <is>
          <t>K3-6B</t>
        </is>
      </c>
      <c r="F3607" t="n">
        <v>9136.427</v>
      </c>
    </row>
    <row r="3608">
      <c r="A3608" t="n">
        <v>31</v>
      </c>
      <c r="B3608" t="inlineStr">
        <is>
          <t>K3-6C</t>
        </is>
      </c>
      <c r="F3608" t="n">
        <v>9263.581</v>
      </c>
    </row>
    <row r="3610">
      <c r="A3610" t="inlineStr">
        <is>
          <t>Compound 104:  N-EtFOSE 1</t>
        </is>
      </c>
    </row>
    <row r="3612">
      <c r="B3612" t="inlineStr">
        <is>
          <t>Sample Text</t>
        </is>
      </c>
      <c r="C3612" t="inlineStr">
        <is>
          <t>Std. Conc</t>
        </is>
      </c>
      <c r="D3612" t="inlineStr">
        <is>
          <t>RT</t>
        </is>
      </c>
      <c r="E3612" t="inlineStr">
        <is>
          <t>Area</t>
        </is>
      </c>
      <c r="F3612" t="inlineStr">
        <is>
          <t>IS Area</t>
        </is>
      </c>
      <c r="G3612" t="inlineStr">
        <is>
          <t>S/N</t>
        </is>
      </c>
      <c r="H3612" t="inlineStr">
        <is>
          <t>Primary Flags</t>
        </is>
      </c>
      <c r="I3612" t="inlineStr">
        <is>
          <t>Response</t>
        </is>
      </c>
      <c r="J3612" t="inlineStr">
        <is>
          <t>Conc.</t>
        </is>
      </c>
    </row>
    <row r="3613">
      <c r="A3613" t="n">
        <v>1</v>
      </c>
      <c r="B3613" t="inlineStr">
        <is>
          <t>K4-1A</t>
        </is>
      </c>
      <c r="D3613" t="n">
        <v>18.89</v>
      </c>
      <c r="E3613" t="n">
        <v>22.449</v>
      </c>
      <c r="F3613" t="n">
        <v>1609.995</v>
      </c>
      <c r="G3613" t="n">
        <v>71.60599999999999</v>
      </c>
      <c r="H3613" t="inlineStr">
        <is>
          <t>MM</t>
        </is>
      </c>
    </row>
    <row r="3614">
      <c r="A3614" t="n">
        <v>2</v>
      </c>
      <c r="B3614" t="inlineStr">
        <is>
          <t>K4-1B</t>
        </is>
      </c>
      <c r="D3614" t="n">
        <v>18.91</v>
      </c>
      <c r="E3614" t="n">
        <v>8.599</v>
      </c>
      <c r="F3614" t="n">
        <v>1632.476</v>
      </c>
      <c r="G3614" t="n">
        <v>13.072</v>
      </c>
      <c r="H3614" t="inlineStr">
        <is>
          <t>bb</t>
        </is>
      </c>
    </row>
    <row r="3615">
      <c r="A3615" t="n">
        <v>3</v>
      </c>
      <c r="B3615" t="inlineStr">
        <is>
          <t>K4-1C</t>
        </is>
      </c>
      <c r="D3615" t="n">
        <v>18.89</v>
      </c>
      <c r="E3615" t="n">
        <v>8</v>
      </c>
      <c r="F3615" t="n">
        <v>1678.802</v>
      </c>
      <c r="G3615" t="n">
        <v>4.182</v>
      </c>
      <c r="H3615" t="inlineStr">
        <is>
          <t>bb</t>
        </is>
      </c>
    </row>
    <row r="3616">
      <c r="A3616" t="n">
        <v>4</v>
      </c>
      <c r="B3616" t="inlineStr">
        <is>
          <t>K4-2A</t>
        </is>
      </c>
      <c r="D3616" t="n">
        <v>18.89</v>
      </c>
      <c r="E3616" t="n">
        <v>6.459</v>
      </c>
      <c r="F3616" t="n">
        <v>1686.286</v>
      </c>
      <c r="G3616" t="n">
        <v>3.519</v>
      </c>
      <c r="H3616" t="inlineStr">
        <is>
          <t>bb</t>
        </is>
      </c>
    </row>
    <row r="3617">
      <c r="A3617" t="n">
        <v>5</v>
      </c>
      <c r="B3617" t="inlineStr">
        <is>
          <t>K4-2B</t>
        </is>
      </c>
      <c r="D3617" t="n">
        <v>18.9</v>
      </c>
      <c r="E3617" t="n">
        <v>6.129</v>
      </c>
      <c r="F3617" t="n">
        <v>1528.592</v>
      </c>
      <c r="G3617" t="n">
        <v>2.141</v>
      </c>
      <c r="H3617" t="inlineStr">
        <is>
          <t>bb</t>
        </is>
      </c>
    </row>
    <row r="3618">
      <c r="A3618" t="n">
        <v>6</v>
      </c>
      <c r="B3618" t="inlineStr">
        <is>
          <t>K4-2C</t>
        </is>
      </c>
      <c r="D3618" t="n">
        <v>19.25</v>
      </c>
      <c r="E3618" t="n">
        <v>3.234</v>
      </c>
      <c r="F3618" t="n">
        <v>1341.622</v>
      </c>
      <c r="G3618" t="n">
        <v>2.546</v>
      </c>
      <c r="H3618" t="inlineStr">
        <is>
          <t>bb</t>
        </is>
      </c>
    </row>
    <row r="3619">
      <c r="A3619" t="n">
        <v>7</v>
      </c>
      <c r="B3619" t="inlineStr">
        <is>
          <t>MeOH</t>
        </is>
      </c>
      <c r="H3619" t="inlineStr">
        <is>
          <t>MM-</t>
        </is>
      </c>
    </row>
    <row r="3620">
      <c r="A3620" t="n">
        <v>8</v>
      </c>
      <c r="B3620" t="inlineStr">
        <is>
          <t>K4-4A</t>
        </is>
      </c>
      <c r="D3620" t="n">
        <v>18.93</v>
      </c>
      <c r="E3620" t="n">
        <v>1.281</v>
      </c>
      <c r="F3620" t="n">
        <v>1530.409</v>
      </c>
      <c r="G3620" t="n">
        <v>1.239</v>
      </c>
      <c r="H3620" t="inlineStr">
        <is>
          <t>bb</t>
        </is>
      </c>
    </row>
    <row r="3621">
      <c r="A3621" t="n">
        <v>9</v>
      </c>
      <c r="B3621" t="inlineStr">
        <is>
          <t>K4-4B</t>
        </is>
      </c>
      <c r="D3621" t="n">
        <v>18.94</v>
      </c>
      <c r="E3621" t="n">
        <v>3.645</v>
      </c>
      <c r="F3621" t="n">
        <v>1665.401</v>
      </c>
      <c r="G3621" t="n">
        <v>1.664</v>
      </c>
      <c r="H3621" t="inlineStr">
        <is>
          <t>MM</t>
        </is>
      </c>
    </row>
    <row r="3622">
      <c r="A3622" t="n">
        <v>10</v>
      </c>
      <c r="B3622" t="inlineStr">
        <is>
          <t>K4-4C</t>
        </is>
      </c>
      <c r="D3622" t="n">
        <v>18.7</v>
      </c>
      <c r="E3622" t="n">
        <v>3.627</v>
      </c>
      <c r="F3622" t="n">
        <v>1618.391</v>
      </c>
      <c r="G3622" t="n">
        <v>4.442</v>
      </c>
      <c r="H3622" t="inlineStr">
        <is>
          <t>bb</t>
        </is>
      </c>
    </row>
    <row r="3623">
      <c r="A3623" t="n">
        <v>11</v>
      </c>
      <c r="B3623" t="inlineStr">
        <is>
          <t>K4-5A</t>
        </is>
      </c>
      <c r="D3623" t="n">
        <v>18.47</v>
      </c>
      <c r="E3623" t="n">
        <v>4.821</v>
      </c>
      <c r="F3623" t="n">
        <v>1626.32</v>
      </c>
      <c r="G3623" t="n">
        <v>1.352</v>
      </c>
      <c r="H3623" t="inlineStr">
        <is>
          <t>bb</t>
        </is>
      </c>
    </row>
    <row r="3624">
      <c r="A3624" t="n">
        <v>12</v>
      </c>
      <c r="B3624" t="inlineStr">
        <is>
          <t>K4-5B</t>
        </is>
      </c>
      <c r="D3624" t="n">
        <v>18.87</v>
      </c>
      <c r="E3624" t="n">
        <v>5.909</v>
      </c>
      <c r="F3624" t="n">
        <v>1665.634</v>
      </c>
      <c r="G3624" t="n">
        <v>5.232</v>
      </c>
      <c r="H3624" t="inlineStr">
        <is>
          <t>MM</t>
        </is>
      </c>
    </row>
    <row r="3625">
      <c r="A3625" t="n">
        <v>13</v>
      </c>
      <c r="B3625" t="inlineStr">
        <is>
          <t>K4-5C</t>
        </is>
      </c>
      <c r="D3625" t="n">
        <v>18.79</v>
      </c>
      <c r="E3625" t="n">
        <v>1.093</v>
      </c>
      <c r="F3625" t="n">
        <v>1613.307</v>
      </c>
      <c r="G3625" t="n">
        <v>0.723</v>
      </c>
      <c r="H3625" t="inlineStr">
        <is>
          <t>MM</t>
        </is>
      </c>
    </row>
    <row r="3626">
      <c r="A3626" t="n">
        <v>14</v>
      </c>
      <c r="B3626" t="inlineStr">
        <is>
          <t>MeOH</t>
        </is>
      </c>
      <c r="H3626" t="inlineStr">
        <is>
          <t>MM-</t>
        </is>
      </c>
    </row>
    <row r="3627">
      <c r="A3627" t="n">
        <v>15</v>
      </c>
      <c r="B3627" t="inlineStr">
        <is>
          <t>K3-1A</t>
        </is>
      </c>
      <c r="D3627" t="n">
        <v>18.8</v>
      </c>
      <c r="E3627" t="n">
        <v>1.1</v>
      </c>
      <c r="F3627" t="n">
        <v>1742.121</v>
      </c>
      <c r="G3627" t="n">
        <v>1.898</v>
      </c>
      <c r="H3627" t="inlineStr">
        <is>
          <t>MM</t>
        </is>
      </c>
    </row>
    <row r="3628">
      <c r="A3628" t="n">
        <v>16</v>
      </c>
      <c r="B3628" t="inlineStr">
        <is>
          <t>K3-1B</t>
        </is>
      </c>
      <c r="D3628" t="n">
        <v>18.87</v>
      </c>
      <c r="E3628" t="n">
        <v>4.169</v>
      </c>
      <c r="F3628" t="n">
        <v>1572.028</v>
      </c>
      <c r="G3628" t="n">
        <v>1.725</v>
      </c>
      <c r="H3628" t="inlineStr">
        <is>
          <t>bb</t>
        </is>
      </c>
    </row>
    <row r="3629">
      <c r="A3629" t="n">
        <v>17</v>
      </c>
      <c r="B3629" t="inlineStr">
        <is>
          <t>K3-1C</t>
        </is>
      </c>
      <c r="D3629" t="n">
        <v>18.83</v>
      </c>
      <c r="E3629" t="n">
        <v>2.006</v>
      </c>
      <c r="F3629" t="n">
        <v>2116.855</v>
      </c>
      <c r="G3629" t="n">
        <v>2.261</v>
      </c>
      <c r="H3629" t="inlineStr">
        <is>
          <t>bb</t>
        </is>
      </c>
    </row>
    <row r="3630">
      <c r="A3630" t="n">
        <v>18</v>
      </c>
      <c r="B3630" t="inlineStr">
        <is>
          <t>K3-2A</t>
        </is>
      </c>
      <c r="D3630" t="n">
        <v>18.67</v>
      </c>
      <c r="E3630" t="n">
        <v>2.061</v>
      </c>
      <c r="F3630" t="n">
        <v>2008.621</v>
      </c>
      <c r="G3630" t="n">
        <v>0.717</v>
      </c>
      <c r="H3630" t="inlineStr">
        <is>
          <t>bb</t>
        </is>
      </c>
    </row>
    <row r="3631">
      <c r="A3631" t="n">
        <v>19</v>
      </c>
      <c r="B3631" t="inlineStr">
        <is>
          <t>K3-2B</t>
        </is>
      </c>
      <c r="D3631" t="n">
        <v>18.34</v>
      </c>
      <c r="E3631" t="n">
        <v>4.461</v>
      </c>
      <c r="F3631" t="n">
        <v>2203.574</v>
      </c>
      <c r="G3631" t="n">
        <v>1.656</v>
      </c>
      <c r="H3631" t="inlineStr">
        <is>
          <t>MM</t>
        </is>
      </c>
    </row>
    <row r="3632">
      <c r="A3632" t="n">
        <v>20</v>
      </c>
      <c r="B3632" t="inlineStr">
        <is>
          <t>K3-2C</t>
        </is>
      </c>
      <c r="D3632" t="n">
        <v>18.59</v>
      </c>
      <c r="E3632" t="n">
        <v>2.956</v>
      </c>
      <c r="F3632" t="n">
        <v>1898.184</v>
      </c>
      <c r="G3632" t="n">
        <v>1.06</v>
      </c>
      <c r="H3632" t="inlineStr">
        <is>
          <t>bb</t>
        </is>
      </c>
    </row>
    <row r="3633">
      <c r="A3633" t="n">
        <v>21</v>
      </c>
      <c r="B3633" t="inlineStr">
        <is>
          <t>MeOH</t>
        </is>
      </c>
      <c r="H3633" t="inlineStr">
        <is>
          <t>MM-</t>
        </is>
      </c>
    </row>
    <row r="3634">
      <c r="A3634" t="n">
        <v>22</v>
      </c>
      <c r="B3634" t="inlineStr">
        <is>
          <t>K3-3A</t>
        </is>
      </c>
      <c r="D3634" t="n">
        <v>18.88</v>
      </c>
      <c r="E3634" t="n">
        <v>3.176</v>
      </c>
      <c r="F3634" t="n">
        <v>1523.872</v>
      </c>
      <c r="G3634" t="n">
        <v>2.566</v>
      </c>
      <c r="H3634" t="inlineStr">
        <is>
          <t>MM</t>
        </is>
      </c>
    </row>
    <row r="3635">
      <c r="A3635" t="n">
        <v>23</v>
      </c>
      <c r="B3635" t="inlineStr">
        <is>
          <t>K3-3B</t>
        </is>
      </c>
      <c r="D3635" t="n">
        <v>18.88</v>
      </c>
      <c r="E3635" t="n">
        <v>3.475</v>
      </c>
      <c r="F3635" t="n">
        <v>1684.574</v>
      </c>
      <c r="G3635" t="n">
        <v>2.095</v>
      </c>
      <c r="H3635" t="inlineStr">
        <is>
          <t>bb</t>
        </is>
      </c>
    </row>
    <row r="3636">
      <c r="A3636" t="n">
        <v>24</v>
      </c>
      <c r="B3636" t="inlineStr">
        <is>
          <t>K3-3C</t>
        </is>
      </c>
      <c r="D3636" t="n">
        <v>18.78</v>
      </c>
      <c r="E3636" t="n">
        <v>3.702</v>
      </c>
      <c r="F3636" t="n">
        <v>2072.912</v>
      </c>
      <c r="G3636" t="n">
        <v>1.515</v>
      </c>
      <c r="H3636" t="inlineStr">
        <is>
          <t>MM</t>
        </is>
      </c>
    </row>
    <row r="3637">
      <c r="A3637" t="n">
        <v>25</v>
      </c>
      <c r="B3637" t="inlineStr">
        <is>
          <t>K3-4A</t>
        </is>
      </c>
      <c r="D3637" t="n">
        <v>18.65</v>
      </c>
      <c r="E3637" t="n">
        <v>11.386</v>
      </c>
      <c r="F3637" t="n">
        <v>2194.503</v>
      </c>
      <c r="G3637" t="n">
        <v>2.541</v>
      </c>
      <c r="H3637" t="inlineStr">
        <is>
          <t>bb</t>
        </is>
      </c>
    </row>
    <row r="3638">
      <c r="A3638" t="n">
        <v>26</v>
      </c>
      <c r="B3638" t="inlineStr">
        <is>
          <t>K3-4B</t>
        </is>
      </c>
      <c r="D3638" t="n">
        <v>18.91</v>
      </c>
      <c r="E3638" t="n">
        <v>6.637</v>
      </c>
      <c r="F3638" t="n">
        <v>1936.442</v>
      </c>
      <c r="G3638" t="n">
        <v>5.08</v>
      </c>
      <c r="H3638" t="inlineStr">
        <is>
          <t>MM</t>
        </is>
      </c>
    </row>
    <row r="3639">
      <c r="A3639" t="n">
        <v>27</v>
      </c>
      <c r="B3639" t="inlineStr">
        <is>
          <t>K3-4C</t>
        </is>
      </c>
      <c r="D3639" t="n">
        <v>18.91</v>
      </c>
      <c r="E3639" t="n">
        <v>3.714</v>
      </c>
      <c r="F3639" t="n">
        <v>2051.932</v>
      </c>
      <c r="G3639" t="n">
        <v>1.236</v>
      </c>
      <c r="H3639" t="inlineStr">
        <is>
          <t>bd</t>
        </is>
      </c>
    </row>
    <row r="3640">
      <c r="A3640" t="n">
        <v>28</v>
      </c>
      <c r="B3640" t="inlineStr">
        <is>
          <t>MeOH</t>
        </is>
      </c>
      <c r="H3640" t="inlineStr">
        <is>
          <t>MM-</t>
        </is>
      </c>
    </row>
    <row r="3641">
      <c r="A3641" t="n">
        <v>29</v>
      </c>
      <c r="B3641" t="inlineStr">
        <is>
          <t>K3-6A</t>
        </is>
      </c>
      <c r="D3641" t="n">
        <v>18.9</v>
      </c>
      <c r="E3641" t="n">
        <v>6.108</v>
      </c>
      <c r="F3641" t="n">
        <v>1703.303</v>
      </c>
      <c r="G3641" t="n">
        <v>4.933</v>
      </c>
      <c r="H3641" t="inlineStr">
        <is>
          <t>MM</t>
        </is>
      </c>
    </row>
    <row r="3642">
      <c r="A3642" t="n">
        <v>30</v>
      </c>
      <c r="B3642" t="inlineStr">
        <is>
          <t>K3-6B</t>
        </is>
      </c>
      <c r="D3642" t="n">
        <v>18.88</v>
      </c>
      <c r="E3642" t="n">
        <v>3.952</v>
      </c>
      <c r="F3642" t="n">
        <v>1471.201</v>
      </c>
      <c r="G3642" t="n">
        <v>0.635</v>
      </c>
      <c r="H3642" t="inlineStr">
        <is>
          <t>MM</t>
        </is>
      </c>
    </row>
    <row r="3643">
      <c r="A3643" t="n">
        <v>31</v>
      </c>
      <c r="B3643" t="inlineStr">
        <is>
          <t>K3-6C</t>
        </is>
      </c>
      <c r="D3643" t="n">
        <v>18.73</v>
      </c>
      <c r="E3643" t="n">
        <v>1.567</v>
      </c>
      <c r="F3643" t="n">
        <v>1466.605</v>
      </c>
      <c r="G3643" t="n">
        <v>0.998</v>
      </c>
      <c r="H3643" t="inlineStr">
        <is>
          <t>MM</t>
        </is>
      </c>
    </row>
    <row r="3645">
      <c r="A3645" t="inlineStr">
        <is>
          <t>Compound 105:  N-EtFOSE 2</t>
        </is>
      </c>
    </row>
    <row r="3647">
      <c r="B3647" t="inlineStr">
        <is>
          <t>Sample Text</t>
        </is>
      </c>
      <c r="C3647" t="inlineStr">
        <is>
          <t>Std. Conc</t>
        </is>
      </c>
      <c r="D3647" t="inlineStr">
        <is>
          <t>RT</t>
        </is>
      </c>
      <c r="E3647" t="inlineStr">
        <is>
          <t>Area</t>
        </is>
      </c>
      <c r="F3647" t="inlineStr">
        <is>
          <t>IS Area</t>
        </is>
      </c>
      <c r="G3647" t="inlineStr">
        <is>
          <t>S/N</t>
        </is>
      </c>
      <c r="H3647" t="inlineStr">
        <is>
          <t>Primary Flags</t>
        </is>
      </c>
      <c r="I3647" t="inlineStr">
        <is>
          <t>Response</t>
        </is>
      </c>
      <c r="J3647" t="inlineStr">
        <is>
          <t>Conc.</t>
        </is>
      </c>
    </row>
    <row r="3648">
      <c r="A3648" t="n">
        <v>1</v>
      </c>
      <c r="B3648" t="inlineStr">
        <is>
          <t>K4-1A</t>
        </is>
      </c>
      <c r="D3648" t="n">
        <v>18.88</v>
      </c>
      <c r="E3648" t="n">
        <v>5.489</v>
      </c>
      <c r="F3648" t="n">
        <v>386.413</v>
      </c>
      <c r="G3648" t="n">
        <v>2.733</v>
      </c>
      <c r="H3648" t="inlineStr">
        <is>
          <t>bb</t>
        </is>
      </c>
    </row>
    <row r="3649">
      <c r="A3649" t="n">
        <v>2</v>
      </c>
      <c r="B3649" t="inlineStr">
        <is>
          <t>K4-1B</t>
        </is>
      </c>
      <c r="D3649" t="n">
        <v>18.62</v>
      </c>
      <c r="E3649" t="n">
        <v>4.449</v>
      </c>
      <c r="F3649" t="n">
        <v>357.832</v>
      </c>
      <c r="G3649" t="n">
        <v>30.012</v>
      </c>
      <c r="H3649" t="inlineStr">
        <is>
          <t>bb</t>
        </is>
      </c>
    </row>
    <row r="3650">
      <c r="A3650" t="n">
        <v>3</v>
      </c>
      <c r="B3650" t="inlineStr">
        <is>
          <t>K4-1C</t>
        </is>
      </c>
      <c r="D3650" t="n">
        <v>18.82</v>
      </c>
      <c r="E3650" t="n">
        <v>1.053</v>
      </c>
      <c r="F3650" t="n">
        <v>351.694</v>
      </c>
      <c r="G3650" t="n">
        <v>20</v>
      </c>
      <c r="H3650" t="inlineStr">
        <is>
          <t>bb</t>
        </is>
      </c>
    </row>
    <row r="3651">
      <c r="A3651" t="n">
        <v>4</v>
      </c>
      <c r="B3651" t="inlineStr">
        <is>
          <t>K4-2A</t>
        </is>
      </c>
      <c r="D3651" t="n">
        <v>18.9</v>
      </c>
      <c r="E3651" t="n">
        <v>1.297</v>
      </c>
      <c r="F3651" t="n">
        <v>364.65</v>
      </c>
      <c r="G3651" t="n">
        <v>17.048</v>
      </c>
      <c r="H3651" t="inlineStr">
        <is>
          <t>bb</t>
        </is>
      </c>
    </row>
    <row r="3652">
      <c r="A3652" t="n">
        <v>5</v>
      </c>
      <c r="B3652" t="inlineStr">
        <is>
          <t>K4-2B</t>
        </is>
      </c>
      <c r="D3652" t="n">
        <v>18.37</v>
      </c>
      <c r="E3652" t="n">
        <v>0.741</v>
      </c>
      <c r="F3652" t="n">
        <v>298.712</v>
      </c>
      <c r="G3652" t="n">
        <v>10</v>
      </c>
      <c r="H3652" t="inlineStr">
        <is>
          <t>bb</t>
        </is>
      </c>
    </row>
    <row r="3653">
      <c r="A3653" t="n">
        <v>6</v>
      </c>
      <c r="B3653" t="inlineStr">
        <is>
          <t>K4-2C</t>
        </is>
      </c>
      <c r="D3653" t="n">
        <v>19.33</v>
      </c>
      <c r="E3653" t="n">
        <v>0.207</v>
      </c>
      <c r="F3653" t="n">
        <v>296.1</v>
      </c>
      <c r="G3653" t="n">
        <v>0.367</v>
      </c>
      <c r="H3653" t="inlineStr">
        <is>
          <t>bb</t>
        </is>
      </c>
    </row>
    <row r="3654">
      <c r="A3654" t="n">
        <v>7</v>
      </c>
      <c r="B3654" t="inlineStr">
        <is>
          <t>MeOH</t>
        </is>
      </c>
      <c r="H3654" t="inlineStr">
        <is>
          <t>MM-</t>
        </is>
      </c>
    </row>
    <row r="3655">
      <c r="A3655" t="n">
        <v>8</v>
      </c>
      <c r="B3655" t="inlineStr">
        <is>
          <t>K4-4A</t>
        </is>
      </c>
      <c r="D3655" t="n">
        <v>18.74</v>
      </c>
      <c r="E3655" t="n">
        <v>0.269</v>
      </c>
      <c r="F3655" t="n">
        <v>272.169</v>
      </c>
      <c r="G3655" t="n">
        <v>4</v>
      </c>
      <c r="H3655" t="inlineStr">
        <is>
          <t>MM</t>
        </is>
      </c>
    </row>
    <row r="3656">
      <c r="A3656" t="n">
        <v>9</v>
      </c>
      <c r="B3656" t="inlineStr">
        <is>
          <t>K4-4B</t>
        </is>
      </c>
      <c r="D3656" t="n">
        <v>18.64</v>
      </c>
      <c r="E3656" t="n">
        <v>0.6889999999999999</v>
      </c>
      <c r="F3656" t="n">
        <v>336.453</v>
      </c>
      <c r="G3656" t="n">
        <v>10</v>
      </c>
      <c r="H3656" t="inlineStr">
        <is>
          <t>bb</t>
        </is>
      </c>
    </row>
    <row r="3657">
      <c r="A3657" t="n">
        <v>10</v>
      </c>
      <c r="B3657" t="inlineStr">
        <is>
          <t>K4-4C</t>
        </is>
      </c>
      <c r="D3657" t="n">
        <v>18.83</v>
      </c>
      <c r="E3657" t="n">
        <v>1.135</v>
      </c>
      <c r="F3657" t="n">
        <v>359.108</v>
      </c>
      <c r="G3657" t="n">
        <v>23</v>
      </c>
      <c r="H3657" t="inlineStr">
        <is>
          <t>bb</t>
        </is>
      </c>
    </row>
    <row r="3658">
      <c r="A3658" t="n">
        <v>11</v>
      </c>
      <c r="B3658" t="inlineStr">
        <is>
          <t>K4-5A</t>
        </is>
      </c>
      <c r="D3658" t="n">
        <v>18.88</v>
      </c>
      <c r="E3658" t="n">
        <v>0.79</v>
      </c>
      <c r="F3658" t="n">
        <v>336.733</v>
      </c>
      <c r="G3658" t="n">
        <v>17</v>
      </c>
      <c r="H3658" t="inlineStr">
        <is>
          <t>MM</t>
        </is>
      </c>
    </row>
    <row r="3659">
      <c r="A3659" t="n">
        <v>12</v>
      </c>
      <c r="B3659" t="inlineStr">
        <is>
          <t>K4-5B</t>
        </is>
      </c>
      <c r="D3659" t="n">
        <v>18.86</v>
      </c>
      <c r="E3659" t="n">
        <v>1.724</v>
      </c>
      <c r="F3659" t="n">
        <v>351</v>
      </c>
      <c r="G3659" t="n">
        <v>22.231</v>
      </c>
      <c r="H3659" t="inlineStr">
        <is>
          <t>bb</t>
        </is>
      </c>
    </row>
    <row r="3660">
      <c r="A3660" t="n">
        <v>13</v>
      </c>
      <c r="B3660" t="inlineStr">
        <is>
          <t>K4-5C</t>
        </is>
      </c>
      <c r="D3660" t="n">
        <v>19.18</v>
      </c>
      <c r="E3660" t="n">
        <v>0.457</v>
      </c>
      <c r="F3660" t="n">
        <v>341.754</v>
      </c>
      <c r="G3660" t="n">
        <v>3.141</v>
      </c>
      <c r="H3660" t="inlineStr">
        <is>
          <t>bb</t>
        </is>
      </c>
    </row>
    <row r="3661">
      <c r="A3661" t="n">
        <v>14</v>
      </c>
      <c r="B3661" t="inlineStr">
        <is>
          <t>MeOH</t>
        </is>
      </c>
      <c r="D3661" t="n">
        <v>18.78</v>
      </c>
      <c r="E3661" t="n">
        <v>3.017</v>
      </c>
      <c r="G3661" t="n">
        <v>2.962</v>
      </c>
      <c r="H3661" t="inlineStr">
        <is>
          <t>bb</t>
        </is>
      </c>
    </row>
    <row r="3662">
      <c r="A3662" t="n">
        <v>15</v>
      </c>
      <c r="B3662" t="inlineStr">
        <is>
          <t>K3-1A</t>
        </is>
      </c>
      <c r="D3662" t="n">
        <v>18.65</v>
      </c>
      <c r="E3662" t="n">
        <v>4.019</v>
      </c>
      <c r="F3662" t="n">
        <v>361.081</v>
      </c>
      <c r="G3662" t="n">
        <v>4.037</v>
      </c>
      <c r="H3662" t="inlineStr">
        <is>
          <t>bb</t>
        </is>
      </c>
    </row>
    <row r="3663">
      <c r="A3663" t="n">
        <v>16</v>
      </c>
      <c r="B3663" t="inlineStr">
        <is>
          <t>K3-1B</t>
        </is>
      </c>
      <c r="D3663" t="n">
        <v>19.2</v>
      </c>
      <c r="E3663" t="n">
        <v>0.238</v>
      </c>
      <c r="F3663" t="n">
        <v>343.086</v>
      </c>
      <c r="G3663" t="n">
        <v>2.419</v>
      </c>
      <c r="H3663" t="inlineStr">
        <is>
          <t>bb</t>
        </is>
      </c>
    </row>
    <row r="3664">
      <c r="A3664" t="n">
        <v>17</v>
      </c>
      <c r="B3664" t="inlineStr">
        <is>
          <t>K3-1C</t>
        </is>
      </c>
      <c r="D3664" t="n">
        <v>18.5</v>
      </c>
      <c r="E3664" t="n">
        <v>0.038</v>
      </c>
      <c r="F3664" t="n">
        <v>522.8099999999999</v>
      </c>
      <c r="G3664" t="n">
        <v>1</v>
      </c>
      <c r="H3664" t="inlineStr">
        <is>
          <t>bb</t>
        </is>
      </c>
    </row>
    <row r="3665">
      <c r="A3665" t="n">
        <v>18</v>
      </c>
      <c r="B3665" t="inlineStr">
        <is>
          <t>K3-2A</t>
        </is>
      </c>
      <c r="D3665" t="n">
        <v>18.34</v>
      </c>
      <c r="E3665" t="n">
        <v>0.46</v>
      </c>
      <c r="F3665" t="n">
        <v>467.569</v>
      </c>
      <c r="G3665" t="n">
        <v>2.599</v>
      </c>
      <c r="H3665" t="inlineStr">
        <is>
          <t>MM</t>
        </is>
      </c>
    </row>
    <row r="3666">
      <c r="A3666" t="n">
        <v>19</v>
      </c>
      <c r="B3666" t="inlineStr">
        <is>
          <t>K3-2B</t>
        </is>
      </c>
      <c r="D3666" t="n">
        <v>18.35</v>
      </c>
      <c r="E3666" t="n">
        <v>0.5580000000000001</v>
      </c>
      <c r="F3666" t="n">
        <v>515.707</v>
      </c>
      <c r="G3666" t="n">
        <v>3.598</v>
      </c>
      <c r="H3666" t="inlineStr">
        <is>
          <t>bb</t>
        </is>
      </c>
    </row>
    <row r="3667">
      <c r="A3667" t="n">
        <v>20</v>
      </c>
      <c r="B3667" t="inlineStr">
        <is>
          <t>K3-2C</t>
        </is>
      </c>
      <c r="D3667" t="n">
        <v>18.58</v>
      </c>
      <c r="E3667" t="n">
        <v>0.067</v>
      </c>
      <c r="F3667" t="n">
        <v>421.389</v>
      </c>
      <c r="G3667" t="n">
        <v>0.655</v>
      </c>
      <c r="H3667" t="inlineStr">
        <is>
          <t>MM</t>
        </is>
      </c>
    </row>
    <row r="3668">
      <c r="A3668" t="n">
        <v>21</v>
      </c>
      <c r="B3668" t="inlineStr">
        <is>
          <t>MeOH</t>
        </is>
      </c>
      <c r="H3668" t="inlineStr">
        <is>
          <t>MM-</t>
        </is>
      </c>
    </row>
    <row r="3669">
      <c r="A3669" t="n">
        <v>22</v>
      </c>
      <c r="B3669" t="inlineStr">
        <is>
          <t>K3-3A</t>
        </is>
      </c>
      <c r="D3669" t="n">
        <v>18.43</v>
      </c>
      <c r="E3669" t="n">
        <v>0.21</v>
      </c>
      <c r="F3669" t="n">
        <v>322.104</v>
      </c>
      <c r="G3669" t="n">
        <v>3</v>
      </c>
      <c r="H3669" t="inlineStr">
        <is>
          <t>bb</t>
        </is>
      </c>
    </row>
    <row r="3670">
      <c r="A3670" t="n">
        <v>23</v>
      </c>
      <c r="B3670" t="inlineStr">
        <is>
          <t>K3-3B</t>
        </is>
      </c>
      <c r="D3670" t="n">
        <v>18.74</v>
      </c>
      <c r="E3670" t="n">
        <v>1.158</v>
      </c>
      <c r="F3670" t="n">
        <v>385.892</v>
      </c>
      <c r="G3670" t="n">
        <v>2.652</v>
      </c>
      <c r="H3670" t="inlineStr">
        <is>
          <t>bd</t>
        </is>
      </c>
    </row>
    <row r="3671">
      <c r="A3671" t="n">
        <v>24</v>
      </c>
      <c r="B3671" t="inlineStr">
        <is>
          <t>K3-3C</t>
        </is>
      </c>
      <c r="D3671" t="n">
        <v>18.42</v>
      </c>
      <c r="E3671" t="n">
        <v>0.124</v>
      </c>
      <c r="F3671" t="n">
        <v>447.983</v>
      </c>
      <c r="G3671" t="n">
        <v>0.619</v>
      </c>
      <c r="H3671" t="inlineStr">
        <is>
          <t>bd</t>
        </is>
      </c>
    </row>
    <row r="3672">
      <c r="A3672" t="n">
        <v>25</v>
      </c>
      <c r="B3672" t="inlineStr">
        <is>
          <t>K3-4A</t>
        </is>
      </c>
      <c r="D3672" t="n">
        <v>18.86</v>
      </c>
      <c r="E3672" t="n">
        <v>0.702</v>
      </c>
      <c r="F3672" t="n">
        <v>476.739</v>
      </c>
      <c r="G3672" t="n">
        <v>6.419</v>
      </c>
      <c r="H3672" t="inlineStr">
        <is>
          <t>bb</t>
        </is>
      </c>
    </row>
    <row r="3673">
      <c r="A3673" t="n">
        <v>26</v>
      </c>
      <c r="B3673" t="inlineStr">
        <is>
          <t>K3-4B</t>
        </is>
      </c>
      <c r="D3673" t="n">
        <v>18.62</v>
      </c>
      <c r="E3673" t="n">
        <v>0.058</v>
      </c>
      <c r="F3673" t="n">
        <v>427.36</v>
      </c>
      <c r="G3673" t="n">
        <v>0.482</v>
      </c>
      <c r="H3673" t="inlineStr">
        <is>
          <t>MM</t>
        </is>
      </c>
    </row>
    <row r="3674">
      <c r="A3674" t="n">
        <v>27</v>
      </c>
      <c r="B3674" t="inlineStr">
        <is>
          <t>K3-4C</t>
        </is>
      </c>
      <c r="D3674" t="n">
        <v>18.71</v>
      </c>
      <c r="E3674" t="n">
        <v>0.038</v>
      </c>
      <c r="F3674" t="n">
        <v>465.784</v>
      </c>
      <c r="G3674" t="n">
        <v>1</v>
      </c>
      <c r="H3674" t="inlineStr">
        <is>
          <t>MM</t>
        </is>
      </c>
    </row>
    <row r="3675">
      <c r="A3675" t="n">
        <v>28</v>
      </c>
      <c r="B3675" t="inlineStr">
        <is>
          <t>MeOH</t>
        </is>
      </c>
      <c r="H3675" t="inlineStr">
        <is>
          <t>MM-</t>
        </is>
      </c>
    </row>
    <row r="3676">
      <c r="A3676" t="n">
        <v>29</v>
      </c>
      <c r="B3676" t="inlineStr">
        <is>
          <t>K3-6A</t>
        </is>
      </c>
      <c r="D3676" t="n">
        <v>18.9</v>
      </c>
      <c r="E3676" t="n">
        <v>1.323</v>
      </c>
      <c r="F3676" t="n">
        <v>382.727</v>
      </c>
      <c r="G3676" t="n">
        <v>13.106</v>
      </c>
      <c r="H3676" t="inlineStr">
        <is>
          <t>bb</t>
        </is>
      </c>
    </row>
    <row r="3677">
      <c r="A3677" t="n">
        <v>30</v>
      </c>
      <c r="B3677" t="inlineStr">
        <is>
          <t>K3-6B</t>
        </is>
      </c>
      <c r="D3677" t="n">
        <v>18.58</v>
      </c>
      <c r="E3677" t="n">
        <v>0.124</v>
      </c>
      <c r="F3677" t="n">
        <v>365.716</v>
      </c>
      <c r="G3677" t="n">
        <v>0.857</v>
      </c>
      <c r="H3677" t="inlineStr">
        <is>
          <t>MM</t>
        </is>
      </c>
    </row>
    <row r="3678">
      <c r="A3678" t="n">
        <v>31</v>
      </c>
      <c r="B3678" t="inlineStr">
        <is>
          <t>K3-6C</t>
        </is>
      </c>
      <c r="D3678" t="n">
        <v>18.56</v>
      </c>
      <c r="E3678" t="n">
        <v>3.282</v>
      </c>
      <c r="F3678" t="n">
        <v>293.722</v>
      </c>
      <c r="G3678" t="n">
        <v>25.432</v>
      </c>
      <c r="H3678" t="inlineStr">
        <is>
          <t>bb</t>
        </is>
      </c>
    </row>
    <row r="3680">
      <c r="A3680" t="inlineStr">
        <is>
          <t>Compound 106:  m3 N-MeFOSAA 1</t>
        </is>
      </c>
    </row>
    <row r="3682">
      <c r="B3682" t="inlineStr">
        <is>
          <t>Sample Text</t>
        </is>
      </c>
      <c r="C3682" t="inlineStr">
        <is>
          <t>Std. Conc</t>
        </is>
      </c>
      <c r="D3682" t="inlineStr">
        <is>
          <t>RT</t>
        </is>
      </c>
      <c r="E3682" t="inlineStr">
        <is>
          <t>Area</t>
        </is>
      </c>
      <c r="F3682" t="inlineStr">
        <is>
          <t>IS Area</t>
        </is>
      </c>
      <c r="G3682" t="inlineStr">
        <is>
          <t>S/N</t>
        </is>
      </c>
      <c r="H3682" t="inlineStr">
        <is>
          <t>Primary Flags</t>
        </is>
      </c>
      <c r="I3682" t="inlineStr">
        <is>
          <t>Response</t>
        </is>
      </c>
      <c r="J3682" t="inlineStr">
        <is>
          <t>Conc.</t>
        </is>
      </c>
    </row>
    <row r="3683">
      <c r="A3683" t="n">
        <v>1</v>
      </c>
      <c r="B3683" t="inlineStr">
        <is>
          <t>K4-1A</t>
        </is>
      </c>
      <c r="D3683" t="n">
        <v>14.52</v>
      </c>
      <c r="E3683" t="n">
        <v>25781.148</v>
      </c>
      <c r="G3683" t="n">
        <v>753.373</v>
      </c>
      <c r="H3683" t="inlineStr">
        <is>
          <t>bb</t>
        </is>
      </c>
      <c r="I3683" t="n">
        <v>25781.148</v>
      </c>
    </row>
    <row r="3684">
      <c r="A3684" t="n">
        <v>2</v>
      </c>
      <c r="B3684" t="inlineStr">
        <is>
          <t>K4-1B</t>
        </is>
      </c>
      <c r="D3684" t="n">
        <v>14.52</v>
      </c>
      <c r="E3684" t="n">
        <v>24498.238</v>
      </c>
      <c r="G3684" t="n">
        <v>356.93</v>
      </c>
      <c r="H3684" t="inlineStr">
        <is>
          <t>bb</t>
        </is>
      </c>
      <c r="I3684" t="n">
        <v>24498.238</v>
      </c>
    </row>
    <row r="3685">
      <c r="A3685" t="n">
        <v>3</v>
      </c>
      <c r="B3685" t="inlineStr">
        <is>
          <t>K4-1C</t>
        </is>
      </c>
      <c r="D3685" t="n">
        <v>14.52</v>
      </c>
      <c r="E3685" t="n">
        <v>25078.18</v>
      </c>
      <c r="G3685" t="n">
        <v>99.265</v>
      </c>
      <c r="H3685" t="inlineStr">
        <is>
          <t>bb</t>
        </is>
      </c>
      <c r="I3685" t="n">
        <v>25078.18</v>
      </c>
    </row>
    <row r="3686">
      <c r="A3686" t="n">
        <v>4</v>
      </c>
      <c r="B3686" t="inlineStr">
        <is>
          <t>K4-2A</t>
        </is>
      </c>
      <c r="D3686" t="n">
        <v>14.54</v>
      </c>
      <c r="E3686" t="n">
        <v>26329.213</v>
      </c>
      <c r="G3686" t="n">
        <v>423.2</v>
      </c>
      <c r="H3686" t="inlineStr">
        <is>
          <t>bb</t>
        </is>
      </c>
      <c r="I3686" t="n">
        <v>26329.213</v>
      </c>
    </row>
    <row r="3687">
      <c r="A3687" t="n">
        <v>5</v>
      </c>
      <c r="B3687" t="inlineStr">
        <is>
          <t>K4-2B</t>
        </is>
      </c>
      <c r="D3687" t="n">
        <v>14.54</v>
      </c>
      <c r="E3687" t="n">
        <v>23001.746</v>
      </c>
      <c r="G3687" t="n">
        <v>779.731</v>
      </c>
      <c r="H3687" t="inlineStr">
        <is>
          <t>bb</t>
        </is>
      </c>
      <c r="I3687" t="n">
        <v>23001.746</v>
      </c>
    </row>
    <row r="3688">
      <c r="A3688" t="n">
        <v>6</v>
      </c>
      <c r="B3688" t="inlineStr">
        <is>
          <t>K4-2C</t>
        </is>
      </c>
      <c r="D3688" t="n">
        <v>14.55</v>
      </c>
      <c r="E3688" t="n">
        <v>20754.352</v>
      </c>
      <c r="G3688" t="n">
        <v>192.309</v>
      </c>
      <c r="H3688" t="inlineStr">
        <is>
          <t>bb</t>
        </is>
      </c>
      <c r="I3688" t="n">
        <v>20754.352</v>
      </c>
    </row>
    <row r="3689">
      <c r="A3689" t="n">
        <v>7</v>
      </c>
      <c r="B3689" t="inlineStr">
        <is>
          <t>MeOH</t>
        </is>
      </c>
      <c r="H3689" t="inlineStr">
        <is>
          <t>MM-</t>
        </is>
      </c>
    </row>
    <row r="3690">
      <c r="A3690" t="n">
        <v>8</v>
      </c>
      <c r="B3690" t="inlineStr">
        <is>
          <t>K4-4A</t>
        </is>
      </c>
      <c r="D3690" t="n">
        <v>14.57</v>
      </c>
      <c r="E3690" t="n">
        <v>26876.785</v>
      </c>
      <c r="G3690" t="n">
        <v>907.787</v>
      </c>
      <c r="H3690" t="inlineStr">
        <is>
          <t>bb</t>
        </is>
      </c>
      <c r="I3690" t="n">
        <v>26876.785</v>
      </c>
    </row>
    <row r="3691">
      <c r="A3691" t="n">
        <v>9</v>
      </c>
      <c r="B3691" t="inlineStr">
        <is>
          <t>K4-4B</t>
        </is>
      </c>
      <c r="D3691" t="n">
        <v>14.57</v>
      </c>
      <c r="E3691" t="n">
        <v>26592.869</v>
      </c>
      <c r="G3691" t="n">
        <v>239.819</v>
      </c>
      <c r="H3691" t="inlineStr">
        <is>
          <t>bb</t>
        </is>
      </c>
      <c r="I3691" t="n">
        <v>26592.869</v>
      </c>
    </row>
    <row r="3692">
      <c r="A3692" t="n">
        <v>10</v>
      </c>
      <c r="B3692" t="inlineStr">
        <is>
          <t>K4-4C</t>
        </is>
      </c>
      <c r="D3692" t="n">
        <v>14.57</v>
      </c>
      <c r="E3692" t="n">
        <v>27348.488</v>
      </c>
      <c r="G3692" t="n">
        <v>539.002</v>
      </c>
      <c r="H3692" t="inlineStr">
        <is>
          <t>bb</t>
        </is>
      </c>
      <c r="I3692" t="n">
        <v>27348.488</v>
      </c>
    </row>
    <row r="3693">
      <c r="A3693" t="n">
        <v>11</v>
      </c>
      <c r="B3693" t="inlineStr">
        <is>
          <t>K4-5A</t>
        </is>
      </c>
      <c r="D3693" t="n">
        <v>14.55</v>
      </c>
      <c r="E3693" t="n">
        <v>24556.311</v>
      </c>
      <c r="G3693" t="n">
        <v>391.276</v>
      </c>
      <c r="H3693" t="inlineStr">
        <is>
          <t>bb</t>
        </is>
      </c>
      <c r="I3693" t="n">
        <v>24556.311</v>
      </c>
    </row>
    <row r="3694">
      <c r="A3694" t="n">
        <v>12</v>
      </c>
      <c r="B3694" t="inlineStr">
        <is>
          <t>K4-5B</t>
        </is>
      </c>
      <c r="D3694" t="n">
        <v>14.54</v>
      </c>
      <c r="E3694" t="n">
        <v>25471.133</v>
      </c>
      <c r="G3694" t="n">
        <v>81.85899999999999</v>
      </c>
      <c r="H3694" t="inlineStr">
        <is>
          <t>bb</t>
        </is>
      </c>
      <c r="I3694" t="n">
        <v>25471.133</v>
      </c>
    </row>
    <row r="3695">
      <c r="A3695" t="n">
        <v>13</v>
      </c>
      <c r="B3695" t="inlineStr">
        <is>
          <t>K4-5C</t>
        </is>
      </c>
      <c r="D3695" t="n">
        <v>14.48</v>
      </c>
      <c r="E3695" t="n">
        <v>25624.244</v>
      </c>
      <c r="G3695" t="n">
        <v>1240.943</v>
      </c>
      <c r="H3695" t="inlineStr">
        <is>
          <t>bb</t>
        </is>
      </c>
      <c r="I3695" t="n">
        <v>25624.244</v>
      </c>
    </row>
    <row r="3696">
      <c r="A3696" t="n">
        <v>14</v>
      </c>
      <c r="B3696" t="inlineStr">
        <is>
          <t>MeOH</t>
        </is>
      </c>
      <c r="H3696" t="inlineStr">
        <is>
          <t>MM-</t>
        </is>
      </c>
    </row>
    <row r="3697">
      <c r="A3697" t="n">
        <v>15</v>
      </c>
      <c r="B3697" t="inlineStr">
        <is>
          <t>K3-1A</t>
        </is>
      </c>
      <c r="D3697" t="n">
        <v>14.43</v>
      </c>
      <c r="E3697" t="n">
        <v>27430.15</v>
      </c>
      <c r="G3697" t="n">
        <v>1297.258</v>
      </c>
      <c r="H3697" t="inlineStr">
        <is>
          <t>bb</t>
        </is>
      </c>
      <c r="I3697" t="n">
        <v>27430.15</v>
      </c>
    </row>
    <row r="3698">
      <c r="A3698" t="n">
        <v>16</v>
      </c>
      <c r="B3698" t="inlineStr">
        <is>
          <t>K3-1B</t>
        </is>
      </c>
      <c r="D3698" t="n">
        <v>14.45</v>
      </c>
      <c r="E3698" t="n">
        <v>23993.336</v>
      </c>
      <c r="G3698" t="n">
        <v>416.79</v>
      </c>
      <c r="H3698" t="inlineStr">
        <is>
          <t>bb</t>
        </is>
      </c>
      <c r="I3698" t="n">
        <v>23993.336</v>
      </c>
    </row>
    <row r="3699">
      <c r="A3699" t="n">
        <v>17</v>
      </c>
      <c r="B3699" t="inlineStr">
        <is>
          <t>K3-1C</t>
        </is>
      </c>
      <c r="D3699" t="n">
        <v>14.49</v>
      </c>
      <c r="E3699" t="n">
        <v>32579.355</v>
      </c>
      <c r="G3699" t="n">
        <v>671.237</v>
      </c>
      <c r="H3699" t="inlineStr">
        <is>
          <t>bb</t>
        </is>
      </c>
      <c r="I3699" t="n">
        <v>32579.355</v>
      </c>
    </row>
    <row r="3700">
      <c r="A3700" t="n">
        <v>18</v>
      </c>
      <c r="B3700" t="inlineStr">
        <is>
          <t>K3-2A</t>
        </is>
      </c>
      <c r="D3700" t="n">
        <v>14.51</v>
      </c>
      <c r="E3700" t="n">
        <v>32450.516</v>
      </c>
      <c r="G3700" t="n">
        <v>570.924</v>
      </c>
      <c r="H3700" t="inlineStr">
        <is>
          <t>bb</t>
        </is>
      </c>
      <c r="I3700" t="n">
        <v>32450.516</v>
      </c>
    </row>
    <row r="3701">
      <c r="A3701" t="n">
        <v>19</v>
      </c>
      <c r="B3701" t="inlineStr">
        <is>
          <t>K3-2B</t>
        </is>
      </c>
      <c r="D3701" t="n">
        <v>14.51</v>
      </c>
      <c r="E3701" t="n">
        <v>35748.871</v>
      </c>
      <c r="G3701" t="n">
        <v>532.707</v>
      </c>
      <c r="H3701" t="inlineStr">
        <is>
          <t>bb</t>
        </is>
      </c>
      <c r="I3701" t="n">
        <v>35748.871</v>
      </c>
    </row>
    <row r="3702">
      <c r="A3702" t="n">
        <v>20</v>
      </c>
      <c r="B3702" t="inlineStr">
        <is>
          <t>K3-2C</t>
        </is>
      </c>
      <c r="D3702" t="n">
        <v>14.51</v>
      </c>
      <c r="E3702" t="n">
        <v>28929.938</v>
      </c>
      <c r="G3702" t="n">
        <v>566.275</v>
      </c>
      <c r="H3702" t="inlineStr">
        <is>
          <t>bb</t>
        </is>
      </c>
      <c r="I3702" t="n">
        <v>28929.938</v>
      </c>
    </row>
    <row r="3703">
      <c r="A3703" t="n">
        <v>21</v>
      </c>
      <c r="B3703" t="inlineStr">
        <is>
          <t>MeOH</t>
        </is>
      </c>
      <c r="H3703" t="inlineStr">
        <is>
          <t>MM-</t>
        </is>
      </c>
    </row>
    <row r="3704">
      <c r="A3704" t="n">
        <v>22</v>
      </c>
      <c r="B3704" t="inlineStr">
        <is>
          <t>K3-3A</t>
        </is>
      </c>
      <c r="D3704" t="n">
        <v>14.52</v>
      </c>
      <c r="E3704" t="n">
        <v>25978.053</v>
      </c>
      <c r="G3704" t="n">
        <v>135.633</v>
      </c>
      <c r="H3704" t="inlineStr">
        <is>
          <t>bb</t>
        </is>
      </c>
      <c r="I3704" t="n">
        <v>25978.053</v>
      </c>
    </row>
    <row r="3705">
      <c r="A3705" t="n">
        <v>23</v>
      </c>
      <c r="B3705" t="inlineStr">
        <is>
          <t>K3-3B</t>
        </is>
      </c>
      <c r="D3705" t="n">
        <v>14.54</v>
      </c>
      <c r="E3705" t="n">
        <v>29972.719</v>
      </c>
      <c r="G3705" t="n">
        <v>747.491</v>
      </c>
      <c r="H3705" t="inlineStr">
        <is>
          <t>bb</t>
        </is>
      </c>
      <c r="I3705" t="n">
        <v>29972.719</v>
      </c>
    </row>
    <row r="3706">
      <c r="A3706" t="n">
        <v>24</v>
      </c>
      <c r="B3706" t="inlineStr">
        <is>
          <t>K3-3C</t>
        </is>
      </c>
      <c r="D3706" t="n">
        <v>14.54</v>
      </c>
      <c r="E3706" t="n">
        <v>34328.914</v>
      </c>
      <c r="G3706" t="n">
        <v>619.402</v>
      </c>
      <c r="H3706" t="inlineStr">
        <is>
          <t>bb</t>
        </is>
      </c>
      <c r="I3706" t="n">
        <v>34328.914</v>
      </c>
    </row>
    <row r="3707">
      <c r="A3707" t="n">
        <v>25</v>
      </c>
      <c r="B3707" t="inlineStr">
        <is>
          <t>K3-4A</t>
        </is>
      </c>
      <c r="D3707" t="n">
        <v>14.58</v>
      </c>
      <c r="E3707" t="n">
        <v>35665.301</v>
      </c>
      <c r="G3707" t="n">
        <v>548.533</v>
      </c>
      <c r="H3707" t="inlineStr">
        <is>
          <t>bb</t>
        </is>
      </c>
      <c r="I3707" t="n">
        <v>35665.301</v>
      </c>
    </row>
    <row r="3708">
      <c r="A3708" t="n">
        <v>26</v>
      </c>
      <c r="B3708" t="inlineStr">
        <is>
          <t>K3-4B</t>
        </is>
      </c>
      <c r="D3708" t="n">
        <v>14.57</v>
      </c>
      <c r="E3708" t="n">
        <v>32649.486</v>
      </c>
      <c r="G3708" t="n">
        <v>186.561</v>
      </c>
      <c r="H3708" t="inlineStr">
        <is>
          <t>bb</t>
        </is>
      </c>
      <c r="I3708" t="n">
        <v>32649.486</v>
      </c>
    </row>
    <row r="3709">
      <c r="A3709" t="n">
        <v>27</v>
      </c>
      <c r="B3709" t="inlineStr">
        <is>
          <t>K3-4C</t>
        </is>
      </c>
      <c r="D3709" t="n">
        <v>14.61</v>
      </c>
      <c r="E3709" t="n">
        <v>37222.816</v>
      </c>
      <c r="G3709" t="n">
        <v>370.457</v>
      </c>
      <c r="H3709" t="inlineStr">
        <is>
          <t>bb</t>
        </is>
      </c>
      <c r="I3709" t="n">
        <v>37222.816</v>
      </c>
    </row>
    <row r="3710">
      <c r="A3710" t="n">
        <v>28</v>
      </c>
      <c r="B3710" t="inlineStr">
        <is>
          <t>MeOH</t>
        </is>
      </c>
      <c r="D3710" t="n">
        <v>14.63</v>
      </c>
      <c r="E3710" t="n">
        <v>250.186</v>
      </c>
      <c r="G3710" t="n">
        <v>1616</v>
      </c>
      <c r="H3710" t="inlineStr">
        <is>
          <t>bb</t>
        </is>
      </c>
      <c r="I3710" t="n">
        <v>250.186</v>
      </c>
    </row>
    <row r="3711">
      <c r="A3711" t="n">
        <v>29</v>
      </c>
      <c r="B3711" t="inlineStr">
        <is>
          <t>K3-6A</t>
        </is>
      </c>
      <c r="D3711" t="n">
        <v>14.6</v>
      </c>
      <c r="E3711" t="n">
        <v>32457.338</v>
      </c>
      <c r="G3711" t="n">
        <v>1534.334</v>
      </c>
      <c r="H3711" t="inlineStr">
        <is>
          <t>bb</t>
        </is>
      </c>
      <c r="I3711" t="n">
        <v>32457.338</v>
      </c>
    </row>
    <row r="3712">
      <c r="A3712" t="n">
        <v>30</v>
      </c>
      <c r="B3712" t="inlineStr">
        <is>
          <t>K3-6B</t>
        </is>
      </c>
      <c r="D3712" t="n">
        <v>14.6</v>
      </c>
      <c r="E3712" t="n">
        <v>26206.738</v>
      </c>
      <c r="G3712" t="n">
        <v>169.42</v>
      </c>
      <c r="H3712" t="inlineStr">
        <is>
          <t>bb</t>
        </is>
      </c>
      <c r="I3712" t="n">
        <v>26206.738</v>
      </c>
    </row>
    <row r="3713">
      <c r="A3713" t="n">
        <v>31</v>
      </c>
      <c r="B3713" t="inlineStr">
        <is>
          <t>K3-6C</t>
        </is>
      </c>
      <c r="D3713" t="n">
        <v>14.58</v>
      </c>
      <c r="E3713" t="n">
        <v>24576.775</v>
      </c>
      <c r="G3713" t="n">
        <v>147.065</v>
      </c>
      <c r="H3713" t="inlineStr">
        <is>
          <t>bb</t>
        </is>
      </c>
      <c r="I3713" t="n">
        <v>24576.775</v>
      </c>
    </row>
    <row r="3715">
      <c r="A3715" t="inlineStr">
        <is>
          <t>Compound 107:  m3 N-MeFOSAA 2</t>
        </is>
      </c>
    </row>
    <row r="3717">
      <c r="B3717" t="inlineStr">
        <is>
          <t>Sample Text</t>
        </is>
      </c>
      <c r="C3717" t="inlineStr">
        <is>
          <t>Std. Conc</t>
        </is>
      </c>
      <c r="D3717" t="inlineStr">
        <is>
          <t>RT</t>
        </is>
      </c>
      <c r="E3717" t="inlineStr">
        <is>
          <t>Area</t>
        </is>
      </c>
      <c r="F3717" t="inlineStr">
        <is>
          <t>IS Area</t>
        </is>
      </c>
      <c r="G3717" t="inlineStr">
        <is>
          <t>S/N</t>
        </is>
      </c>
      <c r="H3717" t="inlineStr">
        <is>
          <t>Primary Flags</t>
        </is>
      </c>
      <c r="I3717" t="inlineStr">
        <is>
          <t>Response</t>
        </is>
      </c>
      <c r="J3717" t="inlineStr">
        <is>
          <t>Conc.</t>
        </is>
      </c>
    </row>
    <row r="3718">
      <c r="A3718" t="n">
        <v>1</v>
      </c>
      <c r="B3718" t="inlineStr">
        <is>
          <t>K4-1A</t>
        </is>
      </c>
      <c r="D3718" t="n">
        <v>14.52</v>
      </c>
      <c r="E3718" t="n">
        <v>10322.775</v>
      </c>
      <c r="G3718" t="n">
        <v>185.562</v>
      </c>
      <c r="H3718" t="inlineStr">
        <is>
          <t>bb</t>
        </is>
      </c>
      <c r="I3718" t="n">
        <v>10322.775</v>
      </c>
    </row>
    <row r="3719">
      <c r="A3719" t="n">
        <v>2</v>
      </c>
      <c r="B3719" t="inlineStr">
        <is>
          <t>K4-1B</t>
        </is>
      </c>
      <c r="D3719" t="n">
        <v>14.52</v>
      </c>
      <c r="E3719" t="n">
        <v>10186.714</v>
      </c>
      <c r="G3719" t="n">
        <v>118.174</v>
      </c>
      <c r="H3719" t="inlineStr">
        <is>
          <t>bb</t>
        </is>
      </c>
      <c r="I3719" t="n">
        <v>10186.714</v>
      </c>
    </row>
    <row r="3720">
      <c r="A3720" t="n">
        <v>3</v>
      </c>
      <c r="B3720" t="inlineStr">
        <is>
          <t>K4-1C</t>
        </is>
      </c>
      <c r="D3720" t="n">
        <v>14.52</v>
      </c>
      <c r="E3720" t="n">
        <v>9628.906000000001</v>
      </c>
      <c r="G3720" t="n">
        <v>172.597</v>
      </c>
      <c r="H3720" t="inlineStr">
        <is>
          <t>bb</t>
        </is>
      </c>
      <c r="I3720" t="n">
        <v>9628.906000000001</v>
      </c>
    </row>
    <row r="3721">
      <c r="A3721" t="n">
        <v>4</v>
      </c>
      <c r="B3721" t="inlineStr">
        <is>
          <t>K4-2A</t>
        </is>
      </c>
      <c r="D3721" t="n">
        <v>14.54</v>
      </c>
      <c r="E3721" t="n">
        <v>8744.664000000001</v>
      </c>
      <c r="G3721" t="n">
        <v>277.621</v>
      </c>
      <c r="H3721" t="inlineStr">
        <is>
          <t>bb</t>
        </is>
      </c>
      <c r="I3721" t="n">
        <v>8744.664000000001</v>
      </c>
    </row>
    <row r="3722">
      <c r="A3722" t="n">
        <v>5</v>
      </c>
      <c r="B3722" t="inlineStr">
        <is>
          <t>K4-2B</t>
        </is>
      </c>
      <c r="D3722" t="n">
        <v>14.55</v>
      </c>
      <c r="E3722" t="n">
        <v>8444.098</v>
      </c>
      <c r="G3722" t="n">
        <v>277.275</v>
      </c>
      <c r="H3722" t="inlineStr">
        <is>
          <t>bb</t>
        </is>
      </c>
      <c r="I3722" t="n">
        <v>8444.098</v>
      </c>
    </row>
    <row r="3723">
      <c r="A3723" t="n">
        <v>6</v>
      </c>
      <c r="B3723" t="inlineStr">
        <is>
          <t>K4-2C</t>
        </is>
      </c>
      <c r="D3723" t="n">
        <v>14.54</v>
      </c>
      <c r="E3723" t="n">
        <v>7998.905</v>
      </c>
      <c r="G3723" t="n">
        <v>165.031</v>
      </c>
      <c r="H3723" t="inlineStr">
        <is>
          <t>bb</t>
        </is>
      </c>
      <c r="I3723" t="n">
        <v>7998.905</v>
      </c>
    </row>
    <row r="3724">
      <c r="A3724" t="n">
        <v>7</v>
      </c>
      <c r="B3724" t="inlineStr">
        <is>
          <t>MeOH</t>
        </is>
      </c>
      <c r="H3724" t="inlineStr">
        <is>
          <t>MM-</t>
        </is>
      </c>
    </row>
    <row r="3725">
      <c r="A3725" t="n">
        <v>8</v>
      </c>
      <c r="B3725" t="inlineStr">
        <is>
          <t>K4-4A</t>
        </is>
      </c>
      <c r="D3725" t="n">
        <v>14.57</v>
      </c>
      <c r="E3725" t="n">
        <v>9868.415000000001</v>
      </c>
      <c r="G3725" t="n">
        <v>123.121</v>
      </c>
      <c r="H3725" t="inlineStr">
        <is>
          <t>bb</t>
        </is>
      </c>
      <c r="I3725" t="n">
        <v>9868.415000000001</v>
      </c>
    </row>
    <row r="3726">
      <c r="A3726" t="n">
        <v>9</v>
      </c>
      <c r="B3726" t="inlineStr">
        <is>
          <t>K4-4B</t>
        </is>
      </c>
      <c r="D3726" t="n">
        <v>14.57</v>
      </c>
      <c r="E3726" t="n">
        <v>9821.01</v>
      </c>
      <c r="G3726" t="n">
        <v>107.954</v>
      </c>
      <c r="H3726" t="inlineStr">
        <is>
          <t>bb</t>
        </is>
      </c>
      <c r="I3726" t="n">
        <v>9821.01</v>
      </c>
    </row>
    <row r="3727">
      <c r="A3727" t="n">
        <v>10</v>
      </c>
      <c r="B3727" t="inlineStr">
        <is>
          <t>K4-4C</t>
        </is>
      </c>
      <c r="D3727" t="n">
        <v>14.57</v>
      </c>
      <c r="E3727" t="n">
        <v>11852</v>
      </c>
      <c r="G3727" t="n">
        <v>297.481</v>
      </c>
      <c r="H3727" t="inlineStr">
        <is>
          <t>bb</t>
        </is>
      </c>
      <c r="I3727" t="n">
        <v>11852</v>
      </c>
    </row>
    <row r="3728">
      <c r="A3728" t="n">
        <v>11</v>
      </c>
      <c r="B3728" t="inlineStr">
        <is>
          <t>K4-5A</t>
        </is>
      </c>
      <c r="D3728" t="n">
        <v>14.55</v>
      </c>
      <c r="E3728" t="n">
        <v>9465.008</v>
      </c>
      <c r="G3728" t="n">
        <v>696.852</v>
      </c>
      <c r="H3728" t="inlineStr">
        <is>
          <t>bb</t>
        </is>
      </c>
      <c r="I3728" t="n">
        <v>9465.008</v>
      </c>
    </row>
    <row r="3729">
      <c r="A3729" t="n">
        <v>12</v>
      </c>
      <c r="B3729" t="inlineStr">
        <is>
          <t>K4-5B</t>
        </is>
      </c>
      <c r="D3729" t="n">
        <v>14.54</v>
      </c>
      <c r="E3729" t="n">
        <v>10675.469</v>
      </c>
      <c r="G3729" t="n">
        <v>197.419</v>
      </c>
      <c r="H3729" t="inlineStr">
        <is>
          <t>bb</t>
        </is>
      </c>
      <c r="I3729" t="n">
        <v>10675.469</v>
      </c>
    </row>
    <row r="3730">
      <c r="A3730" t="n">
        <v>13</v>
      </c>
      <c r="B3730" t="inlineStr">
        <is>
          <t>K4-5C</t>
        </is>
      </c>
      <c r="D3730" t="n">
        <v>14.48</v>
      </c>
      <c r="E3730" t="n">
        <v>9713.841</v>
      </c>
      <c r="G3730" t="n">
        <v>126.234</v>
      </c>
      <c r="H3730" t="inlineStr">
        <is>
          <t>bb</t>
        </is>
      </c>
      <c r="I3730" t="n">
        <v>9713.841</v>
      </c>
    </row>
    <row r="3731">
      <c r="A3731" t="n">
        <v>14</v>
      </c>
      <c r="B3731" t="inlineStr">
        <is>
          <t>MeOH</t>
        </is>
      </c>
      <c r="H3731" t="inlineStr">
        <is>
          <t>MM-</t>
        </is>
      </c>
    </row>
    <row r="3732">
      <c r="A3732" t="n">
        <v>15</v>
      </c>
      <c r="B3732" t="inlineStr">
        <is>
          <t>K3-1A</t>
        </is>
      </c>
      <c r="D3732" t="n">
        <v>14.43</v>
      </c>
      <c r="E3732" t="n">
        <v>11165.479</v>
      </c>
      <c r="G3732" t="n">
        <v>260.613</v>
      </c>
      <c r="H3732" t="inlineStr">
        <is>
          <t>bb</t>
        </is>
      </c>
      <c r="I3732" t="n">
        <v>11165.479</v>
      </c>
    </row>
    <row r="3733">
      <c r="A3733" t="n">
        <v>16</v>
      </c>
      <c r="B3733" t="inlineStr">
        <is>
          <t>K3-1B</t>
        </is>
      </c>
      <c r="D3733" t="n">
        <v>14.45</v>
      </c>
      <c r="E3733" t="n">
        <v>10191.97</v>
      </c>
      <c r="G3733" t="n">
        <v>111.234</v>
      </c>
      <c r="H3733" t="inlineStr">
        <is>
          <t>bb</t>
        </is>
      </c>
      <c r="I3733" t="n">
        <v>10191.97</v>
      </c>
    </row>
    <row r="3734">
      <c r="A3734" t="n">
        <v>17</v>
      </c>
      <c r="B3734" t="inlineStr">
        <is>
          <t>K3-1C</t>
        </is>
      </c>
      <c r="D3734" t="n">
        <v>14.49</v>
      </c>
      <c r="E3734" t="n">
        <v>13663.627</v>
      </c>
      <c r="G3734" t="n">
        <v>178.112</v>
      </c>
      <c r="H3734" t="inlineStr">
        <is>
          <t>bb</t>
        </is>
      </c>
      <c r="I3734" t="n">
        <v>13663.627</v>
      </c>
    </row>
    <row r="3735">
      <c r="A3735" t="n">
        <v>18</v>
      </c>
      <c r="B3735" t="inlineStr">
        <is>
          <t>K3-2A</t>
        </is>
      </c>
      <c r="D3735" t="n">
        <v>14.51</v>
      </c>
      <c r="E3735" t="n">
        <v>12675.376</v>
      </c>
      <c r="G3735" t="n">
        <v>317.671</v>
      </c>
      <c r="H3735" t="inlineStr">
        <is>
          <t>bb</t>
        </is>
      </c>
      <c r="I3735" t="n">
        <v>12675.376</v>
      </c>
    </row>
    <row r="3736">
      <c r="A3736" t="n">
        <v>19</v>
      </c>
      <c r="B3736" t="inlineStr">
        <is>
          <t>K3-2B</t>
        </is>
      </c>
      <c r="D3736" t="n">
        <v>14.51</v>
      </c>
      <c r="E3736" t="n">
        <v>12602.38</v>
      </c>
      <c r="G3736" t="n">
        <v>193.432</v>
      </c>
      <c r="H3736" t="inlineStr">
        <is>
          <t>bb</t>
        </is>
      </c>
      <c r="I3736" t="n">
        <v>12602.38</v>
      </c>
    </row>
    <row r="3737">
      <c r="A3737" t="n">
        <v>20</v>
      </c>
      <c r="B3737" t="inlineStr">
        <is>
          <t>K3-2C</t>
        </is>
      </c>
      <c r="D3737" t="n">
        <v>14.51</v>
      </c>
      <c r="E3737" t="n">
        <v>12657.865</v>
      </c>
      <c r="G3737" t="n">
        <v>138.352</v>
      </c>
      <c r="H3737" t="inlineStr">
        <is>
          <t>bb</t>
        </is>
      </c>
      <c r="I3737" t="n">
        <v>12657.865</v>
      </c>
    </row>
    <row r="3738">
      <c r="A3738" t="n">
        <v>21</v>
      </c>
      <c r="B3738" t="inlineStr">
        <is>
          <t>MeOH</t>
        </is>
      </c>
      <c r="H3738" t="inlineStr">
        <is>
          <t>MM-</t>
        </is>
      </c>
    </row>
    <row r="3739">
      <c r="A3739" t="n">
        <v>22</v>
      </c>
      <c r="B3739" t="inlineStr">
        <is>
          <t>K3-3A</t>
        </is>
      </c>
      <c r="D3739" t="n">
        <v>14.52</v>
      </c>
      <c r="E3739" t="n">
        <v>10197.11</v>
      </c>
      <c r="G3739" t="n">
        <v>439.749</v>
      </c>
      <c r="H3739" t="inlineStr">
        <is>
          <t>bb</t>
        </is>
      </c>
      <c r="I3739" t="n">
        <v>10197.11</v>
      </c>
    </row>
    <row r="3740">
      <c r="A3740" t="n">
        <v>23</v>
      </c>
      <c r="B3740" t="inlineStr">
        <is>
          <t>K3-3B</t>
        </is>
      </c>
      <c r="D3740" t="n">
        <v>14.55</v>
      </c>
      <c r="E3740" t="n">
        <v>11506.86</v>
      </c>
      <c r="G3740" t="n">
        <v>832.6660000000001</v>
      </c>
      <c r="H3740" t="inlineStr">
        <is>
          <t>bb</t>
        </is>
      </c>
      <c r="I3740" t="n">
        <v>11506.86</v>
      </c>
    </row>
    <row r="3741">
      <c r="A3741" t="n">
        <v>24</v>
      </c>
      <c r="B3741" t="inlineStr">
        <is>
          <t>K3-3C</t>
        </is>
      </c>
      <c r="D3741" t="n">
        <v>14.54</v>
      </c>
      <c r="E3741" t="n">
        <v>14119.439</v>
      </c>
      <c r="G3741" t="n">
        <v>349.264</v>
      </c>
      <c r="H3741" t="inlineStr">
        <is>
          <t>bb</t>
        </is>
      </c>
      <c r="I3741" t="n">
        <v>14119.439</v>
      </c>
    </row>
    <row r="3742">
      <c r="A3742" t="n">
        <v>25</v>
      </c>
      <c r="B3742" t="inlineStr">
        <is>
          <t>K3-4A</t>
        </is>
      </c>
      <c r="D3742" t="n">
        <v>14.58</v>
      </c>
      <c r="E3742" t="n">
        <v>13867.716</v>
      </c>
      <c r="G3742" t="n">
        <v>140.323</v>
      </c>
      <c r="H3742" t="inlineStr">
        <is>
          <t>bb</t>
        </is>
      </c>
      <c r="I3742" t="n">
        <v>13867.716</v>
      </c>
    </row>
    <row r="3743">
      <c r="A3743" t="n">
        <v>26</v>
      </c>
      <c r="B3743" t="inlineStr">
        <is>
          <t>K3-4B</t>
        </is>
      </c>
      <c r="D3743" t="n">
        <v>14.57</v>
      </c>
      <c r="E3743" t="n">
        <v>12810.85</v>
      </c>
      <c r="G3743" t="n">
        <v>337.416</v>
      </c>
      <c r="H3743" t="inlineStr">
        <is>
          <t>bb</t>
        </is>
      </c>
      <c r="I3743" t="n">
        <v>12810.85</v>
      </c>
    </row>
    <row r="3744">
      <c r="A3744" t="n">
        <v>27</v>
      </c>
      <c r="B3744" t="inlineStr">
        <is>
          <t>K3-4C</t>
        </is>
      </c>
      <c r="D3744" t="n">
        <v>14.6</v>
      </c>
      <c r="E3744" t="n">
        <v>15157.041</v>
      </c>
      <c r="G3744" t="n">
        <v>726.539</v>
      </c>
      <c r="H3744" t="inlineStr">
        <is>
          <t>bb</t>
        </is>
      </c>
      <c r="I3744" t="n">
        <v>15157.041</v>
      </c>
    </row>
    <row r="3745">
      <c r="A3745" t="n">
        <v>28</v>
      </c>
      <c r="B3745" t="inlineStr">
        <is>
          <t>MeOH</t>
        </is>
      </c>
      <c r="H3745" t="inlineStr">
        <is>
          <t>MM-</t>
        </is>
      </c>
    </row>
    <row r="3746">
      <c r="A3746" t="n">
        <v>29</v>
      </c>
      <c r="B3746" t="inlineStr">
        <is>
          <t>K3-6A</t>
        </is>
      </c>
      <c r="D3746" t="n">
        <v>14.6</v>
      </c>
      <c r="E3746" t="n">
        <v>12842.805</v>
      </c>
      <c r="G3746" t="n">
        <v>170.928</v>
      </c>
      <c r="H3746" t="inlineStr">
        <is>
          <t>bb</t>
        </is>
      </c>
      <c r="I3746" t="n">
        <v>12842.805</v>
      </c>
    </row>
    <row r="3747">
      <c r="A3747" t="n">
        <v>30</v>
      </c>
      <c r="B3747" t="inlineStr">
        <is>
          <t>K3-6B</t>
        </is>
      </c>
      <c r="D3747" t="n">
        <v>14.6</v>
      </c>
      <c r="E3747" t="n">
        <v>9136.427</v>
      </c>
      <c r="G3747" t="n">
        <v>113.892</v>
      </c>
      <c r="H3747" t="inlineStr">
        <is>
          <t>bb</t>
        </is>
      </c>
      <c r="I3747" t="n">
        <v>9136.427</v>
      </c>
    </row>
    <row r="3748">
      <c r="A3748" t="n">
        <v>31</v>
      </c>
      <c r="B3748" t="inlineStr">
        <is>
          <t>K3-6C</t>
        </is>
      </c>
      <c r="D3748" t="n">
        <v>14.58</v>
      </c>
      <c r="E3748" t="n">
        <v>9263.581</v>
      </c>
      <c r="G3748" t="n">
        <v>57975</v>
      </c>
      <c r="H3748" t="inlineStr">
        <is>
          <t>bb</t>
        </is>
      </c>
      <c r="I3748" t="n">
        <v>9263.581</v>
      </c>
    </row>
    <row r="3750">
      <c r="A3750" t="inlineStr">
        <is>
          <t>Compound 108:  m9 N-EtFOSE 1</t>
        </is>
      </c>
    </row>
    <row r="3752">
      <c r="B3752" t="inlineStr">
        <is>
          <t>Sample Text</t>
        </is>
      </c>
      <c r="C3752" t="inlineStr">
        <is>
          <t>Std. Conc</t>
        </is>
      </c>
      <c r="D3752" t="inlineStr">
        <is>
          <t>RT</t>
        </is>
      </c>
      <c r="E3752" t="inlineStr">
        <is>
          <t>Area</t>
        </is>
      </c>
      <c r="F3752" t="inlineStr">
        <is>
          <t>IS Area</t>
        </is>
      </c>
      <c r="G3752" t="inlineStr">
        <is>
          <t>S/N</t>
        </is>
      </c>
      <c r="H3752" t="inlineStr">
        <is>
          <t>Primary Flags</t>
        </is>
      </c>
      <c r="I3752" t="inlineStr">
        <is>
          <t>Response</t>
        </is>
      </c>
      <c r="J3752" t="inlineStr">
        <is>
          <t>Conc.</t>
        </is>
      </c>
    </row>
    <row r="3753">
      <c r="A3753" t="n">
        <v>1</v>
      </c>
      <c r="B3753" t="inlineStr">
        <is>
          <t>K4-1A</t>
        </is>
      </c>
      <c r="D3753" t="n">
        <v>18.86</v>
      </c>
      <c r="E3753" t="n">
        <v>1609.995</v>
      </c>
      <c r="G3753" t="n">
        <v>2702.892</v>
      </c>
      <c r="H3753" t="inlineStr">
        <is>
          <t>bb</t>
        </is>
      </c>
      <c r="I3753" t="n">
        <v>1609.995</v>
      </c>
    </row>
    <row r="3754">
      <c r="A3754" t="n">
        <v>2</v>
      </c>
      <c r="B3754" t="inlineStr">
        <is>
          <t>K4-1B</t>
        </is>
      </c>
      <c r="D3754" t="n">
        <v>18.87</v>
      </c>
      <c r="E3754" t="n">
        <v>1632.476</v>
      </c>
      <c r="G3754" t="n">
        <v>538.489</v>
      </c>
      <c r="H3754" t="inlineStr">
        <is>
          <t>bb</t>
        </is>
      </c>
      <c r="I3754" t="n">
        <v>1632.476</v>
      </c>
    </row>
    <row r="3755">
      <c r="A3755" t="n">
        <v>3</v>
      </c>
      <c r="B3755" t="inlineStr">
        <is>
          <t>K4-1C</t>
        </is>
      </c>
      <c r="D3755" t="n">
        <v>18.87</v>
      </c>
      <c r="E3755" t="n">
        <v>1678.802</v>
      </c>
      <c r="G3755" t="n">
        <v>1682.493</v>
      </c>
      <c r="H3755" t="inlineStr">
        <is>
          <t>bb</t>
        </is>
      </c>
      <c r="I3755" t="n">
        <v>1678.802</v>
      </c>
    </row>
    <row r="3756">
      <c r="A3756" t="n">
        <v>4</v>
      </c>
      <c r="B3756" t="inlineStr">
        <is>
          <t>K4-2A</t>
        </is>
      </c>
      <c r="D3756" t="n">
        <v>18.87</v>
      </c>
      <c r="E3756" t="n">
        <v>1686.286</v>
      </c>
      <c r="G3756" t="n">
        <v>7416.453</v>
      </c>
      <c r="H3756" t="inlineStr">
        <is>
          <t>bb</t>
        </is>
      </c>
      <c r="I3756" t="n">
        <v>1686.286</v>
      </c>
    </row>
    <row r="3757">
      <c r="A3757" t="n">
        <v>5</v>
      </c>
      <c r="B3757" t="inlineStr">
        <is>
          <t>K4-2B</t>
        </is>
      </c>
      <c r="D3757" t="n">
        <v>18.87</v>
      </c>
      <c r="E3757" t="n">
        <v>1528.592</v>
      </c>
      <c r="G3757" t="n">
        <v>4437.511</v>
      </c>
      <c r="H3757" t="inlineStr">
        <is>
          <t>bb</t>
        </is>
      </c>
      <c r="I3757" t="n">
        <v>1528.592</v>
      </c>
    </row>
    <row r="3758">
      <c r="A3758" t="n">
        <v>6</v>
      </c>
      <c r="B3758" t="inlineStr">
        <is>
          <t>K4-2C</t>
        </is>
      </c>
      <c r="D3758" t="n">
        <v>18.88</v>
      </c>
      <c r="E3758" t="n">
        <v>1341.622</v>
      </c>
      <c r="G3758" t="n">
        <v>881.376</v>
      </c>
      <c r="H3758" t="inlineStr">
        <is>
          <t>bb</t>
        </is>
      </c>
      <c r="I3758" t="n">
        <v>1341.622</v>
      </c>
    </row>
    <row r="3759">
      <c r="A3759" t="n">
        <v>7</v>
      </c>
      <c r="B3759" t="inlineStr">
        <is>
          <t>MeOH</t>
        </is>
      </c>
      <c r="H3759" t="inlineStr">
        <is>
          <t>MM-</t>
        </is>
      </c>
    </row>
    <row r="3760">
      <c r="A3760" t="n">
        <v>8</v>
      </c>
      <c r="B3760" t="inlineStr">
        <is>
          <t>K4-4A</t>
        </is>
      </c>
      <c r="D3760" t="n">
        <v>18.89</v>
      </c>
      <c r="E3760" t="n">
        <v>1530.409</v>
      </c>
      <c r="G3760" t="n">
        <v>4651.434</v>
      </c>
      <c r="H3760" t="inlineStr">
        <is>
          <t>bb</t>
        </is>
      </c>
      <c r="I3760" t="n">
        <v>1530.409</v>
      </c>
    </row>
    <row r="3761">
      <c r="A3761" t="n">
        <v>9</v>
      </c>
      <c r="B3761" t="inlineStr">
        <is>
          <t>K4-4B</t>
        </is>
      </c>
      <c r="D3761" t="n">
        <v>18.89</v>
      </c>
      <c r="E3761" t="n">
        <v>1665.401</v>
      </c>
      <c r="G3761" t="n">
        <v>1910.188</v>
      </c>
      <c r="H3761" t="inlineStr">
        <is>
          <t>bb</t>
        </is>
      </c>
      <c r="I3761" t="n">
        <v>1665.401</v>
      </c>
    </row>
    <row r="3762">
      <c r="A3762" t="n">
        <v>10</v>
      </c>
      <c r="B3762" t="inlineStr">
        <is>
          <t>K4-4C</t>
        </is>
      </c>
      <c r="D3762" t="n">
        <v>18.88</v>
      </c>
      <c r="E3762" t="n">
        <v>1618.391</v>
      </c>
      <c r="G3762" t="n">
        <v>1453.392</v>
      </c>
      <c r="H3762" t="inlineStr">
        <is>
          <t>bb</t>
        </is>
      </c>
      <c r="I3762" t="n">
        <v>1618.391</v>
      </c>
    </row>
    <row r="3763">
      <c r="A3763" t="n">
        <v>11</v>
      </c>
      <c r="B3763" t="inlineStr">
        <is>
          <t>K4-5A</t>
        </is>
      </c>
      <c r="D3763" t="n">
        <v>18.87</v>
      </c>
      <c r="E3763" t="n">
        <v>1626.32</v>
      </c>
      <c r="G3763" t="n">
        <v>678.923</v>
      </c>
      <c r="H3763" t="inlineStr">
        <is>
          <t>bb</t>
        </is>
      </c>
      <c r="I3763" t="n">
        <v>1626.32</v>
      </c>
    </row>
    <row r="3764">
      <c r="A3764" t="n">
        <v>12</v>
      </c>
      <c r="B3764" t="inlineStr">
        <is>
          <t>K4-5B</t>
        </is>
      </c>
      <c r="D3764" t="n">
        <v>18.85</v>
      </c>
      <c r="E3764" t="n">
        <v>1665.634</v>
      </c>
      <c r="G3764" t="n">
        <v>474.272</v>
      </c>
      <c r="H3764" t="inlineStr">
        <is>
          <t>bb</t>
        </is>
      </c>
      <c r="I3764" t="n">
        <v>1665.634</v>
      </c>
    </row>
    <row r="3765">
      <c r="A3765" t="n">
        <v>13</v>
      </c>
      <c r="B3765" t="inlineStr">
        <is>
          <t>K4-5C</t>
        </is>
      </c>
      <c r="D3765" t="n">
        <v>18.82</v>
      </c>
      <c r="E3765" t="n">
        <v>1613.307</v>
      </c>
      <c r="G3765" t="n">
        <v>4575.728</v>
      </c>
      <c r="H3765" t="inlineStr">
        <is>
          <t>bb</t>
        </is>
      </c>
      <c r="I3765" t="n">
        <v>1613.307</v>
      </c>
    </row>
    <row r="3766">
      <c r="A3766" t="n">
        <v>14</v>
      </c>
      <c r="B3766" t="inlineStr">
        <is>
          <t>MeOH</t>
        </is>
      </c>
      <c r="H3766" t="inlineStr">
        <is>
          <t>MM-</t>
        </is>
      </c>
    </row>
    <row r="3767">
      <c r="A3767" t="n">
        <v>15</v>
      </c>
      <c r="B3767" t="inlineStr">
        <is>
          <t>K3-1A</t>
        </is>
      </c>
      <c r="D3767" t="n">
        <v>18.8</v>
      </c>
      <c r="E3767" t="n">
        <v>1742.121</v>
      </c>
      <c r="G3767" t="n">
        <v>1302.674</v>
      </c>
      <c r="H3767" t="inlineStr">
        <is>
          <t>bd</t>
        </is>
      </c>
      <c r="I3767" t="n">
        <v>1742.121</v>
      </c>
    </row>
    <row r="3768">
      <c r="A3768" t="n">
        <v>16</v>
      </c>
      <c r="B3768" t="inlineStr">
        <is>
          <t>K3-1B</t>
        </is>
      </c>
      <c r="D3768" t="n">
        <v>18.81</v>
      </c>
      <c r="E3768" t="n">
        <v>1572.028</v>
      </c>
      <c r="G3768" t="n">
        <v>743.917</v>
      </c>
      <c r="H3768" t="inlineStr">
        <is>
          <t>bb</t>
        </is>
      </c>
      <c r="I3768" t="n">
        <v>1572.028</v>
      </c>
    </row>
    <row r="3769">
      <c r="A3769" t="n">
        <v>17</v>
      </c>
      <c r="B3769" t="inlineStr">
        <is>
          <t>K3-1C</t>
        </is>
      </c>
      <c r="D3769" t="n">
        <v>18.82</v>
      </c>
      <c r="E3769" t="n">
        <v>2116.855</v>
      </c>
      <c r="G3769" t="n">
        <v>1499.049</v>
      </c>
      <c r="H3769" t="inlineStr">
        <is>
          <t>bb</t>
        </is>
      </c>
      <c r="I3769" t="n">
        <v>2116.855</v>
      </c>
    </row>
    <row r="3770">
      <c r="A3770" t="n">
        <v>18</v>
      </c>
      <c r="B3770" t="inlineStr">
        <is>
          <t>K3-2A</t>
        </is>
      </c>
      <c r="D3770" t="n">
        <v>18.84</v>
      </c>
      <c r="E3770" t="n">
        <v>2008.621</v>
      </c>
      <c r="G3770" t="n">
        <v>1546.663</v>
      </c>
      <c r="H3770" t="inlineStr">
        <is>
          <t>bb</t>
        </is>
      </c>
      <c r="I3770" t="n">
        <v>2008.621</v>
      </c>
    </row>
    <row r="3771">
      <c r="A3771" t="n">
        <v>19</v>
      </c>
      <c r="B3771" t="inlineStr">
        <is>
          <t>K3-2B</t>
        </is>
      </c>
      <c r="D3771" t="n">
        <v>18.84</v>
      </c>
      <c r="E3771" t="n">
        <v>2203.574</v>
      </c>
      <c r="G3771" t="n">
        <v>866.347</v>
      </c>
      <c r="H3771" t="inlineStr">
        <is>
          <t>bb</t>
        </is>
      </c>
      <c r="I3771" t="n">
        <v>2203.574</v>
      </c>
    </row>
    <row r="3772">
      <c r="A3772" t="n">
        <v>20</v>
      </c>
      <c r="B3772" t="inlineStr">
        <is>
          <t>K3-2C</t>
        </is>
      </c>
      <c r="D3772" t="n">
        <v>18.84</v>
      </c>
      <c r="E3772" t="n">
        <v>1898.184</v>
      </c>
      <c r="G3772" t="n">
        <v>2056.21</v>
      </c>
      <c r="H3772" t="inlineStr">
        <is>
          <t>bb</t>
        </is>
      </c>
      <c r="I3772" t="n">
        <v>1898.184</v>
      </c>
    </row>
    <row r="3773">
      <c r="A3773" t="n">
        <v>21</v>
      </c>
      <c r="B3773" t="inlineStr">
        <is>
          <t>MeOH</t>
        </is>
      </c>
      <c r="H3773" t="inlineStr">
        <is>
          <t>MM-</t>
        </is>
      </c>
    </row>
    <row r="3774">
      <c r="A3774" t="n">
        <v>22</v>
      </c>
      <c r="B3774" t="inlineStr">
        <is>
          <t>K3-3A</t>
        </is>
      </c>
      <c r="D3774" t="n">
        <v>18.85</v>
      </c>
      <c r="E3774" t="n">
        <v>1523.872</v>
      </c>
      <c r="G3774" t="n">
        <v>9944.028</v>
      </c>
      <c r="H3774" t="inlineStr">
        <is>
          <t>bb</t>
        </is>
      </c>
      <c r="I3774" t="n">
        <v>1523.872</v>
      </c>
    </row>
    <row r="3775">
      <c r="A3775" t="n">
        <v>23</v>
      </c>
      <c r="B3775" t="inlineStr">
        <is>
          <t>K3-3B</t>
        </is>
      </c>
      <c r="D3775" t="n">
        <v>18.86</v>
      </c>
      <c r="E3775" t="n">
        <v>1684.574</v>
      </c>
      <c r="G3775" t="n">
        <v>1017.762</v>
      </c>
      <c r="H3775" t="inlineStr">
        <is>
          <t>bb</t>
        </is>
      </c>
      <c r="I3775" t="n">
        <v>1684.574</v>
      </c>
    </row>
    <row r="3776">
      <c r="A3776" t="n">
        <v>24</v>
      </c>
      <c r="B3776" t="inlineStr">
        <is>
          <t>K3-3C</t>
        </is>
      </c>
      <c r="D3776" t="n">
        <v>18.85</v>
      </c>
      <c r="E3776" t="n">
        <v>2072.912</v>
      </c>
      <c r="G3776" t="n">
        <v>1339.58</v>
      </c>
      <c r="H3776" t="inlineStr">
        <is>
          <t>bb</t>
        </is>
      </c>
      <c r="I3776" t="n">
        <v>2072.912</v>
      </c>
    </row>
    <row r="3777">
      <c r="A3777" t="n">
        <v>25</v>
      </c>
      <c r="B3777" t="inlineStr">
        <is>
          <t>K3-4A</t>
        </is>
      </c>
      <c r="D3777" t="n">
        <v>18.87</v>
      </c>
      <c r="E3777" t="n">
        <v>2194.503</v>
      </c>
      <c r="G3777" t="n">
        <v>882.396</v>
      </c>
      <c r="H3777" t="inlineStr">
        <is>
          <t>bb</t>
        </is>
      </c>
      <c r="I3777" t="n">
        <v>2194.503</v>
      </c>
    </row>
    <row r="3778">
      <c r="A3778" t="n">
        <v>26</v>
      </c>
      <c r="B3778" t="inlineStr">
        <is>
          <t>K3-4B</t>
        </is>
      </c>
      <c r="D3778" t="n">
        <v>18.87</v>
      </c>
      <c r="E3778" t="n">
        <v>1936.442</v>
      </c>
      <c r="G3778" t="n">
        <v>712.307</v>
      </c>
      <c r="H3778" t="inlineStr">
        <is>
          <t>bb</t>
        </is>
      </c>
      <c r="I3778" t="n">
        <v>1936.442</v>
      </c>
    </row>
    <row r="3779">
      <c r="A3779" t="n">
        <v>27</v>
      </c>
      <c r="B3779" t="inlineStr">
        <is>
          <t>K3-4C</t>
        </is>
      </c>
      <c r="D3779" t="n">
        <v>18.89</v>
      </c>
      <c r="E3779" t="n">
        <v>2051.932</v>
      </c>
      <c r="G3779" t="n">
        <v>809.701</v>
      </c>
      <c r="H3779" t="inlineStr">
        <is>
          <t>bb</t>
        </is>
      </c>
      <c r="I3779" t="n">
        <v>2051.932</v>
      </c>
    </row>
    <row r="3780">
      <c r="A3780" t="n">
        <v>28</v>
      </c>
      <c r="B3780" t="inlineStr">
        <is>
          <t>MeOH</t>
        </is>
      </c>
      <c r="H3780" t="inlineStr">
        <is>
          <t>MM-</t>
        </is>
      </c>
    </row>
    <row r="3781">
      <c r="A3781" t="n">
        <v>29</v>
      </c>
      <c r="B3781" t="inlineStr">
        <is>
          <t>K3-6A</t>
        </is>
      </c>
      <c r="D3781" t="n">
        <v>18.88</v>
      </c>
      <c r="E3781" t="n">
        <v>1703.303</v>
      </c>
      <c r="G3781" t="n">
        <v>1832.333</v>
      </c>
      <c r="H3781" t="inlineStr">
        <is>
          <t>bb</t>
        </is>
      </c>
      <c r="I3781" t="n">
        <v>1703.303</v>
      </c>
    </row>
    <row r="3782">
      <c r="A3782" t="n">
        <v>30</v>
      </c>
      <c r="B3782" t="inlineStr">
        <is>
          <t>K3-6B</t>
        </is>
      </c>
      <c r="D3782" t="n">
        <v>18.88</v>
      </c>
      <c r="E3782" t="n">
        <v>1471.201</v>
      </c>
      <c r="G3782" t="n">
        <v>1380.765</v>
      </c>
      <c r="H3782" t="inlineStr">
        <is>
          <t>bb</t>
        </is>
      </c>
      <c r="I3782" t="n">
        <v>1471.201</v>
      </c>
    </row>
    <row r="3783">
      <c r="A3783" t="n">
        <v>31</v>
      </c>
      <c r="B3783" t="inlineStr">
        <is>
          <t>K3-6C</t>
        </is>
      </c>
      <c r="D3783" t="n">
        <v>18.86</v>
      </c>
      <c r="E3783" t="n">
        <v>1466.605</v>
      </c>
      <c r="G3783" t="n">
        <v>399.216</v>
      </c>
      <c r="H3783" t="inlineStr">
        <is>
          <t>bb</t>
        </is>
      </c>
      <c r="I3783" t="n">
        <v>1466.605</v>
      </c>
    </row>
    <row r="3785">
      <c r="A3785" t="inlineStr">
        <is>
          <t>Compound 109:  m9 N-EtFOSE 2</t>
        </is>
      </c>
    </row>
    <row r="3787">
      <c r="B3787" t="inlineStr">
        <is>
          <t>Sample Text</t>
        </is>
      </c>
      <c r="C3787" t="inlineStr">
        <is>
          <t>Std. Conc</t>
        </is>
      </c>
      <c r="D3787" t="inlineStr">
        <is>
          <t>RT</t>
        </is>
      </c>
      <c r="E3787" t="inlineStr">
        <is>
          <t>Area</t>
        </is>
      </c>
      <c r="F3787" t="inlineStr">
        <is>
          <t>IS Area</t>
        </is>
      </c>
      <c r="G3787" t="inlineStr">
        <is>
          <t>S/N</t>
        </is>
      </c>
      <c r="H3787" t="inlineStr">
        <is>
          <t>Primary Flags</t>
        </is>
      </c>
      <c r="I3787" t="inlineStr">
        <is>
          <t>Response</t>
        </is>
      </c>
      <c r="J3787" t="inlineStr">
        <is>
          <t>Conc.</t>
        </is>
      </c>
    </row>
    <row r="3788">
      <c r="A3788" t="n">
        <v>1</v>
      </c>
      <c r="B3788" t="inlineStr">
        <is>
          <t>K4-1A</t>
        </is>
      </c>
      <c r="D3788" t="n">
        <v>18.86</v>
      </c>
      <c r="E3788" t="n">
        <v>386.413</v>
      </c>
      <c r="G3788" t="n">
        <v>131.995</v>
      </c>
      <c r="H3788" t="inlineStr">
        <is>
          <t>bb</t>
        </is>
      </c>
      <c r="I3788" t="n">
        <v>386.413</v>
      </c>
    </row>
    <row r="3789">
      <c r="A3789" t="n">
        <v>2</v>
      </c>
      <c r="B3789" t="inlineStr">
        <is>
          <t>K4-1B</t>
        </is>
      </c>
      <c r="D3789" t="n">
        <v>18.87</v>
      </c>
      <c r="E3789" t="n">
        <v>357.832</v>
      </c>
      <c r="G3789" t="n">
        <v>412.07</v>
      </c>
      <c r="H3789" t="inlineStr">
        <is>
          <t>bb</t>
        </is>
      </c>
      <c r="I3789" t="n">
        <v>357.832</v>
      </c>
    </row>
    <row r="3790">
      <c r="A3790" t="n">
        <v>3</v>
      </c>
      <c r="B3790" t="inlineStr">
        <is>
          <t>K4-1C</t>
        </is>
      </c>
      <c r="D3790" t="n">
        <v>18.87</v>
      </c>
      <c r="E3790" t="n">
        <v>351.694</v>
      </c>
      <c r="G3790" t="n">
        <v>1120.778</v>
      </c>
      <c r="H3790" t="inlineStr">
        <is>
          <t>bb</t>
        </is>
      </c>
      <c r="I3790" t="n">
        <v>351.694</v>
      </c>
    </row>
    <row r="3791">
      <c r="A3791" t="n">
        <v>4</v>
      </c>
      <c r="B3791" t="inlineStr">
        <is>
          <t>K4-2A</t>
        </is>
      </c>
      <c r="D3791" t="n">
        <v>18.87</v>
      </c>
      <c r="E3791" t="n">
        <v>364.65</v>
      </c>
      <c r="G3791" t="n">
        <v>332.977</v>
      </c>
      <c r="H3791" t="inlineStr">
        <is>
          <t>bb</t>
        </is>
      </c>
      <c r="I3791" t="n">
        <v>364.65</v>
      </c>
    </row>
    <row r="3792">
      <c r="A3792" t="n">
        <v>5</v>
      </c>
      <c r="B3792" t="inlineStr">
        <is>
          <t>K4-2B</t>
        </is>
      </c>
      <c r="D3792" t="n">
        <v>18.87</v>
      </c>
      <c r="E3792" t="n">
        <v>298.712</v>
      </c>
      <c r="G3792" t="n">
        <v>411.497</v>
      </c>
      <c r="H3792" t="inlineStr">
        <is>
          <t>bb</t>
        </is>
      </c>
      <c r="I3792" t="n">
        <v>298.712</v>
      </c>
    </row>
    <row r="3793">
      <c r="A3793" t="n">
        <v>6</v>
      </c>
      <c r="B3793" t="inlineStr">
        <is>
          <t>K4-2C</t>
        </is>
      </c>
      <c r="D3793" t="n">
        <v>18.87</v>
      </c>
      <c r="E3793" t="n">
        <v>296.1</v>
      </c>
      <c r="G3793" t="n">
        <v>88.486</v>
      </c>
      <c r="H3793" t="inlineStr">
        <is>
          <t>bb</t>
        </is>
      </c>
      <c r="I3793" t="n">
        <v>296.1</v>
      </c>
    </row>
    <row r="3794">
      <c r="A3794" t="n">
        <v>7</v>
      </c>
      <c r="B3794" t="inlineStr">
        <is>
          <t>MeOH</t>
        </is>
      </c>
      <c r="H3794" t="inlineStr">
        <is>
          <t>MM-</t>
        </is>
      </c>
    </row>
    <row r="3795">
      <c r="A3795" t="n">
        <v>8</v>
      </c>
      <c r="B3795" t="inlineStr">
        <is>
          <t>K4-4A</t>
        </is>
      </c>
      <c r="D3795" t="n">
        <v>18.89</v>
      </c>
      <c r="E3795" t="n">
        <v>272.169</v>
      </c>
      <c r="G3795" t="n">
        <v>1558.07</v>
      </c>
      <c r="H3795" t="inlineStr">
        <is>
          <t>bb</t>
        </is>
      </c>
      <c r="I3795" t="n">
        <v>272.169</v>
      </c>
    </row>
    <row r="3796">
      <c r="A3796" t="n">
        <v>9</v>
      </c>
      <c r="B3796" t="inlineStr">
        <is>
          <t>K4-4B</t>
        </is>
      </c>
      <c r="D3796" t="n">
        <v>18.89</v>
      </c>
      <c r="E3796" t="n">
        <v>336.453</v>
      </c>
      <c r="G3796" t="n">
        <v>199.926</v>
      </c>
      <c r="H3796" t="inlineStr">
        <is>
          <t>bb</t>
        </is>
      </c>
      <c r="I3796" t="n">
        <v>336.453</v>
      </c>
    </row>
    <row r="3797">
      <c r="A3797" t="n">
        <v>10</v>
      </c>
      <c r="B3797" t="inlineStr">
        <is>
          <t>K4-4C</t>
        </is>
      </c>
      <c r="D3797" t="n">
        <v>18.89</v>
      </c>
      <c r="E3797" t="n">
        <v>359.108</v>
      </c>
      <c r="G3797" t="n">
        <v>266.959</v>
      </c>
      <c r="H3797" t="inlineStr">
        <is>
          <t>bb</t>
        </is>
      </c>
      <c r="I3797" t="n">
        <v>359.108</v>
      </c>
    </row>
    <row r="3798">
      <c r="A3798" t="n">
        <v>11</v>
      </c>
      <c r="B3798" t="inlineStr">
        <is>
          <t>K4-5A</t>
        </is>
      </c>
      <c r="D3798" t="n">
        <v>18.87</v>
      </c>
      <c r="E3798" t="n">
        <v>336.733</v>
      </c>
      <c r="G3798" t="n">
        <v>654.742</v>
      </c>
      <c r="H3798" t="inlineStr">
        <is>
          <t>bb</t>
        </is>
      </c>
      <c r="I3798" t="n">
        <v>336.733</v>
      </c>
    </row>
    <row r="3799">
      <c r="A3799" t="n">
        <v>12</v>
      </c>
      <c r="B3799" t="inlineStr">
        <is>
          <t>K4-5B</t>
        </is>
      </c>
      <c r="D3799" t="n">
        <v>18.86</v>
      </c>
      <c r="E3799" t="n">
        <v>351</v>
      </c>
      <c r="G3799" t="n">
        <v>253.101</v>
      </c>
      <c r="H3799" t="inlineStr">
        <is>
          <t>bb</t>
        </is>
      </c>
      <c r="I3799" t="n">
        <v>351</v>
      </c>
    </row>
    <row r="3800">
      <c r="A3800" t="n">
        <v>13</v>
      </c>
      <c r="B3800" t="inlineStr">
        <is>
          <t>K4-5C</t>
        </is>
      </c>
      <c r="D3800" t="n">
        <v>18.82</v>
      </c>
      <c r="E3800" t="n">
        <v>341.754</v>
      </c>
      <c r="G3800" t="n">
        <v>220.459</v>
      </c>
      <c r="H3800" t="inlineStr">
        <is>
          <t>bb</t>
        </is>
      </c>
      <c r="I3800" t="n">
        <v>341.754</v>
      </c>
    </row>
    <row r="3801">
      <c r="A3801" t="n">
        <v>14</v>
      </c>
      <c r="B3801" t="inlineStr">
        <is>
          <t>MeOH</t>
        </is>
      </c>
      <c r="H3801" t="inlineStr">
        <is>
          <t>MM-</t>
        </is>
      </c>
    </row>
    <row r="3802">
      <c r="A3802" t="n">
        <v>15</v>
      </c>
      <c r="B3802" t="inlineStr">
        <is>
          <t>K3-1A</t>
        </is>
      </c>
      <c r="D3802" t="n">
        <v>18.8</v>
      </c>
      <c r="E3802" t="n">
        <v>361.081</v>
      </c>
      <c r="G3802" t="n">
        <v>2579.922</v>
      </c>
      <c r="H3802" t="inlineStr">
        <is>
          <t>bb</t>
        </is>
      </c>
      <c r="I3802" t="n">
        <v>361.081</v>
      </c>
    </row>
    <row r="3803">
      <c r="A3803" t="n">
        <v>16</v>
      </c>
      <c r="B3803" t="inlineStr">
        <is>
          <t>K3-1B</t>
        </is>
      </c>
      <c r="D3803" t="n">
        <v>18.82</v>
      </c>
      <c r="E3803" t="n">
        <v>343.086</v>
      </c>
      <c r="G3803" t="n">
        <v>77.033</v>
      </c>
      <c r="H3803" t="inlineStr">
        <is>
          <t>bb</t>
        </is>
      </c>
      <c r="I3803" t="n">
        <v>343.086</v>
      </c>
    </row>
    <row r="3804">
      <c r="A3804" t="n">
        <v>17</v>
      </c>
      <c r="B3804" t="inlineStr">
        <is>
          <t>K3-1C</t>
        </is>
      </c>
      <c r="D3804" t="n">
        <v>18.83</v>
      </c>
      <c r="E3804" t="n">
        <v>522.8099999999999</v>
      </c>
      <c r="G3804" t="n">
        <v>206.799</v>
      </c>
      <c r="H3804" t="inlineStr">
        <is>
          <t>bb</t>
        </is>
      </c>
      <c r="I3804" t="n">
        <v>522.8099999999999</v>
      </c>
    </row>
    <row r="3805">
      <c r="A3805" t="n">
        <v>18</v>
      </c>
      <c r="B3805" t="inlineStr">
        <is>
          <t>K3-2A</t>
        </is>
      </c>
      <c r="D3805" t="n">
        <v>18.84</v>
      </c>
      <c r="E3805" t="n">
        <v>467.569</v>
      </c>
      <c r="G3805" t="n">
        <v>512.062</v>
      </c>
      <c r="H3805" t="inlineStr">
        <is>
          <t>bb</t>
        </is>
      </c>
      <c r="I3805" t="n">
        <v>467.569</v>
      </c>
    </row>
    <row r="3806">
      <c r="A3806" t="n">
        <v>19</v>
      </c>
      <c r="B3806" t="inlineStr">
        <is>
          <t>K3-2B</t>
        </is>
      </c>
      <c r="D3806" t="n">
        <v>18.83</v>
      </c>
      <c r="E3806" t="n">
        <v>515.707</v>
      </c>
      <c r="G3806" t="n">
        <v>2886.844</v>
      </c>
      <c r="H3806" t="inlineStr">
        <is>
          <t>bb</t>
        </is>
      </c>
      <c r="I3806" t="n">
        <v>515.707</v>
      </c>
    </row>
    <row r="3807">
      <c r="A3807" t="n">
        <v>20</v>
      </c>
      <c r="B3807" t="inlineStr">
        <is>
          <t>K3-2C</t>
        </is>
      </c>
      <c r="D3807" t="n">
        <v>18.84</v>
      </c>
      <c r="E3807" t="n">
        <v>421.389</v>
      </c>
      <c r="G3807" t="n">
        <v>1197.718</v>
      </c>
      <c r="H3807" t="inlineStr">
        <is>
          <t>bb</t>
        </is>
      </c>
      <c r="I3807" t="n">
        <v>421.389</v>
      </c>
    </row>
    <row r="3808">
      <c r="A3808" t="n">
        <v>21</v>
      </c>
      <c r="B3808" t="inlineStr">
        <is>
          <t>MeOH</t>
        </is>
      </c>
      <c r="H3808" t="inlineStr">
        <is>
          <t>MM-</t>
        </is>
      </c>
    </row>
    <row r="3809">
      <c r="A3809" t="n">
        <v>22</v>
      </c>
      <c r="B3809" t="inlineStr">
        <is>
          <t>K3-3A</t>
        </is>
      </c>
      <c r="D3809" t="n">
        <v>18.85</v>
      </c>
      <c r="E3809" t="n">
        <v>322.104</v>
      </c>
      <c r="G3809" t="n">
        <v>184.448</v>
      </c>
      <c r="H3809" t="inlineStr">
        <is>
          <t>bb</t>
        </is>
      </c>
      <c r="I3809" t="n">
        <v>322.104</v>
      </c>
    </row>
    <row r="3810">
      <c r="A3810" t="n">
        <v>23</v>
      </c>
      <c r="B3810" t="inlineStr">
        <is>
          <t>K3-3B</t>
        </is>
      </c>
      <c r="D3810" t="n">
        <v>18.86</v>
      </c>
      <c r="E3810" t="n">
        <v>385.892</v>
      </c>
      <c r="G3810" t="n">
        <v>124.431</v>
      </c>
      <c r="H3810" t="inlineStr">
        <is>
          <t>bb</t>
        </is>
      </c>
      <c r="I3810" t="n">
        <v>385.892</v>
      </c>
    </row>
    <row r="3811">
      <c r="A3811" t="n">
        <v>24</v>
      </c>
      <c r="B3811" t="inlineStr">
        <is>
          <t>K3-3C</t>
        </is>
      </c>
      <c r="D3811" t="n">
        <v>18.85</v>
      </c>
      <c r="E3811" t="n">
        <v>447.983</v>
      </c>
      <c r="G3811" t="n">
        <v>564.881</v>
      </c>
      <c r="H3811" t="inlineStr">
        <is>
          <t>bb</t>
        </is>
      </c>
      <c r="I3811" t="n">
        <v>447.983</v>
      </c>
    </row>
    <row r="3812">
      <c r="A3812" t="n">
        <v>25</v>
      </c>
      <c r="B3812" t="inlineStr">
        <is>
          <t>K3-4A</t>
        </is>
      </c>
      <c r="D3812" t="n">
        <v>18.87</v>
      </c>
      <c r="E3812" t="n">
        <v>476.739</v>
      </c>
      <c r="G3812" t="n">
        <v>1400.756</v>
      </c>
      <c r="H3812" t="inlineStr">
        <is>
          <t>bb</t>
        </is>
      </c>
      <c r="I3812" t="n">
        <v>476.739</v>
      </c>
    </row>
    <row r="3813">
      <c r="A3813" t="n">
        <v>26</v>
      </c>
      <c r="B3813" t="inlineStr">
        <is>
          <t>K3-4B</t>
        </is>
      </c>
      <c r="D3813" t="n">
        <v>18.87</v>
      </c>
      <c r="E3813" t="n">
        <v>427.36</v>
      </c>
      <c r="G3813" t="n">
        <v>172.389</v>
      </c>
      <c r="H3813" t="inlineStr">
        <is>
          <t>bb</t>
        </is>
      </c>
      <c r="I3813" t="n">
        <v>427.36</v>
      </c>
    </row>
    <row r="3814">
      <c r="A3814" t="n">
        <v>27</v>
      </c>
      <c r="B3814" t="inlineStr">
        <is>
          <t>K3-4C</t>
        </is>
      </c>
      <c r="D3814" t="n">
        <v>18.89</v>
      </c>
      <c r="E3814" t="n">
        <v>465.784</v>
      </c>
      <c r="G3814" t="n">
        <v>239.56</v>
      </c>
      <c r="H3814" t="inlineStr">
        <is>
          <t>bb</t>
        </is>
      </c>
      <c r="I3814" t="n">
        <v>465.784</v>
      </c>
    </row>
    <row r="3815">
      <c r="A3815" t="n">
        <v>28</v>
      </c>
      <c r="B3815" t="inlineStr">
        <is>
          <t>MeOH</t>
        </is>
      </c>
    </row>
    <row r="3816">
      <c r="A3816" t="n">
        <v>29</v>
      </c>
      <c r="B3816" t="inlineStr">
        <is>
          <t>K3-6A</t>
        </is>
      </c>
      <c r="D3816" t="n">
        <v>18.89</v>
      </c>
      <c r="E3816" t="n">
        <v>382.727</v>
      </c>
      <c r="G3816" t="n">
        <v>275.189</v>
      </c>
      <c r="H3816" t="inlineStr">
        <is>
          <t>bb</t>
        </is>
      </c>
      <c r="I3816" t="n">
        <v>382.727</v>
      </c>
    </row>
    <row r="3817">
      <c r="A3817" t="n">
        <v>30</v>
      </c>
      <c r="B3817" t="inlineStr">
        <is>
          <t>K3-6B</t>
        </is>
      </c>
      <c r="D3817" t="n">
        <v>18.89</v>
      </c>
      <c r="E3817" t="n">
        <v>365.716</v>
      </c>
      <c r="G3817" t="n">
        <v>44.2</v>
      </c>
      <c r="H3817" t="inlineStr">
        <is>
          <t>bb</t>
        </is>
      </c>
      <c r="I3817" t="n">
        <v>365.716</v>
      </c>
    </row>
    <row r="3818">
      <c r="A3818" t="n">
        <v>31</v>
      </c>
      <c r="B3818" t="inlineStr">
        <is>
          <t>K3-6C</t>
        </is>
      </c>
      <c r="D3818" t="n">
        <v>18.87</v>
      </c>
      <c r="E3818" t="n">
        <v>293.722</v>
      </c>
      <c r="G3818" t="n">
        <v>139.658</v>
      </c>
      <c r="H3818" t="inlineStr">
        <is>
          <t>bb</t>
        </is>
      </c>
      <c r="I3818" t="n">
        <v>293.722</v>
      </c>
    </row>
    <row r="3820">
      <c r="A3820" t="inlineStr">
        <is>
          <t>Compound 110:  N-EtFOSAA 1</t>
        </is>
      </c>
    </row>
    <row r="3822">
      <c r="B3822" t="inlineStr">
        <is>
          <t>Sample Text</t>
        </is>
      </c>
      <c r="C3822" t="inlineStr">
        <is>
          <t>Std. Conc</t>
        </is>
      </c>
      <c r="D3822" t="inlineStr">
        <is>
          <t>RT</t>
        </is>
      </c>
      <c r="E3822" t="inlineStr">
        <is>
          <t>Area</t>
        </is>
      </c>
      <c r="F3822" t="inlineStr">
        <is>
          <t>IS Area</t>
        </is>
      </c>
      <c r="G3822" t="inlineStr">
        <is>
          <t>S/N</t>
        </is>
      </c>
      <c r="H3822" t="inlineStr">
        <is>
          <t>Primary Flags</t>
        </is>
      </c>
      <c r="I3822" t="inlineStr">
        <is>
          <t>Response</t>
        </is>
      </c>
      <c r="J3822" t="inlineStr">
        <is>
          <t>Conc.</t>
        </is>
      </c>
    </row>
    <row r="3823">
      <c r="A3823" t="n">
        <v>1</v>
      </c>
      <c r="B3823" t="inlineStr">
        <is>
          <t>K4-1A</t>
        </is>
      </c>
      <c r="D3823" t="n">
        <v>14.99</v>
      </c>
      <c r="E3823" t="n">
        <v>2.801</v>
      </c>
      <c r="F3823" t="n">
        <v>23639.141</v>
      </c>
      <c r="G3823" t="n">
        <v>25</v>
      </c>
      <c r="H3823" t="inlineStr">
        <is>
          <t>bb</t>
        </is>
      </c>
    </row>
    <row r="3824">
      <c r="A3824" t="n">
        <v>2</v>
      </c>
      <c r="B3824" t="inlineStr">
        <is>
          <t>K4-1B</t>
        </is>
      </c>
      <c r="F3824" t="n">
        <v>22105.367</v>
      </c>
    </row>
    <row r="3825">
      <c r="A3825" t="n">
        <v>3</v>
      </c>
      <c r="B3825" t="inlineStr">
        <is>
          <t>K4-1C</t>
        </is>
      </c>
      <c r="D3825" t="n">
        <v>15.02</v>
      </c>
      <c r="E3825" t="n">
        <v>32.54</v>
      </c>
      <c r="F3825" t="n">
        <v>21073.406</v>
      </c>
      <c r="G3825" t="n">
        <v>275</v>
      </c>
      <c r="H3825" t="inlineStr">
        <is>
          <t>bb</t>
        </is>
      </c>
    </row>
    <row r="3826">
      <c r="A3826" t="n">
        <v>4</v>
      </c>
      <c r="B3826" t="inlineStr">
        <is>
          <t>K4-2A</t>
        </is>
      </c>
      <c r="F3826" t="n">
        <v>22198.574</v>
      </c>
    </row>
    <row r="3827">
      <c r="A3827" t="n">
        <v>5</v>
      </c>
      <c r="B3827" t="inlineStr">
        <is>
          <t>K4-2B</t>
        </is>
      </c>
      <c r="F3827" t="n">
        <v>19047.846</v>
      </c>
    </row>
    <row r="3828">
      <c r="A3828" t="n">
        <v>6</v>
      </c>
      <c r="B3828" t="inlineStr">
        <is>
          <t>K4-2C</t>
        </is>
      </c>
      <c r="F3828" t="n">
        <v>17391.42</v>
      </c>
    </row>
    <row r="3829">
      <c r="A3829" t="n">
        <v>7</v>
      </c>
      <c r="B3829" t="inlineStr">
        <is>
          <t>MeOH</t>
        </is>
      </c>
      <c r="H3829" t="inlineStr">
        <is>
          <t>MM-</t>
        </is>
      </c>
    </row>
    <row r="3830">
      <c r="A3830" t="n">
        <v>8</v>
      </c>
      <c r="B3830" t="inlineStr">
        <is>
          <t>K4-4A</t>
        </is>
      </c>
      <c r="F3830" t="n">
        <v>23917.184</v>
      </c>
    </row>
    <row r="3831">
      <c r="A3831" t="n">
        <v>9</v>
      </c>
      <c r="B3831" t="inlineStr">
        <is>
          <t>K4-4B</t>
        </is>
      </c>
      <c r="F3831" t="n">
        <v>21871.559</v>
      </c>
    </row>
    <row r="3832">
      <c r="A3832" t="n">
        <v>10</v>
      </c>
      <c r="B3832" t="inlineStr">
        <is>
          <t>K4-4C</t>
        </is>
      </c>
      <c r="F3832" t="n">
        <v>25710.891</v>
      </c>
    </row>
    <row r="3833">
      <c r="A3833" t="n">
        <v>11</v>
      </c>
      <c r="B3833" t="inlineStr">
        <is>
          <t>K4-5A</t>
        </is>
      </c>
      <c r="F3833" t="n">
        <v>21448.361</v>
      </c>
    </row>
    <row r="3834">
      <c r="A3834" t="n">
        <v>12</v>
      </c>
      <c r="B3834" t="inlineStr">
        <is>
          <t>K4-5B</t>
        </is>
      </c>
      <c r="F3834" t="n">
        <v>22339.35</v>
      </c>
    </row>
    <row r="3835">
      <c r="A3835" t="n">
        <v>13</v>
      </c>
      <c r="B3835" t="inlineStr">
        <is>
          <t>K4-5C</t>
        </is>
      </c>
      <c r="F3835" t="n">
        <v>21963.625</v>
      </c>
    </row>
    <row r="3836">
      <c r="A3836" t="n">
        <v>14</v>
      </c>
      <c r="B3836" t="inlineStr">
        <is>
          <t>MeOH</t>
        </is>
      </c>
      <c r="D3836" t="n">
        <v>14.89</v>
      </c>
      <c r="E3836" t="n">
        <v>57.573</v>
      </c>
      <c r="F3836" t="n">
        <v>162.657</v>
      </c>
      <c r="G3836" t="n">
        <v>4.037</v>
      </c>
      <c r="H3836" t="inlineStr">
        <is>
          <t>bb</t>
        </is>
      </c>
    </row>
    <row r="3837">
      <c r="A3837" t="n">
        <v>15</v>
      </c>
      <c r="B3837" t="inlineStr">
        <is>
          <t>K3-1A</t>
        </is>
      </c>
      <c r="F3837" t="n">
        <v>25588.145</v>
      </c>
    </row>
    <row r="3838">
      <c r="A3838" t="n">
        <v>16</v>
      </c>
      <c r="B3838" t="inlineStr">
        <is>
          <t>K3-1B</t>
        </is>
      </c>
      <c r="F3838" t="n">
        <v>23743.408</v>
      </c>
    </row>
    <row r="3839">
      <c r="A3839" t="n">
        <v>17</v>
      </c>
      <c r="B3839" t="inlineStr">
        <is>
          <t>K3-1C</t>
        </is>
      </c>
      <c r="D3839" t="n">
        <v>14.96</v>
      </c>
      <c r="E3839" t="n">
        <v>8.233000000000001</v>
      </c>
      <c r="F3839" t="n">
        <v>31354.984</v>
      </c>
      <c r="G3839" t="n">
        <v>72</v>
      </c>
      <c r="H3839" t="inlineStr">
        <is>
          <t>bb</t>
        </is>
      </c>
    </row>
    <row r="3840">
      <c r="A3840" t="n">
        <v>18</v>
      </c>
      <c r="B3840" t="inlineStr">
        <is>
          <t>K3-2A</t>
        </is>
      </c>
      <c r="D3840" t="n">
        <v>14.94</v>
      </c>
      <c r="E3840" t="n">
        <v>1.744</v>
      </c>
      <c r="F3840" t="n">
        <v>28332.404</v>
      </c>
      <c r="G3840" t="n">
        <v>15</v>
      </c>
      <c r="H3840" t="inlineStr">
        <is>
          <t>bb</t>
        </is>
      </c>
    </row>
    <row r="3841">
      <c r="A3841" t="n">
        <v>19</v>
      </c>
      <c r="B3841" t="inlineStr">
        <is>
          <t>K3-2B</t>
        </is>
      </c>
      <c r="D3841" t="n">
        <v>15.02</v>
      </c>
      <c r="E3841" t="n">
        <v>4.891</v>
      </c>
      <c r="F3841" t="n">
        <v>33095.668</v>
      </c>
      <c r="G3841" t="n">
        <v>46</v>
      </c>
      <c r="H3841" t="inlineStr">
        <is>
          <t>bb</t>
        </is>
      </c>
    </row>
    <row r="3842">
      <c r="A3842" t="n">
        <v>20</v>
      </c>
      <c r="B3842" t="inlineStr">
        <is>
          <t>K3-2C</t>
        </is>
      </c>
      <c r="D3842" t="n">
        <v>15.14</v>
      </c>
      <c r="E3842" t="n">
        <v>23.521</v>
      </c>
      <c r="F3842" t="n">
        <v>28664.4</v>
      </c>
      <c r="G3842" t="n">
        <v>2.121</v>
      </c>
      <c r="H3842" t="inlineStr">
        <is>
          <t>bb</t>
        </is>
      </c>
    </row>
    <row r="3843">
      <c r="A3843" t="n">
        <v>21</v>
      </c>
      <c r="B3843" t="inlineStr">
        <is>
          <t>MeOH</t>
        </is>
      </c>
      <c r="H3843" t="inlineStr">
        <is>
          <t>MM-</t>
        </is>
      </c>
    </row>
    <row r="3844">
      <c r="A3844" t="n">
        <v>22</v>
      </c>
      <c r="B3844" t="inlineStr">
        <is>
          <t>K3-3A</t>
        </is>
      </c>
      <c r="F3844" t="n">
        <v>23955.172</v>
      </c>
    </row>
    <row r="3845">
      <c r="A3845" t="n">
        <v>23</v>
      </c>
      <c r="B3845" t="inlineStr">
        <is>
          <t>K3-3B</t>
        </is>
      </c>
      <c r="D3845" t="n">
        <v>15.01</v>
      </c>
      <c r="E3845" t="n">
        <v>68.967</v>
      </c>
      <c r="F3845" t="n">
        <v>29001.438</v>
      </c>
      <c r="G3845" t="n">
        <v>2.438</v>
      </c>
      <c r="H3845" t="inlineStr">
        <is>
          <t>bb</t>
        </is>
      </c>
    </row>
    <row r="3846">
      <c r="A3846" t="n">
        <v>24</v>
      </c>
      <c r="B3846" t="inlineStr">
        <is>
          <t>K3-3C</t>
        </is>
      </c>
      <c r="D3846" t="n">
        <v>14.97</v>
      </c>
      <c r="E3846" t="n">
        <v>1.011</v>
      </c>
      <c r="F3846" t="n">
        <v>32934.473</v>
      </c>
      <c r="G3846" t="n">
        <v>9</v>
      </c>
      <c r="H3846" t="inlineStr">
        <is>
          <t>bb</t>
        </is>
      </c>
    </row>
    <row r="3847">
      <c r="A3847" t="n">
        <v>25</v>
      </c>
      <c r="B3847" t="inlineStr">
        <is>
          <t>K3-4A</t>
        </is>
      </c>
      <c r="D3847" t="n">
        <v>15.02</v>
      </c>
      <c r="E3847" t="n">
        <v>2.59</v>
      </c>
      <c r="F3847" t="n">
        <v>36892.102</v>
      </c>
      <c r="G3847" t="n">
        <v>24</v>
      </c>
      <c r="H3847" t="inlineStr">
        <is>
          <t>bb</t>
        </is>
      </c>
    </row>
    <row r="3848">
      <c r="A3848" t="n">
        <v>26</v>
      </c>
      <c r="B3848" t="inlineStr">
        <is>
          <t>K3-4B</t>
        </is>
      </c>
      <c r="D3848" t="n">
        <v>14.6</v>
      </c>
      <c r="E3848" t="n">
        <v>36.678</v>
      </c>
      <c r="F3848" t="n">
        <v>32473.859</v>
      </c>
      <c r="G3848" t="n">
        <v>324</v>
      </c>
      <c r="H3848" t="inlineStr">
        <is>
          <t>bb</t>
        </is>
      </c>
    </row>
    <row r="3849">
      <c r="A3849" t="n">
        <v>27</v>
      </c>
      <c r="B3849" t="inlineStr">
        <is>
          <t>K3-4C</t>
        </is>
      </c>
      <c r="D3849" t="n">
        <v>15.06</v>
      </c>
      <c r="E3849" t="n">
        <v>29.8</v>
      </c>
      <c r="F3849" t="n">
        <v>36001.512</v>
      </c>
      <c r="G3849" t="n">
        <v>4.382</v>
      </c>
      <c r="H3849" t="inlineStr">
        <is>
          <t>bb</t>
        </is>
      </c>
    </row>
    <row r="3850">
      <c r="A3850" t="n">
        <v>28</v>
      </c>
      <c r="B3850" t="inlineStr">
        <is>
          <t>MeOH</t>
        </is>
      </c>
      <c r="H3850" t="inlineStr">
        <is>
          <t>MM-</t>
        </is>
      </c>
    </row>
    <row r="3851">
      <c r="A3851" t="n">
        <v>29</v>
      </c>
      <c r="B3851" t="inlineStr">
        <is>
          <t>K3-6A</t>
        </is>
      </c>
      <c r="F3851" t="n">
        <v>33347.133</v>
      </c>
    </row>
    <row r="3852">
      <c r="A3852" t="n">
        <v>30</v>
      </c>
      <c r="B3852" t="inlineStr">
        <is>
          <t>K3-6B</t>
        </is>
      </c>
      <c r="F3852" t="n">
        <v>25828.426</v>
      </c>
    </row>
    <row r="3853">
      <c r="A3853" t="n">
        <v>31</v>
      </c>
      <c r="B3853" t="inlineStr">
        <is>
          <t>K3-6C</t>
        </is>
      </c>
      <c r="D3853" t="n">
        <v>14.99</v>
      </c>
      <c r="E3853" t="n">
        <v>0.331</v>
      </c>
      <c r="F3853" t="n">
        <v>22605.594</v>
      </c>
      <c r="G3853" t="n">
        <v>3</v>
      </c>
      <c r="H3853" t="inlineStr">
        <is>
          <t>bb</t>
        </is>
      </c>
    </row>
    <row r="3855">
      <c r="A3855" t="inlineStr">
        <is>
          <t>Compound 111:  N-EtFOSAA 2</t>
        </is>
      </c>
    </row>
    <row r="3857">
      <c r="B3857" t="inlineStr">
        <is>
          <t>Sample Text</t>
        </is>
      </c>
      <c r="C3857" t="inlineStr">
        <is>
          <t>Std. Conc</t>
        </is>
      </c>
      <c r="D3857" t="inlineStr">
        <is>
          <t>RT</t>
        </is>
      </c>
      <c r="E3857" t="inlineStr">
        <is>
          <t>Area</t>
        </is>
      </c>
      <c r="F3857" t="inlineStr">
        <is>
          <t>IS Area</t>
        </is>
      </c>
      <c r="G3857" t="inlineStr">
        <is>
          <t>S/N</t>
        </is>
      </c>
      <c r="H3857" t="inlineStr">
        <is>
          <t>Primary Flags</t>
        </is>
      </c>
      <c r="I3857" t="inlineStr">
        <is>
          <t>Response</t>
        </is>
      </c>
      <c r="J3857" t="inlineStr">
        <is>
          <t>Conc.</t>
        </is>
      </c>
    </row>
    <row r="3858">
      <c r="A3858" t="n">
        <v>1</v>
      </c>
      <c r="B3858" t="inlineStr">
        <is>
          <t>K4-1A</t>
        </is>
      </c>
      <c r="D3858" t="n">
        <v>14.93</v>
      </c>
      <c r="E3858" t="n">
        <v>9.914999999999999</v>
      </c>
      <c r="F3858" t="n">
        <v>7148.554</v>
      </c>
      <c r="G3858" t="n">
        <v>85</v>
      </c>
      <c r="H3858" t="inlineStr">
        <is>
          <t>bb</t>
        </is>
      </c>
    </row>
    <row r="3859">
      <c r="A3859" t="n">
        <v>2</v>
      </c>
      <c r="B3859" t="inlineStr">
        <is>
          <t>K4-1B</t>
        </is>
      </c>
      <c r="F3859" t="n">
        <v>7452.281</v>
      </c>
    </row>
    <row r="3860">
      <c r="A3860" t="n">
        <v>3</v>
      </c>
      <c r="B3860" t="inlineStr">
        <is>
          <t>K4-1C</t>
        </is>
      </c>
      <c r="F3860" t="n">
        <v>6708.048</v>
      </c>
    </row>
    <row r="3861">
      <c r="A3861" t="n">
        <v>4</v>
      </c>
      <c r="B3861" t="inlineStr">
        <is>
          <t>K4-2A</t>
        </is>
      </c>
      <c r="D3861" t="n">
        <v>15</v>
      </c>
      <c r="E3861" t="n">
        <v>5.761</v>
      </c>
      <c r="F3861" t="n">
        <v>6036.964</v>
      </c>
      <c r="G3861" t="n">
        <v>53</v>
      </c>
      <c r="H3861" t="inlineStr">
        <is>
          <t>bb</t>
        </is>
      </c>
    </row>
    <row r="3862">
      <c r="A3862" t="n">
        <v>5</v>
      </c>
      <c r="B3862" t="inlineStr">
        <is>
          <t>K4-2B</t>
        </is>
      </c>
      <c r="F3862" t="n">
        <v>6342.044</v>
      </c>
    </row>
    <row r="3863">
      <c r="A3863" t="n">
        <v>6</v>
      </c>
      <c r="B3863" t="inlineStr">
        <is>
          <t>K4-2C</t>
        </is>
      </c>
      <c r="F3863" t="n">
        <v>5670.457</v>
      </c>
    </row>
    <row r="3864">
      <c r="A3864" t="n">
        <v>7</v>
      </c>
      <c r="B3864" t="inlineStr">
        <is>
          <t>MeOH</t>
        </is>
      </c>
    </row>
    <row r="3865">
      <c r="A3865" t="n">
        <v>8</v>
      </c>
      <c r="B3865" t="inlineStr">
        <is>
          <t>K4-4A</t>
        </is>
      </c>
      <c r="F3865" t="n">
        <v>6833.038</v>
      </c>
    </row>
    <row r="3866">
      <c r="A3866" t="n">
        <v>9</v>
      </c>
      <c r="B3866" t="inlineStr">
        <is>
          <t>K4-4B</t>
        </is>
      </c>
      <c r="F3866" t="n">
        <v>6657.878</v>
      </c>
    </row>
    <row r="3867">
      <c r="A3867" t="n">
        <v>10</v>
      </c>
      <c r="B3867" t="inlineStr">
        <is>
          <t>K4-4C</t>
        </is>
      </c>
      <c r="D3867" t="n">
        <v>15.03</v>
      </c>
      <c r="E3867" t="n">
        <v>4.771</v>
      </c>
      <c r="F3867" t="n">
        <v>7088.609</v>
      </c>
      <c r="G3867" t="n">
        <v>45</v>
      </c>
      <c r="H3867" t="inlineStr">
        <is>
          <t>bb</t>
        </is>
      </c>
    </row>
    <row r="3868">
      <c r="A3868" t="n">
        <v>11</v>
      </c>
      <c r="B3868" t="inlineStr">
        <is>
          <t>K4-5A</t>
        </is>
      </c>
      <c r="F3868" t="n">
        <v>6144.051</v>
      </c>
    </row>
    <row r="3869">
      <c r="A3869" t="n">
        <v>12</v>
      </c>
      <c r="B3869" t="inlineStr">
        <is>
          <t>K4-5B</t>
        </is>
      </c>
      <c r="F3869" t="n">
        <v>7049.699</v>
      </c>
    </row>
    <row r="3870">
      <c r="A3870" t="n">
        <v>13</v>
      </c>
      <c r="B3870" t="inlineStr">
        <is>
          <t>K4-5C</t>
        </is>
      </c>
      <c r="F3870" t="n">
        <v>6959.661</v>
      </c>
    </row>
    <row r="3871">
      <c r="A3871" t="n">
        <v>14</v>
      </c>
      <c r="B3871" t="inlineStr">
        <is>
          <t>MeOH</t>
        </is>
      </c>
      <c r="H3871" t="inlineStr">
        <is>
          <t>MM-</t>
        </is>
      </c>
    </row>
    <row r="3872">
      <c r="A3872" t="n">
        <v>15</v>
      </c>
      <c r="B3872" t="inlineStr">
        <is>
          <t>K3-1A</t>
        </is>
      </c>
      <c r="F3872" t="n">
        <v>7924.886</v>
      </c>
    </row>
    <row r="3873">
      <c r="A3873" t="n">
        <v>16</v>
      </c>
      <c r="B3873" t="inlineStr">
        <is>
          <t>K3-1B</t>
        </is>
      </c>
      <c r="D3873" t="n">
        <v>14.97</v>
      </c>
      <c r="E3873" t="n">
        <v>5.564</v>
      </c>
      <c r="F3873" t="n">
        <v>7716.241</v>
      </c>
      <c r="G3873" t="n">
        <v>3.658</v>
      </c>
      <c r="H3873" t="inlineStr">
        <is>
          <t>bb</t>
        </is>
      </c>
    </row>
    <row r="3874">
      <c r="A3874" t="n">
        <v>17</v>
      </c>
      <c r="B3874" t="inlineStr">
        <is>
          <t>K3-1C</t>
        </is>
      </c>
      <c r="F3874" t="n">
        <v>9924.281999999999</v>
      </c>
    </row>
    <row r="3875">
      <c r="A3875" t="n">
        <v>18</v>
      </c>
      <c r="B3875" t="inlineStr">
        <is>
          <t>K3-2A</t>
        </is>
      </c>
      <c r="D3875" t="n">
        <v>15.46</v>
      </c>
      <c r="E3875" t="n">
        <v>0.342</v>
      </c>
      <c r="F3875" t="n">
        <v>8705.263000000001</v>
      </c>
      <c r="G3875" t="n">
        <v>3</v>
      </c>
      <c r="H3875" t="inlineStr">
        <is>
          <t>bb</t>
        </is>
      </c>
    </row>
    <row r="3876">
      <c r="A3876" t="n">
        <v>19</v>
      </c>
      <c r="B3876" t="inlineStr">
        <is>
          <t>K3-2B</t>
        </is>
      </c>
      <c r="D3876" t="n">
        <v>14.99</v>
      </c>
      <c r="E3876" t="n">
        <v>18.896</v>
      </c>
      <c r="F3876" t="n">
        <v>10272.708</v>
      </c>
      <c r="G3876" t="n">
        <v>6.341</v>
      </c>
      <c r="H3876" t="inlineStr">
        <is>
          <t>bb</t>
        </is>
      </c>
    </row>
    <row r="3877">
      <c r="A3877" t="n">
        <v>20</v>
      </c>
      <c r="B3877" t="inlineStr">
        <is>
          <t>K3-2C</t>
        </is>
      </c>
      <c r="F3877" t="n">
        <v>9101.67</v>
      </c>
    </row>
    <row r="3878">
      <c r="A3878" t="n">
        <v>21</v>
      </c>
      <c r="B3878" t="inlineStr">
        <is>
          <t>MeOH</t>
        </is>
      </c>
      <c r="H3878" t="inlineStr">
        <is>
          <t>MM-</t>
        </is>
      </c>
    </row>
    <row r="3879">
      <c r="A3879" t="n">
        <v>22</v>
      </c>
      <c r="B3879" t="inlineStr">
        <is>
          <t>K3-3A</t>
        </is>
      </c>
      <c r="F3879" t="n">
        <v>7404.087</v>
      </c>
    </row>
    <row r="3880">
      <c r="A3880" t="n">
        <v>23</v>
      </c>
      <c r="B3880" t="inlineStr">
        <is>
          <t>K3-3B</t>
        </is>
      </c>
      <c r="F3880" t="n">
        <v>9029.706</v>
      </c>
    </row>
    <row r="3881">
      <c r="A3881" t="n">
        <v>24</v>
      </c>
      <c r="B3881" t="inlineStr">
        <is>
          <t>K3-3C</t>
        </is>
      </c>
      <c r="F3881" t="n">
        <v>11306.016</v>
      </c>
    </row>
    <row r="3882">
      <c r="A3882" t="n">
        <v>25</v>
      </c>
      <c r="B3882" t="inlineStr">
        <is>
          <t>K3-4A</t>
        </is>
      </c>
      <c r="D3882" t="n">
        <v>15.01</v>
      </c>
      <c r="E3882" t="n">
        <v>31.88</v>
      </c>
      <c r="F3882" t="n">
        <v>11134.384</v>
      </c>
      <c r="G3882" t="n">
        <v>46.343</v>
      </c>
      <c r="H3882" t="inlineStr">
        <is>
          <t>bb</t>
        </is>
      </c>
    </row>
    <row r="3883">
      <c r="A3883" t="n">
        <v>26</v>
      </c>
      <c r="B3883" t="inlineStr">
        <is>
          <t>K3-4B</t>
        </is>
      </c>
      <c r="D3883" t="n">
        <v>14.42</v>
      </c>
      <c r="E3883" t="n">
        <v>8.632999999999999</v>
      </c>
      <c r="F3883" t="n">
        <v>10911.239</v>
      </c>
      <c r="G3883" t="n">
        <v>80</v>
      </c>
      <c r="H3883" t="inlineStr">
        <is>
          <t>bb</t>
        </is>
      </c>
    </row>
    <row r="3884">
      <c r="A3884" t="n">
        <v>27</v>
      </c>
      <c r="B3884" t="inlineStr">
        <is>
          <t>K3-4C</t>
        </is>
      </c>
      <c r="D3884" t="n">
        <v>15.16</v>
      </c>
      <c r="E3884" t="n">
        <v>24.231</v>
      </c>
      <c r="F3884" t="n">
        <v>11597.902</v>
      </c>
      <c r="G3884" t="n">
        <v>227</v>
      </c>
      <c r="H3884" t="inlineStr">
        <is>
          <t>bb</t>
        </is>
      </c>
    </row>
    <row r="3885">
      <c r="A3885" t="n">
        <v>28</v>
      </c>
      <c r="B3885" t="inlineStr">
        <is>
          <t>MeOH</t>
        </is>
      </c>
      <c r="D3885" t="n">
        <v>15.14</v>
      </c>
      <c r="E3885" t="n">
        <v>33.769</v>
      </c>
      <c r="G3885" t="n">
        <v>314</v>
      </c>
      <c r="H3885" t="inlineStr">
        <is>
          <t>bb</t>
        </is>
      </c>
    </row>
    <row r="3886">
      <c r="A3886" t="n">
        <v>29</v>
      </c>
      <c r="B3886" t="inlineStr">
        <is>
          <t>K3-6A</t>
        </is>
      </c>
      <c r="F3886" t="n">
        <v>10155.364</v>
      </c>
    </row>
    <row r="3887">
      <c r="A3887" t="n">
        <v>30</v>
      </c>
      <c r="B3887" t="inlineStr">
        <is>
          <t>K3-6B</t>
        </is>
      </c>
      <c r="F3887" t="n">
        <v>8694.888999999999</v>
      </c>
    </row>
    <row r="3888">
      <c r="A3888" t="n">
        <v>31</v>
      </c>
      <c r="B3888" t="inlineStr">
        <is>
          <t>K3-6C</t>
        </is>
      </c>
      <c r="D3888" t="n">
        <v>15.26</v>
      </c>
      <c r="E3888" t="n">
        <v>1.447</v>
      </c>
      <c r="F3888" t="n">
        <v>7357.528</v>
      </c>
      <c r="G3888" t="n">
        <v>12</v>
      </c>
      <c r="H3888" t="inlineStr">
        <is>
          <t>bb</t>
        </is>
      </c>
    </row>
    <row r="3890">
      <c r="A3890" t="inlineStr">
        <is>
          <t>Compound 112:  m5 N-EtFOSAA 1</t>
        </is>
      </c>
    </row>
    <row r="3892">
      <c r="B3892" t="inlineStr">
        <is>
          <t>Sample Text</t>
        </is>
      </c>
      <c r="C3892" t="inlineStr">
        <is>
          <t>Std. Conc</t>
        </is>
      </c>
      <c r="D3892" t="inlineStr">
        <is>
          <t>RT</t>
        </is>
      </c>
      <c r="E3892" t="inlineStr">
        <is>
          <t>Area</t>
        </is>
      </c>
      <c r="F3892" t="inlineStr">
        <is>
          <t>IS Area</t>
        </is>
      </c>
      <c r="G3892" t="inlineStr">
        <is>
          <t>S/N</t>
        </is>
      </c>
      <c r="H3892" t="inlineStr">
        <is>
          <t>Primary Flags</t>
        </is>
      </c>
      <c r="I3892" t="inlineStr">
        <is>
          <t>Response</t>
        </is>
      </c>
      <c r="J3892" t="inlineStr">
        <is>
          <t>Conc.</t>
        </is>
      </c>
    </row>
    <row r="3893">
      <c r="A3893" t="n">
        <v>1</v>
      </c>
      <c r="B3893" t="inlineStr">
        <is>
          <t>K4-1A</t>
        </is>
      </c>
      <c r="D3893" t="n">
        <v>14.97</v>
      </c>
      <c r="E3893" t="n">
        <v>23639.141</v>
      </c>
      <c r="G3893" t="n">
        <v>162.39</v>
      </c>
      <c r="H3893" t="inlineStr">
        <is>
          <t>bb</t>
        </is>
      </c>
      <c r="I3893" t="n">
        <v>23639.141</v>
      </c>
    </row>
    <row r="3894">
      <c r="A3894" t="n">
        <v>2</v>
      </c>
      <c r="B3894" t="inlineStr">
        <is>
          <t>K4-1B</t>
        </is>
      </c>
      <c r="D3894" t="n">
        <v>14.97</v>
      </c>
      <c r="E3894" t="n">
        <v>22105.367</v>
      </c>
      <c r="G3894" t="n">
        <v>386.974</v>
      </c>
      <c r="H3894" t="inlineStr">
        <is>
          <t>bb</t>
        </is>
      </c>
      <c r="I3894" t="n">
        <v>22105.367</v>
      </c>
    </row>
    <row r="3895">
      <c r="A3895" t="n">
        <v>3</v>
      </c>
      <c r="B3895" t="inlineStr">
        <is>
          <t>K4-1C</t>
        </is>
      </c>
      <c r="D3895" t="n">
        <v>14.99</v>
      </c>
      <c r="E3895" t="n">
        <v>21073.406</v>
      </c>
      <c r="G3895" t="n">
        <v>300.505</v>
      </c>
      <c r="H3895" t="inlineStr">
        <is>
          <t>bb</t>
        </is>
      </c>
      <c r="I3895" t="n">
        <v>21073.406</v>
      </c>
    </row>
    <row r="3896">
      <c r="A3896" t="n">
        <v>4</v>
      </c>
      <c r="B3896" t="inlineStr">
        <is>
          <t>K4-2A</t>
        </is>
      </c>
      <c r="D3896" t="n">
        <v>14.99</v>
      </c>
      <c r="E3896" t="n">
        <v>22198.574</v>
      </c>
      <c r="G3896" t="n">
        <v>644.921</v>
      </c>
      <c r="H3896" t="inlineStr">
        <is>
          <t>bb</t>
        </is>
      </c>
      <c r="I3896" t="n">
        <v>22198.574</v>
      </c>
    </row>
    <row r="3897">
      <c r="A3897" t="n">
        <v>5</v>
      </c>
      <c r="B3897" t="inlineStr">
        <is>
          <t>K4-2B</t>
        </is>
      </c>
      <c r="D3897" t="n">
        <v>14.99</v>
      </c>
      <c r="E3897" t="n">
        <v>19047.846</v>
      </c>
      <c r="G3897" t="n">
        <v>203.693</v>
      </c>
      <c r="H3897" t="inlineStr">
        <is>
          <t>bb</t>
        </is>
      </c>
      <c r="I3897" t="n">
        <v>19047.846</v>
      </c>
    </row>
    <row r="3898">
      <c r="A3898" t="n">
        <v>6</v>
      </c>
      <c r="B3898" t="inlineStr">
        <is>
          <t>K4-2C</t>
        </is>
      </c>
      <c r="D3898" t="n">
        <v>15.01</v>
      </c>
      <c r="E3898" t="n">
        <v>17391.42</v>
      </c>
      <c r="G3898" t="n">
        <v>104353</v>
      </c>
      <c r="H3898" t="inlineStr">
        <is>
          <t>bb</t>
        </is>
      </c>
      <c r="I3898" t="n">
        <v>17391.42</v>
      </c>
    </row>
    <row r="3899">
      <c r="A3899" t="n">
        <v>7</v>
      </c>
      <c r="B3899" t="inlineStr">
        <is>
          <t>MeOH</t>
        </is>
      </c>
      <c r="H3899" t="inlineStr">
        <is>
          <t>MM-</t>
        </is>
      </c>
    </row>
    <row r="3900">
      <c r="A3900" t="n">
        <v>8</v>
      </c>
      <c r="B3900" t="inlineStr">
        <is>
          <t>K4-4A</t>
        </is>
      </c>
      <c r="D3900" t="n">
        <v>15.02</v>
      </c>
      <c r="E3900" t="n">
        <v>23917.184</v>
      </c>
      <c r="G3900" t="n">
        <v>313.424</v>
      </c>
      <c r="H3900" t="inlineStr">
        <is>
          <t>bb</t>
        </is>
      </c>
      <c r="I3900" t="n">
        <v>23917.184</v>
      </c>
    </row>
    <row r="3901">
      <c r="A3901" t="n">
        <v>9</v>
      </c>
      <c r="B3901" t="inlineStr">
        <is>
          <t>K4-4B</t>
        </is>
      </c>
      <c r="D3901" t="n">
        <v>15.02</v>
      </c>
      <c r="E3901" t="n">
        <v>21871.559</v>
      </c>
      <c r="G3901" t="n">
        <v>222.776</v>
      </c>
      <c r="H3901" t="inlineStr">
        <is>
          <t>bb</t>
        </is>
      </c>
      <c r="I3901" t="n">
        <v>21871.559</v>
      </c>
    </row>
    <row r="3902">
      <c r="A3902" t="n">
        <v>10</v>
      </c>
      <c r="B3902" t="inlineStr">
        <is>
          <t>K4-4C</t>
        </is>
      </c>
      <c r="D3902" t="n">
        <v>15.02</v>
      </c>
      <c r="E3902" t="n">
        <v>25710.891</v>
      </c>
      <c r="G3902" t="n">
        <v>421.061</v>
      </c>
      <c r="H3902" t="inlineStr">
        <is>
          <t>bb</t>
        </is>
      </c>
      <c r="I3902" t="n">
        <v>25710.891</v>
      </c>
    </row>
    <row r="3903">
      <c r="A3903" t="n">
        <v>11</v>
      </c>
      <c r="B3903" t="inlineStr">
        <is>
          <t>K4-5A</t>
        </is>
      </c>
      <c r="D3903" t="n">
        <v>15.01</v>
      </c>
      <c r="E3903" t="n">
        <v>21448.361</v>
      </c>
      <c r="G3903" t="n">
        <v>373.878</v>
      </c>
      <c r="H3903" t="inlineStr">
        <is>
          <t>bb</t>
        </is>
      </c>
      <c r="I3903" t="n">
        <v>21448.361</v>
      </c>
    </row>
    <row r="3904">
      <c r="A3904" t="n">
        <v>12</v>
      </c>
      <c r="B3904" t="inlineStr">
        <is>
          <t>K4-5B</t>
        </is>
      </c>
      <c r="D3904" t="n">
        <v>14.99</v>
      </c>
      <c r="E3904" t="n">
        <v>22339.35</v>
      </c>
      <c r="G3904" t="n">
        <v>242.256</v>
      </c>
      <c r="H3904" t="inlineStr">
        <is>
          <t>bb</t>
        </is>
      </c>
      <c r="I3904" t="n">
        <v>22339.35</v>
      </c>
    </row>
    <row r="3905">
      <c r="A3905" t="n">
        <v>13</v>
      </c>
      <c r="B3905" t="inlineStr">
        <is>
          <t>K4-5C</t>
        </is>
      </c>
      <c r="D3905" t="n">
        <v>14.93</v>
      </c>
      <c r="E3905" t="n">
        <v>21963.625</v>
      </c>
      <c r="G3905" t="n">
        <v>410.357</v>
      </c>
      <c r="H3905" t="inlineStr">
        <is>
          <t>bb</t>
        </is>
      </c>
      <c r="I3905" t="n">
        <v>21963.625</v>
      </c>
    </row>
    <row r="3906">
      <c r="A3906" t="n">
        <v>14</v>
      </c>
      <c r="B3906" t="inlineStr">
        <is>
          <t>MeOH</t>
        </is>
      </c>
      <c r="D3906" t="n">
        <v>14.85</v>
      </c>
      <c r="E3906" t="n">
        <v>162.657</v>
      </c>
      <c r="G3906" t="n">
        <v>1317</v>
      </c>
      <c r="H3906" t="inlineStr">
        <is>
          <t>bb</t>
        </is>
      </c>
      <c r="I3906" t="n">
        <v>162.657</v>
      </c>
    </row>
    <row r="3907">
      <c r="A3907" t="n">
        <v>15</v>
      </c>
      <c r="B3907" t="inlineStr">
        <is>
          <t>K3-1A</t>
        </is>
      </c>
      <c r="D3907" t="n">
        <v>14.89</v>
      </c>
      <c r="E3907" t="n">
        <v>25588.145</v>
      </c>
      <c r="G3907" t="n">
        <v>449.293</v>
      </c>
      <c r="H3907" t="inlineStr">
        <is>
          <t>bb</t>
        </is>
      </c>
      <c r="I3907" t="n">
        <v>25588.145</v>
      </c>
    </row>
    <row r="3908">
      <c r="A3908" t="n">
        <v>16</v>
      </c>
      <c r="B3908" t="inlineStr">
        <is>
          <t>K3-1B</t>
        </is>
      </c>
      <c r="D3908" t="n">
        <v>14.91</v>
      </c>
      <c r="E3908" t="n">
        <v>23743.408</v>
      </c>
      <c r="G3908" t="n">
        <v>141673</v>
      </c>
      <c r="H3908" t="inlineStr">
        <is>
          <t>bb</t>
        </is>
      </c>
      <c r="I3908" t="n">
        <v>23743.408</v>
      </c>
    </row>
    <row r="3909">
      <c r="A3909" t="n">
        <v>17</v>
      </c>
      <c r="B3909" t="inlineStr">
        <is>
          <t>K3-1C</t>
        </is>
      </c>
      <c r="D3909" t="n">
        <v>14.94</v>
      </c>
      <c r="E3909" t="n">
        <v>31354.984</v>
      </c>
      <c r="G3909" t="n">
        <v>1364.928</v>
      </c>
      <c r="H3909" t="inlineStr">
        <is>
          <t>bb</t>
        </is>
      </c>
      <c r="I3909" t="n">
        <v>31354.984</v>
      </c>
    </row>
    <row r="3910">
      <c r="A3910" t="n">
        <v>18</v>
      </c>
      <c r="B3910" t="inlineStr">
        <is>
          <t>K3-2A</t>
        </is>
      </c>
      <c r="D3910" t="n">
        <v>14.96</v>
      </c>
      <c r="E3910" t="n">
        <v>28332.404</v>
      </c>
      <c r="G3910" t="n">
        <v>176014</v>
      </c>
      <c r="H3910" t="inlineStr">
        <is>
          <t>bb</t>
        </is>
      </c>
      <c r="I3910" t="n">
        <v>28332.404</v>
      </c>
    </row>
    <row r="3911">
      <c r="A3911" t="n">
        <v>19</v>
      </c>
      <c r="B3911" t="inlineStr">
        <is>
          <t>K3-2B</t>
        </is>
      </c>
      <c r="D3911" t="n">
        <v>14.96</v>
      </c>
      <c r="E3911" t="n">
        <v>33095.668</v>
      </c>
      <c r="G3911" t="n">
        <v>1405.118</v>
      </c>
      <c r="H3911" t="inlineStr">
        <is>
          <t>bb</t>
        </is>
      </c>
      <c r="I3911" t="n">
        <v>33095.668</v>
      </c>
    </row>
    <row r="3912">
      <c r="A3912" t="n">
        <v>20</v>
      </c>
      <c r="B3912" t="inlineStr">
        <is>
          <t>K3-2C</t>
        </is>
      </c>
      <c r="D3912" t="n">
        <v>14.96</v>
      </c>
      <c r="E3912" t="n">
        <v>28664.4</v>
      </c>
      <c r="G3912" t="n">
        <v>62.062</v>
      </c>
      <c r="H3912" t="inlineStr">
        <is>
          <t>bb</t>
        </is>
      </c>
      <c r="I3912" t="n">
        <v>28664.4</v>
      </c>
    </row>
    <row r="3913">
      <c r="A3913" t="n">
        <v>21</v>
      </c>
      <c r="B3913" t="inlineStr">
        <is>
          <t>MeOH</t>
        </is>
      </c>
      <c r="H3913" t="inlineStr">
        <is>
          <t>MM-</t>
        </is>
      </c>
    </row>
    <row r="3914">
      <c r="A3914" t="n">
        <v>22</v>
      </c>
      <c r="B3914" t="inlineStr">
        <is>
          <t>K3-3A</t>
        </is>
      </c>
      <c r="D3914" t="n">
        <v>14.97</v>
      </c>
      <c r="E3914" t="n">
        <v>23955.172</v>
      </c>
      <c r="G3914" t="n">
        <v>95.688</v>
      </c>
      <c r="H3914" t="inlineStr">
        <is>
          <t>bb</t>
        </is>
      </c>
      <c r="I3914" t="n">
        <v>23955.172</v>
      </c>
    </row>
    <row r="3915">
      <c r="A3915" t="n">
        <v>23</v>
      </c>
      <c r="B3915" t="inlineStr">
        <is>
          <t>K3-3B</t>
        </is>
      </c>
      <c r="D3915" t="n">
        <v>14.99</v>
      </c>
      <c r="E3915" t="n">
        <v>29001.438</v>
      </c>
      <c r="G3915" t="n">
        <v>933.573</v>
      </c>
      <c r="H3915" t="inlineStr">
        <is>
          <t>bb</t>
        </is>
      </c>
      <c r="I3915" t="n">
        <v>29001.438</v>
      </c>
    </row>
    <row r="3916">
      <c r="A3916" t="n">
        <v>24</v>
      </c>
      <c r="B3916" t="inlineStr">
        <is>
          <t>K3-3C</t>
        </is>
      </c>
      <c r="D3916" t="n">
        <v>14.99</v>
      </c>
      <c r="E3916" t="n">
        <v>32934.473</v>
      </c>
      <c r="G3916" t="n">
        <v>253.224</v>
      </c>
      <c r="H3916" t="inlineStr">
        <is>
          <t>bb</t>
        </is>
      </c>
      <c r="I3916" t="n">
        <v>32934.473</v>
      </c>
    </row>
    <row r="3917">
      <c r="A3917" t="n">
        <v>25</v>
      </c>
      <c r="B3917" t="inlineStr">
        <is>
          <t>K3-4A</t>
        </is>
      </c>
      <c r="D3917" t="n">
        <v>15.03</v>
      </c>
      <c r="E3917" t="n">
        <v>36892.102</v>
      </c>
      <c r="G3917" t="n">
        <v>2449.094</v>
      </c>
      <c r="H3917" t="inlineStr">
        <is>
          <t>bb</t>
        </is>
      </c>
      <c r="I3917" t="n">
        <v>36892.102</v>
      </c>
    </row>
    <row r="3918">
      <c r="A3918" t="n">
        <v>26</v>
      </c>
      <c r="B3918" t="inlineStr">
        <is>
          <t>K3-4B</t>
        </is>
      </c>
      <c r="D3918" t="n">
        <v>15.02</v>
      </c>
      <c r="E3918" t="n">
        <v>32473.859</v>
      </c>
      <c r="G3918" t="n">
        <v>1209.869</v>
      </c>
      <c r="H3918" t="inlineStr">
        <is>
          <t>bb</t>
        </is>
      </c>
      <c r="I3918" t="n">
        <v>32473.859</v>
      </c>
    </row>
    <row r="3919">
      <c r="A3919" t="n">
        <v>27</v>
      </c>
      <c r="B3919" t="inlineStr">
        <is>
          <t>K3-4C</t>
        </is>
      </c>
      <c r="D3919" t="n">
        <v>15.06</v>
      </c>
      <c r="E3919" t="n">
        <v>36001.512</v>
      </c>
      <c r="G3919" t="n">
        <v>2758.06</v>
      </c>
      <c r="H3919" t="inlineStr">
        <is>
          <t>bb</t>
        </is>
      </c>
      <c r="I3919" t="n">
        <v>36001.512</v>
      </c>
    </row>
    <row r="3920">
      <c r="A3920" t="n">
        <v>28</v>
      </c>
      <c r="B3920" t="inlineStr">
        <is>
          <t>MeOH</t>
        </is>
      </c>
      <c r="H3920" t="inlineStr">
        <is>
          <t>MM-</t>
        </is>
      </c>
    </row>
    <row r="3921">
      <c r="A3921" t="n">
        <v>29</v>
      </c>
      <c r="B3921" t="inlineStr">
        <is>
          <t>K3-6A</t>
        </is>
      </c>
      <c r="D3921" t="n">
        <v>15.06</v>
      </c>
      <c r="E3921" t="n">
        <v>33347.133</v>
      </c>
      <c r="G3921" t="n">
        <v>1079.285</v>
      </c>
      <c r="H3921" t="inlineStr">
        <is>
          <t>bb</t>
        </is>
      </c>
      <c r="I3921" t="n">
        <v>33347.133</v>
      </c>
    </row>
    <row r="3922">
      <c r="A3922" t="n">
        <v>30</v>
      </c>
      <c r="B3922" t="inlineStr">
        <is>
          <t>K3-6B</t>
        </is>
      </c>
      <c r="D3922" t="n">
        <v>15.05</v>
      </c>
      <c r="E3922" t="n">
        <v>25828.426</v>
      </c>
      <c r="G3922" t="n">
        <v>445.682</v>
      </c>
      <c r="H3922" t="inlineStr">
        <is>
          <t>bb</t>
        </is>
      </c>
      <c r="I3922" t="n">
        <v>25828.426</v>
      </c>
    </row>
    <row r="3923">
      <c r="A3923" t="n">
        <v>31</v>
      </c>
      <c r="B3923" t="inlineStr">
        <is>
          <t>K3-6C</t>
        </is>
      </c>
      <c r="D3923" t="n">
        <v>15.03</v>
      </c>
      <c r="E3923" t="n">
        <v>22605.594</v>
      </c>
      <c r="G3923" t="n">
        <v>1603.251</v>
      </c>
      <c r="H3923" t="inlineStr">
        <is>
          <t>bb</t>
        </is>
      </c>
      <c r="I3923" t="n">
        <v>22605.594</v>
      </c>
    </row>
    <row r="3925">
      <c r="A3925" t="inlineStr">
        <is>
          <t>Compound 113:  m5 N-EtFOSAA 2</t>
        </is>
      </c>
    </row>
    <row r="3927">
      <c r="B3927" t="inlineStr">
        <is>
          <t>Sample Text</t>
        </is>
      </c>
      <c r="C3927" t="inlineStr">
        <is>
          <t>Std. Conc</t>
        </is>
      </c>
      <c r="D3927" t="inlineStr">
        <is>
          <t>RT</t>
        </is>
      </c>
      <c r="E3927" t="inlineStr">
        <is>
          <t>Area</t>
        </is>
      </c>
      <c r="F3927" t="inlineStr">
        <is>
          <t>IS Area</t>
        </is>
      </c>
      <c r="G3927" t="inlineStr">
        <is>
          <t>S/N</t>
        </is>
      </c>
      <c r="H3927" t="inlineStr">
        <is>
          <t>Primary Flags</t>
        </is>
      </c>
      <c r="I3927" t="inlineStr">
        <is>
          <t>Response</t>
        </is>
      </c>
      <c r="J3927" t="inlineStr">
        <is>
          <t>Conc.</t>
        </is>
      </c>
    </row>
    <row r="3928">
      <c r="A3928" t="n">
        <v>1</v>
      </c>
      <c r="B3928" t="inlineStr">
        <is>
          <t>K4-1A</t>
        </is>
      </c>
      <c r="D3928" t="n">
        <v>14.97</v>
      </c>
      <c r="E3928" t="n">
        <v>7148.554</v>
      </c>
      <c r="G3928" t="n">
        <v>73.157</v>
      </c>
      <c r="H3928" t="inlineStr">
        <is>
          <t>bb</t>
        </is>
      </c>
      <c r="I3928" t="n">
        <v>7148.554</v>
      </c>
    </row>
    <row r="3929">
      <c r="A3929" t="n">
        <v>2</v>
      </c>
      <c r="B3929" t="inlineStr">
        <is>
          <t>K4-1B</t>
        </is>
      </c>
      <c r="D3929" t="n">
        <v>14.97</v>
      </c>
      <c r="E3929" t="n">
        <v>7452.281</v>
      </c>
      <c r="G3929" t="n">
        <v>42.774</v>
      </c>
      <c r="H3929" t="inlineStr">
        <is>
          <t>bb</t>
        </is>
      </c>
      <c r="I3929" t="n">
        <v>7452.281</v>
      </c>
    </row>
    <row r="3930">
      <c r="A3930" t="n">
        <v>3</v>
      </c>
      <c r="B3930" t="inlineStr">
        <is>
          <t>K4-1C</t>
        </is>
      </c>
      <c r="D3930" t="n">
        <v>14.99</v>
      </c>
      <c r="E3930" t="n">
        <v>6708.048</v>
      </c>
      <c r="G3930" t="n">
        <v>518.73</v>
      </c>
      <c r="H3930" t="inlineStr">
        <is>
          <t>bb</t>
        </is>
      </c>
      <c r="I3930" t="n">
        <v>6708.048</v>
      </c>
    </row>
    <row r="3931">
      <c r="A3931" t="n">
        <v>4</v>
      </c>
      <c r="B3931" t="inlineStr">
        <is>
          <t>K4-2A</t>
        </is>
      </c>
      <c r="D3931" t="n">
        <v>14.99</v>
      </c>
      <c r="E3931" t="n">
        <v>6036.964</v>
      </c>
      <c r="G3931" t="n">
        <v>86.011</v>
      </c>
      <c r="H3931" t="inlineStr">
        <is>
          <t>bb</t>
        </is>
      </c>
      <c r="I3931" t="n">
        <v>6036.964</v>
      </c>
    </row>
    <row r="3932">
      <c r="A3932" t="n">
        <v>5</v>
      </c>
      <c r="B3932" t="inlineStr">
        <is>
          <t>K4-2B</t>
        </is>
      </c>
      <c r="D3932" t="n">
        <v>14.99</v>
      </c>
      <c r="E3932" t="n">
        <v>6342.044</v>
      </c>
      <c r="G3932" t="n">
        <v>336.054</v>
      </c>
      <c r="H3932" t="inlineStr">
        <is>
          <t>bb</t>
        </is>
      </c>
      <c r="I3932" t="n">
        <v>6342.044</v>
      </c>
    </row>
    <row r="3933">
      <c r="A3933" t="n">
        <v>6</v>
      </c>
      <c r="B3933" t="inlineStr">
        <is>
          <t>K4-2C</t>
        </is>
      </c>
      <c r="D3933" t="n">
        <v>15.01</v>
      </c>
      <c r="E3933" t="n">
        <v>5670.457</v>
      </c>
      <c r="G3933" t="n">
        <v>164.863</v>
      </c>
      <c r="H3933" t="inlineStr">
        <is>
          <t>bb</t>
        </is>
      </c>
      <c r="I3933" t="n">
        <v>5670.457</v>
      </c>
    </row>
    <row r="3934">
      <c r="A3934" t="n">
        <v>7</v>
      </c>
      <c r="B3934" t="inlineStr">
        <is>
          <t>MeOH</t>
        </is>
      </c>
      <c r="H3934" t="inlineStr">
        <is>
          <t>MM-</t>
        </is>
      </c>
    </row>
    <row r="3935">
      <c r="A3935" t="n">
        <v>8</v>
      </c>
      <c r="B3935" t="inlineStr">
        <is>
          <t>K4-4A</t>
        </is>
      </c>
      <c r="D3935" t="n">
        <v>15.02</v>
      </c>
      <c r="E3935" t="n">
        <v>6833.038</v>
      </c>
      <c r="G3935" t="n">
        <v>18.454</v>
      </c>
      <c r="H3935" t="inlineStr">
        <is>
          <t>bb</t>
        </is>
      </c>
      <c r="I3935" t="n">
        <v>6833.038</v>
      </c>
    </row>
    <row r="3936">
      <c r="A3936" t="n">
        <v>9</v>
      </c>
      <c r="B3936" t="inlineStr">
        <is>
          <t>K4-4B</t>
        </is>
      </c>
      <c r="D3936" t="n">
        <v>15.02</v>
      </c>
      <c r="E3936" t="n">
        <v>6657.878</v>
      </c>
      <c r="G3936" t="n">
        <v>27.849</v>
      </c>
      <c r="H3936" t="inlineStr">
        <is>
          <t>bb</t>
        </is>
      </c>
      <c r="I3936" t="n">
        <v>6657.878</v>
      </c>
    </row>
    <row r="3937">
      <c r="A3937" t="n">
        <v>10</v>
      </c>
      <c r="B3937" t="inlineStr">
        <is>
          <t>K4-4C</t>
        </is>
      </c>
      <c r="D3937" t="n">
        <v>15.02</v>
      </c>
      <c r="E3937" t="n">
        <v>7088.609</v>
      </c>
      <c r="G3937" t="n">
        <v>248.501</v>
      </c>
      <c r="H3937" t="inlineStr">
        <is>
          <t>bb</t>
        </is>
      </c>
      <c r="I3937" t="n">
        <v>7088.609</v>
      </c>
    </row>
    <row r="3938">
      <c r="A3938" t="n">
        <v>11</v>
      </c>
      <c r="B3938" t="inlineStr">
        <is>
          <t>K4-5A</t>
        </is>
      </c>
      <c r="D3938" t="n">
        <v>15.01</v>
      </c>
      <c r="E3938" t="n">
        <v>6144.051</v>
      </c>
      <c r="G3938" t="n">
        <v>23.828</v>
      </c>
      <c r="H3938" t="inlineStr">
        <is>
          <t>bb</t>
        </is>
      </c>
      <c r="I3938" t="n">
        <v>6144.051</v>
      </c>
    </row>
    <row r="3939">
      <c r="A3939" t="n">
        <v>12</v>
      </c>
      <c r="B3939" t="inlineStr">
        <is>
          <t>K4-5B</t>
        </is>
      </c>
      <c r="D3939" t="n">
        <v>14.99</v>
      </c>
      <c r="E3939" t="n">
        <v>7049.699</v>
      </c>
      <c r="G3939" t="n">
        <v>192.847</v>
      </c>
      <c r="H3939" t="inlineStr">
        <is>
          <t>bb</t>
        </is>
      </c>
      <c r="I3939" t="n">
        <v>7049.699</v>
      </c>
    </row>
    <row r="3940">
      <c r="A3940" t="n">
        <v>13</v>
      </c>
      <c r="B3940" t="inlineStr">
        <is>
          <t>K4-5C</t>
        </is>
      </c>
      <c r="D3940" t="n">
        <v>14.93</v>
      </c>
      <c r="E3940" t="n">
        <v>6959.661</v>
      </c>
      <c r="G3940" t="n">
        <v>265.738</v>
      </c>
      <c r="H3940" t="inlineStr">
        <is>
          <t>bb</t>
        </is>
      </c>
      <c r="I3940" t="n">
        <v>6959.661</v>
      </c>
    </row>
    <row r="3941">
      <c r="A3941" t="n">
        <v>14</v>
      </c>
      <c r="B3941" t="inlineStr">
        <is>
          <t>MeOH</t>
        </is>
      </c>
      <c r="H3941" t="inlineStr">
        <is>
          <t>MM-</t>
        </is>
      </c>
    </row>
    <row r="3942">
      <c r="A3942" t="n">
        <v>15</v>
      </c>
      <c r="B3942" t="inlineStr">
        <is>
          <t>K3-1A</t>
        </is>
      </c>
      <c r="D3942" t="n">
        <v>14.89</v>
      </c>
      <c r="E3942" t="n">
        <v>7924.886</v>
      </c>
      <c r="G3942" t="n">
        <v>312.116</v>
      </c>
      <c r="H3942" t="inlineStr">
        <is>
          <t>bb</t>
        </is>
      </c>
      <c r="I3942" t="n">
        <v>7924.886</v>
      </c>
    </row>
    <row r="3943">
      <c r="A3943" t="n">
        <v>16</v>
      </c>
      <c r="B3943" t="inlineStr">
        <is>
          <t>K3-1B</t>
        </is>
      </c>
      <c r="D3943" t="n">
        <v>14.91</v>
      </c>
      <c r="E3943" t="n">
        <v>7716.241</v>
      </c>
      <c r="G3943" t="n">
        <v>343.014</v>
      </c>
      <c r="H3943" t="inlineStr">
        <is>
          <t>bb</t>
        </is>
      </c>
      <c r="I3943" t="n">
        <v>7716.241</v>
      </c>
    </row>
    <row r="3944">
      <c r="A3944" t="n">
        <v>17</v>
      </c>
      <c r="B3944" t="inlineStr">
        <is>
          <t>K3-1C</t>
        </is>
      </c>
      <c r="D3944" t="n">
        <v>14.94</v>
      </c>
      <c r="E3944" t="n">
        <v>9924.281999999999</v>
      </c>
      <c r="G3944" t="n">
        <v>824.201</v>
      </c>
      <c r="H3944" t="inlineStr">
        <is>
          <t>bb</t>
        </is>
      </c>
      <c r="I3944" t="n">
        <v>9924.281999999999</v>
      </c>
    </row>
    <row r="3945">
      <c r="A3945" t="n">
        <v>18</v>
      </c>
      <c r="B3945" t="inlineStr">
        <is>
          <t>K3-2A</t>
        </is>
      </c>
      <c r="D3945" t="n">
        <v>14.96</v>
      </c>
      <c r="E3945" t="n">
        <v>8705.263000000001</v>
      </c>
      <c r="G3945" t="n">
        <v>836.2380000000001</v>
      </c>
      <c r="H3945" t="inlineStr">
        <is>
          <t>bb</t>
        </is>
      </c>
      <c r="I3945" t="n">
        <v>8705.263000000001</v>
      </c>
    </row>
    <row r="3946">
      <c r="A3946" t="n">
        <v>19</v>
      </c>
      <c r="B3946" t="inlineStr">
        <is>
          <t>K3-2B</t>
        </is>
      </c>
      <c r="D3946" t="n">
        <v>14.96</v>
      </c>
      <c r="E3946" t="n">
        <v>10272.708</v>
      </c>
      <c r="G3946" t="n">
        <v>63833</v>
      </c>
      <c r="H3946" t="inlineStr">
        <is>
          <t>bb</t>
        </is>
      </c>
      <c r="I3946" t="n">
        <v>10272.708</v>
      </c>
    </row>
    <row r="3947">
      <c r="A3947" t="n">
        <v>20</v>
      </c>
      <c r="B3947" t="inlineStr">
        <is>
          <t>K3-2C</t>
        </is>
      </c>
      <c r="D3947" t="n">
        <v>14.96</v>
      </c>
      <c r="E3947" t="n">
        <v>9101.67</v>
      </c>
      <c r="G3947" t="n">
        <v>54037</v>
      </c>
      <c r="H3947" t="inlineStr">
        <is>
          <t>bb</t>
        </is>
      </c>
      <c r="I3947" t="n">
        <v>9101.67</v>
      </c>
    </row>
    <row r="3948">
      <c r="A3948" t="n">
        <v>21</v>
      </c>
      <c r="B3948" t="inlineStr">
        <is>
          <t>MeOH</t>
        </is>
      </c>
      <c r="H3948" t="inlineStr">
        <is>
          <t>MM-</t>
        </is>
      </c>
    </row>
    <row r="3949">
      <c r="A3949" t="n">
        <v>22</v>
      </c>
      <c r="B3949" t="inlineStr">
        <is>
          <t>K3-3A</t>
        </is>
      </c>
      <c r="D3949" t="n">
        <v>14.99</v>
      </c>
      <c r="E3949" t="n">
        <v>7404.087</v>
      </c>
      <c r="G3949" t="n">
        <v>42.497</v>
      </c>
      <c r="H3949" t="inlineStr">
        <is>
          <t>bb</t>
        </is>
      </c>
      <c r="I3949" t="n">
        <v>7404.087</v>
      </c>
    </row>
    <row r="3950">
      <c r="A3950" t="n">
        <v>23</v>
      </c>
      <c r="B3950" t="inlineStr">
        <is>
          <t>K3-3B</t>
        </is>
      </c>
      <c r="D3950" t="n">
        <v>14.99</v>
      </c>
      <c r="E3950" t="n">
        <v>9029.706</v>
      </c>
      <c r="G3950" t="n">
        <v>364.138</v>
      </c>
      <c r="H3950" t="inlineStr">
        <is>
          <t>bb</t>
        </is>
      </c>
      <c r="I3950" t="n">
        <v>9029.706</v>
      </c>
    </row>
    <row r="3951">
      <c r="A3951" t="n">
        <v>24</v>
      </c>
      <c r="B3951" t="inlineStr">
        <is>
          <t>K3-3C</t>
        </is>
      </c>
      <c r="D3951" t="n">
        <v>14.99</v>
      </c>
      <c r="E3951" t="n">
        <v>11306.016</v>
      </c>
      <c r="G3951" t="n">
        <v>113.992</v>
      </c>
      <c r="H3951" t="inlineStr">
        <is>
          <t>bb</t>
        </is>
      </c>
      <c r="I3951" t="n">
        <v>11306.016</v>
      </c>
    </row>
    <row r="3952">
      <c r="A3952" t="n">
        <v>25</v>
      </c>
      <c r="B3952" t="inlineStr">
        <is>
          <t>K3-4A</t>
        </is>
      </c>
      <c r="D3952" t="n">
        <v>15.03</v>
      </c>
      <c r="E3952" t="n">
        <v>11134.384</v>
      </c>
      <c r="G3952" t="n">
        <v>70134</v>
      </c>
      <c r="H3952" t="inlineStr">
        <is>
          <t>bb</t>
        </is>
      </c>
      <c r="I3952" t="n">
        <v>11134.384</v>
      </c>
    </row>
    <row r="3953">
      <c r="A3953" t="n">
        <v>26</v>
      </c>
      <c r="B3953" t="inlineStr">
        <is>
          <t>K3-4B</t>
        </is>
      </c>
      <c r="D3953" t="n">
        <v>15.02</v>
      </c>
      <c r="E3953" t="n">
        <v>10911.239</v>
      </c>
      <c r="G3953" t="n">
        <v>65.545</v>
      </c>
      <c r="H3953" t="inlineStr">
        <is>
          <t>bb</t>
        </is>
      </c>
      <c r="I3953" t="n">
        <v>10911.239</v>
      </c>
    </row>
    <row r="3954">
      <c r="A3954" t="n">
        <v>27</v>
      </c>
      <c r="B3954" t="inlineStr">
        <is>
          <t>K3-4C</t>
        </is>
      </c>
      <c r="D3954" t="n">
        <v>15.06</v>
      </c>
      <c r="E3954" t="n">
        <v>11597.902</v>
      </c>
      <c r="G3954" t="n">
        <v>71.096</v>
      </c>
      <c r="H3954" t="inlineStr">
        <is>
          <t>bb</t>
        </is>
      </c>
      <c r="I3954" t="n">
        <v>11597.902</v>
      </c>
    </row>
    <row r="3955">
      <c r="A3955" t="n">
        <v>28</v>
      </c>
      <c r="B3955" t="inlineStr">
        <is>
          <t>MeOH</t>
        </is>
      </c>
      <c r="H3955" t="inlineStr">
        <is>
          <t>MM-</t>
        </is>
      </c>
    </row>
    <row r="3956">
      <c r="A3956" t="n">
        <v>29</v>
      </c>
      <c r="B3956" t="inlineStr">
        <is>
          <t>K3-6A</t>
        </is>
      </c>
      <c r="D3956" t="n">
        <v>15.06</v>
      </c>
      <c r="E3956" t="n">
        <v>10155.364</v>
      </c>
      <c r="G3956" t="n">
        <v>167.304</v>
      </c>
      <c r="H3956" t="inlineStr">
        <is>
          <t>bb</t>
        </is>
      </c>
      <c r="I3956" t="n">
        <v>10155.364</v>
      </c>
    </row>
    <row r="3957">
      <c r="A3957" t="n">
        <v>30</v>
      </c>
      <c r="B3957" t="inlineStr">
        <is>
          <t>K3-6B</t>
        </is>
      </c>
      <c r="D3957" t="n">
        <v>15.05</v>
      </c>
      <c r="E3957" t="n">
        <v>8694.888999999999</v>
      </c>
      <c r="G3957" t="n">
        <v>10.754</v>
      </c>
      <c r="H3957" t="inlineStr">
        <is>
          <t>bb</t>
        </is>
      </c>
      <c r="I3957" t="n">
        <v>8694.888999999999</v>
      </c>
    </row>
    <row r="3958">
      <c r="A3958" t="n">
        <v>31</v>
      </c>
      <c r="B3958" t="inlineStr">
        <is>
          <t>K3-6C</t>
        </is>
      </c>
      <c r="D3958" t="n">
        <v>15.03</v>
      </c>
      <c r="E3958" t="n">
        <v>7357.528</v>
      </c>
      <c r="G3958" t="n">
        <v>57.877</v>
      </c>
      <c r="H3958" t="inlineStr">
        <is>
          <t>bb</t>
        </is>
      </c>
      <c r="I3958" t="n">
        <v>7357.528</v>
      </c>
    </row>
    <row r="3960">
      <c r="A3960" t="inlineStr">
        <is>
          <t>Compound 114:  PFDoDA 1</t>
        </is>
      </c>
    </row>
    <row r="3962">
      <c r="B3962" t="inlineStr">
        <is>
          <t>Sample Text</t>
        </is>
      </c>
      <c r="C3962" t="inlineStr">
        <is>
          <t>Std. Conc</t>
        </is>
      </c>
      <c r="D3962" t="inlineStr">
        <is>
          <t>RT</t>
        </is>
      </c>
      <c r="E3962" t="inlineStr">
        <is>
          <t>Area</t>
        </is>
      </c>
      <c r="F3962" t="inlineStr">
        <is>
          <t>IS Area</t>
        </is>
      </c>
      <c r="G3962" t="inlineStr">
        <is>
          <t>S/N</t>
        </is>
      </c>
      <c r="H3962" t="inlineStr">
        <is>
          <t>Primary Flags</t>
        </is>
      </c>
      <c r="I3962" t="inlineStr">
        <is>
          <t>Response</t>
        </is>
      </c>
      <c r="J3962" t="inlineStr">
        <is>
          <t>Conc.</t>
        </is>
      </c>
    </row>
    <row r="3963">
      <c r="A3963" t="n">
        <v>1</v>
      </c>
      <c r="B3963" t="inlineStr">
        <is>
          <t>K4-1A</t>
        </is>
      </c>
      <c r="D3963" t="n">
        <v>15.62</v>
      </c>
      <c r="E3963" t="n">
        <v>25.231</v>
      </c>
      <c r="F3963" t="n">
        <v>475.929</v>
      </c>
      <c r="G3963" t="n">
        <v>2.461</v>
      </c>
      <c r="H3963" t="inlineStr">
        <is>
          <t>bb</t>
        </is>
      </c>
    </row>
    <row r="3964">
      <c r="A3964" t="n">
        <v>2</v>
      </c>
      <c r="B3964" t="inlineStr">
        <is>
          <t>K4-1B</t>
        </is>
      </c>
      <c r="F3964" t="n">
        <v>630.044</v>
      </c>
    </row>
    <row r="3965">
      <c r="A3965" t="n">
        <v>3</v>
      </c>
      <c r="B3965" t="inlineStr">
        <is>
          <t>K4-1C</t>
        </is>
      </c>
      <c r="F3965" t="n">
        <v>602.215</v>
      </c>
    </row>
    <row r="3966">
      <c r="A3966" t="n">
        <v>4</v>
      </c>
      <c r="B3966" t="inlineStr">
        <is>
          <t>K4-2A</t>
        </is>
      </c>
      <c r="D3966" t="n">
        <v>15.63</v>
      </c>
      <c r="E3966" t="n">
        <v>71.83199999999999</v>
      </c>
      <c r="F3966" t="n">
        <v>216.774</v>
      </c>
      <c r="G3966" t="n">
        <v>4.326</v>
      </c>
      <c r="H3966" t="inlineStr">
        <is>
          <t>bb</t>
        </is>
      </c>
    </row>
    <row r="3967">
      <c r="A3967" t="n">
        <v>5</v>
      </c>
      <c r="B3967" t="inlineStr">
        <is>
          <t>K4-2B</t>
        </is>
      </c>
      <c r="D3967" t="n">
        <v>15.67</v>
      </c>
      <c r="E3967" t="n">
        <v>23.692</v>
      </c>
      <c r="F3967" t="n">
        <v>492.326</v>
      </c>
      <c r="G3967" t="n">
        <v>155</v>
      </c>
      <c r="H3967" t="inlineStr">
        <is>
          <t>bb</t>
        </is>
      </c>
    </row>
    <row r="3968">
      <c r="A3968" t="n">
        <v>6</v>
      </c>
      <c r="B3968" t="inlineStr">
        <is>
          <t>K4-2C</t>
        </is>
      </c>
      <c r="D3968" t="n">
        <v>15.64</v>
      </c>
      <c r="E3968" t="n">
        <v>115.103</v>
      </c>
      <c r="F3968" t="n">
        <v>145.292</v>
      </c>
      <c r="G3968" t="n">
        <v>972</v>
      </c>
      <c r="H3968" t="inlineStr">
        <is>
          <t>bb</t>
        </is>
      </c>
    </row>
    <row r="3969">
      <c r="A3969" t="n">
        <v>7</v>
      </c>
      <c r="B3969" t="inlineStr">
        <is>
          <t>MeOH</t>
        </is>
      </c>
      <c r="H3969" t="inlineStr">
        <is>
          <t>MM-</t>
        </is>
      </c>
    </row>
    <row r="3970">
      <c r="A3970" t="n">
        <v>8</v>
      </c>
      <c r="B3970" t="inlineStr">
        <is>
          <t>K4-4A</t>
        </is>
      </c>
      <c r="D3970" t="n">
        <v>15.27</v>
      </c>
      <c r="E3970" t="n">
        <v>3.534</v>
      </c>
      <c r="F3970" t="n">
        <v>255.18</v>
      </c>
      <c r="G3970" t="n">
        <v>29</v>
      </c>
      <c r="H3970" t="inlineStr">
        <is>
          <t>bb</t>
        </is>
      </c>
    </row>
    <row r="3971">
      <c r="A3971" t="n">
        <v>9</v>
      </c>
      <c r="B3971" t="inlineStr">
        <is>
          <t>K4-4B</t>
        </is>
      </c>
      <c r="D3971" t="n">
        <v>15.65</v>
      </c>
      <c r="E3971" t="n">
        <v>26.854</v>
      </c>
      <c r="F3971" t="n">
        <v>423.729</v>
      </c>
      <c r="G3971" t="n">
        <v>234</v>
      </c>
      <c r="H3971" t="inlineStr">
        <is>
          <t>bb</t>
        </is>
      </c>
    </row>
    <row r="3972">
      <c r="A3972" t="n">
        <v>10</v>
      </c>
      <c r="B3972" t="inlineStr">
        <is>
          <t>K4-4C</t>
        </is>
      </c>
      <c r="D3972" t="n">
        <v>16.03</v>
      </c>
      <c r="E3972" t="n">
        <v>16.43</v>
      </c>
      <c r="F3972" t="n">
        <v>428.353</v>
      </c>
      <c r="G3972" t="n">
        <v>158</v>
      </c>
      <c r="H3972" t="inlineStr">
        <is>
          <t>MM</t>
        </is>
      </c>
    </row>
    <row r="3973">
      <c r="A3973" t="n">
        <v>11</v>
      </c>
      <c r="B3973" t="inlineStr">
        <is>
          <t>K4-5A</t>
        </is>
      </c>
      <c r="D3973" t="n">
        <v>15.64</v>
      </c>
      <c r="E3973" t="n">
        <v>6.277</v>
      </c>
      <c r="F3973" t="n">
        <v>314.929</v>
      </c>
      <c r="G3973" t="n">
        <v>52</v>
      </c>
      <c r="H3973" t="inlineStr">
        <is>
          <t>bb</t>
        </is>
      </c>
    </row>
    <row r="3974">
      <c r="A3974" t="n">
        <v>12</v>
      </c>
      <c r="B3974" t="inlineStr">
        <is>
          <t>K4-5B</t>
        </is>
      </c>
      <c r="F3974" t="n">
        <v>115.724</v>
      </c>
    </row>
    <row r="3975">
      <c r="A3975" t="n">
        <v>13</v>
      </c>
      <c r="B3975" t="inlineStr">
        <is>
          <t>K4-5C</t>
        </is>
      </c>
      <c r="D3975" t="n">
        <v>15.61</v>
      </c>
      <c r="E3975" t="n">
        <v>10.095</v>
      </c>
      <c r="F3975" t="n">
        <v>225.611</v>
      </c>
      <c r="G3975" t="n">
        <v>80</v>
      </c>
      <c r="H3975" t="inlineStr">
        <is>
          <t>bb</t>
        </is>
      </c>
    </row>
    <row r="3976">
      <c r="A3976" t="n">
        <v>14</v>
      </c>
      <c r="B3976" t="inlineStr">
        <is>
          <t>MeOH</t>
        </is>
      </c>
      <c r="H3976" t="inlineStr">
        <is>
          <t>MM-</t>
        </is>
      </c>
    </row>
    <row r="3977">
      <c r="A3977" t="n">
        <v>15</v>
      </c>
      <c r="B3977" t="inlineStr">
        <is>
          <t>K3-1A</t>
        </is>
      </c>
      <c r="D3977" t="n">
        <v>15.58</v>
      </c>
      <c r="E3977" t="n">
        <v>24.936</v>
      </c>
      <c r="F3977" t="n">
        <v>432.168</v>
      </c>
      <c r="G3977" t="n">
        <v>17.647</v>
      </c>
      <c r="H3977" t="inlineStr">
        <is>
          <t>bb</t>
        </is>
      </c>
    </row>
    <row r="3978">
      <c r="A3978" t="n">
        <v>16</v>
      </c>
      <c r="B3978" t="inlineStr">
        <is>
          <t>K3-1B</t>
        </is>
      </c>
      <c r="D3978" t="n">
        <v>15.59</v>
      </c>
      <c r="E3978" t="n">
        <v>59.812</v>
      </c>
      <c r="F3978" t="n">
        <v>439.829</v>
      </c>
      <c r="G3978" t="n">
        <v>451</v>
      </c>
      <c r="H3978" t="inlineStr">
        <is>
          <t>bb</t>
        </is>
      </c>
    </row>
    <row r="3979">
      <c r="A3979" t="n">
        <v>17</v>
      </c>
      <c r="B3979" t="inlineStr">
        <is>
          <t>K3-1C</t>
        </is>
      </c>
      <c r="D3979" t="n">
        <v>15.61</v>
      </c>
      <c r="E3979" t="n">
        <v>111.836</v>
      </c>
      <c r="F3979" t="n">
        <v>313.795</v>
      </c>
      <c r="G3979" t="n">
        <v>3.236</v>
      </c>
      <c r="H3979" t="inlineStr">
        <is>
          <t>MM</t>
        </is>
      </c>
    </row>
    <row r="3980">
      <c r="A3980" t="n">
        <v>18</v>
      </c>
      <c r="B3980" t="inlineStr">
        <is>
          <t>K3-2A</t>
        </is>
      </c>
      <c r="D3980" t="n">
        <v>15.65</v>
      </c>
      <c r="E3980" t="n">
        <v>50.931</v>
      </c>
      <c r="F3980" t="n">
        <v>420.878</v>
      </c>
      <c r="G3980" t="n">
        <v>2.033</v>
      </c>
      <c r="H3980" t="inlineStr">
        <is>
          <t>bb</t>
        </is>
      </c>
    </row>
    <row r="3981">
      <c r="A3981" t="n">
        <v>19</v>
      </c>
      <c r="B3981" t="inlineStr">
        <is>
          <t>K3-2B</t>
        </is>
      </c>
      <c r="D3981" t="n">
        <v>15.56</v>
      </c>
      <c r="E3981" t="n">
        <v>17.257</v>
      </c>
      <c r="F3981" t="n">
        <v>830.495</v>
      </c>
      <c r="G3981" t="n">
        <v>127</v>
      </c>
      <c r="H3981" t="inlineStr">
        <is>
          <t>bb</t>
        </is>
      </c>
    </row>
    <row r="3982">
      <c r="A3982" t="n">
        <v>20</v>
      </c>
      <c r="B3982" t="inlineStr">
        <is>
          <t>K3-2C</t>
        </is>
      </c>
      <c r="D3982" t="n">
        <v>15.65</v>
      </c>
      <c r="E3982" t="n">
        <v>0.323</v>
      </c>
      <c r="F3982" t="n">
        <v>343.52</v>
      </c>
      <c r="G3982" t="n">
        <v>3</v>
      </c>
      <c r="H3982" t="inlineStr">
        <is>
          <t>bb</t>
        </is>
      </c>
    </row>
    <row r="3983">
      <c r="A3983" t="n">
        <v>21</v>
      </c>
      <c r="B3983" t="inlineStr">
        <is>
          <t>MeOH</t>
        </is>
      </c>
      <c r="H3983" t="inlineStr">
        <is>
          <t>MM-</t>
        </is>
      </c>
    </row>
    <row r="3984">
      <c r="A3984" t="n">
        <v>22</v>
      </c>
      <c r="B3984" t="inlineStr">
        <is>
          <t>K3-3A</t>
        </is>
      </c>
      <c r="D3984" t="n">
        <v>15.7</v>
      </c>
      <c r="E3984" t="n">
        <v>4.524</v>
      </c>
      <c r="F3984" t="n">
        <v>376.834</v>
      </c>
      <c r="G3984" t="n">
        <v>40</v>
      </c>
      <c r="H3984" t="inlineStr">
        <is>
          <t>bb</t>
        </is>
      </c>
    </row>
    <row r="3985">
      <c r="A3985" t="n">
        <v>23</v>
      </c>
      <c r="B3985" t="inlineStr">
        <is>
          <t>K3-3B</t>
        </is>
      </c>
      <c r="D3985" t="n">
        <v>15.71</v>
      </c>
      <c r="E3985" t="n">
        <v>80.789</v>
      </c>
      <c r="F3985" t="n">
        <v>559.133</v>
      </c>
      <c r="G3985" t="n">
        <v>2.75</v>
      </c>
      <c r="H3985" t="inlineStr">
        <is>
          <t>bb</t>
        </is>
      </c>
    </row>
    <row r="3986">
      <c r="A3986" t="n">
        <v>24</v>
      </c>
      <c r="B3986" t="inlineStr">
        <is>
          <t>K3-3C</t>
        </is>
      </c>
      <c r="F3986" t="n">
        <v>435.036</v>
      </c>
    </row>
    <row r="3987">
      <c r="A3987" t="n">
        <v>25</v>
      </c>
      <c r="B3987" t="inlineStr">
        <is>
          <t>K3-4A</t>
        </is>
      </c>
      <c r="D3987" t="n">
        <v>15.67</v>
      </c>
      <c r="E3987" t="n">
        <v>27.5</v>
      </c>
      <c r="F3987" t="n">
        <v>337.222</v>
      </c>
      <c r="G3987" t="n">
        <v>2.401</v>
      </c>
      <c r="H3987" t="inlineStr">
        <is>
          <t>bb</t>
        </is>
      </c>
    </row>
    <row r="3988">
      <c r="A3988" t="n">
        <v>26</v>
      </c>
      <c r="B3988" t="inlineStr">
        <is>
          <t>K3-4B</t>
        </is>
      </c>
      <c r="D3988" t="n">
        <v>15.67</v>
      </c>
      <c r="E3988" t="n">
        <v>19.319</v>
      </c>
      <c r="F3988" t="n">
        <v>758.223</v>
      </c>
      <c r="G3988" t="n">
        <v>146</v>
      </c>
      <c r="H3988" t="inlineStr">
        <is>
          <t>MM</t>
        </is>
      </c>
    </row>
    <row r="3989">
      <c r="A3989" t="n">
        <v>27</v>
      </c>
      <c r="B3989" t="inlineStr">
        <is>
          <t>K3-4C</t>
        </is>
      </c>
      <c r="D3989" t="n">
        <v>15.76</v>
      </c>
      <c r="E3989" t="n">
        <v>151.365</v>
      </c>
      <c r="F3989" t="n">
        <v>427.126</v>
      </c>
      <c r="G3989" t="n">
        <v>3.369</v>
      </c>
      <c r="H3989" t="inlineStr">
        <is>
          <t>bb</t>
        </is>
      </c>
    </row>
    <row r="3990">
      <c r="A3990" t="n">
        <v>28</v>
      </c>
      <c r="B3990" t="inlineStr">
        <is>
          <t>MeOH</t>
        </is>
      </c>
    </row>
    <row r="3991">
      <c r="A3991" t="n">
        <v>29</v>
      </c>
      <c r="B3991" t="inlineStr">
        <is>
          <t>K3-6A</t>
        </is>
      </c>
      <c r="D3991" t="n">
        <v>15.71</v>
      </c>
      <c r="E3991" t="n">
        <v>168.934</v>
      </c>
      <c r="F3991" t="n">
        <v>793.353</v>
      </c>
      <c r="G3991" t="n">
        <v>816</v>
      </c>
      <c r="H3991" t="inlineStr">
        <is>
          <t>bb</t>
        </is>
      </c>
    </row>
    <row r="3992">
      <c r="A3992" t="n">
        <v>30</v>
      </c>
      <c r="B3992" t="inlineStr">
        <is>
          <t>K3-6B</t>
        </is>
      </c>
      <c r="D3992" t="n">
        <v>15.71</v>
      </c>
      <c r="E3992" t="n">
        <v>137.038</v>
      </c>
      <c r="F3992" t="n">
        <v>501.186</v>
      </c>
      <c r="G3992" t="n">
        <v>894</v>
      </c>
      <c r="H3992" t="inlineStr">
        <is>
          <t>bb</t>
        </is>
      </c>
    </row>
    <row r="3993">
      <c r="A3993" t="n">
        <v>31</v>
      </c>
      <c r="B3993" t="inlineStr">
        <is>
          <t>K3-6C</t>
        </is>
      </c>
      <c r="D3993" t="n">
        <v>15.7</v>
      </c>
      <c r="E3993" t="n">
        <v>45.067</v>
      </c>
      <c r="F3993" t="n">
        <v>295.29</v>
      </c>
      <c r="G3993" t="n">
        <v>3.848</v>
      </c>
      <c r="H3993" t="inlineStr">
        <is>
          <t>bb</t>
        </is>
      </c>
    </row>
    <row r="3995">
      <c r="A3995" t="inlineStr">
        <is>
          <t>Compound 115:  PFDoDA 2</t>
        </is>
      </c>
    </row>
    <row r="3997">
      <c r="B3997" t="inlineStr">
        <is>
          <t>Sample Text</t>
        </is>
      </c>
      <c r="C3997" t="inlineStr">
        <is>
          <t>Std. Conc</t>
        </is>
      </c>
      <c r="D3997" t="inlineStr">
        <is>
          <t>RT</t>
        </is>
      </c>
      <c r="E3997" t="inlineStr">
        <is>
          <t>Area</t>
        </is>
      </c>
      <c r="F3997" t="inlineStr">
        <is>
          <t>IS Area</t>
        </is>
      </c>
      <c r="G3997" t="inlineStr">
        <is>
          <t>S/N</t>
        </is>
      </c>
      <c r="H3997" t="inlineStr">
        <is>
          <t>Primary Flags</t>
        </is>
      </c>
      <c r="I3997" t="inlineStr">
        <is>
          <t>Response</t>
        </is>
      </c>
      <c r="J3997" t="inlineStr">
        <is>
          <t>Conc.</t>
        </is>
      </c>
    </row>
    <row r="3998">
      <c r="A3998" t="n">
        <v>1</v>
      </c>
      <c r="B3998" t="inlineStr">
        <is>
          <t>K4-1A</t>
        </is>
      </c>
      <c r="D3998" t="n">
        <v>15.77</v>
      </c>
      <c r="E3998" t="n">
        <v>6.032</v>
      </c>
      <c r="F3998" t="n">
        <v>475.929</v>
      </c>
      <c r="G3998" t="n">
        <v>53</v>
      </c>
      <c r="H3998" t="inlineStr">
        <is>
          <t>bb</t>
        </is>
      </c>
    </row>
    <row r="3999">
      <c r="A3999" t="n">
        <v>2</v>
      </c>
      <c r="B3999" t="inlineStr">
        <is>
          <t>K4-1B</t>
        </is>
      </c>
      <c r="D3999" t="n">
        <v>15.19</v>
      </c>
      <c r="E3999" t="n">
        <v>25.574</v>
      </c>
      <c r="F3999" t="n">
        <v>630.044</v>
      </c>
      <c r="G3999" t="n">
        <v>0.86</v>
      </c>
      <c r="H3999" t="inlineStr">
        <is>
          <t>bb</t>
        </is>
      </c>
    </row>
    <row r="4000">
      <c r="A4000" t="n">
        <v>3</v>
      </c>
      <c r="B4000" t="inlineStr">
        <is>
          <t>K4-1C</t>
        </is>
      </c>
      <c r="D4000" t="n">
        <v>15.33</v>
      </c>
      <c r="E4000" t="n">
        <v>43.61</v>
      </c>
      <c r="F4000" t="n">
        <v>602.215</v>
      </c>
      <c r="G4000" t="n">
        <v>266</v>
      </c>
      <c r="H4000" t="inlineStr">
        <is>
          <t>bb</t>
        </is>
      </c>
    </row>
    <row r="4001">
      <c r="A4001" t="n">
        <v>4</v>
      </c>
      <c r="B4001" t="inlineStr">
        <is>
          <t>K4-2A</t>
        </is>
      </c>
      <c r="D4001" t="n">
        <v>15.31</v>
      </c>
      <c r="E4001" t="n">
        <v>6.359</v>
      </c>
      <c r="F4001" t="n">
        <v>216.774</v>
      </c>
      <c r="G4001" t="n">
        <v>0.5600000000000001</v>
      </c>
      <c r="H4001" t="inlineStr">
        <is>
          <t>bb</t>
        </is>
      </c>
    </row>
    <row r="4002">
      <c r="A4002" t="n">
        <v>5</v>
      </c>
      <c r="B4002" t="inlineStr">
        <is>
          <t>K4-2B</t>
        </is>
      </c>
      <c r="D4002" t="n">
        <v>15.62</v>
      </c>
      <c r="E4002" t="n">
        <v>15.569</v>
      </c>
      <c r="F4002" t="n">
        <v>492.326</v>
      </c>
      <c r="G4002" t="n">
        <v>138</v>
      </c>
      <c r="H4002" t="inlineStr">
        <is>
          <t>bb</t>
        </is>
      </c>
    </row>
    <row r="4003">
      <c r="A4003" t="n">
        <v>6</v>
      </c>
      <c r="B4003" t="inlineStr">
        <is>
          <t>K4-2C</t>
        </is>
      </c>
      <c r="D4003" t="n">
        <v>15.64</v>
      </c>
      <c r="E4003" t="n">
        <v>2.985</v>
      </c>
      <c r="F4003" t="n">
        <v>145.292</v>
      </c>
      <c r="G4003" t="n">
        <v>26</v>
      </c>
      <c r="H4003" t="inlineStr">
        <is>
          <t>MM</t>
        </is>
      </c>
    </row>
    <row r="4004">
      <c r="A4004" t="n">
        <v>7</v>
      </c>
      <c r="B4004" t="inlineStr">
        <is>
          <t>MeOH</t>
        </is>
      </c>
      <c r="H4004" t="inlineStr">
        <is>
          <t>MM-</t>
        </is>
      </c>
    </row>
    <row r="4005">
      <c r="A4005" t="n">
        <v>8</v>
      </c>
      <c r="B4005" t="inlineStr">
        <is>
          <t>K4-4A</t>
        </is>
      </c>
      <c r="D4005" t="n">
        <v>15.99</v>
      </c>
      <c r="E4005" t="n">
        <v>64.503</v>
      </c>
      <c r="F4005" t="n">
        <v>255.18</v>
      </c>
      <c r="G4005" t="n">
        <v>614</v>
      </c>
      <c r="H4005" t="inlineStr">
        <is>
          <t>MM</t>
        </is>
      </c>
    </row>
    <row r="4006">
      <c r="A4006" t="n">
        <v>9</v>
      </c>
      <c r="B4006" t="inlineStr">
        <is>
          <t>K4-4B</t>
        </is>
      </c>
      <c r="D4006" t="n">
        <v>15.58</v>
      </c>
      <c r="E4006" t="n">
        <v>14.778</v>
      </c>
      <c r="F4006" t="n">
        <v>423.729</v>
      </c>
      <c r="G4006" t="n">
        <v>135</v>
      </c>
      <c r="H4006" t="inlineStr">
        <is>
          <t>MM</t>
        </is>
      </c>
    </row>
    <row r="4007">
      <c r="A4007" t="n">
        <v>10</v>
      </c>
      <c r="B4007" t="inlineStr">
        <is>
          <t>K4-4C</t>
        </is>
      </c>
      <c r="D4007" t="n">
        <v>15.71</v>
      </c>
      <c r="E4007" t="n">
        <v>48.027</v>
      </c>
      <c r="F4007" t="n">
        <v>428.353</v>
      </c>
      <c r="G4007" t="n">
        <v>402</v>
      </c>
      <c r="H4007" t="inlineStr">
        <is>
          <t>MM</t>
        </is>
      </c>
    </row>
    <row r="4008">
      <c r="A4008" t="n">
        <v>11</v>
      </c>
      <c r="B4008" t="inlineStr">
        <is>
          <t>K4-5A</t>
        </is>
      </c>
      <c r="D4008" t="n">
        <v>15.67</v>
      </c>
      <c r="E4008" t="n">
        <v>103.463</v>
      </c>
      <c r="F4008" t="n">
        <v>314.929</v>
      </c>
      <c r="G4008" t="n">
        <v>686</v>
      </c>
      <c r="H4008" t="inlineStr">
        <is>
          <t>bb</t>
        </is>
      </c>
    </row>
    <row r="4009">
      <c r="A4009" t="n">
        <v>12</v>
      </c>
      <c r="B4009" t="inlineStr">
        <is>
          <t>K4-5B</t>
        </is>
      </c>
      <c r="D4009" t="n">
        <v>15.6</v>
      </c>
      <c r="E4009" t="n">
        <v>32.42</v>
      </c>
      <c r="F4009" t="n">
        <v>115.724</v>
      </c>
      <c r="G4009" t="n">
        <v>8.853999999999999</v>
      </c>
      <c r="H4009" t="inlineStr">
        <is>
          <t>MM</t>
        </is>
      </c>
    </row>
    <row r="4010">
      <c r="A4010" t="n">
        <v>13</v>
      </c>
      <c r="B4010" t="inlineStr">
        <is>
          <t>K4-5C</t>
        </is>
      </c>
      <c r="D4010" t="n">
        <v>15.59</v>
      </c>
      <c r="E4010" t="n">
        <v>3.003</v>
      </c>
      <c r="F4010" t="n">
        <v>225.611</v>
      </c>
      <c r="G4010" t="n">
        <v>0.075</v>
      </c>
      <c r="H4010" t="inlineStr">
        <is>
          <t>MM</t>
        </is>
      </c>
    </row>
    <row r="4011">
      <c r="A4011" t="n">
        <v>14</v>
      </c>
      <c r="B4011" t="inlineStr">
        <is>
          <t>MeOH</t>
        </is>
      </c>
      <c r="H4011" t="inlineStr">
        <is>
          <t>MM-</t>
        </is>
      </c>
    </row>
    <row r="4012">
      <c r="A4012" t="n">
        <v>15</v>
      </c>
      <c r="B4012" t="inlineStr">
        <is>
          <t>K3-1A</t>
        </is>
      </c>
      <c r="D4012" t="n">
        <v>15.58</v>
      </c>
      <c r="E4012" t="n">
        <v>96.878</v>
      </c>
      <c r="F4012" t="n">
        <v>432.168</v>
      </c>
      <c r="G4012" t="n">
        <v>2.171</v>
      </c>
      <c r="H4012" t="inlineStr">
        <is>
          <t>bb</t>
        </is>
      </c>
    </row>
    <row r="4013">
      <c r="A4013" t="n">
        <v>16</v>
      </c>
      <c r="B4013" t="inlineStr">
        <is>
          <t>K3-1B</t>
        </is>
      </c>
      <c r="D4013" t="n">
        <v>15.61</v>
      </c>
      <c r="E4013" t="n">
        <v>51.818</v>
      </c>
      <c r="F4013" t="n">
        <v>439.829</v>
      </c>
      <c r="G4013" t="n">
        <v>7.521</v>
      </c>
      <c r="H4013" t="inlineStr">
        <is>
          <t>bb</t>
        </is>
      </c>
    </row>
    <row r="4014">
      <c r="A4014" t="n">
        <v>17</v>
      </c>
      <c r="B4014" t="inlineStr">
        <is>
          <t>K3-1C</t>
        </is>
      </c>
      <c r="D4014" t="n">
        <v>15.62</v>
      </c>
      <c r="E4014" t="n">
        <v>37.999</v>
      </c>
      <c r="F4014" t="n">
        <v>313.795</v>
      </c>
      <c r="G4014" t="n">
        <v>1.147</v>
      </c>
      <c r="H4014" t="inlineStr">
        <is>
          <t>MM</t>
        </is>
      </c>
    </row>
    <row r="4015">
      <c r="A4015" t="n">
        <v>18</v>
      </c>
      <c r="B4015" t="inlineStr">
        <is>
          <t>K3-2A</t>
        </is>
      </c>
      <c r="D4015" t="n">
        <v>15.56</v>
      </c>
      <c r="E4015" t="n">
        <v>43.763</v>
      </c>
      <c r="F4015" t="n">
        <v>420.878</v>
      </c>
      <c r="G4015" t="n">
        <v>12.664</v>
      </c>
      <c r="H4015" t="inlineStr">
        <is>
          <t>MM</t>
        </is>
      </c>
    </row>
    <row r="4016">
      <c r="A4016" t="n">
        <v>19</v>
      </c>
      <c r="B4016" t="inlineStr">
        <is>
          <t>K3-2B</t>
        </is>
      </c>
      <c r="D4016" t="n">
        <v>15.59</v>
      </c>
      <c r="E4016" t="n">
        <v>3.773</v>
      </c>
      <c r="F4016" t="n">
        <v>830.495</v>
      </c>
      <c r="G4016" t="n">
        <v>0.368</v>
      </c>
      <c r="H4016" t="inlineStr">
        <is>
          <t>MM</t>
        </is>
      </c>
    </row>
    <row r="4017">
      <c r="A4017" t="n">
        <v>20</v>
      </c>
      <c r="B4017" t="inlineStr">
        <is>
          <t>K3-2C</t>
        </is>
      </c>
      <c r="D4017" t="n">
        <v>15.65</v>
      </c>
      <c r="E4017" t="n">
        <v>45.555</v>
      </c>
      <c r="F4017" t="n">
        <v>343.52</v>
      </c>
      <c r="G4017" t="n">
        <v>1.654</v>
      </c>
      <c r="H4017" t="inlineStr">
        <is>
          <t>bb</t>
        </is>
      </c>
    </row>
    <row r="4018">
      <c r="A4018" t="n">
        <v>21</v>
      </c>
      <c r="B4018" t="inlineStr">
        <is>
          <t>MeOH</t>
        </is>
      </c>
      <c r="H4018" t="inlineStr">
        <is>
          <t>MM-</t>
        </is>
      </c>
    </row>
    <row r="4019">
      <c r="A4019" t="n">
        <v>22</v>
      </c>
      <c r="B4019" t="inlineStr">
        <is>
          <t>K3-3A</t>
        </is>
      </c>
      <c r="D4019" t="n">
        <v>15.61</v>
      </c>
      <c r="E4019" t="n">
        <v>68.462</v>
      </c>
      <c r="F4019" t="n">
        <v>376.834</v>
      </c>
      <c r="G4019" t="n">
        <v>1.454</v>
      </c>
      <c r="H4019" t="inlineStr">
        <is>
          <t>MM</t>
        </is>
      </c>
    </row>
    <row r="4020">
      <c r="A4020" t="n">
        <v>23</v>
      </c>
      <c r="B4020" t="inlineStr">
        <is>
          <t>K3-3B</t>
        </is>
      </c>
      <c r="D4020" t="n">
        <v>15.61</v>
      </c>
      <c r="E4020" t="n">
        <v>195.926</v>
      </c>
      <c r="F4020" t="n">
        <v>559.133</v>
      </c>
      <c r="G4020" t="n">
        <v>3.837</v>
      </c>
      <c r="H4020" t="inlineStr">
        <is>
          <t>bb</t>
        </is>
      </c>
    </row>
    <row r="4021">
      <c r="A4021" t="n">
        <v>24</v>
      </c>
      <c r="B4021" t="inlineStr">
        <is>
          <t>K3-3C</t>
        </is>
      </c>
      <c r="D4021" t="n">
        <v>15.61</v>
      </c>
      <c r="E4021" t="n">
        <v>261.985</v>
      </c>
      <c r="F4021" t="n">
        <v>435.036</v>
      </c>
      <c r="G4021" t="n">
        <v>7.022</v>
      </c>
      <c r="H4021" t="inlineStr">
        <is>
          <t>bb</t>
        </is>
      </c>
    </row>
    <row r="4022">
      <c r="A4022" t="n">
        <v>25</v>
      </c>
      <c r="B4022" t="inlineStr">
        <is>
          <t>K3-4A</t>
        </is>
      </c>
      <c r="D4022" t="n">
        <v>15.71</v>
      </c>
      <c r="E4022" t="n">
        <v>125.551</v>
      </c>
      <c r="F4022" t="n">
        <v>337.222</v>
      </c>
      <c r="G4022" t="n">
        <v>20.026</v>
      </c>
      <c r="H4022" t="inlineStr">
        <is>
          <t>bb</t>
        </is>
      </c>
    </row>
    <row r="4023">
      <c r="A4023" t="n">
        <v>26</v>
      </c>
      <c r="B4023" t="inlineStr">
        <is>
          <t>K3-4B</t>
        </is>
      </c>
      <c r="D4023" t="n">
        <v>15.67</v>
      </c>
      <c r="E4023" t="n">
        <v>97.892</v>
      </c>
      <c r="F4023" t="n">
        <v>758.223</v>
      </c>
      <c r="G4023" t="n">
        <v>2.56</v>
      </c>
      <c r="H4023" t="inlineStr">
        <is>
          <t>MM</t>
        </is>
      </c>
    </row>
    <row r="4024">
      <c r="A4024" t="n">
        <v>27</v>
      </c>
      <c r="B4024" t="inlineStr">
        <is>
          <t>K3-4C</t>
        </is>
      </c>
      <c r="D4024" t="n">
        <v>15.7</v>
      </c>
      <c r="E4024" t="n">
        <v>170.9</v>
      </c>
      <c r="F4024" t="n">
        <v>427.126</v>
      </c>
      <c r="G4024" t="n">
        <v>2.233</v>
      </c>
      <c r="H4024" t="inlineStr">
        <is>
          <t>bb</t>
        </is>
      </c>
    </row>
    <row r="4025">
      <c r="A4025" t="n">
        <v>28</v>
      </c>
      <c r="B4025" t="inlineStr">
        <is>
          <t>MeOH</t>
        </is>
      </c>
    </row>
    <row r="4026">
      <c r="A4026" t="n">
        <v>29</v>
      </c>
      <c r="B4026" t="inlineStr">
        <is>
          <t>K3-6A</t>
        </is>
      </c>
      <c r="D4026" t="n">
        <v>15.76</v>
      </c>
      <c r="E4026" t="n">
        <v>36.264</v>
      </c>
      <c r="F4026" t="n">
        <v>793.353</v>
      </c>
      <c r="G4026" t="n">
        <v>1.49</v>
      </c>
      <c r="H4026" t="inlineStr">
        <is>
          <t>MM</t>
        </is>
      </c>
    </row>
    <row r="4027">
      <c r="A4027" t="n">
        <v>30</v>
      </c>
      <c r="B4027" t="inlineStr">
        <is>
          <t>K3-6B</t>
        </is>
      </c>
      <c r="D4027" t="n">
        <v>15.7</v>
      </c>
      <c r="E4027" t="n">
        <v>77.011</v>
      </c>
      <c r="F4027" t="n">
        <v>501.186</v>
      </c>
      <c r="G4027" t="n">
        <v>1.781</v>
      </c>
      <c r="H4027" t="inlineStr">
        <is>
          <t>bb</t>
        </is>
      </c>
    </row>
    <row r="4028">
      <c r="A4028" t="n">
        <v>31</v>
      </c>
      <c r="B4028" t="inlineStr">
        <is>
          <t>K3-6C</t>
        </is>
      </c>
      <c r="D4028" t="n">
        <v>15.51</v>
      </c>
      <c r="E4028" t="n">
        <v>47.782</v>
      </c>
      <c r="F4028" t="n">
        <v>295.29</v>
      </c>
      <c r="G4028" t="n">
        <v>1.005</v>
      </c>
      <c r="H4028" t="inlineStr">
        <is>
          <t>bb</t>
        </is>
      </c>
    </row>
    <row r="4030">
      <c r="A4030" t="inlineStr">
        <is>
          <t>Compound 116:  m2 PFDoDA 1</t>
        </is>
      </c>
    </row>
    <row r="4032">
      <c r="B4032" t="inlineStr">
        <is>
          <t>Sample Text</t>
        </is>
      </c>
      <c r="C4032" t="inlineStr">
        <is>
          <t>Std. Conc</t>
        </is>
      </c>
      <c r="D4032" t="inlineStr">
        <is>
          <t>RT</t>
        </is>
      </c>
      <c r="E4032" t="inlineStr">
        <is>
          <t>Area</t>
        </is>
      </c>
      <c r="F4032" t="inlineStr">
        <is>
          <t>IS Area</t>
        </is>
      </c>
      <c r="G4032" t="inlineStr">
        <is>
          <t>S/N</t>
        </is>
      </c>
      <c r="H4032" t="inlineStr">
        <is>
          <t>Primary Flags</t>
        </is>
      </c>
      <c r="I4032" t="inlineStr">
        <is>
          <t>Response</t>
        </is>
      </c>
      <c r="J4032" t="inlineStr">
        <is>
          <t>Conc.</t>
        </is>
      </c>
    </row>
    <row r="4033">
      <c r="A4033" t="n">
        <v>1</v>
      </c>
      <c r="B4033" t="inlineStr">
        <is>
          <t>K4-1A</t>
        </is>
      </c>
      <c r="D4033" t="n">
        <v>15.6</v>
      </c>
      <c r="E4033" t="n">
        <v>475.929</v>
      </c>
      <c r="G4033" t="n">
        <v>25.272</v>
      </c>
      <c r="H4033" t="inlineStr">
        <is>
          <t>bb</t>
        </is>
      </c>
      <c r="I4033" t="n">
        <v>475.929</v>
      </c>
    </row>
    <row r="4034">
      <c r="A4034" t="n">
        <v>2</v>
      </c>
      <c r="B4034" t="inlineStr">
        <is>
          <t>K4-1B</t>
        </is>
      </c>
      <c r="D4034" t="n">
        <v>15.62</v>
      </c>
      <c r="E4034" t="n">
        <v>630.044</v>
      </c>
      <c r="G4034" t="n">
        <v>2.77</v>
      </c>
      <c r="H4034" t="inlineStr">
        <is>
          <t>bb</t>
        </is>
      </c>
      <c r="I4034" t="n">
        <v>630.044</v>
      </c>
    </row>
    <row r="4035">
      <c r="A4035" t="n">
        <v>3</v>
      </c>
      <c r="B4035" t="inlineStr">
        <is>
          <t>K4-1C</t>
        </is>
      </c>
      <c r="D4035" t="n">
        <v>15.64</v>
      </c>
      <c r="E4035" t="n">
        <v>602.215</v>
      </c>
      <c r="G4035" t="n">
        <v>3883</v>
      </c>
      <c r="H4035" t="inlineStr">
        <is>
          <t>bb</t>
        </is>
      </c>
      <c r="I4035" t="n">
        <v>602.215</v>
      </c>
    </row>
    <row r="4036">
      <c r="A4036" t="n">
        <v>4</v>
      </c>
      <c r="B4036" t="inlineStr">
        <is>
          <t>K4-2A</t>
        </is>
      </c>
      <c r="D4036" t="n">
        <v>15.62</v>
      </c>
      <c r="E4036" t="n">
        <v>216.774</v>
      </c>
      <c r="G4036" t="n">
        <v>1587</v>
      </c>
      <c r="H4036" t="inlineStr">
        <is>
          <t>bb</t>
        </is>
      </c>
      <c r="I4036" t="n">
        <v>216.774</v>
      </c>
    </row>
    <row r="4037">
      <c r="A4037" t="n">
        <v>5</v>
      </c>
      <c r="B4037" t="inlineStr">
        <is>
          <t>K4-2B</t>
        </is>
      </c>
      <c r="D4037" t="n">
        <v>15.61</v>
      </c>
      <c r="E4037" t="n">
        <v>492.326</v>
      </c>
      <c r="G4037" t="n">
        <v>18.138</v>
      </c>
      <c r="H4037" t="inlineStr">
        <is>
          <t>bb</t>
        </is>
      </c>
      <c r="I4037" t="n">
        <v>492.326</v>
      </c>
    </row>
    <row r="4038">
      <c r="A4038" t="n">
        <v>6</v>
      </c>
      <c r="B4038" t="inlineStr">
        <is>
          <t>K4-2C</t>
        </is>
      </c>
      <c r="D4038" t="n">
        <v>15.62</v>
      </c>
      <c r="E4038" t="n">
        <v>145.292</v>
      </c>
      <c r="G4038" t="n">
        <v>12.216</v>
      </c>
      <c r="H4038" t="inlineStr">
        <is>
          <t>bb</t>
        </is>
      </c>
      <c r="I4038" t="n">
        <v>145.292</v>
      </c>
    </row>
    <row r="4039">
      <c r="A4039" t="n">
        <v>7</v>
      </c>
      <c r="B4039" t="inlineStr">
        <is>
          <t>MeOH</t>
        </is>
      </c>
    </row>
    <row r="4040">
      <c r="A4040" t="n">
        <v>8</v>
      </c>
      <c r="B4040" t="inlineStr">
        <is>
          <t>K4-4A</t>
        </is>
      </c>
      <c r="D4040" t="n">
        <v>15.67</v>
      </c>
      <c r="E4040" t="n">
        <v>255.18</v>
      </c>
      <c r="G4040" t="n">
        <v>66.557</v>
      </c>
      <c r="H4040" t="inlineStr">
        <is>
          <t>bb</t>
        </is>
      </c>
      <c r="I4040" t="n">
        <v>255.18</v>
      </c>
    </row>
    <row r="4041">
      <c r="A4041" t="n">
        <v>9</v>
      </c>
      <c r="B4041" t="inlineStr">
        <is>
          <t>K4-4B</t>
        </is>
      </c>
      <c r="D4041" t="n">
        <v>15.62</v>
      </c>
      <c r="E4041" t="n">
        <v>423.729</v>
      </c>
      <c r="G4041" t="n">
        <v>541.818</v>
      </c>
      <c r="H4041" t="inlineStr">
        <is>
          <t>bb</t>
        </is>
      </c>
      <c r="I4041" t="n">
        <v>423.729</v>
      </c>
    </row>
    <row r="4042">
      <c r="A4042" t="n">
        <v>10</v>
      </c>
      <c r="B4042" t="inlineStr">
        <is>
          <t>K4-4C</t>
        </is>
      </c>
      <c r="D4042" t="n">
        <v>15.65</v>
      </c>
      <c r="E4042" t="n">
        <v>428.353</v>
      </c>
      <c r="G4042" t="n">
        <v>2987</v>
      </c>
      <c r="H4042" t="inlineStr">
        <is>
          <t>bb</t>
        </is>
      </c>
      <c r="I4042" t="n">
        <v>428.353</v>
      </c>
    </row>
    <row r="4043">
      <c r="A4043" t="n">
        <v>11</v>
      </c>
      <c r="B4043" t="inlineStr">
        <is>
          <t>K4-5A</t>
        </is>
      </c>
      <c r="D4043" t="n">
        <v>15.64</v>
      </c>
      <c r="E4043" t="n">
        <v>314.929</v>
      </c>
      <c r="G4043" t="n">
        <v>29.519</v>
      </c>
      <c r="H4043" t="inlineStr">
        <is>
          <t>bb</t>
        </is>
      </c>
      <c r="I4043" t="n">
        <v>314.929</v>
      </c>
    </row>
    <row r="4044">
      <c r="A4044" t="n">
        <v>12</v>
      </c>
      <c r="B4044" t="inlineStr">
        <is>
          <t>K4-5B</t>
        </is>
      </c>
      <c r="D4044" t="n">
        <v>15.62</v>
      </c>
      <c r="E4044" t="n">
        <v>115.724</v>
      </c>
      <c r="G4044" t="n">
        <v>10.065</v>
      </c>
      <c r="H4044" t="inlineStr">
        <is>
          <t>MM</t>
        </is>
      </c>
      <c r="I4044" t="n">
        <v>115.724</v>
      </c>
    </row>
    <row r="4045">
      <c r="A4045" t="n">
        <v>13</v>
      </c>
      <c r="B4045" t="inlineStr">
        <is>
          <t>K4-5C</t>
        </is>
      </c>
      <c r="D4045" t="n">
        <v>15.58</v>
      </c>
      <c r="E4045" t="n">
        <v>225.611</v>
      </c>
      <c r="G4045" t="n">
        <v>7.972</v>
      </c>
      <c r="H4045" t="inlineStr">
        <is>
          <t>bb</t>
        </is>
      </c>
      <c r="I4045" t="n">
        <v>225.611</v>
      </c>
    </row>
    <row r="4046">
      <c r="A4046" t="n">
        <v>14</v>
      </c>
      <c r="B4046" t="inlineStr">
        <is>
          <t>MeOH</t>
        </is>
      </c>
    </row>
    <row r="4047">
      <c r="A4047" t="n">
        <v>15</v>
      </c>
      <c r="B4047" t="inlineStr">
        <is>
          <t>K3-1A</t>
        </is>
      </c>
      <c r="D4047" t="n">
        <v>15.58</v>
      </c>
      <c r="E4047" t="n">
        <v>432.168</v>
      </c>
      <c r="G4047" t="n">
        <v>18.069</v>
      </c>
      <c r="H4047" t="inlineStr">
        <is>
          <t>bb</t>
        </is>
      </c>
      <c r="I4047" t="n">
        <v>432.168</v>
      </c>
    </row>
    <row r="4048">
      <c r="A4048" t="n">
        <v>16</v>
      </c>
      <c r="B4048" t="inlineStr">
        <is>
          <t>K3-1B</t>
        </is>
      </c>
      <c r="D4048" t="n">
        <v>15.56</v>
      </c>
      <c r="E4048" t="n">
        <v>439.829</v>
      </c>
      <c r="G4048" t="n">
        <v>15.074</v>
      </c>
      <c r="H4048" t="inlineStr">
        <is>
          <t>bb</t>
        </is>
      </c>
      <c r="I4048" t="n">
        <v>439.829</v>
      </c>
    </row>
    <row r="4049">
      <c r="A4049" t="n">
        <v>17</v>
      </c>
      <c r="B4049" t="inlineStr">
        <is>
          <t>K3-1C</t>
        </is>
      </c>
      <c r="D4049" t="n">
        <v>15.56</v>
      </c>
      <c r="E4049" t="n">
        <v>313.795</v>
      </c>
      <c r="G4049" t="n">
        <v>70.226</v>
      </c>
      <c r="H4049" t="inlineStr">
        <is>
          <t>bb</t>
        </is>
      </c>
      <c r="I4049" t="n">
        <v>313.795</v>
      </c>
    </row>
    <row r="4050">
      <c r="A4050" t="n">
        <v>18</v>
      </c>
      <c r="B4050" t="inlineStr">
        <is>
          <t>K3-2A</t>
        </is>
      </c>
      <c r="D4050" t="n">
        <v>15.59</v>
      </c>
      <c r="E4050" t="n">
        <v>420.878</v>
      </c>
      <c r="G4050" t="n">
        <v>18.38</v>
      </c>
      <c r="H4050" t="inlineStr">
        <is>
          <t>bb</t>
        </is>
      </c>
      <c r="I4050" t="n">
        <v>420.878</v>
      </c>
    </row>
    <row r="4051">
      <c r="A4051" t="n">
        <v>19</v>
      </c>
      <c r="B4051" t="inlineStr">
        <is>
          <t>K3-2B</t>
        </is>
      </c>
      <c r="D4051" t="n">
        <v>15.62</v>
      </c>
      <c r="E4051" t="n">
        <v>830.495</v>
      </c>
      <c r="G4051" t="n">
        <v>5334</v>
      </c>
      <c r="H4051" t="inlineStr">
        <is>
          <t>bb</t>
        </is>
      </c>
      <c r="I4051" t="n">
        <v>830.495</v>
      </c>
    </row>
    <row r="4052">
      <c r="A4052" t="n">
        <v>20</v>
      </c>
      <c r="B4052" t="inlineStr">
        <is>
          <t>K3-2C</t>
        </is>
      </c>
      <c r="D4052" t="n">
        <v>15.61</v>
      </c>
      <c r="E4052" t="n">
        <v>343.52</v>
      </c>
      <c r="G4052" t="n">
        <v>1995</v>
      </c>
      <c r="H4052" t="inlineStr">
        <is>
          <t>bb</t>
        </is>
      </c>
      <c r="I4052" t="n">
        <v>343.52</v>
      </c>
    </row>
    <row r="4053">
      <c r="A4053" t="n">
        <v>21</v>
      </c>
      <c r="B4053" t="inlineStr">
        <is>
          <t>MeOH</t>
        </is>
      </c>
    </row>
    <row r="4054">
      <c r="A4054" t="n">
        <v>22</v>
      </c>
      <c r="B4054" t="inlineStr">
        <is>
          <t>K3-3A</t>
        </is>
      </c>
      <c r="D4054" t="n">
        <v>15.61</v>
      </c>
      <c r="E4054" t="n">
        <v>376.834</v>
      </c>
      <c r="G4054" t="n">
        <v>2640</v>
      </c>
      <c r="H4054" t="inlineStr">
        <is>
          <t>bb</t>
        </is>
      </c>
      <c r="I4054" t="n">
        <v>376.834</v>
      </c>
    </row>
    <row r="4055">
      <c r="A4055" t="n">
        <v>23</v>
      </c>
      <c r="B4055" t="inlineStr">
        <is>
          <t>K3-3B</t>
        </is>
      </c>
      <c r="D4055" t="n">
        <v>15.64</v>
      </c>
      <c r="E4055" t="n">
        <v>559.133</v>
      </c>
      <c r="G4055" t="n">
        <v>19.31</v>
      </c>
      <c r="H4055" t="inlineStr">
        <is>
          <t>MM</t>
        </is>
      </c>
      <c r="I4055" t="n">
        <v>559.133</v>
      </c>
    </row>
    <row r="4056">
      <c r="A4056" t="n">
        <v>24</v>
      </c>
      <c r="B4056" t="inlineStr">
        <is>
          <t>K3-3C</t>
        </is>
      </c>
      <c r="D4056" t="n">
        <v>15.67</v>
      </c>
      <c r="E4056" t="n">
        <v>435.036</v>
      </c>
      <c r="G4056" t="n">
        <v>7.383</v>
      </c>
      <c r="H4056" t="inlineStr">
        <is>
          <t>bb</t>
        </is>
      </c>
      <c r="I4056" t="n">
        <v>435.036</v>
      </c>
    </row>
    <row r="4057">
      <c r="A4057" t="n">
        <v>25</v>
      </c>
      <c r="B4057" t="inlineStr">
        <is>
          <t>K3-4A</t>
        </is>
      </c>
      <c r="D4057" t="n">
        <v>15.68</v>
      </c>
      <c r="E4057" t="n">
        <v>337.222</v>
      </c>
      <c r="G4057" t="n">
        <v>13.434</v>
      </c>
      <c r="H4057" t="inlineStr">
        <is>
          <t>bb</t>
        </is>
      </c>
      <c r="I4057" t="n">
        <v>337.222</v>
      </c>
    </row>
    <row r="4058">
      <c r="A4058" t="n">
        <v>26</v>
      </c>
      <c r="B4058" t="inlineStr">
        <is>
          <t>K3-4B</t>
        </is>
      </c>
      <c r="D4058" t="n">
        <v>15.65</v>
      </c>
      <c r="E4058" t="n">
        <v>758.223</v>
      </c>
      <c r="G4058" t="n">
        <v>94.05500000000001</v>
      </c>
      <c r="H4058" t="inlineStr">
        <is>
          <t>bb</t>
        </is>
      </c>
      <c r="I4058" t="n">
        <v>758.223</v>
      </c>
    </row>
    <row r="4059">
      <c r="A4059" t="n">
        <v>27</v>
      </c>
      <c r="B4059" t="inlineStr">
        <is>
          <t>K3-4C</t>
        </is>
      </c>
      <c r="D4059" t="n">
        <v>15.7</v>
      </c>
      <c r="E4059" t="n">
        <v>427.126</v>
      </c>
      <c r="G4059" t="n">
        <v>55.467</v>
      </c>
      <c r="H4059" t="inlineStr">
        <is>
          <t>bb</t>
        </is>
      </c>
      <c r="I4059" t="n">
        <v>427.126</v>
      </c>
    </row>
    <row r="4060">
      <c r="A4060" t="n">
        <v>28</v>
      </c>
      <c r="B4060" t="inlineStr">
        <is>
          <t>MeOH</t>
        </is>
      </c>
    </row>
    <row r="4061">
      <c r="A4061" t="n">
        <v>29</v>
      </c>
      <c r="B4061" t="inlineStr">
        <is>
          <t>K3-6A</t>
        </is>
      </c>
      <c r="D4061" t="n">
        <v>15.68</v>
      </c>
      <c r="E4061" t="n">
        <v>793.353</v>
      </c>
      <c r="G4061" t="n">
        <v>5356</v>
      </c>
      <c r="H4061" t="inlineStr">
        <is>
          <t>bb</t>
        </is>
      </c>
      <c r="I4061" t="n">
        <v>793.353</v>
      </c>
    </row>
    <row r="4062">
      <c r="A4062" t="n">
        <v>30</v>
      </c>
      <c r="B4062" t="inlineStr">
        <is>
          <t>K3-6B</t>
        </is>
      </c>
      <c r="D4062" t="n">
        <v>15.68</v>
      </c>
      <c r="E4062" t="n">
        <v>501.186</v>
      </c>
      <c r="G4062" t="n">
        <v>6.159</v>
      </c>
      <c r="H4062" t="inlineStr">
        <is>
          <t>bb</t>
        </is>
      </c>
      <c r="I4062" t="n">
        <v>501.186</v>
      </c>
    </row>
    <row r="4063">
      <c r="A4063" t="n">
        <v>31</v>
      </c>
      <c r="B4063" t="inlineStr">
        <is>
          <t>K3-6C</t>
        </is>
      </c>
      <c r="D4063" t="n">
        <v>15.65</v>
      </c>
      <c r="E4063" t="n">
        <v>295.29</v>
      </c>
      <c r="G4063" t="n">
        <v>2107</v>
      </c>
      <c r="H4063" t="inlineStr">
        <is>
          <t>bb</t>
        </is>
      </c>
      <c r="I4063" t="n">
        <v>295.29</v>
      </c>
    </row>
    <row r="4065">
      <c r="A4065" t="inlineStr">
        <is>
          <t>Compound 117:  m2 PFDoDA 2</t>
        </is>
      </c>
    </row>
    <row r="4067">
      <c r="B4067" t="inlineStr">
        <is>
          <t>Sample Text</t>
        </is>
      </c>
      <c r="C4067" t="inlineStr">
        <is>
          <t>Std. Conc</t>
        </is>
      </c>
      <c r="D4067" t="inlineStr">
        <is>
          <t>RT</t>
        </is>
      </c>
      <c r="E4067" t="inlineStr">
        <is>
          <t>Area</t>
        </is>
      </c>
      <c r="F4067" t="inlineStr">
        <is>
          <t>IS Area</t>
        </is>
      </c>
      <c r="G4067" t="inlineStr">
        <is>
          <t>S/N</t>
        </is>
      </c>
      <c r="H4067" t="inlineStr">
        <is>
          <t>Primary Flags</t>
        </is>
      </c>
      <c r="I4067" t="inlineStr">
        <is>
          <t>Response</t>
        </is>
      </c>
      <c r="J4067" t="inlineStr">
        <is>
          <t>Conc.</t>
        </is>
      </c>
    </row>
    <row r="4068">
      <c r="A4068" t="n">
        <v>1</v>
      </c>
      <c r="B4068" t="inlineStr">
        <is>
          <t>K4-1A</t>
        </is>
      </c>
      <c r="D4068" t="n">
        <v>15.6</v>
      </c>
      <c r="E4068" t="n">
        <v>1000.974</v>
      </c>
      <c r="G4068" t="n">
        <v>7186</v>
      </c>
      <c r="H4068" t="inlineStr">
        <is>
          <t>bb</t>
        </is>
      </c>
      <c r="I4068" t="n">
        <v>1000.974</v>
      </c>
    </row>
    <row r="4069">
      <c r="A4069" t="n">
        <v>2</v>
      </c>
      <c r="B4069" t="inlineStr">
        <is>
          <t>K4-1B</t>
        </is>
      </c>
      <c r="D4069" t="n">
        <v>15.62</v>
      </c>
      <c r="E4069" t="n">
        <v>505.165</v>
      </c>
      <c r="G4069" t="n">
        <v>3817</v>
      </c>
      <c r="H4069" t="inlineStr">
        <is>
          <t>bb</t>
        </is>
      </c>
      <c r="I4069" t="n">
        <v>505.165</v>
      </c>
    </row>
    <row r="4070">
      <c r="A4070" t="n">
        <v>3</v>
      </c>
      <c r="B4070" t="inlineStr">
        <is>
          <t>K4-1C</t>
        </is>
      </c>
      <c r="D4070" t="n">
        <v>15.62</v>
      </c>
      <c r="E4070" t="n">
        <v>281.793</v>
      </c>
      <c r="G4070" t="n">
        <v>2100</v>
      </c>
      <c r="H4070" t="inlineStr">
        <is>
          <t>bb</t>
        </is>
      </c>
      <c r="I4070" t="n">
        <v>281.793</v>
      </c>
    </row>
    <row r="4071">
      <c r="A4071" t="n">
        <v>4</v>
      </c>
      <c r="B4071" t="inlineStr">
        <is>
          <t>K4-2A</t>
        </is>
      </c>
      <c r="D4071" t="n">
        <v>15.62</v>
      </c>
      <c r="E4071" t="n">
        <v>469.098</v>
      </c>
      <c r="G4071" t="n">
        <v>23.115</v>
      </c>
      <c r="H4071" t="inlineStr">
        <is>
          <t>bb</t>
        </is>
      </c>
      <c r="I4071" t="n">
        <v>469.098</v>
      </c>
    </row>
    <row r="4072">
      <c r="A4072" t="n">
        <v>5</v>
      </c>
      <c r="B4072" t="inlineStr">
        <is>
          <t>K4-2B</t>
        </is>
      </c>
      <c r="D4072" t="n">
        <v>15.62</v>
      </c>
      <c r="E4072" t="n">
        <v>398.183</v>
      </c>
      <c r="G4072" t="n">
        <v>2388</v>
      </c>
      <c r="H4072" t="inlineStr">
        <is>
          <t>bb</t>
        </is>
      </c>
      <c r="I4072" t="n">
        <v>398.183</v>
      </c>
    </row>
    <row r="4073">
      <c r="A4073" t="n">
        <v>6</v>
      </c>
      <c r="B4073" t="inlineStr">
        <is>
          <t>K4-2C</t>
        </is>
      </c>
      <c r="D4073" t="n">
        <v>15.64</v>
      </c>
      <c r="E4073" t="n">
        <v>250.312</v>
      </c>
      <c r="G4073" t="n">
        <v>13.323</v>
      </c>
      <c r="H4073" t="inlineStr">
        <is>
          <t>bb</t>
        </is>
      </c>
      <c r="I4073" t="n">
        <v>250.312</v>
      </c>
    </row>
    <row r="4074">
      <c r="A4074" t="n">
        <v>7</v>
      </c>
      <c r="B4074" t="inlineStr">
        <is>
          <t>MeOH</t>
        </is>
      </c>
    </row>
    <row r="4075">
      <c r="A4075" t="n">
        <v>8</v>
      </c>
      <c r="B4075" t="inlineStr">
        <is>
          <t>K4-4A</t>
        </is>
      </c>
      <c r="D4075" t="n">
        <v>15.67</v>
      </c>
      <c r="E4075" t="n">
        <v>488.548</v>
      </c>
      <c r="G4075" t="n">
        <v>3463</v>
      </c>
      <c r="H4075" t="inlineStr">
        <is>
          <t>bb</t>
        </is>
      </c>
      <c r="I4075" t="n">
        <v>488.548</v>
      </c>
    </row>
    <row r="4076">
      <c r="A4076" t="n">
        <v>9</v>
      </c>
      <c r="B4076" t="inlineStr">
        <is>
          <t>K4-4B</t>
        </is>
      </c>
      <c r="D4076" t="n">
        <v>15.67</v>
      </c>
      <c r="E4076" t="n">
        <v>343.586</v>
      </c>
      <c r="G4076" t="n">
        <v>2358</v>
      </c>
      <c r="H4076" t="inlineStr">
        <is>
          <t>bb</t>
        </is>
      </c>
      <c r="I4076" t="n">
        <v>343.586</v>
      </c>
    </row>
    <row r="4077">
      <c r="A4077" t="n">
        <v>10</v>
      </c>
      <c r="B4077" t="inlineStr">
        <is>
          <t>K4-4C</t>
        </is>
      </c>
      <c r="D4077" t="n">
        <v>15.65</v>
      </c>
      <c r="E4077" t="n">
        <v>643.522</v>
      </c>
      <c r="G4077" t="n">
        <v>3979</v>
      </c>
      <c r="H4077" t="inlineStr">
        <is>
          <t>bb</t>
        </is>
      </c>
      <c r="I4077" t="n">
        <v>643.522</v>
      </c>
    </row>
    <row r="4078">
      <c r="A4078" t="n">
        <v>11</v>
      </c>
      <c r="B4078" t="inlineStr">
        <is>
          <t>K4-5A</t>
        </is>
      </c>
      <c r="D4078" t="n">
        <v>15.65</v>
      </c>
      <c r="E4078" t="n">
        <v>253.147</v>
      </c>
      <c r="G4078" t="n">
        <v>1750</v>
      </c>
      <c r="H4078" t="inlineStr">
        <is>
          <t>bb</t>
        </is>
      </c>
      <c r="I4078" t="n">
        <v>253.147</v>
      </c>
    </row>
    <row r="4079">
      <c r="A4079" t="n">
        <v>12</v>
      </c>
      <c r="B4079" t="inlineStr">
        <is>
          <t>K4-5B</t>
        </is>
      </c>
      <c r="D4079" t="n">
        <v>15.62</v>
      </c>
      <c r="E4079" t="n">
        <v>544.886</v>
      </c>
      <c r="G4079" t="n">
        <v>1218.987</v>
      </c>
      <c r="H4079" t="inlineStr">
        <is>
          <t>bb</t>
        </is>
      </c>
      <c r="I4079" t="n">
        <v>544.886</v>
      </c>
    </row>
    <row r="4080">
      <c r="A4080" t="n">
        <v>13</v>
      </c>
      <c r="B4080" t="inlineStr">
        <is>
          <t>K4-5C</t>
        </is>
      </c>
      <c r="D4080" t="n">
        <v>15.56</v>
      </c>
      <c r="E4080" t="n">
        <v>406.123</v>
      </c>
      <c r="G4080" t="n">
        <v>3087</v>
      </c>
      <c r="H4080" t="inlineStr">
        <is>
          <t>bb</t>
        </is>
      </c>
      <c r="I4080" t="n">
        <v>406.123</v>
      </c>
    </row>
    <row r="4081">
      <c r="A4081" t="n">
        <v>14</v>
      </c>
      <c r="B4081" t="inlineStr">
        <is>
          <t>MeOH</t>
        </is>
      </c>
    </row>
    <row r="4082">
      <c r="A4082" t="n">
        <v>15</v>
      </c>
      <c r="B4082" t="inlineStr">
        <is>
          <t>K3-1A</t>
        </is>
      </c>
      <c r="D4082" t="n">
        <v>15.56</v>
      </c>
      <c r="E4082" t="n">
        <v>831.888</v>
      </c>
      <c r="G4082" t="n">
        <v>181.181</v>
      </c>
      <c r="H4082" t="inlineStr">
        <is>
          <t>bb</t>
        </is>
      </c>
      <c r="I4082" t="n">
        <v>831.888</v>
      </c>
    </row>
    <row r="4083">
      <c r="A4083" t="n">
        <v>16</v>
      </c>
      <c r="B4083" t="inlineStr">
        <is>
          <t>K3-1B</t>
        </is>
      </c>
      <c r="D4083" t="n">
        <v>15.55</v>
      </c>
      <c r="E4083" t="n">
        <v>596.221</v>
      </c>
      <c r="G4083" t="n">
        <v>8.837</v>
      </c>
      <c r="H4083" t="inlineStr">
        <is>
          <t>bb</t>
        </is>
      </c>
      <c r="I4083" t="n">
        <v>596.221</v>
      </c>
    </row>
    <row r="4084">
      <c r="A4084" t="n">
        <v>17</v>
      </c>
      <c r="B4084" t="inlineStr">
        <is>
          <t>K3-1C</t>
        </is>
      </c>
      <c r="D4084" t="n">
        <v>15.58</v>
      </c>
      <c r="E4084" t="n">
        <v>1040.168</v>
      </c>
      <c r="G4084" t="n">
        <v>7450</v>
      </c>
      <c r="H4084" t="inlineStr">
        <is>
          <t>bb</t>
        </is>
      </c>
      <c r="I4084" t="n">
        <v>1040.168</v>
      </c>
    </row>
    <row r="4085">
      <c r="A4085" t="n">
        <v>18</v>
      </c>
      <c r="B4085" t="inlineStr">
        <is>
          <t>K3-2A</t>
        </is>
      </c>
      <c r="D4085" t="n">
        <v>15.59</v>
      </c>
      <c r="E4085" t="n">
        <v>643.562</v>
      </c>
      <c r="G4085" t="n">
        <v>4.18</v>
      </c>
      <c r="H4085" t="inlineStr">
        <is>
          <t>bb</t>
        </is>
      </c>
      <c r="I4085" t="n">
        <v>643.562</v>
      </c>
    </row>
    <row r="4086">
      <c r="A4086" t="n">
        <v>19</v>
      </c>
      <c r="B4086" t="inlineStr">
        <is>
          <t>K3-2B</t>
        </is>
      </c>
      <c r="D4086" t="n">
        <v>15.61</v>
      </c>
      <c r="E4086" t="n">
        <v>889.081</v>
      </c>
      <c r="G4086" t="n">
        <v>6302</v>
      </c>
      <c r="H4086" t="inlineStr">
        <is>
          <t>bb</t>
        </is>
      </c>
      <c r="I4086" t="n">
        <v>889.081</v>
      </c>
    </row>
    <row r="4087">
      <c r="A4087" t="n">
        <v>20</v>
      </c>
      <c r="B4087" t="inlineStr">
        <is>
          <t>K3-2C</t>
        </is>
      </c>
      <c r="D4087" t="n">
        <v>15.62</v>
      </c>
      <c r="E4087" t="n">
        <v>854.707</v>
      </c>
      <c r="G4087" t="n">
        <v>27.638</v>
      </c>
      <c r="H4087" t="inlineStr">
        <is>
          <t>bb</t>
        </is>
      </c>
      <c r="I4087" t="n">
        <v>854.707</v>
      </c>
    </row>
    <row r="4088">
      <c r="A4088" t="n">
        <v>21</v>
      </c>
      <c r="B4088" t="inlineStr">
        <is>
          <t>MeOH</t>
        </is>
      </c>
    </row>
    <row r="4089">
      <c r="A4089" t="n">
        <v>22</v>
      </c>
      <c r="B4089" t="inlineStr">
        <is>
          <t>K3-3A</t>
        </is>
      </c>
    </row>
    <row r="4090">
      <c r="A4090" t="n">
        <v>23</v>
      </c>
      <c r="B4090" t="inlineStr">
        <is>
          <t>K3-3B</t>
        </is>
      </c>
      <c r="D4090" t="n">
        <v>15.65</v>
      </c>
      <c r="E4090" t="n">
        <v>722.446</v>
      </c>
      <c r="G4090" t="n">
        <v>21.905</v>
      </c>
      <c r="H4090" t="inlineStr">
        <is>
          <t>bb</t>
        </is>
      </c>
      <c r="I4090" t="n">
        <v>722.446</v>
      </c>
    </row>
    <row r="4091">
      <c r="A4091" t="n">
        <v>24</v>
      </c>
      <c r="B4091" t="inlineStr">
        <is>
          <t>K3-3C</t>
        </is>
      </c>
      <c r="D4091" t="n">
        <v>15.62</v>
      </c>
      <c r="E4091" t="n">
        <v>1182.783</v>
      </c>
      <c r="G4091" t="n">
        <v>18.88</v>
      </c>
      <c r="H4091" t="inlineStr">
        <is>
          <t>bb</t>
        </is>
      </c>
      <c r="I4091" t="n">
        <v>1182.783</v>
      </c>
    </row>
    <row r="4092">
      <c r="A4092" t="n">
        <v>25</v>
      </c>
      <c r="B4092" t="inlineStr">
        <is>
          <t>K3-4A</t>
        </is>
      </c>
      <c r="D4092" t="n">
        <v>15.67</v>
      </c>
      <c r="E4092" t="n">
        <v>1004.083</v>
      </c>
      <c r="G4092" t="n">
        <v>92.47499999999999</v>
      </c>
      <c r="H4092" t="inlineStr">
        <is>
          <t>bb</t>
        </is>
      </c>
      <c r="I4092" t="n">
        <v>1004.083</v>
      </c>
    </row>
    <row r="4093">
      <c r="A4093" t="n">
        <v>26</v>
      </c>
      <c r="B4093" t="inlineStr">
        <is>
          <t>K3-4B</t>
        </is>
      </c>
      <c r="D4093" t="n">
        <v>15.67</v>
      </c>
      <c r="E4093" t="n">
        <v>1035.886</v>
      </c>
      <c r="G4093" t="n">
        <v>145.315</v>
      </c>
      <c r="H4093" t="inlineStr">
        <is>
          <t>bb</t>
        </is>
      </c>
      <c r="I4093" t="n">
        <v>1035.886</v>
      </c>
    </row>
    <row r="4094">
      <c r="A4094" t="n">
        <v>27</v>
      </c>
      <c r="B4094" t="inlineStr">
        <is>
          <t>K3-4C</t>
        </is>
      </c>
      <c r="D4094" t="n">
        <v>15.7</v>
      </c>
      <c r="E4094" t="n">
        <v>918.1900000000001</v>
      </c>
      <c r="G4094" t="n">
        <v>5.399</v>
      </c>
      <c r="H4094" t="inlineStr">
        <is>
          <t>bb</t>
        </is>
      </c>
      <c r="I4094" t="n">
        <v>918.1900000000001</v>
      </c>
    </row>
    <row r="4095">
      <c r="A4095" t="n">
        <v>28</v>
      </c>
      <c r="B4095" t="inlineStr">
        <is>
          <t>MeOH</t>
        </is>
      </c>
      <c r="H4095" t="inlineStr">
        <is>
          <t>MM-</t>
        </is>
      </c>
    </row>
    <row r="4096">
      <c r="A4096" t="n">
        <v>29</v>
      </c>
      <c r="B4096" t="inlineStr">
        <is>
          <t>K3-6A</t>
        </is>
      </c>
      <c r="D4096" t="n">
        <v>15.68</v>
      </c>
      <c r="E4096" t="n">
        <v>840.861</v>
      </c>
      <c r="G4096" t="n">
        <v>78.57899999999999</v>
      </c>
      <c r="H4096" t="inlineStr">
        <is>
          <t>bb</t>
        </is>
      </c>
      <c r="I4096" t="n">
        <v>840.861</v>
      </c>
    </row>
    <row r="4097">
      <c r="A4097" t="n">
        <v>30</v>
      </c>
      <c r="B4097" t="inlineStr">
        <is>
          <t>K3-6B</t>
        </is>
      </c>
      <c r="D4097" t="n">
        <v>15.68</v>
      </c>
      <c r="E4097" t="n">
        <v>625.202</v>
      </c>
      <c r="G4097" t="n">
        <v>4439</v>
      </c>
      <c r="H4097" t="inlineStr">
        <is>
          <t>bb</t>
        </is>
      </c>
      <c r="I4097" t="n">
        <v>625.202</v>
      </c>
    </row>
    <row r="4098">
      <c r="A4098" t="n">
        <v>31</v>
      </c>
      <c r="B4098" t="inlineStr">
        <is>
          <t>K3-6C</t>
        </is>
      </c>
      <c r="D4098" t="n">
        <v>15.65</v>
      </c>
      <c r="E4098" t="n">
        <v>681.811</v>
      </c>
      <c r="G4098" t="n">
        <v>18.126</v>
      </c>
      <c r="H4098" t="inlineStr">
        <is>
          <t>bb</t>
        </is>
      </c>
      <c r="I4098" t="n">
        <v>681.811</v>
      </c>
    </row>
    <row r="4100">
      <c r="A4100" t="inlineStr">
        <is>
          <t>Compound 118:  11Cl-PF3OUdS 1</t>
        </is>
      </c>
    </row>
    <row r="4102">
      <c r="B4102" t="inlineStr">
        <is>
          <t>Sample Text</t>
        </is>
      </c>
      <c r="C4102" t="inlineStr">
        <is>
          <t>Std. Conc</t>
        </is>
      </c>
      <c r="D4102" t="inlineStr">
        <is>
          <t>RT</t>
        </is>
      </c>
      <c r="E4102" t="inlineStr">
        <is>
          <t>Area</t>
        </is>
      </c>
      <c r="F4102" t="inlineStr">
        <is>
          <t>IS Area</t>
        </is>
      </c>
      <c r="G4102" t="inlineStr">
        <is>
          <t>S/N</t>
        </is>
      </c>
      <c r="H4102" t="inlineStr">
        <is>
          <t>Primary Flags</t>
        </is>
      </c>
      <c r="I4102" t="inlineStr">
        <is>
          <t>Response</t>
        </is>
      </c>
      <c r="J4102" t="inlineStr">
        <is>
          <t>Conc.</t>
        </is>
      </c>
    </row>
    <row r="4103">
      <c r="A4103" t="n">
        <v>1</v>
      </c>
      <c r="B4103" t="inlineStr">
        <is>
          <t>K4-1A</t>
        </is>
      </c>
      <c r="D4103" t="n">
        <v>15.26</v>
      </c>
      <c r="E4103" t="n">
        <v>252.006</v>
      </c>
      <c r="F4103" t="n">
        <v>475.929</v>
      </c>
      <c r="G4103" t="n">
        <v>1802</v>
      </c>
      <c r="H4103" t="inlineStr">
        <is>
          <t>bb</t>
        </is>
      </c>
    </row>
    <row r="4104">
      <c r="A4104" t="n">
        <v>2</v>
      </c>
      <c r="B4104" t="inlineStr">
        <is>
          <t>K4-1B</t>
        </is>
      </c>
      <c r="D4104" t="n">
        <v>15.25</v>
      </c>
      <c r="E4104" t="n">
        <v>109.001</v>
      </c>
      <c r="F4104" t="n">
        <v>630.044</v>
      </c>
      <c r="G4104" t="n">
        <v>704</v>
      </c>
      <c r="H4104" t="inlineStr">
        <is>
          <t>bb</t>
        </is>
      </c>
    </row>
    <row r="4105">
      <c r="A4105" t="n">
        <v>3</v>
      </c>
      <c r="B4105" t="inlineStr">
        <is>
          <t>K4-1C</t>
        </is>
      </c>
      <c r="D4105" t="n">
        <v>15.27</v>
      </c>
      <c r="E4105" t="n">
        <v>9.635999999999999</v>
      </c>
      <c r="F4105" t="n">
        <v>602.215</v>
      </c>
      <c r="G4105" t="n">
        <v>2.922</v>
      </c>
      <c r="H4105" t="inlineStr">
        <is>
          <t>MM</t>
        </is>
      </c>
    </row>
    <row r="4106">
      <c r="A4106" t="n">
        <v>4</v>
      </c>
      <c r="B4106" t="inlineStr">
        <is>
          <t>K4-2A</t>
        </is>
      </c>
      <c r="F4106" t="n">
        <v>216.774</v>
      </c>
    </row>
    <row r="4107">
      <c r="A4107" t="n">
        <v>5</v>
      </c>
      <c r="B4107" t="inlineStr">
        <is>
          <t>K4-2B</t>
        </is>
      </c>
      <c r="F4107" t="n">
        <v>492.326</v>
      </c>
    </row>
    <row r="4108">
      <c r="A4108" t="n">
        <v>6</v>
      </c>
      <c r="B4108" t="inlineStr">
        <is>
          <t>K4-2C</t>
        </is>
      </c>
      <c r="F4108" t="n">
        <v>145.292</v>
      </c>
    </row>
    <row r="4109">
      <c r="A4109" t="n">
        <v>7</v>
      </c>
      <c r="B4109" t="inlineStr">
        <is>
          <t>MeOH</t>
        </is>
      </c>
      <c r="H4109" t="inlineStr">
        <is>
          <t>MM-</t>
        </is>
      </c>
    </row>
    <row r="4110">
      <c r="A4110" t="n">
        <v>8</v>
      </c>
      <c r="B4110" t="inlineStr">
        <is>
          <t>K4-4A</t>
        </is>
      </c>
      <c r="F4110" t="n">
        <v>255.18</v>
      </c>
    </row>
    <row r="4111">
      <c r="A4111" t="n">
        <v>9</v>
      </c>
      <c r="B4111" t="inlineStr">
        <is>
          <t>K4-4B</t>
        </is>
      </c>
      <c r="D4111" t="n">
        <v>15.32</v>
      </c>
      <c r="E4111" t="n">
        <v>4.829</v>
      </c>
      <c r="F4111" t="n">
        <v>423.729</v>
      </c>
      <c r="G4111" t="n">
        <v>39</v>
      </c>
      <c r="H4111" t="inlineStr">
        <is>
          <t>bb</t>
        </is>
      </c>
    </row>
    <row r="4112">
      <c r="A4112" t="n">
        <v>10</v>
      </c>
      <c r="B4112" t="inlineStr">
        <is>
          <t>K4-4C</t>
        </is>
      </c>
      <c r="D4112" t="n">
        <v>15.28</v>
      </c>
      <c r="E4112" t="n">
        <v>27.681</v>
      </c>
      <c r="F4112" t="n">
        <v>428.353</v>
      </c>
      <c r="G4112" t="n">
        <v>213</v>
      </c>
      <c r="H4112" t="inlineStr">
        <is>
          <t>bb</t>
        </is>
      </c>
    </row>
    <row r="4113">
      <c r="A4113" t="n">
        <v>11</v>
      </c>
      <c r="B4113" t="inlineStr">
        <is>
          <t>K4-5A</t>
        </is>
      </c>
      <c r="D4113" t="n">
        <v>15.28</v>
      </c>
      <c r="E4113" t="n">
        <v>55.259</v>
      </c>
      <c r="F4113" t="n">
        <v>314.929</v>
      </c>
      <c r="G4113" t="n">
        <v>2.898</v>
      </c>
      <c r="H4113" t="inlineStr">
        <is>
          <t>bb</t>
        </is>
      </c>
    </row>
    <row r="4114">
      <c r="A4114" t="n">
        <v>12</v>
      </c>
      <c r="B4114" t="inlineStr">
        <is>
          <t>K4-5B</t>
        </is>
      </c>
      <c r="F4114" t="n">
        <v>115.724</v>
      </c>
    </row>
    <row r="4115">
      <c r="A4115" t="n">
        <v>13</v>
      </c>
      <c r="B4115" t="inlineStr">
        <is>
          <t>K4-5C</t>
        </is>
      </c>
      <c r="F4115" t="n">
        <v>225.611</v>
      </c>
    </row>
    <row r="4116">
      <c r="A4116" t="n">
        <v>14</v>
      </c>
      <c r="B4116" t="inlineStr">
        <is>
          <t>MeOH</t>
        </is>
      </c>
      <c r="H4116" t="inlineStr">
        <is>
          <t>MM-</t>
        </is>
      </c>
    </row>
    <row r="4117">
      <c r="A4117" t="n">
        <v>15</v>
      </c>
      <c r="B4117" t="inlineStr">
        <is>
          <t>K3-1A</t>
        </is>
      </c>
      <c r="F4117" t="n">
        <v>432.168</v>
      </c>
    </row>
    <row r="4118">
      <c r="A4118" t="n">
        <v>16</v>
      </c>
      <c r="B4118" t="inlineStr">
        <is>
          <t>K3-1B</t>
        </is>
      </c>
      <c r="F4118" t="n">
        <v>439.829</v>
      </c>
    </row>
    <row r="4119">
      <c r="A4119" t="n">
        <v>17</v>
      </c>
      <c r="B4119" t="inlineStr">
        <is>
          <t>K3-1C</t>
        </is>
      </c>
      <c r="D4119" t="n">
        <v>15.05</v>
      </c>
      <c r="E4119" t="n">
        <v>12.067</v>
      </c>
      <c r="F4119" t="n">
        <v>313.795</v>
      </c>
      <c r="G4119" t="n">
        <v>112</v>
      </c>
      <c r="H4119" t="inlineStr">
        <is>
          <t>bb</t>
        </is>
      </c>
    </row>
    <row r="4120">
      <c r="A4120" t="n">
        <v>18</v>
      </c>
      <c r="B4120" t="inlineStr">
        <is>
          <t>K3-2A</t>
        </is>
      </c>
      <c r="D4120" t="n">
        <v>15.33</v>
      </c>
      <c r="E4120" t="n">
        <v>24.779</v>
      </c>
      <c r="F4120" t="n">
        <v>420.878</v>
      </c>
      <c r="G4120" t="n">
        <v>198</v>
      </c>
      <c r="H4120" t="inlineStr">
        <is>
          <t>bb</t>
        </is>
      </c>
    </row>
    <row r="4121">
      <c r="A4121" t="n">
        <v>19</v>
      </c>
      <c r="B4121" t="inlineStr">
        <is>
          <t>K3-2B</t>
        </is>
      </c>
      <c r="F4121" t="n">
        <v>830.495</v>
      </c>
    </row>
    <row r="4122">
      <c r="A4122" t="n">
        <v>20</v>
      </c>
      <c r="B4122" t="inlineStr">
        <is>
          <t>K3-2C</t>
        </is>
      </c>
      <c r="F4122" t="n">
        <v>343.52</v>
      </c>
    </row>
    <row r="4123">
      <c r="A4123" t="n">
        <v>21</v>
      </c>
      <c r="B4123" t="inlineStr">
        <is>
          <t>MeOH</t>
        </is>
      </c>
      <c r="D4123" t="n">
        <v>15.28</v>
      </c>
      <c r="E4123" t="n">
        <v>614.524</v>
      </c>
      <c r="G4123" t="n">
        <v>4074</v>
      </c>
      <c r="H4123" t="inlineStr">
        <is>
          <t>bb</t>
        </is>
      </c>
    </row>
    <row r="4124">
      <c r="A4124" t="n">
        <v>22</v>
      </c>
      <c r="B4124" t="inlineStr">
        <is>
          <t>K3-3A</t>
        </is>
      </c>
      <c r="D4124" t="n">
        <v>15.25</v>
      </c>
      <c r="E4124" t="n">
        <v>16.111</v>
      </c>
      <c r="F4124" t="n">
        <v>376.834</v>
      </c>
      <c r="G4124" t="n">
        <v>1.154</v>
      </c>
      <c r="H4124" t="inlineStr">
        <is>
          <t>bb</t>
        </is>
      </c>
    </row>
    <row r="4125">
      <c r="A4125" t="n">
        <v>23</v>
      </c>
      <c r="B4125" t="inlineStr">
        <is>
          <t>K3-3B</t>
        </is>
      </c>
      <c r="D4125" t="n">
        <v>15.25</v>
      </c>
      <c r="E4125" t="n">
        <v>14.238</v>
      </c>
      <c r="F4125" t="n">
        <v>559.133</v>
      </c>
      <c r="G4125" t="n">
        <v>119</v>
      </c>
      <c r="H4125" t="inlineStr">
        <is>
          <t>bb</t>
        </is>
      </c>
    </row>
    <row r="4126">
      <c r="A4126" t="n">
        <v>24</v>
      </c>
      <c r="B4126" t="inlineStr">
        <is>
          <t>K3-3C</t>
        </is>
      </c>
      <c r="D4126" t="n">
        <v>15.25</v>
      </c>
      <c r="E4126" t="n">
        <v>9.055</v>
      </c>
      <c r="F4126" t="n">
        <v>435.036</v>
      </c>
      <c r="G4126" t="n">
        <v>74</v>
      </c>
      <c r="H4126" t="inlineStr">
        <is>
          <t>bb</t>
        </is>
      </c>
    </row>
    <row r="4127">
      <c r="A4127" t="n">
        <v>25</v>
      </c>
      <c r="B4127" t="inlineStr">
        <is>
          <t>K3-4A</t>
        </is>
      </c>
      <c r="F4127" t="n">
        <v>337.222</v>
      </c>
    </row>
    <row r="4128">
      <c r="A4128" t="n">
        <v>26</v>
      </c>
      <c r="B4128" t="inlineStr">
        <is>
          <t>K3-4B</t>
        </is>
      </c>
      <c r="D4128" t="n">
        <v>15.32</v>
      </c>
      <c r="E4128" t="n">
        <v>9.506</v>
      </c>
      <c r="F4128" t="n">
        <v>758.223</v>
      </c>
      <c r="G4128" t="n">
        <v>76</v>
      </c>
      <c r="H4128" t="inlineStr">
        <is>
          <t>bb</t>
        </is>
      </c>
    </row>
    <row r="4129">
      <c r="A4129" t="n">
        <v>27</v>
      </c>
      <c r="B4129" t="inlineStr">
        <is>
          <t>K3-4C</t>
        </is>
      </c>
      <c r="D4129" t="n">
        <v>15.67</v>
      </c>
      <c r="E4129" t="n">
        <v>5.539</v>
      </c>
      <c r="F4129" t="n">
        <v>427.126</v>
      </c>
      <c r="G4129" t="n">
        <v>49</v>
      </c>
      <c r="H4129" t="inlineStr">
        <is>
          <t>MM</t>
        </is>
      </c>
    </row>
    <row r="4130">
      <c r="A4130" t="n">
        <v>28</v>
      </c>
      <c r="B4130" t="inlineStr">
        <is>
          <t>MeOH</t>
        </is>
      </c>
      <c r="D4130" t="n">
        <v>15.35</v>
      </c>
      <c r="E4130" t="n">
        <v>637.154</v>
      </c>
      <c r="G4130" t="n">
        <v>4515</v>
      </c>
      <c r="H4130" t="inlineStr">
        <is>
          <t>bb</t>
        </is>
      </c>
    </row>
    <row r="4131">
      <c r="A4131" t="n">
        <v>29</v>
      </c>
      <c r="B4131" t="inlineStr">
        <is>
          <t>K3-6A</t>
        </is>
      </c>
      <c r="D4131" t="n">
        <v>15.32</v>
      </c>
      <c r="E4131" t="n">
        <v>27.203</v>
      </c>
      <c r="F4131" t="n">
        <v>793.353</v>
      </c>
      <c r="G4131" t="n">
        <v>210</v>
      </c>
      <c r="H4131" t="inlineStr">
        <is>
          <t>bb</t>
        </is>
      </c>
    </row>
    <row r="4132">
      <c r="A4132" t="n">
        <v>30</v>
      </c>
      <c r="B4132" t="inlineStr">
        <is>
          <t>K3-6B</t>
        </is>
      </c>
      <c r="D4132" t="n">
        <v>15.38</v>
      </c>
      <c r="E4132" t="n">
        <v>73.129</v>
      </c>
      <c r="F4132" t="n">
        <v>501.186</v>
      </c>
      <c r="G4132" t="n">
        <v>2.907</v>
      </c>
      <c r="H4132" t="inlineStr">
        <is>
          <t>bb</t>
        </is>
      </c>
    </row>
    <row r="4133">
      <c r="A4133" t="n">
        <v>31</v>
      </c>
      <c r="B4133" t="inlineStr">
        <is>
          <t>K3-6C</t>
        </is>
      </c>
      <c r="F4133" t="n">
        <v>295.29</v>
      </c>
    </row>
    <row r="4135">
      <c r="A4135" t="inlineStr">
        <is>
          <t>Compound 119:  11Cl-PF3OUdS 2</t>
        </is>
      </c>
    </row>
    <row r="4137">
      <c r="B4137" t="inlineStr">
        <is>
          <t>Sample Text</t>
        </is>
      </c>
      <c r="C4137" t="inlineStr">
        <is>
          <t>Std. Conc</t>
        </is>
      </c>
      <c r="D4137" t="inlineStr">
        <is>
          <t>RT</t>
        </is>
      </c>
      <c r="E4137" t="inlineStr">
        <is>
          <t>Area</t>
        </is>
      </c>
      <c r="F4137" t="inlineStr">
        <is>
          <t>IS Area</t>
        </is>
      </c>
      <c r="G4137" t="inlineStr">
        <is>
          <t>S/N</t>
        </is>
      </c>
      <c r="H4137" t="inlineStr">
        <is>
          <t>Primary Flags</t>
        </is>
      </c>
      <c r="I4137" t="inlineStr">
        <is>
          <t>Response</t>
        </is>
      </c>
      <c r="J4137" t="inlineStr">
        <is>
          <t>Conc.</t>
        </is>
      </c>
    </row>
    <row r="4138">
      <c r="A4138" t="n">
        <v>1</v>
      </c>
      <c r="B4138" t="inlineStr">
        <is>
          <t>K4-1A</t>
        </is>
      </c>
      <c r="F4138" t="n">
        <v>475.929</v>
      </c>
    </row>
    <row r="4139">
      <c r="A4139" t="n">
        <v>2</v>
      </c>
      <c r="B4139" t="inlineStr">
        <is>
          <t>K4-1B</t>
        </is>
      </c>
      <c r="F4139" t="n">
        <v>630.044</v>
      </c>
    </row>
    <row r="4140">
      <c r="A4140" t="n">
        <v>3</v>
      </c>
      <c r="B4140" t="inlineStr">
        <is>
          <t>K4-1C</t>
        </is>
      </c>
      <c r="F4140" t="n">
        <v>602.215</v>
      </c>
    </row>
    <row r="4141">
      <c r="A4141" t="n">
        <v>4</v>
      </c>
      <c r="B4141" t="inlineStr">
        <is>
          <t>K4-2A</t>
        </is>
      </c>
      <c r="F4141" t="n">
        <v>216.774</v>
      </c>
    </row>
    <row r="4142">
      <c r="A4142" t="n">
        <v>5</v>
      </c>
      <c r="B4142" t="inlineStr">
        <is>
          <t>K4-2B</t>
        </is>
      </c>
      <c r="D4142" t="n">
        <v>15.78</v>
      </c>
      <c r="E4142" t="n">
        <v>24.323</v>
      </c>
      <c r="F4142" t="n">
        <v>492.326</v>
      </c>
      <c r="G4142" t="n">
        <v>215</v>
      </c>
      <c r="H4142" t="inlineStr">
        <is>
          <t>MM</t>
        </is>
      </c>
    </row>
    <row r="4143">
      <c r="A4143" t="n">
        <v>6</v>
      </c>
      <c r="B4143" t="inlineStr">
        <is>
          <t>K4-2C</t>
        </is>
      </c>
      <c r="F4143" t="n">
        <v>145.292</v>
      </c>
    </row>
    <row r="4144">
      <c r="A4144" t="n">
        <v>7</v>
      </c>
      <c r="B4144" t="inlineStr">
        <is>
          <t>MeOH</t>
        </is>
      </c>
      <c r="D4144" t="n">
        <v>15.28</v>
      </c>
      <c r="E4144" t="n">
        <v>34.49</v>
      </c>
      <c r="G4144" t="n">
        <v>267</v>
      </c>
      <c r="H4144" t="inlineStr">
        <is>
          <t>bb</t>
        </is>
      </c>
    </row>
    <row r="4145">
      <c r="A4145" t="n">
        <v>8</v>
      </c>
      <c r="B4145" t="inlineStr">
        <is>
          <t>K4-4A</t>
        </is>
      </c>
      <c r="F4145" t="n">
        <v>255.18</v>
      </c>
    </row>
    <row r="4146">
      <c r="A4146" t="n">
        <v>9</v>
      </c>
      <c r="B4146" t="inlineStr">
        <is>
          <t>K4-4B</t>
        </is>
      </c>
      <c r="F4146" t="n">
        <v>423.729</v>
      </c>
    </row>
    <row r="4147">
      <c r="A4147" t="n">
        <v>10</v>
      </c>
      <c r="B4147" t="inlineStr">
        <is>
          <t>K4-4C</t>
        </is>
      </c>
      <c r="F4147" t="n">
        <v>428.353</v>
      </c>
    </row>
    <row r="4148">
      <c r="A4148" t="n">
        <v>11</v>
      </c>
      <c r="B4148" t="inlineStr">
        <is>
          <t>K4-5A</t>
        </is>
      </c>
      <c r="F4148" t="n">
        <v>314.929</v>
      </c>
    </row>
    <row r="4149">
      <c r="A4149" t="n">
        <v>12</v>
      </c>
      <c r="B4149" t="inlineStr">
        <is>
          <t>K4-5B</t>
        </is>
      </c>
      <c r="F4149" t="n">
        <v>115.724</v>
      </c>
    </row>
    <row r="4150">
      <c r="A4150" t="n">
        <v>13</v>
      </c>
      <c r="B4150" t="inlineStr">
        <is>
          <t>K4-5C</t>
        </is>
      </c>
      <c r="F4150" t="n">
        <v>225.611</v>
      </c>
    </row>
    <row r="4151">
      <c r="A4151" t="n">
        <v>14</v>
      </c>
      <c r="B4151" t="inlineStr">
        <is>
          <t>MeOH</t>
        </is>
      </c>
      <c r="D4151" t="n">
        <v>15.13</v>
      </c>
      <c r="E4151" t="n">
        <v>4.227</v>
      </c>
      <c r="G4151" t="n">
        <v>41</v>
      </c>
      <c r="H4151" t="inlineStr">
        <is>
          <t>bb</t>
        </is>
      </c>
    </row>
    <row r="4152">
      <c r="A4152" t="n">
        <v>15</v>
      </c>
      <c r="B4152" t="inlineStr">
        <is>
          <t>K3-1A</t>
        </is>
      </c>
      <c r="F4152" t="n">
        <v>432.168</v>
      </c>
    </row>
    <row r="4153">
      <c r="A4153" t="n">
        <v>16</v>
      </c>
      <c r="B4153" t="inlineStr">
        <is>
          <t>K3-1B</t>
        </is>
      </c>
      <c r="F4153" t="n">
        <v>439.829</v>
      </c>
    </row>
    <row r="4154">
      <c r="A4154" t="n">
        <v>17</v>
      </c>
      <c r="B4154" t="inlineStr">
        <is>
          <t>K3-1C</t>
        </is>
      </c>
      <c r="F4154" t="n">
        <v>313.795</v>
      </c>
    </row>
    <row r="4155">
      <c r="A4155" t="n">
        <v>18</v>
      </c>
      <c r="B4155" t="inlineStr">
        <is>
          <t>K3-2A</t>
        </is>
      </c>
      <c r="F4155" t="n">
        <v>420.878</v>
      </c>
    </row>
    <row r="4156">
      <c r="A4156" t="n">
        <v>19</v>
      </c>
      <c r="B4156" t="inlineStr">
        <is>
          <t>K3-2B</t>
        </is>
      </c>
      <c r="F4156" t="n">
        <v>830.495</v>
      </c>
    </row>
    <row r="4157">
      <c r="A4157" t="n">
        <v>20</v>
      </c>
      <c r="B4157" t="inlineStr">
        <is>
          <t>K3-2C</t>
        </is>
      </c>
      <c r="D4157" t="n">
        <v>15.53</v>
      </c>
      <c r="E4157" t="n">
        <v>1.222</v>
      </c>
      <c r="F4157" t="n">
        <v>343.52</v>
      </c>
      <c r="G4157" t="n">
        <v>11</v>
      </c>
      <c r="H4157" t="inlineStr">
        <is>
          <t>bb</t>
        </is>
      </c>
    </row>
    <row r="4158">
      <c r="A4158" t="n">
        <v>21</v>
      </c>
      <c r="B4158" t="inlineStr">
        <is>
          <t>MeOH</t>
        </is>
      </c>
    </row>
    <row r="4159">
      <c r="A4159" t="n">
        <v>22</v>
      </c>
      <c r="B4159" t="inlineStr">
        <is>
          <t>K3-3A</t>
        </is>
      </c>
      <c r="D4159" t="n">
        <v>14.93</v>
      </c>
      <c r="E4159" t="n">
        <v>7.138</v>
      </c>
      <c r="F4159" t="n">
        <v>376.834</v>
      </c>
      <c r="G4159" t="n">
        <v>61</v>
      </c>
      <c r="H4159" t="inlineStr">
        <is>
          <t>bb</t>
        </is>
      </c>
    </row>
    <row r="4160">
      <c r="A4160" t="n">
        <v>23</v>
      </c>
      <c r="B4160" t="inlineStr">
        <is>
          <t>K3-3B</t>
        </is>
      </c>
      <c r="F4160" t="n">
        <v>559.133</v>
      </c>
    </row>
    <row r="4161">
      <c r="A4161" t="n">
        <v>24</v>
      </c>
      <c r="B4161" t="inlineStr">
        <is>
          <t>K3-3C</t>
        </is>
      </c>
      <c r="F4161" t="n">
        <v>435.036</v>
      </c>
    </row>
    <row r="4162">
      <c r="A4162" t="n">
        <v>25</v>
      </c>
      <c r="B4162" t="inlineStr">
        <is>
          <t>K3-4A</t>
        </is>
      </c>
      <c r="F4162" t="n">
        <v>337.222</v>
      </c>
    </row>
    <row r="4163">
      <c r="A4163" t="n">
        <v>26</v>
      </c>
      <c r="B4163" t="inlineStr">
        <is>
          <t>K3-4B</t>
        </is>
      </c>
      <c r="F4163" t="n">
        <v>758.223</v>
      </c>
    </row>
    <row r="4164">
      <c r="A4164" t="n">
        <v>27</v>
      </c>
      <c r="B4164" t="inlineStr">
        <is>
          <t>K3-4C</t>
        </is>
      </c>
      <c r="D4164" t="n">
        <v>15.4</v>
      </c>
      <c r="E4164" t="n">
        <v>1.846</v>
      </c>
      <c r="F4164" t="n">
        <v>427.126</v>
      </c>
      <c r="G4164" t="n">
        <v>15</v>
      </c>
      <c r="H4164" t="inlineStr">
        <is>
          <t>bb</t>
        </is>
      </c>
    </row>
    <row r="4165">
      <c r="A4165" t="n">
        <v>28</v>
      </c>
      <c r="B4165" t="inlineStr">
        <is>
          <t>MeOH</t>
        </is>
      </c>
    </row>
    <row r="4166">
      <c r="A4166" t="n">
        <v>29</v>
      </c>
      <c r="B4166" t="inlineStr">
        <is>
          <t>K3-6A</t>
        </is>
      </c>
      <c r="F4166" t="n">
        <v>793.353</v>
      </c>
    </row>
    <row r="4167">
      <c r="A4167" t="n">
        <v>30</v>
      </c>
      <c r="B4167" t="inlineStr">
        <is>
          <t>K3-6B</t>
        </is>
      </c>
      <c r="F4167" t="n">
        <v>501.186</v>
      </c>
    </row>
    <row r="4168">
      <c r="A4168" t="n">
        <v>31</v>
      </c>
      <c r="B4168" t="inlineStr">
        <is>
          <t>K3-6C</t>
        </is>
      </c>
      <c r="F4168" t="n">
        <v>295.29</v>
      </c>
    </row>
    <row r="4170">
      <c r="A4170" t="inlineStr">
        <is>
          <t>Compound 120:  PFTrDA 1</t>
        </is>
      </c>
    </row>
    <row r="4172">
      <c r="B4172" t="inlineStr">
        <is>
          <t>Sample Text</t>
        </is>
      </c>
      <c r="C4172" t="inlineStr">
        <is>
          <t>Std. Conc</t>
        </is>
      </c>
      <c r="D4172" t="inlineStr">
        <is>
          <t>RT</t>
        </is>
      </c>
      <c r="E4172" t="inlineStr">
        <is>
          <t>Area</t>
        </is>
      </c>
      <c r="F4172" t="inlineStr">
        <is>
          <t>IS Area</t>
        </is>
      </c>
      <c r="G4172" t="inlineStr">
        <is>
          <t>S/N</t>
        </is>
      </c>
      <c r="H4172" t="inlineStr">
        <is>
          <t>Primary Flags</t>
        </is>
      </c>
      <c r="I4172" t="inlineStr">
        <is>
          <t>Response</t>
        </is>
      </c>
      <c r="J4172" t="inlineStr">
        <is>
          <t>Conc.</t>
        </is>
      </c>
    </row>
    <row r="4173">
      <c r="A4173" t="n">
        <v>1</v>
      </c>
      <c r="B4173" t="inlineStr">
        <is>
          <t>K4-1A</t>
        </is>
      </c>
      <c r="D4173" t="n">
        <v>16.3</v>
      </c>
      <c r="E4173" t="n">
        <v>15.191</v>
      </c>
      <c r="F4173" t="n">
        <v>435.167</v>
      </c>
      <c r="G4173" t="n">
        <v>165</v>
      </c>
      <c r="H4173" t="inlineStr">
        <is>
          <t>bb</t>
        </is>
      </c>
    </row>
    <row r="4174">
      <c r="A4174" t="n">
        <v>2</v>
      </c>
      <c r="B4174" t="inlineStr">
        <is>
          <t>K4-1B</t>
        </is>
      </c>
      <c r="F4174" t="n">
        <v>549.792</v>
      </c>
    </row>
    <row r="4175">
      <c r="A4175" t="n">
        <v>3</v>
      </c>
      <c r="B4175" t="inlineStr">
        <is>
          <t>K4-1C</t>
        </is>
      </c>
      <c r="D4175" t="n">
        <v>16.31</v>
      </c>
      <c r="E4175" t="n">
        <v>3.219</v>
      </c>
      <c r="F4175" t="n">
        <v>409.212</v>
      </c>
      <c r="G4175" t="n">
        <v>35</v>
      </c>
      <c r="H4175" t="inlineStr">
        <is>
          <t>bb</t>
        </is>
      </c>
    </row>
    <row r="4176">
      <c r="A4176" t="n">
        <v>4</v>
      </c>
      <c r="B4176" t="inlineStr">
        <is>
          <t>K4-2A</t>
        </is>
      </c>
      <c r="D4176" t="n">
        <v>16.27</v>
      </c>
      <c r="E4176" t="n">
        <v>37.886</v>
      </c>
      <c r="F4176" t="n">
        <v>458.88</v>
      </c>
      <c r="G4176" t="n">
        <v>5.255</v>
      </c>
      <c r="H4176" t="inlineStr">
        <is>
          <t>bb</t>
        </is>
      </c>
    </row>
    <row r="4177">
      <c r="A4177" t="n">
        <v>5</v>
      </c>
      <c r="B4177" t="inlineStr">
        <is>
          <t>K4-2B</t>
        </is>
      </c>
      <c r="F4177" t="n">
        <v>403.292</v>
      </c>
    </row>
    <row r="4178">
      <c r="A4178" t="n">
        <v>6</v>
      </c>
      <c r="B4178" t="inlineStr">
        <is>
          <t>K4-2C</t>
        </is>
      </c>
      <c r="D4178" t="n">
        <v>16.3</v>
      </c>
      <c r="E4178" t="n">
        <v>11.893</v>
      </c>
      <c r="F4178" t="n">
        <v>349.79</v>
      </c>
      <c r="G4178" t="n">
        <v>129</v>
      </c>
      <c r="H4178" t="inlineStr">
        <is>
          <t>bb</t>
        </is>
      </c>
    </row>
    <row r="4179">
      <c r="A4179" t="n">
        <v>7</v>
      </c>
      <c r="B4179" t="inlineStr">
        <is>
          <t>MeOH</t>
        </is>
      </c>
    </row>
    <row r="4180">
      <c r="A4180" t="n">
        <v>8</v>
      </c>
      <c r="B4180" t="inlineStr">
        <is>
          <t>K4-4A</t>
        </is>
      </c>
      <c r="D4180" t="n">
        <v>16.31</v>
      </c>
      <c r="E4180" t="n">
        <v>3.157</v>
      </c>
      <c r="F4180" t="n">
        <v>438.197</v>
      </c>
      <c r="G4180" t="n">
        <v>34</v>
      </c>
      <c r="H4180" t="inlineStr">
        <is>
          <t>bb</t>
        </is>
      </c>
    </row>
    <row r="4181">
      <c r="A4181" t="n">
        <v>9</v>
      </c>
      <c r="B4181" t="inlineStr">
        <is>
          <t>K4-4B</t>
        </is>
      </c>
      <c r="D4181" t="n">
        <v>16.31</v>
      </c>
      <c r="E4181" t="n">
        <v>18.41</v>
      </c>
      <c r="F4181" t="n">
        <v>453.67</v>
      </c>
      <c r="G4181" t="n">
        <v>195</v>
      </c>
      <c r="H4181" t="inlineStr">
        <is>
          <t>bb</t>
        </is>
      </c>
    </row>
    <row r="4182">
      <c r="A4182" t="n">
        <v>10</v>
      </c>
      <c r="B4182" t="inlineStr">
        <is>
          <t>K4-4C</t>
        </is>
      </c>
      <c r="D4182" t="n">
        <v>16.29</v>
      </c>
      <c r="E4182" t="n">
        <v>1.7</v>
      </c>
      <c r="F4182" t="n">
        <v>468.581</v>
      </c>
      <c r="G4182" t="n">
        <v>18</v>
      </c>
      <c r="H4182" t="inlineStr">
        <is>
          <t>bb</t>
        </is>
      </c>
    </row>
    <row r="4183">
      <c r="A4183" t="n">
        <v>11</v>
      </c>
      <c r="B4183" t="inlineStr">
        <is>
          <t>K4-5A</t>
        </is>
      </c>
      <c r="D4183" t="n">
        <v>16.28</v>
      </c>
      <c r="E4183" t="n">
        <v>26.528</v>
      </c>
      <c r="F4183" t="n">
        <v>381.594</v>
      </c>
      <c r="G4183" t="n">
        <v>243</v>
      </c>
      <c r="H4183" t="inlineStr">
        <is>
          <t>bb</t>
        </is>
      </c>
    </row>
    <row r="4184">
      <c r="A4184" t="n">
        <v>12</v>
      </c>
      <c r="B4184" t="inlineStr">
        <is>
          <t>K4-5B</t>
        </is>
      </c>
      <c r="D4184" t="n">
        <v>16.29</v>
      </c>
      <c r="E4184" t="n">
        <v>37.595</v>
      </c>
      <c r="F4184" t="n">
        <v>405.711</v>
      </c>
      <c r="G4184" t="n">
        <v>358</v>
      </c>
      <c r="H4184" t="inlineStr">
        <is>
          <t>bb</t>
        </is>
      </c>
    </row>
    <row r="4185">
      <c r="A4185" t="n">
        <v>13</v>
      </c>
      <c r="B4185" t="inlineStr">
        <is>
          <t>K4-5C</t>
        </is>
      </c>
      <c r="D4185" t="n">
        <v>16.47</v>
      </c>
      <c r="E4185" t="n">
        <v>22.393</v>
      </c>
      <c r="F4185" t="n">
        <v>367.483</v>
      </c>
      <c r="G4185" t="n">
        <v>7.387</v>
      </c>
      <c r="H4185" t="inlineStr">
        <is>
          <t>bb</t>
        </is>
      </c>
    </row>
    <row r="4186">
      <c r="A4186" t="n">
        <v>14</v>
      </c>
      <c r="B4186" t="inlineStr">
        <is>
          <t>MeOH</t>
        </is>
      </c>
      <c r="D4186" t="n">
        <v>16.21</v>
      </c>
      <c r="E4186" t="n">
        <v>29.531</v>
      </c>
      <c r="G4186" t="n">
        <v>303</v>
      </c>
      <c r="H4186" t="inlineStr">
        <is>
          <t>bb</t>
        </is>
      </c>
    </row>
    <row r="4187">
      <c r="A4187" t="n">
        <v>15</v>
      </c>
      <c r="B4187" t="inlineStr">
        <is>
          <t>K3-1A</t>
        </is>
      </c>
      <c r="D4187" t="n">
        <v>16.2</v>
      </c>
      <c r="E4187" t="n">
        <v>301.494</v>
      </c>
      <c r="F4187" t="n">
        <v>519.807</v>
      </c>
      <c r="G4187" t="n">
        <v>2697</v>
      </c>
      <c r="H4187" t="inlineStr">
        <is>
          <t>bb</t>
        </is>
      </c>
    </row>
    <row r="4188">
      <c r="A4188" t="n">
        <v>16</v>
      </c>
      <c r="B4188" t="inlineStr">
        <is>
          <t>K3-1B</t>
        </is>
      </c>
      <c r="F4188" t="n">
        <v>456.552</v>
      </c>
    </row>
    <row r="4189">
      <c r="A4189" t="n">
        <v>17</v>
      </c>
      <c r="B4189" t="inlineStr">
        <is>
          <t>K3-1C</t>
        </is>
      </c>
      <c r="D4189" t="n">
        <v>16.26</v>
      </c>
      <c r="E4189" t="n">
        <v>39.856</v>
      </c>
      <c r="F4189" t="n">
        <v>556.412</v>
      </c>
      <c r="G4189" t="n">
        <v>418</v>
      </c>
      <c r="H4189" t="inlineStr">
        <is>
          <t>bb</t>
        </is>
      </c>
    </row>
    <row r="4190">
      <c r="A4190" t="n">
        <v>18</v>
      </c>
      <c r="B4190" t="inlineStr">
        <is>
          <t>K3-2A</t>
        </is>
      </c>
      <c r="F4190" t="n">
        <v>520.705</v>
      </c>
    </row>
    <row r="4191">
      <c r="A4191" t="n">
        <v>19</v>
      </c>
      <c r="B4191" t="inlineStr">
        <is>
          <t>K3-2B</t>
        </is>
      </c>
      <c r="D4191" t="n">
        <v>16.31</v>
      </c>
      <c r="E4191" t="n">
        <v>22.04</v>
      </c>
      <c r="F4191" t="n">
        <v>697.726</v>
      </c>
      <c r="G4191" t="n">
        <v>158</v>
      </c>
      <c r="H4191" t="inlineStr">
        <is>
          <t>bb</t>
        </is>
      </c>
    </row>
    <row r="4192">
      <c r="A4192" t="n">
        <v>20</v>
      </c>
      <c r="B4192" t="inlineStr">
        <is>
          <t>K3-2C</t>
        </is>
      </c>
      <c r="D4192" t="n">
        <v>16.21</v>
      </c>
      <c r="E4192" t="n">
        <v>11.837</v>
      </c>
      <c r="F4192" t="n">
        <v>515.652</v>
      </c>
      <c r="G4192" t="n">
        <v>126</v>
      </c>
      <c r="H4192" t="inlineStr">
        <is>
          <t>bb</t>
        </is>
      </c>
    </row>
    <row r="4193">
      <c r="A4193" t="n">
        <v>21</v>
      </c>
      <c r="B4193" t="inlineStr">
        <is>
          <t>MeOH</t>
        </is>
      </c>
    </row>
    <row r="4194">
      <c r="A4194" t="n">
        <v>22</v>
      </c>
      <c r="B4194" t="inlineStr">
        <is>
          <t>K3-3A</t>
        </is>
      </c>
      <c r="D4194" t="n">
        <v>16.24</v>
      </c>
      <c r="E4194" t="n">
        <v>25.276</v>
      </c>
      <c r="F4194" t="n">
        <v>442.761</v>
      </c>
      <c r="G4194" t="n">
        <v>3.718</v>
      </c>
      <c r="H4194" t="inlineStr">
        <is>
          <t>bb</t>
        </is>
      </c>
    </row>
    <row r="4195">
      <c r="A4195" t="n">
        <v>23</v>
      </c>
      <c r="B4195" t="inlineStr">
        <is>
          <t>K3-3B</t>
        </is>
      </c>
      <c r="D4195" t="n">
        <v>16.28</v>
      </c>
      <c r="E4195" t="n">
        <v>9.709</v>
      </c>
      <c r="F4195" t="n">
        <v>392.975</v>
      </c>
      <c r="G4195" t="n">
        <v>104</v>
      </c>
      <c r="H4195" t="inlineStr">
        <is>
          <t>bb</t>
        </is>
      </c>
    </row>
    <row r="4196">
      <c r="A4196" t="n">
        <v>24</v>
      </c>
      <c r="B4196" t="inlineStr">
        <is>
          <t>K3-3C</t>
        </is>
      </c>
      <c r="D4196" t="n">
        <v>16.26</v>
      </c>
      <c r="E4196" t="n">
        <v>7.014</v>
      </c>
      <c r="F4196" t="n">
        <v>533.34</v>
      </c>
      <c r="G4196" t="n">
        <v>75</v>
      </c>
      <c r="H4196" t="inlineStr">
        <is>
          <t>bb</t>
        </is>
      </c>
    </row>
    <row r="4197">
      <c r="A4197" t="n">
        <v>25</v>
      </c>
      <c r="B4197" t="inlineStr">
        <is>
          <t>K3-4A</t>
        </is>
      </c>
      <c r="F4197" t="n">
        <v>579.684</v>
      </c>
    </row>
    <row r="4198">
      <c r="A4198" t="n">
        <v>26</v>
      </c>
      <c r="B4198" t="inlineStr">
        <is>
          <t>K3-4B</t>
        </is>
      </c>
      <c r="D4198" t="n">
        <v>16.38</v>
      </c>
      <c r="E4198" t="n">
        <v>38.917</v>
      </c>
      <c r="F4198" t="n">
        <v>398.943</v>
      </c>
      <c r="G4198" t="n">
        <v>349</v>
      </c>
      <c r="H4198" t="inlineStr">
        <is>
          <t>bb</t>
        </is>
      </c>
    </row>
    <row r="4199">
      <c r="A4199" t="n">
        <v>27</v>
      </c>
      <c r="B4199" t="inlineStr">
        <is>
          <t>K3-4C</t>
        </is>
      </c>
      <c r="D4199" t="n">
        <v>16.38</v>
      </c>
      <c r="E4199" t="n">
        <v>9.039999999999999</v>
      </c>
      <c r="F4199" t="n">
        <v>556.154</v>
      </c>
      <c r="G4199" t="n">
        <v>79</v>
      </c>
      <c r="H4199" t="inlineStr">
        <is>
          <t>bb</t>
        </is>
      </c>
    </row>
    <row r="4200">
      <c r="A4200" t="n">
        <v>28</v>
      </c>
      <c r="B4200" t="inlineStr">
        <is>
          <t>MeOH</t>
        </is>
      </c>
      <c r="H4200" t="inlineStr">
        <is>
          <t>MM-</t>
        </is>
      </c>
    </row>
    <row r="4201">
      <c r="A4201" t="n">
        <v>29</v>
      </c>
      <c r="B4201" t="inlineStr">
        <is>
          <t>K3-6A</t>
        </is>
      </c>
      <c r="F4201" t="n">
        <v>543.972</v>
      </c>
    </row>
    <row r="4202">
      <c r="A4202" t="n">
        <v>30</v>
      </c>
      <c r="B4202" t="inlineStr">
        <is>
          <t>K3-6B</t>
        </is>
      </c>
      <c r="F4202" t="n">
        <v>411.323</v>
      </c>
    </row>
    <row r="4203">
      <c r="A4203" t="n">
        <v>31</v>
      </c>
      <c r="B4203" t="inlineStr">
        <is>
          <t>K3-6C</t>
        </is>
      </c>
      <c r="D4203" t="n">
        <v>16.29</v>
      </c>
      <c r="E4203" t="n">
        <v>11.496</v>
      </c>
      <c r="F4203" t="n">
        <v>451.372</v>
      </c>
      <c r="G4203" t="n">
        <v>124</v>
      </c>
      <c r="H4203" t="inlineStr">
        <is>
          <t>bb</t>
        </is>
      </c>
    </row>
    <row r="4205">
      <c r="A4205" t="inlineStr">
        <is>
          <t>Compound 121:  PFTrDA 2</t>
        </is>
      </c>
    </row>
    <row r="4207">
      <c r="B4207" t="inlineStr">
        <is>
          <t>Sample Text</t>
        </is>
      </c>
      <c r="C4207" t="inlineStr">
        <is>
          <t>Std. Conc</t>
        </is>
      </c>
      <c r="D4207" t="inlineStr">
        <is>
          <t>RT</t>
        </is>
      </c>
      <c r="E4207" t="inlineStr">
        <is>
          <t>Area</t>
        </is>
      </c>
      <c r="F4207" t="inlineStr">
        <is>
          <t>IS Area</t>
        </is>
      </c>
      <c r="G4207" t="inlineStr">
        <is>
          <t>S/N</t>
        </is>
      </c>
      <c r="H4207" t="inlineStr">
        <is>
          <t>Primary Flags</t>
        </is>
      </c>
      <c r="I4207" t="inlineStr">
        <is>
          <t>Response</t>
        </is>
      </c>
      <c r="J4207" t="inlineStr">
        <is>
          <t>Conc.</t>
        </is>
      </c>
    </row>
    <row r="4208">
      <c r="A4208" t="n">
        <v>1</v>
      </c>
      <c r="B4208" t="inlineStr">
        <is>
          <t>K4-1A</t>
        </is>
      </c>
      <c r="D4208" t="n">
        <v>16.2</v>
      </c>
      <c r="E4208" t="n">
        <v>2.145</v>
      </c>
      <c r="F4208" t="n">
        <v>435.167</v>
      </c>
      <c r="G4208" t="n">
        <v>23</v>
      </c>
      <c r="H4208" t="inlineStr">
        <is>
          <t>bb</t>
        </is>
      </c>
    </row>
    <row r="4209">
      <c r="A4209" t="n">
        <v>2</v>
      </c>
      <c r="B4209" t="inlineStr">
        <is>
          <t>K4-1B</t>
        </is>
      </c>
      <c r="D4209" t="n">
        <v>16.33</v>
      </c>
      <c r="E4209" t="n">
        <v>24.18</v>
      </c>
      <c r="F4209" t="n">
        <v>549.792</v>
      </c>
      <c r="G4209" t="n">
        <v>257</v>
      </c>
      <c r="H4209" t="inlineStr">
        <is>
          <t>MM</t>
        </is>
      </c>
    </row>
    <row r="4210">
      <c r="A4210" t="n">
        <v>3</v>
      </c>
      <c r="B4210" t="inlineStr">
        <is>
          <t>K4-1C</t>
        </is>
      </c>
      <c r="F4210" t="n">
        <v>409.212</v>
      </c>
    </row>
    <row r="4211">
      <c r="A4211" t="n">
        <v>4</v>
      </c>
      <c r="B4211" t="inlineStr">
        <is>
          <t>K4-2A</t>
        </is>
      </c>
      <c r="D4211" t="n">
        <v>16.42</v>
      </c>
      <c r="E4211" t="n">
        <v>2.177</v>
      </c>
      <c r="F4211" t="n">
        <v>458.88</v>
      </c>
      <c r="G4211" t="n">
        <v>24</v>
      </c>
      <c r="H4211" t="inlineStr">
        <is>
          <t>bb</t>
        </is>
      </c>
    </row>
    <row r="4212">
      <c r="A4212" t="n">
        <v>5</v>
      </c>
      <c r="B4212" t="inlineStr">
        <is>
          <t>K4-2B</t>
        </is>
      </c>
      <c r="D4212" t="n">
        <v>16.25</v>
      </c>
      <c r="E4212" t="n">
        <v>49.261</v>
      </c>
      <c r="F4212" t="n">
        <v>403.292</v>
      </c>
      <c r="G4212" t="n">
        <v>371</v>
      </c>
      <c r="H4212" t="inlineStr">
        <is>
          <t>bb</t>
        </is>
      </c>
    </row>
    <row r="4213">
      <c r="A4213" t="n">
        <v>6</v>
      </c>
      <c r="B4213" t="inlineStr">
        <is>
          <t>K4-2C</t>
        </is>
      </c>
      <c r="D4213" t="n">
        <v>16.56</v>
      </c>
      <c r="E4213" t="n">
        <v>14.554</v>
      </c>
      <c r="F4213" t="n">
        <v>349.79</v>
      </c>
      <c r="G4213" t="n">
        <v>2.468</v>
      </c>
      <c r="H4213" t="inlineStr">
        <is>
          <t>bb</t>
        </is>
      </c>
    </row>
    <row r="4214">
      <c r="A4214" t="n">
        <v>7</v>
      </c>
      <c r="B4214" t="inlineStr">
        <is>
          <t>MeOH</t>
        </is>
      </c>
      <c r="H4214" t="inlineStr">
        <is>
          <t>MM-</t>
        </is>
      </c>
    </row>
    <row r="4215">
      <c r="A4215" t="n">
        <v>8</v>
      </c>
      <c r="B4215" t="inlineStr">
        <is>
          <t>K4-4A</t>
        </is>
      </c>
      <c r="D4215" t="n">
        <v>16.29</v>
      </c>
      <c r="E4215" t="n">
        <v>4.835</v>
      </c>
      <c r="F4215" t="n">
        <v>438.197</v>
      </c>
      <c r="G4215" t="n">
        <v>52</v>
      </c>
      <c r="H4215" t="inlineStr">
        <is>
          <t>bb</t>
        </is>
      </c>
    </row>
    <row r="4216">
      <c r="A4216" t="n">
        <v>9</v>
      </c>
      <c r="B4216" t="inlineStr">
        <is>
          <t>K4-4B</t>
        </is>
      </c>
      <c r="D4216" t="n">
        <v>16.3</v>
      </c>
      <c r="E4216" t="n">
        <v>19.376</v>
      </c>
      <c r="F4216" t="n">
        <v>453.67</v>
      </c>
      <c r="G4216" t="n">
        <v>204</v>
      </c>
      <c r="H4216" t="inlineStr">
        <is>
          <t>bb</t>
        </is>
      </c>
    </row>
    <row r="4217">
      <c r="A4217" t="n">
        <v>10</v>
      </c>
      <c r="B4217" t="inlineStr">
        <is>
          <t>K4-4C</t>
        </is>
      </c>
      <c r="D4217" t="n">
        <v>16.47</v>
      </c>
      <c r="E4217" t="n">
        <v>38.479</v>
      </c>
      <c r="F4217" t="n">
        <v>468.581</v>
      </c>
      <c r="G4217" t="n">
        <v>435</v>
      </c>
      <c r="H4217" t="inlineStr">
        <is>
          <t>bb</t>
        </is>
      </c>
    </row>
    <row r="4218">
      <c r="A4218" t="n">
        <v>11</v>
      </c>
      <c r="B4218" t="inlineStr">
        <is>
          <t>K4-5A</t>
        </is>
      </c>
      <c r="F4218" t="n">
        <v>381.594</v>
      </c>
    </row>
    <row r="4219">
      <c r="A4219" t="n">
        <v>12</v>
      </c>
      <c r="B4219" t="inlineStr">
        <is>
          <t>K4-5B</t>
        </is>
      </c>
      <c r="D4219" t="n">
        <v>16.22</v>
      </c>
      <c r="E4219" t="n">
        <v>1.965</v>
      </c>
      <c r="F4219" t="n">
        <v>405.711</v>
      </c>
      <c r="G4219" t="n">
        <v>18</v>
      </c>
      <c r="H4219" t="inlineStr">
        <is>
          <t>bb</t>
        </is>
      </c>
    </row>
    <row r="4220">
      <c r="A4220" t="n">
        <v>13</v>
      </c>
      <c r="B4220" t="inlineStr">
        <is>
          <t>K4-5C</t>
        </is>
      </c>
      <c r="D4220" t="n">
        <v>16.35</v>
      </c>
      <c r="E4220" t="n">
        <v>2.799</v>
      </c>
      <c r="F4220" t="n">
        <v>367.483</v>
      </c>
      <c r="G4220" t="n">
        <v>0.494</v>
      </c>
      <c r="H4220" t="inlineStr">
        <is>
          <t>MM</t>
        </is>
      </c>
    </row>
    <row r="4221">
      <c r="A4221" t="n">
        <v>14</v>
      </c>
      <c r="B4221" t="inlineStr">
        <is>
          <t>MeOH</t>
        </is>
      </c>
    </row>
    <row r="4222">
      <c r="A4222" t="n">
        <v>15</v>
      </c>
      <c r="B4222" t="inlineStr">
        <is>
          <t>K3-1A</t>
        </is>
      </c>
      <c r="D4222" t="n">
        <v>16.55</v>
      </c>
      <c r="E4222" t="n">
        <v>26.633</v>
      </c>
      <c r="F4222" t="n">
        <v>519.807</v>
      </c>
      <c r="G4222" t="n">
        <v>1.901</v>
      </c>
      <c r="H4222" t="inlineStr">
        <is>
          <t>bb</t>
        </is>
      </c>
    </row>
    <row r="4223">
      <c r="A4223" t="n">
        <v>16</v>
      </c>
      <c r="B4223" t="inlineStr">
        <is>
          <t>K3-1B</t>
        </is>
      </c>
      <c r="D4223" t="n">
        <v>16.26</v>
      </c>
      <c r="E4223" t="n">
        <v>6.279</v>
      </c>
      <c r="F4223" t="n">
        <v>456.552</v>
      </c>
      <c r="G4223" t="n">
        <v>4.043</v>
      </c>
      <c r="H4223" t="inlineStr">
        <is>
          <t>bb</t>
        </is>
      </c>
    </row>
    <row r="4224">
      <c r="A4224" t="n">
        <v>17</v>
      </c>
      <c r="B4224" t="inlineStr">
        <is>
          <t>K3-1C</t>
        </is>
      </c>
      <c r="D4224" t="n">
        <v>15.99</v>
      </c>
      <c r="E4224" t="n">
        <v>58.573</v>
      </c>
      <c r="F4224" t="n">
        <v>556.412</v>
      </c>
      <c r="G4224" t="n">
        <v>541</v>
      </c>
      <c r="H4224" t="inlineStr">
        <is>
          <t>bb</t>
        </is>
      </c>
    </row>
    <row r="4225">
      <c r="A4225" t="n">
        <v>18</v>
      </c>
      <c r="B4225" t="inlineStr">
        <is>
          <t>K3-2A</t>
        </is>
      </c>
      <c r="D4225" t="n">
        <v>16.21</v>
      </c>
      <c r="E4225" t="n">
        <v>7.012</v>
      </c>
      <c r="F4225" t="n">
        <v>520.705</v>
      </c>
      <c r="G4225" t="n">
        <v>75</v>
      </c>
      <c r="H4225" t="inlineStr">
        <is>
          <t>bb</t>
        </is>
      </c>
    </row>
    <row r="4226">
      <c r="A4226" t="n">
        <v>19</v>
      </c>
      <c r="B4226" t="inlineStr">
        <is>
          <t>K3-2B</t>
        </is>
      </c>
      <c r="D4226" t="n">
        <v>16.07</v>
      </c>
      <c r="E4226" t="n">
        <v>10.223</v>
      </c>
      <c r="F4226" t="n">
        <v>697.726</v>
      </c>
      <c r="G4226" t="n">
        <v>1.249</v>
      </c>
      <c r="H4226" t="inlineStr">
        <is>
          <t>bb</t>
        </is>
      </c>
    </row>
    <row r="4227">
      <c r="A4227" t="n">
        <v>20</v>
      </c>
      <c r="B4227" t="inlineStr">
        <is>
          <t>K3-2C</t>
        </is>
      </c>
      <c r="D4227" t="n">
        <v>16.14</v>
      </c>
      <c r="E4227" t="n">
        <v>46.908</v>
      </c>
      <c r="F4227" t="n">
        <v>515.652</v>
      </c>
      <c r="G4227" t="n">
        <v>4.733</v>
      </c>
      <c r="H4227" t="inlineStr">
        <is>
          <t>bb</t>
        </is>
      </c>
    </row>
    <row r="4228">
      <c r="A4228" t="n">
        <v>21</v>
      </c>
      <c r="B4228" t="inlineStr">
        <is>
          <t>MeOH</t>
        </is>
      </c>
      <c r="H4228" t="inlineStr">
        <is>
          <t>MM-</t>
        </is>
      </c>
    </row>
    <row r="4229">
      <c r="A4229" t="n">
        <v>22</v>
      </c>
      <c r="B4229" t="inlineStr">
        <is>
          <t>K3-3A</t>
        </is>
      </c>
      <c r="D4229" t="n">
        <v>16.4</v>
      </c>
      <c r="E4229" t="n">
        <v>43.571</v>
      </c>
      <c r="F4229" t="n">
        <v>442.761</v>
      </c>
      <c r="G4229" t="n">
        <v>1.401</v>
      </c>
      <c r="H4229" t="inlineStr">
        <is>
          <t>bb</t>
        </is>
      </c>
    </row>
    <row r="4230">
      <c r="A4230" t="n">
        <v>23</v>
      </c>
      <c r="B4230" t="inlineStr">
        <is>
          <t>K3-3B</t>
        </is>
      </c>
      <c r="D4230" t="n">
        <v>16.39</v>
      </c>
      <c r="E4230" t="n">
        <v>27.991</v>
      </c>
      <c r="F4230" t="n">
        <v>392.975</v>
      </c>
      <c r="G4230" t="n">
        <v>226</v>
      </c>
      <c r="H4230" t="inlineStr">
        <is>
          <t>bb</t>
        </is>
      </c>
    </row>
    <row r="4231">
      <c r="A4231" t="n">
        <v>24</v>
      </c>
      <c r="B4231" t="inlineStr">
        <is>
          <t>K3-3C</t>
        </is>
      </c>
      <c r="D4231" t="n">
        <v>16.53</v>
      </c>
      <c r="E4231" t="n">
        <v>42.597</v>
      </c>
      <c r="F4231" t="n">
        <v>533.34</v>
      </c>
      <c r="G4231" t="n">
        <v>3.783</v>
      </c>
      <c r="H4231" t="inlineStr">
        <is>
          <t>bb</t>
        </is>
      </c>
    </row>
    <row r="4232">
      <c r="A4232" t="n">
        <v>25</v>
      </c>
      <c r="B4232" t="inlineStr">
        <is>
          <t>K3-4A</t>
        </is>
      </c>
      <c r="D4232" t="n">
        <v>16.22</v>
      </c>
      <c r="E4232" t="n">
        <v>95.586</v>
      </c>
      <c r="F4232" t="n">
        <v>579.684</v>
      </c>
      <c r="G4232" t="n">
        <v>924</v>
      </c>
      <c r="H4232" t="inlineStr">
        <is>
          <t>bb</t>
        </is>
      </c>
    </row>
    <row r="4233">
      <c r="A4233" t="n">
        <v>26</v>
      </c>
      <c r="B4233" t="inlineStr">
        <is>
          <t>K3-4B</t>
        </is>
      </c>
      <c r="F4233" t="n">
        <v>398.943</v>
      </c>
    </row>
    <row r="4234">
      <c r="A4234" t="n">
        <v>27</v>
      </c>
      <c r="B4234" t="inlineStr">
        <is>
          <t>K3-4C</t>
        </is>
      </c>
      <c r="D4234" t="n">
        <v>16.34</v>
      </c>
      <c r="E4234" t="n">
        <v>25.615</v>
      </c>
      <c r="F4234" t="n">
        <v>556.154</v>
      </c>
      <c r="G4234" t="n">
        <v>2.349</v>
      </c>
      <c r="H4234" t="inlineStr">
        <is>
          <t>MM</t>
        </is>
      </c>
    </row>
    <row r="4235">
      <c r="A4235" t="n">
        <v>28</v>
      </c>
      <c r="B4235" t="inlineStr">
        <is>
          <t>MeOH</t>
        </is>
      </c>
      <c r="H4235" t="inlineStr">
        <is>
          <t>MM-</t>
        </is>
      </c>
    </row>
    <row r="4236">
      <c r="A4236" t="n">
        <v>29</v>
      </c>
      <c r="B4236" t="inlineStr">
        <is>
          <t>K3-6A</t>
        </is>
      </c>
      <c r="D4236" t="n">
        <v>16.46</v>
      </c>
      <c r="E4236" t="n">
        <v>9.83</v>
      </c>
      <c r="F4236" t="n">
        <v>543.972</v>
      </c>
      <c r="G4236" t="n">
        <v>0.282</v>
      </c>
      <c r="H4236" t="inlineStr">
        <is>
          <t>bb</t>
        </is>
      </c>
    </row>
    <row r="4237">
      <c r="A4237" t="n">
        <v>30</v>
      </c>
      <c r="B4237" t="inlineStr">
        <is>
          <t>K3-6B</t>
        </is>
      </c>
      <c r="D4237" t="n">
        <v>16.39</v>
      </c>
      <c r="E4237" t="n">
        <v>30.594</v>
      </c>
      <c r="F4237" t="n">
        <v>411.323</v>
      </c>
      <c r="G4237" t="n">
        <v>253</v>
      </c>
      <c r="H4237" t="inlineStr">
        <is>
          <t>MM</t>
        </is>
      </c>
    </row>
    <row r="4238">
      <c r="A4238" t="n">
        <v>31</v>
      </c>
      <c r="B4238" t="inlineStr">
        <is>
          <t>K3-6C</t>
        </is>
      </c>
      <c r="D4238" t="n">
        <v>16.11</v>
      </c>
      <c r="E4238" t="n">
        <v>10.091</v>
      </c>
      <c r="F4238" t="n">
        <v>451.372</v>
      </c>
      <c r="G4238" t="n">
        <v>1.544</v>
      </c>
      <c r="H4238" t="inlineStr">
        <is>
          <t>bb</t>
        </is>
      </c>
    </row>
    <row r="4240">
      <c r="A4240" t="inlineStr">
        <is>
          <t>Compound 122:  PFTeDA 1</t>
        </is>
      </c>
    </row>
    <row r="4242">
      <c r="B4242" t="inlineStr">
        <is>
          <t>Sample Text</t>
        </is>
      </c>
      <c r="C4242" t="inlineStr">
        <is>
          <t>Std. Conc</t>
        </is>
      </c>
      <c r="D4242" t="inlineStr">
        <is>
          <t>RT</t>
        </is>
      </c>
      <c r="E4242" t="inlineStr">
        <is>
          <t>Area</t>
        </is>
      </c>
      <c r="F4242" t="inlineStr">
        <is>
          <t>IS Area</t>
        </is>
      </c>
      <c r="G4242" t="inlineStr">
        <is>
          <t>S/N</t>
        </is>
      </c>
      <c r="H4242" t="inlineStr">
        <is>
          <t>Primary Flags</t>
        </is>
      </c>
      <c r="I4242" t="inlineStr">
        <is>
          <t>Response</t>
        </is>
      </c>
      <c r="J4242" t="inlineStr">
        <is>
          <t>Conc.</t>
        </is>
      </c>
    </row>
    <row r="4243">
      <c r="A4243" t="n">
        <v>1</v>
      </c>
      <c r="B4243" t="inlineStr">
        <is>
          <t>K4-1A</t>
        </is>
      </c>
      <c r="D4243" t="n">
        <v>16.83</v>
      </c>
      <c r="E4243" t="n">
        <v>85.001</v>
      </c>
      <c r="F4243" t="n">
        <v>435.167</v>
      </c>
      <c r="G4243" t="n">
        <v>77.616</v>
      </c>
      <c r="H4243" t="inlineStr">
        <is>
          <t>bb</t>
        </is>
      </c>
    </row>
    <row r="4244">
      <c r="A4244" t="n">
        <v>2</v>
      </c>
      <c r="B4244" t="inlineStr">
        <is>
          <t>K4-1B</t>
        </is>
      </c>
      <c r="D4244" t="n">
        <v>16.83</v>
      </c>
      <c r="E4244" t="n">
        <v>15.983</v>
      </c>
      <c r="F4244" t="n">
        <v>549.792</v>
      </c>
      <c r="G4244" t="n">
        <v>2.288</v>
      </c>
      <c r="H4244" t="inlineStr">
        <is>
          <t>bb</t>
        </is>
      </c>
    </row>
    <row r="4245">
      <c r="A4245" t="n">
        <v>3</v>
      </c>
      <c r="B4245" t="inlineStr">
        <is>
          <t>K4-1C</t>
        </is>
      </c>
      <c r="D4245" t="n">
        <v>17.07</v>
      </c>
      <c r="E4245" t="n">
        <v>28.083</v>
      </c>
      <c r="F4245" t="n">
        <v>409.212</v>
      </c>
      <c r="G4245" t="n">
        <v>279</v>
      </c>
      <c r="H4245" t="inlineStr">
        <is>
          <t>bb</t>
        </is>
      </c>
    </row>
    <row r="4246">
      <c r="A4246" t="n">
        <v>4</v>
      </c>
      <c r="B4246" t="inlineStr">
        <is>
          <t>K4-2A</t>
        </is>
      </c>
      <c r="D4246" t="n">
        <v>16.82</v>
      </c>
      <c r="E4246" t="n">
        <v>16.483</v>
      </c>
      <c r="F4246" t="n">
        <v>458.88</v>
      </c>
      <c r="G4246" t="n">
        <v>8.266</v>
      </c>
      <c r="H4246" t="inlineStr">
        <is>
          <t>MM</t>
        </is>
      </c>
    </row>
    <row r="4247">
      <c r="A4247" t="n">
        <v>5</v>
      </c>
      <c r="B4247" t="inlineStr">
        <is>
          <t>K4-2B</t>
        </is>
      </c>
      <c r="D4247" t="n">
        <v>16.83</v>
      </c>
      <c r="E4247" t="n">
        <v>28.114</v>
      </c>
      <c r="F4247" t="n">
        <v>403.292</v>
      </c>
      <c r="G4247" t="n">
        <v>2.843</v>
      </c>
      <c r="H4247" t="inlineStr">
        <is>
          <t>bb</t>
        </is>
      </c>
    </row>
    <row r="4248">
      <c r="A4248" t="n">
        <v>6</v>
      </c>
      <c r="B4248" t="inlineStr">
        <is>
          <t>K4-2C</t>
        </is>
      </c>
      <c r="D4248" t="n">
        <v>17</v>
      </c>
      <c r="E4248" t="n">
        <v>1.809</v>
      </c>
      <c r="F4248" t="n">
        <v>349.79</v>
      </c>
      <c r="G4248" t="n">
        <v>3.386</v>
      </c>
      <c r="H4248" t="inlineStr">
        <is>
          <t>MM</t>
        </is>
      </c>
    </row>
    <row r="4249">
      <c r="A4249" t="n">
        <v>7</v>
      </c>
      <c r="B4249" t="inlineStr">
        <is>
          <t>MeOH</t>
        </is>
      </c>
      <c r="H4249" t="inlineStr">
        <is>
          <t>MM-</t>
        </is>
      </c>
    </row>
    <row r="4250">
      <c r="A4250" t="n">
        <v>8</v>
      </c>
      <c r="B4250" t="inlineStr">
        <is>
          <t>K4-4A</t>
        </is>
      </c>
      <c r="D4250" t="n">
        <v>17</v>
      </c>
      <c r="E4250" t="n">
        <v>22.909</v>
      </c>
      <c r="F4250" t="n">
        <v>438.197</v>
      </c>
      <c r="G4250" t="n">
        <v>24.768</v>
      </c>
      <c r="H4250" t="inlineStr">
        <is>
          <t>bb</t>
        </is>
      </c>
    </row>
    <row r="4251">
      <c r="A4251" t="n">
        <v>9</v>
      </c>
      <c r="B4251" t="inlineStr">
        <is>
          <t>K4-4B</t>
        </is>
      </c>
      <c r="D4251" t="n">
        <v>16.93</v>
      </c>
      <c r="E4251" t="n">
        <v>26.798</v>
      </c>
      <c r="F4251" t="n">
        <v>453.67</v>
      </c>
      <c r="G4251" t="n">
        <v>2.5</v>
      </c>
      <c r="H4251" t="inlineStr">
        <is>
          <t>MM</t>
        </is>
      </c>
    </row>
    <row r="4252">
      <c r="A4252" t="n">
        <v>10</v>
      </c>
      <c r="B4252" t="inlineStr">
        <is>
          <t>K4-4C</t>
        </is>
      </c>
      <c r="D4252" t="n">
        <v>16.87</v>
      </c>
      <c r="E4252" t="n">
        <v>20.063</v>
      </c>
      <c r="F4252" t="n">
        <v>468.581</v>
      </c>
      <c r="G4252" t="n">
        <v>9.965999999999999</v>
      </c>
      <c r="H4252" t="inlineStr">
        <is>
          <t>bb</t>
        </is>
      </c>
    </row>
    <row r="4253">
      <c r="A4253" t="n">
        <v>11</v>
      </c>
      <c r="B4253" t="inlineStr">
        <is>
          <t>K4-5A</t>
        </is>
      </c>
      <c r="D4253" t="n">
        <v>16.88</v>
      </c>
      <c r="E4253" t="n">
        <v>19.055</v>
      </c>
      <c r="F4253" t="n">
        <v>381.594</v>
      </c>
      <c r="G4253" t="n">
        <v>146</v>
      </c>
      <c r="H4253" t="inlineStr">
        <is>
          <t>MM</t>
        </is>
      </c>
    </row>
    <row r="4254">
      <c r="A4254" t="n">
        <v>12</v>
      </c>
      <c r="B4254" t="inlineStr">
        <is>
          <t>K4-5B</t>
        </is>
      </c>
      <c r="D4254" t="n">
        <v>16.9</v>
      </c>
      <c r="E4254" t="n">
        <v>9.997999999999999</v>
      </c>
      <c r="F4254" t="n">
        <v>405.711</v>
      </c>
      <c r="G4254" t="n">
        <v>1.253</v>
      </c>
      <c r="H4254" t="inlineStr">
        <is>
          <t>bb</t>
        </is>
      </c>
    </row>
    <row r="4255">
      <c r="A4255" t="n">
        <v>13</v>
      </c>
      <c r="B4255" t="inlineStr">
        <is>
          <t>K4-5C</t>
        </is>
      </c>
      <c r="D4255" t="n">
        <v>16.83</v>
      </c>
      <c r="E4255" t="n">
        <v>30.106</v>
      </c>
      <c r="F4255" t="n">
        <v>367.483</v>
      </c>
      <c r="G4255" t="n">
        <v>4.855</v>
      </c>
      <c r="H4255" t="inlineStr">
        <is>
          <t>bb</t>
        </is>
      </c>
    </row>
    <row r="4256">
      <c r="A4256" t="n">
        <v>14</v>
      </c>
      <c r="B4256" t="inlineStr">
        <is>
          <t>MeOH</t>
        </is>
      </c>
    </row>
    <row r="4257">
      <c r="A4257" t="n">
        <v>15</v>
      </c>
      <c r="B4257" t="inlineStr">
        <is>
          <t>K3-1A</t>
        </is>
      </c>
      <c r="D4257" t="n">
        <v>16.8</v>
      </c>
      <c r="E4257" t="n">
        <v>68.962</v>
      </c>
      <c r="F4257" t="n">
        <v>519.807</v>
      </c>
      <c r="G4257" t="n">
        <v>6.837</v>
      </c>
      <c r="H4257" t="inlineStr">
        <is>
          <t>bb</t>
        </is>
      </c>
    </row>
    <row r="4258">
      <c r="A4258" t="n">
        <v>16</v>
      </c>
      <c r="B4258" t="inlineStr">
        <is>
          <t>K3-1B</t>
        </is>
      </c>
      <c r="D4258" t="n">
        <v>16.77</v>
      </c>
      <c r="E4258" t="n">
        <v>25.758</v>
      </c>
      <c r="F4258" t="n">
        <v>456.552</v>
      </c>
      <c r="G4258" t="n">
        <v>4.879</v>
      </c>
      <c r="H4258" t="inlineStr">
        <is>
          <t>bb</t>
        </is>
      </c>
    </row>
    <row r="4259">
      <c r="A4259" t="n">
        <v>17</v>
      </c>
      <c r="B4259" t="inlineStr">
        <is>
          <t>K3-1C</t>
        </is>
      </c>
      <c r="D4259" t="n">
        <v>16.85</v>
      </c>
      <c r="E4259" t="n">
        <v>17.981</v>
      </c>
      <c r="F4259" t="n">
        <v>556.412</v>
      </c>
      <c r="G4259" t="n">
        <v>122</v>
      </c>
      <c r="H4259" t="inlineStr">
        <is>
          <t>bb</t>
        </is>
      </c>
    </row>
    <row r="4260">
      <c r="A4260" t="n">
        <v>18</v>
      </c>
      <c r="B4260" t="inlineStr">
        <is>
          <t>K3-2A</t>
        </is>
      </c>
      <c r="D4260" t="n">
        <v>16.87</v>
      </c>
      <c r="E4260" t="n">
        <v>50.736</v>
      </c>
      <c r="F4260" t="n">
        <v>520.705</v>
      </c>
      <c r="G4260" t="n">
        <v>2.954</v>
      </c>
      <c r="H4260" t="inlineStr">
        <is>
          <t>bb</t>
        </is>
      </c>
    </row>
    <row r="4261">
      <c r="A4261" t="n">
        <v>19</v>
      </c>
      <c r="B4261" t="inlineStr">
        <is>
          <t>K3-2B</t>
        </is>
      </c>
      <c r="D4261" t="n">
        <v>16.82</v>
      </c>
      <c r="E4261" t="n">
        <v>36.611</v>
      </c>
      <c r="F4261" t="n">
        <v>697.726</v>
      </c>
      <c r="G4261" t="n">
        <v>3.64</v>
      </c>
      <c r="H4261" t="inlineStr">
        <is>
          <t>bb</t>
        </is>
      </c>
    </row>
    <row r="4262">
      <c r="A4262" t="n">
        <v>20</v>
      </c>
      <c r="B4262" t="inlineStr">
        <is>
          <t>K3-2C</t>
        </is>
      </c>
      <c r="D4262" t="n">
        <v>16.83</v>
      </c>
      <c r="E4262" t="n">
        <v>29.151</v>
      </c>
      <c r="F4262" t="n">
        <v>515.652</v>
      </c>
      <c r="G4262" t="n">
        <v>242</v>
      </c>
      <c r="H4262" t="inlineStr">
        <is>
          <t>MM</t>
        </is>
      </c>
    </row>
    <row r="4263">
      <c r="A4263" t="n">
        <v>21</v>
      </c>
      <c r="B4263" t="inlineStr">
        <is>
          <t>MeOH</t>
        </is>
      </c>
      <c r="H4263" t="inlineStr">
        <is>
          <t>MM-</t>
        </is>
      </c>
    </row>
    <row r="4264">
      <c r="A4264" t="n">
        <v>22</v>
      </c>
      <c r="B4264" t="inlineStr">
        <is>
          <t>K3-3A</t>
        </is>
      </c>
      <c r="D4264" t="n">
        <v>16.88</v>
      </c>
      <c r="E4264" t="n">
        <v>24.154</v>
      </c>
      <c r="F4264" t="n">
        <v>442.761</v>
      </c>
      <c r="G4264" t="n">
        <v>2.358</v>
      </c>
      <c r="H4264" t="inlineStr">
        <is>
          <t>MM</t>
        </is>
      </c>
    </row>
    <row r="4265">
      <c r="A4265" t="n">
        <v>23</v>
      </c>
      <c r="B4265" t="inlineStr">
        <is>
          <t>K3-3B</t>
        </is>
      </c>
      <c r="D4265" t="n">
        <v>16.87</v>
      </c>
      <c r="E4265" t="n">
        <v>16.434</v>
      </c>
      <c r="F4265" t="n">
        <v>392.975</v>
      </c>
      <c r="G4265" t="n">
        <v>118</v>
      </c>
      <c r="H4265" t="inlineStr">
        <is>
          <t>MM</t>
        </is>
      </c>
    </row>
    <row r="4266">
      <c r="A4266" t="n">
        <v>24</v>
      </c>
      <c r="B4266" t="inlineStr">
        <is>
          <t>K3-3C</t>
        </is>
      </c>
      <c r="D4266" t="n">
        <v>16.9</v>
      </c>
      <c r="E4266" t="n">
        <v>17.143</v>
      </c>
      <c r="F4266" t="n">
        <v>533.34</v>
      </c>
      <c r="G4266" t="n">
        <v>2.383</v>
      </c>
      <c r="H4266" t="inlineStr">
        <is>
          <t>bb</t>
        </is>
      </c>
    </row>
    <row r="4267">
      <c r="A4267" t="n">
        <v>25</v>
      </c>
      <c r="B4267" t="inlineStr">
        <is>
          <t>K3-4A</t>
        </is>
      </c>
      <c r="D4267" t="n">
        <v>16.93</v>
      </c>
      <c r="E4267" t="n">
        <v>57.838</v>
      </c>
      <c r="F4267" t="n">
        <v>579.684</v>
      </c>
      <c r="G4267" t="n">
        <v>6.853</v>
      </c>
      <c r="H4267" t="inlineStr">
        <is>
          <t>bb</t>
        </is>
      </c>
    </row>
    <row r="4268">
      <c r="A4268" t="n">
        <v>26</v>
      </c>
      <c r="B4268" t="inlineStr">
        <is>
          <t>K3-4B</t>
        </is>
      </c>
      <c r="D4268" t="n">
        <v>16.92</v>
      </c>
      <c r="E4268" t="n">
        <v>95.411</v>
      </c>
      <c r="F4268" t="n">
        <v>398.943</v>
      </c>
      <c r="G4268" t="n">
        <v>4.154</v>
      </c>
      <c r="H4268" t="inlineStr">
        <is>
          <t>bb</t>
        </is>
      </c>
    </row>
    <row r="4269">
      <c r="A4269" t="n">
        <v>27</v>
      </c>
      <c r="B4269" t="inlineStr">
        <is>
          <t>K3-4C</t>
        </is>
      </c>
      <c r="D4269" t="n">
        <v>16.93</v>
      </c>
      <c r="E4269" t="n">
        <v>12.865</v>
      </c>
      <c r="F4269" t="n">
        <v>556.154</v>
      </c>
      <c r="G4269" t="n">
        <v>3.292</v>
      </c>
      <c r="H4269" t="inlineStr">
        <is>
          <t>bb</t>
        </is>
      </c>
    </row>
    <row r="4270">
      <c r="A4270" t="n">
        <v>28</v>
      </c>
      <c r="B4270" t="inlineStr">
        <is>
          <t>MeOH</t>
        </is>
      </c>
      <c r="H4270" t="inlineStr">
        <is>
          <t>MM-</t>
        </is>
      </c>
    </row>
    <row r="4271">
      <c r="A4271" t="n">
        <v>29</v>
      </c>
      <c r="B4271" t="inlineStr">
        <is>
          <t>K3-6A</t>
        </is>
      </c>
      <c r="D4271" t="n">
        <v>16.98</v>
      </c>
      <c r="E4271" t="n">
        <v>43.701</v>
      </c>
      <c r="F4271" t="n">
        <v>543.972</v>
      </c>
      <c r="G4271" t="n">
        <v>37.447</v>
      </c>
      <c r="H4271" t="inlineStr">
        <is>
          <t>bb</t>
        </is>
      </c>
    </row>
    <row r="4272">
      <c r="A4272" t="n">
        <v>30</v>
      </c>
      <c r="B4272" t="inlineStr">
        <is>
          <t>K3-6B</t>
        </is>
      </c>
      <c r="D4272" t="n">
        <v>17.05</v>
      </c>
      <c r="E4272" t="n">
        <v>53.608</v>
      </c>
      <c r="F4272" t="n">
        <v>411.323</v>
      </c>
      <c r="G4272" t="n">
        <v>12.228</v>
      </c>
      <c r="H4272" t="inlineStr">
        <is>
          <t>bb</t>
        </is>
      </c>
    </row>
    <row r="4273">
      <c r="A4273" t="n">
        <v>31</v>
      </c>
      <c r="B4273" t="inlineStr">
        <is>
          <t>K3-6C</t>
        </is>
      </c>
      <c r="D4273" t="n">
        <v>16.93</v>
      </c>
      <c r="E4273" t="n">
        <v>24.219</v>
      </c>
      <c r="F4273" t="n">
        <v>451.372</v>
      </c>
      <c r="G4273" t="n">
        <v>171</v>
      </c>
      <c r="H4273" t="inlineStr">
        <is>
          <t>MM</t>
        </is>
      </c>
    </row>
    <row r="4275">
      <c r="A4275" t="inlineStr">
        <is>
          <t>Compound 123:  PFTeDA 2</t>
        </is>
      </c>
    </row>
    <row r="4277">
      <c r="B4277" t="inlineStr">
        <is>
          <t>Sample Text</t>
        </is>
      </c>
      <c r="C4277" t="inlineStr">
        <is>
          <t>Std. Conc</t>
        </is>
      </c>
      <c r="D4277" t="inlineStr">
        <is>
          <t>RT</t>
        </is>
      </c>
      <c r="E4277" t="inlineStr">
        <is>
          <t>Area</t>
        </is>
      </c>
      <c r="F4277" t="inlineStr">
        <is>
          <t>IS Area</t>
        </is>
      </c>
      <c r="G4277" t="inlineStr">
        <is>
          <t>S/N</t>
        </is>
      </c>
      <c r="H4277" t="inlineStr">
        <is>
          <t>Primary Flags</t>
        </is>
      </c>
      <c r="I4277" t="inlineStr">
        <is>
          <t>Response</t>
        </is>
      </c>
      <c r="J4277" t="inlineStr">
        <is>
          <t>Conc.</t>
        </is>
      </c>
    </row>
    <row r="4278">
      <c r="A4278" t="n">
        <v>1</v>
      </c>
      <c r="B4278" t="inlineStr">
        <is>
          <t>K4-1A</t>
        </is>
      </c>
      <c r="D4278" t="n">
        <v>16.8</v>
      </c>
      <c r="E4278" t="n">
        <v>51.925</v>
      </c>
      <c r="F4278" t="n">
        <v>435.167</v>
      </c>
      <c r="G4278" t="n">
        <v>3.356</v>
      </c>
      <c r="H4278" t="inlineStr">
        <is>
          <t>MM</t>
        </is>
      </c>
    </row>
    <row r="4279">
      <c r="A4279" t="n">
        <v>2</v>
      </c>
      <c r="B4279" t="inlineStr">
        <is>
          <t>K4-1B</t>
        </is>
      </c>
      <c r="D4279" t="n">
        <v>16.77</v>
      </c>
      <c r="E4279" t="n">
        <v>25.93</v>
      </c>
      <c r="F4279" t="n">
        <v>549.792</v>
      </c>
      <c r="G4279" t="n">
        <v>0.9429999999999999</v>
      </c>
      <c r="H4279" t="inlineStr">
        <is>
          <t>MM</t>
        </is>
      </c>
    </row>
    <row r="4280">
      <c r="A4280" t="n">
        <v>3</v>
      </c>
      <c r="B4280" t="inlineStr">
        <is>
          <t>K4-1C</t>
        </is>
      </c>
      <c r="D4280" t="n">
        <v>16.87</v>
      </c>
      <c r="E4280" t="n">
        <v>46.239</v>
      </c>
      <c r="F4280" t="n">
        <v>409.212</v>
      </c>
      <c r="G4280" t="n">
        <v>1.556</v>
      </c>
      <c r="H4280" t="inlineStr">
        <is>
          <t>MM</t>
        </is>
      </c>
    </row>
    <row r="4281">
      <c r="A4281" t="n">
        <v>4</v>
      </c>
      <c r="B4281" t="inlineStr">
        <is>
          <t>K4-2A</t>
        </is>
      </c>
      <c r="D4281" t="n">
        <v>16.78</v>
      </c>
      <c r="E4281" t="n">
        <v>42.408</v>
      </c>
      <c r="F4281" t="n">
        <v>458.88</v>
      </c>
      <c r="G4281" t="n">
        <v>1.396</v>
      </c>
      <c r="H4281" t="inlineStr">
        <is>
          <t>MM</t>
        </is>
      </c>
    </row>
    <row r="4282">
      <c r="A4282" t="n">
        <v>5</v>
      </c>
      <c r="B4282" t="inlineStr">
        <is>
          <t>K4-2B</t>
        </is>
      </c>
      <c r="D4282" t="n">
        <v>16.92</v>
      </c>
      <c r="E4282" t="n">
        <v>67.911</v>
      </c>
      <c r="F4282" t="n">
        <v>403.292</v>
      </c>
      <c r="G4282" t="n">
        <v>2.274</v>
      </c>
      <c r="H4282" t="inlineStr">
        <is>
          <t>bb</t>
        </is>
      </c>
    </row>
    <row r="4283">
      <c r="A4283" t="n">
        <v>6</v>
      </c>
      <c r="B4283" t="inlineStr">
        <is>
          <t>K4-2C</t>
        </is>
      </c>
      <c r="D4283" t="n">
        <v>16.71</v>
      </c>
      <c r="E4283" t="n">
        <v>13.466</v>
      </c>
      <c r="F4283" t="n">
        <v>349.79</v>
      </c>
      <c r="G4283" t="n">
        <v>0.747</v>
      </c>
      <c r="H4283" t="inlineStr">
        <is>
          <t>MM</t>
        </is>
      </c>
    </row>
    <row r="4284">
      <c r="A4284" t="n">
        <v>7</v>
      </c>
      <c r="B4284" t="inlineStr">
        <is>
          <t>MeOH</t>
        </is>
      </c>
      <c r="H4284" t="inlineStr">
        <is>
          <t>MM-</t>
        </is>
      </c>
    </row>
    <row r="4285">
      <c r="A4285" t="n">
        <v>8</v>
      </c>
      <c r="B4285" t="inlineStr">
        <is>
          <t>K4-4A</t>
        </is>
      </c>
      <c r="D4285" t="n">
        <v>16.71</v>
      </c>
      <c r="E4285" t="n">
        <v>65.706</v>
      </c>
      <c r="F4285" t="n">
        <v>438.197</v>
      </c>
      <c r="G4285" t="n">
        <v>1.662</v>
      </c>
      <c r="H4285" t="inlineStr">
        <is>
          <t>MM</t>
        </is>
      </c>
    </row>
    <row r="4286">
      <c r="A4286" t="n">
        <v>9</v>
      </c>
      <c r="B4286" t="inlineStr">
        <is>
          <t>K4-4B</t>
        </is>
      </c>
      <c r="D4286" t="n">
        <v>16.87</v>
      </c>
      <c r="E4286" t="n">
        <v>49.68</v>
      </c>
      <c r="F4286" t="n">
        <v>453.67</v>
      </c>
      <c r="G4286" t="n">
        <v>2.96</v>
      </c>
      <c r="H4286" t="inlineStr">
        <is>
          <t>bb</t>
        </is>
      </c>
    </row>
    <row r="4287">
      <c r="A4287" t="n">
        <v>10</v>
      </c>
      <c r="B4287" t="inlineStr">
        <is>
          <t>K4-4C</t>
        </is>
      </c>
      <c r="D4287" t="n">
        <v>16.9</v>
      </c>
      <c r="E4287" t="n">
        <v>55.932</v>
      </c>
      <c r="F4287" t="n">
        <v>468.581</v>
      </c>
      <c r="G4287" t="n">
        <v>2.25</v>
      </c>
      <c r="H4287" t="inlineStr">
        <is>
          <t>MM</t>
        </is>
      </c>
    </row>
    <row r="4288">
      <c r="A4288" t="n">
        <v>11</v>
      </c>
      <c r="B4288" t="inlineStr">
        <is>
          <t>K4-5A</t>
        </is>
      </c>
      <c r="D4288" t="n">
        <v>16.8</v>
      </c>
      <c r="E4288" t="n">
        <v>43.621</v>
      </c>
      <c r="F4288" t="n">
        <v>381.594</v>
      </c>
      <c r="G4288" t="n">
        <v>1.499</v>
      </c>
      <c r="H4288" t="inlineStr">
        <is>
          <t>MM</t>
        </is>
      </c>
    </row>
    <row r="4289">
      <c r="A4289" t="n">
        <v>12</v>
      </c>
      <c r="B4289" t="inlineStr">
        <is>
          <t>K4-5B</t>
        </is>
      </c>
      <c r="D4289" t="n">
        <v>16.86</v>
      </c>
      <c r="E4289" t="n">
        <v>80.89100000000001</v>
      </c>
      <c r="F4289" t="n">
        <v>405.711</v>
      </c>
      <c r="G4289" t="n">
        <v>2.45</v>
      </c>
      <c r="H4289" t="inlineStr">
        <is>
          <t>MM</t>
        </is>
      </c>
    </row>
    <row r="4290">
      <c r="A4290" t="n">
        <v>13</v>
      </c>
      <c r="B4290" t="inlineStr">
        <is>
          <t>K4-5C</t>
        </is>
      </c>
      <c r="D4290" t="n">
        <v>17.12</v>
      </c>
      <c r="E4290" t="n">
        <v>104.889</v>
      </c>
      <c r="F4290" t="n">
        <v>367.483</v>
      </c>
      <c r="G4290" t="n">
        <v>6.69</v>
      </c>
      <c r="H4290" t="inlineStr">
        <is>
          <t>MM</t>
        </is>
      </c>
    </row>
    <row r="4291">
      <c r="A4291" t="n">
        <v>14</v>
      </c>
      <c r="B4291" t="inlineStr">
        <is>
          <t>MeOH</t>
        </is>
      </c>
    </row>
    <row r="4292">
      <c r="A4292" t="n">
        <v>15</v>
      </c>
      <c r="B4292" t="inlineStr">
        <is>
          <t>K3-1A</t>
        </is>
      </c>
      <c r="D4292" t="n">
        <v>16.79</v>
      </c>
      <c r="E4292" t="n">
        <v>266.305</v>
      </c>
      <c r="F4292" t="n">
        <v>519.807</v>
      </c>
      <c r="G4292" t="n">
        <v>14.768</v>
      </c>
      <c r="H4292" t="inlineStr">
        <is>
          <t>bb</t>
        </is>
      </c>
    </row>
    <row r="4293">
      <c r="A4293" t="n">
        <v>16</v>
      </c>
      <c r="B4293" t="inlineStr">
        <is>
          <t>K3-1B</t>
        </is>
      </c>
      <c r="D4293" t="n">
        <v>16.98</v>
      </c>
      <c r="E4293" t="n">
        <v>116.925</v>
      </c>
      <c r="F4293" t="n">
        <v>456.552</v>
      </c>
      <c r="G4293" t="n">
        <v>1.504</v>
      </c>
      <c r="H4293" t="inlineStr">
        <is>
          <t>MM</t>
        </is>
      </c>
    </row>
    <row r="4294">
      <c r="A4294" t="n">
        <v>17</v>
      </c>
      <c r="B4294" t="inlineStr">
        <is>
          <t>K3-1C</t>
        </is>
      </c>
      <c r="D4294" t="n">
        <v>16.83</v>
      </c>
      <c r="E4294" t="n">
        <v>118.479</v>
      </c>
      <c r="F4294" t="n">
        <v>556.412</v>
      </c>
      <c r="G4294" t="n">
        <v>3.953</v>
      </c>
      <c r="H4294" t="inlineStr">
        <is>
          <t>db</t>
        </is>
      </c>
    </row>
    <row r="4295">
      <c r="A4295" t="n">
        <v>18</v>
      </c>
      <c r="B4295" t="inlineStr">
        <is>
          <t>K3-2A</t>
        </is>
      </c>
      <c r="D4295" t="n">
        <v>16.95</v>
      </c>
      <c r="E4295" t="n">
        <v>56.418</v>
      </c>
      <c r="F4295" t="n">
        <v>520.705</v>
      </c>
      <c r="G4295" t="n">
        <v>1.275</v>
      </c>
      <c r="H4295" t="inlineStr">
        <is>
          <t>MM</t>
        </is>
      </c>
    </row>
    <row r="4296">
      <c r="A4296" t="n">
        <v>19</v>
      </c>
      <c r="B4296" t="inlineStr">
        <is>
          <t>K3-2B</t>
        </is>
      </c>
      <c r="D4296" t="n">
        <v>16.65</v>
      </c>
      <c r="E4296" t="n">
        <v>49.831</v>
      </c>
      <c r="F4296" t="n">
        <v>697.726</v>
      </c>
      <c r="G4296" t="n">
        <v>1.24</v>
      </c>
      <c r="H4296" t="inlineStr">
        <is>
          <t>MM</t>
        </is>
      </c>
    </row>
    <row r="4297">
      <c r="A4297" t="n">
        <v>20</v>
      </c>
      <c r="B4297" t="inlineStr">
        <is>
          <t>K3-2C</t>
        </is>
      </c>
      <c r="D4297" t="n">
        <v>16.85</v>
      </c>
      <c r="E4297" t="n">
        <v>64.554</v>
      </c>
      <c r="F4297" t="n">
        <v>515.652</v>
      </c>
      <c r="G4297" t="n">
        <v>1.743</v>
      </c>
      <c r="H4297" t="inlineStr">
        <is>
          <t>bb</t>
        </is>
      </c>
    </row>
    <row r="4298">
      <c r="A4298" t="n">
        <v>21</v>
      </c>
      <c r="B4298" t="inlineStr">
        <is>
          <t>MeOH</t>
        </is>
      </c>
    </row>
    <row r="4299">
      <c r="A4299" t="n">
        <v>22</v>
      </c>
      <c r="B4299" t="inlineStr">
        <is>
          <t>K3-3A</t>
        </is>
      </c>
      <c r="D4299" t="n">
        <v>17.27</v>
      </c>
      <c r="E4299" t="n">
        <v>83.959</v>
      </c>
      <c r="F4299" t="n">
        <v>442.761</v>
      </c>
      <c r="G4299" t="n">
        <v>2.722</v>
      </c>
      <c r="H4299" t="inlineStr">
        <is>
          <t>bb</t>
        </is>
      </c>
    </row>
    <row r="4300">
      <c r="A4300" t="n">
        <v>23</v>
      </c>
      <c r="B4300" t="inlineStr">
        <is>
          <t>K3-3B</t>
        </is>
      </c>
      <c r="D4300" t="n">
        <v>16.95</v>
      </c>
      <c r="E4300" t="n">
        <v>128.588</v>
      </c>
      <c r="F4300" t="n">
        <v>392.975</v>
      </c>
      <c r="G4300" t="n">
        <v>2.435</v>
      </c>
      <c r="H4300" t="inlineStr">
        <is>
          <t>MM</t>
        </is>
      </c>
    </row>
    <row r="4301">
      <c r="A4301" t="n">
        <v>24</v>
      </c>
      <c r="B4301" t="inlineStr">
        <is>
          <t>K3-3C</t>
        </is>
      </c>
      <c r="D4301" t="n">
        <v>16.83</v>
      </c>
      <c r="E4301" t="n">
        <v>261.264</v>
      </c>
      <c r="F4301" t="n">
        <v>533.34</v>
      </c>
      <c r="G4301" t="n">
        <v>2.433</v>
      </c>
      <c r="H4301" t="inlineStr">
        <is>
          <t>MM</t>
        </is>
      </c>
    </row>
    <row r="4302">
      <c r="A4302" t="n">
        <v>25</v>
      </c>
      <c r="B4302" t="inlineStr">
        <is>
          <t>K3-4A</t>
        </is>
      </c>
      <c r="D4302" t="n">
        <v>16.92</v>
      </c>
      <c r="E4302" t="n">
        <v>210.818</v>
      </c>
      <c r="F4302" t="n">
        <v>579.684</v>
      </c>
      <c r="G4302" t="n">
        <v>3.612</v>
      </c>
      <c r="H4302" t="inlineStr">
        <is>
          <t>MM</t>
        </is>
      </c>
    </row>
    <row r="4303">
      <c r="A4303" t="n">
        <v>26</v>
      </c>
      <c r="B4303" t="inlineStr">
        <is>
          <t>K3-4B</t>
        </is>
      </c>
      <c r="D4303" t="n">
        <v>17</v>
      </c>
      <c r="E4303" t="n">
        <v>92.108</v>
      </c>
      <c r="F4303" t="n">
        <v>398.943</v>
      </c>
      <c r="G4303" t="n">
        <v>1.691</v>
      </c>
      <c r="H4303" t="inlineStr">
        <is>
          <t>MM</t>
        </is>
      </c>
    </row>
    <row r="4304">
      <c r="A4304" t="n">
        <v>27</v>
      </c>
      <c r="B4304" t="inlineStr">
        <is>
          <t>K3-4C</t>
        </is>
      </c>
      <c r="D4304" t="n">
        <v>16.97</v>
      </c>
      <c r="E4304" t="n">
        <v>118.477</v>
      </c>
      <c r="F4304" t="n">
        <v>556.154</v>
      </c>
      <c r="G4304" t="n">
        <v>3.654</v>
      </c>
      <c r="H4304" t="inlineStr">
        <is>
          <t>MM</t>
        </is>
      </c>
    </row>
    <row r="4305">
      <c r="A4305" t="n">
        <v>28</v>
      </c>
      <c r="B4305" t="inlineStr">
        <is>
          <t>MeOH</t>
        </is>
      </c>
    </row>
    <row r="4306">
      <c r="A4306" t="n">
        <v>29</v>
      </c>
      <c r="B4306" t="inlineStr">
        <is>
          <t>K3-6A</t>
        </is>
      </c>
      <c r="D4306" t="n">
        <v>16.97</v>
      </c>
      <c r="E4306" t="n">
        <v>33.524</v>
      </c>
      <c r="F4306" t="n">
        <v>543.972</v>
      </c>
      <c r="G4306" t="n">
        <v>3.095</v>
      </c>
      <c r="H4306" t="inlineStr">
        <is>
          <t>MM</t>
        </is>
      </c>
    </row>
    <row r="4307">
      <c r="A4307" t="n">
        <v>30</v>
      </c>
      <c r="B4307" t="inlineStr">
        <is>
          <t>K3-6B</t>
        </is>
      </c>
      <c r="D4307" t="n">
        <v>16.93</v>
      </c>
      <c r="E4307" t="n">
        <v>196.539</v>
      </c>
      <c r="F4307" t="n">
        <v>411.323</v>
      </c>
      <c r="G4307" t="n">
        <v>3.886</v>
      </c>
      <c r="H4307" t="inlineStr">
        <is>
          <t>MM</t>
        </is>
      </c>
    </row>
    <row r="4308">
      <c r="A4308" t="n">
        <v>31</v>
      </c>
      <c r="B4308" t="inlineStr">
        <is>
          <t>K3-6C</t>
        </is>
      </c>
      <c r="D4308" t="n">
        <v>16.92</v>
      </c>
      <c r="E4308" t="n">
        <v>57.606</v>
      </c>
      <c r="F4308" t="n">
        <v>451.372</v>
      </c>
      <c r="G4308" t="n">
        <v>2.888</v>
      </c>
      <c r="H4308" t="inlineStr">
        <is>
          <t>MM</t>
        </is>
      </c>
    </row>
    <row r="4310">
      <c r="A4310" t="inlineStr">
        <is>
          <t>Compound 124:  m2 PFTeDA 1</t>
        </is>
      </c>
    </row>
    <row r="4312">
      <c r="B4312" t="inlineStr">
        <is>
          <t>Sample Text</t>
        </is>
      </c>
      <c r="C4312" t="inlineStr">
        <is>
          <t>Std. Conc</t>
        </is>
      </c>
      <c r="D4312" t="inlineStr">
        <is>
          <t>RT</t>
        </is>
      </c>
      <c r="E4312" t="inlineStr">
        <is>
          <t>Area</t>
        </is>
      </c>
      <c r="F4312" t="inlineStr">
        <is>
          <t>IS Area</t>
        </is>
      </c>
      <c r="G4312" t="inlineStr">
        <is>
          <t>S/N</t>
        </is>
      </c>
      <c r="H4312" t="inlineStr">
        <is>
          <t>Primary Flags</t>
        </is>
      </c>
      <c r="I4312" t="inlineStr">
        <is>
          <t>Response</t>
        </is>
      </c>
      <c r="J4312" t="inlineStr">
        <is>
          <t>Conc.</t>
        </is>
      </c>
    </row>
    <row r="4313">
      <c r="A4313" t="n">
        <v>1</v>
      </c>
      <c r="B4313" t="inlineStr">
        <is>
          <t>K4-1A</t>
        </is>
      </c>
      <c r="D4313" t="n">
        <v>16.82</v>
      </c>
      <c r="E4313" t="n">
        <v>435.167</v>
      </c>
      <c r="G4313" t="n">
        <v>33.413</v>
      </c>
      <c r="H4313" t="inlineStr">
        <is>
          <t>bb</t>
        </is>
      </c>
      <c r="I4313" t="n">
        <v>435.167</v>
      </c>
    </row>
    <row r="4314">
      <c r="A4314" t="n">
        <v>2</v>
      </c>
      <c r="B4314" t="inlineStr">
        <is>
          <t>K4-1B</t>
        </is>
      </c>
      <c r="D4314" t="n">
        <v>16.85</v>
      </c>
      <c r="E4314" t="n">
        <v>549.792</v>
      </c>
      <c r="G4314" t="n">
        <v>3929</v>
      </c>
      <c r="H4314" t="inlineStr">
        <is>
          <t>bb</t>
        </is>
      </c>
      <c r="I4314" t="n">
        <v>549.792</v>
      </c>
    </row>
    <row r="4315">
      <c r="A4315" t="n">
        <v>3</v>
      </c>
      <c r="B4315" t="inlineStr">
        <is>
          <t>K4-1C</t>
        </is>
      </c>
      <c r="D4315" t="n">
        <v>16.84</v>
      </c>
      <c r="E4315" t="n">
        <v>409.212</v>
      </c>
      <c r="G4315" t="n">
        <v>9.348000000000001</v>
      </c>
      <c r="H4315" t="inlineStr">
        <is>
          <t>bb</t>
        </is>
      </c>
      <c r="I4315" t="n">
        <v>409.212</v>
      </c>
    </row>
    <row r="4316">
      <c r="A4316" t="n">
        <v>4</v>
      </c>
      <c r="B4316" t="inlineStr">
        <is>
          <t>K4-2A</t>
        </is>
      </c>
      <c r="D4316" t="n">
        <v>16.83</v>
      </c>
      <c r="E4316" t="n">
        <v>458.88</v>
      </c>
      <c r="G4316" t="n">
        <v>76.57599999999999</v>
      </c>
      <c r="H4316" t="inlineStr">
        <is>
          <t>bb</t>
        </is>
      </c>
      <c r="I4316" t="n">
        <v>458.88</v>
      </c>
    </row>
    <row r="4317">
      <c r="A4317" t="n">
        <v>5</v>
      </c>
      <c r="B4317" t="inlineStr">
        <is>
          <t>K4-2B</t>
        </is>
      </c>
      <c r="D4317" t="n">
        <v>16.85</v>
      </c>
      <c r="E4317" t="n">
        <v>403.292</v>
      </c>
      <c r="G4317" t="n">
        <v>71.29600000000001</v>
      </c>
      <c r="H4317" t="inlineStr">
        <is>
          <t>bb</t>
        </is>
      </c>
      <c r="I4317" t="n">
        <v>403.292</v>
      </c>
    </row>
    <row r="4318">
      <c r="A4318" t="n">
        <v>6</v>
      </c>
      <c r="B4318" t="inlineStr">
        <is>
          <t>K4-2C</t>
        </is>
      </c>
      <c r="D4318" t="n">
        <v>16.89</v>
      </c>
      <c r="E4318" t="n">
        <v>349.79</v>
      </c>
      <c r="G4318" t="n">
        <v>2198</v>
      </c>
      <c r="H4318" t="inlineStr">
        <is>
          <t>bb</t>
        </is>
      </c>
      <c r="I4318" t="n">
        <v>349.79</v>
      </c>
    </row>
    <row r="4319">
      <c r="A4319" t="n">
        <v>7</v>
      </c>
      <c r="B4319" t="inlineStr">
        <is>
          <t>MeOH</t>
        </is>
      </c>
      <c r="H4319" t="inlineStr">
        <is>
          <t>MM-</t>
        </is>
      </c>
    </row>
    <row r="4320">
      <c r="A4320" t="n">
        <v>8</v>
      </c>
      <c r="B4320" t="inlineStr">
        <is>
          <t>K4-4A</t>
        </is>
      </c>
      <c r="D4320" t="n">
        <v>16.87</v>
      </c>
      <c r="E4320" t="n">
        <v>438.197</v>
      </c>
      <c r="G4320" t="n">
        <v>2789</v>
      </c>
      <c r="H4320" t="inlineStr">
        <is>
          <t>bb</t>
        </is>
      </c>
      <c r="I4320" t="n">
        <v>438.197</v>
      </c>
    </row>
    <row r="4321">
      <c r="A4321" t="n">
        <v>9</v>
      </c>
      <c r="B4321" t="inlineStr">
        <is>
          <t>K4-4B</t>
        </is>
      </c>
      <c r="D4321" t="n">
        <v>16.89</v>
      </c>
      <c r="E4321" t="n">
        <v>453.67</v>
      </c>
      <c r="G4321" t="n">
        <v>91.959</v>
      </c>
      <c r="H4321" t="inlineStr">
        <is>
          <t>bb</t>
        </is>
      </c>
      <c r="I4321" t="n">
        <v>453.67</v>
      </c>
    </row>
    <row r="4322">
      <c r="A4322" t="n">
        <v>10</v>
      </c>
      <c r="B4322" t="inlineStr">
        <is>
          <t>K4-4C</t>
        </is>
      </c>
      <c r="D4322" t="n">
        <v>16.89</v>
      </c>
      <c r="E4322" t="n">
        <v>468.581</v>
      </c>
      <c r="G4322" t="n">
        <v>134.096</v>
      </c>
      <c r="H4322" t="inlineStr">
        <is>
          <t>bb</t>
        </is>
      </c>
      <c r="I4322" t="n">
        <v>468.581</v>
      </c>
    </row>
    <row r="4323">
      <c r="A4323" t="n">
        <v>11</v>
      </c>
      <c r="B4323" t="inlineStr">
        <is>
          <t>K4-5A</t>
        </is>
      </c>
      <c r="D4323" t="n">
        <v>16.87</v>
      </c>
      <c r="E4323" t="n">
        <v>381.594</v>
      </c>
      <c r="G4323" t="n">
        <v>59.924</v>
      </c>
      <c r="H4323" t="inlineStr">
        <is>
          <t>bb</t>
        </is>
      </c>
      <c r="I4323" t="n">
        <v>381.594</v>
      </c>
    </row>
    <row r="4324">
      <c r="A4324" t="n">
        <v>12</v>
      </c>
      <c r="B4324" t="inlineStr">
        <is>
          <t>K4-5B</t>
        </is>
      </c>
      <c r="D4324" t="n">
        <v>16.85</v>
      </c>
      <c r="E4324" t="n">
        <v>405.711</v>
      </c>
      <c r="G4324" t="n">
        <v>52.077</v>
      </c>
      <c r="H4324" t="inlineStr">
        <is>
          <t>bb</t>
        </is>
      </c>
      <c r="I4324" t="n">
        <v>405.711</v>
      </c>
    </row>
    <row r="4325">
      <c r="A4325" t="n">
        <v>13</v>
      </c>
      <c r="B4325" t="inlineStr">
        <is>
          <t>K4-5C</t>
        </is>
      </c>
      <c r="D4325" t="n">
        <v>16.79</v>
      </c>
      <c r="E4325" t="n">
        <v>367.483</v>
      </c>
      <c r="G4325" t="n">
        <v>21.974</v>
      </c>
      <c r="H4325" t="inlineStr">
        <is>
          <t>bb</t>
        </is>
      </c>
      <c r="I4325" t="n">
        <v>367.483</v>
      </c>
    </row>
    <row r="4326">
      <c r="A4326" t="n">
        <v>14</v>
      </c>
      <c r="B4326" t="inlineStr">
        <is>
          <t>MeOH</t>
        </is>
      </c>
      <c r="H4326" t="inlineStr">
        <is>
          <t>MM-</t>
        </is>
      </c>
    </row>
    <row r="4327">
      <c r="A4327" t="n">
        <v>15</v>
      </c>
      <c r="B4327" t="inlineStr">
        <is>
          <t>K3-1A</t>
        </is>
      </c>
      <c r="D4327" t="n">
        <v>16.78</v>
      </c>
      <c r="E4327" t="n">
        <v>519.807</v>
      </c>
      <c r="G4327" t="n">
        <v>17.922</v>
      </c>
      <c r="H4327" t="inlineStr">
        <is>
          <t>bb</t>
        </is>
      </c>
      <c r="I4327" t="n">
        <v>519.807</v>
      </c>
    </row>
    <row r="4328">
      <c r="A4328" t="n">
        <v>16</v>
      </c>
      <c r="B4328" t="inlineStr">
        <is>
          <t>K3-1B</t>
        </is>
      </c>
      <c r="D4328" t="n">
        <v>16.79</v>
      </c>
      <c r="E4328" t="n">
        <v>456.552</v>
      </c>
      <c r="G4328" t="n">
        <v>16.338</v>
      </c>
      <c r="H4328" t="inlineStr">
        <is>
          <t>bb</t>
        </is>
      </c>
      <c r="I4328" t="n">
        <v>456.552</v>
      </c>
    </row>
    <row r="4329">
      <c r="A4329" t="n">
        <v>17</v>
      </c>
      <c r="B4329" t="inlineStr">
        <is>
          <t>K3-1C</t>
        </is>
      </c>
      <c r="D4329" t="n">
        <v>16.82</v>
      </c>
      <c r="E4329" t="n">
        <v>556.412</v>
      </c>
      <c r="G4329" t="n">
        <v>53.276</v>
      </c>
      <c r="H4329" t="inlineStr">
        <is>
          <t>bb</t>
        </is>
      </c>
      <c r="I4329" t="n">
        <v>556.412</v>
      </c>
    </row>
    <row r="4330">
      <c r="A4330" t="n">
        <v>18</v>
      </c>
      <c r="B4330" t="inlineStr">
        <is>
          <t>K3-2A</t>
        </is>
      </c>
      <c r="D4330" t="n">
        <v>16.82</v>
      </c>
      <c r="E4330" t="n">
        <v>520.705</v>
      </c>
      <c r="G4330" t="n">
        <v>31.437</v>
      </c>
      <c r="H4330" t="inlineStr">
        <is>
          <t>bb</t>
        </is>
      </c>
      <c r="I4330" t="n">
        <v>520.705</v>
      </c>
    </row>
    <row r="4331">
      <c r="A4331" t="n">
        <v>19</v>
      </c>
      <c r="B4331" t="inlineStr">
        <is>
          <t>K3-2B</t>
        </is>
      </c>
      <c r="D4331" t="n">
        <v>16.84</v>
      </c>
      <c r="E4331" t="n">
        <v>697.726</v>
      </c>
      <c r="G4331" t="n">
        <v>68.383</v>
      </c>
      <c r="H4331" t="inlineStr">
        <is>
          <t>bb</t>
        </is>
      </c>
      <c r="I4331" t="n">
        <v>697.726</v>
      </c>
    </row>
    <row r="4332">
      <c r="A4332" t="n">
        <v>20</v>
      </c>
      <c r="B4332" t="inlineStr">
        <is>
          <t>K3-2C</t>
        </is>
      </c>
      <c r="D4332" t="n">
        <v>16.85</v>
      </c>
      <c r="E4332" t="n">
        <v>515.652</v>
      </c>
      <c r="G4332" t="n">
        <v>66.107</v>
      </c>
      <c r="H4332" t="inlineStr">
        <is>
          <t>bb</t>
        </is>
      </c>
      <c r="I4332" t="n">
        <v>515.652</v>
      </c>
    </row>
    <row r="4333">
      <c r="A4333" t="n">
        <v>21</v>
      </c>
      <c r="B4333" t="inlineStr">
        <is>
          <t>MeOH</t>
        </is>
      </c>
    </row>
    <row r="4334">
      <c r="A4334" t="n">
        <v>22</v>
      </c>
      <c r="B4334" t="inlineStr">
        <is>
          <t>K3-3A</t>
        </is>
      </c>
      <c r="D4334" t="n">
        <v>16.85</v>
      </c>
      <c r="E4334" t="n">
        <v>442.761</v>
      </c>
      <c r="G4334" t="n">
        <v>21.008</v>
      </c>
      <c r="H4334" t="inlineStr">
        <is>
          <t>bb</t>
        </is>
      </c>
      <c r="I4334" t="n">
        <v>442.761</v>
      </c>
    </row>
    <row r="4335">
      <c r="A4335" t="n">
        <v>23</v>
      </c>
      <c r="B4335" t="inlineStr">
        <is>
          <t>K3-3B</t>
        </is>
      </c>
      <c r="D4335" t="n">
        <v>16.89</v>
      </c>
      <c r="E4335" t="n">
        <v>392.975</v>
      </c>
      <c r="G4335" t="n">
        <v>27.931</v>
      </c>
      <c r="H4335" t="inlineStr">
        <is>
          <t>bb</t>
        </is>
      </c>
      <c r="I4335" t="n">
        <v>392.975</v>
      </c>
    </row>
    <row r="4336">
      <c r="A4336" t="n">
        <v>24</v>
      </c>
      <c r="B4336" t="inlineStr">
        <is>
          <t>K3-3C</t>
        </is>
      </c>
      <c r="D4336" t="n">
        <v>16.87</v>
      </c>
      <c r="E4336" t="n">
        <v>533.34</v>
      </c>
      <c r="G4336" t="n">
        <v>12.718</v>
      </c>
      <c r="H4336" t="inlineStr">
        <is>
          <t>bb</t>
        </is>
      </c>
      <c r="I4336" t="n">
        <v>533.34</v>
      </c>
    </row>
    <row r="4337">
      <c r="A4337" t="n">
        <v>25</v>
      </c>
      <c r="B4337" t="inlineStr">
        <is>
          <t>K3-4A</t>
        </is>
      </c>
      <c r="D4337" t="n">
        <v>16.9</v>
      </c>
      <c r="E4337" t="n">
        <v>579.684</v>
      </c>
      <c r="G4337" t="n">
        <v>60.227</v>
      </c>
      <c r="H4337" t="inlineStr">
        <is>
          <t>bb</t>
        </is>
      </c>
      <c r="I4337" t="n">
        <v>579.684</v>
      </c>
    </row>
    <row r="4338">
      <c r="A4338" t="n">
        <v>26</v>
      </c>
      <c r="B4338" t="inlineStr">
        <is>
          <t>K3-4B</t>
        </is>
      </c>
      <c r="D4338" t="n">
        <v>16.9</v>
      </c>
      <c r="E4338" t="n">
        <v>398.943</v>
      </c>
      <c r="G4338" t="n">
        <v>7.029</v>
      </c>
      <c r="H4338" t="inlineStr">
        <is>
          <t>bb</t>
        </is>
      </c>
      <c r="I4338" t="n">
        <v>398.943</v>
      </c>
    </row>
    <row r="4339">
      <c r="A4339" t="n">
        <v>27</v>
      </c>
      <c r="B4339" t="inlineStr">
        <is>
          <t>K3-4C</t>
        </is>
      </c>
      <c r="D4339" t="n">
        <v>16.92</v>
      </c>
      <c r="E4339" t="n">
        <v>556.154</v>
      </c>
      <c r="G4339" t="n">
        <v>32.732</v>
      </c>
      <c r="H4339" t="inlineStr">
        <is>
          <t>bb</t>
        </is>
      </c>
      <c r="I4339" t="n">
        <v>556.154</v>
      </c>
    </row>
    <row r="4340">
      <c r="A4340" t="n">
        <v>28</v>
      </c>
      <c r="B4340" t="inlineStr">
        <is>
          <t>MeOH</t>
        </is>
      </c>
      <c r="H4340" t="inlineStr">
        <is>
          <t>MM-</t>
        </is>
      </c>
    </row>
    <row r="4341">
      <c r="A4341" t="n">
        <v>29</v>
      </c>
      <c r="B4341" t="inlineStr">
        <is>
          <t>K3-6A</t>
        </is>
      </c>
      <c r="D4341" t="n">
        <v>16.92</v>
      </c>
      <c r="E4341" t="n">
        <v>543.972</v>
      </c>
      <c r="G4341" t="n">
        <v>75.453</v>
      </c>
      <c r="H4341" t="inlineStr">
        <is>
          <t>bb</t>
        </is>
      </c>
      <c r="I4341" t="n">
        <v>543.972</v>
      </c>
    </row>
    <row r="4342">
      <c r="A4342" t="n">
        <v>30</v>
      </c>
      <c r="B4342" t="inlineStr">
        <is>
          <t>K3-6B</t>
        </is>
      </c>
      <c r="D4342" t="n">
        <v>16.92</v>
      </c>
      <c r="E4342" t="n">
        <v>411.323</v>
      </c>
      <c r="G4342" t="n">
        <v>18.737</v>
      </c>
      <c r="H4342" t="inlineStr">
        <is>
          <t>bb</t>
        </is>
      </c>
      <c r="I4342" t="n">
        <v>411.323</v>
      </c>
    </row>
    <row r="4343">
      <c r="A4343" t="n">
        <v>31</v>
      </c>
      <c r="B4343" t="inlineStr">
        <is>
          <t>K3-6C</t>
        </is>
      </c>
      <c r="D4343" t="n">
        <v>16.9</v>
      </c>
      <c r="E4343" t="n">
        <v>451.372</v>
      </c>
      <c r="G4343" t="n">
        <v>89.7</v>
      </c>
      <c r="H4343" t="inlineStr">
        <is>
          <t>bb</t>
        </is>
      </c>
      <c r="I4343" t="n">
        <v>451.372</v>
      </c>
    </row>
    <row r="4345">
      <c r="A4345" t="inlineStr">
        <is>
          <t>Compound 125:  m2 PFTeDA 2</t>
        </is>
      </c>
    </row>
    <row r="4347">
      <c r="B4347" t="inlineStr">
        <is>
          <t>Sample Text</t>
        </is>
      </c>
      <c r="C4347" t="inlineStr">
        <is>
          <t>Std. Conc</t>
        </is>
      </c>
      <c r="D4347" t="inlineStr">
        <is>
          <t>RT</t>
        </is>
      </c>
      <c r="E4347" t="inlineStr">
        <is>
          <t>Area</t>
        </is>
      </c>
      <c r="F4347" t="inlineStr">
        <is>
          <t>IS Area</t>
        </is>
      </c>
      <c r="G4347" t="inlineStr">
        <is>
          <t>S/N</t>
        </is>
      </c>
      <c r="H4347" t="inlineStr">
        <is>
          <t>Primary Flags</t>
        </is>
      </c>
      <c r="I4347" t="inlineStr">
        <is>
          <t>Response</t>
        </is>
      </c>
      <c r="J4347" t="inlineStr">
        <is>
          <t>Conc.</t>
        </is>
      </c>
    </row>
    <row r="4348">
      <c r="A4348" t="n">
        <v>1</v>
      </c>
      <c r="B4348" t="inlineStr">
        <is>
          <t>K4-1A</t>
        </is>
      </c>
      <c r="D4348" t="n">
        <v>16.82</v>
      </c>
      <c r="E4348" t="n">
        <v>1231.774</v>
      </c>
      <c r="G4348" t="n">
        <v>57.082</v>
      </c>
      <c r="H4348" t="inlineStr">
        <is>
          <t>bb</t>
        </is>
      </c>
      <c r="I4348" t="n">
        <v>1231.774</v>
      </c>
    </row>
    <row r="4349">
      <c r="A4349" t="n">
        <v>2</v>
      </c>
      <c r="B4349" t="inlineStr">
        <is>
          <t>K4-1B</t>
        </is>
      </c>
      <c r="D4349" t="n">
        <v>16.84</v>
      </c>
      <c r="E4349" t="n">
        <v>1020.073</v>
      </c>
      <c r="G4349" t="n">
        <v>336.348</v>
      </c>
      <c r="H4349" t="inlineStr">
        <is>
          <t>bb</t>
        </is>
      </c>
      <c r="I4349" t="n">
        <v>1020.073</v>
      </c>
    </row>
    <row r="4350">
      <c r="A4350" t="n">
        <v>3</v>
      </c>
      <c r="B4350" t="inlineStr">
        <is>
          <t>K4-1C</t>
        </is>
      </c>
      <c r="D4350" t="n">
        <v>16.85</v>
      </c>
      <c r="E4350" t="n">
        <v>1132.848</v>
      </c>
      <c r="G4350" t="n">
        <v>243.851</v>
      </c>
      <c r="H4350" t="inlineStr">
        <is>
          <t>bb</t>
        </is>
      </c>
      <c r="I4350" t="n">
        <v>1132.848</v>
      </c>
    </row>
    <row r="4351">
      <c r="A4351" t="n">
        <v>4</v>
      </c>
      <c r="B4351" t="inlineStr">
        <is>
          <t>K4-2A</t>
        </is>
      </c>
      <c r="D4351" t="n">
        <v>16.83</v>
      </c>
      <c r="E4351" t="n">
        <v>1016.982</v>
      </c>
      <c r="G4351" t="n">
        <v>90.07599999999999</v>
      </c>
      <c r="H4351" t="inlineStr">
        <is>
          <t>bb</t>
        </is>
      </c>
      <c r="I4351" t="n">
        <v>1016.982</v>
      </c>
    </row>
    <row r="4352">
      <c r="A4352" t="n">
        <v>5</v>
      </c>
      <c r="B4352" t="inlineStr">
        <is>
          <t>K4-2B</t>
        </is>
      </c>
      <c r="D4352" t="n">
        <v>16.85</v>
      </c>
      <c r="E4352" t="n">
        <v>852.0839999999999</v>
      </c>
      <c r="G4352" t="n">
        <v>5684</v>
      </c>
      <c r="H4352" t="inlineStr">
        <is>
          <t>bb</t>
        </is>
      </c>
      <c r="I4352" t="n">
        <v>852.0839999999999</v>
      </c>
    </row>
    <row r="4353">
      <c r="A4353" t="n">
        <v>6</v>
      </c>
      <c r="B4353" t="inlineStr">
        <is>
          <t>K4-2C</t>
        </is>
      </c>
      <c r="D4353" t="n">
        <v>16.85</v>
      </c>
      <c r="E4353" t="n">
        <v>877.87</v>
      </c>
      <c r="G4353" t="n">
        <v>607.6</v>
      </c>
      <c r="H4353" t="inlineStr">
        <is>
          <t>bb</t>
        </is>
      </c>
      <c r="I4353" t="n">
        <v>877.87</v>
      </c>
    </row>
    <row r="4354">
      <c r="A4354" t="n">
        <v>7</v>
      </c>
      <c r="B4354" t="inlineStr">
        <is>
          <t>MeOH</t>
        </is>
      </c>
    </row>
    <row r="4355">
      <c r="A4355" t="n">
        <v>8</v>
      </c>
      <c r="B4355" t="inlineStr">
        <is>
          <t>K4-4A</t>
        </is>
      </c>
      <c r="D4355" t="n">
        <v>16.87</v>
      </c>
      <c r="E4355" t="n">
        <v>1046.641</v>
      </c>
      <c r="G4355" t="n">
        <v>25.154</v>
      </c>
      <c r="H4355" t="inlineStr">
        <is>
          <t>bb</t>
        </is>
      </c>
      <c r="I4355" t="n">
        <v>1046.641</v>
      </c>
    </row>
    <row r="4356">
      <c r="A4356" t="n">
        <v>9</v>
      </c>
      <c r="B4356" t="inlineStr">
        <is>
          <t>K4-4B</t>
        </is>
      </c>
      <c r="D4356" t="n">
        <v>16.89</v>
      </c>
      <c r="E4356" t="n">
        <v>842.062</v>
      </c>
      <c r="G4356" t="n">
        <v>5800</v>
      </c>
      <c r="H4356" t="inlineStr">
        <is>
          <t>bb</t>
        </is>
      </c>
      <c r="I4356" t="n">
        <v>842.062</v>
      </c>
    </row>
    <row r="4357">
      <c r="A4357" t="n">
        <v>10</v>
      </c>
      <c r="B4357" t="inlineStr">
        <is>
          <t>K4-4C</t>
        </is>
      </c>
      <c r="D4357" t="n">
        <v>16.87</v>
      </c>
      <c r="E4357" t="n">
        <v>1185.143</v>
      </c>
      <c r="G4357" t="n">
        <v>8110</v>
      </c>
      <c r="H4357" t="inlineStr">
        <is>
          <t>bb</t>
        </is>
      </c>
      <c r="I4357" t="n">
        <v>1185.143</v>
      </c>
    </row>
    <row r="4358">
      <c r="A4358" t="n">
        <v>11</v>
      </c>
      <c r="B4358" t="inlineStr">
        <is>
          <t>K4-5A</t>
        </is>
      </c>
      <c r="D4358" t="n">
        <v>16.85</v>
      </c>
      <c r="E4358" t="n">
        <v>1047.034</v>
      </c>
      <c r="G4358" t="n">
        <v>3534.098</v>
      </c>
      <c r="H4358" t="inlineStr">
        <is>
          <t>bb</t>
        </is>
      </c>
      <c r="I4358" t="n">
        <v>1047.034</v>
      </c>
    </row>
    <row r="4359">
      <c r="A4359" t="n">
        <v>12</v>
      </c>
      <c r="B4359" t="inlineStr">
        <is>
          <t>K4-5B</t>
        </is>
      </c>
      <c r="D4359" t="n">
        <v>16.85</v>
      </c>
      <c r="E4359" t="n">
        <v>676.477</v>
      </c>
      <c r="G4359" t="n">
        <v>4466</v>
      </c>
      <c r="H4359" t="inlineStr">
        <is>
          <t>bb</t>
        </is>
      </c>
      <c r="I4359" t="n">
        <v>676.477</v>
      </c>
    </row>
    <row r="4360">
      <c r="A4360" t="n">
        <v>13</v>
      </c>
      <c r="B4360" t="inlineStr">
        <is>
          <t>K4-5C</t>
        </is>
      </c>
      <c r="D4360" t="n">
        <v>16.8</v>
      </c>
      <c r="E4360" t="n">
        <v>1088.289</v>
      </c>
      <c r="G4360" t="n">
        <v>8597</v>
      </c>
      <c r="H4360" t="inlineStr">
        <is>
          <t>bb</t>
        </is>
      </c>
      <c r="I4360" t="n">
        <v>1088.289</v>
      </c>
    </row>
    <row r="4361">
      <c r="A4361" t="n">
        <v>14</v>
      </c>
      <c r="B4361" t="inlineStr">
        <is>
          <t>MeOH</t>
        </is>
      </c>
      <c r="H4361" t="inlineStr">
        <is>
          <t>MM-</t>
        </is>
      </c>
    </row>
    <row r="4362">
      <c r="A4362" t="n">
        <v>15</v>
      </c>
      <c r="B4362" t="inlineStr">
        <is>
          <t>K3-1A</t>
        </is>
      </c>
      <c r="D4362" t="n">
        <v>16.78</v>
      </c>
      <c r="E4362" t="n">
        <v>1343.16</v>
      </c>
      <c r="G4362" t="n">
        <v>2696.604</v>
      </c>
      <c r="H4362" t="inlineStr">
        <is>
          <t>bb</t>
        </is>
      </c>
      <c r="I4362" t="n">
        <v>1343.16</v>
      </c>
    </row>
    <row r="4363">
      <c r="A4363" t="n">
        <v>16</v>
      </c>
      <c r="B4363" t="inlineStr">
        <is>
          <t>K3-1B</t>
        </is>
      </c>
      <c r="D4363" t="n">
        <v>16.79</v>
      </c>
      <c r="E4363" t="n">
        <v>1405.073</v>
      </c>
      <c r="G4363" t="n">
        <v>10551</v>
      </c>
      <c r="H4363" t="inlineStr">
        <is>
          <t>bb</t>
        </is>
      </c>
      <c r="I4363" t="n">
        <v>1405.073</v>
      </c>
    </row>
    <row r="4364">
      <c r="A4364" t="n">
        <v>17</v>
      </c>
      <c r="B4364" t="inlineStr">
        <is>
          <t>K3-1C</t>
        </is>
      </c>
      <c r="D4364" t="n">
        <v>16.82</v>
      </c>
      <c r="E4364" t="n">
        <v>1583.432</v>
      </c>
      <c r="G4364" t="n">
        <v>179.476</v>
      </c>
      <c r="H4364" t="inlineStr">
        <is>
          <t>bb</t>
        </is>
      </c>
      <c r="I4364" t="n">
        <v>1583.432</v>
      </c>
    </row>
    <row r="4365">
      <c r="A4365" t="n">
        <v>18</v>
      </c>
      <c r="B4365" t="inlineStr">
        <is>
          <t>K3-2A</t>
        </is>
      </c>
      <c r="D4365" t="n">
        <v>16.84</v>
      </c>
      <c r="E4365" t="n">
        <v>1523.004</v>
      </c>
      <c r="G4365" t="n">
        <v>10239</v>
      </c>
      <c r="H4365" t="inlineStr">
        <is>
          <t>bb</t>
        </is>
      </c>
      <c r="I4365" t="n">
        <v>1523.004</v>
      </c>
    </row>
    <row r="4366">
      <c r="A4366" t="n">
        <v>19</v>
      </c>
      <c r="B4366" t="inlineStr">
        <is>
          <t>K3-2B</t>
        </is>
      </c>
      <c r="D4366" t="n">
        <v>16.84</v>
      </c>
      <c r="E4366" t="n">
        <v>1399.654</v>
      </c>
      <c r="G4366" t="n">
        <v>148.289</v>
      </c>
      <c r="H4366" t="inlineStr">
        <is>
          <t>bb</t>
        </is>
      </c>
      <c r="I4366" t="n">
        <v>1399.654</v>
      </c>
    </row>
    <row r="4367">
      <c r="A4367" t="n">
        <v>20</v>
      </c>
      <c r="B4367" t="inlineStr">
        <is>
          <t>K3-2C</t>
        </is>
      </c>
      <c r="D4367" t="n">
        <v>16.84</v>
      </c>
      <c r="E4367" t="n">
        <v>1190.786</v>
      </c>
      <c r="G4367" t="n">
        <v>318.558</v>
      </c>
      <c r="H4367" t="inlineStr">
        <is>
          <t>bb</t>
        </is>
      </c>
      <c r="I4367" t="n">
        <v>1190.786</v>
      </c>
    </row>
    <row r="4368">
      <c r="A4368" t="n">
        <v>21</v>
      </c>
      <c r="B4368" t="inlineStr">
        <is>
          <t>MeOH</t>
        </is>
      </c>
      <c r="H4368" t="inlineStr">
        <is>
          <t>MM-</t>
        </is>
      </c>
    </row>
    <row r="4369">
      <c r="A4369" t="n">
        <v>22</v>
      </c>
      <c r="B4369" t="inlineStr">
        <is>
          <t>K3-3A</t>
        </is>
      </c>
      <c r="D4369" t="n">
        <v>16.87</v>
      </c>
      <c r="E4369" t="n">
        <v>887.872</v>
      </c>
      <c r="G4369" t="n">
        <v>1124.955</v>
      </c>
      <c r="H4369" t="inlineStr">
        <is>
          <t>bb</t>
        </is>
      </c>
      <c r="I4369" t="n">
        <v>887.872</v>
      </c>
    </row>
    <row r="4370">
      <c r="A4370" t="n">
        <v>23</v>
      </c>
      <c r="B4370" t="inlineStr">
        <is>
          <t>K3-3B</t>
        </is>
      </c>
      <c r="D4370" t="n">
        <v>16.87</v>
      </c>
      <c r="E4370" t="n">
        <v>1352.479</v>
      </c>
      <c r="G4370" t="n">
        <v>1200.838</v>
      </c>
      <c r="H4370" t="inlineStr">
        <is>
          <t>bb</t>
        </is>
      </c>
      <c r="I4370" t="n">
        <v>1352.479</v>
      </c>
    </row>
    <row r="4371">
      <c r="A4371" t="n">
        <v>24</v>
      </c>
      <c r="B4371" t="inlineStr">
        <is>
          <t>K3-3C</t>
        </is>
      </c>
      <c r="D4371" t="n">
        <v>16.87</v>
      </c>
      <c r="E4371" t="n">
        <v>1667.877</v>
      </c>
      <c r="G4371" t="n">
        <v>120.413</v>
      </c>
      <c r="H4371" t="inlineStr">
        <is>
          <t>bb</t>
        </is>
      </c>
      <c r="I4371" t="n">
        <v>1667.877</v>
      </c>
    </row>
    <row r="4372">
      <c r="A4372" t="n">
        <v>25</v>
      </c>
      <c r="B4372" t="inlineStr">
        <is>
          <t>K3-4A</t>
        </is>
      </c>
      <c r="D4372" t="n">
        <v>16.9</v>
      </c>
      <c r="E4372" t="n">
        <v>1653.118</v>
      </c>
      <c r="G4372" t="n">
        <v>216.208</v>
      </c>
      <c r="H4372" t="inlineStr">
        <is>
          <t>bb</t>
        </is>
      </c>
      <c r="I4372" t="n">
        <v>1653.118</v>
      </c>
    </row>
    <row r="4373">
      <c r="A4373" t="n">
        <v>26</v>
      </c>
      <c r="B4373" t="inlineStr">
        <is>
          <t>K3-4B</t>
        </is>
      </c>
      <c r="D4373" t="n">
        <v>16.9</v>
      </c>
      <c r="E4373" t="n">
        <v>1522.77</v>
      </c>
      <c r="G4373" t="n">
        <v>10060</v>
      </c>
      <c r="H4373" t="inlineStr">
        <is>
          <t>bb</t>
        </is>
      </c>
      <c r="I4373" t="n">
        <v>1522.77</v>
      </c>
    </row>
    <row r="4374">
      <c r="A4374" t="n">
        <v>27</v>
      </c>
      <c r="B4374" t="inlineStr">
        <is>
          <t>K3-4C</t>
        </is>
      </c>
      <c r="D4374" t="n">
        <v>16.92</v>
      </c>
      <c r="E4374" t="n">
        <v>1674.885</v>
      </c>
      <c r="G4374" t="n">
        <v>5231.226</v>
      </c>
      <c r="H4374" t="inlineStr">
        <is>
          <t>bb</t>
        </is>
      </c>
      <c r="I4374" t="n">
        <v>1674.885</v>
      </c>
    </row>
    <row r="4375">
      <c r="A4375" t="n">
        <v>28</v>
      </c>
      <c r="B4375" t="inlineStr">
        <is>
          <t>MeOH</t>
        </is>
      </c>
      <c r="H4375" t="inlineStr">
        <is>
          <t>MM-</t>
        </is>
      </c>
    </row>
    <row r="4376">
      <c r="A4376" t="n">
        <v>29</v>
      </c>
      <c r="B4376" t="inlineStr">
        <is>
          <t>K3-6A</t>
        </is>
      </c>
      <c r="D4376" t="n">
        <v>16.92</v>
      </c>
      <c r="E4376" t="n">
        <v>1672.987</v>
      </c>
      <c r="G4376" t="n">
        <v>230.463</v>
      </c>
      <c r="H4376" t="inlineStr">
        <is>
          <t>bb</t>
        </is>
      </c>
      <c r="I4376" t="n">
        <v>1672.987</v>
      </c>
    </row>
    <row r="4377">
      <c r="A4377" t="n">
        <v>30</v>
      </c>
      <c r="B4377" t="inlineStr">
        <is>
          <t>K3-6B</t>
        </is>
      </c>
      <c r="D4377" t="n">
        <v>16.92</v>
      </c>
      <c r="E4377" t="n">
        <v>1314.123</v>
      </c>
      <c r="G4377" t="n">
        <v>8532</v>
      </c>
      <c r="H4377" t="inlineStr">
        <is>
          <t>bb</t>
        </is>
      </c>
      <c r="I4377" t="n">
        <v>1314.123</v>
      </c>
    </row>
    <row r="4378">
      <c r="A4378" t="n">
        <v>31</v>
      </c>
      <c r="B4378" t="inlineStr">
        <is>
          <t>K3-6C</t>
        </is>
      </c>
      <c r="D4378" t="n">
        <v>16.9</v>
      </c>
      <c r="E4378" t="n">
        <v>1061.521</v>
      </c>
      <c r="G4378" t="n">
        <v>87.898</v>
      </c>
      <c r="H4378" t="inlineStr">
        <is>
          <t>bb</t>
        </is>
      </c>
      <c r="I4378" t="n">
        <v>1061.521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zoomScale="170" zoomScaleNormal="170" workbookViewId="0">
      <selection activeCell="D1" sqref="D1"/>
    </sheetView>
  </sheetViews>
  <sheetFormatPr baseColWidth="8" defaultColWidth="10.6640625" defaultRowHeight="16"/>
  <cols>
    <col width="12.5" bestFit="1" customWidth="1" min="1" max="1"/>
  </cols>
  <sheetData>
    <row r="1" ht="29" customHeight="1" thickBot="1">
      <c r="A1" s="38" t="inlineStr">
        <is>
          <t>Analytes</t>
        </is>
      </c>
      <c r="B1" s="39" t="inlineStr">
        <is>
          <t>K4-5</t>
        </is>
      </c>
      <c r="C1" s="39" t="inlineStr">
        <is>
          <t>K3-1</t>
        </is>
      </c>
      <c r="D1" s="39" t="inlineStr">
        <is>
          <t>K3-2</t>
        </is>
      </c>
      <c r="E1" s="39" t="inlineStr">
        <is>
          <t>K3-3</t>
        </is>
      </c>
      <c r="F1" s="39" t="inlineStr">
        <is>
          <t>K3-4</t>
        </is>
      </c>
      <c r="G1" s="39" t="inlineStr">
        <is>
          <t>K3-6</t>
        </is>
      </c>
    </row>
    <row r="2">
      <c r="A2" s="34" t="inlineStr">
        <is>
          <t>4:2 monoPAP</t>
        </is>
      </c>
      <c r="B2" t="inlineStr">
        <is>
          <t>&lt;LOD</t>
        </is>
      </c>
      <c r="C2" t="inlineStr">
        <is>
          <t>&lt;LOD</t>
        </is>
      </c>
      <c r="D2" t="inlineStr">
        <is>
          <t>&lt;LOD</t>
        </is>
      </c>
      <c r="E2" t="inlineStr">
        <is>
          <t>&lt;LOD</t>
        </is>
      </c>
      <c r="F2" t="inlineStr">
        <is>
          <t>&lt;LOD</t>
        </is>
      </c>
      <c r="G2" t="inlineStr">
        <is>
          <t>&lt;LOD</t>
        </is>
      </c>
    </row>
    <row r="3">
      <c r="A3" s="34" t="inlineStr">
        <is>
          <t>PFHxPA</t>
        </is>
      </c>
      <c r="B3" s="36" t="inlineStr">
        <is>
          <t>&lt;LOQ</t>
        </is>
      </c>
      <c r="C3" s="36" t="inlineStr">
        <is>
          <t>&lt;LOQ</t>
        </is>
      </c>
      <c r="D3" s="36" t="inlineStr">
        <is>
          <t>&lt;LOQ</t>
        </is>
      </c>
      <c r="E3" s="36" t="inlineStr">
        <is>
          <t>&lt;LOQ</t>
        </is>
      </c>
      <c r="F3" s="36" t="inlineStr">
        <is>
          <t>&lt;LOQ</t>
        </is>
      </c>
      <c r="G3" s="36" t="inlineStr">
        <is>
          <t>&lt;LOQ</t>
        </is>
      </c>
    </row>
    <row r="4">
      <c r="A4" s="34" t="inlineStr">
        <is>
          <t>6:2 monoPAP</t>
        </is>
      </c>
      <c r="B4" t="inlineStr">
        <is>
          <t>&lt;LOD</t>
        </is>
      </c>
      <c r="C4" t="inlineStr">
        <is>
          <t>&lt;LOD</t>
        </is>
      </c>
      <c r="D4" t="inlineStr">
        <is>
          <t>&lt;LOD</t>
        </is>
      </c>
      <c r="E4" t="inlineStr">
        <is>
          <t>&lt;LOD</t>
        </is>
      </c>
      <c r="F4" t="inlineStr">
        <is>
          <t>&lt;LOD</t>
        </is>
      </c>
      <c r="G4" t="inlineStr">
        <is>
          <t>&lt;LOD</t>
        </is>
      </c>
    </row>
    <row r="5">
      <c r="A5" s="34" t="inlineStr">
        <is>
          <t>PFOPA</t>
        </is>
      </c>
      <c r="B5" t="inlineStr">
        <is>
          <t>&lt;LOD</t>
        </is>
      </c>
      <c r="C5" t="inlineStr">
        <is>
          <t>&lt;LOD</t>
        </is>
      </c>
      <c r="D5" t="inlineStr">
        <is>
          <t>&lt;LOD</t>
        </is>
      </c>
      <c r="E5" t="inlineStr">
        <is>
          <t>&lt;LOD</t>
        </is>
      </c>
      <c r="F5" t="inlineStr">
        <is>
          <t>&lt;LOD</t>
        </is>
      </c>
      <c r="G5" t="inlineStr">
        <is>
          <t>&lt;LOD</t>
        </is>
      </c>
    </row>
    <row r="6">
      <c r="A6" s="35" t="inlineStr">
        <is>
          <t>8:2 monoPAP</t>
        </is>
      </c>
      <c r="B6" t="inlineStr">
        <is>
          <t>&lt;LOD</t>
        </is>
      </c>
      <c r="C6" t="inlineStr">
        <is>
          <t>&lt;LOD</t>
        </is>
      </c>
      <c r="D6" t="inlineStr">
        <is>
          <t>&lt;LOD</t>
        </is>
      </c>
      <c r="E6" t="inlineStr">
        <is>
          <t>&lt;LOD</t>
        </is>
      </c>
      <c r="F6" t="inlineStr">
        <is>
          <t>&lt;LOD</t>
        </is>
      </c>
      <c r="G6" t="inlineStr">
        <is>
          <t>&lt;LOD</t>
        </is>
      </c>
    </row>
    <row r="7">
      <c r="A7" s="35" t="inlineStr">
        <is>
          <t>4:2 diPAP</t>
        </is>
      </c>
      <c r="B7" t="inlineStr">
        <is>
          <t>111.3 ± 71.2</t>
        </is>
      </c>
      <c r="C7" s="19" t="inlineStr">
        <is>
          <t>44.3 ± 34.3</t>
        </is>
      </c>
      <c r="D7" t="inlineStr">
        <is>
          <t>41.3 ± 24.1</t>
        </is>
      </c>
      <c r="E7" t="inlineStr">
        <is>
          <t>44.1 ± 35.9</t>
        </is>
      </c>
      <c r="F7" t="inlineStr">
        <is>
          <t>23.3 ± 6.5</t>
        </is>
      </c>
      <c r="G7" t="inlineStr">
        <is>
          <t>61.5 ± 22.8</t>
        </is>
      </c>
    </row>
    <row r="8">
      <c r="A8" s="34" t="inlineStr">
        <is>
          <t>PFDPA</t>
        </is>
      </c>
      <c r="B8" t="inlineStr">
        <is>
          <t>&lt;LOD</t>
        </is>
      </c>
      <c r="C8" t="inlineStr">
        <is>
          <t>&lt;LOD</t>
        </is>
      </c>
      <c r="D8" t="inlineStr">
        <is>
          <t>&lt;LOD</t>
        </is>
      </c>
      <c r="E8" t="inlineStr">
        <is>
          <t>&lt;LOD</t>
        </is>
      </c>
      <c r="F8" t="inlineStr">
        <is>
          <t>&lt;LOD</t>
        </is>
      </c>
      <c r="G8" t="inlineStr">
        <is>
          <t>&lt;LOD</t>
        </is>
      </c>
    </row>
    <row r="9">
      <c r="A9" s="35" t="inlineStr">
        <is>
          <t>10:2 monoPAP</t>
        </is>
      </c>
      <c r="B9" t="inlineStr">
        <is>
          <t>&lt;LOD</t>
        </is>
      </c>
      <c r="C9" t="inlineStr">
        <is>
          <t>&lt;LOD</t>
        </is>
      </c>
      <c r="D9" t="inlineStr">
        <is>
          <t>&lt;LOD</t>
        </is>
      </c>
      <c r="E9" t="inlineStr">
        <is>
          <t>&lt;LOD</t>
        </is>
      </c>
      <c r="F9" t="inlineStr">
        <is>
          <t>&lt;LOD</t>
        </is>
      </c>
      <c r="G9" t="inlineStr">
        <is>
          <t>&lt;LOD</t>
        </is>
      </c>
    </row>
    <row r="10">
      <c r="A10" s="35" t="inlineStr">
        <is>
          <t>SAmPAP</t>
        </is>
      </c>
      <c r="B10" t="inlineStr">
        <is>
          <t>&lt;LOD</t>
        </is>
      </c>
      <c r="C10" t="inlineStr">
        <is>
          <t>&lt;LOD</t>
        </is>
      </c>
      <c r="D10" t="inlineStr">
        <is>
          <t>&lt;LOD</t>
        </is>
      </c>
      <c r="E10" t="inlineStr">
        <is>
          <t>&lt;LOD</t>
        </is>
      </c>
      <c r="F10" t="inlineStr">
        <is>
          <t>&lt;LOD</t>
        </is>
      </c>
      <c r="G10" t="inlineStr">
        <is>
          <t>&lt;LOD</t>
        </is>
      </c>
    </row>
    <row r="11">
      <c r="A11" s="35" t="inlineStr">
        <is>
          <t>6:6 PFPi</t>
        </is>
      </c>
      <c r="B11" t="inlineStr">
        <is>
          <t>&lt;LOD</t>
        </is>
      </c>
      <c r="C11" t="inlineStr">
        <is>
          <t>&lt;LOD</t>
        </is>
      </c>
      <c r="D11" t="inlineStr">
        <is>
          <t>&lt;LOD</t>
        </is>
      </c>
      <c r="E11" t="inlineStr">
        <is>
          <t>&lt;LOD</t>
        </is>
      </c>
      <c r="F11" t="inlineStr">
        <is>
          <t>&lt;LOD</t>
        </is>
      </c>
      <c r="G11" t="inlineStr">
        <is>
          <t>&lt;LOD</t>
        </is>
      </c>
    </row>
    <row r="12">
      <c r="A12" s="35" t="inlineStr">
        <is>
          <t>12:2 monoPAP</t>
        </is>
      </c>
      <c r="B12" t="inlineStr">
        <is>
          <t>&lt;LOD</t>
        </is>
      </c>
      <c r="C12" t="inlineStr">
        <is>
          <t>&lt;LOD</t>
        </is>
      </c>
      <c r="D12" t="inlineStr">
        <is>
          <t>&lt;LOD</t>
        </is>
      </c>
      <c r="E12" t="inlineStr">
        <is>
          <t>&lt;LOD</t>
        </is>
      </c>
      <c r="F12" t="inlineStr">
        <is>
          <t>&lt;LOD</t>
        </is>
      </c>
      <c r="G12" t="inlineStr">
        <is>
          <t>&lt;LOD</t>
        </is>
      </c>
    </row>
    <row r="13">
      <c r="A13" s="35" t="inlineStr">
        <is>
          <t>6:2 diPAP</t>
        </is>
      </c>
      <c r="B13" t="inlineStr">
        <is>
          <t>&lt;LOD</t>
        </is>
      </c>
      <c r="C13" t="inlineStr">
        <is>
          <t>&lt;LOD</t>
        </is>
      </c>
      <c r="D13" t="inlineStr">
        <is>
          <t>&lt;LOD</t>
        </is>
      </c>
      <c r="E13" t="inlineStr">
        <is>
          <t>&lt;LOD</t>
        </is>
      </c>
      <c r="F13" t="inlineStr">
        <is>
          <t>&lt;LOD</t>
        </is>
      </c>
      <c r="G13" t="inlineStr">
        <is>
          <t>&lt;LOD</t>
        </is>
      </c>
    </row>
    <row r="14">
      <c r="A14" s="35" t="inlineStr">
        <is>
          <t>6-6-6 triPAP</t>
        </is>
      </c>
      <c r="B14" s="36" t="inlineStr">
        <is>
          <t>&lt;LOQ</t>
        </is>
      </c>
      <c r="C14" t="inlineStr">
        <is>
          <t>&lt;LOD</t>
        </is>
      </c>
      <c r="D14" s="36" t="inlineStr">
        <is>
          <t>&lt;LOQ</t>
        </is>
      </c>
      <c r="E14" s="36" t="inlineStr">
        <is>
          <t>&lt;LOQ</t>
        </is>
      </c>
      <c r="F14" t="inlineStr">
        <is>
          <t>&lt;LOD</t>
        </is>
      </c>
      <c r="G14" s="36" t="inlineStr">
        <is>
          <t>&lt;LOQ</t>
        </is>
      </c>
    </row>
    <row r="15">
      <c r="A15" s="35" t="inlineStr">
        <is>
          <t>6-6-8 triPAP</t>
        </is>
      </c>
      <c r="B15" t="inlineStr">
        <is>
          <t>&lt;LOD</t>
        </is>
      </c>
      <c r="C15" t="inlineStr">
        <is>
          <t>&lt;LOD</t>
        </is>
      </c>
      <c r="D15" t="inlineStr">
        <is>
          <t>&lt;LOD</t>
        </is>
      </c>
      <c r="E15" t="inlineStr">
        <is>
          <t>&lt;LOD</t>
        </is>
      </c>
      <c r="F15" t="inlineStr">
        <is>
          <t>&lt;LOD</t>
        </is>
      </c>
      <c r="G15" t="inlineStr">
        <is>
          <t>&lt;LOD</t>
        </is>
      </c>
    </row>
    <row r="16">
      <c r="A16" s="35" t="inlineStr">
        <is>
          <t>6-6-10 triPAP</t>
        </is>
      </c>
      <c r="B16" s="36" t="inlineStr">
        <is>
          <t>&lt;LOQ</t>
        </is>
      </c>
      <c r="C16" s="36" t="inlineStr">
        <is>
          <t>&lt;LOQ</t>
        </is>
      </c>
      <c r="D16" t="inlineStr">
        <is>
          <t>&lt;LOD</t>
        </is>
      </c>
      <c r="E16" t="inlineStr">
        <is>
          <t>&lt;LOD</t>
        </is>
      </c>
      <c r="F16" s="36" t="inlineStr">
        <is>
          <t>&lt;LOQ</t>
        </is>
      </c>
      <c r="G16" t="inlineStr">
        <is>
          <t>&lt;LOD</t>
        </is>
      </c>
    </row>
    <row r="17">
      <c r="A17" s="35" t="inlineStr">
        <is>
          <t>6-6-12 triPAP</t>
        </is>
      </c>
      <c r="B17" t="inlineStr">
        <is>
          <t>&lt;LOD</t>
        </is>
      </c>
      <c r="C17" t="inlineStr">
        <is>
          <t>&lt;LOD</t>
        </is>
      </c>
      <c r="D17" s="36" t="inlineStr">
        <is>
          <t>&lt;LOQ</t>
        </is>
      </c>
      <c r="E17" t="inlineStr">
        <is>
          <t>&lt;LOD</t>
        </is>
      </c>
      <c r="F17" t="inlineStr">
        <is>
          <t>&lt;LOD</t>
        </is>
      </c>
      <c r="G17" s="36" t="inlineStr">
        <is>
          <t>&lt;LOQ</t>
        </is>
      </c>
    </row>
    <row r="18">
      <c r="A18" s="35" t="inlineStr">
        <is>
          <t>6:2/8:2 diPAP</t>
        </is>
      </c>
      <c r="B18" t="inlineStr">
        <is>
          <t>&lt;LOD</t>
        </is>
      </c>
      <c r="C18" t="inlineStr">
        <is>
          <t>&lt;LOD</t>
        </is>
      </c>
      <c r="D18" t="inlineStr">
        <is>
          <t>&lt;LOD</t>
        </is>
      </c>
      <c r="E18" t="inlineStr">
        <is>
          <t>&lt;LOD</t>
        </is>
      </c>
      <c r="F18" t="inlineStr">
        <is>
          <t>&lt;LOD</t>
        </is>
      </c>
      <c r="G18" t="inlineStr">
        <is>
          <t>&lt;LOD</t>
        </is>
      </c>
    </row>
    <row r="19">
      <c r="A19" s="35" t="inlineStr">
        <is>
          <t>6-8-8 triPAP</t>
        </is>
      </c>
      <c r="B19" t="inlineStr">
        <is>
          <t>&lt;LOD</t>
        </is>
      </c>
      <c r="C19" t="inlineStr">
        <is>
          <t>&lt;LOD</t>
        </is>
      </c>
      <c r="D19" s="36" t="inlineStr">
        <is>
          <t>&lt;LOQ</t>
        </is>
      </c>
      <c r="E19" t="inlineStr">
        <is>
          <t>&lt;LOD</t>
        </is>
      </c>
      <c r="F19" t="inlineStr">
        <is>
          <t>&lt;LOD</t>
        </is>
      </c>
      <c r="G19" t="inlineStr">
        <is>
          <t>53.7 ± 23.2</t>
        </is>
      </c>
    </row>
    <row r="20">
      <c r="A20" s="35" t="inlineStr">
        <is>
          <t>6-8-10 triPAP</t>
        </is>
      </c>
      <c r="B20" t="inlineStr">
        <is>
          <t>&lt;LOD</t>
        </is>
      </c>
      <c r="C20" t="inlineStr">
        <is>
          <t>&lt;LOD</t>
        </is>
      </c>
      <c r="D20" t="inlineStr">
        <is>
          <t>&lt;LOD</t>
        </is>
      </c>
      <c r="E20" s="36" t="inlineStr">
        <is>
          <t>&lt;LOQ</t>
        </is>
      </c>
      <c r="F20" t="inlineStr">
        <is>
          <t>&lt;LOD</t>
        </is>
      </c>
      <c r="G20" t="inlineStr">
        <is>
          <t>44.9 ± 3.9</t>
        </is>
      </c>
    </row>
    <row r="21">
      <c r="A21" s="35" t="inlineStr">
        <is>
          <t>8:8 PFPi</t>
        </is>
      </c>
      <c r="B21" s="33" t="inlineStr">
        <is>
          <t>–</t>
        </is>
      </c>
      <c r="C21" s="33" t="inlineStr">
        <is>
          <t>–</t>
        </is>
      </c>
      <c r="D21" s="33" t="inlineStr">
        <is>
          <t>–</t>
        </is>
      </c>
      <c r="E21" s="33" t="inlineStr">
        <is>
          <t>–</t>
        </is>
      </c>
      <c r="F21" s="33" t="inlineStr">
        <is>
          <t>–</t>
        </is>
      </c>
      <c r="G21" s="33" t="inlineStr">
        <is>
          <t>–</t>
        </is>
      </c>
    </row>
    <row r="22">
      <c r="A22" s="35" t="inlineStr">
        <is>
          <t>6-10 diPAP</t>
        </is>
      </c>
      <c r="B22" s="33" t="inlineStr">
        <is>
          <t>–</t>
        </is>
      </c>
      <c r="C22" s="33" t="inlineStr">
        <is>
          <t>–</t>
        </is>
      </c>
      <c r="D22" s="33" t="inlineStr">
        <is>
          <t>–</t>
        </is>
      </c>
      <c r="E22" s="33" t="inlineStr">
        <is>
          <t>–</t>
        </is>
      </c>
      <c r="F22" s="33" t="inlineStr">
        <is>
          <t>–</t>
        </is>
      </c>
      <c r="G22" s="33" t="inlineStr">
        <is>
          <t>–</t>
        </is>
      </c>
    </row>
    <row r="23">
      <c r="A23" s="35" t="inlineStr">
        <is>
          <t>8:2 diPAP</t>
        </is>
      </c>
      <c r="B23" t="inlineStr">
        <is>
          <t>&lt;LOD</t>
        </is>
      </c>
      <c r="C23" t="inlineStr">
        <is>
          <t>&lt;LOD</t>
        </is>
      </c>
      <c r="D23" t="inlineStr">
        <is>
          <t>&lt;LOD</t>
        </is>
      </c>
      <c r="E23" t="inlineStr">
        <is>
          <t>&lt;LOD</t>
        </is>
      </c>
      <c r="F23" t="inlineStr">
        <is>
          <t>&lt;LOD</t>
        </is>
      </c>
      <c r="G23" t="inlineStr">
        <is>
          <t>&lt;LOD</t>
        </is>
      </c>
    </row>
    <row r="24">
      <c r="A24" s="35" t="inlineStr">
        <is>
          <t>8-8-8 triPAP</t>
        </is>
      </c>
      <c r="B24" t="inlineStr">
        <is>
          <t>&lt;LOD</t>
        </is>
      </c>
      <c r="C24" t="inlineStr">
        <is>
          <t>&lt;LOD</t>
        </is>
      </c>
      <c r="D24" t="inlineStr">
        <is>
          <t>&lt;LOD</t>
        </is>
      </c>
      <c r="E24" t="inlineStr">
        <is>
          <t>&lt;LOD</t>
        </is>
      </c>
      <c r="F24" t="inlineStr">
        <is>
          <t>&lt;LOD</t>
        </is>
      </c>
      <c r="G24" t="inlineStr">
        <is>
          <t>&lt;LOD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zoomScale="120" zoomScaleNormal="120" workbookViewId="0">
      <selection activeCell="A1" sqref="A1:J47"/>
    </sheetView>
  </sheetViews>
  <sheetFormatPr baseColWidth="8" defaultColWidth="10.6640625" defaultRowHeight="16"/>
  <cols>
    <col width="15.33203125" bestFit="1" customWidth="1" min="3" max="3"/>
    <col width="11" bestFit="1" customWidth="1" min="4" max="4"/>
    <col width="12.1640625" bestFit="1" customWidth="1" min="5" max="5"/>
    <col width="12.1640625" bestFit="1" customWidth="1" min="7" max="7"/>
    <col width="11" bestFit="1" customWidth="1" min="8" max="8"/>
    <col width="11.1640625" customWidth="1" min="10" max="10"/>
  </cols>
  <sheetData>
    <row r="1" ht="20" customHeight="1" thickBot="1">
      <c r="A1" s="40" t="inlineStr">
        <is>
          <t>Analytes</t>
        </is>
      </c>
      <c r="B1" s="41" t="inlineStr">
        <is>
          <t>K4-1</t>
        </is>
      </c>
      <c r="C1" s="41" t="inlineStr">
        <is>
          <t>K4-2</t>
        </is>
      </c>
      <c r="D1" s="41" t="inlineStr">
        <is>
          <t>K4-4</t>
        </is>
      </c>
      <c r="E1" s="41" t="inlineStr">
        <is>
          <t>K4-5</t>
        </is>
      </c>
      <c r="F1" s="41" t="inlineStr">
        <is>
          <t>K3-1</t>
        </is>
      </c>
      <c r="G1" s="41" t="inlineStr">
        <is>
          <t>K3-2</t>
        </is>
      </c>
      <c r="H1" s="41" t="inlineStr">
        <is>
          <t>K3-3</t>
        </is>
      </c>
      <c r="I1" s="41" t="inlineStr">
        <is>
          <t>K3-4</t>
        </is>
      </c>
      <c r="J1" s="41" t="inlineStr">
        <is>
          <t>K3-6</t>
        </is>
      </c>
    </row>
    <row r="2">
      <c r="A2" s="34" t="inlineStr">
        <is>
          <t>TFA</t>
        </is>
      </c>
      <c r="B2" t="inlineStr">
        <is>
          <t>48.7 ± 19.2</t>
        </is>
      </c>
      <c r="C2" t="inlineStr">
        <is>
          <t>16.9 ± 26.2</t>
        </is>
      </c>
      <c r="D2" t="inlineStr">
        <is>
          <t>15.9 ± 20.6</t>
        </is>
      </c>
      <c r="E2" t="inlineStr">
        <is>
          <t>6.2 ± 5.5</t>
        </is>
      </c>
      <c r="F2" t="inlineStr">
        <is>
          <t>27.8 ± 7</t>
        </is>
      </c>
      <c r="G2" t="inlineStr">
        <is>
          <t>30 ± 2.9</t>
        </is>
      </c>
      <c r="H2" t="inlineStr">
        <is>
          <t>62 ± 80.6</t>
        </is>
      </c>
      <c r="I2" t="inlineStr">
        <is>
          <t>36 ± 28.7</t>
        </is>
      </c>
      <c r="J2" t="inlineStr">
        <is>
          <t>70.9 ± 42.6</t>
        </is>
      </c>
    </row>
    <row r="3">
      <c r="A3" s="34" t="inlineStr">
        <is>
          <t>PFMeS</t>
        </is>
      </c>
      <c r="B3" t="inlineStr">
        <is>
          <t>12.7 ± 4</t>
        </is>
      </c>
      <c r="C3" t="inlineStr">
        <is>
          <t>6994.9 ± 12024.3</t>
        </is>
      </c>
      <c r="D3" s="37" t="inlineStr">
        <is>
          <t>64 ± 116.1</t>
        </is>
      </c>
      <c r="E3" t="inlineStr">
        <is>
          <t>10.9 ± 4</t>
        </is>
      </c>
      <c r="F3" t="inlineStr">
        <is>
          <t>5 ± 1.8</t>
        </is>
      </c>
      <c r="G3" t="inlineStr">
        <is>
          <t>5.1 ± 1</t>
        </is>
      </c>
      <c r="H3" t="inlineStr">
        <is>
          <t>11.1 ± 3.5</t>
        </is>
      </c>
      <c r="I3" t="inlineStr">
        <is>
          <t>7.1 ± 1.8</t>
        </is>
      </c>
      <c r="J3" t="inlineStr">
        <is>
          <t>15.7 ± 29</t>
        </is>
      </c>
    </row>
    <row r="4">
      <c r="A4" s="34" t="inlineStr">
        <is>
          <t>PFPrA</t>
        </is>
      </c>
      <c r="B4" t="inlineStr">
        <is>
          <t>419.2 ± 53.3</t>
        </is>
      </c>
      <c r="C4" t="inlineStr">
        <is>
          <t>312.3 ± 136.2</t>
        </is>
      </c>
      <c r="D4" t="inlineStr">
        <is>
          <t>292.6 ± 34.6</t>
        </is>
      </c>
      <c r="E4" t="inlineStr">
        <is>
          <t>503.3 ± 228.2</t>
        </is>
      </c>
      <c r="F4" t="inlineStr">
        <is>
          <t>238 ± 107.7</t>
        </is>
      </c>
      <c r="G4" t="inlineStr">
        <is>
          <t>155.1 ± 147.4</t>
        </is>
      </c>
      <c r="H4" t="inlineStr">
        <is>
          <t>244.9 ± 18.6</t>
        </is>
      </c>
      <c r="I4" t="inlineStr">
        <is>
          <t>266.9 ± 47.4</t>
        </is>
      </c>
      <c r="J4" t="inlineStr">
        <is>
          <t>227.6 ± 24</t>
        </is>
      </c>
    </row>
    <row r="5">
      <c r="A5" s="34" t="inlineStr">
        <is>
          <t>PFEtS</t>
        </is>
      </c>
      <c r="B5" t="inlineStr">
        <is>
          <t>&lt;LOD</t>
        </is>
      </c>
      <c r="C5" t="inlineStr">
        <is>
          <t>&lt;LOD</t>
        </is>
      </c>
      <c r="D5" t="inlineStr">
        <is>
          <t>&lt;LOD</t>
        </is>
      </c>
      <c r="E5" t="inlineStr">
        <is>
          <t>&lt;LOD</t>
        </is>
      </c>
      <c r="F5" t="inlineStr">
        <is>
          <t>&lt;LOD</t>
        </is>
      </c>
      <c r="G5" t="inlineStr">
        <is>
          <t>&lt;LOD</t>
        </is>
      </c>
      <c r="H5" t="inlineStr">
        <is>
          <t>&lt;LOD</t>
        </is>
      </c>
      <c r="I5" t="inlineStr">
        <is>
          <t>&lt;LOD</t>
        </is>
      </c>
      <c r="J5" t="inlineStr">
        <is>
          <t>&lt;LOD</t>
        </is>
      </c>
    </row>
    <row r="6">
      <c r="A6" s="34" t="inlineStr">
        <is>
          <t>PFBA</t>
        </is>
      </c>
      <c r="B6" t="inlineStr">
        <is>
          <t>&lt;LOD</t>
        </is>
      </c>
      <c r="C6" t="inlineStr">
        <is>
          <t>&lt;LOD</t>
        </is>
      </c>
      <c r="D6" t="inlineStr">
        <is>
          <t>&lt;LOD</t>
        </is>
      </c>
      <c r="E6" t="inlineStr">
        <is>
          <t>&lt;LOD</t>
        </is>
      </c>
      <c r="F6" t="inlineStr">
        <is>
          <t>&lt;LOD</t>
        </is>
      </c>
      <c r="G6" t="inlineStr">
        <is>
          <t>&lt;LOD</t>
        </is>
      </c>
      <c r="H6" t="inlineStr">
        <is>
          <t>&lt;LOD</t>
        </is>
      </c>
      <c r="I6" t="inlineStr">
        <is>
          <t>&lt;LOD</t>
        </is>
      </c>
      <c r="J6" t="inlineStr">
        <is>
          <t>&lt;LOD</t>
        </is>
      </c>
    </row>
    <row r="7">
      <c r="A7" s="34" t="inlineStr">
        <is>
          <t>PFO4PeA</t>
        </is>
      </c>
      <c r="B7" t="inlineStr">
        <is>
          <t>&lt;LOD</t>
        </is>
      </c>
      <c r="C7" t="inlineStr">
        <is>
          <t>&lt;LOD</t>
        </is>
      </c>
      <c r="D7" t="inlineStr">
        <is>
          <t>&lt;LOD</t>
        </is>
      </c>
      <c r="E7" t="inlineStr">
        <is>
          <t>&lt;LOD</t>
        </is>
      </c>
      <c r="F7" t="inlineStr">
        <is>
          <t>&lt;LOD</t>
        </is>
      </c>
      <c r="G7" t="inlineStr">
        <is>
          <t>&lt;LOD</t>
        </is>
      </c>
      <c r="H7" t="inlineStr">
        <is>
          <t>&lt;LOD</t>
        </is>
      </c>
      <c r="I7" t="inlineStr">
        <is>
          <t>&lt;LOD</t>
        </is>
      </c>
      <c r="J7" t="inlineStr">
        <is>
          <t>&lt;LOD</t>
        </is>
      </c>
    </row>
    <row r="8">
      <c r="A8" s="34" t="inlineStr">
        <is>
          <t>3:3FTCA</t>
        </is>
      </c>
      <c r="B8" t="inlineStr">
        <is>
          <t>&lt;LOD</t>
        </is>
      </c>
      <c r="C8" s="36" t="inlineStr">
        <is>
          <t>&lt;LOQ</t>
        </is>
      </c>
      <c r="D8" t="inlineStr">
        <is>
          <t>&lt;LOD</t>
        </is>
      </c>
      <c r="E8" t="inlineStr">
        <is>
          <t>&lt;LOD</t>
        </is>
      </c>
      <c r="F8" s="36" t="inlineStr">
        <is>
          <t>&lt;LOQ</t>
        </is>
      </c>
      <c r="G8" t="inlineStr">
        <is>
          <t>&lt;LOD</t>
        </is>
      </c>
      <c r="H8" t="inlineStr">
        <is>
          <t>&lt;LOD</t>
        </is>
      </c>
      <c r="I8" t="inlineStr">
        <is>
          <t>&lt;LOD</t>
        </is>
      </c>
      <c r="J8" t="inlineStr">
        <is>
          <t>&lt;LOD</t>
        </is>
      </c>
    </row>
    <row r="9">
      <c r="A9" s="34" t="inlineStr">
        <is>
          <t>PFPeA</t>
        </is>
      </c>
      <c r="B9" t="inlineStr">
        <is>
          <t>&lt;LOD</t>
        </is>
      </c>
      <c r="C9" t="inlineStr">
        <is>
          <t>&lt;LOD</t>
        </is>
      </c>
      <c r="D9" t="inlineStr">
        <is>
          <t>&lt;LOD</t>
        </is>
      </c>
      <c r="E9" t="inlineStr">
        <is>
          <t>&lt;LOD</t>
        </is>
      </c>
      <c r="F9" t="inlineStr">
        <is>
          <t>&lt;LOD</t>
        </is>
      </c>
      <c r="G9" t="inlineStr">
        <is>
          <t>&lt;LOD</t>
        </is>
      </c>
      <c r="H9" t="inlineStr">
        <is>
          <t>&lt;LOD</t>
        </is>
      </c>
      <c r="I9" t="inlineStr">
        <is>
          <t>&lt;LOD</t>
        </is>
      </c>
      <c r="J9" t="inlineStr">
        <is>
          <t>&lt;LOD</t>
        </is>
      </c>
    </row>
    <row r="10">
      <c r="A10" s="34" t="inlineStr">
        <is>
          <t>PFO5HxA</t>
        </is>
      </c>
      <c r="B10" t="inlineStr">
        <is>
          <t>&lt;LOD</t>
        </is>
      </c>
      <c r="C10" t="inlineStr">
        <is>
          <t>&lt;LOD</t>
        </is>
      </c>
      <c r="D10" t="inlineStr">
        <is>
          <t>&lt;LOD</t>
        </is>
      </c>
      <c r="E10" t="inlineStr">
        <is>
          <t>&lt;LOD</t>
        </is>
      </c>
      <c r="F10" t="inlineStr">
        <is>
          <t>&lt;LOD</t>
        </is>
      </c>
      <c r="G10" t="inlineStr">
        <is>
          <t>&lt;LOD</t>
        </is>
      </c>
      <c r="H10" t="inlineStr">
        <is>
          <t>&lt;LOD</t>
        </is>
      </c>
      <c r="I10" t="inlineStr">
        <is>
          <t>&lt;LOD</t>
        </is>
      </c>
      <c r="J10" t="inlineStr">
        <is>
          <t>&lt;LOD</t>
        </is>
      </c>
    </row>
    <row r="11">
      <c r="A11" s="34" t="inlineStr">
        <is>
          <t>GenX</t>
        </is>
      </c>
      <c r="B11" t="inlineStr">
        <is>
          <t>&lt;LOD</t>
        </is>
      </c>
      <c r="C11" t="inlineStr">
        <is>
          <t>&lt;LOD</t>
        </is>
      </c>
      <c r="D11" t="inlineStr">
        <is>
          <t>&lt;LOD</t>
        </is>
      </c>
      <c r="E11" t="inlineStr">
        <is>
          <t>&lt;LOD</t>
        </is>
      </c>
      <c r="F11" t="inlineStr">
        <is>
          <t>&lt;LOD</t>
        </is>
      </c>
      <c r="G11" t="inlineStr">
        <is>
          <t>&lt;LOD</t>
        </is>
      </c>
      <c r="H11" t="inlineStr">
        <is>
          <t>&lt;LOD</t>
        </is>
      </c>
      <c r="I11" t="inlineStr">
        <is>
          <t>&lt;LOD</t>
        </is>
      </c>
      <c r="J11" t="inlineStr">
        <is>
          <t>&lt;LOD</t>
        </is>
      </c>
    </row>
    <row r="12">
      <c r="A12" s="34" t="inlineStr">
        <is>
          <t>3,6 OPFHpA</t>
        </is>
      </c>
      <c r="B12" t="inlineStr">
        <is>
          <t>&lt;LOD</t>
        </is>
      </c>
      <c r="C12" t="inlineStr">
        <is>
          <t>&lt;LOD</t>
        </is>
      </c>
      <c r="D12" t="inlineStr">
        <is>
          <t>&lt;LOD</t>
        </is>
      </c>
      <c r="E12" t="inlineStr">
        <is>
          <t>&lt;LOD</t>
        </is>
      </c>
      <c r="F12" t="inlineStr">
        <is>
          <t>&lt;LOD</t>
        </is>
      </c>
      <c r="G12" t="inlineStr">
        <is>
          <t>&lt;LOD</t>
        </is>
      </c>
      <c r="H12" t="inlineStr">
        <is>
          <t>&lt;LOD</t>
        </is>
      </c>
      <c r="I12" t="inlineStr">
        <is>
          <t>&lt;LOD</t>
        </is>
      </c>
      <c r="J12" t="inlineStr">
        <is>
          <t>&lt;LOD</t>
        </is>
      </c>
    </row>
    <row r="13">
      <c r="A13" s="34" t="inlineStr">
        <is>
          <t>PFBS</t>
        </is>
      </c>
      <c r="B13" t="inlineStr">
        <is>
          <t>&lt;LOD</t>
        </is>
      </c>
      <c r="C13" t="inlineStr">
        <is>
          <t>&lt;LOD</t>
        </is>
      </c>
      <c r="D13" t="inlineStr">
        <is>
          <t>&lt;LOD</t>
        </is>
      </c>
      <c r="E13" t="inlineStr">
        <is>
          <t>&lt;LOD</t>
        </is>
      </c>
      <c r="F13" t="inlineStr">
        <is>
          <t>&lt;LOD</t>
        </is>
      </c>
      <c r="G13" t="inlineStr">
        <is>
          <t>&lt;LOD</t>
        </is>
      </c>
      <c r="H13" t="inlineStr">
        <is>
          <t>&lt;LOD</t>
        </is>
      </c>
      <c r="I13" t="inlineStr">
        <is>
          <t>&lt;LOD</t>
        </is>
      </c>
      <c r="J13" t="inlineStr">
        <is>
          <t>&lt;LOD</t>
        </is>
      </c>
    </row>
    <row r="14">
      <c r="A14" s="34" t="inlineStr">
        <is>
          <t xml:space="preserve">PFHxA </t>
        </is>
      </c>
      <c r="B14" t="inlineStr">
        <is>
          <t>&lt;LOD</t>
        </is>
      </c>
      <c r="C14" t="inlineStr">
        <is>
          <t>&lt;LOD</t>
        </is>
      </c>
      <c r="D14" t="inlineStr">
        <is>
          <t>&lt;LOD</t>
        </is>
      </c>
      <c r="E14" t="inlineStr">
        <is>
          <t>&lt;LOD</t>
        </is>
      </c>
      <c r="F14" t="inlineStr">
        <is>
          <t>&lt;LOD</t>
        </is>
      </c>
      <c r="G14" t="inlineStr">
        <is>
          <t>&lt;LOD</t>
        </is>
      </c>
      <c r="H14" t="inlineStr">
        <is>
          <t>&lt;LOD</t>
        </is>
      </c>
      <c r="I14" t="inlineStr">
        <is>
          <t>&lt;LOD</t>
        </is>
      </c>
      <c r="J14" t="inlineStr">
        <is>
          <t>&lt;LOD</t>
        </is>
      </c>
    </row>
    <row r="15">
      <c r="A15" s="34" t="inlineStr">
        <is>
          <t>PFEESA</t>
        </is>
      </c>
      <c r="B15" t="inlineStr">
        <is>
          <t>&lt;LOD</t>
        </is>
      </c>
      <c r="C15" t="inlineStr">
        <is>
          <t>&lt;LOD</t>
        </is>
      </c>
      <c r="D15" t="inlineStr">
        <is>
          <t>&lt;LOD</t>
        </is>
      </c>
      <c r="E15" t="inlineStr">
        <is>
          <t>&lt;LOD</t>
        </is>
      </c>
      <c r="F15" t="inlineStr">
        <is>
          <t>&lt;LOD</t>
        </is>
      </c>
      <c r="G15" t="inlineStr">
        <is>
          <t>&lt;LOD</t>
        </is>
      </c>
      <c r="H15" t="inlineStr">
        <is>
          <t>&lt;LOD</t>
        </is>
      </c>
      <c r="I15" t="inlineStr">
        <is>
          <t>&lt;LOD</t>
        </is>
      </c>
      <c r="J15" t="inlineStr">
        <is>
          <t>&lt;LOD</t>
        </is>
      </c>
    </row>
    <row r="16">
      <c r="A16" s="34" t="inlineStr">
        <is>
          <t>4:2 FTS</t>
        </is>
      </c>
      <c r="B16" t="inlineStr">
        <is>
          <t>&lt;LOD</t>
        </is>
      </c>
      <c r="C16" t="inlineStr">
        <is>
          <t>&lt;LOD</t>
        </is>
      </c>
      <c r="D16" t="inlineStr">
        <is>
          <t>&lt;LOD</t>
        </is>
      </c>
      <c r="E16" t="inlineStr">
        <is>
          <t>&lt;LOD</t>
        </is>
      </c>
      <c r="F16" t="inlineStr">
        <is>
          <t>&lt;LOD</t>
        </is>
      </c>
      <c r="G16" t="inlineStr">
        <is>
          <t>&lt;LOD</t>
        </is>
      </c>
      <c r="H16" t="inlineStr">
        <is>
          <t>&lt;LOD</t>
        </is>
      </c>
      <c r="I16" t="inlineStr">
        <is>
          <t>&lt;LOD</t>
        </is>
      </c>
      <c r="J16" t="inlineStr">
        <is>
          <t>&lt;LOD</t>
        </is>
      </c>
    </row>
    <row r="17">
      <c r="A17" s="34" t="inlineStr">
        <is>
          <t>5:3 FTCA</t>
        </is>
      </c>
      <c r="B17" t="inlineStr">
        <is>
          <t>&lt;LOD</t>
        </is>
      </c>
      <c r="C17" t="inlineStr">
        <is>
          <t>&lt;LOD</t>
        </is>
      </c>
      <c r="D17" t="inlineStr">
        <is>
          <t>&lt;LOD</t>
        </is>
      </c>
      <c r="E17" t="inlineStr">
        <is>
          <t>&lt;LOD</t>
        </is>
      </c>
      <c r="F17" t="inlineStr">
        <is>
          <t>&lt;LOD</t>
        </is>
      </c>
      <c r="G17" t="inlineStr">
        <is>
          <t>&lt;LOD</t>
        </is>
      </c>
      <c r="H17" t="inlineStr">
        <is>
          <t>&lt;LOD</t>
        </is>
      </c>
      <c r="I17" t="inlineStr">
        <is>
          <t>&lt;LOD</t>
        </is>
      </c>
      <c r="J17" t="inlineStr">
        <is>
          <t>&lt;LOD</t>
        </is>
      </c>
    </row>
    <row r="18">
      <c r="A18" s="34" t="inlineStr">
        <is>
          <t>PFPeS</t>
        </is>
      </c>
      <c r="B18" t="inlineStr">
        <is>
          <t>&lt;LOD</t>
        </is>
      </c>
      <c r="C18" t="inlineStr">
        <is>
          <t>&lt;LOD</t>
        </is>
      </c>
      <c r="D18" t="inlineStr">
        <is>
          <t>&lt;LOD</t>
        </is>
      </c>
      <c r="E18" t="inlineStr">
        <is>
          <t>&lt;LOD</t>
        </is>
      </c>
      <c r="F18" t="inlineStr">
        <is>
          <t>&lt;LOD</t>
        </is>
      </c>
      <c r="G18" t="inlineStr">
        <is>
          <t>&lt;LOD</t>
        </is>
      </c>
      <c r="H18" t="inlineStr">
        <is>
          <t>&lt;LOD</t>
        </is>
      </c>
      <c r="I18" t="inlineStr">
        <is>
          <t>&lt;LOD</t>
        </is>
      </c>
      <c r="J18" t="inlineStr">
        <is>
          <t>&lt;LOD</t>
        </is>
      </c>
    </row>
    <row r="19">
      <c r="A19" s="34" t="inlineStr">
        <is>
          <t>6:2 FTUCA</t>
        </is>
      </c>
      <c r="B19" t="inlineStr">
        <is>
          <t>&lt;LOD</t>
        </is>
      </c>
      <c r="C19" t="inlineStr">
        <is>
          <t>&lt;LOD</t>
        </is>
      </c>
      <c r="D19" t="inlineStr">
        <is>
          <t>&lt;LOD</t>
        </is>
      </c>
      <c r="E19" t="inlineStr">
        <is>
          <t>&lt;LOD</t>
        </is>
      </c>
      <c r="F19" t="inlineStr">
        <is>
          <t>&lt;LOD</t>
        </is>
      </c>
      <c r="G19" t="inlineStr">
        <is>
          <t>&lt;LOD</t>
        </is>
      </c>
      <c r="H19" t="inlineStr">
        <is>
          <t>&lt;LOD</t>
        </is>
      </c>
      <c r="I19" t="inlineStr">
        <is>
          <t>&lt;LOD</t>
        </is>
      </c>
      <c r="J19" t="inlineStr">
        <is>
          <t>&lt;LOD</t>
        </is>
      </c>
    </row>
    <row r="20">
      <c r="A20" s="34" t="inlineStr">
        <is>
          <t xml:space="preserve">PFHpA </t>
        </is>
      </c>
      <c r="B20" t="inlineStr">
        <is>
          <t>&lt;LOD</t>
        </is>
      </c>
      <c r="C20" t="inlineStr">
        <is>
          <t>&lt;LOD</t>
        </is>
      </c>
      <c r="D20" t="inlineStr">
        <is>
          <t>&lt;LOD</t>
        </is>
      </c>
      <c r="E20" t="inlineStr">
        <is>
          <t>&lt;LOD</t>
        </is>
      </c>
      <c r="F20" t="inlineStr">
        <is>
          <t>&lt;LOD</t>
        </is>
      </c>
      <c r="G20" t="inlineStr">
        <is>
          <t>&lt;LOD</t>
        </is>
      </c>
      <c r="H20" t="inlineStr">
        <is>
          <t>&lt;LOD</t>
        </is>
      </c>
      <c r="I20" t="inlineStr">
        <is>
          <t>&lt;LOD</t>
        </is>
      </c>
      <c r="J20" t="inlineStr">
        <is>
          <t>&lt;LOD</t>
        </is>
      </c>
    </row>
    <row r="21">
      <c r="A21" s="34" t="inlineStr">
        <is>
          <t>6:2 FTCA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</row>
    <row r="22">
      <c r="A22" s="34" t="inlineStr">
        <is>
          <t>NaDONA</t>
        </is>
      </c>
      <c r="B22" t="inlineStr">
        <is>
          <t>&lt;LOD</t>
        </is>
      </c>
      <c r="C22" t="inlineStr">
        <is>
          <t>&lt;LOD</t>
        </is>
      </c>
      <c r="D22" t="inlineStr">
        <is>
          <t>&lt;LOD</t>
        </is>
      </c>
      <c r="E22" t="inlineStr">
        <is>
          <t>&lt;LOD</t>
        </is>
      </c>
      <c r="F22" t="inlineStr">
        <is>
          <t>&lt;LOD</t>
        </is>
      </c>
      <c r="G22" t="inlineStr">
        <is>
          <t>&lt;LOD</t>
        </is>
      </c>
      <c r="H22" t="inlineStr">
        <is>
          <t>&lt;LOD</t>
        </is>
      </c>
      <c r="I22" t="inlineStr">
        <is>
          <t>&lt;LOD</t>
        </is>
      </c>
      <c r="J22" t="inlineStr">
        <is>
          <t>&lt;LOD</t>
        </is>
      </c>
    </row>
    <row r="23">
      <c r="A23" s="34" t="inlineStr">
        <is>
          <t xml:space="preserve"> PFHxS</t>
        </is>
      </c>
      <c r="B23" t="inlineStr">
        <is>
          <t>&lt;LOD</t>
        </is>
      </c>
      <c r="C23" t="inlineStr">
        <is>
          <t>&lt;LOD</t>
        </is>
      </c>
      <c r="D23" t="inlineStr">
        <is>
          <t>&lt;LOD</t>
        </is>
      </c>
      <c r="E23" t="inlineStr">
        <is>
          <t>&lt;LOD</t>
        </is>
      </c>
      <c r="F23" t="inlineStr">
        <is>
          <t>&lt;LOD</t>
        </is>
      </c>
      <c r="G23" t="inlineStr">
        <is>
          <t>&lt;LOD</t>
        </is>
      </c>
      <c r="H23" t="inlineStr">
        <is>
          <t>&lt;LOD</t>
        </is>
      </c>
      <c r="I23" t="inlineStr">
        <is>
          <t>&lt;LOD</t>
        </is>
      </c>
      <c r="J23" t="inlineStr">
        <is>
          <t>&lt;LOD</t>
        </is>
      </c>
    </row>
    <row r="24">
      <c r="A24" s="34" t="inlineStr">
        <is>
          <t>PFOA</t>
        </is>
      </c>
      <c r="B24" t="inlineStr">
        <is>
          <t>1.4 ± 0.4</t>
        </is>
      </c>
      <c r="C24" t="inlineStr">
        <is>
          <t>11.1 ± 17.8</t>
        </is>
      </c>
      <c r="D24" t="inlineStr">
        <is>
          <t>1.4 ± 1.2</t>
        </is>
      </c>
      <c r="E24" t="inlineStr">
        <is>
          <t>1.6 ± 3.4</t>
        </is>
      </c>
      <c r="F24" t="inlineStr">
        <is>
          <t>0.7 ± 0.5</t>
        </is>
      </c>
      <c r="G24" t="inlineStr">
        <is>
          <t>&lt;LOD</t>
        </is>
      </c>
      <c r="H24" t="inlineStr">
        <is>
          <t>2.2 ± 1.6</t>
        </is>
      </c>
      <c r="I24" t="inlineStr">
        <is>
          <t>0.4 ± 0</t>
        </is>
      </c>
      <c r="J24" t="inlineStr">
        <is>
          <t>0.1 ± 0.4</t>
        </is>
      </c>
    </row>
    <row r="25">
      <c r="A25" s="34" t="inlineStr">
        <is>
          <t xml:space="preserve"> 6:2 FTS</t>
        </is>
      </c>
      <c r="B25" t="inlineStr">
        <is>
          <t>&lt;LOD</t>
        </is>
      </c>
      <c r="C25" t="inlineStr">
        <is>
          <t>&lt;LOD</t>
        </is>
      </c>
      <c r="D25" t="inlineStr">
        <is>
          <t>&lt;LOD</t>
        </is>
      </c>
      <c r="E25" t="inlineStr">
        <is>
          <t>&lt;LOD</t>
        </is>
      </c>
      <c r="F25" t="inlineStr">
        <is>
          <t>&lt;LOD</t>
        </is>
      </c>
      <c r="G25" t="inlineStr">
        <is>
          <t>&lt;LOD</t>
        </is>
      </c>
      <c r="H25" t="inlineStr">
        <is>
          <t>&lt;LOD</t>
        </is>
      </c>
      <c r="I25" t="inlineStr">
        <is>
          <t>&lt;LOD</t>
        </is>
      </c>
      <c r="J25" t="inlineStr">
        <is>
          <t>&lt;LOD</t>
        </is>
      </c>
    </row>
    <row r="26">
      <c r="A26" s="34" t="inlineStr">
        <is>
          <t xml:space="preserve"> 7:3 FTCA</t>
        </is>
      </c>
      <c r="B26" t="inlineStr">
        <is>
          <t>&lt;LOD</t>
        </is>
      </c>
      <c r="C26" t="inlineStr">
        <is>
          <t>&lt;LOD</t>
        </is>
      </c>
      <c r="D26" t="inlineStr">
        <is>
          <t>&lt;LOD</t>
        </is>
      </c>
      <c r="E26" t="inlineStr">
        <is>
          <t>&lt;LOD</t>
        </is>
      </c>
      <c r="F26" t="inlineStr">
        <is>
          <t>&lt;LOD</t>
        </is>
      </c>
      <c r="G26" t="inlineStr">
        <is>
          <t>&lt;LOD</t>
        </is>
      </c>
      <c r="H26" t="inlineStr">
        <is>
          <t>&lt;LOD</t>
        </is>
      </c>
      <c r="I26" t="inlineStr">
        <is>
          <t>&lt;LOD</t>
        </is>
      </c>
      <c r="J26" t="inlineStr">
        <is>
          <t>&lt;LOD</t>
        </is>
      </c>
    </row>
    <row r="27">
      <c r="A27" s="34" t="inlineStr">
        <is>
          <t>NBP1</t>
        </is>
      </c>
      <c r="B27" t="inlineStr">
        <is>
          <t>&lt;LOD</t>
        </is>
      </c>
      <c r="C27" t="inlineStr">
        <is>
          <t>&lt;LOD</t>
        </is>
      </c>
      <c r="D27" t="inlineStr">
        <is>
          <t>&lt;LOD</t>
        </is>
      </c>
      <c r="E27" t="inlineStr">
        <is>
          <t>&lt;LOD</t>
        </is>
      </c>
      <c r="F27" t="inlineStr">
        <is>
          <t>&lt;LOD</t>
        </is>
      </c>
      <c r="G27" t="inlineStr">
        <is>
          <t>&lt;LOD</t>
        </is>
      </c>
      <c r="H27" t="inlineStr">
        <is>
          <t>&lt;LOD</t>
        </is>
      </c>
      <c r="I27" t="inlineStr">
        <is>
          <t>&lt;LOD</t>
        </is>
      </c>
      <c r="J27" t="inlineStr">
        <is>
          <t>&lt;LOD</t>
        </is>
      </c>
    </row>
    <row r="28">
      <c r="A28" s="34" t="inlineStr">
        <is>
          <t>PFHpS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</row>
    <row r="29">
      <c r="A29" s="34" t="inlineStr">
        <is>
          <t xml:space="preserve">PFNA </t>
        </is>
      </c>
      <c r="B29" t="inlineStr">
        <is>
          <t>&lt;LOD</t>
        </is>
      </c>
      <c r="C29" t="inlineStr">
        <is>
          <t>&lt;LOD</t>
        </is>
      </c>
      <c r="D29" t="inlineStr">
        <is>
          <t>&lt;LOD</t>
        </is>
      </c>
      <c r="E29" t="inlineStr">
        <is>
          <t>&lt;LOD</t>
        </is>
      </c>
      <c r="F29" t="inlineStr">
        <is>
          <t>&lt;LOD</t>
        </is>
      </c>
      <c r="G29" t="inlineStr">
        <is>
          <t>&lt;LOD</t>
        </is>
      </c>
      <c r="H29" t="inlineStr">
        <is>
          <t>&lt;LOD</t>
        </is>
      </c>
      <c r="I29" t="inlineStr">
        <is>
          <t>&lt;LOD</t>
        </is>
      </c>
      <c r="J29" t="inlineStr">
        <is>
          <t>&lt;LOD</t>
        </is>
      </c>
    </row>
    <row r="30">
      <c r="A30" s="34" t="inlineStr">
        <is>
          <t>NBP2</t>
        </is>
      </c>
      <c r="B30" t="inlineStr">
        <is>
          <t>&lt;LOD</t>
        </is>
      </c>
      <c r="C30" t="inlineStr">
        <is>
          <t>&lt;LOD</t>
        </is>
      </c>
      <c r="D30" t="inlineStr">
        <is>
          <t>&lt;LOD</t>
        </is>
      </c>
      <c r="E30" t="inlineStr">
        <is>
          <t>&lt;LOD</t>
        </is>
      </c>
      <c r="F30" t="inlineStr">
        <is>
          <t>&lt;LOD</t>
        </is>
      </c>
      <c r="G30" t="inlineStr">
        <is>
          <t>&lt;LOD</t>
        </is>
      </c>
      <c r="H30" t="inlineStr">
        <is>
          <t>&lt;LOD</t>
        </is>
      </c>
      <c r="I30" t="inlineStr">
        <is>
          <t>&lt;LOD</t>
        </is>
      </c>
      <c r="J30" t="inlineStr">
        <is>
          <t>&lt;LOD</t>
        </is>
      </c>
    </row>
    <row r="31">
      <c r="A31" s="34" t="inlineStr">
        <is>
          <t>8:2 FTCA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s="34" t="inlineStr">
        <is>
          <t>FOSA</t>
        </is>
      </c>
      <c r="B32" t="inlineStr">
        <is>
          <t>&lt;LOD</t>
        </is>
      </c>
      <c r="C32" t="inlineStr">
        <is>
          <t>&lt;LOD</t>
        </is>
      </c>
      <c r="D32" t="inlineStr">
        <is>
          <t>&lt;LOD</t>
        </is>
      </c>
      <c r="E32" t="inlineStr">
        <is>
          <t>&lt;LOD</t>
        </is>
      </c>
      <c r="F32" t="inlineStr">
        <is>
          <t>&lt;LOD</t>
        </is>
      </c>
      <c r="G32" t="inlineStr">
        <is>
          <t>&lt;LOD</t>
        </is>
      </c>
      <c r="H32" t="inlineStr">
        <is>
          <t>&lt;LOD</t>
        </is>
      </c>
      <c r="I32" t="inlineStr">
        <is>
          <t>&lt;LOD</t>
        </is>
      </c>
      <c r="J32" t="inlineStr">
        <is>
          <t>&lt;LOD</t>
        </is>
      </c>
    </row>
    <row r="33">
      <c r="A33" s="34" t="inlineStr">
        <is>
          <t xml:space="preserve">PFOS </t>
        </is>
      </c>
      <c r="B33" t="inlineStr">
        <is>
          <t>0.9 ± 0.3</t>
        </is>
      </c>
      <c r="C33" t="inlineStr">
        <is>
          <t>1 ± 0.1</t>
        </is>
      </c>
      <c r="D33" t="inlineStr">
        <is>
          <t>0.7 ± 0</t>
        </is>
      </c>
      <c r="E33" t="inlineStr">
        <is>
          <t>0.6 ± 0.1</t>
        </is>
      </c>
      <c r="F33" t="inlineStr">
        <is>
          <t>0.9 ± 0</t>
        </is>
      </c>
      <c r="G33" t="inlineStr">
        <is>
          <t>1 ± 0.1</t>
        </is>
      </c>
      <c r="H33" t="inlineStr">
        <is>
          <t>1.4 ± 0.3</t>
        </is>
      </c>
      <c r="I33" s="19" t="inlineStr">
        <is>
          <t>1.4 ± 0.1</t>
        </is>
      </c>
      <c r="J33" t="inlineStr">
        <is>
          <t>0.9 ± 0.1</t>
        </is>
      </c>
    </row>
    <row r="34">
      <c r="A34" s="34" t="inlineStr">
        <is>
          <t>N-MeFOSA</t>
        </is>
      </c>
      <c r="B34" t="inlineStr">
        <is>
          <t>&lt;LOD</t>
        </is>
      </c>
      <c r="C34" t="inlineStr">
        <is>
          <t>&lt;LOD</t>
        </is>
      </c>
      <c r="D34" t="inlineStr">
        <is>
          <t>&lt;LOD</t>
        </is>
      </c>
      <c r="E34" t="inlineStr">
        <is>
          <t>&lt;LOD</t>
        </is>
      </c>
      <c r="F34" t="inlineStr">
        <is>
          <t>&lt;LOD</t>
        </is>
      </c>
      <c r="G34" t="inlineStr">
        <is>
          <t>&lt;LOD</t>
        </is>
      </c>
      <c r="H34" t="inlineStr">
        <is>
          <t>&lt;LOD</t>
        </is>
      </c>
      <c r="I34" t="inlineStr">
        <is>
          <t>&lt;LOD</t>
        </is>
      </c>
      <c r="J34" t="inlineStr">
        <is>
          <t>&lt;LOD</t>
        </is>
      </c>
    </row>
    <row r="35">
      <c r="A35" s="34" t="inlineStr">
        <is>
          <t>PFDA</t>
        </is>
      </c>
      <c r="B35" t="inlineStr">
        <is>
          <t>&lt;LOD</t>
        </is>
      </c>
      <c r="C35" t="inlineStr">
        <is>
          <t>&lt;LOD</t>
        </is>
      </c>
      <c r="D35" t="inlineStr">
        <is>
          <t>&lt;LOD</t>
        </is>
      </c>
      <c r="E35" t="inlineStr">
        <is>
          <t>&lt;LOD</t>
        </is>
      </c>
      <c r="F35" t="inlineStr">
        <is>
          <t>&lt;LOD</t>
        </is>
      </c>
      <c r="G35" t="inlineStr">
        <is>
          <t>&lt;LOD</t>
        </is>
      </c>
      <c r="H35" t="inlineStr">
        <is>
          <t>&lt;LOD</t>
        </is>
      </c>
      <c r="I35" t="inlineStr">
        <is>
          <t>&lt;LOD</t>
        </is>
      </c>
      <c r="J35" t="inlineStr">
        <is>
          <t>&lt;LOD</t>
        </is>
      </c>
    </row>
    <row r="36">
      <c r="A36" s="34" t="inlineStr">
        <is>
          <t>N-EtFOSA</t>
        </is>
      </c>
      <c r="B36" t="inlineStr">
        <is>
          <t>&lt;LOD</t>
        </is>
      </c>
      <c r="C36" t="inlineStr">
        <is>
          <t>&lt;LOD</t>
        </is>
      </c>
      <c r="D36" t="inlineStr">
        <is>
          <t>&lt;LOD</t>
        </is>
      </c>
      <c r="E36" t="inlineStr">
        <is>
          <t>&lt;LOD</t>
        </is>
      </c>
      <c r="F36" t="inlineStr">
        <is>
          <t>&lt;LOD</t>
        </is>
      </c>
      <c r="G36" t="inlineStr">
        <is>
          <t>&lt;LOD</t>
        </is>
      </c>
      <c r="H36" t="inlineStr">
        <is>
          <t>&lt;LOD</t>
        </is>
      </c>
      <c r="I36" t="inlineStr">
        <is>
          <t>&lt;LOD</t>
        </is>
      </c>
      <c r="J36" t="inlineStr">
        <is>
          <t>&lt;LOD</t>
        </is>
      </c>
    </row>
    <row r="37">
      <c r="A37" s="34" t="inlineStr">
        <is>
          <t>8:2 FTS</t>
        </is>
      </c>
      <c r="B37" t="inlineStr">
        <is>
          <t>&lt;LOD</t>
        </is>
      </c>
      <c r="C37" t="inlineStr">
        <is>
          <t>&lt;LOD</t>
        </is>
      </c>
      <c r="D37" t="inlineStr">
        <is>
          <t>&lt;LOD</t>
        </is>
      </c>
      <c r="E37" t="inlineStr">
        <is>
          <t>&lt;LOD</t>
        </is>
      </c>
      <c r="F37" t="inlineStr">
        <is>
          <t>&lt;LOD</t>
        </is>
      </c>
      <c r="G37" t="inlineStr">
        <is>
          <t>&lt;LOD</t>
        </is>
      </c>
      <c r="H37" t="inlineStr">
        <is>
          <t>&lt;LOD</t>
        </is>
      </c>
      <c r="I37" t="inlineStr">
        <is>
          <t>&lt;LOD</t>
        </is>
      </c>
      <c r="J37" t="inlineStr">
        <is>
          <t>&lt;LOD</t>
        </is>
      </c>
    </row>
    <row r="38">
      <c r="A38" s="34" t="inlineStr">
        <is>
          <t>9Cl-PF3ONS</t>
        </is>
      </c>
      <c r="B38" t="inlineStr">
        <is>
          <t>&lt;LOD</t>
        </is>
      </c>
      <c r="C38" t="inlineStr">
        <is>
          <t>&lt;LOD</t>
        </is>
      </c>
      <c r="D38" t="inlineStr">
        <is>
          <t>&lt;LOD</t>
        </is>
      </c>
      <c r="E38" t="inlineStr">
        <is>
          <t>&lt;LOD</t>
        </is>
      </c>
      <c r="F38" t="inlineStr">
        <is>
          <t>&lt;LOD</t>
        </is>
      </c>
      <c r="G38" t="inlineStr">
        <is>
          <t>&lt;LOD</t>
        </is>
      </c>
      <c r="H38" t="inlineStr">
        <is>
          <t>&lt;LOD</t>
        </is>
      </c>
      <c r="I38" t="inlineStr">
        <is>
          <t>&lt;LOD</t>
        </is>
      </c>
      <c r="J38" t="inlineStr">
        <is>
          <t>&lt;LOD</t>
        </is>
      </c>
    </row>
    <row r="39">
      <c r="A39" s="34" t="inlineStr">
        <is>
          <t>10:2 FTUCA</t>
        </is>
      </c>
      <c r="B39" t="inlineStr">
        <is>
          <t>&lt;LOD</t>
        </is>
      </c>
      <c r="C39" t="inlineStr">
        <is>
          <t>&lt;LOD</t>
        </is>
      </c>
      <c r="D39" t="inlineStr">
        <is>
          <t>&lt;LOD</t>
        </is>
      </c>
      <c r="E39" t="inlineStr">
        <is>
          <t>&lt;LOD</t>
        </is>
      </c>
      <c r="F39" t="inlineStr">
        <is>
          <t>&lt;LOD</t>
        </is>
      </c>
      <c r="G39" t="inlineStr">
        <is>
          <t>&lt;LOD</t>
        </is>
      </c>
      <c r="H39" t="inlineStr">
        <is>
          <t>&lt;LOD</t>
        </is>
      </c>
      <c r="I39" t="inlineStr">
        <is>
          <t>&lt;LOD</t>
        </is>
      </c>
      <c r="J39" t="inlineStr">
        <is>
          <t>&lt;LOD</t>
        </is>
      </c>
    </row>
    <row r="40">
      <c r="A40" s="34" t="inlineStr">
        <is>
          <t>PFUDA</t>
        </is>
      </c>
      <c r="B40" t="inlineStr">
        <is>
          <t>&lt;LOD</t>
        </is>
      </c>
      <c r="C40" t="inlineStr">
        <is>
          <t>&lt;LOD</t>
        </is>
      </c>
      <c r="D40" t="inlineStr">
        <is>
          <t>&lt;LOD</t>
        </is>
      </c>
      <c r="E40" t="inlineStr">
        <is>
          <t>&lt;LOD</t>
        </is>
      </c>
      <c r="F40" t="inlineStr">
        <is>
          <t>&lt;LOD</t>
        </is>
      </c>
      <c r="G40" t="inlineStr">
        <is>
          <t>&lt;LOD</t>
        </is>
      </c>
      <c r="H40" t="inlineStr">
        <is>
          <t>&lt;LOD</t>
        </is>
      </c>
      <c r="I40" t="inlineStr">
        <is>
          <t>&lt;LOD</t>
        </is>
      </c>
      <c r="J40" t="inlineStr">
        <is>
          <t>&lt;LOD</t>
        </is>
      </c>
    </row>
    <row r="41">
      <c r="A41" s="34" t="inlineStr">
        <is>
          <t>N-MeFOSAA</t>
        </is>
      </c>
      <c r="B41" t="inlineStr">
        <is>
          <t>&lt;LOD</t>
        </is>
      </c>
      <c r="C41" t="inlineStr">
        <is>
          <t>&lt;LOD</t>
        </is>
      </c>
      <c r="D41" t="inlineStr">
        <is>
          <t>&lt;LOD</t>
        </is>
      </c>
      <c r="E41" t="inlineStr">
        <is>
          <t>&lt;LOD</t>
        </is>
      </c>
      <c r="F41" t="inlineStr">
        <is>
          <t>&lt;LOD</t>
        </is>
      </c>
      <c r="G41" t="inlineStr">
        <is>
          <t>&lt;LOD</t>
        </is>
      </c>
      <c r="H41" t="inlineStr">
        <is>
          <t>&lt;LOD</t>
        </is>
      </c>
      <c r="I41" t="inlineStr">
        <is>
          <t>&lt;LOD</t>
        </is>
      </c>
      <c r="J41" t="inlineStr">
        <is>
          <t>&lt;LOD</t>
        </is>
      </c>
    </row>
    <row r="42">
      <c r="A42" s="34" t="inlineStr">
        <is>
          <t>N-EtFOSE</t>
        </is>
      </c>
      <c r="B42" t="inlineStr">
        <is>
          <t>&lt;LOD</t>
        </is>
      </c>
      <c r="C42" t="inlineStr">
        <is>
          <t>&lt;LOD</t>
        </is>
      </c>
      <c r="D42" t="inlineStr">
        <is>
          <t>&lt;LOD</t>
        </is>
      </c>
      <c r="E42" t="inlineStr">
        <is>
          <t>&lt;LOD</t>
        </is>
      </c>
      <c r="F42" t="inlineStr">
        <is>
          <t>&lt;LOD</t>
        </is>
      </c>
      <c r="G42" t="inlineStr">
        <is>
          <t>&lt;LOD</t>
        </is>
      </c>
      <c r="H42" t="inlineStr">
        <is>
          <t>&lt;LOD</t>
        </is>
      </c>
      <c r="I42" t="inlineStr">
        <is>
          <t>&lt;LOD</t>
        </is>
      </c>
      <c r="J42" t="inlineStr">
        <is>
          <t>&lt;LOD</t>
        </is>
      </c>
    </row>
    <row r="43">
      <c r="A43" s="34" t="inlineStr">
        <is>
          <t>N-EtFOSAA</t>
        </is>
      </c>
      <c r="B43" t="inlineStr">
        <is>
          <t>&lt;LOD</t>
        </is>
      </c>
      <c r="C43" t="inlineStr">
        <is>
          <t>&lt;LOD</t>
        </is>
      </c>
      <c r="D43" t="inlineStr">
        <is>
          <t>&lt;LOD</t>
        </is>
      </c>
      <c r="E43" t="inlineStr">
        <is>
          <t>&lt;LOD</t>
        </is>
      </c>
      <c r="F43" t="inlineStr">
        <is>
          <t>&lt;LOD</t>
        </is>
      </c>
      <c r="G43" t="inlineStr">
        <is>
          <t>&lt;LOD</t>
        </is>
      </c>
      <c r="H43" t="inlineStr">
        <is>
          <t>&lt;LOD</t>
        </is>
      </c>
      <c r="I43" t="inlineStr">
        <is>
          <t>&lt;LOD</t>
        </is>
      </c>
      <c r="J43" t="inlineStr">
        <is>
          <t>&lt;LOD</t>
        </is>
      </c>
    </row>
    <row r="44">
      <c r="A44" s="34" t="inlineStr">
        <is>
          <t>PFDoDA</t>
        </is>
      </c>
      <c r="B44" t="inlineStr">
        <is>
          <t>&lt;LOD</t>
        </is>
      </c>
      <c r="C44" t="inlineStr">
        <is>
          <t>&lt;LOD</t>
        </is>
      </c>
      <c r="D44" t="inlineStr">
        <is>
          <t>&lt;LOD</t>
        </is>
      </c>
      <c r="E44" t="inlineStr">
        <is>
          <t>&lt;LOD</t>
        </is>
      </c>
      <c r="F44" t="inlineStr">
        <is>
          <t>&lt;LOD</t>
        </is>
      </c>
      <c r="G44" t="inlineStr">
        <is>
          <t>&lt;LOD</t>
        </is>
      </c>
      <c r="H44" t="inlineStr">
        <is>
          <t>&lt;LOD</t>
        </is>
      </c>
      <c r="I44" t="inlineStr">
        <is>
          <t>&lt;LOD</t>
        </is>
      </c>
      <c r="J44" t="inlineStr">
        <is>
          <t>&lt;LOD</t>
        </is>
      </c>
    </row>
    <row r="45">
      <c r="A45" s="34" t="inlineStr">
        <is>
          <t>11Cl-PF3OUdS</t>
        </is>
      </c>
      <c r="B45" t="inlineStr">
        <is>
          <t>&lt;LOD</t>
        </is>
      </c>
      <c r="C45" t="inlineStr">
        <is>
          <t>&lt;LOD</t>
        </is>
      </c>
      <c r="D45" t="inlineStr">
        <is>
          <t>&lt;LOD</t>
        </is>
      </c>
      <c r="E45" t="inlineStr">
        <is>
          <t>&lt;LOD</t>
        </is>
      </c>
      <c r="F45" t="inlineStr">
        <is>
          <t>&lt;LOD</t>
        </is>
      </c>
      <c r="G45" t="inlineStr">
        <is>
          <t>&lt;LOD</t>
        </is>
      </c>
      <c r="H45" t="inlineStr">
        <is>
          <t>&lt;LOD</t>
        </is>
      </c>
      <c r="I45" t="inlineStr">
        <is>
          <t>&lt;LOD</t>
        </is>
      </c>
      <c r="J45" t="inlineStr">
        <is>
          <t>&lt;LOD</t>
        </is>
      </c>
    </row>
    <row r="46">
      <c r="A46" s="34" t="inlineStr">
        <is>
          <t xml:space="preserve"> PFTrDA </t>
        </is>
      </c>
      <c r="B46" t="inlineStr">
        <is>
          <t>&lt;LOD</t>
        </is>
      </c>
      <c r="C46" t="inlineStr">
        <is>
          <t>&lt;LOD</t>
        </is>
      </c>
      <c r="D46" t="inlineStr">
        <is>
          <t>&lt;LOD</t>
        </is>
      </c>
      <c r="E46" t="inlineStr">
        <is>
          <t>&lt;LOD</t>
        </is>
      </c>
      <c r="F46" t="inlineStr">
        <is>
          <t>&lt;LOD</t>
        </is>
      </c>
      <c r="G46" t="inlineStr">
        <is>
          <t>&lt;LOD</t>
        </is>
      </c>
      <c r="H46" t="inlineStr">
        <is>
          <t>&lt;LOD</t>
        </is>
      </c>
      <c r="I46" t="inlineStr">
        <is>
          <t>&lt;LOD</t>
        </is>
      </c>
      <c r="J46" t="inlineStr">
        <is>
          <t>&lt;LOD</t>
        </is>
      </c>
    </row>
    <row r="47">
      <c r="A47" s="34" t="inlineStr">
        <is>
          <t>PFTeDA</t>
        </is>
      </c>
      <c r="B47" t="inlineStr">
        <is>
          <t>&lt;LOD</t>
        </is>
      </c>
      <c r="C47" t="inlineStr">
        <is>
          <t>&lt;LOD</t>
        </is>
      </c>
      <c r="D47" t="inlineStr">
        <is>
          <t>&lt;LOD</t>
        </is>
      </c>
      <c r="E47" t="inlineStr">
        <is>
          <t>&lt;LOD</t>
        </is>
      </c>
      <c r="F47" t="inlineStr">
        <is>
          <t>&lt;LOD</t>
        </is>
      </c>
      <c r="G47" t="inlineStr">
        <is>
          <t>&lt;LOD</t>
        </is>
      </c>
      <c r="H47" t="inlineStr">
        <is>
          <t>&lt;LOD</t>
        </is>
      </c>
      <c r="I47" t="inlineStr">
        <is>
          <t>&lt;LOD</t>
        </is>
      </c>
      <c r="J47" t="inlineStr">
        <is>
          <t>&lt;LOD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zoomScale="120" zoomScaleNormal="120" workbookViewId="0">
      <selection activeCell="K15" sqref="K15"/>
    </sheetView>
  </sheetViews>
  <sheetFormatPr baseColWidth="8" defaultColWidth="10.6640625" defaultRowHeight="16"/>
  <cols>
    <col width="15.33203125" bestFit="1" customWidth="1" min="3" max="3"/>
    <col width="11" bestFit="1" customWidth="1" min="4" max="4"/>
    <col width="12.1640625" bestFit="1" customWidth="1" min="5" max="5"/>
    <col width="12.1640625" bestFit="1" customWidth="1" min="7" max="7"/>
    <col width="11" bestFit="1" customWidth="1" min="8" max="8"/>
    <col width="11.1640625" customWidth="1" min="10" max="10"/>
  </cols>
  <sheetData>
    <row r="1" ht="16.5" customHeight="1" thickBot="1">
      <c r="A1" s="39" t="inlineStr">
        <is>
          <t>Analytes</t>
        </is>
      </c>
      <c r="B1" s="39" t="inlineStr">
        <is>
          <t>K4-1</t>
        </is>
      </c>
      <c r="C1" s="39" t="inlineStr">
        <is>
          <t>K4-2</t>
        </is>
      </c>
      <c r="D1" s="39" t="inlineStr">
        <is>
          <t>K4-4</t>
        </is>
      </c>
      <c r="E1" s="39" t="inlineStr">
        <is>
          <t>K4-5</t>
        </is>
      </c>
      <c r="F1" s="39" t="inlineStr">
        <is>
          <t>K3-1</t>
        </is>
      </c>
      <c r="G1" s="39" t="inlineStr">
        <is>
          <t>K3-2</t>
        </is>
      </c>
      <c r="H1" s="39" t="inlineStr">
        <is>
          <t>K3-3</t>
        </is>
      </c>
      <c r="I1" s="39" t="inlineStr">
        <is>
          <t>K3-4</t>
        </is>
      </c>
      <c r="J1" s="39" t="inlineStr">
        <is>
          <t>K3-6</t>
        </is>
      </c>
    </row>
    <row r="2">
      <c r="A2" s="34" t="inlineStr">
        <is>
          <t>TFA</t>
        </is>
      </c>
      <c r="B2" t="inlineStr">
        <is>
          <t>48.7 ± 19.2</t>
        </is>
      </c>
      <c r="C2" t="inlineStr">
        <is>
          <t>16.9 ± 26.2</t>
        </is>
      </c>
      <c r="D2" t="inlineStr">
        <is>
          <t>15.9 ± 20.6</t>
        </is>
      </c>
      <c r="E2" t="inlineStr">
        <is>
          <t>6.2 ± 5.5</t>
        </is>
      </c>
      <c r="F2" t="inlineStr">
        <is>
          <t>27.8 ± 7</t>
        </is>
      </c>
      <c r="G2" t="inlineStr">
        <is>
          <t>30 ± 2.9</t>
        </is>
      </c>
      <c r="H2" t="inlineStr">
        <is>
          <t>62 ± 80.6</t>
        </is>
      </c>
      <c r="I2" t="inlineStr">
        <is>
          <t>36 ± 28.7</t>
        </is>
      </c>
      <c r="J2" t="inlineStr">
        <is>
          <t>70.9 ± 42.6</t>
        </is>
      </c>
    </row>
    <row r="3">
      <c r="A3" s="34" t="inlineStr">
        <is>
          <t>PFMeS</t>
        </is>
      </c>
      <c r="B3" t="inlineStr">
        <is>
          <t>12.7 ± 4</t>
        </is>
      </c>
      <c r="C3" t="inlineStr">
        <is>
          <t>6994.9 ± 12024.3</t>
        </is>
      </c>
      <c r="D3" s="37" t="inlineStr">
        <is>
          <t>64 ± 116.1</t>
        </is>
      </c>
      <c r="E3" t="inlineStr">
        <is>
          <t>10.9 ± 4</t>
        </is>
      </c>
      <c r="F3" t="inlineStr">
        <is>
          <t>5 ± 1.8</t>
        </is>
      </c>
      <c r="G3" t="inlineStr">
        <is>
          <t>5.1 ± 1</t>
        </is>
      </c>
      <c r="H3" t="inlineStr">
        <is>
          <t>11.1 ± 3.5</t>
        </is>
      </c>
      <c r="I3" t="inlineStr">
        <is>
          <t>7.1 ± 1.8</t>
        </is>
      </c>
      <c r="J3" t="inlineStr">
        <is>
          <t>15.7 ± 29</t>
        </is>
      </c>
    </row>
    <row r="4">
      <c r="A4" s="34" t="inlineStr">
        <is>
          <t>PFPrA</t>
        </is>
      </c>
      <c r="B4" t="inlineStr">
        <is>
          <t>419.2 ± 53.3</t>
        </is>
      </c>
      <c r="C4" t="inlineStr">
        <is>
          <t>312.3 ± 136.2</t>
        </is>
      </c>
      <c r="D4" t="inlineStr">
        <is>
          <t>292.6 ± 34.6</t>
        </is>
      </c>
      <c r="E4" t="inlineStr">
        <is>
          <t>503.3 ± 228.2</t>
        </is>
      </c>
      <c r="F4" t="inlineStr">
        <is>
          <t>238 ± 107.7</t>
        </is>
      </c>
      <c r="G4" t="inlineStr">
        <is>
          <t>155.1 ± 147.4</t>
        </is>
      </c>
      <c r="H4" t="inlineStr">
        <is>
          <t>244.9 ± 18.6</t>
        </is>
      </c>
      <c r="I4" t="inlineStr">
        <is>
          <t>266.9 ± 47.4</t>
        </is>
      </c>
      <c r="J4" t="inlineStr">
        <is>
          <t>227.6 ± 24</t>
        </is>
      </c>
    </row>
    <row r="5">
      <c r="A5" s="34" t="inlineStr">
        <is>
          <t>PFOA</t>
        </is>
      </c>
      <c r="B5" t="inlineStr">
        <is>
          <t>1.4 ± 0.4</t>
        </is>
      </c>
      <c r="C5" t="inlineStr">
        <is>
          <t>11.1 ± 17.8</t>
        </is>
      </c>
      <c r="D5" t="inlineStr">
        <is>
          <t>1.4 ± 1.2</t>
        </is>
      </c>
      <c r="E5" t="inlineStr">
        <is>
          <t>1.6 ± 3.4</t>
        </is>
      </c>
      <c r="F5" t="inlineStr">
        <is>
          <t>0.7 ± 0.5</t>
        </is>
      </c>
      <c r="G5" t="inlineStr">
        <is>
          <t>&lt;LOD</t>
        </is>
      </c>
      <c r="H5" t="inlineStr">
        <is>
          <t>2.2 ± 1.6</t>
        </is>
      </c>
      <c r="I5" t="inlineStr">
        <is>
          <t>0.4 ± 0</t>
        </is>
      </c>
      <c r="J5" t="inlineStr">
        <is>
          <t>0.1 ± 0.4</t>
        </is>
      </c>
    </row>
    <row r="6">
      <c r="A6" s="34" t="inlineStr">
        <is>
          <t xml:space="preserve">PFOS </t>
        </is>
      </c>
      <c r="B6" t="inlineStr">
        <is>
          <t>0.9 ± 0.3</t>
        </is>
      </c>
      <c r="C6" t="inlineStr">
        <is>
          <t>1 ± 0.1</t>
        </is>
      </c>
      <c r="D6" t="inlineStr">
        <is>
          <t>0.7 ± 0</t>
        </is>
      </c>
      <c r="E6" t="inlineStr">
        <is>
          <t>0.6 ± 0.1</t>
        </is>
      </c>
      <c r="F6" t="inlineStr">
        <is>
          <t>0.9 ± 0</t>
        </is>
      </c>
      <c r="G6" t="inlineStr">
        <is>
          <t>1 ± 0.1</t>
        </is>
      </c>
      <c r="H6" t="inlineStr">
        <is>
          <t>1.4 ± 0.3</t>
        </is>
      </c>
      <c r="I6" s="19" t="inlineStr">
        <is>
          <t>1.4 ± 0.1</t>
        </is>
      </c>
      <c r="J6" t="inlineStr">
        <is>
          <t>0.9 ± 0.1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2025-05-16T20:37:56Z</dcterms:created>
  <dcterms:modified xsi:type="dcterms:W3CDTF">2025-07-21T07:28:23Z</dcterms:modified>
  <cp:lastModifiedBy>Jeff Suen</cp:lastModifiedBy>
</cp:coreProperties>
</file>